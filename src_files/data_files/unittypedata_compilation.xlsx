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44A0C145-E446-447A-BFD6-E306DBC5937C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unittypedata!$C$1:$AB$58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<sst xmlns="http://schemas.openxmlformats.org/spreadsheetml/2006/main" count="532" uniqueCount="246">
  <si>
    <t>vomCosts</t>
  </si>
  <si>
    <t>maxRampUp</t>
  </si>
  <si>
    <t>maxRampDown</t>
  </si>
  <si>
    <t>cb</t>
  </si>
  <si>
    <t>useTimeseriesAvailability</t>
  </si>
  <si>
    <t>Nuclear</t>
  </si>
  <si>
    <t>-</t>
  </si>
  <si>
    <t>Hard coal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</si>
  <si>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</si>
  <si>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</si>
  <si>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</si>
  <si>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</si>
  <si>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</si>
  <si>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</si>
  <si>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</si>
  <si>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</t>
  </si>
  <si>
    <t>Lignite old 1</t>
  </si>
  <si>
    <t>Lignite old 2</t>
  </si>
  <si>
    <t>Lignite new</t>
  </si>
  <si>
    <t>Lignite CCS</t>
  </si>
  <si>
    <t>Lignite old 1 Bio</t>
  </si>
  <si>
    <t>Lignite old 2 Bio</t>
  </si>
  <si>
    <t>Gas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</si>
  <si>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</si>
  <si>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</si>
  <si>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</si>
  <si>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</si>
  <si>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</si>
  <si>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</si>
  <si>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</si>
  <si>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</si>
  <si>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</si>
  <si>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</si>
  <si>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</si>
  <si>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</t>
  </si>
  <si>
    <t>Heavy oil old 1</t>
  </si>
  <si>
    <t>Heavy oil old 2</t>
  </si>
  <si>
    <t>Oil shale</t>
  </si>
  <si>
    <t>Oil shale old</t>
  </si>
  <si>
    <t>Oil shale new</t>
  </si>
  <si>
    <t>Oil shale new Bio</t>
  </si>
  <si>
    <t>Gas CCGT CHP</t>
  </si>
  <si>
    <t>Oil HOB</t>
  </si>
  <si>
    <t>Gas HOB</t>
  </si>
  <si>
    <t>Biomass</t>
  </si>
  <si>
    <t>Bio HOB</t>
  </si>
  <si>
    <t>Bio CHP</t>
  </si>
  <si>
    <t>Coal CHP</t>
  </si>
  <si>
    <t>MSW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</si>
  <si>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</si>
  <si>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</si>
  <si>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</si>
  <si>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</si>
  <si>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</si>
  <si>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</si>
  <si>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</si>
  <si>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</si>
  <si>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</si>
  <si>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</si>
  <si>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</si>
  <si>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</si>
  <si>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</si>
  <si>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batterystor</t>
  </si>
  <si>
    <t>Battery charger</t>
  </si>
  <si>
    <t>PS Closed turbine</t>
  </si>
  <si>
    <t>psClosed</t>
  </si>
  <si>
    <t>PS Closed pump</t>
  </si>
  <si>
    <t>hydrogen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</si>
  <si>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</si>
  <si>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</si>
  <si>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</si>
  <si>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</si>
  <si>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</si>
  <si>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</si>
  <si>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</si>
  <si>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heatsto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</si>
  <si>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</si>
  <si>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</si>
  <si>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</si>
  <si>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</si>
  <si>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</si>
  <si>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</si>
  <si>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largeheatsto</t>
  </si>
  <si>
    <t>seasonheatsto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</si>
  <si>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</si>
  <si>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</si>
  <si>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</si>
  <si>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</si>
  <si>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</si>
  <si>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</si>
  <si>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</si>
  <si>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hydrogenstoLT</t>
  </si>
  <si>
    <t>hydrogenstoST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</si>
  <si>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</si>
  <si>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</si>
  <si>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</si>
  <si>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</si>
  <si>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</si>
  <si>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</si>
  <si>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</si>
  <si>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</si>
  <si>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</si>
  <si>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</si>
  <si>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</si>
  <si>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</si>
  <si>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</si>
  <si>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</si>
  <si>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</si>
  <si>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</si>
  <si>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</si>
  <si>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</si>
  <si>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</si>
  <si>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</si>
  <si>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</si>
  <si>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</si>
  <si>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</si>
  <si>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</si>
  <si>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</si>
  <si>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</si>
  <si>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</si>
  <si>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</si>
  <si>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</si>
  <si>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</si>
  <si>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</si>
  <si>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</si>
  <si>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</si>
  <si>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</si>
  <si>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</si>
  <si>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</si>
  <si>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</si>
  <si>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</si>
  <si>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</si>
  <si>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</si>
  <si>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</si>
  <si>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</si>
  <si>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</si>
  <si>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</si>
  <si>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</si>
  <si>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</si>
  <si>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</si>
  <si>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</si>
  <si>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</si>
  <si>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</si>
  <si>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</si>
  <si>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</si>
  <si>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</si>
  <si>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</si>
  <si>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</si>
  <si>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</si>
  <si>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</si>
  <si>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</si>
  <si>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</si>
  <si>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</si>
  <si>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</si>
  <si>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</si>
  <si>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</si>
  <si>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</si>
  <si>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</si>
  <si>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</si>
  <si>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</si>
  <si>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</si>
  <si>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</si>
  <si>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</si>
  <si>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</si>
  <si>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</si>
  <si>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</si>
  <si>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</si>
  <si>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</si>
  <si>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</si>
  <si>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</si>
  <si>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</si>
  <si>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</si>
  <si>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</si>
  <si>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</si>
  <si>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</si>
  <si>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</si>
  <si>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</si>
  <si>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</si>
  <si>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</si>
  <si>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</si>
  <si>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</si>
  <si>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</si>
  <si>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</si>
  <si>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</si>
  <si>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</si>
  <si>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</si>
  <si>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</si>
  <si>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</si>
  <si>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</si>
  <si>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</si>
  <si>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</si>
  <si>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</si>
  <si>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</si>
  <si>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</si>
  <si>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</si>
  <si>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</si>
  <si>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</si>
  <si>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</si>
  <si>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</si>
  <si>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</si>
  <si>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rampUpCost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</si>
  <si>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</si>
  <si>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</si>
  <si>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</si>
  <si>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</si>
  <si>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</si>
  <si>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</si>
  <si>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</si>
  <si>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</si>
  <si>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</si>
  <si>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Note</t>
  </si>
  <si>
    <t>Generator_ID</t>
  </si>
  <si>
    <t>ETS-CO2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</si>
  <si>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</si>
  <si>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</si>
  <si>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</si>
  <si>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</si>
  <si>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</si>
  <si>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</si>
  <si>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</si>
  <si>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</si>
  <si>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rampDownCost</t>
  </si>
  <si>
    <t># VRE</t>
  </si>
  <si>
    <t># Hydro</t>
  </si>
  <si>
    <t># Nuclear</t>
  </si>
  <si>
    <t># Hydrogen</t>
  </si>
  <si>
    <t># Demand response</t>
  </si>
  <si>
    <t># District heating</t>
  </si>
  <si>
    <t># Thermal condensing power</t>
  </si>
  <si>
    <t># CCS</t>
  </si>
  <si>
    <t># Industry</t>
  </si>
  <si>
    <t># Electricity storages</t>
  </si>
  <si>
    <t>Hydro O&amp;M costs approximated from https://link.springer.com/article/10.1007/s12667-023-00589-w</t>
  </si>
  <si>
    <t>Small O&amp;M cost to speed up the solver</t>
  </si>
  <si>
    <t>Heavily weighting "modelling-techical" shutdown costs to avoid too many shutdows of nuclear reactors. The 400 EUR/MW is roughly 60 hours of price difference to VRE.</t>
  </si>
  <si>
    <t>nuclearFlexible</t>
  </si>
  <si>
    <t>A nuclear unit with much lower ramp costs for France and flexible part of OL3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</si>
  <si>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</si>
  <si>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</si>
  <si>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</si>
  <si>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</si>
  <si>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</si>
  <si>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</si>
  <si>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</si>
  <si>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</si>
  <si>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Assuming 3% losses in cell and 3% in inverter both directions for all 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</si>
</sst>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</cellXfs>
  <cellStyles count="2"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6"/>
  <sheetViews>
    <sheetView tabSelected="1" zoomScale="85" zoomScaleNormal="85" workbookViewId="0">
      <pane xSplit="4" ySplit="1" topLeftCell="O41" activePane="bottomRight" state="frozen"/>
      <selection pane="topRight" activeCell="E1" sqref="E1"/>
      <selection pane="bottomLeft" activeCell="A2" sqref="A2"/>
      <selection pane="bottomRight" activeCell="AC56" sqref="AC56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37" bestFit="1" customWidth="1"/>
    <col min="4" max="4" width="23.85546875" bestFit="1" customWidth="1"/>
    <col min="5" max="9" width="12.7109375" customWidth="1"/>
    <col min="10" max="10" width="16.5703125" customWidth="1"/>
    <col min="11" max="11" width="18.42578125" customWidth="1"/>
    <col min="12" max="12" width="14.42578125" bestFit="1" customWidth="1"/>
    <col min="13" max="14" width="14.42578125" customWidth="1"/>
    <col min="15" max="16" width="12.7109375" customWidth="1"/>
    <col min="17" max="18" width="10.140625" customWidth="1"/>
    <col min="19" max="19" width="12.7109375" customWidth="1"/>
    <col min="20" max="20" width="9.7109375" style="21" customWidth="1"/>
    <col min="21" max="22" width="8.42578125" customWidth="1"/>
    <col min="25" max="26" width="14" customWidth="1"/>
    <col min="27" max="27" width="15.85546875" customWidth="1"/>
    <col min="28" max="28" width="10.140625" customWidth="1"/>
    <col min="29" max="29" width="78.140625" bestFit="1" customWidth="1"/>
    <col min="1025" max="1025" width="9.140625" customWidth="1"/>
  </cols>
  <sheetData>
    <row r="1" spans="1:29" ht="48" customHeight="1" x14ac:dyDescent="0.25">
      <c r="A1" s="4" t="s">
        <v>104</v>
      </c>
      <c r="B1" s="17" t="s">
        <v>105</v>
      </c>
      <c r="C1" s="5" t="s">
        <v>211</v>
      </c>
      <c r="D1" s="5" t="s">
        <v>193</v>
      </c>
      <c r="E1" s="6" t="s">
        <v>100</v>
      </c>
      <c r="F1" s="6" t="s">
        <v>101</v>
      </c>
      <c r="G1" s="6" t="s">
        <v>51</v>
      </c>
      <c r="H1" s="6" t="s">
        <v>182</v>
      </c>
      <c r="I1" s="8" t="s">
        <v>195</v>
      </c>
      <c r="J1" s="7" t="s">
        <v>183</v>
      </c>
      <c r="K1" s="7" t="s">
        <v>108</v>
      </c>
      <c r="L1" s="7" t="s">
        <v>109</v>
      </c>
      <c r="M1" s="7" t="s">
        <v>110</v>
      </c>
      <c r="N1" s="7" t="s">
        <v>111</v>
      </c>
      <c r="O1" s="2" t="s">
        <v>196</v>
      </c>
      <c r="P1" s="2" t="s">
        <v>197</v>
      </c>
      <c r="Q1" s="3" t="s">
        <v>198</v>
      </c>
      <c r="R1" s="3" t="s">
        <v>199</v>
      </c>
      <c r="S1" s="2" t="s">
        <v>0</v>
      </c>
      <c r="T1" s="22" t="s">
        <v>201</v>
      </c>
      <c r="U1" s="3" t="s">
        <v>1</v>
      </c>
      <c r="V1" s="3" t="s">
        <v>2</v>
      </c>
      <c r="W1" s="3" t="s">
        <v>3</v>
      </c>
      <c r="X1" s="3" t="s">
        <v>103</v>
      </c>
      <c r="Y1" s="2" t="s">
        <v>200</v>
      </c>
      <c r="Z1" s="3" t="s">
        <v>221</v>
      </c>
      <c r="AA1" s="3" t="s">
        <v>186</v>
      </c>
      <c r="AB1" s="3" t="s">
        <v>4</v>
      </c>
      <c r="AC1" s="3" t="s">
        <v>210</v>
      </c>
    </row>
    <row r="2" spans="1:29" s="1" customFormat="1" x14ac:dyDescent="0.25">
      <c r="A2" s="14" t="s">
        <v>222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  <c r="AC2" s="15"/>
    </row>
    <row r="3" spans="1:29" s="1" customFormat="1" x14ac:dyDescent="0.25">
      <c r="A3" s="11" t="s">
        <v>184</v>
      </c>
      <c r="B3" s="19">
        <v>1</v>
      </c>
      <c r="C3" s="1" t="s">
        <v>50</v>
      </c>
      <c r="D3" s="1" t="s">
        <v>150</v>
      </c>
      <c r="G3" s="1" t="s">
        <v>97</v>
      </c>
      <c r="J3" s="1" t="s">
        <v>6</v>
      </c>
      <c r="K3" s="1" t="s">
        <v>59</v>
      </c>
      <c r="O3" s="1">
        <v>1</v>
      </c>
      <c r="Q3" s="1">
        <v>1</v>
      </c>
      <c r="S3" s="1">
        <v>1</v>
      </c>
      <c r="T3" s="19"/>
      <c r="AC3" s="1" t="s">
        <v>233</v>
      </c>
    </row>
    <row r="4" spans="1:29" s="1" customFormat="1" x14ac:dyDescent="0.25">
      <c r="A4" s="11" t="s">
        <v>184</v>
      </c>
      <c r="B4" s="19">
        <v>1</v>
      </c>
      <c r="C4" s="1" t="s">
        <v>52</v>
      </c>
      <c r="D4" s="1" t="s">
        <v>151</v>
      </c>
      <c r="G4" s="1" t="s">
        <v>98</v>
      </c>
      <c r="J4" s="1" t="s">
        <v>6</v>
      </c>
      <c r="K4" s="1" t="s">
        <v>59</v>
      </c>
      <c r="O4" s="1">
        <v>1</v>
      </c>
      <c r="Q4" s="1">
        <v>1</v>
      </c>
      <c r="S4" s="1">
        <v>1.5</v>
      </c>
      <c r="T4" s="19"/>
    </row>
    <row r="5" spans="1:29" s="1" customFormat="1" x14ac:dyDescent="0.25">
      <c r="A5" s="11" t="s">
        <v>184</v>
      </c>
      <c r="B5" s="19">
        <v>1</v>
      </c>
      <c r="C5" s="1" t="s">
        <v>53</v>
      </c>
      <c r="D5" s="1" t="s">
        <v>99</v>
      </c>
      <c r="G5" s="1" t="s">
        <v>99</v>
      </c>
      <c r="J5" s="1" t="s">
        <v>6</v>
      </c>
      <c r="K5" s="1" t="s">
        <v>59</v>
      </c>
      <c r="O5" s="1">
        <v>1</v>
      </c>
      <c r="Q5" s="1">
        <v>1</v>
      </c>
      <c r="S5" s="1">
        <v>0.5</v>
      </c>
      <c r="T5" s="19"/>
    </row>
    <row r="6" spans="1:29" s="1" customFormat="1" x14ac:dyDescent="0.25">
      <c r="A6" s="14" t="s">
        <v>223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  <c r="AC6" s="15"/>
    </row>
    <row r="7" spans="1:29" s="1" customFormat="1" x14ac:dyDescent="0.25">
      <c r="A7" s="11" t="s">
        <v>184</v>
      </c>
      <c r="B7" s="19">
        <v>1</v>
      </c>
      <c r="C7" s="1" t="s">
        <v>56</v>
      </c>
      <c r="D7" s="1" t="s">
        <v>153</v>
      </c>
      <c r="J7" s="1" t="s">
        <v>57</v>
      </c>
      <c r="K7" s="1" t="s">
        <v>59</v>
      </c>
      <c r="O7" s="1">
        <v>0.99</v>
      </c>
      <c r="Q7" s="1">
        <v>1</v>
      </c>
      <c r="S7" s="1">
        <v>2</v>
      </c>
      <c r="T7" s="19"/>
      <c r="Y7" s="1">
        <v>5</v>
      </c>
      <c r="Z7" s="1">
        <v>5</v>
      </c>
      <c r="AC7" s="1" t="s">
        <v>232</v>
      </c>
    </row>
    <row r="8" spans="1:29" s="1" customFormat="1" x14ac:dyDescent="0.25">
      <c r="A8" s="11" t="s">
        <v>184</v>
      </c>
      <c r="B8" s="19">
        <v>1</v>
      </c>
      <c r="C8" s="1" t="s">
        <v>77</v>
      </c>
      <c r="D8" s="1" t="s">
        <v>152</v>
      </c>
      <c r="J8" s="1" t="s">
        <v>55</v>
      </c>
      <c r="K8" s="1" t="s">
        <v>59</v>
      </c>
      <c r="O8" s="1">
        <v>0.99</v>
      </c>
      <c r="Q8" s="1">
        <v>1</v>
      </c>
      <c r="S8" s="1">
        <v>2</v>
      </c>
      <c r="T8" s="19"/>
      <c r="Y8" s="1">
        <v>5</v>
      </c>
      <c r="Z8" s="1">
        <v>5</v>
      </c>
      <c r="AC8" s="1" t="s">
        <v>243</v>
      </c>
    </row>
    <row r="9" spans="1:29" s="1" customFormat="1" x14ac:dyDescent="0.25">
      <c r="A9" s="11" t="s">
        <v>184</v>
      </c>
      <c r="B9" s="19">
        <v>1</v>
      </c>
      <c r="C9" s="1" t="s">
        <v>93</v>
      </c>
      <c r="D9" s="1" t="s">
        <v>162</v>
      </c>
      <c r="J9" s="1" t="s">
        <v>54</v>
      </c>
      <c r="K9" s="1" t="s">
        <v>59</v>
      </c>
      <c r="O9" s="1">
        <v>1</v>
      </c>
      <c r="Q9" s="1">
        <v>1</v>
      </c>
      <c r="S9" s="1">
        <v>1.5</v>
      </c>
      <c r="T9" s="19"/>
      <c r="Y9" s="1">
        <v>4</v>
      </c>
      <c r="Z9" s="1">
        <v>4</v>
      </c>
    </row>
    <row r="10" spans="1:29" s="1" customFormat="1" x14ac:dyDescent="0.25">
      <c r="A10" s="11" t="s">
        <v>184</v>
      </c>
      <c r="B10" s="19">
        <v>1</v>
      </c>
      <c r="C10" s="1" t="s">
        <v>94</v>
      </c>
      <c r="D10" s="1" t="s">
        <v>163</v>
      </c>
      <c r="J10" s="1" t="s">
        <v>59</v>
      </c>
      <c r="K10" s="1" t="s">
        <v>54</v>
      </c>
      <c r="O10" s="1">
        <v>0.8</v>
      </c>
      <c r="Q10" s="1">
        <v>1</v>
      </c>
      <c r="S10" s="1">
        <v>1.5</v>
      </c>
      <c r="T10" s="19"/>
      <c r="Y10" s="1">
        <v>4</v>
      </c>
      <c r="Z10" s="1">
        <v>4</v>
      </c>
    </row>
    <row r="11" spans="1:29" s="1" customFormat="1" x14ac:dyDescent="0.25">
      <c r="A11" s="11" t="s">
        <v>184</v>
      </c>
      <c r="B11" s="19">
        <v>1</v>
      </c>
      <c r="C11" s="1" t="s">
        <v>64</v>
      </c>
      <c r="D11" s="1" t="s">
        <v>160</v>
      </c>
      <c r="J11" s="1" t="s">
        <v>65</v>
      </c>
      <c r="K11" s="1" t="s">
        <v>59</v>
      </c>
      <c r="O11" s="1">
        <v>1</v>
      </c>
      <c r="Q11" s="1">
        <v>1</v>
      </c>
      <c r="S11" s="1">
        <v>1</v>
      </c>
      <c r="T11" s="19"/>
      <c r="Y11" s="1">
        <v>3</v>
      </c>
      <c r="Z11" s="1">
        <v>3</v>
      </c>
    </row>
    <row r="12" spans="1:29" s="1" customFormat="1" x14ac:dyDescent="0.25">
      <c r="A12" s="11" t="s">
        <v>184</v>
      </c>
      <c r="B12" s="19">
        <v>1</v>
      </c>
      <c r="C12" s="1" t="s">
        <v>66</v>
      </c>
      <c r="D12" s="1" t="s">
        <v>161</v>
      </c>
      <c r="J12" s="1" t="s">
        <v>59</v>
      </c>
      <c r="K12" s="1" t="s">
        <v>65</v>
      </c>
      <c r="O12" s="1">
        <v>0.8</v>
      </c>
      <c r="Q12" s="1">
        <v>1</v>
      </c>
      <c r="S12" s="1">
        <v>1</v>
      </c>
      <c r="T12" s="19"/>
      <c r="Y12" s="1">
        <v>3</v>
      </c>
      <c r="Z12" s="1">
        <v>3</v>
      </c>
    </row>
    <row r="13" spans="1:29" s="1" customFormat="1" x14ac:dyDescent="0.25">
      <c r="A13" s="14" t="s">
        <v>228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  <c r="AC13" s="15"/>
    </row>
    <row r="14" spans="1:29" s="1" customFormat="1" x14ac:dyDescent="0.25">
      <c r="A14" s="11" t="s">
        <v>184</v>
      </c>
      <c r="B14" s="19">
        <v>1</v>
      </c>
      <c r="C14" s="1" t="s">
        <v>38</v>
      </c>
      <c r="D14" s="1" t="s">
        <v>142</v>
      </c>
      <c r="I14" s="1" t="s">
        <v>212</v>
      </c>
      <c r="J14" s="1" t="s">
        <v>37</v>
      </c>
      <c r="K14" s="1" t="s">
        <v>59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</row>
    <row r="15" spans="1:29" s="1" customFormat="1" x14ac:dyDescent="0.25">
      <c r="A15" s="11" t="s">
        <v>184</v>
      </c>
      <c r="B15" s="19">
        <v>1</v>
      </c>
      <c r="C15" s="1" t="s">
        <v>40</v>
      </c>
      <c r="D15" s="1" t="s">
        <v>144</v>
      </c>
      <c r="I15" s="1" t="s">
        <v>212</v>
      </c>
      <c r="J15" s="1" t="s">
        <v>44</v>
      </c>
      <c r="K15" s="1" t="s">
        <v>59</v>
      </c>
      <c r="O15" s="1">
        <v>0.36</v>
      </c>
      <c r="P15" s="1">
        <v>0.39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</row>
    <row r="16" spans="1:29" s="1" customFormat="1" x14ac:dyDescent="0.25">
      <c r="A16" s="11" t="s">
        <v>184</v>
      </c>
      <c r="B16" s="19">
        <v>1</v>
      </c>
      <c r="C16" s="1" t="s">
        <v>39</v>
      </c>
      <c r="D16" s="1" t="s">
        <v>143</v>
      </c>
      <c r="I16" s="1" t="s">
        <v>212</v>
      </c>
      <c r="J16" s="1" t="s">
        <v>37</v>
      </c>
      <c r="K16" s="1" t="s">
        <v>59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</row>
    <row r="17" spans="1:26" s="1" customFormat="1" x14ac:dyDescent="0.25">
      <c r="A17" s="11" t="s">
        <v>184</v>
      </c>
      <c r="B17" s="19">
        <v>1</v>
      </c>
      <c r="C17" s="1" t="s">
        <v>21</v>
      </c>
      <c r="D17" s="1" t="s">
        <v>118</v>
      </c>
      <c r="I17" s="12"/>
      <c r="J17" s="1" t="s">
        <v>44</v>
      </c>
      <c r="K17" s="1" t="s">
        <v>59</v>
      </c>
      <c r="O17" s="1">
        <v>0.37</v>
      </c>
      <c r="P17" s="1">
        <v>0.4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</row>
    <row r="18" spans="1:26" s="1" customFormat="1" x14ac:dyDescent="0.25">
      <c r="A18" s="11" t="s">
        <v>184</v>
      </c>
      <c r="B18" s="19">
        <v>1</v>
      </c>
      <c r="C18" s="1" t="s">
        <v>17</v>
      </c>
      <c r="D18" s="1" t="s">
        <v>115</v>
      </c>
      <c r="I18" s="1" t="s">
        <v>212</v>
      </c>
      <c r="J18" s="1" t="s">
        <v>15</v>
      </c>
      <c r="K18" s="1" t="s">
        <v>59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</row>
    <row r="19" spans="1:26" s="1" customFormat="1" x14ac:dyDescent="0.25">
      <c r="A19" s="11" t="s">
        <v>184</v>
      </c>
      <c r="B19" s="19">
        <v>1</v>
      </c>
      <c r="C19" s="1" t="s">
        <v>20</v>
      </c>
      <c r="D19" s="1" t="s">
        <v>117</v>
      </c>
      <c r="I19" s="12"/>
      <c r="J19" s="1" t="s">
        <v>44</v>
      </c>
      <c r="K19" s="1" t="s">
        <v>59</v>
      </c>
      <c r="O19" s="1">
        <v>0.31999999999999995</v>
      </c>
      <c r="P19" s="1">
        <v>0.35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</row>
    <row r="20" spans="1:26" s="1" customFormat="1" x14ac:dyDescent="0.25">
      <c r="A20" s="11" t="s">
        <v>184</v>
      </c>
      <c r="B20" s="19">
        <v>1</v>
      </c>
      <c r="C20" s="1" t="s">
        <v>16</v>
      </c>
      <c r="D20" s="1" t="s">
        <v>114</v>
      </c>
      <c r="I20" s="1" t="s">
        <v>212</v>
      </c>
      <c r="J20" s="1" t="s">
        <v>15</v>
      </c>
      <c r="K20" s="1" t="s">
        <v>59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</row>
    <row r="21" spans="1:26" s="1" customFormat="1" x14ac:dyDescent="0.25">
      <c r="A21" s="11" t="s">
        <v>184</v>
      </c>
      <c r="B21" s="19">
        <v>1</v>
      </c>
      <c r="C21" s="1" t="s">
        <v>18</v>
      </c>
      <c r="D21" s="1" t="s">
        <v>116</v>
      </c>
      <c r="I21" s="1" t="s">
        <v>212</v>
      </c>
      <c r="J21" s="1" t="s">
        <v>15</v>
      </c>
      <c r="K21" s="1" t="s">
        <v>59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</row>
    <row r="22" spans="1:26" s="1" customFormat="1" x14ac:dyDescent="0.25">
      <c r="A22" s="11" t="s">
        <v>184</v>
      </c>
      <c r="B22" s="19">
        <v>1</v>
      </c>
      <c r="C22" s="1" t="s">
        <v>19</v>
      </c>
      <c r="D22" s="1" t="s">
        <v>112</v>
      </c>
      <c r="J22" s="1" t="s">
        <v>15</v>
      </c>
      <c r="K22" s="1" t="s">
        <v>59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</row>
    <row r="23" spans="1:26" s="1" customFormat="1" x14ac:dyDescent="0.25">
      <c r="A23" s="11" t="s">
        <v>184</v>
      </c>
      <c r="B23" s="19">
        <v>1</v>
      </c>
      <c r="C23" s="1" t="s">
        <v>33</v>
      </c>
      <c r="D23" s="1" t="s">
        <v>139</v>
      </c>
      <c r="I23" s="1" t="s">
        <v>212</v>
      </c>
      <c r="J23" s="1" t="s">
        <v>33</v>
      </c>
      <c r="K23" s="1" t="s">
        <v>59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1.1000000000000001</v>
      </c>
      <c r="T23" s="19"/>
      <c r="U23" s="1">
        <v>0.08</v>
      </c>
      <c r="V23" s="1">
        <v>0.08</v>
      </c>
      <c r="Y23" s="1">
        <v>19.2</v>
      </c>
      <c r="Z23" s="1">
        <v>19.2</v>
      </c>
    </row>
    <row r="24" spans="1:26" s="1" customFormat="1" x14ac:dyDescent="0.25">
      <c r="A24" s="11" t="s">
        <v>184</v>
      </c>
      <c r="B24" s="19">
        <v>1</v>
      </c>
      <c r="C24" s="1" t="s">
        <v>36</v>
      </c>
      <c r="D24" s="1" t="s">
        <v>141</v>
      </c>
      <c r="I24" s="1" t="s">
        <v>212</v>
      </c>
      <c r="J24" s="1" t="s">
        <v>34</v>
      </c>
      <c r="K24" s="1" t="s">
        <v>59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</row>
    <row r="25" spans="1:26" s="1" customFormat="1" x14ac:dyDescent="0.25">
      <c r="A25" s="11" t="s">
        <v>184</v>
      </c>
      <c r="B25" s="19">
        <v>1</v>
      </c>
      <c r="C25" s="1" t="s">
        <v>35</v>
      </c>
      <c r="D25" s="1" t="s">
        <v>140</v>
      </c>
      <c r="I25" s="1" t="s">
        <v>212</v>
      </c>
      <c r="J25" s="1" t="s">
        <v>34</v>
      </c>
      <c r="K25" s="1" t="s">
        <v>59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</row>
    <row r="26" spans="1:26" s="1" customFormat="1" x14ac:dyDescent="0.25">
      <c r="A26" s="11" t="s">
        <v>184</v>
      </c>
      <c r="B26" s="19">
        <v>1</v>
      </c>
      <c r="C26" s="1" t="s">
        <v>189</v>
      </c>
      <c r="D26" s="1" t="s">
        <v>190</v>
      </c>
      <c r="J26" s="1" t="s">
        <v>44</v>
      </c>
      <c r="K26" s="1" t="s">
        <v>59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</row>
    <row r="27" spans="1:26" s="1" customFormat="1" x14ac:dyDescent="0.25">
      <c r="A27" s="11" t="s">
        <v>184</v>
      </c>
      <c r="B27" s="19">
        <v>1</v>
      </c>
      <c r="C27" s="1" t="s">
        <v>13</v>
      </c>
      <c r="D27" s="1" t="s">
        <v>123</v>
      </c>
      <c r="I27" s="1" t="s">
        <v>212</v>
      </c>
      <c r="J27" s="1" t="s">
        <v>44</v>
      </c>
      <c r="K27" s="1" t="s">
        <v>59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</row>
    <row r="28" spans="1:26" s="1" customFormat="1" x14ac:dyDescent="0.25">
      <c r="A28" s="11" t="s">
        <v>184</v>
      </c>
      <c r="B28" s="19">
        <v>1</v>
      </c>
      <c r="C28" s="1" t="s">
        <v>14</v>
      </c>
      <c r="D28" s="1" t="s">
        <v>124</v>
      </c>
      <c r="I28" s="1" t="s">
        <v>212</v>
      </c>
      <c r="J28" s="1" t="s">
        <v>44</v>
      </c>
      <c r="K28" s="1" t="s">
        <v>59</v>
      </c>
      <c r="O28" s="1">
        <v>0.37</v>
      </c>
      <c r="P28" s="1">
        <v>0.4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</row>
    <row r="29" spans="1:26" s="1" customFormat="1" x14ac:dyDescent="0.25">
      <c r="A29" s="11" t="s">
        <v>184</v>
      </c>
      <c r="B29" s="19">
        <v>1</v>
      </c>
      <c r="C29" s="1" t="s">
        <v>9</v>
      </c>
      <c r="D29" s="1" t="s">
        <v>120</v>
      </c>
      <c r="I29" s="1" t="s">
        <v>212</v>
      </c>
      <c r="J29" s="1" t="s">
        <v>7</v>
      </c>
      <c r="K29" s="1" t="s">
        <v>59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</row>
    <row r="30" spans="1:26" s="1" customFormat="1" x14ac:dyDescent="0.25">
      <c r="A30" s="11" t="s">
        <v>184</v>
      </c>
      <c r="B30" s="19">
        <v>1</v>
      </c>
      <c r="C30" s="1" t="s">
        <v>8</v>
      </c>
      <c r="D30" s="1" t="s">
        <v>119</v>
      </c>
      <c r="I30" s="1" t="s">
        <v>212</v>
      </c>
      <c r="J30" s="1" t="s">
        <v>7</v>
      </c>
      <c r="K30" s="1" t="s">
        <v>59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</row>
    <row r="31" spans="1:26" s="1" customFormat="1" x14ac:dyDescent="0.25">
      <c r="A31" s="11" t="s">
        <v>184</v>
      </c>
      <c r="B31" s="19">
        <v>1</v>
      </c>
      <c r="C31" s="1" t="s">
        <v>12</v>
      </c>
      <c r="D31" s="1" t="s">
        <v>122</v>
      </c>
      <c r="I31" s="1" t="s">
        <v>212</v>
      </c>
      <c r="J31" s="1" t="s">
        <v>44</v>
      </c>
      <c r="K31" s="1" t="s">
        <v>59</v>
      </c>
      <c r="O31" s="1">
        <v>0.43000000000000005</v>
      </c>
      <c r="P31" s="1">
        <v>0.46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</row>
    <row r="32" spans="1:26" s="1" customFormat="1" x14ac:dyDescent="0.25">
      <c r="A32" s="11" t="s">
        <v>184</v>
      </c>
      <c r="B32" s="19">
        <v>1</v>
      </c>
      <c r="C32" s="1" t="s">
        <v>10</v>
      </c>
      <c r="D32" s="1" t="s">
        <v>121</v>
      </c>
      <c r="I32" s="1" t="s">
        <v>212</v>
      </c>
      <c r="J32" s="1" t="s">
        <v>7</v>
      </c>
      <c r="K32" s="1" t="s">
        <v>59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</row>
    <row r="33" spans="1:29" s="1" customFormat="1" x14ac:dyDescent="0.25">
      <c r="A33" s="11" t="s">
        <v>184</v>
      </c>
      <c r="B33" s="19">
        <v>1</v>
      </c>
      <c r="C33" s="1" t="s">
        <v>187</v>
      </c>
      <c r="D33" s="1" t="s">
        <v>188</v>
      </c>
      <c r="J33" s="1" t="s">
        <v>44</v>
      </c>
      <c r="K33" s="1" t="s">
        <v>59</v>
      </c>
      <c r="O33" s="1">
        <v>0.27</v>
      </c>
      <c r="P33" s="1">
        <v>0.3</v>
      </c>
      <c r="Q33" s="1">
        <v>0.2</v>
      </c>
      <c r="R33" s="1">
        <v>1</v>
      </c>
      <c r="S33" s="1">
        <v>1.1000000000000001</v>
      </c>
      <c r="T33" s="19"/>
      <c r="U33" s="1">
        <v>0.15</v>
      </c>
      <c r="V33" s="1">
        <v>0.15</v>
      </c>
      <c r="Y33" s="1">
        <v>29.4</v>
      </c>
      <c r="Z33" s="1">
        <v>29.4</v>
      </c>
    </row>
    <row r="34" spans="1:29" s="1" customFormat="1" x14ac:dyDescent="0.25">
      <c r="A34" s="11" t="s">
        <v>184</v>
      </c>
      <c r="B34" s="19">
        <v>1</v>
      </c>
      <c r="C34" s="1" t="s">
        <v>24</v>
      </c>
      <c r="D34" s="1" t="s">
        <v>127</v>
      </c>
      <c r="I34" s="1" t="s">
        <v>212</v>
      </c>
      <c r="J34" s="1" t="s">
        <v>22</v>
      </c>
      <c r="K34" s="1" t="s">
        <v>59</v>
      </c>
      <c r="O34" s="1">
        <v>0.38</v>
      </c>
      <c r="P34" s="1">
        <v>0.41</v>
      </c>
      <c r="Q34" s="1">
        <v>0.2</v>
      </c>
      <c r="R34" s="1">
        <v>1</v>
      </c>
      <c r="S34" s="1">
        <v>1.1000000000000001</v>
      </c>
      <c r="T34" s="19"/>
      <c r="U34" s="1">
        <v>0.15</v>
      </c>
      <c r="V34" s="1">
        <v>0.15</v>
      </c>
      <c r="Y34" s="1">
        <v>29.4</v>
      </c>
      <c r="Z34" s="1">
        <v>29.4</v>
      </c>
    </row>
    <row r="35" spans="1:29" s="1" customFormat="1" x14ac:dyDescent="0.25">
      <c r="A35" s="11" t="s">
        <v>184</v>
      </c>
      <c r="B35" s="19">
        <v>1</v>
      </c>
      <c r="C35" s="1" t="s">
        <v>23</v>
      </c>
      <c r="D35" s="1" t="s">
        <v>126</v>
      </c>
      <c r="I35" s="1" t="s">
        <v>212</v>
      </c>
      <c r="J35" s="1" t="s">
        <v>22</v>
      </c>
      <c r="K35" s="1" t="s">
        <v>59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1.1000000000000001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</row>
    <row r="36" spans="1:29" s="1" customFormat="1" x14ac:dyDescent="0.25">
      <c r="A36" s="11" t="s">
        <v>184</v>
      </c>
      <c r="B36" s="19">
        <v>1</v>
      </c>
      <c r="C36" s="1" t="s">
        <v>31</v>
      </c>
      <c r="D36" s="1" t="s">
        <v>134</v>
      </c>
      <c r="I36" s="1" t="s">
        <v>212</v>
      </c>
      <c r="J36" s="1" t="s">
        <v>22</v>
      </c>
      <c r="K36" s="1" t="s">
        <v>59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1.6</v>
      </c>
      <c r="T36" s="19"/>
      <c r="U36" s="1">
        <v>0.08</v>
      </c>
      <c r="V36" s="1">
        <v>0.08</v>
      </c>
      <c r="Y36" s="1">
        <v>26.2</v>
      </c>
      <c r="Z36" s="1">
        <v>26.2</v>
      </c>
    </row>
    <row r="37" spans="1:29" s="1" customFormat="1" x14ac:dyDescent="0.25">
      <c r="A37" s="11" t="s">
        <v>184</v>
      </c>
      <c r="B37" s="19">
        <v>1</v>
      </c>
      <c r="C37" s="1" t="s">
        <v>32</v>
      </c>
      <c r="D37" s="1" t="s">
        <v>135</v>
      </c>
      <c r="I37" s="1" t="s">
        <v>212</v>
      </c>
      <c r="J37" s="1" t="s">
        <v>22</v>
      </c>
      <c r="K37" s="1" t="s">
        <v>59</v>
      </c>
      <c r="O37" s="1">
        <v>0.39</v>
      </c>
      <c r="P37" s="1">
        <v>0.42</v>
      </c>
      <c r="Q37" s="1">
        <v>0.4</v>
      </c>
      <c r="R37" s="1">
        <v>1</v>
      </c>
      <c r="S37" s="1">
        <v>1.6</v>
      </c>
      <c r="T37" s="19"/>
      <c r="U37" s="1">
        <v>0.12</v>
      </c>
      <c r="V37" s="1">
        <v>0.12</v>
      </c>
      <c r="Y37" s="1">
        <v>12.1</v>
      </c>
      <c r="Z37" s="1">
        <v>12.1</v>
      </c>
    </row>
    <row r="38" spans="1:29" s="1" customFormat="1" x14ac:dyDescent="0.25">
      <c r="A38" s="11" t="s">
        <v>184</v>
      </c>
      <c r="B38" s="19">
        <v>1</v>
      </c>
      <c r="C38" s="1" t="s">
        <v>28</v>
      </c>
      <c r="D38" s="1" t="s">
        <v>131</v>
      </c>
      <c r="I38" s="1" t="s">
        <v>212</v>
      </c>
      <c r="J38" s="1" t="s">
        <v>22</v>
      </c>
      <c r="K38" s="1" t="s">
        <v>59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1.6</v>
      </c>
      <c r="T38" s="19"/>
      <c r="U38" s="1">
        <v>0.04</v>
      </c>
      <c r="V38" s="1">
        <v>0.05</v>
      </c>
      <c r="Y38" s="1">
        <v>18</v>
      </c>
      <c r="Z38" s="1">
        <v>18</v>
      </c>
    </row>
    <row r="39" spans="1:29" s="1" customFormat="1" x14ac:dyDescent="0.25">
      <c r="A39" s="11" t="s">
        <v>184</v>
      </c>
      <c r="B39" s="19">
        <v>1</v>
      </c>
      <c r="C39" s="1" t="s">
        <v>27</v>
      </c>
      <c r="D39" s="1" t="s">
        <v>130</v>
      </c>
      <c r="I39" s="1" t="s">
        <v>212</v>
      </c>
      <c r="J39" s="1" t="s">
        <v>22</v>
      </c>
      <c r="K39" s="1" t="s">
        <v>59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1.6</v>
      </c>
      <c r="T39" s="19"/>
      <c r="U39" s="1">
        <v>0.04</v>
      </c>
      <c r="V39" s="1">
        <v>0.05</v>
      </c>
      <c r="Y39" s="1">
        <v>18</v>
      </c>
      <c r="Z39" s="1">
        <v>18</v>
      </c>
    </row>
    <row r="40" spans="1:29" s="1" customFormat="1" x14ac:dyDescent="0.25">
      <c r="A40" s="11" t="s">
        <v>184</v>
      </c>
      <c r="B40" s="19">
        <v>1</v>
      </c>
      <c r="C40" s="1" t="s">
        <v>191</v>
      </c>
      <c r="D40" s="1" t="s">
        <v>192</v>
      </c>
      <c r="J40" s="1" t="s">
        <v>44</v>
      </c>
      <c r="K40" s="1" t="s">
        <v>59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1.6</v>
      </c>
      <c r="T40" s="19"/>
      <c r="U40" s="1">
        <v>0.02</v>
      </c>
      <c r="V40" s="1">
        <v>0.05</v>
      </c>
      <c r="Y40" s="1">
        <v>30.9</v>
      </c>
      <c r="Z40" s="1">
        <v>30.9</v>
      </c>
    </row>
    <row r="41" spans="1:29" s="1" customFormat="1" x14ac:dyDescent="0.25">
      <c r="A41" s="11" t="s">
        <v>184</v>
      </c>
      <c r="B41" s="19">
        <v>1</v>
      </c>
      <c r="C41" s="1" t="s">
        <v>26</v>
      </c>
      <c r="D41" s="1" t="s">
        <v>129</v>
      </c>
      <c r="I41" s="1" t="s">
        <v>212</v>
      </c>
      <c r="J41" s="1" t="s">
        <v>22</v>
      </c>
      <c r="K41" s="1" t="s">
        <v>59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1.6</v>
      </c>
      <c r="T41" s="19"/>
      <c r="U41" s="1">
        <v>0.02</v>
      </c>
      <c r="V41" s="1">
        <v>0.05</v>
      </c>
      <c r="Y41" s="1">
        <v>30.9</v>
      </c>
      <c r="Z41" s="1">
        <v>30.9</v>
      </c>
    </row>
    <row r="42" spans="1:29" s="1" customFormat="1" x14ac:dyDescent="0.25">
      <c r="A42" s="11" t="s">
        <v>184</v>
      </c>
      <c r="B42" s="19">
        <v>1</v>
      </c>
      <c r="C42" s="1" t="s">
        <v>25</v>
      </c>
      <c r="D42" s="1" t="s">
        <v>128</v>
      </c>
      <c r="I42" s="1" t="s">
        <v>212</v>
      </c>
      <c r="J42" s="1" t="s">
        <v>22</v>
      </c>
      <c r="K42" s="1" t="s">
        <v>59</v>
      </c>
      <c r="O42" s="1">
        <v>0.37</v>
      </c>
      <c r="P42" s="1">
        <v>0.4</v>
      </c>
      <c r="Q42" s="1">
        <v>0.5</v>
      </c>
      <c r="R42" s="1">
        <v>1</v>
      </c>
      <c r="S42" s="1">
        <v>1.6</v>
      </c>
      <c r="T42" s="19"/>
      <c r="U42" s="1">
        <v>0.02</v>
      </c>
      <c r="V42" s="1">
        <v>0.05</v>
      </c>
      <c r="Y42" s="1">
        <v>39.5</v>
      </c>
      <c r="Z42" s="1">
        <v>39.5</v>
      </c>
    </row>
    <row r="43" spans="1:29" s="1" customFormat="1" x14ac:dyDescent="0.25">
      <c r="A43" s="11" t="s">
        <v>184</v>
      </c>
      <c r="B43" s="19">
        <v>1</v>
      </c>
      <c r="C43" s="1" t="s">
        <v>29</v>
      </c>
      <c r="D43" s="1" t="s">
        <v>132</v>
      </c>
      <c r="I43" s="1" t="s">
        <v>212</v>
      </c>
      <c r="J43" s="1" t="s">
        <v>22</v>
      </c>
      <c r="K43" s="1" t="s">
        <v>59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1.6</v>
      </c>
      <c r="T43" s="19"/>
      <c r="U43" s="1">
        <v>0.04</v>
      </c>
      <c r="V43" s="1">
        <v>0.05</v>
      </c>
      <c r="Y43" s="1">
        <v>18</v>
      </c>
      <c r="Z43" s="1">
        <v>18</v>
      </c>
    </row>
    <row r="44" spans="1:29" x14ac:dyDescent="0.25">
      <c r="A44" s="10" t="s">
        <v>229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  <c r="AC44" s="9"/>
    </row>
    <row r="45" spans="1:29" s="1" customFormat="1" x14ac:dyDescent="0.25">
      <c r="A45" s="11" t="s">
        <v>184</v>
      </c>
      <c r="B45" s="19">
        <v>1</v>
      </c>
      <c r="C45" s="1" t="s">
        <v>11</v>
      </c>
      <c r="D45" s="1" t="s">
        <v>181</v>
      </c>
      <c r="I45" s="1" t="s">
        <v>212</v>
      </c>
      <c r="J45" s="1" t="s">
        <v>7</v>
      </c>
      <c r="K45" s="1" t="s">
        <v>59</v>
      </c>
      <c r="L45" s="1" t="s">
        <v>102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</row>
    <row r="46" spans="1:29" s="1" customFormat="1" x14ac:dyDescent="0.25">
      <c r="A46" s="11" t="s">
        <v>184</v>
      </c>
      <c r="B46" s="19">
        <v>1</v>
      </c>
      <c r="C46" s="1" t="s">
        <v>30</v>
      </c>
      <c r="D46" s="1" t="s">
        <v>133</v>
      </c>
      <c r="I46" s="1" t="s">
        <v>212</v>
      </c>
      <c r="J46" s="1" t="s">
        <v>22</v>
      </c>
      <c r="K46" s="1" t="s">
        <v>59</v>
      </c>
      <c r="L46" s="1" t="s">
        <v>102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</row>
    <row r="47" spans="1:29" x14ac:dyDescent="0.25">
      <c r="A47" s="10" t="s">
        <v>224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  <c r="AC47" s="9"/>
    </row>
    <row r="48" spans="1:29" s="1" customFormat="1" x14ac:dyDescent="0.25">
      <c r="A48" s="11" t="s">
        <v>184</v>
      </c>
      <c r="B48" s="19">
        <v>1</v>
      </c>
      <c r="C48" s="1" t="s">
        <v>5</v>
      </c>
      <c r="D48" s="1" t="s">
        <v>113</v>
      </c>
      <c r="J48" s="1" t="s">
        <v>5</v>
      </c>
      <c r="K48" s="1" t="s">
        <v>59</v>
      </c>
      <c r="O48" s="13">
        <v>0.33</v>
      </c>
      <c r="P48" s="13">
        <v>0.33</v>
      </c>
      <c r="Q48" s="1">
        <v>0.95</v>
      </c>
      <c r="R48" s="1">
        <v>1</v>
      </c>
      <c r="S48" s="13">
        <v>5</v>
      </c>
      <c r="T48" s="23"/>
      <c r="U48" s="1">
        <v>0.05</v>
      </c>
      <c r="V48" s="1">
        <v>0.05</v>
      </c>
      <c r="Y48" s="13">
        <v>40</v>
      </c>
      <c r="Z48" s="13">
        <v>360</v>
      </c>
      <c r="AC48" s="1" t="s">
        <v>234</v>
      </c>
    </row>
    <row r="49" spans="1:29" s="1" customFormat="1" x14ac:dyDescent="0.25">
      <c r="A49" s="11" t="s">
        <v>184</v>
      </c>
      <c r="B49" s="19">
        <v>1</v>
      </c>
      <c r="C49" s="1" t="s">
        <v>244</v>
      </c>
      <c r="D49" s="1" t="s">
        <v>235</v>
      </c>
      <c r="J49" s="1" t="s">
        <v>5</v>
      </c>
      <c r="K49" s="1" t="s">
        <v>59</v>
      </c>
      <c r="O49" s="13">
        <v>0.33</v>
      </c>
      <c r="P49" s="13">
        <v>0.33</v>
      </c>
      <c r="Q49" s="1">
        <v>0.95</v>
      </c>
      <c r="R49" s="1">
        <v>1</v>
      </c>
      <c r="S49" s="13">
        <v>5</v>
      </c>
      <c r="T49" s="23"/>
      <c r="U49" s="1">
        <v>0.05</v>
      </c>
      <c r="V49" s="1">
        <v>0.05</v>
      </c>
      <c r="Y49" s="13">
        <v>5</v>
      </c>
      <c r="Z49" s="13">
        <v>45</v>
      </c>
      <c r="AC49" s="1" t="s">
        <v>236</v>
      </c>
    </row>
    <row r="50" spans="1:29" s="1" customFormat="1" x14ac:dyDescent="0.25">
      <c r="A50" s="14" t="s">
        <v>230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  <c r="AC50" s="15"/>
    </row>
    <row r="51" spans="1:29" s="1" customFormat="1" x14ac:dyDescent="0.25">
      <c r="A51" s="11" t="s">
        <v>184</v>
      </c>
      <c r="B51" s="19">
        <v>1</v>
      </c>
      <c r="C51" s="1" t="s">
        <v>203</v>
      </c>
      <c r="D51" s="1" t="s">
        <v>204</v>
      </c>
      <c r="J51" s="1" t="s">
        <v>44</v>
      </c>
      <c r="K51" s="1" t="s">
        <v>59</v>
      </c>
      <c r="L51" s="1" t="s">
        <v>194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</row>
    <row r="52" spans="1:29" s="1" customFormat="1" x14ac:dyDescent="0.25">
      <c r="A52" s="11" t="s">
        <v>184</v>
      </c>
      <c r="B52" s="19">
        <v>1</v>
      </c>
      <c r="C52" s="1" t="s">
        <v>202</v>
      </c>
      <c r="D52" s="1" t="s">
        <v>205</v>
      </c>
      <c r="I52" s="1" t="s">
        <v>212</v>
      </c>
      <c r="J52" s="1" t="s">
        <v>7</v>
      </c>
      <c r="K52" s="1" t="s">
        <v>59</v>
      </c>
      <c r="L52" s="1" t="s">
        <v>194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</row>
    <row r="53" spans="1:29" s="1" customFormat="1" x14ac:dyDescent="0.25">
      <c r="A53" s="11" t="s">
        <v>184</v>
      </c>
      <c r="B53" s="19">
        <v>1</v>
      </c>
      <c r="C53" s="1" t="s">
        <v>206</v>
      </c>
      <c r="D53" s="1" t="s">
        <v>207</v>
      </c>
      <c r="I53" s="1" t="s">
        <v>212</v>
      </c>
      <c r="J53" s="1" t="s">
        <v>22</v>
      </c>
      <c r="K53" s="1" t="s">
        <v>59</v>
      </c>
      <c r="L53" s="1" t="s">
        <v>194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</row>
    <row r="54" spans="1:29" s="1" customFormat="1" x14ac:dyDescent="0.25">
      <c r="A54" s="14" t="s">
        <v>231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  <c r="AC54" s="15"/>
    </row>
    <row r="55" spans="1:29" s="1" customFormat="1" x14ac:dyDescent="0.25">
      <c r="A55" s="11" t="s">
        <v>184</v>
      </c>
      <c r="B55" s="19">
        <v>1</v>
      </c>
      <c r="C55" s="1" t="s">
        <v>95</v>
      </c>
      <c r="D55" s="1" t="s">
        <v>157</v>
      </c>
      <c r="J55" s="1" t="s">
        <v>62</v>
      </c>
      <c r="K55" s="1" t="s">
        <v>59</v>
      </c>
      <c r="O55" s="1">
        <v>0.94</v>
      </c>
      <c r="Q55" s="1">
        <v>1</v>
      </c>
      <c r="S55" s="1">
        <v>1.2</v>
      </c>
      <c r="T55" s="19"/>
      <c r="AA55" s="1">
        <v>4</v>
      </c>
      <c r="AC55" s="1" t="s">
        <v>245</v>
      </c>
    </row>
    <row r="56" spans="1:29" s="1" customFormat="1" x14ac:dyDescent="0.25">
      <c r="A56" s="11" t="s">
        <v>184</v>
      </c>
      <c r="B56" s="19">
        <v>1</v>
      </c>
      <c r="C56" s="1" t="s">
        <v>61</v>
      </c>
      <c r="D56" s="1" t="s">
        <v>156</v>
      </c>
      <c r="J56" s="1" t="s">
        <v>62</v>
      </c>
      <c r="K56" s="1" t="s">
        <v>59</v>
      </c>
      <c r="O56" s="1">
        <v>0.94</v>
      </c>
      <c r="Q56" s="1">
        <v>1</v>
      </c>
      <c r="S56" s="1">
        <v>1</v>
      </c>
      <c r="T56" s="19"/>
      <c r="AA56" s="1">
        <v>2</v>
      </c>
    </row>
    <row r="57" spans="1:29" s="1" customFormat="1" x14ac:dyDescent="0.25">
      <c r="A57" s="11" t="s">
        <v>184</v>
      </c>
      <c r="B57" s="19">
        <v>1</v>
      </c>
      <c r="C57" s="1" t="s">
        <v>96</v>
      </c>
      <c r="D57" s="1" t="s">
        <v>159</v>
      </c>
      <c r="J57" s="1" t="s">
        <v>59</v>
      </c>
      <c r="K57" s="1" t="s">
        <v>62</v>
      </c>
      <c r="O57" s="1">
        <v>0.94</v>
      </c>
      <c r="Q57" s="1">
        <v>1</v>
      </c>
      <c r="S57" s="1">
        <v>1.2</v>
      </c>
      <c r="T57" s="19"/>
    </row>
    <row r="58" spans="1:29" s="1" customFormat="1" x14ac:dyDescent="0.25">
      <c r="A58" s="1" t="s">
        <v>184</v>
      </c>
      <c r="B58" s="19">
        <v>1</v>
      </c>
      <c r="C58" s="1" t="s">
        <v>63</v>
      </c>
      <c r="D58" s="1" t="s">
        <v>158</v>
      </c>
      <c r="J58" s="1" t="s">
        <v>59</v>
      </c>
      <c r="K58" s="1" t="s">
        <v>62</v>
      </c>
      <c r="O58" s="1">
        <v>0.94</v>
      </c>
      <c r="Q58" s="1">
        <v>1</v>
      </c>
      <c r="S58" s="1">
        <v>1</v>
      </c>
      <c r="T58" s="19"/>
    </row>
    <row r="59" spans="1:29" s="1" customFormat="1" x14ac:dyDescent="0.25">
      <c r="A59" s="14" t="s">
        <v>227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  <c r="AC59" s="15"/>
    </row>
    <row r="60" spans="1:29" s="1" customFormat="1" x14ac:dyDescent="0.25">
      <c r="A60" s="11" t="s">
        <v>184</v>
      </c>
      <c r="B60" s="19">
        <v>1</v>
      </c>
      <c r="C60" s="1" t="s">
        <v>106</v>
      </c>
      <c r="D60" s="1" t="s">
        <v>180</v>
      </c>
      <c r="G60" s="1" t="s">
        <v>107</v>
      </c>
      <c r="J60" s="1" t="s">
        <v>6</v>
      </c>
      <c r="K60" s="1" t="s">
        <v>185</v>
      </c>
      <c r="O60" s="1">
        <v>1</v>
      </c>
      <c r="P60" s="1">
        <v>1</v>
      </c>
      <c r="Q60" s="1">
        <v>0</v>
      </c>
      <c r="R60" s="1">
        <v>1</v>
      </c>
      <c r="T60" s="19"/>
    </row>
    <row r="61" spans="1:29" s="1" customFormat="1" x14ac:dyDescent="0.25">
      <c r="A61" s="11" t="s">
        <v>184</v>
      </c>
      <c r="B61" s="19">
        <v>1</v>
      </c>
      <c r="C61" s="1" t="s">
        <v>58</v>
      </c>
      <c r="D61" s="1" t="s">
        <v>154</v>
      </c>
      <c r="J61" s="1" t="s">
        <v>59</v>
      </c>
      <c r="K61" s="1" t="s">
        <v>185</v>
      </c>
      <c r="O61" s="1">
        <v>2.8</v>
      </c>
      <c r="P61" s="1">
        <v>2.8</v>
      </c>
      <c r="Q61" s="1">
        <v>0</v>
      </c>
      <c r="R61" s="1">
        <v>1</v>
      </c>
      <c r="S61" s="1">
        <v>6</v>
      </c>
      <c r="T61" s="19">
        <v>20</v>
      </c>
      <c r="AC61" s="1" t="s">
        <v>237</v>
      </c>
    </row>
    <row r="62" spans="1:29" s="1" customFormat="1" x14ac:dyDescent="0.25">
      <c r="A62" s="11" t="s">
        <v>184</v>
      </c>
      <c r="B62" s="19">
        <v>1</v>
      </c>
      <c r="C62" s="1" t="s">
        <v>85</v>
      </c>
      <c r="D62" s="1" t="s">
        <v>147</v>
      </c>
      <c r="I62" s="1" t="s">
        <v>212</v>
      </c>
      <c r="J62" s="1" t="s">
        <v>48</v>
      </c>
      <c r="K62" s="1" t="s">
        <v>185</v>
      </c>
      <c r="O62" s="1">
        <v>0.9</v>
      </c>
      <c r="P62" s="1">
        <v>0.9</v>
      </c>
      <c r="Q62" s="1">
        <v>0</v>
      </c>
      <c r="R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</row>
    <row r="63" spans="1:29" s="1" customFormat="1" x14ac:dyDescent="0.25">
      <c r="A63" s="11" t="s">
        <v>184</v>
      </c>
      <c r="B63" s="19">
        <v>1</v>
      </c>
      <c r="C63" s="1" t="s">
        <v>42</v>
      </c>
      <c r="D63" s="1" t="s">
        <v>145</v>
      </c>
      <c r="I63" s="1" t="s">
        <v>212</v>
      </c>
      <c r="J63" s="1" t="s">
        <v>34</v>
      </c>
      <c r="K63" s="1" t="s">
        <v>185</v>
      </c>
      <c r="O63" s="1">
        <v>0.9</v>
      </c>
      <c r="P63" s="1">
        <v>0.9</v>
      </c>
      <c r="Q63" s="1">
        <v>0</v>
      </c>
      <c r="R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</row>
    <row r="64" spans="1:29" s="1" customFormat="1" x14ac:dyDescent="0.25">
      <c r="A64" s="11" t="s">
        <v>184</v>
      </c>
      <c r="B64" s="19">
        <v>1</v>
      </c>
      <c r="C64" s="1" t="s">
        <v>43</v>
      </c>
      <c r="D64" s="1" t="s">
        <v>138</v>
      </c>
      <c r="I64" s="1" t="s">
        <v>212</v>
      </c>
      <c r="J64" s="1" t="s">
        <v>22</v>
      </c>
      <c r="K64" s="1" t="s">
        <v>185</v>
      </c>
      <c r="O64" s="1">
        <v>0.9</v>
      </c>
      <c r="P64" s="1">
        <v>0.9</v>
      </c>
      <c r="Q64" s="1">
        <v>0</v>
      </c>
      <c r="R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</row>
    <row r="65" spans="1:29" s="1" customFormat="1" x14ac:dyDescent="0.25">
      <c r="A65" s="11" t="s">
        <v>184</v>
      </c>
      <c r="B65" s="19">
        <v>1</v>
      </c>
      <c r="C65" s="1" t="s">
        <v>45</v>
      </c>
      <c r="D65" s="1" t="s">
        <v>148</v>
      </c>
      <c r="J65" s="1" t="s">
        <v>44</v>
      </c>
      <c r="K65" s="1" t="s">
        <v>185</v>
      </c>
      <c r="O65" s="1">
        <v>0.9</v>
      </c>
      <c r="P65" s="1">
        <v>0.9</v>
      </c>
      <c r="Q65" s="1">
        <v>0</v>
      </c>
      <c r="R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</row>
    <row r="66" spans="1:29" s="1" customFormat="1" x14ac:dyDescent="0.25">
      <c r="A66" s="11" t="s">
        <v>184</v>
      </c>
      <c r="B66" s="19">
        <v>1</v>
      </c>
      <c r="C66" s="1" t="s">
        <v>60</v>
      </c>
      <c r="D66" s="1" t="s">
        <v>155</v>
      </c>
      <c r="J66" s="1" t="s">
        <v>59</v>
      </c>
      <c r="K66" s="1" t="s">
        <v>185</v>
      </c>
      <c r="O66" s="1">
        <v>0.98</v>
      </c>
      <c r="P66" s="1">
        <v>0.98</v>
      </c>
      <c r="Q66" s="1">
        <v>0</v>
      </c>
      <c r="R66" s="1">
        <v>1</v>
      </c>
      <c r="S66" s="1">
        <v>13</v>
      </c>
      <c r="T66" s="19">
        <v>20</v>
      </c>
      <c r="AC66" s="1" t="s">
        <v>237</v>
      </c>
    </row>
    <row r="67" spans="1:29" s="1" customFormat="1" x14ac:dyDescent="0.25">
      <c r="A67" s="11" t="s">
        <v>184</v>
      </c>
      <c r="B67" s="19">
        <v>1</v>
      </c>
      <c r="C67" s="1" t="s">
        <v>49</v>
      </c>
      <c r="D67" s="1" t="s">
        <v>146</v>
      </c>
      <c r="I67" s="1" t="s">
        <v>212</v>
      </c>
      <c r="J67" s="1" t="s">
        <v>48</v>
      </c>
      <c r="K67" s="1" t="s">
        <v>59</v>
      </c>
      <c r="L67" s="1" t="s">
        <v>185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</row>
    <row r="68" spans="1:29" s="1" customFormat="1" x14ac:dyDescent="0.25">
      <c r="A68" s="11" t="s">
        <v>184</v>
      </c>
      <c r="B68" s="19">
        <v>1</v>
      </c>
      <c r="C68" s="1" t="s">
        <v>47</v>
      </c>
      <c r="D68" s="1" t="s">
        <v>125</v>
      </c>
      <c r="I68" s="1" t="s">
        <v>212</v>
      </c>
      <c r="J68" s="1" t="s">
        <v>7</v>
      </c>
      <c r="K68" s="1" t="s">
        <v>59</v>
      </c>
      <c r="L68" s="1" t="s">
        <v>185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</row>
    <row r="69" spans="1:29" s="1" customFormat="1" x14ac:dyDescent="0.25">
      <c r="A69" s="11" t="s">
        <v>184</v>
      </c>
      <c r="B69" s="19">
        <v>1</v>
      </c>
      <c r="C69" s="1" t="s">
        <v>46</v>
      </c>
      <c r="D69" s="1" t="s">
        <v>149</v>
      </c>
      <c r="J69" s="1" t="s">
        <v>44</v>
      </c>
      <c r="K69" s="1" t="s">
        <v>59</v>
      </c>
      <c r="L69" s="1" t="s">
        <v>185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</row>
    <row r="70" spans="1:29" s="1" customFormat="1" x14ac:dyDescent="0.25">
      <c r="A70" s="11" t="s">
        <v>184</v>
      </c>
      <c r="B70" s="19">
        <v>1</v>
      </c>
      <c r="C70" s="1" t="s">
        <v>41</v>
      </c>
      <c r="D70" s="1" t="s">
        <v>136</v>
      </c>
      <c r="I70" s="1" t="s">
        <v>212</v>
      </c>
      <c r="J70" s="1" t="s">
        <v>22</v>
      </c>
      <c r="K70" s="1" t="s">
        <v>59</v>
      </c>
      <c r="L70" s="1" t="s">
        <v>185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</row>
    <row r="71" spans="1:29" s="1" customFormat="1" x14ac:dyDescent="0.25">
      <c r="A71" s="1" t="s">
        <v>184</v>
      </c>
      <c r="B71" s="19">
        <v>1</v>
      </c>
      <c r="C71" s="1" t="s">
        <v>213</v>
      </c>
      <c r="D71" s="1" t="s">
        <v>214</v>
      </c>
      <c r="I71" s="1" t="s">
        <v>212</v>
      </c>
      <c r="J71" s="1" t="s">
        <v>7</v>
      </c>
      <c r="K71" s="1" t="s">
        <v>185</v>
      </c>
      <c r="O71" s="1">
        <v>0.9</v>
      </c>
      <c r="P71" s="1">
        <v>0.9</v>
      </c>
      <c r="Q71" s="1">
        <v>0</v>
      </c>
      <c r="R71" s="1">
        <v>1</v>
      </c>
      <c r="S71" s="1">
        <v>2</v>
      </c>
      <c r="T71" s="19"/>
      <c r="U71" s="1">
        <v>0.05</v>
      </c>
      <c r="V71" s="1">
        <v>0.05</v>
      </c>
    </row>
    <row r="72" spans="1:29" s="1" customFormat="1" x14ac:dyDescent="0.25">
      <c r="A72" s="1" t="s">
        <v>184</v>
      </c>
      <c r="B72" s="19">
        <v>1</v>
      </c>
      <c r="C72" s="1" t="s">
        <v>215</v>
      </c>
      <c r="D72" s="1" t="s">
        <v>216</v>
      </c>
      <c r="I72" s="1" t="s">
        <v>212</v>
      </c>
      <c r="J72" s="1" t="s">
        <v>7</v>
      </c>
      <c r="K72" s="1" t="s">
        <v>59</v>
      </c>
      <c r="L72" s="1" t="s">
        <v>185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</row>
    <row r="73" spans="1:29" s="1" customFormat="1" x14ac:dyDescent="0.25">
      <c r="A73" s="1" t="s">
        <v>184</v>
      </c>
      <c r="B73" s="19">
        <v>1</v>
      </c>
      <c r="C73" s="1" t="s">
        <v>217</v>
      </c>
      <c r="D73" s="1" t="s">
        <v>218</v>
      </c>
      <c r="J73" s="1" t="s">
        <v>44</v>
      </c>
      <c r="K73" s="1" t="s">
        <v>59</v>
      </c>
      <c r="L73" s="1" t="s">
        <v>185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</row>
    <row r="74" spans="1:29" s="1" customFormat="1" x14ac:dyDescent="0.25">
      <c r="A74" s="1" t="s">
        <v>184</v>
      </c>
      <c r="B74" s="19">
        <v>1</v>
      </c>
      <c r="C74" s="1" t="s">
        <v>219</v>
      </c>
      <c r="D74" s="1" t="s">
        <v>220</v>
      </c>
      <c r="I74" s="1" t="s">
        <v>212</v>
      </c>
      <c r="J74" s="1" t="s">
        <v>22</v>
      </c>
      <c r="K74" s="1" t="s">
        <v>59</v>
      </c>
      <c r="L74" s="1" t="s">
        <v>185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</row>
    <row r="75" spans="1:29" s="1" customFormat="1" x14ac:dyDescent="0.25">
      <c r="A75" s="11" t="s">
        <v>184</v>
      </c>
      <c r="B75" s="19">
        <v>1</v>
      </c>
      <c r="C75" s="1" t="s">
        <v>208</v>
      </c>
      <c r="D75" s="1" t="s">
        <v>209</v>
      </c>
      <c r="I75" s="1" t="s">
        <v>212</v>
      </c>
      <c r="J75" s="1" t="s">
        <v>37</v>
      </c>
      <c r="K75" s="1" t="s">
        <v>59</v>
      </c>
      <c r="L75" s="1" t="s">
        <v>185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</row>
    <row r="76" spans="1:29" s="1" customFormat="1" x14ac:dyDescent="0.25">
      <c r="A76" s="11" t="s">
        <v>184</v>
      </c>
      <c r="B76" s="19">
        <v>1</v>
      </c>
      <c r="C76" s="1" t="s">
        <v>84</v>
      </c>
      <c r="D76" s="1" t="s">
        <v>137</v>
      </c>
      <c r="I76" s="1" t="s">
        <v>212</v>
      </c>
      <c r="J76" s="1" t="s">
        <v>22</v>
      </c>
      <c r="K76" s="1" t="s">
        <v>59</v>
      </c>
      <c r="L76" s="1" t="s">
        <v>185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</row>
    <row r="77" spans="1:29" s="1" customFormat="1" x14ac:dyDescent="0.25">
      <c r="A77" s="11" t="s">
        <v>184</v>
      </c>
      <c r="B77" s="19">
        <v>1</v>
      </c>
      <c r="C77" s="1" t="s">
        <v>74</v>
      </c>
      <c r="D77" s="1" t="s">
        <v>174</v>
      </c>
      <c r="J77" s="1" t="s">
        <v>75</v>
      </c>
      <c r="K77" s="1" t="s">
        <v>185</v>
      </c>
      <c r="O77" s="1">
        <v>0.99</v>
      </c>
      <c r="Q77" s="1">
        <v>1</v>
      </c>
      <c r="S77" s="1">
        <v>1</v>
      </c>
      <c r="T77" s="19"/>
      <c r="AA77" s="1">
        <v>10</v>
      </c>
    </row>
    <row r="78" spans="1:29" s="1" customFormat="1" x14ac:dyDescent="0.25">
      <c r="A78" s="11" t="s">
        <v>184</v>
      </c>
      <c r="B78" s="19">
        <v>1</v>
      </c>
      <c r="C78" s="1" t="s">
        <v>76</v>
      </c>
      <c r="D78" s="1" t="s">
        <v>175</v>
      </c>
      <c r="J78" s="1" t="s">
        <v>185</v>
      </c>
      <c r="K78" s="1" t="s">
        <v>75</v>
      </c>
      <c r="O78" s="1">
        <v>0.99</v>
      </c>
      <c r="Q78" s="1">
        <v>1</v>
      </c>
      <c r="S78" s="1">
        <v>1</v>
      </c>
      <c r="T78" s="19"/>
    </row>
    <row r="79" spans="1:29" s="1" customFormat="1" x14ac:dyDescent="0.25">
      <c r="A79" s="11" t="s">
        <v>184</v>
      </c>
      <c r="B79" s="19">
        <v>1</v>
      </c>
      <c r="C79" s="1" t="s">
        <v>79</v>
      </c>
      <c r="D79" s="1" t="s">
        <v>176</v>
      </c>
      <c r="J79" s="1" t="s">
        <v>82</v>
      </c>
      <c r="K79" s="1" t="s">
        <v>185</v>
      </c>
      <c r="O79" s="1">
        <v>0.99</v>
      </c>
      <c r="Q79" s="1">
        <v>1</v>
      </c>
      <c r="S79" s="1">
        <v>1.5</v>
      </c>
      <c r="T79" s="19"/>
      <c r="AA79" s="1">
        <v>100</v>
      </c>
      <c r="AC79" s="1" t="s">
        <v>242</v>
      </c>
    </row>
    <row r="80" spans="1:29" s="1" customFormat="1" x14ac:dyDescent="0.25">
      <c r="A80" s="11" t="s">
        <v>184</v>
      </c>
      <c r="B80" s="19">
        <v>1</v>
      </c>
      <c r="C80" s="1" t="s">
        <v>78</v>
      </c>
      <c r="D80" s="1" t="s">
        <v>177</v>
      </c>
      <c r="J80" s="1" t="s">
        <v>185</v>
      </c>
      <c r="K80" s="1" t="s">
        <v>82</v>
      </c>
      <c r="O80" s="1">
        <v>0.99</v>
      </c>
      <c r="Q80" s="1">
        <v>1</v>
      </c>
      <c r="S80" s="1">
        <v>1.5</v>
      </c>
      <c r="T80" s="19"/>
    </row>
    <row r="81" spans="1:29" s="1" customFormat="1" x14ac:dyDescent="0.25">
      <c r="A81" s="11" t="s">
        <v>184</v>
      </c>
      <c r="B81" s="19">
        <v>1</v>
      </c>
      <c r="C81" s="1" t="s">
        <v>81</v>
      </c>
      <c r="D81" s="1" t="s">
        <v>178</v>
      </c>
      <c r="J81" s="1" t="s">
        <v>83</v>
      </c>
      <c r="K81" s="1" t="s">
        <v>185</v>
      </c>
      <c r="O81" s="1">
        <v>0.99</v>
      </c>
      <c r="Q81" s="1">
        <v>1</v>
      </c>
      <c r="S81" s="1">
        <v>2</v>
      </c>
      <c r="T81" s="19"/>
      <c r="AA81" s="1">
        <v>450</v>
      </c>
    </row>
    <row r="82" spans="1:29" s="1" customFormat="1" x14ac:dyDescent="0.25">
      <c r="A82" s="11" t="s">
        <v>184</v>
      </c>
      <c r="B82" s="19">
        <v>1</v>
      </c>
      <c r="C82" s="1" t="s">
        <v>80</v>
      </c>
      <c r="D82" s="1" t="s">
        <v>179</v>
      </c>
      <c r="J82" s="1" t="s">
        <v>185</v>
      </c>
      <c r="K82" s="1" t="s">
        <v>83</v>
      </c>
      <c r="O82" s="1">
        <v>0.99</v>
      </c>
      <c r="Q82" s="1">
        <v>1</v>
      </c>
      <c r="S82" s="1">
        <v>2</v>
      </c>
      <c r="T82" s="19"/>
    </row>
    <row r="83" spans="1:29" s="1" customFormat="1" x14ac:dyDescent="0.25">
      <c r="A83" s="14" t="s">
        <v>226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  <c r="AC83" s="15"/>
    </row>
    <row r="84" spans="1:29" s="1" customFormat="1" x14ac:dyDescent="0.25">
      <c r="A84" s="11" t="s">
        <v>184</v>
      </c>
      <c r="B84" s="19">
        <v>1</v>
      </c>
      <c r="C84" s="1" t="s">
        <v>73</v>
      </c>
      <c r="D84" s="1" t="s">
        <v>173</v>
      </c>
      <c r="F84" s="1" t="b">
        <v>1</v>
      </c>
      <c r="J84" s="1" t="s">
        <v>59</v>
      </c>
      <c r="K84" s="1" t="s">
        <v>6</v>
      </c>
      <c r="O84" s="1">
        <v>1</v>
      </c>
      <c r="Q84" s="1">
        <v>1</v>
      </c>
      <c r="T84" s="19">
        <v>10</v>
      </c>
    </row>
    <row r="85" spans="1:29" s="1" customFormat="1" x14ac:dyDescent="0.25">
      <c r="A85" s="11" t="s">
        <v>184</v>
      </c>
      <c r="B85" s="19">
        <v>1</v>
      </c>
      <c r="C85" s="1" t="s">
        <v>72</v>
      </c>
      <c r="D85" s="1" t="s">
        <v>172</v>
      </c>
      <c r="F85" s="1" t="b">
        <v>1</v>
      </c>
      <c r="J85" s="1" t="s">
        <v>59</v>
      </c>
      <c r="K85" s="1" t="s">
        <v>6</v>
      </c>
      <c r="O85" s="1">
        <v>1</v>
      </c>
      <c r="Q85" s="1">
        <v>1</v>
      </c>
      <c r="T85" s="19">
        <v>20</v>
      </c>
    </row>
    <row r="86" spans="1:29" s="1" customFormat="1" x14ac:dyDescent="0.25">
      <c r="A86" s="11" t="s">
        <v>184</v>
      </c>
      <c r="B86" s="19">
        <v>1</v>
      </c>
      <c r="C86" s="1" t="s">
        <v>71</v>
      </c>
      <c r="D86" s="1" t="s">
        <v>171</v>
      </c>
      <c r="E86" s="1" t="b">
        <v>1</v>
      </c>
      <c r="J86" s="1" t="s">
        <v>6</v>
      </c>
      <c r="K86" s="1" t="s">
        <v>59</v>
      </c>
      <c r="O86" s="1">
        <v>1</v>
      </c>
      <c r="Q86" s="1">
        <v>1</v>
      </c>
      <c r="S86" s="1">
        <v>2000</v>
      </c>
      <c r="T86" s="19"/>
    </row>
    <row r="87" spans="1:29" s="1" customFormat="1" x14ac:dyDescent="0.25">
      <c r="A87" s="11" t="s">
        <v>184</v>
      </c>
      <c r="B87" s="19">
        <v>1</v>
      </c>
      <c r="C87" s="1" t="s">
        <v>70</v>
      </c>
      <c r="D87" s="1" t="s">
        <v>170</v>
      </c>
      <c r="E87" s="1" t="b">
        <v>1</v>
      </c>
      <c r="J87" s="1" t="s">
        <v>6</v>
      </c>
      <c r="K87" s="1" t="s">
        <v>59</v>
      </c>
      <c r="O87" s="1">
        <v>1</v>
      </c>
      <c r="Q87" s="1">
        <v>1</v>
      </c>
      <c r="S87" s="1">
        <v>1000</v>
      </c>
      <c r="T87" s="19"/>
    </row>
    <row r="88" spans="1:29" s="1" customFormat="1" x14ac:dyDescent="0.25">
      <c r="A88" s="11" t="s">
        <v>184</v>
      </c>
      <c r="B88" s="19">
        <v>1</v>
      </c>
      <c r="C88" s="1" t="s">
        <v>69</v>
      </c>
      <c r="D88" s="1" t="s">
        <v>169</v>
      </c>
      <c r="E88" s="1" t="b">
        <v>1</v>
      </c>
      <c r="J88" s="1" t="s">
        <v>6</v>
      </c>
      <c r="K88" s="1" t="s">
        <v>59</v>
      </c>
      <c r="O88" s="1">
        <v>1</v>
      </c>
      <c r="Q88" s="1">
        <v>1</v>
      </c>
      <c r="S88" s="1">
        <v>400</v>
      </c>
      <c r="T88" s="19"/>
    </row>
    <row r="89" spans="1:29" s="1" customFormat="1" x14ac:dyDescent="0.25">
      <c r="A89" s="14" t="s">
        <v>225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s="1" customFormat="1" x14ac:dyDescent="0.25">
      <c r="A90" s="11" t="s">
        <v>184</v>
      </c>
      <c r="B90" s="19">
        <v>1</v>
      </c>
      <c r="C90" s="1" t="s">
        <v>86</v>
      </c>
      <c r="D90" s="1" t="s">
        <v>86</v>
      </c>
      <c r="J90" s="1" t="s">
        <v>59</v>
      </c>
      <c r="K90" s="1" t="s">
        <v>67</v>
      </c>
      <c r="O90" s="1">
        <v>0.61</v>
      </c>
      <c r="Q90" s="1">
        <v>1</v>
      </c>
      <c r="S90" s="1">
        <v>1</v>
      </c>
      <c r="T90" s="19"/>
      <c r="Y90" s="1">
        <v>15</v>
      </c>
      <c r="Z90" s="1">
        <v>15</v>
      </c>
      <c r="AC90" s="1" t="s">
        <v>240</v>
      </c>
    </row>
    <row r="91" spans="1:29" s="1" customFormat="1" x14ac:dyDescent="0.25">
      <c r="A91" s="11" t="s">
        <v>184</v>
      </c>
      <c r="B91" s="19">
        <v>1</v>
      </c>
      <c r="C91" s="1" t="s">
        <v>238</v>
      </c>
      <c r="D91" s="1" t="s">
        <v>239</v>
      </c>
      <c r="J91" s="1" t="s">
        <v>59</v>
      </c>
      <c r="K91" s="1" t="s">
        <v>67</v>
      </c>
      <c r="O91" s="1">
        <v>0.8</v>
      </c>
      <c r="Q91" s="1">
        <v>1</v>
      </c>
      <c r="S91" s="1">
        <v>1</v>
      </c>
      <c r="T91" s="19"/>
      <c r="Y91" s="1">
        <v>25</v>
      </c>
      <c r="Z91" s="1">
        <v>25</v>
      </c>
      <c r="AC91" s="1" t="s">
        <v>241</v>
      </c>
    </row>
    <row r="92" spans="1:29" s="1" customFormat="1" x14ac:dyDescent="0.25">
      <c r="A92" s="11" t="s">
        <v>184</v>
      </c>
      <c r="B92" s="19">
        <v>1</v>
      </c>
      <c r="C92" s="1" t="s">
        <v>68</v>
      </c>
      <c r="D92" s="1" t="s">
        <v>164</v>
      </c>
      <c r="J92" s="1" t="s">
        <v>67</v>
      </c>
      <c r="K92" s="1" t="s">
        <v>59</v>
      </c>
      <c r="O92" s="1">
        <f>P92-0.03</f>
        <v>0.31999999999999995</v>
      </c>
      <c r="P92" s="1">
        <v>0.35</v>
      </c>
      <c r="Q92" s="1">
        <v>0.5</v>
      </c>
      <c r="R92" s="1">
        <v>1</v>
      </c>
      <c r="S92" s="1">
        <v>5</v>
      </c>
      <c r="T92" s="19"/>
      <c r="Y92" s="1">
        <v>30</v>
      </c>
    </row>
    <row r="93" spans="1:29" s="1" customFormat="1" x14ac:dyDescent="0.25">
      <c r="A93" s="11" t="s">
        <v>184</v>
      </c>
      <c r="B93" s="19">
        <v>1</v>
      </c>
      <c r="C93" s="1" t="s">
        <v>90</v>
      </c>
      <c r="D93" s="1" t="s">
        <v>168</v>
      </c>
      <c r="J93" s="1" t="s">
        <v>92</v>
      </c>
      <c r="K93" s="1" t="s">
        <v>67</v>
      </c>
      <c r="O93" s="1">
        <v>1</v>
      </c>
      <c r="P93" s="1">
        <v>1</v>
      </c>
      <c r="Q93" s="1">
        <v>0</v>
      </c>
      <c r="R93" s="1">
        <v>1</v>
      </c>
      <c r="S93" s="1">
        <v>0</v>
      </c>
      <c r="T93" s="19"/>
      <c r="AA93" s="16">
        <v>24</v>
      </c>
    </row>
    <row r="94" spans="1:29" s="1" customFormat="1" x14ac:dyDescent="0.25">
      <c r="A94" s="11" t="s">
        <v>184</v>
      </c>
      <c r="B94" s="19">
        <v>1</v>
      </c>
      <c r="C94" s="1" t="s">
        <v>89</v>
      </c>
      <c r="D94" s="1" t="s">
        <v>167</v>
      </c>
      <c r="J94" s="1" t="s">
        <v>67</v>
      </c>
      <c r="K94" s="1" t="s">
        <v>92</v>
      </c>
      <c r="O94" s="1">
        <v>0.99</v>
      </c>
      <c r="P94" s="1">
        <v>0.99</v>
      </c>
      <c r="Q94" s="1">
        <v>0</v>
      </c>
      <c r="R94" s="1">
        <v>1</v>
      </c>
      <c r="S94" s="1">
        <v>0</v>
      </c>
      <c r="T94" s="19"/>
      <c r="AA94" s="16"/>
    </row>
    <row r="95" spans="1:29" s="1" customFormat="1" x14ac:dyDescent="0.25">
      <c r="A95" s="11" t="s">
        <v>184</v>
      </c>
      <c r="B95" s="19">
        <v>1</v>
      </c>
      <c r="C95" s="1" t="s">
        <v>88</v>
      </c>
      <c r="D95" s="1" t="s">
        <v>166</v>
      </c>
      <c r="J95" s="1" t="s">
        <v>91</v>
      </c>
      <c r="K95" s="1" t="s">
        <v>67</v>
      </c>
      <c r="O95" s="1">
        <v>1</v>
      </c>
      <c r="P95" s="1">
        <v>1</v>
      </c>
      <c r="Q95" s="1">
        <v>0</v>
      </c>
      <c r="R95" s="1">
        <v>1</v>
      </c>
      <c r="S95" s="1">
        <v>0</v>
      </c>
      <c r="T95" s="19"/>
      <c r="Y95" s="1">
        <v>0</v>
      </c>
      <c r="AA95" s="16">
        <v>924</v>
      </c>
    </row>
    <row r="96" spans="1:29" s="1" customFormat="1" x14ac:dyDescent="0.25">
      <c r="A96" s="11" t="s">
        <v>184</v>
      </c>
      <c r="B96" s="19">
        <v>1</v>
      </c>
      <c r="C96" s="1" t="s">
        <v>87</v>
      </c>
      <c r="D96" s="1" t="s">
        <v>165</v>
      </c>
      <c r="J96" s="1" t="s">
        <v>67</v>
      </c>
      <c r="K96" s="1" t="s">
        <v>91</v>
      </c>
      <c r="O96" s="1">
        <v>0.99</v>
      </c>
      <c r="P96" s="1">
        <v>0.99</v>
      </c>
      <c r="Q96" s="1">
        <v>0</v>
      </c>
      <c r="R96" s="1">
        <v>1</v>
      </c>
      <c r="S96" s="1">
        <v>1</v>
      </c>
      <c r="T96" s="19"/>
      <c r="Y96" s="1">
        <v>0</v>
      </c>
      <c r="AA96" s="16"/>
    </row>
  </sheetData>
  <autoFilter ref="C1:AB43" xr:uid="{00000000-0001-0000-0000-000000000000}">
    <sortState xmlns:xlrd2="http://schemas.microsoft.com/office/spreadsheetml/2017/richdata2" ref="C2:AB43">
      <sortCondition descending="1" ref="D1:D43"/>
    </sortState>
  </autoFilter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2026-03-10T09:14:48Z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