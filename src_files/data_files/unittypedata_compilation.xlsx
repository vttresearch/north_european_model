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025226CE-07DA-49AD-A46B-B4FF1144D435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unittypedata" sheetId="1" r:id="rId1"/>
  </sheets>
  <definedNames>
    <definedName name="_xlnm._FilterDatabase" localSheetId="0" hidden="1">unittypedata!$C$1:$AA$58</definedName>
    <definedName name="Bottom">OFFSET(#REF!,1,0,COUNT(#REF!),1)</definedName>
    <definedName name="fd">OFFSET(#REF!,1,0,COUNT(#REF!),1)</definedName>
    <definedName name="Labels">OFFSET(Bottom,0,-1)</definedName>
    <definedName name="SecondQ">OFFSET(#REF!,1,0,COUNT(#REF!),1)</definedName>
    <definedName name="ThirdQ">OFFSET(#REF!,1,0,COUNT(#REF!),1)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U1" authorId="0" shapeId="0" xr:uid="{00000000-0006-0000-0000-000001000000}">
      <text>
        <r>
          <rPr>
            <sz val="10"/>
            <rFont val="Arial"/>
            <family val="2"/>
          </rPr>
          <t xml:space="preserve">
p.u. / min.
1 when the unit can ramp from 0 to to its maximum capacity in one minute</t>
        </r>
      </text>
    </comment>
  </commentList>
</comments>
</file>

<file path=xl/sharedStrings.xml><?xml version="1.0" encoding="utf-8"?>
<sst xmlns="http://schemas.openxmlformats.org/spreadsheetml/2006/main" count="622" uniqueCount="302">
  <si>
    <t>vomCosts</t>
  </si>
  <si>
    <t>cb</t>
  </si>
  <si>
    <t>Nuclear</t>
  </si>
  <si>
    <t>-</t>
  </si>
  <si>
    <t>Hard coal old 1</t>
  </si>
  <si>
    <t>Hard coal old 2</t>
  </si>
  <si>
    <t>Hard coal new</t>
  </si>
  <si>
    <t>Hard coal CCS</t>
  </si>
  <si>
    <t>Hard coal new Bio</t>
  </si>
  <si>
    <t>Hard coal old 1 Bio</t>
  </si>
  <si>
    <t>Hard coal old 2 Bio</t>
  </si>
  <si>
    <t>Lignite old 1</t>
  </si>
  <si>
    <t>Lignite old 2</t>
  </si>
  <si>
    <t>Lignite new</t>
  </si>
  <si>
    <t>Lignite CCS</t>
  </si>
  <si>
    <t>Lignite old 1 Bio</t>
  </si>
  <si>
    <t>Lignite old 2 Bio</t>
  </si>
  <si>
    <t>Gas conventional old 1</t>
  </si>
  <si>
    <t>Gas conventional old 2</t>
  </si>
  <si>
    <t>Gas CCGT old 1</t>
  </si>
  <si>
    <t>Gas CCGT old 2</t>
  </si>
  <si>
    <t>Gas CCGT present 1</t>
  </si>
  <si>
    <t>Gas CCGT present 2</t>
  </si>
  <si>
    <t>Gas CCGT new</t>
  </si>
  <si>
    <t>Gas CCGT CCS</t>
  </si>
  <si>
    <t>Gas OCGT old</t>
  </si>
  <si>
    <t>Gas OCGT new</t>
  </si>
  <si>
    <t>Light oil</t>
  </si>
  <si>
    <t>Heavy oil old 1</t>
  </si>
  <si>
    <t>Heavy oil old 2</t>
  </si>
  <si>
    <t>Oil shale old</t>
  </si>
  <si>
    <t>Oil shale new</t>
  </si>
  <si>
    <t>Oil shale new Bio</t>
  </si>
  <si>
    <t>Gas CCGT CHP</t>
  </si>
  <si>
    <t>Oil HOB</t>
  </si>
  <si>
    <t>Gas HOB</t>
  </si>
  <si>
    <t>Bio HOB</t>
  </si>
  <si>
    <t>Bio CHP</t>
  </si>
  <si>
    <t>Coal CHP</t>
  </si>
  <si>
    <t>Waste CHP</t>
  </si>
  <si>
    <t>Onshore Wind</t>
  </si>
  <si>
    <t>flow</t>
  </si>
  <si>
    <t>Offshore Wind</t>
  </si>
  <si>
    <t>Solar PV</t>
  </si>
  <si>
    <t>psOpen</t>
  </si>
  <si>
    <t>reservoir</t>
  </si>
  <si>
    <t>Run-of-River</t>
  </si>
  <si>
    <t>ror</t>
  </si>
  <si>
    <t>Ground source heat pump</t>
  </si>
  <si>
    <t>elec</t>
  </si>
  <si>
    <t>Electric boiler</t>
  </si>
  <si>
    <t>Battery discharger</t>
  </si>
  <si>
    <t>Battery charger</t>
  </si>
  <si>
    <t>PS Closed turbine</t>
  </si>
  <si>
    <t>psClosed</t>
  </si>
  <si>
    <t>PS Closed pump</t>
  </si>
  <si>
    <t>Hydrogen OCGT</t>
  </si>
  <si>
    <t>DR cutoff tier 1</t>
  </si>
  <si>
    <t>DR cutoff tier 2</t>
  </si>
  <si>
    <t>DR cutoff tier 3</t>
  </si>
  <si>
    <t>DR upwards 1</t>
  </si>
  <si>
    <t>DR upwards 2</t>
  </si>
  <si>
    <t>Heat storage discharger</t>
  </si>
  <si>
    <t>Heat storage charger</t>
  </si>
  <si>
    <t>Reservoir</t>
  </si>
  <si>
    <t>Large heat storage charger</t>
  </si>
  <si>
    <t>Large heat storage discharger</t>
  </si>
  <si>
    <t>Seasonal heat storage charger</t>
  </si>
  <si>
    <t>Seasonal heat storage discharger</t>
  </si>
  <si>
    <t>Gas OCGT CHP</t>
  </si>
  <si>
    <t>Waste HOB</t>
  </si>
  <si>
    <t>Electrolyser</t>
  </si>
  <si>
    <t>Long-term hydrogen storage charger</t>
  </si>
  <si>
    <t>Long-term hydrogen storage discharger</t>
  </si>
  <si>
    <t>Short-term hydrogen storage charger</t>
  </si>
  <si>
    <t>Short-term hydrogen storage discharger</t>
  </si>
  <si>
    <t>PS Open turbine</t>
  </si>
  <si>
    <t>PS Open pump</t>
  </si>
  <si>
    <t>Battery discharger 4h</t>
  </si>
  <si>
    <t>Battery charger 4h</t>
  </si>
  <si>
    <t>onshore</t>
  </si>
  <si>
    <t>offshore</t>
  </si>
  <si>
    <t>PV</t>
  </si>
  <si>
    <t>isSource</t>
  </si>
  <si>
    <t>isSink</t>
  </si>
  <si>
    <t>CO2</t>
  </si>
  <si>
    <t>cv</t>
  </si>
  <si>
    <t>scenario</t>
  </si>
  <si>
    <t>year</t>
  </si>
  <si>
    <t>Solar Thermal</t>
  </si>
  <si>
    <t>solar thermal</t>
  </si>
  <si>
    <t>grid_output1</t>
  </si>
  <si>
    <t>grid_output2</t>
  </si>
  <si>
    <t>conversionCoeff_output2</t>
  </si>
  <si>
    <t>grid_output3</t>
  </si>
  <si>
    <t>ligniteCCS</t>
  </si>
  <si>
    <t>nuclear</t>
  </si>
  <si>
    <t>ligniteOld1</t>
  </si>
  <si>
    <t>ligniteOld2</t>
  </si>
  <si>
    <t>ligniteNew</t>
  </si>
  <si>
    <t>ligniteOld1Bio</t>
  </si>
  <si>
    <t>ligniteOld2Bio</t>
  </si>
  <si>
    <t>hardcoalOld1</t>
  </si>
  <si>
    <t>hardcoalOld2</t>
  </si>
  <si>
    <t>hardcoalNew</t>
  </si>
  <si>
    <t>hardcoalNewBio</t>
  </si>
  <si>
    <t>hardcoalOldBio</t>
  </si>
  <si>
    <t>hardcoalOld2Bio</t>
  </si>
  <si>
    <t>CHPcoal</t>
  </si>
  <si>
    <t>gasOld1</t>
  </si>
  <si>
    <t>gasOld2</t>
  </si>
  <si>
    <t>gasCCGTOld1</t>
  </si>
  <si>
    <t>gasCCGTOld2</t>
  </si>
  <si>
    <t>gasCCGTpresent1</t>
  </si>
  <si>
    <t>gasCCGTpresent2</t>
  </si>
  <si>
    <t>gasCCGTNew</t>
  </si>
  <si>
    <t>gasCCGTCCS</t>
  </si>
  <si>
    <t>gasOCGTold</t>
  </si>
  <si>
    <t>gasOCGTnew</t>
  </si>
  <si>
    <t>CCGTCHPgas</t>
  </si>
  <si>
    <t>OCGTCHPgas</t>
  </si>
  <si>
    <t>HOBgas</t>
  </si>
  <si>
    <t>LFO</t>
  </si>
  <si>
    <t>HFOOld1</t>
  </si>
  <si>
    <t>HFOOld2</t>
  </si>
  <si>
    <t>oilShaleOld</t>
  </si>
  <si>
    <t>oilshaleNew</t>
  </si>
  <si>
    <t>oilshaleNewBio</t>
  </si>
  <si>
    <t>HOBoil</t>
  </si>
  <si>
    <t>CHPwaste</t>
  </si>
  <si>
    <t>HOBwaste</t>
  </si>
  <si>
    <t>HOBbio</t>
  </si>
  <si>
    <t>CHPbio</t>
  </si>
  <si>
    <t>windOnshore</t>
  </si>
  <si>
    <t>windOffshore</t>
  </si>
  <si>
    <t>reservoirTurbine</t>
  </si>
  <si>
    <t>rorTurbine</t>
  </si>
  <si>
    <t>GSHP</t>
  </si>
  <si>
    <t>EBoil</t>
  </si>
  <si>
    <t>Batterydisch</t>
  </si>
  <si>
    <t>Batterydisch4h</t>
  </si>
  <si>
    <t>Batterychar</t>
  </si>
  <si>
    <t>Batterychar4h</t>
  </si>
  <si>
    <t>psclosedturbine</t>
  </si>
  <si>
    <t>psclosedpump</t>
  </si>
  <si>
    <t>psopenturbine</t>
  </si>
  <si>
    <t>psopenpump</t>
  </si>
  <si>
    <t>hydrogenOCGT</t>
  </si>
  <si>
    <t>LongH2storeIn</t>
  </si>
  <si>
    <t>LongH2storeOut</t>
  </si>
  <si>
    <t>ShortH2storeIn</t>
  </si>
  <si>
    <t>ShortH2storeOut</t>
  </si>
  <si>
    <t>DRcutofftier1</t>
  </si>
  <si>
    <t>DRcutofftier2</t>
  </si>
  <si>
    <t>DRcutofftier3</t>
  </si>
  <si>
    <t>DRupwards1</t>
  </si>
  <si>
    <t>DRupwards2</t>
  </si>
  <si>
    <t>HeatstorDischarger</t>
  </si>
  <si>
    <t>HeatstorCharger</t>
  </si>
  <si>
    <t>LargeHeatstodischarger</t>
  </si>
  <si>
    <t>LargeHeatstocharger</t>
  </si>
  <si>
    <t>SeasonHeatstodischarger</t>
  </si>
  <si>
    <t>SeasonHeatstocharger</t>
  </si>
  <si>
    <t>solarThermal</t>
  </si>
  <si>
    <t>hardcoalCCS</t>
  </si>
  <si>
    <t>LP/MIP</t>
  </si>
  <si>
    <t>grid_input1</t>
  </si>
  <si>
    <t>all</t>
  </si>
  <si>
    <t>dheat</t>
  </si>
  <si>
    <t>upperLimitCapacityRatio_input1</t>
  </si>
  <si>
    <t>Gas conventional old 2 Bio</t>
  </si>
  <si>
    <t>gasOld2Bio</t>
  </si>
  <si>
    <t>Heavy oil old 1 Bio</t>
  </si>
  <si>
    <t>heavyOilOldBio</t>
  </si>
  <si>
    <t>Gas CCGT old 2 Bio</t>
  </si>
  <si>
    <t>gasCCGTOld2Bio</t>
  </si>
  <si>
    <t>unittype</t>
  </si>
  <si>
    <t>steam</t>
  </si>
  <si>
    <t>emission_group1</t>
  </si>
  <si>
    <t>eff00</t>
  </si>
  <si>
    <t>eff01</t>
  </si>
  <si>
    <t>op00</t>
  </si>
  <si>
    <t>op01</t>
  </si>
  <si>
    <t>vomCosts_input1</t>
  </si>
  <si>
    <t>Industry non-renewable CHP</t>
  </si>
  <si>
    <t>Industry renewable CHP</t>
  </si>
  <si>
    <t>industryResCHP</t>
  </si>
  <si>
    <t>industryNonResCHP</t>
  </si>
  <si>
    <t>Industry gas CHP</t>
  </si>
  <si>
    <t>industryGasCHP</t>
  </si>
  <si>
    <t>Oil shale CHP</t>
  </si>
  <si>
    <t>oilshaleCHP</t>
  </si>
  <si>
    <t>Coal HOB</t>
  </si>
  <si>
    <t>HOBcoal</t>
  </si>
  <si>
    <t>Coal CHP extraction</t>
  </si>
  <si>
    <t>CHPcoalExtraction</t>
  </si>
  <si>
    <t>Bio CHP extraction</t>
  </si>
  <si>
    <t>CHPbioExtraction</t>
  </si>
  <si>
    <t>Gas CHP extraction</t>
  </si>
  <si>
    <t>CHPgasExtraction</t>
  </si>
  <si>
    <t>Hydro O&amp;M costs approximated from https://link.springer.com/article/10.1007/s12667-023-00589-w</t>
  </si>
  <si>
    <t>nuclearFlexible</t>
  </si>
  <si>
    <t>Assuming 20 EUR/MWh cost (grid fees, taxes, …) for input electricity</t>
  </si>
  <si>
    <t>Electrolyser-SOEC</t>
  </si>
  <si>
    <t>ElectrolyserSOEC</t>
  </si>
  <si>
    <t>Alkaline/PEM efficiency from LHV. Start up costs are an own estimate of heating up the device (10-20 mins) and wear and tear (10 h lost lifetime).</t>
  </si>
  <si>
    <t>SOEC efficiency from LHV.  Start up costs are an own estimate of heating up the device (10-20 mins) and wear and tear (10 h lost lifetime).</t>
  </si>
  <si>
    <t>Differentiating heat storage types by vomcost to aid solver</t>
  </si>
  <si>
    <t>Differentiating hydro types by vomcost and rampcost to help solver.</t>
  </si>
  <si>
    <t>Nuclear-flex</t>
  </si>
  <si>
    <t>Heavily weighting "modelling-techical" shutdown costs to avoid too many shutdows of nuclear reactors. The 300 EUR/MW is roughly (300 / (3-1.5)) = 200 hours of price difference to VRE.</t>
  </si>
  <si>
    <t>A nuclear unit with much lower ramp costs for flexible part of countrys operation</t>
  </si>
  <si>
    <t>Assuming 3% losses in cell and 3% in inverter both directions (charge+discharge) for all BESS</t>
  </si>
  <si>
    <t>No O&amp;M cost to enable better automatic scaling</t>
  </si>
  <si>
    <t>## VRE</t>
  </si>
  <si>
    <t>## Hydro</t>
  </si>
  <si>
    <t>## Thermal condensing power</t>
  </si>
  <si>
    <t>## CCS</t>
  </si>
  <si>
    <t>## Nuclear</t>
  </si>
  <si>
    <t>## Industry</t>
  </si>
  <si>
    <t>## Electricity storages</t>
  </si>
  <si>
    <t>## District heating</t>
  </si>
  <si>
    <t>## Demand response</t>
  </si>
  <si>
    <t>## Hydrogen</t>
  </si>
  <si>
    <t>Note</t>
  </si>
  <si>
    <t>##maxRampUp</t>
  </si>
  <si>
    <t>##maxRampDown</t>
  </si>
  <si>
    <t>##rampUpCost</t>
  </si>
  <si>
    <t>##rampDownCost</t>
  </si>
  <si>
    <t>## Description</t>
  </si>
  <si>
    <t>## old unittype</t>
  </si>
  <si>
    <t>psOpenTurbine</t>
  </si>
  <si>
    <t>psOpenPump</t>
  </si>
  <si>
    <t>psClosedTurbine</t>
  </si>
  <si>
    <t>psClosedPump</t>
  </si>
  <si>
    <t>solarPV</t>
  </si>
  <si>
    <t>wasteHOB</t>
  </si>
  <si>
    <t>oilHOB</t>
  </si>
  <si>
    <t>gasHOB</t>
  </si>
  <si>
    <t>bioHOB</t>
  </si>
  <si>
    <t>elecHOB</t>
  </si>
  <si>
    <t>wasteCHP</t>
  </si>
  <si>
    <t>coalCHP</t>
  </si>
  <si>
    <t>coalOld2</t>
  </si>
  <si>
    <t>coalOld1</t>
  </si>
  <si>
    <t>coalNew</t>
  </si>
  <si>
    <t>bioCHP</t>
  </si>
  <si>
    <t>gasCCGTCHP</t>
  </si>
  <si>
    <t>coalHOB</t>
  </si>
  <si>
    <t>coalCHPExtraction</t>
  </si>
  <si>
    <t>bioCHPExtraction</t>
  </si>
  <si>
    <t>gasCHPExtraction</t>
  </si>
  <si>
    <t>gasOCGTCHP</t>
  </si>
  <si>
    <t>BatteryDisch4h</t>
  </si>
  <si>
    <t>BatteryDisch</t>
  </si>
  <si>
    <t>BatteryCharger4h</t>
  </si>
  <si>
    <t>BatteryCharger</t>
  </si>
  <si>
    <t>HeatStorageCharger</t>
  </si>
  <si>
    <t>HeatStorageDisch</t>
  </si>
  <si>
    <t>heatStorageChargerLarge</t>
  </si>
  <si>
    <t>heatStorageDischLarge</t>
  </si>
  <si>
    <t>heatStorageChargerSeasonal</t>
  </si>
  <si>
    <t>heatStorageDischSeasonal</t>
  </si>
  <si>
    <t>heatStor</t>
  </si>
  <si>
    <t>heatStorL</t>
  </si>
  <si>
    <t>heatStorXL</t>
  </si>
  <si>
    <t>battery</t>
  </si>
  <si>
    <t>battery4h</t>
  </si>
  <si>
    <t>H2</t>
  </si>
  <si>
    <t>H2StorageDisch</t>
  </si>
  <si>
    <t>H2StorageCharger</t>
  </si>
  <si>
    <t>H2StorageDischLongterm</t>
  </si>
  <si>
    <t>H2StorageChargerLongterm</t>
  </si>
  <si>
    <t>H2Stor</t>
  </si>
  <si>
    <t>H2StorL</t>
  </si>
  <si>
    <t>coal</t>
  </si>
  <si>
    <t>biomass</t>
  </si>
  <si>
    <t>gas</t>
  </si>
  <si>
    <t>oilShale</t>
  </si>
  <si>
    <t>oilHeavy</t>
  </si>
  <si>
    <t>waste</t>
  </si>
  <si>
    <t>coalCCS</t>
  </si>
  <si>
    <t>oilLight</t>
  </si>
  <si>
    <t>OilLightOld</t>
  </si>
  <si>
    <t>oilHeavyOld2</t>
  </si>
  <si>
    <t>oilHeavyOld1</t>
  </si>
  <si>
    <t>lignite</t>
  </si>
  <si>
    <t>bioLigniteOld2</t>
  </si>
  <si>
    <t>bioLigniteOld1</t>
  </si>
  <si>
    <t>bioOilshaleNew</t>
  </si>
  <si>
    <t>bioOilHeavyOld</t>
  </si>
  <si>
    <t>bioCoalOld</t>
  </si>
  <si>
    <t>bioCoalOld2</t>
  </si>
  <si>
    <t>bioCoalNew</t>
  </si>
  <si>
    <t>bioGasOld2</t>
  </si>
  <si>
    <t>bioGasCCGTOld2</t>
  </si>
  <si>
    <t>bioCHPIndustry</t>
  </si>
  <si>
    <t>coalCHPIndustry</t>
  </si>
  <si>
    <t>gasCHPIndustry</t>
  </si>
  <si>
    <t>Hydrogen CCGT</t>
  </si>
  <si>
    <t>hydrogenCCGT</t>
  </si>
  <si>
    <t>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</si>
</sst>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AFAF"/>
        <bgColor rgb="FFFF99CC"/>
      </patternFill>
    </fill>
    <fill>
      <patternFill patternType="solid">
        <fgColor rgb="FF87CB3D"/>
        <bgColor rgb="FFFF99CC"/>
      </patternFill>
    </fill>
    <fill>
      <patternFill patternType="solid">
        <fgColor rgb="FFFDA56F"/>
        <bgColor rgb="FFFF99CC"/>
      </patternFill>
    </fill>
    <fill>
      <patternFill patternType="solid">
        <fgColor rgb="FFFECCB0"/>
        <bgColor rgb="FFFF99CC"/>
      </patternFill>
    </fill>
    <fill>
      <patternFill patternType="solid">
        <fgColor rgb="FFFF7171"/>
        <bgColor rgb="FFFF99CC"/>
      </patternFill>
    </fill>
    <fill>
      <patternFill patternType="solid">
        <fgColor rgb="FFC49100"/>
        <bgColor rgb="FFFF99C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1" fillId="2" borderId="1" xfId="1" applyFont="1" applyFill="1" applyBorder="1" applyAlignment="1">
      <alignment wrapText="1"/>
    </xf>
    <xf numFmtId="0" fontId="1" fillId="2" borderId="0" xfId="1" applyFont="1" applyFill="1" applyAlignment="1">
      <alignment wrapText="1"/>
    </xf>
    <xf numFmtId="0" fontId="1" fillId="3" borderId="1" xfId="1" applyFont="1" applyFill="1" applyBorder="1" applyAlignment="1">
      <alignment wrapText="1"/>
    </xf>
    <xf numFmtId="0" fontId="1" fillId="4" borderId="1" xfId="1" applyFont="1" applyFill="1" applyBorder="1" applyAlignment="1">
      <alignment wrapText="1"/>
    </xf>
    <xf numFmtId="0" fontId="1" fillId="5" borderId="1" xfId="1" applyFont="1" applyFill="1" applyBorder="1" applyAlignment="1">
      <alignment wrapText="1"/>
    </xf>
    <xf numFmtId="0" fontId="1" fillId="6" borderId="1" xfId="1" applyFont="1" applyFill="1" applyBorder="1" applyAlignment="1">
      <alignment wrapText="1"/>
    </xf>
    <xf numFmtId="0" fontId="1" fillId="7" borderId="1" xfId="1" applyFont="1" applyFill="1" applyBorder="1" applyAlignment="1">
      <alignment wrapText="1"/>
    </xf>
    <xf numFmtId="0" fontId="0" fillId="8" borderId="0" xfId="0" applyFill="1"/>
    <xf numFmtId="0" fontId="5" fillId="8" borderId="0" xfId="0" applyFont="1" applyFill="1"/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6" fillId="8" borderId="0" xfId="0" applyFont="1" applyFill="1"/>
    <xf numFmtId="0" fontId="4" fillId="8" borderId="0" xfId="0" applyFont="1" applyFill="1"/>
    <xf numFmtId="1" fontId="4" fillId="0" borderId="0" xfId="0" applyNumberFormat="1" applyFont="1"/>
    <xf numFmtId="0" fontId="1" fillId="3" borderId="1" xfId="1" applyFont="1" applyFill="1" applyBorder="1" applyAlignment="1">
      <alignment horizontal="center" wrapText="1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1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2" applyFill="1"/>
  </cellXfs>
  <cellStyles count="3">
    <cellStyle name="Hyperlink" xfId="2" builtinId="8"/>
    <cellStyle name="Normal" xfId="0" builtinId="0"/>
    <cellStyle name="Standard_Data provided by OT3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49100"/>
      <color rgb="FFCC9900"/>
      <color rgb="FFFF7171"/>
      <color rgb="FFFECCB0"/>
      <color rgb="FFFDA56F"/>
      <color rgb="FF87CB3D"/>
      <color rgb="FFFFAFAF"/>
      <color rgb="FFED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7"/>
  <sheetViews>
    <sheetView tabSelected="1" zoomScale="85" zoomScaleNormal="85" workbookViewId="0">
      <pane xSplit="4" ySplit="1" topLeftCell="E68" activePane="bottomRight" state="frozen"/>
      <selection pane="topRight" activeCell="E1" sqref="E1"/>
      <selection pane="bottomLeft" activeCell="A2" sqref="A2"/>
      <selection pane="bottomRight" activeCell="L85" sqref="L85"/>
    </sheetView>
  </sheetViews>
  <sheetFormatPr defaultColWidth="8.42578125" defaultRowHeight="15" x14ac:dyDescent="0.25"/>
  <cols>
    <col min="1" max="1" width="9.42578125" customWidth="1"/>
    <col min="2" max="2" width="7.7109375" style="21" customWidth="1"/>
    <col min="3" max="3" width="22.5703125" customWidth="1"/>
    <col min="4" max="4" width="25.5703125" customWidth="1"/>
    <col min="5" max="9" width="12.7109375" customWidth="1"/>
    <col min="10" max="10" width="16.5703125" customWidth="1"/>
    <col min="11" max="11" width="18.42578125" customWidth="1"/>
    <col min="12" max="14" width="14.42578125" customWidth="1"/>
    <col min="15" max="16" width="12.7109375" customWidth="1"/>
    <col min="17" max="18" width="10.140625" customWidth="1"/>
    <col min="19" max="19" width="12.7109375" customWidth="1"/>
    <col min="20" max="20" width="11.28515625" style="21" customWidth="1"/>
    <col min="21" max="23" width="8.42578125" customWidth="1"/>
    <col min="25" max="26" width="14" customWidth="1"/>
    <col min="27" max="27" width="15.85546875" customWidth="1"/>
    <col min="28" max="28" width="78.140625" bestFit="1" customWidth="1"/>
    <col min="30" max="30" width="13.28515625" customWidth="1"/>
    <col min="1024" max="1024" width="9.140625" customWidth="1"/>
  </cols>
  <sheetData>
    <row r="1" spans="1:30" ht="48" customHeight="1" x14ac:dyDescent="0.25">
      <c r="A1" s="4" t="s">
        <v>87</v>
      </c>
      <c r="B1" s="17" t="s">
        <v>88</v>
      </c>
      <c r="C1" s="5" t="s">
        <v>229</v>
      </c>
      <c r="D1" s="5" t="s">
        <v>176</v>
      </c>
      <c r="E1" s="6" t="s">
        <v>83</v>
      </c>
      <c r="F1" s="6" t="s">
        <v>84</v>
      </c>
      <c r="G1" s="6" t="s">
        <v>41</v>
      </c>
      <c r="H1" s="6" t="s">
        <v>165</v>
      </c>
      <c r="I1" s="8" t="s">
        <v>178</v>
      </c>
      <c r="J1" s="7" t="s">
        <v>166</v>
      </c>
      <c r="K1" s="7" t="s">
        <v>91</v>
      </c>
      <c r="L1" s="7" t="s">
        <v>92</v>
      </c>
      <c r="M1" s="7" t="s">
        <v>93</v>
      </c>
      <c r="N1" s="7" t="s">
        <v>94</v>
      </c>
      <c r="O1" s="2" t="s">
        <v>179</v>
      </c>
      <c r="P1" s="2" t="s">
        <v>180</v>
      </c>
      <c r="Q1" s="3" t="s">
        <v>181</v>
      </c>
      <c r="R1" s="3" t="s">
        <v>182</v>
      </c>
      <c r="S1" s="2" t="s">
        <v>0</v>
      </c>
      <c r="T1" s="22" t="s">
        <v>183</v>
      </c>
      <c r="U1" s="3" t="s">
        <v>225</v>
      </c>
      <c r="V1" s="3" t="s">
        <v>226</v>
      </c>
      <c r="W1" s="3" t="s">
        <v>1</v>
      </c>
      <c r="X1" s="3" t="s">
        <v>86</v>
      </c>
      <c r="Y1" s="2" t="s">
        <v>227</v>
      </c>
      <c r="Z1" s="3" t="s">
        <v>228</v>
      </c>
      <c r="AA1" s="3" t="s">
        <v>169</v>
      </c>
      <c r="AB1" s="3" t="s">
        <v>224</v>
      </c>
      <c r="AD1" s="5" t="s">
        <v>230</v>
      </c>
    </row>
    <row r="2" spans="1:30" s="1" customFormat="1" x14ac:dyDescent="0.25">
      <c r="A2" s="14" t="s">
        <v>214</v>
      </c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8"/>
      <c r="U2" s="15"/>
      <c r="V2" s="15"/>
      <c r="W2" s="15"/>
      <c r="X2" s="15"/>
      <c r="Y2" s="15"/>
      <c r="Z2" s="15"/>
      <c r="AA2" s="15"/>
      <c r="AB2" s="15"/>
      <c r="AD2" s="15"/>
    </row>
    <row r="3" spans="1:30" s="1" customFormat="1" x14ac:dyDescent="0.25">
      <c r="A3" s="11" t="s">
        <v>167</v>
      </c>
      <c r="B3" s="19">
        <v>1</v>
      </c>
      <c r="C3" s="1" t="s">
        <v>40</v>
      </c>
      <c r="D3" s="1" t="s">
        <v>133</v>
      </c>
      <c r="G3" s="1" t="s">
        <v>80</v>
      </c>
      <c r="J3" s="1" t="s">
        <v>3</v>
      </c>
      <c r="K3" s="1" t="s">
        <v>49</v>
      </c>
      <c r="O3" s="1">
        <v>1</v>
      </c>
      <c r="Q3" s="1">
        <v>1</v>
      </c>
      <c r="S3" s="1">
        <v>1.75</v>
      </c>
      <c r="T3" s="19"/>
      <c r="AB3" s="1" t="s">
        <v>213</v>
      </c>
      <c r="AD3" s="1" t="s">
        <v>133</v>
      </c>
    </row>
    <row r="4" spans="1:30" s="1" customFormat="1" x14ac:dyDescent="0.25">
      <c r="A4" s="11" t="s">
        <v>167</v>
      </c>
      <c r="B4" s="19">
        <v>1</v>
      </c>
      <c r="C4" s="1" t="s">
        <v>42</v>
      </c>
      <c r="D4" s="1" t="s">
        <v>134</v>
      </c>
      <c r="G4" s="1" t="s">
        <v>81</v>
      </c>
      <c r="J4" s="1" t="s">
        <v>3</v>
      </c>
      <c r="K4" s="1" t="s">
        <v>49</v>
      </c>
      <c r="O4" s="1">
        <v>1</v>
      </c>
      <c r="Q4" s="1">
        <v>1</v>
      </c>
      <c r="S4" s="1">
        <v>2</v>
      </c>
      <c r="T4" s="19"/>
      <c r="AD4" s="1" t="s">
        <v>134</v>
      </c>
    </row>
    <row r="5" spans="1:30" s="1" customFormat="1" x14ac:dyDescent="0.25">
      <c r="A5" s="11" t="s">
        <v>167</v>
      </c>
      <c r="B5" s="19">
        <v>1</v>
      </c>
      <c r="C5" s="1" t="s">
        <v>43</v>
      </c>
      <c r="D5" s="1" t="s">
        <v>235</v>
      </c>
      <c r="G5" s="1" t="s">
        <v>82</v>
      </c>
      <c r="J5" s="1" t="s">
        <v>3</v>
      </c>
      <c r="K5" s="1" t="s">
        <v>49</v>
      </c>
      <c r="O5" s="1">
        <v>1</v>
      </c>
      <c r="Q5" s="1">
        <v>1</v>
      </c>
      <c r="S5" s="1">
        <v>1.5</v>
      </c>
      <c r="T5" s="19"/>
      <c r="AD5" s="1" t="s">
        <v>82</v>
      </c>
    </row>
    <row r="6" spans="1:30" s="1" customFormat="1" x14ac:dyDescent="0.25">
      <c r="A6" s="14" t="s">
        <v>215</v>
      </c>
      <c r="B6" s="18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/>
      <c r="U6" s="15"/>
      <c r="V6" s="15"/>
      <c r="W6" s="15"/>
      <c r="X6" s="15"/>
      <c r="Y6" s="15"/>
      <c r="Z6" s="15"/>
      <c r="AA6" s="15"/>
      <c r="AB6" s="15"/>
      <c r="AD6" s="15"/>
    </row>
    <row r="7" spans="1:30" s="1" customFormat="1" x14ac:dyDescent="0.25">
      <c r="A7" s="11" t="s">
        <v>167</v>
      </c>
      <c r="B7" s="19">
        <v>1</v>
      </c>
      <c r="C7" s="1" t="s">
        <v>46</v>
      </c>
      <c r="D7" s="1" t="s">
        <v>136</v>
      </c>
      <c r="J7" s="1" t="s">
        <v>47</v>
      </c>
      <c r="K7" s="1" t="s">
        <v>49</v>
      </c>
      <c r="O7" s="1">
        <v>0.95</v>
      </c>
      <c r="Q7" s="1">
        <v>1</v>
      </c>
      <c r="S7" s="1">
        <v>2</v>
      </c>
      <c r="T7" s="19"/>
      <c r="Y7" s="1">
        <v>5.5</v>
      </c>
      <c r="Z7" s="1">
        <v>5.5</v>
      </c>
      <c r="AB7" s="1" t="s">
        <v>200</v>
      </c>
      <c r="AD7" s="1" t="s">
        <v>136</v>
      </c>
    </row>
    <row r="8" spans="1:30" s="1" customFormat="1" x14ac:dyDescent="0.25">
      <c r="A8" s="11" t="s">
        <v>167</v>
      </c>
      <c r="B8" s="19">
        <v>1</v>
      </c>
      <c r="C8" s="1" t="s">
        <v>64</v>
      </c>
      <c r="D8" s="1" t="s">
        <v>135</v>
      </c>
      <c r="J8" s="1" t="s">
        <v>45</v>
      </c>
      <c r="K8" s="1" t="s">
        <v>49</v>
      </c>
      <c r="O8" s="1">
        <v>0.95</v>
      </c>
      <c r="Q8" s="1">
        <v>1</v>
      </c>
      <c r="S8" s="1">
        <v>1.8</v>
      </c>
      <c r="T8" s="19"/>
      <c r="Y8" s="1">
        <v>5</v>
      </c>
      <c r="Z8" s="1">
        <v>5</v>
      </c>
      <c r="AB8" s="1" t="s">
        <v>208</v>
      </c>
      <c r="AD8" s="1" t="s">
        <v>135</v>
      </c>
    </row>
    <row r="9" spans="1:30" s="1" customFormat="1" x14ac:dyDescent="0.25">
      <c r="A9" s="11" t="s">
        <v>167</v>
      </c>
      <c r="B9" s="19">
        <v>1</v>
      </c>
      <c r="C9" s="1" t="s">
        <v>76</v>
      </c>
      <c r="D9" s="1" t="s">
        <v>231</v>
      </c>
      <c r="J9" s="1" t="s">
        <v>44</v>
      </c>
      <c r="K9" s="1" t="s">
        <v>49</v>
      </c>
      <c r="O9" s="1">
        <v>0.95</v>
      </c>
      <c r="Q9" s="1">
        <v>1</v>
      </c>
      <c r="S9" s="1">
        <v>2</v>
      </c>
      <c r="T9" s="19"/>
      <c r="Y9" s="1">
        <v>4</v>
      </c>
      <c r="Z9" s="1">
        <v>4</v>
      </c>
      <c r="AD9" s="1" t="s">
        <v>145</v>
      </c>
    </row>
    <row r="10" spans="1:30" s="1" customFormat="1" x14ac:dyDescent="0.25">
      <c r="A10" s="11" t="s">
        <v>167</v>
      </c>
      <c r="B10" s="19">
        <v>1</v>
      </c>
      <c r="C10" s="1" t="s">
        <v>77</v>
      </c>
      <c r="D10" s="1" t="s">
        <v>232</v>
      </c>
      <c r="J10" s="1" t="s">
        <v>49</v>
      </c>
      <c r="K10" s="1" t="s">
        <v>44</v>
      </c>
      <c r="O10" s="1">
        <v>0.8</v>
      </c>
      <c r="Q10" s="1">
        <v>1</v>
      </c>
      <c r="S10" s="1">
        <v>1.6</v>
      </c>
      <c r="T10" s="19"/>
      <c r="Y10" s="1">
        <v>3.5</v>
      </c>
      <c r="Z10" s="1">
        <v>3.5</v>
      </c>
      <c r="AD10" s="1" t="s">
        <v>146</v>
      </c>
    </row>
    <row r="11" spans="1:30" s="1" customFormat="1" x14ac:dyDescent="0.25">
      <c r="A11" s="11" t="s">
        <v>167</v>
      </c>
      <c r="B11" s="19">
        <v>1</v>
      </c>
      <c r="C11" s="1" t="s">
        <v>53</v>
      </c>
      <c r="D11" s="1" t="s">
        <v>233</v>
      </c>
      <c r="J11" s="1" t="s">
        <v>54</v>
      </c>
      <c r="K11" s="1" t="s">
        <v>49</v>
      </c>
      <c r="O11" s="1">
        <v>0.95</v>
      </c>
      <c r="Q11" s="1">
        <v>1</v>
      </c>
      <c r="S11" s="1">
        <v>1.8</v>
      </c>
      <c r="T11" s="19"/>
      <c r="Y11" s="1">
        <v>3.1</v>
      </c>
      <c r="Z11" s="1">
        <v>3.1</v>
      </c>
      <c r="AD11" s="1" t="s">
        <v>143</v>
      </c>
    </row>
    <row r="12" spans="1:30" s="1" customFormat="1" x14ac:dyDescent="0.25">
      <c r="A12" s="11" t="s">
        <v>167</v>
      </c>
      <c r="B12" s="19">
        <v>1</v>
      </c>
      <c r="C12" s="1" t="s">
        <v>55</v>
      </c>
      <c r="D12" s="1" t="s">
        <v>234</v>
      </c>
      <c r="J12" s="1" t="s">
        <v>49</v>
      </c>
      <c r="K12" s="1" t="s">
        <v>54</v>
      </c>
      <c r="O12" s="1">
        <v>0.8</v>
      </c>
      <c r="Q12" s="1">
        <v>1</v>
      </c>
      <c r="S12" s="1">
        <v>1.4</v>
      </c>
      <c r="T12" s="19"/>
      <c r="Y12" s="1">
        <v>3</v>
      </c>
      <c r="Z12" s="1">
        <v>3</v>
      </c>
      <c r="AD12" s="1" t="s">
        <v>144</v>
      </c>
    </row>
    <row r="13" spans="1:30" s="1" customFormat="1" x14ac:dyDescent="0.25">
      <c r="A13" s="14" t="s">
        <v>216</v>
      </c>
      <c r="B13" s="18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8"/>
      <c r="U13" s="15"/>
      <c r="V13" s="15"/>
      <c r="W13" s="15"/>
      <c r="X13" s="15"/>
      <c r="Y13" s="15"/>
      <c r="Z13" s="15"/>
      <c r="AA13" s="15"/>
      <c r="AB13" s="15"/>
      <c r="AD13" s="15"/>
    </row>
    <row r="14" spans="1:30" s="1" customFormat="1" x14ac:dyDescent="0.25">
      <c r="A14" s="11" t="s">
        <v>167</v>
      </c>
      <c r="B14" s="19">
        <v>1</v>
      </c>
      <c r="C14" s="1" t="s">
        <v>30</v>
      </c>
      <c r="D14" s="1" t="s">
        <v>125</v>
      </c>
      <c r="I14" s="1" t="s">
        <v>301</v>
      </c>
      <c r="J14" s="1" t="s">
        <v>278</v>
      </c>
      <c r="K14" s="1" t="s">
        <v>49</v>
      </c>
      <c r="O14" s="1">
        <v>0.26</v>
      </c>
      <c r="P14" s="1">
        <v>0.28999999999999998</v>
      </c>
      <c r="Q14" s="1">
        <v>0.5</v>
      </c>
      <c r="R14" s="1">
        <v>1</v>
      </c>
      <c r="S14" s="1">
        <v>3.3</v>
      </c>
      <c r="T14" s="19"/>
      <c r="U14" s="1">
        <v>0.08</v>
      </c>
      <c r="V14" s="1">
        <v>0.08</v>
      </c>
      <c r="Y14" s="1">
        <v>44</v>
      </c>
      <c r="Z14" s="1">
        <v>44</v>
      </c>
      <c r="AD14" s="1" t="s">
        <v>125</v>
      </c>
    </row>
    <row r="15" spans="1:30" s="1" customFormat="1" x14ac:dyDescent="0.25">
      <c r="A15" s="11" t="s">
        <v>167</v>
      </c>
      <c r="B15" s="19">
        <v>1</v>
      </c>
      <c r="C15" s="1" t="s">
        <v>32</v>
      </c>
      <c r="D15" s="1" t="s">
        <v>289</v>
      </c>
      <c r="I15" s="1" t="s">
        <v>301</v>
      </c>
      <c r="J15" s="1" t="s">
        <v>276</v>
      </c>
      <c r="K15" s="1" t="s">
        <v>49</v>
      </c>
      <c r="O15" s="1">
        <v>0.36</v>
      </c>
      <c r="P15" s="1">
        <v>0.38</v>
      </c>
      <c r="Q15" s="1">
        <v>0.5</v>
      </c>
      <c r="R15" s="1">
        <v>1</v>
      </c>
      <c r="S15" s="1">
        <v>3.3</v>
      </c>
      <c r="T15" s="19"/>
      <c r="U15" s="1">
        <v>0.08</v>
      </c>
      <c r="V15" s="1">
        <v>0.08</v>
      </c>
      <c r="Y15" s="1">
        <v>28.6</v>
      </c>
      <c r="Z15" s="1">
        <v>28.6</v>
      </c>
      <c r="AD15" s="1" t="s">
        <v>127</v>
      </c>
    </row>
    <row r="16" spans="1:30" s="1" customFormat="1" x14ac:dyDescent="0.25">
      <c r="A16" s="11" t="s">
        <v>167</v>
      </c>
      <c r="B16" s="19">
        <v>1</v>
      </c>
      <c r="C16" s="1" t="s">
        <v>31</v>
      </c>
      <c r="D16" s="1" t="s">
        <v>126</v>
      </c>
      <c r="I16" s="1" t="s">
        <v>301</v>
      </c>
      <c r="J16" s="1" t="s">
        <v>278</v>
      </c>
      <c r="K16" s="1" t="s">
        <v>49</v>
      </c>
      <c r="O16" s="1">
        <v>0.36</v>
      </c>
      <c r="P16" s="1">
        <v>0.39</v>
      </c>
      <c r="Q16" s="1">
        <v>0.5</v>
      </c>
      <c r="R16" s="1">
        <v>1</v>
      </c>
      <c r="S16" s="1">
        <v>3.3</v>
      </c>
      <c r="T16" s="19"/>
      <c r="U16" s="1">
        <v>0.08</v>
      </c>
      <c r="V16" s="1">
        <v>0.08</v>
      </c>
      <c r="Y16" s="1">
        <v>28.6</v>
      </c>
      <c r="Z16" s="1">
        <v>28.6</v>
      </c>
      <c r="AD16" s="1" t="s">
        <v>126</v>
      </c>
    </row>
    <row r="17" spans="1:30" s="1" customFormat="1" x14ac:dyDescent="0.25">
      <c r="A17" s="11" t="s">
        <v>167</v>
      </c>
      <c r="B17" s="19">
        <v>1</v>
      </c>
      <c r="C17" s="1" t="s">
        <v>16</v>
      </c>
      <c r="D17" s="1" t="s">
        <v>287</v>
      </c>
      <c r="I17" s="12"/>
      <c r="J17" s="1" t="s">
        <v>276</v>
      </c>
      <c r="K17" s="1" t="s">
        <v>49</v>
      </c>
      <c r="O17" s="1">
        <v>0.37</v>
      </c>
      <c r="P17" s="1">
        <v>0.39</v>
      </c>
      <c r="Q17" s="1">
        <v>0.5</v>
      </c>
      <c r="R17" s="1">
        <v>1</v>
      </c>
      <c r="S17" s="1">
        <v>3.3</v>
      </c>
      <c r="T17" s="19"/>
      <c r="U17" s="1">
        <v>0.02</v>
      </c>
      <c r="V17" s="1">
        <v>0.05</v>
      </c>
      <c r="Y17" s="1">
        <v>40.700000000000003</v>
      </c>
      <c r="Z17" s="1">
        <v>40.700000000000003</v>
      </c>
      <c r="AD17" s="1" t="s">
        <v>101</v>
      </c>
    </row>
    <row r="18" spans="1:30" s="1" customFormat="1" x14ac:dyDescent="0.25">
      <c r="A18" s="11" t="s">
        <v>167</v>
      </c>
      <c r="B18" s="19">
        <v>1</v>
      </c>
      <c r="C18" s="1" t="s">
        <v>12</v>
      </c>
      <c r="D18" s="1" t="s">
        <v>98</v>
      </c>
      <c r="I18" s="1" t="s">
        <v>301</v>
      </c>
      <c r="J18" s="1" t="s">
        <v>286</v>
      </c>
      <c r="K18" s="1" t="s">
        <v>49</v>
      </c>
      <c r="O18" s="1">
        <v>0.37</v>
      </c>
      <c r="P18" s="1">
        <v>0.4</v>
      </c>
      <c r="Q18" s="1">
        <v>0.5</v>
      </c>
      <c r="R18" s="1">
        <v>1</v>
      </c>
      <c r="S18" s="1">
        <v>3.3</v>
      </c>
      <c r="T18" s="19"/>
      <c r="U18" s="1">
        <v>0.02</v>
      </c>
      <c r="V18" s="1">
        <v>0.05</v>
      </c>
      <c r="Y18" s="1">
        <v>40.700000000000003</v>
      </c>
      <c r="Z18" s="1">
        <v>40.700000000000003</v>
      </c>
      <c r="AD18" s="1" t="s">
        <v>98</v>
      </c>
    </row>
    <row r="19" spans="1:30" s="1" customFormat="1" x14ac:dyDescent="0.25">
      <c r="A19" s="11" t="s">
        <v>167</v>
      </c>
      <c r="B19" s="19">
        <v>1</v>
      </c>
      <c r="C19" s="1" t="s">
        <v>15</v>
      </c>
      <c r="D19" s="1" t="s">
        <v>288</v>
      </c>
      <c r="I19" s="12"/>
      <c r="J19" s="1" t="s">
        <v>276</v>
      </c>
      <c r="K19" s="1" t="s">
        <v>49</v>
      </c>
      <c r="O19" s="1">
        <v>0.31999999999999995</v>
      </c>
      <c r="P19" s="1">
        <v>0.34</v>
      </c>
      <c r="Q19" s="1">
        <v>0.5</v>
      </c>
      <c r="R19" s="1">
        <v>1</v>
      </c>
      <c r="S19" s="1">
        <v>3.3</v>
      </c>
      <c r="T19" s="19"/>
      <c r="U19" s="1">
        <v>0.02</v>
      </c>
      <c r="V19" s="1">
        <v>0.05</v>
      </c>
      <c r="Y19" s="1">
        <v>47</v>
      </c>
      <c r="Z19" s="1">
        <v>47</v>
      </c>
      <c r="AD19" s="1" t="s">
        <v>100</v>
      </c>
    </row>
    <row r="20" spans="1:30" s="1" customFormat="1" x14ac:dyDescent="0.25">
      <c r="A20" s="11" t="s">
        <v>167</v>
      </c>
      <c r="B20" s="19">
        <v>1</v>
      </c>
      <c r="C20" s="1" t="s">
        <v>11</v>
      </c>
      <c r="D20" s="1" t="s">
        <v>97</v>
      </c>
      <c r="I20" s="1" t="s">
        <v>301</v>
      </c>
      <c r="J20" s="1" t="s">
        <v>286</v>
      </c>
      <c r="K20" s="1" t="s">
        <v>49</v>
      </c>
      <c r="O20" s="1">
        <v>0.31999999999999995</v>
      </c>
      <c r="P20" s="1">
        <v>0.35</v>
      </c>
      <c r="Q20" s="1">
        <v>0.5</v>
      </c>
      <c r="R20" s="1">
        <v>1</v>
      </c>
      <c r="S20" s="1">
        <v>3.3</v>
      </c>
      <c r="T20" s="19"/>
      <c r="U20" s="1">
        <v>0.02</v>
      </c>
      <c r="V20" s="1">
        <v>0.05</v>
      </c>
      <c r="Y20" s="1">
        <v>47</v>
      </c>
      <c r="Z20" s="1">
        <v>47</v>
      </c>
      <c r="AD20" s="1" t="s">
        <v>97</v>
      </c>
    </row>
    <row r="21" spans="1:30" s="1" customFormat="1" x14ac:dyDescent="0.25">
      <c r="A21" s="11" t="s">
        <v>167</v>
      </c>
      <c r="B21" s="19">
        <v>1</v>
      </c>
      <c r="C21" s="1" t="s">
        <v>13</v>
      </c>
      <c r="D21" s="1" t="s">
        <v>99</v>
      </c>
      <c r="I21" s="1" t="s">
        <v>301</v>
      </c>
      <c r="J21" s="1" t="s">
        <v>286</v>
      </c>
      <c r="K21" s="1" t="s">
        <v>49</v>
      </c>
      <c r="O21" s="1">
        <v>0.43000000000000005</v>
      </c>
      <c r="P21" s="1">
        <v>0.46</v>
      </c>
      <c r="Q21" s="1">
        <v>0.5</v>
      </c>
      <c r="R21" s="1">
        <v>1</v>
      </c>
      <c r="S21" s="1">
        <v>3.3</v>
      </c>
      <c r="T21" s="19"/>
      <c r="U21" s="1">
        <v>0.02</v>
      </c>
      <c r="V21" s="1">
        <v>0.05</v>
      </c>
      <c r="Y21" s="1">
        <v>28.6</v>
      </c>
      <c r="Z21" s="1">
        <v>28.6</v>
      </c>
      <c r="AD21" s="1" t="s">
        <v>99</v>
      </c>
    </row>
    <row r="22" spans="1:30" s="1" customFormat="1" x14ac:dyDescent="0.25">
      <c r="A22" s="11" t="s">
        <v>167</v>
      </c>
      <c r="B22" s="19">
        <v>1</v>
      </c>
      <c r="C22" s="1" t="s">
        <v>14</v>
      </c>
      <c r="D22" s="1" t="s">
        <v>95</v>
      </c>
      <c r="J22" s="1" t="s">
        <v>286</v>
      </c>
      <c r="K22" s="1" t="s">
        <v>49</v>
      </c>
      <c r="O22" s="1">
        <v>0.35</v>
      </c>
      <c r="P22" s="1">
        <v>0.38</v>
      </c>
      <c r="Q22" s="1">
        <v>0.5</v>
      </c>
      <c r="R22" s="1">
        <v>1</v>
      </c>
      <c r="S22" s="1">
        <v>6.6</v>
      </c>
      <c r="T22" s="19"/>
      <c r="U22" s="1">
        <v>0.02</v>
      </c>
      <c r="V22" s="1">
        <v>0.05</v>
      </c>
      <c r="Y22" s="1">
        <v>40.700000000000003</v>
      </c>
      <c r="Z22" s="1">
        <v>40.700000000000003</v>
      </c>
      <c r="AD22" s="1" t="s">
        <v>95</v>
      </c>
    </row>
    <row r="23" spans="1:30" s="1" customFormat="1" x14ac:dyDescent="0.25">
      <c r="A23" s="11" t="s">
        <v>167</v>
      </c>
      <c r="B23" s="19">
        <v>1</v>
      </c>
      <c r="C23" s="1" t="s">
        <v>27</v>
      </c>
      <c r="D23" s="1" t="s">
        <v>283</v>
      </c>
      <c r="I23" s="1" t="s">
        <v>301</v>
      </c>
      <c r="J23" s="1" t="s">
        <v>282</v>
      </c>
      <c r="K23" s="1" t="s">
        <v>49</v>
      </c>
      <c r="O23" s="1">
        <v>0.31999999999999995</v>
      </c>
      <c r="P23" s="1">
        <v>0.35</v>
      </c>
      <c r="Q23" s="1">
        <v>0.5</v>
      </c>
      <c r="R23" s="1">
        <v>1</v>
      </c>
      <c r="S23" s="1">
        <v>2.1</v>
      </c>
      <c r="T23" s="19"/>
      <c r="U23" s="1">
        <v>0.08</v>
      </c>
      <c r="V23" s="1">
        <v>0.08</v>
      </c>
      <c r="Y23" s="1">
        <v>19.2</v>
      </c>
      <c r="Z23" s="1">
        <v>19.2</v>
      </c>
      <c r="AD23" s="1" t="s">
        <v>122</v>
      </c>
    </row>
    <row r="24" spans="1:30" s="1" customFormat="1" x14ac:dyDescent="0.25">
      <c r="A24" s="11" t="s">
        <v>167</v>
      </c>
      <c r="B24" s="19">
        <v>1</v>
      </c>
      <c r="C24" s="1" t="s">
        <v>29</v>
      </c>
      <c r="D24" s="1" t="s">
        <v>284</v>
      </c>
      <c r="I24" s="1" t="s">
        <v>301</v>
      </c>
      <c r="J24" s="1" t="s">
        <v>279</v>
      </c>
      <c r="K24" s="1" t="s">
        <v>49</v>
      </c>
      <c r="O24" s="1">
        <v>0.37</v>
      </c>
      <c r="P24" s="1">
        <v>0.4</v>
      </c>
      <c r="Q24" s="1">
        <v>0.5</v>
      </c>
      <c r="R24" s="1">
        <v>1</v>
      </c>
      <c r="S24" s="1">
        <v>3.3</v>
      </c>
      <c r="T24" s="19"/>
      <c r="U24" s="1">
        <v>0.08</v>
      </c>
      <c r="V24" s="1">
        <v>0.08</v>
      </c>
      <c r="Y24" s="1">
        <v>40.700000000000003</v>
      </c>
      <c r="Z24" s="1">
        <v>40.700000000000003</v>
      </c>
      <c r="AD24" s="1" t="s">
        <v>124</v>
      </c>
    </row>
    <row r="25" spans="1:30" s="1" customFormat="1" x14ac:dyDescent="0.25">
      <c r="A25" s="11" t="s">
        <v>167</v>
      </c>
      <c r="B25" s="19">
        <v>1</v>
      </c>
      <c r="C25" s="1" t="s">
        <v>28</v>
      </c>
      <c r="D25" s="1" t="s">
        <v>285</v>
      </c>
      <c r="I25" s="1" t="s">
        <v>301</v>
      </c>
      <c r="J25" s="1" t="s">
        <v>279</v>
      </c>
      <c r="K25" s="1" t="s">
        <v>49</v>
      </c>
      <c r="O25" s="1">
        <v>0.31999999999999995</v>
      </c>
      <c r="P25" s="1">
        <v>0.35</v>
      </c>
      <c r="Q25" s="1">
        <v>0.5</v>
      </c>
      <c r="R25" s="1">
        <v>1</v>
      </c>
      <c r="S25" s="1">
        <v>3.3</v>
      </c>
      <c r="T25" s="19"/>
      <c r="U25" s="1">
        <v>0.08</v>
      </c>
      <c r="V25" s="1">
        <v>0.08</v>
      </c>
      <c r="Y25" s="1">
        <v>47</v>
      </c>
      <c r="Z25" s="1">
        <v>47</v>
      </c>
      <c r="AD25" s="1" t="s">
        <v>123</v>
      </c>
    </row>
    <row r="26" spans="1:30" s="1" customFormat="1" x14ac:dyDescent="0.25">
      <c r="A26" s="11" t="s">
        <v>167</v>
      </c>
      <c r="B26" s="19">
        <v>1</v>
      </c>
      <c r="C26" s="1" t="s">
        <v>172</v>
      </c>
      <c r="D26" s="1" t="s">
        <v>290</v>
      </c>
      <c r="J26" s="1" t="s">
        <v>276</v>
      </c>
      <c r="K26" s="1" t="s">
        <v>49</v>
      </c>
      <c r="O26" s="1">
        <v>0.28000000000000003</v>
      </c>
      <c r="P26" s="1">
        <v>0.31</v>
      </c>
      <c r="Q26" s="1">
        <v>0.4</v>
      </c>
      <c r="R26" s="1">
        <v>1</v>
      </c>
      <c r="S26" s="1">
        <v>3.3</v>
      </c>
      <c r="T26" s="19"/>
      <c r="U26" s="1">
        <v>0.02</v>
      </c>
      <c r="V26" s="1">
        <v>0.05</v>
      </c>
      <c r="Y26" s="1">
        <v>40.700000000000003</v>
      </c>
      <c r="Z26" s="1">
        <v>40.700000000000003</v>
      </c>
      <c r="AD26" s="1" t="s">
        <v>173</v>
      </c>
    </row>
    <row r="27" spans="1:30" s="1" customFormat="1" x14ac:dyDescent="0.25">
      <c r="A27" s="11" t="s">
        <v>167</v>
      </c>
      <c r="B27" s="19">
        <v>1</v>
      </c>
      <c r="C27" s="1" t="s">
        <v>9</v>
      </c>
      <c r="D27" s="1" t="s">
        <v>291</v>
      </c>
      <c r="I27" s="1" t="s">
        <v>301</v>
      </c>
      <c r="J27" s="1" t="s">
        <v>276</v>
      </c>
      <c r="K27" s="1" t="s">
        <v>49</v>
      </c>
      <c r="O27" s="1">
        <v>0.31999999999999995</v>
      </c>
      <c r="P27" s="13">
        <v>0.35</v>
      </c>
      <c r="Q27" s="1">
        <v>0.4</v>
      </c>
      <c r="R27" s="1">
        <v>1</v>
      </c>
      <c r="S27" s="13">
        <v>3.3</v>
      </c>
      <c r="T27" s="23"/>
      <c r="U27" s="1">
        <v>0.02</v>
      </c>
      <c r="V27" s="1">
        <v>0.05</v>
      </c>
      <c r="Y27" s="13">
        <v>47</v>
      </c>
      <c r="Z27" s="13">
        <v>47</v>
      </c>
      <c r="AD27" s="1" t="s">
        <v>106</v>
      </c>
    </row>
    <row r="28" spans="1:30" s="1" customFormat="1" x14ac:dyDescent="0.25">
      <c r="A28" s="11" t="s">
        <v>167</v>
      </c>
      <c r="B28" s="19">
        <v>1</v>
      </c>
      <c r="C28" s="1" t="s">
        <v>10</v>
      </c>
      <c r="D28" s="1" t="s">
        <v>292</v>
      </c>
      <c r="I28" s="1" t="s">
        <v>301</v>
      </c>
      <c r="J28" s="1" t="s">
        <v>276</v>
      </c>
      <c r="K28" s="1" t="s">
        <v>49</v>
      </c>
      <c r="O28" s="1">
        <v>0.37</v>
      </c>
      <c r="P28" s="1">
        <v>0.39</v>
      </c>
      <c r="Q28" s="1">
        <v>0.4</v>
      </c>
      <c r="R28" s="1">
        <v>1</v>
      </c>
      <c r="S28" s="1">
        <v>3.3</v>
      </c>
      <c r="T28" s="19"/>
      <c r="U28" s="1">
        <v>0.02</v>
      </c>
      <c r="V28" s="1">
        <v>0.05</v>
      </c>
      <c r="Y28" s="1">
        <v>40.700000000000003</v>
      </c>
      <c r="Z28" s="1">
        <v>40.700000000000003</v>
      </c>
      <c r="AD28" s="1" t="s">
        <v>107</v>
      </c>
    </row>
    <row r="29" spans="1:30" s="1" customFormat="1" x14ac:dyDescent="0.25">
      <c r="A29" s="11" t="s">
        <v>167</v>
      </c>
      <c r="B29" s="19">
        <v>1</v>
      </c>
      <c r="C29" s="1" t="s">
        <v>5</v>
      </c>
      <c r="D29" s="1" t="s">
        <v>243</v>
      </c>
      <c r="I29" s="1" t="s">
        <v>301</v>
      </c>
      <c r="J29" s="1" t="s">
        <v>275</v>
      </c>
      <c r="K29" s="1" t="s">
        <v>49</v>
      </c>
      <c r="O29" s="1">
        <v>0.37</v>
      </c>
      <c r="P29" s="1">
        <v>0.4</v>
      </c>
      <c r="Q29" s="1">
        <v>0.4</v>
      </c>
      <c r="R29" s="1">
        <v>1</v>
      </c>
      <c r="S29" s="1">
        <v>3.3</v>
      </c>
      <c r="T29" s="19"/>
      <c r="U29" s="1">
        <v>0.02</v>
      </c>
      <c r="V29" s="1">
        <v>0.05</v>
      </c>
      <c r="Y29" s="1">
        <v>40.700000000000003</v>
      </c>
      <c r="Z29" s="1">
        <v>40.700000000000003</v>
      </c>
      <c r="AD29" s="1" t="s">
        <v>103</v>
      </c>
    </row>
    <row r="30" spans="1:30" s="1" customFormat="1" x14ac:dyDescent="0.25">
      <c r="A30" s="11" t="s">
        <v>167</v>
      </c>
      <c r="B30" s="19">
        <v>1</v>
      </c>
      <c r="C30" s="1" t="s">
        <v>4</v>
      </c>
      <c r="D30" s="1" t="s">
        <v>244</v>
      </c>
      <c r="I30" s="1" t="s">
        <v>301</v>
      </c>
      <c r="J30" s="1" t="s">
        <v>275</v>
      </c>
      <c r="K30" s="1" t="s">
        <v>49</v>
      </c>
      <c r="O30" s="1">
        <v>0.31999999999999995</v>
      </c>
      <c r="P30" s="13">
        <v>0.35</v>
      </c>
      <c r="Q30" s="1">
        <v>0.4</v>
      </c>
      <c r="R30" s="1">
        <v>1</v>
      </c>
      <c r="S30" s="13">
        <v>3.3</v>
      </c>
      <c r="T30" s="23"/>
      <c r="U30" s="1">
        <v>0.02</v>
      </c>
      <c r="V30" s="1">
        <v>0.05</v>
      </c>
      <c r="Y30" s="13">
        <v>47</v>
      </c>
      <c r="Z30" s="13">
        <v>47</v>
      </c>
      <c r="AD30" s="1" t="s">
        <v>102</v>
      </c>
    </row>
    <row r="31" spans="1:30" s="1" customFormat="1" x14ac:dyDescent="0.25">
      <c r="A31" s="11" t="s">
        <v>167</v>
      </c>
      <c r="B31" s="19">
        <v>1</v>
      </c>
      <c r="C31" s="1" t="s">
        <v>8</v>
      </c>
      <c r="D31" s="1" t="s">
        <v>293</v>
      </c>
      <c r="I31" s="1" t="s">
        <v>301</v>
      </c>
      <c r="J31" s="1" t="s">
        <v>276</v>
      </c>
      <c r="K31" s="1" t="s">
        <v>49</v>
      </c>
      <c r="O31" s="1">
        <v>0.43000000000000005</v>
      </c>
      <c r="P31" s="1">
        <v>0.45</v>
      </c>
      <c r="Q31" s="1">
        <v>0.25</v>
      </c>
      <c r="R31" s="1">
        <v>1</v>
      </c>
      <c r="S31" s="1">
        <v>3.3</v>
      </c>
      <c r="T31" s="19"/>
      <c r="U31" s="1">
        <v>0.04</v>
      </c>
      <c r="V31" s="1">
        <v>0.05</v>
      </c>
      <c r="Y31" s="1">
        <v>28.6</v>
      </c>
      <c r="Z31" s="1">
        <v>28.6</v>
      </c>
      <c r="AD31" s="1" t="s">
        <v>105</v>
      </c>
    </row>
    <row r="32" spans="1:30" s="1" customFormat="1" x14ac:dyDescent="0.25">
      <c r="A32" s="11" t="s">
        <v>167</v>
      </c>
      <c r="B32" s="19">
        <v>1</v>
      </c>
      <c r="C32" s="1" t="s">
        <v>6</v>
      </c>
      <c r="D32" s="1" t="s">
        <v>245</v>
      </c>
      <c r="I32" s="1" t="s">
        <v>301</v>
      </c>
      <c r="J32" s="1" t="s">
        <v>275</v>
      </c>
      <c r="K32" s="1" t="s">
        <v>49</v>
      </c>
      <c r="O32" s="1">
        <v>0.43000000000000005</v>
      </c>
      <c r="P32" s="1">
        <v>0.46</v>
      </c>
      <c r="Q32" s="1">
        <v>0.25</v>
      </c>
      <c r="R32" s="1">
        <v>1</v>
      </c>
      <c r="S32" s="1">
        <v>3.3</v>
      </c>
      <c r="T32" s="19"/>
      <c r="U32" s="1">
        <v>0.04</v>
      </c>
      <c r="V32" s="1">
        <v>0.05</v>
      </c>
      <c r="Y32" s="1">
        <v>28.6</v>
      </c>
      <c r="Z32" s="1">
        <v>28.6</v>
      </c>
      <c r="AD32" s="1" t="s">
        <v>104</v>
      </c>
    </row>
    <row r="33" spans="1:30" s="1" customFormat="1" x14ac:dyDescent="0.25">
      <c r="A33" s="11" t="s">
        <v>167</v>
      </c>
      <c r="B33" s="19">
        <v>1</v>
      </c>
      <c r="C33" s="1" t="s">
        <v>170</v>
      </c>
      <c r="D33" s="1" t="s">
        <v>294</v>
      </c>
      <c r="J33" s="1" t="s">
        <v>276</v>
      </c>
      <c r="K33" s="1" t="s">
        <v>49</v>
      </c>
      <c r="O33" s="1">
        <v>0.27</v>
      </c>
      <c r="P33" s="1">
        <v>0.3</v>
      </c>
      <c r="Q33" s="1">
        <v>0.2</v>
      </c>
      <c r="R33" s="1">
        <v>1</v>
      </c>
      <c r="S33" s="1">
        <v>2.1</v>
      </c>
      <c r="T33" s="19"/>
      <c r="U33" s="1">
        <v>0.15</v>
      </c>
      <c r="V33" s="1">
        <v>0.15</v>
      </c>
      <c r="Y33" s="1">
        <v>29.4</v>
      </c>
      <c r="Z33" s="1">
        <v>29.4</v>
      </c>
      <c r="AD33" s="1" t="s">
        <v>171</v>
      </c>
    </row>
    <row r="34" spans="1:30" s="1" customFormat="1" x14ac:dyDescent="0.25">
      <c r="A34" s="11" t="s">
        <v>167</v>
      </c>
      <c r="B34" s="19">
        <v>1</v>
      </c>
      <c r="C34" s="1" t="s">
        <v>18</v>
      </c>
      <c r="D34" s="1" t="s">
        <v>110</v>
      </c>
      <c r="I34" s="1" t="s">
        <v>301</v>
      </c>
      <c r="J34" s="1" t="s">
        <v>277</v>
      </c>
      <c r="K34" s="1" t="s">
        <v>49</v>
      </c>
      <c r="O34" s="1">
        <v>0.38</v>
      </c>
      <c r="P34" s="1">
        <v>0.41</v>
      </c>
      <c r="Q34" s="1">
        <v>0.2</v>
      </c>
      <c r="R34" s="1">
        <v>1</v>
      </c>
      <c r="S34" s="1">
        <v>2.1</v>
      </c>
      <c r="T34" s="19"/>
      <c r="U34" s="1">
        <v>0.15</v>
      </c>
      <c r="V34" s="1">
        <v>0.15</v>
      </c>
      <c r="Y34" s="1">
        <v>29.4</v>
      </c>
      <c r="Z34" s="1">
        <v>29.4</v>
      </c>
      <c r="AD34" s="1" t="s">
        <v>110</v>
      </c>
    </row>
    <row r="35" spans="1:30" s="1" customFormat="1" x14ac:dyDescent="0.25">
      <c r="A35" s="11" t="s">
        <v>167</v>
      </c>
      <c r="B35" s="19">
        <v>1</v>
      </c>
      <c r="C35" s="1" t="s">
        <v>17</v>
      </c>
      <c r="D35" s="1" t="s">
        <v>109</v>
      </c>
      <c r="I35" s="1" t="s">
        <v>301</v>
      </c>
      <c r="J35" s="1" t="s">
        <v>277</v>
      </c>
      <c r="K35" s="1" t="s">
        <v>49</v>
      </c>
      <c r="O35" s="1">
        <v>0.32999999999999996</v>
      </c>
      <c r="P35" s="1">
        <v>0.36</v>
      </c>
      <c r="Q35" s="1">
        <v>0.2</v>
      </c>
      <c r="R35" s="1">
        <v>1</v>
      </c>
      <c r="S35" s="1">
        <v>2.1</v>
      </c>
      <c r="T35" s="19"/>
      <c r="U35" s="1">
        <v>0.15</v>
      </c>
      <c r="V35" s="1">
        <v>0.15</v>
      </c>
      <c r="Y35" s="1">
        <v>34.799999999999997</v>
      </c>
      <c r="Z35" s="1">
        <v>34.799999999999997</v>
      </c>
      <c r="AD35" s="1" t="s">
        <v>109</v>
      </c>
    </row>
    <row r="36" spans="1:30" s="1" customFormat="1" x14ac:dyDescent="0.25">
      <c r="A36" s="11" t="s">
        <v>167</v>
      </c>
      <c r="B36" s="19">
        <v>1</v>
      </c>
      <c r="C36" s="1" t="s">
        <v>25</v>
      </c>
      <c r="D36" s="1" t="s">
        <v>117</v>
      </c>
      <c r="I36" s="1" t="s">
        <v>301</v>
      </c>
      <c r="J36" s="1" t="s">
        <v>277</v>
      </c>
      <c r="K36" s="1" t="s">
        <v>49</v>
      </c>
      <c r="O36" s="1">
        <v>0.31999999999999995</v>
      </c>
      <c r="P36" s="1">
        <v>0.35</v>
      </c>
      <c r="Q36" s="1">
        <v>0.5</v>
      </c>
      <c r="R36" s="1">
        <v>1</v>
      </c>
      <c r="S36" s="1">
        <v>2.6</v>
      </c>
      <c r="T36" s="19"/>
      <c r="U36" s="1">
        <v>0.08</v>
      </c>
      <c r="V36" s="1">
        <v>0.08</v>
      </c>
      <c r="Y36" s="1">
        <v>26.2</v>
      </c>
      <c r="Z36" s="1">
        <v>26.2</v>
      </c>
      <c r="AD36" s="1" t="s">
        <v>117</v>
      </c>
    </row>
    <row r="37" spans="1:30" s="1" customFormat="1" x14ac:dyDescent="0.25">
      <c r="A37" s="11" t="s">
        <v>167</v>
      </c>
      <c r="B37" s="19">
        <v>1</v>
      </c>
      <c r="C37" s="1" t="s">
        <v>26</v>
      </c>
      <c r="D37" s="1" t="s">
        <v>118</v>
      </c>
      <c r="I37" s="1" t="s">
        <v>301</v>
      </c>
      <c r="J37" s="1" t="s">
        <v>277</v>
      </c>
      <c r="K37" s="1" t="s">
        <v>49</v>
      </c>
      <c r="O37" s="1">
        <v>0.39</v>
      </c>
      <c r="P37" s="1">
        <v>0.42</v>
      </c>
      <c r="Q37" s="1">
        <v>0.4</v>
      </c>
      <c r="R37" s="1">
        <v>1</v>
      </c>
      <c r="S37" s="1">
        <v>2.6</v>
      </c>
      <c r="T37" s="19"/>
      <c r="U37" s="1">
        <v>0.12</v>
      </c>
      <c r="V37" s="1">
        <v>0.12</v>
      </c>
      <c r="Y37" s="1">
        <v>12.1</v>
      </c>
      <c r="Z37" s="1">
        <v>12.1</v>
      </c>
      <c r="AD37" s="1" t="s">
        <v>118</v>
      </c>
    </row>
    <row r="38" spans="1:30" s="1" customFormat="1" x14ac:dyDescent="0.25">
      <c r="A38" s="11" t="s">
        <v>167</v>
      </c>
      <c r="B38" s="19">
        <v>1</v>
      </c>
      <c r="C38" s="1" t="s">
        <v>22</v>
      </c>
      <c r="D38" s="1" t="s">
        <v>114</v>
      </c>
      <c r="I38" s="1" t="s">
        <v>301</v>
      </c>
      <c r="J38" s="1" t="s">
        <v>277</v>
      </c>
      <c r="K38" s="1" t="s">
        <v>49</v>
      </c>
      <c r="O38" s="1">
        <v>0.54999999999999993</v>
      </c>
      <c r="P38" s="1">
        <v>0.57999999999999996</v>
      </c>
      <c r="Q38" s="1">
        <v>0.4</v>
      </c>
      <c r="R38" s="1">
        <v>1</v>
      </c>
      <c r="S38" s="1">
        <v>2.6</v>
      </c>
      <c r="T38" s="19"/>
      <c r="U38" s="1">
        <v>0.04</v>
      </c>
      <c r="V38" s="1">
        <v>0.05</v>
      </c>
      <c r="Y38" s="1">
        <v>18</v>
      </c>
      <c r="Z38" s="1">
        <v>18</v>
      </c>
      <c r="AD38" s="1" t="s">
        <v>114</v>
      </c>
    </row>
    <row r="39" spans="1:30" s="1" customFormat="1" x14ac:dyDescent="0.25">
      <c r="A39" s="11" t="s">
        <v>167</v>
      </c>
      <c r="B39" s="19">
        <v>1</v>
      </c>
      <c r="C39" s="1" t="s">
        <v>21</v>
      </c>
      <c r="D39" s="1" t="s">
        <v>113</v>
      </c>
      <c r="I39" s="1" t="s">
        <v>301</v>
      </c>
      <c r="J39" s="1" t="s">
        <v>277</v>
      </c>
      <c r="K39" s="1" t="s">
        <v>49</v>
      </c>
      <c r="O39" s="1">
        <v>0.53</v>
      </c>
      <c r="P39" s="1">
        <v>0.56000000000000005</v>
      </c>
      <c r="Q39" s="1">
        <v>0.4</v>
      </c>
      <c r="R39" s="1">
        <v>1</v>
      </c>
      <c r="S39" s="1">
        <v>2.6</v>
      </c>
      <c r="T39" s="19"/>
      <c r="U39" s="1">
        <v>0.04</v>
      </c>
      <c r="V39" s="1">
        <v>0.05</v>
      </c>
      <c r="Y39" s="1">
        <v>18</v>
      </c>
      <c r="Z39" s="1">
        <v>18</v>
      </c>
      <c r="AD39" s="1" t="s">
        <v>113</v>
      </c>
    </row>
    <row r="40" spans="1:30" s="1" customFormat="1" x14ac:dyDescent="0.25">
      <c r="A40" s="11" t="s">
        <v>167</v>
      </c>
      <c r="B40" s="19">
        <v>1</v>
      </c>
      <c r="C40" s="1" t="s">
        <v>174</v>
      </c>
      <c r="D40" s="1" t="s">
        <v>295</v>
      </c>
      <c r="J40" s="1" t="s">
        <v>276</v>
      </c>
      <c r="K40" s="1" t="s">
        <v>49</v>
      </c>
      <c r="O40" s="1">
        <v>0.29000000000000004</v>
      </c>
      <c r="P40" s="1">
        <v>0.32</v>
      </c>
      <c r="Q40" s="1">
        <v>0.5</v>
      </c>
      <c r="R40" s="1">
        <v>1</v>
      </c>
      <c r="S40" s="1">
        <v>2.6</v>
      </c>
      <c r="T40" s="19"/>
      <c r="U40" s="1">
        <v>0.02</v>
      </c>
      <c r="V40" s="1">
        <v>0.05</v>
      </c>
      <c r="Y40" s="1">
        <v>30.9</v>
      </c>
      <c r="Z40" s="1">
        <v>30.9</v>
      </c>
      <c r="AD40" s="1" t="s">
        <v>175</v>
      </c>
    </row>
    <row r="41" spans="1:30" s="1" customFormat="1" x14ac:dyDescent="0.25">
      <c r="A41" s="11" t="s">
        <v>167</v>
      </c>
      <c r="B41" s="19">
        <v>1</v>
      </c>
      <c r="C41" s="1" t="s">
        <v>20</v>
      </c>
      <c r="D41" s="1" t="s">
        <v>112</v>
      </c>
      <c r="I41" s="1" t="s">
        <v>301</v>
      </c>
      <c r="J41" s="1" t="s">
        <v>277</v>
      </c>
      <c r="K41" s="1" t="s">
        <v>49</v>
      </c>
      <c r="O41" s="1">
        <v>0.44999999999999996</v>
      </c>
      <c r="P41" s="1">
        <v>0.48</v>
      </c>
      <c r="Q41" s="1">
        <v>0.5</v>
      </c>
      <c r="R41" s="1">
        <v>1</v>
      </c>
      <c r="S41" s="1">
        <v>2.6</v>
      </c>
      <c r="T41" s="19"/>
      <c r="U41" s="1">
        <v>0.02</v>
      </c>
      <c r="V41" s="1">
        <v>0.05</v>
      </c>
      <c r="Y41" s="1">
        <v>30.9</v>
      </c>
      <c r="Z41" s="1">
        <v>30.9</v>
      </c>
      <c r="AD41" s="1" t="s">
        <v>112</v>
      </c>
    </row>
    <row r="42" spans="1:30" s="1" customFormat="1" x14ac:dyDescent="0.25">
      <c r="A42" s="11" t="s">
        <v>167</v>
      </c>
      <c r="B42" s="19">
        <v>1</v>
      </c>
      <c r="C42" s="1" t="s">
        <v>19</v>
      </c>
      <c r="D42" s="1" t="s">
        <v>111</v>
      </c>
      <c r="I42" s="1" t="s">
        <v>301</v>
      </c>
      <c r="J42" s="1" t="s">
        <v>277</v>
      </c>
      <c r="K42" s="1" t="s">
        <v>49</v>
      </c>
      <c r="O42" s="1">
        <v>0.37</v>
      </c>
      <c r="P42" s="1">
        <v>0.4</v>
      </c>
      <c r="Q42" s="1">
        <v>0.5</v>
      </c>
      <c r="R42" s="1">
        <v>1</v>
      </c>
      <c r="S42" s="1">
        <v>2.6</v>
      </c>
      <c r="T42" s="19"/>
      <c r="U42" s="1">
        <v>0.02</v>
      </c>
      <c r="V42" s="1">
        <v>0.05</v>
      </c>
      <c r="Y42" s="1">
        <v>39.5</v>
      </c>
      <c r="Z42" s="1">
        <v>39.5</v>
      </c>
      <c r="AD42" s="1" t="s">
        <v>111</v>
      </c>
    </row>
    <row r="43" spans="1:30" s="1" customFormat="1" x14ac:dyDescent="0.25">
      <c r="A43" s="11" t="s">
        <v>167</v>
      </c>
      <c r="B43" s="19">
        <v>1</v>
      </c>
      <c r="C43" s="1" t="s">
        <v>23</v>
      </c>
      <c r="D43" s="1" t="s">
        <v>115</v>
      </c>
      <c r="I43" s="1" t="s">
        <v>301</v>
      </c>
      <c r="J43" s="1" t="s">
        <v>277</v>
      </c>
      <c r="K43" s="1" t="s">
        <v>49</v>
      </c>
      <c r="O43" s="1">
        <v>0.56999999999999995</v>
      </c>
      <c r="P43" s="1">
        <v>0.6</v>
      </c>
      <c r="Q43" s="1">
        <v>0.4</v>
      </c>
      <c r="R43" s="1">
        <v>1</v>
      </c>
      <c r="S43" s="1">
        <v>2.6</v>
      </c>
      <c r="T43" s="19"/>
      <c r="U43" s="1">
        <v>0.04</v>
      </c>
      <c r="V43" s="1">
        <v>0.05</v>
      </c>
      <c r="Y43" s="1">
        <v>18</v>
      </c>
      <c r="Z43" s="1">
        <v>18</v>
      </c>
      <c r="AD43" s="1" t="s">
        <v>115</v>
      </c>
    </row>
    <row r="44" spans="1:30" x14ac:dyDescent="0.25">
      <c r="A44" s="10" t="s">
        <v>217</v>
      </c>
      <c r="B44" s="20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20"/>
      <c r="U44" s="9"/>
      <c r="V44" s="9"/>
      <c r="W44" s="9"/>
      <c r="X44" s="9"/>
      <c r="Y44" s="9"/>
      <c r="Z44" s="9"/>
      <c r="AA44" s="9"/>
      <c r="AB44" s="9"/>
      <c r="AD44" s="9"/>
    </row>
    <row r="45" spans="1:30" s="1" customFormat="1" x14ac:dyDescent="0.25">
      <c r="A45" s="11" t="s">
        <v>167</v>
      </c>
      <c r="B45" s="19">
        <v>1</v>
      </c>
      <c r="C45" s="1" t="s">
        <v>7</v>
      </c>
      <c r="D45" s="1" t="s">
        <v>281</v>
      </c>
      <c r="I45" s="1" t="s">
        <v>301</v>
      </c>
      <c r="J45" s="1" t="s">
        <v>275</v>
      </c>
      <c r="K45" s="1" t="s">
        <v>49</v>
      </c>
      <c r="L45" s="1" t="s">
        <v>85</v>
      </c>
      <c r="M45" s="1">
        <v>0</v>
      </c>
      <c r="O45" s="1">
        <v>0.38</v>
      </c>
      <c r="P45" s="1">
        <v>0.38</v>
      </c>
      <c r="Q45" s="1">
        <v>0.25</v>
      </c>
      <c r="R45" s="1">
        <v>1</v>
      </c>
      <c r="S45" s="1">
        <v>6.6</v>
      </c>
      <c r="T45" s="19"/>
      <c r="U45" s="1">
        <v>0.04</v>
      </c>
      <c r="V45" s="1">
        <v>0.05</v>
      </c>
      <c r="Y45" s="1">
        <v>40.700000000000003</v>
      </c>
      <c r="Z45" s="1">
        <v>40.700000000000003</v>
      </c>
      <c r="AD45" s="1" t="s">
        <v>164</v>
      </c>
    </row>
    <row r="46" spans="1:30" s="1" customFormat="1" x14ac:dyDescent="0.25">
      <c r="A46" s="11" t="s">
        <v>167</v>
      </c>
      <c r="B46" s="19">
        <v>1</v>
      </c>
      <c r="C46" s="1" t="s">
        <v>24</v>
      </c>
      <c r="D46" s="1" t="s">
        <v>116</v>
      </c>
      <c r="I46" s="1" t="s">
        <v>301</v>
      </c>
      <c r="J46" s="1" t="s">
        <v>277</v>
      </c>
      <c r="K46" s="1" t="s">
        <v>49</v>
      </c>
      <c r="L46" s="1" t="s">
        <v>85</v>
      </c>
      <c r="M46" s="1">
        <v>0</v>
      </c>
      <c r="O46" s="1">
        <v>0.51</v>
      </c>
      <c r="P46" s="1">
        <v>0.51</v>
      </c>
      <c r="Q46" s="1">
        <v>0.4</v>
      </c>
      <c r="R46" s="1">
        <v>1</v>
      </c>
      <c r="S46" s="1">
        <v>3.2</v>
      </c>
      <c r="T46" s="19"/>
      <c r="U46" s="1">
        <v>0.04</v>
      </c>
      <c r="V46" s="1">
        <v>0.05</v>
      </c>
      <c r="Y46" s="1">
        <v>30.9</v>
      </c>
      <c r="Z46" s="1">
        <v>30.9</v>
      </c>
      <c r="AD46" s="1" t="s">
        <v>116</v>
      </c>
    </row>
    <row r="47" spans="1:30" x14ac:dyDescent="0.25">
      <c r="A47" s="10" t="s">
        <v>218</v>
      </c>
      <c r="B47" s="20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20"/>
      <c r="U47" s="9"/>
      <c r="V47" s="9"/>
      <c r="W47" s="9"/>
      <c r="X47" s="9"/>
      <c r="Y47" s="9"/>
      <c r="Z47" s="9"/>
      <c r="AA47" s="9"/>
      <c r="AB47" s="9"/>
      <c r="AD47" s="9"/>
    </row>
    <row r="48" spans="1:30" s="1" customFormat="1" x14ac:dyDescent="0.25">
      <c r="A48" s="11" t="s">
        <v>167</v>
      </c>
      <c r="B48" s="19">
        <v>1</v>
      </c>
      <c r="C48" s="1" t="s">
        <v>2</v>
      </c>
      <c r="D48" s="1" t="s">
        <v>96</v>
      </c>
      <c r="J48" s="1" t="s">
        <v>96</v>
      </c>
      <c r="K48" s="1" t="s">
        <v>49</v>
      </c>
      <c r="O48" s="13">
        <v>0.33</v>
      </c>
      <c r="P48" s="13">
        <v>0.33</v>
      </c>
      <c r="Q48" s="1">
        <v>0.95</v>
      </c>
      <c r="R48" s="1">
        <v>1</v>
      </c>
      <c r="S48" s="13">
        <v>3</v>
      </c>
      <c r="T48" s="23"/>
      <c r="U48" s="1">
        <v>0.05</v>
      </c>
      <c r="V48" s="1">
        <v>0.05</v>
      </c>
      <c r="Y48" s="13">
        <v>60</v>
      </c>
      <c r="Z48" s="13">
        <v>240</v>
      </c>
      <c r="AB48" s="1" t="s">
        <v>210</v>
      </c>
      <c r="AD48" s="1" t="s">
        <v>96</v>
      </c>
    </row>
    <row r="49" spans="1:30" s="1" customFormat="1" x14ac:dyDescent="0.25">
      <c r="A49" s="11" t="s">
        <v>167</v>
      </c>
      <c r="B49" s="19">
        <v>1</v>
      </c>
      <c r="C49" s="1" t="s">
        <v>209</v>
      </c>
      <c r="D49" s="1" t="s">
        <v>201</v>
      </c>
      <c r="J49" s="1" t="s">
        <v>96</v>
      </c>
      <c r="K49" s="1" t="s">
        <v>49</v>
      </c>
      <c r="O49" s="13">
        <v>0.33</v>
      </c>
      <c r="P49" s="13">
        <v>0.33</v>
      </c>
      <c r="Q49" s="1">
        <v>0.95</v>
      </c>
      <c r="R49" s="1">
        <v>1</v>
      </c>
      <c r="S49" s="13">
        <v>3.1</v>
      </c>
      <c r="T49" s="23"/>
      <c r="U49" s="1">
        <v>0.05</v>
      </c>
      <c r="V49" s="1">
        <v>0.05</v>
      </c>
      <c r="Y49" s="13">
        <v>5</v>
      </c>
      <c r="Z49" s="13">
        <v>45</v>
      </c>
      <c r="AB49" s="1" t="s">
        <v>211</v>
      </c>
      <c r="AD49" s="1" t="s">
        <v>201</v>
      </c>
    </row>
    <row r="50" spans="1:30" s="1" customFormat="1" x14ac:dyDescent="0.25">
      <c r="A50" s="14" t="s">
        <v>219</v>
      </c>
      <c r="B50" s="18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8"/>
      <c r="U50" s="15"/>
      <c r="V50" s="15"/>
      <c r="W50" s="15"/>
      <c r="X50" s="15"/>
      <c r="Y50" s="15"/>
      <c r="Z50" s="15"/>
      <c r="AA50" s="15"/>
      <c r="AB50" s="15"/>
      <c r="AD50" s="15"/>
    </row>
    <row r="51" spans="1:30" s="1" customFormat="1" x14ac:dyDescent="0.25">
      <c r="A51" s="11" t="s">
        <v>167</v>
      </c>
      <c r="B51" s="19">
        <v>1</v>
      </c>
      <c r="C51" s="1" t="s">
        <v>185</v>
      </c>
      <c r="D51" s="1" t="s">
        <v>296</v>
      </c>
      <c r="J51" s="1" t="s">
        <v>276</v>
      </c>
      <c r="K51" s="1" t="s">
        <v>49</v>
      </c>
      <c r="L51" s="1" t="s">
        <v>177</v>
      </c>
      <c r="O51" s="1">
        <v>0.9</v>
      </c>
      <c r="P51" s="1">
        <v>0.9</v>
      </c>
      <c r="Q51" s="1">
        <v>0.4</v>
      </c>
      <c r="R51" s="1">
        <v>1</v>
      </c>
      <c r="S51" s="1">
        <v>2</v>
      </c>
      <c r="T51" s="19"/>
      <c r="U51" s="1">
        <v>0.05</v>
      </c>
      <c r="V51" s="1">
        <v>0.05</v>
      </c>
      <c r="W51" s="1">
        <v>0.5</v>
      </c>
      <c r="X51" s="1">
        <v>-0.16666666666666699</v>
      </c>
      <c r="Y51" s="1">
        <v>42.5</v>
      </c>
      <c r="Z51" s="1">
        <v>42.5</v>
      </c>
      <c r="AD51" s="1" t="s">
        <v>186</v>
      </c>
    </row>
    <row r="52" spans="1:30" s="1" customFormat="1" x14ac:dyDescent="0.25">
      <c r="A52" s="11" t="s">
        <v>167</v>
      </c>
      <c r="B52" s="19">
        <v>1</v>
      </c>
      <c r="C52" s="1" t="s">
        <v>184</v>
      </c>
      <c r="D52" s="1" t="s">
        <v>297</v>
      </c>
      <c r="I52" s="1" t="s">
        <v>301</v>
      </c>
      <c r="J52" s="1" t="s">
        <v>275</v>
      </c>
      <c r="K52" s="1" t="s">
        <v>49</v>
      </c>
      <c r="L52" s="1" t="s">
        <v>177</v>
      </c>
      <c r="O52" s="1">
        <v>0.9</v>
      </c>
      <c r="P52" s="1">
        <v>0.9</v>
      </c>
      <c r="Q52" s="1">
        <v>0.4</v>
      </c>
      <c r="R52" s="1">
        <v>1</v>
      </c>
      <c r="S52" s="1">
        <v>2</v>
      </c>
      <c r="T52" s="19"/>
      <c r="U52" s="1">
        <v>0.05</v>
      </c>
      <c r="V52" s="1">
        <v>0.05</v>
      </c>
      <c r="W52" s="1">
        <v>0.5</v>
      </c>
      <c r="X52" s="1">
        <v>-0.16666666666666699</v>
      </c>
      <c r="Y52" s="1">
        <v>47.5</v>
      </c>
      <c r="Z52" s="1">
        <v>47.5</v>
      </c>
      <c r="AD52" s="1" t="s">
        <v>187</v>
      </c>
    </row>
    <row r="53" spans="1:30" s="1" customFormat="1" x14ac:dyDescent="0.25">
      <c r="A53" s="11" t="s">
        <v>167</v>
      </c>
      <c r="B53" s="19">
        <v>1</v>
      </c>
      <c r="C53" s="1" t="s">
        <v>188</v>
      </c>
      <c r="D53" s="1" t="s">
        <v>298</v>
      </c>
      <c r="I53" s="1" t="s">
        <v>301</v>
      </c>
      <c r="J53" s="1" t="s">
        <v>277</v>
      </c>
      <c r="K53" s="1" t="s">
        <v>49</v>
      </c>
      <c r="L53" s="1" t="s">
        <v>177</v>
      </c>
      <c r="O53" s="1">
        <v>0.9</v>
      </c>
      <c r="P53" s="1">
        <v>0.9</v>
      </c>
      <c r="Q53" s="1">
        <v>0.4</v>
      </c>
      <c r="R53" s="1">
        <v>1</v>
      </c>
      <c r="S53" s="1">
        <v>2</v>
      </c>
      <c r="T53" s="19"/>
      <c r="U53" s="1">
        <v>0.05</v>
      </c>
      <c r="V53" s="1">
        <v>0.05</v>
      </c>
      <c r="W53" s="1">
        <v>0.5</v>
      </c>
      <c r="X53" s="1">
        <v>-0.16666666666666699</v>
      </c>
      <c r="Y53" s="1">
        <v>47.5</v>
      </c>
      <c r="Z53" s="1">
        <v>47.5</v>
      </c>
      <c r="AD53" s="1" t="s">
        <v>189</v>
      </c>
    </row>
    <row r="54" spans="1:30" s="1" customFormat="1" x14ac:dyDescent="0.25">
      <c r="A54" s="14" t="s">
        <v>220</v>
      </c>
      <c r="B54" s="18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8"/>
      <c r="U54" s="15"/>
      <c r="V54" s="15"/>
      <c r="W54" s="15"/>
      <c r="X54" s="15"/>
      <c r="Y54" s="15"/>
      <c r="Z54" s="15"/>
      <c r="AA54" s="15"/>
      <c r="AB54" s="15"/>
      <c r="AD54" s="15"/>
    </row>
    <row r="55" spans="1:30" s="1" customFormat="1" x14ac:dyDescent="0.25">
      <c r="A55" s="1" t="s">
        <v>167</v>
      </c>
      <c r="B55" s="19">
        <v>1</v>
      </c>
      <c r="C55" s="1" t="s">
        <v>52</v>
      </c>
      <c r="D55" s="1" t="s">
        <v>256</v>
      </c>
      <c r="J55" s="1" t="s">
        <v>49</v>
      </c>
      <c r="K55" s="1" t="s">
        <v>266</v>
      </c>
      <c r="O55" s="1">
        <v>0.94</v>
      </c>
      <c r="Q55" s="1">
        <v>1</v>
      </c>
      <c r="S55" s="1">
        <v>1.4</v>
      </c>
      <c r="T55" s="19"/>
      <c r="AD55" s="1" t="s">
        <v>141</v>
      </c>
    </row>
    <row r="56" spans="1:30" s="1" customFormat="1" x14ac:dyDescent="0.25">
      <c r="A56" s="11" t="s">
        <v>167</v>
      </c>
      <c r="B56" s="19">
        <v>1</v>
      </c>
      <c r="C56" s="1" t="s">
        <v>51</v>
      </c>
      <c r="D56" s="1" t="s">
        <v>254</v>
      </c>
      <c r="J56" s="1" t="s">
        <v>266</v>
      </c>
      <c r="K56" s="1" t="s">
        <v>49</v>
      </c>
      <c r="O56" s="1">
        <v>0.94</v>
      </c>
      <c r="Q56" s="1">
        <v>1</v>
      </c>
      <c r="S56" s="1">
        <v>1.4</v>
      </c>
      <c r="T56" s="19"/>
      <c r="AA56" s="1">
        <v>2</v>
      </c>
      <c r="AD56" s="1" t="s">
        <v>139</v>
      </c>
    </row>
    <row r="57" spans="1:30" s="1" customFormat="1" x14ac:dyDescent="0.25">
      <c r="A57" s="11" t="s">
        <v>167</v>
      </c>
      <c r="B57" s="19">
        <v>1</v>
      </c>
      <c r="C57" s="1" t="s">
        <v>79</v>
      </c>
      <c r="D57" s="1" t="s">
        <v>255</v>
      </c>
      <c r="J57" s="1" t="s">
        <v>49</v>
      </c>
      <c r="K57" s="1" t="s">
        <v>267</v>
      </c>
      <c r="O57" s="1">
        <v>0.94</v>
      </c>
      <c r="Q57" s="1">
        <v>1</v>
      </c>
      <c r="S57" s="1">
        <v>1.6</v>
      </c>
      <c r="T57" s="19"/>
      <c r="AD57" s="1" t="s">
        <v>142</v>
      </c>
    </row>
    <row r="58" spans="1:30" s="1" customFormat="1" x14ac:dyDescent="0.25">
      <c r="A58" s="11" t="s">
        <v>167</v>
      </c>
      <c r="B58" s="19">
        <v>1</v>
      </c>
      <c r="C58" s="1" t="s">
        <v>78</v>
      </c>
      <c r="D58" s="1" t="s">
        <v>253</v>
      </c>
      <c r="J58" s="1" t="s">
        <v>267</v>
      </c>
      <c r="K58" s="1" t="s">
        <v>49</v>
      </c>
      <c r="O58" s="1">
        <v>0.94</v>
      </c>
      <c r="Q58" s="1">
        <v>1</v>
      </c>
      <c r="S58" s="1">
        <v>1.6</v>
      </c>
      <c r="T58" s="19"/>
      <c r="AA58" s="1">
        <v>4</v>
      </c>
      <c r="AB58" s="1" t="s">
        <v>212</v>
      </c>
      <c r="AD58" s="1" t="s">
        <v>140</v>
      </c>
    </row>
    <row r="59" spans="1:30" s="1" customFormat="1" x14ac:dyDescent="0.25">
      <c r="A59" s="14" t="s">
        <v>221</v>
      </c>
      <c r="B59" s="18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8"/>
      <c r="U59" s="15"/>
      <c r="V59" s="15"/>
      <c r="W59" s="15"/>
      <c r="X59" s="15"/>
      <c r="Y59" s="15"/>
      <c r="Z59" s="15"/>
      <c r="AA59" s="15"/>
      <c r="AB59" s="15"/>
      <c r="AD59" s="15"/>
    </row>
    <row r="60" spans="1:30" s="1" customFormat="1" x14ac:dyDescent="0.25">
      <c r="A60" s="11" t="s">
        <v>167</v>
      </c>
      <c r="B60" s="19">
        <v>1</v>
      </c>
      <c r="C60" s="1" t="s">
        <v>89</v>
      </c>
      <c r="D60" s="1" t="s">
        <v>163</v>
      </c>
      <c r="G60" s="1" t="s">
        <v>90</v>
      </c>
      <c r="J60" s="1" t="s">
        <v>3</v>
      </c>
      <c r="K60" s="1" t="s">
        <v>168</v>
      </c>
      <c r="O60" s="1">
        <v>1</v>
      </c>
      <c r="P60" s="1">
        <v>1</v>
      </c>
      <c r="Q60" s="1">
        <v>1</v>
      </c>
      <c r="T60" s="19"/>
      <c r="AD60" s="1" t="s">
        <v>163</v>
      </c>
    </row>
    <row r="61" spans="1:30" s="1" customFormat="1" x14ac:dyDescent="0.25">
      <c r="A61" s="11" t="s">
        <v>167</v>
      </c>
      <c r="B61" s="19">
        <v>1</v>
      </c>
      <c r="C61" s="1" t="s">
        <v>48</v>
      </c>
      <c r="D61" s="1" t="s">
        <v>137</v>
      </c>
      <c r="J61" s="1" t="s">
        <v>49</v>
      </c>
      <c r="K61" s="1" t="s">
        <v>168</v>
      </c>
      <c r="O61" s="1">
        <v>2.8</v>
      </c>
      <c r="P61" s="1">
        <v>2.8</v>
      </c>
      <c r="Q61" s="1">
        <v>1</v>
      </c>
      <c r="S61" s="1">
        <v>6</v>
      </c>
      <c r="T61" s="19">
        <v>20</v>
      </c>
      <c r="AB61" s="1" t="s">
        <v>202</v>
      </c>
      <c r="AD61" s="1" t="s">
        <v>137</v>
      </c>
    </row>
    <row r="62" spans="1:30" s="1" customFormat="1" x14ac:dyDescent="0.25">
      <c r="A62" s="11" t="s">
        <v>167</v>
      </c>
      <c r="B62" s="19">
        <v>1</v>
      </c>
      <c r="C62" s="1" t="s">
        <v>70</v>
      </c>
      <c r="D62" s="1" t="s">
        <v>236</v>
      </c>
      <c r="I62" s="1" t="s">
        <v>301</v>
      </c>
      <c r="J62" s="1" t="s">
        <v>280</v>
      </c>
      <c r="K62" s="1" t="s">
        <v>168</v>
      </c>
      <c r="O62" s="1">
        <v>0.9</v>
      </c>
      <c r="P62" s="1">
        <v>0.9</v>
      </c>
      <c r="Q62" s="1">
        <v>1</v>
      </c>
      <c r="S62" s="1">
        <v>2</v>
      </c>
      <c r="T62" s="19"/>
      <c r="U62" s="1">
        <v>0.05</v>
      </c>
      <c r="V62" s="1">
        <v>0.05</v>
      </c>
      <c r="Y62" s="1">
        <v>20</v>
      </c>
      <c r="Z62" s="1">
        <v>20</v>
      </c>
      <c r="AD62" s="1" t="s">
        <v>130</v>
      </c>
    </row>
    <row r="63" spans="1:30" s="1" customFormat="1" x14ac:dyDescent="0.25">
      <c r="A63" s="11" t="s">
        <v>167</v>
      </c>
      <c r="B63" s="19">
        <v>1</v>
      </c>
      <c r="C63" s="1" t="s">
        <v>34</v>
      </c>
      <c r="D63" s="1" t="s">
        <v>237</v>
      </c>
      <c r="I63" s="1" t="s">
        <v>301</v>
      </c>
      <c r="J63" s="1" t="s">
        <v>279</v>
      </c>
      <c r="K63" s="1" t="s">
        <v>168</v>
      </c>
      <c r="O63" s="1">
        <v>0.9</v>
      </c>
      <c r="P63" s="1">
        <v>0.9</v>
      </c>
      <c r="Q63" s="1">
        <v>1</v>
      </c>
      <c r="S63" s="1">
        <v>2</v>
      </c>
      <c r="T63" s="19"/>
      <c r="U63" s="1">
        <v>0.05</v>
      </c>
      <c r="V63" s="1">
        <v>0.05</v>
      </c>
      <c r="Y63" s="1">
        <v>20</v>
      </c>
      <c r="Z63" s="1">
        <v>20</v>
      </c>
      <c r="AD63" s="1" t="s">
        <v>128</v>
      </c>
    </row>
    <row r="64" spans="1:30" s="1" customFormat="1" x14ac:dyDescent="0.25">
      <c r="A64" s="11" t="s">
        <v>167</v>
      </c>
      <c r="B64" s="19">
        <v>1</v>
      </c>
      <c r="C64" s="1" t="s">
        <v>35</v>
      </c>
      <c r="D64" s="1" t="s">
        <v>238</v>
      </c>
      <c r="I64" s="1" t="s">
        <v>301</v>
      </c>
      <c r="J64" s="1" t="s">
        <v>277</v>
      </c>
      <c r="K64" s="1" t="s">
        <v>168</v>
      </c>
      <c r="O64" s="1">
        <v>0.9</v>
      </c>
      <c r="P64" s="1">
        <v>0.9</v>
      </c>
      <c r="Q64" s="1">
        <v>1</v>
      </c>
      <c r="S64" s="1">
        <v>2</v>
      </c>
      <c r="T64" s="19"/>
      <c r="U64" s="1">
        <v>0.05</v>
      </c>
      <c r="V64" s="1">
        <v>0.05</v>
      </c>
      <c r="Y64" s="1">
        <v>20</v>
      </c>
      <c r="Z64" s="1">
        <v>20</v>
      </c>
      <c r="AD64" s="1" t="s">
        <v>121</v>
      </c>
    </row>
    <row r="65" spans="1:30" s="1" customFormat="1" x14ac:dyDescent="0.25">
      <c r="A65" s="11" t="s">
        <v>167</v>
      </c>
      <c r="B65" s="19">
        <v>1</v>
      </c>
      <c r="C65" s="1" t="s">
        <v>36</v>
      </c>
      <c r="D65" s="1" t="s">
        <v>239</v>
      </c>
      <c r="J65" s="1" t="s">
        <v>276</v>
      </c>
      <c r="K65" s="1" t="s">
        <v>168</v>
      </c>
      <c r="O65" s="1">
        <v>0.9</v>
      </c>
      <c r="P65" s="1">
        <v>0.9</v>
      </c>
      <c r="Q65" s="1">
        <v>1</v>
      </c>
      <c r="S65" s="1">
        <v>2</v>
      </c>
      <c r="T65" s="19"/>
      <c r="U65" s="1">
        <v>0.05</v>
      </c>
      <c r="V65" s="1">
        <v>0.05</v>
      </c>
      <c r="Y65" s="1">
        <v>20</v>
      </c>
      <c r="Z65" s="1">
        <v>20</v>
      </c>
      <c r="AD65" s="1" t="s">
        <v>131</v>
      </c>
    </row>
    <row r="66" spans="1:30" s="1" customFormat="1" x14ac:dyDescent="0.25">
      <c r="A66" s="11" t="s">
        <v>167</v>
      </c>
      <c r="B66" s="19">
        <v>1</v>
      </c>
      <c r="C66" s="1" t="s">
        <v>50</v>
      </c>
      <c r="D66" s="1" t="s">
        <v>240</v>
      </c>
      <c r="J66" s="1" t="s">
        <v>49</v>
      </c>
      <c r="K66" s="1" t="s">
        <v>168</v>
      </c>
      <c r="O66" s="1">
        <v>0.98</v>
      </c>
      <c r="P66" s="1">
        <v>0.98</v>
      </c>
      <c r="Q66" s="1">
        <v>1</v>
      </c>
      <c r="S66" s="1">
        <v>1.5</v>
      </c>
      <c r="T66" s="19">
        <v>20</v>
      </c>
      <c r="AB66" s="1" t="s">
        <v>202</v>
      </c>
      <c r="AD66" s="1" t="s">
        <v>138</v>
      </c>
    </row>
    <row r="67" spans="1:30" s="1" customFormat="1" x14ac:dyDescent="0.25">
      <c r="A67" s="11" t="s">
        <v>167</v>
      </c>
      <c r="B67" s="19">
        <v>1</v>
      </c>
      <c r="C67" s="1" t="s">
        <v>39</v>
      </c>
      <c r="D67" s="1" t="s">
        <v>241</v>
      </c>
      <c r="I67" s="1" t="s">
        <v>301</v>
      </c>
      <c r="J67" s="1" t="s">
        <v>280</v>
      </c>
      <c r="K67" s="1" t="s">
        <v>49</v>
      </c>
      <c r="L67" s="1" t="s">
        <v>168</v>
      </c>
      <c r="O67" s="1">
        <v>0.89</v>
      </c>
      <c r="P67" s="1">
        <v>0.89</v>
      </c>
      <c r="Q67" s="1">
        <v>0.5</v>
      </c>
      <c r="R67" s="1">
        <v>1</v>
      </c>
      <c r="S67" s="1">
        <v>2</v>
      </c>
      <c r="T67" s="19"/>
      <c r="U67" s="1">
        <v>0.05</v>
      </c>
      <c r="V67" s="1">
        <v>0.05</v>
      </c>
      <c r="W67" s="1">
        <v>0.4</v>
      </c>
      <c r="Y67" s="1">
        <v>75</v>
      </c>
      <c r="Z67" s="1">
        <v>75</v>
      </c>
      <c r="AD67" s="1" t="s">
        <v>129</v>
      </c>
    </row>
    <row r="68" spans="1:30" s="1" customFormat="1" x14ac:dyDescent="0.25">
      <c r="A68" s="11" t="s">
        <v>167</v>
      </c>
      <c r="B68" s="19">
        <v>1</v>
      </c>
      <c r="C68" s="1" t="s">
        <v>38</v>
      </c>
      <c r="D68" s="1" t="s">
        <v>242</v>
      </c>
      <c r="I68" s="1" t="s">
        <v>301</v>
      </c>
      <c r="J68" s="1" t="s">
        <v>275</v>
      </c>
      <c r="K68" s="1" t="s">
        <v>49</v>
      </c>
      <c r="L68" s="1" t="s">
        <v>168</v>
      </c>
      <c r="O68" s="1">
        <v>0.89</v>
      </c>
      <c r="P68" s="1">
        <v>0.89</v>
      </c>
      <c r="Q68" s="1">
        <v>0.4</v>
      </c>
      <c r="R68" s="1">
        <v>1</v>
      </c>
      <c r="S68" s="1">
        <v>2</v>
      </c>
      <c r="T68" s="19"/>
      <c r="U68" s="1">
        <v>0.05</v>
      </c>
      <c r="V68" s="1">
        <v>0.05</v>
      </c>
      <c r="W68" s="1">
        <v>0.45</v>
      </c>
      <c r="Y68" s="1">
        <v>75</v>
      </c>
      <c r="Z68" s="1">
        <v>75</v>
      </c>
      <c r="AD68" s="1" t="s">
        <v>108</v>
      </c>
    </row>
    <row r="69" spans="1:30" s="1" customFormat="1" x14ac:dyDescent="0.25">
      <c r="A69" s="11" t="s">
        <v>167</v>
      </c>
      <c r="B69" s="19">
        <v>1</v>
      </c>
      <c r="C69" s="1" t="s">
        <v>37</v>
      </c>
      <c r="D69" s="1" t="s">
        <v>246</v>
      </c>
      <c r="J69" s="1" t="s">
        <v>276</v>
      </c>
      <c r="K69" s="1" t="s">
        <v>49</v>
      </c>
      <c r="L69" s="1" t="s">
        <v>168</v>
      </c>
      <c r="O69" s="1">
        <v>0.89</v>
      </c>
      <c r="P69" s="1">
        <v>0.89</v>
      </c>
      <c r="Q69" s="1">
        <v>0.4</v>
      </c>
      <c r="R69" s="1">
        <v>1</v>
      </c>
      <c r="S69" s="1">
        <v>2</v>
      </c>
      <c r="T69" s="19"/>
      <c r="U69" s="1">
        <v>0.05</v>
      </c>
      <c r="V69" s="1">
        <v>0.05</v>
      </c>
      <c r="W69" s="1">
        <v>0.5</v>
      </c>
      <c r="Y69" s="1">
        <v>45</v>
      </c>
      <c r="Z69" s="1">
        <v>45</v>
      </c>
      <c r="AD69" s="1" t="s">
        <v>132</v>
      </c>
    </row>
    <row r="70" spans="1:30" s="1" customFormat="1" x14ac:dyDescent="0.25">
      <c r="A70" s="11" t="s">
        <v>167</v>
      </c>
      <c r="B70" s="19">
        <v>1</v>
      </c>
      <c r="C70" s="1" t="s">
        <v>33</v>
      </c>
      <c r="D70" s="1" t="s">
        <v>247</v>
      </c>
      <c r="I70" s="1" t="s">
        <v>301</v>
      </c>
      <c r="J70" s="1" t="s">
        <v>277</v>
      </c>
      <c r="K70" s="1" t="s">
        <v>49</v>
      </c>
      <c r="L70" s="1" t="s">
        <v>168</v>
      </c>
      <c r="O70" s="1">
        <v>0.9</v>
      </c>
      <c r="P70" s="1">
        <v>0.9</v>
      </c>
      <c r="Q70" s="1">
        <v>0.4</v>
      </c>
      <c r="R70" s="1">
        <v>1</v>
      </c>
      <c r="S70" s="1">
        <v>1.6</v>
      </c>
      <c r="T70" s="19"/>
      <c r="U70" s="1">
        <v>0.04</v>
      </c>
      <c r="V70" s="1">
        <v>0.05</v>
      </c>
      <c r="W70" s="1">
        <v>1</v>
      </c>
      <c r="Y70" s="1">
        <v>18</v>
      </c>
      <c r="Z70" s="1">
        <v>18</v>
      </c>
      <c r="AD70" s="1" t="s">
        <v>119</v>
      </c>
    </row>
    <row r="71" spans="1:30" s="1" customFormat="1" x14ac:dyDescent="0.25">
      <c r="A71" s="1" t="s">
        <v>167</v>
      </c>
      <c r="B71" s="19">
        <v>1</v>
      </c>
      <c r="C71" s="1" t="s">
        <v>192</v>
      </c>
      <c r="D71" s="1" t="s">
        <v>248</v>
      </c>
      <c r="I71" s="1" t="s">
        <v>301</v>
      </c>
      <c r="J71" s="1" t="s">
        <v>275</v>
      </c>
      <c r="K71" s="1" t="s">
        <v>168</v>
      </c>
      <c r="O71" s="1">
        <v>0.9</v>
      </c>
      <c r="P71" s="1">
        <v>0.9</v>
      </c>
      <c r="Q71" s="1">
        <v>1</v>
      </c>
      <c r="S71" s="1">
        <v>2</v>
      </c>
      <c r="T71" s="19"/>
      <c r="U71" s="1">
        <v>0.05</v>
      </c>
      <c r="V71" s="1">
        <v>0.05</v>
      </c>
      <c r="AD71" s="1" t="s">
        <v>193</v>
      </c>
    </row>
    <row r="72" spans="1:30" s="1" customFormat="1" x14ac:dyDescent="0.25">
      <c r="A72" s="1" t="s">
        <v>167</v>
      </c>
      <c r="B72" s="19">
        <v>1</v>
      </c>
      <c r="C72" s="1" t="s">
        <v>194</v>
      </c>
      <c r="D72" s="1" t="s">
        <v>249</v>
      </c>
      <c r="I72" s="1" t="s">
        <v>301</v>
      </c>
      <c r="J72" s="1" t="s">
        <v>275</v>
      </c>
      <c r="K72" s="1" t="s">
        <v>49</v>
      </c>
      <c r="L72" s="1" t="s">
        <v>168</v>
      </c>
      <c r="O72" s="1">
        <v>0.89</v>
      </c>
      <c r="P72" s="1">
        <v>0.89</v>
      </c>
      <c r="Q72" s="1">
        <v>0.4</v>
      </c>
      <c r="R72" s="1">
        <v>1</v>
      </c>
      <c r="S72" s="1">
        <v>2</v>
      </c>
      <c r="T72" s="19"/>
      <c r="U72" s="1">
        <v>0.05</v>
      </c>
      <c r="V72" s="1">
        <v>0.05</v>
      </c>
      <c r="W72" s="1">
        <v>0.45</v>
      </c>
      <c r="X72" s="1">
        <v>-0.13</v>
      </c>
      <c r="Y72" s="1">
        <v>75</v>
      </c>
      <c r="Z72" s="1">
        <v>75</v>
      </c>
      <c r="AD72" s="1" t="s">
        <v>195</v>
      </c>
    </row>
    <row r="73" spans="1:30" s="1" customFormat="1" x14ac:dyDescent="0.25">
      <c r="A73" s="1" t="s">
        <v>167</v>
      </c>
      <c r="B73" s="19">
        <v>1</v>
      </c>
      <c r="C73" s="1" t="s">
        <v>196</v>
      </c>
      <c r="D73" s="1" t="s">
        <v>250</v>
      </c>
      <c r="J73" s="1" t="s">
        <v>276</v>
      </c>
      <c r="K73" s="1" t="s">
        <v>49</v>
      </c>
      <c r="L73" s="1" t="s">
        <v>168</v>
      </c>
      <c r="O73" s="1">
        <v>0.89</v>
      </c>
      <c r="P73" s="1">
        <v>0.89</v>
      </c>
      <c r="Q73" s="1">
        <v>0.4</v>
      </c>
      <c r="R73" s="1">
        <v>1</v>
      </c>
      <c r="S73" s="1">
        <v>2</v>
      </c>
      <c r="T73" s="19"/>
      <c r="U73" s="1">
        <v>0.05</v>
      </c>
      <c r="V73" s="1">
        <v>0.05</v>
      </c>
      <c r="W73" s="1">
        <v>0.5</v>
      </c>
      <c r="X73" s="1">
        <v>-0.13</v>
      </c>
      <c r="Y73" s="1">
        <v>45</v>
      </c>
      <c r="Z73" s="1">
        <v>45</v>
      </c>
      <c r="AD73" s="1" t="s">
        <v>197</v>
      </c>
    </row>
    <row r="74" spans="1:30" s="1" customFormat="1" x14ac:dyDescent="0.25">
      <c r="A74" s="1" t="s">
        <v>167</v>
      </c>
      <c r="B74" s="19">
        <v>1</v>
      </c>
      <c r="C74" s="1" t="s">
        <v>198</v>
      </c>
      <c r="D74" s="1" t="s">
        <v>251</v>
      </c>
      <c r="I74" s="1" t="s">
        <v>301</v>
      </c>
      <c r="J74" s="1" t="s">
        <v>277</v>
      </c>
      <c r="K74" s="1" t="s">
        <v>49</v>
      </c>
      <c r="L74" s="1" t="s">
        <v>168</v>
      </c>
      <c r="O74" s="1">
        <v>0.9</v>
      </c>
      <c r="P74" s="1">
        <v>0.9</v>
      </c>
      <c r="Q74" s="1">
        <v>0.4</v>
      </c>
      <c r="R74" s="1">
        <v>1</v>
      </c>
      <c r="S74" s="1">
        <v>1.6</v>
      </c>
      <c r="T74" s="19"/>
      <c r="U74" s="1">
        <v>0.04</v>
      </c>
      <c r="V74" s="1">
        <v>0.05</v>
      </c>
      <c r="W74" s="1">
        <v>1</v>
      </c>
      <c r="X74" s="1">
        <v>-0.13</v>
      </c>
      <c r="Y74" s="1">
        <v>18</v>
      </c>
      <c r="Z74" s="1">
        <v>18</v>
      </c>
      <c r="AD74" s="1" t="s">
        <v>199</v>
      </c>
    </row>
    <row r="75" spans="1:30" s="1" customFormat="1" x14ac:dyDescent="0.25">
      <c r="A75" s="11" t="s">
        <v>167</v>
      </c>
      <c r="B75" s="19">
        <v>1</v>
      </c>
      <c r="C75" s="1" t="s">
        <v>190</v>
      </c>
      <c r="D75" s="1" t="s">
        <v>191</v>
      </c>
      <c r="I75" s="1" t="s">
        <v>301</v>
      </c>
      <c r="J75" s="1" t="s">
        <v>278</v>
      </c>
      <c r="K75" s="1" t="s">
        <v>49</v>
      </c>
      <c r="L75" s="1" t="s">
        <v>168</v>
      </c>
      <c r="O75" s="1">
        <v>0.55000000000000004</v>
      </c>
      <c r="P75" s="1">
        <v>0.55000000000000004</v>
      </c>
      <c r="Q75" s="1">
        <v>0.5</v>
      </c>
      <c r="R75" s="1">
        <v>1</v>
      </c>
      <c r="S75" s="1">
        <v>3.3</v>
      </c>
      <c r="T75" s="19"/>
      <c r="U75" s="1">
        <v>0.08</v>
      </c>
      <c r="V75" s="1">
        <v>0.08</v>
      </c>
      <c r="W75" s="1">
        <v>0.87</v>
      </c>
      <c r="Y75" s="1">
        <v>28.6</v>
      </c>
      <c r="Z75" s="1">
        <v>28.6</v>
      </c>
      <c r="AD75" s="1" t="s">
        <v>191</v>
      </c>
    </row>
    <row r="76" spans="1:30" s="1" customFormat="1" x14ac:dyDescent="0.25">
      <c r="A76" s="11" t="s">
        <v>167</v>
      </c>
      <c r="B76" s="19">
        <v>1</v>
      </c>
      <c r="C76" s="1" t="s">
        <v>69</v>
      </c>
      <c r="D76" s="1" t="s">
        <v>252</v>
      </c>
      <c r="I76" s="1" t="s">
        <v>301</v>
      </c>
      <c r="J76" s="1" t="s">
        <v>277</v>
      </c>
      <c r="K76" s="1" t="s">
        <v>49</v>
      </c>
      <c r="L76" s="1" t="s">
        <v>168</v>
      </c>
      <c r="O76" s="1">
        <v>0.9</v>
      </c>
      <c r="P76" s="1">
        <v>0.9</v>
      </c>
      <c r="Q76" s="1">
        <v>0.4</v>
      </c>
      <c r="R76" s="1">
        <v>1</v>
      </c>
      <c r="S76" s="1">
        <v>1.6</v>
      </c>
      <c r="T76" s="19"/>
      <c r="U76" s="1">
        <v>0.12</v>
      </c>
      <c r="V76" s="1">
        <v>0.12</v>
      </c>
      <c r="W76" s="1">
        <v>0.6</v>
      </c>
      <c r="Y76" s="1">
        <v>12.1</v>
      </c>
      <c r="Z76" s="1">
        <v>12.1</v>
      </c>
      <c r="AD76" s="1" t="s">
        <v>120</v>
      </c>
    </row>
    <row r="77" spans="1:30" s="1" customFormat="1" x14ac:dyDescent="0.25">
      <c r="A77" s="11" t="s">
        <v>167</v>
      </c>
      <c r="B77" s="19">
        <v>1</v>
      </c>
      <c r="C77" s="1" t="s">
        <v>63</v>
      </c>
      <c r="D77" s="1" t="s">
        <v>257</v>
      </c>
      <c r="J77" s="1" t="s">
        <v>168</v>
      </c>
      <c r="K77" s="1" t="s">
        <v>263</v>
      </c>
      <c r="O77" s="1">
        <v>0.99</v>
      </c>
      <c r="Q77" s="1">
        <v>1</v>
      </c>
      <c r="S77" s="1">
        <v>1.4</v>
      </c>
      <c r="T77" s="19"/>
      <c r="AD77" s="1" t="s">
        <v>158</v>
      </c>
    </row>
    <row r="78" spans="1:30" s="1" customFormat="1" x14ac:dyDescent="0.25">
      <c r="A78" s="11" t="s">
        <v>167</v>
      </c>
      <c r="B78" s="19">
        <v>1</v>
      </c>
      <c r="C78" s="1" t="s">
        <v>62</v>
      </c>
      <c r="D78" s="1" t="s">
        <v>258</v>
      </c>
      <c r="J78" s="1" t="s">
        <v>263</v>
      </c>
      <c r="K78" s="1" t="s">
        <v>168</v>
      </c>
      <c r="O78" s="1">
        <v>0.99</v>
      </c>
      <c r="Q78" s="1">
        <v>1</v>
      </c>
      <c r="S78" s="1">
        <v>1.4</v>
      </c>
      <c r="T78" s="19"/>
      <c r="AA78" s="1">
        <v>10</v>
      </c>
      <c r="AD78" s="1" t="s">
        <v>157</v>
      </c>
    </row>
    <row r="79" spans="1:30" s="1" customFormat="1" x14ac:dyDescent="0.25">
      <c r="A79" s="11" t="s">
        <v>167</v>
      </c>
      <c r="B79" s="19">
        <v>1</v>
      </c>
      <c r="C79" s="1" t="s">
        <v>65</v>
      </c>
      <c r="D79" s="1" t="s">
        <v>259</v>
      </c>
      <c r="J79" s="1" t="s">
        <v>168</v>
      </c>
      <c r="K79" s="1" t="s">
        <v>264</v>
      </c>
      <c r="O79" s="1">
        <v>0.99</v>
      </c>
      <c r="Q79" s="1">
        <v>1</v>
      </c>
      <c r="S79" s="1">
        <v>1.7</v>
      </c>
      <c r="T79" s="19"/>
      <c r="AD79" s="1" t="s">
        <v>160</v>
      </c>
    </row>
    <row r="80" spans="1:30" s="1" customFormat="1" x14ac:dyDescent="0.25">
      <c r="A80" s="11" t="s">
        <v>167</v>
      </c>
      <c r="B80" s="19">
        <v>1</v>
      </c>
      <c r="C80" s="1" t="s">
        <v>66</v>
      </c>
      <c r="D80" s="1" t="s">
        <v>260</v>
      </c>
      <c r="J80" s="1" t="s">
        <v>264</v>
      </c>
      <c r="K80" s="1" t="s">
        <v>168</v>
      </c>
      <c r="O80" s="1">
        <v>0.99</v>
      </c>
      <c r="Q80" s="1">
        <v>1</v>
      </c>
      <c r="S80" s="1">
        <v>1.7</v>
      </c>
      <c r="T80" s="19"/>
      <c r="AA80" s="1">
        <v>100</v>
      </c>
      <c r="AB80" s="1" t="s">
        <v>207</v>
      </c>
      <c r="AD80" s="1" t="s">
        <v>159</v>
      </c>
    </row>
    <row r="81" spans="1:40" s="1" customFormat="1" x14ac:dyDescent="0.25">
      <c r="A81" s="11" t="s">
        <v>167</v>
      </c>
      <c r="B81" s="19">
        <v>1</v>
      </c>
      <c r="C81" s="1" t="s">
        <v>67</v>
      </c>
      <c r="D81" s="1" t="s">
        <v>261</v>
      </c>
      <c r="J81" s="1" t="s">
        <v>168</v>
      </c>
      <c r="K81" s="1" t="s">
        <v>265</v>
      </c>
      <c r="O81" s="1">
        <v>0.99</v>
      </c>
      <c r="Q81" s="1">
        <v>1</v>
      </c>
      <c r="S81" s="1">
        <v>2</v>
      </c>
      <c r="T81" s="19"/>
      <c r="AD81" s="1" t="s">
        <v>162</v>
      </c>
    </row>
    <row r="82" spans="1:40" s="1" customFormat="1" x14ac:dyDescent="0.25">
      <c r="A82" s="11" t="s">
        <v>167</v>
      </c>
      <c r="B82" s="19">
        <v>1</v>
      </c>
      <c r="C82" s="1" t="s">
        <v>68</v>
      </c>
      <c r="D82" s="1" t="s">
        <v>262</v>
      </c>
      <c r="J82" s="1" t="s">
        <v>265</v>
      </c>
      <c r="K82" s="1" t="s">
        <v>168</v>
      </c>
      <c r="O82" s="1">
        <v>0.99</v>
      </c>
      <c r="Q82" s="1">
        <v>1</v>
      </c>
      <c r="S82" s="1">
        <v>2</v>
      </c>
      <c r="T82" s="19"/>
      <c r="AA82" s="1">
        <v>450</v>
      </c>
      <c r="AD82" s="1" t="s">
        <v>161</v>
      </c>
    </row>
    <row r="83" spans="1:40" s="1" customFormat="1" x14ac:dyDescent="0.25">
      <c r="A83" s="14" t="s">
        <v>222</v>
      </c>
      <c r="B83" s="18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8"/>
      <c r="U83" s="15"/>
      <c r="V83" s="15"/>
      <c r="W83" s="15"/>
      <c r="X83" s="15"/>
      <c r="Y83" s="15"/>
      <c r="Z83" s="15"/>
      <c r="AA83" s="15"/>
      <c r="AB83" s="15"/>
      <c r="AD83" s="15"/>
    </row>
    <row r="84" spans="1:40" s="1" customFormat="1" x14ac:dyDescent="0.25">
      <c r="A84" s="11" t="s">
        <v>167</v>
      </c>
      <c r="B84" s="19">
        <v>1</v>
      </c>
      <c r="C84" s="1" t="s">
        <v>61</v>
      </c>
      <c r="D84" s="1" t="s">
        <v>156</v>
      </c>
      <c r="F84" s="1" t="b">
        <v>1</v>
      </c>
      <c r="J84" s="1" t="s">
        <v>49</v>
      </c>
      <c r="K84" s="1" t="s">
        <v>3</v>
      </c>
      <c r="O84" s="1">
        <v>1</v>
      </c>
      <c r="Q84" s="1">
        <v>1</v>
      </c>
      <c r="T84" s="19">
        <v>10</v>
      </c>
      <c r="AD84" s="1" t="s">
        <v>156</v>
      </c>
    </row>
    <row r="85" spans="1:40" s="1" customFormat="1" x14ac:dyDescent="0.25">
      <c r="A85" s="11" t="s">
        <v>167</v>
      </c>
      <c r="B85" s="19">
        <v>1</v>
      </c>
      <c r="C85" s="1" t="s">
        <v>60</v>
      </c>
      <c r="D85" s="1" t="s">
        <v>155</v>
      </c>
      <c r="F85" s="1" t="b">
        <v>1</v>
      </c>
      <c r="J85" s="1" t="s">
        <v>49</v>
      </c>
      <c r="K85" s="1" t="s">
        <v>3</v>
      </c>
      <c r="O85" s="1">
        <v>1</v>
      </c>
      <c r="Q85" s="1">
        <v>1</v>
      </c>
      <c r="T85" s="19">
        <v>20</v>
      </c>
      <c r="AD85" s="1" t="s">
        <v>155</v>
      </c>
    </row>
    <row r="86" spans="1:40" s="1" customFormat="1" x14ac:dyDescent="0.25">
      <c r="A86" s="11" t="s">
        <v>167</v>
      </c>
      <c r="B86" s="19">
        <v>1</v>
      </c>
      <c r="C86" s="1" t="s">
        <v>59</v>
      </c>
      <c r="D86" s="1" t="s">
        <v>154</v>
      </c>
      <c r="E86" s="1" t="b">
        <v>1</v>
      </c>
      <c r="J86" s="1" t="s">
        <v>3</v>
      </c>
      <c r="K86" s="1" t="s">
        <v>49</v>
      </c>
      <c r="O86" s="1">
        <v>1</v>
      </c>
      <c r="Q86" s="1">
        <v>1</v>
      </c>
      <c r="S86" s="1">
        <v>2000</v>
      </c>
      <c r="T86" s="19"/>
      <c r="AD86" s="1" t="s">
        <v>154</v>
      </c>
    </row>
    <row r="87" spans="1:40" s="1" customFormat="1" x14ac:dyDescent="0.25">
      <c r="A87" s="11" t="s">
        <v>167</v>
      </c>
      <c r="B87" s="19">
        <v>1</v>
      </c>
      <c r="C87" s="1" t="s">
        <v>58</v>
      </c>
      <c r="D87" s="1" t="s">
        <v>153</v>
      </c>
      <c r="E87" s="1" t="b">
        <v>1</v>
      </c>
      <c r="J87" s="1" t="s">
        <v>3</v>
      </c>
      <c r="K87" s="1" t="s">
        <v>49</v>
      </c>
      <c r="O87" s="1">
        <v>1</v>
      </c>
      <c r="Q87" s="1">
        <v>1</v>
      </c>
      <c r="S87" s="1">
        <v>1000</v>
      </c>
      <c r="T87" s="19"/>
      <c r="AD87" s="1" t="s">
        <v>153</v>
      </c>
    </row>
    <row r="88" spans="1:40" s="1" customFormat="1" x14ac:dyDescent="0.25">
      <c r="A88" s="11" t="s">
        <v>167</v>
      </c>
      <c r="B88" s="19">
        <v>1</v>
      </c>
      <c r="C88" s="1" t="s">
        <v>57</v>
      </c>
      <c r="D88" s="1" t="s">
        <v>152</v>
      </c>
      <c r="E88" s="1" t="b">
        <v>1</v>
      </c>
      <c r="J88" s="1" t="s">
        <v>3</v>
      </c>
      <c r="K88" s="1" t="s">
        <v>49</v>
      </c>
      <c r="O88" s="1">
        <v>1</v>
      </c>
      <c r="Q88" s="1">
        <v>1</v>
      </c>
      <c r="S88" s="1">
        <v>400</v>
      </c>
      <c r="T88" s="19"/>
      <c r="AD88" s="1" t="s">
        <v>152</v>
      </c>
    </row>
    <row r="89" spans="1:40" s="1" customFormat="1" x14ac:dyDescent="0.25">
      <c r="A89" s="14" t="s">
        <v>223</v>
      </c>
      <c r="B89" s="18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8"/>
      <c r="U89" s="15"/>
      <c r="V89" s="15"/>
      <c r="W89" s="15"/>
      <c r="X89" s="15"/>
      <c r="Y89" s="15"/>
      <c r="Z89" s="15"/>
      <c r="AA89" s="15"/>
      <c r="AB89" s="15"/>
      <c r="AD89" s="15"/>
    </row>
    <row r="90" spans="1:40" s="1" customFormat="1" x14ac:dyDescent="0.25">
      <c r="A90" s="11" t="s">
        <v>167</v>
      </c>
      <c r="B90" s="19">
        <v>1</v>
      </c>
      <c r="C90" s="1" t="s">
        <v>71</v>
      </c>
      <c r="D90" s="1" t="s">
        <v>71</v>
      </c>
      <c r="J90" s="1" t="s">
        <v>49</v>
      </c>
      <c r="K90" s="1" t="s">
        <v>268</v>
      </c>
      <c r="O90" s="1">
        <v>0.61</v>
      </c>
      <c r="Q90" s="1">
        <v>1</v>
      </c>
      <c r="S90" s="1">
        <v>1.5</v>
      </c>
      <c r="T90" s="19"/>
      <c r="Y90" s="1">
        <v>15</v>
      </c>
      <c r="Z90" s="1">
        <v>15</v>
      </c>
      <c r="AB90" s="1" t="s">
        <v>205</v>
      </c>
      <c r="AD90" s="1" t="s">
        <v>71</v>
      </c>
    </row>
    <row r="91" spans="1:40" s="1" customFormat="1" x14ac:dyDescent="0.25">
      <c r="A91" s="11" t="s">
        <v>167</v>
      </c>
      <c r="B91" s="19">
        <v>1</v>
      </c>
      <c r="C91" s="1" t="s">
        <v>203</v>
      </c>
      <c r="D91" s="1" t="s">
        <v>204</v>
      </c>
      <c r="J91" s="1" t="s">
        <v>49</v>
      </c>
      <c r="K91" s="1" t="s">
        <v>268</v>
      </c>
      <c r="O91" s="1">
        <v>0.8</v>
      </c>
      <c r="Q91" s="1">
        <v>1</v>
      </c>
      <c r="S91" s="1">
        <v>1.5</v>
      </c>
      <c r="T91" s="19"/>
      <c r="Y91" s="1">
        <v>25</v>
      </c>
      <c r="Z91" s="1">
        <v>25</v>
      </c>
      <c r="AB91" s="1" t="s">
        <v>206</v>
      </c>
      <c r="AD91" s="1" t="s">
        <v>204</v>
      </c>
    </row>
    <row r="92" spans="1:40" x14ac:dyDescent="0.25">
      <c r="A92" t="s">
        <v>167</v>
      </c>
      <c r="B92" s="21">
        <v>1</v>
      </c>
      <c r="C92" t="s">
        <v>299</v>
      </c>
      <c r="D92" t="s">
        <v>300</v>
      </c>
      <c r="J92" t="s">
        <v>268</v>
      </c>
      <c r="K92" t="s">
        <v>49</v>
      </c>
      <c r="O92">
        <v>0.6</v>
      </c>
      <c r="Q92">
        <v>0.4</v>
      </c>
      <c r="R92">
        <v>1</v>
      </c>
      <c r="S92">
        <v>1.6</v>
      </c>
      <c r="T92"/>
      <c r="AN92" s="24"/>
    </row>
    <row r="93" spans="1:40" s="1" customFormat="1" x14ac:dyDescent="0.25">
      <c r="A93" s="11" t="s">
        <v>167</v>
      </c>
      <c r="B93" s="19">
        <v>1</v>
      </c>
      <c r="C93" s="1" t="s">
        <v>56</v>
      </c>
      <c r="D93" s="1" t="s">
        <v>147</v>
      </c>
      <c r="J93" s="1" t="s">
        <v>268</v>
      </c>
      <c r="K93" s="1" t="s">
        <v>49</v>
      </c>
      <c r="O93" s="1">
        <f>P93-0.03</f>
        <v>0.31999999999999995</v>
      </c>
      <c r="P93" s="1">
        <v>0.35</v>
      </c>
      <c r="Q93" s="1">
        <v>0.5</v>
      </c>
      <c r="R93" s="1">
        <v>1</v>
      </c>
      <c r="S93" s="1">
        <v>5</v>
      </c>
      <c r="T93" s="19"/>
      <c r="Y93" s="1">
        <v>30</v>
      </c>
      <c r="AD93" s="1" t="s">
        <v>147</v>
      </c>
    </row>
    <row r="94" spans="1:40" s="1" customFormat="1" x14ac:dyDescent="0.25">
      <c r="A94" s="11" t="s">
        <v>167</v>
      </c>
      <c r="B94" s="19">
        <v>1</v>
      </c>
      <c r="C94" s="1" t="s">
        <v>75</v>
      </c>
      <c r="D94" s="1" t="s">
        <v>269</v>
      </c>
      <c r="J94" s="1" t="s">
        <v>273</v>
      </c>
      <c r="K94" s="1" t="s">
        <v>268</v>
      </c>
      <c r="O94" s="1">
        <v>1</v>
      </c>
      <c r="Q94" s="1">
        <v>1</v>
      </c>
      <c r="S94" s="1">
        <v>1.5</v>
      </c>
      <c r="T94" s="19"/>
      <c r="AA94" s="16">
        <v>24</v>
      </c>
      <c r="AD94" s="1" t="s">
        <v>151</v>
      </c>
    </row>
    <row r="95" spans="1:40" s="1" customFormat="1" x14ac:dyDescent="0.25">
      <c r="A95" s="11" t="s">
        <v>167</v>
      </c>
      <c r="B95" s="19">
        <v>1</v>
      </c>
      <c r="C95" s="1" t="s">
        <v>74</v>
      </c>
      <c r="D95" s="1" t="s">
        <v>270</v>
      </c>
      <c r="J95" s="1" t="s">
        <v>268</v>
      </c>
      <c r="K95" s="1" t="s">
        <v>273</v>
      </c>
      <c r="O95" s="1">
        <v>0.99</v>
      </c>
      <c r="Q95" s="1">
        <v>1</v>
      </c>
      <c r="S95" s="1">
        <v>1.5</v>
      </c>
      <c r="T95" s="19"/>
      <c r="AA95" s="16"/>
      <c r="AD95" s="1" t="s">
        <v>150</v>
      </c>
    </row>
    <row r="96" spans="1:40" s="1" customFormat="1" x14ac:dyDescent="0.25">
      <c r="A96" s="11" t="s">
        <v>167</v>
      </c>
      <c r="B96" s="19">
        <v>1</v>
      </c>
      <c r="C96" s="1" t="s">
        <v>73</v>
      </c>
      <c r="D96" s="1" t="s">
        <v>271</v>
      </c>
      <c r="J96" s="1" t="s">
        <v>274</v>
      </c>
      <c r="K96" s="1" t="s">
        <v>268</v>
      </c>
      <c r="O96" s="1">
        <v>1</v>
      </c>
      <c r="Q96" s="1">
        <v>1</v>
      </c>
      <c r="S96" s="1">
        <v>2</v>
      </c>
      <c r="T96" s="19"/>
      <c r="Y96" s="1">
        <v>0</v>
      </c>
      <c r="AA96" s="16">
        <v>924</v>
      </c>
      <c r="AD96" s="1" t="s">
        <v>149</v>
      </c>
    </row>
    <row r="97" spans="1:30" s="1" customFormat="1" x14ac:dyDescent="0.25">
      <c r="A97" s="11" t="s">
        <v>167</v>
      </c>
      <c r="B97" s="19">
        <v>1</v>
      </c>
      <c r="C97" s="1" t="s">
        <v>72</v>
      </c>
      <c r="D97" s="1" t="s">
        <v>272</v>
      </c>
      <c r="J97" s="1" t="s">
        <v>268</v>
      </c>
      <c r="K97" s="1" t="s">
        <v>274</v>
      </c>
      <c r="O97" s="1">
        <v>0.99</v>
      </c>
      <c r="Q97" s="1">
        <v>1</v>
      </c>
      <c r="S97" s="1">
        <v>2</v>
      </c>
      <c r="T97" s="19"/>
      <c r="Y97" s="1">
        <v>0</v>
      </c>
      <c r="AA97" s="16"/>
      <c r="AD97" s="1" t="s">
        <v>148</v>
      </c>
    </row>
  </sheetData>
  <autoFilter ref="C1:AA43" xr:uid="{00000000-0001-0000-0000-000000000000}"/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unittypedata</vt:lpstr>
    </vt:vector>
  </TitlesOfParts>
  <Company>VTT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Ikäheimo Jussi</dc:creator>
  <dc:description/>
  <cp:lastModifiedBy>Lindroos Tomi J</cp:lastModifiedBy>
  <cp:revision>92</cp:revision>
  <dcterms:created xsi:type="dcterms:W3CDTF">2022-03-22T09:20:16Z</dcterms:created>
  <dcterms:modified xsi:type="dcterms:W3CDTF">2026-09-08T16:26:42Z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0x0101002FD1B2F89F852E499A2B763E84397209</vt:lpwstr>
  </property>
</Properties>
</file>