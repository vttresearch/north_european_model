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BB\bb-dev\north_european_model\src_files\data_files\"/>
    </mc:Choice>
  </mc:AlternateContent>
  <xr:revisionPtr revIDLastSave="0" documentId="13_ncr:1_{45AE226E-B748-4DD7-9F41-D8F68740159E}" xr6:coauthVersionLast="47" xr6:coauthVersionMax="47" xr10:uidLastSave="{00000000-0000-0000-0000-000000000000}"/>
  <bookViews>
    <workbookView xWindow="-120" yWindow="-120" windowWidth="29040" windowHeight="17520" tabRatio="747" activeTab="1" xr2:uid="{00000000-000D-0000-FFFF-FFFF00000000}"/>
  </bookViews>
  <sheets>
    <sheet name="nodedata" sheetId="13" r:id="rId1"/>
    <sheet name="unitdata" sheetId="14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6" i="14" l="1"/>
  <c r="AA8" i="14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2" i="14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2" i="14"/>
  <c r="M59" i="14"/>
  <c r="M58" i="14"/>
  <c r="M57" i="14"/>
  <c r="M56" i="14"/>
  <c r="M55" i="14"/>
  <c r="M54" i="14"/>
  <c r="M53" i="14"/>
  <c r="M52" i="14"/>
  <c r="M51" i="14"/>
  <c r="M50" i="14"/>
  <c r="M49" i="14"/>
  <c r="M48" i="14"/>
  <c r="M47" i="14"/>
  <c r="M46" i="14"/>
  <c r="M45" i="14"/>
  <c r="M44" i="14"/>
  <c r="M43" i="14"/>
  <c r="M42" i="14"/>
  <c r="M41" i="14"/>
  <c r="M40" i="14"/>
  <c r="M39" i="14"/>
  <c r="M38" i="14"/>
  <c r="M37" i="14"/>
  <c r="M36" i="14"/>
  <c r="M35" i="14"/>
  <c r="M34" i="14"/>
  <c r="M33" i="14"/>
  <c r="M32" i="14"/>
  <c r="M31" i="14"/>
  <c r="M30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8" i="14"/>
  <c r="M7" i="14"/>
  <c r="M6" i="14"/>
  <c r="M5" i="14"/>
  <c r="M4" i="14"/>
  <c r="M3" i="14"/>
  <c r="M2" i="14"/>
  <c r="I59" i="14"/>
  <c r="J59" i="14" s="1"/>
  <c r="I58" i="14"/>
  <c r="J58" i="14" s="1"/>
  <c r="I57" i="14"/>
  <c r="J57" i="14" s="1"/>
  <c r="I56" i="14"/>
  <c r="I55" i="14"/>
  <c r="J55" i="14" s="1"/>
  <c r="I54" i="14"/>
  <c r="J54" i="14" s="1"/>
  <c r="I53" i="14"/>
  <c r="J53" i="14" s="1"/>
  <c r="I52" i="14"/>
  <c r="J52" i="14" s="1"/>
  <c r="I51" i="14"/>
  <c r="J51" i="14" s="1"/>
  <c r="I50" i="14"/>
  <c r="J50" i="14" s="1"/>
  <c r="I49" i="14"/>
  <c r="J49" i="14" s="1"/>
  <c r="I48" i="14"/>
  <c r="J48" i="14" s="1"/>
  <c r="I47" i="14"/>
  <c r="J47" i="14" s="1"/>
  <c r="I46" i="14"/>
  <c r="J46" i="14" s="1"/>
  <c r="I45" i="14"/>
  <c r="J45" i="14" s="1"/>
  <c r="I44" i="14"/>
  <c r="J44" i="14" s="1"/>
  <c r="I43" i="14"/>
  <c r="J43" i="14" s="1"/>
  <c r="I42" i="14"/>
  <c r="J42" i="14" s="1"/>
  <c r="I41" i="14"/>
  <c r="J41" i="14" s="1"/>
  <c r="I40" i="14"/>
  <c r="J40" i="14" s="1"/>
  <c r="I39" i="14"/>
  <c r="J39" i="14" s="1"/>
  <c r="I38" i="14"/>
  <c r="J38" i="14" s="1"/>
  <c r="I37" i="14"/>
  <c r="J37" i="14" s="1"/>
  <c r="I36" i="14"/>
  <c r="J36" i="14" s="1"/>
  <c r="I35" i="14"/>
  <c r="J35" i="14" s="1"/>
  <c r="I34" i="14"/>
  <c r="J34" i="14" s="1"/>
  <c r="I33" i="14"/>
  <c r="J33" i="14" s="1"/>
  <c r="I32" i="14"/>
  <c r="J32" i="14" s="1"/>
  <c r="I31" i="14"/>
  <c r="J31" i="14" s="1"/>
  <c r="I30" i="14"/>
  <c r="J30" i="14" s="1"/>
  <c r="I29" i="14"/>
  <c r="J29" i="14" s="1"/>
  <c r="I28" i="14"/>
  <c r="J28" i="14" s="1"/>
  <c r="I27" i="14"/>
  <c r="J27" i="14" s="1"/>
  <c r="I26" i="14"/>
  <c r="J26" i="14" s="1"/>
  <c r="I25" i="14"/>
  <c r="J25" i="14" s="1"/>
  <c r="I24" i="14"/>
  <c r="J24" i="14" s="1"/>
  <c r="I23" i="14"/>
  <c r="J23" i="14" s="1"/>
  <c r="I22" i="14"/>
  <c r="J22" i="14" s="1"/>
  <c r="I21" i="14"/>
  <c r="J21" i="14" s="1"/>
  <c r="I20" i="14"/>
  <c r="J20" i="14" s="1"/>
  <c r="I19" i="14"/>
  <c r="J19" i="14" s="1"/>
  <c r="I18" i="14"/>
  <c r="J18" i="14" s="1"/>
  <c r="I17" i="14"/>
  <c r="J17" i="14" s="1"/>
  <c r="I16" i="14"/>
  <c r="J16" i="14" s="1"/>
  <c r="I15" i="14"/>
  <c r="J15" i="14" s="1"/>
  <c r="I14" i="14"/>
  <c r="J14" i="14" s="1"/>
  <c r="I13" i="14"/>
  <c r="J13" i="14" s="1"/>
  <c r="I12" i="14"/>
  <c r="J12" i="14" s="1"/>
  <c r="I11" i="14"/>
  <c r="J11" i="14" s="1"/>
  <c r="I10" i="14"/>
  <c r="J10" i="14" s="1"/>
  <c r="I9" i="14"/>
  <c r="J9" i="14" s="1"/>
  <c r="I8" i="14"/>
  <c r="J8" i="14" s="1"/>
  <c r="I7" i="14"/>
  <c r="J7" i="14" s="1"/>
  <c r="I6" i="14"/>
  <c r="J6" i="14" s="1"/>
  <c r="I5" i="14"/>
  <c r="J5" i="14" s="1"/>
  <c r="I4" i="14"/>
  <c r="J4" i="14" s="1"/>
  <c r="I3" i="14"/>
  <c r="J3" i="14" s="1"/>
  <c r="I2" i="14"/>
  <c r="J2" i="14" s="1"/>
  <c r="J56" i="14"/>
  <c r="V36" i="14"/>
  <c r="U36" i="14"/>
  <c r="T36" i="14"/>
  <c r="V35" i="14"/>
  <c r="U35" i="14"/>
  <c r="T35" i="14"/>
  <c r="V34" i="14"/>
  <c r="U34" i="14"/>
  <c r="T34" i="14"/>
  <c r="V33" i="14"/>
  <c r="U33" i="14"/>
  <c r="T33" i="14"/>
  <c r="V32" i="14"/>
  <c r="U32" i="14"/>
  <c r="T32" i="14"/>
  <c r="V31" i="14"/>
  <c r="U31" i="14"/>
  <c r="T31" i="14"/>
  <c r="W28" i="14" l="1"/>
  <c r="F12" i="14" s="1"/>
  <c r="V28" i="14"/>
  <c r="U28" i="14"/>
  <c r="T28" i="14"/>
  <c r="W27" i="14"/>
  <c r="V27" i="14"/>
  <c r="U27" i="14"/>
  <c r="T27" i="14"/>
  <c r="W26" i="14"/>
  <c r="G22" i="14" s="1"/>
  <c r="V26" i="14"/>
  <c r="U26" i="14"/>
  <c r="T26" i="14"/>
  <c r="W25" i="14"/>
  <c r="F21" i="14" s="1"/>
  <c r="V25" i="14"/>
  <c r="U25" i="14"/>
  <c r="T25" i="14"/>
  <c r="W24" i="14"/>
  <c r="G20" i="14" s="1"/>
  <c r="V24" i="14"/>
  <c r="U24" i="14"/>
  <c r="T24" i="14"/>
  <c r="W23" i="14"/>
  <c r="H58" i="14" s="1"/>
  <c r="V23" i="14"/>
  <c r="U23" i="14"/>
  <c r="T23" i="14"/>
  <c r="W22" i="14"/>
  <c r="H31" i="14" s="1"/>
  <c r="V22" i="14"/>
  <c r="U22" i="14"/>
  <c r="T22" i="14"/>
  <c r="W21" i="14"/>
  <c r="F30" i="14" s="1"/>
  <c r="V21" i="14"/>
  <c r="U21" i="14"/>
  <c r="T21" i="14"/>
  <c r="W20" i="14"/>
  <c r="F38" i="14" s="1"/>
  <c r="V20" i="14"/>
  <c r="U20" i="14"/>
  <c r="T20" i="14"/>
  <c r="W19" i="14"/>
  <c r="H10" i="14" s="1"/>
  <c r="V19" i="14"/>
  <c r="U19" i="14"/>
  <c r="T19" i="14"/>
  <c r="W18" i="14"/>
  <c r="V18" i="14"/>
  <c r="U18" i="14"/>
  <c r="T18" i="14"/>
  <c r="W17" i="14"/>
  <c r="G57" i="14" s="1"/>
  <c r="V17" i="14"/>
  <c r="U17" i="14"/>
  <c r="T17" i="14"/>
  <c r="W16" i="14"/>
  <c r="G47" i="14" s="1"/>
  <c r="V16" i="14"/>
  <c r="U16" i="14"/>
  <c r="T16" i="14"/>
  <c r="W15" i="14"/>
  <c r="V15" i="14"/>
  <c r="U15" i="14"/>
  <c r="T15" i="14"/>
  <c r="W14" i="14"/>
  <c r="G55" i="14" s="1"/>
  <c r="V14" i="14"/>
  <c r="U14" i="14"/>
  <c r="T14" i="14"/>
  <c r="W13" i="14"/>
  <c r="V13" i="14"/>
  <c r="U13" i="14"/>
  <c r="T13" i="14"/>
  <c r="W12" i="14"/>
  <c r="V12" i="14"/>
  <c r="U12" i="14"/>
  <c r="T12" i="14"/>
  <c r="W11" i="14"/>
  <c r="V11" i="14"/>
  <c r="U11" i="14"/>
  <c r="T11" i="14"/>
  <c r="W10" i="14"/>
  <c r="G5" i="14" s="1"/>
  <c r="V10" i="14"/>
  <c r="U10" i="14"/>
  <c r="T10" i="14"/>
  <c r="W9" i="14"/>
  <c r="V9" i="14"/>
  <c r="U9" i="14"/>
  <c r="T9" i="14"/>
  <c r="W8" i="14"/>
  <c r="F3" i="14" s="1"/>
  <c r="V8" i="14"/>
  <c r="U8" i="14"/>
  <c r="T8" i="14"/>
  <c r="W7" i="14"/>
  <c r="F13" i="14" s="1"/>
  <c r="V7" i="14"/>
  <c r="U7" i="14"/>
  <c r="T7" i="14"/>
  <c r="H22" i="14" l="1"/>
  <c r="H6" i="14"/>
  <c r="F58" i="14"/>
  <c r="F52" i="14"/>
  <c r="F46" i="14"/>
  <c r="H29" i="14"/>
  <c r="F36" i="14"/>
  <c r="F8" i="14"/>
  <c r="G49" i="14"/>
  <c r="F43" i="14"/>
  <c r="H52" i="14"/>
  <c r="H38" i="14"/>
  <c r="G12" i="14"/>
  <c r="G19" i="14"/>
  <c r="G3" i="14"/>
  <c r="G16" i="14"/>
  <c r="F5" i="14"/>
  <c r="G24" i="14"/>
  <c r="F35" i="14"/>
  <c r="H48" i="14"/>
  <c r="F31" i="14"/>
  <c r="G58" i="14"/>
  <c r="H36" i="14"/>
  <c r="G8" i="14"/>
  <c r="G54" i="14"/>
  <c r="F22" i="14"/>
  <c r="F32" i="14"/>
  <c r="H27" i="14"/>
  <c r="F18" i="14"/>
  <c r="G29" i="14"/>
  <c r="H19" i="14"/>
  <c r="F11" i="14"/>
  <c r="G46" i="14"/>
  <c r="H12" i="14"/>
  <c r="F40" i="14"/>
  <c r="G51" i="14"/>
  <c r="H54" i="14"/>
  <c r="G38" i="14"/>
  <c r="H57" i="14"/>
  <c r="F49" i="14"/>
  <c r="H8" i="14"/>
  <c r="G31" i="14"/>
  <c r="G45" i="14"/>
  <c r="H2" i="14"/>
  <c r="G41" i="14"/>
  <c r="H51" i="14"/>
  <c r="G37" i="14"/>
  <c r="F27" i="14"/>
  <c r="G33" i="14"/>
  <c r="F19" i="14"/>
  <c r="F48" i="14"/>
  <c r="F57" i="14"/>
  <c r="G43" i="14"/>
  <c r="H50" i="14"/>
  <c r="G18" i="14"/>
  <c r="H41" i="14"/>
  <c r="F45" i="14"/>
  <c r="G56" i="14"/>
  <c r="H59" i="14"/>
  <c r="G2" i="14"/>
  <c r="H56" i="14"/>
  <c r="H55" i="14"/>
  <c r="F26" i="14"/>
  <c r="H43" i="14"/>
  <c r="H32" i="14"/>
  <c r="G50" i="14"/>
  <c r="H16" i="14"/>
  <c r="F6" i="14"/>
  <c r="G35" i="14"/>
  <c r="H46" i="14"/>
  <c r="G10" i="14"/>
  <c r="H37" i="14"/>
  <c r="F41" i="14"/>
  <c r="G52" i="14"/>
  <c r="H11" i="14"/>
  <c r="G27" i="14"/>
  <c r="H42" i="14"/>
  <c r="G6" i="14"/>
  <c r="H33" i="14"/>
  <c r="F29" i="14"/>
  <c r="G48" i="14"/>
  <c r="G11" i="14"/>
  <c r="G53" i="14"/>
  <c r="F34" i="14"/>
  <c r="H14" i="14"/>
  <c r="H53" i="14"/>
  <c r="F25" i="14"/>
  <c r="G34" i="14"/>
  <c r="G44" i="14"/>
  <c r="F44" i="14"/>
  <c r="G25" i="14"/>
  <c r="G4" i="14"/>
  <c r="H44" i="14"/>
  <c r="H34" i="14"/>
  <c r="H25" i="14"/>
  <c r="F14" i="14"/>
  <c r="H4" i="14"/>
  <c r="F17" i="14"/>
  <c r="G17" i="14"/>
  <c r="H17" i="14"/>
  <c r="G9" i="14"/>
  <c r="H9" i="14"/>
  <c r="G39" i="14"/>
  <c r="G30" i="14"/>
  <c r="H30" i="14"/>
  <c r="H39" i="14"/>
  <c r="H23" i="14"/>
  <c r="G23" i="14"/>
  <c r="F23" i="14"/>
  <c r="F53" i="14"/>
  <c r="G14" i="14"/>
  <c r="F4" i="14"/>
  <c r="H20" i="14"/>
  <c r="F20" i="14"/>
  <c r="F39" i="14"/>
  <c r="F9" i="14"/>
  <c r="H35" i="14"/>
  <c r="G15" i="14"/>
  <c r="F10" i="14"/>
  <c r="H21" i="14"/>
  <c r="F37" i="14"/>
  <c r="G7" i="14"/>
  <c r="G42" i="14"/>
  <c r="F54" i="14"/>
  <c r="F33" i="14"/>
  <c r="H40" i="14"/>
  <c r="F15" i="14"/>
  <c r="H26" i="14"/>
  <c r="F50" i="14"/>
  <c r="F2" i="14"/>
  <c r="H13" i="14"/>
  <c r="G21" i="14"/>
  <c r="H15" i="14"/>
  <c r="F59" i="14"/>
  <c r="G40" i="14"/>
  <c r="G59" i="14"/>
  <c r="F28" i="14"/>
  <c r="H7" i="14"/>
  <c r="F55" i="14"/>
  <c r="F7" i="14"/>
  <c r="H18" i="14"/>
  <c r="F42" i="14"/>
  <c r="H5" i="14"/>
  <c r="G13" i="14"/>
  <c r="H28" i="14"/>
  <c r="G36" i="14"/>
  <c r="F56" i="14"/>
  <c r="F24" i="14"/>
  <c r="H3" i="14"/>
  <c r="F51" i="14"/>
  <c r="G26" i="14"/>
  <c r="H49" i="14"/>
  <c r="H24" i="14"/>
  <c r="G32" i="14"/>
  <c r="H47" i="14"/>
  <c r="F16" i="14"/>
  <c r="F47" i="14"/>
  <c r="H45" i="14"/>
  <c r="G28" i="14"/>
</calcChain>
</file>

<file path=xl/sharedStrings.xml><?xml version="1.0" encoding="utf-8"?>
<sst xmlns="http://schemas.openxmlformats.org/spreadsheetml/2006/main" count="516" uniqueCount="83">
  <si>
    <t>AT00</t>
  </si>
  <si>
    <t>BE00</t>
  </si>
  <si>
    <t>CH00</t>
  </si>
  <si>
    <t>DE00</t>
  </si>
  <si>
    <t>ES00</t>
  </si>
  <si>
    <t>FI00</t>
  </si>
  <si>
    <t>FR00</t>
  </si>
  <si>
    <t>LT00</t>
  </si>
  <si>
    <t>LV00</t>
  </si>
  <si>
    <t>NL00</t>
  </si>
  <si>
    <t>NOM1</t>
  </si>
  <si>
    <t>NON1</t>
  </si>
  <si>
    <t>NOS0</t>
  </si>
  <si>
    <t>PL00</t>
  </si>
  <si>
    <t>SE01</t>
  </si>
  <si>
    <t>SE02</t>
  </si>
  <si>
    <t>SE03</t>
  </si>
  <si>
    <t>SE04</t>
  </si>
  <si>
    <t>UK00</t>
  </si>
  <si>
    <t>Country</t>
  </si>
  <si>
    <t>Scenario</t>
  </si>
  <si>
    <t>Year</t>
  </si>
  <si>
    <t>capacity_output1</t>
  </si>
  <si>
    <t>reservoir</t>
  </si>
  <si>
    <t>upwardLimit</t>
  </si>
  <si>
    <t>psOpen</t>
  </si>
  <si>
    <t>psClosed</t>
  </si>
  <si>
    <t>reference</t>
  </si>
  <si>
    <t>maxSpill</t>
  </si>
  <si>
    <t>balancePenalty</t>
  </si>
  <si>
    <t>ror</t>
  </si>
  <si>
    <t>Grid</t>
  </si>
  <si>
    <t>all</t>
  </si>
  <si>
    <t>Method</t>
  </si>
  <si>
    <t>Remove</t>
  </si>
  <si>
    <t>Note</t>
  </si>
  <si>
    <t>nodeBalance</t>
  </si>
  <si>
    <t>vomCosts</t>
  </si>
  <si>
    <t>GDP pc of country</t>
  </si>
  <si>
    <t>vomCosts country multiplier</t>
  </si>
  <si>
    <t>region multiplier</t>
  </si>
  <si>
    <t>final</t>
  </si>
  <si>
    <t>DKE1</t>
  </si>
  <si>
    <t>DKW1</t>
  </si>
  <si>
    <t>EE00</t>
  </si>
  <si>
    <t>rampUpCost</t>
  </si>
  <si>
    <t>rampDownCost</t>
  </si>
  <si>
    <t>##</t>
  </si>
  <si>
    <t>unittype</t>
  </si>
  <si>
    <t>rorTurbine</t>
  </si>
  <si>
    <t>reservoirTurbine</t>
  </si>
  <si>
    <t>psopenturbine</t>
  </si>
  <si>
    <t>psopenpump</t>
  </si>
  <si>
    <t>psclosedturbine</t>
  </si>
  <si>
    <t>psclosedpump</t>
  </si>
  <si>
    <t>psOpenTurbine</t>
  </si>
  <si>
    <t>psOpenPump</t>
  </si>
  <si>
    <t>psClosedTurbine</t>
  </si>
  <si>
    <t>psClosedPump</t>
  </si>
  <si>
    <t>maxRampUp</t>
  </si>
  <si>
    <t>maxRampDown</t>
  </si>
  <si>
    <t>availability</t>
  </si>
  <si>
    <t>Adapted from Kiehle et al 2026</t>
  </si>
  <si>
    <t>(was 16765, 1.58x)</t>
  </si>
  <si>
    <t>(was   509, 1.98x)</t>
  </si>
  <si>
    <t>(was 17996, 1.15x)</t>
  </si>
  <si>
    <t>(was 18019, 0.95x)</t>
  </si>
  <si>
    <t>(was 14733, 0.70x)</t>
  </si>
  <si>
    <t>(was 91522, 0.64x)</t>
  </si>
  <si>
    <t>(was   571, 1.66x)</t>
  </si>
  <si>
    <t>(was 16000, 0.44x)</t>
  </si>
  <si>
    <t>(was  2261, 0.70x)</t>
  </si>
  <si>
    <r>
      <t>(c) + (d) </t>
    </r>
    <r>
      <rPr>
        <b/>
        <sz val="9.9"/>
        <rFont val="Courier New"/>
        <family val="3"/>
      </rPr>
      <t>unitdata</t>
    </r>
    <r>
      <rPr>
        <b/>
        <sz val="13.5"/>
        <rFont val="Segoe UI"/>
        <family val="2"/>
      </rPr>
      <t> — </t>
    </r>
    <r>
      <rPr>
        <b/>
        <sz val="9.9"/>
        <rFont val="Courier New"/>
        <family val="3"/>
      </rPr>
      <t>maxRampUp</t>
    </r>
    <r>
      <rPr>
        <b/>
        <sz val="13.5"/>
        <rFont val="Segoe UI"/>
        <family val="2"/>
      </rPr>
      <t> = </t>
    </r>
    <r>
      <rPr>
        <b/>
        <sz val="9.9"/>
        <rFont val="Courier New"/>
        <family val="3"/>
      </rPr>
      <t>maxRampDown</t>
    </r>
    <r>
      <rPr>
        <b/>
        <sz val="13.5"/>
        <rFont val="Segoe UI"/>
        <family val="2"/>
      </rPr>
      <t> (p.u./min), </t>
    </r>
    <r>
      <rPr>
        <b/>
        <sz val="9.9"/>
        <rFont val="Courier New"/>
        <family val="3"/>
      </rPr>
      <t>availability</t>
    </r>
  </si>
  <si>
    <t>zone</t>
  </si>
  <si>
    <t xml:space="preserve">  unittype            </t>
  </si>
  <si>
    <t>maxRamp</t>
  </si>
  <si>
    <t xml:space="preserve">    avail</t>
  </si>
  <si>
    <r>
      <rPr>
        <b/>
        <sz val="9.9"/>
        <rFont val="Courier New"/>
        <family val="3"/>
      </rPr>
      <t>nodedata.upwardLimit</t>
    </r>
    <r>
      <rPr>
        <b/>
        <sz val="13.5"/>
        <rFont val="Segoe UI"/>
        <family val="2"/>
      </rPr>
      <t>, ror nodes — MWh</t>
    </r>
  </si>
  <si>
    <t>—</t>
  </si>
  <si>
    <t>minGen</t>
  </si>
  <si>
    <t xml:space="preserve"> </t>
  </si>
  <si>
    <t>minGenPenalty</t>
  </si>
  <si>
    <t>relative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</si>
</sst>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charset val="1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.9"/>
      <color rgb="FFD0D0D0"/>
      <name val="Courier New"/>
      <family val="3"/>
    </font>
    <font>
      <b/>
      <sz val="13.5"/>
      <name val="Segoe UI"/>
      <family val="2"/>
    </font>
    <font>
      <b/>
      <sz val="9.9"/>
      <name val="Courier New"/>
      <family val="3"/>
    </font>
    <font>
      <sz val="11"/>
      <name val="Calibri"/>
      <family val="2"/>
      <scheme val="minor"/>
    </font>
    <font>
      <sz val="9.9"/>
      <name val="Courier New"/>
      <family val="3"/>
    </font>
    <font>
      <sz val="11"/>
      <name val="Consolas"/>
      <family val="3"/>
    </font>
    <font>
      <b/>
      <sz val="13.5"/>
      <name val="Segoe UI"/>
      <family val="3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9" fontId="7" fillId="0" borderId="0" applyFon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center"/>
    </xf>
    <xf numFmtId="0" fontId="0" fillId="5" borderId="0" xfId="0" applyFill="1"/>
    <xf numFmtId="0" fontId="0" fillId="6" borderId="0" xfId="0" applyFill="1"/>
    <xf numFmtId="0" fontId="3" fillId="0" borderId="2" xfId="0" applyFont="1" applyBorder="1" applyAlignment="1">
      <alignment horizontal="center" vertical="top"/>
    </xf>
    <xf numFmtId="3" fontId="4" fillId="0" borderId="3" xfId="0" applyNumberFormat="1" applyFont="1" applyBorder="1"/>
    <xf numFmtId="3" fontId="3" fillId="0" borderId="0" xfId="0" applyNumberFormat="1" applyFont="1" applyAlignment="1">
      <alignment horizontal="center" vertical="top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2" borderId="0" xfId="0" applyNumberFormat="1" applyFill="1" applyAlignment="1">
      <alignment horizontal="center"/>
    </xf>
    <xf numFmtId="3" fontId="0" fillId="3" borderId="0" xfId="0" applyNumberFormat="1" applyFill="1" applyAlignment="1">
      <alignment horizontal="center"/>
    </xf>
    <xf numFmtId="3" fontId="0" fillId="4" borderId="0" xfId="0" applyNumberFormat="1" applyFill="1" applyAlignment="1">
      <alignment horizontal="center"/>
    </xf>
    <xf numFmtId="3" fontId="0" fillId="5" borderId="0" xfId="0" applyNumberFormat="1" applyFill="1" applyAlignment="1">
      <alignment horizontal="center"/>
    </xf>
    <xf numFmtId="0" fontId="0" fillId="7" borderId="0" xfId="0" applyFill="1"/>
    <xf numFmtId="0" fontId="1" fillId="0" borderId="0" xfId="0" applyFont="1" applyAlignment="1">
      <alignment horizontal="center"/>
    </xf>
    <xf numFmtId="9" fontId="0" fillId="0" borderId="0" xfId="3" applyFont="1" applyAlignment="1">
      <alignment horizontal="center"/>
    </xf>
    <xf numFmtId="9" fontId="1" fillId="0" borderId="0" xfId="3" applyFont="1" applyAlignment="1">
      <alignment horizont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3" fontId="8" fillId="0" borderId="0" xfId="0" applyNumberFormat="1" applyFont="1" applyAlignment="1">
      <alignment horizontal="left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4" fontId="0" fillId="0" borderId="0" xfId="0" applyNumberFormat="1"/>
    <xf numFmtId="165" fontId="0" fillId="0" borderId="0" xfId="0" applyNumberFormat="1"/>
    <xf numFmtId="1" fontId="0" fillId="8" borderId="0" xfId="0" applyNumberFormat="1" applyFill="1" applyAlignment="1">
      <alignment horizontal="center"/>
    </xf>
    <xf numFmtId="0" fontId="0" fillId="9" borderId="0" xfId="0" applyFill="1"/>
  </cellXfs>
  <cellStyles count="4">
    <cellStyle name="Normal" xfId="0" builtinId="0"/>
    <cellStyle name="Normal 2" xfId="2" xr:uid="{FC31EDF3-2535-4BD0-9B77-3909C39E0667}"/>
    <cellStyle name="Normal 4" xfId="1" xr:uid="{F009F437-1BF9-4014-B677-DDB3856DFBE9}"/>
    <cellStyle name="Percent" xfId="3" builtinId="5"/>
  </cellStyles>
  <dxfs count="11"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F8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B\bb-dev\north_european_model\src_files\data_files\ObservedTrends.xlsx" TargetMode="External"/><Relationship Id="rId1" Type="http://schemas.openxmlformats.org/officeDocument/2006/relationships/externalLinkPath" Target="ObservedTrend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B\bb-dev\north_european_model\src_files\data_files\unittypedata_compilation.xlsx" TargetMode="External"/><Relationship Id="rId1" Type="http://schemas.openxmlformats.org/officeDocument/2006/relationships/externalLinkPath" Target="unittypedata_compi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omcost mult"/>
      <sheetName val="VRE-NT2030"/>
      <sheetName val="wind"/>
      <sheetName val="onshore"/>
      <sheetName val="offshore"/>
      <sheetName val="PV"/>
      <sheetName val="VRE summary"/>
      <sheetName val="unitdata_VRE"/>
      <sheetName val="battery_data"/>
      <sheetName val="unitdata_battery"/>
      <sheetName val="unitdata_nuclearThermal"/>
      <sheetName val="unitdata_demandRed"/>
      <sheetName val="transferdata"/>
      <sheetName val="emissiondata"/>
      <sheetName val="nodedata"/>
    </sheetNames>
    <sheetDataSet>
      <sheetData sheetId="0">
        <row r="11">
          <cell r="O11">
            <v>45140</v>
          </cell>
          <cell r="P11">
            <v>0.12757648618174755</v>
          </cell>
          <cell r="Q11">
            <v>1</v>
          </cell>
          <cell r="R11">
            <v>0.128</v>
          </cell>
        </row>
        <row r="12">
          <cell r="O12">
            <v>44440</v>
          </cell>
          <cell r="P12">
            <v>0.12078898170883434</v>
          </cell>
          <cell r="Q12">
            <v>1</v>
          </cell>
          <cell r="R12">
            <v>0.121</v>
          </cell>
        </row>
        <row r="13">
          <cell r="O13">
            <v>96081</v>
          </cell>
          <cell r="P13">
            <v>0.4556524459454061</v>
          </cell>
          <cell r="Q13">
            <v>1</v>
          </cell>
          <cell r="R13">
            <v>0.45600000000000002</v>
          </cell>
        </row>
        <row r="14">
          <cell r="O14">
            <v>43110</v>
          </cell>
          <cell r="P14">
            <v>0.1075929542938924</v>
          </cell>
          <cell r="Q14">
            <v>1</v>
          </cell>
          <cell r="R14">
            <v>0.108</v>
          </cell>
        </row>
        <row r="15">
          <cell r="O15">
            <v>58160</v>
          </cell>
          <cell r="P15">
            <v>0.2376393292909858</v>
          </cell>
          <cell r="Q15">
            <v>1.05</v>
          </cell>
          <cell r="R15">
            <v>0.25</v>
          </cell>
        </row>
        <row r="16">
          <cell r="O16">
            <v>58160</v>
          </cell>
          <cell r="P16">
            <v>0.2376393292909858</v>
          </cell>
          <cell r="Q16">
            <v>1</v>
          </cell>
          <cell r="R16">
            <v>0.23799999999999999</v>
          </cell>
        </row>
        <row r="17">
          <cell r="O17">
            <v>21060</v>
          </cell>
          <cell r="P17">
            <v>-0.20352670171052795</v>
          </cell>
          <cell r="Q17">
            <v>1</v>
          </cell>
          <cell r="R17">
            <v>-0.20399999999999999</v>
          </cell>
        </row>
        <row r="18">
          <cell r="O18">
            <v>27800</v>
          </cell>
          <cell r="P18">
            <v>-8.2940272641919402E-2</v>
          </cell>
          <cell r="Q18">
            <v>1</v>
          </cell>
          <cell r="R18">
            <v>-8.3000000000000004E-2</v>
          </cell>
        </row>
        <row r="19">
          <cell r="O19">
            <v>43110</v>
          </cell>
          <cell r="P19">
            <v>0.1075929542938924</v>
          </cell>
          <cell r="Q19">
            <v>1</v>
          </cell>
          <cell r="R19">
            <v>0.108</v>
          </cell>
        </row>
        <row r="20">
          <cell r="O20">
            <v>38110</v>
          </cell>
          <cell r="P20">
            <v>5.4053880212171543E-2</v>
          </cell>
          <cell r="Q20">
            <v>1</v>
          </cell>
          <cell r="R20">
            <v>5.3999999999999999E-2</v>
          </cell>
        </row>
        <row r="21">
          <cell r="O21">
            <v>19690</v>
          </cell>
          <cell r="P21">
            <v>-0.2327393524218774</v>
          </cell>
          <cell r="Q21">
            <v>1</v>
          </cell>
          <cell r="R21">
            <v>-0.23300000000000001</v>
          </cell>
        </row>
        <row r="22">
          <cell r="O22">
            <v>16910</v>
          </cell>
          <cell r="P22">
            <v>-0.29884146096225389</v>
          </cell>
          <cell r="Q22">
            <v>1</v>
          </cell>
          <cell r="R22">
            <v>-0.29899999999999999</v>
          </cell>
        </row>
        <row r="23">
          <cell r="O23">
            <v>50880</v>
          </cell>
          <cell r="P23">
            <v>0.17956203408036178</v>
          </cell>
          <cell r="Q23">
            <v>1</v>
          </cell>
          <cell r="R23">
            <v>0.18</v>
          </cell>
        </row>
        <row r="24">
          <cell r="O24">
            <v>66460</v>
          </cell>
          <cell r="P24">
            <v>0.2955752683826966</v>
          </cell>
          <cell r="Q24">
            <v>1.05</v>
          </cell>
          <cell r="R24">
            <v>0.31</v>
          </cell>
        </row>
        <row r="25">
          <cell r="O25">
            <v>66460</v>
          </cell>
          <cell r="P25">
            <v>0.2955752683826966</v>
          </cell>
          <cell r="Q25">
            <v>1.1000000000000001</v>
          </cell>
          <cell r="R25">
            <v>0.32500000000000001</v>
          </cell>
        </row>
        <row r="26">
          <cell r="O26">
            <v>66460</v>
          </cell>
          <cell r="P26">
            <v>0.2955752683826966</v>
          </cell>
          <cell r="Q26">
            <v>1</v>
          </cell>
          <cell r="R26">
            <v>0.29599999999999999</v>
          </cell>
        </row>
        <row r="27">
          <cell r="O27">
            <v>16470</v>
          </cell>
          <cell r="P27">
            <v>-0.31029146939024133</v>
          </cell>
          <cell r="Q27">
            <v>1</v>
          </cell>
          <cell r="R27">
            <v>-0.31</v>
          </cell>
        </row>
        <row r="28">
          <cell r="O28">
            <v>48310</v>
          </cell>
          <cell r="P28">
            <v>0.15705196892652412</v>
          </cell>
          <cell r="Q28">
            <v>1.1499999999999999</v>
          </cell>
          <cell r="R28">
            <v>0.18099999999999999</v>
          </cell>
        </row>
        <row r="29">
          <cell r="O29">
            <v>48310</v>
          </cell>
          <cell r="P29">
            <v>0.15705196892652412</v>
          </cell>
          <cell r="Q29">
            <v>1.1000000000000001</v>
          </cell>
          <cell r="R29">
            <v>0.17299999999999999</v>
          </cell>
        </row>
        <row r="30">
          <cell r="O30">
            <v>48310</v>
          </cell>
          <cell r="P30">
            <v>0.15705196892652412</v>
          </cell>
          <cell r="Q30">
            <v>1.05</v>
          </cell>
          <cell r="R30">
            <v>0.16500000000000001</v>
          </cell>
        </row>
        <row r="31">
          <cell r="O31">
            <v>48310</v>
          </cell>
          <cell r="P31">
            <v>0.15705196892652412</v>
          </cell>
          <cell r="Q31">
            <v>1</v>
          </cell>
          <cell r="R31">
            <v>0.157</v>
          </cell>
        </row>
        <row r="32">
          <cell r="O32">
            <v>49193</v>
          </cell>
          <cell r="P32">
            <v>0.16491823994601576</v>
          </cell>
          <cell r="Q32">
            <v>1</v>
          </cell>
          <cell r="R32">
            <v>0.16500000000000001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typedata"/>
    </sheetNames>
    <sheetDataSet>
      <sheetData sheetId="0">
        <row r="1">
          <cell r="D1" t="str">
            <v>unittype</v>
          </cell>
          <cell r="S1" t="str">
            <v>vomCosts</v>
          </cell>
          <cell r="Y1" t="str">
            <v>rampUpCost</v>
          </cell>
          <cell r="Z1" t="str">
            <v>rampDownCost</v>
          </cell>
        </row>
        <row r="3">
          <cell r="D3" t="str">
            <v>windOnshore</v>
          </cell>
          <cell r="S3">
            <v>1.75</v>
          </cell>
        </row>
        <row r="4">
          <cell r="D4" t="str">
            <v>windOffshore</v>
          </cell>
          <cell r="S4">
            <v>2</v>
          </cell>
        </row>
        <row r="5">
          <cell r="D5" t="str">
            <v>solarPV</v>
          </cell>
          <cell r="S5">
            <v>1.5</v>
          </cell>
        </row>
        <row r="7">
          <cell r="D7" t="str">
            <v>rorTurbine</v>
          </cell>
          <cell r="S7">
            <v>2</v>
          </cell>
          <cell r="Y7">
            <v>5.5</v>
          </cell>
          <cell r="Z7">
            <v>5.5</v>
          </cell>
        </row>
        <row r="8">
          <cell r="D8" t="str">
            <v>reservoirTurbine</v>
          </cell>
          <cell r="S8">
            <v>1.8</v>
          </cell>
          <cell r="Y8">
            <v>5</v>
          </cell>
          <cell r="Z8">
            <v>5</v>
          </cell>
        </row>
        <row r="9">
          <cell r="D9" t="str">
            <v>psOpenTurbine</v>
          </cell>
          <cell r="S9">
            <v>2</v>
          </cell>
          <cell r="Y9">
            <v>4</v>
          </cell>
          <cell r="Z9">
            <v>4</v>
          </cell>
        </row>
        <row r="10">
          <cell r="D10" t="str">
            <v>psOpenPump</v>
          </cell>
          <cell r="S10">
            <v>1.6</v>
          </cell>
          <cell r="Y10">
            <v>3.5</v>
          </cell>
          <cell r="Z10">
            <v>3.5</v>
          </cell>
        </row>
        <row r="11">
          <cell r="D11" t="str">
            <v>psClosedTurbine</v>
          </cell>
          <cell r="S11">
            <v>1.8</v>
          </cell>
          <cell r="Y11">
            <v>3.1</v>
          </cell>
          <cell r="Z11">
            <v>3.1</v>
          </cell>
        </row>
        <row r="12">
          <cell r="D12" t="str">
            <v>psClosedPump</v>
          </cell>
          <cell r="S12">
            <v>1.4</v>
          </cell>
          <cell r="Y12">
            <v>3</v>
          </cell>
          <cell r="Z12">
            <v>3</v>
          </cell>
        </row>
        <row r="14">
          <cell r="D14" t="str">
            <v>oilShaleOld</v>
          </cell>
          <cell r="S14">
            <v>3.3</v>
          </cell>
          <cell r="Y14">
            <v>44</v>
          </cell>
          <cell r="Z14">
            <v>44</v>
          </cell>
        </row>
        <row r="15">
          <cell r="D15" t="str">
            <v>bioOilshaleNew</v>
          </cell>
          <cell r="S15">
            <v>3.3</v>
          </cell>
          <cell r="Y15">
            <v>28.6</v>
          </cell>
          <cell r="Z15">
            <v>28.6</v>
          </cell>
        </row>
        <row r="16">
          <cell r="D16" t="str">
            <v>oilshaleNew</v>
          </cell>
          <cell r="S16">
            <v>3.3</v>
          </cell>
          <cell r="Y16">
            <v>28.6</v>
          </cell>
          <cell r="Z16">
            <v>28.6</v>
          </cell>
        </row>
        <row r="17">
          <cell r="D17" t="str">
            <v>bioLigniteOld2</v>
          </cell>
          <cell r="S17">
            <v>3.3</v>
          </cell>
          <cell r="Y17">
            <v>40.700000000000003</v>
          </cell>
          <cell r="Z17">
            <v>40.700000000000003</v>
          </cell>
        </row>
        <row r="18">
          <cell r="D18" t="str">
            <v>ligniteOld2</v>
          </cell>
          <cell r="S18">
            <v>3.3</v>
          </cell>
          <cell r="Y18">
            <v>40.700000000000003</v>
          </cell>
          <cell r="Z18">
            <v>40.700000000000003</v>
          </cell>
        </row>
        <row r="19">
          <cell r="D19" t="str">
            <v>bioLigniteOld1</v>
          </cell>
          <cell r="S19">
            <v>3.3</v>
          </cell>
          <cell r="Y19">
            <v>47</v>
          </cell>
          <cell r="Z19">
            <v>47</v>
          </cell>
        </row>
        <row r="20">
          <cell r="D20" t="str">
            <v>ligniteOld1</v>
          </cell>
          <cell r="S20">
            <v>3.3</v>
          </cell>
          <cell r="Y20">
            <v>47</v>
          </cell>
          <cell r="Z20">
            <v>47</v>
          </cell>
        </row>
        <row r="21">
          <cell r="D21" t="str">
            <v>ligniteNew</v>
          </cell>
          <cell r="S21">
            <v>3.3</v>
          </cell>
          <cell r="Y21">
            <v>28.6</v>
          </cell>
          <cell r="Z21">
            <v>28.6</v>
          </cell>
        </row>
        <row r="22">
          <cell r="D22" t="str">
            <v>ligniteCCS</v>
          </cell>
          <cell r="S22">
            <v>6.6</v>
          </cell>
          <cell r="Y22">
            <v>40.700000000000003</v>
          </cell>
          <cell r="Z22">
            <v>40.700000000000003</v>
          </cell>
        </row>
        <row r="23">
          <cell r="D23" t="str">
            <v>OilLightOld</v>
          </cell>
          <cell r="S23">
            <v>2.1</v>
          </cell>
          <cell r="Y23">
            <v>19.2</v>
          </cell>
          <cell r="Z23">
            <v>19.2</v>
          </cell>
        </row>
        <row r="24">
          <cell r="D24" t="str">
            <v>oilHeavyOld2</v>
          </cell>
          <cell r="S24">
            <v>3.3</v>
          </cell>
          <cell r="Y24">
            <v>40.700000000000003</v>
          </cell>
          <cell r="Z24">
            <v>40.700000000000003</v>
          </cell>
        </row>
        <row r="25">
          <cell r="D25" t="str">
            <v>oilHeavyOld1</v>
          </cell>
          <cell r="S25">
            <v>3.3</v>
          </cell>
          <cell r="Y25">
            <v>47</v>
          </cell>
          <cell r="Z25">
            <v>47</v>
          </cell>
        </row>
        <row r="26">
          <cell r="D26" t="str">
            <v>bioOilHeavyOld</v>
          </cell>
          <cell r="S26">
            <v>3.3</v>
          </cell>
          <cell r="Y26">
            <v>40.700000000000003</v>
          </cell>
          <cell r="Z26">
            <v>40.700000000000003</v>
          </cell>
        </row>
        <row r="27">
          <cell r="D27" t="str">
            <v>bioCoalOld</v>
          </cell>
          <cell r="S27">
            <v>3.3</v>
          </cell>
          <cell r="Y27">
            <v>47</v>
          </cell>
          <cell r="Z27">
            <v>47</v>
          </cell>
        </row>
        <row r="28">
          <cell r="D28" t="str">
            <v>bioCoalOld2</v>
          </cell>
          <cell r="S28">
            <v>3.3</v>
          </cell>
          <cell r="Y28">
            <v>40.700000000000003</v>
          </cell>
          <cell r="Z28">
            <v>40.700000000000003</v>
          </cell>
        </row>
        <row r="29">
          <cell r="D29" t="str">
            <v>coalOld2</v>
          </cell>
          <cell r="S29">
            <v>3.3</v>
          </cell>
          <cell r="Y29">
            <v>40.700000000000003</v>
          </cell>
          <cell r="Z29">
            <v>40.700000000000003</v>
          </cell>
        </row>
        <row r="30">
          <cell r="D30" t="str">
            <v>coalOld1</v>
          </cell>
          <cell r="S30">
            <v>3.3</v>
          </cell>
          <cell r="Y30">
            <v>47</v>
          </cell>
          <cell r="Z30">
            <v>47</v>
          </cell>
        </row>
        <row r="31">
          <cell r="D31" t="str">
            <v>bioCoalNew</v>
          </cell>
          <cell r="S31">
            <v>3.3</v>
          </cell>
          <cell r="Y31">
            <v>28.6</v>
          </cell>
          <cell r="Z31">
            <v>28.6</v>
          </cell>
        </row>
        <row r="32">
          <cell r="D32" t="str">
            <v>coalNew</v>
          </cell>
          <cell r="S32">
            <v>3.3</v>
          </cell>
          <cell r="Y32">
            <v>28.6</v>
          </cell>
          <cell r="Z32">
            <v>28.6</v>
          </cell>
        </row>
        <row r="33">
          <cell r="D33" t="str">
            <v>bioGasOld2</v>
          </cell>
          <cell r="S33">
            <v>2.1</v>
          </cell>
          <cell r="Y33">
            <v>29.4</v>
          </cell>
          <cell r="Z33">
            <v>29.4</v>
          </cell>
        </row>
        <row r="34">
          <cell r="D34" t="str">
            <v>gasOld2</v>
          </cell>
          <cell r="S34">
            <v>2.1</v>
          </cell>
          <cell r="Y34">
            <v>29.4</v>
          </cell>
          <cell r="Z34">
            <v>29.4</v>
          </cell>
        </row>
        <row r="35">
          <cell r="D35" t="str">
            <v>gasOld1</v>
          </cell>
          <cell r="S35">
            <v>2.1</v>
          </cell>
          <cell r="Y35">
            <v>34.799999999999997</v>
          </cell>
          <cell r="Z35">
            <v>34.799999999999997</v>
          </cell>
        </row>
        <row r="36">
          <cell r="D36" t="str">
            <v>gasOCGTold</v>
          </cell>
          <cell r="S36">
            <v>2.6</v>
          </cell>
          <cell r="Y36">
            <v>26.2</v>
          </cell>
          <cell r="Z36">
            <v>26.2</v>
          </cell>
        </row>
        <row r="37">
          <cell r="D37" t="str">
            <v>gasOCGTnew</v>
          </cell>
          <cell r="S37">
            <v>2.6</v>
          </cell>
          <cell r="Y37">
            <v>12.1</v>
          </cell>
          <cell r="Z37">
            <v>12.1</v>
          </cell>
        </row>
        <row r="38">
          <cell r="D38" t="str">
            <v>gasCCGTpresent2</v>
          </cell>
          <cell r="S38">
            <v>2.6</v>
          </cell>
          <cell r="Y38">
            <v>18</v>
          </cell>
          <cell r="Z38">
            <v>18</v>
          </cell>
        </row>
        <row r="39">
          <cell r="D39" t="str">
            <v>gasCCGTpresent1</v>
          </cell>
          <cell r="S39">
            <v>2.6</v>
          </cell>
          <cell r="Y39">
            <v>18</v>
          </cell>
          <cell r="Z39">
            <v>18</v>
          </cell>
        </row>
        <row r="40">
          <cell r="D40" t="str">
            <v>bioGasCCGTOld2</v>
          </cell>
          <cell r="S40">
            <v>2.6</v>
          </cell>
          <cell r="Y40">
            <v>30.9</v>
          </cell>
          <cell r="Z40">
            <v>30.9</v>
          </cell>
        </row>
        <row r="41">
          <cell r="D41" t="str">
            <v>gasCCGTOld2</v>
          </cell>
          <cell r="S41">
            <v>2.6</v>
          </cell>
          <cell r="Y41">
            <v>30.9</v>
          </cell>
          <cell r="Z41">
            <v>30.9</v>
          </cell>
        </row>
        <row r="42">
          <cell r="D42" t="str">
            <v>gasCCGTOld1</v>
          </cell>
          <cell r="S42">
            <v>2.6</v>
          </cell>
          <cell r="Y42">
            <v>39.5</v>
          </cell>
          <cell r="Z42">
            <v>39.5</v>
          </cell>
        </row>
        <row r="43">
          <cell r="D43" t="str">
            <v>gasCCGTNew</v>
          </cell>
          <cell r="S43">
            <v>2.6</v>
          </cell>
          <cell r="Y43">
            <v>18</v>
          </cell>
          <cell r="Z43">
            <v>18</v>
          </cell>
        </row>
        <row r="45">
          <cell r="D45" t="str">
            <v>coalCCS</v>
          </cell>
          <cell r="S45">
            <v>6.6</v>
          </cell>
          <cell r="Y45">
            <v>40.700000000000003</v>
          </cell>
          <cell r="Z45">
            <v>40.700000000000003</v>
          </cell>
        </row>
        <row r="46">
          <cell r="D46" t="str">
            <v>gasCCGTCCS</v>
          </cell>
          <cell r="S46">
            <v>3.2</v>
          </cell>
          <cell r="Y46">
            <v>30.9</v>
          </cell>
          <cell r="Z46">
            <v>30.9</v>
          </cell>
        </row>
        <row r="48">
          <cell r="D48" t="str">
            <v>nuclear</v>
          </cell>
          <cell r="S48">
            <v>3</v>
          </cell>
          <cell r="Y48">
            <v>60</v>
          </cell>
          <cell r="Z48">
            <v>240</v>
          </cell>
        </row>
        <row r="49">
          <cell r="D49" t="str">
            <v>nuclearFlexible</v>
          </cell>
          <cell r="S49">
            <v>3.1</v>
          </cell>
          <cell r="Y49">
            <v>5</v>
          </cell>
          <cell r="Z49">
            <v>45</v>
          </cell>
        </row>
        <row r="51">
          <cell r="D51" t="str">
            <v>bioCHPIndustry</v>
          </cell>
          <cell r="S51">
            <v>2</v>
          </cell>
          <cell r="Y51">
            <v>42.5</v>
          </cell>
          <cell r="Z51">
            <v>42.5</v>
          </cell>
        </row>
        <row r="52">
          <cell r="D52" t="str">
            <v>coalCHPIndustry</v>
          </cell>
          <cell r="S52">
            <v>2</v>
          </cell>
          <cell r="Y52">
            <v>47.5</v>
          </cell>
          <cell r="Z52">
            <v>47.5</v>
          </cell>
        </row>
        <row r="53">
          <cell r="D53" t="str">
            <v>gasCHPIndustry</v>
          </cell>
          <cell r="S53">
            <v>2</v>
          </cell>
          <cell r="Y53">
            <v>47.5</v>
          </cell>
          <cell r="Z53">
            <v>47.5</v>
          </cell>
        </row>
        <row r="55">
          <cell r="D55" t="str">
            <v>BatteryCharger</v>
          </cell>
          <cell r="S55">
            <v>1.4</v>
          </cell>
        </row>
        <row r="56">
          <cell r="D56" t="str">
            <v>BatteryDisch</v>
          </cell>
          <cell r="S56">
            <v>1.4</v>
          </cell>
        </row>
        <row r="57">
          <cell r="D57" t="str">
            <v>BatteryCharger4h</v>
          </cell>
          <cell r="S57">
            <v>1.6</v>
          </cell>
        </row>
        <row r="58">
          <cell r="D58" t="str">
            <v>BatteryDisch4h</v>
          </cell>
          <cell r="S58">
            <v>1.6</v>
          </cell>
        </row>
        <row r="60">
          <cell r="D60" t="str">
            <v>solarThermal</v>
          </cell>
        </row>
        <row r="61">
          <cell r="D61" t="str">
            <v>GSHP</v>
          </cell>
          <cell r="S61">
            <v>6</v>
          </cell>
        </row>
        <row r="62">
          <cell r="D62" t="str">
            <v>wasteHOB</v>
          </cell>
          <cell r="S62">
            <v>2</v>
          </cell>
          <cell r="Y62">
            <v>20</v>
          </cell>
          <cell r="Z62">
            <v>20</v>
          </cell>
        </row>
        <row r="63">
          <cell r="D63" t="str">
            <v>oilHOB</v>
          </cell>
          <cell r="S63">
            <v>2</v>
          </cell>
          <cell r="Y63">
            <v>20</v>
          </cell>
          <cell r="Z63">
            <v>20</v>
          </cell>
        </row>
        <row r="64">
          <cell r="D64" t="str">
            <v>gasHOB</v>
          </cell>
          <cell r="S64">
            <v>2</v>
          </cell>
          <cell r="Y64">
            <v>20</v>
          </cell>
          <cell r="Z64">
            <v>20</v>
          </cell>
        </row>
        <row r="65">
          <cell r="D65" t="str">
            <v>bioHOB</v>
          </cell>
          <cell r="S65">
            <v>2</v>
          </cell>
          <cell r="Y65">
            <v>20</v>
          </cell>
          <cell r="Z65">
            <v>20</v>
          </cell>
        </row>
        <row r="66">
          <cell r="D66" t="str">
            <v>elecHOB</v>
          </cell>
          <cell r="S66">
            <v>1.5</v>
          </cell>
        </row>
        <row r="67">
          <cell r="D67" t="str">
            <v>wasteCHP</v>
          </cell>
          <cell r="S67">
            <v>2</v>
          </cell>
          <cell r="Y67">
            <v>75</v>
          </cell>
          <cell r="Z67">
            <v>75</v>
          </cell>
        </row>
        <row r="68">
          <cell r="D68" t="str">
            <v>coalCHP</v>
          </cell>
          <cell r="S68">
            <v>2</v>
          </cell>
          <cell r="Y68">
            <v>75</v>
          </cell>
          <cell r="Z68">
            <v>75</v>
          </cell>
        </row>
        <row r="69">
          <cell r="D69" t="str">
            <v>bioCHP</v>
          </cell>
          <cell r="S69">
            <v>2</v>
          </cell>
          <cell r="Y69">
            <v>45</v>
          </cell>
          <cell r="Z69">
            <v>45</v>
          </cell>
        </row>
        <row r="70">
          <cell r="D70" t="str">
            <v>gasCCGTCHP</v>
          </cell>
          <cell r="S70">
            <v>1.6</v>
          </cell>
          <cell r="Y70">
            <v>18</v>
          </cell>
          <cell r="Z70">
            <v>18</v>
          </cell>
        </row>
        <row r="71">
          <cell r="D71" t="str">
            <v>coalHOB</v>
          </cell>
          <cell r="S71">
            <v>2</v>
          </cell>
        </row>
        <row r="72">
          <cell r="D72" t="str">
            <v>coalCHPExtraction</v>
          </cell>
          <cell r="S72">
            <v>2</v>
          </cell>
          <cell r="Y72">
            <v>75</v>
          </cell>
          <cell r="Z72">
            <v>75</v>
          </cell>
        </row>
        <row r="73">
          <cell r="D73" t="str">
            <v>bioCHPExtraction</v>
          </cell>
          <cell r="S73">
            <v>2</v>
          </cell>
          <cell r="Y73">
            <v>45</v>
          </cell>
          <cell r="Z73">
            <v>45</v>
          </cell>
        </row>
        <row r="74">
          <cell r="D74" t="str">
            <v>gasCHPExtraction</v>
          </cell>
          <cell r="S74">
            <v>1.6</v>
          </cell>
          <cell r="Y74">
            <v>18</v>
          </cell>
          <cell r="Z74">
            <v>18</v>
          </cell>
        </row>
        <row r="75">
          <cell r="D75" t="str">
            <v>oilshaleCHP</v>
          </cell>
          <cell r="S75">
            <v>3.3</v>
          </cell>
          <cell r="Y75">
            <v>28.6</v>
          </cell>
          <cell r="Z75">
            <v>28.6</v>
          </cell>
        </row>
        <row r="76">
          <cell r="D76" t="str">
            <v>gasOCGTCHP</v>
          </cell>
          <cell r="S76">
            <v>1.6</v>
          </cell>
          <cell r="Y76">
            <v>12.1</v>
          </cell>
          <cell r="Z76">
            <v>12.1</v>
          </cell>
        </row>
        <row r="77">
          <cell r="D77" t="str">
            <v>HeatStorageCharger</v>
          </cell>
          <cell r="S77">
            <v>1.4</v>
          </cell>
        </row>
        <row r="78">
          <cell r="D78" t="str">
            <v>HeatStorageDisch</v>
          </cell>
          <cell r="S78">
            <v>1.4</v>
          </cell>
        </row>
        <row r="79">
          <cell r="D79" t="str">
            <v>heatStorageChargerLarge</v>
          </cell>
          <cell r="S79">
            <v>1.7</v>
          </cell>
        </row>
        <row r="80">
          <cell r="D80" t="str">
            <v>heatStorageDischLarge</v>
          </cell>
          <cell r="S80">
            <v>1.7</v>
          </cell>
        </row>
        <row r="81">
          <cell r="D81" t="str">
            <v>heatStorageChargerSeasonal</v>
          </cell>
          <cell r="S81">
            <v>2</v>
          </cell>
        </row>
        <row r="82">
          <cell r="D82" t="str">
            <v>heatStorageDischSeasonal</v>
          </cell>
          <cell r="S82">
            <v>2</v>
          </cell>
        </row>
        <row r="84">
          <cell r="D84" t="str">
            <v>DRupwards2</v>
          </cell>
        </row>
        <row r="85">
          <cell r="D85" t="str">
            <v>DRupwards1</v>
          </cell>
        </row>
        <row r="86">
          <cell r="D86" t="str">
            <v>DRcutofftier3</v>
          </cell>
          <cell r="S86">
            <v>2000</v>
          </cell>
        </row>
        <row r="87">
          <cell r="D87" t="str">
            <v>DRcutofftier2</v>
          </cell>
          <cell r="S87">
            <v>1000</v>
          </cell>
        </row>
        <row r="88">
          <cell r="D88" t="str">
            <v>DRcutofftier1</v>
          </cell>
          <cell r="S88">
            <v>400</v>
          </cell>
        </row>
        <row r="90">
          <cell r="D90" t="str">
            <v>Electrolyser</v>
          </cell>
          <cell r="S90">
            <v>1.5</v>
          </cell>
          <cell r="Y90">
            <v>15</v>
          </cell>
          <cell r="Z90">
            <v>15</v>
          </cell>
        </row>
        <row r="91">
          <cell r="D91" t="str">
            <v>ElectrolyserSOEC</v>
          </cell>
          <cell r="S91">
            <v>1.5</v>
          </cell>
          <cell r="Y91">
            <v>25</v>
          </cell>
          <cell r="Z91">
            <v>25</v>
          </cell>
        </row>
        <row r="92">
          <cell r="D92" t="str">
            <v>hydrogenCCGT</v>
          </cell>
          <cell r="S92">
            <v>1.6</v>
          </cell>
        </row>
        <row r="93">
          <cell r="D93" t="str">
            <v>hydrogenOCGT</v>
          </cell>
          <cell r="S93">
            <v>5</v>
          </cell>
          <cell r="Y93">
            <v>30</v>
          </cell>
        </row>
        <row r="94">
          <cell r="D94" t="str">
            <v>H2StorageDisch</v>
          </cell>
          <cell r="S94">
            <v>1.5</v>
          </cell>
        </row>
        <row r="95">
          <cell r="D95" t="str">
            <v>H2StorageCharger</v>
          </cell>
          <cell r="S95">
            <v>1.5</v>
          </cell>
        </row>
        <row r="96">
          <cell r="D96" t="str">
            <v>H2StorageDischLongterm</v>
          </cell>
          <cell r="S96">
            <v>2</v>
          </cell>
          <cell r="Y96">
            <v>0</v>
          </cell>
        </row>
        <row r="97">
          <cell r="D97" t="str">
            <v>H2StorageChargerLongterm</v>
          </cell>
          <cell r="S97">
            <v>2</v>
          </cell>
          <cell r="Y97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105637-66C0-4B67-968B-A8C9BC84D774}" name="Table2" displayName="Table2" ref="A1:L41" totalsRowShown="0" headerRowDxfId="10">
  <autoFilter ref="A1:L41" xr:uid="{4E105637-66C0-4B67-968B-A8C9BC84D774}"/>
  <sortState xmlns:xlrd2="http://schemas.microsoft.com/office/spreadsheetml/2017/richdata2" ref="A2:I6">
    <sortCondition ref="B1:B6"/>
  </sortState>
  <tableColumns count="12">
    <tableColumn id="1" xr3:uid="{DD34CF7B-7E89-4129-B187-64EA9DBE9AB5}" name="Country" dataDxfId="9"/>
    <tableColumn id="2" xr3:uid="{9F2751A6-04EC-4ED2-AB42-B8EA5F26204C}" name="Grid"/>
    <tableColumn id="4" xr3:uid="{9BB2F988-4BF3-43BE-825B-61D7ED214C20}" name="Scenario" dataDxfId="8"/>
    <tableColumn id="5" xr3:uid="{B2E82F1D-6AE0-4465-8201-B09B1A163DBC}" name="Year" dataDxfId="7"/>
    <tableColumn id="10" xr3:uid="{A3BED5EB-08A7-4F3F-AB5F-17A0A75BE225}" name="nodeBalance" dataDxfId="6"/>
    <tableColumn id="6" xr3:uid="{70FFAE63-9B59-49B3-A41F-076293B979F8}" name="upwardLimit" dataDxfId="5"/>
    <tableColumn id="7" xr3:uid="{E4BBBCCD-F5BD-4D0B-9262-F84C87E3CCE6}" name="reference" dataDxfId="4"/>
    <tableColumn id="8" xr3:uid="{F7666183-1180-4234-AD88-B1F9E55F6267}" name="balancePenalty" dataDxfId="3"/>
    <tableColumn id="9" xr3:uid="{84FDFFC6-278E-4FC6-9D54-9736721D6070}" name="maxSpill" dataDxfId="2"/>
    <tableColumn id="3" xr3:uid="{4277BD29-04AE-4F26-8CE8-222C6FFCB3F8}" name="Method" dataDxfId="1"/>
    <tableColumn id="11" xr3:uid="{B3AB9226-4E6B-449D-A1AB-E1E4E89232A7}" name="Note" dataDxfId="0"/>
    <tableColumn id="12" xr3:uid="{F68C3CE4-3C56-4F8E-8DD3-83A348B09906}" name="relati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F466-B1B4-426F-B696-2AE2F87A4523}">
  <sheetPr>
    <tabColor theme="7" tint="0.59999389629810485"/>
  </sheetPr>
  <dimension ref="A1:V70"/>
  <sheetViews>
    <sheetView workbookViewId="0">
      <pane xSplit="4" ySplit="1" topLeftCell="E5" activePane="bottomRight" state="frozen"/>
      <selection pane="topRight" activeCell="E1" sqref="E1"/>
      <selection pane="bottomLeft" activeCell="A2" sqref="A2"/>
      <selection pane="bottomRight" activeCell="J1" sqref="J1:J1048576"/>
    </sheetView>
  </sheetViews>
  <sheetFormatPr defaultRowHeight="15" x14ac:dyDescent="0.25"/>
  <cols>
    <col min="2" max="2" width="9.42578125" bestFit="1" customWidth="1"/>
    <col min="3" max="3" width="13.140625" style="6" bestFit="1" customWidth="1"/>
    <col min="4" max="4" width="9.5703125" style="6" bestFit="1" customWidth="1"/>
    <col min="5" max="5" width="17.85546875" style="6" customWidth="1"/>
    <col min="6" max="6" width="16.7109375" style="12" bestFit="1" customWidth="1"/>
    <col min="7" max="7" width="12" style="13" bestFit="1" customWidth="1"/>
    <col min="8" max="8" width="19.28515625" style="13" bestFit="1" customWidth="1"/>
    <col min="9" max="9" width="13.140625" style="13" bestFit="1" customWidth="1"/>
    <col min="10" max="10" width="21" customWidth="1"/>
    <col min="11" max="11" width="37" customWidth="1"/>
  </cols>
  <sheetData>
    <row r="1" spans="1:22" x14ac:dyDescent="0.25">
      <c r="A1" s="9" t="s">
        <v>19</v>
      </c>
      <c r="B1" s="9" t="s">
        <v>31</v>
      </c>
      <c r="C1" s="9" t="s">
        <v>20</v>
      </c>
      <c r="D1" s="9" t="s">
        <v>21</v>
      </c>
      <c r="E1" s="9" t="s">
        <v>36</v>
      </c>
      <c r="F1" s="9" t="s">
        <v>24</v>
      </c>
      <c r="G1" s="10" t="s">
        <v>27</v>
      </c>
      <c r="H1" s="11" t="s">
        <v>29</v>
      </c>
      <c r="I1" s="11" t="s">
        <v>28</v>
      </c>
      <c r="J1" s="11" t="s">
        <v>33</v>
      </c>
      <c r="K1" s="23" t="s">
        <v>35</v>
      </c>
      <c r="L1" s="11" t="s">
        <v>82</v>
      </c>
      <c r="O1" t="s">
        <v>47</v>
      </c>
      <c r="P1" t="s">
        <v>47</v>
      </c>
      <c r="Q1" t="s">
        <v>47</v>
      </c>
      <c r="R1" t="s">
        <v>47</v>
      </c>
      <c r="S1" t="s">
        <v>47</v>
      </c>
      <c r="T1" t="s">
        <v>47</v>
      </c>
      <c r="U1" t="s">
        <v>47</v>
      </c>
      <c r="V1" t="s">
        <v>47</v>
      </c>
    </row>
    <row r="2" spans="1:22" x14ac:dyDescent="0.25">
      <c r="A2" s="13" t="s">
        <v>0</v>
      </c>
      <c r="B2" t="s">
        <v>30</v>
      </c>
      <c r="C2" s="6" t="s">
        <v>32</v>
      </c>
      <c r="D2" s="6">
        <v>1</v>
      </c>
      <c r="E2" s="6">
        <v>1</v>
      </c>
      <c r="F2" s="14">
        <v>26406</v>
      </c>
      <c r="G2" s="12"/>
      <c r="H2" s="12">
        <v>5000</v>
      </c>
      <c r="I2" s="12">
        <v>20000</v>
      </c>
      <c r="J2" s="12"/>
      <c r="K2" s="12"/>
    </row>
    <row r="3" spans="1:22" x14ac:dyDescent="0.25">
      <c r="A3" s="13" t="s">
        <v>1</v>
      </c>
      <c r="B3" t="s">
        <v>30</v>
      </c>
      <c r="C3" s="6" t="s">
        <v>32</v>
      </c>
      <c r="D3" s="6">
        <v>1</v>
      </c>
      <c r="E3" s="6">
        <v>1</v>
      </c>
      <c r="F3" s="14">
        <v>1007</v>
      </c>
      <c r="G3" s="12"/>
      <c r="H3" s="12">
        <v>5000</v>
      </c>
      <c r="I3" s="12">
        <v>20000</v>
      </c>
      <c r="J3" s="12"/>
      <c r="K3" s="12"/>
      <c r="P3" t="s">
        <v>62</v>
      </c>
    </row>
    <row r="4" spans="1:22" x14ac:dyDescent="0.25">
      <c r="A4" s="13" t="s">
        <v>2</v>
      </c>
      <c r="B4" t="s">
        <v>30</v>
      </c>
      <c r="C4" s="6" t="s">
        <v>32</v>
      </c>
      <c r="D4" s="6">
        <v>1</v>
      </c>
      <c r="E4" s="6">
        <v>1</v>
      </c>
      <c r="F4" s="14">
        <v>20748</v>
      </c>
      <c r="G4" s="12"/>
      <c r="H4" s="12">
        <v>5000</v>
      </c>
      <c r="I4" s="12">
        <v>20000</v>
      </c>
      <c r="J4" s="12"/>
      <c r="K4" s="12"/>
    </row>
    <row r="5" spans="1:22" ht="21" x14ac:dyDescent="0.25">
      <c r="A5" s="13" t="s">
        <v>3</v>
      </c>
      <c r="B5" t="s">
        <v>30</v>
      </c>
      <c r="C5" s="6" t="s">
        <v>32</v>
      </c>
      <c r="D5" s="6">
        <v>1</v>
      </c>
      <c r="E5" s="6">
        <v>1</v>
      </c>
      <c r="F5" s="14">
        <v>17189</v>
      </c>
      <c r="G5" s="12"/>
      <c r="H5" s="12">
        <v>5000</v>
      </c>
      <c r="I5" s="12">
        <v>20000</v>
      </c>
      <c r="J5" s="12"/>
      <c r="K5" s="12"/>
      <c r="P5" s="30" t="s">
        <v>77</v>
      </c>
      <c r="Q5" s="27"/>
      <c r="R5" s="27"/>
      <c r="S5" s="27"/>
      <c r="T5" s="27"/>
    </row>
    <row r="6" spans="1:22" x14ac:dyDescent="0.25">
      <c r="A6" s="13" t="s">
        <v>4</v>
      </c>
      <c r="B6" t="s">
        <v>30</v>
      </c>
      <c r="C6" s="6" t="s">
        <v>32</v>
      </c>
      <c r="D6" s="6">
        <v>1</v>
      </c>
      <c r="E6" s="6">
        <v>1</v>
      </c>
      <c r="F6" s="14">
        <v>10316</v>
      </c>
      <c r="G6" s="12"/>
      <c r="H6" s="12">
        <v>5000</v>
      </c>
      <c r="I6" s="12">
        <v>20000</v>
      </c>
      <c r="J6" s="12"/>
      <c r="K6" s="12"/>
      <c r="P6" s="28" t="s">
        <v>0</v>
      </c>
      <c r="Q6" s="27">
        <v>26406</v>
      </c>
      <c r="R6" s="27" t="s">
        <v>63</v>
      </c>
      <c r="S6" s="27"/>
      <c r="T6" s="27"/>
    </row>
    <row r="7" spans="1:22" x14ac:dyDescent="0.25">
      <c r="A7" s="13" t="s">
        <v>6</v>
      </c>
      <c r="B7" t="s">
        <v>30</v>
      </c>
      <c r="C7" s="6" t="s">
        <v>32</v>
      </c>
      <c r="D7" s="6">
        <v>1</v>
      </c>
      <c r="E7" s="6">
        <v>1</v>
      </c>
      <c r="F7" s="14">
        <v>58717</v>
      </c>
      <c r="G7" s="12"/>
      <c r="H7" s="12">
        <v>5000</v>
      </c>
      <c r="I7" s="12">
        <v>20000</v>
      </c>
      <c r="J7" s="12"/>
      <c r="K7" s="12"/>
      <c r="P7" s="28" t="s">
        <v>1</v>
      </c>
      <c r="Q7" s="27">
        <v>1007</v>
      </c>
      <c r="R7" s="27" t="s">
        <v>64</v>
      </c>
      <c r="S7" s="27"/>
      <c r="T7" s="27"/>
    </row>
    <row r="8" spans="1:22" x14ac:dyDescent="0.25">
      <c r="A8" s="13" t="s">
        <v>7</v>
      </c>
      <c r="B8" t="s">
        <v>30</v>
      </c>
      <c r="C8" s="6" t="s">
        <v>32</v>
      </c>
      <c r="D8" s="6">
        <v>1</v>
      </c>
      <c r="E8" s="6">
        <v>1</v>
      </c>
      <c r="F8" s="14">
        <v>948</v>
      </c>
      <c r="G8" s="12"/>
      <c r="H8" s="12">
        <v>5000</v>
      </c>
      <c r="I8" s="12">
        <v>20000</v>
      </c>
      <c r="J8" s="12"/>
      <c r="K8" s="12"/>
      <c r="P8" s="28" t="s">
        <v>2</v>
      </c>
      <c r="Q8" s="27">
        <v>20748</v>
      </c>
      <c r="R8" s="27" t="s">
        <v>65</v>
      </c>
      <c r="S8" s="27"/>
      <c r="T8" s="27"/>
    </row>
    <row r="9" spans="1:22" x14ac:dyDescent="0.25">
      <c r="A9" s="13" t="s">
        <v>8</v>
      </c>
      <c r="B9" t="s">
        <v>30</v>
      </c>
      <c r="C9" s="6" t="s">
        <v>32</v>
      </c>
      <c r="D9" s="6">
        <v>1</v>
      </c>
      <c r="E9" s="6">
        <v>1</v>
      </c>
      <c r="F9" s="14">
        <v>7100</v>
      </c>
      <c r="G9" s="12"/>
      <c r="H9" s="12">
        <v>5000</v>
      </c>
      <c r="I9" s="12">
        <v>20000</v>
      </c>
      <c r="J9" s="12"/>
      <c r="K9" s="12"/>
      <c r="P9" s="28" t="s">
        <v>3</v>
      </c>
      <c r="Q9" s="27">
        <v>17189</v>
      </c>
      <c r="R9" s="27" t="s">
        <v>66</v>
      </c>
      <c r="S9" s="27"/>
      <c r="T9" s="27"/>
    </row>
    <row r="10" spans="1:22" x14ac:dyDescent="0.25">
      <c r="A10" s="13" t="s">
        <v>9</v>
      </c>
      <c r="B10" t="s">
        <v>30</v>
      </c>
      <c r="C10" s="6" t="s">
        <v>32</v>
      </c>
      <c r="D10" s="6">
        <v>1</v>
      </c>
      <c r="E10" s="6">
        <v>1</v>
      </c>
      <c r="F10" s="14">
        <v>0</v>
      </c>
      <c r="G10" s="12"/>
      <c r="H10" s="12">
        <v>5000</v>
      </c>
      <c r="I10" s="12">
        <v>20000</v>
      </c>
      <c r="J10" s="12"/>
      <c r="K10" s="12"/>
      <c r="P10" s="28" t="s">
        <v>4</v>
      </c>
      <c r="Q10" s="27">
        <v>10316</v>
      </c>
      <c r="R10" s="27" t="s">
        <v>67</v>
      </c>
      <c r="S10" s="27"/>
      <c r="T10" s="27"/>
    </row>
    <row r="11" spans="1:22" x14ac:dyDescent="0.25">
      <c r="A11" s="13" t="s">
        <v>13</v>
      </c>
      <c r="B11" t="s">
        <v>30</v>
      </c>
      <c r="C11" s="6" t="s">
        <v>32</v>
      </c>
      <c r="D11" s="6">
        <v>1</v>
      </c>
      <c r="E11" s="6">
        <v>1</v>
      </c>
      <c r="F11" s="14">
        <v>1590</v>
      </c>
      <c r="G11" s="12"/>
      <c r="H11" s="12">
        <v>5000</v>
      </c>
      <c r="I11" s="12">
        <v>20000</v>
      </c>
      <c r="J11" s="12"/>
      <c r="K11" s="12"/>
      <c r="P11" s="28" t="s">
        <v>6</v>
      </c>
      <c r="Q11" s="27">
        <v>58717</v>
      </c>
      <c r="R11" s="27" t="s">
        <v>68</v>
      </c>
      <c r="S11" s="27"/>
      <c r="T11" s="27"/>
    </row>
    <row r="12" spans="1:22" x14ac:dyDescent="0.25">
      <c r="A12" s="13" t="s">
        <v>18</v>
      </c>
      <c r="B12" t="s">
        <v>30</v>
      </c>
      <c r="C12" s="6" t="s">
        <v>32</v>
      </c>
      <c r="D12" s="6">
        <v>1</v>
      </c>
      <c r="E12" s="6">
        <v>1</v>
      </c>
      <c r="F12" s="14">
        <v>8152.1246056447653</v>
      </c>
      <c r="G12" s="12"/>
      <c r="H12" s="12">
        <v>5000</v>
      </c>
      <c r="I12" s="12">
        <v>20000</v>
      </c>
      <c r="J12" s="12"/>
      <c r="K12" s="12"/>
      <c r="P12" s="28" t="s">
        <v>7</v>
      </c>
      <c r="Q12" s="27">
        <v>948</v>
      </c>
      <c r="R12" s="27" t="s">
        <v>69</v>
      </c>
      <c r="S12" s="27"/>
      <c r="T12" s="27"/>
    </row>
    <row r="13" spans="1:22" x14ac:dyDescent="0.25">
      <c r="A13" s="13" t="s">
        <v>0</v>
      </c>
      <c r="B13" t="s">
        <v>23</v>
      </c>
      <c r="C13" s="6" t="s">
        <v>32</v>
      </c>
      <c r="D13" s="6">
        <v>1</v>
      </c>
      <c r="E13" s="6">
        <v>1</v>
      </c>
      <c r="F13" s="15">
        <v>762386.20000000007</v>
      </c>
      <c r="G13" s="12"/>
      <c r="H13" s="12">
        <v>5000</v>
      </c>
      <c r="I13" s="12">
        <v>20000</v>
      </c>
      <c r="J13" s="12"/>
      <c r="K13" s="12"/>
      <c r="L13" s="12">
        <v>0.9</v>
      </c>
      <c r="P13" s="28" t="s">
        <v>8</v>
      </c>
      <c r="Q13" s="27">
        <v>7100</v>
      </c>
      <c r="R13" s="27" t="s">
        <v>70</v>
      </c>
      <c r="S13" s="27"/>
      <c r="T13" s="27"/>
    </row>
    <row r="14" spans="1:22" x14ac:dyDescent="0.25">
      <c r="A14" s="13" t="s">
        <v>2</v>
      </c>
      <c r="B14" t="s">
        <v>23</v>
      </c>
      <c r="C14" s="6" t="s">
        <v>32</v>
      </c>
      <c r="D14" s="6">
        <v>1</v>
      </c>
      <c r="E14" s="6">
        <v>1</v>
      </c>
      <c r="F14" s="15">
        <v>8155000</v>
      </c>
      <c r="G14" s="12"/>
      <c r="H14" s="12">
        <v>5000</v>
      </c>
      <c r="I14" s="12">
        <v>20000</v>
      </c>
      <c r="J14" s="12"/>
      <c r="K14" s="12"/>
      <c r="L14" s="12">
        <v>0.68</v>
      </c>
      <c r="P14" s="28" t="s">
        <v>13</v>
      </c>
      <c r="Q14" s="27">
        <v>1590</v>
      </c>
      <c r="R14" s="27" t="s">
        <v>71</v>
      </c>
      <c r="S14" s="27"/>
      <c r="T14" s="27"/>
    </row>
    <row r="15" spans="1:22" x14ac:dyDescent="0.25">
      <c r="A15" s="13" t="s">
        <v>3</v>
      </c>
      <c r="B15" t="s">
        <v>23</v>
      </c>
      <c r="C15" s="6" t="s">
        <v>32</v>
      </c>
      <c r="D15" s="6">
        <v>1</v>
      </c>
      <c r="E15" s="6">
        <v>1</v>
      </c>
      <c r="F15" s="15">
        <v>258000</v>
      </c>
      <c r="G15" s="12"/>
      <c r="H15" s="12">
        <v>5000</v>
      </c>
      <c r="I15" s="12">
        <v>20000</v>
      </c>
      <c r="J15" s="12"/>
      <c r="K15" s="12"/>
      <c r="L15" s="12">
        <v>0.7</v>
      </c>
    </row>
    <row r="16" spans="1:22" x14ac:dyDescent="0.25">
      <c r="A16" s="13" t="s">
        <v>4</v>
      </c>
      <c r="B16" t="s">
        <v>23</v>
      </c>
      <c r="C16" s="6" t="s">
        <v>32</v>
      </c>
      <c r="D16" s="6">
        <v>1</v>
      </c>
      <c r="E16" s="6">
        <v>1</v>
      </c>
      <c r="F16" s="15">
        <v>11840000</v>
      </c>
      <c r="G16" s="12"/>
      <c r="H16" s="12">
        <v>5000</v>
      </c>
      <c r="I16" s="12">
        <v>20000</v>
      </c>
      <c r="J16" s="12"/>
      <c r="K16" s="12"/>
      <c r="L16" s="12">
        <v>0.26</v>
      </c>
    </row>
    <row r="17" spans="1:12" x14ac:dyDescent="0.25">
      <c r="A17" s="13" t="s">
        <v>5</v>
      </c>
      <c r="B17" t="s">
        <v>23</v>
      </c>
      <c r="C17" s="6" t="s">
        <v>32</v>
      </c>
      <c r="D17" s="6">
        <v>1</v>
      </c>
      <c r="E17" s="6">
        <v>1</v>
      </c>
      <c r="F17" s="15">
        <v>5530000</v>
      </c>
      <c r="G17" s="12"/>
      <c r="H17" s="12">
        <v>5000</v>
      </c>
      <c r="I17" s="12">
        <v>20000</v>
      </c>
      <c r="J17" s="12"/>
      <c r="K17" s="12"/>
      <c r="L17" s="12">
        <v>0.61</v>
      </c>
    </row>
    <row r="18" spans="1:12" x14ac:dyDescent="0.25">
      <c r="A18" s="13" t="s">
        <v>6</v>
      </c>
      <c r="B18" t="s">
        <v>23</v>
      </c>
      <c r="C18" s="6" t="s">
        <v>32</v>
      </c>
      <c r="D18" s="6">
        <v>1</v>
      </c>
      <c r="E18" s="6">
        <v>1</v>
      </c>
      <c r="F18" s="15">
        <v>10000000</v>
      </c>
      <c r="G18" s="12"/>
      <c r="H18" s="12">
        <v>5000</v>
      </c>
      <c r="I18" s="12">
        <v>20000</v>
      </c>
      <c r="J18" s="12"/>
      <c r="K18" s="12"/>
      <c r="L18" s="12">
        <v>0.66</v>
      </c>
    </row>
    <row r="19" spans="1:12" x14ac:dyDescent="0.25">
      <c r="A19" s="13" t="s">
        <v>13</v>
      </c>
      <c r="B19" t="s">
        <v>23</v>
      </c>
      <c r="C19" s="6" t="s">
        <v>32</v>
      </c>
      <c r="D19" s="6">
        <v>1</v>
      </c>
      <c r="E19" s="6">
        <v>1</v>
      </c>
      <c r="F19" s="15">
        <v>820</v>
      </c>
      <c r="G19" s="12"/>
      <c r="H19" s="12">
        <v>5000</v>
      </c>
      <c r="I19" s="12">
        <v>20000</v>
      </c>
      <c r="J19" s="12"/>
      <c r="K19" s="12"/>
      <c r="L19" s="12">
        <v>0.7</v>
      </c>
    </row>
    <row r="20" spans="1:12" x14ac:dyDescent="0.25">
      <c r="A20" s="13" t="s">
        <v>14</v>
      </c>
      <c r="B20" t="s">
        <v>23</v>
      </c>
      <c r="C20" s="6" t="s">
        <v>32</v>
      </c>
      <c r="D20" s="6">
        <v>1</v>
      </c>
      <c r="E20" s="6">
        <v>1</v>
      </c>
      <c r="F20" s="15">
        <v>14810000</v>
      </c>
      <c r="G20" s="12"/>
      <c r="H20" s="12">
        <v>5000</v>
      </c>
      <c r="I20" s="12">
        <v>20000</v>
      </c>
      <c r="J20" s="12"/>
      <c r="K20" s="12"/>
      <c r="L20" s="12">
        <v>0.72</v>
      </c>
    </row>
    <row r="21" spans="1:12" x14ac:dyDescent="0.25">
      <c r="A21" s="13" t="s">
        <v>15</v>
      </c>
      <c r="B21" t="s">
        <v>23</v>
      </c>
      <c r="C21" s="6" t="s">
        <v>32</v>
      </c>
      <c r="D21" s="6">
        <v>1</v>
      </c>
      <c r="E21" s="6">
        <v>1</v>
      </c>
      <c r="F21" s="15">
        <v>15730000</v>
      </c>
      <c r="G21" s="12"/>
      <c r="H21" s="12">
        <v>5000</v>
      </c>
      <c r="I21" s="12">
        <v>40000</v>
      </c>
      <c r="J21" s="12"/>
      <c r="K21" s="24"/>
      <c r="L21" s="12">
        <v>0.61</v>
      </c>
    </row>
    <row r="22" spans="1:12" x14ac:dyDescent="0.25">
      <c r="A22" s="13" t="s">
        <v>16</v>
      </c>
      <c r="B22" t="s">
        <v>23</v>
      </c>
      <c r="C22" s="6" t="s">
        <v>32</v>
      </c>
      <c r="D22" s="6">
        <v>1</v>
      </c>
      <c r="E22" s="6">
        <v>1</v>
      </c>
      <c r="F22" s="15">
        <v>2635000</v>
      </c>
      <c r="G22" s="12"/>
      <c r="H22" s="12">
        <v>5000</v>
      </c>
      <c r="I22" s="12">
        <v>20000</v>
      </c>
      <c r="J22" s="12"/>
      <c r="K22" s="12"/>
      <c r="L22" s="12">
        <v>0.67</v>
      </c>
    </row>
    <row r="23" spans="1:12" x14ac:dyDescent="0.25">
      <c r="A23" s="13" t="s">
        <v>17</v>
      </c>
      <c r="B23" t="s">
        <v>23</v>
      </c>
      <c r="C23" s="6" t="s">
        <v>32</v>
      </c>
      <c r="D23" s="6">
        <v>1</v>
      </c>
      <c r="E23" s="6">
        <v>1</v>
      </c>
      <c r="F23" s="15">
        <v>71666.666666666599</v>
      </c>
      <c r="G23" s="12"/>
      <c r="H23" s="12">
        <v>5000</v>
      </c>
      <c r="I23" s="12">
        <v>20000</v>
      </c>
      <c r="J23" s="12"/>
      <c r="K23" s="12"/>
      <c r="L23" s="12">
        <v>0.7</v>
      </c>
    </row>
    <row r="24" spans="1:12" x14ac:dyDescent="0.25">
      <c r="A24" s="13" t="s">
        <v>0</v>
      </c>
      <c r="B24" t="s">
        <v>25</v>
      </c>
      <c r="C24" s="6" t="s">
        <v>32</v>
      </c>
      <c r="D24" s="6">
        <v>1</v>
      </c>
      <c r="E24" s="6">
        <v>1</v>
      </c>
      <c r="F24" s="16">
        <v>1722178</v>
      </c>
      <c r="G24" s="12"/>
      <c r="H24" s="12">
        <v>5000</v>
      </c>
      <c r="I24" s="12">
        <v>20000</v>
      </c>
      <c r="J24" s="12"/>
      <c r="K24" s="12"/>
      <c r="L24" s="12">
        <v>0.7</v>
      </c>
    </row>
    <row r="25" spans="1:12" x14ac:dyDescent="0.25">
      <c r="A25" s="13" t="s">
        <v>2</v>
      </c>
      <c r="B25" t="s">
        <v>25</v>
      </c>
      <c r="C25" s="6" t="s">
        <v>32</v>
      </c>
      <c r="D25" s="6">
        <v>1</v>
      </c>
      <c r="E25" s="6">
        <v>1</v>
      </c>
      <c r="G25" s="12"/>
      <c r="H25" s="12"/>
      <c r="I25" s="12"/>
      <c r="J25" s="12" t="s">
        <v>34</v>
      </c>
      <c r="K25" s="12"/>
    </row>
    <row r="26" spans="1:12" x14ac:dyDescent="0.25">
      <c r="A26" s="13" t="s">
        <v>3</v>
      </c>
      <c r="B26" t="s">
        <v>25</v>
      </c>
      <c r="C26" s="6" t="s">
        <v>32</v>
      </c>
      <c r="D26" s="6">
        <v>1</v>
      </c>
      <c r="E26" s="6">
        <v>1</v>
      </c>
      <c r="F26" s="16">
        <v>417000</v>
      </c>
      <c r="G26" s="12"/>
      <c r="H26" s="12">
        <v>5000</v>
      </c>
      <c r="I26" s="12">
        <v>20000</v>
      </c>
      <c r="J26" s="12"/>
      <c r="K26" s="12"/>
      <c r="L26" s="12">
        <v>0.7</v>
      </c>
    </row>
    <row r="27" spans="1:12" x14ac:dyDescent="0.25">
      <c r="A27" s="13" t="s">
        <v>4</v>
      </c>
      <c r="B27" t="s">
        <v>25</v>
      </c>
      <c r="C27" s="6" t="s">
        <v>32</v>
      </c>
      <c r="D27" s="6">
        <v>1</v>
      </c>
      <c r="E27" s="6">
        <v>1</v>
      </c>
      <c r="F27" s="16">
        <v>6185000</v>
      </c>
      <c r="G27" s="12"/>
      <c r="H27" s="12">
        <v>5000</v>
      </c>
      <c r="I27" s="12">
        <v>20000</v>
      </c>
      <c r="J27" s="12"/>
      <c r="K27" s="12"/>
      <c r="L27" s="12">
        <v>0.7</v>
      </c>
    </row>
    <row r="28" spans="1:12" x14ac:dyDescent="0.25">
      <c r="A28" s="13" t="s">
        <v>6</v>
      </c>
      <c r="B28" t="s">
        <v>25</v>
      </c>
      <c r="C28" s="6" t="s">
        <v>32</v>
      </c>
      <c r="D28" s="6">
        <v>1</v>
      </c>
      <c r="E28" s="6">
        <v>1</v>
      </c>
      <c r="F28" s="16">
        <v>90000</v>
      </c>
      <c r="G28" s="12"/>
      <c r="H28" s="12">
        <v>5000</v>
      </c>
      <c r="I28" s="12">
        <v>20000</v>
      </c>
      <c r="J28" s="12"/>
      <c r="K28" s="12"/>
      <c r="L28" s="12">
        <v>0.7</v>
      </c>
    </row>
    <row r="29" spans="1:12" x14ac:dyDescent="0.25">
      <c r="A29" s="13" t="s">
        <v>10</v>
      </c>
      <c r="B29" t="s">
        <v>25</v>
      </c>
      <c r="C29" s="6" t="s">
        <v>32</v>
      </c>
      <c r="D29" s="6">
        <v>1</v>
      </c>
      <c r="E29" s="6">
        <v>1</v>
      </c>
      <c r="F29" s="16">
        <v>8602000</v>
      </c>
      <c r="G29" s="12"/>
      <c r="H29" s="12">
        <v>5000</v>
      </c>
      <c r="I29" s="12">
        <v>20000</v>
      </c>
      <c r="J29" s="12"/>
      <c r="K29" s="12"/>
      <c r="L29" s="12">
        <v>0.44</v>
      </c>
    </row>
    <row r="30" spans="1:12" x14ac:dyDescent="0.25">
      <c r="A30" s="13" t="s">
        <v>11</v>
      </c>
      <c r="B30" t="s">
        <v>25</v>
      </c>
      <c r="C30" s="6" t="s">
        <v>32</v>
      </c>
      <c r="D30" s="6">
        <v>1</v>
      </c>
      <c r="E30" s="6">
        <v>1</v>
      </c>
      <c r="F30" s="16">
        <v>21300530</v>
      </c>
      <c r="G30" s="12"/>
      <c r="H30" s="12">
        <v>5000</v>
      </c>
      <c r="I30" s="12">
        <v>40000</v>
      </c>
      <c r="J30" s="12"/>
      <c r="K30" s="24"/>
      <c r="L30" s="12">
        <v>0.56000000000000005</v>
      </c>
    </row>
    <row r="31" spans="1:12" x14ac:dyDescent="0.25">
      <c r="A31" s="13" t="s">
        <v>12</v>
      </c>
      <c r="B31" t="s">
        <v>25</v>
      </c>
      <c r="C31" s="6" t="s">
        <v>32</v>
      </c>
      <c r="D31" s="6">
        <v>1</v>
      </c>
      <c r="E31" s="6">
        <v>1</v>
      </c>
      <c r="F31" s="16">
        <v>57070460</v>
      </c>
      <c r="G31" s="12"/>
      <c r="H31" s="12">
        <v>5000</v>
      </c>
      <c r="I31" s="12">
        <v>80000</v>
      </c>
      <c r="J31" s="12"/>
      <c r="K31" s="24"/>
      <c r="L31" s="12">
        <v>0.46</v>
      </c>
    </row>
    <row r="32" spans="1:12" x14ac:dyDescent="0.25">
      <c r="A32" s="13" t="s">
        <v>13</v>
      </c>
      <c r="B32" t="s">
        <v>25</v>
      </c>
      <c r="C32" s="6" t="s">
        <v>32</v>
      </c>
      <c r="D32" s="6">
        <v>1</v>
      </c>
      <c r="E32" s="6">
        <v>1</v>
      </c>
      <c r="F32" s="16">
        <v>1500</v>
      </c>
      <c r="G32" s="12"/>
      <c r="H32" s="12">
        <v>5000</v>
      </c>
      <c r="I32" s="12">
        <v>20000</v>
      </c>
      <c r="J32" s="12"/>
      <c r="K32" s="12"/>
      <c r="L32" s="12">
        <v>0.7</v>
      </c>
    </row>
    <row r="33" spans="1:11" x14ac:dyDescent="0.25">
      <c r="A33" s="13" t="s">
        <v>0</v>
      </c>
      <c r="B33" t="s">
        <v>26</v>
      </c>
      <c r="C33" s="6" t="s">
        <v>32</v>
      </c>
      <c r="D33" s="6">
        <v>1</v>
      </c>
      <c r="E33" s="6">
        <v>1</v>
      </c>
      <c r="G33" s="12"/>
      <c r="H33" s="12"/>
      <c r="I33" s="12"/>
      <c r="J33" s="12" t="s">
        <v>34</v>
      </c>
      <c r="K33" s="12"/>
    </row>
    <row r="34" spans="1:11" x14ac:dyDescent="0.25">
      <c r="A34" s="13" t="s">
        <v>1</v>
      </c>
      <c r="B34" t="s">
        <v>26</v>
      </c>
      <c r="C34" s="6" t="s">
        <v>32</v>
      </c>
      <c r="D34" s="6">
        <v>1</v>
      </c>
      <c r="E34" s="6">
        <v>1</v>
      </c>
      <c r="F34" s="17">
        <v>5300</v>
      </c>
      <c r="G34" s="12"/>
      <c r="H34" s="12">
        <v>5000</v>
      </c>
      <c r="I34" s="12"/>
      <c r="J34" s="12"/>
      <c r="K34" s="12"/>
    </row>
    <row r="35" spans="1:11" x14ac:dyDescent="0.25">
      <c r="A35" s="13" t="s">
        <v>2</v>
      </c>
      <c r="B35" t="s">
        <v>26</v>
      </c>
      <c r="C35" s="6" t="s">
        <v>32</v>
      </c>
      <c r="D35" s="6">
        <v>1</v>
      </c>
      <c r="E35" s="6">
        <v>1</v>
      </c>
      <c r="F35" s="17">
        <v>670000</v>
      </c>
      <c r="G35" s="12"/>
      <c r="H35" s="12">
        <v>5000</v>
      </c>
      <c r="I35" s="12"/>
      <c r="J35" s="12"/>
      <c r="K35" s="12"/>
    </row>
    <row r="36" spans="1:11" x14ac:dyDescent="0.25">
      <c r="A36" s="13" t="s">
        <v>3</v>
      </c>
      <c r="B36" t="s">
        <v>26</v>
      </c>
      <c r="C36" s="6" t="s">
        <v>32</v>
      </c>
      <c r="D36" s="6">
        <v>1</v>
      </c>
      <c r="E36" s="6">
        <v>1</v>
      </c>
      <c r="F36" s="17">
        <v>355000</v>
      </c>
      <c r="G36" s="12"/>
      <c r="H36" s="12">
        <v>5000</v>
      </c>
      <c r="I36" s="12"/>
      <c r="J36" s="12"/>
      <c r="K36" s="12"/>
    </row>
    <row r="37" spans="1:11" x14ac:dyDescent="0.25">
      <c r="A37" s="13" t="s">
        <v>4</v>
      </c>
      <c r="B37" t="s">
        <v>26</v>
      </c>
      <c r="C37" s="6" t="s">
        <v>32</v>
      </c>
      <c r="D37" s="6">
        <v>1</v>
      </c>
      <c r="E37" s="6">
        <v>1</v>
      </c>
      <c r="F37" s="17">
        <v>95400</v>
      </c>
      <c r="G37" s="12"/>
      <c r="H37" s="12">
        <v>5000</v>
      </c>
      <c r="I37" s="12"/>
      <c r="J37" s="12"/>
      <c r="K37" s="12"/>
    </row>
    <row r="38" spans="1:11" x14ac:dyDescent="0.25">
      <c r="A38" s="13" t="s">
        <v>6</v>
      </c>
      <c r="B38" t="s">
        <v>26</v>
      </c>
      <c r="C38" s="6" t="s">
        <v>32</v>
      </c>
      <c r="D38" s="6">
        <v>1</v>
      </c>
      <c r="E38" s="6">
        <v>1</v>
      </c>
      <c r="F38" s="17">
        <v>10000</v>
      </c>
      <c r="G38" s="12"/>
      <c r="H38" s="12">
        <v>5000</v>
      </c>
      <c r="I38" s="12"/>
      <c r="J38" s="12"/>
      <c r="K38" s="12"/>
    </row>
    <row r="39" spans="1:11" x14ac:dyDescent="0.25">
      <c r="A39" s="13" t="s">
        <v>7</v>
      </c>
      <c r="B39" t="s">
        <v>26</v>
      </c>
      <c r="C39" s="6" t="s">
        <v>32</v>
      </c>
      <c r="D39" s="6">
        <v>1</v>
      </c>
      <c r="E39" s="6">
        <v>1</v>
      </c>
      <c r="F39" s="17">
        <v>10590</v>
      </c>
      <c r="G39" s="12"/>
      <c r="H39" s="12">
        <v>5000</v>
      </c>
      <c r="I39" s="12"/>
      <c r="J39" s="12"/>
      <c r="K39" s="12"/>
    </row>
    <row r="40" spans="1:11" x14ac:dyDescent="0.25">
      <c r="A40" s="13" t="s">
        <v>13</v>
      </c>
      <c r="B40" t="s">
        <v>26</v>
      </c>
      <c r="C40" s="6" t="s">
        <v>32</v>
      </c>
      <c r="D40" s="6">
        <v>1</v>
      </c>
      <c r="E40" s="6">
        <v>1</v>
      </c>
      <c r="F40" s="17">
        <v>6340</v>
      </c>
      <c r="G40" s="12"/>
      <c r="H40" s="12">
        <v>5000</v>
      </c>
      <c r="I40" s="12"/>
      <c r="J40" s="12"/>
      <c r="K40" s="12"/>
    </row>
    <row r="41" spans="1:11" x14ac:dyDescent="0.25">
      <c r="A41" s="13" t="s">
        <v>18</v>
      </c>
      <c r="B41" t="s">
        <v>26</v>
      </c>
      <c r="C41" s="6" t="s">
        <v>32</v>
      </c>
      <c r="D41" s="6">
        <v>1</v>
      </c>
      <c r="E41" s="6">
        <v>1</v>
      </c>
      <c r="F41" s="17">
        <v>26700</v>
      </c>
      <c r="G41" s="12"/>
      <c r="H41" s="12">
        <v>5000</v>
      </c>
      <c r="I41" s="12"/>
      <c r="J41" s="12"/>
      <c r="K41" s="12"/>
    </row>
    <row r="70" spans="16:16" x14ac:dyDescent="0.25">
      <c r="P70" s="2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A8A8-FC40-4073-9522-4FCDCD412C6C}">
  <sheetPr>
    <tabColor theme="7" tint="0.59999389629810485"/>
  </sheetPr>
  <dimension ref="A1:AH59"/>
  <sheetViews>
    <sheetView tabSelected="1"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R24" sqref="R24"/>
    </sheetView>
  </sheetViews>
  <sheetFormatPr defaultRowHeight="15" x14ac:dyDescent="0.25"/>
  <cols>
    <col min="1" max="1" width="8" bestFit="1" customWidth="1"/>
    <col min="2" max="2" width="16.7109375" customWidth="1"/>
    <col min="3" max="3" width="8.5703125" bestFit="1" customWidth="1"/>
    <col min="4" max="4" width="5" bestFit="1" customWidth="1"/>
    <col min="5" max="5" width="16.28515625" bestFit="1" customWidth="1"/>
    <col min="6" max="6" width="9.5703125" bestFit="1" customWidth="1"/>
    <col min="7" max="7" width="12" bestFit="1" customWidth="1"/>
    <col min="8" max="8" width="14.7109375" bestFit="1" customWidth="1"/>
    <col min="9" max="10" width="14.7109375" customWidth="1"/>
    <col min="11" max="11" width="8.140625" style="6" bestFit="1" customWidth="1"/>
    <col min="12" max="12" width="15" style="6" bestFit="1" customWidth="1"/>
    <col min="13" max="13" width="14.7109375" customWidth="1"/>
    <col min="14" max="14" width="5.42578125" bestFit="1" customWidth="1"/>
    <col min="18" max="18" width="9.140625" customWidth="1"/>
    <col min="19" max="19" width="20.85546875" customWidth="1"/>
    <col min="20" max="25" width="9.140625" customWidth="1"/>
    <col min="26" max="26" width="13.140625" customWidth="1"/>
    <col min="30" max="30" width="9.85546875" customWidth="1"/>
    <col min="31" max="31" width="16.140625" customWidth="1"/>
  </cols>
  <sheetData>
    <row r="1" spans="1:34" x14ac:dyDescent="0.25">
      <c r="A1" s="4" t="s">
        <v>19</v>
      </c>
      <c r="B1" s="4" t="s">
        <v>48</v>
      </c>
      <c r="C1" s="4" t="s">
        <v>20</v>
      </c>
      <c r="D1" s="4" t="s">
        <v>21</v>
      </c>
      <c r="E1" s="4" t="s">
        <v>22</v>
      </c>
      <c r="F1" s="22" t="s">
        <v>37</v>
      </c>
      <c r="G1" s="22" t="s">
        <v>45</v>
      </c>
      <c r="H1" s="22" t="s">
        <v>46</v>
      </c>
      <c r="I1" s="22" t="s">
        <v>59</v>
      </c>
      <c r="J1" s="22" t="s">
        <v>60</v>
      </c>
      <c r="K1" s="22" t="s">
        <v>79</v>
      </c>
      <c r="L1" s="22" t="s">
        <v>81</v>
      </c>
      <c r="M1" s="22" t="s">
        <v>61</v>
      </c>
      <c r="N1" s="4" t="s">
        <v>35</v>
      </c>
      <c r="O1" s="5" t="s">
        <v>33</v>
      </c>
      <c r="R1" t="s">
        <v>47</v>
      </c>
      <c r="S1" t="s">
        <v>47</v>
      </c>
      <c r="T1" t="s">
        <v>47</v>
      </c>
      <c r="U1" t="s">
        <v>47</v>
      </c>
      <c r="V1" t="s">
        <v>47</v>
      </c>
      <c r="W1" t="s">
        <v>47</v>
      </c>
      <c r="X1" t="s">
        <v>47</v>
      </c>
      <c r="Y1" t="s">
        <v>47</v>
      </c>
      <c r="Z1" t="s">
        <v>47</v>
      </c>
      <c r="AA1" t="s">
        <v>47</v>
      </c>
      <c r="AB1" t="s">
        <v>47</v>
      </c>
      <c r="AC1" t="s">
        <v>47</v>
      </c>
      <c r="AD1" t="s">
        <v>47</v>
      </c>
      <c r="AE1" t="s">
        <v>47</v>
      </c>
      <c r="AF1" t="s">
        <v>47</v>
      </c>
      <c r="AG1" t="s">
        <v>47</v>
      </c>
      <c r="AH1" t="s">
        <v>47</v>
      </c>
    </row>
    <row r="2" spans="1:34" x14ac:dyDescent="0.25">
      <c r="A2" t="s">
        <v>0</v>
      </c>
      <c r="B2" t="s">
        <v>49</v>
      </c>
      <c r="C2" t="s">
        <v>32</v>
      </c>
      <c r="D2">
        <v>1</v>
      </c>
      <c r="E2" s="1">
        <v>5782</v>
      </c>
      <c r="F2">
        <f t="shared" ref="F2:F33" si="0">ROUND(SUMIFS(T$31:T$36,$S$31:$S$36,$B2) * (1 + SUMIFS($W$7:$W$28,$S$7:$S$28,$A2)), 2)</f>
        <v>2.2599999999999998</v>
      </c>
      <c r="G2">
        <f t="shared" ref="G2:G33" si="1">ROUND(SUMIFS(U$31:U$36,$S$31:$S$36,$B2) * (1 + SUMIFS($W$7:$W$28,$S$7:$S$28,$A2)), 2)</f>
        <v>6.2</v>
      </c>
      <c r="H2">
        <f t="shared" ref="H2:H33" si="2">ROUND(SUMIFS(V$31:V$36,$S$31:$S$36,$B2) * (1 + SUMIFS($W$7:$W$28,$S$7:$S$28,$A2)), 2)</f>
        <v>6.2</v>
      </c>
      <c r="I2" s="32">
        <f t="shared" ref="I2:I33" si="3">IF(ROUND(SUMIFS($AA$8:$AA$42, $Y$8:$Y$42,$A2,    $Z$8:$Z$42,$B2), 5)&gt;0, ROUND(SUMIFS($AA$8:$AA$42, $Y$8:$Y$42,$A2,    $Z$8:$Z$42,$B2), 5), "")</f>
        <v>3.31E-3</v>
      </c>
      <c r="J2" s="32">
        <f>I2</f>
        <v>3.31E-3</v>
      </c>
      <c r="K2" s="33">
        <f t="shared" ref="K2:K33" si="4">IF(SUMIFS($AF$7:$AF$19,    $AD$7:$AD$19,$A2,     $AE$7:$AE$19,$B2)&gt;0, SUMIFS($AF$7:$AF$19,    $AD$7:$AD$19,$A2,     $AE$7:$AE$19,$B2), "")</f>
        <v>1334</v>
      </c>
      <c r="L2" s="33">
        <f>IF(SUM(K2)&gt;0, 300, "")</f>
        <v>300</v>
      </c>
      <c r="M2" s="31">
        <f t="shared" ref="M2:M33" si="5">IF(AND(ROUND(SUMIFS($AB$8:$AB$42, $Y$8:$Y$42,$A2,    $Z$8:$Z$42,$B2), 3)&gt;0, ROUND(SUMIFS($AB$8:$AB$42, $Y$8:$Y$42,$A2,    $Z$8:$Z$42,$B2), 3)&lt;1), ROUND(SUMIFS($AB$8:$AB$42, $Y$8:$Y$42,$A2,    $Z$8:$Z$42,$B2), 3), "")</f>
        <v>0.92500000000000004</v>
      </c>
    </row>
    <row r="3" spans="1:34" x14ac:dyDescent="0.25">
      <c r="A3" t="s">
        <v>1</v>
      </c>
      <c r="B3" t="s">
        <v>49</v>
      </c>
      <c r="C3" t="s">
        <v>32</v>
      </c>
      <c r="D3">
        <v>1</v>
      </c>
      <c r="E3" s="1">
        <v>113.94</v>
      </c>
      <c r="F3">
        <f t="shared" si="0"/>
        <v>2.2400000000000002</v>
      </c>
      <c r="G3">
        <f t="shared" si="1"/>
        <v>6.17</v>
      </c>
      <c r="H3">
        <f t="shared" si="2"/>
        <v>6.17</v>
      </c>
      <c r="I3" s="32">
        <f t="shared" si="3"/>
        <v>4.4000000000000003E-3</v>
      </c>
      <c r="J3" s="32">
        <f t="shared" ref="J3:J59" si="6">I3</f>
        <v>4.4000000000000003E-3</v>
      </c>
      <c r="K3" s="33" t="str">
        <f t="shared" si="4"/>
        <v/>
      </c>
      <c r="L3" s="33" t="str">
        <f t="shared" ref="L3:L59" si="7">IF(SUM(K3)&gt;0, 300, "")</f>
        <v/>
      </c>
      <c r="M3" s="31">
        <f t="shared" si="5"/>
        <v>0.28699999999999998</v>
      </c>
      <c r="Y3" t="s">
        <v>62</v>
      </c>
    </row>
    <row r="4" spans="1:34" x14ac:dyDescent="0.25">
      <c r="A4" t="s">
        <v>2</v>
      </c>
      <c r="B4" t="s">
        <v>49</v>
      </c>
      <c r="C4" t="s">
        <v>32</v>
      </c>
      <c r="D4">
        <v>1</v>
      </c>
      <c r="E4" s="1">
        <v>4031</v>
      </c>
      <c r="F4">
        <f t="shared" si="0"/>
        <v>2.91</v>
      </c>
      <c r="G4">
        <f t="shared" si="1"/>
        <v>8.01</v>
      </c>
      <c r="H4">
        <f t="shared" si="2"/>
        <v>8.01</v>
      </c>
      <c r="I4" s="32">
        <f t="shared" si="3"/>
        <v>4.1599999999999996E-3</v>
      </c>
      <c r="J4" s="32">
        <f t="shared" si="6"/>
        <v>4.1599999999999996E-3</v>
      </c>
      <c r="K4" s="33" t="str">
        <f t="shared" si="4"/>
        <v/>
      </c>
      <c r="L4" s="33" t="str">
        <f t="shared" si="7"/>
        <v/>
      </c>
      <c r="M4" s="31">
        <f t="shared" si="5"/>
        <v>0.76900000000000002</v>
      </c>
    </row>
    <row r="5" spans="1:34" x14ac:dyDescent="0.25">
      <c r="A5" t="s">
        <v>3</v>
      </c>
      <c r="B5" t="s">
        <v>49</v>
      </c>
      <c r="C5" t="s">
        <v>32</v>
      </c>
      <c r="D5">
        <v>1</v>
      </c>
      <c r="E5" s="1">
        <v>4036</v>
      </c>
      <c r="F5">
        <f t="shared" si="0"/>
        <v>2.2200000000000002</v>
      </c>
      <c r="G5">
        <f t="shared" si="1"/>
        <v>6.09</v>
      </c>
      <c r="H5">
        <f t="shared" si="2"/>
        <v>6.09</v>
      </c>
      <c r="I5" s="32">
        <f t="shared" si="3"/>
        <v>3.9500000000000004E-3</v>
      </c>
      <c r="J5" s="32">
        <f t="shared" si="6"/>
        <v>3.9500000000000004E-3</v>
      </c>
      <c r="K5" s="33">
        <f t="shared" si="4"/>
        <v>540</v>
      </c>
      <c r="L5" s="33">
        <f t="shared" si="7"/>
        <v>300</v>
      </c>
      <c r="M5" s="31">
        <f t="shared" si="5"/>
        <v>0.61399999999999999</v>
      </c>
    </row>
    <row r="6" spans="1:34" ht="21" x14ac:dyDescent="0.25">
      <c r="A6" t="s">
        <v>4</v>
      </c>
      <c r="B6" t="s">
        <v>49</v>
      </c>
      <c r="C6" t="s">
        <v>32</v>
      </c>
      <c r="D6">
        <v>1</v>
      </c>
      <c r="E6" s="1">
        <v>3300</v>
      </c>
      <c r="F6">
        <f t="shared" si="0"/>
        <v>1.83</v>
      </c>
      <c r="G6">
        <f t="shared" si="1"/>
        <v>5.04</v>
      </c>
      <c r="H6">
        <f t="shared" si="2"/>
        <v>5.04</v>
      </c>
      <c r="I6" s="32">
        <f t="shared" si="3"/>
        <v>3.3700000000000002E-3</v>
      </c>
      <c r="J6" s="32">
        <f t="shared" si="6"/>
        <v>3.3700000000000002E-3</v>
      </c>
      <c r="K6" s="33">
        <f t="shared" si="4"/>
        <v>270</v>
      </c>
      <c r="L6" s="33">
        <f t="shared" si="7"/>
        <v>300</v>
      </c>
      <c r="M6" s="31">
        <f t="shared" si="5"/>
        <v>0.75800000000000001</v>
      </c>
      <c r="T6" t="s">
        <v>38</v>
      </c>
      <c r="U6" t="s">
        <v>39</v>
      </c>
      <c r="V6" t="s">
        <v>40</v>
      </c>
      <c r="W6" s="19" t="s">
        <v>41</v>
      </c>
      <c r="Y6" s="26" t="s">
        <v>72</v>
      </c>
      <c r="AC6" t="s">
        <v>80</v>
      </c>
      <c r="AF6" s="5" t="s">
        <v>79</v>
      </c>
    </row>
    <row r="7" spans="1:34" x14ac:dyDescent="0.25">
      <c r="A7" t="s">
        <v>6</v>
      </c>
      <c r="B7" t="s">
        <v>49</v>
      </c>
      <c r="C7" t="s">
        <v>32</v>
      </c>
      <c r="D7">
        <v>1</v>
      </c>
      <c r="E7" s="1">
        <v>13614</v>
      </c>
      <c r="F7">
        <f t="shared" si="0"/>
        <v>2.11</v>
      </c>
      <c r="G7">
        <f t="shared" si="1"/>
        <v>5.8</v>
      </c>
      <c r="H7">
        <f t="shared" si="2"/>
        <v>5.8</v>
      </c>
      <c r="I7" s="32">
        <f t="shared" si="3"/>
        <v>7.5500000000000003E-3</v>
      </c>
      <c r="J7" s="32">
        <f t="shared" si="6"/>
        <v>7.5500000000000003E-3</v>
      </c>
      <c r="K7" s="33">
        <f t="shared" si="4"/>
        <v>980</v>
      </c>
      <c r="L7" s="33">
        <f t="shared" si="7"/>
        <v>300</v>
      </c>
      <c r="M7" s="31">
        <f t="shared" si="5"/>
        <v>0.76100000000000001</v>
      </c>
      <c r="S7" s="5" t="s">
        <v>0</v>
      </c>
      <c r="T7" s="6">
        <f>'[1]vomcost mult'!O11</f>
        <v>45140</v>
      </c>
      <c r="U7" s="20">
        <f>'[1]vomcost mult'!P11</f>
        <v>0.12757648618174755</v>
      </c>
      <c r="V7" s="6">
        <f>'[1]vomcost mult'!Q11</f>
        <v>1</v>
      </c>
      <c r="W7" s="21">
        <f>'[1]vomcost mult'!R11</f>
        <v>0.128</v>
      </c>
      <c r="Y7" s="29" t="s">
        <v>73</v>
      </c>
      <c r="Z7" t="s">
        <v>74</v>
      </c>
      <c r="AA7" t="s">
        <v>75</v>
      </c>
      <c r="AB7" t="s">
        <v>76</v>
      </c>
      <c r="AD7" t="s">
        <v>10</v>
      </c>
      <c r="AE7" t="s">
        <v>55</v>
      </c>
      <c r="AF7">
        <v>324</v>
      </c>
    </row>
    <row r="8" spans="1:34" x14ac:dyDescent="0.25">
      <c r="A8" t="s">
        <v>7</v>
      </c>
      <c r="B8" t="s">
        <v>49</v>
      </c>
      <c r="C8" t="s">
        <v>32</v>
      </c>
      <c r="D8">
        <v>1</v>
      </c>
      <c r="E8" s="1">
        <v>128</v>
      </c>
      <c r="F8">
        <f t="shared" si="0"/>
        <v>1.53</v>
      </c>
      <c r="G8">
        <f t="shared" si="1"/>
        <v>4.22</v>
      </c>
      <c r="H8">
        <f t="shared" si="2"/>
        <v>4.22</v>
      </c>
      <c r="I8" s="32">
        <f t="shared" si="3"/>
        <v>9.4999999999999998E-3</v>
      </c>
      <c r="J8" s="32">
        <f t="shared" si="6"/>
        <v>9.4999999999999998E-3</v>
      </c>
      <c r="K8" s="33">
        <f t="shared" si="4"/>
        <v>14</v>
      </c>
      <c r="L8" s="33">
        <f t="shared" si="7"/>
        <v>300</v>
      </c>
      <c r="M8" s="31">
        <f t="shared" si="5"/>
        <v>0.82199999999999995</v>
      </c>
      <c r="S8" s="5" t="s">
        <v>1</v>
      </c>
      <c r="T8" s="6">
        <f>'[1]vomcost mult'!O12</f>
        <v>44440</v>
      </c>
      <c r="U8" s="20">
        <f>'[1]vomcost mult'!P12</f>
        <v>0.12078898170883434</v>
      </c>
      <c r="V8" s="6">
        <f>'[1]vomcost mult'!Q12</f>
        <v>1</v>
      </c>
      <c r="W8" s="21">
        <f>'[1]vomcost mult'!R12</f>
        <v>0.121</v>
      </c>
      <c r="Y8" s="29" t="s">
        <v>0</v>
      </c>
      <c r="Z8" t="s">
        <v>49</v>
      </c>
      <c r="AA8" s="34">
        <f>0.00231+0.001</f>
        <v>3.31E-3</v>
      </c>
      <c r="AB8">
        <v>0.92500000000000004</v>
      </c>
      <c r="AD8" t="s">
        <v>11</v>
      </c>
      <c r="AE8" t="s">
        <v>55</v>
      </c>
      <c r="AF8">
        <v>381</v>
      </c>
    </row>
    <row r="9" spans="1:34" x14ac:dyDescent="0.25">
      <c r="A9" t="s">
        <v>8</v>
      </c>
      <c r="B9" t="s">
        <v>49</v>
      </c>
      <c r="C9" t="s">
        <v>32</v>
      </c>
      <c r="D9">
        <v>1</v>
      </c>
      <c r="E9" s="1">
        <v>1557</v>
      </c>
      <c r="F9">
        <f t="shared" si="0"/>
        <v>1.4</v>
      </c>
      <c r="G9">
        <f t="shared" si="1"/>
        <v>3.86</v>
      </c>
      <c r="H9">
        <f t="shared" si="2"/>
        <v>3.86</v>
      </c>
      <c r="I9" s="32">
        <f t="shared" si="3"/>
        <v>6.4700000000000001E-3</v>
      </c>
      <c r="J9" s="32">
        <f t="shared" si="6"/>
        <v>6.4700000000000001E-3</v>
      </c>
      <c r="K9" s="33" t="str">
        <f t="shared" si="4"/>
        <v/>
      </c>
      <c r="L9" s="33" t="str">
        <f t="shared" si="7"/>
        <v/>
      </c>
      <c r="M9" s="31">
        <f t="shared" si="5"/>
        <v>0.92</v>
      </c>
      <c r="S9" s="5" t="s">
        <v>2</v>
      </c>
      <c r="T9" s="6">
        <f>'[1]vomcost mult'!O13</f>
        <v>96081</v>
      </c>
      <c r="U9" s="20">
        <f>'[1]vomcost mult'!P13</f>
        <v>0.4556524459454061</v>
      </c>
      <c r="V9" s="6">
        <f>'[1]vomcost mult'!Q13</f>
        <v>1</v>
      </c>
      <c r="W9" s="21">
        <f>'[1]vomcost mult'!R13</f>
        <v>0.45600000000000002</v>
      </c>
      <c r="Y9" s="29" t="s">
        <v>0</v>
      </c>
      <c r="Z9" t="s">
        <v>50</v>
      </c>
      <c r="AA9">
        <v>5.0499999999999998E-3</v>
      </c>
      <c r="AB9">
        <v>0.69099999999999995</v>
      </c>
      <c r="AD9" t="s">
        <v>12</v>
      </c>
      <c r="AE9" t="s">
        <v>55</v>
      </c>
      <c r="AF9">
        <v>1031</v>
      </c>
    </row>
    <row r="10" spans="1:34" x14ac:dyDescent="0.25">
      <c r="A10" t="s">
        <v>9</v>
      </c>
      <c r="B10" t="s">
        <v>49</v>
      </c>
      <c r="C10" t="s">
        <v>32</v>
      </c>
      <c r="D10">
        <v>1</v>
      </c>
      <c r="E10" s="1">
        <v>38</v>
      </c>
      <c r="F10">
        <f t="shared" si="0"/>
        <v>2.36</v>
      </c>
      <c r="G10">
        <f t="shared" si="1"/>
        <v>6.49</v>
      </c>
      <c r="H10">
        <f t="shared" si="2"/>
        <v>6.49</v>
      </c>
      <c r="I10" s="32" t="str">
        <f t="shared" si="3"/>
        <v/>
      </c>
      <c r="J10" s="32" t="str">
        <f t="shared" si="6"/>
        <v/>
      </c>
      <c r="K10" s="33" t="str">
        <f t="shared" si="4"/>
        <v/>
      </c>
      <c r="L10" s="33" t="str">
        <f t="shared" si="7"/>
        <v/>
      </c>
      <c r="M10" s="31" t="str">
        <f t="shared" si="5"/>
        <v/>
      </c>
      <c r="S10" s="5" t="s">
        <v>3</v>
      </c>
      <c r="T10" s="6">
        <f>'[1]vomcost mult'!O14</f>
        <v>43110</v>
      </c>
      <c r="U10" s="20">
        <f>'[1]vomcost mult'!P14</f>
        <v>0.1075929542938924</v>
      </c>
      <c r="V10" s="6">
        <f>'[1]vomcost mult'!Q14</f>
        <v>1</v>
      </c>
      <c r="W10" s="21">
        <f>'[1]vomcost mult'!R14</f>
        <v>0.108</v>
      </c>
      <c r="Y10" s="29" t="s">
        <v>0</v>
      </c>
      <c r="Z10" t="s">
        <v>55</v>
      </c>
      <c r="AA10">
        <v>7.7299999999999999E-3</v>
      </c>
      <c r="AB10">
        <v>0.626</v>
      </c>
      <c r="AD10" t="s">
        <v>0</v>
      </c>
      <c r="AE10" t="s">
        <v>49</v>
      </c>
      <c r="AF10">
        <v>1334</v>
      </c>
    </row>
    <row r="11" spans="1:34" x14ac:dyDescent="0.25">
      <c r="A11" t="s">
        <v>13</v>
      </c>
      <c r="B11" t="s">
        <v>49</v>
      </c>
      <c r="C11" t="s">
        <v>32</v>
      </c>
      <c r="D11">
        <v>1</v>
      </c>
      <c r="E11" s="1">
        <v>506.5</v>
      </c>
      <c r="F11">
        <f t="shared" si="0"/>
        <v>1.38</v>
      </c>
      <c r="G11">
        <f t="shared" si="1"/>
        <v>3.8</v>
      </c>
      <c r="H11">
        <f t="shared" si="2"/>
        <v>3.8</v>
      </c>
      <c r="I11" s="32">
        <f t="shared" si="3"/>
        <v>3.7100000000000002E-3</v>
      </c>
      <c r="J11" s="32">
        <f t="shared" si="6"/>
        <v>3.7100000000000002E-3</v>
      </c>
      <c r="K11" s="33" t="str">
        <f t="shared" si="4"/>
        <v/>
      </c>
      <c r="L11" s="33" t="str">
        <f t="shared" si="7"/>
        <v/>
      </c>
      <c r="M11" s="31">
        <f t="shared" si="5"/>
        <v>0.82799999999999996</v>
      </c>
      <c r="S11" s="5" t="s">
        <v>42</v>
      </c>
      <c r="T11" s="6">
        <f>'[1]vomcost mult'!O15</f>
        <v>58160</v>
      </c>
      <c r="U11" s="20">
        <f>'[1]vomcost mult'!P15</f>
        <v>0.2376393292909858</v>
      </c>
      <c r="V11" s="6">
        <f>'[1]vomcost mult'!Q15</f>
        <v>1.05</v>
      </c>
      <c r="W11" s="21">
        <f>'[1]vomcost mult'!R15</f>
        <v>0.25</v>
      </c>
      <c r="Y11" s="29" t="s">
        <v>1</v>
      </c>
      <c r="Z11" t="s">
        <v>49</v>
      </c>
      <c r="AA11">
        <v>4.4000000000000003E-3</v>
      </c>
      <c r="AB11">
        <v>0.28699999999999998</v>
      </c>
      <c r="AD11" t="s">
        <v>3</v>
      </c>
      <c r="AE11" t="s">
        <v>49</v>
      </c>
      <c r="AF11">
        <v>540</v>
      </c>
    </row>
    <row r="12" spans="1:34" x14ac:dyDescent="0.25">
      <c r="A12" t="s">
        <v>18</v>
      </c>
      <c r="B12" t="s">
        <v>49</v>
      </c>
      <c r="C12" t="s">
        <v>32</v>
      </c>
      <c r="D12">
        <v>1</v>
      </c>
      <c r="E12" s="1">
        <v>1826</v>
      </c>
      <c r="F12">
        <f t="shared" si="0"/>
        <v>2.33</v>
      </c>
      <c r="G12">
        <f t="shared" si="1"/>
        <v>6.41</v>
      </c>
      <c r="H12">
        <f t="shared" si="2"/>
        <v>6.41</v>
      </c>
      <c r="I12" s="32" t="str">
        <f t="shared" si="3"/>
        <v/>
      </c>
      <c r="J12" s="32" t="str">
        <f t="shared" si="6"/>
        <v/>
      </c>
      <c r="K12" s="33" t="str">
        <f t="shared" si="4"/>
        <v/>
      </c>
      <c r="L12" s="33" t="str">
        <f t="shared" si="7"/>
        <v/>
      </c>
      <c r="M12" s="31" t="str">
        <f t="shared" si="5"/>
        <v/>
      </c>
      <c r="S12" s="5" t="s">
        <v>43</v>
      </c>
      <c r="T12" s="6">
        <f>'[1]vomcost mult'!O16</f>
        <v>58160</v>
      </c>
      <c r="U12" s="20">
        <f>'[1]vomcost mult'!P16</f>
        <v>0.2376393292909858</v>
      </c>
      <c r="V12" s="6">
        <f>'[1]vomcost mult'!Q16</f>
        <v>1</v>
      </c>
      <c r="W12" s="21">
        <f>'[1]vomcost mult'!R16</f>
        <v>0.23799999999999999</v>
      </c>
      <c r="Y12" s="29" t="s">
        <v>1</v>
      </c>
      <c r="Z12" t="s">
        <v>57</v>
      </c>
      <c r="AA12">
        <v>1.3140000000000001E-2</v>
      </c>
      <c r="AB12">
        <v>0.84899999999999998</v>
      </c>
      <c r="AD12" t="s">
        <v>4</v>
      </c>
      <c r="AE12" t="s">
        <v>49</v>
      </c>
      <c r="AF12">
        <v>270</v>
      </c>
    </row>
    <row r="13" spans="1:34" x14ac:dyDescent="0.25">
      <c r="A13" t="s">
        <v>0</v>
      </c>
      <c r="B13" t="s">
        <v>50</v>
      </c>
      <c r="C13" t="s">
        <v>32</v>
      </c>
      <c r="D13">
        <v>1</v>
      </c>
      <c r="E13" s="2">
        <v>2429.5540000000001</v>
      </c>
      <c r="F13">
        <f t="shared" si="0"/>
        <v>2.0299999999999998</v>
      </c>
      <c r="G13">
        <f t="shared" si="1"/>
        <v>5.64</v>
      </c>
      <c r="H13">
        <f t="shared" si="2"/>
        <v>5.64</v>
      </c>
      <c r="I13" s="32">
        <f t="shared" si="3"/>
        <v>5.0499999999999998E-3</v>
      </c>
      <c r="J13" s="32">
        <f t="shared" si="6"/>
        <v>5.0499999999999998E-3</v>
      </c>
      <c r="K13" s="33" t="str">
        <f t="shared" si="4"/>
        <v/>
      </c>
      <c r="L13" s="33" t="str">
        <f t="shared" si="7"/>
        <v/>
      </c>
      <c r="M13" s="31">
        <f t="shared" si="5"/>
        <v>0.69099999999999995</v>
      </c>
      <c r="S13" s="5" t="s">
        <v>44</v>
      </c>
      <c r="T13" s="6">
        <f>'[1]vomcost mult'!O17</f>
        <v>21060</v>
      </c>
      <c r="U13" s="20">
        <f>'[1]vomcost mult'!P17</f>
        <v>-0.20352670171052795</v>
      </c>
      <c r="V13" s="6">
        <f>'[1]vomcost mult'!Q17</f>
        <v>1</v>
      </c>
      <c r="W13" s="21">
        <f>'[1]vomcost mult'!R17</f>
        <v>-0.20399999999999999</v>
      </c>
      <c r="Y13" s="29" t="s">
        <v>2</v>
      </c>
      <c r="Z13" t="s">
        <v>49</v>
      </c>
      <c r="AA13">
        <v>4.1599999999999996E-3</v>
      </c>
      <c r="AB13">
        <v>0.76900000000000002</v>
      </c>
      <c r="AD13" t="s">
        <v>6</v>
      </c>
      <c r="AE13" t="s">
        <v>49</v>
      </c>
      <c r="AF13">
        <v>980</v>
      </c>
    </row>
    <row r="14" spans="1:34" x14ac:dyDescent="0.25">
      <c r="A14" t="s">
        <v>2</v>
      </c>
      <c r="B14" t="s">
        <v>50</v>
      </c>
      <c r="C14" t="s">
        <v>32</v>
      </c>
      <c r="D14">
        <v>1</v>
      </c>
      <c r="E14" s="2">
        <v>8152</v>
      </c>
      <c r="F14">
        <f t="shared" si="0"/>
        <v>2.62</v>
      </c>
      <c r="G14">
        <f t="shared" si="1"/>
        <v>7.28</v>
      </c>
      <c r="H14">
        <f t="shared" si="2"/>
        <v>7.28</v>
      </c>
      <c r="I14" s="32">
        <f t="shared" si="3"/>
        <v>5.7800000000000004E-3</v>
      </c>
      <c r="J14" s="32">
        <f t="shared" si="6"/>
        <v>5.7800000000000004E-3</v>
      </c>
      <c r="K14" s="33" t="str">
        <f t="shared" si="4"/>
        <v/>
      </c>
      <c r="L14" s="33" t="str">
        <f t="shared" si="7"/>
        <v/>
      </c>
      <c r="M14" s="31">
        <f t="shared" si="5"/>
        <v>0.71699999999999997</v>
      </c>
      <c r="S14" s="5" t="s">
        <v>4</v>
      </c>
      <c r="T14" s="6">
        <f>'[1]vomcost mult'!O18</f>
        <v>27800</v>
      </c>
      <c r="U14" s="20">
        <f>'[1]vomcost mult'!P18</f>
        <v>-8.2940272641919402E-2</v>
      </c>
      <c r="V14" s="6">
        <f>'[1]vomcost mult'!Q18</f>
        <v>1</v>
      </c>
      <c r="W14" s="21">
        <f>'[1]vomcost mult'!R18</f>
        <v>-8.3000000000000004E-2</v>
      </c>
      <c r="Y14" s="29" t="s">
        <v>2</v>
      </c>
      <c r="Z14" t="s">
        <v>50</v>
      </c>
      <c r="AA14">
        <v>5.7800000000000004E-3</v>
      </c>
      <c r="AB14">
        <v>0.71699999999999997</v>
      </c>
      <c r="AD14" t="s">
        <v>7</v>
      </c>
      <c r="AE14" t="s">
        <v>49</v>
      </c>
      <c r="AF14">
        <v>14</v>
      </c>
    </row>
    <row r="15" spans="1:34" x14ac:dyDescent="0.25">
      <c r="A15" t="s">
        <v>3</v>
      </c>
      <c r="B15" t="s">
        <v>50</v>
      </c>
      <c r="C15" t="s">
        <v>32</v>
      </c>
      <c r="D15">
        <v>1</v>
      </c>
      <c r="E15" s="2">
        <v>1297</v>
      </c>
      <c r="F15">
        <f t="shared" si="0"/>
        <v>1.99</v>
      </c>
      <c r="G15">
        <f t="shared" si="1"/>
        <v>5.54</v>
      </c>
      <c r="H15">
        <f t="shared" si="2"/>
        <v>5.54</v>
      </c>
      <c r="I15" s="32">
        <f t="shared" si="3"/>
        <v>6.0000000000000001E-3</v>
      </c>
      <c r="J15" s="32">
        <f t="shared" si="6"/>
        <v>6.0000000000000001E-3</v>
      </c>
      <c r="K15" s="33" t="str">
        <f t="shared" si="4"/>
        <v/>
      </c>
      <c r="L15" s="33" t="str">
        <f t="shared" si="7"/>
        <v/>
      </c>
      <c r="M15" s="31">
        <f t="shared" si="5"/>
        <v>0.71299999999999997</v>
      </c>
      <c r="S15" s="5" t="s">
        <v>5</v>
      </c>
      <c r="T15" s="6">
        <f>'[1]vomcost mult'!O19</f>
        <v>43110</v>
      </c>
      <c r="U15" s="20">
        <f>'[1]vomcost mult'!P19</f>
        <v>0.1075929542938924</v>
      </c>
      <c r="V15" s="6">
        <f>'[1]vomcost mult'!Q19</f>
        <v>1</v>
      </c>
      <c r="W15" s="21">
        <f>'[1]vomcost mult'!R19</f>
        <v>0.108</v>
      </c>
      <c r="Y15" s="29" t="s">
        <v>2</v>
      </c>
      <c r="Z15" t="s">
        <v>57</v>
      </c>
      <c r="AA15">
        <v>5.6600000000000001E-3</v>
      </c>
      <c r="AB15">
        <v>0.59299999999999997</v>
      </c>
      <c r="AD15" t="s">
        <v>4</v>
      </c>
      <c r="AE15" t="s">
        <v>50</v>
      </c>
      <c r="AF15">
        <v>104</v>
      </c>
    </row>
    <row r="16" spans="1:34" x14ac:dyDescent="0.25">
      <c r="A16" t="s">
        <v>4</v>
      </c>
      <c r="B16" t="s">
        <v>50</v>
      </c>
      <c r="C16" t="s">
        <v>32</v>
      </c>
      <c r="D16">
        <v>1</v>
      </c>
      <c r="E16" s="2">
        <v>10970</v>
      </c>
      <c r="F16">
        <f t="shared" si="0"/>
        <v>1.65</v>
      </c>
      <c r="G16">
        <f t="shared" si="1"/>
        <v>4.59</v>
      </c>
      <c r="H16">
        <f t="shared" si="2"/>
        <v>4.59</v>
      </c>
      <c r="I16" s="32">
        <f t="shared" si="3"/>
        <v>3.63E-3</v>
      </c>
      <c r="J16" s="32">
        <f t="shared" si="6"/>
        <v>3.63E-3</v>
      </c>
      <c r="K16" s="33">
        <f t="shared" si="4"/>
        <v>104</v>
      </c>
      <c r="L16" s="33">
        <f t="shared" si="7"/>
        <v>300</v>
      </c>
      <c r="M16" s="31">
        <f t="shared" si="5"/>
        <v>0.61099999999999999</v>
      </c>
      <c r="S16" s="5" t="s">
        <v>6</v>
      </c>
      <c r="T16" s="6">
        <f>'[1]vomcost mult'!O20</f>
        <v>38110</v>
      </c>
      <c r="U16" s="20">
        <f>'[1]vomcost mult'!P20</f>
        <v>5.4053880212171543E-2</v>
      </c>
      <c r="V16" s="6">
        <f>'[1]vomcost mult'!Q20</f>
        <v>1</v>
      </c>
      <c r="W16" s="21">
        <f>'[1]vomcost mult'!R20</f>
        <v>5.3999999999999999E-2</v>
      </c>
      <c r="Y16" s="29" t="s">
        <v>3</v>
      </c>
      <c r="Z16" t="s">
        <v>49</v>
      </c>
      <c r="AA16" s="34">
        <f>0.00295+0.001</f>
        <v>3.9500000000000004E-3</v>
      </c>
      <c r="AB16">
        <v>0.61399999999999999</v>
      </c>
      <c r="AD16" t="s">
        <v>5</v>
      </c>
      <c r="AE16" t="s">
        <v>50</v>
      </c>
      <c r="AF16">
        <v>308</v>
      </c>
    </row>
    <row r="17" spans="1:32" x14ac:dyDescent="0.25">
      <c r="A17" t="s">
        <v>5</v>
      </c>
      <c r="B17" t="s">
        <v>50</v>
      </c>
      <c r="C17" t="s">
        <v>32</v>
      </c>
      <c r="D17">
        <v>1</v>
      </c>
      <c r="E17" s="2">
        <v>3200</v>
      </c>
      <c r="F17">
        <f t="shared" si="0"/>
        <v>1.99</v>
      </c>
      <c r="G17">
        <f t="shared" si="1"/>
        <v>5.54</v>
      </c>
      <c r="H17">
        <f t="shared" si="2"/>
        <v>5.54</v>
      </c>
      <c r="I17" s="32">
        <f t="shared" si="3"/>
        <v>3.8500000000000001E-3</v>
      </c>
      <c r="J17" s="32">
        <f t="shared" si="6"/>
        <v>3.8500000000000001E-3</v>
      </c>
      <c r="K17" s="33">
        <f t="shared" si="4"/>
        <v>308</v>
      </c>
      <c r="L17" s="33">
        <f t="shared" si="7"/>
        <v>300</v>
      </c>
      <c r="M17" s="31">
        <f t="shared" si="5"/>
        <v>0.81100000000000005</v>
      </c>
      <c r="S17" s="5" t="s">
        <v>7</v>
      </c>
      <c r="T17" s="6">
        <f>'[1]vomcost mult'!O21</f>
        <v>19690</v>
      </c>
      <c r="U17" s="20">
        <f>'[1]vomcost mult'!P21</f>
        <v>-0.2327393524218774</v>
      </c>
      <c r="V17" s="6">
        <f>'[1]vomcost mult'!Q21</f>
        <v>1</v>
      </c>
      <c r="W17" s="21">
        <f>'[1]vomcost mult'!R21</f>
        <v>-0.23300000000000001</v>
      </c>
      <c r="Y17" s="29" t="s">
        <v>3</v>
      </c>
      <c r="Z17" t="s">
        <v>50</v>
      </c>
      <c r="AA17">
        <v>6.0000000000000001E-3</v>
      </c>
      <c r="AB17">
        <v>0.71299999999999997</v>
      </c>
      <c r="AD17" t="s">
        <v>14</v>
      </c>
      <c r="AE17" t="s">
        <v>50</v>
      </c>
      <c r="AF17">
        <v>250</v>
      </c>
    </row>
    <row r="18" spans="1:32" x14ac:dyDescent="0.25">
      <c r="A18" t="s">
        <v>6</v>
      </c>
      <c r="B18" t="s">
        <v>50</v>
      </c>
      <c r="C18" t="s">
        <v>32</v>
      </c>
      <c r="D18">
        <v>1</v>
      </c>
      <c r="E18" s="2">
        <v>8477</v>
      </c>
      <c r="F18">
        <f t="shared" si="0"/>
        <v>1.9</v>
      </c>
      <c r="G18">
        <f t="shared" si="1"/>
        <v>5.27</v>
      </c>
      <c r="H18">
        <f t="shared" si="2"/>
        <v>5.27</v>
      </c>
      <c r="I18" s="32">
        <f t="shared" si="3"/>
        <v>2.3700000000000001E-3</v>
      </c>
      <c r="J18" s="32">
        <f t="shared" si="6"/>
        <v>2.3700000000000001E-3</v>
      </c>
      <c r="K18" s="33" t="str">
        <f t="shared" si="4"/>
        <v/>
      </c>
      <c r="L18" s="33" t="str">
        <f t="shared" si="7"/>
        <v/>
      </c>
      <c r="M18" s="31">
        <f t="shared" si="5"/>
        <v>0.58499999999999996</v>
      </c>
      <c r="S18" s="5" t="s">
        <v>8</v>
      </c>
      <c r="T18" s="6">
        <f>'[1]vomcost mult'!O22</f>
        <v>16910</v>
      </c>
      <c r="U18" s="20">
        <f>'[1]vomcost mult'!P22</f>
        <v>-0.29884146096225389</v>
      </c>
      <c r="V18" s="6">
        <f>'[1]vomcost mult'!Q22</f>
        <v>1</v>
      </c>
      <c r="W18" s="21">
        <f>'[1]vomcost mult'!R22</f>
        <v>-0.29899999999999999</v>
      </c>
      <c r="Y18" s="29" t="s">
        <v>3</v>
      </c>
      <c r="Z18" t="s">
        <v>55</v>
      </c>
      <c r="AA18">
        <v>7.2399999999999999E-3</v>
      </c>
      <c r="AB18">
        <v>0.84799999999999998</v>
      </c>
      <c r="AD18" t="s">
        <v>15</v>
      </c>
      <c r="AE18" t="s">
        <v>50</v>
      </c>
      <c r="AF18">
        <v>824</v>
      </c>
    </row>
    <row r="19" spans="1:32" x14ac:dyDescent="0.25">
      <c r="A19" t="s">
        <v>13</v>
      </c>
      <c r="B19" t="s">
        <v>50</v>
      </c>
      <c r="C19" t="s">
        <v>32</v>
      </c>
      <c r="D19">
        <v>1</v>
      </c>
      <c r="E19" s="2">
        <v>183.8</v>
      </c>
      <c r="F19">
        <f t="shared" si="0"/>
        <v>1.24</v>
      </c>
      <c r="G19">
        <f t="shared" si="1"/>
        <v>3.45</v>
      </c>
      <c r="H19">
        <f t="shared" si="2"/>
        <v>3.45</v>
      </c>
      <c r="I19" s="32">
        <f t="shared" si="3"/>
        <v>7.5399999999999998E-3</v>
      </c>
      <c r="J19" s="32">
        <f t="shared" si="6"/>
        <v>7.5399999999999998E-3</v>
      </c>
      <c r="K19" s="33" t="str">
        <f t="shared" si="4"/>
        <v/>
      </c>
      <c r="L19" s="33" t="str">
        <f t="shared" si="7"/>
        <v/>
      </c>
      <c r="M19" s="31">
        <f t="shared" si="5"/>
        <v>0.59499999999999997</v>
      </c>
      <c r="S19" s="5" t="s">
        <v>9</v>
      </c>
      <c r="T19" s="6">
        <f>'[1]vomcost mult'!O23</f>
        <v>50880</v>
      </c>
      <c r="U19" s="20">
        <f>'[1]vomcost mult'!P23</f>
        <v>0.17956203408036178</v>
      </c>
      <c r="V19" s="6">
        <f>'[1]vomcost mult'!Q23</f>
        <v>1</v>
      </c>
      <c r="W19" s="21">
        <f>'[1]vomcost mult'!R23</f>
        <v>0.18</v>
      </c>
      <c r="Y19" s="29" t="s">
        <v>3</v>
      </c>
      <c r="Z19" t="s">
        <v>57</v>
      </c>
      <c r="AA19">
        <v>7.2399999999999999E-3</v>
      </c>
      <c r="AB19">
        <v>0.84799999999999998</v>
      </c>
      <c r="AD19" t="s">
        <v>16</v>
      </c>
      <c r="AE19" t="s">
        <v>50</v>
      </c>
      <c r="AF19">
        <v>108</v>
      </c>
    </row>
    <row r="20" spans="1:32" x14ac:dyDescent="0.25">
      <c r="A20" t="s">
        <v>14</v>
      </c>
      <c r="B20" t="s">
        <v>50</v>
      </c>
      <c r="C20" t="s">
        <v>32</v>
      </c>
      <c r="D20">
        <v>1</v>
      </c>
      <c r="E20" s="2">
        <v>5315</v>
      </c>
      <c r="F20">
        <f t="shared" si="0"/>
        <v>2.13</v>
      </c>
      <c r="G20">
        <f t="shared" si="1"/>
        <v>5.91</v>
      </c>
      <c r="H20">
        <f t="shared" si="2"/>
        <v>5.91</v>
      </c>
      <c r="I20" s="32">
        <f t="shared" si="3"/>
        <v>5.1399999999999996E-3</v>
      </c>
      <c r="J20" s="32">
        <f t="shared" si="6"/>
        <v>5.1399999999999996E-3</v>
      </c>
      <c r="K20" s="33">
        <f t="shared" si="4"/>
        <v>250</v>
      </c>
      <c r="L20" s="33">
        <f t="shared" si="7"/>
        <v>300</v>
      </c>
      <c r="M20" s="31" t="str">
        <f t="shared" si="5"/>
        <v/>
      </c>
      <c r="S20" s="5" t="s">
        <v>10</v>
      </c>
      <c r="T20" s="6">
        <f>'[1]vomcost mult'!O24</f>
        <v>66460</v>
      </c>
      <c r="U20" s="20">
        <f>'[1]vomcost mult'!P24</f>
        <v>0.2955752683826966</v>
      </c>
      <c r="V20" s="6">
        <f>'[1]vomcost mult'!Q24</f>
        <v>1.05</v>
      </c>
      <c r="W20" s="21">
        <f>'[1]vomcost mult'!R24</f>
        <v>0.31</v>
      </c>
      <c r="Y20" s="29" t="s">
        <v>4</v>
      </c>
      <c r="Z20" t="s">
        <v>49</v>
      </c>
      <c r="AA20">
        <v>3.3700000000000002E-3</v>
      </c>
      <c r="AB20">
        <v>0.75800000000000001</v>
      </c>
    </row>
    <row r="21" spans="1:32" x14ac:dyDescent="0.25">
      <c r="A21" t="s">
        <v>15</v>
      </c>
      <c r="B21" t="s">
        <v>50</v>
      </c>
      <c r="C21" t="s">
        <v>32</v>
      </c>
      <c r="D21">
        <v>1</v>
      </c>
      <c r="E21" s="2">
        <v>8055</v>
      </c>
      <c r="F21">
        <f t="shared" si="0"/>
        <v>2.11</v>
      </c>
      <c r="G21">
        <f t="shared" si="1"/>
        <v>5.87</v>
      </c>
      <c r="H21">
        <f t="shared" si="2"/>
        <v>5.87</v>
      </c>
      <c r="I21" s="32">
        <f t="shared" si="3"/>
        <v>5.5599999999999998E-3</v>
      </c>
      <c r="J21" s="32">
        <f t="shared" si="6"/>
        <v>5.5599999999999998E-3</v>
      </c>
      <c r="K21" s="33">
        <f t="shared" si="4"/>
        <v>824</v>
      </c>
      <c r="L21" s="33">
        <f t="shared" si="7"/>
        <v>300</v>
      </c>
      <c r="M21" s="31" t="str">
        <f t="shared" si="5"/>
        <v/>
      </c>
      <c r="S21" s="5" t="s">
        <v>11</v>
      </c>
      <c r="T21" s="6">
        <f>'[1]vomcost mult'!O25</f>
        <v>66460</v>
      </c>
      <c r="U21" s="20">
        <f>'[1]vomcost mult'!P25</f>
        <v>0.2955752683826966</v>
      </c>
      <c r="V21" s="6">
        <f>'[1]vomcost mult'!Q25</f>
        <v>1.1000000000000001</v>
      </c>
      <c r="W21" s="21">
        <f>'[1]vomcost mult'!R25</f>
        <v>0.32500000000000001</v>
      </c>
      <c r="Y21" s="29" t="s">
        <v>4</v>
      </c>
      <c r="Z21" t="s">
        <v>50</v>
      </c>
      <c r="AA21">
        <v>3.63E-3</v>
      </c>
      <c r="AB21">
        <v>0.61099999999999999</v>
      </c>
    </row>
    <row r="22" spans="1:32" x14ac:dyDescent="0.25">
      <c r="A22" t="s">
        <v>16</v>
      </c>
      <c r="B22" t="s">
        <v>50</v>
      </c>
      <c r="C22" t="s">
        <v>32</v>
      </c>
      <c r="D22">
        <v>1</v>
      </c>
      <c r="E22" s="2">
        <v>2331</v>
      </c>
      <c r="F22">
        <f t="shared" si="0"/>
        <v>2.1</v>
      </c>
      <c r="G22">
        <f t="shared" si="1"/>
        <v>5.83</v>
      </c>
      <c r="H22">
        <f t="shared" si="2"/>
        <v>5.83</v>
      </c>
      <c r="I22" s="32">
        <f t="shared" si="3"/>
        <v>6.4799999999999996E-3</v>
      </c>
      <c r="J22" s="32">
        <f t="shared" si="6"/>
        <v>6.4799999999999996E-3</v>
      </c>
      <c r="K22" s="33">
        <f t="shared" si="4"/>
        <v>108</v>
      </c>
      <c r="L22" s="33">
        <f t="shared" si="7"/>
        <v>300</v>
      </c>
      <c r="M22" s="31" t="str">
        <f t="shared" si="5"/>
        <v/>
      </c>
      <c r="S22" s="5" t="s">
        <v>12</v>
      </c>
      <c r="T22" s="6">
        <f>'[1]vomcost mult'!O26</f>
        <v>66460</v>
      </c>
      <c r="U22" s="20">
        <f>'[1]vomcost mult'!P26</f>
        <v>0.2955752683826966</v>
      </c>
      <c r="V22" s="6">
        <f>'[1]vomcost mult'!Q26</f>
        <v>1</v>
      </c>
      <c r="W22" s="21">
        <f>'[1]vomcost mult'!R26</f>
        <v>0.29599999999999999</v>
      </c>
      <c r="Y22" s="29" t="s">
        <v>4</v>
      </c>
      <c r="Z22" t="s">
        <v>55</v>
      </c>
      <c r="AA22">
        <v>8.0999999999999996E-3</v>
      </c>
      <c r="AB22">
        <v>1</v>
      </c>
    </row>
    <row r="23" spans="1:32" x14ac:dyDescent="0.25">
      <c r="A23" t="s">
        <v>17</v>
      </c>
      <c r="B23" t="s">
        <v>50</v>
      </c>
      <c r="C23" t="s">
        <v>32</v>
      </c>
      <c r="D23">
        <v>1</v>
      </c>
      <c r="E23" s="2">
        <v>237</v>
      </c>
      <c r="F23">
        <f t="shared" si="0"/>
        <v>2.08</v>
      </c>
      <c r="G23">
        <f t="shared" si="1"/>
        <v>5.79</v>
      </c>
      <c r="H23">
        <f t="shared" si="2"/>
        <v>5.79</v>
      </c>
      <c r="I23" s="32">
        <f t="shared" si="3"/>
        <v>8.9899999999999997E-3</v>
      </c>
      <c r="J23" s="32">
        <f t="shared" si="6"/>
        <v>8.9899999999999997E-3</v>
      </c>
      <c r="K23" s="33" t="str">
        <f t="shared" si="4"/>
        <v/>
      </c>
      <c r="L23" s="33" t="str">
        <f t="shared" si="7"/>
        <v/>
      </c>
      <c r="M23" s="31" t="str">
        <f t="shared" si="5"/>
        <v/>
      </c>
      <c r="S23" s="5" t="s">
        <v>13</v>
      </c>
      <c r="T23" s="6">
        <f>'[1]vomcost mult'!O27</f>
        <v>16470</v>
      </c>
      <c r="U23" s="20">
        <f>'[1]vomcost mult'!P27</f>
        <v>-0.31029146939024133</v>
      </c>
      <c r="V23" s="6">
        <f>'[1]vomcost mult'!Q27</f>
        <v>1</v>
      </c>
      <c r="W23" s="21">
        <f>'[1]vomcost mult'!R27</f>
        <v>-0.31</v>
      </c>
      <c r="Y23" s="29" t="s">
        <v>4</v>
      </c>
      <c r="Z23" t="s">
        <v>57</v>
      </c>
      <c r="AA23">
        <v>8.0999999999999996E-3</v>
      </c>
      <c r="AB23">
        <v>1</v>
      </c>
    </row>
    <row r="24" spans="1:32" x14ac:dyDescent="0.25">
      <c r="A24" t="s">
        <v>0</v>
      </c>
      <c r="B24" t="s">
        <v>55</v>
      </c>
      <c r="C24" t="s">
        <v>32</v>
      </c>
      <c r="D24">
        <v>1</v>
      </c>
      <c r="E24" s="3">
        <v>3459.28</v>
      </c>
      <c r="F24">
        <f t="shared" si="0"/>
        <v>2.2599999999999998</v>
      </c>
      <c r="G24">
        <f t="shared" si="1"/>
        <v>4.51</v>
      </c>
      <c r="H24">
        <f t="shared" si="2"/>
        <v>4.51</v>
      </c>
      <c r="I24" s="32">
        <f t="shared" si="3"/>
        <v>7.7299999999999999E-3</v>
      </c>
      <c r="J24" s="32">
        <f t="shared" si="6"/>
        <v>7.7299999999999999E-3</v>
      </c>
      <c r="K24" s="33" t="str">
        <f t="shared" si="4"/>
        <v/>
      </c>
      <c r="L24" s="33" t="str">
        <f t="shared" si="7"/>
        <v/>
      </c>
      <c r="M24" s="31">
        <f t="shared" si="5"/>
        <v>0.626</v>
      </c>
      <c r="S24" s="5" t="s">
        <v>14</v>
      </c>
      <c r="T24" s="6">
        <f>'[1]vomcost mult'!O28</f>
        <v>48310</v>
      </c>
      <c r="U24" s="20">
        <f>'[1]vomcost mult'!P28</f>
        <v>0.15705196892652412</v>
      </c>
      <c r="V24" s="6">
        <f>'[1]vomcost mult'!Q28</f>
        <v>1.1499999999999999</v>
      </c>
      <c r="W24" s="21">
        <f>'[1]vomcost mult'!R28</f>
        <v>0.18099999999999999</v>
      </c>
      <c r="Y24" s="29" t="s">
        <v>5</v>
      </c>
      <c r="Z24" t="s">
        <v>50</v>
      </c>
      <c r="AA24">
        <v>3.8500000000000001E-3</v>
      </c>
      <c r="AB24">
        <v>0.81100000000000005</v>
      </c>
    </row>
    <row r="25" spans="1:32" x14ac:dyDescent="0.25">
      <c r="A25" t="s">
        <v>2</v>
      </c>
      <c r="B25" t="s">
        <v>55</v>
      </c>
      <c r="C25" t="s">
        <v>32</v>
      </c>
      <c r="D25">
        <v>1</v>
      </c>
      <c r="F25">
        <f t="shared" si="0"/>
        <v>2.91</v>
      </c>
      <c r="G25">
        <f t="shared" si="1"/>
        <v>5.82</v>
      </c>
      <c r="H25">
        <f t="shared" si="2"/>
        <v>5.82</v>
      </c>
      <c r="I25" s="32" t="str">
        <f t="shared" si="3"/>
        <v/>
      </c>
      <c r="J25" s="32" t="str">
        <f t="shared" si="6"/>
        <v/>
      </c>
      <c r="K25" s="33" t="str">
        <f t="shared" si="4"/>
        <v/>
      </c>
      <c r="L25" s="33" t="str">
        <f t="shared" si="7"/>
        <v/>
      </c>
      <c r="M25" s="31" t="str">
        <f t="shared" si="5"/>
        <v/>
      </c>
      <c r="O25" t="s">
        <v>34</v>
      </c>
      <c r="S25" s="5" t="s">
        <v>15</v>
      </c>
      <c r="T25" s="6">
        <f>'[1]vomcost mult'!O29</f>
        <v>48310</v>
      </c>
      <c r="U25" s="20">
        <f>'[1]vomcost mult'!P29</f>
        <v>0.15705196892652412</v>
      </c>
      <c r="V25" s="6">
        <f>'[1]vomcost mult'!Q29</f>
        <v>1.1000000000000001</v>
      </c>
      <c r="W25" s="21">
        <f>'[1]vomcost mult'!R29</f>
        <v>0.17299999999999999</v>
      </c>
      <c r="Y25" s="29" t="s">
        <v>6</v>
      </c>
      <c r="Z25" t="s">
        <v>49</v>
      </c>
      <c r="AA25">
        <v>7.5500000000000003E-3</v>
      </c>
      <c r="AB25">
        <v>0.76100000000000001</v>
      </c>
    </row>
    <row r="26" spans="1:32" x14ac:dyDescent="0.25">
      <c r="A26" t="s">
        <v>3</v>
      </c>
      <c r="B26" t="s">
        <v>55</v>
      </c>
      <c r="C26" t="s">
        <v>32</v>
      </c>
      <c r="D26">
        <v>1</v>
      </c>
      <c r="E26" s="3">
        <v>1644</v>
      </c>
      <c r="F26">
        <f t="shared" si="0"/>
        <v>2.2200000000000002</v>
      </c>
      <c r="G26">
        <f t="shared" si="1"/>
        <v>4.43</v>
      </c>
      <c r="H26">
        <f t="shared" si="2"/>
        <v>4.43</v>
      </c>
      <c r="I26" s="32">
        <f t="shared" si="3"/>
        <v>7.2399999999999999E-3</v>
      </c>
      <c r="J26" s="32">
        <f t="shared" si="6"/>
        <v>7.2399999999999999E-3</v>
      </c>
      <c r="K26" s="33" t="str">
        <f t="shared" si="4"/>
        <v/>
      </c>
      <c r="L26" s="33" t="str">
        <f t="shared" si="7"/>
        <v/>
      </c>
      <c r="M26" s="31">
        <f t="shared" si="5"/>
        <v>0.84799999999999998</v>
      </c>
      <c r="S26" s="5" t="s">
        <v>16</v>
      </c>
      <c r="T26" s="6">
        <f>'[1]vomcost mult'!O30</f>
        <v>48310</v>
      </c>
      <c r="U26" s="20">
        <f>'[1]vomcost mult'!P30</f>
        <v>0.15705196892652412</v>
      </c>
      <c r="V26" s="6">
        <f>'[1]vomcost mult'!Q30</f>
        <v>1.05</v>
      </c>
      <c r="W26" s="21">
        <f>'[1]vomcost mult'!R30</f>
        <v>0.16500000000000001</v>
      </c>
      <c r="Y26" s="29" t="s">
        <v>6</v>
      </c>
      <c r="Z26" t="s">
        <v>50</v>
      </c>
      <c r="AA26">
        <v>2.3700000000000001E-3</v>
      </c>
      <c r="AB26">
        <v>0.58499999999999996</v>
      </c>
    </row>
    <row r="27" spans="1:32" x14ac:dyDescent="0.25">
      <c r="A27" t="s">
        <v>4</v>
      </c>
      <c r="B27" t="s">
        <v>55</v>
      </c>
      <c r="C27" t="s">
        <v>32</v>
      </c>
      <c r="D27">
        <v>1</v>
      </c>
      <c r="E27" s="3">
        <v>2683</v>
      </c>
      <c r="F27">
        <f t="shared" si="0"/>
        <v>1.83</v>
      </c>
      <c r="G27">
        <f t="shared" si="1"/>
        <v>3.67</v>
      </c>
      <c r="H27">
        <f t="shared" si="2"/>
        <v>3.67</v>
      </c>
      <c r="I27" s="32">
        <f t="shared" si="3"/>
        <v>8.0999999999999996E-3</v>
      </c>
      <c r="J27" s="32">
        <f t="shared" si="6"/>
        <v>8.0999999999999996E-3</v>
      </c>
      <c r="K27" s="33" t="str">
        <f t="shared" si="4"/>
        <v/>
      </c>
      <c r="L27" s="33" t="str">
        <f t="shared" si="7"/>
        <v/>
      </c>
      <c r="M27" s="31" t="str">
        <f t="shared" si="5"/>
        <v/>
      </c>
      <c r="S27" s="5" t="s">
        <v>17</v>
      </c>
      <c r="T27" s="6">
        <f>'[1]vomcost mult'!O31</f>
        <v>48310</v>
      </c>
      <c r="U27" s="20">
        <f>'[1]vomcost mult'!P31</f>
        <v>0.15705196892652412</v>
      </c>
      <c r="V27" s="6">
        <f>'[1]vomcost mult'!Q31</f>
        <v>1</v>
      </c>
      <c r="W27" s="21">
        <f>'[1]vomcost mult'!R31</f>
        <v>0.157</v>
      </c>
      <c r="Y27" s="29" t="s">
        <v>6</v>
      </c>
      <c r="Z27" t="s">
        <v>55</v>
      </c>
      <c r="AA27">
        <v>9.3799999999999994E-3</v>
      </c>
      <c r="AB27">
        <v>0.89300000000000002</v>
      </c>
    </row>
    <row r="28" spans="1:32" x14ac:dyDescent="0.25">
      <c r="A28" t="s">
        <v>6</v>
      </c>
      <c r="B28" t="s">
        <v>55</v>
      </c>
      <c r="C28" t="s">
        <v>32</v>
      </c>
      <c r="D28">
        <v>1</v>
      </c>
      <c r="E28" s="3">
        <v>1850</v>
      </c>
      <c r="F28">
        <f t="shared" si="0"/>
        <v>2.11</v>
      </c>
      <c r="G28">
        <f t="shared" si="1"/>
        <v>4.22</v>
      </c>
      <c r="H28">
        <f t="shared" si="2"/>
        <v>4.22</v>
      </c>
      <c r="I28" s="32">
        <f t="shared" si="3"/>
        <v>9.3799999999999994E-3</v>
      </c>
      <c r="J28" s="32">
        <f t="shared" si="6"/>
        <v>9.3799999999999994E-3</v>
      </c>
      <c r="K28" s="33" t="str">
        <f t="shared" si="4"/>
        <v/>
      </c>
      <c r="L28" s="33" t="str">
        <f t="shared" si="7"/>
        <v/>
      </c>
      <c r="M28" s="31">
        <f t="shared" si="5"/>
        <v>0.89300000000000002</v>
      </c>
      <c r="S28" s="5" t="s">
        <v>18</v>
      </c>
      <c r="T28" s="6">
        <f>'[1]vomcost mult'!O32</f>
        <v>49193</v>
      </c>
      <c r="U28" s="20">
        <f>'[1]vomcost mult'!P32</f>
        <v>0.16491823994601576</v>
      </c>
      <c r="V28" s="6">
        <f>'[1]vomcost mult'!Q32</f>
        <v>1</v>
      </c>
      <c r="W28" s="21">
        <f>'[1]vomcost mult'!R32</f>
        <v>0.16500000000000001</v>
      </c>
      <c r="Y28" s="29" t="s">
        <v>6</v>
      </c>
      <c r="Z28" t="s">
        <v>57</v>
      </c>
      <c r="AA28">
        <v>9.3799999999999994E-3</v>
      </c>
      <c r="AB28">
        <v>0.89300000000000002</v>
      </c>
    </row>
    <row r="29" spans="1:32" x14ac:dyDescent="0.25">
      <c r="A29" t="s">
        <v>10</v>
      </c>
      <c r="B29" t="s">
        <v>55</v>
      </c>
      <c r="C29" t="s">
        <v>32</v>
      </c>
      <c r="D29">
        <v>1</v>
      </c>
      <c r="E29" s="3">
        <v>4631.3999999999996</v>
      </c>
      <c r="F29">
        <f t="shared" si="0"/>
        <v>2.62</v>
      </c>
      <c r="G29">
        <f t="shared" si="1"/>
        <v>5.24</v>
      </c>
      <c r="H29">
        <f t="shared" si="2"/>
        <v>5.24</v>
      </c>
      <c r="I29" s="32">
        <f t="shared" si="3"/>
        <v>5.0000000000000001E-3</v>
      </c>
      <c r="J29" s="32">
        <f t="shared" si="6"/>
        <v>5.0000000000000001E-3</v>
      </c>
      <c r="K29" s="33">
        <f t="shared" si="4"/>
        <v>324</v>
      </c>
      <c r="L29" s="33">
        <f t="shared" si="7"/>
        <v>300</v>
      </c>
      <c r="M29" s="31">
        <f t="shared" si="5"/>
        <v>0.95299999999999996</v>
      </c>
      <c r="Y29" s="29" t="s">
        <v>7</v>
      </c>
      <c r="Z29" t="s">
        <v>49</v>
      </c>
      <c r="AA29">
        <v>9.4999999999999998E-3</v>
      </c>
      <c r="AB29">
        <v>0.82199999999999995</v>
      </c>
    </row>
    <row r="30" spans="1:32" x14ac:dyDescent="0.25">
      <c r="A30" t="s">
        <v>11</v>
      </c>
      <c r="B30" t="s">
        <v>55</v>
      </c>
      <c r="C30" t="s">
        <v>32</v>
      </c>
      <c r="D30">
        <v>1</v>
      </c>
      <c r="E30" s="3">
        <v>5540.4</v>
      </c>
      <c r="F30">
        <f t="shared" si="0"/>
        <v>2.65</v>
      </c>
      <c r="G30">
        <f t="shared" si="1"/>
        <v>5.3</v>
      </c>
      <c r="H30">
        <f t="shared" si="2"/>
        <v>5.3</v>
      </c>
      <c r="I30" s="32">
        <f t="shared" si="3"/>
        <v>6.5500000000000003E-3</v>
      </c>
      <c r="J30" s="32">
        <f t="shared" si="6"/>
        <v>6.5500000000000003E-3</v>
      </c>
      <c r="K30" s="33">
        <f t="shared" si="4"/>
        <v>381</v>
      </c>
      <c r="L30" s="33">
        <f t="shared" si="7"/>
        <v>300</v>
      </c>
      <c r="M30" s="31">
        <f t="shared" si="5"/>
        <v>0.92400000000000004</v>
      </c>
      <c r="T30" t="s">
        <v>37</v>
      </c>
      <c r="U30" t="s">
        <v>45</v>
      </c>
      <c r="V30" t="s">
        <v>46</v>
      </c>
      <c r="Y30" s="29" t="s">
        <v>7</v>
      </c>
      <c r="Z30" t="s">
        <v>57</v>
      </c>
      <c r="AA30">
        <v>1.268E-2</v>
      </c>
      <c r="AB30">
        <v>0.99399999999999999</v>
      </c>
    </row>
    <row r="31" spans="1:32" x14ac:dyDescent="0.25">
      <c r="A31" t="s">
        <v>12</v>
      </c>
      <c r="B31" t="s">
        <v>55</v>
      </c>
      <c r="C31" t="s">
        <v>32</v>
      </c>
      <c r="D31">
        <v>1</v>
      </c>
      <c r="E31" s="3">
        <v>23605.1</v>
      </c>
      <c r="F31">
        <f t="shared" si="0"/>
        <v>2.59</v>
      </c>
      <c r="G31">
        <f t="shared" si="1"/>
        <v>5.18</v>
      </c>
      <c r="H31">
        <f t="shared" si="2"/>
        <v>5.18</v>
      </c>
      <c r="I31" s="32">
        <f t="shared" si="3"/>
        <v>4.4799999999999996E-3</v>
      </c>
      <c r="J31" s="32">
        <f t="shared" si="6"/>
        <v>4.4799999999999996E-3</v>
      </c>
      <c r="K31" s="33">
        <f t="shared" si="4"/>
        <v>1031</v>
      </c>
      <c r="L31" s="33">
        <f t="shared" si="7"/>
        <v>300</v>
      </c>
      <c r="M31" s="31">
        <f t="shared" si="5"/>
        <v>0.95299999999999996</v>
      </c>
      <c r="S31" t="s">
        <v>49</v>
      </c>
      <c r="T31" s="8">
        <f>SUMIFS([2]unittypedata!$S:$S,[2]unittypedata!$D:$D, $S31)</f>
        <v>2</v>
      </c>
      <c r="U31" s="8">
        <f>SUMIFS([2]unittypedata!$Y:$Y,[2]unittypedata!$D:$D, $S31)</f>
        <v>5.5</v>
      </c>
      <c r="V31" s="8">
        <f>SUMIFS([2]unittypedata!$Z:$Z,[2]unittypedata!$D:$D, $S31)</f>
        <v>5.5</v>
      </c>
      <c r="Y31" s="29" t="s">
        <v>8</v>
      </c>
      <c r="Z31" t="s">
        <v>49</v>
      </c>
      <c r="AA31">
        <v>6.4700000000000001E-3</v>
      </c>
      <c r="AB31">
        <v>0.92</v>
      </c>
    </row>
    <row r="32" spans="1:32" x14ac:dyDescent="0.25">
      <c r="A32" t="s">
        <v>13</v>
      </c>
      <c r="B32" t="s">
        <v>55</v>
      </c>
      <c r="C32" t="s">
        <v>32</v>
      </c>
      <c r="D32">
        <v>1</v>
      </c>
      <c r="E32" s="3">
        <v>178.8</v>
      </c>
      <c r="F32">
        <f t="shared" si="0"/>
        <v>1.38</v>
      </c>
      <c r="G32">
        <f t="shared" si="1"/>
        <v>2.76</v>
      </c>
      <c r="H32">
        <f t="shared" si="2"/>
        <v>2.76</v>
      </c>
      <c r="I32" s="32">
        <f t="shared" si="3"/>
        <v>1.108E-2</v>
      </c>
      <c r="J32" s="32">
        <f t="shared" si="6"/>
        <v>1.108E-2</v>
      </c>
      <c r="K32" s="33" t="str">
        <f t="shared" si="4"/>
        <v/>
      </c>
      <c r="L32" s="33" t="str">
        <f t="shared" si="7"/>
        <v/>
      </c>
      <c r="M32" s="31">
        <f t="shared" si="5"/>
        <v>0.90500000000000003</v>
      </c>
      <c r="S32" t="s">
        <v>50</v>
      </c>
      <c r="T32" s="8">
        <f>SUMIFS([2]unittypedata!$S:$S,[2]unittypedata!$D:$D, $S32)</f>
        <v>1.8</v>
      </c>
      <c r="U32" s="8">
        <f>SUMIFS([2]unittypedata!$Y:$Y,[2]unittypedata!$D:$D, $S32)</f>
        <v>5</v>
      </c>
      <c r="V32" s="8">
        <f>SUMIFS([2]unittypedata!$Z:$Z,[2]unittypedata!$D:$D, $S32)</f>
        <v>5</v>
      </c>
      <c r="Y32" s="29" t="s">
        <v>10</v>
      </c>
      <c r="Z32" t="s">
        <v>55</v>
      </c>
      <c r="AA32">
        <v>5.0000000000000001E-3</v>
      </c>
      <c r="AB32">
        <v>0.95299999999999996</v>
      </c>
    </row>
    <row r="33" spans="1:28" x14ac:dyDescent="0.25">
      <c r="A33" t="s">
        <v>0</v>
      </c>
      <c r="B33" t="s">
        <v>56</v>
      </c>
      <c r="C33" t="s">
        <v>32</v>
      </c>
      <c r="D33">
        <v>1</v>
      </c>
      <c r="E33" s="8">
        <v>2560</v>
      </c>
      <c r="F33">
        <f t="shared" si="0"/>
        <v>1.8</v>
      </c>
      <c r="G33">
        <f t="shared" si="1"/>
        <v>3.95</v>
      </c>
      <c r="H33">
        <f t="shared" si="2"/>
        <v>3.95</v>
      </c>
      <c r="I33" s="32" t="str">
        <f t="shared" si="3"/>
        <v/>
      </c>
      <c r="J33" s="32" t="str">
        <f t="shared" si="6"/>
        <v/>
      </c>
      <c r="K33" s="33" t="str">
        <f t="shared" si="4"/>
        <v/>
      </c>
      <c r="L33" s="33" t="str">
        <f t="shared" si="7"/>
        <v/>
      </c>
      <c r="M33" s="31" t="str">
        <f t="shared" si="5"/>
        <v/>
      </c>
      <c r="S33" t="s">
        <v>51</v>
      </c>
      <c r="T33" s="8">
        <f>SUMIFS([2]unittypedata!$S:$S,[2]unittypedata!$D:$D, $S33)</f>
        <v>2</v>
      </c>
      <c r="U33" s="8">
        <f>SUMIFS([2]unittypedata!$Y:$Y,[2]unittypedata!$D:$D, $S33)</f>
        <v>4</v>
      </c>
      <c r="V33" s="8">
        <f>SUMIFS([2]unittypedata!$Z:$Z,[2]unittypedata!$D:$D, $S33)</f>
        <v>4</v>
      </c>
      <c r="Y33" s="29" t="s">
        <v>11</v>
      </c>
      <c r="Z33" t="s">
        <v>55</v>
      </c>
      <c r="AA33">
        <v>6.5500000000000003E-3</v>
      </c>
      <c r="AB33">
        <v>0.92400000000000004</v>
      </c>
    </row>
    <row r="34" spans="1:28" x14ac:dyDescent="0.25">
      <c r="A34" t="s">
        <v>2</v>
      </c>
      <c r="B34" t="s">
        <v>56</v>
      </c>
      <c r="C34" t="s">
        <v>32</v>
      </c>
      <c r="D34">
        <v>1</v>
      </c>
      <c r="F34">
        <f t="shared" ref="F34:F59" si="8">ROUND(SUMIFS(T$31:T$36,$S$31:$S$36,$B34) * (1 + SUMIFS($W$7:$W$28,$S$7:$S$28,$A34)), 2)</f>
        <v>2.33</v>
      </c>
      <c r="G34">
        <f t="shared" ref="G34:G59" si="9">ROUND(SUMIFS(U$31:U$36,$S$31:$S$36,$B34) * (1 + SUMIFS($W$7:$W$28,$S$7:$S$28,$A34)), 2)</f>
        <v>5.0999999999999996</v>
      </c>
      <c r="H34">
        <f t="shared" ref="H34:H59" si="10">ROUND(SUMIFS(V$31:V$36,$S$31:$S$36,$B34) * (1 + SUMIFS($W$7:$W$28,$S$7:$S$28,$A34)), 2)</f>
        <v>5.0999999999999996</v>
      </c>
      <c r="I34" s="32" t="str">
        <f t="shared" ref="I34:I59" si="11">IF(ROUND(SUMIFS($AA$8:$AA$42, $Y$8:$Y$42,$A34,    $Z$8:$Z$42,$B34), 5)&gt;0, ROUND(SUMIFS($AA$8:$AA$42, $Y$8:$Y$42,$A34,    $Z$8:$Z$42,$B34), 5), "")</f>
        <v/>
      </c>
      <c r="J34" s="32" t="str">
        <f t="shared" si="6"/>
        <v/>
      </c>
      <c r="K34" s="33" t="str">
        <f t="shared" ref="K34:K59" si="12">IF(SUMIFS($AF$7:$AF$19,    $AD$7:$AD$19,$A34,     $AE$7:$AE$19,$B34)&gt;0, SUMIFS($AF$7:$AF$19,    $AD$7:$AD$19,$A34,     $AE$7:$AE$19,$B34), "")</f>
        <v/>
      </c>
      <c r="L34" s="33" t="str">
        <f t="shared" si="7"/>
        <v/>
      </c>
      <c r="M34" s="31" t="str">
        <f t="shared" ref="M34:M59" si="13">IF(AND(ROUND(SUMIFS($AB$8:$AB$42, $Y$8:$Y$42,$A34,    $Z$8:$Z$42,$B34), 3)&gt;0, ROUND(SUMIFS($AB$8:$AB$42, $Y$8:$Y$42,$A34,    $Z$8:$Z$42,$B34), 3)&lt;1), ROUND(SUMIFS($AB$8:$AB$42, $Y$8:$Y$42,$A34,    $Z$8:$Z$42,$B34), 3), "")</f>
        <v/>
      </c>
      <c r="O34" t="s">
        <v>34</v>
      </c>
      <c r="S34" t="s">
        <v>52</v>
      </c>
      <c r="T34" s="8">
        <f>SUMIFS([2]unittypedata!$S:$S,[2]unittypedata!$D:$D, $S34)</f>
        <v>1.6</v>
      </c>
      <c r="U34" s="8">
        <f>SUMIFS([2]unittypedata!$Y:$Y,[2]unittypedata!$D:$D, $S34)</f>
        <v>3.5</v>
      </c>
      <c r="V34" s="8">
        <f>SUMIFS([2]unittypedata!$Z:$Z,[2]unittypedata!$D:$D, $S34)</f>
        <v>3.5</v>
      </c>
      <c r="Y34" s="29" t="s">
        <v>12</v>
      </c>
      <c r="Z34" t="s">
        <v>55</v>
      </c>
      <c r="AA34">
        <v>4.4799999999999996E-3</v>
      </c>
      <c r="AB34">
        <v>0.95299999999999996</v>
      </c>
    </row>
    <row r="35" spans="1:28" x14ac:dyDescent="0.25">
      <c r="A35" t="s">
        <v>3</v>
      </c>
      <c r="B35" t="s">
        <v>56</v>
      </c>
      <c r="C35" t="s">
        <v>32</v>
      </c>
      <c r="D35">
        <v>1</v>
      </c>
      <c r="E35" s="8">
        <v>1361</v>
      </c>
      <c r="F35">
        <f t="shared" si="8"/>
        <v>1.77</v>
      </c>
      <c r="G35">
        <f t="shared" si="9"/>
        <v>3.88</v>
      </c>
      <c r="H35">
        <f t="shared" si="10"/>
        <v>3.88</v>
      </c>
      <c r="I35" s="32" t="str">
        <f t="shared" si="11"/>
        <v/>
      </c>
      <c r="J35" s="32" t="str">
        <f t="shared" si="6"/>
        <v/>
      </c>
      <c r="K35" s="33" t="str">
        <f t="shared" si="12"/>
        <v/>
      </c>
      <c r="L35" s="33" t="str">
        <f t="shared" si="7"/>
        <v/>
      </c>
      <c r="M35" s="31" t="str">
        <f t="shared" si="13"/>
        <v/>
      </c>
      <c r="S35" t="s">
        <v>53</v>
      </c>
      <c r="T35" s="8">
        <f>SUMIFS([2]unittypedata!$S:$S,[2]unittypedata!$D:$D, $S35)</f>
        <v>1.8</v>
      </c>
      <c r="U35" s="8">
        <f>SUMIFS([2]unittypedata!$Y:$Y,[2]unittypedata!$D:$D, $S35)</f>
        <v>3.1</v>
      </c>
      <c r="V35" s="8">
        <f>SUMIFS([2]unittypedata!$Z:$Z,[2]unittypedata!$D:$D, $S35)</f>
        <v>3.1</v>
      </c>
      <c r="Y35" s="29" t="s">
        <v>13</v>
      </c>
      <c r="Z35" t="s">
        <v>49</v>
      </c>
      <c r="AA35">
        <v>3.7100000000000002E-3</v>
      </c>
      <c r="AB35">
        <v>0.82799999999999996</v>
      </c>
    </row>
    <row r="36" spans="1:28" x14ac:dyDescent="0.25">
      <c r="A36" t="s">
        <v>4</v>
      </c>
      <c r="B36" t="s">
        <v>56</v>
      </c>
      <c r="C36" t="s">
        <v>32</v>
      </c>
      <c r="D36">
        <v>1</v>
      </c>
      <c r="E36" s="8">
        <v>2424</v>
      </c>
      <c r="F36">
        <f t="shared" si="8"/>
        <v>1.47</v>
      </c>
      <c r="G36">
        <f t="shared" si="9"/>
        <v>3.21</v>
      </c>
      <c r="H36">
        <f t="shared" si="10"/>
        <v>3.21</v>
      </c>
      <c r="I36" s="32" t="str">
        <f t="shared" si="11"/>
        <v/>
      </c>
      <c r="J36" s="32" t="str">
        <f t="shared" si="6"/>
        <v/>
      </c>
      <c r="K36" s="33" t="str">
        <f t="shared" si="12"/>
        <v/>
      </c>
      <c r="L36" s="33" t="str">
        <f t="shared" si="7"/>
        <v/>
      </c>
      <c r="M36" s="31" t="str">
        <f t="shared" si="13"/>
        <v/>
      </c>
      <c r="S36" t="s">
        <v>54</v>
      </c>
      <c r="T36" s="8">
        <f>SUMIFS([2]unittypedata!$S:$S,[2]unittypedata!$D:$D, $S36)</f>
        <v>1.4</v>
      </c>
      <c r="U36" s="8">
        <f>SUMIFS([2]unittypedata!$Y:$Y,[2]unittypedata!$D:$D, $S36)</f>
        <v>3</v>
      </c>
      <c r="V36" s="8">
        <f>SUMIFS([2]unittypedata!$Z:$Z,[2]unittypedata!$D:$D, $S36)</f>
        <v>3</v>
      </c>
      <c r="Y36" s="29" t="s">
        <v>13</v>
      </c>
      <c r="Z36" t="s">
        <v>50</v>
      </c>
      <c r="AA36">
        <v>7.5399999999999998E-3</v>
      </c>
      <c r="AB36">
        <v>0.59499999999999997</v>
      </c>
    </row>
    <row r="37" spans="1:28" x14ac:dyDescent="0.25">
      <c r="A37" t="s">
        <v>6</v>
      </c>
      <c r="B37" t="s">
        <v>56</v>
      </c>
      <c r="C37" t="s">
        <v>32</v>
      </c>
      <c r="D37">
        <v>1</v>
      </c>
      <c r="E37" s="8">
        <v>1850</v>
      </c>
      <c r="F37">
        <f t="shared" si="8"/>
        <v>1.69</v>
      </c>
      <c r="G37">
        <f t="shared" si="9"/>
        <v>3.69</v>
      </c>
      <c r="H37">
        <f t="shared" si="10"/>
        <v>3.69</v>
      </c>
      <c r="I37" s="32" t="str">
        <f t="shared" si="11"/>
        <v/>
      </c>
      <c r="J37" s="32" t="str">
        <f t="shared" si="6"/>
        <v/>
      </c>
      <c r="K37" s="33" t="str">
        <f t="shared" si="12"/>
        <v/>
      </c>
      <c r="L37" s="33" t="str">
        <f t="shared" si="7"/>
        <v/>
      </c>
      <c r="M37" s="31" t="str">
        <f t="shared" si="13"/>
        <v/>
      </c>
      <c r="Y37" s="29" t="s">
        <v>13</v>
      </c>
      <c r="Z37" t="s">
        <v>55</v>
      </c>
      <c r="AA37">
        <v>1.108E-2</v>
      </c>
      <c r="AB37">
        <v>0.90500000000000003</v>
      </c>
    </row>
    <row r="38" spans="1:28" x14ac:dyDescent="0.25">
      <c r="A38" t="s">
        <v>10</v>
      </c>
      <c r="B38" t="s">
        <v>56</v>
      </c>
      <c r="C38" t="s">
        <v>32</v>
      </c>
      <c r="D38">
        <v>1</v>
      </c>
      <c r="E38" s="8">
        <v>84</v>
      </c>
      <c r="F38">
        <f t="shared" si="8"/>
        <v>2.1</v>
      </c>
      <c r="G38">
        <f t="shared" si="9"/>
        <v>4.59</v>
      </c>
      <c r="H38">
        <f t="shared" si="10"/>
        <v>4.59</v>
      </c>
      <c r="I38" s="32" t="str">
        <f t="shared" si="11"/>
        <v/>
      </c>
      <c r="J38" s="32" t="str">
        <f t="shared" si="6"/>
        <v/>
      </c>
      <c r="K38" s="33" t="str">
        <f t="shared" si="12"/>
        <v/>
      </c>
      <c r="L38" s="33" t="str">
        <f t="shared" si="7"/>
        <v/>
      </c>
      <c r="M38" s="31" t="str">
        <f t="shared" si="13"/>
        <v/>
      </c>
      <c r="Y38" s="29" t="s">
        <v>13</v>
      </c>
      <c r="Z38" t="s">
        <v>57</v>
      </c>
      <c r="AA38">
        <v>1.108E-2</v>
      </c>
      <c r="AB38">
        <v>0.90500000000000003</v>
      </c>
    </row>
    <row r="39" spans="1:28" x14ac:dyDescent="0.25">
      <c r="A39" t="s">
        <v>11</v>
      </c>
      <c r="B39" t="s">
        <v>56</v>
      </c>
      <c r="C39" t="s">
        <v>32</v>
      </c>
      <c r="D39">
        <v>1</v>
      </c>
      <c r="F39">
        <f t="shared" si="8"/>
        <v>2.12</v>
      </c>
      <c r="G39">
        <f t="shared" si="9"/>
        <v>4.6399999999999997</v>
      </c>
      <c r="H39">
        <f t="shared" si="10"/>
        <v>4.6399999999999997</v>
      </c>
      <c r="I39" s="32" t="str">
        <f t="shared" si="11"/>
        <v/>
      </c>
      <c r="J39" s="32" t="str">
        <f t="shared" si="6"/>
        <v/>
      </c>
      <c r="K39" s="33" t="str">
        <f t="shared" si="12"/>
        <v/>
      </c>
      <c r="L39" s="33" t="str">
        <f t="shared" si="7"/>
        <v/>
      </c>
      <c r="M39" s="31" t="str">
        <f t="shared" si="13"/>
        <v/>
      </c>
      <c r="O39" t="s">
        <v>34</v>
      </c>
      <c r="Y39" s="29" t="s">
        <v>14</v>
      </c>
      <c r="Z39" t="s">
        <v>50</v>
      </c>
      <c r="AA39">
        <v>5.1399999999999996E-3</v>
      </c>
      <c r="AB39" t="s">
        <v>78</v>
      </c>
    </row>
    <row r="40" spans="1:28" x14ac:dyDescent="0.25">
      <c r="A40" t="s">
        <v>12</v>
      </c>
      <c r="B40" t="s">
        <v>56</v>
      </c>
      <c r="C40" t="s">
        <v>32</v>
      </c>
      <c r="D40">
        <v>1</v>
      </c>
      <c r="E40" s="8">
        <v>1030</v>
      </c>
      <c r="F40">
        <f t="shared" si="8"/>
        <v>2.0699999999999998</v>
      </c>
      <c r="G40">
        <f t="shared" si="9"/>
        <v>4.54</v>
      </c>
      <c r="H40">
        <f t="shared" si="10"/>
        <v>4.54</v>
      </c>
      <c r="I40" s="32" t="str">
        <f t="shared" si="11"/>
        <v/>
      </c>
      <c r="J40" s="32" t="str">
        <f t="shared" si="6"/>
        <v/>
      </c>
      <c r="K40" s="33" t="str">
        <f t="shared" si="12"/>
        <v/>
      </c>
      <c r="L40" s="33" t="str">
        <f t="shared" si="7"/>
        <v/>
      </c>
      <c r="M40" s="31" t="str">
        <f t="shared" si="13"/>
        <v/>
      </c>
      <c r="Y40" s="29" t="s">
        <v>15</v>
      </c>
      <c r="Z40" t="s">
        <v>50</v>
      </c>
      <c r="AA40">
        <v>5.5599999999999998E-3</v>
      </c>
      <c r="AB40" t="s">
        <v>78</v>
      </c>
    </row>
    <row r="41" spans="1:28" x14ac:dyDescent="0.25">
      <c r="A41" t="s">
        <v>13</v>
      </c>
      <c r="B41" t="s">
        <v>56</v>
      </c>
      <c r="C41" t="s">
        <v>32</v>
      </c>
      <c r="D41">
        <v>1</v>
      </c>
      <c r="E41" s="8">
        <v>172</v>
      </c>
      <c r="F41">
        <f t="shared" si="8"/>
        <v>1.1000000000000001</v>
      </c>
      <c r="G41">
        <f t="shared" si="9"/>
        <v>2.42</v>
      </c>
      <c r="H41">
        <f t="shared" si="10"/>
        <v>2.42</v>
      </c>
      <c r="I41" s="32" t="str">
        <f t="shared" si="11"/>
        <v/>
      </c>
      <c r="J41" s="32" t="str">
        <f t="shared" si="6"/>
        <v/>
      </c>
      <c r="K41" s="33" t="str">
        <f t="shared" si="12"/>
        <v/>
      </c>
      <c r="L41" s="33" t="str">
        <f t="shared" si="7"/>
        <v/>
      </c>
      <c r="M41" s="31" t="str">
        <f t="shared" si="13"/>
        <v/>
      </c>
      <c r="Y41" s="29" t="s">
        <v>16</v>
      </c>
      <c r="Z41" t="s">
        <v>50</v>
      </c>
      <c r="AA41">
        <v>6.4799999999999996E-3</v>
      </c>
      <c r="AB41" t="s">
        <v>78</v>
      </c>
    </row>
    <row r="42" spans="1:28" x14ac:dyDescent="0.25">
      <c r="A42" t="s">
        <v>0</v>
      </c>
      <c r="B42" t="s">
        <v>57</v>
      </c>
      <c r="C42" t="s">
        <v>32</v>
      </c>
      <c r="D42">
        <v>1</v>
      </c>
      <c r="F42">
        <f t="shared" si="8"/>
        <v>2.0299999999999998</v>
      </c>
      <c r="G42">
        <f t="shared" si="9"/>
        <v>3.5</v>
      </c>
      <c r="H42">
        <f t="shared" si="10"/>
        <v>3.5</v>
      </c>
      <c r="I42" s="32" t="str">
        <f t="shared" si="11"/>
        <v/>
      </c>
      <c r="J42" s="32" t="str">
        <f t="shared" si="6"/>
        <v/>
      </c>
      <c r="K42" s="33" t="str">
        <f t="shared" si="12"/>
        <v/>
      </c>
      <c r="L42" s="33" t="str">
        <f t="shared" si="7"/>
        <v/>
      </c>
      <c r="M42" s="31" t="str">
        <f t="shared" si="13"/>
        <v/>
      </c>
      <c r="O42" t="s">
        <v>34</v>
      </c>
      <c r="Y42" s="29" t="s">
        <v>17</v>
      </c>
      <c r="Z42" t="s">
        <v>50</v>
      </c>
      <c r="AA42">
        <v>8.9899999999999997E-3</v>
      </c>
      <c r="AB42" t="s">
        <v>78</v>
      </c>
    </row>
    <row r="43" spans="1:28" x14ac:dyDescent="0.25">
      <c r="A43" t="s">
        <v>1</v>
      </c>
      <c r="B43" t="s">
        <v>57</v>
      </c>
      <c r="C43" t="s">
        <v>32</v>
      </c>
      <c r="D43">
        <v>1</v>
      </c>
      <c r="E43" s="7">
        <v>1308</v>
      </c>
      <c r="F43">
        <f t="shared" si="8"/>
        <v>2.02</v>
      </c>
      <c r="G43">
        <f t="shared" si="9"/>
        <v>3.48</v>
      </c>
      <c r="H43">
        <f t="shared" si="10"/>
        <v>3.48</v>
      </c>
      <c r="I43" s="32">
        <f t="shared" si="11"/>
        <v>1.3140000000000001E-2</v>
      </c>
      <c r="J43" s="32">
        <f t="shared" si="6"/>
        <v>1.3140000000000001E-2</v>
      </c>
      <c r="K43" s="33" t="str">
        <f t="shared" si="12"/>
        <v/>
      </c>
      <c r="L43" s="33" t="str">
        <f t="shared" si="7"/>
        <v/>
      </c>
      <c r="M43" s="31">
        <f t="shared" si="13"/>
        <v>0.84899999999999998</v>
      </c>
    </row>
    <row r="44" spans="1:28" x14ac:dyDescent="0.25">
      <c r="A44" t="s">
        <v>2</v>
      </c>
      <c r="B44" t="s">
        <v>57</v>
      </c>
      <c r="C44" t="s">
        <v>32</v>
      </c>
      <c r="D44">
        <v>1</v>
      </c>
      <c r="E44" s="7">
        <v>3989</v>
      </c>
      <c r="F44">
        <f t="shared" si="8"/>
        <v>2.62</v>
      </c>
      <c r="G44">
        <f t="shared" si="9"/>
        <v>4.51</v>
      </c>
      <c r="H44">
        <f t="shared" si="10"/>
        <v>4.51</v>
      </c>
      <c r="I44" s="32">
        <f t="shared" si="11"/>
        <v>5.6600000000000001E-3</v>
      </c>
      <c r="J44" s="32">
        <f t="shared" si="6"/>
        <v>5.6600000000000001E-3</v>
      </c>
      <c r="K44" s="33" t="str">
        <f t="shared" si="12"/>
        <v/>
      </c>
      <c r="L44" s="33" t="str">
        <f t="shared" si="7"/>
        <v/>
      </c>
      <c r="M44" s="31">
        <f t="shared" si="13"/>
        <v>0.59299999999999997</v>
      </c>
    </row>
    <row r="45" spans="1:28" x14ac:dyDescent="0.25">
      <c r="A45" t="s">
        <v>3</v>
      </c>
      <c r="B45" t="s">
        <v>57</v>
      </c>
      <c r="C45" t="s">
        <v>32</v>
      </c>
      <c r="D45">
        <v>1</v>
      </c>
      <c r="E45" s="7">
        <v>6056</v>
      </c>
      <c r="F45">
        <f t="shared" si="8"/>
        <v>1.99</v>
      </c>
      <c r="G45">
        <f t="shared" si="9"/>
        <v>3.43</v>
      </c>
      <c r="H45">
        <f t="shared" si="10"/>
        <v>3.43</v>
      </c>
      <c r="I45" s="32">
        <f t="shared" si="11"/>
        <v>7.2399999999999999E-3</v>
      </c>
      <c r="J45" s="32">
        <f t="shared" si="6"/>
        <v>7.2399999999999999E-3</v>
      </c>
      <c r="K45" s="33" t="str">
        <f t="shared" si="12"/>
        <v/>
      </c>
      <c r="L45" s="33" t="str">
        <f t="shared" si="7"/>
        <v/>
      </c>
      <c r="M45" s="31">
        <f t="shared" si="13"/>
        <v>0.84799999999999998</v>
      </c>
    </row>
    <row r="46" spans="1:28" x14ac:dyDescent="0.25">
      <c r="A46" t="s">
        <v>4</v>
      </c>
      <c r="B46" t="s">
        <v>57</v>
      </c>
      <c r="C46" t="s">
        <v>32</v>
      </c>
      <c r="D46">
        <v>1</v>
      </c>
      <c r="E46" s="7">
        <v>3330</v>
      </c>
      <c r="F46">
        <f t="shared" si="8"/>
        <v>1.65</v>
      </c>
      <c r="G46">
        <f t="shared" si="9"/>
        <v>2.84</v>
      </c>
      <c r="H46">
        <f t="shared" si="10"/>
        <v>2.84</v>
      </c>
      <c r="I46" s="32">
        <f t="shared" si="11"/>
        <v>8.0999999999999996E-3</v>
      </c>
      <c r="J46" s="32">
        <f t="shared" si="6"/>
        <v>8.0999999999999996E-3</v>
      </c>
      <c r="K46" s="33" t="str">
        <f t="shared" si="12"/>
        <v/>
      </c>
      <c r="L46" s="33" t="str">
        <f t="shared" si="7"/>
        <v/>
      </c>
      <c r="M46" s="31" t="str">
        <f t="shared" si="13"/>
        <v/>
      </c>
    </row>
    <row r="47" spans="1:28" x14ac:dyDescent="0.25">
      <c r="A47" t="s">
        <v>6</v>
      </c>
      <c r="B47" t="s">
        <v>57</v>
      </c>
      <c r="C47" t="s">
        <v>32</v>
      </c>
      <c r="D47">
        <v>1</v>
      </c>
      <c r="E47" s="7">
        <v>1950</v>
      </c>
      <c r="F47">
        <f t="shared" si="8"/>
        <v>1.9</v>
      </c>
      <c r="G47">
        <f t="shared" si="9"/>
        <v>3.27</v>
      </c>
      <c r="H47">
        <f t="shared" si="10"/>
        <v>3.27</v>
      </c>
      <c r="I47" s="32">
        <f t="shared" si="11"/>
        <v>9.3799999999999994E-3</v>
      </c>
      <c r="J47" s="32">
        <f t="shared" si="6"/>
        <v>9.3799999999999994E-3</v>
      </c>
      <c r="K47" s="33" t="str">
        <f t="shared" si="12"/>
        <v/>
      </c>
      <c r="L47" s="33" t="str">
        <f t="shared" si="7"/>
        <v/>
      </c>
      <c r="M47" s="31">
        <f t="shared" si="13"/>
        <v>0.89300000000000002</v>
      </c>
    </row>
    <row r="48" spans="1:28" x14ac:dyDescent="0.25">
      <c r="A48" t="s">
        <v>7</v>
      </c>
      <c r="B48" t="s">
        <v>57</v>
      </c>
      <c r="C48" t="s">
        <v>32</v>
      </c>
      <c r="D48">
        <v>1</v>
      </c>
      <c r="E48" s="7">
        <v>900</v>
      </c>
      <c r="F48">
        <f t="shared" si="8"/>
        <v>1.38</v>
      </c>
      <c r="G48">
        <f t="shared" si="9"/>
        <v>2.38</v>
      </c>
      <c r="H48">
        <f t="shared" si="10"/>
        <v>2.38</v>
      </c>
      <c r="I48" s="32">
        <f t="shared" si="11"/>
        <v>1.268E-2</v>
      </c>
      <c r="J48" s="32">
        <f t="shared" si="6"/>
        <v>1.268E-2</v>
      </c>
      <c r="K48" s="33" t="str">
        <f t="shared" si="12"/>
        <v/>
      </c>
      <c r="L48" s="33" t="str">
        <f t="shared" si="7"/>
        <v/>
      </c>
      <c r="M48" s="31">
        <f t="shared" si="13"/>
        <v>0.99399999999999999</v>
      </c>
    </row>
    <row r="49" spans="1:15" x14ac:dyDescent="0.25">
      <c r="A49" t="s">
        <v>13</v>
      </c>
      <c r="B49" t="s">
        <v>57</v>
      </c>
      <c r="C49" t="s">
        <v>32</v>
      </c>
      <c r="D49">
        <v>1</v>
      </c>
      <c r="E49" s="7">
        <v>1323</v>
      </c>
      <c r="F49">
        <f t="shared" si="8"/>
        <v>1.24</v>
      </c>
      <c r="G49">
        <f t="shared" si="9"/>
        <v>2.14</v>
      </c>
      <c r="H49">
        <f t="shared" si="10"/>
        <v>2.14</v>
      </c>
      <c r="I49" s="32">
        <f t="shared" si="11"/>
        <v>1.108E-2</v>
      </c>
      <c r="J49" s="32">
        <f t="shared" si="6"/>
        <v>1.108E-2</v>
      </c>
      <c r="K49" s="33" t="str">
        <f t="shared" si="12"/>
        <v/>
      </c>
      <c r="L49" s="33" t="str">
        <f t="shared" si="7"/>
        <v/>
      </c>
      <c r="M49" s="31">
        <f t="shared" si="13"/>
        <v>0.90500000000000003</v>
      </c>
    </row>
    <row r="50" spans="1:15" x14ac:dyDescent="0.25">
      <c r="A50" t="s">
        <v>18</v>
      </c>
      <c r="B50" t="s">
        <v>57</v>
      </c>
      <c r="C50" t="s">
        <v>32</v>
      </c>
      <c r="D50">
        <v>1</v>
      </c>
      <c r="E50" s="7">
        <v>2744</v>
      </c>
      <c r="F50">
        <f t="shared" si="8"/>
        <v>2.1</v>
      </c>
      <c r="G50">
        <f t="shared" si="9"/>
        <v>3.61</v>
      </c>
      <c r="H50">
        <f t="shared" si="10"/>
        <v>3.61</v>
      </c>
      <c r="I50" s="32" t="str">
        <f t="shared" si="11"/>
        <v/>
      </c>
      <c r="J50" s="32" t="str">
        <f t="shared" si="6"/>
        <v/>
      </c>
      <c r="K50" s="33" t="str">
        <f t="shared" si="12"/>
        <v/>
      </c>
      <c r="L50" s="33" t="str">
        <f t="shared" si="7"/>
        <v/>
      </c>
      <c r="M50" s="31" t="str">
        <f t="shared" si="13"/>
        <v/>
      </c>
    </row>
    <row r="51" spans="1:15" x14ac:dyDescent="0.25">
      <c r="A51" t="s">
        <v>0</v>
      </c>
      <c r="B51" t="s">
        <v>58</v>
      </c>
      <c r="C51" t="s">
        <v>32</v>
      </c>
      <c r="D51">
        <v>1</v>
      </c>
      <c r="F51">
        <f t="shared" si="8"/>
        <v>1.58</v>
      </c>
      <c r="G51">
        <f t="shared" si="9"/>
        <v>3.38</v>
      </c>
      <c r="H51">
        <f t="shared" si="10"/>
        <v>3.38</v>
      </c>
      <c r="I51" s="32" t="str">
        <f t="shared" si="11"/>
        <v/>
      </c>
      <c r="J51" s="32" t="str">
        <f t="shared" si="6"/>
        <v/>
      </c>
      <c r="K51" s="33" t="str">
        <f t="shared" si="12"/>
        <v/>
      </c>
      <c r="L51" s="33" t="str">
        <f t="shared" si="7"/>
        <v/>
      </c>
      <c r="M51" s="31" t="str">
        <f t="shared" si="13"/>
        <v/>
      </c>
      <c r="O51" t="s">
        <v>34</v>
      </c>
    </row>
    <row r="52" spans="1:15" x14ac:dyDescent="0.25">
      <c r="A52" t="s">
        <v>1</v>
      </c>
      <c r="B52" t="s">
        <v>58</v>
      </c>
      <c r="C52" t="s">
        <v>32</v>
      </c>
      <c r="D52">
        <v>1</v>
      </c>
      <c r="E52" s="18">
        <v>1150</v>
      </c>
      <c r="F52">
        <f t="shared" si="8"/>
        <v>1.57</v>
      </c>
      <c r="G52">
        <f t="shared" si="9"/>
        <v>3.36</v>
      </c>
      <c r="H52">
        <f t="shared" si="10"/>
        <v>3.36</v>
      </c>
      <c r="I52" s="32" t="str">
        <f t="shared" si="11"/>
        <v/>
      </c>
      <c r="J52" s="32" t="str">
        <f t="shared" si="6"/>
        <v/>
      </c>
      <c r="K52" s="33" t="str">
        <f t="shared" si="12"/>
        <v/>
      </c>
      <c r="L52" s="33" t="str">
        <f t="shared" si="7"/>
        <v/>
      </c>
      <c r="M52" s="31" t="str">
        <f t="shared" si="13"/>
        <v/>
      </c>
    </row>
    <row r="53" spans="1:15" x14ac:dyDescent="0.25">
      <c r="A53" t="s">
        <v>2</v>
      </c>
      <c r="B53" t="s">
        <v>58</v>
      </c>
      <c r="C53" t="s">
        <v>32</v>
      </c>
      <c r="D53">
        <v>1</v>
      </c>
      <c r="E53" s="18">
        <v>3938</v>
      </c>
      <c r="F53">
        <f t="shared" si="8"/>
        <v>2.04</v>
      </c>
      <c r="G53">
        <f t="shared" si="9"/>
        <v>4.37</v>
      </c>
      <c r="H53">
        <f t="shared" si="10"/>
        <v>4.37</v>
      </c>
      <c r="I53" s="32" t="str">
        <f t="shared" si="11"/>
        <v/>
      </c>
      <c r="J53" s="32" t="str">
        <f t="shared" si="6"/>
        <v/>
      </c>
      <c r="K53" s="33" t="str">
        <f t="shared" si="12"/>
        <v/>
      </c>
      <c r="L53" s="33" t="str">
        <f t="shared" si="7"/>
        <v/>
      </c>
      <c r="M53" s="31" t="str">
        <f t="shared" si="13"/>
        <v/>
      </c>
    </row>
    <row r="54" spans="1:15" x14ac:dyDescent="0.25">
      <c r="A54" t="s">
        <v>3</v>
      </c>
      <c r="B54" t="s">
        <v>58</v>
      </c>
      <c r="C54" t="s">
        <v>32</v>
      </c>
      <c r="D54">
        <v>1</v>
      </c>
      <c r="E54" s="18">
        <v>6068</v>
      </c>
      <c r="F54">
        <f t="shared" si="8"/>
        <v>1.55</v>
      </c>
      <c r="G54">
        <f t="shared" si="9"/>
        <v>3.32</v>
      </c>
      <c r="H54">
        <f t="shared" si="10"/>
        <v>3.32</v>
      </c>
      <c r="I54" s="32" t="str">
        <f t="shared" si="11"/>
        <v/>
      </c>
      <c r="J54" s="32" t="str">
        <f t="shared" si="6"/>
        <v/>
      </c>
      <c r="K54" s="33" t="str">
        <f t="shared" si="12"/>
        <v/>
      </c>
      <c r="L54" s="33" t="str">
        <f t="shared" si="7"/>
        <v/>
      </c>
      <c r="M54" s="31" t="str">
        <f t="shared" si="13"/>
        <v/>
      </c>
    </row>
    <row r="55" spans="1:15" x14ac:dyDescent="0.25">
      <c r="A55" t="s">
        <v>4</v>
      </c>
      <c r="B55" t="s">
        <v>58</v>
      </c>
      <c r="C55" t="s">
        <v>32</v>
      </c>
      <c r="D55">
        <v>1</v>
      </c>
      <c r="E55" s="18">
        <v>3142</v>
      </c>
      <c r="F55">
        <f t="shared" si="8"/>
        <v>1.28</v>
      </c>
      <c r="G55">
        <f t="shared" si="9"/>
        <v>2.75</v>
      </c>
      <c r="H55">
        <f t="shared" si="10"/>
        <v>2.75</v>
      </c>
      <c r="I55" s="32" t="str">
        <f t="shared" si="11"/>
        <v/>
      </c>
      <c r="J55" s="32" t="str">
        <f t="shared" si="6"/>
        <v/>
      </c>
      <c r="K55" s="33" t="str">
        <f t="shared" si="12"/>
        <v/>
      </c>
      <c r="L55" s="33" t="str">
        <f t="shared" si="7"/>
        <v/>
      </c>
      <c r="M55" s="31" t="str">
        <f t="shared" si="13"/>
        <v/>
      </c>
    </row>
    <row r="56" spans="1:15" x14ac:dyDescent="0.25">
      <c r="A56" t="s">
        <v>6</v>
      </c>
      <c r="B56" t="s">
        <v>58</v>
      </c>
      <c r="C56" t="s">
        <v>32</v>
      </c>
      <c r="D56">
        <v>1</v>
      </c>
      <c r="E56" s="18">
        <v>1950</v>
      </c>
      <c r="F56">
        <f t="shared" si="8"/>
        <v>1.48</v>
      </c>
      <c r="G56">
        <f t="shared" si="9"/>
        <v>3.16</v>
      </c>
      <c r="H56">
        <f t="shared" si="10"/>
        <v>3.16</v>
      </c>
      <c r="I56" s="32" t="str">
        <f t="shared" si="11"/>
        <v/>
      </c>
      <c r="J56" s="32" t="str">
        <f t="shared" si="6"/>
        <v/>
      </c>
      <c r="K56" s="33" t="str">
        <f t="shared" si="12"/>
        <v/>
      </c>
      <c r="L56" s="33" t="str">
        <f t="shared" si="7"/>
        <v/>
      </c>
      <c r="M56" s="31" t="str">
        <f t="shared" si="13"/>
        <v/>
      </c>
    </row>
    <row r="57" spans="1:15" x14ac:dyDescent="0.25">
      <c r="A57" t="s">
        <v>7</v>
      </c>
      <c r="B57" t="s">
        <v>58</v>
      </c>
      <c r="C57" t="s">
        <v>32</v>
      </c>
      <c r="D57">
        <v>1</v>
      </c>
      <c r="E57" s="18">
        <v>900</v>
      </c>
      <c r="F57">
        <f t="shared" si="8"/>
        <v>1.07</v>
      </c>
      <c r="G57">
        <f t="shared" si="9"/>
        <v>2.2999999999999998</v>
      </c>
      <c r="H57">
        <f t="shared" si="10"/>
        <v>2.2999999999999998</v>
      </c>
      <c r="I57" s="32" t="str">
        <f t="shared" si="11"/>
        <v/>
      </c>
      <c r="J57" s="32" t="str">
        <f t="shared" si="6"/>
        <v/>
      </c>
      <c r="K57" s="33" t="str">
        <f t="shared" si="12"/>
        <v/>
      </c>
      <c r="L57" s="33" t="str">
        <f t="shared" si="7"/>
        <v/>
      </c>
      <c r="M57" s="31" t="str">
        <f t="shared" si="13"/>
        <v/>
      </c>
    </row>
    <row r="58" spans="1:15" x14ac:dyDescent="0.25">
      <c r="A58" t="s">
        <v>13</v>
      </c>
      <c r="B58" t="s">
        <v>58</v>
      </c>
      <c r="C58" t="s">
        <v>32</v>
      </c>
      <c r="D58">
        <v>1</v>
      </c>
      <c r="E58" s="18">
        <v>1486</v>
      </c>
      <c r="F58">
        <f t="shared" si="8"/>
        <v>0.97</v>
      </c>
      <c r="G58">
        <f t="shared" si="9"/>
        <v>2.0699999999999998</v>
      </c>
      <c r="H58">
        <f t="shared" si="10"/>
        <v>2.0699999999999998</v>
      </c>
      <c r="I58" s="32" t="str">
        <f t="shared" si="11"/>
        <v/>
      </c>
      <c r="J58" s="32" t="str">
        <f t="shared" si="6"/>
        <v/>
      </c>
      <c r="K58" s="33" t="str">
        <f t="shared" si="12"/>
        <v/>
      </c>
      <c r="L58" s="33" t="str">
        <f t="shared" si="7"/>
        <v/>
      </c>
      <c r="M58" s="31" t="str">
        <f t="shared" si="13"/>
        <v/>
      </c>
    </row>
    <row r="59" spans="1:15" x14ac:dyDescent="0.25">
      <c r="A59" t="s">
        <v>18</v>
      </c>
      <c r="B59" t="s">
        <v>58</v>
      </c>
      <c r="C59" t="s">
        <v>32</v>
      </c>
      <c r="D59">
        <v>1</v>
      </c>
      <c r="E59" s="18">
        <v>2744</v>
      </c>
      <c r="F59">
        <f t="shared" si="8"/>
        <v>1.63</v>
      </c>
      <c r="G59">
        <f t="shared" si="9"/>
        <v>3.5</v>
      </c>
      <c r="H59">
        <f t="shared" si="10"/>
        <v>3.5</v>
      </c>
      <c r="I59" s="32" t="str">
        <f t="shared" si="11"/>
        <v/>
      </c>
      <c r="J59" s="32" t="str">
        <f t="shared" si="6"/>
        <v/>
      </c>
      <c r="K59" s="33" t="str">
        <f t="shared" si="12"/>
        <v/>
      </c>
      <c r="L59" s="33" t="str">
        <f t="shared" si="7"/>
        <v/>
      </c>
      <c r="M59" s="31" t="str">
        <f t="shared" si="13"/>
        <v/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nodedata</vt:lpstr>
      <vt:lpstr>unitdata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Lindroos Tomi J</dc:creator>
  <cp:lastModifiedBy>Lindroos Tomi J</cp:lastModifiedBy>
  <dcterms:created xsi:type="dcterms:W3CDTF">2015-06-05T18:17:20Z</dcterms:created>
  <dcterms:modified xsi:type="dcterms:W3CDTF">2026-10-02T07:57:53Z</dcterms:modified>
</cp:coreProperties>
</file>