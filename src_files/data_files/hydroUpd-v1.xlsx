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82C34CFA-97C4-428F-85F9-4A4300EFBEB8}" xr6:coauthVersionLast="47" xr6:coauthVersionMax="47" xr10:uidLastSave="{00000000-0000-0000-0000-000000000000}"/>
  <bookViews>
    <workbookView xWindow="-120" yWindow="-120" windowWidth="29040" windowHeight="17520" tabRatio="747" xr2:uid="{00000000-000D-0000-FFFF-FFFF00000000}"/>
  </bookViews>
  <sheets>
    <sheet name="nodedata" sheetId="13" r:id="rId1"/>
    <sheet name="unitdata" sheetId="14" r:id="rId2"/>
    <sheet name="userconstraintdata" sheetId="17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4" l="1"/>
  <c r="G59" i="14"/>
  <c r="F59" i="14"/>
  <c r="H58" i="14"/>
  <c r="G58" i="14"/>
  <c r="F58" i="14"/>
  <c r="H57" i="14"/>
  <c r="G57" i="14"/>
  <c r="F57" i="14"/>
  <c r="H56" i="14"/>
  <c r="G56" i="14"/>
  <c r="F56" i="14"/>
  <c r="H55" i="14"/>
  <c r="G55" i="14"/>
  <c r="F55" i="14"/>
  <c r="H54" i="14"/>
  <c r="G54" i="14"/>
  <c r="F54" i="14"/>
  <c r="H53" i="14"/>
  <c r="G53" i="14"/>
  <c r="F53" i="14"/>
  <c r="H52" i="14"/>
  <c r="G52" i="14"/>
  <c r="F52" i="14"/>
  <c r="H51" i="14"/>
  <c r="G51" i="14"/>
  <c r="F51" i="14"/>
  <c r="H50" i="14"/>
  <c r="G50" i="14"/>
  <c r="F50" i="14"/>
  <c r="H49" i="14"/>
  <c r="G49" i="14"/>
  <c r="F49" i="14"/>
  <c r="H48" i="14"/>
  <c r="G48" i="14"/>
  <c r="F48" i="14"/>
  <c r="H47" i="14"/>
  <c r="G47" i="14"/>
  <c r="F47" i="14"/>
  <c r="H46" i="14"/>
  <c r="G46" i="14"/>
  <c r="F46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H40" i="14"/>
  <c r="G40" i="14"/>
  <c r="F40" i="14"/>
  <c r="H39" i="14"/>
  <c r="G39" i="14"/>
  <c r="F39" i="14"/>
  <c r="H38" i="14"/>
  <c r="G38" i="14"/>
  <c r="F38" i="14"/>
  <c r="H37" i="14"/>
  <c r="G37" i="14"/>
  <c r="F37" i="14"/>
  <c r="H36" i="14"/>
  <c r="G36" i="14"/>
  <c r="F36" i="14"/>
  <c r="H35" i="14"/>
  <c r="G35" i="14"/>
  <c r="F35" i="14"/>
  <c r="H34" i="14"/>
  <c r="G34" i="14"/>
  <c r="F34" i="14"/>
  <c r="H33" i="14"/>
  <c r="G33" i="14"/>
  <c r="F33" i="14"/>
  <c r="H32" i="14"/>
  <c r="G32" i="14"/>
  <c r="F32" i="14"/>
  <c r="H31" i="14"/>
  <c r="G31" i="14"/>
  <c r="F31" i="14"/>
  <c r="H30" i="14"/>
  <c r="G30" i="14"/>
  <c r="F30" i="14"/>
  <c r="H29" i="14"/>
  <c r="G29" i="14"/>
  <c r="F29" i="14"/>
  <c r="H28" i="14"/>
  <c r="G28" i="14"/>
  <c r="F28" i="14"/>
  <c r="H27" i="14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18" i="14"/>
  <c r="G18" i="14"/>
  <c r="F18" i="14"/>
  <c r="H17" i="14"/>
  <c r="G17" i="14"/>
  <c r="F17" i="14"/>
  <c r="H16" i="14"/>
  <c r="G16" i="14"/>
  <c r="F16" i="14"/>
  <c r="H15" i="14"/>
  <c r="G15" i="14"/>
  <c r="F15" i="14"/>
  <c r="H14" i="14"/>
  <c r="G14" i="14"/>
  <c r="F14" i="14"/>
  <c r="H13" i="14"/>
  <c r="G13" i="14"/>
  <c r="F13" i="14"/>
  <c r="H12" i="14"/>
  <c r="G12" i="14"/>
  <c r="F12" i="14"/>
  <c r="H11" i="14"/>
  <c r="G11" i="14"/>
  <c r="F11" i="14"/>
  <c r="H10" i="14"/>
  <c r="G10" i="14"/>
  <c r="F10" i="14"/>
  <c r="H9" i="14"/>
  <c r="G9" i="14"/>
  <c r="F9" i="14"/>
  <c r="H8" i="14"/>
  <c r="G8" i="14"/>
  <c r="F8" i="14"/>
  <c r="H7" i="14"/>
  <c r="G7" i="14"/>
  <c r="F7" i="14"/>
  <c r="H6" i="14"/>
  <c r="G6" i="14"/>
  <c r="F6" i="14"/>
  <c r="H5" i="14"/>
  <c r="G5" i="14"/>
  <c r="F5" i="14"/>
  <c r="H4" i="14"/>
  <c r="G4" i="14"/>
  <c r="F4" i="14"/>
  <c r="H3" i="14"/>
  <c r="G3" i="14"/>
  <c r="F3" i="14"/>
  <c r="H2" i="14"/>
  <c r="G2" i="14"/>
  <c r="F2" i="14"/>
  <c r="T36" i="14"/>
  <c r="S36" i="14"/>
  <c r="R36" i="14"/>
  <c r="T35" i="14"/>
  <c r="S35" i="14"/>
  <c r="R35" i="14"/>
  <c r="T34" i="14"/>
  <c r="S34" i="14"/>
  <c r="R34" i="14"/>
  <c r="T33" i="14"/>
  <c r="S33" i="14"/>
  <c r="R33" i="14"/>
  <c r="T32" i="14"/>
  <c r="S32" i="14"/>
  <c r="R32" i="14"/>
  <c r="T31" i="14"/>
  <c r="S31" i="14"/>
  <c r="R31" i="14"/>
  <c r="U28" i="14" l="1"/>
  <c r="T28" i="14"/>
  <c r="S28" i="14"/>
  <c r="R28" i="14"/>
  <c r="U27" i="14"/>
  <c r="T27" i="14"/>
  <c r="S27" i="14"/>
  <c r="R27" i="14"/>
  <c r="U26" i="14"/>
  <c r="T26" i="14"/>
  <c r="S26" i="14"/>
  <c r="R26" i="14"/>
  <c r="U25" i="14"/>
  <c r="T25" i="14"/>
  <c r="S25" i="14"/>
  <c r="R25" i="14"/>
  <c r="U24" i="14"/>
  <c r="T24" i="14"/>
  <c r="S24" i="14"/>
  <c r="R24" i="14"/>
  <c r="U23" i="14"/>
  <c r="T23" i="14"/>
  <c r="S23" i="14"/>
  <c r="R23" i="14"/>
  <c r="U22" i="14"/>
  <c r="T22" i="14"/>
  <c r="S22" i="14"/>
  <c r="R22" i="14"/>
  <c r="U21" i="14"/>
  <c r="T21" i="14"/>
  <c r="S21" i="14"/>
  <c r="R21" i="14"/>
  <c r="U20" i="14"/>
  <c r="T20" i="14"/>
  <c r="S20" i="14"/>
  <c r="R20" i="14"/>
  <c r="U19" i="14"/>
  <c r="T19" i="14"/>
  <c r="S19" i="14"/>
  <c r="R19" i="14"/>
  <c r="U18" i="14"/>
  <c r="T18" i="14"/>
  <c r="S18" i="14"/>
  <c r="R18" i="14"/>
  <c r="U17" i="14"/>
  <c r="T17" i="14"/>
  <c r="S17" i="14"/>
  <c r="R17" i="14"/>
  <c r="U16" i="14"/>
  <c r="T16" i="14"/>
  <c r="S16" i="14"/>
  <c r="R16" i="14"/>
  <c r="U15" i="14"/>
  <c r="T15" i="14"/>
  <c r="S15" i="14"/>
  <c r="R15" i="14"/>
  <c r="U14" i="14"/>
  <c r="T14" i="14"/>
  <c r="S14" i="14"/>
  <c r="R14" i="14"/>
  <c r="U13" i="14"/>
  <c r="T13" i="14"/>
  <c r="S13" i="14"/>
  <c r="R13" i="14"/>
  <c r="U12" i="14"/>
  <c r="T12" i="14"/>
  <c r="S12" i="14"/>
  <c r="R12" i="14"/>
  <c r="U11" i="14"/>
  <c r="T11" i="14"/>
  <c r="S11" i="14"/>
  <c r="R11" i="14"/>
  <c r="U10" i="14"/>
  <c r="T10" i="14"/>
  <c r="S10" i="14"/>
  <c r="R10" i="14"/>
  <c r="U9" i="14"/>
  <c r="T9" i="14"/>
  <c r="S9" i="14"/>
  <c r="R9" i="14"/>
  <c r="U8" i="14"/>
  <c r="T8" i="14"/>
  <c r="S8" i="14"/>
  <c r="R8" i="14"/>
  <c r="U7" i="14"/>
  <c r="T7" i="14"/>
  <c r="S7" i="14"/>
  <c r="R7" i="14"/>
</calcChain>
</file>

<file path=xl/sharedStrings.xml><?xml version="1.0" encoding="utf-8"?>
<sst xmlns="http://schemas.openxmlformats.org/spreadsheetml/2006/main" count="858" uniqueCount="118">
  <si>
    <t>AT00</t>
  </si>
  <si>
    <t>BE00</t>
  </si>
  <si>
    <t>CH00</t>
  </si>
  <si>
    <t>DE00</t>
  </si>
  <si>
    <t>ES00</t>
  </si>
  <si>
    <t>FI00</t>
  </si>
  <si>
    <t>FR00</t>
  </si>
  <si>
    <t>LT00</t>
  </si>
  <si>
    <t>LV00</t>
  </si>
  <si>
    <t>NL00</t>
  </si>
  <si>
    <t>NOM1</t>
  </si>
  <si>
    <t>NON1</t>
  </si>
  <si>
    <t>NOS0</t>
  </si>
  <si>
    <t>PL00</t>
  </si>
  <si>
    <t>SE01</t>
  </si>
  <si>
    <t>SE02</t>
  </si>
  <si>
    <t>SE03</t>
  </si>
  <si>
    <t>SE04</t>
  </si>
  <si>
    <t>UK00</t>
  </si>
  <si>
    <t>Country</t>
  </si>
  <si>
    <t>Scenario</t>
  </si>
  <si>
    <t>Year</t>
  </si>
  <si>
    <t>capacity_output1</t>
  </si>
  <si>
    <t>year</t>
  </si>
  <si>
    <t>reservoir</t>
  </si>
  <si>
    <t>upwardLimit</t>
  </si>
  <si>
    <t>psOpen</t>
  </si>
  <si>
    <t>value</t>
  </si>
  <si>
    <t>constant</t>
  </si>
  <si>
    <t>psClosed</t>
  </si>
  <si>
    <t>reference</t>
  </si>
  <si>
    <t>maxSpill</t>
  </si>
  <si>
    <t>balancePenalty</t>
  </si>
  <si>
    <t>ror</t>
  </si>
  <si>
    <t>-</t>
  </si>
  <si>
    <t>Grid</t>
  </si>
  <si>
    <t>all</t>
  </si>
  <si>
    <t>Method</t>
  </si>
  <si>
    <t>Remove</t>
  </si>
  <si>
    <t>Note</t>
  </si>
  <si>
    <t>group</t>
  </si>
  <si>
    <t>1st dimension</t>
  </si>
  <si>
    <t>2nd dimension</t>
  </si>
  <si>
    <t>3rd dimension</t>
  </si>
  <si>
    <t>4th dimension</t>
  </si>
  <si>
    <t>parameter</t>
  </si>
  <si>
    <t>country</t>
  </si>
  <si>
    <t>UC_NOM1_psOpenTurbine</t>
  </si>
  <si>
    <t>elec</t>
  </si>
  <si>
    <t>NOM1_elec</t>
  </si>
  <si>
    <t>NOM1_psOpenTurbine</t>
  </si>
  <si>
    <t>v_gen</t>
  </si>
  <si>
    <t>gt</t>
  </si>
  <si>
    <t>UC_NON1_psOpenTurbine</t>
  </si>
  <si>
    <t>NON1_elec</t>
  </si>
  <si>
    <t>NON1_psOpenTurbine</t>
  </si>
  <si>
    <t>UC_NOS0_psOpenTurbine</t>
  </si>
  <si>
    <t>NOS0_elec</t>
  </si>
  <si>
    <t>NOS0_psOpenTurbine</t>
  </si>
  <si>
    <t>UC_AT00_rorTurbine</t>
  </si>
  <si>
    <t>AT00_elec</t>
  </si>
  <si>
    <t>AT00_rorTurbine</t>
  </si>
  <si>
    <t>UC_DE00_rorTurbine</t>
  </si>
  <si>
    <t>DE00_elec</t>
  </si>
  <si>
    <t>DE00_rorTurbine</t>
  </si>
  <si>
    <t>UC_ES00_rorTurbine</t>
  </si>
  <si>
    <t>ES00_elec</t>
  </si>
  <si>
    <t>ES00_rorTurbine</t>
  </si>
  <si>
    <t>UC_FR00_rorTurbine</t>
  </si>
  <si>
    <t>FR00_elec</t>
  </si>
  <si>
    <t>FR00_rorTurbine</t>
  </si>
  <si>
    <t>UC_LT00_rorTurbine</t>
  </si>
  <si>
    <t>LT00_elec</t>
  </si>
  <si>
    <t>LT00_rorTurbine</t>
  </si>
  <si>
    <t>UC_AT00_reservoirTurbine</t>
  </si>
  <si>
    <t>AT00_reservoirTurbine</t>
  </si>
  <si>
    <t>UC_ES00_reservoirTurbine</t>
  </si>
  <si>
    <t>ES00_reservoirTurbine</t>
  </si>
  <si>
    <t>UC_FI00_reservoirTurbine</t>
  </si>
  <si>
    <t>FI00_elec</t>
  </si>
  <si>
    <t>FI00_reservoirTurbine</t>
  </si>
  <si>
    <t>UC_SE01_reservoirTurbine</t>
  </si>
  <si>
    <t>SE01_elec</t>
  </si>
  <si>
    <t>SE01_reservoirTurbine</t>
  </si>
  <si>
    <t>UC_SE02_reservoirTurbine</t>
  </si>
  <si>
    <t>SE02_elec</t>
  </si>
  <si>
    <t>SE02_reservoirTurbine</t>
  </si>
  <si>
    <t>UC_SE03_reservoirTurbine</t>
  </si>
  <si>
    <t>SE03_elec</t>
  </si>
  <si>
    <t>SE03_reservoirTurbine</t>
  </si>
  <si>
    <t>UC_SE04_reservoirTurbine</t>
  </si>
  <si>
    <t>SE04_elec</t>
  </si>
  <si>
    <t>SE04_reservoirTurbine</t>
  </si>
  <si>
    <t>penalty</t>
  </si>
  <si>
    <t>nodeBalance</t>
  </si>
  <si>
    <t>vomCosts</t>
  </si>
  <si>
    <t>GDP pc of country</t>
  </si>
  <si>
    <t>vomCosts country multiplier</t>
  </si>
  <si>
    <t>region multiplier</t>
  </si>
  <si>
    <t>final</t>
  </si>
  <si>
    <t>DKE1</t>
  </si>
  <si>
    <t>DKW1</t>
  </si>
  <si>
    <t>EE00</t>
  </si>
  <si>
    <t>rampUpCost</t>
  </si>
  <si>
    <t>rampDownCost</t>
  </si>
  <si>
    <t>increased spill to cover all cases and remove dummy decrease variable</t>
  </si>
  <si>
    <t>##</t>
  </si>
  <si>
    <t>unittype</t>
  </si>
  <si>
    <t>rorTurbine</t>
  </si>
  <si>
    <t>reservoirTurbine</t>
  </si>
  <si>
    <t>psopenturbine</t>
  </si>
  <si>
    <t>psopenpump</t>
  </si>
  <si>
    <t>psclosedturbine</t>
  </si>
  <si>
    <t>psclosedpump</t>
  </si>
  <si>
    <t>psOpenTurbine</t>
  </si>
  <si>
    <t>psOpenPump</t>
  </si>
  <si>
    <t>psClosedTurbine</t>
  </si>
  <si>
    <t>psClosedPump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</si>
</sst>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5E0B3"/>
        <bgColor rgb="FFC5E0B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</borders>
  <cellStyleXfs count="4">
    <xf numFmtId="0" fontId="0" fillId="0" borderId="0"/>
    <xf numFmtId="0" fontId="5" fillId="0" borderId="0"/>
    <xf numFmtId="0" fontId="8" fillId="0" borderId="0"/>
    <xf numFmtId="9" fontId="9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/>
    <xf numFmtId="0" fontId="3" fillId="0" borderId="2" xfId="0" applyFont="1" applyBorder="1" applyAlignment="1">
      <alignment horizontal="center" vertical="top"/>
    </xf>
    <xf numFmtId="3" fontId="4" fillId="0" borderId="3" xfId="0" applyNumberFormat="1" applyFont="1" applyBorder="1"/>
    <xf numFmtId="3" fontId="3" fillId="0" borderId="0" xfId="0" applyNumberFormat="1" applyFont="1" applyAlignment="1">
      <alignment horizontal="center" vertical="top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2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0" fillId="8" borderId="0" xfId="0" applyFill="1"/>
    <xf numFmtId="0" fontId="6" fillId="7" borderId="0" xfId="1" applyFont="1" applyFill="1"/>
    <xf numFmtId="0" fontId="7" fillId="9" borderId="0" xfId="1" applyFont="1" applyFill="1"/>
    <xf numFmtId="0" fontId="7" fillId="9" borderId="0" xfId="1" applyFont="1" applyFill="1" applyAlignment="1">
      <alignment horizontal="center"/>
    </xf>
    <xf numFmtId="0" fontId="0" fillId="3" borderId="4" xfId="0" applyFill="1" applyBorder="1"/>
    <xf numFmtId="0" fontId="5" fillId="3" borderId="4" xfId="1" applyFill="1" applyBorder="1"/>
    <xf numFmtId="0" fontId="5" fillId="3" borderId="4" xfId="1" applyFill="1" applyBorder="1" applyAlignment="1">
      <alignment horizontal="center"/>
    </xf>
    <xf numFmtId="0" fontId="6" fillId="7" borderId="0" xfId="1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3" applyFont="1" applyAlignment="1">
      <alignment horizontal="center"/>
    </xf>
    <xf numFmtId="9" fontId="1" fillId="0" borderId="0" xfId="3" applyFont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left"/>
    </xf>
  </cellXfs>
  <cellStyles count="4">
    <cellStyle name="Normal" xfId="0" builtinId="0"/>
    <cellStyle name="Normal 2" xfId="2" xr:uid="{FC31EDF3-2535-4BD0-9B77-3909C39E0667}"/>
    <cellStyle name="Normal 4" xfId="1" xr:uid="{F009F437-1BF9-4014-B677-DDB3856DFBE9}"/>
    <cellStyle name="Percent" xfId="3" builtinId="5"/>
  </cellStyles>
  <dxfs count="11"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B\bb-master\north_european_model\src_files\data_files\ObservedTrends.xlsx" TargetMode="External"/><Relationship Id="rId1" Type="http://schemas.openxmlformats.org/officeDocument/2006/relationships/externalLinkPath" Target="ObservedTrend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B\bb-dev\north_european_model\src_files\data_files\unittypedata_compilation.xlsx" TargetMode="External"/><Relationship Id="rId1" Type="http://schemas.openxmlformats.org/officeDocument/2006/relationships/externalLinkPath" Target="unittypedata_compi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mcost mult"/>
      <sheetName val="VRE-NT2030"/>
      <sheetName val="wind"/>
      <sheetName val="onshore"/>
      <sheetName val="offshore"/>
      <sheetName val="PV"/>
      <sheetName val="VRE summary"/>
      <sheetName val="unitdata_VRE"/>
      <sheetName val="battery_data"/>
      <sheetName val="unitdata_battery"/>
      <sheetName val="unitdata_nuclearThermal"/>
      <sheetName val="unitdata_demandRed"/>
      <sheetName val="transferdata"/>
      <sheetName val="emissiondata"/>
      <sheetName val="nodedata"/>
    </sheetNames>
    <sheetDataSet>
      <sheetData sheetId="0">
        <row r="11">
          <cell r="O11">
            <v>45140</v>
          </cell>
          <cell r="P11">
            <v>0.12757648618174755</v>
          </cell>
          <cell r="Q11">
            <v>1</v>
          </cell>
          <cell r="R11">
            <v>0.128</v>
          </cell>
        </row>
        <row r="12">
          <cell r="O12">
            <v>44440</v>
          </cell>
          <cell r="P12">
            <v>0.12078898170883434</v>
          </cell>
          <cell r="Q12">
            <v>1</v>
          </cell>
          <cell r="R12">
            <v>0.121</v>
          </cell>
        </row>
        <row r="13">
          <cell r="O13">
            <v>96081</v>
          </cell>
          <cell r="P13">
            <v>0.4556524459454061</v>
          </cell>
          <cell r="Q13">
            <v>1</v>
          </cell>
          <cell r="R13">
            <v>0.45600000000000002</v>
          </cell>
        </row>
        <row r="14">
          <cell r="O14">
            <v>43110</v>
          </cell>
          <cell r="P14">
            <v>0.1075929542938924</v>
          </cell>
          <cell r="Q14">
            <v>1</v>
          </cell>
          <cell r="R14">
            <v>0.108</v>
          </cell>
        </row>
        <row r="15">
          <cell r="O15">
            <v>58160</v>
          </cell>
          <cell r="P15">
            <v>0.2376393292909858</v>
          </cell>
          <cell r="Q15">
            <v>1.05</v>
          </cell>
          <cell r="R15">
            <v>0.25</v>
          </cell>
        </row>
        <row r="16">
          <cell r="O16">
            <v>58160</v>
          </cell>
          <cell r="P16">
            <v>0.2376393292909858</v>
          </cell>
          <cell r="Q16">
            <v>1</v>
          </cell>
          <cell r="R16">
            <v>0.23799999999999999</v>
          </cell>
        </row>
        <row r="17">
          <cell r="O17">
            <v>21060</v>
          </cell>
          <cell r="P17">
            <v>-0.20352670171052795</v>
          </cell>
          <cell r="Q17">
            <v>1</v>
          </cell>
          <cell r="R17">
            <v>-0.20399999999999999</v>
          </cell>
        </row>
        <row r="18">
          <cell r="O18">
            <v>27800</v>
          </cell>
          <cell r="P18">
            <v>-8.2940272641919402E-2</v>
          </cell>
          <cell r="Q18">
            <v>1</v>
          </cell>
          <cell r="R18">
            <v>-8.3000000000000004E-2</v>
          </cell>
        </row>
        <row r="19">
          <cell r="O19">
            <v>43110</v>
          </cell>
          <cell r="P19">
            <v>0.1075929542938924</v>
          </cell>
          <cell r="Q19">
            <v>1</v>
          </cell>
          <cell r="R19">
            <v>0.108</v>
          </cell>
        </row>
        <row r="20">
          <cell r="O20">
            <v>38110</v>
          </cell>
          <cell r="P20">
            <v>5.4053880212171543E-2</v>
          </cell>
          <cell r="Q20">
            <v>1</v>
          </cell>
          <cell r="R20">
            <v>5.3999999999999999E-2</v>
          </cell>
        </row>
        <row r="21">
          <cell r="O21">
            <v>19690</v>
          </cell>
          <cell r="P21">
            <v>-0.2327393524218774</v>
          </cell>
          <cell r="Q21">
            <v>1</v>
          </cell>
          <cell r="R21">
            <v>-0.23300000000000001</v>
          </cell>
        </row>
        <row r="22">
          <cell r="O22">
            <v>16910</v>
          </cell>
          <cell r="P22">
            <v>-0.29884146096225389</v>
          </cell>
          <cell r="Q22">
            <v>1</v>
          </cell>
          <cell r="R22">
            <v>-0.29899999999999999</v>
          </cell>
        </row>
        <row r="23">
          <cell r="O23">
            <v>50880</v>
          </cell>
          <cell r="P23">
            <v>0.17956203408036178</v>
          </cell>
          <cell r="Q23">
            <v>1</v>
          </cell>
          <cell r="R23">
            <v>0.18</v>
          </cell>
        </row>
        <row r="24">
          <cell r="O24">
            <v>66460</v>
          </cell>
          <cell r="P24">
            <v>0.2955752683826966</v>
          </cell>
          <cell r="Q24">
            <v>1.05</v>
          </cell>
          <cell r="R24">
            <v>0.31</v>
          </cell>
        </row>
        <row r="25">
          <cell r="O25">
            <v>66460</v>
          </cell>
          <cell r="P25">
            <v>0.2955752683826966</v>
          </cell>
          <cell r="Q25">
            <v>1.1000000000000001</v>
          </cell>
          <cell r="R25">
            <v>0.32500000000000001</v>
          </cell>
        </row>
        <row r="26">
          <cell r="O26">
            <v>66460</v>
          </cell>
          <cell r="P26">
            <v>0.2955752683826966</v>
          </cell>
          <cell r="Q26">
            <v>1</v>
          </cell>
          <cell r="R26">
            <v>0.29599999999999999</v>
          </cell>
        </row>
        <row r="27">
          <cell r="O27">
            <v>16470</v>
          </cell>
          <cell r="P27">
            <v>-0.31029146939024133</v>
          </cell>
          <cell r="Q27">
            <v>1</v>
          </cell>
          <cell r="R27">
            <v>-0.31</v>
          </cell>
        </row>
        <row r="28">
          <cell r="O28">
            <v>48310</v>
          </cell>
          <cell r="P28">
            <v>0.15705196892652412</v>
          </cell>
          <cell r="Q28">
            <v>1.1499999999999999</v>
          </cell>
          <cell r="R28">
            <v>0.18099999999999999</v>
          </cell>
        </row>
        <row r="29">
          <cell r="O29">
            <v>48310</v>
          </cell>
          <cell r="P29">
            <v>0.15705196892652412</v>
          </cell>
          <cell r="Q29">
            <v>1.1000000000000001</v>
          </cell>
          <cell r="R29">
            <v>0.17299999999999999</v>
          </cell>
        </row>
        <row r="30">
          <cell r="O30">
            <v>48310</v>
          </cell>
          <cell r="P30">
            <v>0.15705196892652412</v>
          </cell>
          <cell r="Q30">
            <v>1.05</v>
          </cell>
          <cell r="R30">
            <v>0.16500000000000001</v>
          </cell>
        </row>
        <row r="31">
          <cell r="O31">
            <v>48310</v>
          </cell>
          <cell r="P31">
            <v>0.15705196892652412</v>
          </cell>
          <cell r="Q31">
            <v>1</v>
          </cell>
          <cell r="R31">
            <v>0.157</v>
          </cell>
        </row>
        <row r="32">
          <cell r="O32">
            <v>49193</v>
          </cell>
          <cell r="P32">
            <v>0.16491823994601576</v>
          </cell>
          <cell r="Q32">
            <v>1</v>
          </cell>
          <cell r="R32">
            <v>0.16500000000000001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typedata"/>
    </sheetNames>
    <sheetDataSet>
      <sheetData sheetId="0">
        <row r="1">
          <cell r="D1" t="str">
            <v>unittype</v>
          </cell>
          <cell r="S1" t="str">
            <v>vomCosts</v>
          </cell>
          <cell r="Y1" t="str">
            <v>##rampUpCost</v>
          </cell>
          <cell r="Z1" t="str">
            <v>##rampDownCost</v>
          </cell>
        </row>
        <row r="3">
          <cell r="D3" t="str">
            <v>windOnshore</v>
          </cell>
          <cell r="S3">
            <v>1.75</v>
          </cell>
        </row>
        <row r="4">
          <cell r="D4" t="str">
            <v>windOffshore</v>
          </cell>
          <cell r="S4">
            <v>2</v>
          </cell>
        </row>
        <row r="5">
          <cell r="D5" t="str">
            <v>solarPV</v>
          </cell>
          <cell r="S5">
            <v>1.5</v>
          </cell>
        </row>
        <row r="7">
          <cell r="D7" t="str">
            <v>rorTurbine</v>
          </cell>
          <cell r="S7">
            <v>2</v>
          </cell>
          <cell r="Y7">
            <v>5.5</v>
          </cell>
          <cell r="Z7">
            <v>5.5</v>
          </cell>
        </row>
        <row r="8">
          <cell r="D8" t="str">
            <v>reservoirTurbine</v>
          </cell>
          <cell r="S8">
            <v>1.8</v>
          </cell>
          <cell r="Y8">
            <v>5</v>
          </cell>
          <cell r="Z8">
            <v>5</v>
          </cell>
        </row>
        <row r="9">
          <cell r="D9" t="str">
            <v>psOpenTurbine</v>
          </cell>
          <cell r="S9">
            <v>2</v>
          </cell>
          <cell r="Y9">
            <v>4</v>
          </cell>
          <cell r="Z9">
            <v>4</v>
          </cell>
        </row>
        <row r="10">
          <cell r="D10" t="str">
            <v>psOpenPump</v>
          </cell>
          <cell r="S10">
            <v>1.6</v>
          </cell>
          <cell r="Y10">
            <v>3.5</v>
          </cell>
          <cell r="Z10">
            <v>3.5</v>
          </cell>
        </row>
        <row r="11">
          <cell r="D11" t="str">
            <v>psClosedTurbine</v>
          </cell>
          <cell r="S11">
            <v>1.8</v>
          </cell>
          <cell r="Y11">
            <v>3.1</v>
          </cell>
          <cell r="Z11">
            <v>3.1</v>
          </cell>
        </row>
        <row r="12">
          <cell r="D12" t="str">
            <v>psClosedPump</v>
          </cell>
          <cell r="S12">
            <v>1.4</v>
          </cell>
          <cell r="Y12">
            <v>3</v>
          </cell>
          <cell r="Z12">
            <v>3</v>
          </cell>
        </row>
        <row r="14">
          <cell r="D14" t="str">
            <v>oilShaleOld</v>
          </cell>
          <cell r="S14">
            <v>3.3</v>
          </cell>
          <cell r="Y14">
            <v>44</v>
          </cell>
          <cell r="Z14">
            <v>44</v>
          </cell>
        </row>
        <row r="15">
          <cell r="D15" t="str">
            <v>bioOilshaleNew</v>
          </cell>
          <cell r="S15">
            <v>3.3</v>
          </cell>
          <cell r="Y15">
            <v>28.6</v>
          </cell>
          <cell r="Z15">
            <v>28.6</v>
          </cell>
        </row>
        <row r="16">
          <cell r="D16" t="str">
            <v>oilshaleNew</v>
          </cell>
          <cell r="S16">
            <v>3.3</v>
          </cell>
          <cell r="Y16">
            <v>28.6</v>
          </cell>
          <cell r="Z16">
            <v>28.6</v>
          </cell>
        </row>
        <row r="17">
          <cell r="D17" t="str">
            <v>bioLigniteOld2</v>
          </cell>
          <cell r="S17">
            <v>3.3</v>
          </cell>
          <cell r="Y17">
            <v>40.700000000000003</v>
          </cell>
          <cell r="Z17">
            <v>40.700000000000003</v>
          </cell>
        </row>
        <row r="18">
          <cell r="D18" t="str">
            <v>ligniteOld2</v>
          </cell>
          <cell r="S18">
            <v>3.3</v>
          </cell>
          <cell r="Y18">
            <v>40.700000000000003</v>
          </cell>
          <cell r="Z18">
            <v>40.700000000000003</v>
          </cell>
        </row>
        <row r="19">
          <cell r="D19" t="str">
            <v>bioLigniteOld1</v>
          </cell>
          <cell r="S19">
            <v>3.3</v>
          </cell>
          <cell r="Y19">
            <v>47</v>
          </cell>
          <cell r="Z19">
            <v>47</v>
          </cell>
        </row>
        <row r="20">
          <cell r="D20" t="str">
            <v>ligniteOld1</v>
          </cell>
          <cell r="S20">
            <v>3.3</v>
          </cell>
          <cell r="Y20">
            <v>47</v>
          </cell>
          <cell r="Z20">
            <v>47</v>
          </cell>
        </row>
        <row r="21">
          <cell r="D21" t="str">
            <v>ligniteNew</v>
          </cell>
          <cell r="S21">
            <v>3.3</v>
          </cell>
          <cell r="Y21">
            <v>28.6</v>
          </cell>
          <cell r="Z21">
            <v>28.6</v>
          </cell>
        </row>
        <row r="22">
          <cell r="D22" t="str">
            <v>ligniteCCS</v>
          </cell>
          <cell r="S22">
            <v>6.6</v>
          </cell>
          <cell r="Y22">
            <v>40.700000000000003</v>
          </cell>
          <cell r="Z22">
            <v>40.700000000000003</v>
          </cell>
        </row>
        <row r="23">
          <cell r="D23" t="str">
            <v>OilLightOld</v>
          </cell>
          <cell r="S23">
            <v>2.1</v>
          </cell>
          <cell r="Y23">
            <v>19.2</v>
          </cell>
          <cell r="Z23">
            <v>19.2</v>
          </cell>
        </row>
        <row r="24">
          <cell r="D24" t="str">
            <v>oilHeavyOld2</v>
          </cell>
          <cell r="S24">
            <v>3.3</v>
          </cell>
          <cell r="Y24">
            <v>40.700000000000003</v>
          </cell>
          <cell r="Z24">
            <v>40.700000000000003</v>
          </cell>
        </row>
        <row r="25">
          <cell r="D25" t="str">
            <v>oilHeavyOld1</v>
          </cell>
          <cell r="S25">
            <v>3.3</v>
          </cell>
          <cell r="Y25">
            <v>47</v>
          </cell>
          <cell r="Z25">
            <v>47</v>
          </cell>
        </row>
        <row r="26">
          <cell r="D26" t="str">
            <v>bioOilHeavyOld</v>
          </cell>
          <cell r="S26">
            <v>3.3</v>
          </cell>
          <cell r="Y26">
            <v>40.700000000000003</v>
          </cell>
          <cell r="Z26">
            <v>40.700000000000003</v>
          </cell>
        </row>
        <row r="27">
          <cell r="D27" t="str">
            <v>bioCoalOld</v>
          </cell>
          <cell r="S27">
            <v>3.3</v>
          </cell>
          <cell r="Y27">
            <v>47</v>
          </cell>
          <cell r="Z27">
            <v>47</v>
          </cell>
        </row>
        <row r="28">
          <cell r="D28" t="str">
            <v>bioCoalOld2</v>
          </cell>
          <cell r="S28">
            <v>3.3</v>
          </cell>
          <cell r="Y28">
            <v>40.700000000000003</v>
          </cell>
          <cell r="Z28">
            <v>40.700000000000003</v>
          </cell>
        </row>
        <row r="29">
          <cell r="D29" t="str">
            <v>coalOld2</v>
          </cell>
          <cell r="S29">
            <v>3.3</v>
          </cell>
          <cell r="Y29">
            <v>40.700000000000003</v>
          </cell>
          <cell r="Z29">
            <v>40.700000000000003</v>
          </cell>
        </row>
        <row r="30">
          <cell r="D30" t="str">
            <v>coalOld1</v>
          </cell>
          <cell r="S30">
            <v>3.3</v>
          </cell>
          <cell r="Y30">
            <v>47</v>
          </cell>
          <cell r="Z30">
            <v>47</v>
          </cell>
        </row>
        <row r="31">
          <cell r="D31" t="str">
            <v>bioCoalNew</v>
          </cell>
          <cell r="S31">
            <v>3.3</v>
          </cell>
          <cell r="Y31">
            <v>28.6</v>
          </cell>
          <cell r="Z31">
            <v>28.6</v>
          </cell>
        </row>
        <row r="32">
          <cell r="D32" t="str">
            <v>coalNew</v>
          </cell>
          <cell r="S32">
            <v>3.3</v>
          </cell>
          <cell r="Y32">
            <v>28.6</v>
          </cell>
          <cell r="Z32">
            <v>28.6</v>
          </cell>
        </row>
        <row r="33">
          <cell r="D33" t="str">
            <v>bioGasOld2</v>
          </cell>
          <cell r="S33">
            <v>2.1</v>
          </cell>
          <cell r="Y33">
            <v>29.4</v>
          </cell>
          <cell r="Z33">
            <v>29.4</v>
          </cell>
        </row>
        <row r="34">
          <cell r="D34" t="str">
            <v>gasOld2</v>
          </cell>
          <cell r="S34">
            <v>2.1</v>
          </cell>
          <cell r="Y34">
            <v>29.4</v>
          </cell>
          <cell r="Z34">
            <v>29.4</v>
          </cell>
        </row>
        <row r="35">
          <cell r="D35" t="str">
            <v>gasOld1</v>
          </cell>
          <cell r="S35">
            <v>2.1</v>
          </cell>
          <cell r="Y35">
            <v>34.799999999999997</v>
          </cell>
          <cell r="Z35">
            <v>34.799999999999997</v>
          </cell>
        </row>
        <row r="36">
          <cell r="D36" t="str">
            <v>gasOCGTold</v>
          </cell>
          <cell r="S36">
            <v>2.6</v>
          </cell>
          <cell r="Y36">
            <v>26.2</v>
          </cell>
          <cell r="Z36">
            <v>26.2</v>
          </cell>
        </row>
        <row r="37">
          <cell r="D37" t="str">
            <v>gasOCGTnew</v>
          </cell>
          <cell r="S37">
            <v>2.6</v>
          </cell>
          <cell r="Y37">
            <v>12.1</v>
          </cell>
          <cell r="Z37">
            <v>12.1</v>
          </cell>
        </row>
        <row r="38">
          <cell r="D38" t="str">
            <v>gasCCGTpresent2</v>
          </cell>
          <cell r="S38">
            <v>2.6</v>
          </cell>
          <cell r="Y38">
            <v>18</v>
          </cell>
          <cell r="Z38">
            <v>18</v>
          </cell>
        </row>
        <row r="39">
          <cell r="D39" t="str">
            <v>gasCCGTpresent1</v>
          </cell>
          <cell r="S39">
            <v>2.6</v>
          </cell>
          <cell r="Y39">
            <v>18</v>
          </cell>
          <cell r="Z39">
            <v>18</v>
          </cell>
        </row>
        <row r="40">
          <cell r="D40" t="str">
            <v>bioGasCCGTOld2</v>
          </cell>
          <cell r="S40">
            <v>2.6</v>
          </cell>
          <cell r="Y40">
            <v>30.9</v>
          </cell>
          <cell r="Z40">
            <v>30.9</v>
          </cell>
        </row>
        <row r="41">
          <cell r="D41" t="str">
            <v>gasCCGTOld2</v>
          </cell>
          <cell r="S41">
            <v>2.6</v>
          </cell>
          <cell r="Y41">
            <v>30.9</v>
          </cell>
          <cell r="Z41">
            <v>30.9</v>
          </cell>
        </row>
        <row r="42">
          <cell r="D42" t="str">
            <v>gasCCGTOld1</v>
          </cell>
          <cell r="S42">
            <v>2.6</v>
          </cell>
          <cell r="Y42">
            <v>39.5</v>
          </cell>
          <cell r="Z42">
            <v>39.5</v>
          </cell>
        </row>
        <row r="43">
          <cell r="D43" t="str">
            <v>gasCCGTNew</v>
          </cell>
          <cell r="S43">
            <v>2.6</v>
          </cell>
          <cell r="Y43">
            <v>18</v>
          </cell>
          <cell r="Z43">
            <v>18</v>
          </cell>
        </row>
        <row r="45">
          <cell r="D45" t="str">
            <v>coalCCS</v>
          </cell>
          <cell r="S45">
            <v>6.6</v>
          </cell>
          <cell r="Y45">
            <v>40.700000000000003</v>
          </cell>
          <cell r="Z45">
            <v>40.700000000000003</v>
          </cell>
        </row>
        <row r="46">
          <cell r="D46" t="str">
            <v>gasCCGTCCS</v>
          </cell>
          <cell r="S46">
            <v>3.2</v>
          </cell>
          <cell r="Y46">
            <v>30.9</v>
          </cell>
          <cell r="Z46">
            <v>30.9</v>
          </cell>
        </row>
        <row r="48">
          <cell r="D48" t="str">
            <v>nuclear</v>
          </cell>
          <cell r="S48">
            <v>3</v>
          </cell>
          <cell r="Y48">
            <v>60</v>
          </cell>
          <cell r="Z48">
            <v>240</v>
          </cell>
        </row>
        <row r="49">
          <cell r="D49" t="str">
            <v>nuclearFlexible</v>
          </cell>
          <cell r="S49">
            <v>3.1</v>
          </cell>
          <cell r="Y49">
            <v>5</v>
          </cell>
          <cell r="Z49">
            <v>45</v>
          </cell>
        </row>
        <row r="51">
          <cell r="D51" t="str">
            <v>bioCHPIndustry</v>
          </cell>
          <cell r="S51">
            <v>2</v>
          </cell>
          <cell r="Y51">
            <v>42.5</v>
          </cell>
          <cell r="Z51">
            <v>42.5</v>
          </cell>
        </row>
        <row r="52">
          <cell r="D52" t="str">
            <v>coalCHPIndustry</v>
          </cell>
          <cell r="S52">
            <v>2</v>
          </cell>
          <cell r="Y52">
            <v>47.5</v>
          </cell>
          <cell r="Z52">
            <v>47.5</v>
          </cell>
        </row>
        <row r="53">
          <cell r="D53" t="str">
            <v>gasCHPIndustry</v>
          </cell>
          <cell r="S53">
            <v>2</v>
          </cell>
          <cell r="Y53">
            <v>47.5</v>
          </cell>
          <cell r="Z53">
            <v>47.5</v>
          </cell>
        </row>
        <row r="55">
          <cell r="D55" t="str">
            <v>BatteryCharger</v>
          </cell>
          <cell r="S55">
            <v>1.4</v>
          </cell>
        </row>
        <row r="56">
          <cell r="D56" t="str">
            <v>BatteryDisch</v>
          </cell>
          <cell r="S56">
            <v>1.4</v>
          </cell>
        </row>
        <row r="57">
          <cell r="D57" t="str">
            <v>BatteryCharger4h</v>
          </cell>
          <cell r="S57">
            <v>1.6</v>
          </cell>
        </row>
        <row r="58">
          <cell r="D58" t="str">
            <v>BatteryDisch4h</v>
          </cell>
          <cell r="S58">
            <v>1.6</v>
          </cell>
        </row>
        <row r="60">
          <cell r="D60" t="str">
            <v>solarThermal</v>
          </cell>
        </row>
        <row r="61">
          <cell r="D61" t="str">
            <v>GSHP</v>
          </cell>
          <cell r="S61">
            <v>6</v>
          </cell>
        </row>
        <row r="62">
          <cell r="D62" t="str">
            <v>wasteHOB</v>
          </cell>
          <cell r="S62">
            <v>2</v>
          </cell>
          <cell r="Y62">
            <v>20</v>
          </cell>
          <cell r="Z62">
            <v>20</v>
          </cell>
        </row>
        <row r="63">
          <cell r="D63" t="str">
            <v>oilHOB</v>
          </cell>
          <cell r="S63">
            <v>2</v>
          </cell>
          <cell r="Y63">
            <v>20</v>
          </cell>
          <cell r="Z63">
            <v>20</v>
          </cell>
        </row>
        <row r="64">
          <cell r="D64" t="str">
            <v>gasHOB</v>
          </cell>
          <cell r="S64">
            <v>2</v>
          </cell>
          <cell r="Y64">
            <v>20</v>
          </cell>
          <cell r="Z64">
            <v>20</v>
          </cell>
        </row>
        <row r="65">
          <cell r="D65" t="str">
            <v>bioHOB</v>
          </cell>
          <cell r="S65">
            <v>2</v>
          </cell>
          <cell r="Y65">
            <v>20</v>
          </cell>
          <cell r="Z65">
            <v>20</v>
          </cell>
        </row>
        <row r="66">
          <cell r="D66" t="str">
            <v>elecHOB</v>
          </cell>
          <cell r="S66">
            <v>1.5</v>
          </cell>
        </row>
        <row r="67">
          <cell r="D67" t="str">
            <v>wasteCHP</v>
          </cell>
          <cell r="S67">
            <v>2</v>
          </cell>
          <cell r="Y67">
            <v>75</v>
          </cell>
          <cell r="Z67">
            <v>75</v>
          </cell>
        </row>
        <row r="68">
          <cell r="D68" t="str">
            <v>coalCHP</v>
          </cell>
          <cell r="S68">
            <v>2</v>
          </cell>
          <cell r="Y68">
            <v>75</v>
          </cell>
          <cell r="Z68">
            <v>75</v>
          </cell>
        </row>
        <row r="69">
          <cell r="D69" t="str">
            <v>bioCHP</v>
          </cell>
          <cell r="S69">
            <v>2</v>
          </cell>
          <cell r="Y69">
            <v>45</v>
          </cell>
          <cell r="Z69">
            <v>45</v>
          </cell>
        </row>
        <row r="70">
          <cell r="D70" t="str">
            <v>gasCCGTCHP</v>
          </cell>
          <cell r="S70">
            <v>1.6</v>
          </cell>
          <cell r="Y70">
            <v>18</v>
          </cell>
          <cell r="Z70">
            <v>18</v>
          </cell>
        </row>
        <row r="71">
          <cell r="D71" t="str">
            <v>coalHOB</v>
          </cell>
          <cell r="S71">
            <v>2</v>
          </cell>
        </row>
        <row r="72">
          <cell r="D72" t="str">
            <v>coalCHPExtraction</v>
          </cell>
          <cell r="S72">
            <v>2</v>
          </cell>
          <cell r="Y72">
            <v>75</v>
          </cell>
          <cell r="Z72">
            <v>75</v>
          </cell>
        </row>
        <row r="73">
          <cell r="D73" t="str">
            <v>bioCHPExtraction</v>
          </cell>
          <cell r="S73">
            <v>2</v>
          </cell>
          <cell r="Y73">
            <v>45</v>
          </cell>
          <cell r="Z73">
            <v>45</v>
          </cell>
        </row>
        <row r="74">
          <cell r="D74" t="str">
            <v>gasCHPExtraction</v>
          </cell>
          <cell r="S74">
            <v>1.6</v>
          </cell>
          <cell r="Y74">
            <v>18</v>
          </cell>
          <cell r="Z74">
            <v>18</v>
          </cell>
        </row>
        <row r="75">
          <cell r="D75" t="str">
            <v>oilshaleCHP</v>
          </cell>
          <cell r="S75">
            <v>3.3</v>
          </cell>
          <cell r="Y75">
            <v>28.6</v>
          </cell>
          <cell r="Z75">
            <v>28.6</v>
          </cell>
        </row>
        <row r="76">
          <cell r="D76" t="str">
            <v>gasOCGTCHP</v>
          </cell>
          <cell r="S76">
            <v>1.6</v>
          </cell>
          <cell r="Y76">
            <v>12.1</v>
          </cell>
          <cell r="Z76">
            <v>12.1</v>
          </cell>
        </row>
        <row r="77">
          <cell r="D77" t="str">
            <v>HeatStorageCharger</v>
          </cell>
          <cell r="S77">
            <v>1.4</v>
          </cell>
        </row>
        <row r="78">
          <cell r="D78" t="str">
            <v>HeatStorageDisch</v>
          </cell>
          <cell r="S78">
            <v>1.4</v>
          </cell>
        </row>
        <row r="79">
          <cell r="D79" t="str">
            <v>heatStorageChargerLarge</v>
          </cell>
          <cell r="S79">
            <v>1.7</v>
          </cell>
        </row>
        <row r="80">
          <cell r="D80" t="str">
            <v>heatStorageDischLarge</v>
          </cell>
          <cell r="S80">
            <v>1.7</v>
          </cell>
        </row>
        <row r="81">
          <cell r="D81" t="str">
            <v>heatStorageChargerSeasonal</v>
          </cell>
          <cell r="S81">
            <v>2</v>
          </cell>
        </row>
        <row r="82">
          <cell r="D82" t="str">
            <v>heatStorageDischSeasonal</v>
          </cell>
          <cell r="S82">
            <v>2</v>
          </cell>
        </row>
        <row r="84">
          <cell r="D84" t="str">
            <v>DRupwards2</v>
          </cell>
        </row>
        <row r="85">
          <cell r="D85" t="str">
            <v>DRupwards1</v>
          </cell>
        </row>
        <row r="86">
          <cell r="D86" t="str">
            <v>DRcutofftier3</v>
          </cell>
          <cell r="S86">
            <v>2000</v>
          </cell>
        </row>
        <row r="87">
          <cell r="D87" t="str">
            <v>DRcutofftier2</v>
          </cell>
          <cell r="S87">
            <v>1000</v>
          </cell>
        </row>
        <row r="88">
          <cell r="D88" t="str">
            <v>DRcutofftier1</v>
          </cell>
          <cell r="S88">
            <v>400</v>
          </cell>
        </row>
        <row r="90">
          <cell r="D90" t="str">
            <v>Electrolyser</v>
          </cell>
          <cell r="S90">
            <v>1.5</v>
          </cell>
          <cell r="Y90">
            <v>15</v>
          </cell>
          <cell r="Z90">
            <v>15</v>
          </cell>
        </row>
        <row r="91">
          <cell r="D91" t="str">
            <v>ElectrolyserSOEC</v>
          </cell>
          <cell r="S91">
            <v>1.5</v>
          </cell>
          <cell r="Y91">
            <v>25</v>
          </cell>
          <cell r="Z91">
            <v>25</v>
          </cell>
        </row>
        <row r="92">
          <cell r="D92" t="str">
            <v>hydrogenOCGT</v>
          </cell>
          <cell r="S92">
            <v>5</v>
          </cell>
          <cell r="Y92">
            <v>30</v>
          </cell>
        </row>
        <row r="93">
          <cell r="D93" t="str">
            <v>H2StorageDisch</v>
          </cell>
          <cell r="S93">
            <v>1.5</v>
          </cell>
        </row>
        <row r="94">
          <cell r="D94" t="str">
            <v>H2StorageCharger</v>
          </cell>
          <cell r="S94">
            <v>1.5</v>
          </cell>
        </row>
        <row r="95">
          <cell r="D95" t="str">
            <v>H2StorageDischLongterm</v>
          </cell>
          <cell r="S95">
            <v>2</v>
          </cell>
          <cell r="Y95">
            <v>0</v>
          </cell>
        </row>
        <row r="96">
          <cell r="D96" t="str">
            <v>H2StorageChargerLongterm</v>
          </cell>
          <cell r="S96">
            <v>2</v>
          </cell>
          <cell r="Y96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105637-66C0-4B67-968B-A8C9BC84D774}" name="Table2" displayName="Table2" ref="A1:K41" totalsRowShown="0" headerRowDxfId="10">
  <autoFilter ref="A1:K41" xr:uid="{4E105637-66C0-4B67-968B-A8C9BC84D774}"/>
  <sortState xmlns:xlrd2="http://schemas.microsoft.com/office/spreadsheetml/2017/richdata2" ref="A2:I6">
    <sortCondition ref="B1:B6"/>
  </sortState>
  <tableColumns count="11">
    <tableColumn id="1" xr3:uid="{DD34CF7B-7E89-4129-B187-64EA9DBE9AB5}" name="Country" dataDxfId="9"/>
    <tableColumn id="2" xr3:uid="{9F2751A6-04EC-4ED2-AB42-B8EA5F26204C}" name="Grid"/>
    <tableColumn id="4" xr3:uid="{9BB2F988-4BF3-43BE-825B-61D7ED214C20}" name="Scenario" dataDxfId="8"/>
    <tableColumn id="5" xr3:uid="{B2E82F1D-6AE0-4465-8201-B09B1A163DBC}" name="Year" dataDxfId="7"/>
    <tableColumn id="10" xr3:uid="{A3BED5EB-08A7-4F3F-AB5F-17A0A75BE225}" name="nodeBalance" dataDxfId="6"/>
    <tableColumn id="6" xr3:uid="{70FFAE63-9B59-49B3-A41F-076293B979F8}" name="upwardLimit" dataDxfId="5"/>
    <tableColumn id="7" xr3:uid="{E4BBBCCD-F5BD-4D0B-9262-F84C87E3CCE6}" name="reference" dataDxfId="4"/>
    <tableColumn id="8" xr3:uid="{F7666183-1180-4234-AD88-B1F9E55F6267}" name="balancePenalty" dataDxfId="3"/>
    <tableColumn id="9" xr3:uid="{84FDFFC6-278E-4FC6-9D54-9736721D6070}" name="maxSpill" dataDxfId="2"/>
    <tableColumn id="3" xr3:uid="{4277BD29-04AE-4F26-8CE8-222C6FFCB3F8}" name="Method" dataDxfId="1"/>
    <tableColumn id="11" xr3:uid="{B3AB9226-4E6B-449D-A1AB-E1E4E89232A7}" name="No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F466-B1B4-426F-B696-2AE2F87A4523}">
  <sheetPr>
    <tabColor theme="7" tint="0.59999389629810485"/>
  </sheetPr>
  <dimension ref="A1:K4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3" sqref="H13"/>
    </sheetView>
  </sheetViews>
  <sheetFormatPr defaultRowHeight="15" x14ac:dyDescent="0.25"/>
  <cols>
    <col min="2" max="2" width="9.42578125" bestFit="1" customWidth="1"/>
    <col min="3" max="3" width="13.140625" style="6" bestFit="1" customWidth="1"/>
    <col min="4" max="4" width="9.5703125" style="6" bestFit="1" customWidth="1"/>
    <col min="5" max="5" width="17.85546875" style="6" customWidth="1"/>
    <col min="6" max="6" width="16.7109375" style="12" bestFit="1" customWidth="1"/>
    <col min="7" max="7" width="12" style="13" bestFit="1" customWidth="1"/>
    <col min="8" max="8" width="19.28515625" style="13" bestFit="1" customWidth="1"/>
    <col min="9" max="9" width="13.140625" style="13" bestFit="1" customWidth="1"/>
    <col min="10" max="10" width="21" customWidth="1"/>
    <col min="11" max="11" width="77.7109375" customWidth="1"/>
  </cols>
  <sheetData>
    <row r="1" spans="1:11" x14ac:dyDescent="0.25">
      <c r="A1" s="9" t="s">
        <v>19</v>
      </c>
      <c r="B1" s="9" t="s">
        <v>35</v>
      </c>
      <c r="C1" s="9" t="s">
        <v>20</v>
      </c>
      <c r="D1" s="9" t="s">
        <v>21</v>
      </c>
      <c r="E1" s="9" t="s">
        <v>94</v>
      </c>
      <c r="F1" s="9" t="s">
        <v>25</v>
      </c>
      <c r="G1" s="10" t="s">
        <v>30</v>
      </c>
      <c r="H1" s="11" t="s">
        <v>32</v>
      </c>
      <c r="I1" s="11" t="s">
        <v>31</v>
      </c>
      <c r="J1" s="11" t="s">
        <v>37</v>
      </c>
      <c r="K1" s="31" t="s">
        <v>39</v>
      </c>
    </row>
    <row r="2" spans="1:11" x14ac:dyDescent="0.25">
      <c r="A2" s="13" t="s">
        <v>0</v>
      </c>
      <c r="B2" t="s">
        <v>33</v>
      </c>
      <c r="C2" s="6" t="s">
        <v>36</v>
      </c>
      <c r="D2" s="6">
        <v>1</v>
      </c>
      <c r="E2" s="6">
        <v>1</v>
      </c>
      <c r="F2" s="14">
        <v>16764.754918306098</v>
      </c>
      <c r="G2" s="12"/>
      <c r="H2" s="12">
        <v>5000</v>
      </c>
      <c r="I2" s="12">
        <v>20000</v>
      </c>
      <c r="J2" s="12"/>
      <c r="K2" s="12"/>
    </row>
    <row r="3" spans="1:11" x14ac:dyDescent="0.25">
      <c r="A3" s="13" t="s">
        <v>1</v>
      </c>
      <c r="B3" t="s">
        <v>33</v>
      </c>
      <c r="C3" s="6" t="s">
        <v>36</v>
      </c>
      <c r="D3" s="6">
        <v>1</v>
      </c>
      <c r="E3" s="6">
        <v>1</v>
      </c>
      <c r="F3" s="14">
        <v>508.6818606610978</v>
      </c>
      <c r="G3" s="12"/>
      <c r="H3" s="12">
        <v>5000</v>
      </c>
      <c r="I3" s="12">
        <v>20000</v>
      </c>
      <c r="J3" s="12"/>
      <c r="K3" s="12"/>
    </row>
    <row r="4" spans="1:11" x14ac:dyDescent="0.25">
      <c r="A4" s="13" t="s">
        <v>2</v>
      </c>
      <c r="B4" t="s">
        <v>33</v>
      </c>
      <c r="C4" s="6" t="s">
        <v>36</v>
      </c>
      <c r="D4" s="6">
        <v>1</v>
      </c>
      <c r="E4" s="6">
        <v>1</v>
      </c>
      <c r="F4" s="14">
        <v>17996.283836448001</v>
      </c>
      <c r="G4" s="12"/>
      <c r="H4" s="12">
        <v>5000</v>
      </c>
      <c r="I4" s="12">
        <v>20000</v>
      </c>
      <c r="J4" s="12"/>
      <c r="K4" s="12"/>
    </row>
    <row r="5" spans="1:11" x14ac:dyDescent="0.25">
      <c r="A5" s="13" t="s">
        <v>3</v>
      </c>
      <c r="B5" t="s">
        <v>33</v>
      </c>
      <c r="C5" s="6" t="s">
        <v>36</v>
      </c>
      <c r="D5" s="6">
        <v>1</v>
      </c>
      <c r="E5" s="6">
        <v>1</v>
      </c>
      <c r="F5" s="14">
        <v>18018.606192980435</v>
      </c>
      <c r="G5" s="12"/>
      <c r="H5" s="12">
        <v>5000</v>
      </c>
      <c r="I5" s="12">
        <v>20000</v>
      </c>
      <c r="J5" s="12"/>
      <c r="K5" s="12"/>
    </row>
    <row r="6" spans="1:11" x14ac:dyDescent="0.25">
      <c r="A6" s="13" t="s">
        <v>4</v>
      </c>
      <c r="B6" t="s">
        <v>33</v>
      </c>
      <c r="C6" s="6" t="s">
        <v>36</v>
      </c>
      <c r="D6" s="6">
        <v>1</v>
      </c>
      <c r="E6" s="6">
        <v>1</v>
      </c>
      <c r="F6" s="14">
        <v>14732.755311406203</v>
      </c>
      <c r="G6" s="12"/>
      <c r="H6" s="12">
        <v>5000</v>
      </c>
      <c r="I6" s="12">
        <v>20000</v>
      </c>
      <c r="J6" s="12"/>
      <c r="K6" s="12"/>
    </row>
    <row r="7" spans="1:11" x14ac:dyDescent="0.25">
      <c r="A7" s="13" t="s">
        <v>6</v>
      </c>
      <c r="B7" t="s">
        <v>33</v>
      </c>
      <c r="C7" s="6" t="s">
        <v>36</v>
      </c>
      <c r="D7" s="6">
        <v>1</v>
      </c>
      <c r="E7" s="6">
        <v>1</v>
      </c>
      <c r="F7" s="14">
        <v>91521.661782977913</v>
      </c>
      <c r="G7" s="12"/>
      <c r="H7" s="12">
        <v>5000</v>
      </c>
      <c r="I7" s="12">
        <v>20000</v>
      </c>
      <c r="J7" s="12"/>
      <c r="K7" s="12"/>
    </row>
    <row r="8" spans="1:11" x14ac:dyDescent="0.25">
      <c r="A8" s="13" t="s">
        <v>7</v>
      </c>
      <c r="B8" t="s">
        <v>33</v>
      </c>
      <c r="C8" s="6" t="s">
        <v>36</v>
      </c>
      <c r="D8" s="6">
        <v>1</v>
      </c>
      <c r="E8" s="6">
        <v>1</v>
      </c>
      <c r="F8" s="14">
        <v>571.45232723030119</v>
      </c>
      <c r="G8" s="12"/>
      <c r="H8" s="12">
        <v>5000</v>
      </c>
      <c r="I8" s="12">
        <v>20000</v>
      </c>
      <c r="J8" s="12"/>
      <c r="K8" s="12"/>
    </row>
    <row r="9" spans="1:11" x14ac:dyDescent="0.25">
      <c r="A9" s="13" t="s">
        <v>8</v>
      </c>
      <c r="B9" t="s">
        <v>33</v>
      </c>
      <c r="C9" s="6" t="s">
        <v>36</v>
      </c>
      <c r="D9" s="6">
        <v>1</v>
      </c>
      <c r="E9" s="6">
        <v>1</v>
      </c>
      <c r="F9" s="14">
        <v>16000</v>
      </c>
      <c r="G9" s="12"/>
      <c r="H9" s="12">
        <v>5000</v>
      </c>
      <c r="I9" s="12">
        <v>20000</v>
      </c>
      <c r="J9" s="12"/>
      <c r="K9" s="12"/>
    </row>
    <row r="10" spans="1:11" x14ac:dyDescent="0.25">
      <c r="A10" s="13" t="s">
        <v>9</v>
      </c>
      <c r="B10" t="s">
        <v>33</v>
      </c>
      <c r="C10" s="6" t="s">
        <v>36</v>
      </c>
      <c r="D10" s="6">
        <v>1</v>
      </c>
      <c r="E10" s="6">
        <v>1</v>
      </c>
      <c r="F10" s="14">
        <v>0</v>
      </c>
      <c r="G10" s="12"/>
      <c r="H10" s="12">
        <v>5000</v>
      </c>
      <c r="I10" s="12">
        <v>20000</v>
      </c>
      <c r="J10" s="12"/>
      <c r="K10" s="12"/>
    </row>
    <row r="11" spans="1:11" x14ac:dyDescent="0.25">
      <c r="A11" s="13" t="s">
        <v>13</v>
      </c>
      <c r="B11" t="s">
        <v>33</v>
      </c>
      <c r="C11" s="6" t="s">
        <v>36</v>
      </c>
      <c r="D11" s="6">
        <v>1</v>
      </c>
      <c r="E11" s="6">
        <v>1</v>
      </c>
      <c r="F11" s="14">
        <v>2261.2547167355278</v>
      </c>
      <c r="G11" s="12"/>
      <c r="H11" s="12">
        <v>5000</v>
      </c>
      <c r="I11" s="12">
        <v>20000</v>
      </c>
      <c r="J11" s="12"/>
      <c r="K11" s="12"/>
    </row>
    <row r="12" spans="1:11" x14ac:dyDescent="0.25">
      <c r="A12" s="13" t="s">
        <v>18</v>
      </c>
      <c r="B12" t="s">
        <v>33</v>
      </c>
      <c r="C12" s="6" t="s">
        <v>36</v>
      </c>
      <c r="D12" s="6">
        <v>1</v>
      </c>
      <c r="E12" s="6">
        <v>1</v>
      </c>
      <c r="F12" s="14">
        <v>8152.1246056447653</v>
      </c>
      <c r="G12" s="12"/>
      <c r="H12" s="12">
        <v>5000</v>
      </c>
      <c r="I12" s="12">
        <v>20000</v>
      </c>
      <c r="J12" s="12"/>
      <c r="K12" s="12"/>
    </row>
    <row r="13" spans="1:11" x14ac:dyDescent="0.25">
      <c r="A13" s="13" t="s">
        <v>0</v>
      </c>
      <c r="B13" t="s">
        <v>24</v>
      </c>
      <c r="C13" s="6" t="s">
        <v>36</v>
      </c>
      <c r="D13" s="6">
        <v>1</v>
      </c>
      <c r="E13" s="6">
        <v>1</v>
      </c>
      <c r="F13" s="15">
        <v>762386.20000000007</v>
      </c>
      <c r="G13" s="12"/>
      <c r="H13" s="12">
        <v>5000</v>
      </c>
      <c r="I13" s="12">
        <v>20000</v>
      </c>
      <c r="J13" s="12"/>
      <c r="K13" s="12"/>
    </row>
    <row r="14" spans="1:11" x14ac:dyDescent="0.25">
      <c r="A14" s="13" t="s">
        <v>2</v>
      </c>
      <c r="B14" t="s">
        <v>24</v>
      </c>
      <c r="C14" s="6" t="s">
        <v>36</v>
      </c>
      <c r="D14" s="6">
        <v>1</v>
      </c>
      <c r="E14" s="6">
        <v>1</v>
      </c>
      <c r="F14" s="15">
        <v>8155000</v>
      </c>
      <c r="G14" s="12"/>
      <c r="H14" s="12">
        <v>5000</v>
      </c>
      <c r="I14" s="12">
        <v>20000</v>
      </c>
      <c r="J14" s="12"/>
      <c r="K14" s="12"/>
    </row>
    <row r="15" spans="1:11" x14ac:dyDescent="0.25">
      <c r="A15" s="13" t="s">
        <v>3</v>
      </c>
      <c r="B15" t="s">
        <v>24</v>
      </c>
      <c r="C15" s="6" t="s">
        <v>36</v>
      </c>
      <c r="D15" s="6">
        <v>1</v>
      </c>
      <c r="E15" s="6">
        <v>1</v>
      </c>
      <c r="F15" s="15">
        <v>258000</v>
      </c>
      <c r="G15" s="12"/>
      <c r="H15" s="12">
        <v>5000</v>
      </c>
      <c r="I15" s="12">
        <v>20000</v>
      </c>
      <c r="J15" s="12"/>
      <c r="K15" s="12"/>
    </row>
    <row r="16" spans="1:11" x14ac:dyDescent="0.25">
      <c r="A16" s="13" t="s">
        <v>4</v>
      </c>
      <c r="B16" t="s">
        <v>24</v>
      </c>
      <c r="C16" s="6" t="s">
        <v>36</v>
      </c>
      <c r="D16" s="6">
        <v>1</v>
      </c>
      <c r="E16" s="6">
        <v>1</v>
      </c>
      <c r="F16" s="15">
        <v>11840000</v>
      </c>
      <c r="G16" s="12"/>
      <c r="H16" s="12">
        <v>5000</v>
      </c>
      <c r="I16" s="12">
        <v>20000</v>
      </c>
      <c r="J16" s="12"/>
      <c r="K16" s="12"/>
    </row>
    <row r="17" spans="1:11" x14ac:dyDescent="0.25">
      <c r="A17" s="13" t="s">
        <v>5</v>
      </c>
      <c r="B17" t="s">
        <v>24</v>
      </c>
      <c r="C17" s="6" t="s">
        <v>36</v>
      </c>
      <c r="D17" s="6">
        <v>1</v>
      </c>
      <c r="E17" s="6">
        <v>1</v>
      </c>
      <c r="F17" s="15">
        <v>5530000</v>
      </c>
      <c r="G17" s="12"/>
      <c r="H17" s="12">
        <v>5000</v>
      </c>
      <c r="I17" s="12">
        <v>20000</v>
      </c>
      <c r="J17" s="12"/>
      <c r="K17" s="12"/>
    </row>
    <row r="18" spans="1:11" x14ac:dyDescent="0.25">
      <c r="A18" s="13" t="s">
        <v>6</v>
      </c>
      <c r="B18" t="s">
        <v>24</v>
      </c>
      <c r="C18" s="6" t="s">
        <v>36</v>
      </c>
      <c r="D18" s="6">
        <v>1</v>
      </c>
      <c r="E18" s="6">
        <v>1</v>
      </c>
      <c r="F18" s="15">
        <v>10000000</v>
      </c>
      <c r="G18" s="12"/>
      <c r="H18" s="12">
        <v>5000</v>
      </c>
      <c r="I18" s="12">
        <v>20000</v>
      </c>
      <c r="J18" s="12"/>
      <c r="K18" s="12"/>
    </row>
    <row r="19" spans="1:11" x14ac:dyDescent="0.25">
      <c r="A19" s="13" t="s">
        <v>13</v>
      </c>
      <c r="B19" t="s">
        <v>24</v>
      </c>
      <c r="C19" s="6" t="s">
        <v>36</v>
      </c>
      <c r="D19" s="6">
        <v>1</v>
      </c>
      <c r="E19" s="6">
        <v>1</v>
      </c>
      <c r="F19" s="15">
        <v>820</v>
      </c>
      <c r="G19" s="12"/>
      <c r="H19" s="12">
        <v>5000</v>
      </c>
      <c r="I19" s="12">
        <v>20000</v>
      </c>
      <c r="J19" s="12"/>
      <c r="K19" s="12"/>
    </row>
    <row r="20" spans="1:11" x14ac:dyDescent="0.25">
      <c r="A20" s="13" t="s">
        <v>14</v>
      </c>
      <c r="B20" t="s">
        <v>24</v>
      </c>
      <c r="C20" s="6" t="s">
        <v>36</v>
      </c>
      <c r="D20" s="6">
        <v>1</v>
      </c>
      <c r="E20" s="6">
        <v>1</v>
      </c>
      <c r="F20" s="15">
        <v>14810000</v>
      </c>
      <c r="G20" s="12"/>
      <c r="H20" s="12">
        <v>5000</v>
      </c>
      <c r="I20" s="12">
        <v>20000</v>
      </c>
      <c r="J20" s="12"/>
      <c r="K20" s="12"/>
    </row>
    <row r="21" spans="1:11" x14ac:dyDescent="0.25">
      <c r="A21" s="13" t="s">
        <v>15</v>
      </c>
      <c r="B21" t="s">
        <v>24</v>
      </c>
      <c r="C21" s="6" t="s">
        <v>36</v>
      </c>
      <c r="D21" s="6">
        <v>1</v>
      </c>
      <c r="E21" s="6">
        <v>1</v>
      </c>
      <c r="F21" s="15">
        <v>15730000</v>
      </c>
      <c r="G21" s="12"/>
      <c r="H21" s="12">
        <v>5000</v>
      </c>
      <c r="I21" s="12">
        <v>40000</v>
      </c>
      <c r="J21" s="12"/>
      <c r="K21" s="32" t="s">
        <v>105</v>
      </c>
    </row>
    <row r="22" spans="1:11" x14ac:dyDescent="0.25">
      <c r="A22" s="13" t="s">
        <v>16</v>
      </c>
      <c r="B22" t="s">
        <v>24</v>
      </c>
      <c r="C22" s="6" t="s">
        <v>36</v>
      </c>
      <c r="D22" s="6">
        <v>1</v>
      </c>
      <c r="E22" s="6">
        <v>1</v>
      </c>
      <c r="F22" s="15">
        <v>2635000</v>
      </c>
      <c r="G22" s="12"/>
      <c r="H22" s="12">
        <v>5000</v>
      </c>
      <c r="I22" s="12">
        <v>20000</v>
      </c>
      <c r="J22" s="12"/>
      <c r="K22" s="12"/>
    </row>
    <row r="23" spans="1:11" x14ac:dyDescent="0.25">
      <c r="A23" s="13" t="s">
        <v>17</v>
      </c>
      <c r="B23" t="s">
        <v>24</v>
      </c>
      <c r="C23" s="6" t="s">
        <v>36</v>
      </c>
      <c r="D23" s="6">
        <v>1</v>
      </c>
      <c r="E23" s="6">
        <v>1</v>
      </c>
      <c r="F23" s="15">
        <v>71666.666666666599</v>
      </c>
      <c r="G23" s="12"/>
      <c r="H23" s="12">
        <v>5000</v>
      </c>
      <c r="I23" s="12">
        <v>20000</v>
      </c>
      <c r="J23" s="12"/>
      <c r="K23" s="12"/>
    </row>
    <row r="24" spans="1:11" x14ac:dyDescent="0.25">
      <c r="A24" s="13" t="s">
        <v>0</v>
      </c>
      <c r="B24" t="s">
        <v>26</v>
      </c>
      <c r="C24" s="6" t="s">
        <v>36</v>
      </c>
      <c r="D24" s="6">
        <v>1</v>
      </c>
      <c r="E24" s="6">
        <v>1</v>
      </c>
      <c r="F24" s="16">
        <v>1722178</v>
      </c>
      <c r="G24" s="12"/>
      <c r="H24" s="12">
        <v>5000</v>
      </c>
      <c r="I24" s="12">
        <v>20000</v>
      </c>
      <c r="J24" s="12"/>
      <c r="K24" s="12"/>
    </row>
    <row r="25" spans="1:11" x14ac:dyDescent="0.25">
      <c r="A25" s="13" t="s">
        <v>2</v>
      </c>
      <c r="B25" t="s">
        <v>26</v>
      </c>
      <c r="C25" s="6" t="s">
        <v>36</v>
      </c>
      <c r="D25" s="6">
        <v>1</v>
      </c>
      <c r="E25" s="6">
        <v>1</v>
      </c>
      <c r="G25" s="12"/>
      <c r="H25" s="12"/>
      <c r="I25" s="12"/>
      <c r="J25" s="12" t="s">
        <v>38</v>
      </c>
      <c r="K25" s="12"/>
    </row>
    <row r="26" spans="1:11" x14ac:dyDescent="0.25">
      <c r="A26" s="13" t="s">
        <v>3</v>
      </c>
      <c r="B26" t="s">
        <v>26</v>
      </c>
      <c r="C26" s="6" t="s">
        <v>36</v>
      </c>
      <c r="D26" s="6">
        <v>1</v>
      </c>
      <c r="E26" s="6">
        <v>1</v>
      </c>
      <c r="F26" s="16">
        <v>417000</v>
      </c>
      <c r="G26" s="12"/>
      <c r="H26" s="12">
        <v>5000</v>
      </c>
      <c r="I26" s="12">
        <v>20000</v>
      </c>
      <c r="J26" s="12"/>
      <c r="K26" s="12"/>
    </row>
    <row r="27" spans="1:11" x14ac:dyDescent="0.25">
      <c r="A27" s="13" t="s">
        <v>4</v>
      </c>
      <c r="B27" t="s">
        <v>26</v>
      </c>
      <c r="C27" s="6" t="s">
        <v>36</v>
      </c>
      <c r="D27" s="6">
        <v>1</v>
      </c>
      <c r="E27" s="6">
        <v>1</v>
      </c>
      <c r="F27" s="16">
        <v>6185000</v>
      </c>
      <c r="G27" s="12"/>
      <c r="H27" s="12">
        <v>5000</v>
      </c>
      <c r="I27" s="12">
        <v>20000</v>
      </c>
      <c r="J27" s="12"/>
      <c r="K27" s="12"/>
    </row>
    <row r="28" spans="1:11" x14ac:dyDescent="0.25">
      <c r="A28" s="13" t="s">
        <v>6</v>
      </c>
      <c r="B28" t="s">
        <v>26</v>
      </c>
      <c r="C28" s="6" t="s">
        <v>36</v>
      </c>
      <c r="D28" s="6">
        <v>1</v>
      </c>
      <c r="E28" s="6">
        <v>1</v>
      </c>
      <c r="F28" s="16">
        <v>90000</v>
      </c>
      <c r="G28" s="12"/>
      <c r="H28" s="12">
        <v>5000</v>
      </c>
      <c r="I28" s="12">
        <v>20000</v>
      </c>
      <c r="J28" s="12"/>
      <c r="K28" s="12"/>
    </row>
    <row r="29" spans="1:11" x14ac:dyDescent="0.25">
      <c r="A29" s="13" t="s">
        <v>10</v>
      </c>
      <c r="B29" t="s">
        <v>26</v>
      </c>
      <c r="C29" s="6" t="s">
        <v>36</v>
      </c>
      <c r="D29" s="6">
        <v>1</v>
      </c>
      <c r="E29" s="6">
        <v>1</v>
      </c>
      <c r="F29" s="16">
        <v>8602000</v>
      </c>
      <c r="G29" s="12"/>
      <c r="H29" s="12">
        <v>5000</v>
      </c>
      <c r="I29" s="12">
        <v>20000</v>
      </c>
      <c r="J29" s="12"/>
      <c r="K29" s="12"/>
    </row>
    <row r="30" spans="1:11" x14ac:dyDescent="0.25">
      <c r="A30" s="13" t="s">
        <v>11</v>
      </c>
      <c r="B30" t="s">
        <v>26</v>
      </c>
      <c r="C30" s="6" t="s">
        <v>36</v>
      </c>
      <c r="D30" s="6">
        <v>1</v>
      </c>
      <c r="E30" s="6">
        <v>1</v>
      </c>
      <c r="F30" s="16">
        <v>21300530</v>
      </c>
      <c r="G30" s="12"/>
      <c r="H30" s="12">
        <v>5000</v>
      </c>
      <c r="I30" s="12">
        <v>40000</v>
      </c>
      <c r="J30" s="12"/>
      <c r="K30" s="32" t="s">
        <v>105</v>
      </c>
    </row>
    <row r="31" spans="1:11" x14ac:dyDescent="0.25">
      <c r="A31" s="13" t="s">
        <v>12</v>
      </c>
      <c r="B31" t="s">
        <v>26</v>
      </c>
      <c r="C31" s="6" t="s">
        <v>36</v>
      </c>
      <c r="D31" s="6">
        <v>1</v>
      </c>
      <c r="E31" s="6">
        <v>1</v>
      </c>
      <c r="F31" s="16">
        <v>57070460</v>
      </c>
      <c r="G31" s="12"/>
      <c r="H31" s="12">
        <v>5000</v>
      </c>
      <c r="I31" s="12">
        <v>80000</v>
      </c>
      <c r="J31" s="12"/>
      <c r="K31" s="32" t="s">
        <v>105</v>
      </c>
    </row>
    <row r="32" spans="1:11" x14ac:dyDescent="0.25">
      <c r="A32" s="13" t="s">
        <v>13</v>
      </c>
      <c r="B32" t="s">
        <v>26</v>
      </c>
      <c r="C32" s="6" t="s">
        <v>36</v>
      </c>
      <c r="D32" s="6">
        <v>1</v>
      </c>
      <c r="E32" s="6">
        <v>1</v>
      </c>
      <c r="F32" s="16">
        <v>1500</v>
      </c>
      <c r="G32" s="12"/>
      <c r="H32" s="12">
        <v>5000</v>
      </c>
      <c r="I32" s="12">
        <v>20000</v>
      </c>
      <c r="J32" s="12"/>
      <c r="K32" s="12"/>
    </row>
    <row r="33" spans="1:11" x14ac:dyDescent="0.25">
      <c r="A33" s="13" t="s">
        <v>0</v>
      </c>
      <c r="B33" t="s">
        <v>29</v>
      </c>
      <c r="C33" s="6" t="s">
        <v>36</v>
      </c>
      <c r="D33" s="6">
        <v>1</v>
      </c>
      <c r="E33" s="6">
        <v>1</v>
      </c>
      <c r="G33" s="12"/>
      <c r="H33" s="12"/>
      <c r="I33" s="12"/>
      <c r="J33" s="12" t="s">
        <v>38</v>
      </c>
      <c r="K33" s="12"/>
    </row>
    <row r="34" spans="1:11" x14ac:dyDescent="0.25">
      <c r="A34" s="13" t="s">
        <v>1</v>
      </c>
      <c r="B34" t="s">
        <v>29</v>
      </c>
      <c r="C34" s="6" t="s">
        <v>36</v>
      </c>
      <c r="D34" s="6">
        <v>1</v>
      </c>
      <c r="E34" s="6">
        <v>1</v>
      </c>
      <c r="F34" s="17">
        <v>5300</v>
      </c>
      <c r="G34" s="12"/>
      <c r="H34" s="12">
        <v>5000</v>
      </c>
      <c r="I34" s="12"/>
      <c r="J34" s="12"/>
      <c r="K34" s="12"/>
    </row>
    <row r="35" spans="1:11" x14ac:dyDescent="0.25">
      <c r="A35" s="13" t="s">
        <v>2</v>
      </c>
      <c r="B35" t="s">
        <v>29</v>
      </c>
      <c r="C35" s="6" t="s">
        <v>36</v>
      </c>
      <c r="D35" s="6">
        <v>1</v>
      </c>
      <c r="E35" s="6">
        <v>1</v>
      </c>
      <c r="F35" s="17">
        <v>670000</v>
      </c>
      <c r="G35" s="12"/>
      <c r="H35" s="12">
        <v>5000</v>
      </c>
      <c r="I35" s="12"/>
      <c r="J35" s="12"/>
      <c r="K35" s="12"/>
    </row>
    <row r="36" spans="1:11" x14ac:dyDescent="0.25">
      <c r="A36" s="13" t="s">
        <v>3</v>
      </c>
      <c r="B36" t="s">
        <v>29</v>
      </c>
      <c r="C36" s="6" t="s">
        <v>36</v>
      </c>
      <c r="D36" s="6">
        <v>1</v>
      </c>
      <c r="E36" s="6">
        <v>1</v>
      </c>
      <c r="F36" s="17">
        <v>355000</v>
      </c>
      <c r="G36" s="12"/>
      <c r="H36" s="12">
        <v>5000</v>
      </c>
      <c r="I36" s="12"/>
      <c r="J36" s="12"/>
      <c r="K36" s="12"/>
    </row>
    <row r="37" spans="1:11" x14ac:dyDescent="0.25">
      <c r="A37" s="13" t="s">
        <v>4</v>
      </c>
      <c r="B37" t="s">
        <v>29</v>
      </c>
      <c r="C37" s="6" t="s">
        <v>36</v>
      </c>
      <c r="D37" s="6">
        <v>1</v>
      </c>
      <c r="E37" s="6">
        <v>1</v>
      </c>
      <c r="F37" s="17">
        <v>95400</v>
      </c>
      <c r="G37" s="12"/>
      <c r="H37" s="12">
        <v>5000</v>
      </c>
      <c r="I37" s="12"/>
      <c r="J37" s="12"/>
      <c r="K37" s="12"/>
    </row>
    <row r="38" spans="1:11" x14ac:dyDescent="0.25">
      <c r="A38" s="13" t="s">
        <v>6</v>
      </c>
      <c r="B38" t="s">
        <v>29</v>
      </c>
      <c r="C38" s="6" t="s">
        <v>36</v>
      </c>
      <c r="D38" s="6">
        <v>1</v>
      </c>
      <c r="E38" s="6">
        <v>1</v>
      </c>
      <c r="F38" s="17">
        <v>10000</v>
      </c>
      <c r="G38" s="12"/>
      <c r="H38" s="12">
        <v>5000</v>
      </c>
      <c r="I38" s="12"/>
      <c r="J38" s="12"/>
      <c r="K38" s="12"/>
    </row>
    <row r="39" spans="1:11" x14ac:dyDescent="0.25">
      <c r="A39" s="13" t="s">
        <v>7</v>
      </c>
      <c r="B39" t="s">
        <v>29</v>
      </c>
      <c r="C39" s="6" t="s">
        <v>36</v>
      </c>
      <c r="D39" s="6">
        <v>1</v>
      </c>
      <c r="E39" s="6">
        <v>1</v>
      </c>
      <c r="F39" s="17">
        <v>10590</v>
      </c>
      <c r="G39" s="12"/>
      <c r="H39" s="12">
        <v>5000</v>
      </c>
      <c r="I39" s="12"/>
      <c r="J39" s="12"/>
      <c r="K39" s="12"/>
    </row>
    <row r="40" spans="1:11" x14ac:dyDescent="0.25">
      <c r="A40" s="13" t="s">
        <v>13</v>
      </c>
      <c r="B40" t="s">
        <v>29</v>
      </c>
      <c r="C40" s="6" t="s">
        <v>36</v>
      </c>
      <c r="D40" s="6">
        <v>1</v>
      </c>
      <c r="E40" s="6">
        <v>1</v>
      </c>
      <c r="F40" s="17">
        <v>6340</v>
      </c>
      <c r="G40" s="12"/>
      <c r="H40" s="12">
        <v>5000</v>
      </c>
      <c r="I40" s="12"/>
      <c r="J40" s="12"/>
      <c r="K40" s="12"/>
    </row>
    <row r="41" spans="1:11" x14ac:dyDescent="0.25">
      <c r="A41" s="13" t="s">
        <v>18</v>
      </c>
      <c r="B41" t="s">
        <v>29</v>
      </c>
      <c r="C41" s="6" t="s">
        <v>36</v>
      </c>
      <c r="D41" s="6">
        <v>1</v>
      </c>
      <c r="E41" s="6">
        <v>1</v>
      </c>
      <c r="F41" s="17">
        <v>26700</v>
      </c>
      <c r="G41" s="12"/>
      <c r="H41" s="12">
        <v>5000</v>
      </c>
      <c r="I41" s="12"/>
      <c r="J41" s="12"/>
      <c r="K41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A8A8-FC40-4073-9522-4FCDCD412C6C}">
  <sheetPr>
    <tabColor theme="7" tint="0.59999389629810485"/>
  </sheetPr>
  <dimension ref="A1:V5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1" sqref="N1:N1048576"/>
    </sheetView>
  </sheetViews>
  <sheetFormatPr defaultRowHeight="15" x14ac:dyDescent="0.25"/>
  <cols>
    <col min="1" max="1" width="8" bestFit="1" customWidth="1"/>
    <col min="2" max="2" width="16.7109375" customWidth="1"/>
    <col min="3" max="3" width="8.5703125" bestFit="1" customWidth="1"/>
    <col min="4" max="4" width="5" bestFit="1" customWidth="1"/>
    <col min="5" max="5" width="16.28515625" bestFit="1" customWidth="1"/>
    <col min="6" max="6" width="9.5703125" bestFit="1" customWidth="1"/>
    <col min="7" max="7" width="12" bestFit="1" customWidth="1"/>
    <col min="8" max="8" width="14.7109375" bestFit="1" customWidth="1"/>
    <col min="9" max="9" width="5.42578125" bestFit="1" customWidth="1"/>
    <col min="14" max="14" width="21" bestFit="1" customWidth="1"/>
    <col min="17" max="17" width="20.85546875" customWidth="1"/>
  </cols>
  <sheetData>
    <row r="1" spans="1:22" x14ac:dyDescent="0.25">
      <c r="A1" s="4" t="s">
        <v>19</v>
      </c>
      <c r="B1" s="4" t="s">
        <v>107</v>
      </c>
      <c r="C1" s="4" t="s">
        <v>20</v>
      </c>
      <c r="D1" s="4" t="s">
        <v>21</v>
      </c>
      <c r="E1" s="4" t="s">
        <v>22</v>
      </c>
      <c r="F1" s="30" t="s">
        <v>95</v>
      </c>
      <c r="G1" s="30" t="s">
        <v>103</v>
      </c>
      <c r="H1" s="30" t="s">
        <v>104</v>
      </c>
      <c r="I1" s="4" t="s">
        <v>39</v>
      </c>
      <c r="J1" s="5" t="s">
        <v>37</v>
      </c>
      <c r="O1" t="s">
        <v>106</v>
      </c>
      <c r="P1" t="s">
        <v>106</v>
      </c>
      <c r="Q1" t="s">
        <v>106</v>
      </c>
      <c r="R1" t="s">
        <v>106</v>
      </c>
      <c r="S1" t="s">
        <v>106</v>
      </c>
      <c r="T1" t="s">
        <v>106</v>
      </c>
      <c r="U1" t="s">
        <v>106</v>
      </c>
      <c r="V1" t="s">
        <v>106</v>
      </c>
    </row>
    <row r="2" spans="1:22" x14ac:dyDescent="0.25">
      <c r="A2" t="s">
        <v>0</v>
      </c>
      <c r="B2" t="s">
        <v>108</v>
      </c>
      <c r="C2" t="s">
        <v>36</v>
      </c>
      <c r="D2">
        <v>1</v>
      </c>
      <c r="E2" s="1">
        <v>5782</v>
      </c>
      <c r="F2">
        <f>ROUND(SUMIFS(R$31:R$36,$Q$31:$Q$36,$B2) * (1 + SUMIFS($U$7:$U$28,$Q$7:$Q$28,$A2)), 2)</f>
        <v>2.2599999999999998</v>
      </c>
      <c r="G2">
        <f t="shared" ref="G2:G59" si="0">ROUND(SUMIFS(S$31:S$36,$Q$31:$Q$36,$B2) * (1 + SUMIFS($U$7:$U$28,$Q$7:$Q$28,$A2)), 2)</f>
        <v>6.2</v>
      </c>
      <c r="H2">
        <f t="shared" ref="H2:H59" si="1">ROUND(SUMIFS(T$31:T$36,$Q$31:$Q$36,$B2) * (1 + SUMIFS($U$7:$U$28,$Q$7:$Q$28,$A2)), 2)</f>
        <v>6.2</v>
      </c>
    </row>
    <row r="3" spans="1:22" x14ac:dyDescent="0.25">
      <c r="A3" t="s">
        <v>1</v>
      </c>
      <c r="B3" t="s">
        <v>108</v>
      </c>
      <c r="C3" t="s">
        <v>36</v>
      </c>
      <c r="D3">
        <v>1</v>
      </c>
      <c r="E3" s="1">
        <v>113.94</v>
      </c>
      <c r="F3">
        <f t="shared" ref="F3:F59" si="2">ROUND(SUMIFS(R$31:R$36,$Q$31:$Q$36,$B3) * (1 + SUMIFS($U$7:$U$28,$Q$7:$Q$28,$A3)), 2)</f>
        <v>2.2400000000000002</v>
      </c>
      <c r="G3">
        <f t="shared" si="0"/>
        <v>6.17</v>
      </c>
      <c r="H3">
        <f t="shared" si="1"/>
        <v>6.17</v>
      </c>
    </row>
    <row r="4" spans="1:22" x14ac:dyDescent="0.25">
      <c r="A4" t="s">
        <v>2</v>
      </c>
      <c r="B4" t="s">
        <v>108</v>
      </c>
      <c r="C4" t="s">
        <v>36</v>
      </c>
      <c r="D4">
        <v>1</v>
      </c>
      <c r="E4" s="1">
        <v>4031</v>
      </c>
      <c r="F4">
        <f t="shared" si="2"/>
        <v>2.91</v>
      </c>
      <c r="G4">
        <f t="shared" si="0"/>
        <v>8.01</v>
      </c>
      <c r="H4">
        <f t="shared" si="1"/>
        <v>8.01</v>
      </c>
    </row>
    <row r="5" spans="1:22" x14ac:dyDescent="0.25">
      <c r="A5" t="s">
        <v>3</v>
      </c>
      <c r="B5" t="s">
        <v>108</v>
      </c>
      <c r="C5" t="s">
        <v>36</v>
      </c>
      <c r="D5">
        <v>1</v>
      </c>
      <c r="E5" s="1">
        <v>4036</v>
      </c>
      <c r="F5">
        <f t="shared" si="2"/>
        <v>2.2200000000000002</v>
      </c>
      <c r="G5">
        <f t="shared" si="0"/>
        <v>6.09</v>
      </c>
      <c r="H5">
        <f t="shared" si="1"/>
        <v>6.09</v>
      </c>
    </row>
    <row r="6" spans="1:22" x14ac:dyDescent="0.25">
      <c r="A6" t="s">
        <v>4</v>
      </c>
      <c r="B6" t="s">
        <v>108</v>
      </c>
      <c r="C6" t="s">
        <v>36</v>
      </c>
      <c r="D6">
        <v>1</v>
      </c>
      <c r="E6" s="1">
        <v>3300</v>
      </c>
      <c r="F6">
        <f t="shared" si="2"/>
        <v>1.83</v>
      </c>
      <c r="G6">
        <f t="shared" si="0"/>
        <v>5.04</v>
      </c>
      <c r="H6">
        <f t="shared" si="1"/>
        <v>5.04</v>
      </c>
      <c r="R6" t="s">
        <v>96</v>
      </c>
      <c r="S6" t="s">
        <v>97</v>
      </c>
      <c r="T6" t="s">
        <v>98</v>
      </c>
      <c r="U6" s="27" t="s">
        <v>99</v>
      </c>
    </row>
    <row r="7" spans="1:22" x14ac:dyDescent="0.25">
      <c r="A7" t="s">
        <v>6</v>
      </c>
      <c r="B7" t="s">
        <v>108</v>
      </c>
      <c r="C7" t="s">
        <v>36</v>
      </c>
      <c r="D7">
        <v>1</v>
      </c>
      <c r="E7" s="1">
        <v>20500</v>
      </c>
      <c r="F7">
        <f t="shared" si="2"/>
        <v>2.11</v>
      </c>
      <c r="G7">
        <f t="shared" si="0"/>
        <v>5.8</v>
      </c>
      <c r="H7">
        <f t="shared" si="1"/>
        <v>5.8</v>
      </c>
      <c r="Q7" s="5" t="s">
        <v>0</v>
      </c>
      <c r="R7" s="6">
        <f>'[1]vomcost mult'!O11</f>
        <v>45140</v>
      </c>
      <c r="S7" s="28">
        <f>'[1]vomcost mult'!P11</f>
        <v>0.12757648618174755</v>
      </c>
      <c r="T7" s="6">
        <f>'[1]vomcost mult'!Q11</f>
        <v>1</v>
      </c>
      <c r="U7" s="29">
        <f>'[1]vomcost mult'!R11</f>
        <v>0.128</v>
      </c>
    </row>
    <row r="8" spans="1:22" x14ac:dyDescent="0.25">
      <c r="A8" t="s">
        <v>7</v>
      </c>
      <c r="B8" t="s">
        <v>108</v>
      </c>
      <c r="C8" t="s">
        <v>36</v>
      </c>
      <c r="D8">
        <v>1</v>
      </c>
      <c r="E8" s="1">
        <v>128</v>
      </c>
      <c r="F8">
        <f t="shared" si="2"/>
        <v>1.53</v>
      </c>
      <c r="G8">
        <f t="shared" si="0"/>
        <v>4.22</v>
      </c>
      <c r="H8">
        <f t="shared" si="1"/>
        <v>4.22</v>
      </c>
      <c r="Q8" s="5" t="s">
        <v>1</v>
      </c>
      <c r="R8" s="6">
        <f>'[1]vomcost mult'!O12</f>
        <v>44440</v>
      </c>
      <c r="S8" s="28">
        <f>'[1]vomcost mult'!P12</f>
        <v>0.12078898170883434</v>
      </c>
      <c r="T8" s="6">
        <f>'[1]vomcost mult'!Q12</f>
        <v>1</v>
      </c>
      <c r="U8" s="29">
        <f>'[1]vomcost mult'!R12</f>
        <v>0.121</v>
      </c>
    </row>
    <row r="9" spans="1:22" x14ac:dyDescent="0.25">
      <c r="A9" t="s">
        <v>8</v>
      </c>
      <c r="B9" t="s">
        <v>108</v>
      </c>
      <c r="C9" t="s">
        <v>36</v>
      </c>
      <c r="D9">
        <v>1</v>
      </c>
      <c r="E9" s="1">
        <v>1557</v>
      </c>
      <c r="F9">
        <f t="shared" si="2"/>
        <v>1.4</v>
      </c>
      <c r="G9">
        <f t="shared" si="0"/>
        <v>3.86</v>
      </c>
      <c r="H9">
        <f t="shared" si="1"/>
        <v>3.86</v>
      </c>
      <c r="Q9" s="5" t="s">
        <v>2</v>
      </c>
      <c r="R9" s="6">
        <f>'[1]vomcost mult'!O13</f>
        <v>96081</v>
      </c>
      <c r="S9" s="28">
        <f>'[1]vomcost mult'!P13</f>
        <v>0.4556524459454061</v>
      </c>
      <c r="T9" s="6">
        <f>'[1]vomcost mult'!Q13</f>
        <v>1</v>
      </c>
      <c r="U9" s="29">
        <f>'[1]vomcost mult'!R13</f>
        <v>0.45600000000000002</v>
      </c>
    </row>
    <row r="10" spans="1:22" x14ac:dyDescent="0.25">
      <c r="A10" t="s">
        <v>9</v>
      </c>
      <c r="B10" t="s">
        <v>108</v>
      </c>
      <c r="C10" t="s">
        <v>36</v>
      </c>
      <c r="D10">
        <v>1</v>
      </c>
      <c r="E10" s="1">
        <v>38</v>
      </c>
      <c r="F10">
        <f t="shared" si="2"/>
        <v>2.36</v>
      </c>
      <c r="G10">
        <f t="shared" si="0"/>
        <v>6.49</v>
      </c>
      <c r="H10">
        <f t="shared" si="1"/>
        <v>6.49</v>
      </c>
      <c r="Q10" s="5" t="s">
        <v>3</v>
      </c>
      <c r="R10" s="6">
        <f>'[1]vomcost mult'!O14</f>
        <v>43110</v>
      </c>
      <c r="S10" s="28">
        <f>'[1]vomcost mult'!P14</f>
        <v>0.1075929542938924</v>
      </c>
      <c r="T10" s="6">
        <f>'[1]vomcost mult'!Q14</f>
        <v>1</v>
      </c>
      <c r="U10" s="29">
        <f>'[1]vomcost mult'!R14</f>
        <v>0.108</v>
      </c>
    </row>
    <row r="11" spans="1:22" x14ac:dyDescent="0.25">
      <c r="A11" t="s">
        <v>13</v>
      </c>
      <c r="B11" t="s">
        <v>108</v>
      </c>
      <c r="C11" t="s">
        <v>36</v>
      </c>
      <c r="D11">
        <v>1</v>
      </c>
      <c r="E11" s="1">
        <v>506.5</v>
      </c>
      <c r="F11">
        <f t="shared" si="2"/>
        <v>1.38</v>
      </c>
      <c r="G11">
        <f t="shared" si="0"/>
        <v>3.8</v>
      </c>
      <c r="H11">
        <f t="shared" si="1"/>
        <v>3.8</v>
      </c>
      <c r="Q11" s="5" t="s">
        <v>100</v>
      </c>
      <c r="R11" s="6">
        <f>'[1]vomcost mult'!O15</f>
        <v>58160</v>
      </c>
      <c r="S11" s="28">
        <f>'[1]vomcost mult'!P15</f>
        <v>0.2376393292909858</v>
      </c>
      <c r="T11" s="6">
        <f>'[1]vomcost mult'!Q15</f>
        <v>1.05</v>
      </c>
      <c r="U11" s="29">
        <f>'[1]vomcost mult'!R15</f>
        <v>0.25</v>
      </c>
    </row>
    <row r="12" spans="1:22" x14ac:dyDescent="0.25">
      <c r="A12" t="s">
        <v>18</v>
      </c>
      <c r="B12" t="s">
        <v>108</v>
      </c>
      <c r="C12" t="s">
        <v>36</v>
      </c>
      <c r="D12">
        <v>1</v>
      </c>
      <c r="E12" s="1">
        <v>1826</v>
      </c>
      <c r="F12">
        <f t="shared" si="2"/>
        <v>2.33</v>
      </c>
      <c r="G12">
        <f t="shared" si="0"/>
        <v>6.41</v>
      </c>
      <c r="H12">
        <f t="shared" si="1"/>
        <v>6.41</v>
      </c>
      <c r="Q12" s="5" t="s">
        <v>101</v>
      </c>
      <c r="R12" s="6">
        <f>'[1]vomcost mult'!O16</f>
        <v>58160</v>
      </c>
      <c r="S12" s="28">
        <f>'[1]vomcost mult'!P16</f>
        <v>0.2376393292909858</v>
      </c>
      <c r="T12" s="6">
        <f>'[1]vomcost mult'!Q16</f>
        <v>1</v>
      </c>
      <c r="U12" s="29">
        <f>'[1]vomcost mult'!R16</f>
        <v>0.23799999999999999</v>
      </c>
    </row>
    <row r="13" spans="1:22" x14ac:dyDescent="0.25">
      <c r="A13" t="s">
        <v>0</v>
      </c>
      <c r="B13" t="s">
        <v>109</v>
      </c>
      <c r="C13" t="s">
        <v>36</v>
      </c>
      <c r="D13">
        <v>1</v>
      </c>
      <c r="E13" s="2">
        <v>2429.5540000000001</v>
      </c>
      <c r="F13">
        <f t="shared" si="2"/>
        <v>2.0299999999999998</v>
      </c>
      <c r="G13">
        <f t="shared" si="0"/>
        <v>5.64</v>
      </c>
      <c r="H13">
        <f t="shared" si="1"/>
        <v>5.64</v>
      </c>
      <c r="Q13" s="5" t="s">
        <v>102</v>
      </c>
      <c r="R13" s="6">
        <f>'[1]vomcost mult'!O17</f>
        <v>21060</v>
      </c>
      <c r="S13" s="28">
        <f>'[1]vomcost mult'!P17</f>
        <v>-0.20352670171052795</v>
      </c>
      <c r="T13" s="6">
        <f>'[1]vomcost mult'!Q17</f>
        <v>1</v>
      </c>
      <c r="U13" s="29">
        <f>'[1]vomcost mult'!R17</f>
        <v>-0.20399999999999999</v>
      </c>
    </row>
    <row r="14" spans="1:22" x14ac:dyDescent="0.25">
      <c r="A14" t="s">
        <v>2</v>
      </c>
      <c r="B14" t="s">
        <v>109</v>
      </c>
      <c r="C14" t="s">
        <v>36</v>
      </c>
      <c r="D14">
        <v>1</v>
      </c>
      <c r="E14" s="2">
        <v>8152</v>
      </c>
      <c r="F14">
        <f t="shared" si="2"/>
        <v>2.62</v>
      </c>
      <c r="G14">
        <f t="shared" si="0"/>
        <v>7.28</v>
      </c>
      <c r="H14">
        <f t="shared" si="1"/>
        <v>7.28</v>
      </c>
      <c r="Q14" s="5" t="s">
        <v>4</v>
      </c>
      <c r="R14" s="6">
        <f>'[1]vomcost mult'!O18</f>
        <v>27800</v>
      </c>
      <c r="S14" s="28">
        <f>'[1]vomcost mult'!P18</f>
        <v>-8.2940272641919402E-2</v>
      </c>
      <c r="T14" s="6">
        <f>'[1]vomcost mult'!Q18</f>
        <v>1</v>
      </c>
      <c r="U14" s="29">
        <f>'[1]vomcost mult'!R18</f>
        <v>-8.3000000000000004E-2</v>
      </c>
    </row>
    <row r="15" spans="1:22" x14ac:dyDescent="0.25">
      <c r="A15" t="s">
        <v>3</v>
      </c>
      <c r="B15" t="s">
        <v>109</v>
      </c>
      <c r="C15" t="s">
        <v>36</v>
      </c>
      <c r="D15">
        <v>1</v>
      </c>
      <c r="E15" s="2">
        <v>1297</v>
      </c>
      <c r="F15">
        <f t="shared" si="2"/>
        <v>1.99</v>
      </c>
      <c r="G15">
        <f t="shared" si="0"/>
        <v>5.54</v>
      </c>
      <c r="H15">
        <f t="shared" si="1"/>
        <v>5.54</v>
      </c>
      <c r="Q15" s="5" t="s">
        <v>5</v>
      </c>
      <c r="R15" s="6">
        <f>'[1]vomcost mult'!O19</f>
        <v>43110</v>
      </c>
      <c r="S15" s="28">
        <f>'[1]vomcost mult'!P19</f>
        <v>0.1075929542938924</v>
      </c>
      <c r="T15" s="6">
        <f>'[1]vomcost mult'!Q19</f>
        <v>1</v>
      </c>
      <c r="U15" s="29">
        <f>'[1]vomcost mult'!R19</f>
        <v>0.108</v>
      </c>
    </row>
    <row r="16" spans="1:22" x14ac:dyDescent="0.25">
      <c r="A16" t="s">
        <v>4</v>
      </c>
      <c r="B16" t="s">
        <v>109</v>
      </c>
      <c r="C16" t="s">
        <v>36</v>
      </c>
      <c r="D16">
        <v>1</v>
      </c>
      <c r="E16" s="2">
        <v>10970</v>
      </c>
      <c r="F16">
        <f t="shared" si="2"/>
        <v>1.65</v>
      </c>
      <c r="G16">
        <f t="shared" si="0"/>
        <v>4.59</v>
      </c>
      <c r="H16">
        <f t="shared" si="1"/>
        <v>4.59</v>
      </c>
      <c r="Q16" s="5" t="s">
        <v>6</v>
      </c>
      <c r="R16" s="6">
        <f>'[1]vomcost mult'!O20</f>
        <v>38110</v>
      </c>
      <c r="S16" s="28">
        <f>'[1]vomcost mult'!P20</f>
        <v>5.4053880212171543E-2</v>
      </c>
      <c r="T16" s="6">
        <f>'[1]vomcost mult'!Q20</f>
        <v>1</v>
      </c>
      <c r="U16" s="29">
        <f>'[1]vomcost mult'!R20</f>
        <v>5.3999999999999999E-2</v>
      </c>
    </row>
    <row r="17" spans="1:21" x14ac:dyDescent="0.25">
      <c r="A17" t="s">
        <v>5</v>
      </c>
      <c r="B17" t="s">
        <v>109</v>
      </c>
      <c r="C17" t="s">
        <v>36</v>
      </c>
      <c r="D17">
        <v>1</v>
      </c>
      <c r="E17" s="2">
        <v>3200</v>
      </c>
      <c r="F17">
        <f t="shared" si="2"/>
        <v>1.99</v>
      </c>
      <c r="G17">
        <f t="shared" si="0"/>
        <v>5.54</v>
      </c>
      <c r="H17">
        <f t="shared" si="1"/>
        <v>5.54</v>
      </c>
      <c r="Q17" s="5" t="s">
        <v>7</v>
      </c>
      <c r="R17" s="6">
        <f>'[1]vomcost mult'!O21</f>
        <v>19690</v>
      </c>
      <c r="S17" s="28">
        <f>'[1]vomcost mult'!P21</f>
        <v>-0.2327393524218774</v>
      </c>
      <c r="T17" s="6">
        <f>'[1]vomcost mult'!Q21</f>
        <v>1</v>
      </c>
      <c r="U17" s="29">
        <f>'[1]vomcost mult'!R21</f>
        <v>-0.23300000000000001</v>
      </c>
    </row>
    <row r="18" spans="1:21" x14ac:dyDescent="0.25">
      <c r="A18" t="s">
        <v>6</v>
      </c>
      <c r="B18" t="s">
        <v>109</v>
      </c>
      <c r="C18" t="s">
        <v>36</v>
      </c>
      <c r="D18">
        <v>1</v>
      </c>
      <c r="E18" s="2">
        <v>8477</v>
      </c>
      <c r="F18">
        <f t="shared" si="2"/>
        <v>1.9</v>
      </c>
      <c r="G18">
        <f t="shared" si="0"/>
        <v>5.27</v>
      </c>
      <c r="H18">
        <f t="shared" si="1"/>
        <v>5.27</v>
      </c>
      <c r="Q18" s="5" t="s">
        <v>8</v>
      </c>
      <c r="R18" s="6">
        <f>'[1]vomcost mult'!O22</f>
        <v>16910</v>
      </c>
      <c r="S18" s="28">
        <f>'[1]vomcost mult'!P22</f>
        <v>-0.29884146096225389</v>
      </c>
      <c r="T18" s="6">
        <f>'[1]vomcost mult'!Q22</f>
        <v>1</v>
      </c>
      <c r="U18" s="29">
        <f>'[1]vomcost mult'!R22</f>
        <v>-0.29899999999999999</v>
      </c>
    </row>
    <row r="19" spans="1:21" x14ac:dyDescent="0.25">
      <c r="A19" t="s">
        <v>13</v>
      </c>
      <c r="B19" t="s">
        <v>109</v>
      </c>
      <c r="C19" t="s">
        <v>36</v>
      </c>
      <c r="D19">
        <v>1</v>
      </c>
      <c r="E19" s="2">
        <v>183.8</v>
      </c>
      <c r="F19">
        <f t="shared" si="2"/>
        <v>1.24</v>
      </c>
      <c r="G19">
        <f t="shared" si="0"/>
        <v>3.45</v>
      </c>
      <c r="H19">
        <f t="shared" si="1"/>
        <v>3.45</v>
      </c>
      <c r="Q19" s="5" t="s">
        <v>9</v>
      </c>
      <c r="R19" s="6">
        <f>'[1]vomcost mult'!O23</f>
        <v>50880</v>
      </c>
      <c r="S19" s="28">
        <f>'[1]vomcost mult'!P23</f>
        <v>0.17956203408036178</v>
      </c>
      <c r="T19" s="6">
        <f>'[1]vomcost mult'!Q23</f>
        <v>1</v>
      </c>
      <c r="U19" s="29">
        <f>'[1]vomcost mult'!R23</f>
        <v>0.18</v>
      </c>
    </row>
    <row r="20" spans="1:21" x14ac:dyDescent="0.25">
      <c r="A20" t="s">
        <v>14</v>
      </c>
      <c r="B20" t="s">
        <v>109</v>
      </c>
      <c r="C20" t="s">
        <v>36</v>
      </c>
      <c r="D20">
        <v>1</v>
      </c>
      <c r="E20" s="2">
        <v>5315</v>
      </c>
      <c r="F20">
        <f t="shared" si="2"/>
        <v>2.13</v>
      </c>
      <c r="G20">
        <f t="shared" si="0"/>
        <v>5.91</v>
      </c>
      <c r="H20">
        <f t="shared" si="1"/>
        <v>5.91</v>
      </c>
      <c r="Q20" s="5" t="s">
        <v>10</v>
      </c>
      <c r="R20" s="6">
        <f>'[1]vomcost mult'!O24</f>
        <v>66460</v>
      </c>
      <c r="S20" s="28">
        <f>'[1]vomcost mult'!P24</f>
        <v>0.2955752683826966</v>
      </c>
      <c r="T20" s="6">
        <f>'[1]vomcost mult'!Q24</f>
        <v>1.05</v>
      </c>
      <c r="U20" s="29">
        <f>'[1]vomcost mult'!R24</f>
        <v>0.31</v>
      </c>
    </row>
    <row r="21" spans="1:21" x14ac:dyDescent="0.25">
      <c r="A21" t="s">
        <v>15</v>
      </c>
      <c r="B21" t="s">
        <v>109</v>
      </c>
      <c r="C21" t="s">
        <v>36</v>
      </c>
      <c r="D21">
        <v>1</v>
      </c>
      <c r="E21" s="2">
        <v>8055</v>
      </c>
      <c r="F21">
        <f t="shared" si="2"/>
        <v>2.11</v>
      </c>
      <c r="G21">
        <f t="shared" si="0"/>
        <v>5.87</v>
      </c>
      <c r="H21">
        <f t="shared" si="1"/>
        <v>5.87</v>
      </c>
      <c r="Q21" s="5" t="s">
        <v>11</v>
      </c>
      <c r="R21" s="6">
        <f>'[1]vomcost mult'!O25</f>
        <v>66460</v>
      </c>
      <c r="S21" s="28">
        <f>'[1]vomcost mult'!P25</f>
        <v>0.2955752683826966</v>
      </c>
      <c r="T21" s="6">
        <f>'[1]vomcost mult'!Q25</f>
        <v>1.1000000000000001</v>
      </c>
      <c r="U21" s="29">
        <f>'[1]vomcost mult'!R25</f>
        <v>0.32500000000000001</v>
      </c>
    </row>
    <row r="22" spans="1:21" x14ac:dyDescent="0.25">
      <c r="A22" t="s">
        <v>16</v>
      </c>
      <c r="B22" t="s">
        <v>109</v>
      </c>
      <c r="C22" t="s">
        <v>36</v>
      </c>
      <c r="D22">
        <v>1</v>
      </c>
      <c r="E22" s="2">
        <v>2331</v>
      </c>
      <c r="F22">
        <f t="shared" si="2"/>
        <v>2.1</v>
      </c>
      <c r="G22">
        <f t="shared" si="0"/>
        <v>5.83</v>
      </c>
      <c r="H22">
        <f t="shared" si="1"/>
        <v>5.83</v>
      </c>
      <c r="Q22" s="5" t="s">
        <v>12</v>
      </c>
      <c r="R22" s="6">
        <f>'[1]vomcost mult'!O26</f>
        <v>66460</v>
      </c>
      <c r="S22" s="28">
        <f>'[1]vomcost mult'!P26</f>
        <v>0.2955752683826966</v>
      </c>
      <c r="T22" s="6">
        <f>'[1]vomcost mult'!Q26</f>
        <v>1</v>
      </c>
      <c r="U22" s="29">
        <f>'[1]vomcost mult'!R26</f>
        <v>0.29599999999999999</v>
      </c>
    </row>
    <row r="23" spans="1:21" x14ac:dyDescent="0.25">
      <c r="A23" t="s">
        <v>17</v>
      </c>
      <c r="B23" t="s">
        <v>109</v>
      </c>
      <c r="C23" t="s">
        <v>36</v>
      </c>
      <c r="D23">
        <v>1</v>
      </c>
      <c r="E23" s="2">
        <v>237</v>
      </c>
      <c r="F23">
        <f t="shared" si="2"/>
        <v>2.08</v>
      </c>
      <c r="G23">
        <f t="shared" si="0"/>
        <v>5.79</v>
      </c>
      <c r="H23">
        <f t="shared" si="1"/>
        <v>5.79</v>
      </c>
      <c r="Q23" s="5" t="s">
        <v>13</v>
      </c>
      <c r="R23" s="6">
        <f>'[1]vomcost mult'!O27</f>
        <v>16470</v>
      </c>
      <c r="S23" s="28">
        <f>'[1]vomcost mult'!P27</f>
        <v>-0.31029146939024133</v>
      </c>
      <c r="T23" s="6">
        <f>'[1]vomcost mult'!Q27</f>
        <v>1</v>
      </c>
      <c r="U23" s="29">
        <f>'[1]vomcost mult'!R27</f>
        <v>-0.31</v>
      </c>
    </row>
    <row r="24" spans="1:21" x14ac:dyDescent="0.25">
      <c r="A24" t="s">
        <v>0</v>
      </c>
      <c r="B24" t="s">
        <v>114</v>
      </c>
      <c r="C24" t="s">
        <v>36</v>
      </c>
      <c r="D24">
        <v>1</v>
      </c>
      <c r="E24" s="3">
        <v>3459.28</v>
      </c>
      <c r="F24">
        <f t="shared" si="2"/>
        <v>2.2599999999999998</v>
      </c>
      <c r="G24">
        <f t="shared" si="0"/>
        <v>4.51</v>
      </c>
      <c r="H24">
        <f t="shared" si="1"/>
        <v>4.51</v>
      </c>
      <c r="Q24" s="5" t="s">
        <v>14</v>
      </c>
      <c r="R24" s="6">
        <f>'[1]vomcost mult'!O28</f>
        <v>48310</v>
      </c>
      <c r="S24" s="28">
        <f>'[1]vomcost mult'!P28</f>
        <v>0.15705196892652412</v>
      </c>
      <c r="T24" s="6">
        <f>'[1]vomcost mult'!Q28</f>
        <v>1.1499999999999999</v>
      </c>
      <c r="U24" s="29">
        <f>'[1]vomcost mult'!R28</f>
        <v>0.18099999999999999</v>
      </c>
    </row>
    <row r="25" spans="1:21" x14ac:dyDescent="0.25">
      <c r="A25" t="s">
        <v>2</v>
      </c>
      <c r="B25" t="s">
        <v>114</v>
      </c>
      <c r="C25" t="s">
        <v>36</v>
      </c>
      <c r="D25">
        <v>1</v>
      </c>
      <c r="F25">
        <f t="shared" si="2"/>
        <v>2.91</v>
      </c>
      <c r="G25">
        <f t="shared" si="0"/>
        <v>5.82</v>
      </c>
      <c r="H25">
        <f t="shared" si="1"/>
        <v>5.82</v>
      </c>
      <c r="J25" t="s">
        <v>38</v>
      </c>
      <c r="Q25" s="5" t="s">
        <v>15</v>
      </c>
      <c r="R25" s="6">
        <f>'[1]vomcost mult'!O29</f>
        <v>48310</v>
      </c>
      <c r="S25" s="28">
        <f>'[1]vomcost mult'!P29</f>
        <v>0.15705196892652412</v>
      </c>
      <c r="T25" s="6">
        <f>'[1]vomcost mult'!Q29</f>
        <v>1.1000000000000001</v>
      </c>
      <c r="U25" s="29">
        <f>'[1]vomcost mult'!R29</f>
        <v>0.17299999999999999</v>
      </c>
    </row>
    <row r="26" spans="1:21" x14ac:dyDescent="0.25">
      <c r="A26" t="s">
        <v>3</v>
      </c>
      <c r="B26" t="s">
        <v>114</v>
      </c>
      <c r="C26" t="s">
        <v>36</v>
      </c>
      <c r="D26">
        <v>1</v>
      </c>
      <c r="E26" s="3">
        <v>1644</v>
      </c>
      <c r="F26">
        <f t="shared" si="2"/>
        <v>2.2200000000000002</v>
      </c>
      <c r="G26">
        <f t="shared" si="0"/>
        <v>4.43</v>
      </c>
      <c r="H26">
        <f t="shared" si="1"/>
        <v>4.43</v>
      </c>
      <c r="Q26" s="5" t="s">
        <v>16</v>
      </c>
      <c r="R26" s="6">
        <f>'[1]vomcost mult'!O30</f>
        <v>48310</v>
      </c>
      <c r="S26" s="28">
        <f>'[1]vomcost mult'!P30</f>
        <v>0.15705196892652412</v>
      </c>
      <c r="T26" s="6">
        <f>'[1]vomcost mult'!Q30</f>
        <v>1.05</v>
      </c>
      <c r="U26" s="29">
        <f>'[1]vomcost mult'!R30</f>
        <v>0.16500000000000001</v>
      </c>
    </row>
    <row r="27" spans="1:21" x14ac:dyDescent="0.25">
      <c r="A27" t="s">
        <v>4</v>
      </c>
      <c r="B27" t="s">
        <v>114</v>
      </c>
      <c r="C27" t="s">
        <v>36</v>
      </c>
      <c r="D27">
        <v>1</v>
      </c>
      <c r="E27" s="3">
        <v>2683</v>
      </c>
      <c r="F27">
        <f t="shared" si="2"/>
        <v>1.83</v>
      </c>
      <c r="G27">
        <f t="shared" si="0"/>
        <v>3.67</v>
      </c>
      <c r="H27">
        <f t="shared" si="1"/>
        <v>3.67</v>
      </c>
      <c r="Q27" s="5" t="s">
        <v>17</v>
      </c>
      <c r="R27" s="6">
        <f>'[1]vomcost mult'!O31</f>
        <v>48310</v>
      </c>
      <c r="S27" s="28">
        <f>'[1]vomcost mult'!P31</f>
        <v>0.15705196892652412</v>
      </c>
      <c r="T27" s="6">
        <f>'[1]vomcost mult'!Q31</f>
        <v>1</v>
      </c>
      <c r="U27" s="29">
        <f>'[1]vomcost mult'!R31</f>
        <v>0.157</v>
      </c>
    </row>
    <row r="28" spans="1:21" x14ac:dyDescent="0.25">
      <c r="A28" t="s">
        <v>6</v>
      </c>
      <c r="B28" t="s">
        <v>114</v>
      </c>
      <c r="C28" t="s">
        <v>36</v>
      </c>
      <c r="D28">
        <v>1</v>
      </c>
      <c r="E28" s="3">
        <v>1850</v>
      </c>
      <c r="F28">
        <f t="shared" si="2"/>
        <v>2.11</v>
      </c>
      <c r="G28">
        <f t="shared" si="0"/>
        <v>4.22</v>
      </c>
      <c r="H28">
        <f t="shared" si="1"/>
        <v>4.22</v>
      </c>
      <c r="Q28" s="5" t="s">
        <v>18</v>
      </c>
      <c r="R28" s="6">
        <f>'[1]vomcost mult'!O32</f>
        <v>49193</v>
      </c>
      <c r="S28" s="28">
        <f>'[1]vomcost mult'!P32</f>
        <v>0.16491823994601576</v>
      </c>
      <c r="T28" s="6">
        <f>'[1]vomcost mult'!Q32</f>
        <v>1</v>
      </c>
      <c r="U28" s="29">
        <f>'[1]vomcost mult'!R32</f>
        <v>0.16500000000000001</v>
      </c>
    </row>
    <row r="29" spans="1:21" x14ac:dyDescent="0.25">
      <c r="A29" t="s">
        <v>10</v>
      </c>
      <c r="B29" t="s">
        <v>114</v>
      </c>
      <c r="C29" t="s">
        <v>36</v>
      </c>
      <c r="D29">
        <v>1</v>
      </c>
      <c r="E29" s="3">
        <v>4631.3999999999996</v>
      </c>
      <c r="F29">
        <f t="shared" si="2"/>
        <v>2.62</v>
      </c>
      <c r="G29">
        <f t="shared" si="0"/>
        <v>5.24</v>
      </c>
      <c r="H29">
        <f t="shared" si="1"/>
        <v>5.24</v>
      </c>
    </row>
    <row r="30" spans="1:21" x14ac:dyDescent="0.25">
      <c r="A30" t="s">
        <v>11</v>
      </c>
      <c r="B30" t="s">
        <v>114</v>
      </c>
      <c r="C30" t="s">
        <v>36</v>
      </c>
      <c r="D30">
        <v>1</v>
      </c>
      <c r="E30" s="3">
        <v>5540.4</v>
      </c>
      <c r="F30">
        <f t="shared" si="2"/>
        <v>2.65</v>
      </c>
      <c r="G30">
        <f t="shared" si="0"/>
        <v>5.3</v>
      </c>
      <c r="H30">
        <f t="shared" si="1"/>
        <v>5.3</v>
      </c>
      <c r="R30" t="s">
        <v>95</v>
      </c>
      <c r="S30" t="s">
        <v>103</v>
      </c>
      <c r="T30" t="s">
        <v>104</v>
      </c>
    </row>
    <row r="31" spans="1:21" x14ac:dyDescent="0.25">
      <c r="A31" t="s">
        <v>12</v>
      </c>
      <c r="B31" t="s">
        <v>114</v>
      </c>
      <c r="C31" t="s">
        <v>36</v>
      </c>
      <c r="D31">
        <v>1</v>
      </c>
      <c r="E31" s="3">
        <v>23605.1</v>
      </c>
      <c r="F31">
        <f t="shared" si="2"/>
        <v>2.59</v>
      </c>
      <c r="G31">
        <f t="shared" si="0"/>
        <v>5.18</v>
      </c>
      <c r="H31">
        <f t="shared" si="1"/>
        <v>5.18</v>
      </c>
      <c r="Q31" t="s">
        <v>108</v>
      </c>
      <c r="R31">
        <f>SUMIFS([2]unittypedata!$S:$S,[2]unittypedata!$D:$D, $Q31)</f>
        <v>2</v>
      </c>
      <c r="S31">
        <f>SUMIFS([2]unittypedata!$Y:$Y,[2]unittypedata!$D:$D, $Q31)</f>
        <v>5.5</v>
      </c>
      <c r="T31">
        <f>SUMIFS([2]unittypedata!$Z:$Z,[2]unittypedata!$D:$D, $Q31)</f>
        <v>5.5</v>
      </c>
    </row>
    <row r="32" spans="1:21" x14ac:dyDescent="0.25">
      <c r="A32" t="s">
        <v>13</v>
      </c>
      <c r="B32" t="s">
        <v>114</v>
      </c>
      <c r="C32" t="s">
        <v>36</v>
      </c>
      <c r="D32">
        <v>1</v>
      </c>
      <c r="E32" s="3">
        <v>178.8</v>
      </c>
      <c r="F32">
        <f t="shared" si="2"/>
        <v>1.38</v>
      </c>
      <c r="G32">
        <f t="shared" si="0"/>
        <v>2.76</v>
      </c>
      <c r="H32">
        <f t="shared" si="1"/>
        <v>2.76</v>
      </c>
      <c r="Q32" t="s">
        <v>109</v>
      </c>
      <c r="R32">
        <f>SUMIFS([2]unittypedata!$S:$S,[2]unittypedata!$D:$D, $Q32)</f>
        <v>1.8</v>
      </c>
      <c r="S32">
        <f>SUMIFS([2]unittypedata!$Y:$Y,[2]unittypedata!$D:$D, $Q32)</f>
        <v>5</v>
      </c>
      <c r="T32">
        <f>SUMIFS([2]unittypedata!$Z:$Z,[2]unittypedata!$D:$D, $Q32)</f>
        <v>5</v>
      </c>
    </row>
    <row r="33" spans="1:20" x14ac:dyDescent="0.25">
      <c r="A33" t="s">
        <v>0</v>
      </c>
      <c r="B33" t="s">
        <v>115</v>
      </c>
      <c r="C33" t="s">
        <v>36</v>
      </c>
      <c r="D33">
        <v>1</v>
      </c>
      <c r="E33" s="8">
        <v>2560</v>
      </c>
      <c r="F33">
        <f t="shared" si="2"/>
        <v>1.8</v>
      </c>
      <c r="G33">
        <f t="shared" si="0"/>
        <v>3.95</v>
      </c>
      <c r="H33">
        <f t="shared" si="1"/>
        <v>3.95</v>
      </c>
      <c r="Q33" t="s">
        <v>110</v>
      </c>
      <c r="R33">
        <f>SUMIFS([2]unittypedata!$S:$S,[2]unittypedata!$D:$D, $Q33)</f>
        <v>2</v>
      </c>
      <c r="S33">
        <f>SUMIFS([2]unittypedata!$Y:$Y,[2]unittypedata!$D:$D, $Q33)</f>
        <v>4</v>
      </c>
      <c r="T33">
        <f>SUMIFS([2]unittypedata!$Z:$Z,[2]unittypedata!$D:$D, $Q33)</f>
        <v>4</v>
      </c>
    </row>
    <row r="34" spans="1:20" x14ac:dyDescent="0.25">
      <c r="A34" t="s">
        <v>2</v>
      </c>
      <c r="B34" t="s">
        <v>115</v>
      </c>
      <c r="C34" t="s">
        <v>36</v>
      </c>
      <c r="D34">
        <v>1</v>
      </c>
      <c r="F34">
        <f t="shared" si="2"/>
        <v>2.33</v>
      </c>
      <c r="G34">
        <f t="shared" si="0"/>
        <v>5.0999999999999996</v>
      </c>
      <c r="H34">
        <f t="shared" si="1"/>
        <v>5.0999999999999996</v>
      </c>
      <c r="J34" t="s">
        <v>38</v>
      </c>
      <c r="Q34" t="s">
        <v>111</v>
      </c>
      <c r="R34">
        <f>SUMIFS([2]unittypedata!$S:$S,[2]unittypedata!$D:$D, $Q34)</f>
        <v>1.6</v>
      </c>
      <c r="S34">
        <f>SUMIFS([2]unittypedata!$Y:$Y,[2]unittypedata!$D:$D, $Q34)</f>
        <v>3.5</v>
      </c>
      <c r="T34">
        <f>SUMIFS([2]unittypedata!$Z:$Z,[2]unittypedata!$D:$D, $Q34)</f>
        <v>3.5</v>
      </c>
    </row>
    <row r="35" spans="1:20" x14ac:dyDescent="0.25">
      <c r="A35" t="s">
        <v>3</v>
      </c>
      <c r="B35" t="s">
        <v>115</v>
      </c>
      <c r="C35" t="s">
        <v>36</v>
      </c>
      <c r="D35">
        <v>1</v>
      </c>
      <c r="E35" s="8">
        <v>1361</v>
      </c>
      <c r="F35">
        <f t="shared" si="2"/>
        <v>1.77</v>
      </c>
      <c r="G35">
        <f t="shared" si="0"/>
        <v>3.88</v>
      </c>
      <c r="H35">
        <f t="shared" si="1"/>
        <v>3.88</v>
      </c>
      <c r="Q35" t="s">
        <v>112</v>
      </c>
      <c r="R35">
        <f>SUMIFS([2]unittypedata!$S:$S,[2]unittypedata!$D:$D, $Q35)</f>
        <v>1.8</v>
      </c>
      <c r="S35">
        <f>SUMIFS([2]unittypedata!$Y:$Y,[2]unittypedata!$D:$D, $Q35)</f>
        <v>3.1</v>
      </c>
      <c r="T35">
        <f>SUMIFS([2]unittypedata!$Z:$Z,[2]unittypedata!$D:$D, $Q35)</f>
        <v>3.1</v>
      </c>
    </row>
    <row r="36" spans="1:20" x14ac:dyDescent="0.25">
      <c r="A36" t="s">
        <v>4</v>
      </c>
      <c r="B36" t="s">
        <v>115</v>
      </c>
      <c r="C36" t="s">
        <v>36</v>
      </c>
      <c r="D36">
        <v>1</v>
      </c>
      <c r="E36" s="8">
        <v>2424</v>
      </c>
      <c r="F36">
        <f t="shared" si="2"/>
        <v>1.47</v>
      </c>
      <c r="G36">
        <f t="shared" si="0"/>
        <v>3.21</v>
      </c>
      <c r="H36">
        <f t="shared" si="1"/>
        <v>3.21</v>
      </c>
      <c r="Q36" t="s">
        <v>113</v>
      </c>
      <c r="R36">
        <f>SUMIFS([2]unittypedata!$S:$S,[2]unittypedata!$D:$D, $Q36)</f>
        <v>1.4</v>
      </c>
      <c r="S36">
        <f>SUMIFS([2]unittypedata!$Y:$Y,[2]unittypedata!$D:$D, $Q36)</f>
        <v>3</v>
      </c>
      <c r="T36">
        <f>SUMIFS([2]unittypedata!$Z:$Z,[2]unittypedata!$D:$D, $Q36)</f>
        <v>3</v>
      </c>
    </row>
    <row r="37" spans="1:20" x14ac:dyDescent="0.25">
      <c r="A37" t="s">
        <v>6</v>
      </c>
      <c r="B37" t="s">
        <v>115</v>
      </c>
      <c r="C37" t="s">
        <v>36</v>
      </c>
      <c r="D37">
        <v>1</v>
      </c>
      <c r="E37" s="8">
        <v>1850</v>
      </c>
      <c r="F37">
        <f t="shared" si="2"/>
        <v>1.69</v>
      </c>
      <c r="G37">
        <f t="shared" si="0"/>
        <v>3.69</v>
      </c>
      <c r="H37">
        <f t="shared" si="1"/>
        <v>3.69</v>
      </c>
    </row>
    <row r="38" spans="1:20" x14ac:dyDescent="0.25">
      <c r="A38" t="s">
        <v>10</v>
      </c>
      <c r="B38" t="s">
        <v>115</v>
      </c>
      <c r="C38" t="s">
        <v>36</v>
      </c>
      <c r="D38">
        <v>1</v>
      </c>
      <c r="E38" s="8">
        <v>84</v>
      </c>
      <c r="F38">
        <f t="shared" si="2"/>
        <v>2.1</v>
      </c>
      <c r="G38">
        <f t="shared" si="0"/>
        <v>4.59</v>
      </c>
      <c r="H38">
        <f t="shared" si="1"/>
        <v>4.59</v>
      </c>
    </row>
    <row r="39" spans="1:20" x14ac:dyDescent="0.25">
      <c r="A39" t="s">
        <v>11</v>
      </c>
      <c r="B39" t="s">
        <v>115</v>
      </c>
      <c r="C39" t="s">
        <v>36</v>
      </c>
      <c r="D39">
        <v>1</v>
      </c>
      <c r="F39">
        <f t="shared" si="2"/>
        <v>2.12</v>
      </c>
      <c r="G39">
        <f t="shared" si="0"/>
        <v>4.6399999999999997</v>
      </c>
      <c r="H39">
        <f t="shared" si="1"/>
        <v>4.6399999999999997</v>
      </c>
      <c r="J39" t="s">
        <v>38</v>
      </c>
    </row>
    <row r="40" spans="1:20" x14ac:dyDescent="0.25">
      <c r="A40" t="s">
        <v>12</v>
      </c>
      <c r="B40" t="s">
        <v>115</v>
      </c>
      <c r="C40" t="s">
        <v>36</v>
      </c>
      <c r="D40">
        <v>1</v>
      </c>
      <c r="E40" s="8">
        <v>1030</v>
      </c>
      <c r="F40">
        <f t="shared" si="2"/>
        <v>2.0699999999999998</v>
      </c>
      <c r="G40">
        <f t="shared" si="0"/>
        <v>4.54</v>
      </c>
      <c r="H40">
        <f t="shared" si="1"/>
        <v>4.54</v>
      </c>
    </row>
    <row r="41" spans="1:20" x14ac:dyDescent="0.25">
      <c r="A41" t="s">
        <v>13</v>
      </c>
      <c r="B41" t="s">
        <v>115</v>
      </c>
      <c r="C41" t="s">
        <v>36</v>
      </c>
      <c r="D41">
        <v>1</v>
      </c>
      <c r="E41" s="8">
        <v>172</v>
      </c>
      <c r="F41">
        <f t="shared" si="2"/>
        <v>1.1000000000000001</v>
      </c>
      <c r="G41">
        <f t="shared" si="0"/>
        <v>2.42</v>
      </c>
      <c r="H41">
        <f t="shared" si="1"/>
        <v>2.42</v>
      </c>
    </row>
    <row r="42" spans="1:20" x14ac:dyDescent="0.25">
      <c r="A42" t="s">
        <v>0</v>
      </c>
      <c r="B42" t="s">
        <v>116</v>
      </c>
      <c r="C42" t="s">
        <v>36</v>
      </c>
      <c r="D42">
        <v>1</v>
      </c>
      <c r="F42">
        <f t="shared" si="2"/>
        <v>2.0299999999999998</v>
      </c>
      <c r="G42">
        <f t="shared" si="0"/>
        <v>3.5</v>
      </c>
      <c r="H42">
        <f t="shared" si="1"/>
        <v>3.5</v>
      </c>
      <c r="J42" t="s">
        <v>38</v>
      </c>
    </row>
    <row r="43" spans="1:20" x14ac:dyDescent="0.25">
      <c r="A43" t="s">
        <v>1</v>
      </c>
      <c r="B43" t="s">
        <v>116</v>
      </c>
      <c r="C43" t="s">
        <v>36</v>
      </c>
      <c r="D43">
        <v>1</v>
      </c>
      <c r="E43" s="7">
        <v>1308</v>
      </c>
      <c r="F43">
        <f t="shared" si="2"/>
        <v>2.02</v>
      </c>
      <c r="G43">
        <f t="shared" si="0"/>
        <v>3.48</v>
      </c>
      <c r="H43">
        <f t="shared" si="1"/>
        <v>3.48</v>
      </c>
    </row>
    <row r="44" spans="1:20" x14ac:dyDescent="0.25">
      <c r="A44" t="s">
        <v>2</v>
      </c>
      <c r="B44" t="s">
        <v>116</v>
      </c>
      <c r="C44" t="s">
        <v>36</v>
      </c>
      <c r="D44">
        <v>1</v>
      </c>
      <c r="E44" s="7">
        <v>3989</v>
      </c>
      <c r="F44">
        <f t="shared" si="2"/>
        <v>2.62</v>
      </c>
      <c r="G44">
        <f t="shared" si="0"/>
        <v>4.51</v>
      </c>
      <c r="H44">
        <f t="shared" si="1"/>
        <v>4.51</v>
      </c>
    </row>
    <row r="45" spans="1:20" x14ac:dyDescent="0.25">
      <c r="A45" t="s">
        <v>3</v>
      </c>
      <c r="B45" t="s">
        <v>116</v>
      </c>
      <c r="C45" t="s">
        <v>36</v>
      </c>
      <c r="D45">
        <v>1</v>
      </c>
      <c r="E45" s="7">
        <v>6056</v>
      </c>
      <c r="F45">
        <f t="shared" si="2"/>
        <v>1.99</v>
      </c>
      <c r="G45">
        <f t="shared" si="0"/>
        <v>3.43</v>
      </c>
      <c r="H45">
        <f t="shared" si="1"/>
        <v>3.43</v>
      </c>
    </row>
    <row r="46" spans="1:20" x14ac:dyDescent="0.25">
      <c r="A46" t="s">
        <v>4</v>
      </c>
      <c r="B46" t="s">
        <v>116</v>
      </c>
      <c r="C46" t="s">
        <v>36</v>
      </c>
      <c r="D46">
        <v>1</v>
      </c>
      <c r="E46" s="7">
        <v>3330</v>
      </c>
      <c r="F46">
        <f t="shared" si="2"/>
        <v>1.65</v>
      </c>
      <c r="G46">
        <f t="shared" si="0"/>
        <v>2.84</v>
      </c>
      <c r="H46">
        <f t="shared" si="1"/>
        <v>2.84</v>
      </c>
    </row>
    <row r="47" spans="1:20" x14ac:dyDescent="0.25">
      <c r="A47" t="s">
        <v>6</v>
      </c>
      <c r="B47" t="s">
        <v>116</v>
      </c>
      <c r="C47" t="s">
        <v>36</v>
      </c>
      <c r="D47">
        <v>1</v>
      </c>
      <c r="E47" s="7">
        <v>1950</v>
      </c>
      <c r="F47">
        <f t="shared" si="2"/>
        <v>1.9</v>
      </c>
      <c r="G47">
        <f t="shared" si="0"/>
        <v>3.27</v>
      </c>
      <c r="H47">
        <f t="shared" si="1"/>
        <v>3.27</v>
      </c>
    </row>
    <row r="48" spans="1:20" x14ac:dyDescent="0.25">
      <c r="A48" t="s">
        <v>7</v>
      </c>
      <c r="B48" t="s">
        <v>116</v>
      </c>
      <c r="C48" t="s">
        <v>36</v>
      </c>
      <c r="D48">
        <v>1</v>
      </c>
      <c r="E48" s="7">
        <v>900</v>
      </c>
      <c r="F48">
        <f t="shared" si="2"/>
        <v>1.38</v>
      </c>
      <c r="G48">
        <f t="shared" si="0"/>
        <v>2.38</v>
      </c>
      <c r="H48">
        <f t="shared" si="1"/>
        <v>2.38</v>
      </c>
    </row>
    <row r="49" spans="1:10" x14ac:dyDescent="0.25">
      <c r="A49" t="s">
        <v>13</v>
      </c>
      <c r="B49" t="s">
        <v>116</v>
      </c>
      <c r="C49" t="s">
        <v>36</v>
      </c>
      <c r="D49">
        <v>1</v>
      </c>
      <c r="E49" s="7">
        <v>1323</v>
      </c>
      <c r="F49">
        <f t="shared" si="2"/>
        <v>1.24</v>
      </c>
      <c r="G49">
        <f t="shared" si="0"/>
        <v>2.14</v>
      </c>
      <c r="H49">
        <f t="shared" si="1"/>
        <v>2.14</v>
      </c>
    </row>
    <row r="50" spans="1:10" x14ac:dyDescent="0.25">
      <c r="A50" t="s">
        <v>18</v>
      </c>
      <c r="B50" t="s">
        <v>116</v>
      </c>
      <c r="C50" t="s">
        <v>36</v>
      </c>
      <c r="D50">
        <v>1</v>
      </c>
      <c r="E50" s="7">
        <v>2744</v>
      </c>
      <c r="F50">
        <f t="shared" si="2"/>
        <v>2.1</v>
      </c>
      <c r="G50">
        <f t="shared" si="0"/>
        <v>3.61</v>
      </c>
      <c r="H50">
        <f t="shared" si="1"/>
        <v>3.61</v>
      </c>
    </row>
    <row r="51" spans="1:10" x14ac:dyDescent="0.25">
      <c r="A51" t="s">
        <v>0</v>
      </c>
      <c r="B51" t="s">
        <v>117</v>
      </c>
      <c r="C51" t="s">
        <v>36</v>
      </c>
      <c r="D51">
        <v>1</v>
      </c>
      <c r="F51">
        <f t="shared" si="2"/>
        <v>1.58</v>
      </c>
      <c r="G51">
        <f t="shared" si="0"/>
        <v>3.38</v>
      </c>
      <c r="H51">
        <f t="shared" si="1"/>
        <v>3.38</v>
      </c>
      <c r="J51" t="s">
        <v>38</v>
      </c>
    </row>
    <row r="52" spans="1:10" x14ac:dyDescent="0.25">
      <c r="A52" t="s">
        <v>1</v>
      </c>
      <c r="B52" t="s">
        <v>117</v>
      </c>
      <c r="C52" t="s">
        <v>36</v>
      </c>
      <c r="D52">
        <v>1</v>
      </c>
      <c r="E52" s="18">
        <v>1150</v>
      </c>
      <c r="F52">
        <f t="shared" si="2"/>
        <v>1.57</v>
      </c>
      <c r="G52">
        <f t="shared" si="0"/>
        <v>3.36</v>
      </c>
      <c r="H52">
        <f t="shared" si="1"/>
        <v>3.36</v>
      </c>
    </row>
    <row r="53" spans="1:10" x14ac:dyDescent="0.25">
      <c r="A53" t="s">
        <v>2</v>
      </c>
      <c r="B53" t="s">
        <v>117</v>
      </c>
      <c r="C53" t="s">
        <v>36</v>
      </c>
      <c r="D53">
        <v>1</v>
      </c>
      <c r="E53" s="18">
        <v>3938</v>
      </c>
      <c r="F53">
        <f t="shared" si="2"/>
        <v>2.04</v>
      </c>
      <c r="G53">
        <f t="shared" si="0"/>
        <v>4.37</v>
      </c>
      <c r="H53">
        <f t="shared" si="1"/>
        <v>4.37</v>
      </c>
    </row>
    <row r="54" spans="1:10" x14ac:dyDescent="0.25">
      <c r="A54" t="s">
        <v>3</v>
      </c>
      <c r="B54" t="s">
        <v>117</v>
      </c>
      <c r="C54" t="s">
        <v>36</v>
      </c>
      <c r="D54">
        <v>1</v>
      </c>
      <c r="E54" s="18">
        <v>6068</v>
      </c>
      <c r="F54">
        <f t="shared" si="2"/>
        <v>1.55</v>
      </c>
      <c r="G54">
        <f t="shared" si="0"/>
        <v>3.32</v>
      </c>
      <c r="H54">
        <f t="shared" si="1"/>
        <v>3.32</v>
      </c>
    </row>
    <row r="55" spans="1:10" x14ac:dyDescent="0.25">
      <c r="A55" t="s">
        <v>4</v>
      </c>
      <c r="B55" t="s">
        <v>117</v>
      </c>
      <c r="C55" t="s">
        <v>36</v>
      </c>
      <c r="D55">
        <v>1</v>
      </c>
      <c r="E55" s="18">
        <v>3142</v>
      </c>
      <c r="F55">
        <f t="shared" si="2"/>
        <v>1.28</v>
      </c>
      <c r="G55">
        <f t="shared" si="0"/>
        <v>2.75</v>
      </c>
      <c r="H55">
        <f t="shared" si="1"/>
        <v>2.75</v>
      </c>
    </row>
    <row r="56" spans="1:10" x14ac:dyDescent="0.25">
      <c r="A56" t="s">
        <v>6</v>
      </c>
      <c r="B56" t="s">
        <v>117</v>
      </c>
      <c r="C56" t="s">
        <v>36</v>
      </c>
      <c r="D56">
        <v>1</v>
      </c>
      <c r="E56" s="18">
        <v>1950</v>
      </c>
      <c r="F56">
        <f t="shared" si="2"/>
        <v>1.48</v>
      </c>
      <c r="G56">
        <f t="shared" si="0"/>
        <v>3.16</v>
      </c>
      <c r="H56">
        <f t="shared" si="1"/>
        <v>3.16</v>
      </c>
    </row>
    <row r="57" spans="1:10" x14ac:dyDescent="0.25">
      <c r="A57" t="s">
        <v>7</v>
      </c>
      <c r="B57" t="s">
        <v>117</v>
      </c>
      <c r="C57" t="s">
        <v>36</v>
      </c>
      <c r="D57">
        <v>1</v>
      </c>
      <c r="E57" s="18">
        <v>900</v>
      </c>
      <c r="F57">
        <f t="shared" si="2"/>
        <v>1.07</v>
      </c>
      <c r="G57">
        <f t="shared" si="0"/>
        <v>2.2999999999999998</v>
      </c>
      <c r="H57">
        <f t="shared" si="1"/>
        <v>2.2999999999999998</v>
      </c>
    </row>
    <row r="58" spans="1:10" x14ac:dyDescent="0.25">
      <c r="A58" t="s">
        <v>13</v>
      </c>
      <c r="B58" t="s">
        <v>117</v>
      </c>
      <c r="C58" t="s">
        <v>36</v>
      </c>
      <c r="D58">
        <v>1</v>
      </c>
      <c r="E58" s="18">
        <v>1486</v>
      </c>
      <c r="F58">
        <f t="shared" si="2"/>
        <v>0.97</v>
      </c>
      <c r="G58">
        <f t="shared" si="0"/>
        <v>2.0699999999999998</v>
      </c>
      <c r="H58">
        <f t="shared" si="1"/>
        <v>2.0699999999999998</v>
      </c>
    </row>
    <row r="59" spans="1:10" x14ac:dyDescent="0.25">
      <c r="A59" t="s">
        <v>18</v>
      </c>
      <c r="B59" t="s">
        <v>117</v>
      </c>
      <c r="C59" t="s">
        <v>36</v>
      </c>
      <c r="D59">
        <v>1</v>
      </c>
      <c r="E59" s="18">
        <v>2744</v>
      </c>
      <c r="F59">
        <f t="shared" si="2"/>
        <v>1.63</v>
      </c>
      <c r="G59">
        <f t="shared" si="0"/>
        <v>3.5</v>
      </c>
      <c r="H59">
        <f t="shared" si="1"/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372B-D848-4D41-858E-20930D6B3715}">
  <sheetPr>
    <tabColor theme="7" tint="0.59999389629810485"/>
  </sheetPr>
  <dimension ref="A1:J66"/>
  <sheetViews>
    <sheetView workbookViewId="0">
      <selection activeCell="J61" sqref="J61"/>
    </sheetView>
  </sheetViews>
  <sheetFormatPr defaultRowHeight="15" x14ac:dyDescent="0.25"/>
  <cols>
    <col min="1" max="1" width="15.140625" style="6" bestFit="1" customWidth="1"/>
    <col min="2" max="3" width="9.140625" style="6"/>
    <col min="4" max="4" width="28.42578125" customWidth="1"/>
    <col min="5" max="5" width="14" bestFit="1" customWidth="1"/>
    <col min="6" max="6" width="14.7109375" bestFit="1" customWidth="1"/>
    <col min="7" max="7" width="24.7109375" customWidth="1"/>
    <col min="8" max="8" width="14.28515625" bestFit="1" customWidth="1"/>
    <col min="9" max="9" width="10.85546875" bestFit="1" customWidth="1"/>
  </cols>
  <sheetData>
    <row r="1" spans="1:10" x14ac:dyDescent="0.25">
      <c r="A1" s="25" t="s">
        <v>20</v>
      </c>
      <c r="B1" s="25" t="s">
        <v>23</v>
      </c>
      <c r="C1" s="25" t="s">
        <v>46</v>
      </c>
      <c r="D1" s="19" t="s">
        <v>40</v>
      </c>
      <c r="E1" s="20" t="s">
        <v>41</v>
      </c>
      <c r="F1" s="20" t="s">
        <v>42</v>
      </c>
      <c r="G1" s="20" t="s">
        <v>43</v>
      </c>
      <c r="H1" s="20" t="s">
        <v>44</v>
      </c>
      <c r="I1" s="20" t="s">
        <v>45</v>
      </c>
      <c r="J1" s="21" t="s">
        <v>27</v>
      </c>
    </row>
    <row r="2" spans="1:10" x14ac:dyDescent="0.25">
      <c r="A2" s="26" t="s">
        <v>36</v>
      </c>
      <c r="B2" s="26">
        <v>1</v>
      </c>
      <c r="C2" s="26" t="s">
        <v>10</v>
      </c>
      <c r="D2" s="22" t="s">
        <v>47</v>
      </c>
      <c r="E2" s="23" t="s">
        <v>48</v>
      </c>
      <c r="F2" s="22" t="s">
        <v>49</v>
      </c>
      <c r="G2" s="22" t="s">
        <v>50</v>
      </c>
      <c r="H2" s="22" t="s">
        <v>34</v>
      </c>
      <c r="I2" s="23" t="s">
        <v>51</v>
      </c>
      <c r="J2" s="24">
        <v>1</v>
      </c>
    </row>
    <row r="3" spans="1:10" x14ac:dyDescent="0.25">
      <c r="A3" s="26" t="s">
        <v>36</v>
      </c>
      <c r="B3" s="26">
        <v>1</v>
      </c>
      <c r="C3" s="26" t="s">
        <v>10</v>
      </c>
      <c r="D3" s="22" t="s">
        <v>47</v>
      </c>
      <c r="E3" s="23" t="s">
        <v>34</v>
      </c>
      <c r="F3" s="22" t="s">
        <v>34</v>
      </c>
      <c r="G3" s="22" t="s">
        <v>34</v>
      </c>
      <c r="H3" s="22" t="s">
        <v>34</v>
      </c>
      <c r="I3" s="23" t="s">
        <v>52</v>
      </c>
      <c r="J3" s="24">
        <v>-1</v>
      </c>
    </row>
    <row r="4" spans="1:10" x14ac:dyDescent="0.25">
      <c r="A4" s="26" t="s">
        <v>36</v>
      </c>
      <c r="B4" s="26">
        <v>1</v>
      </c>
      <c r="C4" s="26" t="s">
        <v>10</v>
      </c>
      <c r="D4" s="22" t="s">
        <v>47</v>
      </c>
      <c r="E4" s="23" t="s">
        <v>34</v>
      </c>
      <c r="F4" s="22" t="s">
        <v>34</v>
      </c>
      <c r="G4" s="22" t="s">
        <v>34</v>
      </c>
      <c r="H4" s="22" t="s">
        <v>34</v>
      </c>
      <c r="I4" s="23" t="s">
        <v>28</v>
      </c>
      <c r="J4" s="24">
        <v>917</v>
      </c>
    </row>
    <row r="5" spans="1:10" x14ac:dyDescent="0.25">
      <c r="A5" s="26" t="s">
        <v>36</v>
      </c>
      <c r="B5" s="26">
        <v>1</v>
      </c>
      <c r="C5" s="26" t="s">
        <v>10</v>
      </c>
      <c r="D5" s="22" t="s">
        <v>47</v>
      </c>
      <c r="E5" s="23" t="s">
        <v>34</v>
      </c>
      <c r="F5" s="22" t="s">
        <v>34</v>
      </c>
      <c r="G5" s="22" t="s">
        <v>34</v>
      </c>
      <c r="H5" s="22" t="s">
        <v>34</v>
      </c>
      <c r="I5" s="23" t="s">
        <v>93</v>
      </c>
      <c r="J5" s="24">
        <v>300</v>
      </c>
    </row>
    <row r="6" spans="1:10" x14ac:dyDescent="0.25">
      <c r="A6" s="26" t="s">
        <v>36</v>
      </c>
      <c r="B6" s="26">
        <v>1</v>
      </c>
      <c r="C6" s="26" t="s">
        <v>11</v>
      </c>
      <c r="D6" s="22" t="s">
        <v>53</v>
      </c>
      <c r="E6" s="23" t="s">
        <v>48</v>
      </c>
      <c r="F6" s="22" t="s">
        <v>54</v>
      </c>
      <c r="G6" s="22" t="s">
        <v>55</v>
      </c>
      <c r="H6" s="22" t="s">
        <v>34</v>
      </c>
      <c r="I6" s="23" t="s">
        <v>51</v>
      </c>
      <c r="J6" s="24">
        <v>1</v>
      </c>
    </row>
    <row r="7" spans="1:10" x14ac:dyDescent="0.25">
      <c r="A7" s="26" t="s">
        <v>36</v>
      </c>
      <c r="B7" s="26">
        <v>1</v>
      </c>
      <c r="C7" s="26" t="s">
        <v>11</v>
      </c>
      <c r="D7" s="22" t="s">
        <v>53</v>
      </c>
      <c r="E7" s="23" t="s">
        <v>34</v>
      </c>
      <c r="F7" s="22" t="s">
        <v>34</v>
      </c>
      <c r="G7" s="22" t="s">
        <v>34</v>
      </c>
      <c r="H7" s="22" t="s">
        <v>34</v>
      </c>
      <c r="I7" s="23" t="s">
        <v>52</v>
      </c>
      <c r="J7" s="24">
        <v>-1</v>
      </c>
    </row>
    <row r="8" spans="1:10" x14ac:dyDescent="0.25">
      <c r="A8" s="26" t="s">
        <v>36</v>
      </c>
      <c r="B8" s="26">
        <v>1</v>
      </c>
      <c r="C8" s="26" t="s">
        <v>11</v>
      </c>
      <c r="D8" s="22" t="s">
        <v>53</v>
      </c>
      <c r="E8" s="23" t="s">
        <v>34</v>
      </c>
      <c r="F8" s="22" t="s">
        <v>34</v>
      </c>
      <c r="G8" s="22" t="s">
        <v>34</v>
      </c>
      <c r="H8" s="22" t="s">
        <v>34</v>
      </c>
      <c r="I8" s="23" t="s">
        <v>28</v>
      </c>
      <c r="J8" s="24">
        <v>551</v>
      </c>
    </row>
    <row r="9" spans="1:10" x14ac:dyDescent="0.25">
      <c r="A9" s="26" t="s">
        <v>36</v>
      </c>
      <c r="B9" s="26">
        <v>1</v>
      </c>
      <c r="C9" s="26" t="s">
        <v>11</v>
      </c>
      <c r="D9" s="22" t="s">
        <v>53</v>
      </c>
      <c r="E9" s="23" t="s">
        <v>34</v>
      </c>
      <c r="F9" s="22" t="s">
        <v>34</v>
      </c>
      <c r="G9" s="22" t="s">
        <v>34</v>
      </c>
      <c r="H9" s="22" t="s">
        <v>34</v>
      </c>
      <c r="I9" s="23" t="s">
        <v>93</v>
      </c>
      <c r="J9" s="24">
        <v>300</v>
      </c>
    </row>
    <row r="10" spans="1:10" x14ac:dyDescent="0.25">
      <c r="A10" s="26" t="s">
        <v>36</v>
      </c>
      <c r="B10" s="26">
        <v>1</v>
      </c>
      <c r="C10" s="26" t="s">
        <v>12</v>
      </c>
      <c r="D10" s="22" t="s">
        <v>56</v>
      </c>
      <c r="E10" s="23" t="s">
        <v>48</v>
      </c>
      <c r="F10" s="22" t="s">
        <v>57</v>
      </c>
      <c r="G10" s="22" t="s">
        <v>58</v>
      </c>
      <c r="H10" s="22" t="s">
        <v>34</v>
      </c>
      <c r="I10" s="23" t="s">
        <v>51</v>
      </c>
      <c r="J10" s="24">
        <v>1</v>
      </c>
    </row>
    <row r="11" spans="1:10" x14ac:dyDescent="0.25">
      <c r="A11" s="26" t="s">
        <v>36</v>
      </c>
      <c r="B11" s="26">
        <v>1</v>
      </c>
      <c r="C11" s="26" t="s">
        <v>12</v>
      </c>
      <c r="D11" s="22" t="s">
        <v>56</v>
      </c>
      <c r="E11" s="23" t="s">
        <v>34</v>
      </c>
      <c r="F11" s="22" t="s">
        <v>34</v>
      </c>
      <c r="G11" s="22" t="s">
        <v>34</v>
      </c>
      <c r="H11" s="22" t="s">
        <v>34</v>
      </c>
      <c r="I11" s="23" t="s">
        <v>52</v>
      </c>
      <c r="J11" s="24">
        <v>-1</v>
      </c>
    </row>
    <row r="12" spans="1:10" x14ac:dyDescent="0.25">
      <c r="A12" s="26" t="s">
        <v>36</v>
      </c>
      <c r="B12" s="26">
        <v>1</v>
      </c>
      <c r="C12" s="26" t="s">
        <v>12</v>
      </c>
      <c r="D12" s="22" t="s">
        <v>56</v>
      </c>
      <c r="E12" s="23" t="s">
        <v>34</v>
      </c>
      <c r="F12" s="22" t="s">
        <v>34</v>
      </c>
      <c r="G12" s="22" t="s">
        <v>34</v>
      </c>
      <c r="H12" s="22" t="s">
        <v>34</v>
      </c>
      <c r="I12" s="23" t="s">
        <v>28</v>
      </c>
      <c r="J12" s="24">
        <v>2304</v>
      </c>
    </row>
    <row r="13" spans="1:10" x14ac:dyDescent="0.25">
      <c r="A13" s="26" t="s">
        <v>36</v>
      </c>
      <c r="B13" s="26">
        <v>1</v>
      </c>
      <c r="C13" s="26" t="s">
        <v>12</v>
      </c>
      <c r="D13" s="22" t="s">
        <v>56</v>
      </c>
      <c r="E13" s="23" t="s">
        <v>34</v>
      </c>
      <c r="F13" s="22" t="s">
        <v>34</v>
      </c>
      <c r="G13" s="22" t="s">
        <v>34</v>
      </c>
      <c r="H13" s="22" t="s">
        <v>34</v>
      </c>
      <c r="I13" s="23" t="s">
        <v>93</v>
      </c>
      <c r="J13" s="24">
        <v>300</v>
      </c>
    </row>
    <row r="14" spans="1:10" x14ac:dyDescent="0.25">
      <c r="A14" s="26" t="s">
        <v>36</v>
      </c>
      <c r="B14" s="26">
        <v>1</v>
      </c>
      <c r="C14" s="26" t="s">
        <v>0</v>
      </c>
      <c r="D14" s="22" t="s">
        <v>59</v>
      </c>
      <c r="E14" s="23" t="s">
        <v>48</v>
      </c>
      <c r="F14" s="22" t="s">
        <v>60</v>
      </c>
      <c r="G14" s="22" t="s">
        <v>61</v>
      </c>
      <c r="H14" s="22" t="s">
        <v>34</v>
      </c>
      <c r="I14" s="23" t="s">
        <v>51</v>
      </c>
      <c r="J14" s="24">
        <v>1</v>
      </c>
    </row>
    <row r="15" spans="1:10" x14ac:dyDescent="0.25">
      <c r="A15" s="26" t="s">
        <v>36</v>
      </c>
      <c r="B15" s="26">
        <v>1</v>
      </c>
      <c r="C15" s="26" t="s">
        <v>0</v>
      </c>
      <c r="D15" s="22" t="s">
        <v>59</v>
      </c>
      <c r="E15" s="23" t="s">
        <v>34</v>
      </c>
      <c r="F15" s="22" t="s">
        <v>34</v>
      </c>
      <c r="G15" s="22" t="s">
        <v>34</v>
      </c>
      <c r="H15" s="22" t="s">
        <v>34</v>
      </c>
      <c r="I15" s="23" t="s">
        <v>52</v>
      </c>
      <c r="J15" s="24">
        <v>-1</v>
      </c>
    </row>
    <row r="16" spans="1:10" x14ac:dyDescent="0.25">
      <c r="A16" s="26" t="s">
        <v>36</v>
      </c>
      <c r="B16" s="26">
        <v>1</v>
      </c>
      <c r="C16" s="26" t="s">
        <v>0</v>
      </c>
      <c r="D16" s="22" t="s">
        <v>59</v>
      </c>
      <c r="E16" s="23" t="s">
        <v>34</v>
      </c>
      <c r="F16" s="22" t="s">
        <v>34</v>
      </c>
      <c r="G16" s="22" t="s">
        <v>34</v>
      </c>
      <c r="H16" s="22" t="s">
        <v>34</v>
      </c>
      <c r="I16" s="23" t="s">
        <v>28</v>
      </c>
      <c r="J16" s="24">
        <v>1428</v>
      </c>
    </row>
    <row r="17" spans="1:10" x14ac:dyDescent="0.25">
      <c r="A17" s="26" t="s">
        <v>36</v>
      </c>
      <c r="B17" s="26">
        <v>1</v>
      </c>
      <c r="C17" s="26" t="s">
        <v>0</v>
      </c>
      <c r="D17" s="22" t="s">
        <v>59</v>
      </c>
      <c r="E17" s="23" t="s">
        <v>34</v>
      </c>
      <c r="F17" s="22" t="s">
        <v>34</v>
      </c>
      <c r="G17" s="22" t="s">
        <v>34</v>
      </c>
      <c r="H17" s="22" t="s">
        <v>34</v>
      </c>
      <c r="I17" s="23" t="s">
        <v>93</v>
      </c>
      <c r="J17" s="24">
        <v>300</v>
      </c>
    </row>
    <row r="18" spans="1:10" x14ac:dyDescent="0.25">
      <c r="A18" s="26" t="s">
        <v>36</v>
      </c>
      <c r="B18" s="26">
        <v>1</v>
      </c>
      <c r="C18" s="26" t="s">
        <v>3</v>
      </c>
      <c r="D18" s="22" t="s">
        <v>62</v>
      </c>
      <c r="E18" s="23" t="s">
        <v>48</v>
      </c>
      <c r="F18" s="22" t="s">
        <v>63</v>
      </c>
      <c r="G18" s="22" t="s">
        <v>64</v>
      </c>
      <c r="H18" s="22" t="s">
        <v>34</v>
      </c>
      <c r="I18" s="23" t="s">
        <v>51</v>
      </c>
      <c r="J18" s="24">
        <v>1</v>
      </c>
    </row>
    <row r="19" spans="1:10" x14ac:dyDescent="0.25">
      <c r="A19" s="26" t="s">
        <v>36</v>
      </c>
      <c r="B19" s="26">
        <v>1</v>
      </c>
      <c r="C19" s="26" t="s">
        <v>3</v>
      </c>
      <c r="D19" s="22" t="s">
        <v>62</v>
      </c>
      <c r="E19" s="23" t="s">
        <v>34</v>
      </c>
      <c r="F19" s="22" t="s">
        <v>34</v>
      </c>
      <c r="G19" s="22" t="s">
        <v>34</v>
      </c>
      <c r="H19" s="22" t="s">
        <v>34</v>
      </c>
      <c r="I19" s="23" t="s">
        <v>52</v>
      </c>
      <c r="J19" s="24">
        <v>-1</v>
      </c>
    </row>
    <row r="20" spans="1:10" x14ac:dyDescent="0.25">
      <c r="A20" s="26" t="s">
        <v>36</v>
      </c>
      <c r="B20" s="26">
        <v>1</v>
      </c>
      <c r="C20" s="26" t="s">
        <v>3</v>
      </c>
      <c r="D20" s="22" t="s">
        <v>62</v>
      </c>
      <c r="E20" s="23" t="s">
        <v>34</v>
      </c>
      <c r="F20" s="22" t="s">
        <v>34</v>
      </c>
      <c r="G20" s="22" t="s">
        <v>34</v>
      </c>
      <c r="H20" s="22" t="s">
        <v>34</v>
      </c>
      <c r="I20" s="23" t="s">
        <v>28</v>
      </c>
      <c r="J20" s="24">
        <v>851</v>
      </c>
    </row>
    <row r="21" spans="1:10" x14ac:dyDescent="0.25">
      <c r="A21" s="26" t="s">
        <v>36</v>
      </c>
      <c r="B21" s="26">
        <v>1</v>
      </c>
      <c r="C21" s="26" t="s">
        <v>3</v>
      </c>
      <c r="D21" s="22" t="s">
        <v>62</v>
      </c>
      <c r="E21" s="23" t="s">
        <v>34</v>
      </c>
      <c r="F21" s="22" t="s">
        <v>34</v>
      </c>
      <c r="G21" s="22" t="s">
        <v>34</v>
      </c>
      <c r="H21" s="22" t="s">
        <v>34</v>
      </c>
      <c r="I21" s="23" t="s">
        <v>93</v>
      </c>
      <c r="J21" s="24">
        <v>300</v>
      </c>
    </row>
    <row r="22" spans="1:10" x14ac:dyDescent="0.25">
      <c r="A22" s="26" t="s">
        <v>36</v>
      </c>
      <c r="B22" s="26">
        <v>1</v>
      </c>
      <c r="C22" s="26" t="s">
        <v>4</v>
      </c>
      <c r="D22" s="22" t="s">
        <v>65</v>
      </c>
      <c r="E22" s="23" t="s">
        <v>48</v>
      </c>
      <c r="F22" s="22" t="s">
        <v>66</v>
      </c>
      <c r="G22" s="22" t="s">
        <v>67</v>
      </c>
      <c r="H22" s="22" t="s">
        <v>34</v>
      </c>
      <c r="I22" s="23" t="s">
        <v>51</v>
      </c>
      <c r="J22" s="24">
        <v>1</v>
      </c>
    </row>
    <row r="23" spans="1:10" x14ac:dyDescent="0.25">
      <c r="A23" s="26" t="s">
        <v>36</v>
      </c>
      <c r="B23" s="26">
        <v>1</v>
      </c>
      <c r="C23" s="26" t="s">
        <v>4</v>
      </c>
      <c r="D23" s="22" t="s">
        <v>65</v>
      </c>
      <c r="E23" s="23" t="s">
        <v>34</v>
      </c>
      <c r="F23" s="22" t="s">
        <v>34</v>
      </c>
      <c r="G23" s="22" t="s">
        <v>34</v>
      </c>
      <c r="H23" s="22" t="s">
        <v>34</v>
      </c>
      <c r="I23" s="23" t="s">
        <v>52</v>
      </c>
      <c r="J23" s="24">
        <v>-1</v>
      </c>
    </row>
    <row r="24" spans="1:10" x14ac:dyDescent="0.25">
      <c r="A24" s="26" t="s">
        <v>36</v>
      </c>
      <c r="B24" s="26">
        <v>1</v>
      </c>
      <c r="C24" s="26" t="s">
        <v>4</v>
      </c>
      <c r="D24" s="22" t="s">
        <v>65</v>
      </c>
      <c r="E24" s="23" t="s">
        <v>34</v>
      </c>
      <c r="F24" s="22" t="s">
        <v>34</v>
      </c>
      <c r="G24" s="22" t="s">
        <v>34</v>
      </c>
      <c r="H24" s="22" t="s">
        <v>34</v>
      </c>
      <c r="I24" s="23" t="s">
        <v>28</v>
      </c>
      <c r="J24" s="24">
        <v>314</v>
      </c>
    </row>
    <row r="25" spans="1:10" x14ac:dyDescent="0.25">
      <c r="A25" s="26" t="s">
        <v>36</v>
      </c>
      <c r="B25" s="26">
        <v>1</v>
      </c>
      <c r="C25" s="26" t="s">
        <v>4</v>
      </c>
      <c r="D25" s="22" t="s">
        <v>65</v>
      </c>
      <c r="E25" s="23" t="s">
        <v>34</v>
      </c>
      <c r="F25" s="22" t="s">
        <v>34</v>
      </c>
      <c r="G25" s="22" t="s">
        <v>34</v>
      </c>
      <c r="H25" s="22" t="s">
        <v>34</v>
      </c>
      <c r="I25" s="23" t="s">
        <v>93</v>
      </c>
      <c r="J25" s="24">
        <v>300</v>
      </c>
    </row>
    <row r="26" spans="1:10" x14ac:dyDescent="0.25">
      <c r="A26" s="26" t="s">
        <v>36</v>
      </c>
      <c r="B26" s="26">
        <v>1</v>
      </c>
      <c r="C26" s="26" t="s">
        <v>6</v>
      </c>
      <c r="D26" s="22" t="s">
        <v>68</v>
      </c>
      <c r="E26" s="23" t="s">
        <v>48</v>
      </c>
      <c r="F26" s="22" t="s">
        <v>69</v>
      </c>
      <c r="G26" s="22" t="s">
        <v>70</v>
      </c>
      <c r="H26" s="22" t="s">
        <v>34</v>
      </c>
      <c r="I26" s="23" t="s">
        <v>51</v>
      </c>
      <c r="J26" s="24">
        <v>1</v>
      </c>
    </row>
    <row r="27" spans="1:10" x14ac:dyDescent="0.25">
      <c r="A27" s="26" t="s">
        <v>36</v>
      </c>
      <c r="B27" s="26">
        <v>1</v>
      </c>
      <c r="C27" s="26" t="s">
        <v>6</v>
      </c>
      <c r="D27" s="22" t="s">
        <v>68</v>
      </c>
      <c r="E27" s="23" t="s">
        <v>34</v>
      </c>
      <c r="F27" s="22" t="s">
        <v>34</v>
      </c>
      <c r="G27" s="22" t="s">
        <v>34</v>
      </c>
      <c r="H27" s="22" t="s">
        <v>34</v>
      </c>
      <c r="I27" s="23" t="s">
        <v>52</v>
      </c>
      <c r="J27" s="24">
        <v>-1</v>
      </c>
    </row>
    <row r="28" spans="1:10" x14ac:dyDescent="0.25">
      <c r="A28" s="26" t="s">
        <v>36</v>
      </c>
      <c r="B28" s="26">
        <v>1</v>
      </c>
      <c r="C28" s="26" t="s">
        <v>6</v>
      </c>
      <c r="D28" s="22" t="s">
        <v>68</v>
      </c>
      <c r="E28" s="23" t="s">
        <v>34</v>
      </c>
      <c r="F28" s="22" t="s">
        <v>34</v>
      </c>
      <c r="G28" s="22" t="s">
        <v>34</v>
      </c>
      <c r="H28" s="22" t="s">
        <v>34</v>
      </c>
      <c r="I28" s="23" t="s">
        <v>28</v>
      </c>
      <c r="J28" s="24">
        <v>1593</v>
      </c>
    </row>
    <row r="29" spans="1:10" x14ac:dyDescent="0.25">
      <c r="A29" s="26" t="s">
        <v>36</v>
      </c>
      <c r="B29" s="26">
        <v>1</v>
      </c>
      <c r="C29" s="26" t="s">
        <v>6</v>
      </c>
      <c r="D29" s="22" t="s">
        <v>68</v>
      </c>
      <c r="E29" s="23" t="s">
        <v>34</v>
      </c>
      <c r="F29" s="22" t="s">
        <v>34</v>
      </c>
      <c r="G29" s="22" t="s">
        <v>34</v>
      </c>
      <c r="H29" s="22" t="s">
        <v>34</v>
      </c>
      <c r="I29" s="23" t="s">
        <v>93</v>
      </c>
      <c r="J29" s="24">
        <v>300</v>
      </c>
    </row>
    <row r="30" spans="1:10" x14ac:dyDescent="0.25">
      <c r="A30" s="26" t="s">
        <v>36</v>
      </c>
      <c r="B30" s="26">
        <v>1</v>
      </c>
      <c r="C30" s="26" t="s">
        <v>7</v>
      </c>
      <c r="D30" s="22" t="s">
        <v>71</v>
      </c>
      <c r="E30" s="23" t="s">
        <v>48</v>
      </c>
      <c r="F30" s="22" t="s">
        <v>72</v>
      </c>
      <c r="G30" s="22" t="s">
        <v>73</v>
      </c>
      <c r="H30" s="22" t="s">
        <v>34</v>
      </c>
      <c r="I30" s="23" t="s">
        <v>51</v>
      </c>
      <c r="J30" s="24">
        <v>1</v>
      </c>
    </row>
    <row r="31" spans="1:10" x14ac:dyDescent="0.25">
      <c r="A31" s="26" t="s">
        <v>36</v>
      </c>
      <c r="B31" s="26">
        <v>1</v>
      </c>
      <c r="C31" s="26" t="s">
        <v>7</v>
      </c>
      <c r="D31" s="22" t="s">
        <v>71</v>
      </c>
      <c r="E31" s="23" t="s">
        <v>34</v>
      </c>
      <c r="F31" s="22" t="s">
        <v>34</v>
      </c>
      <c r="G31" s="22" t="s">
        <v>34</v>
      </c>
      <c r="H31" s="22" t="s">
        <v>34</v>
      </c>
      <c r="I31" s="23" t="s">
        <v>52</v>
      </c>
      <c r="J31" s="24">
        <v>-1</v>
      </c>
    </row>
    <row r="32" spans="1:10" x14ac:dyDescent="0.25">
      <c r="A32" s="26" t="s">
        <v>36</v>
      </c>
      <c r="B32" s="26">
        <v>1</v>
      </c>
      <c r="C32" s="26" t="s">
        <v>7</v>
      </c>
      <c r="D32" s="22" t="s">
        <v>71</v>
      </c>
      <c r="E32" s="23" t="s">
        <v>34</v>
      </c>
      <c r="F32" s="22" t="s">
        <v>34</v>
      </c>
      <c r="G32" s="22" t="s">
        <v>34</v>
      </c>
      <c r="H32" s="22" t="s">
        <v>34</v>
      </c>
      <c r="I32" s="23" t="s">
        <v>28</v>
      </c>
      <c r="J32" s="24">
        <v>15</v>
      </c>
    </row>
    <row r="33" spans="1:10" x14ac:dyDescent="0.25">
      <c r="A33" s="26" t="s">
        <v>36</v>
      </c>
      <c r="B33" s="26">
        <v>1</v>
      </c>
      <c r="C33" s="26" t="s">
        <v>7</v>
      </c>
      <c r="D33" s="22" t="s">
        <v>71</v>
      </c>
      <c r="E33" s="23" t="s">
        <v>34</v>
      </c>
      <c r="F33" s="22" t="s">
        <v>34</v>
      </c>
      <c r="G33" s="22" t="s">
        <v>34</v>
      </c>
      <c r="H33" s="22" t="s">
        <v>34</v>
      </c>
      <c r="I33" s="23" t="s">
        <v>93</v>
      </c>
      <c r="J33" s="24">
        <v>300</v>
      </c>
    </row>
    <row r="34" spans="1:10" x14ac:dyDescent="0.25">
      <c r="A34" s="26" t="s">
        <v>36</v>
      </c>
      <c r="B34" s="26">
        <v>1</v>
      </c>
      <c r="C34" s="26" t="s">
        <v>0</v>
      </c>
      <c r="D34" s="22" t="s">
        <v>74</v>
      </c>
      <c r="E34" s="23" t="s">
        <v>48</v>
      </c>
      <c r="F34" s="22" t="s">
        <v>60</v>
      </c>
      <c r="G34" s="22" t="s">
        <v>75</v>
      </c>
      <c r="H34" s="22" t="s">
        <v>34</v>
      </c>
      <c r="I34" s="23" t="s">
        <v>51</v>
      </c>
      <c r="J34" s="24">
        <v>1</v>
      </c>
    </row>
    <row r="35" spans="1:10" x14ac:dyDescent="0.25">
      <c r="A35" s="26" t="s">
        <v>36</v>
      </c>
      <c r="B35" s="26">
        <v>1</v>
      </c>
      <c r="C35" s="26" t="s">
        <v>0</v>
      </c>
      <c r="D35" s="22" t="s">
        <v>74</v>
      </c>
      <c r="E35" s="23" t="s">
        <v>34</v>
      </c>
      <c r="F35" s="22" t="s">
        <v>34</v>
      </c>
      <c r="G35" s="22" t="s">
        <v>34</v>
      </c>
      <c r="H35" s="22" t="s">
        <v>34</v>
      </c>
      <c r="I35" s="23" t="s">
        <v>52</v>
      </c>
      <c r="J35" s="24">
        <v>-1</v>
      </c>
    </row>
    <row r="36" spans="1:10" x14ac:dyDescent="0.25">
      <c r="A36" s="26" t="s">
        <v>36</v>
      </c>
      <c r="B36" s="26">
        <v>1</v>
      </c>
      <c r="C36" s="26" t="s">
        <v>0</v>
      </c>
      <c r="D36" s="22" t="s">
        <v>74</v>
      </c>
      <c r="E36" s="23" t="s">
        <v>34</v>
      </c>
      <c r="F36" s="22" t="s">
        <v>34</v>
      </c>
      <c r="G36" s="22" t="s">
        <v>34</v>
      </c>
      <c r="H36" s="22" t="s">
        <v>34</v>
      </c>
      <c r="I36" s="23" t="s">
        <v>28</v>
      </c>
      <c r="J36" s="24">
        <v>31</v>
      </c>
    </row>
    <row r="37" spans="1:10" x14ac:dyDescent="0.25">
      <c r="A37" s="26" t="s">
        <v>36</v>
      </c>
      <c r="B37" s="26">
        <v>1</v>
      </c>
      <c r="C37" s="26" t="s">
        <v>0</v>
      </c>
      <c r="D37" s="22" t="s">
        <v>74</v>
      </c>
      <c r="E37" s="23" t="s">
        <v>34</v>
      </c>
      <c r="F37" s="22" t="s">
        <v>34</v>
      </c>
      <c r="G37" s="22" t="s">
        <v>34</v>
      </c>
      <c r="H37" s="22" t="s">
        <v>34</v>
      </c>
      <c r="I37" s="23" t="s">
        <v>93</v>
      </c>
      <c r="J37" s="24">
        <v>300</v>
      </c>
    </row>
    <row r="38" spans="1:10" x14ac:dyDescent="0.25">
      <c r="A38" s="26" t="s">
        <v>36</v>
      </c>
      <c r="B38" s="26">
        <v>1</v>
      </c>
      <c r="C38" s="26" t="s">
        <v>4</v>
      </c>
      <c r="D38" s="22" t="s">
        <v>76</v>
      </c>
      <c r="E38" s="23" t="s">
        <v>48</v>
      </c>
      <c r="F38" s="22" t="s">
        <v>66</v>
      </c>
      <c r="G38" s="22" t="s">
        <v>77</v>
      </c>
      <c r="H38" s="22" t="s">
        <v>34</v>
      </c>
      <c r="I38" s="23" t="s">
        <v>51</v>
      </c>
      <c r="J38" s="24">
        <v>1</v>
      </c>
    </row>
    <row r="39" spans="1:10" x14ac:dyDescent="0.25">
      <c r="A39" s="26" t="s">
        <v>36</v>
      </c>
      <c r="B39" s="26">
        <v>1</v>
      </c>
      <c r="C39" s="26" t="s">
        <v>4</v>
      </c>
      <c r="D39" s="22" t="s">
        <v>76</v>
      </c>
      <c r="E39" s="23" t="s">
        <v>34</v>
      </c>
      <c r="F39" s="22" t="s">
        <v>34</v>
      </c>
      <c r="G39" s="22" t="s">
        <v>34</v>
      </c>
      <c r="H39" s="22" t="s">
        <v>34</v>
      </c>
      <c r="I39" s="23" t="s">
        <v>52</v>
      </c>
      <c r="J39" s="24">
        <v>-1</v>
      </c>
    </row>
    <row r="40" spans="1:10" x14ac:dyDescent="0.25">
      <c r="A40" s="26" t="s">
        <v>36</v>
      </c>
      <c r="B40" s="26">
        <v>1</v>
      </c>
      <c r="C40" s="26" t="s">
        <v>4</v>
      </c>
      <c r="D40" s="22" t="s">
        <v>76</v>
      </c>
      <c r="E40" s="23" t="s">
        <v>34</v>
      </c>
      <c r="F40" s="22" t="s">
        <v>34</v>
      </c>
      <c r="G40" s="22" t="s">
        <v>34</v>
      </c>
      <c r="H40" s="22" t="s">
        <v>34</v>
      </c>
      <c r="I40" s="23" t="s">
        <v>28</v>
      </c>
      <c r="J40" s="24">
        <v>241</v>
      </c>
    </row>
    <row r="41" spans="1:10" x14ac:dyDescent="0.25">
      <c r="A41" s="26" t="s">
        <v>36</v>
      </c>
      <c r="B41" s="26">
        <v>1</v>
      </c>
      <c r="C41" s="26" t="s">
        <v>4</v>
      </c>
      <c r="D41" s="22" t="s">
        <v>76</v>
      </c>
      <c r="E41" s="23" t="s">
        <v>34</v>
      </c>
      <c r="F41" s="22" t="s">
        <v>34</v>
      </c>
      <c r="G41" s="22" t="s">
        <v>34</v>
      </c>
      <c r="H41" s="22" t="s">
        <v>34</v>
      </c>
      <c r="I41" s="23" t="s">
        <v>93</v>
      </c>
      <c r="J41" s="24">
        <v>300</v>
      </c>
    </row>
    <row r="42" spans="1:10" x14ac:dyDescent="0.25">
      <c r="A42" s="26" t="s">
        <v>36</v>
      </c>
      <c r="B42" s="26">
        <v>1</v>
      </c>
      <c r="C42" s="26" t="s">
        <v>5</v>
      </c>
      <c r="D42" s="22" t="s">
        <v>78</v>
      </c>
      <c r="E42" s="23" t="s">
        <v>48</v>
      </c>
      <c r="F42" s="22" t="s">
        <v>79</v>
      </c>
      <c r="G42" s="22" t="s">
        <v>80</v>
      </c>
      <c r="H42" s="22" t="s">
        <v>34</v>
      </c>
      <c r="I42" s="23" t="s">
        <v>51</v>
      </c>
      <c r="J42" s="24">
        <v>1</v>
      </c>
    </row>
    <row r="43" spans="1:10" x14ac:dyDescent="0.25">
      <c r="A43" s="26" t="s">
        <v>36</v>
      </c>
      <c r="B43" s="26">
        <v>1</v>
      </c>
      <c r="C43" s="26" t="s">
        <v>5</v>
      </c>
      <c r="D43" s="22" t="s">
        <v>78</v>
      </c>
      <c r="E43" s="23" t="s">
        <v>34</v>
      </c>
      <c r="F43" s="22" t="s">
        <v>34</v>
      </c>
      <c r="G43" s="22" t="s">
        <v>34</v>
      </c>
      <c r="H43" s="22" t="s">
        <v>34</v>
      </c>
      <c r="I43" s="23" t="s">
        <v>52</v>
      </c>
      <c r="J43" s="24">
        <v>-1</v>
      </c>
    </row>
    <row r="44" spans="1:10" x14ac:dyDescent="0.25">
      <c r="A44" s="26" t="s">
        <v>36</v>
      </c>
      <c r="B44" s="26">
        <v>1</v>
      </c>
      <c r="C44" s="26" t="s">
        <v>5</v>
      </c>
      <c r="D44" s="22" t="s">
        <v>78</v>
      </c>
      <c r="E44" s="23" t="s">
        <v>34</v>
      </c>
      <c r="F44" s="22" t="s">
        <v>34</v>
      </c>
      <c r="G44" s="22" t="s">
        <v>34</v>
      </c>
      <c r="H44" s="22" t="s">
        <v>34</v>
      </c>
      <c r="I44" s="23" t="s">
        <v>28</v>
      </c>
      <c r="J44" s="24">
        <v>418</v>
      </c>
    </row>
    <row r="45" spans="1:10" x14ac:dyDescent="0.25">
      <c r="A45" s="26" t="s">
        <v>36</v>
      </c>
      <c r="B45" s="26">
        <v>1</v>
      </c>
      <c r="C45" s="26" t="s">
        <v>5</v>
      </c>
      <c r="D45" s="22" t="s">
        <v>78</v>
      </c>
      <c r="E45" s="23" t="s">
        <v>34</v>
      </c>
      <c r="F45" s="22" t="s">
        <v>34</v>
      </c>
      <c r="G45" s="22" t="s">
        <v>34</v>
      </c>
      <c r="H45" s="22" t="s">
        <v>34</v>
      </c>
      <c r="I45" s="23" t="s">
        <v>93</v>
      </c>
      <c r="J45" s="24">
        <v>300</v>
      </c>
    </row>
    <row r="46" spans="1:10" x14ac:dyDescent="0.25">
      <c r="A46" s="26" t="s">
        <v>36</v>
      </c>
      <c r="B46" s="26">
        <v>1</v>
      </c>
      <c r="C46" s="26" t="s">
        <v>14</v>
      </c>
      <c r="D46" s="22" t="s">
        <v>81</v>
      </c>
      <c r="E46" s="23" t="s">
        <v>48</v>
      </c>
      <c r="F46" s="22" t="s">
        <v>82</v>
      </c>
      <c r="G46" s="22" t="s">
        <v>83</v>
      </c>
      <c r="H46" s="22" t="s">
        <v>34</v>
      </c>
      <c r="I46" s="23" t="s">
        <v>51</v>
      </c>
      <c r="J46" s="24">
        <v>1</v>
      </c>
    </row>
    <row r="47" spans="1:10" x14ac:dyDescent="0.25">
      <c r="A47" s="26" t="s">
        <v>36</v>
      </c>
      <c r="B47" s="26">
        <v>1</v>
      </c>
      <c r="C47" s="26" t="s">
        <v>14</v>
      </c>
      <c r="D47" s="22" t="s">
        <v>81</v>
      </c>
      <c r="E47" s="23" t="s">
        <v>34</v>
      </c>
      <c r="F47" s="22" t="s">
        <v>34</v>
      </c>
      <c r="G47" s="22" t="s">
        <v>34</v>
      </c>
      <c r="H47" s="22" t="s">
        <v>34</v>
      </c>
      <c r="I47" s="23" t="s">
        <v>52</v>
      </c>
      <c r="J47" s="24">
        <v>-1</v>
      </c>
    </row>
    <row r="48" spans="1:10" x14ac:dyDescent="0.25">
      <c r="A48" s="26" t="s">
        <v>36</v>
      </c>
      <c r="B48" s="26">
        <v>1</v>
      </c>
      <c r="C48" s="26" t="s">
        <v>14</v>
      </c>
      <c r="D48" s="22" t="s">
        <v>81</v>
      </c>
      <c r="E48" s="23" t="s">
        <v>34</v>
      </c>
      <c r="F48" s="22" t="s">
        <v>34</v>
      </c>
      <c r="G48" s="22" t="s">
        <v>34</v>
      </c>
      <c r="H48" s="22" t="s">
        <v>34</v>
      </c>
      <c r="I48" s="23" t="s">
        <v>28</v>
      </c>
      <c r="J48" s="24">
        <v>800</v>
      </c>
    </row>
    <row r="49" spans="1:10" x14ac:dyDescent="0.25">
      <c r="A49" s="26" t="s">
        <v>36</v>
      </c>
      <c r="B49" s="26">
        <v>1</v>
      </c>
      <c r="C49" s="26" t="s">
        <v>14</v>
      </c>
      <c r="D49" s="22" t="s">
        <v>81</v>
      </c>
      <c r="E49" s="23" t="s">
        <v>34</v>
      </c>
      <c r="F49" s="22" t="s">
        <v>34</v>
      </c>
      <c r="G49" s="22" t="s">
        <v>34</v>
      </c>
      <c r="H49" s="22" t="s">
        <v>34</v>
      </c>
      <c r="I49" s="23" t="s">
        <v>93</v>
      </c>
      <c r="J49" s="24">
        <v>300</v>
      </c>
    </row>
    <row r="50" spans="1:10" x14ac:dyDescent="0.25">
      <c r="A50" s="26" t="s">
        <v>36</v>
      </c>
      <c r="B50" s="26">
        <v>1</v>
      </c>
      <c r="C50" s="26" t="s">
        <v>15</v>
      </c>
      <c r="D50" s="22" t="s">
        <v>84</v>
      </c>
      <c r="E50" s="23" t="s">
        <v>48</v>
      </c>
      <c r="F50" s="22" t="s">
        <v>85</v>
      </c>
      <c r="G50" s="22" t="s">
        <v>86</v>
      </c>
      <c r="H50" s="22" t="s">
        <v>34</v>
      </c>
      <c r="I50" s="23" t="s">
        <v>51</v>
      </c>
      <c r="J50" s="24">
        <v>1</v>
      </c>
    </row>
    <row r="51" spans="1:10" x14ac:dyDescent="0.25">
      <c r="A51" s="26" t="s">
        <v>36</v>
      </c>
      <c r="B51" s="26">
        <v>1</v>
      </c>
      <c r="C51" s="26" t="s">
        <v>15</v>
      </c>
      <c r="D51" s="22" t="s">
        <v>84</v>
      </c>
      <c r="E51" s="23" t="s">
        <v>34</v>
      </c>
      <c r="F51" s="22" t="s">
        <v>34</v>
      </c>
      <c r="G51" s="22" t="s">
        <v>34</v>
      </c>
      <c r="H51" s="22" t="s">
        <v>34</v>
      </c>
      <c r="I51" s="23" t="s">
        <v>52</v>
      </c>
      <c r="J51" s="24">
        <v>-1</v>
      </c>
    </row>
    <row r="52" spans="1:10" x14ac:dyDescent="0.25">
      <c r="A52" s="26" t="s">
        <v>36</v>
      </c>
      <c r="B52" s="26">
        <v>1</v>
      </c>
      <c r="C52" s="26" t="s">
        <v>15</v>
      </c>
      <c r="D52" s="22" t="s">
        <v>84</v>
      </c>
      <c r="E52" s="23" t="s">
        <v>34</v>
      </c>
      <c r="F52" s="22" t="s">
        <v>34</v>
      </c>
      <c r="G52" s="22" t="s">
        <v>34</v>
      </c>
      <c r="H52" s="22" t="s">
        <v>34</v>
      </c>
      <c r="I52" s="23" t="s">
        <v>28</v>
      </c>
      <c r="J52" s="24">
        <v>1000</v>
      </c>
    </row>
    <row r="53" spans="1:10" x14ac:dyDescent="0.25">
      <c r="A53" s="26" t="s">
        <v>36</v>
      </c>
      <c r="B53" s="26">
        <v>1</v>
      </c>
      <c r="C53" s="26" t="s">
        <v>15</v>
      </c>
      <c r="D53" s="22" t="s">
        <v>84</v>
      </c>
      <c r="E53" s="23" t="s">
        <v>34</v>
      </c>
      <c r="F53" s="22" t="s">
        <v>34</v>
      </c>
      <c r="G53" s="22" t="s">
        <v>34</v>
      </c>
      <c r="H53" s="22" t="s">
        <v>34</v>
      </c>
      <c r="I53" s="23" t="s">
        <v>93</v>
      </c>
      <c r="J53" s="24">
        <v>300</v>
      </c>
    </row>
    <row r="54" spans="1:10" x14ac:dyDescent="0.25">
      <c r="A54" s="26" t="s">
        <v>36</v>
      </c>
      <c r="B54" s="26">
        <v>1</v>
      </c>
      <c r="C54" s="26" t="s">
        <v>16</v>
      </c>
      <c r="D54" s="22" t="s">
        <v>87</v>
      </c>
      <c r="E54" s="23" t="s">
        <v>48</v>
      </c>
      <c r="F54" s="22" t="s">
        <v>88</v>
      </c>
      <c r="G54" s="22" t="s">
        <v>89</v>
      </c>
      <c r="H54" s="22" t="s">
        <v>34</v>
      </c>
      <c r="I54" s="23" t="s">
        <v>51</v>
      </c>
      <c r="J54" s="24">
        <v>1</v>
      </c>
    </row>
    <row r="55" spans="1:10" x14ac:dyDescent="0.25">
      <c r="A55" s="26" t="s">
        <v>36</v>
      </c>
      <c r="B55" s="26">
        <v>1</v>
      </c>
      <c r="C55" s="26" t="s">
        <v>16</v>
      </c>
      <c r="D55" s="22" t="s">
        <v>87</v>
      </c>
      <c r="E55" s="23" t="s">
        <v>34</v>
      </c>
      <c r="F55" s="22" t="s">
        <v>34</v>
      </c>
      <c r="G55" s="22" t="s">
        <v>34</v>
      </c>
      <c r="H55" s="22" t="s">
        <v>34</v>
      </c>
      <c r="I55" s="23" t="s">
        <v>52</v>
      </c>
      <c r="J55" s="24">
        <v>-1</v>
      </c>
    </row>
    <row r="56" spans="1:10" x14ac:dyDescent="0.25">
      <c r="A56" s="26" t="s">
        <v>36</v>
      </c>
      <c r="B56" s="26">
        <v>1</v>
      </c>
      <c r="C56" s="26" t="s">
        <v>16</v>
      </c>
      <c r="D56" s="22" t="s">
        <v>87</v>
      </c>
      <c r="E56" s="23" t="s">
        <v>34</v>
      </c>
      <c r="F56" s="22" t="s">
        <v>34</v>
      </c>
      <c r="G56" s="22" t="s">
        <v>34</v>
      </c>
      <c r="H56" s="22" t="s">
        <v>34</v>
      </c>
      <c r="I56" s="23" t="s">
        <v>28</v>
      </c>
      <c r="J56" s="24">
        <v>530</v>
      </c>
    </row>
    <row r="57" spans="1:10" x14ac:dyDescent="0.25">
      <c r="A57" s="26" t="s">
        <v>36</v>
      </c>
      <c r="B57" s="26">
        <v>1</v>
      </c>
      <c r="C57" s="26" t="s">
        <v>16</v>
      </c>
      <c r="D57" s="22" t="s">
        <v>87</v>
      </c>
      <c r="E57" s="23" t="s">
        <v>34</v>
      </c>
      <c r="F57" s="22" t="s">
        <v>34</v>
      </c>
      <c r="G57" s="22" t="s">
        <v>34</v>
      </c>
      <c r="H57" s="22" t="s">
        <v>34</v>
      </c>
      <c r="I57" s="23" t="s">
        <v>93</v>
      </c>
      <c r="J57" s="24">
        <v>300</v>
      </c>
    </row>
    <row r="58" spans="1:10" x14ac:dyDescent="0.25">
      <c r="A58" s="26" t="s">
        <v>36</v>
      </c>
      <c r="B58" s="26">
        <v>1</v>
      </c>
      <c r="C58" s="26" t="s">
        <v>17</v>
      </c>
      <c r="D58" s="22" t="s">
        <v>90</v>
      </c>
      <c r="E58" s="23" t="s">
        <v>48</v>
      </c>
      <c r="F58" s="22" t="s">
        <v>91</v>
      </c>
      <c r="G58" s="22" t="s">
        <v>92</v>
      </c>
      <c r="H58" s="22" t="s">
        <v>34</v>
      </c>
      <c r="I58" s="23" t="s">
        <v>51</v>
      </c>
      <c r="J58" s="24">
        <v>1</v>
      </c>
    </row>
    <row r="59" spans="1:10" x14ac:dyDescent="0.25">
      <c r="A59" s="26" t="s">
        <v>36</v>
      </c>
      <c r="B59" s="26">
        <v>1</v>
      </c>
      <c r="C59" s="26" t="s">
        <v>17</v>
      </c>
      <c r="D59" s="22" t="s">
        <v>90</v>
      </c>
      <c r="E59" s="23" t="s">
        <v>34</v>
      </c>
      <c r="F59" s="22" t="s">
        <v>34</v>
      </c>
      <c r="G59" s="22" t="s">
        <v>34</v>
      </c>
      <c r="H59" s="22" t="s">
        <v>34</v>
      </c>
      <c r="I59" s="23" t="s">
        <v>52</v>
      </c>
      <c r="J59" s="24">
        <v>-1</v>
      </c>
    </row>
    <row r="60" spans="1:10" x14ac:dyDescent="0.25">
      <c r="A60" s="26" t="s">
        <v>36</v>
      </c>
      <c r="B60" s="26">
        <v>1</v>
      </c>
      <c r="C60" s="26" t="s">
        <v>17</v>
      </c>
      <c r="D60" s="22" t="s">
        <v>90</v>
      </c>
      <c r="E60" s="23" t="s">
        <v>34</v>
      </c>
      <c r="F60" s="22" t="s">
        <v>34</v>
      </c>
      <c r="G60" s="22" t="s">
        <v>34</v>
      </c>
      <c r="H60" s="22" t="s">
        <v>34</v>
      </c>
      <c r="I60" s="23" t="s">
        <v>28</v>
      </c>
      <c r="J60" s="24">
        <v>20</v>
      </c>
    </row>
    <row r="61" spans="1:10" x14ac:dyDescent="0.25">
      <c r="A61" s="26" t="s">
        <v>36</v>
      </c>
      <c r="B61" s="26">
        <v>1</v>
      </c>
      <c r="C61" s="26" t="s">
        <v>17</v>
      </c>
      <c r="D61" s="22" t="s">
        <v>90</v>
      </c>
      <c r="E61" s="23" t="s">
        <v>34</v>
      </c>
      <c r="F61" s="22" t="s">
        <v>34</v>
      </c>
      <c r="G61" s="22" t="s">
        <v>34</v>
      </c>
      <c r="H61" s="22" t="s">
        <v>34</v>
      </c>
      <c r="I61" s="23" t="s">
        <v>93</v>
      </c>
      <c r="J61" s="24">
        <v>300</v>
      </c>
    </row>
    <row r="62" spans="1:10" x14ac:dyDescent="0.25">
      <c r="A62" s="26"/>
      <c r="B62" s="26"/>
      <c r="C62" s="26"/>
      <c r="D62" s="22"/>
      <c r="E62" s="23"/>
      <c r="F62" s="22"/>
      <c r="G62" s="22"/>
      <c r="H62" s="22"/>
      <c r="I62" s="23"/>
      <c r="J62" s="24"/>
    </row>
    <row r="63" spans="1:10" x14ac:dyDescent="0.25">
      <c r="A63" s="26"/>
      <c r="B63" s="26"/>
      <c r="C63" s="26"/>
      <c r="D63" s="22"/>
      <c r="E63" s="23"/>
      <c r="F63" s="22"/>
      <c r="G63" s="22"/>
      <c r="H63" s="22"/>
      <c r="I63" s="23"/>
      <c r="J63" s="24"/>
    </row>
    <row r="64" spans="1:10" x14ac:dyDescent="0.25">
      <c r="A64" s="26"/>
      <c r="B64" s="26"/>
      <c r="C64" s="26"/>
      <c r="D64" s="22"/>
      <c r="E64" s="23"/>
      <c r="F64" s="22"/>
      <c r="G64" s="22"/>
      <c r="H64" s="22"/>
      <c r="I64" s="23"/>
      <c r="J64" s="24"/>
    </row>
    <row r="65" spans="1:10" x14ac:dyDescent="0.25">
      <c r="A65" s="26"/>
      <c r="B65" s="26"/>
      <c r="C65" s="26"/>
      <c r="D65" s="22"/>
      <c r="E65" s="23"/>
      <c r="F65" s="22"/>
      <c r="G65" s="22"/>
      <c r="H65" s="22"/>
      <c r="I65" s="23"/>
      <c r="J65" s="24"/>
    </row>
    <row r="66" spans="1:10" x14ac:dyDescent="0.25">
      <c r="A66" s="26"/>
      <c r="B66" s="26"/>
      <c r="C66" s="26"/>
      <c r="D66" s="22"/>
      <c r="E66" s="23"/>
      <c r="F66" s="22"/>
      <c r="G66" s="22"/>
      <c r="H66" s="22"/>
      <c r="I66" s="23"/>
      <c r="J6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nodedata</vt:lpstr>
      <vt:lpstr>unitdata</vt:lpstr>
      <vt:lpstr>userconstraintdata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Lindroos Tomi J</dc:creator>
  <cp:lastModifiedBy>Lindroos Tomi J</cp:lastModifiedBy>
  <dcterms:created xsi:type="dcterms:W3CDTF">2015-06-05T18:17:20Z</dcterms:created>
  <dcterms:modified xsi:type="dcterms:W3CDTF">2026-09-08T10:00:44Z</dcterms:modified>
</cp:coreProperties>
</file>