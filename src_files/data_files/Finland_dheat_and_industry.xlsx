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BB\bb-dev\north_european_model\src_files\data_files\"/>
    </mc:Choice>
  </mc:AlternateContent>
  <xr:revisionPtr revIDLastSave="0" documentId="13_ncr:1_{FA837C2F-6AF6-40FC-8224-3C6BA4409693}" xr6:coauthVersionLast="47" xr6:coauthVersionMax="47" xr10:uidLastSave="{00000000-0000-0000-0000-000000000000}"/>
  <bookViews>
    <workbookView xWindow="-28920" yWindow="-120" windowWidth="29040" windowHeight="17520" tabRatio="889" activeTab="4" xr2:uid="{00000000-000D-0000-FFFF-FFFF00000000}"/>
  </bookViews>
  <sheets>
    <sheet name="demanddata_FI-industry" sheetId="16" r:id="rId1"/>
    <sheet name="elec_gen" sheetId="15" r:id="rId2"/>
    <sheet name="transferdata_dheat" sheetId="17" r:id="rId3"/>
    <sheet name="unitdata_Finland" sheetId="1" r:id="rId4"/>
    <sheet name="variantdata" sheetId="18" r:id="rId5"/>
    <sheet name="HKI" sheetId="6" r:id="rId6"/>
    <sheet name="ESP" sheetId="7" r:id="rId7"/>
    <sheet name="VAN" sheetId="8" r:id="rId8"/>
    <sheet name="TRE" sheetId="9" r:id="rId9"/>
    <sheet name="OUL" sheetId="10" r:id="rId10"/>
    <sheet name="TKU" sheetId="11" r:id="rId11"/>
    <sheet name="JKL" sheetId="12" r:id="rId12"/>
    <sheet name="ROF" sheetId="13" r:id="rId13"/>
    <sheet name="Industry-capacity" sheetId="14" r:id="rId14"/>
  </sheets>
  <externalReferences>
    <externalReference r:id="rId15"/>
    <externalReference r:id="rId16"/>
  </externalReferences>
  <definedNames>
    <definedName name="Slicer_Climate_Year">#N/A</definedName>
    <definedName name="Slicer_Generator_ID">#N/A</definedName>
    <definedName name="Slicer_Parameter">#N/A</definedName>
    <definedName name="Slicer_Sector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9" i="1" l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83" i="1" l="1"/>
  <c r="J82" i="1"/>
  <c r="J81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H83" i="1"/>
  <c r="H82" i="1"/>
  <c r="H81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0" i="1"/>
  <c r="B15" i="13"/>
  <c r="C15" i="13"/>
  <c r="B16" i="13"/>
  <c r="C16" i="13"/>
  <c r="B17" i="13"/>
  <c r="C17" i="13"/>
  <c r="B18" i="13"/>
  <c r="C18" i="13"/>
  <c r="B19" i="13"/>
  <c r="C19" i="13"/>
  <c r="B20" i="13"/>
  <c r="C20" i="13"/>
  <c r="B10" i="12"/>
  <c r="C10" i="12"/>
  <c r="B11" i="12"/>
  <c r="C11" i="12"/>
  <c r="B12" i="12"/>
  <c r="C12" i="12"/>
  <c r="B13" i="12"/>
  <c r="C13" i="12"/>
  <c r="B14" i="12"/>
  <c r="C14" i="12"/>
  <c r="B15" i="12"/>
  <c r="C15" i="12"/>
  <c r="B16" i="12"/>
  <c r="C16" i="12"/>
  <c r="B17" i="12"/>
  <c r="C17" i="12"/>
  <c r="B18" i="12"/>
  <c r="C18" i="12"/>
  <c r="B19" i="12"/>
  <c r="C19" i="12"/>
  <c r="B20" i="12"/>
  <c r="C20" i="12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15" i="8"/>
  <c r="C15" i="8"/>
  <c r="B16" i="8"/>
  <c r="C16" i="8"/>
  <c r="B17" i="8"/>
  <c r="C17" i="8"/>
  <c r="B18" i="8"/>
  <c r="C18" i="8"/>
  <c r="B19" i="8"/>
  <c r="C19" i="8"/>
  <c r="B20" i="8"/>
  <c r="C20" i="8"/>
  <c r="B11" i="7"/>
  <c r="C11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6" i="1"/>
  <c r="P971" i="13"/>
  <c r="P970" i="13"/>
  <c r="P969" i="13"/>
  <c r="P968" i="13"/>
  <c r="P967" i="13"/>
  <c r="P966" i="13"/>
  <c r="P965" i="13"/>
  <c r="P964" i="13"/>
  <c r="P963" i="13"/>
  <c r="P962" i="13"/>
  <c r="P961" i="13"/>
  <c r="P960" i="13"/>
  <c r="P959" i="13"/>
  <c r="P958" i="13"/>
  <c r="P957" i="13"/>
  <c r="P956" i="13"/>
  <c r="P955" i="13"/>
  <c r="P954" i="13"/>
  <c r="P953" i="13"/>
  <c r="P952" i="13"/>
  <c r="P951" i="13"/>
  <c r="P950" i="13"/>
  <c r="P949" i="13"/>
  <c r="P948" i="13"/>
  <c r="P947" i="13"/>
  <c r="P946" i="13"/>
  <c r="P945" i="13"/>
  <c r="P944" i="13"/>
  <c r="P943" i="13"/>
  <c r="P942" i="13"/>
  <c r="P941" i="13"/>
  <c r="P940" i="13"/>
  <c r="P939" i="13"/>
  <c r="P938" i="13"/>
  <c r="P937" i="13"/>
  <c r="P936" i="13"/>
  <c r="P935" i="13"/>
  <c r="P934" i="13"/>
  <c r="P933" i="13"/>
  <c r="P932" i="13"/>
  <c r="P931" i="13"/>
  <c r="P930" i="13"/>
  <c r="P929" i="13"/>
  <c r="P928" i="13"/>
  <c r="P927" i="13"/>
  <c r="P926" i="13"/>
  <c r="P925" i="13"/>
  <c r="P924" i="13"/>
  <c r="P923" i="13"/>
  <c r="P922" i="13"/>
  <c r="P921" i="13"/>
  <c r="P920" i="13"/>
  <c r="P919" i="13"/>
  <c r="P918" i="13"/>
  <c r="P917" i="13"/>
  <c r="P916" i="13"/>
  <c r="P915" i="13"/>
  <c r="P914" i="13"/>
  <c r="P913" i="13"/>
  <c r="P912" i="13"/>
  <c r="P911" i="13"/>
  <c r="P910" i="13"/>
  <c r="P909" i="13"/>
  <c r="P908" i="13"/>
  <c r="P907" i="13"/>
  <c r="P906" i="13"/>
  <c r="P905" i="13"/>
  <c r="P904" i="13"/>
  <c r="P903" i="13"/>
  <c r="P902" i="13"/>
  <c r="P901" i="13"/>
  <c r="P900" i="13"/>
  <c r="P899" i="13"/>
  <c r="P898" i="13"/>
  <c r="P897" i="13"/>
  <c r="P896" i="13"/>
  <c r="P895" i="13"/>
  <c r="P894" i="13"/>
  <c r="P893" i="13"/>
  <c r="P892" i="13"/>
  <c r="P891" i="13"/>
  <c r="P890" i="13"/>
  <c r="P889" i="13"/>
  <c r="P888" i="13"/>
  <c r="P887" i="13"/>
  <c r="P886" i="13"/>
  <c r="P885" i="13"/>
  <c r="P884" i="13"/>
  <c r="P883" i="13"/>
  <c r="P882" i="13"/>
  <c r="P881" i="13"/>
  <c r="P880" i="13"/>
  <c r="P879" i="13"/>
  <c r="P878" i="13"/>
  <c r="P877" i="13"/>
  <c r="P876" i="13"/>
  <c r="P875" i="13"/>
  <c r="P874" i="13"/>
  <c r="P873" i="13"/>
  <c r="P872" i="13"/>
  <c r="P871" i="13"/>
  <c r="P870" i="13"/>
  <c r="P869" i="13"/>
  <c r="P868" i="13"/>
  <c r="P867" i="13"/>
  <c r="P866" i="13"/>
  <c r="P865" i="13"/>
  <c r="P864" i="13"/>
  <c r="P863" i="13"/>
  <c r="P862" i="13"/>
  <c r="P861" i="13"/>
  <c r="P860" i="13"/>
  <c r="P859" i="13"/>
  <c r="P858" i="13"/>
  <c r="P857" i="13"/>
  <c r="P856" i="13"/>
  <c r="P854" i="13"/>
  <c r="P853" i="13"/>
  <c r="P852" i="13"/>
  <c r="P851" i="13"/>
  <c r="P850" i="13"/>
  <c r="P849" i="13"/>
  <c r="P848" i="13"/>
  <c r="P847" i="13"/>
  <c r="P846" i="13"/>
  <c r="P845" i="13"/>
  <c r="P844" i="13"/>
  <c r="P843" i="13"/>
  <c r="P842" i="13"/>
  <c r="P841" i="13"/>
  <c r="P840" i="13"/>
  <c r="P839" i="13"/>
  <c r="P838" i="13"/>
  <c r="P837" i="13"/>
  <c r="P836" i="13"/>
  <c r="P835" i="13"/>
  <c r="P834" i="13"/>
  <c r="P833" i="13"/>
  <c r="P832" i="13"/>
  <c r="P831" i="13"/>
  <c r="P830" i="13"/>
  <c r="P829" i="13"/>
  <c r="P828" i="13"/>
  <c r="P827" i="13"/>
  <c r="P826" i="13"/>
  <c r="P825" i="13"/>
  <c r="P824" i="13"/>
  <c r="P823" i="13"/>
  <c r="P822" i="13"/>
  <c r="P821" i="13"/>
  <c r="P820" i="13"/>
  <c r="P819" i="13"/>
  <c r="P818" i="13"/>
  <c r="P817" i="13"/>
  <c r="P816" i="13"/>
  <c r="P815" i="13"/>
  <c r="P814" i="13"/>
  <c r="P813" i="13"/>
  <c r="P812" i="13"/>
  <c r="P811" i="13"/>
  <c r="P810" i="13"/>
  <c r="P809" i="13"/>
  <c r="P808" i="13"/>
  <c r="P807" i="13"/>
  <c r="P806" i="13"/>
  <c r="P805" i="13"/>
  <c r="P804" i="13"/>
  <c r="P803" i="13"/>
  <c r="P802" i="13"/>
  <c r="P801" i="13"/>
  <c r="P800" i="13"/>
  <c r="P799" i="13"/>
  <c r="P798" i="13"/>
  <c r="P797" i="13"/>
  <c r="P796" i="13"/>
  <c r="P795" i="13"/>
  <c r="P794" i="13"/>
  <c r="P793" i="13"/>
  <c r="P792" i="13"/>
  <c r="P791" i="13"/>
  <c r="P790" i="13"/>
  <c r="P789" i="13"/>
  <c r="P788" i="13"/>
  <c r="P787" i="13"/>
  <c r="P786" i="13"/>
  <c r="P785" i="13"/>
  <c r="P784" i="13"/>
  <c r="P783" i="13"/>
  <c r="P782" i="13"/>
  <c r="P781" i="13"/>
  <c r="P780" i="13"/>
  <c r="P779" i="13"/>
  <c r="P778" i="13"/>
  <c r="P777" i="13"/>
  <c r="P776" i="13"/>
  <c r="P775" i="13"/>
  <c r="P774" i="13"/>
  <c r="P773" i="13"/>
  <c r="P772" i="13"/>
  <c r="P771" i="13"/>
  <c r="P770" i="13"/>
  <c r="P769" i="13"/>
  <c r="P768" i="13"/>
  <c r="P767" i="13"/>
  <c r="P766" i="13"/>
  <c r="P765" i="13"/>
  <c r="P764" i="13"/>
  <c r="P763" i="13"/>
  <c r="P762" i="13"/>
  <c r="P761" i="13"/>
  <c r="P760" i="13"/>
  <c r="P759" i="13"/>
  <c r="P758" i="13"/>
  <c r="P757" i="13"/>
  <c r="P756" i="13"/>
  <c r="P755" i="13"/>
  <c r="P754" i="13"/>
  <c r="P753" i="13"/>
  <c r="P752" i="13"/>
  <c r="P751" i="13"/>
  <c r="P750" i="13"/>
  <c r="P749" i="13"/>
  <c r="P748" i="13"/>
  <c r="P747" i="13"/>
  <c r="P746" i="13"/>
  <c r="P745" i="13"/>
  <c r="P744" i="13"/>
  <c r="P743" i="13"/>
  <c r="P742" i="13"/>
  <c r="P741" i="13"/>
  <c r="P740" i="13"/>
  <c r="P739" i="13"/>
  <c r="P738" i="13"/>
  <c r="P737" i="13"/>
  <c r="P736" i="13"/>
  <c r="P735" i="13"/>
  <c r="P734" i="13"/>
  <c r="P733" i="13"/>
  <c r="P732" i="13"/>
  <c r="P731" i="13"/>
  <c r="P730" i="13"/>
  <c r="P729" i="13"/>
  <c r="P728" i="13"/>
  <c r="P727" i="13"/>
  <c r="P726" i="13"/>
  <c r="P725" i="13"/>
  <c r="P724" i="13"/>
  <c r="P723" i="13"/>
  <c r="P722" i="13"/>
  <c r="P721" i="13"/>
  <c r="P720" i="13"/>
  <c r="P719" i="13"/>
  <c r="P718" i="13"/>
  <c r="P717" i="13"/>
  <c r="P716" i="13"/>
  <c r="P715" i="13"/>
  <c r="P714" i="13"/>
  <c r="P713" i="13"/>
  <c r="P712" i="13"/>
  <c r="P711" i="13"/>
  <c r="P710" i="13"/>
  <c r="P709" i="13"/>
  <c r="P708" i="13"/>
  <c r="P707" i="13"/>
  <c r="P706" i="13"/>
  <c r="P705" i="13"/>
  <c r="P704" i="13"/>
  <c r="P703" i="13"/>
  <c r="P702" i="13"/>
  <c r="P701" i="13"/>
  <c r="P700" i="13"/>
  <c r="P699" i="13"/>
  <c r="P698" i="13"/>
  <c r="P697" i="13"/>
  <c r="P696" i="13"/>
  <c r="P695" i="13"/>
  <c r="P694" i="13"/>
  <c r="P693" i="13"/>
  <c r="P692" i="13"/>
  <c r="P691" i="13"/>
  <c r="P690" i="13"/>
  <c r="P689" i="13"/>
  <c r="P688" i="13"/>
  <c r="P687" i="13"/>
  <c r="P686" i="13"/>
  <c r="P685" i="13"/>
  <c r="P684" i="13"/>
  <c r="P683" i="13"/>
  <c r="P682" i="13"/>
  <c r="P681" i="13"/>
  <c r="P680" i="13"/>
  <c r="P679" i="13"/>
  <c r="P678" i="13"/>
  <c r="P677" i="13"/>
  <c r="P676" i="13"/>
  <c r="P675" i="13"/>
  <c r="P674" i="13"/>
  <c r="P673" i="13"/>
  <c r="P672" i="13"/>
  <c r="P671" i="13"/>
  <c r="P670" i="13"/>
  <c r="P669" i="13"/>
  <c r="P668" i="13"/>
  <c r="P667" i="13"/>
  <c r="P666" i="13"/>
  <c r="P665" i="13"/>
  <c r="P664" i="13"/>
  <c r="P663" i="13"/>
  <c r="P662" i="13"/>
  <c r="P661" i="13"/>
  <c r="P660" i="13"/>
  <c r="P659" i="13"/>
  <c r="P658" i="13"/>
  <c r="P657" i="13"/>
  <c r="P656" i="13"/>
  <c r="P655" i="13"/>
  <c r="P654" i="13"/>
  <c r="P653" i="13"/>
  <c r="P652" i="13"/>
  <c r="P651" i="13"/>
  <c r="P650" i="13"/>
  <c r="P649" i="13"/>
  <c r="P648" i="13"/>
  <c r="P647" i="13"/>
  <c r="P646" i="13"/>
  <c r="P645" i="13"/>
  <c r="P644" i="13"/>
  <c r="P643" i="13"/>
  <c r="P642" i="13"/>
  <c r="P641" i="13"/>
  <c r="P640" i="13"/>
  <c r="P639" i="13"/>
  <c r="P638" i="13"/>
  <c r="P637" i="13"/>
  <c r="P636" i="13"/>
  <c r="P635" i="13"/>
  <c r="P634" i="13"/>
  <c r="P633" i="13"/>
  <c r="P632" i="13"/>
  <c r="P631" i="13"/>
  <c r="P630" i="13"/>
  <c r="P629" i="13"/>
  <c r="P628" i="13"/>
  <c r="P627" i="13"/>
  <c r="P626" i="13"/>
  <c r="P625" i="13"/>
  <c r="P624" i="13"/>
  <c r="P623" i="13"/>
  <c r="P622" i="13"/>
  <c r="P621" i="13"/>
  <c r="P620" i="13"/>
  <c r="P619" i="13"/>
  <c r="P618" i="13"/>
  <c r="P617" i="13"/>
  <c r="P616" i="13"/>
  <c r="P615" i="13"/>
  <c r="P614" i="13"/>
  <c r="P613" i="13"/>
  <c r="P612" i="13"/>
  <c r="P611" i="13"/>
  <c r="P610" i="13"/>
  <c r="P609" i="13"/>
  <c r="P608" i="13"/>
  <c r="P607" i="13"/>
  <c r="P606" i="13"/>
  <c r="P605" i="13"/>
  <c r="P604" i="13"/>
  <c r="P603" i="13"/>
  <c r="P602" i="13"/>
  <c r="P601" i="13"/>
  <c r="P600" i="13"/>
  <c r="P599" i="13"/>
  <c r="P598" i="13"/>
  <c r="P597" i="13"/>
  <c r="P596" i="13"/>
  <c r="P595" i="13"/>
  <c r="P594" i="13"/>
  <c r="P593" i="13"/>
  <c r="P592" i="13"/>
  <c r="P591" i="13"/>
  <c r="P590" i="13"/>
  <c r="P589" i="13"/>
  <c r="P588" i="13"/>
  <c r="P587" i="13"/>
  <c r="P586" i="13"/>
  <c r="P585" i="13"/>
  <c r="P584" i="13"/>
  <c r="P583" i="13"/>
  <c r="P582" i="13"/>
  <c r="P581" i="13"/>
  <c r="P580" i="13"/>
  <c r="P579" i="13"/>
  <c r="P578" i="13"/>
  <c r="P577" i="13"/>
  <c r="P576" i="13"/>
  <c r="P575" i="13"/>
  <c r="P574" i="13"/>
  <c r="P573" i="13"/>
  <c r="P572" i="13"/>
  <c r="P571" i="13"/>
  <c r="P570" i="13"/>
  <c r="P569" i="13"/>
  <c r="P568" i="13"/>
  <c r="P567" i="13"/>
  <c r="P566" i="13"/>
  <c r="P565" i="13"/>
  <c r="P564" i="13"/>
  <c r="P563" i="13"/>
  <c r="P562" i="13"/>
  <c r="P561" i="13"/>
  <c r="P560" i="13"/>
  <c r="P559" i="13"/>
  <c r="P558" i="13"/>
  <c r="P557" i="13"/>
  <c r="P556" i="13"/>
  <c r="P555" i="13"/>
  <c r="P554" i="13"/>
  <c r="P553" i="13"/>
  <c r="P552" i="13"/>
  <c r="P551" i="13"/>
  <c r="P550" i="13"/>
  <c r="P549" i="13"/>
  <c r="P548" i="13"/>
  <c r="P547" i="13"/>
  <c r="P546" i="13"/>
  <c r="P545" i="13"/>
  <c r="P544" i="13"/>
  <c r="P543" i="13"/>
  <c r="P542" i="13"/>
  <c r="P541" i="13"/>
  <c r="P540" i="13"/>
  <c r="P539" i="13"/>
  <c r="P538" i="13"/>
  <c r="P537" i="13"/>
  <c r="P536" i="13"/>
  <c r="P535" i="13"/>
  <c r="P534" i="13"/>
  <c r="P533" i="13"/>
  <c r="P532" i="13"/>
  <c r="P531" i="13"/>
  <c r="P530" i="13"/>
  <c r="P529" i="13"/>
  <c r="P528" i="13"/>
  <c r="P527" i="13"/>
  <c r="P526" i="13"/>
  <c r="P525" i="13"/>
  <c r="P524" i="13"/>
  <c r="P523" i="13"/>
  <c r="P522" i="13"/>
  <c r="P521" i="13"/>
  <c r="P520" i="13"/>
  <c r="P519" i="13"/>
  <c r="P518" i="13"/>
  <c r="P517" i="13"/>
  <c r="P516" i="13"/>
  <c r="P515" i="13"/>
  <c r="P514" i="13"/>
  <c r="P513" i="13"/>
  <c r="P512" i="13"/>
  <c r="P511" i="13"/>
  <c r="P510" i="13"/>
  <c r="P509" i="13"/>
  <c r="P508" i="13"/>
  <c r="P507" i="13"/>
  <c r="P506" i="13"/>
  <c r="P505" i="13"/>
  <c r="P504" i="13"/>
  <c r="P503" i="13"/>
  <c r="P502" i="13"/>
  <c r="P501" i="13"/>
  <c r="P500" i="13"/>
  <c r="P499" i="13"/>
  <c r="P498" i="13"/>
  <c r="P497" i="13"/>
  <c r="P496" i="13"/>
  <c r="P495" i="13"/>
  <c r="P494" i="13"/>
  <c r="P493" i="13"/>
  <c r="P492" i="13"/>
  <c r="P491" i="13"/>
  <c r="P490" i="13"/>
  <c r="P489" i="13"/>
  <c r="P488" i="13"/>
  <c r="P487" i="13"/>
  <c r="P486" i="13"/>
  <c r="P485" i="13"/>
  <c r="P484" i="13"/>
  <c r="P483" i="13"/>
  <c r="P482" i="13"/>
  <c r="P481" i="13"/>
  <c r="P480" i="13"/>
  <c r="P479" i="13"/>
  <c r="P478" i="13"/>
  <c r="P477" i="13"/>
  <c r="P476" i="13"/>
  <c r="P475" i="13"/>
  <c r="P474" i="13"/>
  <c r="P473" i="13"/>
  <c r="P472" i="13"/>
  <c r="P471" i="13"/>
  <c r="P470" i="13"/>
  <c r="P469" i="13"/>
  <c r="P468" i="13"/>
  <c r="P467" i="13"/>
  <c r="P466" i="13"/>
  <c r="P465" i="13"/>
  <c r="P464" i="13"/>
  <c r="P463" i="13"/>
  <c r="P462" i="13"/>
  <c r="P461" i="13"/>
  <c r="P460" i="13"/>
  <c r="P459" i="13"/>
  <c r="P458" i="13"/>
  <c r="P457" i="13"/>
  <c r="P456" i="13"/>
  <c r="P455" i="13"/>
  <c r="P454" i="13"/>
  <c r="P453" i="13"/>
  <c r="P452" i="13"/>
  <c r="P451" i="13"/>
  <c r="P450" i="13"/>
  <c r="P449" i="13"/>
  <c r="P448" i="13"/>
  <c r="P447" i="13"/>
  <c r="P446" i="13"/>
  <c r="P445" i="13"/>
  <c r="P444" i="13"/>
  <c r="P443" i="13"/>
  <c r="P442" i="13"/>
  <c r="P441" i="13"/>
  <c r="P440" i="13"/>
  <c r="P439" i="13"/>
  <c r="P438" i="13"/>
  <c r="P437" i="13"/>
  <c r="P436" i="13"/>
  <c r="P435" i="13"/>
  <c r="P434" i="13"/>
  <c r="P433" i="13"/>
  <c r="P432" i="13"/>
  <c r="P431" i="13"/>
  <c r="P430" i="13"/>
  <c r="P429" i="13"/>
  <c r="P428" i="13"/>
  <c r="P427" i="13"/>
  <c r="P426" i="13"/>
  <c r="P425" i="13"/>
  <c r="P424" i="13"/>
  <c r="P423" i="13"/>
  <c r="P422" i="13"/>
  <c r="P421" i="13"/>
  <c r="P420" i="13"/>
  <c r="P419" i="13"/>
  <c r="P418" i="13"/>
  <c r="P417" i="13"/>
  <c r="P416" i="13"/>
  <c r="P415" i="13"/>
  <c r="P414" i="13"/>
  <c r="P413" i="13"/>
  <c r="P412" i="13"/>
  <c r="P411" i="13"/>
  <c r="P410" i="13"/>
  <c r="P409" i="13"/>
  <c r="P408" i="13"/>
  <c r="P407" i="13"/>
  <c r="P406" i="13"/>
  <c r="P405" i="13"/>
  <c r="P404" i="13"/>
  <c r="P403" i="13"/>
  <c r="P402" i="13"/>
  <c r="P401" i="13"/>
  <c r="P400" i="13"/>
  <c r="P399" i="13"/>
  <c r="P398" i="13"/>
  <c r="P397" i="13"/>
  <c r="P396" i="13"/>
  <c r="P395" i="13"/>
  <c r="P394" i="13"/>
  <c r="P393" i="13"/>
  <c r="P392" i="13"/>
  <c r="P391" i="13"/>
  <c r="P390" i="13"/>
  <c r="P389" i="13"/>
  <c r="P388" i="13"/>
  <c r="P387" i="13"/>
  <c r="P386" i="13"/>
  <c r="P385" i="13"/>
  <c r="P384" i="13"/>
  <c r="P383" i="13"/>
  <c r="P382" i="13"/>
  <c r="P381" i="13"/>
  <c r="P380" i="13"/>
  <c r="P379" i="13"/>
  <c r="P378" i="13"/>
  <c r="P377" i="13"/>
  <c r="P376" i="13"/>
  <c r="P375" i="13"/>
  <c r="P374" i="13"/>
  <c r="P373" i="13"/>
  <c r="P372" i="13"/>
  <c r="P371" i="13"/>
  <c r="P370" i="13"/>
  <c r="P369" i="13"/>
  <c r="P368" i="13"/>
  <c r="P367" i="13"/>
  <c r="P366" i="13"/>
  <c r="P365" i="13"/>
  <c r="P364" i="13"/>
  <c r="P363" i="13"/>
  <c r="P362" i="13"/>
  <c r="P361" i="13"/>
  <c r="P360" i="13"/>
  <c r="P359" i="13"/>
  <c r="P358" i="13"/>
  <c r="P357" i="13"/>
  <c r="P356" i="13"/>
  <c r="P355" i="13"/>
  <c r="P354" i="13"/>
  <c r="P353" i="13"/>
  <c r="P352" i="13"/>
  <c r="P351" i="13"/>
  <c r="P350" i="13"/>
  <c r="P349" i="13"/>
  <c r="P348" i="13"/>
  <c r="P347" i="13"/>
  <c r="P346" i="13"/>
  <c r="P345" i="13"/>
  <c r="P344" i="13"/>
  <c r="P343" i="13"/>
  <c r="P342" i="13"/>
  <c r="P341" i="13"/>
  <c r="P340" i="13"/>
  <c r="P339" i="13"/>
  <c r="P338" i="13"/>
  <c r="P337" i="13"/>
  <c r="P336" i="13"/>
  <c r="P335" i="13"/>
  <c r="P334" i="13"/>
  <c r="P333" i="13"/>
  <c r="P332" i="13"/>
  <c r="P331" i="13"/>
  <c r="P330" i="13"/>
  <c r="P329" i="13"/>
  <c r="P328" i="13"/>
  <c r="P327" i="13"/>
  <c r="P326" i="13"/>
  <c r="P325" i="13"/>
  <c r="P324" i="13"/>
  <c r="P323" i="13"/>
  <c r="P322" i="13"/>
  <c r="P321" i="13"/>
  <c r="P320" i="13"/>
  <c r="P319" i="13"/>
  <c r="P318" i="13"/>
  <c r="P317" i="13"/>
  <c r="P316" i="13"/>
  <c r="P315" i="13"/>
  <c r="P314" i="13"/>
  <c r="P313" i="13"/>
  <c r="P312" i="13"/>
  <c r="P311" i="13"/>
  <c r="P310" i="13"/>
  <c r="P309" i="13"/>
  <c r="P308" i="13"/>
  <c r="P307" i="13"/>
  <c r="P306" i="13"/>
  <c r="P305" i="13"/>
  <c r="P304" i="13"/>
  <c r="P303" i="13"/>
  <c r="P302" i="13"/>
  <c r="P301" i="13"/>
  <c r="P300" i="13"/>
  <c r="P299" i="13"/>
  <c r="P298" i="13"/>
  <c r="P297" i="13"/>
  <c r="P296" i="13"/>
  <c r="P295" i="13"/>
  <c r="P294" i="13"/>
  <c r="P293" i="13"/>
  <c r="P292" i="13"/>
  <c r="P291" i="13"/>
  <c r="P290" i="13"/>
  <c r="P289" i="13"/>
  <c r="P288" i="13"/>
  <c r="P287" i="13"/>
  <c r="P286" i="13"/>
  <c r="P285" i="13"/>
  <c r="P284" i="13"/>
  <c r="P283" i="13"/>
  <c r="P282" i="13"/>
  <c r="P281" i="13"/>
  <c r="P280" i="13"/>
  <c r="P279" i="13"/>
  <c r="P278" i="13"/>
  <c r="P277" i="13"/>
  <c r="P276" i="13"/>
  <c r="P275" i="13"/>
  <c r="P274" i="13"/>
  <c r="P273" i="13"/>
  <c r="P272" i="13"/>
  <c r="P271" i="13"/>
  <c r="P270" i="13"/>
  <c r="P269" i="13"/>
  <c r="P268" i="13"/>
  <c r="P267" i="13"/>
  <c r="P266" i="13"/>
  <c r="P265" i="13"/>
  <c r="P264" i="13"/>
  <c r="P263" i="13"/>
  <c r="P262" i="13"/>
  <c r="P261" i="13"/>
  <c r="P260" i="13"/>
  <c r="P259" i="13"/>
  <c r="P258" i="13"/>
  <c r="P257" i="13"/>
  <c r="P256" i="13"/>
  <c r="P255" i="13"/>
  <c r="P254" i="13"/>
  <c r="P253" i="13"/>
  <c r="P252" i="13"/>
  <c r="P251" i="13"/>
  <c r="P250" i="13"/>
  <c r="P249" i="13"/>
  <c r="P248" i="13"/>
  <c r="P247" i="13"/>
  <c r="P246" i="13"/>
  <c r="P245" i="13"/>
  <c r="P244" i="13"/>
  <c r="P243" i="13"/>
  <c r="P242" i="13"/>
  <c r="P241" i="13"/>
  <c r="P240" i="13"/>
  <c r="P239" i="13"/>
  <c r="P238" i="13"/>
  <c r="P237" i="13"/>
  <c r="P236" i="13"/>
  <c r="P235" i="13"/>
  <c r="P234" i="13"/>
  <c r="P233" i="13"/>
  <c r="P232" i="13"/>
  <c r="P231" i="13"/>
  <c r="P230" i="13"/>
  <c r="P229" i="13"/>
  <c r="P228" i="13"/>
  <c r="P227" i="13"/>
  <c r="P226" i="13"/>
  <c r="P225" i="13"/>
  <c r="P224" i="13"/>
  <c r="P223" i="13"/>
  <c r="P222" i="13"/>
  <c r="P221" i="13"/>
  <c r="P220" i="13"/>
  <c r="P219" i="13"/>
  <c r="P218" i="13"/>
  <c r="P217" i="13"/>
  <c r="P216" i="13"/>
  <c r="P215" i="13"/>
  <c r="P214" i="13"/>
  <c r="P213" i="13"/>
  <c r="P212" i="13"/>
  <c r="P211" i="13"/>
  <c r="P210" i="13"/>
  <c r="P209" i="13"/>
  <c r="P208" i="13"/>
  <c r="P207" i="13"/>
  <c r="P206" i="13"/>
  <c r="P205" i="13"/>
  <c r="P204" i="13"/>
  <c r="P203" i="13"/>
  <c r="P202" i="13"/>
  <c r="P201" i="13"/>
  <c r="P200" i="13"/>
  <c r="P199" i="13"/>
  <c r="P198" i="13"/>
  <c r="P197" i="13"/>
  <c r="P196" i="13"/>
  <c r="P195" i="13"/>
  <c r="P194" i="13"/>
  <c r="P193" i="13"/>
  <c r="P192" i="13"/>
  <c r="P191" i="13"/>
  <c r="P190" i="13"/>
  <c r="P189" i="13"/>
  <c r="P188" i="13"/>
  <c r="P187" i="13"/>
  <c r="P186" i="13"/>
  <c r="P185" i="13"/>
  <c r="P184" i="13"/>
  <c r="P183" i="13"/>
  <c r="P182" i="13"/>
  <c r="P181" i="13"/>
  <c r="P180" i="13"/>
  <c r="P179" i="13"/>
  <c r="P178" i="13"/>
  <c r="P177" i="13"/>
  <c r="P176" i="13"/>
  <c r="P175" i="13"/>
  <c r="P174" i="13"/>
  <c r="P173" i="13"/>
  <c r="P172" i="13"/>
  <c r="P171" i="13"/>
  <c r="P170" i="13"/>
  <c r="P169" i="13"/>
  <c r="P168" i="13"/>
  <c r="P167" i="13"/>
  <c r="P166" i="13"/>
  <c r="P165" i="13"/>
  <c r="P164" i="13"/>
  <c r="P163" i="13"/>
  <c r="P162" i="13"/>
  <c r="P161" i="13"/>
  <c r="P160" i="13"/>
  <c r="P159" i="13"/>
  <c r="P158" i="13"/>
  <c r="P157" i="13"/>
  <c r="P156" i="13"/>
  <c r="P155" i="13"/>
  <c r="P154" i="13"/>
  <c r="P153" i="13"/>
  <c r="P152" i="13"/>
  <c r="P151" i="13"/>
  <c r="P150" i="13"/>
  <c r="P149" i="13"/>
  <c r="P148" i="13"/>
  <c r="P147" i="13"/>
  <c r="P146" i="13"/>
  <c r="P145" i="13"/>
  <c r="P144" i="13"/>
  <c r="P143" i="13"/>
  <c r="P142" i="13"/>
  <c r="P141" i="13"/>
  <c r="P140" i="13"/>
  <c r="P139" i="13"/>
  <c r="P138" i="13"/>
  <c r="P137" i="13"/>
  <c r="P136" i="13"/>
  <c r="P135" i="13"/>
  <c r="P134" i="13"/>
  <c r="P133" i="13"/>
  <c r="P132" i="13"/>
  <c r="P131" i="13"/>
  <c r="P130" i="13"/>
  <c r="P129" i="13"/>
  <c r="P128" i="13"/>
  <c r="P127" i="13"/>
  <c r="P126" i="13"/>
  <c r="P125" i="13"/>
  <c r="P124" i="13"/>
  <c r="P123" i="13"/>
  <c r="P122" i="13"/>
  <c r="P121" i="13"/>
  <c r="P120" i="13"/>
  <c r="P119" i="13"/>
  <c r="P118" i="13"/>
  <c r="P117" i="13"/>
  <c r="P116" i="13"/>
  <c r="P115" i="13"/>
  <c r="P114" i="13"/>
  <c r="P113" i="13"/>
  <c r="P112" i="13"/>
  <c r="P111" i="13"/>
  <c r="P110" i="13"/>
  <c r="P109" i="13"/>
  <c r="P108" i="13"/>
  <c r="P107" i="13"/>
  <c r="P106" i="13"/>
  <c r="P105" i="13"/>
  <c r="P104" i="13"/>
  <c r="P103" i="13"/>
  <c r="P102" i="13"/>
  <c r="P101" i="13"/>
  <c r="P100" i="13"/>
  <c r="P99" i="13"/>
  <c r="P98" i="13"/>
  <c r="P97" i="13"/>
  <c r="P96" i="13"/>
  <c r="P95" i="13"/>
  <c r="P94" i="13"/>
  <c r="P93" i="13"/>
  <c r="P92" i="13"/>
  <c r="P91" i="13"/>
  <c r="P90" i="13"/>
  <c r="P89" i="13"/>
  <c r="P88" i="13"/>
  <c r="P87" i="13"/>
  <c r="P86" i="13"/>
  <c r="P85" i="13"/>
  <c r="P84" i="13"/>
  <c r="P83" i="13"/>
  <c r="P82" i="13"/>
  <c r="P81" i="13"/>
  <c r="P80" i="13"/>
  <c r="P79" i="13"/>
  <c r="P78" i="13"/>
  <c r="P77" i="13"/>
  <c r="P76" i="13"/>
  <c r="P75" i="13"/>
  <c r="P74" i="13"/>
  <c r="P73" i="13"/>
  <c r="P72" i="13"/>
  <c r="P71" i="13"/>
  <c r="P70" i="13"/>
  <c r="P69" i="13"/>
  <c r="P68" i="13"/>
  <c r="P67" i="13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855" i="13"/>
  <c r="AN9" i="1"/>
  <c r="AE9" i="1" s="1"/>
  <c r="AN10" i="1"/>
  <c r="AN11" i="1"/>
  <c r="AN12" i="1"/>
  <c r="AN13" i="1"/>
  <c r="AE11" i="1" s="1"/>
  <c r="AN14" i="1"/>
  <c r="AN15" i="1"/>
  <c r="AE13" i="1" s="1"/>
  <c r="AN16" i="1"/>
  <c r="AN17" i="1"/>
  <c r="AN18" i="1"/>
  <c r="AN19" i="1"/>
  <c r="AN20" i="1"/>
  <c r="AE14" i="1" s="1"/>
  <c r="AN21" i="1"/>
  <c r="AN22" i="1"/>
  <c r="AN23" i="1"/>
  <c r="AN24" i="1"/>
  <c r="AN25" i="1"/>
  <c r="AN26" i="1"/>
  <c r="AE12" i="1" s="1"/>
  <c r="AN27" i="1"/>
  <c r="AN8" i="1"/>
  <c r="AD6" i="1"/>
  <c r="AD14" i="1" l="1"/>
  <c r="Q60" i="1" s="1"/>
  <c r="AE10" i="1"/>
  <c r="AD12" i="1"/>
  <c r="Q50" i="1" s="1"/>
  <c r="AD11" i="1"/>
  <c r="Q41" i="1" s="1"/>
  <c r="Q82" i="1"/>
  <c r="Q81" i="1"/>
  <c r="AD9" i="1"/>
  <c r="Q16" i="1" s="1"/>
  <c r="AD13" i="1"/>
  <c r="Q57" i="1" s="1"/>
  <c r="Q83" i="1"/>
  <c r="AE8" i="1"/>
  <c r="AD8" i="1" s="1"/>
  <c r="Q6" i="1" s="1"/>
  <c r="AD10" i="1"/>
  <c r="Q28" i="1" s="1"/>
  <c r="Q40" i="1"/>
  <c r="Q42" i="1"/>
  <c r="AE15" i="1"/>
  <c r="AD15" i="1" s="1"/>
  <c r="Q71" i="1" s="1"/>
  <c r="Q95" i="1" l="1"/>
  <c r="Q104" i="1"/>
  <c r="Q107" i="1"/>
  <c r="Q105" i="1"/>
  <c r="Q94" i="1"/>
  <c r="Q108" i="1"/>
  <c r="Q100" i="1"/>
  <c r="Q114" i="1"/>
  <c r="Q119" i="1"/>
  <c r="Q66" i="1"/>
  <c r="Q96" i="1"/>
  <c r="Q97" i="1"/>
  <c r="Q99" i="1"/>
  <c r="Q113" i="1"/>
  <c r="Q122" i="1"/>
  <c r="Q112" i="1"/>
  <c r="Q117" i="1"/>
  <c r="Q110" i="1"/>
  <c r="Q64" i="1"/>
  <c r="Q103" i="1"/>
  <c r="Q116" i="1"/>
  <c r="Q111" i="1"/>
  <c r="Q118" i="1"/>
  <c r="Q63" i="1"/>
  <c r="Q121" i="1"/>
  <c r="Q102" i="1"/>
  <c r="Q115" i="1"/>
  <c r="Q101" i="1"/>
  <c r="Q61" i="1"/>
  <c r="Q62" i="1"/>
  <c r="Q106" i="1"/>
  <c r="Q120" i="1"/>
  <c r="Q98" i="1"/>
  <c r="Q109" i="1"/>
  <c r="Q46" i="1"/>
  <c r="Q49" i="1"/>
  <c r="Q51" i="1"/>
  <c r="Q48" i="1"/>
  <c r="Q47" i="1"/>
  <c r="Q44" i="1"/>
  <c r="Q65" i="1"/>
  <c r="Q59" i="1"/>
  <c r="Q45" i="1"/>
  <c r="Q37" i="1"/>
  <c r="Q32" i="1"/>
  <c r="Q30" i="1"/>
  <c r="Q22" i="1"/>
  <c r="Q24" i="1"/>
  <c r="Q34" i="1"/>
  <c r="Q25" i="1"/>
  <c r="Q26" i="1"/>
  <c r="Q36" i="1"/>
  <c r="Q35" i="1"/>
  <c r="Q43" i="1"/>
  <c r="Q39" i="1"/>
  <c r="Q38" i="1"/>
  <c r="Q53" i="1"/>
  <c r="Q13" i="1"/>
  <c r="Q52" i="1"/>
  <c r="Q3" i="1"/>
  <c r="Q9" i="1"/>
  <c r="Q11" i="1"/>
  <c r="Q4" i="1"/>
  <c r="Q5" i="1"/>
  <c r="Q8" i="1"/>
  <c r="Q20" i="1"/>
  <c r="Q17" i="1"/>
  <c r="Q67" i="1"/>
  <c r="Q74" i="1"/>
  <c r="Q14" i="1"/>
  <c r="Q54" i="1"/>
  <c r="Q56" i="1"/>
  <c r="Q70" i="1"/>
  <c r="Q78" i="1"/>
  <c r="Q55" i="1"/>
  <c r="Q58" i="1"/>
  <c r="Q73" i="1"/>
  <c r="Q79" i="1"/>
  <c r="Q10" i="1"/>
  <c r="Q23" i="1"/>
  <c r="Q72" i="1"/>
  <c r="Q7" i="1"/>
  <c r="Q69" i="1"/>
  <c r="Q21" i="1"/>
  <c r="Q31" i="1"/>
  <c r="Q19" i="1"/>
  <c r="Q77" i="1"/>
  <c r="Q76" i="1"/>
  <c r="Q29" i="1"/>
  <c r="Q33" i="1"/>
  <c r="Q18" i="1"/>
  <c r="Q75" i="1"/>
  <c r="Q68" i="1"/>
  <c r="Q15" i="1"/>
  <c r="Q27" i="1"/>
  <c r="Q12" i="1"/>
  <c r="G20" i="13"/>
  <c r="F20" i="13"/>
  <c r="G19" i="13"/>
  <c r="F19" i="13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G20" i="10"/>
  <c r="F20" i="10"/>
  <c r="G19" i="10"/>
  <c r="F19" i="10"/>
  <c r="G18" i="10"/>
  <c r="F18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1" i="10"/>
  <c r="F11" i="10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20" i="8"/>
  <c r="F20" i="8"/>
  <c r="G19" i="8"/>
  <c r="F19" i="8"/>
  <c r="G18" i="8"/>
  <c r="F18" i="8"/>
  <c r="G17" i="8"/>
  <c r="F17" i="8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20" i="6"/>
  <c r="G19" i="6"/>
  <c r="G18" i="6"/>
  <c r="G17" i="6"/>
  <c r="G16" i="6"/>
  <c r="G15" i="6"/>
  <c r="F20" i="6"/>
  <c r="F19" i="6"/>
  <c r="F18" i="6"/>
  <c r="F17" i="6"/>
  <c r="F16" i="6"/>
  <c r="F15" i="6"/>
  <c r="A2" i="6" a="1"/>
  <c r="A2" i="7" a="1"/>
  <c r="A2" i="8" a="1"/>
  <c r="A2" i="9" a="1"/>
  <c r="A2" i="10" a="1"/>
  <c r="A2" i="11" a="1"/>
  <c r="A2" i="12" a="1"/>
  <c r="A2" i="13" a="1"/>
  <c r="S85" i="1"/>
  <c r="S86" i="1"/>
  <c r="S87" i="1"/>
  <c r="S88" i="1"/>
  <c r="S89" i="1"/>
  <c r="S90" i="1"/>
  <c r="S91" i="1"/>
  <c r="S92" i="1"/>
  <c r="I968" i="13"/>
  <c r="I966" i="13"/>
  <c r="I964" i="13"/>
  <c r="I962" i="13"/>
  <c r="I960" i="13"/>
  <c r="I955" i="13"/>
  <c r="I953" i="13"/>
  <c r="I951" i="13"/>
  <c r="I949" i="13"/>
  <c r="I947" i="13"/>
  <c r="I943" i="13"/>
  <c r="I941" i="13"/>
  <c r="I939" i="13"/>
  <c r="I937" i="13"/>
  <c r="I935" i="13"/>
  <c r="I933" i="13"/>
  <c r="I931" i="13"/>
  <c r="I929" i="13"/>
  <c r="I927" i="13"/>
  <c r="I925" i="13"/>
  <c r="I40" i="12"/>
  <c r="I60" i="11"/>
  <c r="I47" i="10"/>
  <c r="I47" i="9"/>
  <c r="I42" i="9"/>
  <c r="I51" i="8"/>
  <c r="I46" i="8"/>
  <c r="I44" i="8"/>
  <c r="I56" i="7"/>
  <c r="I54" i="7"/>
  <c r="I49" i="7"/>
  <c r="I62" i="6"/>
  <c r="I60" i="6"/>
  <c r="I69" i="6"/>
  <c r="I34" i="15"/>
  <c r="I35" i="15" s="1"/>
  <c r="F2" i="16" s="1"/>
  <c r="B94" i="14"/>
  <c r="B3" i="13" l="1"/>
  <c r="B9" i="13"/>
  <c r="C3" i="13"/>
  <c r="B4" i="13"/>
  <c r="B10" i="13"/>
  <c r="C4" i="13"/>
  <c r="C10" i="13"/>
  <c r="B5" i="13"/>
  <c r="B11" i="13"/>
  <c r="C11" i="13"/>
  <c r="B6" i="13"/>
  <c r="C6" i="13"/>
  <c r="C12" i="13"/>
  <c r="B7" i="13"/>
  <c r="C7" i="13"/>
  <c r="C13" i="13"/>
  <c r="B8" i="13"/>
  <c r="C14" i="13"/>
  <c r="B7" i="11"/>
  <c r="C7" i="11"/>
  <c r="C8" i="11"/>
  <c r="B3" i="11"/>
  <c r="C3" i="11"/>
  <c r="B4" i="11"/>
  <c r="C4" i="11"/>
  <c r="B5" i="11"/>
  <c r="C5" i="11"/>
  <c r="B6" i="11"/>
  <c r="C6" i="11"/>
  <c r="B5" i="9"/>
  <c r="C5" i="9"/>
  <c r="B6" i="9"/>
  <c r="C6" i="9"/>
  <c r="B7" i="9"/>
  <c r="C7" i="9"/>
  <c r="B8" i="9"/>
  <c r="C8" i="9"/>
  <c r="B3" i="9"/>
  <c r="B9" i="9"/>
  <c r="C3" i="9"/>
  <c r="C9" i="9"/>
  <c r="B4" i="9"/>
  <c r="C4" i="9"/>
  <c r="C10" i="9"/>
  <c r="B8" i="12"/>
  <c r="C8" i="12"/>
  <c r="B3" i="12"/>
  <c r="C3" i="12"/>
  <c r="C9" i="12"/>
  <c r="B4" i="12"/>
  <c r="C4" i="12"/>
  <c r="B5" i="12"/>
  <c r="C5" i="12"/>
  <c r="B6" i="12"/>
  <c r="C6" i="12"/>
  <c r="B7" i="12"/>
  <c r="C7" i="12"/>
  <c r="B3" i="7"/>
  <c r="B9" i="7"/>
  <c r="C3" i="7"/>
  <c r="C9" i="7"/>
  <c r="B4" i="7"/>
  <c r="C4" i="7"/>
  <c r="C10" i="7"/>
  <c r="B5" i="7"/>
  <c r="C5" i="7"/>
  <c r="B6" i="7"/>
  <c r="C6" i="7"/>
  <c r="B7" i="7"/>
  <c r="C7" i="7"/>
  <c r="B8" i="7"/>
  <c r="C8" i="7"/>
  <c r="C6" i="10"/>
  <c r="C7" i="10"/>
  <c r="B8" i="10"/>
  <c r="C8" i="10"/>
  <c r="B3" i="10"/>
  <c r="C3" i="10"/>
  <c r="C9" i="10"/>
  <c r="B4" i="10"/>
  <c r="C4" i="10"/>
  <c r="B5" i="10"/>
  <c r="C5" i="10"/>
  <c r="B8" i="6"/>
  <c r="C8" i="6"/>
  <c r="B3" i="6"/>
  <c r="C3" i="6"/>
  <c r="C9" i="6"/>
  <c r="B4" i="6"/>
  <c r="C4" i="6"/>
  <c r="C10" i="6"/>
  <c r="B5" i="6"/>
  <c r="C5" i="6"/>
  <c r="C11" i="6"/>
  <c r="B6" i="6"/>
  <c r="C6" i="6"/>
  <c r="B7" i="6"/>
  <c r="C7" i="6"/>
  <c r="B4" i="8"/>
  <c r="B10" i="8"/>
  <c r="C4" i="8"/>
  <c r="C10" i="8"/>
  <c r="B5" i="8"/>
  <c r="B11" i="8"/>
  <c r="C5" i="8"/>
  <c r="C11" i="8"/>
  <c r="B6" i="8"/>
  <c r="C6" i="8"/>
  <c r="C12" i="8"/>
  <c r="B7" i="8"/>
  <c r="C7" i="8"/>
  <c r="C13" i="8"/>
  <c r="B8" i="8"/>
  <c r="C8" i="8"/>
  <c r="C14" i="8"/>
  <c r="B3" i="8"/>
  <c r="B9" i="8"/>
  <c r="C3" i="8"/>
  <c r="C9" i="8"/>
  <c r="A2" i="12"/>
  <c r="F2" i="12" s="1"/>
  <c r="A2" i="11"/>
  <c r="G2" i="11" s="1"/>
  <c r="A2" i="10"/>
  <c r="G10" i="10"/>
  <c r="F10" i="10"/>
  <c r="G12" i="9"/>
  <c r="F12" i="9"/>
  <c r="A2" i="9"/>
  <c r="F11" i="9"/>
  <c r="G11" i="9"/>
  <c r="A2" i="8"/>
  <c r="G2" i="8" s="1"/>
  <c r="G16" i="8"/>
  <c r="F16" i="8"/>
  <c r="F15" i="8"/>
  <c r="G15" i="8"/>
  <c r="F13" i="6"/>
  <c r="G14" i="6"/>
  <c r="G13" i="6"/>
  <c r="F14" i="6"/>
  <c r="A2" i="6"/>
  <c r="F12" i="6"/>
  <c r="G12" i="6"/>
  <c r="A2" i="13"/>
  <c r="F17" i="13"/>
  <c r="F16" i="13"/>
  <c r="G16" i="13"/>
  <c r="G17" i="13"/>
  <c r="F18" i="13"/>
  <c r="G18" i="13"/>
  <c r="G4" i="12"/>
  <c r="G8" i="11"/>
  <c r="G2" i="9"/>
  <c r="G6" i="9"/>
  <c r="G8" i="9"/>
  <c r="G10" i="9"/>
  <c r="G6" i="7"/>
  <c r="G4" i="8"/>
  <c r="G8" i="7"/>
  <c r="G6" i="8"/>
  <c r="G3" i="11"/>
  <c r="G9" i="7"/>
  <c r="G10" i="8"/>
  <c r="F6" i="11"/>
  <c r="G10" i="7"/>
  <c r="G12" i="8"/>
  <c r="G6" i="11"/>
  <c r="G7" i="11"/>
  <c r="G4" i="9"/>
  <c r="G5" i="9"/>
  <c r="A2" i="7"/>
  <c r="G4" i="7"/>
  <c r="G3" i="7"/>
  <c r="G12" i="7"/>
  <c r="G7" i="6"/>
  <c r="F5" i="7"/>
  <c r="F11" i="7"/>
  <c r="F3" i="8"/>
  <c r="F9" i="8"/>
  <c r="F7" i="9"/>
  <c r="F5" i="10"/>
  <c r="F3" i="11"/>
  <c r="F7" i="12"/>
  <c r="G8" i="8"/>
  <c r="G14" i="8"/>
  <c r="G5" i="7"/>
  <c r="G11" i="7"/>
  <c r="G7" i="9"/>
  <c r="G5" i="10"/>
  <c r="G7" i="12"/>
  <c r="G6" i="6"/>
  <c r="F3" i="6"/>
  <c r="G8" i="6"/>
  <c r="G3" i="8"/>
  <c r="G9" i="8"/>
  <c r="F4" i="6"/>
  <c r="G9" i="6"/>
  <c r="F6" i="7"/>
  <c r="F12" i="7"/>
  <c r="F4" i="8"/>
  <c r="F10" i="8"/>
  <c r="F8" i="9"/>
  <c r="F6" i="10"/>
  <c r="F4" i="11"/>
  <c r="F8" i="12"/>
  <c r="G6" i="10"/>
  <c r="G4" i="11"/>
  <c r="G8" i="12"/>
  <c r="F6" i="6"/>
  <c r="G11" i="6"/>
  <c r="F7" i="7"/>
  <c r="F5" i="8"/>
  <c r="F11" i="8"/>
  <c r="F3" i="9"/>
  <c r="F9" i="9"/>
  <c r="F7" i="10"/>
  <c r="F5" i="11"/>
  <c r="F3" i="12"/>
  <c r="F9" i="12"/>
  <c r="G8" i="10"/>
  <c r="G7" i="7"/>
  <c r="G5" i="8"/>
  <c r="G11" i="8"/>
  <c r="G3" i="9"/>
  <c r="G9" i="9"/>
  <c r="G7" i="10"/>
  <c r="G5" i="11"/>
  <c r="G3" i="12"/>
  <c r="G9" i="12"/>
  <c r="F5" i="6"/>
  <c r="G10" i="6"/>
  <c r="F7" i="6"/>
  <c r="F8" i="6"/>
  <c r="F8" i="7"/>
  <c r="F6" i="8"/>
  <c r="F12" i="8"/>
  <c r="F4" i="9"/>
  <c r="F10" i="9"/>
  <c r="F8" i="10"/>
  <c r="F4" i="12"/>
  <c r="F10" i="6"/>
  <c r="G3" i="6"/>
  <c r="F3" i="7"/>
  <c r="F9" i="7"/>
  <c r="F7" i="8"/>
  <c r="F13" i="8"/>
  <c r="F5" i="9"/>
  <c r="F3" i="10"/>
  <c r="F9" i="10"/>
  <c r="F7" i="11"/>
  <c r="F5" i="12"/>
  <c r="F11" i="6"/>
  <c r="G4" i="6"/>
  <c r="G5" i="12"/>
  <c r="F9" i="6"/>
  <c r="G7" i="8"/>
  <c r="G13" i="8"/>
  <c r="G3" i="10"/>
  <c r="G9" i="10"/>
  <c r="G5" i="6"/>
  <c r="F4" i="7"/>
  <c r="F10" i="7"/>
  <c r="F8" i="8"/>
  <c r="F14" i="8"/>
  <c r="F6" i="9"/>
  <c r="F4" i="10"/>
  <c r="F8" i="11"/>
  <c r="F6" i="12"/>
  <c r="G4" i="10"/>
  <c r="G6" i="12"/>
  <c r="F4" i="13"/>
  <c r="F5" i="13"/>
  <c r="G5" i="13"/>
  <c r="F6" i="13"/>
  <c r="F12" i="13"/>
  <c r="G3" i="13"/>
  <c r="G9" i="13"/>
  <c r="G15" i="13"/>
  <c r="F10" i="13"/>
  <c r="G6" i="13"/>
  <c r="G12" i="13"/>
  <c r="F11" i="13"/>
  <c r="G11" i="13"/>
  <c r="F3" i="13"/>
  <c r="F9" i="13"/>
  <c r="F15" i="13"/>
  <c r="F7" i="13"/>
  <c r="F13" i="13"/>
  <c r="G4" i="13"/>
  <c r="G10" i="13"/>
  <c r="G7" i="13"/>
  <c r="G13" i="13"/>
  <c r="F2" i="13"/>
  <c r="F8" i="13"/>
  <c r="F14" i="13"/>
  <c r="G8" i="13"/>
  <c r="G14" i="13"/>
  <c r="B93" i="14"/>
  <c r="B92" i="14"/>
  <c r="D2" i="11"/>
  <c r="D2" i="8"/>
  <c r="D15" i="8"/>
  <c r="D16" i="8"/>
  <c r="D17" i="8"/>
  <c r="D18" i="8"/>
  <c r="D19" i="8"/>
  <c r="D20" i="8"/>
  <c r="D5" i="14"/>
  <c r="D6" i="14"/>
  <c r="D13" i="6"/>
  <c r="D14" i="6"/>
  <c r="D15" i="6"/>
  <c r="D16" i="6"/>
  <c r="D17" i="6"/>
  <c r="D18" i="6"/>
  <c r="D19" i="6"/>
  <c r="D20" i="6"/>
  <c r="D14" i="7"/>
  <c r="D15" i="7"/>
  <c r="D16" i="7"/>
  <c r="D17" i="7"/>
  <c r="D18" i="7"/>
  <c r="D19" i="7"/>
  <c r="D20" i="7"/>
  <c r="D12" i="9"/>
  <c r="D13" i="9"/>
  <c r="D14" i="9"/>
  <c r="D15" i="9"/>
  <c r="D16" i="9"/>
  <c r="D17" i="9"/>
  <c r="D18" i="9"/>
  <c r="D19" i="9"/>
  <c r="D20" i="9"/>
  <c r="D12" i="10"/>
  <c r="D13" i="10"/>
  <c r="D14" i="10"/>
  <c r="D15" i="10"/>
  <c r="D16" i="10"/>
  <c r="D17" i="10"/>
  <c r="D18" i="10"/>
  <c r="D19" i="10"/>
  <c r="D20" i="10"/>
  <c r="D12" i="11"/>
  <c r="D13" i="11"/>
  <c r="D14" i="11"/>
  <c r="D15" i="11"/>
  <c r="D16" i="11"/>
  <c r="D17" i="11"/>
  <c r="D18" i="11"/>
  <c r="D19" i="11"/>
  <c r="D20" i="11"/>
  <c r="D12" i="12"/>
  <c r="D13" i="12"/>
  <c r="D14" i="12"/>
  <c r="D15" i="12"/>
  <c r="D16" i="12"/>
  <c r="D17" i="12"/>
  <c r="D18" i="12"/>
  <c r="D19" i="12"/>
  <c r="D20" i="12"/>
  <c r="D19" i="13"/>
  <c r="D20" i="13"/>
  <c r="D11" i="12"/>
  <c r="D10" i="11"/>
  <c r="D11" i="11"/>
  <c r="D11" i="10"/>
  <c r="G22" i="1"/>
  <c r="G52" i="1"/>
  <c r="P52" i="1" l="1"/>
  <c r="O52" i="1"/>
  <c r="P22" i="1"/>
  <c r="O22" i="1"/>
  <c r="C2" i="7"/>
  <c r="B2" i="7"/>
  <c r="C2" i="10"/>
  <c r="B2" i="10"/>
  <c r="C2" i="11"/>
  <c r="B2" i="11"/>
  <c r="C2" i="13"/>
  <c r="B2" i="13"/>
  <c r="C2" i="8"/>
  <c r="B2" i="8"/>
  <c r="C2" i="12"/>
  <c r="B2" i="12"/>
  <c r="C2" i="6"/>
  <c r="B2" i="6"/>
  <c r="D2" i="9"/>
  <c r="C2" i="9"/>
  <c r="B2" i="9"/>
  <c r="G2" i="10"/>
  <c r="G2" i="13"/>
  <c r="F2" i="8"/>
  <c r="G2" i="12"/>
  <c r="F2" i="9"/>
  <c r="F2" i="11"/>
  <c r="F2" i="10"/>
  <c r="F2" i="6"/>
  <c r="G2" i="6"/>
  <c r="F2" i="7"/>
  <c r="G2" i="7"/>
  <c r="D11" i="9"/>
  <c r="D9" i="11"/>
  <c r="D10" i="12"/>
  <c r="D12" i="7"/>
  <c r="D13" i="7"/>
  <c r="D11" i="7"/>
  <c r="D3" i="11"/>
  <c r="D8" i="11"/>
  <c r="D6" i="11"/>
  <c r="D5" i="11"/>
  <c r="D4" i="11"/>
  <c r="D7" i="11"/>
  <c r="D9" i="8"/>
  <c r="D8" i="8"/>
  <c r="D11" i="8"/>
  <c r="D10" i="8"/>
  <c r="D9" i="12"/>
  <c r="D7" i="12"/>
  <c r="D5" i="12"/>
  <c r="D4" i="12"/>
  <c r="D3" i="12"/>
  <c r="D8" i="12"/>
  <c r="D6" i="12"/>
  <c r="D5" i="9"/>
  <c r="D4" i="9"/>
  <c r="D10" i="9"/>
  <c r="D8" i="9"/>
  <c r="D9" i="9"/>
  <c r="D7" i="9"/>
  <c r="D3" i="9"/>
  <c r="D6" i="9"/>
  <c r="D4" i="8"/>
  <c r="D5" i="8"/>
  <c r="D3" i="8"/>
  <c r="D7" i="8"/>
  <c r="D6" i="8"/>
  <c r="D13" i="8"/>
  <c r="D14" i="8"/>
  <c r="D12" i="8"/>
  <c r="G32" i="1"/>
  <c r="G24" i="1"/>
  <c r="G40" i="1"/>
  <c r="G43" i="1"/>
  <c r="G28" i="1"/>
  <c r="G62" i="1"/>
  <c r="G66" i="1"/>
  <c r="G33" i="1"/>
  <c r="G56" i="1"/>
  <c r="G61" i="1"/>
  <c r="G25" i="1"/>
  <c r="G63" i="1"/>
  <c r="G42" i="1"/>
  <c r="G29" i="1"/>
  <c r="G36" i="1"/>
  <c r="G60" i="1"/>
  <c r="G53" i="1"/>
  <c r="G23" i="1"/>
  <c r="G31" i="1"/>
  <c r="G55" i="1"/>
  <c r="G35" i="1"/>
  <c r="G38" i="1"/>
  <c r="G34" i="1"/>
  <c r="G54" i="1"/>
  <c r="G37" i="1"/>
  <c r="G30" i="1"/>
  <c r="G27" i="1"/>
  <c r="G57" i="1"/>
  <c r="G65" i="1"/>
  <c r="G64" i="1"/>
  <c r="G39" i="1"/>
  <c r="G26" i="1"/>
  <c r="G58" i="1"/>
  <c r="K3" i="1"/>
  <c r="G41" i="1"/>
  <c r="P58" i="1" l="1"/>
  <c r="O58" i="1"/>
  <c r="P64" i="1"/>
  <c r="O64" i="1"/>
  <c r="P65" i="1"/>
  <c r="O65" i="1"/>
  <c r="P57" i="1"/>
  <c r="O57" i="1"/>
  <c r="P30" i="1"/>
  <c r="O30" i="1"/>
  <c r="P37" i="1"/>
  <c r="O37" i="1"/>
  <c r="P54" i="1"/>
  <c r="O54" i="1"/>
  <c r="P34" i="1"/>
  <c r="O34" i="1"/>
  <c r="P38" i="1"/>
  <c r="O38" i="1"/>
  <c r="O35" i="1"/>
  <c r="P35" i="1"/>
  <c r="P31" i="1"/>
  <c r="O31" i="1"/>
  <c r="P23" i="1"/>
  <c r="O23" i="1"/>
  <c r="P53" i="1"/>
  <c r="O53" i="1"/>
  <c r="P60" i="1"/>
  <c r="O60" i="1"/>
  <c r="P36" i="1"/>
  <c r="O36" i="1"/>
  <c r="P29" i="1"/>
  <c r="O29" i="1"/>
  <c r="P42" i="1"/>
  <c r="O42" i="1"/>
  <c r="P63" i="1"/>
  <c r="O63" i="1"/>
  <c r="P61" i="1"/>
  <c r="O61" i="1"/>
  <c r="P56" i="1"/>
  <c r="O56" i="1"/>
  <c r="P33" i="1"/>
  <c r="O33" i="1"/>
  <c r="P66" i="1"/>
  <c r="O66" i="1"/>
  <c r="P28" i="1"/>
  <c r="O28" i="1"/>
  <c r="O43" i="1"/>
  <c r="P43" i="1"/>
  <c r="P24" i="1"/>
  <c r="O24" i="1"/>
  <c r="P32" i="1"/>
  <c r="O32" i="1"/>
  <c r="G106" i="1"/>
  <c r="G107" i="1"/>
  <c r="G109" i="1"/>
  <c r="G108" i="1"/>
  <c r="G105" i="1"/>
  <c r="M3" i="1"/>
  <c r="L3" i="1"/>
  <c r="G139" i="1" l="1"/>
  <c r="G138" i="1"/>
  <c r="P109" i="1"/>
  <c r="O109" i="1"/>
  <c r="P108" i="1"/>
  <c r="O108" i="1"/>
  <c r="P105" i="1"/>
  <c r="O105" i="1"/>
  <c r="B86" i="14"/>
  <c r="B96" i="14"/>
  <c r="B97" i="14" s="1"/>
  <c r="B4" i="14" s="1"/>
  <c r="I83" i="1" s="1"/>
  <c r="B91" i="14"/>
  <c r="B90" i="14"/>
  <c r="B89" i="14"/>
  <c r="B88" i="14"/>
  <c r="B82" i="14"/>
  <c r="B83" i="14"/>
  <c r="B84" i="14"/>
  <c r="B85" i="14"/>
  <c r="B81" i="14"/>
  <c r="D10" i="10"/>
  <c r="D15" i="13" l="1"/>
  <c r="D16" i="13"/>
  <c r="D18" i="13"/>
  <c r="D17" i="13"/>
  <c r="B95" i="14"/>
  <c r="B3" i="14" s="1"/>
  <c r="I82" i="1" s="1"/>
  <c r="S83" i="1"/>
  <c r="C4" i="14"/>
  <c r="K83" i="1" s="1"/>
  <c r="D6" i="13"/>
  <c r="D7" i="13"/>
  <c r="D8" i="13"/>
  <c r="D11" i="13"/>
  <c r="D13" i="13"/>
  <c r="D4" i="13"/>
  <c r="D5" i="13"/>
  <c r="D9" i="13"/>
  <c r="D3" i="13"/>
  <c r="D10" i="13"/>
  <c r="D12" i="13"/>
  <c r="D14" i="13"/>
  <c r="D8" i="7"/>
  <c r="D9" i="7"/>
  <c r="D10" i="7"/>
  <c r="D3" i="7"/>
  <c r="D5" i="7"/>
  <c r="D7" i="7"/>
  <c r="D4" i="7"/>
  <c r="D6" i="7"/>
  <c r="D7" i="10"/>
  <c r="D8" i="10"/>
  <c r="D3" i="10"/>
  <c r="D9" i="10"/>
  <c r="D6" i="10"/>
  <c r="D4" i="10"/>
  <c r="D5" i="10"/>
  <c r="D12" i="6"/>
  <c r="D3" i="6"/>
  <c r="D4" i="6"/>
  <c r="D5" i="6"/>
  <c r="D6" i="6"/>
  <c r="D7" i="6"/>
  <c r="D8" i="6"/>
  <c r="D9" i="6"/>
  <c r="D10" i="6"/>
  <c r="D11" i="6"/>
  <c r="B87" i="14"/>
  <c r="D2" i="12"/>
  <c r="G71" i="1"/>
  <c r="K54" i="1"/>
  <c r="K15" i="1"/>
  <c r="I68" i="1"/>
  <c r="K64" i="1"/>
  <c r="G20" i="1"/>
  <c r="K47" i="1"/>
  <c r="K18" i="1"/>
  <c r="G17" i="1"/>
  <c r="G69" i="1"/>
  <c r="G48" i="1"/>
  <c r="G68" i="1"/>
  <c r="I39" i="1"/>
  <c r="G21" i="1"/>
  <c r="K26" i="1"/>
  <c r="K56" i="1"/>
  <c r="G49" i="1"/>
  <c r="I20" i="1"/>
  <c r="K9" i="1"/>
  <c r="I16" i="1"/>
  <c r="K17" i="1"/>
  <c r="G15" i="1"/>
  <c r="G4" i="1"/>
  <c r="G73" i="1"/>
  <c r="K19" i="1"/>
  <c r="K23" i="1"/>
  <c r="I71" i="1"/>
  <c r="G47" i="1"/>
  <c r="I37" i="1"/>
  <c r="I45" i="1"/>
  <c r="I67" i="1"/>
  <c r="I53" i="1"/>
  <c r="K27" i="1"/>
  <c r="K11" i="1"/>
  <c r="K16" i="1"/>
  <c r="K63" i="1"/>
  <c r="G18" i="1"/>
  <c r="I28" i="1"/>
  <c r="I40" i="1"/>
  <c r="K4" i="1"/>
  <c r="K36" i="1"/>
  <c r="I41" i="1"/>
  <c r="G7" i="1"/>
  <c r="G79" i="1"/>
  <c r="G72" i="1"/>
  <c r="G51" i="1"/>
  <c r="I27" i="1"/>
  <c r="G19" i="1"/>
  <c r="K75" i="1"/>
  <c r="G10" i="1"/>
  <c r="K39" i="1"/>
  <c r="I72" i="1"/>
  <c r="G14" i="1"/>
  <c r="G50" i="1"/>
  <c r="K5" i="1"/>
  <c r="K76" i="1"/>
  <c r="I4" i="1"/>
  <c r="I14" i="1"/>
  <c r="I24" i="1"/>
  <c r="I5" i="1"/>
  <c r="K57" i="1"/>
  <c r="I69" i="1"/>
  <c r="K68" i="1"/>
  <c r="I55" i="1"/>
  <c r="G12" i="1"/>
  <c r="K29" i="1"/>
  <c r="I56" i="1"/>
  <c r="K42" i="1"/>
  <c r="I60" i="1"/>
  <c r="G11" i="1"/>
  <c r="K69" i="1"/>
  <c r="K40" i="1"/>
  <c r="G9" i="1"/>
  <c r="G78" i="1"/>
  <c r="G8" i="1"/>
  <c r="I29" i="1"/>
  <c r="I15" i="1"/>
  <c r="I62" i="1"/>
  <c r="I6" i="1"/>
  <c r="I18" i="1"/>
  <c r="I74" i="1"/>
  <c r="I61" i="1"/>
  <c r="K31" i="1"/>
  <c r="G77" i="1"/>
  <c r="K30" i="1"/>
  <c r="G74" i="1"/>
  <c r="K45" i="1"/>
  <c r="K60" i="1"/>
  <c r="K25" i="1"/>
  <c r="G70" i="1"/>
  <c r="K48" i="1"/>
  <c r="G16" i="1"/>
  <c r="K28" i="1"/>
  <c r="G45" i="1"/>
  <c r="K8" i="1"/>
  <c r="K7" i="1"/>
  <c r="K6" i="1"/>
  <c r="I23" i="1"/>
  <c r="K37" i="1"/>
  <c r="I25" i="1"/>
  <c r="K71" i="1"/>
  <c r="I26" i="1"/>
  <c r="I17" i="1"/>
  <c r="I47" i="1"/>
  <c r="G46" i="1"/>
  <c r="K50" i="1"/>
  <c r="K65" i="1"/>
  <c r="I64" i="1"/>
  <c r="K62" i="1"/>
  <c r="I46" i="1"/>
  <c r="K78" i="1"/>
  <c r="K41" i="1"/>
  <c r="K33" i="1"/>
  <c r="K24" i="1"/>
  <c r="K38" i="1"/>
  <c r="K46" i="1"/>
  <c r="G6" i="1"/>
  <c r="G76" i="1"/>
  <c r="I19" i="1"/>
  <c r="I38" i="1"/>
  <c r="K14" i="1"/>
  <c r="I63" i="1"/>
  <c r="G75" i="1"/>
  <c r="K20" i="1"/>
  <c r="I54" i="1"/>
  <c r="I70" i="1"/>
  <c r="I73" i="1"/>
  <c r="G5" i="1"/>
  <c r="K53" i="1"/>
  <c r="K55" i="1"/>
  <c r="K61" i="1"/>
  <c r="I36" i="1"/>
  <c r="G59" i="1"/>
  <c r="P59" i="1" l="1"/>
  <c r="O59" i="1"/>
  <c r="P5" i="1"/>
  <c r="O5" i="1"/>
  <c r="O75" i="1"/>
  <c r="P75" i="1"/>
  <c r="P76" i="1"/>
  <c r="O76" i="1"/>
  <c r="P6" i="1"/>
  <c r="O6" i="1"/>
  <c r="P46" i="1"/>
  <c r="O46" i="1"/>
  <c r="O26" i="1"/>
  <c r="P26" i="1"/>
  <c r="P25" i="1"/>
  <c r="O25" i="1"/>
  <c r="P45" i="1"/>
  <c r="O45" i="1"/>
  <c r="P16" i="1"/>
  <c r="O16" i="1"/>
  <c r="P70" i="1"/>
  <c r="O70" i="1"/>
  <c r="P74" i="1"/>
  <c r="O74" i="1"/>
  <c r="P77" i="1"/>
  <c r="O77" i="1"/>
  <c r="P62" i="1"/>
  <c r="O62" i="1"/>
  <c r="P8" i="1"/>
  <c r="O8" i="1"/>
  <c r="P78" i="1"/>
  <c r="O78" i="1"/>
  <c r="P9" i="1"/>
  <c r="O9" i="1"/>
  <c r="O11" i="1"/>
  <c r="P11" i="1"/>
  <c r="P12" i="1"/>
  <c r="O12" i="1"/>
  <c r="O55" i="1"/>
  <c r="P55" i="1"/>
  <c r="P50" i="1"/>
  <c r="O50" i="1"/>
  <c r="P14" i="1"/>
  <c r="O14" i="1"/>
  <c r="P10" i="1"/>
  <c r="O10" i="1"/>
  <c r="O19" i="1"/>
  <c r="P19" i="1"/>
  <c r="O27" i="1"/>
  <c r="P27" i="1"/>
  <c r="O51" i="1"/>
  <c r="P51" i="1"/>
  <c r="P72" i="1"/>
  <c r="O72" i="1"/>
  <c r="P79" i="1"/>
  <c r="O79" i="1"/>
  <c r="P41" i="1"/>
  <c r="O41" i="1"/>
  <c r="O40" i="1"/>
  <c r="P40" i="1"/>
  <c r="P18" i="1"/>
  <c r="O18" i="1"/>
  <c r="P47" i="1"/>
  <c r="O47" i="1"/>
  <c r="P73" i="1"/>
  <c r="O73" i="1"/>
  <c r="P4" i="1"/>
  <c r="O4" i="1"/>
  <c r="P15" i="1"/>
  <c r="O15" i="1"/>
  <c r="P49" i="1"/>
  <c r="O49" i="1"/>
  <c r="P21" i="1"/>
  <c r="O21" i="1"/>
  <c r="P39" i="1"/>
  <c r="O39" i="1"/>
  <c r="P68" i="1"/>
  <c r="O68" i="1"/>
  <c r="P48" i="1"/>
  <c r="O48" i="1"/>
  <c r="P69" i="1"/>
  <c r="O69" i="1"/>
  <c r="P17" i="1"/>
  <c r="O17" i="1"/>
  <c r="P20" i="1"/>
  <c r="O20" i="1"/>
  <c r="P71" i="1"/>
  <c r="O71" i="1"/>
  <c r="G112" i="1"/>
  <c r="G97" i="1"/>
  <c r="G119" i="1"/>
  <c r="G113" i="1"/>
  <c r="G116" i="1"/>
  <c r="G99" i="1"/>
  <c r="G100" i="1"/>
  <c r="G102" i="1"/>
  <c r="G103" i="1"/>
  <c r="G117" i="1"/>
  <c r="G101" i="1"/>
  <c r="G118" i="1"/>
  <c r="G98" i="1"/>
  <c r="G104" i="1"/>
  <c r="G114" i="1"/>
  <c r="G115" i="1"/>
  <c r="G95" i="1"/>
  <c r="G121" i="1"/>
  <c r="G122" i="1"/>
  <c r="G120" i="1"/>
  <c r="G110" i="1"/>
  <c r="K113" i="1"/>
  <c r="K105" i="1"/>
  <c r="K108" i="1"/>
  <c r="K138" i="1" s="1"/>
  <c r="K97" i="1"/>
  <c r="K98" i="1"/>
  <c r="K99" i="1"/>
  <c r="K120" i="1"/>
  <c r="K117" i="1"/>
  <c r="K122" i="1"/>
  <c r="K102" i="1"/>
  <c r="K107" i="1"/>
  <c r="K100" i="1"/>
  <c r="K106" i="1"/>
  <c r="K104" i="1"/>
  <c r="K134" i="1" s="1"/>
  <c r="I119" i="1"/>
  <c r="I106" i="1"/>
  <c r="I104" i="1"/>
  <c r="I134" i="1" s="1"/>
  <c r="I97" i="1"/>
  <c r="I105" i="1"/>
  <c r="I107" i="1"/>
  <c r="I116" i="1"/>
  <c r="I115" i="1"/>
  <c r="I114" i="1"/>
  <c r="I122" i="1"/>
  <c r="K94" i="1"/>
  <c r="L68" i="1"/>
  <c r="M68" i="1"/>
  <c r="L71" i="1"/>
  <c r="M71" i="1"/>
  <c r="L75" i="1"/>
  <c r="M11" i="1"/>
  <c r="L11" i="1"/>
  <c r="L76" i="1"/>
  <c r="M76" i="1"/>
  <c r="M15" i="1"/>
  <c r="L15" i="1"/>
  <c r="M9" i="1"/>
  <c r="L9" i="1"/>
  <c r="L14" i="1"/>
  <c r="M14" i="1"/>
  <c r="L8" i="1"/>
  <c r="L20" i="1"/>
  <c r="M20" i="1"/>
  <c r="M5" i="1"/>
  <c r="L5" i="1"/>
  <c r="L69" i="1"/>
  <c r="M69" i="1"/>
  <c r="L78" i="1"/>
  <c r="M78" i="1"/>
  <c r="M19" i="1"/>
  <c r="L19" i="1"/>
  <c r="M4" i="1"/>
  <c r="L4" i="1"/>
  <c r="M18" i="1"/>
  <c r="L18" i="1"/>
  <c r="L17" i="1"/>
  <c r="M17" i="1"/>
  <c r="L6" i="1"/>
  <c r="M6" i="1"/>
  <c r="M16" i="1"/>
  <c r="L16" i="1"/>
  <c r="L7" i="1"/>
  <c r="S38" i="1"/>
  <c r="M65" i="1"/>
  <c r="L65" i="1"/>
  <c r="M63" i="1"/>
  <c r="L63" i="1"/>
  <c r="M64" i="1"/>
  <c r="L64" i="1"/>
  <c r="M62" i="1"/>
  <c r="L62" i="1"/>
  <c r="M61" i="1"/>
  <c r="L61" i="1"/>
  <c r="M60" i="1"/>
  <c r="L60" i="1"/>
  <c r="M57" i="1"/>
  <c r="L57" i="1"/>
  <c r="M56" i="1"/>
  <c r="L56" i="1"/>
  <c r="M55" i="1"/>
  <c r="L55" i="1"/>
  <c r="M53" i="1"/>
  <c r="L53" i="1"/>
  <c r="M54" i="1"/>
  <c r="L54" i="1"/>
  <c r="M48" i="1"/>
  <c r="L48" i="1"/>
  <c r="M50" i="1"/>
  <c r="L50" i="1"/>
  <c r="M46" i="1"/>
  <c r="L46" i="1"/>
  <c r="M47" i="1"/>
  <c r="L47" i="1"/>
  <c r="L45" i="1"/>
  <c r="M45" i="1"/>
  <c r="M42" i="1"/>
  <c r="L42" i="1"/>
  <c r="M37" i="1"/>
  <c r="L37" i="1"/>
  <c r="M38" i="1"/>
  <c r="L38" i="1"/>
  <c r="M41" i="1"/>
  <c r="L41" i="1"/>
  <c r="M36" i="1"/>
  <c r="L36" i="1"/>
  <c r="M40" i="1"/>
  <c r="L40" i="1"/>
  <c r="M39" i="1"/>
  <c r="L39" i="1"/>
  <c r="M33" i="1"/>
  <c r="L33" i="1"/>
  <c r="M31" i="1"/>
  <c r="L31" i="1"/>
  <c r="M29" i="1"/>
  <c r="L29" i="1"/>
  <c r="M30" i="1"/>
  <c r="L30" i="1"/>
  <c r="L28" i="1"/>
  <c r="M28" i="1"/>
  <c r="M24" i="1"/>
  <c r="L24" i="1"/>
  <c r="M27" i="1"/>
  <c r="L27" i="1"/>
  <c r="M25" i="1"/>
  <c r="L25" i="1"/>
  <c r="M26" i="1"/>
  <c r="L26" i="1"/>
  <c r="M23" i="1"/>
  <c r="L23" i="1"/>
  <c r="M83" i="1"/>
  <c r="L83" i="1"/>
  <c r="S15" i="1"/>
  <c r="S60" i="1"/>
  <c r="S39" i="1"/>
  <c r="S70" i="1"/>
  <c r="S73" i="1"/>
  <c r="S17" i="1"/>
  <c r="S26" i="1"/>
  <c r="S4" i="1"/>
  <c r="S53" i="1"/>
  <c r="S28" i="1"/>
  <c r="S68" i="1"/>
  <c r="S46" i="1"/>
  <c r="S37" i="1"/>
  <c r="S27" i="1"/>
  <c r="S24" i="1"/>
  <c r="S47" i="1"/>
  <c r="S18" i="1"/>
  <c r="S45" i="1"/>
  <c r="S71" i="1"/>
  <c r="S61" i="1"/>
  <c r="S40" i="1"/>
  <c r="S36" i="1"/>
  <c r="S63" i="1"/>
  <c r="S55" i="1"/>
  <c r="S62" i="1"/>
  <c r="S14" i="1"/>
  <c r="S54" i="1"/>
  <c r="S25" i="1"/>
  <c r="S41" i="1"/>
  <c r="S74" i="1"/>
  <c r="S23" i="1"/>
  <c r="S67" i="1"/>
  <c r="B2" i="14"/>
  <c r="B100" i="14"/>
  <c r="D4" i="14"/>
  <c r="G83" i="1" s="1"/>
  <c r="S82" i="1"/>
  <c r="C3" i="14"/>
  <c r="K82" i="1" s="1"/>
  <c r="D2" i="13"/>
  <c r="D2" i="7"/>
  <c r="D2" i="10"/>
  <c r="D2" i="6"/>
  <c r="I35" i="1"/>
  <c r="G13" i="1"/>
  <c r="I59" i="1"/>
  <c r="I44" i="1"/>
  <c r="K44" i="1"/>
  <c r="I52" i="1"/>
  <c r="K67" i="1"/>
  <c r="I13" i="1"/>
  <c r="K22" i="1"/>
  <c r="I3" i="1"/>
  <c r="K52" i="1"/>
  <c r="G3" i="1"/>
  <c r="G44" i="1"/>
  <c r="K59" i="1"/>
  <c r="K35" i="1"/>
  <c r="K13" i="1"/>
  <c r="I22" i="1"/>
  <c r="G67" i="1"/>
  <c r="B144" i="1" l="1"/>
  <c r="K129" i="1"/>
  <c r="I136" i="1"/>
  <c r="K132" i="1"/>
  <c r="K135" i="1"/>
  <c r="I137" i="1"/>
  <c r="K130" i="1"/>
  <c r="I135" i="1"/>
  <c r="I127" i="1"/>
  <c r="G129" i="1"/>
  <c r="G131" i="1"/>
  <c r="G136" i="1"/>
  <c r="G134" i="1"/>
  <c r="G128" i="1"/>
  <c r="G137" i="1"/>
  <c r="G135" i="1"/>
  <c r="G130" i="1"/>
  <c r="G127" i="1"/>
  <c r="G132" i="1"/>
  <c r="G125" i="1"/>
  <c r="G133" i="1"/>
  <c r="P100" i="1"/>
  <c r="O100" i="1"/>
  <c r="P102" i="1"/>
  <c r="O102" i="1"/>
  <c r="P104" i="1"/>
  <c r="O104" i="1"/>
  <c r="O99" i="1"/>
  <c r="P99" i="1"/>
  <c r="O106" i="1"/>
  <c r="P106" i="1"/>
  <c r="P110" i="1"/>
  <c r="O110" i="1"/>
  <c r="P120" i="1"/>
  <c r="O120" i="1"/>
  <c r="P118" i="1"/>
  <c r="O118" i="1"/>
  <c r="P113" i="1"/>
  <c r="O113" i="1"/>
  <c r="P122" i="1"/>
  <c r="O122" i="1"/>
  <c r="P101" i="1"/>
  <c r="O101" i="1"/>
  <c r="P119" i="1"/>
  <c r="O119" i="1"/>
  <c r="P121" i="1"/>
  <c r="O121" i="1"/>
  <c r="P117" i="1"/>
  <c r="O117" i="1"/>
  <c r="P97" i="1"/>
  <c r="O97" i="1"/>
  <c r="P107" i="1"/>
  <c r="O107" i="1"/>
  <c r="O95" i="1"/>
  <c r="P95" i="1"/>
  <c r="O103" i="1"/>
  <c r="P103" i="1"/>
  <c r="P112" i="1"/>
  <c r="O112" i="1"/>
  <c r="P67" i="1"/>
  <c r="O67" i="1"/>
  <c r="P44" i="1"/>
  <c r="O44" i="1"/>
  <c r="P13" i="1"/>
  <c r="O13" i="1"/>
  <c r="P83" i="1"/>
  <c r="O83" i="1"/>
  <c r="P3" i="1"/>
  <c r="O3" i="1"/>
  <c r="G111" i="1"/>
  <c r="G96" i="1"/>
  <c r="K96" i="1"/>
  <c r="K110" i="1"/>
  <c r="K112" i="1"/>
  <c r="K95" i="1"/>
  <c r="K111" i="1"/>
  <c r="K124" i="1" s="1"/>
  <c r="L98" i="1"/>
  <c r="M97" i="1"/>
  <c r="L97" i="1"/>
  <c r="M104" i="1"/>
  <c r="L104" i="1"/>
  <c r="L106" i="1"/>
  <c r="M106" i="1"/>
  <c r="M122" i="1"/>
  <c r="L122" i="1"/>
  <c r="M100" i="1"/>
  <c r="L100" i="1"/>
  <c r="L117" i="1"/>
  <c r="M117" i="1"/>
  <c r="M108" i="1"/>
  <c r="L108" i="1"/>
  <c r="L107" i="1"/>
  <c r="M107" i="1"/>
  <c r="M105" i="1"/>
  <c r="L105" i="1"/>
  <c r="L102" i="1"/>
  <c r="M102" i="1"/>
  <c r="M120" i="1"/>
  <c r="L120" i="1"/>
  <c r="L113" i="1"/>
  <c r="M113" i="1"/>
  <c r="L99" i="1"/>
  <c r="M99" i="1"/>
  <c r="I95" i="1"/>
  <c r="I111" i="1"/>
  <c r="I112" i="1"/>
  <c r="I110" i="1"/>
  <c r="M94" i="1"/>
  <c r="L94" i="1"/>
  <c r="I94" i="1"/>
  <c r="G94" i="1"/>
  <c r="M67" i="1"/>
  <c r="L67" i="1"/>
  <c r="L13" i="1"/>
  <c r="M13" i="1"/>
  <c r="M59" i="1"/>
  <c r="L59" i="1"/>
  <c r="M52" i="1"/>
  <c r="L52" i="1"/>
  <c r="M44" i="1"/>
  <c r="L44" i="1"/>
  <c r="M35" i="1"/>
  <c r="L35" i="1"/>
  <c r="M22" i="1"/>
  <c r="L22" i="1"/>
  <c r="M82" i="1"/>
  <c r="L82" i="1"/>
  <c r="S59" i="1"/>
  <c r="S35" i="1"/>
  <c r="S52" i="1"/>
  <c r="S22" i="1"/>
  <c r="S13" i="1"/>
  <c r="S44" i="1"/>
  <c r="S3" i="1"/>
  <c r="C2" i="14"/>
  <c r="D3" i="14"/>
  <c r="I970" i="13"/>
  <c r="I971" i="13" s="1"/>
  <c r="I969" i="13"/>
  <c r="I967" i="13"/>
  <c r="I965" i="13"/>
  <c r="I963" i="13"/>
  <c r="I961" i="13"/>
  <c r="I956" i="13"/>
  <c r="I954" i="13"/>
  <c r="I952" i="13"/>
  <c r="I950" i="13"/>
  <c r="I948" i="13"/>
  <c r="I945" i="13"/>
  <c r="B13" i="13" s="1"/>
  <c r="I944" i="13"/>
  <c r="I942" i="13"/>
  <c r="I940" i="13"/>
  <c r="I938" i="13"/>
  <c r="I936" i="13"/>
  <c r="I934" i="13"/>
  <c r="I932" i="13"/>
  <c r="I930" i="13"/>
  <c r="I928" i="13"/>
  <c r="I57" i="7"/>
  <c r="I821" i="13"/>
  <c r="I475" i="13"/>
  <c r="I472" i="13"/>
  <c r="I448" i="13"/>
  <c r="C5" i="13" s="1"/>
  <c r="I226" i="13"/>
  <c r="C9" i="13" s="1"/>
  <c r="I225" i="13"/>
  <c r="C8" i="13" s="1"/>
  <c r="I45" i="10"/>
  <c r="B6" i="10" s="1"/>
  <c r="I48" i="9"/>
  <c r="I47" i="8"/>
  <c r="I53" i="8"/>
  <c r="B13" i="8" s="1"/>
  <c r="I52" i="8"/>
  <c r="I55" i="7"/>
  <c r="I64" i="6"/>
  <c r="B10" i="6" s="1"/>
  <c r="I63" i="6"/>
  <c r="I70" i="6"/>
  <c r="I81" i="1"/>
  <c r="G82" i="1"/>
  <c r="K72" i="1"/>
  <c r="K74" i="1"/>
  <c r="I65" i="1"/>
  <c r="B145" i="1" l="1"/>
  <c r="I124" i="1"/>
  <c r="K125" i="1"/>
  <c r="K126" i="1"/>
  <c r="I125" i="1"/>
  <c r="G126" i="1"/>
  <c r="G124" i="1"/>
  <c r="P94" i="1"/>
  <c r="O94" i="1"/>
  <c r="P96" i="1"/>
  <c r="O96" i="1"/>
  <c r="O111" i="1"/>
  <c r="P111" i="1"/>
  <c r="P82" i="1"/>
  <c r="O82" i="1"/>
  <c r="K116" i="1"/>
  <c r="K137" i="1" s="1"/>
  <c r="K119" i="1"/>
  <c r="K127" i="1" s="1"/>
  <c r="L111" i="1"/>
  <c r="M111" i="1"/>
  <c r="L95" i="1"/>
  <c r="M95" i="1"/>
  <c r="M112" i="1"/>
  <c r="L112" i="1"/>
  <c r="M110" i="1"/>
  <c r="L110" i="1"/>
  <c r="M96" i="1"/>
  <c r="L96" i="1"/>
  <c r="L72" i="1"/>
  <c r="M72" i="1"/>
  <c r="M74" i="1"/>
  <c r="L74" i="1"/>
  <c r="D2" i="14"/>
  <c r="G81" i="1" s="1"/>
  <c r="S81" i="1"/>
  <c r="S64" i="1"/>
  <c r="I946" i="13"/>
  <c r="B14" i="13" s="1"/>
  <c r="I926" i="13"/>
  <c r="B12" i="13" s="1"/>
  <c r="I54" i="8"/>
  <c r="B14" i="8" s="1"/>
  <c r="I41" i="12"/>
  <c r="B9" i="12" s="1"/>
  <c r="I61" i="11"/>
  <c r="B8" i="11" s="1"/>
  <c r="I46" i="10"/>
  <c r="B7" i="10" s="1"/>
  <c r="I48" i="10"/>
  <c r="B9" i="10" s="1"/>
  <c r="I43" i="9"/>
  <c r="B10" i="9" s="1"/>
  <c r="I45" i="8"/>
  <c r="B12" i="8" s="1"/>
  <c r="I50" i="7"/>
  <c r="B10" i="7" s="1"/>
  <c r="I61" i="6"/>
  <c r="B9" i="6" s="1"/>
  <c r="I65" i="6"/>
  <c r="B11" i="6" s="1"/>
  <c r="K81" i="1"/>
  <c r="K79" i="1"/>
  <c r="K66" i="1"/>
  <c r="I48" i="1"/>
  <c r="K12" i="1"/>
  <c r="I57" i="1"/>
  <c r="K21" i="1"/>
  <c r="I76" i="1"/>
  <c r="I49" i="1"/>
  <c r="I50" i="1"/>
  <c r="K77" i="1"/>
  <c r="I66" i="1"/>
  <c r="I9" i="1"/>
  <c r="I75" i="1"/>
  <c r="I77" i="1"/>
  <c r="K43" i="1"/>
  <c r="K58" i="1"/>
  <c r="K32" i="1"/>
  <c r="I31" i="1"/>
  <c r="I11" i="1"/>
  <c r="K73" i="1"/>
  <c r="I30" i="1"/>
  <c r="K34" i="1"/>
  <c r="I7" i="1"/>
  <c r="I12" i="1"/>
  <c r="I51" i="1"/>
  <c r="I58" i="1"/>
  <c r="K70" i="1"/>
  <c r="K51" i="1"/>
  <c r="I43" i="1"/>
  <c r="K10" i="1"/>
  <c r="I42" i="1"/>
  <c r="K49" i="1"/>
  <c r="D144" i="1" l="1"/>
  <c r="B146" i="1"/>
  <c r="P116" i="1"/>
  <c r="O116" i="1"/>
  <c r="P7" i="1"/>
  <c r="O7" i="1"/>
  <c r="P81" i="1"/>
  <c r="O81" i="1"/>
  <c r="K121" i="1"/>
  <c r="K101" i="1"/>
  <c r="K114" i="1"/>
  <c r="K136" i="1" s="1"/>
  <c r="K109" i="1"/>
  <c r="K139" i="1" s="1"/>
  <c r="K115" i="1"/>
  <c r="K128" i="1" s="1"/>
  <c r="K118" i="1"/>
  <c r="K103" i="1"/>
  <c r="L119" i="1"/>
  <c r="M119" i="1"/>
  <c r="M116" i="1"/>
  <c r="L116" i="1"/>
  <c r="I117" i="1"/>
  <c r="I118" i="1"/>
  <c r="I103" i="1"/>
  <c r="I98" i="1"/>
  <c r="I128" i="1" s="1"/>
  <c r="I96" i="1"/>
  <c r="I102" i="1"/>
  <c r="I113" i="1"/>
  <c r="I100" i="1"/>
  <c r="L34" i="1"/>
  <c r="L77" i="1"/>
  <c r="L79" i="1"/>
  <c r="L12" i="1"/>
  <c r="L10" i="1"/>
  <c r="L21" i="1"/>
  <c r="L32" i="1"/>
  <c r="L43" i="1"/>
  <c r="L51" i="1"/>
  <c r="L49" i="1"/>
  <c r="L58" i="1"/>
  <c r="L66" i="1"/>
  <c r="M66" i="1"/>
  <c r="M58" i="1"/>
  <c r="M51" i="1"/>
  <c r="M49" i="1"/>
  <c r="M43" i="1"/>
  <c r="M12" i="1"/>
  <c r="M77" i="1"/>
  <c r="M70" i="1"/>
  <c r="L70" i="1"/>
  <c r="M7" i="1"/>
  <c r="M75" i="1"/>
  <c r="M73" i="1"/>
  <c r="L73" i="1"/>
  <c r="M81" i="1"/>
  <c r="L81" i="1"/>
  <c r="S6" i="1"/>
  <c r="S29" i="1"/>
  <c r="S56" i="1"/>
  <c r="S65" i="1"/>
  <c r="S75" i="1"/>
  <c r="S72" i="1"/>
  <c r="S69" i="1"/>
  <c r="S16" i="1"/>
  <c r="S19" i="1"/>
  <c r="S11" i="1"/>
  <c r="S66" i="1"/>
  <c r="S20" i="1"/>
  <c r="S49" i="1"/>
  <c r="S42" i="1"/>
  <c r="S30" i="1"/>
  <c r="S7" i="1"/>
  <c r="S77" i="1"/>
  <c r="S12" i="1"/>
  <c r="S50" i="1"/>
  <c r="S57" i="1"/>
  <c r="S58" i="1"/>
  <c r="S48" i="1"/>
  <c r="S43" i="1"/>
  <c r="S76" i="1"/>
  <c r="S51" i="1"/>
  <c r="I21" i="1"/>
  <c r="I78" i="1"/>
  <c r="I10" i="1"/>
  <c r="I8" i="1"/>
  <c r="I32" i="1"/>
  <c r="I33" i="1"/>
  <c r="I79" i="1"/>
  <c r="I34" i="1"/>
  <c r="C144" i="1" l="1"/>
  <c r="D145" i="1"/>
  <c r="I126" i="1"/>
  <c r="K133" i="1"/>
  <c r="K131" i="1"/>
  <c r="I130" i="1"/>
  <c r="M98" i="1"/>
  <c r="P98" i="1"/>
  <c r="O98" i="1"/>
  <c r="P115" i="1"/>
  <c r="O115" i="1"/>
  <c r="P114" i="1"/>
  <c r="O114" i="1"/>
  <c r="L103" i="1"/>
  <c r="M103" i="1"/>
  <c r="M118" i="1"/>
  <c r="L118" i="1"/>
  <c r="L115" i="1"/>
  <c r="M115" i="1"/>
  <c r="L109" i="1"/>
  <c r="M109" i="1"/>
  <c r="M114" i="1"/>
  <c r="L114" i="1"/>
  <c r="M101" i="1"/>
  <c r="L101" i="1"/>
  <c r="L121" i="1"/>
  <c r="M121" i="1"/>
  <c r="I109" i="1"/>
  <c r="I139" i="1" s="1"/>
  <c r="I121" i="1"/>
  <c r="I133" i="1" s="1"/>
  <c r="I108" i="1"/>
  <c r="I138" i="1" s="1"/>
  <c r="I99" i="1"/>
  <c r="I129" i="1" s="1"/>
  <c r="I101" i="1"/>
  <c r="I131" i="1" s="1"/>
  <c r="I120" i="1"/>
  <c r="I132" i="1" s="1"/>
  <c r="M34" i="1"/>
  <c r="M32" i="1"/>
  <c r="M21" i="1"/>
  <c r="M10" i="1"/>
  <c r="M79" i="1"/>
  <c r="S79" i="1"/>
  <c r="S78" i="1"/>
  <c r="S21" i="1"/>
  <c r="M8" i="1"/>
  <c r="S5" i="1"/>
  <c r="S31" i="1"/>
  <c r="S9" i="1"/>
  <c r="S8" i="1"/>
  <c r="S10" i="1"/>
  <c r="S32" i="1"/>
  <c r="S33" i="1"/>
  <c r="S34" i="1"/>
  <c r="D146" i="1" l="1"/>
  <c r="C145" i="1"/>
  <c r="C1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tc={BDC43CBE-F989-4706-B097-67B578067533}</author>
    <author>tc={CC8F380B-99AE-4958-9E41-F46F1F495978}</author>
    <author>tc={D42C31C3-AD28-47E3-89B7-8804D7913FE8}</author>
  </authors>
  <commentList>
    <comment ref="N81" authorId="0" shapeId="0" xr:uid="{BDC43CBE-F989-4706-B097-67B5780675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Keep the 0. It overwrites the default.
</t>
      </text>
    </comment>
    <comment ref="N82" authorId="1" shapeId="0" xr:uid="{CC8F380B-99AE-4958-9E41-F46F1F4959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Keep the 0. It overwrites the default.
</t>
      </text>
    </comment>
    <comment ref="N83" authorId="2" shapeId="0" xr:uid="{D42C31C3-AD28-47E3-89B7-8804D7913F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Keep the 0. It overwrites the default.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<sst xmlns="http://schemas.openxmlformats.org/spreadsheetml/2006/main" count="9978" uniqueCount="1694">
  <si>
    <t>Country</t>
  </si>
  <si>
    <t>Scenario</t>
  </si>
  <si>
    <t>Year</t>
  </si>
  <si>
    <t>capacity_output1</t>
  </si>
  <si>
    <t>capacity_input1</t>
  </si>
  <si>
    <t>Note</t>
  </si>
  <si>
    <t>unit_name_prefix</t>
  </si>
  <si>
    <t>node_suffix_input1</t>
  </si>
  <si>
    <t>node_suffix_output1</t>
  </si>
  <si>
    <t>capacity_output2</t>
  </si>
  <si>
    <t>node_suffix_output2</t>
  </si>
  <si>
    <t>cb</t>
  </si>
  <si>
    <t>FI00</t>
  </si>
  <si>
    <t>ESP</t>
  </si>
  <si>
    <t>ROF</t>
  </si>
  <si>
    <t>HKI</t>
  </si>
  <si>
    <t>JKL</t>
  </si>
  <si>
    <t>OUL</t>
  </si>
  <si>
    <t>TRE</t>
  </si>
  <si>
    <t>TKU</t>
  </si>
  <si>
    <t>VAN</t>
  </si>
  <si>
    <t>eff00</t>
  </si>
  <si>
    <t>eff01</t>
  </si>
  <si>
    <t>cv</t>
  </si>
  <si>
    <t>all</t>
  </si>
  <si>
    <t>elec</t>
  </si>
  <si>
    <t>steam</t>
  </si>
  <si>
    <t>Helen Oy</t>
  </si>
  <si>
    <t>Alppila</t>
  </si>
  <si>
    <t>klk</t>
  </si>
  <si>
    <t>-</t>
  </si>
  <si>
    <t>kpö</t>
  </si>
  <si>
    <t>Munkkisaari</t>
  </si>
  <si>
    <t>rpö</t>
  </si>
  <si>
    <t>Ruskeasuo</t>
  </si>
  <si>
    <t>Lassila</t>
  </si>
  <si>
    <t>maka</t>
  </si>
  <si>
    <t>Patola</t>
  </si>
  <si>
    <t>Salmisaari</t>
  </si>
  <si>
    <t>hiili</t>
  </si>
  <si>
    <t>Jakomäki</t>
  </si>
  <si>
    <t>Myllypuro</t>
  </si>
  <si>
    <t>Vuosaari</t>
  </si>
  <si>
    <t>Hanasaari</t>
  </si>
  <si>
    <t>pell</t>
  </si>
  <si>
    <t>Vuosaari C</t>
  </si>
  <si>
    <t>popu</t>
  </si>
  <si>
    <t>Katri Vala</t>
  </si>
  <si>
    <t>lp</t>
  </si>
  <si>
    <t>Esplanadi</t>
  </si>
  <si>
    <t>Vuosaari lämpöpumppu</t>
  </si>
  <si>
    <t>Salmisaari B</t>
  </si>
  <si>
    <t>lvl</t>
  </si>
  <si>
    <t>Hanasaari B</t>
  </si>
  <si>
    <t>Vuosaari A</t>
  </si>
  <si>
    <t>Vuosaari B</t>
  </si>
  <si>
    <t>Heat</t>
  </si>
  <si>
    <t>Power</t>
  </si>
  <si>
    <t>Excluded</t>
  </si>
  <si>
    <t>Fortum Power and Heat Oy, Espoo</t>
  </si>
  <si>
    <t>Kivenlahti</t>
  </si>
  <si>
    <t>Tapiola</t>
  </si>
  <si>
    <t>Vermo</t>
  </si>
  <si>
    <t>Kaupunginkallio</t>
  </si>
  <si>
    <t>Otaniemi</t>
  </si>
  <si>
    <t>Juvanmalmi</t>
  </si>
  <si>
    <t>Kirkkonummi (keskusta)</t>
  </si>
  <si>
    <t>Mankkaa</t>
  </si>
  <si>
    <t>biok</t>
  </si>
  <si>
    <t>Suomenoja 7</t>
  </si>
  <si>
    <t>Suomenoja 4</t>
  </si>
  <si>
    <t>Suomenoja 4 LP3</t>
  </si>
  <si>
    <t>Suomenoja 1</t>
  </si>
  <si>
    <t>Suomenoja 2</t>
  </si>
  <si>
    <t>Suomenoja 6</t>
  </si>
  <si>
    <t>mlvl</t>
  </si>
  <si>
    <t>Sähkökattilalaitos SO 11</t>
  </si>
  <si>
    <t>säh</t>
  </si>
  <si>
    <t>Vantaan Energia Oy</t>
  </si>
  <si>
    <t>Koivukylä</t>
  </si>
  <si>
    <t>Hakunila</t>
  </si>
  <si>
    <t>Maarinkunnas</t>
  </si>
  <si>
    <t>Lentokenttä</t>
  </si>
  <si>
    <t>Varisto</t>
  </si>
  <si>
    <t>Jätevoimalan laajennus</t>
  </si>
  <si>
    <t>yhjä</t>
  </si>
  <si>
    <t>Martinlaakso 2</t>
  </si>
  <si>
    <t>Martinlaakso 4 (kaasukombi)</t>
  </si>
  <si>
    <t>Martinlaakso 1 (bio)</t>
  </si>
  <si>
    <t>Jätevoimala 1</t>
  </si>
  <si>
    <t>Tampereen Energia Oy, Tampere</t>
  </si>
  <si>
    <t>Ratina</t>
  </si>
  <si>
    <t>Hervanta</t>
  </si>
  <si>
    <t>Sarankulma</t>
  </si>
  <si>
    <t>Sarankulma 2</t>
  </si>
  <si>
    <t>Rahola</t>
  </si>
  <si>
    <t>Nekala</t>
  </si>
  <si>
    <t>Naistenlahti</t>
  </si>
  <si>
    <t>Hakametsä</t>
  </si>
  <si>
    <t>Hervannan hakelämpölaitos</t>
  </si>
  <si>
    <t>Lielahden sähkökattila</t>
  </si>
  <si>
    <t>Naistenlahti 3</t>
  </si>
  <si>
    <t>Lielahti</t>
  </si>
  <si>
    <t>Tammervoima hyötyvoimalaitos</t>
  </si>
  <si>
    <t>Oulun Energia Oy</t>
  </si>
  <si>
    <t>Limingantulli 1</t>
  </si>
  <si>
    <t>Huippukattila 1</t>
  </si>
  <si>
    <t>Huippukattila 2</t>
  </si>
  <si>
    <t>Limingantulli 2</t>
  </si>
  <si>
    <t>Vasaraperä</t>
  </si>
  <si>
    <t>Pateniemi</t>
  </si>
  <si>
    <t>Oulunsuu</t>
  </si>
  <si>
    <t>Laanila</t>
  </si>
  <si>
    <t xml:space="preserve">Laanilan sähkökattila </t>
  </si>
  <si>
    <t xml:space="preserve">Ritaharjun S-market </t>
  </si>
  <si>
    <t>Karjasilta CHC</t>
  </si>
  <si>
    <t>Oulunsalon S-market</t>
  </si>
  <si>
    <t>Toppila 2</t>
  </si>
  <si>
    <t>jtu</t>
  </si>
  <si>
    <t>Laanilan biovoimalaitos</t>
  </si>
  <si>
    <t xml:space="preserve">Ekovoimalaitos </t>
  </si>
  <si>
    <t>Turku Energia Oy Ab, Kaarina</t>
  </si>
  <si>
    <t>Rauvola</t>
  </si>
  <si>
    <t>Voivala</t>
  </si>
  <si>
    <t>Nummenniitty</t>
  </si>
  <si>
    <t>Turku Energia Oy Ab, Naantali</t>
  </si>
  <si>
    <t>Myllynkiventie</t>
  </si>
  <si>
    <t>Karvetti</t>
  </si>
  <si>
    <t>Luolala</t>
  </si>
  <si>
    <t>Turku Energia Oy Ab, Raisio</t>
  </si>
  <si>
    <t>Kemppilä</t>
  </si>
  <si>
    <t>Petäsmäki</t>
  </si>
  <si>
    <t>Hauninen</t>
  </si>
  <si>
    <t>Hakinmäki</t>
  </si>
  <si>
    <t>Petäsmäen LPP</t>
  </si>
  <si>
    <t>Turku Energia Oy Ab, Turku</t>
  </si>
  <si>
    <t>Linna vesikattila</t>
  </si>
  <si>
    <t>Härkämäki</t>
  </si>
  <si>
    <t>Luolavuori</t>
  </si>
  <si>
    <t>Lentoasema</t>
  </si>
  <si>
    <t>Tyks vesikattila</t>
  </si>
  <si>
    <t>Koroinen</t>
  </si>
  <si>
    <t>Artukainen</t>
  </si>
  <si>
    <t>Jäkärlä</t>
  </si>
  <si>
    <t>Luolavuoren pellettikattila</t>
  </si>
  <si>
    <t>ART6 Höyrykeskus</t>
  </si>
  <si>
    <t>Itäharju</t>
  </si>
  <si>
    <t>Biolaakso</t>
  </si>
  <si>
    <t>Myötäisten LPP</t>
  </si>
  <si>
    <t>Artukaisten Höyrykeskus SKL LPP</t>
  </si>
  <si>
    <t>Turun Seudun Energiantuotanto Oy</t>
  </si>
  <si>
    <t>Oriketo</t>
  </si>
  <si>
    <t>Kakola</t>
  </si>
  <si>
    <t>Na 4</t>
  </si>
  <si>
    <t>Na 3</t>
  </si>
  <si>
    <t>Alva-yhtiöt Oy, Jyväskylä</t>
  </si>
  <si>
    <t>Korpilahden lämpökeskus</t>
  </si>
  <si>
    <t>Keltinmäen lämpökeskus (kaatop.kaasu)</t>
  </si>
  <si>
    <t>..</t>
  </si>
  <si>
    <t>Tikkakosken lämpölaitos</t>
  </si>
  <si>
    <t>Alva Rauhalahti Oy</t>
  </si>
  <si>
    <t>Savela, A1 ja A2</t>
  </si>
  <si>
    <t>Kuokkala</t>
  </si>
  <si>
    <t>Rauhalahti, RAI 4</t>
  </si>
  <si>
    <t>Varikko 2</t>
  </si>
  <si>
    <t>Rauhalahden voimalaitos</t>
  </si>
  <si>
    <t>Jyväskylän Voima Oy</t>
  </si>
  <si>
    <t>Keljonlahden voimalaitos</t>
  </si>
  <si>
    <t>Vihreät investoinnit, Dataikkuna (19.3.2025) https://ek.fi/tutkittua-tietoa/vihreat-investoinnit/</t>
  </si>
  <si>
    <t>Salmisaari A</t>
  </si>
  <si>
    <t>https://www.helen.fi/uutiset/2023/pelletti-korvaa-kivihiilen-kayttoa-salmisaaressa</t>
  </si>
  <si>
    <t>Telian datakeskus</t>
  </si>
  <si>
    <t>https://www.helsinginuutiset.fi/paikalliset/5991257</t>
  </si>
  <si>
    <t>https://www.helen.fi/uutiset/2024/helen-rakentaa-hanasaareen-euroopan-suurimman-sahkokattilalaitoksen</t>
  </si>
  <si>
    <t>Patola EB</t>
  </si>
  <si>
    <t>https://www.helen.fi/uutiset/2024/helen-investoi-kohti-kaukolammon-hiilineutraalisuutta-patolaan-uuteen-teknologiaan-pohjautuva-lampopumppulaitos-ja-kaksi-sahkokattilaa</t>
  </si>
  <si>
    <t>Patola heat pump</t>
  </si>
  <si>
    <t>Thermal energy storages: Vihreät investoinnit, Dataikkuna (19.3.2025) https://ek.fi/tutkittua-tietoa/vihreat-investoinnit/</t>
  </si>
  <si>
    <t>Storage capacity (MWh)</t>
  </si>
  <si>
    <t>Eiran ranta HP</t>
  </si>
  <si>
    <t>https://www.helen.fi/uutiset/2022/tyo-ja-elinkeinoministerio-on-myontanyt-investointitukea-helenin-uudelle-eiranrannan-lampopumppulaitokselle</t>
  </si>
  <si>
    <t>Salmisaari EB</t>
  </si>
  <si>
    <t>Salmisaari HP</t>
  </si>
  <si>
    <t>https://www.helen.fi/uutiset/2023/uusi-ilma-vesilampopumppulaitos-helenin-salmisaaren-voimalaitosalueelle</t>
  </si>
  <si>
    <t>input</t>
  </si>
  <si>
    <t>output</t>
  </si>
  <si>
    <t>https://www.helsinginuutiset.fi/paikalliset/6176573</t>
  </si>
  <si>
    <t>Katri Vala 6</t>
  </si>
  <si>
    <t>Katri Vala 7</t>
  </si>
  <si>
    <t>https://www.helen.fi/uutiset/2020/uusi-lampopumppu</t>
  </si>
  <si>
    <t>Thermal energy storages: District heating in Finland 2023 https://energia.fi/en/statistics/district-heating-statistics/</t>
  </si>
  <si>
    <t>Mustikkamaa</t>
  </si>
  <si>
    <t>District heating in Finland 2023 https://energia.fi/en/statistics/district-heating-statistics/</t>
  </si>
  <si>
    <t>atNorth data centre</t>
  </si>
  <si>
    <t>https://www.tekniikkatalous.fi/uutiset/uusi-15-megawatin-datakeskus-avataan-espooseen/f37b155d-98ee-4329-87e7-1596217be2ba?_ga=2.133813390.1695412777.1701952796-1280453368.1634287732&amp;_gl=1*1whx8lo*_ga*MTI4MDQ1MzM2OC4xNjM0Mjg3NzMy*_ga_3L539PMN3X*MTcwMTk1Mjc5Ni4xMzIuMC4xNzAxOTUyNzk2LjAuMC4w</t>
  </si>
  <si>
    <t>Microsoft data centre</t>
  </si>
  <si>
    <t>https://www.fortum.fi/media/2023/06/fortum-investoi-noin-225-miljoonaa-euroa-hukkalammon-talteenottohankkeisiin-espoossa-ja-kirkkonummella</t>
  </si>
  <si>
    <t>Equinix data centre</t>
  </si>
  <si>
    <t>https://www.fortum.fi/media/2023/05/fortum-ja-equinix-yhteistyohon-equinixin-datakeskusten-hukkalampoa-hyodynnetaan-fortumin-kaukolampoverkossa</t>
  </si>
  <si>
    <t>Nuijala EB</t>
  </si>
  <si>
    <t>https://news.cision.com/fi/fortum/r/fortum-rakentaa-lisaa-joustavaa-sahkopohjaista-kaukolammontuotantoa-espoossa,c3949118</t>
  </si>
  <si>
    <t>Nuijala TES</t>
  </si>
  <si>
    <t>https://www.fortum.fi/media/2023/06/fortumin-vermon-laitos-kaynnistynyt-lajissaan-suomen-suurin-tuottaa-kaukolampoa-ilmasta</t>
  </si>
  <si>
    <t>Suomenoja TES</t>
  </si>
  <si>
    <t>Varanto EB</t>
  </si>
  <si>
    <t>https://www.vantaanenergia.fi/tietoa-meista/hankkeet/varanto/</t>
  </si>
  <si>
    <t>Martinlaakso EB</t>
  </si>
  <si>
    <t>https://www.vantaanenergia.fi/vantaan-energia-laajentaa-paastotonta-lammontuotantoaan-sahkokattila-ja-lampoakku-martinlaakson-voimalaitokselle/</t>
  </si>
  <si>
    <t>Martinlaakso</t>
  </si>
  <si>
    <t>Varanto</t>
  </si>
  <si>
    <t>Martinlaakso New</t>
  </si>
  <si>
    <t>Jätevoimala</t>
  </si>
  <si>
    <t>Lielahti EB 2</t>
  </si>
  <si>
    <t>https://www.tampereenenergia.fi/uutiset/miljoonainvestointi-vihreaan-siirtymaan-tampereelle-tulee-kaksi-uutta-kaukolampoa-tuottavaa-sahkokattilaa/</t>
  </si>
  <si>
    <t>https://www.theseus.fi/bitstream/handle/10024/884048/Iso-Mustajarvi_Henri.pdf?sequence=2</t>
  </si>
  <si>
    <t>Tammervoima</t>
  </si>
  <si>
    <t>Laanila EB</t>
  </si>
  <si>
    <t>https://www.oulunenergia.fi/uutiset/2--2023/laanilan-kehittamisen-uutinen/</t>
  </si>
  <si>
    <t>Toppila EB</t>
  </si>
  <si>
    <t>https://www.oulunenergia.fi/uutiset/08--2024/sahkolla-tuotetun-kaukolammon-osuus-tuplaantuu-toppilan-voimalaitoksen-uuden-sahkokattilan-myota/#:~:text=Toppilaan%20sijoittuva%20s%C3%A4hk%C3%B6kattila%20on%20Oulun%20Energian%20toinen%20p%C3%A4%C3%A4st%C3%B6tt%C3%B6m%C3%A4ll%C3%A4,MW%3An%20s%C3%A4hk%C3%B6kattila%20otettiin%20k%C3%A4ytt%C3%B6%C3%B6n%20Laanilan%20voimalaitosalueella%20loppuvuodesta%202023.</t>
  </si>
  <si>
    <t>Large TES</t>
  </si>
  <si>
    <t>Small TES</t>
  </si>
  <si>
    <t>https://www.oulunenergia.fi/ajankohtaista/blogi/lampoakku-lammittaa-koteja-talvella/</t>
  </si>
  <si>
    <t>Turku EB</t>
  </si>
  <si>
    <t>https://www.turkuenergia.fi/uutiset-ja-artikkelit/70071402</t>
  </si>
  <si>
    <t>Naantalin kaukolämpöakku</t>
  </si>
  <si>
    <t>Naantali HP</t>
  </si>
  <si>
    <t>https://www.sttinfo.fi/tiedote/69904714/tse-parantaa-naantalin-voimalaitoksen-monipolttoaineyksikon-energiatehokkuutta-lampopumppulaitoksella?publisherId=69817834</t>
  </si>
  <si>
    <t>Woodspin Oy HP</t>
  </si>
  <si>
    <t>https://www.alva.fi/blog/2023/05/11/uusi-lampopumppulaitos-vahentaa-alvan-paastoja-3-miljoonaa-kiloa-vuodessa-koekaytot-alkoivat/</t>
  </si>
  <si>
    <t>Rauhalahti EB</t>
  </si>
  <si>
    <t>Nenäinniemi HP</t>
  </si>
  <si>
    <t>https://www.alva.fi/blog/2024/02/05/uusia-avauksia-matkalla-kohti-hiilineutraalia-energiantuotantoa/</t>
  </si>
  <si>
    <t>https://www.alva.fi/blog/2024/04/11/sahkokattiloilla-puhtaampaa-lampoa-ja-hintavakautta-alvan-lammontuotantopaletti-monipuolistuu/</t>
  </si>
  <si>
    <t>Rauhalahti TES</t>
  </si>
  <si>
    <t>Adven Oy, Eura</t>
  </si>
  <si>
    <t>Eura 1</t>
  </si>
  <si>
    <t>Euran voimalaitos</t>
  </si>
  <si>
    <t>kipo</t>
  </si>
  <si>
    <t>Adven Oy, Hanko</t>
  </si>
  <si>
    <t>Hangon KPA-laitos</t>
  </si>
  <si>
    <t>Adven Oy, Hausjärvi</t>
  </si>
  <si>
    <t>Oitti LK249</t>
  </si>
  <si>
    <t>Adven Oy, Huittinen</t>
  </si>
  <si>
    <t>Huittinen KPA</t>
  </si>
  <si>
    <t>Huittinen</t>
  </si>
  <si>
    <t>Adven Oy, Inkoo</t>
  </si>
  <si>
    <t>Rannikkotie</t>
  </si>
  <si>
    <t>Adven Oy, Kirkkonummi</t>
  </si>
  <si>
    <t>LK180 Upinniemi</t>
  </si>
  <si>
    <t>LK263 Veikkola</t>
  </si>
  <si>
    <t>Adven Oy, Kuusamo</t>
  </si>
  <si>
    <t>LK305 Kuusamon voimalaitos</t>
  </si>
  <si>
    <t>tept</t>
  </si>
  <si>
    <t>Adven Oy, Lappeenranta</t>
  </si>
  <si>
    <t>K21</t>
  </si>
  <si>
    <t>vety</t>
  </si>
  <si>
    <t>Joutsenon voimalaitos</t>
  </si>
  <si>
    <t>Adven Oy, Levi</t>
  </si>
  <si>
    <t>Levin kaukolämpö, Kittilä</t>
  </si>
  <si>
    <t>Savukaasupesuri</t>
  </si>
  <si>
    <t>Adven Oy, Loppi</t>
  </si>
  <si>
    <t>Loppi KPA-laitos LK283</t>
  </si>
  <si>
    <t>Adven Oy, Nokia (Pitkäniemi)</t>
  </si>
  <si>
    <t>LK093</t>
  </si>
  <si>
    <t>LK148</t>
  </si>
  <si>
    <t>Adven Oy, Nummela</t>
  </si>
  <si>
    <t>Nummela KPA</t>
  </si>
  <si>
    <t>LK71</t>
  </si>
  <si>
    <t>kö</t>
  </si>
  <si>
    <t>LK44</t>
  </si>
  <si>
    <t>Nummela</t>
  </si>
  <si>
    <t>Adven Oy, Parikkala</t>
  </si>
  <si>
    <t>LK320 Parikkala</t>
  </si>
  <si>
    <t>LK321 Saari</t>
  </si>
  <si>
    <t>Adven Oy, Sastamala (Pehula)</t>
  </si>
  <si>
    <t>Pehula</t>
  </si>
  <si>
    <t>Adven Oy, Sastamala (Vammala)</t>
  </si>
  <si>
    <t xml:space="preserve">Vammala </t>
  </si>
  <si>
    <t>Vammala</t>
  </si>
  <si>
    <t>Adven Oy, Seinäjoki (Ylistaro, Halkosaari)</t>
  </si>
  <si>
    <t>LK104 Ylistaro</t>
  </si>
  <si>
    <t>LK190 Halkosaari</t>
  </si>
  <si>
    <t>Adven Oy, Siilinjärvi</t>
  </si>
  <si>
    <t>Siilinjärvi</t>
  </si>
  <si>
    <t>muu</t>
  </si>
  <si>
    <t>Adven Oy, Siuntio</t>
  </si>
  <si>
    <t>LK 101</t>
  </si>
  <si>
    <t>Adven Oy, Sonkajärvi</t>
  </si>
  <si>
    <t>LK139 Sonkajärvi</t>
  </si>
  <si>
    <t>Adven Oy, Ylämylly-Honkalampi</t>
  </si>
  <si>
    <t>LK193</t>
  </si>
  <si>
    <t>LK279</t>
  </si>
  <si>
    <t>LK170</t>
  </si>
  <si>
    <t>Alajärven Lämpö Oy</t>
  </si>
  <si>
    <t>Alajärvi</t>
  </si>
  <si>
    <t>Alavuden Lämpö Oy</t>
  </si>
  <si>
    <t>Rekolan lämpökeskus</t>
  </si>
  <si>
    <t>Salmentien lämpökeskus</t>
  </si>
  <si>
    <t>Yläasteen lämpökeskus</t>
  </si>
  <si>
    <t>Aseman lämpökeskus</t>
  </si>
  <si>
    <t>Tuurin lämpökeskus</t>
  </si>
  <si>
    <t>Alkkulan Aluelämpö Oy</t>
  </si>
  <si>
    <t>Lämpökeskus 2</t>
  </si>
  <si>
    <t>Lämpökeskus 3</t>
  </si>
  <si>
    <t>Aurora Lämpö Oy, Kolari</t>
  </si>
  <si>
    <t>Lämpökeskus</t>
  </si>
  <si>
    <t>Ylläsjärven lämpökeskus</t>
  </si>
  <si>
    <t>Aurora Lämpö Oy, Savukoski</t>
  </si>
  <si>
    <t>Savukoski</t>
  </si>
  <si>
    <t>Etelä-Savon Energia Oy</t>
  </si>
  <si>
    <t>Pursiala</t>
  </si>
  <si>
    <t>Siekkilä</t>
  </si>
  <si>
    <t xml:space="preserve">SLK 2 </t>
  </si>
  <si>
    <t>Otava</t>
  </si>
  <si>
    <t>Tikkala</t>
  </si>
  <si>
    <t>Rokkala</t>
  </si>
  <si>
    <t>Kyyhkylä</t>
  </si>
  <si>
    <t>Pursiala 1</t>
  </si>
  <si>
    <t>Pursiala 2</t>
  </si>
  <si>
    <t>Haapajärven Lämpö Oy</t>
  </si>
  <si>
    <t xml:space="preserve">Viikatetie </t>
  </si>
  <si>
    <t>Klk 2</t>
  </si>
  <si>
    <t>Rantakatu</t>
  </si>
  <si>
    <t>Rantakatu 26 A</t>
  </si>
  <si>
    <t>Haminan Kaukolämpö Oy</t>
  </si>
  <si>
    <t>Ruissalo</t>
  </si>
  <si>
    <t>Varuskunta Keskusta</t>
  </si>
  <si>
    <t>Harju</t>
  </si>
  <si>
    <t>Paavonpolun lämpökeskus</t>
  </si>
  <si>
    <t>KPA-laitos</t>
  </si>
  <si>
    <t>Herrfors Oy Ab, Alavieska</t>
  </si>
  <si>
    <t>Alavieska</t>
  </si>
  <si>
    <t>Herrfors Oy Ab, Pietarsaari</t>
  </si>
  <si>
    <t>Itälä</t>
  </si>
  <si>
    <t>Siikaluoto</t>
  </si>
  <si>
    <t>Herrfors Oy Ab, Ylivieska</t>
  </si>
  <si>
    <t>Ylivieska</t>
  </si>
  <si>
    <t>Raudaskylä</t>
  </si>
  <si>
    <t>Tulolantie</t>
  </si>
  <si>
    <t>Hyvinkään Lämpövoima Oy</t>
  </si>
  <si>
    <t>Sahanmäki</t>
  </si>
  <si>
    <t>Suokatu</t>
  </si>
  <si>
    <t>Veikkari</t>
  </si>
  <si>
    <t>Imatran Lämpö Oy</t>
  </si>
  <si>
    <t>Linnala</t>
  </si>
  <si>
    <t>Immola</t>
  </si>
  <si>
    <t>Rajapatsas</t>
  </si>
  <si>
    <t>Kuusirinne</t>
  </si>
  <si>
    <t>Kanavakatu</t>
  </si>
  <si>
    <t>Imatrankoski</t>
  </si>
  <si>
    <t>Honkaharju</t>
  </si>
  <si>
    <t>Sienimäki</t>
  </si>
  <si>
    <t>Virasoja bio</t>
  </si>
  <si>
    <t>Immola bio</t>
  </si>
  <si>
    <t>Rajapatsas bio</t>
  </si>
  <si>
    <t>Imatrankosken lämpöpumppu</t>
  </si>
  <si>
    <t>Inergia Lämpö Oy</t>
  </si>
  <si>
    <t>Ivalo</t>
  </si>
  <si>
    <t>Saariselkä</t>
  </si>
  <si>
    <t>Inari</t>
  </si>
  <si>
    <t>Liinahamari</t>
  </si>
  <si>
    <t>Nukkumajoki</t>
  </si>
  <si>
    <t>Aviakaari</t>
  </si>
  <si>
    <t>Virastotalo</t>
  </si>
  <si>
    <t>Leiritie</t>
  </si>
  <si>
    <t>Joutsan Lämpö Oy</t>
  </si>
  <si>
    <t>Myllytien varalämpökeskus</t>
  </si>
  <si>
    <t>Pertunmaantien lämpölaitos</t>
  </si>
  <si>
    <t>Juuan Kaukolämpö Oy</t>
  </si>
  <si>
    <t>Juuan lämpökeskus</t>
  </si>
  <si>
    <t>Juuan Lämpökeskus 2</t>
  </si>
  <si>
    <t>Jämsän Aluelämpö Oy</t>
  </si>
  <si>
    <t>Pietilä</t>
  </si>
  <si>
    <t xml:space="preserve">Konila </t>
  </si>
  <si>
    <t>Halli</t>
  </si>
  <si>
    <t>Kaipola</t>
  </si>
  <si>
    <t>Kalajoen Lämpö Oy</t>
  </si>
  <si>
    <t>Pirkonsuon KPA</t>
  </si>
  <si>
    <t>Pirkonsuon POK</t>
  </si>
  <si>
    <t>1988-2010</t>
  </si>
  <si>
    <t>Hiekkasärkkien KPA</t>
  </si>
  <si>
    <t>Hiekkasärkkien POK</t>
  </si>
  <si>
    <t>Himangan KPA</t>
  </si>
  <si>
    <t>Himangan POK</t>
  </si>
  <si>
    <t>Kangasalan Lämpö Oy</t>
  </si>
  <si>
    <t>Lentola</t>
  </si>
  <si>
    <t>Pikonkangas</t>
  </si>
  <si>
    <t>Vatiala</t>
  </si>
  <si>
    <t>Riunranta</t>
  </si>
  <si>
    <t>Ranta-Koivisto</t>
  </si>
  <si>
    <t>Kannuksen Kaukolämpö Oy</t>
  </si>
  <si>
    <t>KPA-keskus</t>
  </si>
  <si>
    <t>Biokattilalaitos</t>
  </si>
  <si>
    <t>Karvian Lämpö Oy</t>
  </si>
  <si>
    <t>laajennus</t>
  </si>
  <si>
    <t>Kauhajoen Lämpöhuolto Oy</t>
  </si>
  <si>
    <t>Lellava</t>
  </si>
  <si>
    <t>Aro</t>
  </si>
  <si>
    <t>Koivisto-Kokko</t>
  </si>
  <si>
    <t>Pikikuja KPA</t>
  </si>
  <si>
    <t xml:space="preserve">Pikikuja </t>
  </si>
  <si>
    <t>Kauhavan Kaukolämpö Oy</t>
  </si>
  <si>
    <t>Alahärmä</t>
  </si>
  <si>
    <t>Kahava vanha</t>
  </si>
  <si>
    <t>Kauhava uusi</t>
  </si>
  <si>
    <t>Ylihärmä</t>
  </si>
  <si>
    <t>Ylihärmän varapaketti</t>
  </si>
  <si>
    <t>Kortesjärvi</t>
  </si>
  <si>
    <t>Kauhava LSK</t>
  </si>
  <si>
    <t>Kauhava lto lämpöpumppu</t>
  </si>
  <si>
    <t>Kauhava kylmäverkko</t>
  </si>
  <si>
    <t>Kausalan Kaukolämpö Oy</t>
  </si>
  <si>
    <t>Asemantie</t>
  </si>
  <si>
    <t>Kemijärven lämpö ja vesi Oy</t>
  </si>
  <si>
    <t>Turvelaitos</t>
  </si>
  <si>
    <t>Seinälä</t>
  </si>
  <si>
    <t>Ammattikoulu</t>
  </si>
  <si>
    <t>Suomu</t>
  </si>
  <si>
    <t>KeVo</t>
  </si>
  <si>
    <t>Kemin Energia ja Vesi Oy</t>
  </si>
  <si>
    <t>Karjalahti</t>
  </si>
  <si>
    <t>KPA1-lämpökeskus</t>
  </si>
  <si>
    <t>KPA2-lämpökeskus</t>
  </si>
  <si>
    <t>Keminmaan Energia ja Vesi Oy</t>
  </si>
  <si>
    <t>Kpa-lämpölaitos</t>
  </si>
  <si>
    <t>Sannitien lämpölaitos</t>
  </si>
  <si>
    <t>Keravan Energia Oy, Kerava</t>
  </si>
  <si>
    <t>Ylikerava</t>
  </si>
  <si>
    <t>Alikerava</t>
  </si>
  <si>
    <t>Savio</t>
  </si>
  <si>
    <t>Ahjo</t>
  </si>
  <si>
    <t>Pihkaniitty</t>
  </si>
  <si>
    <t>Kannisto</t>
  </si>
  <si>
    <t>Keravan Energia Oy, Sipoo</t>
  </si>
  <si>
    <t>Söderkulla</t>
  </si>
  <si>
    <t>Ingman</t>
  </si>
  <si>
    <t>K.Hartwall</t>
  </si>
  <si>
    <t>Hansas</t>
  </si>
  <si>
    <t>Nikkilä</t>
  </si>
  <si>
    <t>Tarapot</t>
  </si>
  <si>
    <t>Keuruun Lämpövoima Oy</t>
  </si>
  <si>
    <t>Sepänkuja</t>
  </si>
  <si>
    <t>Ketvelniemi</t>
  </si>
  <si>
    <t>Keurusselkä</t>
  </si>
  <si>
    <t>Punojantie</t>
  </si>
  <si>
    <t>Yläaste HPMKI</t>
  </si>
  <si>
    <t>Haapamäki, hakelämpölaitos</t>
  </si>
  <si>
    <t>Varissaari 2</t>
  </si>
  <si>
    <t>Varissaari 1</t>
  </si>
  <si>
    <t>Kiteen Lämpö Oy</t>
  </si>
  <si>
    <t>Koulukeskus</t>
  </si>
  <si>
    <t xml:space="preserve">Arppe </t>
  </si>
  <si>
    <t>Selkue KPA</t>
  </si>
  <si>
    <t xml:space="preserve">Selkue </t>
  </si>
  <si>
    <t>Arppe KPA</t>
  </si>
  <si>
    <t>Kittilän Aluelämpö Oy</t>
  </si>
  <si>
    <t>Linnatie</t>
  </si>
  <si>
    <t>Linnatie bio2</t>
  </si>
  <si>
    <t>Kokemäen Lämpö Oy</t>
  </si>
  <si>
    <t>Kartanonvoima 6, K1</t>
  </si>
  <si>
    <t>Kartanonvoima 6, Novell</t>
  </si>
  <si>
    <t>K6</t>
  </si>
  <si>
    <t>Perunakatu 1, K5</t>
  </si>
  <si>
    <t>Perunakatu 1, POK2</t>
  </si>
  <si>
    <t>Sini</t>
  </si>
  <si>
    <t>Putsari LK</t>
  </si>
  <si>
    <t>Kokkolan Energia</t>
  </si>
  <si>
    <t>Kosilan huippu- ja varalämpökeskus</t>
  </si>
  <si>
    <t>Boliden Kokkola Oy rikkihappotehtaan lämmön talteenotto</t>
  </si>
  <si>
    <t>Kokkolan Energia Oy Power</t>
  </si>
  <si>
    <t>Kokkolan Energia Oy Voima</t>
  </si>
  <si>
    <t>Kotkan Energia Oy</t>
  </si>
  <si>
    <t>Itäkatu 6</t>
  </si>
  <si>
    <t>Loitsutie 2</t>
  </si>
  <si>
    <t>Kuitukatu 3</t>
  </si>
  <si>
    <t>Hovinsaari</t>
  </si>
  <si>
    <t>Hyötyvoimala</t>
  </si>
  <si>
    <t>sijä</t>
  </si>
  <si>
    <t>KSS Lämpö Oy, Kouvola</t>
  </si>
  <si>
    <t>Kiskokatu</t>
  </si>
  <si>
    <t>Kekkurintie</t>
  </si>
  <si>
    <t>Kymintehdas</t>
  </si>
  <si>
    <t>Urheilualue</t>
  </si>
  <si>
    <t>Keskuslaitos</t>
  </si>
  <si>
    <t>Keltti lämpökeskus</t>
  </si>
  <si>
    <t>Sairaalan lämpökeskus</t>
  </si>
  <si>
    <t>Mäentausta</t>
  </si>
  <si>
    <t>Sairaalankaari</t>
  </si>
  <si>
    <t>Kytöahonkuja</t>
  </si>
  <si>
    <t>Kupparintie</t>
  </si>
  <si>
    <t>Ratatie</t>
  </si>
  <si>
    <t>Hurjanhaka ja Jaakonkara</t>
  </si>
  <si>
    <t>Valkealan lämpökeskus</t>
  </si>
  <si>
    <t>Valkeala Bio lämpökeskus/kasu</t>
  </si>
  <si>
    <t>Valkeala Bio lämpökeskus/hake</t>
  </si>
  <si>
    <t>Kuopion Energia Oy</t>
  </si>
  <si>
    <t>Niirala</t>
  </si>
  <si>
    <t>Saarijärvi</t>
  </si>
  <si>
    <t>Iloharju</t>
  </si>
  <si>
    <t>Jynkkä</t>
  </si>
  <si>
    <t>Pitkälahti</t>
  </si>
  <si>
    <t>Päiväranta</t>
  </si>
  <si>
    <t>Rautaniemi</t>
  </si>
  <si>
    <t>KJ-laitoksen LP2</t>
  </si>
  <si>
    <t>Museo-Kirjaston CHC</t>
  </si>
  <si>
    <t>Lumit CHC</t>
  </si>
  <si>
    <t>Lääninhallitus CHC</t>
  </si>
  <si>
    <t>Niuvan CHC</t>
  </si>
  <si>
    <t>Valteri CHC</t>
  </si>
  <si>
    <t>Haapaniemi 2 ja 3 (HP2 savukaasupesuri 46 MW v. 2015)</t>
  </si>
  <si>
    <t>Pitkälahden moottorivoimalaitos</t>
  </si>
  <si>
    <t>Kuortaneen energiaosuuskunta</t>
  </si>
  <si>
    <t>Haapaniemi</t>
  </si>
  <si>
    <t>Sampola</t>
  </si>
  <si>
    <t>Kortesmäki</t>
  </si>
  <si>
    <t>Kurikan Energia Oy</t>
  </si>
  <si>
    <t>Jousimiehenk. 3, Kurikka</t>
  </si>
  <si>
    <t>Nummentie, Kurikka</t>
  </si>
  <si>
    <t>Nikkarintie, Kurikka</t>
  </si>
  <si>
    <t>Salontie 14, Jurva</t>
  </si>
  <si>
    <t>Trahteerintie, Ilmajoki</t>
  </si>
  <si>
    <t>Palkkitie, Ilmajoki</t>
  </si>
  <si>
    <t>Ilmajoentie, Ilmajoki</t>
  </si>
  <si>
    <t>Koulukeskus, Ilmajoki</t>
  </si>
  <si>
    <t>Ilmailutie, Pojanluoma</t>
  </si>
  <si>
    <t>Jakk, Jalasjärvi</t>
  </si>
  <si>
    <t>Lähdetie 2, Jalasjärvi</t>
  </si>
  <si>
    <t>Kurikan Jäähalli</t>
  </si>
  <si>
    <t>Kuusamon energia- ja vesiosuuskunta</t>
  </si>
  <si>
    <t>Näverintien lämpökeskus</t>
  </si>
  <si>
    <t>Tolpanniemien lämpökeskus</t>
  </si>
  <si>
    <t>Ammattikoulun lämpökeskus</t>
  </si>
  <si>
    <t>Torangin lämpökeskus</t>
  </si>
  <si>
    <t>Kylpylän lämpökeskus</t>
  </si>
  <si>
    <t>Louhi</t>
  </si>
  <si>
    <t>Rukan biolämpölaitos</t>
  </si>
  <si>
    <t>Rukan lämpökeskus</t>
  </si>
  <si>
    <t>Köyliön-Säkylän Sähkö Oy</t>
  </si>
  <si>
    <t>KPA-lämpökeskus</t>
  </si>
  <si>
    <t>Lahti Energia Oy, Asikkala</t>
  </si>
  <si>
    <t>Tunnelinsuu</t>
  </si>
  <si>
    <t>1991 /2012</t>
  </si>
  <si>
    <t>BioVääksy</t>
  </si>
  <si>
    <t>Lahti Energia Oy, Hollola</t>
  </si>
  <si>
    <t>Keskikankaantie</t>
  </si>
  <si>
    <t>Soramäki</t>
  </si>
  <si>
    <t>Lahti Energia Oy, Lahti</t>
  </si>
  <si>
    <t>Keskussairaala</t>
  </si>
  <si>
    <t>Liipola</t>
  </si>
  <si>
    <t>Hartwall</t>
  </si>
  <si>
    <t>Rautakankare</t>
  </si>
  <si>
    <t>Teivaanmäki</t>
  </si>
  <si>
    <t>Mukkula</t>
  </si>
  <si>
    <t>Nikula</t>
  </si>
  <si>
    <t>Ahtialan lämpökeskus</t>
  </si>
  <si>
    <t>Rakokivi</t>
  </si>
  <si>
    <t>Ilmarisentie</t>
  </si>
  <si>
    <t>Sopenkorpi</t>
  </si>
  <si>
    <t>Ruokotie</t>
  </si>
  <si>
    <t>Renkomäki</t>
  </si>
  <si>
    <t>Ali-Juhakkala</t>
  </si>
  <si>
    <t>Kymijärvi 2, höyrykattila</t>
  </si>
  <si>
    <t>Kymijärvi 3, höyrykattila</t>
  </si>
  <si>
    <t>Kymijärvi, kaasuturbiini</t>
  </si>
  <si>
    <t>Koneharju</t>
  </si>
  <si>
    <t>Laihian Nuuka Lämpö Oy</t>
  </si>
  <si>
    <t>Kpa</t>
  </si>
  <si>
    <t>Pok</t>
  </si>
  <si>
    <t>Laitilan Lämpö Oy</t>
  </si>
  <si>
    <t>Pappilantien Lk</t>
  </si>
  <si>
    <t>Meijerin Lk</t>
  </si>
  <si>
    <t>Lappajärven Lämpö Oy</t>
  </si>
  <si>
    <t>Hyytisentie</t>
  </si>
  <si>
    <t>Kankaantie</t>
  </si>
  <si>
    <t>Lempeä Lämpö Oy, Hartola</t>
  </si>
  <si>
    <t>Asolan varalämpökeskus</t>
  </si>
  <si>
    <t>Lempeä Lämpö Oy, Juva</t>
  </si>
  <si>
    <t>Puutarhatien lämpölaitos</t>
  </si>
  <si>
    <t>Tirrolan lämpökeskus</t>
  </si>
  <si>
    <t>Lempeä Lämpö Oy, Kangasniemi</t>
  </si>
  <si>
    <t>Keskusta</t>
  </si>
  <si>
    <t>Vanhainkoti</t>
  </si>
  <si>
    <t>Biolämpölaitos</t>
  </si>
  <si>
    <t>Lempeä Lämpö Oy, Mäntyharju</t>
  </si>
  <si>
    <t>Pentinpelto</t>
  </si>
  <si>
    <t>Hakelämpökeskus</t>
  </si>
  <si>
    <t>Lempeä Lämpö Oy, Pertunmaa</t>
  </si>
  <si>
    <t>Paloaseman lämpökeskus</t>
  </si>
  <si>
    <t>Lempeä Lämpö Oy, Puumala</t>
  </si>
  <si>
    <t>Puumalan lämpölaitos</t>
  </si>
  <si>
    <t>Puumalan hybridilämpölaitos</t>
  </si>
  <si>
    <t>Lempeä Lämpö Oy, Rantasalmi</t>
  </si>
  <si>
    <t>Nikkarintien lämpölaitos</t>
  </si>
  <si>
    <t>Kuivaamontien lämpölaitos</t>
  </si>
  <si>
    <t>Lempeä Lämpö Oy, Savonlinna</t>
  </si>
  <si>
    <t>SKS</t>
  </si>
  <si>
    <t>Kaikuvuori 1</t>
  </si>
  <si>
    <t>Kaikuvuori 2</t>
  </si>
  <si>
    <t>Inkerinkylä</t>
  </si>
  <si>
    <t>Laitaatsillan biolämpölaitos</t>
  </si>
  <si>
    <t>Lempäälän Lämpö Oy</t>
  </si>
  <si>
    <t>Moisio</t>
  </si>
  <si>
    <t>Makasiinitie</t>
  </si>
  <si>
    <t>Varastotien lämpökeskus</t>
  </si>
  <si>
    <t>Tenkasen mylly</t>
  </si>
  <si>
    <t>Kl-akku</t>
  </si>
  <si>
    <t>Leppäkosken Lämpö Oy, Hämeenkyrö</t>
  </si>
  <si>
    <t>Puronsuun lk</t>
  </si>
  <si>
    <t>Leppäkosken Lämpö Oy, Ikaalinen</t>
  </si>
  <si>
    <t>Kylpylän Lk</t>
  </si>
  <si>
    <t>Kylpylän pellettilk</t>
  </si>
  <si>
    <t>MVL pellettikattila</t>
  </si>
  <si>
    <t>Palinperän lk</t>
  </si>
  <si>
    <t>maakaasulaitos</t>
  </si>
  <si>
    <t>Leppäkosken Lämpö Oy, Nokia</t>
  </si>
  <si>
    <t>Viholan pellettilämpökeskus</t>
  </si>
  <si>
    <t>Voimalaitoksen lämpökeskus</t>
  </si>
  <si>
    <t>Nosturikadun lämpökeskus</t>
  </si>
  <si>
    <t>Leppäkosken Lämpö Oy, Parkano</t>
  </si>
  <si>
    <t>Varalämpökeskus</t>
  </si>
  <si>
    <t>Meijeri</t>
  </si>
  <si>
    <t>KiIvelän lämpökeskus</t>
  </si>
  <si>
    <t>Leppäkosken Lämpö Oy, Ylöjärvi</t>
  </si>
  <si>
    <t>Kivilähteentie</t>
  </si>
  <si>
    <t>Liedon Lämpö Oy</t>
  </si>
  <si>
    <t>Taatila</t>
  </si>
  <si>
    <t>Piispala</t>
  </si>
  <si>
    <t>Avanti</t>
  </si>
  <si>
    <t>Ilmarinen</t>
  </si>
  <si>
    <t>Nuolemo</t>
  </si>
  <si>
    <t>Luolakallio</t>
  </si>
  <si>
    <t>Kunnantalo</t>
  </si>
  <si>
    <t>Lohjan Energiahuolto Oy Loher</t>
  </si>
  <si>
    <t>Tytyri</t>
  </si>
  <si>
    <t>Sammatin hakelämpölaitos</t>
  </si>
  <si>
    <t>Ojamo, Antinkatu 5</t>
  </si>
  <si>
    <t>Routio, Salmenmäentie 22</t>
  </si>
  <si>
    <t>Pusulan hakelämpölaitos</t>
  </si>
  <si>
    <t>Nummen hakelämpölaitos</t>
  </si>
  <si>
    <t>Virkkala, Tynninharjuntie</t>
  </si>
  <si>
    <t>Mäntynummi, Hakulintie</t>
  </si>
  <si>
    <t>Virkkala, biolämpökeskus</t>
  </si>
  <si>
    <t>Loimaan Kaukolämpö Oy</t>
  </si>
  <si>
    <t>Lämpövarikko</t>
  </si>
  <si>
    <t>Myllykylän keskus</t>
  </si>
  <si>
    <t>Sunin varavoima</t>
  </si>
  <si>
    <t>Aleksiskiven varavoima</t>
  </si>
  <si>
    <t>Varaston varavoima</t>
  </si>
  <si>
    <t>Niittukulman varavoima</t>
  </si>
  <si>
    <t>Loimua Oy, Akaa</t>
  </si>
  <si>
    <t>Savola</t>
  </si>
  <si>
    <t>Käenoja</t>
  </si>
  <si>
    <t>Loimua Oy, Heinola</t>
  </si>
  <si>
    <t>Jyränkö</t>
  </si>
  <si>
    <t>Sammalpuisto</t>
  </si>
  <si>
    <t>Sahanniemi</t>
  </si>
  <si>
    <t>Vuohkallio</t>
  </si>
  <si>
    <t>Loimua Oy, Hämeenlinna</t>
  </si>
  <si>
    <t>Kauriala</t>
  </si>
  <si>
    <t>Keinusaari</t>
  </si>
  <si>
    <t>Ahvenisto</t>
  </si>
  <si>
    <t>Katuma</t>
  </si>
  <si>
    <t>Sairaala</t>
  </si>
  <si>
    <t>Sairionranta</t>
  </si>
  <si>
    <t>Parolannummen lämpökeskus</t>
  </si>
  <si>
    <t>Kalevalanpuistotie lk, Lammi</t>
  </si>
  <si>
    <t>Puhdistamon lk, Lammi</t>
  </si>
  <si>
    <t>Lammi KPA-kattila</t>
  </si>
  <si>
    <t>Vanaja K6</t>
  </si>
  <si>
    <t>Hauho KPA-kattila</t>
  </si>
  <si>
    <t>Vanaja (leijukattila)</t>
  </si>
  <si>
    <t>Vanaja (kaasuturbiini)</t>
  </si>
  <si>
    <t>Loimua Oy, Janakkala</t>
  </si>
  <si>
    <t>Turengin lk</t>
  </si>
  <si>
    <t>Kuumolan lk</t>
  </si>
  <si>
    <t>Turenki kpa</t>
  </si>
  <si>
    <t>Turenki lk</t>
  </si>
  <si>
    <t>Loimua Oy, Jyväskylän seutu</t>
  </si>
  <si>
    <t>Kantolantie/Laukaa</t>
  </si>
  <si>
    <t>Uurainen/Uurainen</t>
  </si>
  <si>
    <t>jätes</t>
  </si>
  <si>
    <t>Lentoemännäntie/Laukaa</t>
  </si>
  <si>
    <t>Kolu/Jyväskylä</t>
  </si>
  <si>
    <t>Elementtitie/Tikkakoski</t>
  </si>
  <si>
    <t>Loimua Oy, Kärsämäki</t>
  </si>
  <si>
    <t>Varastotie 1</t>
  </si>
  <si>
    <t>Loimua Oy, Oulainen</t>
  </si>
  <si>
    <t>Konttila</t>
  </si>
  <si>
    <t>Koskela</t>
  </si>
  <si>
    <t>Oulaskangas</t>
  </si>
  <si>
    <t>Junnikkala</t>
  </si>
  <si>
    <t>Loimua Oy, Vilppula</t>
  </si>
  <si>
    <t>Puhdistamo</t>
  </si>
  <si>
    <t>Vanha Paloasema</t>
  </si>
  <si>
    <t>Loiste Lämpö Oy</t>
  </si>
  <si>
    <t>Palokangas</t>
  </si>
  <si>
    <t>Lohtaja</t>
  </si>
  <si>
    <t>Loviisan Lämpö Oy, Loviisa, Pornainen, Pukkila, Pyhtää</t>
  </si>
  <si>
    <t>Urakoitsijantie TLK</t>
  </si>
  <si>
    <t>Urakoitsijantie KPA</t>
  </si>
  <si>
    <t>Valkon lämpölaitos</t>
  </si>
  <si>
    <t>Määrlahden lämpölaitos</t>
  </si>
  <si>
    <t>Urakoitsijantie KPA 2</t>
  </si>
  <si>
    <t>Pyhtää Siltakylä lämpölaitos</t>
  </si>
  <si>
    <t>Pyhtää KK lämpölaitos</t>
  </si>
  <si>
    <t>Lappohjan lämpölaitos</t>
  </si>
  <si>
    <t>Pukkilan lämpölaitos</t>
  </si>
  <si>
    <t xml:space="preserve">Pornaisten KPA </t>
  </si>
  <si>
    <t>Lämpö Korpela Oy</t>
  </si>
  <si>
    <t>Sievin lämpölaitos</t>
  </si>
  <si>
    <t>Mariehamns Energi Ab</t>
  </si>
  <si>
    <t>Dieselkraftvärmeverk G4</t>
  </si>
  <si>
    <t>Mäntän Kaukolämpö ja Vesihuolto Oy</t>
  </si>
  <si>
    <t>Mustalahti</t>
  </si>
  <si>
    <t>Kolho</t>
  </si>
  <si>
    <t>Neve Oy, Rovaniemi</t>
  </si>
  <si>
    <t>Kantaverkko</t>
  </si>
  <si>
    <t>Suosiola</t>
  </si>
  <si>
    <t>Nivavaara</t>
  </si>
  <si>
    <t>Muurola</t>
  </si>
  <si>
    <t>Sky-hotelli</t>
  </si>
  <si>
    <t>Rautiosaari</t>
  </si>
  <si>
    <t>Hilleritien</t>
  </si>
  <si>
    <t>Nevel Oy, Forssa</t>
  </si>
  <si>
    <t>Koikkurintie</t>
  </si>
  <si>
    <t>Lepistönkatu</t>
  </si>
  <si>
    <t>Jokioinen</t>
  </si>
  <si>
    <t>MTT</t>
  </si>
  <si>
    <t>Kiimassuo</t>
  </si>
  <si>
    <t>Nevel Oy, Ii</t>
  </si>
  <si>
    <t>Puulaakso</t>
  </si>
  <si>
    <t>Nevel Oy, Ilomantsi</t>
  </si>
  <si>
    <t>Teollisuustie</t>
  </si>
  <si>
    <t>Nevel Oy, Joensuu (Hammaslahti, Reijola)</t>
  </si>
  <si>
    <t>Hammaslahti Paavontie</t>
  </si>
  <si>
    <t>Hammaslahti Paavontie (POK)</t>
  </si>
  <si>
    <t>Reijola Tiedonpolku 3</t>
  </si>
  <si>
    <t>Nevel Oy, Karkkila</t>
  </si>
  <si>
    <t>Karkkila Huhdintie POK</t>
  </si>
  <si>
    <t>Karkkila Puhdistamontie</t>
  </si>
  <si>
    <t>Nevel Oy, Kemi</t>
  </si>
  <si>
    <t>Nevel Oy, Lieksa</t>
  </si>
  <si>
    <t>Rantakylä</t>
  </si>
  <si>
    <t>Teollisuuskylä</t>
  </si>
  <si>
    <t>Voimalaitos Ahlström</t>
  </si>
  <si>
    <t>Voimalaitos Wärtsilä</t>
  </si>
  <si>
    <t>Voimalaitos Bio</t>
  </si>
  <si>
    <t>Kevätniemen voimalaitos</t>
  </si>
  <si>
    <t>Nevel Oy, Mynämäki</t>
  </si>
  <si>
    <t>Mynämäki pelletti</t>
  </si>
  <si>
    <t>Mynämäki POK</t>
  </si>
  <si>
    <t>Mynämäki KPA</t>
  </si>
  <si>
    <t>Nevel Oy, Petäjävesi</t>
  </si>
  <si>
    <t>KPA</t>
  </si>
  <si>
    <t>POK</t>
  </si>
  <si>
    <t>Nevel Oy, Ruovesi</t>
  </si>
  <si>
    <t>Ruovesi POK</t>
  </si>
  <si>
    <t>Ruovesi KPA</t>
  </si>
  <si>
    <t>Nevel Oy, Rääkkylä</t>
  </si>
  <si>
    <t>Rääkkylä KPA</t>
  </si>
  <si>
    <t>Rääkkylä POK</t>
  </si>
  <si>
    <t>Nevel Oy, Salon Energiantuotanto Oy</t>
  </si>
  <si>
    <t>Salon voimalaitos</t>
  </si>
  <si>
    <t>Nevel Oy, Sotkamo</t>
  </si>
  <si>
    <t>Vuokatti 1 Lastaajantie</t>
  </si>
  <si>
    <t>Vuokatti 2 Sahakuja</t>
  </si>
  <si>
    <t>Sotkamo</t>
  </si>
  <si>
    <t>Nevel Oy, Sysmä</t>
  </si>
  <si>
    <t xml:space="preserve">Arinatie </t>
  </si>
  <si>
    <t>Nevel Oy, Tohmajärvi</t>
  </si>
  <si>
    <t>Tohmajärvi KPA</t>
  </si>
  <si>
    <t>Tohmajärvi POK</t>
  </si>
  <si>
    <t>Nevel Oy, Tuusula (Jokela)</t>
  </si>
  <si>
    <t>Opintie POK</t>
  </si>
  <si>
    <t>Vaihdemiehentie KPA</t>
  </si>
  <si>
    <t>Vaihdemiehentie POK</t>
  </si>
  <si>
    <t>Nevel Oy, Utajärvi</t>
  </si>
  <si>
    <t>Koulu</t>
  </si>
  <si>
    <t>Utajärvi KPA</t>
  </si>
  <si>
    <t>Kinnusen mylly</t>
  </si>
  <si>
    <t>kapa</t>
  </si>
  <si>
    <t>Nevel Oy, Vehmersalmi</t>
  </si>
  <si>
    <t xml:space="preserve">Vehmersalmen pellettilämpökeskus </t>
  </si>
  <si>
    <t>Nivalan Kaukolämpö Oy</t>
  </si>
  <si>
    <t>Kyläoja</t>
  </si>
  <si>
    <t>Nivos Vesi ja Lämpö Oy, Mäntsälä</t>
  </si>
  <si>
    <t>Ruusutarhat A</t>
  </si>
  <si>
    <t>Ruusutarhat B</t>
  </si>
  <si>
    <t>Liedontie</t>
  </si>
  <si>
    <t>Kapuli</t>
  </si>
  <si>
    <t>Saari</t>
  </si>
  <si>
    <t>Numminen</t>
  </si>
  <si>
    <t>Saari pellettilaitos</t>
  </si>
  <si>
    <t>Hyökännummi</t>
  </si>
  <si>
    <t>Kapulin biolämpölaitos</t>
  </si>
  <si>
    <t>Kapuli LTO</t>
  </si>
  <si>
    <t>Nurmeksen Lämpö Oy</t>
  </si>
  <si>
    <t>Ritoniemi</t>
  </si>
  <si>
    <t>Vinkerlahti</t>
  </si>
  <si>
    <t>Valtimo</t>
  </si>
  <si>
    <t>Nurmijärven Sähkö Oy</t>
  </si>
  <si>
    <t>Kirkonkylä Kpö-kattila</t>
  </si>
  <si>
    <t>Kirkonkylä Kpö-Kattila</t>
  </si>
  <si>
    <t>Kirkonkylä Kpa-Kattila</t>
  </si>
  <si>
    <t>Klaukkala Kpa-Kattila</t>
  </si>
  <si>
    <t>Klaukkala Kpö-kattila</t>
  </si>
  <si>
    <t>Klaukkala biokaasu-kattila</t>
  </si>
  <si>
    <t>Klaukkala pelletti-Kattila</t>
  </si>
  <si>
    <t>Rajamäki Kpa-Kattila</t>
  </si>
  <si>
    <t>Rajamäki Kpö-kattila</t>
  </si>
  <si>
    <t>Nykarleby Kraftverk</t>
  </si>
  <si>
    <t>KPA kattilalatos 3+3 MW</t>
  </si>
  <si>
    <t>KPÖ Kattilalaitos 2+2 MW</t>
  </si>
  <si>
    <t>KPÖ Kattilalaitos 2,5 MW</t>
  </si>
  <si>
    <t>Okun Energia Oy, Outokumpu</t>
  </si>
  <si>
    <t>Mustola</t>
  </si>
  <si>
    <t>Kehkola/nestekaasu</t>
  </si>
  <si>
    <t>Kehkola/KPA1</t>
  </si>
  <si>
    <t>Kehkola/KPA2</t>
  </si>
  <si>
    <t>Orimattilan Lämpö Oy</t>
  </si>
  <si>
    <t>Orion</t>
  </si>
  <si>
    <t>Myllylä</t>
  </si>
  <si>
    <t>Käkelä</t>
  </si>
  <si>
    <t>Viljamaa</t>
  </si>
  <si>
    <t>Viljamaan KPA-laitos</t>
  </si>
  <si>
    <t>Artjärvi</t>
  </si>
  <si>
    <t>Artjärven lämpökeskus</t>
  </si>
  <si>
    <t>Otanmäen Lämpö Oy</t>
  </si>
  <si>
    <t>Lämpökuja</t>
  </si>
  <si>
    <t>Kiisu</t>
  </si>
  <si>
    <t>Kumparetie</t>
  </si>
  <si>
    <t>Oulun Seudun Sähkö, Kempele</t>
  </si>
  <si>
    <t>Kempele Keskusta</t>
  </si>
  <si>
    <t>Haapamaa-Honk.</t>
  </si>
  <si>
    <t>Kempele, Ekohaka</t>
  </si>
  <si>
    <t>Ketolanperän koulu</t>
  </si>
  <si>
    <t>Oulun Seudun Sähkö, Liminka</t>
  </si>
  <si>
    <t>Liminka, Kuormatie</t>
  </si>
  <si>
    <t>Liminka,Kramsunkuja</t>
  </si>
  <si>
    <t>Liminka, Ankkurilahti</t>
  </si>
  <si>
    <t>Liminka, Tuiskulanranta</t>
  </si>
  <si>
    <t>auke</t>
  </si>
  <si>
    <t>Oulun Seudun Sähkö, Lumijoki</t>
  </si>
  <si>
    <t>Lumijoki, Poutalantie</t>
  </si>
  <si>
    <t>Oulun Seudun Sähkö, Muhos</t>
  </si>
  <si>
    <t>Muhos, Veturitie</t>
  </si>
  <si>
    <t>Muhos, Päivärinne</t>
  </si>
  <si>
    <t>Oulun Seudun Sähkö, Tyrnävä</t>
  </si>
  <si>
    <t>Tyrnävä, Ketolantie</t>
  </si>
  <si>
    <t>Mäläskänsuora</t>
  </si>
  <si>
    <t>Paimion Lämpökeskus Oy</t>
  </si>
  <si>
    <t>POR</t>
  </si>
  <si>
    <t>Hake</t>
  </si>
  <si>
    <t>Pelletti</t>
  </si>
  <si>
    <t>Savukaasulämpöpumppupesuri</t>
  </si>
  <si>
    <t>Aurinkovoimalaitos</t>
  </si>
  <si>
    <t>Pargas Fjärrvärme Ab Oy</t>
  </si>
  <si>
    <t>Kalkkiranta</t>
  </si>
  <si>
    <t>Tennby</t>
  </si>
  <si>
    <t>Lehtiniemi</t>
  </si>
  <si>
    <t>Pori Energia Oy, Harjavalta</t>
  </si>
  <si>
    <t>Harjavalta 1</t>
  </si>
  <si>
    <t>Harjavalta 2</t>
  </si>
  <si>
    <t>Harjavalta 3</t>
  </si>
  <si>
    <t>Pori Energia Oy, Kristiinankaupunki</t>
  </si>
  <si>
    <t>Kristiina hakekattila</t>
  </si>
  <si>
    <t>Pori Energia Oy, Pori</t>
  </si>
  <si>
    <t>Tiilimäki</t>
  </si>
  <si>
    <t>Puuvilla</t>
  </si>
  <si>
    <t>Ulasoori</t>
  </si>
  <si>
    <t>Metallinkylä</t>
  </si>
  <si>
    <t>Apukattila</t>
  </si>
  <si>
    <t>Reposaari</t>
  </si>
  <si>
    <t>Noormarkku</t>
  </si>
  <si>
    <t>Aurubis lämmönsiirtimet</t>
  </si>
  <si>
    <t>Aittaluoto, RT-kattila</t>
  </si>
  <si>
    <t>Aittaluoto, A-kattila</t>
  </si>
  <si>
    <t>Porin Prosessivoima</t>
  </si>
  <si>
    <t>Porvoon Energia Oy</t>
  </si>
  <si>
    <t>Kipinätie (Lisäosa 2018)</t>
  </si>
  <si>
    <t>Harabacka (Lisäosa 2023)</t>
  </si>
  <si>
    <t>Kirjaltajantie (lisäosa 2008)</t>
  </si>
  <si>
    <t>Tolkkinen</t>
  </si>
  <si>
    <t>Tolkkinen 2</t>
  </si>
  <si>
    <t>Raahen Energia Oy</t>
  </si>
  <si>
    <t>LK-3</t>
  </si>
  <si>
    <t>LK-1</t>
  </si>
  <si>
    <t>LK-2</t>
  </si>
  <si>
    <t>LK-4</t>
  </si>
  <si>
    <t>LK-5/2</t>
  </si>
  <si>
    <t>LK-5</t>
  </si>
  <si>
    <t>LK-V1</t>
  </si>
  <si>
    <t>LK-V2</t>
  </si>
  <si>
    <t>Raseborgs Energi Ab</t>
  </si>
  <si>
    <t>Kabelgränds Värmecentral</t>
  </si>
  <si>
    <t>Björknäs biovärmecentral</t>
  </si>
  <si>
    <t>Bio3</t>
  </si>
  <si>
    <t>Bio4</t>
  </si>
  <si>
    <t>Pojo biovärmecentral</t>
  </si>
  <si>
    <t>Pojo oljevärmecentral</t>
  </si>
  <si>
    <t>Björknäs kraftvärmeverk</t>
  </si>
  <si>
    <t>Rauman Energia Oy</t>
  </si>
  <si>
    <t>Kourujärvi</t>
  </si>
  <si>
    <t>Kaivopuisto</t>
  </si>
  <si>
    <t>Isometsä</t>
  </si>
  <si>
    <t>Kappelinluhta</t>
  </si>
  <si>
    <t>Merirauma</t>
  </si>
  <si>
    <t>Satama</t>
  </si>
  <si>
    <t>Uotila</t>
  </si>
  <si>
    <t>Lakari</t>
  </si>
  <si>
    <t>mpö</t>
  </si>
  <si>
    <t>Riihimäen Kaukolämpö Oy</t>
  </si>
  <si>
    <t>Jokikylä</t>
  </si>
  <si>
    <t>Kontiontie</t>
  </si>
  <si>
    <t>Kaunola</t>
  </si>
  <si>
    <t>Peltokylä</t>
  </si>
  <si>
    <t>Puhdistamontie</t>
  </si>
  <si>
    <t>Kynttilätie</t>
  </si>
  <si>
    <t>Saarijärven Kaukolämpö Oy</t>
  </si>
  <si>
    <t>KPA3-Tarvaala</t>
  </si>
  <si>
    <t>Keskusta (POK)</t>
  </si>
  <si>
    <t>KPA1-Keskustan laitos</t>
  </si>
  <si>
    <t>Kunniavuori (POK)</t>
  </si>
  <si>
    <t>KPA2-Aseman laitos</t>
  </si>
  <si>
    <t>Absorptiolämpöpumppu</t>
  </si>
  <si>
    <t>Salon Kaukolämpö Oy</t>
  </si>
  <si>
    <t>Uhrilähteenkatu</t>
  </si>
  <si>
    <t>Ollikkala</t>
  </si>
  <si>
    <t>Meriniitty</t>
  </si>
  <si>
    <t>Savon Voima Oyj, Iisalmi</t>
  </si>
  <si>
    <t>LK67,Energiakuja</t>
  </si>
  <si>
    <t>LK69, 70, 29 Teollisuuskuja</t>
  </si>
  <si>
    <t>LK91,Kivirannankuja</t>
  </si>
  <si>
    <t>LK96, Kiviranta</t>
  </si>
  <si>
    <t>LK 101 Marjahaka</t>
  </si>
  <si>
    <t>LK118 Levytie</t>
  </si>
  <si>
    <t>Energiakuja, VL2 voimalaitos</t>
  </si>
  <si>
    <t>Savon Voima Oyj, Joensuu</t>
  </si>
  <si>
    <t>Joensuu Kontiosuo</t>
  </si>
  <si>
    <t>Pötkä</t>
  </si>
  <si>
    <t>Käpykangas 1</t>
  </si>
  <si>
    <t>Käpykangas 2</t>
  </si>
  <si>
    <t>Utra</t>
  </si>
  <si>
    <t>Noljakka</t>
  </si>
  <si>
    <t>Hasanniemi</t>
  </si>
  <si>
    <t>Pyro-Hob</t>
  </si>
  <si>
    <t>bion</t>
  </si>
  <si>
    <t>Nepenmäki</t>
  </si>
  <si>
    <t>Joensuu CHP</t>
  </si>
  <si>
    <t>Savon Voima Oyj, Joroinen</t>
  </si>
  <si>
    <t xml:space="preserve">LK111 </t>
  </si>
  <si>
    <t>LK110</t>
  </si>
  <si>
    <t>LK115</t>
  </si>
  <si>
    <t>Savon Voima Oyj, Kiuruvesi</t>
  </si>
  <si>
    <t>LK64, Sepänkatu</t>
  </si>
  <si>
    <t>LK63, Torikatu</t>
  </si>
  <si>
    <t>LK65, Erätie</t>
  </si>
  <si>
    <t>Lk66 / VL3, Sahatie</t>
  </si>
  <si>
    <t>Dlvl, Sepänkatu</t>
  </si>
  <si>
    <t>Savon Voima Oyj, Kuopio</t>
  </si>
  <si>
    <t xml:space="preserve">LK 86 </t>
  </si>
  <si>
    <t>LK95, Sääskiniementie 487</t>
  </si>
  <si>
    <t>LK103, Laitisenmäentie 20</t>
  </si>
  <si>
    <t>LK 104, Opintie</t>
  </si>
  <si>
    <t>Savon Voima Oyj, Lapinlahti</t>
  </si>
  <si>
    <t>LK 100, Suoniementie</t>
  </si>
  <si>
    <t>Savon Voima Oyj, Leppävirta</t>
  </si>
  <si>
    <t>LK12, Voimatie</t>
  </si>
  <si>
    <t>LK 112, Voimatie</t>
  </si>
  <si>
    <t>Savon Voima Oyj, Pieksämäki</t>
  </si>
  <si>
    <t>LK1, Kutteritie</t>
  </si>
  <si>
    <t>LK2, Kutteritie</t>
  </si>
  <si>
    <t>LK5, Kontiopuisto</t>
  </si>
  <si>
    <t>VL1, Kutteritie</t>
  </si>
  <si>
    <t>Savon Voima Oyj, Pielavesi</t>
  </si>
  <si>
    <t>LK49, Lämpökuja</t>
  </si>
  <si>
    <t>LK106, Lämpökuja</t>
  </si>
  <si>
    <t>Savon Voima Oyj, Rautalampi</t>
  </si>
  <si>
    <t>LK19, Kellokuja</t>
  </si>
  <si>
    <t>Lk40 Pappilan 6 Bio</t>
  </si>
  <si>
    <t>Savon Voima Oyj, Siilinjärvi</t>
  </si>
  <si>
    <t>LK30, Harjamäki</t>
  </si>
  <si>
    <t>LK31 Siilinjärven biolk</t>
  </si>
  <si>
    <t>LK92 Toivalan biolk</t>
  </si>
  <si>
    <t>LK 120, öljy</t>
  </si>
  <si>
    <t>Savon Voima Oyj, Suonenjoki</t>
  </si>
  <si>
    <t>LK25, Kimpankatu</t>
  </si>
  <si>
    <t>LK117</t>
  </si>
  <si>
    <t>Seinäjoen Energia Oy</t>
  </si>
  <si>
    <t>Peräseinäjoki Koulutie</t>
  </si>
  <si>
    <t>Peräseinäjoki Metallitie</t>
  </si>
  <si>
    <t>Someron Lämpö Oy</t>
  </si>
  <si>
    <t>Terveyskeskus</t>
  </si>
  <si>
    <t>Kuivamaito</t>
  </si>
  <si>
    <t>Uusi KPA</t>
  </si>
  <si>
    <t>Suomussalmen Energia Oy</t>
  </si>
  <si>
    <t>Siikaranta KPA</t>
  </si>
  <si>
    <t>Siikaranta POK</t>
  </si>
  <si>
    <t>Tampereen Energia Oy, Pirkkala</t>
  </si>
  <si>
    <t>Ollikka</t>
  </si>
  <si>
    <t>Tampereen Energia Oy, Ylöjärvi</t>
  </si>
  <si>
    <t>Elovainio</t>
  </si>
  <si>
    <t>Teuvan Kaukolämpö Oy</t>
  </si>
  <si>
    <t>KPA 5</t>
  </si>
  <si>
    <t>KPA 6</t>
  </si>
  <si>
    <t>POK 4 MW</t>
  </si>
  <si>
    <t>POK 3,7 MW</t>
  </si>
  <si>
    <t>POK 0,5 MW</t>
  </si>
  <si>
    <t>PELLETTI 0,2 MW</t>
  </si>
  <si>
    <t>Toholammin Energia Oy</t>
  </si>
  <si>
    <t>POK 1</t>
  </si>
  <si>
    <t>POK 2</t>
  </si>
  <si>
    <t>POK 3</t>
  </si>
  <si>
    <t>Toholammin ORC-voimalaitos</t>
  </si>
  <si>
    <t>Tornion Energia Oy</t>
  </si>
  <si>
    <t>Aukiokatu</t>
  </si>
  <si>
    <t>Aukiokatu 2</t>
  </si>
  <si>
    <t>Juhannusssaari</t>
  </si>
  <si>
    <t>Ulvilan Lämpö Oy</t>
  </si>
  <si>
    <t>Kullaa Koski</t>
  </si>
  <si>
    <t>Vaasan Sähkö Oy</t>
  </si>
  <si>
    <t>Vaskiluoto</t>
  </si>
  <si>
    <t>Pitkämäki</t>
  </si>
  <si>
    <t>Vaasa 1</t>
  </si>
  <si>
    <t>Vaasa 2</t>
  </si>
  <si>
    <t>Isolahti</t>
  </si>
  <si>
    <t>Klemettilä</t>
  </si>
  <si>
    <t>Pått</t>
  </si>
  <si>
    <t>Valkeakosken Energia Oy</t>
  </si>
  <si>
    <t>Klk 1</t>
  </si>
  <si>
    <t>Klk 3</t>
  </si>
  <si>
    <t>Klk 4</t>
  </si>
  <si>
    <t>Klk 5</t>
  </si>
  <si>
    <t>Mvl 1</t>
  </si>
  <si>
    <t>Vantaan Energia Keski-Uusimaa Oy, Järvenpää</t>
  </si>
  <si>
    <t>Ristinummi</t>
  </si>
  <si>
    <t>Jamppa</t>
  </si>
  <si>
    <t>Järvenpään voimalaitos</t>
  </si>
  <si>
    <t>Vantaan Energia Keski-Uusimaa Oy, Tuusula</t>
  </si>
  <si>
    <t>Kievari</t>
  </si>
  <si>
    <t>Sula</t>
  </si>
  <si>
    <t>Kellokoski</t>
  </si>
  <si>
    <t>Lahela</t>
  </si>
  <si>
    <t>Varissuon Lämpö Oy</t>
  </si>
  <si>
    <t>Varissuo Öljylämpökeskus</t>
  </si>
  <si>
    <t>Varissuo KPA</t>
  </si>
  <si>
    <t>Varkauden Aluelämpö Oy</t>
  </si>
  <si>
    <t>Haijanvirta</t>
  </si>
  <si>
    <t>Kuoppakangas</t>
  </si>
  <si>
    <t>Hevosharju</t>
  </si>
  <si>
    <t>Hasintie</t>
  </si>
  <si>
    <t>A-rehu</t>
  </si>
  <si>
    <t>Vatajankoski Oy</t>
  </si>
  <si>
    <t>Koskenoja</t>
  </si>
  <si>
    <t>Tapala</t>
  </si>
  <si>
    <t>Soikanpuisto</t>
  </si>
  <si>
    <t>Kuntosairaala</t>
  </si>
  <si>
    <t>Niinisalo</t>
  </si>
  <si>
    <t>Pansian lämmöntalteenottolaitos</t>
  </si>
  <si>
    <t>Liikuntakeskuksen CHC-laitos</t>
  </si>
  <si>
    <t>Kankaanpää</t>
  </si>
  <si>
    <t>Vetelin Energia Oy</t>
  </si>
  <si>
    <t>KPA 1</t>
  </si>
  <si>
    <t>KPA 2</t>
  </si>
  <si>
    <t>POR 1</t>
  </si>
  <si>
    <t>Vierumäen Infra Oy</t>
  </si>
  <si>
    <t>Huoltokeskus</t>
  </si>
  <si>
    <t>Jäähalli</t>
  </si>
  <si>
    <t>Lämpöpumppulaitos</t>
  </si>
  <si>
    <t>Viitasaaren Lämpö Oy</t>
  </si>
  <si>
    <t>Kokkilan lämpölaitos</t>
  </si>
  <si>
    <t>Vimpelin Lämpö Oy</t>
  </si>
  <si>
    <t>KPA-kattila</t>
  </si>
  <si>
    <t>KPA-Kontti</t>
  </si>
  <si>
    <t>Virtain Energia Oy</t>
  </si>
  <si>
    <t>Kaukolämpölaitos</t>
  </si>
  <si>
    <t>Nallela</t>
  </si>
  <si>
    <t>VSV Energia Oy</t>
  </si>
  <si>
    <t>Janhua</t>
  </si>
  <si>
    <t>Valmet</t>
  </si>
  <si>
    <t>Pätsi</t>
  </si>
  <si>
    <t>ONKA</t>
  </si>
  <si>
    <t>Pätsi POK</t>
  </si>
  <si>
    <t>Äänekosken Energia Oy</t>
  </si>
  <si>
    <t>Äänekoski/Saunatie</t>
  </si>
  <si>
    <t>Suolahti/Suojarinne</t>
  </si>
  <si>
    <t>Suolahti/Pölkinkatu</t>
  </si>
  <si>
    <t>Äänekoski/Karhunlähde</t>
  </si>
  <si>
    <t>Hirvaskangas</t>
  </si>
  <si>
    <t>Sumiainen</t>
  </si>
  <si>
    <t>KAUKOLÄMPÖYRITYKSET YHTEENSÄ</t>
  </si>
  <si>
    <t>AKK-Energia Oy, Ikaalinen</t>
  </si>
  <si>
    <t>AKK LK</t>
  </si>
  <si>
    <t>Alholmens Kraft Oy, Pietarsaari</t>
  </si>
  <si>
    <t>AK1</t>
  </si>
  <si>
    <t>AK2</t>
  </si>
  <si>
    <t>Biolinja Oy Uusikaupunki</t>
  </si>
  <si>
    <t>Finnsementti Oy, Lappeenranta</t>
  </si>
  <si>
    <t>Finnsementti Oy</t>
  </si>
  <si>
    <t>sek</t>
  </si>
  <si>
    <t>Finnsementti Oy, Parainen</t>
  </si>
  <si>
    <t>Finnsementti</t>
  </si>
  <si>
    <t>Fortum Waste Solutions Oy, Riihimäki</t>
  </si>
  <si>
    <t>Gasum Oy</t>
  </si>
  <si>
    <t>Gasum Oy, Turku</t>
  </si>
  <si>
    <t>Hake Rissanen, Kuopio</t>
  </si>
  <si>
    <t>Riistaveden lämpölaitos</t>
  </si>
  <si>
    <t>Hartolan Kuningaslämpö</t>
  </si>
  <si>
    <t>Kuningaslämmön lämpölaitos</t>
  </si>
  <si>
    <t>Hämeenkyrön Voima Oy</t>
  </si>
  <si>
    <t>Isape Oy</t>
  </si>
  <si>
    <t>Keinäsentien lämpökeskus</t>
  </si>
  <si>
    <t>kipu</t>
  </si>
  <si>
    <t>Itä-Savon Lähienergia Oy</t>
  </si>
  <si>
    <t>Savonranta</t>
  </si>
  <si>
    <t>Nojanmaa</t>
  </si>
  <si>
    <t>WillaNuttu</t>
  </si>
  <si>
    <t>Metla</t>
  </si>
  <si>
    <t>Kerimäki</t>
  </si>
  <si>
    <t>JR-Lämpö Oy, Maaninka</t>
  </si>
  <si>
    <t>Junnikkala Oy, Kalajoki</t>
  </si>
  <si>
    <t>Sermet</t>
  </si>
  <si>
    <t>Järvi-Suomen Voima Oy, Savonlinna</t>
  </si>
  <si>
    <t>Järvi-Suomen Voima</t>
  </si>
  <si>
    <t>Kainuun Lämpöhuolto Oy</t>
  </si>
  <si>
    <t>Kainuun Voima Oy, Kajaani</t>
  </si>
  <si>
    <t>Kainuun Voima</t>
  </si>
  <si>
    <t>Kaukaan Voima Oy, Lappeenranta</t>
  </si>
  <si>
    <t>Kaukaan Voima Oy</t>
  </si>
  <si>
    <t>Keravan Lämpövoima Oy</t>
  </si>
  <si>
    <t>Keravan biovoimalaitos</t>
  </si>
  <si>
    <t>Kerienergia Oy</t>
  </si>
  <si>
    <t>Kerienergian KPA-laitos</t>
  </si>
  <si>
    <t>Kouvolan Saha Oy</t>
  </si>
  <si>
    <t>KSS Energia Oy</t>
  </si>
  <si>
    <t>Hinkismäki</t>
  </si>
  <si>
    <t>Eskolanmäki</t>
  </si>
  <si>
    <t>Kumpuniemen Voima Oy, Äänekoski</t>
  </si>
  <si>
    <t xml:space="preserve">Kumpuniemen Voima </t>
  </si>
  <si>
    <t>Kymenlaakson Jäte Oy</t>
  </si>
  <si>
    <t>Keltakankaan lämpökeskus</t>
  </si>
  <si>
    <t>Kymin Voima Oy</t>
  </si>
  <si>
    <t>Lantmännen Cerealia Oy, Hyvinkää</t>
  </si>
  <si>
    <t>KPA-kattilalaitos</t>
  </si>
  <si>
    <t>Lappeenrannan Lämpövoima Oy</t>
  </si>
  <si>
    <t>Mrt1 Kaasukattilat</t>
  </si>
  <si>
    <t>Mrt1 Sähkökattila</t>
  </si>
  <si>
    <t>Keskustaajama (Joutseno)</t>
  </si>
  <si>
    <t>Lampikangas (Joutseno)</t>
  </si>
  <si>
    <t>Rauha (Joutseno)</t>
  </si>
  <si>
    <t>Kahilanniemi (Keskusta)</t>
  </si>
  <si>
    <t>Lauritsala</t>
  </si>
  <si>
    <t>Ihalainen</t>
  </si>
  <si>
    <t>Hyrymäki</t>
  </si>
  <si>
    <t>Skinnarila</t>
  </si>
  <si>
    <t>Selkäharju</t>
  </si>
  <si>
    <t>Mrt2 Kaasukattilat</t>
  </si>
  <si>
    <t>Pulp (Joutseno)</t>
  </si>
  <si>
    <t>Late-Rakenteet Oy, Turku</t>
  </si>
  <si>
    <t>Late-Rakenteet</t>
  </si>
  <si>
    <t>Lempäälän Energia Oy</t>
  </si>
  <si>
    <t>Viialantien lämpölaitos</t>
  </si>
  <si>
    <t>Lohjan Biolämpö Oy</t>
  </si>
  <si>
    <t>Lounavoima Oy, Salo</t>
  </si>
  <si>
    <t>Korvenmäki</t>
  </si>
  <si>
    <t>Mariehamns Bioenergi Ab</t>
  </si>
  <si>
    <t>Bioenergi 5 MW</t>
  </si>
  <si>
    <t>Bioenergi 11 MW KVV</t>
  </si>
  <si>
    <t>Metsä Fibre Oy, Kemi</t>
  </si>
  <si>
    <t>Soodakattila SK2</t>
  </si>
  <si>
    <t>jätel</t>
  </si>
  <si>
    <t>Metsä Fibre Oy, Vilppulan Saha</t>
  </si>
  <si>
    <t>Öljykattilat</t>
  </si>
  <si>
    <t>CHP voimalaitos</t>
  </si>
  <si>
    <t>Metsä Fibre Oy, Äänekosken Biotuotetehdas</t>
  </si>
  <si>
    <t>Metsä Fibre Oy, Äänekoski</t>
  </si>
  <si>
    <t>Äänevoima Oy, Äänekoski</t>
  </si>
  <si>
    <t>Mäntän Energia Oy</t>
  </si>
  <si>
    <t>Mänttä</t>
  </si>
  <si>
    <t>Neova Oy, Ilomantsin laitosalue</t>
  </si>
  <si>
    <t>Ilomantsin pellettitehdas</t>
  </si>
  <si>
    <t>Nokianvirran Energia Oy</t>
  </si>
  <si>
    <t>Nokia voimalaitos</t>
  </si>
  <si>
    <t>Nordic Soya Oy, Uusikaupunki</t>
  </si>
  <si>
    <t>Nordic Soya Oy</t>
  </si>
  <si>
    <t>Nordkalk Oy Ab, Lohja</t>
  </si>
  <si>
    <t>Nordkalk, lämmönvaihtimet</t>
  </si>
  <si>
    <t>Nordkalk Oy, Parainen</t>
  </si>
  <si>
    <t>Nordkalk</t>
  </si>
  <si>
    <t>Pansion Lämpö Avoin Yhtiö</t>
  </si>
  <si>
    <t xml:space="preserve">Pansion Lämpö </t>
  </si>
  <si>
    <t>Pansion Lämpö</t>
  </si>
  <si>
    <t>Parkanon Listatehdas</t>
  </si>
  <si>
    <t>Parkanon Listatehdas LK</t>
  </si>
  <si>
    <t>Picea Oy Ab, Laitila</t>
  </si>
  <si>
    <t>Wärtsilä</t>
  </si>
  <si>
    <t>Rauma-Repola</t>
  </si>
  <si>
    <t>Witermo</t>
  </si>
  <si>
    <t>Vaasan Kuljetuskanavat</t>
  </si>
  <si>
    <t>Raahen Voima Oy</t>
  </si>
  <si>
    <t>Sulaton savukaasut</t>
  </si>
  <si>
    <t>Raahen Voima, K4</t>
  </si>
  <si>
    <t>Raahen Voima, K5</t>
  </si>
  <si>
    <t>Rauman Biovoima Oy</t>
  </si>
  <si>
    <t>Riikinvoima Oy</t>
  </si>
  <si>
    <t xml:space="preserve">Riikinvoima   </t>
  </si>
  <si>
    <t>Sarlin Oy, Vaasa</t>
  </si>
  <si>
    <t>Vaasan mikroturbiinilaitos. New Energy</t>
  </si>
  <si>
    <t>Seinäjoen Voima Oy, Seinäjoki</t>
  </si>
  <si>
    <t>Kapernaumin lämpölaitos</t>
  </si>
  <si>
    <t>Hanneksenrinteen lämpölaitos</t>
  </si>
  <si>
    <t>Puhdistamonkadun lämpölaitos</t>
  </si>
  <si>
    <t>Sevo sähkökattila</t>
  </si>
  <si>
    <t>Sevo</t>
  </si>
  <si>
    <t>SSAB Europe Oy, Hämeenlinna</t>
  </si>
  <si>
    <t>Sinkki 2 LTO</t>
  </si>
  <si>
    <t>Kattilalaitos kaukolämpövaihtimet</t>
  </si>
  <si>
    <t>höyry</t>
  </si>
  <si>
    <t>Stora Enso Oulu Oy</t>
  </si>
  <si>
    <t>Soodakattila SK7</t>
  </si>
  <si>
    <t>Leijupetikattila K3</t>
  </si>
  <si>
    <t>Stora Enso Oyj, Heinola</t>
  </si>
  <si>
    <t>Stora Enso</t>
  </si>
  <si>
    <t>Stora Enso Oyj, Varkauden tehdas</t>
  </si>
  <si>
    <t>Stora Enso Oyj, Varkauden tehtaat LVL2</t>
  </si>
  <si>
    <t>Stora Enso Publication Papers Oy Ltd, Kouvola</t>
  </si>
  <si>
    <t>Voimalaitos kokonaisuus</t>
  </si>
  <si>
    <t>Suomen Teollisuuden Energiapalvelut Oy, Harjavalta</t>
  </si>
  <si>
    <t>Pellettikattila</t>
  </si>
  <si>
    <t>Boliden Harjavalta Oyn lämmönsiirtimet</t>
  </si>
  <si>
    <t>Suomen Viljava Oy, Kouvola</t>
  </si>
  <si>
    <t>Viljava Bio-lämpökeskus</t>
  </si>
  <si>
    <t>Södra Wood Oy, Hamina</t>
  </si>
  <si>
    <t>Bioboiler 10,5MW</t>
  </si>
  <si>
    <t>Tervakoski Oy, Janakkala</t>
  </si>
  <si>
    <t>Tervakoski</t>
  </si>
  <si>
    <t>LS-16</t>
  </si>
  <si>
    <t>Tornion Voima Oy</t>
  </si>
  <si>
    <t>Tornio</t>
  </si>
  <si>
    <t>UPM Specialty Papers Oy, Tervasaari</t>
  </si>
  <si>
    <t>Tervasaari</t>
  </si>
  <si>
    <t>UPM-Kymmene Oyj, Lappeenranta</t>
  </si>
  <si>
    <t>UPM-Kymmene, Kaukas</t>
  </si>
  <si>
    <t>Vaasan Voima Oy</t>
  </si>
  <si>
    <t>Vaskiluoto sähkökattila</t>
  </si>
  <si>
    <t>Vaskiluoto 2</t>
  </si>
  <si>
    <t>Valkkia Oy, Salo</t>
  </si>
  <si>
    <t>Perniön lämpölaitos</t>
  </si>
  <si>
    <t>Perttelin lämpölaitos</t>
  </si>
  <si>
    <t>Vapo Terra Oy, Turengin Pellettitehdas</t>
  </si>
  <si>
    <t>Turengin pellettitehdas</t>
  </si>
  <si>
    <t>Versowood Oy</t>
  </si>
  <si>
    <t>14 MW biokattila</t>
  </si>
  <si>
    <t>10 MW biokattila</t>
  </si>
  <si>
    <t>5 MW biokattila</t>
  </si>
  <si>
    <t>8 MW öljykattila</t>
  </si>
  <si>
    <t>4,7 MW öljykattila</t>
  </si>
  <si>
    <t>Vöyrin energiaosuuskunta</t>
  </si>
  <si>
    <t>Vähänkyrön lämpökeskus</t>
  </si>
  <si>
    <t>Westenergy Oy, Mustasaari</t>
  </si>
  <si>
    <t xml:space="preserve">Westenergy </t>
  </si>
  <si>
    <t>Yara Suomi Oy, Uudenkaupungin tehtaat</t>
  </si>
  <si>
    <t>Yara Suomi Oy, Uusikaupunki</t>
  </si>
  <si>
    <t>https://savonvoima.fi/savon-voiman-joensuun-voimalaitoksen-uudistus-vie-kohti-hiilineutraalia-lammon-ja-sahkontuotantoa/</t>
  </si>
  <si>
    <t>Included in industry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</si>
  <si>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</si>
  <si>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</si>
  <si>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</si>
  <si>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</si>
  <si>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</si>
  <si>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</si>
  <si>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</si>
  <si>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</si>
  <si>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</si>
  <si>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</si>
  <si>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</si>
  <si>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</si>
  <si>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</si>
  <si>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Kirkkonummi TES (Microsoft DC)</t>
  </si>
  <si>
    <t>https://www.lansivayla.fi/paikalliset/5946310</t>
  </si>
  <si>
    <t>Kuopio TES</t>
  </si>
  <si>
    <t>Lahti TES</t>
  </si>
  <si>
    <t>Etelä-Savon Energia TES</t>
  </si>
  <si>
    <t>Pori EV01 TES</t>
  </si>
  <si>
    <t>Porvoo TES Kipinätie</t>
  </si>
  <si>
    <t>Pansian lämpövarasto</t>
  </si>
  <si>
    <t>Herrfors Oy, Ylivieska</t>
  </si>
  <si>
    <t>Lempäälän lämpö Oy</t>
  </si>
  <si>
    <t>Seinäjoen Voima Oy</t>
  </si>
  <si>
    <t>KSS Energia Oy, Hinkismäen voimalaitos</t>
  </si>
  <si>
    <t>Rauman biovoima Oy</t>
  </si>
  <si>
    <t>Lappeenranta, Mertanniemi</t>
  </si>
  <si>
    <t>Google data centre</t>
  </si>
  <si>
    <t>https://www.hamina.fi/haminan-energia-oyn-tiedote-googlen-datakeskuksen-lampoa-alkaa-virrata-haminan-kaukolampoverkossa-vuoden-2025-aikana/</t>
  </si>
  <si>
    <t>https://loimua.fi/ajassa-ja-blogi/loimua-investoi-sahkokattilaan-hameenlinnan-kaukolampoa-tuotetaan-yha-enemman-polttamatta/</t>
  </si>
  <si>
    <t>Loimua Oy, Hämeenlinna, Vanaja</t>
  </si>
  <si>
    <t>SSAB waste heat, Hämeenlinna</t>
  </si>
  <si>
    <t>https://www.ssab.com/fi-fi/uutiset/2024/05/ssabn-hmeenlinnan-tehtaan-hukkalmp-hytykyttn-loimuan-kaukolmpverkossa</t>
  </si>
  <si>
    <t>Stora Enso waste heat HP, Imatra</t>
  </si>
  <si>
    <t>Hukkalämpöhanke loppusuoralla - kaukolämmön tuotanto on alkanut | Imatran kaupunki</t>
  </si>
  <si>
    <t>Loiste Lämpö Oy, Kajaani EB</t>
  </si>
  <si>
    <t>https://www.enertec.fi/natiivi/4296/elektrodisahkokattiloiden-kysynta-kasvaa-voimakkaasti</t>
  </si>
  <si>
    <t>Vatajankoski Oy waste heat HP</t>
  </si>
  <si>
    <t>https://www.sttinfo.fi/tiedote/69882362/knauf-oyn-ja-vatajankosken-sahkon-5-miljoonan-euron-investointihanke-pienentaa-seka-kaukolammon-tuotannon-etta-tuotteiden-hiilijalanjalkea?publisherId=69817472</t>
  </si>
  <si>
    <t>Kotka, Waste heat HP</t>
  </si>
  <si>
    <t>https://yle.fi/a/74-20088907</t>
  </si>
  <si>
    <t>Kangasniemi EB</t>
  </si>
  <si>
    <t>https://www.lempealampo.fi/2024/05/kangasniemen-kaukolampolaitosta-modernisoidaan/</t>
  </si>
  <si>
    <t>Seinäjoki, Waste water HP</t>
  </si>
  <si>
    <t>https://tem.fi/documents/1410877/153287519/22122023_LIITE_tiedotteeseen_Investointitukip%C3%A4%C3%A4t%C3%B6ksi%C3%A4_RRF_FI.pdf/a3e88806-36e2-8b1c-3067-0e14f4346221/22122023_LIITE_tiedotteeseen_Investointitukip%C3%A4%C3%A4t%C3%B6ksi%C3%A4_RRF_FI.pdf?t=1703237539815</t>
  </si>
  <si>
    <t>Hyvinkää, Sahanmäki EB</t>
  </si>
  <si>
    <t>https://hlv.fi/ajankohtaista/hyvinkaan-lampovoima-rakentaa-sahkokattilan-sahanmakeen/</t>
  </si>
  <si>
    <t>Nevel Oy, Karkkila HP</t>
  </si>
  <si>
    <t>https://valtioneuvosto.fi/documents/1410877/196402993/LIITE-14062024-tiedotteeseen-hankekuvaukset-yhdeksasta-tuetusta-RRF-hankkeesta-FI.pdf/c2731b2c-0cf2-53d4-6075-d3363fb5a9ac/LIITE-14062024-tiedotteeseen-hankekuvaukset-yhdeksasta-tuetusta-RRF-hankkeesta-FI.pdf?t=1718354172338</t>
  </si>
  <si>
    <t>Keitele EB</t>
  </si>
  <si>
    <t>https://savonvoima.fi/savon-voima-investoi-sahkoiseen-lammontuotantoon-keiteleelle/</t>
  </si>
  <si>
    <t>Adven Oy, Kuusamo EB</t>
  </si>
  <si>
    <t>Adven Oy, Kuusamo TES</t>
  </si>
  <si>
    <t>Pansia EB</t>
  </si>
  <si>
    <t>https://www.epressi.com/tiedotteet/energia/adven-ja-kuusamon-evo-sahkoistavat-kuusamon-kaukolammon-tuotantoa.html?block=5&amp;customer=621</t>
  </si>
  <si>
    <t>https://www.esaimaa.fi/paikalliset/5846434</t>
  </si>
  <si>
    <t>https://www.vatajankoski.fi/vatajankoskella-taysin-uusiutuvaa-kaukolampoa/</t>
  </si>
  <si>
    <t>Lahti, Kymijärvi</t>
  </si>
  <si>
    <t>https://www.lahtienergia.fi/ajankohtaista/paransimme-tulosta-ja-investoimme-tana-vuonna-toiseen-sahkokattilaan/</t>
  </si>
  <si>
    <t>Kokkola EB</t>
  </si>
  <si>
    <t>https://www.kokkolanenergia.fi/fi/yritys/ajankohtaista/kokkolan-energia-kaavailee-investointeja-sahkoiseen-lammon-tuotantoon/</t>
  </si>
  <si>
    <t>Kokkola TES New</t>
  </si>
  <si>
    <t>Kuopio, Haapniemi EB</t>
  </si>
  <si>
    <t>https://www.kuopionenergia.fi/ajankohtaista/kaukolampoa-sahkolla-ensi-vuonna-joustavasti-polttoaineita-saastaen/#:~:text=S%C3%A4hk%C3%B6kattilalla%20tuotetaan%20kaukol%C3%A4mp%C3%B6%C3%A4%20s%C3%A4hk%C3%B6n%20edullisten%20markkinahintojen%20aikana%2C%20eli,s%C3%A4hk%C3%B6teholtaan%20max%2060%20MW%20%28%3D%2060%20MW%20l%C3%A4mp%C3%B6tehoa%29.</t>
  </si>
  <si>
    <t>https://www.lahtienergia.fi/lahti-energia/energiantuotanto/</t>
  </si>
  <si>
    <t>Lahti EB 1</t>
  </si>
  <si>
    <t>Lahti EB 2</t>
  </si>
  <si>
    <t>Loviisa, hiekka-akku</t>
  </si>
  <si>
    <t>https://polarnightenergy.fi/news/2024/3/6/loviisan-lmp-invests-in-polar-night-energys-sand-battery-in-pornainen-towards-non-combustion-heat-production</t>
  </si>
  <si>
    <t>Loviisa, Loval Oy waste heat HP</t>
  </si>
  <si>
    <t>https://www.sttinfo.fi/tiedote/70740024/loviisan-lammon-uuden-sukupolven-energiakeskus-vihittiin-kayttoon?publisherId=68350554</t>
  </si>
  <si>
    <t>Mikkeli, Pursiala EB</t>
  </si>
  <si>
    <t>https://yle.fi/a/74-20023800</t>
  </si>
  <si>
    <t>Pori, Aittaluoto EB</t>
  </si>
  <si>
    <t>https://www.satakunnankansa.fi/satakunta/art-2000010554395.html</t>
  </si>
  <si>
    <t>Porvoo, 2x10 MW EB</t>
  </si>
  <si>
    <t>https://pbe.fi/fi/tiedotteet/porvoon-energia-monipuolistaa-lammontuotantonsa/</t>
  </si>
  <si>
    <t>Tornion Voima EB</t>
  </si>
  <si>
    <t>https://www.tovo.fi/tornion-voima-rakentaa-sahkokattilaa-tornion-royttaan/</t>
  </si>
  <si>
    <t>https://www.epv.fi/2021/12/08/uusi-sahkokattila-otettiin-kayttoon-vaskiluodossa-vaasassa/</t>
  </si>
  <si>
    <t>Vaasa, Vaskiluoto EB 1</t>
  </si>
  <si>
    <t>Vaasa, Vaskiluoto EB New</t>
  </si>
  <si>
    <t>https://www.sttinfo.fi/tiedote/70057672/suomen-suurin-kaytossa-oleva-sahkokattila-lampovarastoyhdistelma-sijatsee-vaasassa?lang=fi</t>
  </si>
  <si>
    <t>https://www.herrfors.fi/fi/ajankohtaista/herrfors-investoi-saehkoevarastoon-ja-saehkoekattilaan/</t>
  </si>
  <si>
    <t>https://www.epressi.com/tiedotteet/energia/vsv-energia-investoi-sahkokattilaan-tehostaakseen-kaukolammon-tuotantoa.html</t>
  </si>
  <si>
    <t>VSV-Energia Oy, Uusikaupunki EB</t>
  </si>
  <si>
    <t>Vaasan Voima Oy, Vaskiluoto TES extension</t>
  </si>
  <si>
    <t>https://yle.fi/a/74-20117810</t>
  </si>
  <si>
    <t>Lahti, Ali-Juhakkala HP</t>
  </si>
  <si>
    <t>https://www.ess.fi/paikalliset/5760643</t>
  </si>
  <si>
    <t>Oulun Seudun Sähkö, New bio HOB</t>
  </si>
  <si>
    <t>https://vkkgroup.fi/ajankohtaista/vkk-power-oy-toimittaa-oulun-seudun-sahkolle-20-mw-biolampokeskuksen/</t>
  </si>
  <si>
    <t>Nevel Oy, Nokia HP</t>
  </si>
  <si>
    <t>https://nevel.com/fi/story/nevelin-linnavuoren-laitoksen-investointi-auttaa-alueen-teollisuutta-optimoimaan-kustannuksia-ja-viemaan-paastot-kohti-nollaa/</t>
  </si>
  <si>
    <t>Porvoo, Tolkkinen HP</t>
  </si>
  <si>
    <t>https://pbe.fi/fi/artikkelit/lampopumput-pienentavat-hakkeen-polton-tarvetta-kaukolammon-tuotannossa/</t>
  </si>
  <si>
    <t>Rovaniemi, Neve HP</t>
  </si>
  <si>
    <t>Vaasa, Pått HP</t>
  </si>
  <si>
    <t>https://www.sttinfo.fi/tiedote/yhdella-investoinnilla-hukkalampoa-lahes-2-000-omakotitalon-tarpeisiin?publisherId=58661976&amp;releaseId=69945271&amp;lang=fi</t>
  </si>
  <si>
    <t>https://neve.fi/ajankohtaista/jateveden-lampo-hyotykiertoon-ja-kustannuksia-alas-neven-uudella-lampopumppulaitoksella-toteutus-alkaa-ensi-vuonna/#:~:text=Neven%20uusi%20l%C3%A4mp%C3%B6pumppulaitos%20lis%C3%A4%C3%A4%20energiatehokkuutta%20ja%20monipuolistaa%20rovaniemel%C3%A4isten,j%C3%A4tevedenpuhdistamon%20yhteyteen%20rakennettava%20l%C3%A4mp%C3%B6pumppulaitos%20otetaan%20k%C3%A4ytt%C3%B6%C3%B6n%20vuonna%202025.</t>
  </si>
  <si>
    <t>Fuel</t>
  </si>
  <si>
    <t>Porvoo, waste heat HP</t>
  </si>
  <si>
    <t>Other references</t>
  </si>
  <si>
    <t>Vantaa waste heat HP</t>
  </si>
  <si>
    <t>Lapeenranta data centre HP</t>
  </si>
  <si>
    <t>Output 1</t>
  </si>
  <si>
    <t>output 2</t>
  </si>
  <si>
    <t>Hanasaari EB New</t>
  </si>
  <si>
    <t>Hanasaari EB 1</t>
  </si>
  <si>
    <t>https://fimpec.fi/uutiset/fimpec-paatoteuttajaksi-helenin-sahkokattilahankkeeseen/</t>
  </si>
  <si>
    <t>Martinlaakso, treated wood waste HOB</t>
  </si>
  <si>
    <t>https://ylupa.avi.fi/fi-FI/asia/2034058</t>
  </si>
  <si>
    <t>Aittaluoto</t>
  </si>
  <si>
    <t>Pori Energia Oy</t>
  </si>
  <si>
    <t>Pori Aittaluoto</t>
  </si>
  <si>
    <t>Teollisuus CHP</t>
  </si>
  <si>
    <t>Turve</t>
  </si>
  <si>
    <t>Teollisuuden puutähde</t>
  </si>
  <si>
    <t>Pori</t>
  </si>
  <si>
    <t>Alholma AK 1</t>
  </si>
  <si>
    <t>Oy Alholmens Kraft Ab</t>
  </si>
  <si>
    <t>Keskiraskas öljy</t>
  </si>
  <si>
    <t>Alholma AK 2</t>
  </si>
  <si>
    <t>Kivihiili</t>
  </si>
  <si>
    <t>Anjalankoski</t>
  </si>
  <si>
    <t>Stora Enso Publication Papers Oy Ltd</t>
  </si>
  <si>
    <t>Inkeroinen (Kouvola)</t>
  </si>
  <si>
    <t>Sekapolttoaineet</t>
  </si>
  <si>
    <t>Ekovoimalaitos</t>
  </si>
  <si>
    <t>Oulu</t>
  </si>
  <si>
    <t>Oulu, Laanila</t>
  </si>
  <si>
    <t>Neste- tai jalostamokaasu</t>
  </si>
  <si>
    <t>Maakaasu</t>
  </si>
  <si>
    <t>Raskas öljy</t>
  </si>
  <si>
    <t>Metsäpolttoaine, puu</t>
  </si>
  <si>
    <t>Haapavesi</t>
  </si>
  <si>
    <t>Vapo Oy</t>
  </si>
  <si>
    <t>Forssa</t>
  </si>
  <si>
    <t>Haminan Energia Oy</t>
  </si>
  <si>
    <t>Hamina</t>
  </si>
  <si>
    <t>Haminan höyrykattilalaitos</t>
  </si>
  <si>
    <t>Heinola</t>
  </si>
  <si>
    <t>Adven Oy</t>
  </si>
  <si>
    <t>Heinola Vuorikatu 24 c</t>
  </si>
  <si>
    <t>Heinola vp</t>
  </si>
  <si>
    <t>Stora Enso Oyj Heinolan Flutingtehdas</t>
  </si>
  <si>
    <t>Heinolan Flutigtehdas</t>
  </si>
  <si>
    <t>Puunjalostusteolliuuden jäteliemet</t>
  </si>
  <si>
    <t>Kouvola / Hinkismäki</t>
  </si>
  <si>
    <t>Kevyt öljy</t>
  </si>
  <si>
    <t>Kotka</t>
  </si>
  <si>
    <t>Hyötyvoimalaitos</t>
  </si>
  <si>
    <t>Hämeenkyrö lä</t>
  </si>
  <si>
    <t>Hämeenkyrön voima Oy</t>
  </si>
  <si>
    <t>Metsä Board, Kyron tehdasalue Hämeenkyrö</t>
  </si>
  <si>
    <t>Ikaalinen</t>
  </si>
  <si>
    <t>Leppäkosken Lämpö Oy</t>
  </si>
  <si>
    <t>Ikaalinen, moottorivoimalaitos</t>
  </si>
  <si>
    <t>Ilomantsi</t>
  </si>
  <si>
    <t>Joutseno</t>
  </si>
  <si>
    <t>Metsä Fibre Oy</t>
  </si>
  <si>
    <t>Metsä Fibre Joutsenon tehdas</t>
  </si>
  <si>
    <t>FC Power</t>
  </si>
  <si>
    <t>Muut erittelemättömät energialähteet</t>
  </si>
  <si>
    <t>Jämsänkoski bv</t>
  </si>
  <si>
    <t>UPM Specialty Paper Oy</t>
  </si>
  <si>
    <t>Jämsänkosken tehtaan voimalaitos</t>
  </si>
  <si>
    <t>Järvelän vaneritehdas</t>
  </si>
  <si>
    <t>Koskipower Oy</t>
  </si>
  <si>
    <t>Koskisen Oy, Järvelän levyteollisuus</t>
  </si>
  <si>
    <t>Kaipola Recycling Oy</t>
  </si>
  <si>
    <t>Kaipola VP3</t>
  </si>
  <si>
    <t>Muut polttoaineena käytettävät sivu- ja jätetuotteet</t>
  </si>
  <si>
    <t>Kuusankoski</t>
  </si>
  <si>
    <t>Kaskinen lv ja vp</t>
  </si>
  <si>
    <t>Metsä Fibre Kaskisten tehdas</t>
  </si>
  <si>
    <t>Kaukas</t>
  </si>
  <si>
    <t>UPM-Kymmene Oyj</t>
  </si>
  <si>
    <t>Lappeenranta</t>
  </si>
  <si>
    <t>Kaukopää</t>
  </si>
  <si>
    <t>Stora Enso Oyj</t>
  </si>
  <si>
    <t>Kauttua</t>
  </si>
  <si>
    <t>Kauttuan voimalaitos</t>
  </si>
  <si>
    <t>Kavo</t>
  </si>
  <si>
    <t>Kainuun Voima Oy</t>
  </si>
  <si>
    <t>Kemi</t>
  </si>
  <si>
    <t>Metsä Fibre Kemin tehdas</t>
  </si>
  <si>
    <t>Kemin biotuotetehdas</t>
  </si>
  <si>
    <t>Kilpilahden voimalaitos</t>
  </si>
  <si>
    <t>Kilpilahden Voimalaitos Oy</t>
  </si>
  <si>
    <t>Porvoo</t>
  </si>
  <si>
    <t>Kirkniemi</t>
  </si>
  <si>
    <t>Sappi Finland Oy</t>
  </si>
  <si>
    <t>Kirkniemi, Kirkniemen voimalaitos</t>
  </si>
  <si>
    <t>Kokkola</t>
  </si>
  <si>
    <t>Kokkolan Energia Oy</t>
  </si>
  <si>
    <t>Voimalaitos Power (ent. Kokkolan voimalaitos)</t>
  </si>
  <si>
    <t>Kotka Mills Oy</t>
  </si>
  <si>
    <t>Kuhmon Lämpö</t>
  </si>
  <si>
    <t>Kuhmon Lämpö Oy</t>
  </si>
  <si>
    <t>Kuhmo</t>
  </si>
  <si>
    <t>Kumpuniemi</t>
  </si>
  <si>
    <t>Kumpuniemen Voima Oy</t>
  </si>
  <si>
    <t>Vaneritehtaankatu 1 Suolahti</t>
  </si>
  <si>
    <t>Kuopio, Savon Sellu</t>
  </si>
  <si>
    <t>Savon Sellu OY</t>
  </si>
  <si>
    <t>Savon Sellu Vastapainevoimalaitos</t>
  </si>
  <si>
    <t>Kuusankoski bv</t>
  </si>
  <si>
    <t>Kymi</t>
  </si>
  <si>
    <t>Kuusankoski, Kouvola</t>
  </si>
  <si>
    <t>Lieksa Kevätniemi</t>
  </si>
  <si>
    <t>Lieksa</t>
  </si>
  <si>
    <t>Mänttä lä</t>
  </si>
  <si>
    <t>Tehtaankatu 20 Mänttä</t>
  </si>
  <si>
    <t>Nokia kombi</t>
  </si>
  <si>
    <t>Leppäkoski Group Oy</t>
  </si>
  <si>
    <t>Nokia Kombi</t>
  </si>
  <si>
    <t>Stora Enso Oyj, Oulun tehdas</t>
  </si>
  <si>
    <t>Pietarsaari (TG6)</t>
  </si>
  <si>
    <t>Pietarsaari</t>
  </si>
  <si>
    <t>Biopolttonesteet</t>
  </si>
  <si>
    <t>Pihlava</t>
  </si>
  <si>
    <t>Pori Pihlava</t>
  </si>
  <si>
    <t>Porin Prosessivoima Oy</t>
  </si>
  <si>
    <t>Titaanitie, 28840 PORI</t>
  </si>
  <si>
    <t>Porvoo kt 2</t>
  </si>
  <si>
    <t>Porvoo kt 3</t>
  </si>
  <si>
    <t>Raahe</t>
  </si>
  <si>
    <t>Raahen Voima Oyj</t>
  </si>
  <si>
    <t>Masuunikaasu</t>
  </si>
  <si>
    <t>Koksikaasu</t>
  </si>
  <si>
    <t>Raisio</t>
  </si>
  <si>
    <t>Raisionkaaren Teollisuuspuisto Oy</t>
  </si>
  <si>
    <t>Rauma</t>
  </si>
  <si>
    <t>Metsä Fibre Rauman tehdas</t>
  </si>
  <si>
    <t>Rengon saha</t>
  </si>
  <si>
    <t>Biokraft Oy</t>
  </si>
  <si>
    <t>Renko</t>
  </si>
  <si>
    <t>Varkaus</t>
  </si>
  <si>
    <t>Ristiina</t>
  </si>
  <si>
    <t>Järvi-Suomen Voima Oy</t>
  </si>
  <si>
    <t>Voimavasu Oy</t>
  </si>
  <si>
    <t>Siilinjärvi, V1 turb. ja vp turb.</t>
  </si>
  <si>
    <t>Yara Suomi Oy</t>
  </si>
  <si>
    <t>Teollisuuden reaktiolämpö</t>
  </si>
  <si>
    <t>Simpele</t>
  </si>
  <si>
    <t>Metsä Board Oyj</t>
  </si>
  <si>
    <t>Virolan puutarha</t>
  </si>
  <si>
    <t>Säkylä</t>
  </si>
  <si>
    <t>Tako T2 ja T5</t>
  </si>
  <si>
    <t>M-real Tako Board kartonkitehdas, Tampere</t>
  </si>
  <si>
    <t>Biokaasu</t>
  </si>
  <si>
    <t>Tervakoski lä</t>
  </si>
  <si>
    <t>Tervakoski Oy</t>
  </si>
  <si>
    <t>UPM Specialty Papers Oy</t>
  </si>
  <si>
    <t>Tervasaari vp</t>
  </si>
  <si>
    <t>Tervasaari VP</t>
  </si>
  <si>
    <t>Tiihala</t>
  </si>
  <si>
    <t>Tiihala, Kangasala</t>
  </si>
  <si>
    <t>Topinojan Biokaasulaitos</t>
  </si>
  <si>
    <t>Höyrytys Oy</t>
  </si>
  <si>
    <t>Tornio; Tornion voimalaitos</t>
  </si>
  <si>
    <t>Uimaharju 2 + 1 vp/lv</t>
  </si>
  <si>
    <t>Stora Enso Oyj Enocellin tehdas</t>
  </si>
  <si>
    <t>Uimaharjun voimalaitos</t>
  </si>
  <si>
    <t>Uusikaupunki</t>
  </si>
  <si>
    <t>Uusukaupunki, Hangonsaari</t>
  </si>
  <si>
    <t xml:space="preserve">Varkaus lä </t>
  </si>
  <si>
    <t>Vehmaa</t>
  </si>
  <si>
    <t>Biovakka Suomi Oy</t>
  </si>
  <si>
    <t>markku.ahlqvist@biovakka.fi</t>
  </si>
  <si>
    <t>Veitsiluoto</t>
  </si>
  <si>
    <t>Stora Enso Veitsiluoto Oy</t>
  </si>
  <si>
    <t>Viikinmäki</t>
  </si>
  <si>
    <t>Helsingin Vesi</t>
  </si>
  <si>
    <t>Viikinmäen jätevedenpuhdistamo</t>
  </si>
  <si>
    <t>Vilppulan saha</t>
  </si>
  <si>
    <t>Vilppula</t>
  </si>
  <si>
    <t>Äänekoski ht</t>
  </si>
  <si>
    <t>Metsä Fibre Oy Äänekosken voimalaitos</t>
  </si>
  <si>
    <t>Äänekoski, Biotuotetehdas</t>
  </si>
  <si>
    <t>Metsä Fibre</t>
  </si>
  <si>
    <t>Power plant</t>
  </si>
  <si>
    <t>Owner</t>
  </si>
  <si>
    <t>Location</t>
  </si>
  <si>
    <t>Power (MW)</t>
  </si>
  <si>
    <t>Fuel 1</t>
  </si>
  <si>
    <t>Fuel 2</t>
  </si>
  <si>
    <t>Fuel 3</t>
  </si>
  <si>
    <t>Muut</t>
  </si>
  <si>
    <t>Type</t>
  </si>
  <si>
    <t>Industrial CHP plants in Finland. Energiavirasto, Voimalaitosrekisteri https://energiavirasto.fi/toimitusvarmuus#:~:text=Energiavirasto%20yll%C3%A4pit%C3%A4%C3%A4%20rekisteri%C3%A4%20Suomen%20s%C3%A4hk%C3%B6ntuotannon%20voimalaitoksista.%20Virasto%20k%C3%A4ytt%C3%A4%C3%A4,talvikaudella.%20Energiavirasto%20julkaisee%20vuosittain%20s%C3%A4hk%C3%B6n%20ja%20maakaasun%20toimitusvarmuusraportit.</t>
  </si>
  <si>
    <t>Output 2</t>
  </si>
  <si>
    <t>Fuel input</t>
  </si>
  <si>
    <t>https://ylupa.avi.fi/fi-FI/asia/852565</t>
  </si>
  <si>
    <t>https://ylupa.avi.fi/fi-FI/asia/852566</t>
  </si>
  <si>
    <t>https://doi.org/10.1016/j.energy.2021.120916</t>
  </si>
  <si>
    <t>https://ylupa.avi.fi/fi-FI/asia/1546173</t>
  </si>
  <si>
    <t>https://www.vantaanenergia.fi/tietoa-meista/energiantuotanto/jatevoimala/</t>
  </si>
  <si>
    <t>https://ylupa.avi.fi/fi-FI/asia/1833281</t>
  </si>
  <si>
    <t>https://ylupa.avi.fi/fi-FI/asia/1458281</t>
  </si>
  <si>
    <t>https://ylupa.avi.fi/fi-FI/asia/2755350</t>
  </si>
  <si>
    <t>https://ylupa.avi.fi/fi-FI/asia/1566820</t>
  </si>
  <si>
    <t>https://www.oulunenergia.fi/oulun-energia/energiantuotanto/voimalaitokset/#:~:text=Vuonna%202020%20valmistunut%20Oulun%20Energian%20Laanilan%20biovoimalaitos%20tuottaa,Voimalaitoksen%20k%C3%A4ytt%C3%A4mist%C3%A4%20energianl%C3%A4hteist%C3%A4%20noin%2070%20prosenttia%20on%20puuta.</t>
  </si>
  <si>
    <t>https://ylupa.avi.fi/fi-FI/asia/1963523</t>
  </si>
  <si>
    <t>https://ylupa.avi.fi/fi-FI/asia/1532067</t>
  </si>
  <si>
    <t>https://ylupa.avi.fi/fi-FI/asia/1532057</t>
  </si>
  <si>
    <t>Input 1</t>
  </si>
  <si>
    <t>Column102</t>
  </si>
  <si>
    <t>Add unit to "unit data"</t>
  </si>
  <si>
    <t>Multiple units in "unit data"</t>
  </si>
  <si>
    <t>Add units below:</t>
  </si>
  <si>
    <t>Yhteistuotanto, teollisuus</t>
  </si>
  <si>
    <t>SÄHKÖN TUOTANTO YHTEENSÄ</t>
  </si>
  <si>
    <t>Määrä, GWh</t>
  </si>
  <si>
    <t>Vesivoima</t>
  </si>
  <si>
    <t>Tuulivoima</t>
  </si>
  <si>
    <t>Aurinkovoima</t>
  </si>
  <si>
    <t>Ydinvoima</t>
  </si>
  <si>
    <t>Tavallinen lauhdevoima</t>
  </si>
  <si>
    <t>Yhteistuotanto, kaukolämpö</t>
  </si>
  <si>
    <t>Yhteistuotanto, pien-CHP</t>
  </si>
  <si>
    <t>Sähkön tuonti</t>
  </si>
  <si>
    <t>Sähkön vienti</t>
  </si>
  <si>
    <t>Nettotuonti</t>
  </si>
  <si>
    <t>SÄHKÖN KOKONAISKULUTUS</t>
  </si>
  <si>
    <t>https://pxdata.stat.fi/PxWeb/pxweb/fi/StatFin/StatFin__salatuo/statfin_salatuo_pxt_11sr.px/</t>
  </si>
  <si>
    <t>Jäte</t>
  </si>
  <si>
    <t>check</t>
  </si>
  <si>
    <t>Grid</t>
  </si>
  <si>
    <t>Node_suffix</t>
  </si>
  <si>
    <t>TWh/year</t>
  </si>
  <si>
    <t>Constant_share</t>
  </si>
  <si>
    <t>industry</t>
  </si>
  <si>
    <t>from_suffix</t>
  </si>
  <si>
    <t>to_suffix</t>
  </si>
  <si>
    <t>grid</t>
  </si>
  <si>
    <t>scenario</t>
  </si>
  <si>
    <t>rampLimit</t>
  </si>
  <si>
    <t>dheat</t>
  </si>
  <si>
    <t>method</t>
  </si>
  <si>
    <t>variableTransCost</t>
  </si>
  <si>
    <t>transferLoss</t>
  </si>
  <si>
    <t>transferCap</t>
  </si>
  <si>
    <t>from_country</t>
  </si>
  <si>
    <t>to_country</t>
  </si>
  <si>
    <t>unittype</t>
  </si>
  <si>
    <t>GSHP</t>
  </si>
  <si>
    <t>gasCCGTOld2</t>
  </si>
  <si>
    <t>gasCCGTpresent1</t>
  </si>
  <si>
    <t>gasOCGTnew</t>
  </si>
  <si>
    <t>gasOCGTold</t>
  </si>
  <si>
    <t>Source</t>
  </si>
  <si>
    <t>##</t>
  </si>
  <si>
    <t>vomCosts</t>
  </si>
  <si>
    <t>vomCost multiplier</t>
  </si>
  <si>
    <t>Bruttokansantuote henkeä kohden kohden alueittain, vuosittain muuttujina Alue, Tiedot ja Vuosi</t>
  </si>
  <si>
    <t>Käypiin hintoihin, euroa</t>
  </si>
  <si>
    <t>KOKO MAA</t>
  </si>
  <si>
    <t>MK01 Uusimaa</t>
  </si>
  <si>
    <t>MK02 Varsinais-Suomi</t>
  </si>
  <si>
    <t>MK04 Satakunta</t>
  </si>
  <si>
    <t>MK05 Kanta-Häme</t>
  </si>
  <si>
    <t>MK06 Pirkanmaa</t>
  </si>
  <si>
    <t>MK07 Päijät-Häme</t>
  </si>
  <si>
    <t>MK08 Kymenlaakso</t>
  </si>
  <si>
    <t>MK09 Etelä-Karjala</t>
  </si>
  <si>
    <t>MK10 Etelä-Savo</t>
  </si>
  <si>
    <t>MK11 Pohjois-Savo</t>
  </si>
  <si>
    <t>MK12 Pohjois-Karjala</t>
  </si>
  <si>
    <t>MK13 Keski-Suomi</t>
  </si>
  <si>
    <t>MK14 Etelä-Pohjanmaa</t>
  </si>
  <si>
    <t>MK15 Pohjanmaa</t>
  </si>
  <si>
    <t>MK16 Keski-Pohjanmaa</t>
  </si>
  <si>
    <t>MK17 Pohjois-Pohjanmaa</t>
  </si>
  <si>
    <t>MK18 Kainuu</t>
  </si>
  <si>
    <t>MK19 Lappi</t>
  </si>
  <si>
    <t>MK21 Ahvenanmaa</t>
  </si>
  <si>
    <t>avg</t>
  </si>
  <si>
    <t>bioCHPIndustry</t>
  </si>
  <si>
    <t>coalCHPIndustry</t>
  </si>
  <si>
    <t>gasCHPIndustry</t>
  </si>
  <si>
    <t>HeatStorageCharger</t>
  </si>
  <si>
    <t>HeatStorageDisch</t>
  </si>
  <si>
    <t>heatStorageChargerLarge</t>
  </si>
  <si>
    <t>heatStorageDischLarge</t>
  </si>
  <si>
    <t>elecHOB</t>
  </si>
  <si>
    <t>bioHOB</t>
  </si>
  <si>
    <t>oilHOB</t>
  </si>
  <si>
    <t>wasteHOB</t>
  </si>
  <si>
    <t>bioCHP</t>
  </si>
  <si>
    <t>gasHOB</t>
  </si>
  <si>
    <t>gasCCGTCHP</t>
  </si>
  <si>
    <t>wasteCHP</t>
  </si>
  <si>
    <t>gasOCGTCHP</t>
  </si>
  <si>
    <t>heatStorageChargerSeasonal</t>
  </si>
  <si>
    <t>heatStorageDischSeasonal</t>
  </si>
  <si>
    <t>coalOld1</t>
  </si>
  <si>
    <t>bioCoalNew</t>
  </si>
  <si>
    <t>bioCoalOld</t>
  </si>
  <si>
    <t>bioCoalOld2</t>
  </si>
  <si>
    <t>variant</t>
  </si>
  <si>
    <t>dh-level:cities</t>
  </si>
  <si>
    <t>dh-level:capitals</t>
  </si>
  <si>
    <t>option</t>
  </si>
  <si>
    <t>default</t>
  </si>
  <si>
    <t>description</t>
  </si>
  <si>
    <t>dh-level</t>
  </si>
  <si>
    <t>national</t>
  </si>
  <si>
    <t>yes</t>
  </si>
  <si>
    <t>totals</t>
  </si>
  <si>
    <t>one heat node per country</t>
  </si>
  <si>
    <t>cities</t>
  </si>
  <si>
    <t>capitals</t>
  </si>
  <si>
    <t>Variant</t>
  </si>
  <si>
    <t>## capitals mapping</t>
  </si>
  <si>
    <t>## Removing condensing units</t>
  </si>
  <si>
    <t>## Grouped to capital level</t>
  </si>
  <si>
    <t>## Grouped to national level</t>
  </si>
  <si>
    <t>## City level data</t>
  </si>
  <si>
    <t>dh-level:national</t>
  </si>
  <si>
    <t>## CHECK TOTALS</t>
  </si>
  <si>
    <t>## cities</t>
  </si>
  <si>
    <t>## capitals</t>
  </si>
  <si>
    <t>## national</t>
  </si>
  <si>
    <t>## Industrial CHP</t>
  </si>
  <si>
    <t>capital region, rest of the country</t>
  </si>
  <si>
    <t>major cities separately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</si>
</sst>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gt;=0]###0\ \ ;@\ ____"/>
    <numFmt numFmtId="165" formatCode="[&gt;=0]#,##0\ \ ;@\ "/>
    <numFmt numFmtId="166" formatCode="0.0"/>
  </numFmts>
  <fonts count="2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rgb="FF0563C1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Inherit"/>
    </font>
    <font>
      <sz val="12"/>
      <color rgb="FF333333"/>
      <name val="Inherit"/>
    </font>
    <font>
      <sz val="12"/>
      <color rgb="FF333333"/>
      <name val="Inherit"/>
    </font>
    <font>
      <sz val="11"/>
      <color rgb="FF000000"/>
      <name val="Inherit"/>
    </font>
    <font>
      <sz val="10"/>
      <name val="Arial"/>
      <family val="2"/>
      <charset val="1"/>
    </font>
    <font>
      <sz val="11"/>
      <color theme="0" tint="-0.499984740745262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EF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99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1A3061"/>
      </left>
      <right style="medium">
        <color rgb="FF1A3061"/>
      </right>
      <top style="medium">
        <color rgb="FF1A3061"/>
      </top>
      <bottom style="medium">
        <color rgb="FF1A3061"/>
      </bottom>
      <diagonal/>
    </border>
    <border>
      <left/>
      <right style="medium">
        <color rgb="FF1A3061"/>
      </right>
      <top/>
      <bottom style="medium">
        <color rgb="FF1A3061"/>
      </bottom>
      <diagonal/>
    </border>
    <border>
      <left style="medium">
        <color rgb="FF1A3061"/>
      </left>
      <right style="medium">
        <color rgb="FF1A3061"/>
      </right>
      <top/>
      <bottom style="medium">
        <color rgb="FF1A3061"/>
      </bottom>
      <diagonal/>
    </border>
    <border>
      <left style="medium">
        <color rgb="FF1A3061"/>
      </left>
      <right/>
      <top/>
      <bottom style="medium">
        <color rgb="FF1A3061"/>
      </bottom>
      <diagonal/>
    </border>
    <border>
      <left/>
      <right style="medium">
        <color rgb="FF1A3061"/>
      </right>
      <top style="medium">
        <color rgb="FF1A3061"/>
      </top>
      <bottom style="medium">
        <color rgb="FF1A3061"/>
      </bottom>
      <diagonal/>
    </border>
    <border>
      <left style="medium">
        <color rgb="FF1A3061"/>
      </left>
      <right/>
      <top style="medium">
        <color rgb="FF1A3061"/>
      </top>
      <bottom style="medium">
        <color rgb="FF1A3061"/>
      </bottom>
      <diagonal/>
    </border>
    <border>
      <left/>
      <right style="medium">
        <color rgb="FF1A3061"/>
      </right>
      <top style="medium">
        <color rgb="FF1A3061"/>
      </top>
      <bottom style="medium">
        <color rgb="FFA9A9A9"/>
      </bottom>
      <diagonal/>
    </border>
    <border>
      <left style="medium">
        <color rgb="FF1A3061"/>
      </left>
      <right style="medium">
        <color rgb="FF1A3061"/>
      </right>
      <top style="medium">
        <color rgb="FF1A3061"/>
      </top>
      <bottom style="medium">
        <color rgb="FFA9A9A9"/>
      </bottom>
      <diagonal/>
    </border>
    <border>
      <left style="medium">
        <color rgb="FF1A3061"/>
      </left>
      <right/>
      <top style="medium">
        <color rgb="FF1A3061"/>
      </top>
      <bottom style="medium">
        <color rgb="FFA9A9A9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7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14" fillId="0" borderId="0"/>
    <xf numFmtId="0" fontId="2" fillId="0" borderId="0"/>
    <xf numFmtId="9" fontId="17" fillId="0" borderId="0" applyFont="0" applyFill="0" applyBorder="0" applyAlignment="0" applyProtection="0"/>
    <xf numFmtId="0" fontId="18" fillId="0" borderId="0"/>
  </cellStyleXfs>
  <cellXfs count="10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2" borderId="0" xfId="0" applyFill="1"/>
    <xf numFmtId="0" fontId="0" fillId="0" borderId="0" xfId="0" applyAlignment="1">
      <alignment horizontal="left"/>
    </xf>
    <xf numFmtId="0" fontId="4" fillId="0" borderId="0" xfId="2"/>
    <xf numFmtId="0" fontId="3" fillId="0" borderId="0" xfId="0" applyFont="1"/>
    <xf numFmtId="0" fontId="3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0" fontId="5" fillId="0" borderId="0" xfId="0" applyFont="1"/>
    <xf numFmtId="0" fontId="3" fillId="0" borderId="1" xfId="0" applyFont="1" applyBorder="1"/>
    <xf numFmtId="0" fontId="3" fillId="0" borderId="4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164" fontId="3" fillId="0" borderId="5" xfId="0" applyNumberFormat="1" applyFont="1" applyBorder="1" applyAlignment="1">
      <alignment horizontal="right"/>
    </xf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164" fontId="3" fillId="0" borderId="6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horizontal="center"/>
    </xf>
    <xf numFmtId="164" fontId="3" fillId="0" borderId="9" xfId="0" applyNumberFormat="1" applyFont="1" applyBorder="1" applyAlignment="1">
      <alignment horizontal="right"/>
    </xf>
    <xf numFmtId="164" fontId="3" fillId="0" borderId="10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0" fontId="3" fillId="0" borderId="0" xfId="0" applyFont="1" applyAlignment="1">
      <alignment wrapText="1"/>
    </xf>
    <xf numFmtId="49" fontId="3" fillId="0" borderId="9" xfId="0" applyNumberFormat="1" applyFont="1" applyBorder="1" applyAlignment="1">
      <alignment vertical="center"/>
    </xf>
    <xf numFmtId="165" fontId="3" fillId="0" borderId="10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165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right" vertical="center"/>
    </xf>
    <xf numFmtId="0" fontId="7" fillId="3" borderId="12" xfId="2" applyFont="1" applyFill="1" applyBorder="1"/>
    <xf numFmtId="0" fontId="7" fillId="3" borderId="0" xfId="2" applyFont="1" applyFill="1" applyBorder="1"/>
    <xf numFmtId="0" fontId="0" fillId="4" borderId="0" xfId="0" applyFill="1"/>
    <xf numFmtId="0" fontId="5" fillId="4" borderId="0" xfId="0" applyFont="1" applyFill="1"/>
    <xf numFmtId="164" fontId="3" fillId="2" borderId="0" xfId="0" applyNumberFormat="1" applyFont="1" applyFill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64" fontId="3" fillId="2" borderId="7" xfId="0" applyNumberFormat="1" applyFont="1" applyFill="1" applyBorder="1" applyAlignment="1">
      <alignment horizontal="right"/>
    </xf>
    <xf numFmtId="164" fontId="3" fillId="2" borderId="6" xfId="0" applyNumberFormat="1" applyFont="1" applyFill="1" applyBorder="1" applyAlignment="1">
      <alignment horizontal="right"/>
    </xf>
    <xf numFmtId="0" fontId="5" fillId="4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5" fillId="2" borderId="0" xfId="0" applyFont="1" applyFill="1"/>
    <xf numFmtId="0" fontId="3" fillId="2" borderId="0" xfId="0" applyFont="1" applyFill="1"/>
    <xf numFmtId="0" fontId="3" fillId="2" borderId="2" xfId="0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right"/>
    </xf>
    <xf numFmtId="0" fontId="6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3" fillId="2" borderId="1" xfId="0" applyFont="1" applyFill="1" applyBorder="1"/>
    <xf numFmtId="0" fontId="3" fillId="2" borderId="4" xfId="0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0" fontId="13" fillId="5" borderId="13" xfId="0" applyFont="1" applyFill="1" applyBorder="1" applyAlignment="1">
      <alignment horizontal="right" vertical="center" wrapText="1"/>
    </xf>
    <xf numFmtId="0" fontId="13" fillId="5" borderId="13" xfId="0" applyFont="1" applyFill="1" applyBorder="1" applyAlignment="1">
      <alignment horizontal="right" vertical="center"/>
    </xf>
    <xf numFmtId="0" fontId="10" fillId="6" borderId="14" xfId="0" applyFont="1" applyFill="1" applyBorder="1" applyAlignment="1">
      <alignment horizontal="right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left" vertical="center" wrapText="1"/>
    </xf>
    <xf numFmtId="0" fontId="13" fillId="5" borderId="18" xfId="0" applyFont="1" applyFill="1" applyBorder="1" applyAlignment="1">
      <alignment horizontal="right" vertical="center" wrapText="1"/>
    </xf>
    <xf numFmtId="0" fontId="12" fillId="6" borderId="17" xfId="0" applyFont="1" applyFill="1" applyBorder="1" applyAlignment="1">
      <alignment horizontal="left" vertical="center" wrapText="1" indent="1"/>
    </xf>
    <xf numFmtId="0" fontId="13" fillId="5" borderId="18" xfId="0" applyFont="1" applyFill="1" applyBorder="1" applyAlignment="1">
      <alignment horizontal="right" vertical="center"/>
    </xf>
    <xf numFmtId="0" fontId="12" fillId="6" borderId="19" xfId="0" applyFont="1" applyFill="1" applyBorder="1" applyAlignment="1">
      <alignment horizontal="left" vertical="center" wrapText="1" indent="1"/>
    </xf>
    <xf numFmtId="0" fontId="13" fillId="5" borderId="20" xfId="0" applyFont="1" applyFill="1" applyBorder="1" applyAlignment="1">
      <alignment horizontal="right" vertical="center"/>
    </xf>
    <xf numFmtId="0" fontId="13" fillId="5" borderId="21" xfId="0" applyFont="1" applyFill="1" applyBorder="1" applyAlignment="1">
      <alignment horizontal="right" vertical="center"/>
    </xf>
    <xf numFmtId="0" fontId="1" fillId="7" borderId="22" xfId="3" applyFont="1" applyFill="1" applyBorder="1" applyAlignment="1">
      <alignment horizontal="center" vertical="top"/>
    </xf>
    <xf numFmtId="3" fontId="6" fillId="7" borderId="23" xfId="3" applyNumberFormat="1" applyFont="1" applyFill="1" applyBorder="1"/>
    <xf numFmtId="0" fontId="0" fillId="8" borderId="0" xfId="0" applyFill="1"/>
    <xf numFmtId="0" fontId="15" fillId="8" borderId="0" xfId="0" applyFont="1" applyFill="1" applyAlignment="1">
      <alignment horizontal="center"/>
    </xf>
    <xf numFmtId="166" fontId="0" fillId="8" borderId="0" xfId="0" applyNumberFormat="1" applyFill="1" applyAlignment="1">
      <alignment horizontal="right"/>
    </xf>
    <xf numFmtId="0" fontId="16" fillId="0" borderId="0" xfId="4" applyFont="1"/>
    <xf numFmtId="0" fontId="16" fillId="0" borderId="0" xfId="4" applyFont="1" applyAlignment="1">
      <alignment horizontal="center"/>
    </xf>
    <xf numFmtId="0" fontId="2" fillId="0" borderId="0" xfId="4"/>
    <xf numFmtId="0" fontId="2" fillId="0" borderId="0" xfId="4" applyAlignment="1">
      <alignment horizontal="center"/>
    </xf>
    <xf numFmtId="0" fontId="2" fillId="9" borderId="0" xfId="4" applyFill="1" applyAlignment="1">
      <alignment horizontal="center"/>
    </xf>
    <xf numFmtId="9" fontId="2" fillId="0" borderId="0" xfId="4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7" borderId="0" xfId="0" applyFill="1"/>
    <xf numFmtId="0" fontId="0" fillId="10" borderId="0" xfId="0" applyFill="1"/>
    <xf numFmtId="9" fontId="0" fillId="0" borderId="0" xfId="0" applyNumberFormat="1"/>
    <xf numFmtId="9" fontId="0" fillId="0" borderId="0" xfId="5" applyFont="1"/>
    <xf numFmtId="0" fontId="0" fillId="11" borderId="0" xfId="0" applyFill="1"/>
    <xf numFmtId="0" fontId="0" fillId="12" borderId="0" xfId="0" applyFill="1" applyAlignment="1">
      <alignment horizontal="center"/>
    </xf>
    <xf numFmtId="0" fontId="19" fillId="0" borderId="0" xfId="6" applyFont="1"/>
    <xf numFmtId="0" fontId="18" fillId="0" borderId="0" xfId="6"/>
    <xf numFmtId="0" fontId="0" fillId="13" borderId="0" xfId="0" applyFill="1"/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</cellXfs>
  <cellStyles count="7">
    <cellStyle name="Hyperlink" xfId="2" builtinId="8"/>
    <cellStyle name="Normal" xfId="0" builtinId="0"/>
    <cellStyle name="Normal 2" xfId="4" xr:uid="{57D933D5-0807-4B19-8E60-264B6E9895B2}"/>
    <cellStyle name="Normal 3" xfId="3" xr:uid="{4E51472D-6E09-4E18-9512-0AC3C691F660}"/>
    <cellStyle name="Normal 5" xfId="6" xr:uid="{31AA6358-74AE-4B2D-8499-9DDB1D0AE7A2}"/>
    <cellStyle name="Percent" xfId="5" builtinId="5"/>
    <cellStyle name="Standard_Data provided by OT3" xfId="1" xr:uid="{F2955588-E6D9-47E9-8314-96DF0CCA872C}"/>
  </cellStyles>
  <dxfs count="17">
    <dxf>
      <fill>
        <patternFill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[&gt;=0]###0\ \ ;@\ ____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[&gt;=0]###0\ \ ;@\ ____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[&gt;=0]###0\ \ ;@\ ____"/>
      <alignment horizontal="righ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[&gt;=0]###0\ \ ;@\ ____"/>
      <alignment horizontal="righ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[&gt;=0]###0\ \ ;@\ ____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[&gt;=0]###0\ \ ;@\ ____"/>
      <alignment horizontal="righ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[&gt;=0]###0\ \ ;@\ ____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[&gt;=0]###0\ \ ;@\ ____"/>
      <alignment horizontal="righ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[&gt;=0]###0\ \ ;@\ ____"/>
      <alignment horizontal="righ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B\bb-dev\north_european_model\src_files\data_files\unittypedata_compilation.xlsx" TargetMode="External"/><Relationship Id="rId1" Type="http://schemas.openxmlformats.org/officeDocument/2006/relationships/externalLinkPath" Target="unittypedata_compi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B\bb-dev\north_european_model\src_files\data_files\ObservedTrends.xlsx" TargetMode="External"/><Relationship Id="rId1" Type="http://schemas.openxmlformats.org/officeDocument/2006/relationships/externalLinkPath" Target="ObservedTren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typedata"/>
    </sheetNames>
    <sheetDataSet>
      <sheetData sheetId="0">
        <row r="1">
          <cell r="D1" t="str">
            <v>unittype</v>
          </cell>
          <cell r="S1" t="str">
            <v>vomCosts</v>
          </cell>
          <cell r="AD1" t="str">
            <v>## old unittype</v>
          </cell>
        </row>
        <row r="3">
          <cell r="D3" t="str">
            <v>windOnshore</v>
          </cell>
          <cell r="S3">
            <v>1.75</v>
          </cell>
          <cell r="AD3" t="str">
            <v>windOnshore</v>
          </cell>
        </row>
        <row r="4">
          <cell r="D4" t="str">
            <v>windOffshore</v>
          </cell>
          <cell r="S4">
            <v>2</v>
          </cell>
          <cell r="AD4" t="str">
            <v>windOffshore</v>
          </cell>
        </row>
        <row r="5">
          <cell r="D5" t="str">
            <v>solarPV</v>
          </cell>
          <cell r="S5">
            <v>1.5</v>
          </cell>
          <cell r="AD5" t="str">
            <v>PV</v>
          </cell>
        </row>
        <row r="7">
          <cell r="D7" t="str">
            <v>rorTurbine</v>
          </cell>
          <cell r="S7">
            <v>2</v>
          </cell>
          <cell r="AD7" t="str">
            <v>rorTurbine</v>
          </cell>
        </row>
        <row r="8">
          <cell r="D8" t="str">
            <v>reservoirTurbine</v>
          </cell>
          <cell r="S8">
            <v>1.8</v>
          </cell>
          <cell r="AD8" t="str">
            <v>reservoirTurbine</v>
          </cell>
        </row>
        <row r="9">
          <cell r="D9" t="str">
            <v>psOpenTurbine</v>
          </cell>
          <cell r="S9">
            <v>2</v>
          </cell>
          <cell r="AD9" t="str">
            <v>psopenturbine</v>
          </cell>
        </row>
        <row r="10">
          <cell r="D10" t="str">
            <v>psOpenPump</v>
          </cell>
          <cell r="S10">
            <v>1.6</v>
          </cell>
          <cell r="AD10" t="str">
            <v>psopenpump</v>
          </cell>
        </row>
        <row r="11">
          <cell r="D11" t="str">
            <v>psClosedTurbine</v>
          </cell>
          <cell r="S11">
            <v>1.8</v>
          </cell>
          <cell r="AD11" t="str">
            <v>psclosedturbine</v>
          </cell>
        </row>
        <row r="12">
          <cell r="D12" t="str">
            <v>psClosedPump</v>
          </cell>
          <cell r="S12">
            <v>1.4</v>
          </cell>
          <cell r="AD12" t="str">
            <v>psclosedpump</v>
          </cell>
        </row>
        <row r="14">
          <cell r="D14" t="str">
            <v>oilShaleOld</v>
          </cell>
          <cell r="S14">
            <v>3.3</v>
          </cell>
          <cell r="AD14" t="str">
            <v>oilShaleOld</v>
          </cell>
        </row>
        <row r="15">
          <cell r="D15" t="str">
            <v>bioOilshaleNew</v>
          </cell>
          <cell r="S15">
            <v>3.3</v>
          </cell>
          <cell r="AD15" t="str">
            <v>oilshaleNewBio</v>
          </cell>
        </row>
        <row r="16">
          <cell r="D16" t="str">
            <v>oilshaleNew</v>
          </cell>
          <cell r="S16">
            <v>3.3</v>
          </cell>
          <cell r="AD16" t="str">
            <v>oilshaleNew</v>
          </cell>
        </row>
        <row r="17">
          <cell r="D17" t="str">
            <v>bioLigniteOld2</v>
          </cell>
          <cell r="S17">
            <v>3.3</v>
          </cell>
          <cell r="AD17" t="str">
            <v>ligniteOld2Bio</v>
          </cell>
        </row>
        <row r="18">
          <cell r="D18" t="str">
            <v>ligniteOld2</v>
          </cell>
          <cell r="S18">
            <v>3.3</v>
          </cell>
          <cell r="AD18" t="str">
            <v>ligniteOld2</v>
          </cell>
        </row>
        <row r="19">
          <cell r="D19" t="str">
            <v>bioLigniteOld1</v>
          </cell>
          <cell r="S19">
            <v>3.3</v>
          </cell>
          <cell r="AD19" t="str">
            <v>ligniteOld1Bio</v>
          </cell>
        </row>
        <row r="20">
          <cell r="D20" t="str">
            <v>ligniteOld1</v>
          </cell>
          <cell r="S20">
            <v>3.3</v>
          </cell>
          <cell r="AD20" t="str">
            <v>ligniteOld1</v>
          </cell>
        </row>
        <row r="21">
          <cell r="D21" t="str">
            <v>ligniteNew</v>
          </cell>
          <cell r="S21">
            <v>3.3</v>
          </cell>
          <cell r="AD21" t="str">
            <v>ligniteNew</v>
          </cell>
        </row>
        <row r="22">
          <cell r="D22" t="str">
            <v>ligniteCCS</v>
          </cell>
          <cell r="S22">
            <v>6.6</v>
          </cell>
          <cell r="AD22" t="str">
            <v>ligniteCCS</v>
          </cell>
        </row>
        <row r="23">
          <cell r="D23" t="str">
            <v>OilLightOld</v>
          </cell>
          <cell r="S23">
            <v>2.1</v>
          </cell>
          <cell r="AD23" t="str">
            <v>LFO</v>
          </cell>
        </row>
        <row r="24">
          <cell r="D24" t="str">
            <v>oilHeavyOld2</v>
          </cell>
          <cell r="S24">
            <v>3.3</v>
          </cell>
          <cell r="AD24" t="str">
            <v>HFOOld2</v>
          </cell>
        </row>
        <row r="25">
          <cell r="D25" t="str">
            <v>oilHeavyOld1</v>
          </cell>
          <cell r="S25">
            <v>3.3</v>
          </cell>
          <cell r="AD25" t="str">
            <v>HFOOld1</v>
          </cell>
        </row>
        <row r="26">
          <cell r="D26" t="str">
            <v>bioOilHeavyOld</v>
          </cell>
          <cell r="S26">
            <v>3.3</v>
          </cell>
          <cell r="AD26" t="str">
            <v>heavyOilOldBio</v>
          </cell>
        </row>
        <row r="27">
          <cell r="D27" t="str">
            <v>bioCoalOld</v>
          </cell>
          <cell r="S27">
            <v>3.3</v>
          </cell>
          <cell r="AD27" t="str">
            <v>hardcoalOldBio</v>
          </cell>
        </row>
        <row r="28">
          <cell r="D28" t="str">
            <v>bioCoalOld2</v>
          </cell>
          <cell r="S28">
            <v>3.3</v>
          </cell>
          <cell r="AD28" t="str">
            <v>hardcoalOld2Bio</v>
          </cell>
        </row>
        <row r="29">
          <cell r="D29" t="str">
            <v>coalOld2</v>
          </cell>
          <cell r="S29">
            <v>3.3</v>
          </cell>
          <cell r="AD29" t="str">
            <v>hardcoalOld2</v>
          </cell>
        </row>
        <row r="30">
          <cell r="D30" t="str">
            <v>coalOld1</v>
          </cell>
          <cell r="S30">
            <v>3.3</v>
          </cell>
          <cell r="AD30" t="str">
            <v>hardcoalOld1</v>
          </cell>
        </row>
        <row r="31">
          <cell r="D31" t="str">
            <v>bioCoalNew</v>
          </cell>
          <cell r="S31">
            <v>3.3</v>
          </cell>
          <cell r="AD31" t="str">
            <v>hardcoalNewBio</v>
          </cell>
        </row>
        <row r="32">
          <cell r="D32" t="str">
            <v>coalNew</v>
          </cell>
          <cell r="S32">
            <v>3.3</v>
          </cell>
          <cell r="AD32" t="str">
            <v>hardcoalNew</v>
          </cell>
        </row>
        <row r="33">
          <cell r="D33" t="str">
            <v>bioGasOld2</v>
          </cell>
          <cell r="S33">
            <v>2.1</v>
          </cell>
          <cell r="AD33" t="str">
            <v>gasOld2Bio</v>
          </cell>
        </row>
        <row r="34">
          <cell r="D34" t="str">
            <v>gasOld2</v>
          </cell>
          <cell r="S34">
            <v>2.1</v>
          </cell>
          <cell r="AD34" t="str">
            <v>gasOld2</v>
          </cell>
        </row>
        <row r="35">
          <cell r="D35" t="str">
            <v>gasOld1</v>
          </cell>
          <cell r="S35">
            <v>2.1</v>
          </cell>
          <cell r="AD35" t="str">
            <v>gasOld1</v>
          </cell>
        </row>
        <row r="36">
          <cell r="D36" t="str">
            <v>gasOCGTold</v>
          </cell>
          <cell r="S36">
            <v>2.6</v>
          </cell>
          <cell r="AD36" t="str">
            <v>gasOCGTold</v>
          </cell>
        </row>
        <row r="37">
          <cell r="D37" t="str">
            <v>gasOCGTnew</v>
          </cell>
          <cell r="S37">
            <v>2.6</v>
          </cell>
          <cell r="AD37" t="str">
            <v>gasOCGTnew</v>
          </cell>
        </row>
        <row r="38">
          <cell r="D38" t="str">
            <v>gasCCGTpresent2</v>
          </cell>
          <cell r="S38">
            <v>2.6</v>
          </cell>
          <cell r="AD38" t="str">
            <v>gasCCGTpresent2</v>
          </cell>
        </row>
        <row r="39">
          <cell r="D39" t="str">
            <v>gasCCGTpresent1</v>
          </cell>
          <cell r="S39">
            <v>2.6</v>
          </cell>
          <cell r="AD39" t="str">
            <v>gasCCGTpresent1</v>
          </cell>
        </row>
        <row r="40">
          <cell r="D40" t="str">
            <v>bioGasCCGTOld2</v>
          </cell>
          <cell r="S40">
            <v>2.6</v>
          </cell>
          <cell r="AD40" t="str">
            <v>gasCCGTOld2Bio</v>
          </cell>
        </row>
        <row r="41">
          <cell r="D41" t="str">
            <v>gasCCGTOld2</v>
          </cell>
          <cell r="S41">
            <v>2.6</v>
          </cell>
          <cell r="AD41" t="str">
            <v>gasCCGTOld2</v>
          </cell>
        </row>
        <row r="42">
          <cell r="D42" t="str">
            <v>gasCCGTOld1</v>
          </cell>
          <cell r="S42">
            <v>2.6</v>
          </cell>
          <cell r="AD42" t="str">
            <v>gasCCGTOld1</v>
          </cell>
        </row>
        <row r="43">
          <cell r="D43" t="str">
            <v>gasCCGTNew</v>
          </cell>
          <cell r="S43">
            <v>2.6</v>
          </cell>
          <cell r="AD43" t="str">
            <v>gasCCGTNew</v>
          </cell>
        </row>
        <row r="45">
          <cell r="D45" t="str">
            <v>coalCCS</v>
          </cell>
          <cell r="S45">
            <v>6.6</v>
          </cell>
          <cell r="AD45" t="str">
            <v>hardcoalCCS</v>
          </cell>
        </row>
        <row r="46">
          <cell r="D46" t="str">
            <v>gasCCGTCCS</v>
          </cell>
          <cell r="S46">
            <v>3.2</v>
          </cell>
          <cell r="AD46" t="str">
            <v>gasCCGTCCS</v>
          </cell>
        </row>
        <row r="48">
          <cell r="D48" t="str">
            <v>nuclear</v>
          </cell>
          <cell r="S48">
            <v>3</v>
          </cell>
          <cell r="AD48" t="str">
            <v>nuclear</v>
          </cell>
        </row>
        <row r="49">
          <cell r="D49" t="str">
            <v>nuclearFlexible</v>
          </cell>
          <cell r="S49">
            <v>3.1</v>
          </cell>
          <cell r="AD49" t="str">
            <v>nuclearFlexible</v>
          </cell>
        </row>
        <row r="51">
          <cell r="D51" t="str">
            <v>bioCHPIndustry</v>
          </cell>
          <cell r="S51">
            <v>2</v>
          </cell>
          <cell r="AD51" t="str">
            <v>industryResCHP</v>
          </cell>
        </row>
        <row r="52">
          <cell r="D52" t="str">
            <v>coalCHPIndustry</v>
          </cell>
          <cell r="S52">
            <v>2</v>
          </cell>
          <cell r="AD52" t="str">
            <v>industryNonResCHP</v>
          </cell>
        </row>
        <row r="53">
          <cell r="D53" t="str">
            <v>gasCHPIndustry</v>
          </cell>
          <cell r="S53">
            <v>2</v>
          </cell>
          <cell r="AD53" t="str">
            <v>industryGasCHP</v>
          </cell>
        </row>
        <row r="55">
          <cell r="D55" t="str">
            <v>BatteryCharger</v>
          </cell>
          <cell r="S55">
            <v>1.4</v>
          </cell>
          <cell r="AD55" t="str">
            <v>Batterychar</v>
          </cell>
        </row>
        <row r="56">
          <cell r="D56" t="str">
            <v>BatteryDisch</v>
          </cell>
          <cell r="S56">
            <v>1.4</v>
          </cell>
          <cell r="AD56" t="str">
            <v>Batterydisch</v>
          </cell>
        </row>
        <row r="57">
          <cell r="D57" t="str">
            <v>BatteryCharger4h</v>
          </cell>
          <cell r="S57">
            <v>1.6</v>
          </cell>
          <cell r="AD57" t="str">
            <v>Batterychar4h</v>
          </cell>
        </row>
        <row r="58">
          <cell r="D58" t="str">
            <v>BatteryDisch4h</v>
          </cell>
          <cell r="S58">
            <v>1.6</v>
          </cell>
          <cell r="AD58" t="str">
            <v>Batterydisch4h</v>
          </cell>
        </row>
        <row r="60">
          <cell r="D60" t="str">
            <v>solarThermal</v>
          </cell>
          <cell r="AD60" t="str">
            <v>solarThermal</v>
          </cell>
        </row>
        <row r="61">
          <cell r="D61" t="str">
            <v>GSHP</v>
          </cell>
          <cell r="S61">
            <v>6</v>
          </cell>
          <cell r="AD61" t="str">
            <v>GSHP</v>
          </cell>
        </row>
        <row r="62">
          <cell r="D62" t="str">
            <v>wasteHOB</v>
          </cell>
          <cell r="S62">
            <v>2</v>
          </cell>
          <cell r="AD62" t="str">
            <v>HOBwaste</v>
          </cell>
        </row>
        <row r="63">
          <cell r="D63" t="str">
            <v>oilHOB</v>
          </cell>
          <cell r="S63">
            <v>2</v>
          </cell>
          <cell r="AD63" t="str">
            <v>HOBoil</v>
          </cell>
        </row>
        <row r="64">
          <cell r="D64" t="str">
            <v>gasHOB</v>
          </cell>
          <cell r="S64">
            <v>2</v>
          </cell>
          <cell r="AD64" t="str">
            <v>HOBgas</v>
          </cell>
        </row>
        <row r="65">
          <cell r="D65" t="str">
            <v>bioHOB</v>
          </cell>
          <cell r="S65">
            <v>2</v>
          </cell>
          <cell r="AD65" t="str">
            <v>HOBbio</v>
          </cell>
        </row>
        <row r="66">
          <cell r="D66" t="str">
            <v>elecHOB</v>
          </cell>
          <cell r="S66">
            <v>1.5</v>
          </cell>
          <cell r="AD66" t="str">
            <v>EBoil</v>
          </cell>
        </row>
        <row r="67">
          <cell r="D67" t="str">
            <v>wasteCHP</v>
          </cell>
          <cell r="S67">
            <v>2</v>
          </cell>
          <cell r="AD67" t="str">
            <v>CHPwaste</v>
          </cell>
        </row>
        <row r="68">
          <cell r="D68" t="str">
            <v>coalCHP</v>
          </cell>
          <cell r="S68">
            <v>2</v>
          </cell>
          <cell r="AD68" t="str">
            <v>CHPcoal</v>
          </cell>
        </row>
        <row r="69">
          <cell r="D69" t="str">
            <v>bioCHP</v>
          </cell>
          <cell r="S69">
            <v>2</v>
          </cell>
          <cell r="AD69" t="str">
            <v>CHPbio</v>
          </cell>
        </row>
        <row r="70">
          <cell r="D70" t="str">
            <v>gasCCGTCHP</v>
          </cell>
          <cell r="S70">
            <v>1.6</v>
          </cell>
          <cell r="AD70" t="str">
            <v>CCGTCHPgas</v>
          </cell>
        </row>
        <row r="71">
          <cell r="D71" t="str">
            <v>coalHOB</v>
          </cell>
          <cell r="S71">
            <v>2</v>
          </cell>
          <cell r="AD71" t="str">
            <v>HOBcoal</v>
          </cell>
        </row>
        <row r="72">
          <cell r="D72" t="str">
            <v>coalCHPExtraction</v>
          </cell>
          <cell r="S72">
            <v>2</v>
          </cell>
          <cell r="AD72" t="str">
            <v>CHPcoalExtraction</v>
          </cell>
        </row>
        <row r="73">
          <cell r="D73" t="str">
            <v>bioCHPExtraction</v>
          </cell>
          <cell r="S73">
            <v>2</v>
          </cell>
          <cell r="AD73" t="str">
            <v>CHPbioExtraction</v>
          </cell>
        </row>
        <row r="74">
          <cell r="D74" t="str">
            <v>gasCHPExtraction</v>
          </cell>
          <cell r="S74">
            <v>1.6</v>
          </cell>
          <cell r="AD74" t="str">
            <v>CHPgasExtraction</v>
          </cell>
        </row>
        <row r="75">
          <cell r="D75" t="str">
            <v>oilshaleCHP</v>
          </cell>
          <cell r="S75">
            <v>3.3</v>
          </cell>
          <cell r="AD75" t="str">
            <v>oilshaleCHP</v>
          </cell>
        </row>
        <row r="76">
          <cell r="D76" t="str">
            <v>gasOCGTCHP</v>
          </cell>
          <cell r="S76">
            <v>1.6</v>
          </cell>
          <cell r="AD76" t="str">
            <v>OCGTCHPgas</v>
          </cell>
        </row>
        <row r="77">
          <cell r="D77" t="str">
            <v>HeatStorageCharger</v>
          </cell>
          <cell r="S77">
            <v>1.4</v>
          </cell>
          <cell r="AD77" t="str">
            <v>HeatstorCharger</v>
          </cell>
        </row>
        <row r="78">
          <cell r="D78" t="str">
            <v>HeatStorageDisch</v>
          </cell>
          <cell r="S78">
            <v>1.4</v>
          </cell>
          <cell r="AD78" t="str">
            <v>HeatstorDischarger</v>
          </cell>
        </row>
        <row r="79">
          <cell r="D79" t="str">
            <v>heatStorageChargerLarge</v>
          </cell>
          <cell r="S79">
            <v>1.7</v>
          </cell>
          <cell r="AD79" t="str">
            <v>LargeHeatstocharger</v>
          </cell>
        </row>
        <row r="80">
          <cell r="D80" t="str">
            <v>heatStorageDischLarge</v>
          </cell>
          <cell r="S80">
            <v>1.7</v>
          </cell>
          <cell r="AD80" t="str">
            <v>LargeHeatstodischarger</v>
          </cell>
        </row>
        <row r="81">
          <cell r="D81" t="str">
            <v>heatStorageChargerSeasonal</v>
          </cell>
          <cell r="S81">
            <v>2</v>
          </cell>
          <cell r="AD81" t="str">
            <v>SeasonHeatstocharger</v>
          </cell>
        </row>
        <row r="82">
          <cell r="D82" t="str">
            <v>heatStorageDischSeasonal</v>
          </cell>
          <cell r="S82">
            <v>2</v>
          </cell>
          <cell r="AD82" t="str">
            <v>SeasonHeatstodischarger</v>
          </cell>
        </row>
        <row r="84">
          <cell r="D84" t="str">
            <v>DRupwards2</v>
          </cell>
          <cell r="AD84" t="str">
            <v>DRupwards2</v>
          </cell>
        </row>
        <row r="85">
          <cell r="D85" t="str">
            <v>DRupwards1</v>
          </cell>
          <cell r="AD85" t="str">
            <v>DRupwards1</v>
          </cell>
        </row>
        <row r="86">
          <cell r="D86" t="str">
            <v>DRcutofftier3</v>
          </cell>
          <cell r="S86">
            <v>2000</v>
          </cell>
          <cell r="AD86" t="str">
            <v>DRcutofftier3</v>
          </cell>
        </row>
        <row r="87">
          <cell r="D87" t="str">
            <v>DRcutofftier2</v>
          </cell>
          <cell r="S87">
            <v>1000</v>
          </cell>
          <cell r="AD87" t="str">
            <v>DRcutofftier2</v>
          </cell>
        </row>
        <row r="88">
          <cell r="D88" t="str">
            <v>DRcutofftier1</v>
          </cell>
          <cell r="S88">
            <v>400</v>
          </cell>
          <cell r="AD88" t="str">
            <v>DRcutofftier1</v>
          </cell>
        </row>
        <row r="90">
          <cell r="D90" t="str">
            <v>Electrolyser</v>
          </cell>
          <cell r="S90">
            <v>1.5</v>
          </cell>
          <cell r="AD90" t="str">
            <v>Electrolyser</v>
          </cell>
        </row>
        <row r="91">
          <cell r="D91" t="str">
            <v>ElectrolyserSOEC</v>
          </cell>
          <cell r="S91">
            <v>1.5</v>
          </cell>
          <cell r="AD91" t="str">
            <v>ElectrolyserSOEC</v>
          </cell>
        </row>
        <row r="92">
          <cell r="D92" t="str">
            <v>hydrogenCCGT</v>
          </cell>
          <cell r="S92">
            <v>1.6</v>
          </cell>
        </row>
        <row r="93">
          <cell r="D93" t="str">
            <v>hydrogenOCGT</v>
          </cell>
          <cell r="S93">
            <v>5</v>
          </cell>
          <cell r="AD93" t="str">
            <v>hydrogenOCGT</v>
          </cell>
        </row>
        <row r="94">
          <cell r="D94" t="str">
            <v>H2StorageDisch</v>
          </cell>
          <cell r="S94">
            <v>1.5</v>
          </cell>
          <cell r="AD94" t="str">
            <v>ShortH2storeOut</v>
          </cell>
        </row>
        <row r="95">
          <cell r="D95" t="str">
            <v>H2StorageCharger</v>
          </cell>
          <cell r="S95">
            <v>1.5</v>
          </cell>
          <cell r="AD95" t="str">
            <v>ShortH2storeIn</v>
          </cell>
        </row>
        <row r="96">
          <cell r="D96" t="str">
            <v>H2StorageDischLongterm</v>
          </cell>
          <cell r="S96">
            <v>2</v>
          </cell>
          <cell r="AD96" t="str">
            <v>LongH2storeOut</v>
          </cell>
        </row>
        <row r="97">
          <cell r="D97" t="str">
            <v>H2StorageChargerLongterm</v>
          </cell>
          <cell r="S97">
            <v>2</v>
          </cell>
          <cell r="AD97" t="str">
            <v>LongH2storeIn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mcost mult"/>
      <sheetName val="VRE-NT2030"/>
      <sheetName val="wind"/>
      <sheetName val="onshore"/>
      <sheetName val="offshore"/>
      <sheetName val="PV"/>
      <sheetName val="VRE summary"/>
      <sheetName val="unitdata_VRE"/>
      <sheetName val="battery_data"/>
      <sheetName val="unitdata_battery"/>
      <sheetName val="unitdata_nuclearThermal"/>
      <sheetName val="unitdata_demandRed"/>
      <sheetName val="transferdata"/>
      <sheetName val="emissiondata"/>
      <sheetName val="nodedata"/>
    </sheetNames>
    <sheetDataSet>
      <sheetData sheetId="0">
        <row r="19">
          <cell r="R19">
            <v>0.108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ndroos Tomi J" id="{424F319E-78B0-4EC3-8F7D-A6DD80F00FAD}" userId="S::Tomi.J.Lindroos@vtt.fi::d09ef261-c0c5-430b-b806-e83a06c0f32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A84FAB-7769-484B-B097-2CDFDD02DC5D}" name="Table3" displayName="Table3" ref="A22:N882" totalsRowShown="0" headerRowDxfId="16">
  <autoFilter ref="A22:N882" xr:uid="{AEA84FAB-7769-484B-B097-2CDFDD02DC5D}"/>
  <tableColumns count="14">
    <tableColumn id="1" xr3:uid="{823AF029-3300-4C24-8FD1-C6ED6D1EF21F}" name="Column1" dataDxfId="15"/>
    <tableColumn id="2" xr3:uid="{537A0DCA-1D33-4C92-9536-01D28BB54278}" name="Column2" dataDxfId="14"/>
    <tableColumn id="3" xr3:uid="{A9A5C4A3-E66C-404A-BFFC-068B792F5AFB}" name="Column3" dataDxfId="13"/>
    <tableColumn id="4" xr3:uid="{01AD9533-08CC-4CB1-8817-B90F7475170E}" name="Column4" dataDxfId="12"/>
    <tableColumn id="5" xr3:uid="{3630D894-416F-42B2-97F9-E3F5FF82AA65}" name="Column5" dataDxfId="11"/>
    <tableColumn id="6" xr3:uid="{D7A15732-5E17-4273-A018-C2DD34D8DE10}" name="Column6" dataDxfId="10"/>
    <tableColumn id="7" xr3:uid="{091BC292-1AD9-490F-A50A-F202978CA712}" name="Column7" dataDxfId="9"/>
    <tableColumn id="8" xr3:uid="{9B97B6AE-2274-4A61-BC66-2057566FAA56}" name="Column8" dataDxfId="8"/>
    <tableColumn id="9" xr3:uid="{6FCDE47C-B6F3-40D9-8B49-68B76FE6B0B2}" name="Column9" dataDxfId="7"/>
    <tableColumn id="10" xr3:uid="{EBEA3757-D572-4824-AD7B-91EE1D4FA5E1}" name="Column10" dataDxfId="6"/>
    <tableColumn id="14" xr3:uid="{CD6C4B99-50F2-411C-9C02-837BBDE50F96}" name="Column102" dataDxfId="5"/>
    <tableColumn id="11" xr3:uid="{4CC6077D-058F-423F-BDC3-FCD3432FB80E}" name="Column11" dataDxfId="4"/>
    <tableColumn id="12" xr3:uid="{E04A91BD-22CE-44BE-B861-55490B7877B2}" name="Column12" dataDxfId="3"/>
    <tableColumn id="13" xr3:uid="{9A85B9BB-4DD0-4540-9A62-3C72AF902BF6}" name="Column13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99B699-6D23-4D08-B0CC-CCCCED10BF94}" name="Table7" displayName="Table7" ref="A8:H78" totalsRowShown="0" headerRowDxfId="1">
  <autoFilter ref="A8:H78" xr:uid="{D399B699-6D23-4D08-B0CC-CCCCED10BF94}"/>
  <sortState xmlns:xlrd2="http://schemas.microsoft.com/office/spreadsheetml/2017/richdata2" ref="A9:H78">
    <sortCondition ref="F8:F78"/>
  </sortState>
  <tableColumns count="8">
    <tableColumn id="1" xr3:uid="{FACAA5A3-873B-41E7-B1EC-40582FAA898F}" name="Power plant"/>
    <tableColumn id="2" xr3:uid="{943DB526-CE6C-46BC-AE11-D44E4DDA14DB}" name="Owner"/>
    <tableColumn id="3" xr3:uid="{D1005896-5CE7-4484-A1FF-56B85C11E44C}" name="Location"/>
    <tableColumn id="8" xr3:uid="{9AEB34D7-F2DD-453E-BE86-8B4F2D70459C}" name="Type"/>
    <tableColumn id="4" xr3:uid="{29692191-7CEB-4DBA-94F4-4C3F4B424377}" name="Power (MW)"/>
    <tableColumn id="5" xr3:uid="{A0D4EEC1-96D4-44AB-B8F3-1F66B45A599E}" name="Fuel 1"/>
    <tableColumn id="6" xr3:uid="{862052E2-065E-47D4-A2CD-7DDC7F017A16}" name="Fuel 2"/>
    <tableColumn id="7" xr3:uid="{FD3658C2-5018-4C84-9E67-70408FA74F80}" name="Fue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81" dT="2026-10-15T11:57:47.03" personId="{424F319E-78B0-4EC3-8F7D-A6DD80F00FAD}" id="{BDC43CBE-F989-4706-B097-67B578067533}">
    <text xml:space="preserve">Keep the 0. It overwrites the default.
</text>
  </threadedComment>
  <threadedComment ref="N82" dT="2026-10-15T11:57:47.03" personId="{424F319E-78B0-4EC3-8F7D-A6DD80F00FAD}" id="{CC8F380B-99AE-4958-9E41-F46F1F495978}">
    <text xml:space="preserve">Keep the 0. It overwrites the default.
</text>
  </threadedComment>
  <threadedComment ref="N83" dT="2026-10-15T11:57:47.03" personId="{424F319E-78B0-4EC3-8F7D-A6DD80F00FAD}" id="{D42C31C3-AD28-47E3-89B7-8804D7913FE8}">
    <text xml:space="preserve">Keep the 0. It overwrites the default.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neve.fi/ajankohtaista/jateveden-lampo-hyotykiertoon-ja-kustannuksia-alas-neven-uudella-lampopumppulaitoksella-toteutus-alkaa-ensi-vuonna/" TargetMode="External"/><Relationship Id="rId1" Type="http://schemas.openxmlformats.org/officeDocument/2006/relationships/hyperlink" Target="https://www.imatra.fi/hukkalampohanke-loppusuoralla-kaukolammon-tuotanto-alkanut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BBF7-61DD-4D3E-BACA-4BC75F106BF5}">
  <sheetPr codeName="Sheet2">
    <tabColor theme="7" tint="0.59999389629810485"/>
  </sheetPr>
  <dimension ref="A1:G2"/>
  <sheetViews>
    <sheetView workbookViewId="0">
      <selection activeCell="M19" sqref="M19"/>
    </sheetView>
  </sheetViews>
  <sheetFormatPr defaultRowHeight="15"/>
  <cols>
    <col min="3" max="3" width="14.140625" customWidth="1"/>
    <col min="7" max="7" width="15" bestFit="1" customWidth="1"/>
  </cols>
  <sheetData>
    <row r="1" spans="1:7">
      <c r="A1" s="86" t="s">
        <v>0</v>
      </c>
      <c r="B1" s="86" t="s">
        <v>1595</v>
      </c>
      <c r="C1" s="86" t="s">
        <v>1596</v>
      </c>
      <c r="D1" s="86" t="s">
        <v>1</v>
      </c>
      <c r="E1" s="86" t="s">
        <v>2</v>
      </c>
      <c r="F1" s="86" t="s">
        <v>1597</v>
      </c>
      <c r="G1" s="87" t="s">
        <v>1598</v>
      </c>
    </row>
    <row r="2" spans="1:7">
      <c r="A2" s="88" t="s">
        <v>12</v>
      </c>
      <c r="B2" s="88" t="s">
        <v>26</v>
      </c>
      <c r="C2" s="88" t="s">
        <v>1599</v>
      </c>
      <c r="D2" s="89" t="s">
        <v>24</v>
      </c>
      <c r="E2" s="89">
        <v>1</v>
      </c>
      <c r="F2" s="90">
        <f>elec_gen!I35/1000</f>
        <v>16.667400000000001</v>
      </c>
      <c r="G2" s="88"/>
    </row>
  </sheetData>
  <conditionalFormatting sqref="A2:G2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A91C-CFA7-4CB9-AF08-9027113AF57B}">
  <sheetPr codeName="Sheet4"/>
  <dimension ref="C9:P35"/>
  <sheetViews>
    <sheetView topLeftCell="A4" workbookViewId="0">
      <selection activeCell="H35" sqref="H35"/>
    </sheetView>
  </sheetViews>
  <sheetFormatPr defaultRowHeight="15"/>
  <cols>
    <col min="4" max="4" width="13" customWidth="1"/>
    <col min="5" max="5" width="13.28515625" customWidth="1"/>
    <col min="11" max="11" width="9" customWidth="1"/>
    <col min="12" max="12" width="16.7109375" customWidth="1"/>
    <col min="16" max="16" width="17.85546875" customWidth="1"/>
  </cols>
  <sheetData>
    <row r="9" spans="3:16">
      <c r="C9" t="s">
        <v>1592</v>
      </c>
    </row>
    <row r="11" spans="3:16" ht="60.75" thickBot="1">
      <c r="C11" s="76"/>
      <c r="D11" s="77" t="s">
        <v>1581</v>
      </c>
      <c r="E11" s="77" t="s">
        <v>1582</v>
      </c>
      <c r="F11" s="77" t="s">
        <v>1583</v>
      </c>
      <c r="G11" s="77" t="s">
        <v>1584</v>
      </c>
      <c r="H11" s="77" t="s">
        <v>1585</v>
      </c>
      <c r="I11" s="77" t="s">
        <v>1578</v>
      </c>
      <c r="J11" s="77" t="s">
        <v>1586</v>
      </c>
      <c r="K11" s="77" t="s">
        <v>1587</v>
      </c>
      <c r="L11" s="77" t="s">
        <v>1579</v>
      </c>
      <c r="M11" s="77" t="s">
        <v>1588</v>
      </c>
      <c r="N11" s="77" t="s">
        <v>1589</v>
      </c>
      <c r="O11" s="77" t="s">
        <v>1590</v>
      </c>
      <c r="P11" s="78" t="s">
        <v>1591</v>
      </c>
    </row>
    <row r="12" spans="3:16" ht="30.75" thickBot="1">
      <c r="C12" s="79" t="s">
        <v>1580</v>
      </c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80"/>
    </row>
    <row r="13" spans="3:16" ht="15.75" thickBot="1">
      <c r="C13" s="81">
        <v>2005</v>
      </c>
      <c r="D13" s="75">
        <v>13428</v>
      </c>
      <c r="E13" s="75">
        <v>168</v>
      </c>
      <c r="F13" s="75">
        <v>3</v>
      </c>
      <c r="G13" s="75">
        <v>22356</v>
      </c>
      <c r="H13" s="75">
        <v>5326</v>
      </c>
      <c r="I13" s="75">
        <v>10734</v>
      </c>
      <c r="J13" s="75">
        <v>15644</v>
      </c>
      <c r="K13" s="75">
        <v>11</v>
      </c>
      <c r="L13" s="75">
        <v>67670</v>
      </c>
      <c r="M13" s="75">
        <v>17947</v>
      </c>
      <c r="N13" s="75">
        <v>933</v>
      </c>
      <c r="O13" s="75">
        <v>17014</v>
      </c>
      <c r="P13" s="82">
        <v>84684</v>
      </c>
    </row>
    <row r="14" spans="3:16" ht="15.75" thickBot="1">
      <c r="C14" s="81">
        <v>2006</v>
      </c>
      <c r="D14" s="75">
        <v>11313</v>
      </c>
      <c r="E14" s="75">
        <v>153</v>
      </c>
      <c r="F14" s="75">
        <v>3</v>
      </c>
      <c r="G14" s="75">
        <v>22004</v>
      </c>
      <c r="H14" s="75">
        <v>17577</v>
      </c>
      <c r="I14" s="75">
        <v>12030</v>
      </c>
      <c r="J14" s="75">
        <v>15547</v>
      </c>
      <c r="K14" s="75">
        <v>14</v>
      </c>
      <c r="L14" s="75">
        <v>78641</v>
      </c>
      <c r="M14" s="75">
        <v>14117</v>
      </c>
      <c r="N14" s="75">
        <v>2716</v>
      </c>
      <c r="O14" s="75">
        <v>11401</v>
      </c>
      <c r="P14" s="82">
        <v>90042</v>
      </c>
    </row>
    <row r="15" spans="3:16" ht="15.75" thickBot="1">
      <c r="C15" s="81">
        <v>2007</v>
      </c>
      <c r="D15" s="75">
        <v>13991</v>
      </c>
      <c r="E15" s="75">
        <v>188</v>
      </c>
      <c r="F15" s="75">
        <v>4</v>
      </c>
      <c r="G15" s="75">
        <v>22501</v>
      </c>
      <c r="H15" s="75">
        <v>14377</v>
      </c>
      <c r="I15" s="75">
        <v>11639</v>
      </c>
      <c r="J15" s="75">
        <v>15120</v>
      </c>
      <c r="K15" s="75">
        <v>10</v>
      </c>
      <c r="L15" s="75">
        <v>77831</v>
      </c>
      <c r="M15" s="75">
        <v>15419</v>
      </c>
      <c r="N15" s="75">
        <v>2862</v>
      </c>
      <c r="O15" s="75">
        <v>12557</v>
      </c>
      <c r="P15" s="82">
        <v>90388</v>
      </c>
    </row>
    <row r="16" spans="3:16" ht="15.75" thickBot="1">
      <c r="C16" s="81">
        <v>2008</v>
      </c>
      <c r="D16" s="75">
        <v>16909</v>
      </c>
      <c r="E16" s="75">
        <v>261</v>
      </c>
      <c r="F16" s="75">
        <v>4</v>
      </c>
      <c r="G16" s="75">
        <v>22050</v>
      </c>
      <c r="H16" s="75">
        <v>8779</v>
      </c>
      <c r="I16" s="75">
        <v>11194</v>
      </c>
      <c r="J16" s="75">
        <v>15282</v>
      </c>
      <c r="K16" s="75">
        <v>16</v>
      </c>
      <c r="L16" s="75">
        <v>74495</v>
      </c>
      <c r="M16" s="75">
        <v>16107</v>
      </c>
      <c r="N16" s="75">
        <v>3335</v>
      </c>
      <c r="O16" s="75">
        <v>12772</v>
      </c>
      <c r="P16" s="82">
        <v>87267</v>
      </c>
    </row>
    <row r="17" spans="3:16" ht="15.75" thickBot="1">
      <c r="C17" s="81">
        <v>2009</v>
      </c>
      <c r="D17" s="75">
        <v>12573</v>
      </c>
      <c r="E17" s="75">
        <v>277</v>
      </c>
      <c r="F17" s="75">
        <v>4</v>
      </c>
      <c r="G17" s="75">
        <v>22601</v>
      </c>
      <c r="H17" s="75">
        <v>8963</v>
      </c>
      <c r="I17" s="75">
        <v>9041</v>
      </c>
      <c r="J17" s="75">
        <v>15752</v>
      </c>
      <c r="K17" s="75">
        <v>15</v>
      </c>
      <c r="L17" s="75">
        <v>69226</v>
      </c>
      <c r="M17" s="75">
        <v>15460</v>
      </c>
      <c r="N17" s="75">
        <v>3375</v>
      </c>
      <c r="O17" s="75">
        <v>12085</v>
      </c>
      <c r="P17" s="82">
        <v>81311</v>
      </c>
    </row>
    <row r="18" spans="3:16" ht="15.75" thickBot="1">
      <c r="C18" s="81">
        <v>2010</v>
      </c>
      <c r="D18" s="75">
        <v>12743</v>
      </c>
      <c r="E18" s="75">
        <v>294</v>
      </c>
      <c r="F18" s="75">
        <v>5</v>
      </c>
      <c r="G18" s="75">
        <v>21889</v>
      </c>
      <c r="H18" s="75">
        <v>14179</v>
      </c>
      <c r="I18" s="75">
        <v>10405</v>
      </c>
      <c r="J18" s="75">
        <v>17693</v>
      </c>
      <c r="K18" s="75">
        <v>17</v>
      </c>
      <c r="L18" s="75">
        <v>77225</v>
      </c>
      <c r="M18" s="75">
        <v>15719</v>
      </c>
      <c r="N18" s="75">
        <v>5218</v>
      </c>
      <c r="O18" s="75">
        <v>10501</v>
      </c>
      <c r="P18" s="82">
        <v>87726</v>
      </c>
    </row>
    <row r="19" spans="3:16" ht="15.75" thickBot="1">
      <c r="C19" s="81">
        <v>2011</v>
      </c>
      <c r="D19" s="75">
        <v>12278</v>
      </c>
      <c r="E19" s="75">
        <v>481</v>
      </c>
      <c r="F19" s="75">
        <v>5</v>
      </c>
      <c r="G19" s="75">
        <v>22266</v>
      </c>
      <c r="H19" s="75">
        <v>9822</v>
      </c>
      <c r="I19" s="75">
        <v>10132</v>
      </c>
      <c r="J19" s="75">
        <v>15410</v>
      </c>
      <c r="K19" s="75">
        <v>25</v>
      </c>
      <c r="L19" s="75">
        <v>70420</v>
      </c>
      <c r="M19" s="75">
        <v>17656</v>
      </c>
      <c r="N19" s="75">
        <v>3805</v>
      </c>
      <c r="O19" s="75">
        <v>13851</v>
      </c>
      <c r="P19" s="82">
        <v>84271</v>
      </c>
    </row>
    <row r="20" spans="3:16" ht="15.75" thickBot="1">
      <c r="C20" s="81">
        <v>2012</v>
      </c>
      <c r="D20" s="75">
        <v>16667</v>
      </c>
      <c r="E20" s="75">
        <v>494</v>
      </c>
      <c r="F20" s="75">
        <v>6</v>
      </c>
      <c r="G20" s="75">
        <v>22063</v>
      </c>
      <c r="H20" s="75">
        <v>5177</v>
      </c>
      <c r="I20" s="75">
        <v>8891</v>
      </c>
      <c r="J20" s="75">
        <v>14395</v>
      </c>
      <c r="K20" s="75">
        <v>21</v>
      </c>
      <c r="L20" s="75">
        <v>67714</v>
      </c>
      <c r="M20" s="75">
        <v>19089</v>
      </c>
      <c r="N20" s="75">
        <v>1645</v>
      </c>
      <c r="O20" s="75">
        <v>17443</v>
      </c>
      <c r="P20" s="82">
        <v>85157</v>
      </c>
    </row>
    <row r="21" spans="3:16" ht="15.75" thickBot="1">
      <c r="C21" s="81">
        <v>2013</v>
      </c>
      <c r="D21" s="75">
        <v>12672</v>
      </c>
      <c r="E21" s="75">
        <v>774</v>
      </c>
      <c r="F21" s="75">
        <v>7</v>
      </c>
      <c r="G21" s="75">
        <v>22673</v>
      </c>
      <c r="H21" s="75">
        <v>8883</v>
      </c>
      <c r="I21" s="75">
        <v>9147</v>
      </c>
      <c r="J21" s="75">
        <v>14179</v>
      </c>
      <c r="K21" s="75">
        <v>18</v>
      </c>
      <c r="L21" s="75">
        <v>68354</v>
      </c>
      <c r="M21" s="75">
        <v>17591</v>
      </c>
      <c r="N21" s="75">
        <v>1876</v>
      </c>
      <c r="O21" s="75">
        <v>15715</v>
      </c>
      <c r="P21" s="82">
        <v>84069</v>
      </c>
    </row>
    <row r="22" spans="3:16" ht="15.75" thickBot="1">
      <c r="C22" s="81">
        <v>2014</v>
      </c>
      <c r="D22" s="75">
        <v>13240</v>
      </c>
      <c r="E22" s="75">
        <v>1107</v>
      </c>
      <c r="F22" s="75">
        <v>8</v>
      </c>
      <c r="G22" s="75">
        <v>22646</v>
      </c>
      <c r="H22" s="75">
        <v>6379</v>
      </c>
      <c r="I22" s="75">
        <v>8694</v>
      </c>
      <c r="J22" s="75">
        <v>13367</v>
      </c>
      <c r="K22" s="75">
        <v>18</v>
      </c>
      <c r="L22" s="75">
        <v>65459</v>
      </c>
      <c r="M22" s="75">
        <v>21622</v>
      </c>
      <c r="N22" s="75">
        <v>3655</v>
      </c>
      <c r="O22" s="75">
        <v>17966</v>
      </c>
      <c r="P22" s="82">
        <v>83425</v>
      </c>
    </row>
    <row r="23" spans="3:16" ht="15.75" thickBot="1">
      <c r="C23" s="81">
        <v>2015</v>
      </c>
      <c r="D23" s="75">
        <v>16584</v>
      </c>
      <c r="E23" s="75">
        <v>2327</v>
      </c>
      <c r="F23" s="75">
        <v>11</v>
      </c>
      <c r="G23" s="75">
        <v>22326</v>
      </c>
      <c r="H23" s="75">
        <v>4062</v>
      </c>
      <c r="I23" s="75">
        <v>8288</v>
      </c>
      <c r="J23" s="75">
        <v>12542</v>
      </c>
      <c r="K23" s="75">
        <v>16</v>
      </c>
      <c r="L23" s="75">
        <v>66156</v>
      </c>
      <c r="M23" s="75">
        <v>21459</v>
      </c>
      <c r="N23" s="75">
        <v>5122</v>
      </c>
      <c r="O23" s="75">
        <v>16337</v>
      </c>
      <c r="P23" s="82">
        <v>82493</v>
      </c>
    </row>
    <row r="24" spans="3:16" ht="15.75" thickBot="1">
      <c r="C24" s="81">
        <v>2016</v>
      </c>
      <c r="D24" s="75">
        <v>15634</v>
      </c>
      <c r="E24" s="75">
        <v>3068</v>
      </c>
      <c r="F24" s="75">
        <v>22</v>
      </c>
      <c r="G24" s="75">
        <v>22280</v>
      </c>
      <c r="H24" s="75">
        <v>4319</v>
      </c>
      <c r="I24" s="75">
        <v>8474</v>
      </c>
      <c r="J24" s="75">
        <v>12392</v>
      </c>
      <c r="K24" s="75">
        <v>14</v>
      </c>
      <c r="L24" s="75">
        <v>66204</v>
      </c>
      <c r="M24" s="75">
        <v>22110</v>
      </c>
      <c r="N24" s="75">
        <v>3159</v>
      </c>
      <c r="O24" s="75">
        <v>18951</v>
      </c>
      <c r="P24" s="82">
        <v>85155</v>
      </c>
    </row>
    <row r="25" spans="3:16" ht="15.75" thickBot="1">
      <c r="C25" s="81">
        <v>2017</v>
      </c>
      <c r="D25" s="75">
        <v>14610</v>
      </c>
      <c r="E25" s="75">
        <v>4795</v>
      </c>
      <c r="F25" s="75">
        <v>49</v>
      </c>
      <c r="G25" s="75">
        <v>21574</v>
      </c>
      <c r="H25" s="75">
        <v>3284</v>
      </c>
      <c r="I25" s="75">
        <v>8647</v>
      </c>
      <c r="J25" s="75">
        <v>12069</v>
      </c>
      <c r="K25" s="75">
        <v>14</v>
      </c>
      <c r="L25" s="75">
        <v>65042</v>
      </c>
      <c r="M25" s="75">
        <v>22204</v>
      </c>
      <c r="N25" s="75">
        <v>1778</v>
      </c>
      <c r="O25" s="75">
        <v>20426</v>
      </c>
      <c r="P25" s="82">
        <v>85467</v>
      </c>
    </row>
    <row r="26" spans="3:16" ht="15.75" thickBot="1">
      <c r="C26" s="81">
        <v>2018</v>
      </c>
      <c r="D26" s="75">
        <v>13137</v>
      </c>
      <c r="E26" s="75">
        <v>5839</v>
      </c>
      <c r="F26" s="75">
        <v>90</v>
      </c>
      <c r="G26" s="75">
        <v>21881</v>
      </c>
      <c r="H26" s="75">
        <v>4748</v>
      </c>
      <c r="I26" s="75">
        <v>9158</v>
      </c>
      <c r="J26" s="75">
        <v>12663</v>
      </c>
      <c r="K26" s="75">
        <v>16</v>
      </c>
      <c r="L26" s="75">
        <v>67532</v>
      </c>
      <c r="M26" s="75">
        <v>22548</v>
      </c>
      <c r="N26" s="75">
        <v>2612</v>
      </c>
      <c r="O26" s="75">
        <v>19936</v>
      </c>
      <c r="P26" s="82">
        <v>87467</v>
      </c>
    </row>
    <row r="27" spans="3:16" ht="15.75" thickBot="1">
      <c r="C27" s="81">
        <v>2019</v>
      </c>
      <c r="D27" s="75">
        <v>12246</v>
      </c>
      <c r="E27" s="75">
        <v>6025</v>
      </c>
      <c r="F27" s="75">
        <v>147</v>
      </c>
      <c r="G27" s="75">
        <v>22915</v>
      </c>
      <c r="H27" s="75">
        <v>3142</v>
      </c>
      <c r="I27" s="75">
        <v>9165</v>
      </c>
      <c r="J27" s="75">
        <v>12394</v>
      </c>
      <c r="K27" s="75">
        <v>17</v>
      </c>
      <c r="L27" s="75">
        <v>66051</v>
      </c>
      <c r="M27" s="75">
        <v>23938</v>
      </c>
      <c r="N27" s="75">
        <v>3896</v>
      </c>
      <c r="O27" s="75">
        <v>20042</v>
      </c>
      <c r="P27" s="82">
        <v>86092</v>
      </c>
    </row>
    <row r="28" spans="3:16" ht="15.75" thickBot="1">
      <c r="C28" s="81">
        <v>2020</v>
      </c>
      <c r="D28" s="75">
        <v>15669</v>
      </c>
      <c r="E28" s="75">
        <v>7938</v>
      </c>
      <c r="F28" s="75">
        <v>218</v>
      </c>
      <c r="G28" s="75">
        <v>22354</v>
      </c>
      <c r="H28" s="75">
        <v>2311</v>
      </c>
      <c r="I28" s="75">
        <v>8221</v>
      </c>
      <c r="J28" s="75">
        <v>9867</v>
      </c>
      <c r="K28" s="75">
        <v>16</v>
      </c>
      <c r="L28" s="75">
        <v>66596</v>
      </c>
      <c r="M28" s="75">
        <v>21774</v>
      </c>
      <c r="N28" s="75">
        <v>6670</v>
      </c>
      <c r="O28" s="75">
        <v>15105</v>
      </c>
      <c r="P28" s="82">
        <v>81701</v>
      </c>
    </row>
    <row r="29" spans="3:16" ht="15.75" thickBot="1">
      <c r="C29" s="81">
        <v>2021</v>
      </c>
      <c r="D29" s="75">
        <v>15624</v>
      </c>
      <c r="E29" s="75">
        <v>8180</v>
      </c>
      <c r="F29" s="75">
        <v>298</v>
      </c>
      <c r="G29" s="75">
        <v>22646</v>
      </c>
      <c r="H29" s="75">
        <v>2848</v>
      </c>
      <c r="I29" s="75">
        <v>8653</v>
      </c>
      <c r="J29" s="75">
        <v>11060</v>
      </c>
      <c r="K29" s="75">
        <v>17</v>
      </c>
      <c r="L29" s="75">
        <v>69324</v>
      </c>
      <c r="M29" s="75">
        <v>24492</v>
      </c>
      <c r="N29" s="75">
        <v>6724</v>
      </c>
      <c r="O29" s="75">
        <v>17768</v>
      </c>
      <c r="P29" s="82">
        <v>87092</v>
      </c>
    </row>
    <row r="30" spans="3:16" ht="15.75" thickBot="1">
      <c r="C30" s="81">
        <v>2022</v>
      </c>
      <c r="D30" s="75">
        <v>13337</v>
      </c>
      <c r="E30" s="75">
        <v>11560</v>
      </c>
      <c r="F30" s="75">
        <v>392</v>
      </c>
      <c r="G30" s="75">
        <v>24242</v>
      </c>
      <c r="H30" s="75">
        <v>2858</v>
      </c>
      <c r="I30" s="75">
        <v>7450</v>
      </c>
      <c r="J30" s="75">
        <v>9282</v>
      </c>
      <c r="K30" s="75">
        <v>21</v>
      </c>
      <c r="L30" s="75">
        <v>69142</v>
      </c>
      <c r="M30" s="75">
        <v>19397</v>
      </c>
      <c r="N30" s="75">
        <v>6880</v>
      </c>
      <c r="O30" s="75">
        <v>12517</v>
      </c>
      <c r="P30" s="82">
        <v>81660</v>
      </c>
    </row>
    <row r="31" spans="3:16" ht="15.75" thickBot="1">
      <c r="C31" s="83">
        <v>2023</v>
      </c>
      <c r="D31" s="84">
        <v>15026</v>
      </c>
      <c r="E31" s="84">
        <v>14465</v>
      </c>
      <c r="F31" s="84">
        <v>716</v>
      </c>
      <c r="G31" s="84">
        <v>32759</v>
      </c>
      <c r="H31" s="84">
        <v>1813</v>
      </c>
      <c r="I31" s="84">
        <v>6587</v>
      </c>
      <c r="J31" s="84">
        <v>6897</v>
      </c>
      <c r="K31" s="84">
        <v>19</v>
      </c>
      <c r="L31" s="84">
        <v>78283</v>
      </c>
      <c r="M31" s="84">
        <v>9644</v>
      </c>
      <c r="N31" s="84">
        <v>7920</v>
      </c>
      <c r="O31" s="84">
        <v>1724</v>
      </c>
      <c r="P31" s="85">
        <v>80007</v>
      </c>
    </row>
    <row r="34" spans="8:9">
      <c r="H34" t="s">
        <v>25</v>
      </c>
      <c r="I34">
        <f>AVERAGE(I22:I31)</f>
        <v>8333.7000000000007</v>
      </c>
    </row>
    <row r="35" spans="8:9">
      <c r="H35" t="s">
        <v>26</v>
      </c>
      <c r="I35">
        <f>I34*2</f>
        <v>16667.400000000001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9F98-1E50-4CF1-B054-7D3EBE9743FD}">
  <sheetPr codeName="Sheet5">
    <tabColor theme="5" tint="0.39997558519241921"/>
  </sheetPr>
  <dimension ref="A1:L191"/>
  <sheetViews>
    <sheetView workbookViewId="0">
      <pane ySplit="1" topLeftCell="A2" activePane="bottomLeft" state="frozen"/>
      <selection pane="bottomLeft" activeCell="H2" sqref="H2:H7"/>
    </sheetView>
  </sheetViews>
  <sheetFormatPr defaultColWidth="9.140625" defaultRowHeight="15"/>
  <cols>
    <col min="1" max="5" width="12.42578125" style="93" customWidth="1"/>
    <col min="6" max="6" width="9.85546875" style="93" customWidth="1"/>
    <col min="7" max="7" width="8.7109375" style="94" customWidth="1"/>
    <col min="8" max="8" width="16.28515625" style="94" customWidth="1"/>
    <col min="9" max="10" width="15.85546875" style="94" customWidth="1"/>
    <col min="11" max="11" width="17.42578125" style="94" customWidth="1"/>
    <col min="12" max="12" width="15.28515625" style="94" customWidth="1"/>
    <col min="13" max="16384" width="9.140625" style="93"/>
  </cols>
  <sheetData>
    <row r="1" spans="1:12">
      <c r="A1" s="91" t="s">
        <v>1610</v>
      </c>
      <c r="B1" s="91" t="s">
        <v>1600</v>
      </c>
      <c r="C1" s="91" t="s">
        <v>1611</v>
      </c>
      <c r="D1" s="91" t="s">
        <v>1601</v>
      </c>
      <c r="E1" s="91" t="s">
        <v>1602</v>
      </c>
      <c r="F1" s="91" t="s">
        <v>1603</v>
      </c>
      <c r="G1" s="92" t="s">
        <v>2</v>
      </c>
      <c r="H1" s="92" t="s">
        <v>1680</v>
      </c>
      <c r="I1" s="92" t="s">
        <v>1609</v>
      </c>
      <c r="J1" s="92" t="s">
        <v>1604</v>
      </c>
      <c r="K1" s="92" t="s">
        <v>1607</v>
      </c>
      <c r="L1" s="92" t="s">
        <v>1608</v>
      </c>
    </row>
    <row r="2" spans="1:12">
      <c r="A2" s="93" t="s">
        <v>12</v>
      </c>
      <c r="B2" s="93" t="s">
        <v>20</v>
      </c>
      <c r="C2" s="93" t="s">
        <v>12</v>
      </c>
      <c r="D2" s="93" t="s">
        <v>15</v>
      </c>
      <c r="E2" s="93" t="s">
        <v>1605</v>
      </c>
      <c r="F2" s="93" t="s">
        <v>24</v>
      </c>
      <c r="G2" s="94">
        <v>1</v>
      </c>
      <c r="H2" s="53" t="s">
        <v>1668</v>
      </c>
      <c r="I2" s="95">
        <v>130</v>
      </c>
      <c r="K2" s="94">
        <v>2.1</v>
      </c>
    </row>
    <row r="3" spans="1:12">
      <c r="A3" s="93" t="s">
        <v>12</v>
      </c>
      <c r="B3" s="93" t="s">
        <v>15</v>
      </c>
      <c r="C3" s="93" t="s">
        <v>12</v>
      </c>
      <c r="D3" s="93" t="s">
        <v>20</v>
      </c>
      <c r="E3" s="93" t="s">
        <v>1605</v>
      </c>
      <c r="F3" s="93" t="s">
        <v>24</v>
      </c>
      <c r="G3" s="94">
        <v>1</v>
      </c>
      <c r="H3" s="53" t="s">
        <v>1668</v>
      </c>
      <c r="I3" s="95">
        <v>130</v>
      </c>
      <c r="K3" s="94">
        <v>2.2000000000000002</v>
      </c>
    </row>
    <row r="4" spans="1:12">
      <c r="A4" s="93" t="s">
        <v>12</v>
      </c>
      <c r="B4" s="93" t="s">
        <v>13</v>
      </c>
      <c r="C4" s="93" t="s">
        <v>12</v>
      </c>
      <c r="D4" s="93" t="s">
        <v>15</v>
      </c>
      <c r="E4" s="93" t="s">
        <v>1605</v>
      </c>
      <c r="F4" s="93" t="s">
        <v>24</v>
      </c>
      <c r="G4" s="94">
        <v>1</v>
      </c>
      <c r="H4" s="53" t="s">
        <v>1668</v>
      </c>
      <c r="I4" s="95">
        <v>120</v>
      </c>
      <c r="K4" s="94">
        <v>1.9</v>
      </c>
    </row>
    <row r="5" spans="1:12">
      <c r="A5" s="93" t="s">
        <v>12</v>
      </c>
      <c r="B5" s="93" t="s">
        <v>15</v>
      </c>
      <c r="C5" s="93" t="s">
        <v>12</v>
      </c>
      <c r="D5" s="93" t="s">
        <v>13</v>
      </c>
      <c r="E5" s="93" t="s">
        <v>1605</v>
      </c>
      <c r="F5" s="93" t="s">
        <v>24</v>
      </c>
      <c r="G5" s="94">
        <v>1</v>
      </c>
      <c r="H5" s="53" t="s">
        <v>1668</v>
      </c>
      <c r="I5" s="95">
        <v>120</v>
      </c>
      <c r="K5" s="94">
        <v>2</v>
      </c>
    </row>
    <row r="6" spans="1:12">
      <c r="A6" s="93" t="s">
        <v>12</v>
      </c>
      <c r="B6" s="93" t="s">
        <v>13</v>
      </c>
      <c r="C6" s="93" t="s">
        <v>12</v>
      </c>
      <c r="D6" s="93" t="s">
        <v>20</v>
      </c>
      <c r="E6" s="93" t="s">
        <v>1605</v>
      </c>
      <c r="F6" s="93" t="s">
        <v>24</v>
      </c>
      <c r="G6" s="94">
        <v>1</v>
      </c>
      <c r="H6" s="53" t="s">
        <v>1668</v>
      </c>
      <c r="I6" s="95">
        <v>50</v>
      </c>
      <c r="K6" s="94">
        <v>2.2999999999999998</v>
      </c>
    </row>
    <row r="7" spans="1:12">
      <c r="A7" s="93" t="s">
        <v>12</v>
      </c>
      <c r="B7" s="93" t="s">
        <v>20</v>
      </c>
      <c r="C7" s="93" t="s">
        <v>12</v>
      </c>
      <c r="D7" s="93" t="s">
        <v>13</v>
      </c>
      <c r="E7" s="93" t="s">
        <v>1605</v>
      </c>
      <c r="F7" s="93" t="s">
        <v>24</v>
      </c>
      <c r="G7" s="94">
        <v>1</v>
      </c>
      <c r="H7" s="53" t="s">
        <v>1668</v>
      </c>
      <c r="I7" s="95">
        <v>50</v>
      </c>
      <c r="K7" s="94">
        <v>2.4</v>
      </c>
    </row>
    <row r="8" spans="1:12">
      <c r="I8" s="95"/>
      <c r="L8" s="96"/>
    </row>
    <row r="9" spans="1:12">
      <c r="I9" s="95"/>
      <c r="L9" s="96"/>
    </row>
    <row r="10" spans="1:12">
      <c r="I10" s="95"/>
      <c r="L10" s="96"/>
    </row>
    <row r="11" spans="1:12">
      <c r="I11" s="95"/>
      <c r="L11" s="96"/>
    </row>
    <row r="12" spans="1:12">
      <c r="I12" s="95"/>
      <c r="L12" s="96"/>
    </row>
    <row r="13" spans="1:12">
      <c r="I13" s="95"/>
      <c r="L13" s="96"/>
    </row>
    <row r="14" spans="1:12">
      <c r="I14" s="95"/>
      <c r="L14" s="96"/>
    </row>
    <row r="15" spans="1:12">
      <c r="I15" s="95"/>
      <c r="L15" s="96"/>
    </row>
    <row r="16" spans="1:12">
      <c r="I16" s="95"/>
      <c r="L16" s="96"/>
    </row>
    <row r="17" spans="9:12">
      <c r="I17" s="95"/>
      <c r="L17" s="96"/>
    </row>
    <row r="18" spans="9:12">
      <c r="I18" s="95"/>
      <c r="L18" s="96"/>
    </row>
    <row r="19" spans="9:12">
      <c r="I19" s="95"/>
      <c r="L19" s="96"/>
    </row>
    <row r="20" spans="9:12">
      <c r="I20" s="95"/>
      <c r="L20" s="96"/>
    </row>
    <row r="21" spans="9:12">
      <c r="I21" s="95"/>
      <c r="L21" s="96"/>
    </row>
    <row r="22" spans="9:12">
      <c r="I22" s="95"/>
      <c r="L22" s="96"/>
    </row>
    <row r="23" spans="9:12">
      <c r="I23" s="95"/>
      <c r="L23" s="96"/>
    </row>
    <row r="24" spans="9:12">
      <c r="I24" s="95"/>
      <c r="L24" s="96"/>
    </row>
    <row r="25" spans="9:12">
      <c r="I25" s="95"/>
      <c r="L25" s="96"/>
    </row>
    <row r="26" spans="9:12">
      <c r="I26" s="95"/>
      <c r="L26" s="96"/>
    </row>
    <row r="27" spans="9:12">
      <c r="I27" s="95"/>
      <c r="L27" s="96"/>
    </row>
    <row r="28" spans="9:12">
      <c r="I28" s="95"/>
      <c r="L28" s="96"/>
    </row>
    <row r="29" spans="9:12">
      <c r="I29" s="95"/>
      <c r="L29" s="96"/>
    </row>
    <row r="30" spans="9:12">
      <c r="I30" s="95"/>
      <c r="L30" s="96"/>
    </row>
    <row r="31" spans="9:12">
      <c r="I31" s="95"/>
      <c r="L31" s="96"/>
    </row>
    <row r="32" spans="9:12">
      <c r="I32" s="95"/>
      <c r="L32" s="96"/>
    </row>
    <row r="33" spans="9:12">
      <c r="I33" s="95"/>
      <c r="L33" s="96"/>
    </row>
    <row r="34" spans="9:12">
      <c r="I34" s="95"/>
      <c r="L34" s="96"/>
    </row>
    <row r="35" spans="9:12">
      <c r="I35" s="95"/>
      <c r="L35" s="96"/>
    </row>
    <row r="36" spans="9:12">
      <c r="I36" s="95"/>
      <c r="L36" s="96"/>
    </row>
    <row r="37" spans="9:12">
      <c r="I37" s="95"/>
      <c r="L37" s="96"/>
    </row>
    <row r="38" spans="9:12">
      <c r="I38" s="95"/>
      <c r="L38" s="96"/>
    </row>
    <row r="39" spans="9:12">
      <c r="I39" s="95"/>
      <c r="L39" s="96"/>
    </row>
    <row r="40" spans="9:12">
      <c r="I40" s="95"/>
      <c r="L40" s="96"/>
    </row>
    <row r="41" spans="9:12">
      <c r="I41" s="95"/>
      <c r="L41" s="96"/>
    </row>
    <row r="42" spans="9:12">
      <c r="I42" s="95"/>
      <c r="L42" s="96"/>
    </row>
    <row r="43" spans="9:12">
      <c r="I43" s="95"/>
      <c r="L43" s="96"/>
    </row>
    <row r="44" spans="9:12">
      <c r="I44" s="95"/>
      <c r="L44" s="96"/>
    </row>
    <row r="45" spans="9:12">
      <c r="I45" s="95"/>
      <c r="L45" s="96"/>
    </row>
    <row r="46" spans="9:12">
      <c r="I46" s="95"/>
      <c r="L46" s="96"/>
    </row>
    <row r="47" spans="9:12">
      <c r="I47" s="95"/>
      <c r="L47" s="96"/>
    </row>
    <row r="48" spans="9:12">
      <c r="I48" s="95"/>
      <c r="L48" s="96"/>
    </row>
    <row r="49" spans="9:12">
      <c r="I49" s="95"/>
      <c r="L49" s="96"/>
    </row>
    <row r="50" spans="9:12">
      <c r="I50" s="95"/>
      <c r="L50" s="96"/>
    </row>
    <row r="51" spans="9:12">
      <c r="I51" s="95"/>
      <c r="L51" s="96"/>
    </row>
    <row r="52" spans="9:12">
      <c r="I52" s="95"/>
      <c r="L52" s="96"/>
    </row>
    <row r="53" spans="9:12">
      <c r="I53" s="95"/>
      <c r="L53" s="96"/>
    </row>
    <row r="54" spans="9:12">
      <c r="I54" s="95"/>
      <c r="L54" s="96"/>
    </row>
    <row r="55" spans="9:12">
      <c r="I55" s="95"/>
      <c r="L55" s="96"/>
    </row>
    <row r="56" spans="9:12">
      <c r="I56" s="95"/>
      <c r="L56" s="96"/>
    </row>
    <row r="57" spans="9:12">
      <c r="I57" s="95"/>
      <c r="L57" s="96"/>
    </row>
    <row r="58" spans="9:12">
      <c r="I58" s="95"/>
      <c r="L58" s="96"/>
    </row>
    <row r="59" spans="9:12">
      <c r="I59" s="95"/>
      <c r="L59" s="96"/>
    </row>
    <row r="60" spans="9:12">
      <c r="I60" s="95"/>
      <c r="L60" s="96"/>
    </row>
    <row r="61" spans="9:12">
      <c r="I61" s="95"/>
      <c r="L61" s="96"/>
    </row>
    <row r="62" spans="9:12">
      <c r="I62" s="95"/>
      <c r="L62" s="96"/>
    </row>
    <row r="63" spans="9:12">
      <c r="I63" s="95"/>
      <c r="L63" s="96"/>
    </row>
    <row r="64" spans="9:12">
      <c r="I64" s="95"/>
      <c r="L64" s="96"/>
    </row>
    <row r="65" spans="9:12">
      <c r="I65" s="95"/>
      <c r="L65" s="96"/>
    </row>
    <row r="66" spans="9:12">
      <c r="I66" s="95"/>
      <c r="L66" s="96"/>
    </row>
    <row r="67" spans="9:12">
      <c r="I67" s="95"/>
      <c r="L67" s="96"/>
    </row>
    <row r="68" spans="9:12">
      <c r="I68" s="95"/>
      <c r="L68" s="96"/>
    </row>
    <row r="69" spans="9:12">
      <c r="I69" s="95"/>
      <c r="L69" s="96"/>
    </row>
    <row r="70" spans="9:12">
      <c r="I70" s="95"/>
      <c r="L70" s="96"/>
    </row>
    <row r="71" spans="9:12">
      <c r="I71" s="95"/>
      <c r="L71" s="96"/>
    </row>
    <row r="72" spans="9:12">
      <c r="I72" s="95"/>
      <c r="L72" s="96"/>
    </row>
    <row r="73" spans="9:12">
      <c r="I73" s="95"/>
      <c r="L73" s="96"/>
    </row>
    <row r="74" spans="9:12">
      <c r="I74" s="95"/>
      <c r="L74" s="96"/>
    </row>
    <row r="75" spans="9:12">
      <c r="I75" s="95"/>
      <c r="L75" s="96"/>
    </row>
    <row r="76" spans="9:12">
      <c r="I76" s="95"/>
      <c r="L76" s="96"/>
    </row>
    <row r="77" spans="9:12">
      <c r="I77" s="95"/>
      <c r="L77" s="96"/>
    </row>
    <row r="78" spans="9:12">
      <c r="I78" s="95"/>
      <c r="L78" s="96"/>
    </row>
    <row r="79" spans="9:12">
      <c r="I79" s="95"/>
      <c r="L79" s="96"/>
    </row>
    <row r="80" spans="9:12">
      <c r="I80" s="95"/>
      <c r="L80" s="96"/>
    </row>
    <row r="81" spans="9:12">
      <c r="I81" s="95"/>
      <c r="L81" s="96"/>
    </row>
    <row r="82" spans="9:12">
      <c r="I82" s="95"/>
      <c r="L82" s="96"/>
    </row>
    <row r="83" spans="9:12">
      <c r="I83" s="95"/>
      <c r="L83" s="96"/>
    </row>
    <row r="84" spans="9:12">
      <c r="I84" s="95"/>
      <c r="L84" s="96"/>
    </row>
    <row r="85" spans="9:12">
      <c r="I85" s="95"/>
      <c r="L85" s="96"/>
    </row>
    <row r="86" spans="9:12">
      <c r="I86" s="95"/>
      <c r="L86" s="96"/>
    </row>
    <row r="87" spans="9:12">
      <c r="I87" s="95"/>
      <c r="L87" s="96"/>
    </row>
    <row r="88" spans="9:12">
      <c r="I88" s="95"/>
      <c r="L88" s="96"/>
    </row>
    <row r="89" spans="9:12">
      <c r="I89" s="95"/>
      <c r="L89" s="96"/>
    </row>
    <row r="90" spans="9:12">
      <c r="I90" s="95"/>
      <c r="L90" s="96"/>
    </row>
    <row r="91" spans="9:12">
      <c r="I91" s="95"/>
      <c r="L91" s="96"/>
    </row>
    <row r="92" spans="9:12">
      <c r="I92" s="95"/>
      <c r="L92" s="96"/>
    </row>
    <row r="93" spans="9:12">
      <c r="I93" s="95"/>
      <c r="L93" s="96"/>
    </row>
    <row r="94" spans="9:12">
      <c r="I94" s="95"/>
      <c r="L94" s="96"/>
    </row>
    <row r="95" spans="9:12">
      <c r="I95" s="95"/>
      <c r="L95" s="96"/>
    </row>
    <row r="96" spans="9:12">
      <c r="I96" s="95"/>
      <c r="L96" s="96"/>
    </row>
    <row r="97" spans="9:12">
      <c r="I97" s="95"/>
      <c r="L97" s="96"/>
    </row>
    <row r="98" spans="9:12">
      <c r="I98" s="95"/>
      <c r="L98" s="96"/>
    </row>
    <row r="99" spans="9:12">
      <c r="I99" s="95"/>
      <c r="L99" s="96"/>
    </row>
    <row r="100" spans="9:12">
      <c r="I100" s="95"/>
      <c r="L100" s="96"/>
    </row>
    <row r="101" spans="9:12">
      <c r="I101" s="95"/>
      <c r="L101" s="96"/>
    </row>
    <row r="102" spans="9:12">
      <c r="I102" s="95"/>
      <c r="L102" s="96"/>
    </row>
    <row r="103" spans="9:12">
      <c r="I103" s="95"/>
      <c r="L103" s="96"/>
    </row>
    <row r="104" spans="9:12">
      <c r="I104" s="95"/>
      <c r="L104" s="96"/>
    </row>
    <row r="105" spans="9:12">
      <c r="I105" s="95"/>
      <c r="L105" s="96"/>
    </row>
    <row r="106" spans="9:12">
      <c r="I106" s="95"/>
      <c r="L106" s="96"/>
    </row>
    <row r="107" spans="9:12">
      <c r="I107" s="95"/>
      <c r="L107" s="96"/>
    </row>
    <row r="108" spans="9:12">
      <c r="I108" s="95"/>
      <c r="L108" s="96"/>
    </row>
    <row r="109" spans="9:12">
      <c r="I109" s="95"/>
      <c r="L109" s="96"/>
    </row>
    <row r="110" spans="9:12">
      <c r="I110" s="95"/>
      <c r="L110" s="96"/>
    </row>
    <row r="111" spans="9:12">
      <c r="I111" s="95"/>
      <c r="L111" s="96"/>
    </row>
    <row r="112" spans="9:12">
      <c r="I112" s="95"/>
      <c r="L112" s="96"/>
    </row>
    <row r="113" spans="9:12">
      <c r="I113" s="95"/>
      <c r="L113" s="96"/>
    </row>
    <row r="114" spans="9:12">
      <c r="I114" s="95"/>
      <c r="L114" s="96"/>
    </row>
    <row r="115" spans="9:12">
      <c r="I115" s="95"/>
      <c r="L115" s="96"/>
    </row>
    <row r="116" spans="9:12">
      <c r="I116" s="95"/>
      <c r="L116" s="96"/>
    </row>
    <row r="117" spans="9:12">
      <c r="I117" s="95"/>
      <c r="L117" s="96"/>
    </row>
    <row r="118" spans="9:12">
      <c r="I118" s="95"/>
      <c r="L118" s="96"/>
    </row>
    <row r="119" spans="9:12">
      <c r="I119" s="95"/>
      <c r="L119" s="96"/>
    </row>
    <row r="120" spans="9:12">
      <c r="I120" s="95"/>
      <c r="L120" s="96"/>
    </row>
    <row r="121" spans="9:12">
      <c r="I121" s="95"/>
      <c r="L121" s="96"/>
    </row>
    <row r="122" spans="9:12">
      <c r="I122" s="95"/>
      <c r="L122" s="96"/>
    </row>
    <row r="123" spans="9:12">
      <c r="I123" s="95"/>
      <c r="L123" s="96"/>
    </row>
    <row r="124" spans="9:12">
      <c r="I124" s="95"/>
      <c r="L124" s="96"/>
    </row>
    <row r="125" spans="9:12">
      <c r="I125" s="95"/>
      <c r="L125" s="96"/>
    </row>
    <row r="126" spans="9:12">
      <c r="I126" s="95"/>
      <c r="L126" s="96"/>
    </row>
    <row r="127" spans="9:12">
      <c r="I127" s="95"/>
      <c r="L127" s="96"/>
    </row>
    <row r="128" spans="9:12">
      <c r="I128" s="95"/>
      <c r="L128" s="96"/>
    </row>
    <row r="129" spans="9:12">
      <c r="I129" s="95"/>
      <c r="L129" s="96"/>
    </row>
    <row r="130" spans="9:12">
      <c r="I130" s="95"/>
      <c r="L130" s="96"/>
    </row>
    <row r="131" spans="9:12">
      <c r="I131" s="95"/>
      <c r="L131" s="96"/>
    </row>
    <row r="132" spans="9:12">
      <c r="I132" s="95"/>
      <c r="L132" s="96"/>
    </row>
    <row r="133" spans="9:12">
      <c r="I133" s="95"/>
      <c r="L133" s="96"/>
    </row>
    <row r="134" spans="9:12">
      <c r="I134" s="95"/>
      <c r="L134" s="96"/>
    </row>
    <row r="135" spans="9:12">
      <c r="I135" s="95"/>
      <c r="L135" s="96"/>
    </row>
    <row r="136" spans="9:12">
      <c r="I136" s="95"/>
      <c r="L136" s="96"/>
    </row>
    <row r="137" spans="9:12">
      <c r="I137" s="95"/>
      <c r="L137" s="96"/>
    </row>
    <row r="138" spans="9:12">
      <c r="I138" s="95"/>
      <c r="L138" s="96"/>
    </row>
    <row r="139" spans="9:12">
      <c r="I139" s="95"/>
      <c r="L139" s="96"/>
    </row>
    <row r="140" spans="9:12">
      <c r="I140" s="95"/>
      <c r="L140" s="96"/>
    </row>
    <row r="141" spans="9:12">
      <c r="I141" s="95"/>
      <c r="L141" s="96"/>
    </row>
    <row r="142" spans="9:12">
      <c r="I142" s="95"/>
      <c r="L142" s="96"/>
    </row>
    <row r="143" spans="9:12">
      <c r="I143" s="95"/>
      <c r="L143" s="96"/>
    </row>
    <row r="144" spans="9:12">
      <c r="I144" s="95"/>
      <c r="L144" s="96"/>
    </row>
    <row r="145" spans="9:12">
      <c r="I145" s="95"/>
      <c r="L145" s="96"/>
    </row>
    <row r="146" spans="9:12">
      <c r="I146" s="95"/>
      <c r="L146" s="96"/>
    </row>
    <row r="147" spans="9:12">
      <c r="I147" s="95"/>
      <c r="L147" s="96"/>
    </row>
    <row r="148" spans="9:12">
      <c r="I148" s="95"/>
      <c r="L148" s="96"/>
    </row>
    <row r="149" spans="9:12">
      <c r="I149" s="95"/>
      <c r="L149" s="96"/>
    </row>
    <row r="150" spans="9:12">
      <c r="I150" s="95"/>
      <c r="L150" s="96"/>
    </row>
    <row r="151" spans="9:12">
      <c r="I151" s="95"/>
      <c r="L151" s="96"/>
    </row>
    <row r="152" spans="9:12">
      <c r="I152" s="95"/>
      <c r="L152" s="96"/>
    </row>
    <row r="153" spans="9:12">
      <c r="I153" s="95"/>
      <c r="L153" s="96"/>
    </row>
    <row r="154" spans="9:12">
      <c r="I154" s="95"/>
      <c r="L154" s="96"/>
    </row>
    <row r="155" spans="9:12">
      <c r="I155" s="95"/>
      <c r="L155" s="96"/>
    </row>
    <row r="156" spans="9:12">
      <c r="I156" s="95"/>
      <c r="L156" s="96"/>
    </row>
    <row r="157" spans="9:12">
      <c r="I157" s="95"/>
      <c r="L157" s="96"/>
    </row>
    <row r="158" spans="9:12">
      <c r="I158" s="95"/>
      <c r="L158" s="96"/>
    </row>
    <row r="159" spans="9:12">
      <c r="I159" s="95"/>
      <c r="L159" s="96"/>
    </row>
    <row r="160" spans="9:12">
      <c r="I160" s="95"/>
      <c r="L160" s="96"/>
    </row>
    <row r="161" spans="9:12">
      <c r="I161" s="95"/>
      <c r="L161" s="96"/>
    </row>
    <row r="162" spans="9:12">
      <c r="I162" s="95"/>
      <c r="L162" s="96"/>
    </row>
    <row r="163" spans="9:12">
      <c r="I163" s="95"/>
      <c r="L163" s="96"/>
    </row>
    <row r="164" spans="9:12">
      <c r="I164" s="95"/>
      <c r="L164" s="96"/>
    </row>
    <row r="165" spans="9:12">
      <c r="I165" s="95"/>
      <c r="L165" s="96"/>
    </row>
    <row r="166" spans="9:12">
      <c r="I166" s="95"/>
      <c r="L166" s="96"/>
    </row>
    <row r="167" spans="9:12">
      <c r="I167" s="95"/>
      <c r="L167" s="96"/>
    </row>
    <row r="168" spans="9:12">
      <c r="I168" s="95"/>
      <c r="L168" s="96"/>
    </row>
    <row r="169" spans="9:12">
      <c r="I169" s="95"/>
      <c r="L169" s="96"/>
    </row>
    <row r="170" spans="9:12">
      <c r="I170" s="95"/>
      <c r="L170" s="96"/>
    </row>
    <row r="171" spans="9:12">
      <c r="I171" s="95"/>
      <c r="L171" s="96"/>
    </row>
    <row r="172" spans="9:12">
      <c r="I172" s="95"/>
      <c r="L172" s="96"/>
    </row>
    <row r="173" spans="9:12">
      <c r="I173" s="95"/>
      <c r="L173" s="96"/>
    </row>
    <row r="174" spans="9:12">
      <c r="I174" s="95"/>
      <c r="L174" s="96"/>
    </row>
    <row r="175" spans="9:12">
      <c r="I175" s="95"/>
      <c r="L175" s="96"/>
    </row>
    <row r="176" spans="9:12">
      <c r="I176" s="95"/>
      <c r="L176" s="96"/>
    </row>
    <row r="177" spans="9:12">
      <c r="I177" s="95"/>
      <c r="L177" s="96"/>
    </row>
    <row r="178" spans="9:12">
      <c r="I178" s="95"/>
      <c r="L178" s="96"/>
    </row>
    <row r="179" spans="9:12">
      <c r="I179" s="95"/>
      <c r="L179" s="96"/>
    </row>
    <row r="180" spans="9:12">
      <c r="I180" s="95"/>
      <c r="L180" s="96"/>
    </row>
    <row r="181" spans="9:12">
      <c r="I181" s="95"/>
      <c r="L181" s="96"/>
    </row>
    <row r="182" spans="9:12">
      <c r="I182" s="95"/>
      <c r="L182" s="96"/>
    </row>
    <row r="183" spans="9:12">
      <c r="I183" s="95"/>
      <c r="L183" s="96"/>
    </row>
    <row r="184" spans="9:12">
      <c r="I184" s="95"/>
      <c r="L184" s="96"/>
    </row>
    <row r="185" spans="9:12">
      <c r="I185" s="95"/>
      <c r="L185" s="96"/>
    </row>
    <row r="186" spans="9:12">
      <c r="I186" s="95"/>
      <c r="L186" s="96"/>
    </row>
    <row r="187" spans="9:12">
      <c r="I187" s="95"/>
      <c r="L187" s="96"/>
    </row>
    <row r="188" spans="9:12">
      <c r="I188" s="95"/>
      <c r="L188" s="96"/>
    </row>
    <row r="189" spans="9:12">
      <c r="I189" s="95"/>
      <c r="L189" s="96"/>
    </row>
    <row r="190" spans="9:12">
      <c r="I190" s="95"/>
      <c r="L190" s="96"/>
    </row>
    <row r="191" spans="9:12">
      <c r="I191" s="95"/>
      <c r="L191" s="9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0.59999389629810485"/>
  </sheetPr>
  <dimension ref="A1:AO146"/>
  <sheetViews>
    <sheetView zoomScaleNormal="100" workbookViewId="0">
      <pane ySplit="1" topLeftCell="A53" activePane="bottomLeft" state="frozen"/>
      <selection pane="bottomLeft" activeCell="S60" sqref="B60:S60"/>
    </sheetView>
  </sheetViews>
  <sheetFormatPr defaultRowHeight="15"/>
  <cols>
    <col min="1" max="1" width="15.140625" customWidth="1"/>
    <col min="2" max="2" width="24.7109375" customWidth="1"/>
    <col min="3" max="3" width="11.5703125" customWidth="1"/>
    <col min="4" max="4" width="8.5703125" style="53" bestFit="1" customWidth="1"/>
    <col min="5" max="5" width="5" style="53" bestFit="1" customWidth="1"/>
    <col min="6" max="6" width="18.5703125" style="53" customWidth="1"/>
    <col min="7" max="7" width="8.7109375" customWidth="1"/>
    <col min="8" max="8" width="12.42578125" customWidth="1"/>
    <col min="10" max="10" width="12" customWidth="1"/>
    <col min="12" max="12" width="11.140625" customWidth="1"/>
    <col min="13" max="14" width="5.140625" customWidth="1"/>
    <col min="15" max="16" width="5.5703125" customWidth="1"/>
    <col min="17" max="17" width="10.5703125" customWidth="1"/>
    <col min="22" max="22" width="18.5703125" bestFit="1" customWidth="1"/>
    <col min="26" max="26" width="19.5703125" customWidth="1"/>
    <col min="34" max="34" width="19.42578125" customWidth="1"/>
  </cols>
  <sheetData>
    <row r="1" spans="1:41" ht="30">
      <c r="A1" s="1" t="s">
        <v>0</v>
      </c>
      <c r="B1" s="1" t="s">
        <v>1612</v>
      </c>
      <c r="C1" s="1" t="s">
        <v>6</v>
      </c>
      <c r="D1" s="1" t="s">
        <v>1</v>
      </c>
      <c r="E1" s="1" t="s">
        <v>2</v>
      </c>
      <c r="F1" s="1" t="s">
        <v>1667</v>
      </c>
      <c r="G1" s="1" t="s">
        <v>4</v>
      </c>
      <c r="H1" s="1" t="s">
        <v>7</v>
      </c>
      <c r="I1" s="1" t="s">
        <v>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23</v>
      </c>
      <c r="O1" s="1" t="s">
        <v>21</v>
      </c>
      <c r="P1" s="1" t="s">
        <v>22</v>
      </c>
      <c r="Q1" s="1" t="s">
        <v>1620</v>
      </c>
      <c r="R1" s="1" t="s">
        <v>5</v>
      </c>
      <c r="S1" s="97" t="s">
        <v>1606</v>
      </c>
      <c r="V1" t="s">
        <v>1681</v>
      </c>
      <c r="W1" t="s">
        <v>1619</v>
      </c>
      <c r="X1" t="s">
        <v>1619</v>
      </c>
      <c r="Y1" t="s">
        <v>1619</v>
      </c>
      <c r="Z1" t="s">
        <v>1619</v>
      </c>
      <c r="AA1" t="s">
        <v>1619</v>
      </c>
      <c r="AB1" t="s">
        <v>1619</v>
      </c>
      <c r="AC1" t="s">
        <v>1619</v>
      </c>
      <c r="AD1" t="s">
        <v>1619</v>
      </c>
      <c r="AE1" t="s">
        <v>1619</v>
      </c>
      <c r="AF1" t="s">
        <v>1619</v>
      </c>
      <c r="AG1" t="s">
        <v>1619</v>
      </c>
      <c r="AH1" t="s">
        <v>1619</v>
      </c>
      <c r="AI1" t="s">
        <v>1619</v>
      </c>
      <c r="AJ1" t="s">
        <v>1619</v>
      </c>
      <c r="AK1" t="s">
        <v>1619</v>
      </c>
      <c r="AL1" t="s">
        <v>1619</v>
      </c>
      <c r="AM1" t="s">
        <v>1619</v>
      </c>
      <c r="AN1" t="s">
        <v>1619</v>
      </c>
      <c r="AO1" t="s">
        <v>1619</v>
      </c>
    </row>
    <row r="2" spans="1:41">
      <c r="A2" s="106" t="s">
        <v>1685</v>
      </c>
      <c r="B2" s="106"/>
      <c r="C2" s="106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6"/>
      <c r="S2" s="106"/>
    </row>
    <row r="3" spans="1:41">
      <c r="A3" t="s">
        <v>12</v>
      </c>
      <c r="B3" t="s">
        <v>1654</v>
      </c>
      <c r="C3" t="s">
        <v>15</v>
      </c>
      <c r="D3" s="53" t="s">
        <v>24</v>
      </c>
      <c r="E3" s="53">
        <v>1</v>
      </c>
      <c r="F3" s="53" t="s">
        <v>1668</v>
      </c>
      <c r="G3" s="46" t="str">
        <f ca="1">IF(ISTEXT($B3),IF(COUNTIF($B3,"*Industry*"),SUMIF('Industry-capacity'!$A$2:$A$6,$B3,'Industry-capacity'!$D$2:$D$6),IF(SUMIF(INDIRECT($C3&amp;"!A$2:A$20"),$B3,INDIRECT($C3&amp;"!D$2:D$20"))&gt;0,SUMIF(INDIRECT($C3&amp;"!A$2:A$20"),$B3,INDIRECT($C3&amp;"!D$2:D$20")),"")),"")</f>
        <v/>
      </c>
      <c r="H3" s="46" t="str">
        <f t="shared" ref="H3:H19" si="0">IF(COUNTIF($B3,"*charger*")+COUNTIF($B3,"*disch*"),$C3,"")</f>
        <v/>
      </c>
      <c r="I3" s="46">
        <f ca="1">IF(ISTEXT($B3),IF(COUNTIF($B3,"*Industry*"),SUMIF('Industry-capacity'!$A$2:$A$6,$B3,'Industry-capacity'!$B$2:$B$6),SUMIF(INDIRECT($C3&amp;"!A$2:A$20"),$B3,INDIRECT($C3&amp;"!B$2:B$20"))),"")</f>
        <v>671</v>
      </c>
      <c r="J3" s="46" t="str">
        <f>IF(COUNTIF($B3,"*HOB*")+COUNTIF($B3,"*charger*")+COUNTIF($B3,"*disch*")+COUNTIF($B3,"GSHP")+COUNTIF($B3,"EBoil"),C3,"")</f>
        <v>HKI</v>
      </c>
      <c r="K3" s="46">
        <f ca="1">IF(ISTEXT($B3),IF(COUNTIF($B3,"*Industry*"),SUMIF('Industry-capacity'!$A$2:$A$6,$B3,'Industry-capacity'!$C$2:$C$6),SUMIF(INDIRECT($C3&amp;"!A$2:A$20"),$B3,INDIRECT($C3&amp;"!C$2:C$20"))),"")</f>
        <v>0</v>
      </c>
      <c r="L3" s="46" t="str">
        <f ca="1">IF(K3=0,"",IF(ISTEXT($B3),IF(COUNTIF($B3,"*Industry*"),"industry",$C3),""))</f>
        <v/>
      </c>
      <c r="M3" s="46" t="str">
        <f ca="1">IF(ISTEXT($B3),IF($K3&gt;0,$I3/$K3,""),"")</f>
        <v/>
      </c>
      <c r="N3" s="46"/>
      <c r="O3" s="46" t="str">
        <f ca="1">IF(SUM($G3)&gt;0,($I3+$K3)/$G3,"")</f>
        <v/>
      </c>
      <c r="P3" s="46" t="str">
        <f ca="1">IF(SUM($G3)&gt;0,($I3+$K3)/$G3,"")</f>
        <v/>
      </c>
      <c r="Q3" s="46">
        <f t="shared" ref="Q3:Q34" si="1">ROUND(VLOOKUP($B3, $Z$6:$AA$32,2,FALSE) * (1+$AD$6) * (1 + IF(C3="",1, VLOOKUP($C3,$AC$8:$AD$15,2,FALSE))), 2)</f>
        <v>2.5</v>
      </c>
      <c r="S3" s="98" t="str">
        <f ca="1">IF(I3&lt;10, "remove", "")</f>
        <v/>
      </c>
      <c r="V3" t="str">
        <f>_xlfn.XLOOKUP(C3,$W$6:$W$13,$X$6:$X$13)</f>
        <v>HKI</v>
      </c>
    </row>
    <row r="4" spans="1:41">
      <c r="A4" t="s">
        <v>12</v>
      </c>
      <c r="B4" t="s">
        <v>1657</v>
      </c>
      <c r="C4" t="s">
        <v>15</v>
      </c>
      <c r="D4" s="53" t="s">
        <v>24</v>
      </c>
      <c r="E4" s="53">
        <v>1</v>
      </c>
      <c r="F4" s="53" t="s">
        <v>1668</v>
      </c>
      <c r="G4" s="46" t="str">
        <f ca="1">IF(ISTEXT($B4),IF(COUNTIF($B4,"*Industry*"),SUMIF('Industry-capacity'!$A$2:$A$6,$B4,'Industry-capacity'!$D$2:$D$6),IF(SUMIF(INDIRECT($C4&amp;"!A$2:A$20"),$B4,INDIRECT($C4&amp;"!D$2:D$20"))&gt;0,SUMIF(INDIRECT($C4&amp;"!A$2:A$20"),$B4,INDIRECT($C4&amp;"!D$2:D$20")),"")),"")</f>
        <v/>
      </c>
      <c r="H4" s="46" t="str">
        <f t="shared" si="0"/>
        <v/>
      </c>
      <c r="I4" s="46">
        <f ca="1">IF(ISTEXT($B4),IF(COUNTIF($B4,"*Industry*"),SUMIF('Industry-capacity'!$A$2:$A$6,$B4,'Industry-capacity'!$B$2:$B$6),SUMIF(INDIRECT($C4&amp;"!A$2:A$20"),$B4,INDIRECT($C4&amp;"!B$2:B$20"))),"")</f>
        <v>912</v>
      </c>
      <c r="J4" s="46" t="str">
        <f t="shared" ref="J4:J67" si="2">IF(COUNTIF($B4,"*HOB*")+COUNTIF($B4,"*charger*")+COUNTIF($B4,"*disch*")+COUNTIF($B4,"GSHP")+COUNTIF($B4,"EBoil"),C4,"")</f>
        <v>HKI</v>
      </c>
      <c r="K4" s="46">
        <f ca="1">IF(ISTEXT($B4),IF(COUNTIF($B4,"*Industry*"),SUMIF('Industry-capacity'!$A$2:$A$6,$B4,'Industry-capacity'!$C$2:$C$6),SUMIF(INDIRECT($C4&amp;"!A$2:A$20"),$B4,INDIRECT($C4&amp;"!C$2:C$20"))),"")</f>
        <v>0</v>
      </c>
      <c r="L4" s="46" t="str">
        <f t="shared" ref="L4:L67" ca="1" si="3">IF(K4=0,"",IF(ISTEXT($B4),IF(COUNTIF($B4,"*Industry*"),"industry",$C4),""))</f>
        <v/>
      </c>
      <c r="M4" s="46" t="str">
        <f t="shared" ref="M4:M67" ca="1" si="4">IF(ISTEXT($B4),IF($K4&gt;0,$I4/$K4,""),"")</f>
        <v/>
      </c>
      <c r="N4" s="46"/>
      <c r="O4" s="46" t="str">
        <f t="shared" ref="O4:P35" ca="1" si="5">IF(SUM($G4)&gt;0,($I4+$K4)/$G4,"")</f>
        <v/>
      </c>
      <c r="P4" s="46" t="str">
        <f t="shared" ca="1" si="5"/>
        <v/>
      </c>
      <c r="Q4" s="46">
        <f t="shared" si="1"/>
        <v>2.5</v>
      </c>
      <c r="S4" s="98" t="str">
        <f t="shared" ref="S4:S67" ca="1" si="6">IF(I4&lt;10, "remove", "")</f>
        <v/>
      </c>
      <c r="V4" t="str">
        <f t="shared" ref="V4:V67" si="7">_xlfn.XLOOKUP(C4,$W$6:$W$13,$X$6:$X$13)</f>
        <v>HKI</v>
      </c>
    </row>
    <row r="5" spans="1:41">
      <c r="A5" t="s">
        <v>12</v>
      </c>
      <c r="B5" t="s">
        <v>1653</v>
      </c>
      <c r="C5" t="s">
        <v>15</v>
      </c>
      <c r="D5" s="53" t="s">
        <v>24</v>
      </c>
      <c r="E5" s="53">
        <v>1</v>
      </c>
      <c r="F5" s="53" t="s">
        <v>1668</v>
      </c>
      <c r="G5" s="46" t="str">
        <f ca="1">IF(ISTEXT($B5),IF(COUNTIF($B5,"*Industry*"),SUMIF('Industry-capacity'!$A$2:$A$6,$B5,'Industry-capacity'!$D$2:$D$6),IF(SUMIF(INDIRECT($C5&amp;"!A$2:A$20"),$B5,INDIRECT($C5&amp;"!D$2:D$20"))&gt;0,SUMIF(INDIRECT($C5&amp;"!A$2:A$20"),$B5,INDIRECT($C5&amp;"!D$2:D$20")),"")),"")</f>
        <v/>
      </c>
      <c r="H5" s="46" t="str">
        <f t="shared" si="0"/>
        <v/>
      </c>
      <c r="I5" s="46">
        <f ca="1">IF(ISTEXT($B5),IF(COUNTIF($B5,"*Industry*"),SUMIF('Industry-capacity'!$A$2:$A$6,$B5,'Industry-capacity'!$B$2:$B$6),SUMIF(INDIRECT($C5&amp;"!A$2:A$20"),$B5,INDIRECT($C5&amp;"!B$2:B$20"))),"")</f>
        <v>527</v>
      </c>
      <c r="J5" s="46" t="str">
        <f t="shared" si="2"/>
        <v>HKI</v>
      </c>
      <c r="K5" s="46">
        <f ca="1">IF(ISTEXT($B5),IF(COUNTIF($B5,"*Industry*"),SUMIF('Industry-capacity'!$A$2:$A$6,$B5,'Industry-capacity'!$C$2:$C$6),SUMIF(INDIRECT($C5&amp;"!A$2:A$20"),$B5,INDIRECT($C5&amp;"!C$2:C$20"))),"")</f>
        <v>0</v>
      </c>
      <c r="L5" s="46" t="str">
        <f t="shared" ca="1" si="3"/>
        <v/>
      </c>
      <c r="M5" s="46" t="str">
        <f t="shared" ca="1" si="4"/>
        <v/>
      </c>
      <c r="N5" s="46"/>
      <c r="O5" s="46" t="str">
        <f t="shared" ca="1" si="5"/>
        <v/>
      </c>
      <c r="P5" s="46" t="str">
        <f t="shared" ca="1" si="5"/>
        <v/>
      </c>
      <c r="Q5" s="46">
        <f t="shared" si="1"/>
        <v>2.5</v>
      </c>
      <c r="S5" s="98" t="str">
        <f t="shared" ca="1" si="6"/>
        <v/>
      </c>
      <c r="V5" t="str">
        <f t="shared" si="7"/>
        <v>HKI</v>
      </c>
      <c r="W5" s="104" t="s">
        <v>1678</v>
      </c>
      <c r="X5" s="104" t="s">
        <v>1679</v>
      </c>
      <c r="AA5" t="s">
        <v>1620</v>
      </c>
      <c r="AC5" t="s">
        <v>1621</v>
      </c>
      <c r="AH5" t="s">
        <v>1622</v>
      </c>
    </row>
    <row r="6" spans="1:41">
      <c r="A6" t="s">
        <v>12</v>
      </c>
      <c r="B6" t="s">
        <v>1613</v>
      </c>
      <c r="C6" t="s">
        <v>15</v>
      </c>
      <c r="D6" s="53" t="s">
        <v>24</v>
      </c>
      <c r="E6" s="53">
        <v>1</v>
      </c>
      <c r="F6" s="53" t="s">
        <v>1668</v>
      </c>
      <c r="G6" s="46" t="str">
        <f ca="1">IF(ISTEXT($B6),IF(COUNTIF($B6,"*Industry*"),SUMIF('Industry-capacity'!$A$2:$A$6,$B6,'Industry-capacity'!$D$2:$D$6),IF(SUMIF(INDIRECT($C6&amp;"!A$2:A$20"),$B6,INDIRECT($C6&amp;"!D$2:D$20"))&gt;0,SUMIF(INDIRECT($C6&amp;"!A$2:A$20"),$B6,INDIRECT($C6&amp;"!D$2:D$20")),"")),"")</f>
        <v/>
      </c>
      <c r="H6" s="46" t="str">
        <f t="shared" si="0"/>
        <v/>
      </c>
      <c r="I6" s="46">
        <f ca="1">IF(ISTEXT($B6),IF(COUNTIF($B6,"*Industry*"),SUMIF('Industry-capacity'!$A$2:$A$6,$B6,'Industry-capacity'!$B$2:$B$6),SUMIF(INDIRECT($C6&amp;"!A$2:A$20"),$B6,INDIRECT($C6&amp;"!B$2:B$20"))),"")</f>
        <v>343.2</v>
      </c>
      <c r="J6" s="46" t="str">
        <f t="shared" si="2"/>
        <v>HKI</v>
      </c>
      <c r="K6" s="46">
        <f ca="1">IF(ISTEXT($B6),IF(COUNTIF($B6,"*Industry*"),SUMIF('Industry-capacity'!$A$2:$A$6,$B6,'Industry-capacity'!$C$2:$C$6),SUMIF(INDIRECT($C6&amp;"!A$2:A$20"),$B6,INDIRECT($C6&amp;"!C$2:C$20"))),"")</f>
        <v>0</v>
      </c>
      <c r="L6" s="46" t="str">
        <f t="shared" ca="1" si="3"/>
        <v/>
      </c>
      <c r="M6" s="46" t="str">
        <f t="shared" ca="1" si="4"/>
        <v/>
      </c>
      <c r="N6" s="46"/>
      <c r="O6" s="46" t="str">
        <f t="shared" ca="1" si="5"/>
        <v/>
      </c>
      <c r="P6" s="46" t="str">
        <f t="shared" ca="1" si="5"/>
        <v/>
      </c>
      <c r="Q6" s="46">
        <f t="shared" si="1"/>
        <v>7.5</v>
      </c>
      <c r="S6" s="98" t="str">
        <f t="shared" ca="1" si="6"/>
        <v/>
      </c>
      <c r="V6" t="str">
        <f t="shared" si="7"/>
        <v>HKI</v>
      </c>
      <c r="W6" s="105" t="s">
        <v>15</v>
      </c>
      <c r="X6" s="105" t="s">
        <v>15</v>
      </c>
      <c r="Z6" s="99" t="s">
        <v>1654</v>
      </c>
      <c r="AA6" s="102">
        <f>SUMIFS([1]unittypedata!$S:$S, [1]unittypedata!$D:$D, Z6)</f>
        <v>2</v>
      </c>
      <c r="AC6" t="s">
        <v>12</v>
      </c>
      <c r="AD6" s="100">
        <f>'[2]vomcost mult'!$R$19</f>
        <v>0.108</v>
      </c>
      <c r="AI6" t="s">
        <v>1623</v>
      </c>
    </row>
    <row r="7" spans="1:41">
      <c r="A7" t="s">
        <v>12</v>
      </c>
      <c r="B7" t="s">
        <v>1658</v>
      </c>
      <c r="C7" t="s">
        <v>15</v>
      </c>
      <c r="D7" s="53" t="s">
        <v>24</v>
      </c>
      <c r="E7" s="53">
        <v>1</v>
      </c>
      <c r="F7" s="53" t="s">
        <v>1668</v>
      </c>
      <c r="G7" s="46">
        <f ca="1">IF(ISTEXT($B7),IF(COUNTIF($B7,"*Industry*"),SUMIF('Industry-capacity'!$A$2:$A$6,$B7,'Industry-capacity'!$D$2:$D$6),IF(SUMIF(INDIRECT($C7&amp;"!A$2:A$20"),$B7,INDIRECT($C7&amp;"!D$2:D$20"))&gt;0,SUMIF(INDIRECT($C7&amp;"!A$2:A$20"),$B7,INDIRECT($C7&amp;"!D$2:D$20")),"")),"")</f>
        <v>1343</v>
      </c>
      <c r="H7" s="46" t="str">
        <f t="shared" si="0"/>
        <v/>
      </c>
      <c r="I7" s="46">
        <f ca="1">IF(ISTEXT($B7),IF(COUNTIF($B7,"*Industry*"),SUMIF('Industry-capacity'!$A$2:$A$6,$B7,'Industry-capacity'!$B$2:$B$6),SUMIF(INDIRECT($C7&amp;"!A$2:A$20"),$B7,INDIRECT($C7&amp;"!B$2:B$20"))),"")</f>
        <v>630</v>
      </c>
      <c r="J7" s="46" t="str">
        <f t="shared" si="2"/>
        <v/>
      </c>
      <c r="K7" s="46">
        <f ca="1">IF(ISTEXT($B7),IF(COUNTIF($B7,"*Industry*"),SUMIF('Industry-capacity'!$A$2:$A$6,$B7,'Industry-capacity'!$C$2:$C$6),SUMIF(INDIRECT($C7&amp;"!A$2:A$20"),$B7,INDIRECT($C7&amp;"!C$2:C$20"))),"")</f>
        <v>587</v>
      </c>
      <c r="L7" s="46" t="str">
        <f t="shared" ca="1" si="3"/>
        <v>HKI</v>
      </c>
      <c r="M7" s="46">
        <f t="shared" ca="1" si="4"/>
        <v>1.0732538330494037</v>
      </c>
      <c r="N7" s="46"/>
      <c r="O7" s="46">
        <f t="shared" ca="1" si="5"/>
        <v>0.90618019359642588</v>
      </c>
      <c r="P7" s="46">
        <f t="shared" ca="1" si="5"/>
        <v>0.90618019359642588</v>
      </c>
      <c r="Q7" s="46">
        <f t="shared" si="1"/>
        <v>2</v>
      </c>
      <c r="S7" s="98" t="str">
        <f t="shared" ca="1" si="6"/>
        <v/>
      </c>
      <c r="V7" t="str">
        <f t="shared" si="7"/>
        <v>HKI</v>
      </c>
      <c r="W7" s="105" t="s">
        <v>13</v>
      </c>
      <c r="X7" s="105" t="s">
        <v>15</v>
      </c>
      <c r="Z7" t="s">
        <v>1657</v>
      </c>
      <c r="AA7" s="102">
        <f>SUMIFS([1]unittypedata!$S:$S, [1]unittypedata!$D:$D, Z7)</f>
        <v>2</v>
      </c>
      <c r="AI7" s="10">
        <v>2020</v>
      </c>
      <c r="AJ7" s="10">
        <v>2021</v>
      </c>
      <c r="AK7" s="10">
        <v>2022</v>
      </c>
      <c r="AL7" s="10">
        <v>2023</v>
      </c>
      <c r="AN7" t="s">
        <v>1644</v>
      </c>
    </row>
    <row r="8" spans="1:41">
      <c r="A8" t="s">
        <v>12</v>
      </c>
      <c r="B8" t="s">
        <v>1652</v>
      </c>
      <c r="C8" t="s">
        <v>15</v>
      </c>
      <c r="D8" s="53" t="s">
        <v>24</v>
      </c>
      <c r="E8" s="53">
        <v>1</v>
      </c>
      <c r="F8" s="53" t="s">
        <v>1668</v>
      </c>
      <c r="G8" s="46" t="str">
        <f ca="1">IF(ISTEXT($B8),IF(COUNTIF($B8,"*Industry*"),SUMIF('Industry-capacity'!$A$2:$A$6,$B8,'Industry-capacity'!$D$2:$D$6),IF(SUMIF(INDIRECT($C8&amp;"!A$2:A$20"),$B8,INDIRECT($C8&amp;"!D$2:D$20"))&gt;0,SUMIF(INDIRECT($C8&amp;"!A$2:A$20"),$B8,INDIRECT($C8&amp;"!D$2:D$20")),"")),"")</f>
        <v/>
      </c>
      <c r="H8" s="46" t="str">
        <f t="shared" si="0"/>
        <v/>
      </c>
      <c r="I8" s="46">
        <f ca="1">IF(ISTEXT($B8),IF(COUNTIF($B8,"*Industry*"),SUMIF('Industry-capacity'!$A$2:$A$6,$B8,'Industry-capacity'!$B$2:$B$6),SUMIF(INDIRECT($C8&amp;"!A$2:A$20"),$B8,INDIRECT($C8&amp;"!B$2:B$20"))),"")</f>
        <v>540</v>
      </c>
      <c r="J8" s="46" t="str">
        <f t="shared" si="2"/>
        <v>HKI</v>
      </c>
      <c r="K8" s="46">
        <f ca="1">IF(ISTEXT($B8),IF(COUNTIF($B8,"*Industry*"),SUMIF('Industry-capacity'!$A$2:$A$6,$B8,'Industry-capacity'!$C$2:$C$6),SUMIF(INDIRECT($C8&amp;"!A$2:A$20"),$B8,INDIRECT($C8&amp;"!C$2:C$20"))),"")</f>
        <v>0</v>
      </c>
      <c r="L8" s="46" t="str">
        <f t="shared" ca="1" si="3"/>
        <v/>
      </c>
      <c r="M8" s="46" t="str">
        <f t="shared" ca="1" si="4"/>
        <v/>
      </c>
      <c r="N8" s="46"/>
      <c r="O8" s="46" t="str">
        <f t="shared" ca="1" si="5"/>
        <v/>
      </c>
      <c r="P8" s="46" t="str">
        <f t="shared" ca="1" si="5"/>
        <v/>
      </c>
      <c r="Q8" s="46">
        <f t="shared" si="1"/>
        <v>1.87</v>
      </c>
      <c r="S8" s="98" t="str">
        <f t="shared" ca="1" si="6"/>
        <v/>
      </c>
      <c r="V8" t="str">
        <f t="shared" si="7"/>
        <v>HKI</v>
      </c>
      <c r="W8" s="105" t="s">
        <v>20</v>
      </c>
      <c r="X8" s="105" t="s">
        <v>15</v>
      </c>
      <c r="Z8" s="99" t="s">
        <v>1653</v>
      </c>
      <c r="AA8" s="102">
        <f>SUMIFS([1]unittypedata!$S:$S, [1]unittypedata!$D:$D, Z8)</f>
        <v>2</v>
      </c>
      <c r="AC8" t="s">
        <v>15</v>
      </c>
      <c r="AD8" s="101">
        <f>LOG(AE8/$AN$8)</f>
        <v>0.12747054451423417</v>
      </c>
      <c r="AE8">
        <f>AN9*1.05</f>
        <v>61828.593749999993</v>
      </c>
      <c r="AH8" t="s">
        <v>1624</v>
      </c>
      <c r="AI8">
        <v>42749.8</v>
      </c>
      <c r="AJ8">
        <v>44895</v>
      </c>
      <c r="AK8">
        <v>47899.6</v>
      </c>
      <c r="AL8">
        <v>48863.199999999997</v>
      </c>
      <c r="AN8">
        <f>AVERAGE(AI8:AL8)</f>
        <v>46101.899999999994</v>
      </c>
    </row>
    <row r="9" spans="1:41">
      <c r="A9" t="s">
        <v>12</v>
      </c>
      <c r="B9" t="s">
        <v>1648</v>
      </c>
      <c r="C9" t="s">
        <v>15</v>
      </c>
      <c r="D9" s="53" t="s">
        <v>24</v>
      </c>
      <c r="E9" s="53">
        <v>1</v>
      </c>
      <c r="F9" s="53" t="s">
        <v>1668</v>
      </c>
      <c r="G9" s="46" t="str">
        <f ca="1">IF(ISTEXT($B9),IF(COUNTIF($B9,"*Industry*"),SUMIF('Industry-capacity'!$A$2:$A$6,$B9,'Industry-capacity'!$D$2:$D$6),IF(SUMIF(INDIRECT($C9&amp;"!A$2:A$20"),$B9,INDIRECT($C9&amp;"!D$2:D$20"))&gt;0,SUMIF(INDIRECT($C9&amp;"!A$2:A$20"),$B9,INDIRECT($C9&amp;"!D$2:D$20")),"")),"")</f>
        <v/>
      </c>
      <c r="H9" s="46" t="str">
        <f t="shared" si="0"/>
        <v>HKI</v>
      </c>
      <c r="I9" s="46">
        <f ca="1">IF(ISTEXT($B9),IF(COUNTIF($B9,"*Industry*"),SUMIF('Industry-capacity'!$A$2:$A$6,$B9,'Industry-capacity'!$B$2:$B$6),SUMIF(INDIRECT($C9&amp;"!A$2:A$20"),$B9,INDIRECT($C9&amp;"!B$2:B$20"))),"")</f>
        <v>340</v>
      </c>
      <c r="J9" s="46" t="str">
        <f t="shared" si="2"/>
        <v>HKI</v>
      </c>
      <c r="K9" s="46">
        <f ca="1">IF(ISTEXT($B9),IF(COUNTIF($B9,"*Industry*"),SUMIF('Industry-capacity'!$A$2:$A$6,$B9,'Industry-capacity'!$C$2:$C$6),SUMIF(INDIRECT($C9&amp;"!A$2:A$20"),$B9,INDIRECT($C9&amp;"!C$2:C$20"))),"")</f>
        <v>0</v>
      </c>
      <c r="L9" s="46" t="str">
        <f t="shared" ca="1" si="3"/>
        <v/>
      </c>
      <c r="M9" s="46" t="str">
        <f t="shared" ca="1" si="4"/>
        <v/>
      </c>
      <c r="N9" s="46"/>
      <c r="O9" s="46" t="str">
        <f t="shared" ca="1" si="5"/>
        <v/>
      </c>
      <c r="P9" s="46" t="str">
        <f t="shared" ca="1" si="5"/>
        <v/>
      </c>
      <c r="Q9" s="46">
        <f t="shared" si="1"/>
        <v>1.75</v>
      </c>
      <c r="S9" s="98" t="str">
        <f t="shared" ca="1" si="6"/>
        <v/>
      </c>
      <c r="V9" t="str">
        <f t="shared" si="7"/>
        <v>HKI</v>
      </c>
      <c r="W9" s="105" t="s">
        <v>19</v>
      </c>
      <c r="X9" s="105" t="s">
        <v>14</v>
      </c>
      <c r="Z9" t="s">
        <v>1613</v>
      </c>
      <c r="AA9" s="102">
        <f>SUMIFS([1]unittypedata!$S:$S, [1]unittypedata!$D:$D, Z9)</f>
        <v>6</v>
      </c>
      <c r="AC9" t="s">
        <v>13</v>
      </c>
      <c r="AD9" s="101">
        <f t="shared" ref="AD9:AD15" si="8">LOG(AE9/$AN$8)</f>
        <v>0.1062812454442961</v>
      </c>
      <c r="AE9">
        <f>AN9</f>
        <v>58884.374999999993</v>
      </c>
      <c r="AH9" t="s">
        <v>1625</v>
      </c>
      <c r="AI9">
        <v>55424.5</v>
      </c>
      <c r="AJ9">
        <v>57622.9</v>
      </c>
      <c r="AK9">
        <v>60396.7</v>
      </c>
      <c r="AL9">
        <v>62093.4</v>
      </c>
      <c r="AN9">
        <f t="shared" ref="AN9:AN27" si="9">AVERAGE(AI9:AL9)</f>
        <v>58884.374999999993</v>
      </c>
    </row>
    <row r="10" spans="1:41">
      <c r="A10" t="s">
        <v>12</v>
      </c>
      <c r="B10" t="s">
        <v>1649</v>
      </c>
      <c r="C10" t="s">
        <v>15</v>
      </c>
      <c r="D10" s="53" t="s">
        <v>24</v>
      </c>
      <c r="E10" s="53">
        <v>1</v>
      </c>
      <c r="F10" s="53" t="s">
        <v>1668</v>
      </c>
      <c r="G10" s="46" t="str">
        <f ca="1">IF(ISTEXT($B10),IF(COUNTIF($B10,"*Industry*"),SUMIF('Industry-capacity'!$A$2:$A$6,$B10,'Industry-capacity'!$D$2:$D$6),IF(SUMIF(INDIRECT($C10&amp;"!A$2:A$20"),$B10,INDIRECT($C10&amp;"!D$2:D$20"))&gt;0,SUMIF(INDIRECT($C10&amp;"!A$2:A$20"),$B10,INDIRECT($C10&amp;"!D$2:D$20")),"")),"")</f>
        <v/>
      </c>
      <c r="H10" s="46" t="str">
        <f t="shared" si="0"/>
        <v>HKI</v>
      </c>
      <c r="I10" s="46">
        <f ca="1">IF(ISTEXT($B10),IF(COUNTIF($B10,"*Industry*"),SUMIF('Industry-capacity'!$A$2:$A$6,$B10,'Industry-capacity'!$B$2:$B$6),SUMIF(INDIRECT($C10&amp;"!A$2:A$20"),$B10,INDIRECT($C10&amp;"!B$2:B$20"))),"")</f>
        <v>340</v>
      </c>
      <c r="J10" s="46" t="str">
        <f t="shared" si="2"/>
        <v>HKI</v>
      </c>
      <c r="K10" s="46">
        <f ca="1">IF(ISTEXT($B10),IF(COUNTIF($B10,"*Industry*"),SUMIF('Industry-capacity'!$A$2:$A$6,$B10,'Industry-capacity'!$C$2:$C$6),SUMIF(INDIRECT($C10&amp;"!A$2:A$20"),$B10,INDIRECT($C10&amp;"!C$2:C$20"))),"")</f>
        <v>0</v>
      </c>
      <c r="L10" s="46" t="str">
        <f t="shared" ca="1" si="3"/>
        <v/>
      </c>
      <c r="M10" s="46" t="str">
        <f t="shared" ca="1" si="4"/>
        <v/>
      </c>
      <c r="N10" s="46"/>
      <c r="O10" s="46" t="str">
        <f t="shared" ca="1" si="5"/>
        <v/>
      </c>
      <c r="P10" s="46" t="str">
        <f t="shared" ca="1" si="5"/>
        <v/>
      </c>
      <c r="Q10" s="46">
        <f t="shared" si="1"/>
        <v>1.75</v>
      </c>
      <c r="S10" s="98" t="str">
        <f t="shared" ca="1" si="6"/>
        <v/>
      </c>
      <c r="V10" t="str">
        <f t="shared" si="7"/>
        <v>HKI</v>
      </c>
      <c r="W10" s="105" t="s">
        <v>18</v>
      </c>
      <c r="X10" s="105" t="s">
        <v>14</v>
      </c>
      <c r="Z10" s="99" t="s">
        <v>1658</v>
      </c>
      <c r="AA10" s="102">
        <f>SUMIFS([1]unittypedata!$S:$S, [1]unittypedata!$D:$D, Z10)</f>
        <v>1.6</v>
      </c>
      <c r="AC10" t="s">
        <v>20</v>
      </c>
      <c r="AD10" s="101">
        <f t="shared" si="8"/>
        <v>8.4004850733143857E-2</v>
      </c>
      <c r="AE10">
        <f>AN9*0.95</f>
        <v>55940.156249999993</v>
      </c>
      <c r="AH10" t="s">
        <v>1626</v>
      </c>
      <c r="AI10">
        <v>39752</v>
      </c>
      <c r="AJ10">
        <v>41181</v>
      </c>
      <c r="AK10">
        <v>44607.9</v>
      </c>
      <c r="AL10">
        <v>45556.1</v>
      </c>
      <c r="AN10">
        <f t="shared" si="9"/>
        <v>42774.25</v>
      </c>
    </row>
    <row r="11" spans="1:41">
      <c r="A11" t="s">
        <v>12</v>
      </c>
      <c r="B11" t="s">
        <v>1650</v>
      </c>
      <c r="C11" t="s">
        <v>15</v>
      </c>
      <c r="D11" s="53" t="s">
        <v>24</v>
      </c>
      <c r="E11" s="53">
        <v>1</v>
      </c>
      <c r="F11" s="53" t="s">
        <v>1668</v>
      </c>
      <c r="G11" s="46" t="str">
        <f ca="1">IF(ISTEXT($B11),IF(COUNTIF($B11,"*Industry*"),SUMIF('Industry-capacity'!$A$2:$A$6,$B11,'Industry-capacity'!$D$2:$D$6),IF(SUMIF(INDIRECT($C11&amp;"!A$2:A$20"),$B11,INDIRECT($C11&amp;"!D$2:D$20"))&gt;0,SUMIF(INDIRECT($C11&amp;"!A$2:A$20"),$B11,INDIRECT($C11&amp;"!D$2:D$20")),"")),"")</f>
        <v/>
      </c>
      <c r="H11" s="46" t="str">
        <f t="shared" si="0"/>
        <v>HKI</v>
      </c>
      <c r="I11" s="46">
        <f ca="1">IF(ISTEXT($B11),IF(COUNTIF($B11,"*Industry*"),SUMIF('Industry-capacity'!$A$2:$A$6,$B11,'Industry-capacity'!$B$2:$B$6),SUMIF(INDIRECT($C11&amp;"!A$2:A$20"),$B11,INDIRECT($C11&amp;"!B$2:B$20"))),"")</f>
        <v>120</v>
      </c>
      <c r="J11" s="46" t="str">
        <f t="shared" si="2"/>
        <v>HKI</v>
      </c>
      <c r="K11" s="46">
        <f ca="1">IF(ISTEXT($B11),IF(COUNTIF($B11,"*Industry*"),SUMIF('Industry-capacity'!$A$2:$A$6,$B11,'Industry-capacity'!$C$2:$C$6),SUMIF(INDIRECT($C11&amp;"!A$2:A$20"),$B11,INDIRECT($C11&amp;"!C$2:C$20"))),"")</f>
        <v>0</v>
      </c>
      <c r="L11" s="46" t="str">
        <f t="shared" ca="1" si="3"/>
        <v/>
      </c>
      <c r="M11" s="46" t="str">
        <f t="shared" ca="1" si="4"/>
        <v/>
      </c>
      <c r="N11" s="46"/>
      <c r="O11" s="46" t="str">
        <f t="shared" ca="1" si="5"/>
        <v/>
      </c>
      <c r="P11" s="46" t="str">
        <f t="shared" ca="1" si="5"/>
        <v/>
      </c>
      <c r="Q11" s="46">
        <f t="shared" si="1"/>
        <v>2.12</v>
      </c>
      <c r="S11" s="98" t="str">
        <f t="shared" ca="1" si="6"/>
        <v/>
      </c>
      <c r="V11" t="str">
        <f t="shared" si="7"/>
        <v>HKI</v>
      </c>
      <c r="W11" s="105" t="s">
        <v>17</v>
      </c>
      <c r="X11" s="105" t="s">
        <v>14</v>
      </c>
      <c r="Z11" t="s">
        <v>1652</v>
      </c>
      <c r="AA11" s="102">
        <f>SUMIFS([1]unittypedata!$S:$S, [1]unittypedata!$D:$D, Z11)</f>
        <v>1.5</v>
      </c>
      <c r="AC11" t="s">
        <v>18</v>
      </c>
      <c r="AD11" s="101">
        <f t="shared" si="8"/>
        <v>-3.0544121872466232E-2</v>
      </c>
      <c r="AE11">
        <f>AN13</f>
        <v>42970.925000000003</v>
      </c>
      <c r="AH11" t="s">
        <v>1627</v>
      </c>
      <c r="AI11">
        <v>37034.6</v>
      </c>
      <c r="AJ11">
        <v>39248</v>
      </c>
      <c r="AK11">
        <v>42468.800000000003</v>
      </c>
      <c r="AL11">
        <v>46184.5</v>
      </c>
      <c r="AN11">
        <f t="shared" si="9"/>
        <v>41233.975000000006</v>
      </c>
    </row>
    <row r="12" spans="1:41">
      <c r="A12" t="s">
        <v>12</v>
      </c>
      <c r="B12" t="s">
        <v>1651</v>
      </c>
      <c r="C12" t="s">
        <v>15</v>
      </c>
      <c r="D12" s="53" t="s">
        <v>24</v>
      </c>
      <c r="E12" s="53">
        <v>1</v>
      </c>
      <c r="F12" s="53" t="s">
        <v>1668</v>
      </c>
      <c r="G12" s="46" t="str">
        <f ca="1">IF(ISTEXT($B12),IF(COUNTIF($B12,"*Industry*"),SUMIF('Industry-capacity'!$A$2:$A$6,$B12,'Industry-capacity'!$D$2:$D$6),IF(SUMIF(INDIRECT($C12&amp;"!A$2:A$20"),$B12,INDIRECT($C12&amp;"!D$2:D$20"))&gt;0,SUMIF(INDIRECT($C12&amp;"!A$2:A$20"),$B12,INDIRECT($C12&amp;"!D$2:D$20")),"")),"")</f>
        <v/>
      </c>
      <c r="H12" s="46" t="str">
        <f t="shared" si="0"/>
        <v>HKI</v>
      </c>
      <c r="I12" s="46">
        <f ca="1">IF(ISTEXT($B12),IF(COUNTIF($B12,"*Industry*"),SUMIF('Industry-capacity'!$A$2:$A$6,$B12,'Industry-capacity'!$B$2:$B$6),SUMIF(INDIRECT($C12&amp;"!A$2:A$20"),$B12,INDIRECT($C12&amp;"!B$2:B$20"))),"")</f>
        <v>120</v>
      </c>
      <c r="J12" s="46" t="str">
        <f t="shared" si="2"/>
        <v>HKI</v>
      </c>
      <c r="K12" s="46">
        <f ca="1">IF(ISTEXT($B12),IF(COUNTIF($B12,"*Industry*"),SUMIF('Industry-capacity'!$A$2:$A$6,$B12,'Industry-capacity'!$C$2:$C$6),SUMIF(INDIRECT($C12&amp;"!A$2:A$20"),$B12,INDIRECT($C12&amp;"!C$2:C$20"))),"")</f>
        <v>0</v>
      </c>
      <c r="L12" s="46" t="str">
        <f t="shared" ca="1" si="3"/>
        <v/>
      </c>
      <c r="M12" s="46" t="str">
        <f t="shared" ca="1" si="4"/>
        <v/>
      </c>
      <c r="N12" s="46"/>
      <c r="O12" s="46" t="str">
        <f t="shared" ca="1" si="5"/>
        <v/>
      </c>
      <c r="P12" s="46" t="str">
        <f t="shared" ca="1" si="5"/>
        <v/>
      </c>
      <c r="Q12" s="46">
        <f t="shared" si="1"/>
        <v>2.12</v>
      </c>
      <c r="S12" s="98" t="str">
        <f t="shared" ca="1" si="6"/>
        <v/>
      </c>
      <c r="V12" t="str">
        <f t="shared" si="7"/>
        <v>HKI</v>
      </c>
      <c r="W12" s="105" t="s">
        <v>16</v>
      </c>
      <c r="X12" s="105" t="s">
        <v>14</v>
      </c>
      <c r="Z12" s="99" t="s">
        <v>1648</v>
      </c>
      <c r="AA12" s="102">
        <f>SUMIFS([1]unittypedata!$S:$S, [1]unittypedata!$D:$D, Z12)</f>
        <v>1.4</v>
      </c>
      <c r="AC12" t="s">
        <v>17</v>
      </c>
      <c r="AD12" s="101">
        <f t="shared" si="8"/>
        <v>-3.7945051971038382E-2</v>
      </c>
      <c r="AE12">
        <f>AN26</f>
        <v>42244.85</v>
      </c>
      <c r="AH12" t="s">
        <v>1628</v>
      </c>
      <c r="AI12">
        <v>35522.699999999997</v>
      </c>
      <c r="AJ12">
        <v>37967</v>
      </c>
      <c r="AK12">
        <v>38825.300000000003</v>
      </c>
      <c r="AL12">
        <v>41105.300000000003</v>
      </c>
      <c r="AN12">
        <f t="shared" si="9"/>
        <v>38355.074999999997</v>
      </c>
    </row>
    <row r="13" spans="1:41">
      <c r="A13" t="s">
        <v>12</v>
      </c>
      <c r="B13" t="s">
        <v>1653</v>
      </c>
      <c r="C13" t="s">
        <v>13</v>
      </c>
      <c r="D13" s="53" t="s">
        <v>24</v>
      </c>
      <c r="E13" s="53">
        <v>1</v>
      </c>
      <c r="F13" s="53" t="s">
        <v>1668</v>
      </c>
      <c r="G13" s="46" t="str">
        <f ca="1">IF(ISTEXT($B13),IF(COUNTIF($B13,"*Industry*"),SUMIF('Industry-capacity'!$A$2:$A$6,$B13,'Industry-capacity'!$D$2:$D$6),IF(SUMIF(INDIRECT($C13&amp;"!A$2:A$20"),$B13,INDIRECT($C13&amp;"!D$2:D$20"))&gt;0,SUMIF(INDIRECT($C13&amp;"!A$2:A$20"),$B13,INDIRECT($C13&amp;"!D$2:D$20")),"")),"")</f>
        <v/>
      </c>
      <c r="H13" s="46" t="str">
        <f t="shared" si="0"/>
        <v/>
      </c>
      <c r="I13" s="46">
        <f ca="1">IF(ISTEXT($B13),IF(COUNTIF($B13,"*Industry*"),SUMIF('Industry-capacity'!$A$2:$A$6,$B13,'Industry-capacity'!$B$2:$B$6),SUMIF(INDIRECT($C13&amp;"!A$2:A$20"),$B13,INDIRECT($C13&amp;"!B$2:B$20"))),"")</f>
        <v>139</v>
      </c>
      <c r="J13" s="46" t="str">
        <f t="shared" si="2"/>
        <v>ESP</v>
      </c>
      <c r="K13" s="46">
        <f ca="1">IF(ISTEXT($B13),IF(COUNTIF($B13,"*Industry*"),SUMIF('Industry-capacity'!$A$2:$A$6,$B13,'Industry-capacity'!$C$2:$C$6),SUMIF(INDIRECT($C13&amp;"!A$2:A$20"),$B13,INDIRECT($C13&amp;"!C$2:C$20"))),"")</f>
        <v>0</v>
      </c>
      <c r="L13" s="46" t="str">
        <f t="shared" ca="1" si="3"/>
        <v/>
      </c>
      <c r="M13" s="46" t="str">
        <f t="shared" ca="1" si="4"/>
        <v/>
      </c>
      <c r="N13" s="46"/>
      <c r="O13" s="46" t="str">
        <f t="shared" ca="1" si="5"/>
        <v/>
      </c>
      <c r="P13" s="46" t="str">
        <f t="shared" ca="1" si="5"/>
        <v/>
      </c>
      <c r="Q13" s="46">
        <f t="shared" si="1"/>
        <v>2.4500000000000002</v>
      </c>
      <c r="S13" s="98" t="str">
        <f t="shared" ca="1" si="6"/>
        <v/>
      </c>
      <c r="V13" t="str">
        <f t="shared" si="7"/>
        <v>HKI</v>
      </c>
      <c r="W13" s="105" t="s">
        <v>14</v>
      </c>
      <c r="X13" s="105" t="s">
        <v>14</v>
      </c>
      <c r="Z13" t="s">
        <v>1649</v>
      </c>
      <c r="AA13" s="102">
        <f>SUMIFS([1]unittypedata!$S:$S, [1]unittypedata!$D:$D, Z13)</f>
        <v>1.4</v>
      </c>
      <c r="AC13" t="s">
        <v>19</v>
      </c>
      <c r="AD13" s="101">
        <f t="shared" si="8"/>
        <v>-3.170111075240558E-2</v>
      </c>
      <c r="AE13">
        <f>AN15</f>
        <v>42856.6</v>
      </c>
      <c r="AH13" t="s">
        <v>1629</v>
      </c>
      <c r="AI13">
        <v>40148.199999999997</v>
      </c>
      <c r="AJ13">
        <v>41910.199999999997</v>
      </c>
      <c r="AK13">
        <v>44119.8</v>
      </c>
      <c r="AL13">
        <v>45705.5</v>
      </c>
      <c r="AN13">
        <f t="shared" si="9"/>
        <v>42970.925000000003</v>
      </c>
    </row>
    <row r="14" spans="1:41">
      <c r="A14" t="s">
        <v>12</v>
      </c>
      <c r="B14" t="s">
        <v>1657</v>
      </c>
      <c r="C14" t="s">
        <v>13</v>
      </c>
      <c r="D14" s="53" t="s">
        <v>24</v>
      </c>
      <c r="E14" s="53">
        <v>1</v>
      </c>
      <c r="F14" s="53" t="s">
        <v>1668</v>
      </c>
      <c r="G14" s="46" t="str">
        <f ca="1">IF(ISTEXT($B14),IF(COUNTIF($B14,"*Industry*"),SUMIF('Industry-capacity'!$A$2:$A$6,$B14,'Industry-capacity'!$D$2:$D$6),IF(SUMIF(INDIRECT($C14&amp;"!A$2:A$20"),$B14,INDIRECT($C14&amp;"!D$2:D$20"))&gt;0,SUMIF(INDIRECT($C14&amp;"!A$2:A$20"),$B14,INDIRECT($C14&amp;"!D$2:D$20")),"")),"")</f>
        <v/>
      </c>
      <c r="H14" s="46" t="str">
        <f t="shared" si="0"/>
        <v/>
      </c>
      <c r="I14" s="46">
        <f ca="1">IF(ISTEXT($B14),IF(COUNTIF($B14,"*Industry*"),SUMIF('Industry-capacity'!$A$2:$A$6,$B14,'Industry-capacity'!$B$2:$B$6),SUMIF(INDIRECT($C14&amp;"!A$2:A$20"),$B14,INDIRECT($C14&amp;"!B$2:B$20"))),"")</f>
        <v>757.4</v>
      </c>
      <c r="J14" s="46" t="str">
        <f t="shared" si="2"/>
        <v>ESP</v>
      </c>
      <c r="K14" s="46">
        <f ca="1">IF(ISTEXT($B14),IF(COUNTIF($B14,"*Industry*"),SUMIF('Industry-capacity'!$A$2:$A$6,$B14,'Industry-capacity'!$C$2:$C$6),SUMIF(INDIRECT($C14&amp;"!A$2:A$20"),$B14,INDIRECT($C14&amp;"!C$2:C$20"))),"")</f>
        <v>0</v>
      </c>
      <c r="L14" s="46" t="str">
        <f t="shared" ca="1" si="3"/>
        <v/>
      </c>
      <c r="M14" s="46" t="str">
        <f t="shared" ca="1" si="4"/>
        <v/>
      </c>
      <c r="N14" s="46"/>
      <c r="O14" s="46" t="str">
        <f t="shared" ca="1" si="5"/>
        <v/>
      </c>
      <c r="P14" s="46" t="str">
        <f t="shared" ca="1" si="5"/>
        <v/>
      </c>
      <c r="Q14" s="46">
        <f t="shared" si="1"/>
        <v>2.4500000000000002</v>
      </c>
      <c r="S14" s="98" t="str">
        <f t="shared" ca="1" si="6"/>
        <v/>
      </c>
      <c r="V14" t="str">
        <f t="shared" si="7"/>
        <v>HKI</v>
      </c>
      <c r="Z14" s="99" t="s">
        <v>1650</v>
      </c>
      <c r="AA14" s="102">
        <f>SUMIFS([1]unittypedata!$S:$S, [1]unittypedata!$D:$D, Z14)</f>
        <v>1.7</v>
      </c>
      <c r="AC14" t="s">
        <v>16</v>
      </c>
      <c r="AD14" s="101">
        <f t="shared" si="8"/>
        <v>-8.0313724486117635E-2</v>
      </c>
      <c r="AE14">
        <f>AN20</f>
        <v>38318.199999999997</v>
      </c>
      <c r="AH14" t="s">
        <v>1630</v>
      </c>
      <c r="AI14">
        <v>32745.5</v>
      </c>
      <c r="AJ14">
        <v>34467.9</v>
      </c>
      <c r="AK14">
        <v>37686.699999999997</v>
      </c>
      <c r="AL14">
        <v>37213.300000000003</v>
      </c>
      <c r="AN14">
        <f t="shared" si="9"/>
        <v>35528.35</v>
      </c>
    </row>
    <row r="15" spans="1:41">
      <c r="A15" t="s">
        <v>12</v>
      </c>
      <c r="B15" t="s">
        <v>1654</v>
      </c>
      <c r="C15" t="s">
        <v>13</v>
      </c>
      <c r="D15" s="53" t="s">
        <v>24</v>
      </c>
      <c r="E15" s="53">
        <v>1</v>
      </c>
      <c r="F15" s="53" t="s">
        <v>1668</v>
      </c>
      <c r="G15" s="46" t="str">
        <f ca="1">IF(ISTEXT($B15),IF(COUNTIF($B15,"*Industry*"),SUMIF('Industry-capacity'!$A$2:$A$6,$B15,'Industry-capacity'!$D$2:$D$6),IF(SUMIF(INDIRECT($C15&amp;"!A$2:A$20"),$B15,INDIRECT($C15&amp;"!D$2:D$20"))&gt;0,SUMIF(INDIRECT($C15&amp;"!A$2:A$20"),$B15,INDIRECT($C15&amp;"!D$2:D$20")),"")),"")</f>
        <v/>
      </c>
      <c r="H15" s="46" t="str">
        <f t="shared" si="0"/>
        <v/>
      </c>
      <c r="I15" s="46">
        <f ca="1">IF(ISTEXT($B15),IF(COUNTIF($B15,"*Industry*"),SUMIF('Industry-capacity'!$A$2:$A$6,$B15,'Industry-capacity'!$B$2:$B$6),SUMIF(INDIRECT($C15&amp;"!A$2:A$20"),$B15,INDIRECT($C15&amp;"!B$2:B$20"))),"")</f>
        <v>88</v>
      </c>
      <c r="J15" s="46" t="str">
        <f t="shared" si="2"/>
        <v>ESP</v>
      </c>
      <c r="K15" s="46">
        <f ca="1">IF(ISTEXT($B15),IF(COUNTIF($B15,"*Industry*"),SUMIF('Industry-capacity'!$A$2:$A$6,$B15,'Industry-capacity'!$C$2:$C$6),SUMIF(INDIRECT($C15&amp;"!A$2:A$20"),$B15,INDIRECT($C15&amp;"!C$2:C$20"))),"")</f>
        <v>0</v>
      </c>
      <c r="L15" s="46" t="str">
        <f t="shared" ca="1" si="3"/>
        <v/>
      </c>
      <c r="M15" s="46" t="str">
        <f t="shared" ca="1" si="4"/>
        <v/>
      </c>
      <c r="N15" s="46"/>
      <c r="O15" s="46" t="str">
        <f t="shared" ca="1" si="5"/>
        <v/>
      </c>
      <c r="P15" s="46" t="str">
        <f t="shared" ca="1" si="5"/>
        <v/>
      </c>
      <c r="Q15" s="46">
        <f t="shared" si="1"/>
        <v>2.4500000000000002</v>
      </c>
      <c r="S15" s="98" t="str">
        <f t="shared" ca="1" si="6"/>
        <v/>
      </c>
      <c r="V15" t="str">
        <f t="shared" si="7"/>
        <v>HKI</v>
      </c>
      <c r="Z15" t="s">
        <v>1651</v>
      </c>
      <c r="AA15" s="102">
        <f>SUMIFS([1]unittypedata!$S:$S, [1]unittypedata!$D:$D, Z15)</f>
        <v>1.7</v>
      </c>
      <c r="AC15" t="s">
        <v>14</v>
      </c>
      <c r="AD15" s="101">
        <f t="shared" si="8"/>
        <v>-7.30564275127841E-2</v>
      </c>
      <c r="AE15">
        <f>AVERAGE(AN14:AN25)</f>
        <v>38963.897916666669</v>
      </c>
      <c r="AH15" t="s">
        <v>1631</v>
      </c>
      <c r="AI15">
        <v>41506.5</v>
      </c>
      <c r="AJ15">
        <v>42936.9</v>
      </c>
      <c r="AK15">
        <v>44142.6</v>
      </c>
      <c r="AL15">
        <v>42840.4</v>
      </c>
      <c r="AN15">
        <f t="shared" si="9"/>
        <v>42856.6</v>
      </c>
    </row>
    <row r="16" spans="1:41">
      <c r="A16" t="s">
        <v>12</v>
      </c>
      <c r="B16" t="s">
        <v>1613</v>
      </c>
      <c r="C16" t="s">
        <v>13</v>
      </c>
      <c r="D16" s="53" t="s">
        <v>24</v>
      </c>
      <c r="E16" s="53">
        <v>1</v>
      </c>
      <c r="F16" s="53" t="s">
        <v>1668</v>
      </c>
      <c r="G16" s="46" t="str">
        <f ca="1">IF(ISTEXT($B16),IF(COUNTIF($B16,"*Industry*"),SUMIF('Industry-capacity'!$A$2:$A$6,$B16,'Industry-capacity'!$D$2:$D$6),IF(SUMIF(INDIRECT($C16&amp;"!A$2:A$20"),$B16,INDIRECT($C16&amp;"!D$2:D$20"))&gt;0,SUMIF(INDIRECT($C16&amp;"!A$2:A$20"),$B16,INDIRECT($C16&amp;"!D$2:D$20")),"")),"")</f>
        <v/>
      </c>
      <c r="H16" s="46" t="str">
        <f t="shared" si="0"/>
        <v/>
      </c>
      <c r="I16" s="46">
        <f ca="1">IF(ISTEXT($B16),IF(COUNTIF($B16,"*Industry*"),SUMIF('Industry-capacity'!$A$2:$A$6,$B16,'Industry-capacity'!$B$2:$B$6),SUMIF(INDIRECT($C16&amp;"!A$2:A$20"),$B16,INDIRECT($C16&amp;"!B$2:B$20"))),"")</f>
        <v>295</v>
      </c>
      <c r="J16" s="46" t="str">
        <f t="shared" si="2"/>
        <v>ESP</v>
      </c>
      <c r="K16" s="46">
        <f ca="1">IF(ISTEXT($B16),IF(COUNTIF($B16,"*Industry*"),SUMIF('Industry-capacity'!$A$2:$A$6,$B16,'Industry-capacity'!$C$2:$C$6),SUMIF(INDIRECT($C16&amp;"!A$2:A$20"),$B16,INDIRECT($C16&amp;"!C$2:C$20"))),"")</f>
        <v>0</v>
      </c>
      <c r="L16" s="46" t="str">
        <f t="shared" ca="1" si="3"/>
        <v/>
      </c>
      <c r="M16" s="46" t="str">
        <f t="shared" ca="1" si="4"/>
        <v/>
      </c>
      <c r="N16" s="46"/>
      <c r="O16" s="46" t="str">
        <f t="shared" ca="1" si="5"/>
        <v/>
      </c>
      <c r="P16" s="46" t="str">
        <f t="shared" ca="1" si="5"/>
        <v/>
      </c>
      <c r="Q16" s="46">
        <f t="shared" si="1"/>
        <v>7.35</v>
      </c>
      <c r="S16" s="98" t="str">
        <f t="shared" ca="1" si="6"/>
        <v/>
      </c>
      <c r="V16" t="str">
        <f t="shared" si="7"/>
        <v>HKI</v>
      </c>
      <c r="Z16" s="99" t="s">
        <v>1660</v>
      </c>
      <c r="AA16" s="102">
        <f>SUMIFS([1]unittypedata!$S:$S, [1]unittypedata!$D:$D, Z16)</f>
        <v>1.6</v>
      </c>
      <c r="AH16" t="s">
        <v>1632</v>
      </c>
      <c r="AI16">
        <v>37378.9</v>
      </c>
      <c r="AJ16">
        <v>41539.300000000003</v>
      </c>
      <c r="AK16">
        <v>43680.1</v>
      </c>
      <c r="AL16">
        <v>37688.1</v>
      </c>
      <c r="AN16">
        <f t="shared" si="9"/>
        <v>40071.600000000006</v>
      </c>
    </row>
    <row r="17" spans="1:40">
      <c r="A17" t="s">
        <v>12</v>
      </c>
      <c r="B17" t="s">
        <v>1658</v>
      </c>
      <c r="C17" t="s">
        <v>13</v>
      </c>
      <c r="D17" s="53" t="s">
        <v>24</v>
      </c>
      <c r="E17" s="53">
        <v>1</v>
      </c>
      <c r="F17" s="53" t="s">
        <v>1668</v>
      </c>
      <c r="G17" s="46">
        <f ca="1">IF(ISTEXT($B17),IF(COUNTIF($B17,"*Industry*"),SUMIF('Industry-capacity'!$A$2:$A$6,$B17,'Industry-capacity'!$D$2:$D$6),IF(SUMIF(INDIRECT($C17&amp;"!A$2:A$20"),$B17,INDIRECT($C17&amp;"!D$2:D$20"))&gt;0,SUMIF(INDIRECT($C17&amp;"!A$2:A$20"),$B17,INDIRECT($C17&amp;"!D$2:D$20")),"")),"")</f>
        <v>498</v>
      </c>
      <c r="H17" s="46" t="str">
        <f t="shared" si="0"/>
        <v/>
      </c>
      <c r="I17" s="46">
        <f ca="1">IF(ISTEXT($B17),IF(COUNTIF($B17,"*Industry*"),SUMIF('Industry-capacity'!$A$2:$A$6,$B17,'Industry-capacity'!$B$2:$B$6),SUMIF(INDIRECT($C17&amp;"!A$2:A$20"),$B17,INDIRECT($C17&amp;"!B$2:B$20"))),"")</f>
        <v>234</v>
      </c>
      <c r="J17" s="46" t="str">
        <f t="shared" si="2"/>
        <v/>
      </c>
      <c r="K17" s="46">
        <f ca="1">IF(ISTEXT($B17),IF(COUNTIF($B17,"*Industry*"),SUMIF('Industry-capacity'!$A$2:$A$6,$B17,'Industry-capacity'!$C$2:$C$6),SUMIF(INDIRECT($C17&amp;"!A$2:A$20"),$B17,INDIRECT($C17&amp;"!C$2:C$20"))),"")</f>
        <v>213</v>
      </c>
      <c r="L17" s="46" t="str">
        <f t="shared" ca="1" si="3"/>
        <v>ESP</v>
      </c>
      <c r="M17" s="46">
        <f t="shared" ca="1" si="4"/>
        <v>1.0985915492957747</v>
      </c>
      <c r="N17" s="46"/>
      <c r="O17" s="46">
        <f t="shared" ca="1" si="5"/>
        <v>0.89759036144578308</v>
      </c>
      <c r="P17" s="46">
        <f t="shared" ca="1" si="5"/>
        <v>0.89759036144578308</v>
      </c>
      <c r="Q17" s="46">
        <f t="shared" si="1"/>
        <v>1.96</v>
      </c>
      <c r="S17" s="98" t="str">
        <f t="shared" ca="1" si="6"/>
        <v/>
      </c>
      <c r="V17" t="str">
        <f t="shared" si="7"/>
        <v>HKI</v>
      </c>
      <c r="Z17" t="s">
        <v>1655</v>
      </c>
      <c r="AA17" s="102">
        <f>SUMIFS([1]unittypedata!$S:$S, [1]unittypedata!$D:$D, Z17)</f>
        <v>2</v>
      </c>
      <c r="AH17" t="s">
        <v>1633</v>
      </c>
      <c r="AI17">
        <v>33034.800000000003</v>
      </c>
      <c r="AJ17">
        <v>34167.4</v>
      </c>
      <c r="AK17">
        <v>37851</v>
      </c>
      <c r="AL17">
        <v>38404.199999999997</v>
      </c>
      <c r="AN17">
        <f t="shared" si="9"/>
        <v>35864.350000000006</v>
      </c>
    </row>
    <row r="18" spans="1:40">
      <c r="A18" t="s">
        <v>12</v>
      </c>
      <c r="B18" t="s">
        <v>1660</v>
      </c>
      <c r="C18" t="s">
        <v>13</v>
      </c>
      <c r="D18" s="53" t="s">
        <v>24</v>
      </c>
      <c r="E18" s="53">
        <v>1</v>
      </c>
      <c r="F18" s="53" t="s">
        <v>1668</v>
      </c>
      <c r="G18" s="46">
        <f ca="1">IF(ISTEXT($B18),IF(COUNTIF($B18,"*Industry*"),SUMIF('Industry-capacity'!$A$2:$A$6,$B18,'Industry-capacity'!$D$2:$D$6),IF(SUMIF(INDIRECT($C18&amp;"!A$2:A$20"),$B18,INDIRECT($C18&amp;"!D$2:D$20"))&gt;0,SUMIF(INDIRECT($C18&amp;"!A$2:A$20"),$B18,INDIRECT($C18&amp;"!D$2:D$20")),"")),"")</f>
        <v>132</v>
      </c>
      <c r="H18" s="46" t="str">
        <f t="shared" si="0"/>
        <v/>
      </c>
      <c r="I18" s="46">
        <f ca="1">IF(ISTEXT($B18),IF(COUNTIF($B18,"*Industry*"),SUMIF('Industry-capacity'!$A$2:$A$6,$B18,'Industry-capacity'!$B$2:$B$6),SUMIF(INDIRECT($C18&amp;"!A$2:A$20"),$B18,INDIRECT($C18&amp;"!B$2:B$20"))),"")</f>
        <v>49</v>
      </c>
      <c r="J18" s="46" t="str">
        <f t="shared" si="2"/>
        <v/>
      </c>
      <c r="K18" s="46">
        <f ca="1">IF(ISTEXT($B18),IF(COUNTIF($B18,"*Industry*"),SUMIF('Industry-capacity'!$A$2:$A$6,$B18,'Industry-capacity'!$C$2:$C$6),SUMIF(INDIRECT($C18&amp;"!A$2:A$20"),$B18,INDIRECT($C18&amp;"!C$2:C$20"))),"")</f>
        <v>80</v>
      </c>
      <c r="L18" s="46" t="str">
        <f t="shared" ca="1" si="3"/>
        <v>ESP</v>
      </c>
      <c r="M18" s="46">
        <f t="shared" ca="1" si="4"/>
        <v>0.61250000000000004</v>
      </c>
      <c r="N18" s="46"/>
      <c r="O18" s="46">
        <f t="shared" ca="1" si="5"/>
        <v>0.97727272727272729</v>
      </c>
      <c r="P18" s="46">
        <f t="shared" ca="1" si="5"/>
        <v>0.97727272727272729</v>
      </c>
      <c r="Q18" s="46">
        <f t="shared" si="1"/>
        <v>1.96</v>
      </c>
      <c r="S18" s="98" t="str">
        <f t="shared" ca="1" si="6"/>
        <v/>
      </c>
      <c r="V18" t="str">
        <f t="shared" si="7"/>
        <v>HKI</v>
      </c>
      <c r="Z18" s="99" t="s">
        <v>1656</v>
      </c>
      <c r="AA18" s="102">
        <f>SUMIFS([1]unittypedata!$S:$S, [1]unittypedata!$D:$D, Z18)</f>
        <v>2</v>
      </c>
      <c r="AH18" t="s">
        <v>1634</v>
      </c>
      <c r="AI18">
        <v>35762.400000000001</v>
      </c>
      <c r="AJ18">
        <v>37853.5</v>
      </c>
      <c r="AK18">
        <v>42190.9</v>
      </c>
      <c r="AL18">
        <v>41361.4</v>
      </c>
      <c r="AN18">
        <f t="shared" si="9"/>
        <v>39292.049999999996</v>
      </c>
    </row>
    <row r="19" spans="1:40">
      <c r="A19" t="s">
        <v>12</v>
      </c>
      <c r="B19" t="s">
        <v>1652</v>
      </c>
      <c r="C19" t="s">
        <v>13</v>
      </c>
      <c r="D19" s="53" t="s">
        <v>24</v>
      </c>
      <c r="E19" s="53">
        <v>1</v>
      </c>
      <c r="F19" s="53" t="s">
        <v>1668</v>
      </c>
      <c r="G19" s="46" t="str">
        <f ca="1">IF(ISTEXT($B19),IF(COUNTIF($B19,"*Industry*"),SUMIF('Industry-capacity'!$A$2:$A$6,$B19,'Industry-capacity'!$D$2:$D$6),IF(SUMIF(INDIRECT($C19&amp;"!A$2:A$20"),$B19,INDIRECT($C19&amp;"!D$2:D$20"))&gt;0,SUMIF(INDIRECT($C19&amp;"!A$2:A$20"),$B19,INDIRECT($C19&amp;"!D$2:D$20")),"")),"")</f>
        <v/>
      </c>
      <c r="H19" s="46" t="str">
        <f t="shared" si="0"/>
        <v/>
      </c>
      <c r="I19" s="46">
        <f ca="1">IF(ISTEXT($B19),IF(COUNTIF($B19,"*Industry*"),SUMIF('Industry-capacity'!$A$2:$A$6,$B19,'Industry-capacity'!$B$2:$B$6),SUMIF(INDIRECT($C19&amp;"!A$2:A$20"),$B19,INDIRECT($C19&amp;"!B$2:B$20"))),"")</f>
        <v>150</v>
      </c>
      <c r="J19" s="46" t="str">
        <f t="shared" si="2"/>
        <v>ESP</v>
      </c>
      <c r="K19" s="46">
        <f ca="1">IF(ISTEXT($B19),IF(COUNTIF($B19,"*Industry*"),SUMIF('Industry-capacity'!$A$2:$A$6,$B19,'Industry-capacity'!$C$2:$C$6),SUMIF(INDIRECT($C19&amp;"!A$2:A$20"),$B19,INDIRECT($C19&amp;"!C$2:C$20"))),"")</f>
        <v>0</v>
      </c>
      <c r="L19" s="46" t="str">
        <f t="shared" ca="1" si="3"/>
        <v/>
      </c>
      <c r="M19" s="46" t="str">
        <f t="shared" ca="1" si="4"/>
        <v/>
      </c>
      <c r="N19" s="46"/>
      <c r="O19" s="46" t="str">
        <f t="shared" ca="1" si="5"/>
        <v/>
      </c>
      <c r="P19" s="46" t="str">
        <f t="shared" ca="1" si="5"/>
        <v/>
      </c>
      <c r="Q19" s="46">
        <f t="shared" si="1"/>
        <v>1.84</v>
      </c>
      <c r="S19" s="98" t="str">
        <f t="shared" ca="1" si="6"/>
        <v/>
      </c>
      <c r="V19" t="str">
        <f t="shared" si="7"/>
        <v>HKI</v>
      </c>
      <c r="Z19" t="s">
        <v>1659</v>
      </c>
      <c r="AA19" s="102">
        <f>SUMIFS([1]unittypedata!$S:$S, [1]unittypedata!$D:$D, Z19)</f>
        <v>2</v>
      </c>
      <c r="AH19" t="s">
        <v>1635</v>
      </c>
      <c r="AI19">
        <v>32441.599999999999</v>
      </c>
      <c r="AJ19">
        <v>35017</v>
      </c>
      <c r="AK19">
        <v>37992.400000000001</v>
      </c>
      <c r="AL19">
        <v>37688</v>
      </c>
      <c r="AN19">
        <f t="shared" si="9"/>
        <v>35784.75</v>
      </c>
    </row>
    <row r="20" spans="1:40">
      <c r="A20" t="s">
        <v>12</v>
      </c>
      <c r="B20" t="s">
        <v>1648</v>
      </c>
      <c r="C20" t="s">
        <v>13</v>
      </c>
      <c r="D20" s="53" t="s">
        <v>24</v>
      </c>
      <c r="E20" s="53">
        <v>1</v>
      </c>
      <c r="F20" s="53" t="s">
        <v>1668</v>
      </c>
      <c r="G20" s="46" t="str">
        <f ca="1">IF(ISTEXT($B20),IF(COUNTIF($B20,"*Industry*"),SUMIF('Industry-capacity'!$A$2:$A$6,$B20,'Industry-capacity'!$D$2:$D$6),IF(SUMIF(INDIRECT($C20&amp;"!A$2:A$20"),$B20,INDIRECT($C20&amp;"!D$2:D$20"))&gt;0,SUMIF(INDIRECT($C20&amp;"!A$2:A$20"),$B20,INDIRECT($C20&amp;"!D$2:D$20")),"")),"")</f>
        <v/>
      </c>
      <c r="H20" s="46" t="str">
        <f>IF(COUNTIF($B20,"*charger*")+COUNTIF($B20,"*disch*"),$C20,"")</f>
        <v>ESP</v>
      </c>
      <c r="I20" s="46">
        <f ca="1">IF(ISTEXT($B20),IF(COUNTIF($B20,"*Industry*"),SUMIF('Industry-capacity'!$A$2:$A$6,$B20,'Industry-capacity'!$B$2:$B$6),SUMIF(INDIRECT($C20&amp;"!A$2:A$20"),$B20,INDIRECT($C20&amp;"!B$2:B$20"))),"")</f>
        <v>280</v>
      </c>
      <c r="J20" s="46" t="str">
        <f t="shared" si="2"/>
        <v>ESP</v>
      </c>
      <c r="K20" s="46">
        <f ca="1">IF(ISTEXT($B20),IF(COUNTIF($B20,"*Industry*"),SUMIF('Industry-capacity'!$A$2:$A$6,$B20,'Industry-capacity'!$C$2:$C$6),SUMIF(INDIRECT($C20&amp;"!A$2:A$20"),$B20,INDIRECT($C20&amp;"!C$2:C$20"))),"")</f>
        <v>0</v>
      </c>
      <c r="L20" s="46" t="str">
        <f t="shared" ca="1" si="3"/>
        <v/>
      </c>
      <c r="M20" s="46" t="str">
        <f t="shared" ca="1" si="4"/>
        <v/>
      </c>
      <c r="N20" s="46"/>
      <c r="O20" s="46" t="str">
        <f t="shared" ca="1" si="5"/>
        <v/>
      </c>
      <c r="P20" s="46" t="str">
        <f t="shared" ca="1" si="5"/>
        <v/>
      </c>
      <c r="Q20" s="46">
        <f t="shared" si="1"/>
        <v>1.72</v>
      </c>
      <c r="S20" s="98" t="str">
        <f t="shared" ca="1" si="6"/>
        <v/>
      </c>
      <c r="V20" t="str">
        <f t="shared" si="7"/>
        <v>HKI</v>
      </c>
      <c r="Z20" t="s">
        <v>1661</v>
      </c>
      <c r="AA20" s="102">
        <f>SUMIFS([1]unittypedata!$S:$S, [1]unittypedata!$D:$D, Z20)</f>
        <v>2</v>
      </c>
      <c r="AH20" t="s">
        <v>1636</v>
      </c>
      <c r="AI20">
        <v>35079.4</v>
      </c>
      <c r="AJ20">
        <v>37388.199999999997</v>
      </c>
      <c r="AK20">
        <v>40637.5</v>
      </c>
      <c r="AL20">
        <v>40167.699999999997</v>
      </c>
      <c r="AN20">
        <f t="shared" si="9"/>
        <v>38318.199999999997</v>
      </c>
    </row>
    <row r="21" spans="1:40">
      <c r="A21" t="s">
        <v>12</v>
      </c>
      <c r="B21" t="s">
        <v>1649</v>
      </c>
      <c r="C21" t="s">
        <v>13</v>
      </c>
      <c r="D21" s="53" t="s">
        <v>24</v>
      </c>
      <c r="E21" s="53">
        <v>1</v>
      </c>
      <c r="F21" s="53" t="s">
        <v>1668</v>
      </c>
      <c r="G21" s="46" t="str">
        <f ca="1">IF(ISTEXT($B21),IF(COUNTIF($B21,"*Industry*"),SUMIF('Industry-capacity'!$A$2:$A$6,$B21,'Industry-capacity'!$D$2:$D$6),IF(SUMIF(INDIRECT($C21&amp;"!A$2:A$20"),$B21,INDIRECT($C21&amp;"!D$2:D$20"))&gt;0,SUMIF(INDIRECT($C21&amp;"!A$2:A$20"),$B21,INDIRECT($C21&amp;"!D$2:D$20")),"")),"")</f>
        <v/>
      </c>
      <c r="H21" s="46" t="str">
        <f t="shared" ref="H21:H94" si="10">IF(COUNTIF($B21,"*charger*")+COUNTIF($B21,"*disch*"),$C21,"")</f>
        <v>ESP</v>
      </c>
      <c r="I21" s="46">
        <f ca="1">IF(ISTEXT($B21),IF(COUNTIF($B21,"*Industry*"),SUMIF('Industry-capacity'!$A$2:$A$6,$B21,'Industry-capacity'!$B$2:$B$6),SUMIF(INDIRECT($C21&amp;"!A$2:A$20"),$B21,INDIRECT($C21&amp;"!B$2:B$20"))),"")</f>
        <v>280</v>
      </c>
      <c r="J21" s="46" t="str">
        <f t="shared" si="2"/>
        <v>ESP</v>
      </c>
      <c r="K21" s="46">
        <f ca="1">IF(ISTEXT($B21),IF(COUNTIF($B21,"*Industry*"),SUMIF('Industry-capacity'!$A$2:$A$6,$B21,'Industry-capacity'!$C$2:$C$6),SUMIF(INDIRECT($C21&amp;"!A$2:A$20"),$B21,INDIRECT($C21&amp;"!C$2:C$20"))),"")</f>
        <v>0</v>
      </c>
      <c r="L21" s="46" t="str">
        <f t="shared" ca="1" si="3"/>
        <v/>
      </c>
      <c r="M21" s="46" t="str">
        <f t="shared" ca="1" si="4"/>
        <v/>
      </c>
      <c r="N21" s="46"/>
      <c r="O21" s="46" t="str">
        <f t="shared" ca="1" si="5"/>
        <v/>
      </c>
      <c r="P21" s="46" t="str">
        <f t="shared" ca="1" si="5"/>
        <v/>
      </c>
      <c r="Q21" s="46">
        <f t="shared" si="1"/>
        <v>1.72</v>
      </c>
      <c r="S21" s="98" t="str">
        <f t="shared" ca="1" si="6"/>
        <v/>
      </c>
      <c r="V21" t="str">
        <f t="shared" si="7"/>
        <v>HKI</v>
      </c>
      <c r="Z21" s="99" t="s">
        <v>1662</v>
      </c>
      <c r="AA21" s="102">
        <f>SUMIFS([1]unittypedata!$S:$S, [1]unittypedata!$D:$D, Z21)</f>
        <v>2</v>
      </c>
      <c r="AH21" t="s">
        <v>1637</v>
      </c>
      <c r="AI21">
        <v>34185.9</v>
      </c>
      <c r="AJ21">
        <v>36042.699999999997</v>
      </c>
      <c r="AK21">
        <v>38398.400000000001</v>
      </c>
      <c r="AL21">
        <v>39673.1</v>
      </c>
      <c r="AN21">
        <f t="shared" si="9"/>
        <v>37075.025000000001</v>
      </c>
    </row>
    <row r="22" spans="1:40">
      <c r="A22" t="s">
        <v>12</v>
      </c>
      <c r="B22" t="s">
        <v>1657</v>
      </c>
      <c r="C22" t="s">
        <v>20</v>
      </c>
      <c r="D22" s="53" t="s">
        <v>24</v>
      </c>
      <c r="E22" s="53">
        <v>1</v>
      </c>
      <c r="F22" s="53" t="s">
        <v>1668</v>
      </c>
      <c r="G22" s="46" t="str">
        <f ca="1">IF(ISTEXT($B22),IF(COUNTIF($B22,"*Industry*"),SUMIF('Industry-capacity'!$A$2:$A$6,$B22,'Industry-capacity'!$D$2:$D$6),IF(SUMIF(INDIRECT($C22&amp;"!A$2:A$20"),$B22,INDIRECT($C22&amp;"!D$2:D$20"))&gt;0,SUMIF(INDIRECT($C22&amp;"!A$2:A$20"),$B22,INDIRECT($C22&amp;"!D$2:D$20")),"")),"")</f>
        <v/>
      </c>
      <c r="H22" s="46" t="str">
        <f t="shared" si="10"/>
        <v/>
      </c>
      <c r="I22" s="46">
        <f ca="1">IF(ISTEXT($B22),IF(COUNTIF($B22,"*Industry*"),SUMIF('Industry-capacity'!$A$2:$A$6,$B22,'Industry-capacity'!$B$2:$B$6),SUMIF(INDIRECT($C22&amp;"!A$2:A$20"),$B22,INDIRECT($C22&amp;"!B$2:B$20"))),"")</f>
        <v>427</v>
      </c>
      <c r="J22" s="46" t="str">
        <f t="shared" si="2"/>
        <v>VAN</v>
      </c>
      <c r="K22" s="46">
        <f ca="1">IF(ISTEXT($B22),IF(COUNTIF($B22,"*Industry*"),SUMIF('Industry-capacity'!$A$2:$A$6,$B22,'Industry-capacity'!$C$2:$C$6),SUMIF(INDIRECT($C22&amp;"!A$2:A$20"),$B22,INDIRECT($C22&amp;"!C$2:C$20"))),"")</f>
        <v>0</v>
      </c>
      <c r="L22" s="46" t="str">
        <f t="shared" ca="1" si="3"/>
        <v/>
      </c>
      <c r="M22" s="46" t="str">
        <f t="shared" ca="1" si="4"/>
        <v/>
      </c>
      <c r="N22" s="46"/>
      <c r="O22" s="46" t="str">
        <f t="shared" ca="1" si="5"/>
        <v/>
      </c>
      <c r="P22" s="46" t="str">
        <f t="shared" ca="1" si="5"/>
        <v/>
      </c>
      <c r="Q22" s="46">
        <f t="shared" si="1"/>
        <v>2.4</v>
      </c>
      <c r="S22" s="98" t="str">
        <f t="shared" ca="1" si="6"/>
        <v/>
      </c>
      <c r="V22" t="str">
        <f t="shared" si="7"/>
        <v>HKI</v>
      </c>
      <c r="Z22" s="99" t="s">
        <v>1645</v>
      </c>
      <c r="AA22" s="102">
        <f>SUMIFS([1]unittypedata!$S:$S, [1]unittypedata!$D:$D, Z22)</f>
        <v>2</v>
      </c>
      <c r="AH22" t="s">
        <v>1638</v>
      </c>
      <c r="AI22">
        <v>40232.300000000003</v>
      </c>
      <c r="AJ22">
        <v>44224.1</v>
      </c>
      <c r="AK22">
        <v>46377.599999999999</v>
      </c>
      <c r="AL22">
        <v>49187.3</v>
      </c>
      <c r="AN22">
        <f t="shared" si="9"/>
        <v>45005.324999999997</v>
      </c>
    </row>
    <row r="23" spans="1:40">
      <c r="A23" t="s">
        <v>12</v>
      </c>
      <c r="B23" t="s">
        <v>1654</v>
      </c>
      <c r="C23" t="s">
        <v>20</v>
      </c>
      <c r="D23" s="53" t="s">
        <v>24</v>
      </c>
      <c r="E23" s="53">
        <v>1</v>
      </c>
      <c r="F23" s="53" t="s">
        <v>1668</v>
      </c>
      <c r="G23" s="46" t="str">
        <f ca="1">IF(ISTEXT($B23),IF(COUNTIF($B23,"*Industry*"),SUMIF('Industry-capacity'!$A$2:$A$6,$B23,'Industry-capacity'!$D$2:$D$6),IF(SUMIF(INDIRECT($C23&amp;"!A$2:A$20"),$B23,INDIRECT($C23&amp;"!D$2:D$20"))&gt;0,SUMIF(INDIRECT($C23&amp;"!A$2:A$20"),$B23,INDIRECT($C23&amp;"!D$2:D$20")),"")),"")</f>
        <v/>
      </c>
      <c r="H23" s="46" t="str">
        <f t="shared" si="10"/>
        <v/>
      </c>
      <c r="I23" s="46">
        <f ca="1">IF(ISTEXT($B23),IF(COUNTIF($B23,"*Industry*"),SUMIF('Industry-capacity'!$A$2:$A$6,$B23,'Industry-capacity'!$B$2:$B$6),SUMIF(INDIRECT($C23&amp;"!A$2:A$20"),$B23,INDIRECT($C23&amp;"!B$2:B$20"))),"")</f>
        <v>92</v>
      </c>
      <c r="J23" s="46" t="str">
        <f t="shared" si="2"/>
        <v>VAN</v>
      </c>
      <c r="K23" s="46">
        <f ca="1">IF(ISTEXT($B23),IF(COUNTIF($B23,"*Industry*"),SUMIF('Industry-capacity'!$A$2:$A$6,$B23,'Industry-capacity'!$C$2:$C$6),SUMIF(INDIRECT($C23&amp;"!A$2:A$20"),$B23,INDIRECT($C23&amp;"!C$2:C$20"))),"")</f>
        <v>0</v>
      </c>
      <c r="L23" s="46" t="str">
        <f t="shared" ca="1" si="3"/>
        <v/>
      </c>
      <c r="M23" s="46" t="str">
        <f t="shared" ca="1" si="4"/>
        <v/>
      </c>
      <c r="N23" s="46"/>
      <c r="O23" s="46" t="str">
        <f t="shared" ca="1" si="5"/>
        <v/>
      </c>
      <c r="P23" s="46" t="str">
        <f t="shared" ca="1" si="5"/>
        <v/>
      </c>
      <c r="Q23" s="46">
        <f t="shared" si="1"/>
        <v>2.4</v>
      </c>
      <c r="S23" s="98" t="str">
        <f t="shared" ca="1" si="6"/>
        <v/>
      </c>
      <c r="V23" t="str">
        <f t="shared" si="7"/>
        <v>HKI</v>
      </c>
      <c r="Z23" s="99" t="s">
        <v>1646</v>
      </c>
      <c r="AA23" s="102">
        <f>SUMIFS([1]unittypedata!$S:$S, [1]unittypedata!$D:$D, Z23)</f>
        <v>2</v>
      </c>
      <c r="AH23" t="s">
        <v>1639</v>
      </c>
      <c r="AI23">
        <v>38099.4</v>
      </c>
      <c r="AJ23">
        <v>38338</v>
      </c>
      <c r="AK23">
        <v>40380.699999999997</v>
      </c>
      <c r="AL23">
        <v>45675.7</v>
      </c>
      <c r="AN23">
        <f t="shared" si="9"/>
        <v>40623.449999999997</v>
      </c>
    </row>
    <row r="24" spans="1:40">
      <c r="A24" t="s">
        <v>12</v>
      </c>
      <c r="B24" t="s">
        <v>1655</v>
      </c>
      <c r="C24" t="s">
        <v>20</v>
      </c>
      <c r="D24" s="53" t="s">
        <v>24</v>
      </c>
      <c r="E24" s="53">
        <v>1</v>
      </c>
      <c r="F24" s="53" t="s">
        <v>1668</v>
      </c>
      <c r="G24" s="46" t="str">
        <f ca="1">IF(ISTEXT($B24),IF(COUNTIF($B24,"*Industry*"),SUMIF('Industry-capacity'!$A$2:$A$6,$B24,'Industry-capacity'!$D$2:$D$6),IF(SUMIF(INDIRECT($C24&amp;"!A$2:A$20"),$B24,INDIRECT($C24&amp;"!D$2:D$20"))&gt;0,SUMIF(INDIRECT($C24&amp;"!A$2:A$20"),$B24,INDIRECT($C24&amp;"!D$2:D$20")),"")),"")</f>
        <v/>
      </c>
      <c r="H24" s="46" t="str">
        <f t="shared" si="10"/>
        <v/>
      </c>
      <c r="I24" s="46">
        <f ca="1">IF(ISTEXT($B24),IF(COUNTIF($B24,"*Industry*"),SUMIF('Industry-capacity'!$A$2:$A$6,$B24,'Industry-capacity'!$B$2:$B$6),SUMIF(INDIRECT($C24&amp;"!A$2:A$20"),$B24,INDIRECT($C24&amp;"!B$2:B$20"))),"")</f>
        <v>80</v>
      </c>
      <c r="J24" s="46" t="str">
        <f t="shared" si="2"/>
        <v>VAN</v>
      </c>
      <c r="K24" s="46">
        <f ca="1">IF(ISTEXT($B24),IF(COUNTIF($B24,"*Industry*"),SUMIF('Industry-capacity'!$A$2:$A$6,$B24,'Industry-capacity'!$C$2:$C$6),SUMIF(INDIRECT($C24&amp;"!A$2:A$20"),$B24,INDIRECT($C24&amp;"!C$2:C$20"))),"")</f>
        <v>0</v>
      </c>
      <c r="L24" s="46" t="str">
        <f t="shared" ca="1" si="3"/>
        <v/>
      </c>
      <c r="M24" s="46" t="str">
        <f t="shared" ca="1" si="4"/>
        <v/>
      </c>
      <c r="N24" s="46"/>
      <c r="O24" s="46" t="str">
        <f t="shared" ca="1" si="5"/>
        <v/>
      </c>
      <c r="P24" s="46" t="str">
        <f t="shared" ca="1" si="5"/>
        <v/>
      </c>
      <c r="Q24" s="46">
        <f t="shared" si="1"/>
        <v>2.4</v>
      </c>
      <c r="S24" s="98" t="str">
        <f t="shared" ca="1" si="6"/>
        <v/>
      </c>
      <c r="V24" t="str">
        <f t="shared" si="7"/>
        <v>HKI</v>
      </c>
      <c r="Z24" t="s">
        <v>1647</v>
      </c>
      <c r="AA24" s="102">
        <f>SUMIFS([1]unittypedata!$S:$S, [1]unittypedata!$D:$D, Z24)</f>
        <v>2</v>
      </c>
      <c r="AH24" t="s">
        <v>1640</v>
      </c>
      <c r="AI24">
        <v>36433.699999999997</v>
      </c>
      <c r="AJ24">
        <v>39159.1</v>
      </c>
      <c r="AK24">
        <v>41654.199999999997</v>
      </c>
      <c r="AL24">
        <v>42483.9</v>
      </c>
      <c r="AN24">
        <f t="shared" si="9"/>
        <v>39932.724999999999</v>
      </c>
    </row>
    <row r="25" spans="1:40">
      <c r="A25" t="s">
        <v>12</v>
      </c>
      <c r="B25" t="s">
        <v>1658</v>
      </c>
      <c r="C25" t="s">
        <v>20</v>
      </c>
      <c r="D25" s="53" t="s">
        <v>24</v>
      </c>
      <c r="E25" s="53">
        <v>1</v>
      </c>
      <c r="F25" s="53" t="s">
        <v>1668</v>
      </c>
      <c r="G25" s="46">
        <f ca="1">IF(ISTEXT($B25),IF(COUNTIF($B25,"*Industry*"),SUMIF('Industry-capacity'!$A$2:$A$6,$B25,'Industry-capacity'!$D$2:$D$6),IF(SUMIF(INDIRECT($C25&amp;"!A$2:A$20"),$B25,INDIRECT($C25&amp;"!D$2:D$20"))&gt;0,SUMIF(INDIRECT($C25&amp;"!A$2:A$20"),$B25,INDIRECT($C25&amp;"!D$2:D$20")),"")),"")</f>
        <v>220</v>
      </c>
      <c r="H25" s="46" t="str">
        <f t="shared" si="10"/>
        <v/>
      </c>
      <c r="I25" s="46">
        <f ca="1">IF(ISTEXT($B25),IF(COUNTIF($B25,"*Industry*"),SUMIF('Industry-capacity'!$A$2:$A$6,$B25,'Industry-capacity'!$B$2:$B$6),SUMIF(INDIRECT($C25&amp;"!A$2:A$20"),$B25,INDIRECT($C25&amp;"!B$2:B$20"))),"")</f>
        <v>88</v>
      </c>
      <c r="J25" s="46" t="str">
        <f t="shared" si="2"/>
        <v/>
      </c>
      <c r="K25" s="46">
        <f ca="1">IF(ISTEXT($B25),IF(COUNTIF($B25,"*Industry*"),SUMIF('Industry-capacity'!$A$2:$A$6,$B25,'Industry-capacity'!$C$2:$C$6),SUMIF(INDIRECT($C25&amp;"!A$2:A$20"),$B25,INDIRECT($C25&amp;"!C$2:C$20"))),"")</f>
        <v>90</v>
      </c>
      <c r="L25" s="46" t="str">
        <f t="shared" ca="1" si="3"/>
        <v>VAN</v>
      </c>
      <c r="M25" s="46">
        <f t="shared" ca="1" si="4"/>
        <v>0.97777777777777775</v>
      </c>
      <c r="N25" s="46"/>
      <c r="O25" s="46">
        <f t="shared" ca="1" si="5"/>
        <v>0.80909090909090908</v>
      </c>
      <c r="P25" s="46">
        <f t="shared" ca="1" si="5"/>
        <v>0.80909090909090908</v>
      </c>
      <c r="Q25" s="46">
        <f t="shared" si="1"/>
        <v>1.92</v>
      </c>
      <c r="S25" s="98" t="str">
        <f t="shared" ca="1" si="6"/>
        <v/>
      </c>
      <c r="V25" t="str">
        <f t="shared" si="7"/>
        <v>HKI</v>
      </c>
      <c r="Z25" s="99" t="s">
        <v>1614</v>
      </c>
      <c r="AA25" s="102">
        <f>SUMIFS([1]unittypedata!$S:$S, [1]unittypedata!$D:$D, Z25)</f>
        <v>2.6</v>
      </c>
      <c r="AH25" t="s">
        <v>1641</v>
      </c>
      <c r="AI25">
        <v>33797.5</v>
      </c>
      <c r="AJ25">
        <v>35109.9</v>
      </c>
      <c r="AK25">
        <v>42144.7</v>
      </c>
      <c r="AL25">
        <v>37805.300000000003</v>
      </c>
      <c r="AN25">
        <f t="shared" si="9"/>
        <v>37214.35</v>
      </c>
    </row>
    <row r="26" spans="1:40">
      <c r="A26" t="s">
        <v>12</v>
      </c>
      <c r="B26" t="s">
        <v>1656</v>
      </c>
      <c r="C26" t="s">
        <v>20</v>
      </c>
      <c r="D26" s="53" t="s">
        <v>24</v>
      </c>
      <c r="E26" s="53">
        <v>1</v>
      </c>
      <c r="F26" s="53" t="s">
        <v>1668</v>
      </c>
      <c r="G26" s="46">
        <f ca="1">IF(ISTEXT($B26),IF(COUNTIF($B26,"*Industry*"),SUMIF('Industry-capacity'!$A$2:$A$6,$B26,'Industry-capacity'!$D$2:$D$6),IF(SUMIF(INDIRECT($C26&amp;"!A$2:A$20"),$B26,INDIRECT($C26&amp;"!D$2:D$20"))&gt;0,SUMIF(INDIRECT($C26&amp;"!A$2:A$20"),$B26,INDIRECT($C26&amp;"!D$2:D$20")),"")),"")</f>
        <v>120</v>
      </c>
      <c r="H26" s="46" t="str">
        <f t="shared" si="10"/>
        <v/>
      </c>
      <c r="I26" s="46">
        <f ca="1">IF(ISTEXT($B26),IF(COUNTIF($B26,"*Industry*"),SUMIF('Industry-capacity'!$A$2:$A$6,$B26,'Industry-capacity'!$B$2:$B$6),SUMIF(INDIRECT($C26&amp;"!A$2:A$20"),$B26,INDIRECT($C26&amp;"!B$2:B$20"))),"")</f>
        <v>28</v>
      </c>
      <c r="J26" s="46" t="str">
        <f t="shared" si="2"/>
        <v/>
      </c>
      <c r="K26" s="46">
        <f ca="1">IF(ISTEXT($B26),IF(COUNTIF($B26,"*Industry*"),SUMIF('Industry-capacity'!$A$2:$A$6,$B26,'Industry-capacity'!$C$2:$C$6),SUMIF(INDIRECT($C26&amp;"!A$2:A$20"),$B26,INDIRECT($C26&amp;"!C$2:C$20"))),"")</f>
        <v>105</v>
      </c>
      <c r="L26" s="46" t="str">
        <f t="shared" ca="1" si="3"/>
        <v>VAN</v>
      </c>
      <c r="M26" s="46">
        <f t="shared" ca="1" si="4"/>
        <v>0.26666666666666666</v>
      </c>
      <c r="N26" s="46"/>
      <c r="O26" s="46">
        <f t="shared" ca="1" si="5"/>
        <v>1.1083333333333334</v>
      </c>
      <c r="P26" s="46">
        <f t="shared" ca="1" si="5"/>
        <v>1.1083333333333334</v>
      </c>
      <c r="Q26" s="46">
        <f t="shared" si="1"/>
        <v>2.4</v>
      </c>
      <c r="S26" s="98" t="str">
        <f t="shared" ca="1" si="6"/>
        <v/>
      </c>
      <c r="V26" t="str">
        <f t="shared" si="7"/>
        <v>HKI</v>
      </c>
      <c r="Z26" t="s">
        <v>1615</v>
      </c>
      <c r="AA26" s="102">
        <f>SUMIFS([1]unittypedata!$S:$S, [1]unittypedata!$D:$D, Z26)</f>
        <v>2.6</v>
      </c>
      <c r="AH26" t="s">
        <v>1642</v>
      </c>
      <c r="AI26">
        <v>38277.199999999997</v>
      </c>
      <c r="AJ26">
        <v>39167.199999999997</v>
      </c>
      <c r="AK26">
        <v>46665.3</v>
      </c>
      <c r="AL26">
        <v>44869.7</v>
      </c>
      <c r="AN26">
        <f t="shared" si="9"/>
        <v>42244.85</v>
      </c>
    </row>
    <row r="27" spans="1:40">
      <c r="A27" t="s">
        <v>12</v>
      </c>
      <c r="B27" t="s">
        <v>1659</v>
      </c>
      <c r="C27" t="s">
        <v>20</v>
      </c>
      <c r="D27" s="53" t="s">
        <v>24</v>
      </c>
      <c r="E27" s="53">
        <v>1</v>
      </c>
      <c r="F27" s="53" t="s">
        <v>1668</v>
      </c>
      <c r="G27" s="46">
        <f ca="1">IF(ISTEXT($B27),IF(COUNTIF($B27,"*Industry*"),SUMIF('Industry-capacity'!$A$2:$A$6,$B27,'Industry-capacity'!$D$2:$D$6),IF(SUMIF(INDIRECT($C27&amp;"!A$2:A$20"),$B27,INDIRECT($C27&amp;"!D$2:D$20"))&gt;0,SUMIF(INDIRECT($C27&amp;"!A$2:A$20"),$B27,INDIRECT($C27&amp;"!D$2:D$20")),"")),"")</f>
        <v>202</v>
      </c>
      <c r="H27" s="46" t="str">
        <f t="shared" si="10"/>
        <v/>
      </c>
      <c r="I27" s="46">
        <f ca="1">IF(ISTEXT($B27),IF(COUNTIF($B27,"*Industry*"),SUMIF('Industry-capacity'!$A$2:$A$6,$B27,'Industry-capacity'!$B$2:$B$6),SUMIF(INDIRECT($C27&amp;"!A$2:A$20"),$B27,INDIRECT($C27&amp;"!B$2:B$20"))),"")</f>
        <v>76.400000000000006</v>
      </c>
      <c r="J27" s="46" t="str">
        <f t="shared" si="2"/>
        <v/>
      </c>
      <c r="K27" s="46">
        <f ca="1">IF(ISTEXT($B27),IF(COUNTIF($B27,"*Industry*"),SUMIF('Industry-capacity'!$A$2:$A$6,$B27,'Industry-capacity'!$C$2:$C$6),SUMIF(INDIRECT($C27&amp;"!A$2:A$20"),$B27,INDIRECT($C27&amp;"!C$2:C$20"))),"")</f>
        <v>147</v>
      </c>
      <c r="L27" s="46" t="str">
        <f t="shared" ca="1" si="3"/>
        <v>VAN</v>
      </c>
      <c r="M27" s="46">
        <f t="shared" ca="1" si="4"/>
        <v>0.51972789115646267</v>
      </c>
      <c r="N27" s="46"/>
      <c r="O27" s="46">
        <f t="shared" ca="1" si="5"/>
        <v>1.105940594059406</v>
      </c>
      <c r="P27" s="46">
        <f t="shared" ca="1" si="5"/>
        <v>1.105940594059406</v>
      </c>
      <c r="Q27" s="46">
        <f t="shared" si="1"/>
        <v>2.4</v>
      </c>
      <c r="S27" s="98" t="str">
        <f t="shared" ca="1" si="6"/>
        <v/>
      </c>
      <c r="V27" t="str">
        <f t="shared" si="7"/>
        <v>HKI</v>
      </c>
      <c r="Z27" t="s">
        <v>1616</v>
      </c>
      <c r="AA27" s="102">
        <f>SUMIFS([1]unittypedata!$S:$S, [1]unittypedata!$D:$D, Z27)</f>
        <v>2.6</v>
      </c>
      <c r="AH27" t="s">
        <v>1643</v>
      </c>
      <c r="AI27">
        <v>39532.800000000003</v>
      </c>
      <c r="AJ27">
        <v>44250.6</v>
      </c>
      <c r="AK27">
        <v>48917.599999999999</v>
      </c>
      <c r="AL27">
        <v>53681.8</v>
      </c>
      <c r="AN27">
        <f t="shared" si="9"/>
        <v>46595.7</v>
      </c>
    </row>
    <row r="28" spans="1:40">
      <c r="A28" t="s">
        <v>12</v>
      </c>
      <c r="B28" t="s">
        <v>1652</v>
      </c>
      <c r="C28" t="s">
        <v>20</v>
      </c>
      <c r="D28" s="53" t="s">
        <v>24</v>
      </c>
      <c r="E28" s="53">
        <v>1</v>
      </c>
      <c r="F28" s="53" t="s">
        <v>1668</v>
      </c>
      <c r="G28" s="46" t="str">
        <f ca="1">IF(ISTEXT($B28),IF(COUNTIF($B28,"*Industry*"),SUMIF('Industry-capacity'!$A$2:$A$6,$B28,'Industry-capacity'!$D$2:$D$6),IF(SUMIF(INDIRECT($C28&amp;"!A$2:A$20"),$B28,INDIRECT($C28&amp;"!D$2:D$20"))&gt;0,SUMIF(INDIRECT($C28&amp;"!A$2:A$20"),$B28,INDIRECT($C28&amp;"!D$2:D$20")),"")),"")</f>
        <v/>
      </c>
      <c r="H28" s="46" t="str">
        <f t="shared" si="10"/>
        <v/>
      </c>
      <c r="I28" s="46">
        <f ca="1">IF(ISTEXT($B28),IF(COUNTIF($B28,"*Industry*"),SUMIF('Industry-capacity'!$A$2:$A$6,$B28,'Industry-capacity'!$B$2:$B$6),SUMIF(INDIRECT($C28&amp;"!A$2:A$20"),$B28,INDIRECT($C28&amp;"!B$2:B$20"))),"")</f>
        <v>180</v>
      </c>
      <c r="J28" s="46" t="str">
        <f t="shared" si="2"/>
        <v>VAN</v>
      </c>
      <c r="K28" s="46">
        <f ca="1">IF(ISTEXT($B28),IF(COUNTIF($B28,"*Industry*"),SUMIF('Industry-capacity'!$A$2:$A$6,$B28,'Industry-capacity'!$C$2:$C$6),SUMIF(INDIRECT($C28&amp;"!A$2:A$20"),$B28,INDIRECT($C28&amp;"!C$2:C$20"))),"")</f>
        <v>0</v>
      </c>
      <c r="L28" s="46" t="str">
        <f t="shared" ca="1" si="3"/>
        <v/>
      </c>
      <c r="M28" s="46" t="str">
        <f t="shared" ca="1" si="4"/>
        <v/>
      </c>
      <c r="N28" s="46"/>
      <c r="O28" s="46" t="str">
        <f t="shared" ca="1" si="5"/>
        <v/>
      </c>
      <c r="P28" s="46" t="str">
        <f t="shared" ca="1" si="5"/>
        <v/>
      </c>
      <c r="Q28" s="46">
        <f t="shared" si="1"/>
        <v>1.8</v>
      </c>
      <c r="S28" s="98" t="str">
        <f t="shared" ca="1" si="6"/>
        <v/>
      </c>
      <c r="V28" t="str">
        <f t="shared" si="7"/>
        <v>HKI</v>
      </c>
      <c r="Z28" s="99" t="s">
        <v>1617</v>
      </c>
      <c r="AA28" s="102">
        <f>SUMIFS([1]unittypedata!$S:$S, [1]unittypedata!$D:$D, Z28)</f>
        <v>2.6</v>
      </c>
    </row>
    <row r="29" spans="1:40">
      <c r="A29" t="s">
        <v>12</v>
      </c>
      <c r="B29" t="s">
        <v>1613</v>
      </c>
      <c r="C29" t="s">
        <v>20</v>
      </c>
      <c r="D29" s="53" t="s">
        <v>24</v>
      </c>
      <c r="E29" s="53">
        <v>1</v>
      </c>
      <c r="F29" s="53" t="s">
        <v>1668</v>
      </c>
      <c r="G29" s="46" t="str">
        <f ca="1">IF(ISTEXT($B29),IF(COUNTIF($B29,"*Industry*"),SUMIF('Industry-capacity'!$A$2:$A$6,$B29,'Industry-capacity'!$D$2:$D$6),IF(SUMIF(INDIRECT($C29&amp;"!A$2:A$20"),$B29,INDIRECT($C29&amp;"!D$2:D$20"))&gt;0,SUMIF(INDIRECT($C29&amp;"!A$2:A$20"),$B29,INDIRECT($C29&amp;"!D$2:D$20")),"")),"")</f>
        <v/>
      </c>
      <c r="H29" s="46" t="str">
        <f t="shared" si="10"/>
        <v/>
      </c>
      <c r="I29" s="46">
        <f ca="1">IF(ISTEXT($B29),IF(COUNTIF($B29,"*Industry*"),SUMIF('Industry-capacity'!$A$2:$A$6,$B29,'Industry-capacity'!$B$2:$B$6),SUMIF(INDIRECT($C29&amp;"!A$2:A$20"),$B29,INDIRECT($C29&amp;"!B$2:B$20"))),"")</f>
        <v>35</v>
      </c>
      <c r="J29" s="46" t="str">
        <f t="shared" si="2"/>
        <v>VAN</v>
      </c>
      <c r="K29" s="46">
        <f ca="1">IF(ISTEXT($B29),IF(COUNTIF($B29,"*Industry*"),SUMIF('Industry-capacity'!$A$2:$A$6,$B29,'Industry-capacity'!$C$2:$C$6),SUMIF(INDIRECT($C29&amp;"!A$2:A$20"),$B29,INDIRECT($C29&amp;"!C$2:C$20"))),"")</f>
        <v>0</v>
      </c>
      <c r="L29" s="46" t="str">
        <f t="shared" ca="1" si="3"/>
        <v/>
      </c>
      <c r="M29" s="46" t="str">
        <f t="shared" ca="1" si="4"/>
        <v/>
      </c>
      <c r="N29" s="46"/>
      <c r="O29" s="46" t="str">
        <f t="shared" ca="1" si="5"/>
        <v/>
      </c>
      <c r="P29" s="46" t="str">
        <f t="shared" ca="1" si="5"/>
        <v/>
      </c>
      <c r="Q29" s="46">
        <f t="shared" si="1"/>
        <v>7.21</v>
      </c>
      <c r="S29" s="98" t="str">
        <f t="shared" ca="1" si="6"/>
        <v/>
      </c>
      <c r="V29" t="str">
        <f t="shared" si="7"/>
        <v>HKI</v>
      </c>
      <c r="Z29" s="99" t="s">
        <v>1663</v>
      </c>
      <c r="AA29" s="102">
        <f>SUMIFS([1]unittypedata!$S:$S, [1]unittypedata!$D:$D, Z29)</f>
        <v>3.3</v>
      </c>
    </row>
    <row r="30" spans="1:40">
      <c r="A30" t="s">
        <v>12</v>
      </c>
      <c r="B30" t="s">
        <v>1653</v>
      </c>
      <c r="C30" t="s">
        <v>20</v>
      </c>
      <c r="D30" s="53" t="s">
        <v>24</v>
      </c>
      <c r="E30" s="53">
        <v>1</v>
      </c>
      <c r="F30" s="53" t="s">
        <v>1668</v>
      </c>
      <c r="G30" s="46" t="str">
        <f ca="1">IF(ISTEXT($B30),IF(COUNTIF($B30,"*Industry*"),SUMIF('Industry-capacity'!$A$2:$A$6,$B30,'Industry-capacity'!$D$2:$D$6),IF(SUMIF(INDIRECT($C30&amp;"!A$2:A$20"),$B30,INDIRECT($C30&amp;"!D$2:D$20"))&gt;0,SUMIF(INDIRECT($C30&amp;"!A$2:A$20"),$B30,INDIRECT($C30&amp;"!D$2:D$20")),"")),"")</f>
        <v/>
      </c>
      <c r="H30" s="46" t="str">
        <f t="shared" si="10"/>
        <v/>
      </c>
      <c r="I30" s="46">
        <f ca="1">IF(ISTEXT($B30),IF(COUNTIF($B30,"*Industry*"),SUMIF('Industry-capacity'!$A$2:$A$6,$B30,'Industry-capacity'!$B$2:$B$6),SUMIF(INDIRECT($C30&amp;"!A$2:A$20"),$B30,INDIRECT($C30&amp;"!B$2:B$20"))),"")</f>
        <v>23</v>
      </c>
      <c r="J30" s="46" t="str">
        <f t="shared" si="2"/>
        <v>VAN</v>
      </c>
      <c r="K30" s="46">
        <f ca="1">IF(ISTEXT($B30),IF(COUNTIF($B30,"*Industry*"),SUMIF('Industry-capacity'!$A$2:$A$6,$B30,'Industry-capacity'!$C$2:$C$6),SUMIF(INDIRECT($C30&amp;"!A$2:A$20"),$B30,INDIRECT($C30&amp;"!C$2:C$20"))),"")</f>
        <v>0</v>
      </c>
      <c r="L30" s="46" t="str">
        <f t="shared" ca="1" si="3"/>
        <v/>
      </c>
      <c r="M30" s="46" t="str">
        <f t="shared" ca="1" si="4"/>
        <v/>
      </c>
      <c r="N30" s="46"/>
      <c r="O30" s="46" t="str">
        <f t="shared" ca="1" si="5"/>
        <v/>
      </c>
      <c r="P30" s="46" t="str">
        <f t="shared" ca="1" si="5"/>
        <v/>
      </c>
      <c r="Q30" s="46">
        <f t="shared" si="1"/>
        <v>2.4</v>
      </c>
      <c r="S30" s="98" t="str">
        <f t="shared" ca="1" si="6"/>
        <v/>
      </c>
      <c r="V30" t="str">
        <f t="shared" si="7"/>
        <v>HKI</v>
      </c>
      <c r="Z30" s="99" t="s">
        <v>1664</v>
      </c>
      <c r="AA30" s="102">
        <f>SUMIFS([1]unittypedata!$S:$S, [1]unittypedata!$D:$D, Z30)</f>
        <v>3.3</v>
      </c>
    </row>
    <row r="31" spans="1:40">
      <c r="A31" t="s">
        <v>12</v>
      </c>
      <c r="B31" t="s">
        <v>1648</v>
      </c>
      <c r="C31" t="s">
        <v>20</v>
      </c>
      <c r="D31" s="53" t="s">
        <v>24</v>
      </c>
      <c r="E31" s="53">
        <v>1</v>
      </c>
      <c r="F31" s="53" t="s">
        <v>1668</v>
      </c>
      <c r="G31" s="46" t="str">
        <f ca="1">IF(ISTEXT($B31),IF(COUNTIF($B31,"*Industry*"),SUMIF('Industry-capacity'!$A$2:$A$6,$B31,'Industry-capacity'!$D$2:$D$6),IF(SUMIF(INDIRECT($C31&amp;"!A$2:A$20"),$B31,INDIRECT($C31&amp;"!D$2:D$20"))&gt;0,SUMIF(INDIRECT($C31&amp;"!A$2:A$20"),$B31,INDIRECT($C31&amp;"!D$2:D$20")),"")),"")</f>
        <v/>
      </c>
      <c r="H31" s="46" t="str">
        <f t="shared" si="10"/>
        <v>VAN</v>
      </c>
      <c r="I31" s="46">
        <f ca="1">IF(ISTEXT($B31),IF(COUNTIF($B31,"*Industry*"),SUMIF('Industry-capacity'!$A$2:$A$6,$B31,'Industry-capacity'!$B$2:$B$6),SUMIF(INDIRECT($C31&amp;"!A$2:A$20"),$B31,INDIRECT($C31&amp;"!B$2:B$20"))),"")</f>
        <v>180</v>
      </c>
      <c r="J31" s="46" t="str">
        <f t="shared" si="2"/>
        <v>VAN</v>
      </c>
      <c r="K31" s="46">
        <f ca="1">IF(ISTEXT($B31),IF(COUNTIF($B31,"*Industry*"),SUMIF('Industry-capacity'!$A$2:$A$6,$B31,'Industry-capacity'!$C$2:$C$6),SUMIF(INDIRECT($C31&amp;"!A$2:A$20"),$B31,INDIRECT($C31&amp;"!C$2:C$20"))),"")</f>
        <v>0</v>
      </c>
      <c r="L31" s="46" t="str">
        <f t="shared" ca="1" si="3"/>
        <v/>
      </c>
      <c r="M31" s="46" t="str">
        <f t="shared" ca="1" si="4"/>
        <v/>
      </c>
      <c r="N31" s="46"/>
      <c r="O31" s="46" t="str">
        <f t="shared" ca="1" si="5"/>
        <v/>
      </c>
      <c r="P31" s="46" t="str">
        <f t="shared" ca="1" si="5"/>
        <v/>
      </c>
      <c r="Q31" s="46">
        <f t="shared" si="1"/>
        <v>1.68</v>
      </c>
      <c r="S31" s="98" t="str">
        <f t="shared" ca="1" si="6"/>
        <v/>
      </c>
      <c r="V31" t="str">
        <f t="shared" si="7"/>
        <v>HKI</v>
      </c>
      <c r="Z31" t="s">
        <v>1665</v>
      </c>
      <c r="AA31" s="102">
        <f>SUMIFS([1]unittypedata!$S:$S, [1]unittypedata!$D:$D, Z31)</f>
        <v>3.3</v>
      </c>
    </row>
    <row r="32" spans="1:40">
      <c r="A32" t="s">
        <v>12</v>
      </c>
      <c r="B32" t="s">
        <v>1649</v>
      </c>
      <c r="C32" t="s">
        <v>20</v>
      </c>
      <c r="D32" s="53" t="s">
        <v>24</v>
      </c>
      <c r="E32" s="53">
        <v>1</v>
      </c>
      <c r="F32" s="53" t="s">
        <v>1668</v>
      </c>
      <c r="G32" s="46" t="str">
        <f ca="1">IF(ISTEXT($B32),IF(COUNTIF($B32,"*Industry*"),SUMIF('Industry-capacity'!$A$2:$A$6,$B32,'Industry-capacity'!$D$2:$D$6),IF(SUMIF(INDIRECT($C32&amp;"!A$2:A$20"),$B32,INDIRECT($C32&amp;"!D$2:D$20"))&gt;0,SUMIF(INDIRECT($C32&amp;"!A$2:A$20"),$B32,INDIRECT($C32&amp;"!D$2:D$20")),"")),"")</f>
        <v/>
      </c>
      <c r="H32" s="46" t="str">
        <f t="shared" si="10"/>
        <v>VAN</v>
      </c>
      <c r="I32" s="46">
        <f ca="1">IF(ISTEXT($B32),IF(COUNTIF($B32,"*Industry*"),SUMIF('Industry-capacity'!$A$2:$A$6,$B32,'Industry-capacity'!$B$2:$B$6),SUMIF(INDIRECT($C32&amp;"!A$2:A$20"),$B32,INDIRECT($C32&amp;"!B$2:B$20"))),"")</f>
        <v>180</v>
      </c>
      <c r="J32" s="46" t="str">
        <f t="shared" si="2"/>
        <v>VAN</v>
      </c>
      <c r="K32" s="46">
        <f ca="1">IF(ISTEXT($B32),IF(COUNTIF($B32,"*Industry*"),SUMIF('Industry-capacity'!$A$2:$A$6,$B32,'Industry-capacity'!$C$2:$C$6),SUMIF(INDIRECT($C32&amp;"!A$2:A$20"),$B32,INDIRECT($C32&amp;"!C$2:C$20"))),"")</f>
        <v>0</v>
      </c>
      <c r="L32" s="46" t="str">
        <f t="shared" ca="1" si="3"/>
        <v/>
      </c>
      <c r="M32" s="46" t="str">
        <f t="shared" ca="1" si="4"/>
        <v/>
      </c>
      <c r="N32" s="46"/>
      <c r="O32" s="46" t="str">
        <f t="shared" ca="1" si="5"/>
        <v/>
      </c>
      <c r="P32" s="46" t="str">
        <f t="shared" ca="1" si="5"/>
        <v/>
      </c>
      <c r="Q32" s="46">
        <f t="shared" si="1"/>
        <v>1.68</v>
      </c>
      <c r="S32" s="98" t="str">
        <f t="shared" ca="1" si="6"/>
        <v/>
      </c>
      <c r="V32" t="str">
        <f t="shared" si="7"/>
        <v>HKI</v>
      </c>
      <c r="Z32" t="s">
        <v>1666</v>
      </c>
      <c r="AA32" s="102">
        <f>SUMIFS([1]unittypedata!$S:$S, [1]unittypedata!$D:$D, Z32)</f>
        <v>3.3</v>
      </c>
    </row>
    <row r="33" spans="1:26">
      <c r="A33" t="s">
        <v>12</v>
      </c>
      <c r="B33" t="s">
        <v>1661</v>
      </c>
      <c r="C33" t="s">
        <v>20</v>
      </c>
      <c r="D33" s="53" t="s">
        <v>24</v>
      </c>
      <c r="E33" s="53">
        <v>1</v>
      </c>
      <c r="F33" s="53" t="s">
        <v>1668</v>
      </c>
      <c r="G33" s="46" t="str">
        <f ca="1">IF(ISTEXT($B33),IF(COUNTIF($B33,"*Industry*"),SUMIF('Industry-capacity'!$A$2:$A$6,$B33,'Industry-capacity'!$D$2:$D$6),IF(SUMIF(INDIRECT($C33&amp;"!A$2:A$20"),$B33,INDIRECT($C33&amp;"!D$2:D$20"))&gt;0,SUMIF(INDIRECT($C33&amp;"!A$2:A$20"),$B33,INDIRECT($C33&amp;"!D$2:D$20")),"")),"")</f>
        <v/>
      </c>
      <c r="H33" s="46" t="str">
        <f t="shared" si="10"/>
        <v>VAN</v>
      </c>
      <c r="I33" s="46">
        <f ca="1">IF(ISTEXT($B33),IF(COUNTIF($B33,"*Industry*"),SUMIF('Industry-capacity'!$A$2:$A$6,$B33,'Industry-capacity'!$B$2:$B$6),SUMIF(INDIRECT($C33&amp;"!A$2:A$20"),$B33,INDIRECT($C33&amp;"!B$2:B$20"))),"")</f>
        <v>200</v>
      </c>
      <c r="J33" s="46" t="str">
        <f t="shared" si="2"/>
        <v>VAN</v>
      </c>
      <c r="K33" s="46">
        <f ca="1">IF(ISTEXT($B33),IF(COUNTIF($B33,"*Industry*"),SUMIF('Industry-capacity'!$A$2:$A$6,$B33,'Industry-capacity'!$C$2:$C$6),SUMIF(INDIRECT($C33&amp;"!A$2:A$20"),$B33,INDIRECT($C33&amp;"!C$2:C$20"))),"")</f>
        <v>0</v>
      </c>
      <c r="L33" s="46" t="str">
        <f t="shared" ca="1" si="3"/>
        <v/>
      </c>
      <c r="M33" s="46" t="str">
        <f t="shared" ca="1" si="4"/>
        <v/>
      </c>
      <c r="N33" s="46"/>
      <c r="O33" s="46" t="str">
        <f t="shared" ca="1" si="5"/>
        <v/>
      </c>
      <c r="P33" s="46" t="str">
        <f t="shared" ca="1" si="5"/>
        <v/>
      </c>
      <c r="Q33" s="46">
        <f t="shared" si="1"/>
        <v>2.4</v>
      </c>
      <c r="S33" s="98" t="str">
        <f t="shared" ca="1" si="6"/>
        <v/>
      </c>
      <c r="V33" t="str">
        <f t="shared" si="7"/>
        <v>HKI</v>
      </c>
    </row>
    <row r="34" spans="1:26">
      <c r="A34" t="s">
        <v>12</v>
      </c>
      <c r="B34" t="s">
        <v>1662</v>
      </c>
      <c r="C34" t="s">
        <v>20</v>
      </c>
      <c r="D34" s="53" t="s">
        <v>24</v>
      </c>
      <c r="E34" s="53">
        <v>1</v>
      </c>
      <c r="F34" s="53" t="s">
        <v>1668</v>
      </c>
      <c r="G34" s="46" t="str">
        <f ca="1">IF(ISTEXT($B34),IF(COUNTIF($B34,"*Industry*"),SUMIF('Industry-capacity'!$A$2:$A$6,$B34,'Industry-capacity'!$D$2:$D$6),IF(SUMIF(INDIRECT($C34&amp;"!A$2:A$20"),$B34,INDIRECT($C34&amp;"!D$2:D$20"))&gt;0,SUMIF(INDIRECT($C34&amp;"!A$2:A$20"),$B34,INDIRECT($C34&amp;"!D$2:D$20")),"")),"")</f>
        <v/>
      </c>
      <c r="H34" s="46" t="str">
        <f t="shared" si="10"/>
        <v>VAN</v>
      </c>
      <c r="I34" s="46">
        <f ca="1">IF(ISTEXT($B34),IF(COUNTIF($B34,"*Industry*"),SUMIF('Industry-capacity'!$A$2:$A$6,$B34,'Industry-capacity'!$B$2:$B$6),SUMIF(INDIRECT($C34&amp;"!A$2:A$20"),$B34,INDIRECT($C34&amp;"!B$2:B$20"))),"")</f>
        <v>200</v>
      </c>
      <c r="J34" s="46" t="str">
        <f t="shared" si="2"/>
        <v>VAN</v>
      </c>
      <c r="K34" s="46">
        <f ca="1">IF(ISTEXT($B34),IF(COUNTIF($B34,"*Industry*"),SUMIF('Industry-capacity'!$A$2:$A$6,$B34,'Industry-capacity'!$C$2:$C$6),SUMIF(INDIRECT($C34&amp;"!A$2:A$20"),$B34,INDIRECT($C34&amp;"!C$2:C$20"))),"")</f>
        <v>0</v>
      </c>
      <c r="L34" s="46" t="str">
        <f t="shared" ca="1" si="3"/>
        <v/>
      </c>
      <c r="M34" s="46" t="str">
        <f t="shared" ca="1" si="4"/>
        <v/>
      </c>
      <c r="N34" s="46"/>
      <c r="O34" s="46" t="str">
        <f t="shared" ca="1" si="5"/>
        <v/>
      </c>
      <c r="P34" s="46" t="str">
        <f t="shared" ca="1" si="5"/>
        <v/>
      </c>
      <c r="Q34" s="46">
        <f t="shared" si="1"/>
        <v>2.4</v>
      </c>
      <c r="S34" s="98" t="str">
        <f t="shared" ca="1" si="6"/>
        <v/>
      </c>
      <c r="V34" t="str">
        <f t="shared" si="7"/>
        <v>HKI</v>
      </c>
    </row>
    <row r="35" spans="1:26">
      <c r="A35" t="s">
        <v>12</v>
      </c>
      <c r="B35" t="s">
        <v>1657</v>
      </c>
      <c r="C35" t="s">
        <v>18</v>
      </c>
      <c r="D35" s="53" t="s">
        <v>24</v>
      </c>
      <c r="E35" s="53">
        <v>1</v>
      </c>
      <c r="F35" s="53" t="s">
        <v>1668</v>
      </c>
      <c r="G35" s="46" t="str">
        <f ca="1">IF(ISTEXT($B35),IF(COUNTIF($B35,"*Industry*"),SUMIF('Industry-capacity'!$A$2:$A$6,$B35,'Industry-capacity'!$D$2:$D$6),IF(SUMIF(INDIRECT($C35&amp;"!A$2:A$20"),$B35,INDIRECT($C35&amp;"!D$2:D$20"))&gt;0,SUMIF(INDIRECT($C35&amp;"!A$2:A$20"),$B35,INDIRECT($C35&amp;"!D$2:D$20")),"")),"")</f>
        <v/>
      </c>
      <c r="H35" s="46" t="str">
        <f t="shared" si="10"/>
        <v/>
      </c>
      <c r="I35" s="46">
        <f ca="1">IF(ISTEXT($B35),IF(COUNTIF($B35,"*Industry*"),SUMIF('Industry-capacity'!$A$2:$A$6,$B35,'Industry-capacity'!$B$2:$B$6),SUMIF(INDIRECT($C35&amp;"!A$2:A$20"),$B35,INDIRECT($C35&amp;"!B$2:B$20"))),"")</f>
        <v>235</v>
      </c>
      <c r="J35" s="46" t="str">
        <f t="shared" si="2"/>
        <v>TRE</v>
      </c>
      <c r="K35" s="46">
        <f ca="1">IF(ISTEXT($B35),IF(COUNTIF($B35,"*Industry*"),SUMIF('Industry-capacity'!$A$2:$A$6,$B35,'Industry-capacity'!$C$2:$C$6),SUMIF(INDIRECT($C35&amp;"!A$2:A$20"),$B35,INDIRECT($C35&amp;"!C$2:C$20"))),"")</f>
        <v>0</v>
      </c>
      <c r="L35" s="46" t="str">
        <f t="shared" ca="1" si="3"/>
        <v/>
      </c>
      <c r="M35" s="46" t="str">
        <f t="shared" ca="1" si="4"/>
        <v/>
      </c>
      <c r="N35" s="46"/>
      <c r="O35" s="46" t="str">
        <f t="shared" ca="1" si="5"/>
        <v/>
      </c>
      <c r="P35" s="46" t="str">
        <f t="shared" ca="1" si="5"/>
        <v/>
      </c>
      <c r="Q35" s="46">
        <f t="shared" ref="Q35:Q66" si="11">ROUND(VLOOKUP($B35, $Z$6:$AA$32,2,FALSE) * (1+$AD$6) * (1 + IF(C35="",1, VLOOKUP($C35,$AC$8:$AD$15,2,FALSE))), 2)</f>
        <v>2.15</v>
      </c>
      <c r="S35" s="98" t="str">
        <f t="shared" ca="1" si="6"/>
        <v/>
      </c>
      <c r="V35" t="str">
        <f t="shared" si="7"/>
        <v>ROF</v>
      </c>
    </row>
    <row r="36" spans="1:26">
      <c r="A36" t="s">
        <v>12</v>
      </c>
      <c r="B36" t="s">
        <v>1654</v>
      </c>
      <c r="C36" t="s">
        <v>18</v>
      </c>
      <c r="D36" s="53" t="s">
        <v>24</v>
      </c>
      <c r="E36" s="53">
        <v>1</v>
      </c>
      <c r="F36" s="53" t="s">
        <v>1668</v>
      </c>
      <c r="G36" s="46" t="str">
        <f ca="1">IF(ISTEXT($B36),IF(COUNTIF($B36,"*Industry*"),SUMIF('Industry-capacity'!$A$2:$A$6,$B36,'Industry-capacity'!$D$2:$D$6),IF(SUMIF(INDIRECT($C36&amp;"!A$2:A$20"),$B36,INDIRECT($C36&amp;"!D$2:D$20"))&gt;0,SUMIF(INDIRECT($C36&amp;"!A$2:A$20"),$B36,INDIRECT($C36&amp;"!D$2:D$20")),"")),"")</f>
        <v/>
      </c>
      <c r="H36" s="46" t="str">
        <f t="shared" si="10"/>
        <v/>
      </c>
      <c r="I36" s="46">
        <f ca="1">IF(ISTEXT($B36),IF(COUNTIF($B36,"*Industry*"),SUMIF('Industry-capacity'!$A$2:$A$6,$B36,'Industry-capacity'!$B$2:$B$6),SUMIF(INDIRECT($C36&amp;"!A$2:A$20"),$B36,INDIRECT($C36&amp;"!B$2:B$20"))),"")</f>
        <v>305</v>
      </c>
      <c r="J36" s="46" t="str">
        <f t="shared" si="2"/>
        <v>TRE</v>
      </c>
      <c r="K36" s="46">
        <f ca="1">IF(ISTEXT($B36),IF(COUNTIF($B36,"*Industry*"),SUMIF('Industry-capacity'!$A$2:$A$6,$B36,'Industry-capacity'!$C$2:$C$6),SUMIF(INDIRECT($C36&amp;"!A$2:A$20"),$B36,INDIRECT($C36&amp;"!C$2:C$20"))),"")</f>
        <v>0</v>
      </c>
      <c r="L36" s="46" t="str">
        <f t="shared" ca="1" si="3"/>
        <v/>
      </c>
      <c r="M36" s="46" t="str">
        <f t="shared" ca="1" si="4"/>
        <v/>
      </c>
      <c r="N36" s="46"/>
      <c r="O36" s="46" t="str">
        <f t="shared" ref="O36:P83" ca="1" si="12">IF(SUM($G36)&gt;0,($I36+$K36)/$G36,"")</f>
        <v/>
      </c>
      <c r="P36" s="46" t="str">
        <f t="shared" ca="1" si="12"/>
        <v/>
      </c>
      <c r="Q36" s="46">
        <f t="shared" si="11"/>
        <v>2.15</v>
      </c>
      <c r="S36" s="98" t="str">
        <f t="shared" ca="1" si="6"/>
        <v/>
      </c>
      <c r="V36" t="str">
        <f t="shared" si="7"/>
        <v>ROF</v>
      </c>
    </row>
    <row r="37" spans="1:26">
      <c r="A37" t="s">
        <v>12</v>
      </c>
      <c r="B37" t="s">
        <v>1653</v>
      </c>
      <c r="C37" t="s">
        <v>18</v>
      </c>
      <c r="D37" s="53" t="s">
        <v>24</v>
      </c>
      <c r="E37" s="53">
        <v>1</v>
      </c>
      <c r="F37" s="53" t="s">
        <v>1668</v>
      </c>
      <c r="G37" s="46" t="str">
        <f ca="1">IF(ISTEXT($B37),IF(COUNTIF($B37,"*Industry*"),SUMIF('Industry-capacity'!$A$2:$A$6,$B37,'Industry-capacity'!$D$2:$D$6),IF(SUMIF(INDIRECT($C37&amp;"!A$2:A$20"),$B37,INDIRECT($C37&amp;"!D$2:D$20"))&gt;0,SUMIF(INDIRECT($C37&amp;"!A$2:A$20"),$B37,INDIRECT($C37&amp;"!D$2:D$20")),"")),"")</f>
        <v/>
      </c>
      <c r="H37" s="46" t="str">
        <f t="shared" si="10"/>
        <v/>
      </c>
      <c r="I37" s="46">
        <f ca="1">IF(ISTEXT($B37),IF(COUNTIF($B37,"*Industry*"),SUMIF('Industry-capacity'!$A$2:$A$6,$B37,'Industry-capacity'!$B$2:$B$6),SUMIF(INDIRECT($C37&amp;"!A$2:A$20"),$B37,INDIRECT($C37&amp;"!B$2:B$20"))),"")</f>
        <v>92</v>
      </c>
      <c r="J37" s="46" t="str">
        <f t="shared" si="2"/>
        <v>TRE</v>
      </c>
      <c r="K37" s="46">
        <f ca="1">IF(ISTEXT($B37),IF(COUNTIF($B37,"*Industry*"),SUMIF('Industry-capacity'!$A$2:$A$6,$B37,'Industry-capacity'!$C$2:$C$6),SUMIF(INDIRECT($C37&amp;"!A$2:A$20"),$B37,INDIRECT($C37&amp;"!C$2:C$20"))),"")</f>
        <v>0</v>
      </c>
      <c r="L37" s="46" t="str">
        <f t="shared" ca="1" si="3"/>
        <v/>
      </c>
      <c r="M37" s="46" t="str">
        <f t="shared" ca="1" si="4"/>
        <v/>
      </c>
      <c r="N37" s="46"/>
      <c r="O37" s="46" t="str">
        <f t="shared" ca="1" si="12"/>
        <v/>
      </c>
      <c r="P37" s="46" t="str">
        <f t="shared" ca="1" si="12"/>
        <v/>
      </c>
      <c r="Q37" s="46">
        <f t="shared" si="11"/>
        <v>2.15</v>
      </c>
      <c r="S37" s="98" t="str">
        <f t="shared" ca="1" si="6"/>
        <v/>
      </c>
      <c r="V37" t="str">
        <f t="shared" si="7"/>
        <v>ROF</v>
      </c>
    </row>
    <row r="38" spans="1:26">
      <c r="A38" t="s">
        <v>12</v>
      </c>
      <c r="B38" t="s">
        <v>1652</v>
      </c>
      <c r="C38" t="s">
        <v>18</v>
      </c>
      <c r="D38" s="53" t="s">
        <v>24</v>
      </c>
      <c r="E38" s="53">
        <v>1</v>
      </c>
      <c r="F38" s="53" t="s">
        <v>1668</v>
      </c>
      <c r="G38" s="46" t="str">
        <f ca="1">IF(ISTEXT($B38),IF(COUNTIF($B38,"*Industry*"),SUMIF('Industry-capacity'!$A$2:$A$6,$B38,'Industry-capacity'!$D$2:$D$6),IF(SUMIF(INDIRECT($C38&amp;"!A$2:A$20"),$B38,INDIRECT($C38&amp;"!D$2:D$20"))&gt;0,SUMIF(INDIRECT($C38&amp;"!A$2:A$20"),$B38,INDIRECT($C38&amp;"!D$2:D$20")),"")),"")</f>
        <v/>
      </c>
      <c r="H38" s="46" t="str">
        <f t="shared" si="10"/>
        <v/>
      </c>
      <c r="I38" s="46">
        <f ca="1">IF(ISTEXT($B38),IF(COUNTIF($B38,"*Industry*"),SUMIF('Industry-capacity'!$A$2:$A$6,$B38,'Industry-capacity'!$B$2:$B$6),SUMIF(INDIRECT($C38&amp;"!A$2:A$20"),$B38,INDIRECT($C38&amp;"!B$2:B$20"))),"")</f>
        <v>145</v>
      </c>
      <c r="J38" s="46" t="str">
        <f t="shared" si="2"/>
        <v>TRE</v>
      </c>
      <c r="K38" s="46">
        <f ca="1">IF(ISTEXT($B38),IF(COUNTIF($B38,"*Industry*"),SUMIF('Industry-capacity'!$A$2:$A$6,$B38,'Industry-capacity'!$C$2:$C$6),SUMIF(INDIRECT($C38&amp;"!A$2:A$20"),$B38,INDIRECT($C38&amp;"!C$2:C$20"))),"")</f>
        <v>0</v>
      </c>
      <c r="L38" s="46" t="str">
        <f t="shared" ca="1" si="3"/>
        <v/>
      </c>
      <c r="M38" s="46" t="str">
        <f t="shared" ca="1" si="4"/>
        <v/>
      </c>
      <c r="N38" s="46"/>
      <c r="O38" s="46" t="str">
        <f t="shared" ca="1" si="12"/>
        <v/>
      </c>
      <c r="P38" s="46" t="str">
        <f t="shared" ca="1" si="12"/>
        <v/>
      </c>
      <c r="Q38" s="46">
        <f t="shared" si="11"/>
        <v>1.61</v>
      </c>
      <c r="S38" s="98" t="str">
        <f ca="1">IF(I38&lt;10, "remove", "")</f>
        <v/>
      </c>
      <c r="V38" t="str">
        <f t="shared" si="7"/>
        <v>ROF</v>
      </c>
    </row>
    <row r="39" spans="1:26">
      <c r="A39" t="s">
        <v>12</v>
      </c>
      <c r="B39" t="s">
        <v>1656</v>
      </c>
      <c r="C39" t="s">
        <v>18</v>
      </c>
      <c r="D39" s="53" t="s">
        <v>24</v>
      </c>
      <c r="E39" s="53">
        <v>1</v>
      </c>
      <c r="F39" s="53" t="s">
        <v>1668</v>
      </c>
      <c r="G39" s="46">
        <f ca="1">IF(ISTEXT($B39),IF(COUNTIF($B39,"*Industry*"),SUMIF('Industry-capacity'!$A$2:$A$6,$B39,'Industry-capacity'!$D$2:$D$6),IF(SUMIF(INDIRECT($C39&amp;"!A$2:A$20"),$B39,INDIRECT($C39&amp;"!D$2:D$20"))&gt;0,SUMIF(INDIRECT($C39&amp;"!A$2:A$20"),$B39,INDIRECT($C39&amp;"!D$2:D$20")),"")),"")</f>
        <v>210</v>
      </c>
      <c r="H39" s="46" t="str">
        <f t="shared" si="10"/>
        <v/>
      </c>
      <c r="I39" s="46">
        <f ca="1">IF(ISTEXT($B39),IF(COUNTIF($B39,"*Industry*"),SUMIF('Industry-capacity'!$A$2:$A$6,$B39,'Industry-capacity'!$B$2:$B$6),SUMIF(INDIRECT($C39&amp;"!A$2:A$20"),$B39,INDIRECT($C39&amp;"!B$2:B$20"))),"")</f>
        <v>55</v>
      </c>
      <c r="J39" s="46" t="str">
        <f t="shared" si="2"/>
        <v/>
      </c>
      <c r="K39" s="46">
        <f ca="1">IF(ISTEXT($B39),IF(COUNTIF($B39,"*Industry*"),SUMIF('Industry-capacity'!$A$2:$A$6,$B39,'Industry-capacity'!$C$2:$C$6),SUMIF(INDIRECT($C39&amp;"!A$2:A$20"),$B39,INDIRECT($C39&amp;"!C$2:C$20"))),"")</f>
        <v>160</v>
      </c>
      <c r="L39" s="46" t="str">
        <f t="shared" ca="1" si="3"/>
        <v>TRE</v>
      </c>
      <c r="M39" s="46">
        <f t="shared" ca="1" si="4"/>
        <v>0.34375</v>
      </c>
      <c r="N39" s="46"/>
      <c r="O39" s="46">
        <f t="shared" ca="1" si="12"/>
        <v>1.0238095238095237</v>
      </c>
      <c r="P39" s="46">
        <f t="shared" ca="1" si="12"/>
        <v>1.0238095238095237</v>
      </c>
      <c r="Q39" s="46">
        <f t="shared" si="11"/>
        <v>2.15</v>
      </c>
      <c r="S39" s="98" t="str">
        <f t="shared" ca="1" si="6"/>
        <v/>
      </c>
      <c r="V39" t="str">
        <f t="shared" si="7"/>
        <v>ROF</v>
      </c>
    </row>
    <row r="40" spans="1:26">
      <c r="A40" t="s">
        <v>12</v>
      </c>
      <c r="B40" t="s">
        <v>1658</v>
      </c>
      <c r="C40" t="s">
        <v>18</v>
      </c>
      <c r="D40" s="53" t="s">
        <v>24</v>
      </c>
      <c r="E40" s="53">
        <v>1</v>
      </c>
      <c r="F40" s="53" t="s">
        <v>1668</v>
      </c>
      <c r="G40" s="46">
        <f ca="1">IF(ISTEXT($B40),IF(COUNTIF($B40,"*Industry*"),SUMIF('Industry-capacity'!$A$2:$A$6,$B40,'Industry-capacity'!$D$2:$D$6),IF(SUMIF(INDIRECT($C40&amp;"!A$2:A$20"),$B40,INDIRECT($C40&amp;"!D$2:D$20"))&gt;0,SUMIF(INDIRECT($C40&amp;"!A$2:A$20"),$B40,INDIRECT($C40&amp;"!D$2:D$20")),"")),"")</f>
        <v>336</v>
      </c>
      <c r="H40" s="46" t="str">
        <f t="shared" si="10"/>
        <v/>
      </c>
      <c r="I40" s="46">
        <f ca="1">IF(ISTEXT($B40),IF(COUNTIF($B40,"*Industry*"),SUMIF('Industry-capacity'!$A$2:$A$6,$B40,'Industry-capacity'!$B$2:$B$6),SUMIF(INDIRECT($C40&amp;"!A$2:A$20"),$B40,INDIRECT($C40&amp;"!B$2:B$20"))),"")</f>
        <v>147</v>
      </c>
      <c r="J40" s="46" t="str">
        <f t="shared" si="2"/>
        <v/>
      </c>
      <c r="K40" s="46">
        <f ca="1">IF(ISTEXT($B40),IF(COUNTIF($B40,"*Industry*"),SUMIF('Industry-capacity'!$A$2:$A$6,$B40,'Industry-capacity'!$C$2:$C$6),SUMIF(INDIRECT($C40&amp;"!A$2:A$20"),$B40,INDIRECT($C40&amp;"!C$2:C$20"))),"")</f>
        <v>170</v>
      </c>
      <c r="L40" s="46" t="str">
        <f t="shared" ca="1" si="3"/>
        <v>TRE</v>
      </c>
      <c r="M40" s="46">
        <f t="shared" ca="1" si="4"/>
        <v>0.86470588235294121</v>
      </c>
      <c r="N40" s="46"/>
      <c r="O40" s="46">
        <f t="shared" ca="1" si="12"/>
        <v>0.94345238095238093</v>
      </c>
      <c r="P40" s="46">
        <f t="shared" ca="1" si="12"/>
        <v>0.94345238095238093</v>
      </c>
      <c r="Q40" s="46">
        <f t="shared" si="11"/>
        <v>1.72</v>
      </c>
      <c r="S40" s="98" t="str">
        <f t="shared" ca="1" si="6"/>
        <v/>
      </c>
      <c r="V40" t="str">
        <f t="shared" si="7"/>
        <v>ROF</v>
      </c>
    </row>
    <row r="41" spans="1:26">
      <c r="A41" t="s">
        <v>12</v>
      </c>
      <c r="B41" t="s">
        <v>1659</v>
      </c>
      <c r="C41" t="s">
        <v>18</v>
      </c>
      <c r="D41" s="53" t="s">
        <v>24</v>
      </c>
      <c r="E41" s="53">
        <v>1</v>
      </c>
      <c r="F41" s="53" t="s">
        <v>1668</v>
      </c>
      <c r="G41" s="46">
        <f ca="1">IF(ISTEXT($B41),IF(COUNTIF($B41,"*Industry*"),SUMIF('Industry-capacity'!$A$2:$A$6,$B41,'Industry-capacity'!$D$2:$D$6),IF(SUMIF(INDIRECT($C41&amp;"!A$2:A$20"),$B41,INDIRECT($C41&amp;"!D$2:D$20"))&gt;0,SUMIF(INDIRECT($C41&amp;"!A$2:A$20"),$B41,INDIRECT($C41&amp;"!D$2:D$20")),"")),"")</f>
        <v>66</v>
      </c>
      <c r="H41" s="46" t="str">
        <f t="shared" si="10"/>
        <v/>
      </c>
      <c r="I41" s="46">
        <f ca="1">IF(ISTEXT($B41),IF(COUNTIF($B41,"*Industry*"),SUMIF('Industry-capacity'!$A$2:$A$6,$B41,'Industry-capacity'!$B$2:$B$6),SUMIF(INDIRECT($C41&amp;"!A$2:A$20"),$B41,INDIRECT($C41&amp;"!B$2:B$20"))),"")</f>
        <v>12</v>
      </c>
      <c r="J41" s="46" t="str">
        <f t="shared" si="2"/>
        <v/>
      </c>
      <c r="K41" s="46">
        <f ca="1">IF(ISTEXT($B41),IF(COUNTIF($B41,"*Industry*"),SUMIF('Industry-capacity'!$A$2:$A$6,$B41,'Industry-capacity'!$C$2:$C$6),SUMIF(INDIRECT($C41&amp;"!A$2:A$20"),$B41,INDIRECT($C41&amp;"!C$2:C$20"))),"")</f>
        <v>46</v>
      </c>
      <c r="L41" s="46" t="str">
        <f t="shared" ca="1" si="3"/>
        <v>TRE</v>
      </c>
      <c r="M41" s="46">
        <f t="shared" ca="1" si="4"/>
        <v>0.2608695652173913</v>
      </c>
      <c r="N41" s="46"/>
      <c r="O41" s="46">
        <f t="shared" ca="1" si="12"/>
        <v>0.87878787878787878</v>
      </c>
      <c r="P41" s="46">
        <f t="shared" ca="1" si="12"/>
        <v>0.87878787878787878</v>
      </c>
      <c r="Q41" s="46">
        <f t="shared" si="11"/>
        <v>2.15</v>
      </c>
      <c r="S41" s="98" t="str">
        <f t="shared" ca="1" si="6"/>
        <v/>
      </c>
      <c r="V41" t="str">
        <f t="shared" si="7"/>
        <v>ROF</v>
      </c>
    </row>
    <row r="42" spans="1:26">
      <c r="A42" t="s">
        <v>12</v>
      </c>
      <c r="B42" t="s">
        <v>1648</v>
      </c>
      <c r="C42" t="s">
        <v>18</v>
      </c>
      <c r="D42" s="53" t="s">
        <v>24</v>
      </c>
      <c r="E42" s="53">
        <v>1</v>
      </c>
      <c r="F42" s="53" t="s">
        <v>1668</v>
      </c>
      <c r="G42" s="46" t="str">
        <f ca="1">IF(ISTEXT($B42),IF(COUNTIF($B42,"*Industry*"),SUMIF('Industry-capacity'!$A$2:$A$6,$B42,'Industry-capacity'!$D$2:$D$6),IF(SUMIF(INDIRECT($C42&amp;"!A$2:A$20"),$B42,INDIRECT($C42&amp;"!D$2:D$20"))&gt;0,SUMIF(INDIRECT($C42&amp;"!A$2:A$20"),$B42,INDIRECT($C42&amp;"!D$2:D$20")),"")),"")</f>
        <v/>
      </c>
      <c r="H42" s="46" t="str">
        <f t="shared" si="10"/>
        <v>TRE</v>
      </c>
      <c r="I42" s="46">
        <f ca="1">IF(ISTEXT($B42),IF(COUNTIF($B42,"*Industry*"),SUMIF('Industry-capacity'!$A$2:$A$6,$B42,'Industry-capacity'!$B$2:$B$6),SUMIF(INDIRECT($C42&amp;"!A$2:A$20"),$B42,INDIRECT($C42&amp;"!B$2:B$20"))),"")</f>
        <v>100</v>
      </c>
      <c r="J42" s="46" t="str">
        <f t="shared" si="2"/>
        <v>TRE</v>
      </c>
      <c r="K42" s="46">
        <f ca="1">IF(ISTEXT($B42),IF(COUNTIF($B42,"*Industry*"),SUMIF('Industry-capacity'!$A$2:$A$6,$B42,'Industry-capacity'!$C$2:$C$6),SUMIF(INDIRECT($C42&amp;"!A$2:A$20"),$B42,INDIRECT($C42&amp;"!C$2:C$20"))),"")</f>
        <v>0</v>
      </c>
      <c r="L42" s="46" t="str">
        <f t="shared" ca="1" si="3"/>
        <v/>
      </c>
      <c r="M42" s="46" t="str">
        <f t="shared" ca="1" si="4"/>
        <v/>
      </c>
      <c r="N42" s="46"/>
      <c r="O42" s="46" t="str">
        <f t="shared" ca="1" si="12"/>
        <v/>
      </c>
      <c r="P42" s="46" t="str">
        <f t="shared" ca="1" si="12"/>
        <v/>
      </c>
      <c r="Q42" s="46">
        <f t="shared" si="11"/>
        <v>1.5</v>
      </c>
      <c r="S42" s="98" t="str">
        <f t="shared" ca="1" si="6"/>
        <v/>
      </c>
      <c r="V42" t="str">
        <f t="shared" si="7"/>
        <v>ROF</v>
      </c>
    </row>
    <row r="43" spans="1:26">
      <c r="A43" t="s">
        <v>12</v>
      </c>
      <c r="B43" t="s">
        <v>1649</v>
      </c>
      <c r="C43" t="s">
        <v>18</v>
      </c>
      <c r="D43" s="53" t="s">
        <v>24</v>
      </c>
      <c r="E43" s="53">
        <v>1</v>
      </c>
      <c r="F43" s="53" t="s">
        <v>1668</v>
      </c>
      <c r="G43" s="46" t="str">
        <f ca="1">IF(ISTEXT($B43),IF(COUNTIF($B43,"*Industry*"),SUMIF('Industry-capacity'!$A$2:$A$6,$B43,'Industry-capacity'!$D$2:$D$6),IF(SUMIF(INDIRECT($C43&amp;"!A$2:A$20"),$B43,INDIRECT($C43&amp;"!D$2:D$20"))&gt;0,SUMIF(INDIRECT($C43&amp;"!A$2:A$20"),$B43,INDIRECT($C43&amp;"!D$2:D$20")),"")),"")</f>
        <v/>
      </c>
      <c r="H43" s="46" t="str">
        <f t="shared" si="10"/>
        <v>TRE</v>
      </c>
      <c r="I43" s="46">
        <f ca="1">IF(ISTEXT($B43),IF(COUNTIF($B43,"*Industry*"),SUMIF('Industry-capacity'!$A$2:$A$6,$B43,'Industry-capacity'!$B$2:$B$6),SUMIF(INDIRECT($C43&amp;"!A$2:A$20"),$B43,INDIRECT($C43&amp;"!B$2:B$20"))),"")</f>
        <v>100</v>
      </c>
      <c r="J43" s="46" t="str">
        <f t="shared" si="2"/>
        <v>TRE</v>
      </c>
      <c r="K43" s="46">
        <f ca="1">IF(ISTEXT($B43),IF(COUNTIF($B43,"*Industry*"),SUMIF('Industry-capacity'!$A$2:$A$6,$B43,'Industry-capacity'!$C$2:$C$6),SUMIF(INDIRECT($C43&amp;"!A$2:A$20"),$B43,INDIRECT($C43&amp;"!C$2:C$20"))),"")</f>
        <v>0</v>
      </c>
      <c r="L43" s="46" t="str">
        <f t="shared" ca="1" si="3"/>
        <v/>
      </c>
      <c r="M43" s="46" t="str">
        <f t="shared" ca="1" si="4"/>
        <v/>
      </c>
      <c r="N43" s="46"/>
      <c r="O43" s="46" t="str">
        <f t="shared" ca="1" si="12"/>
        <v/>
      </c>
      <c r="P43" s="46" t="str">
        <f t="shared" ca="1" si="12"/>
        <v/>
      </c>
      <c r="Q43" s="46">
        <f t="shared" si="11"/>
        <v>1.5</v>
      </c>
      <c r="S43" s="98" t="str">
        <f t="shared" ca="1" si="6"/>
        <v/>
      </c>
      <c r="V43" t="str">
        <f t="shared" si="7"/>
        <v>ROF</v>
      </c>
      <c r="Z43" t="s">
        <v>1654</v>
      </c>
    </row>
    <row r="44" spans="1:26">
      <c r="A44" t="s">
        <v>12</v>
      </c>
      <c r="B44" t="s">
        <v>1654</v>
      </c>
      <c r="C44" t="s">
        <v>17</v>
      </c>
      <c r="D44" s="53" t="s">
        <v>24</v>
      </c>
      <c r="E44" s="53">
        <v>1</v>
      </c>
      <c r="F44" s="53" t="s">
        <v>1668</v>
      </c>
      <c r="G44" s="46" t="str">
        <f ca="1">IF(ISTEXT($B44),IF(COUNTIF($B44,"*Industry*"),SUMIF('Industry-capacity'!$A$2:$A$6,$B44,'Industry-capacity'!$D$2:$D$6),IF(SUMIF(INDIRECT($C44&amp;"!A$2:A$20"),$B44,INDIRECT($C44&amp;"!D$2:D$20"))&gt;0,SUMIF(INDIRECT($C44&amp;"!A$2:A$20"),$B44,INDIRECT($C44&amp;"!D$2:D$20")),"")),"")</f>
        <v/>
      </c>
      <c r="H44" s="46" t="str">
        <f t="shared" si="10"/>
        <v/>
      </c>
      <c r="I44" s="46">
        <f ca="1">IF(ISTEXT($B44),IF(COUNTIF($B44,"*Industry*"),SUMIF('Industry-capacity'!$A$2:$A$6,$B44,'Industry-capacity'!$B$2:$B$6),SUMIF(INDIRECT($C44&amp;"!A$2:A$20"),$B44,INDIRECT($C44&amp;"!B$2:B$20"))),"")</f>
        <v>348</v>
      </c>
      <c r="J44" s="46" t="str">
        <f t="shared" si="2"/>
        <v>OUL</v>
      </c>
      <c r="K44" s="46">
        <f ca="1">IF(ISTEXT($B44),IF(COUNTIF($B44,"*Industry*"),SUMIF('Industry-capacity'!$A$2:$A$6,$B44,'Industry-capacity'!$C$2:$C$6),SUMIF(INDIRECT($C44&amp;"!A$2:A$20"),$B44,INDIRECT($C44&amp;"!C$2:C$20"))),"")</f>
        <v>0</v>
      </c>
      <c r="L44" s="46" t="str">
        <f t="shared" ca="1" si="3"/>
        <v/>
      </c>
      <c r="M44" s="46" t="str">
        <f t="shared" ca="1" si="4"/>
        <v/>
      </c>
      <c r="N44" s="46"/>
      <c r="O44" s="46" t="str">
        <f t="shared" ca="1" si="12"/>
        <v/>
      </c>
      <c r="P44" s="46" t="str">
        <f t="shared" ca="1" si="12"/>
        <v/>
      </c>
      <c r="Q44" s="46">
        <f t="shared" si="11"/>
        <v>2.13</v>
      </c>
      <c r="S44" s="98" t="str">
        <f t="shared" ca="1" si="6"/>
        <v/>
      </c>
      <c r="V44" t="str">
        <f t="shared" si="7"/>
        <v>ROF</v>
      </c>
      <c r="Z44" t="s">
        <v>1657</v>
      </c>
    </row>
    <row r="45" spans="1:26">
      <c r="A45" t="s">
        <v>12</v>
      </c>
      <c r="B45" t="s">
        <v>1652</v>
      </c>
      <c r="C45" t="s">
        <v>17</v>
      </c>
      <c r="D45" s="53" t="s">
        <v>24</v>
      </c>
      <c r="E45" s="53">
        <v>1</v>
      </c>
      <c r="F45" s="53" t="s">
        <v>1668</v>
      </c>
      <c r="G45" s="46" t="str">
        <f ca="1">IF(ISTEXT($B45),IF(COUNTIF($B45,"*Industry*"),SUMIF('Industry-capacity'!$A$2:$A$6,$B45,'Industry-capacity'!$D$2:$D$6),IF(SUMIF(INDIRECT($C45&amp;"!A$2:A$20"),$B45,INDIRECT($C45&amp;"!D$2:D$20"))&gt;0,SUMIF(INDIRECT($C45&amp;"!A$2:A$20"),$B45,INDIRECT($C45&amp;"!D$2:D$20")),"")),"")</f>
        <v/>
      </c>
      <c r="H45" s="46" t="str">
        <f t="shared" si="10"/>
        <v/>
      </c>
      <c r="I45" s="46">
        <f ca="1">IF(ISTEXT($B45),IF(COUNTIF($B45,"*Industry*"),SUMIF('Industry-capacity'!$A$2:$A$6,$B45,'Industry-capacity'!$B$2:$B$6),SUMIF(INDIRECT($C45&amp;"!A$2:A$20"),$B45,INDIRECT($C45&amp;"!B$2:B$20"))),"")</f>
        <v>140</v>
      </c>
      <c r="J45" s="46" t="str">
        <f t="shared" si="2"/>
        <v>OUL</v>
      </c>
      <c r="K45" s="46">
        <f ca="1">IF(ISTEXT($B45),IF(COUNTIF($B45,"*Industry*"),SUMIF('Industry-capacity'!$A$2:$A$6,$B45,'Industry-capacity'!$C$2:$C$6),SUMIF(INDIRECT($C45&amp;"!A$2:A$20"),$B45,INDIRECT($C45&amp;"!C$2:C$20"))),"")</f>
        <v>0</v>
      </c>
      <c r="L45" s="46" t="str">
        <f t="shared" ca="1" si="3"/>
        <v/>
      </c>
      <c r="M45" s="46" t="str">
        <f t="shared" ca="1" si="4"/>
        <v/>
      </c>
      <c r="N45" s="46"/>
      <c r="O45" s="46" t="str">
        <f t="shared" ca="1" si="12"/>
        <v/>
      </c>
      <c r="P45" s="46" t="str">
        <f t="shared" ca="1" si="12"/>
        <v/>
      </c>
      <c r="Q45" s="46">
        <f t="shared" si="11"/>
        <v>1.6</v>
      </c>
      <c r="S45" s="98" t="str">
        <f t="shared" ca="1" si="6"/>
        <v/>
      </c>
      <c r="V45" t="str">
        <f t="shared" si="7"/>
        <v>ROF</v>
      </c>
      <c r="Z45" t="s">
        <v>1653</v>
      </c>
    </row>
    <row r="46" spans="1:26">
      <c r="A46" t="s">
        <v>12</v>
      </c>
      <c r="B46" t="s">
        <v>1613</v>
      </c>
      <c r="C46" t="s">
        <v>17</v>
      </c>
      <c r="D46" s="53" t="s">
        <v>24</v>
      </c>
      <c r="E46" s="53">
        <v>1</v>
      </c>
      <c r="F46" s="53" t="s">
        <v>1668</v>
      </c>
      <c r="G46" s="46" t="str">
        <f ca="1">IF(ISTEXT($B46),IF(COUNTIF($B46,"*Industry*"),SUMIF('Industry-capacity'!$A$2:$A$6,$B46,'Industry-capacity'!$D$2:$D$6),IF(SUMIF(INDIRECT($C46&amp;"!A$2:A$20"),$B46,INDIRECT($C46&amp;"!D$2:D$20"))&gt;0,SUMIF(INDIRECT($C46&amp;"!A$2:A$20"),$B46,INDIRECT($C46&amp;"!D$2:D$20")),"")),"")</f>
        <v/>
      </c>
      <c r="H46" s="46" t="str">
        <f t="shared" si="10"/>
        <v/>
      </c>
      <c r="I46" s="46">
        <f ca="1">IF(ISTEXT($B46),IF(COUNTIF($B46,"*Industry*"),SUMIF('Industry-capacity'!$A$2:$A$6,$B46,'Industry-capacity'!$B$2:$B$6),SUMIF(INDIRECT($C46&amp;"!A$2:A$20"),$B46,INDIRECT($C46&amp;"!B$2:B$20"))),"")</f>
        <v>2.1</v>
      </c>
      <c r="J46" s="46" t="str">
        <f t="shared" si="2"/>
        <v>OUL</v>
      </c>
      <c r="K46" s="46">
        <f ca="1">IF(ISTEXT($B46),IF(COUNTIF($B46,"*Industry*"),SUMIF('Industry-capacity'!$A$2:$A$6,$B46,'Industry-capacity'!$C$2:$C$6),SUMIF(INDIRECT($C46&amp;"!A$2:A$20"),$B46,INDIRECT($C46&amp;"!C$2:C$20"))),"")</f>
        <v>0</v>
      </c>
      <c r="L46" s="46" t="str">
        <f t="shared" ca="1" si="3"/>
        <v/>
      </c>
      <c r="M46" s="46" t="str">
        <f t="shared" ca="1" si="4"/>
        <v/>
      </c>
      <c r="N46" s="46"/>
      <c r="O46" s="46" t="str">
        <f t="shared" ca="1" si="12"/>
        <v/>
      </c>
      <c r="P46" s="46" t="str">
        <f t="shared" ca="1" si="12"/>
        <v/>
      </c>
      <c r="Q46" s="46">
        <f t="shared" si="11"/>
        <v>6.4</v>
      </c>
      <c r="S46" s="98" t="str">
        <f t="shared" ca="1" si="6"/>
        <v>remove</v>
      </c>
      <c r="V46" t="str">
        <f t="shared" si="7"/>
        <v>ROF</v>
      </c>
      <c r="Z46" t="s">
        <v>1613</v>
      </c>
    </row>
    <row r="47" spans="1:26">
      <c r="A47" t="s">
        <v>12</v>
      </c>
      <c r="B47" t="s">
        <v>1656</v>
      </c>
      <c r="C47" t="s">
        <v>17</v>
      </c>
      <c r="D47" s="53" t="s">
        <v>24</v>
      </c>
      <c r="E47" s="53">
        <v>1</v>
      </c>
      <c r="F47" s="53" t="s">
        <v>1668</v>
      </c>
      <c r="G47" s="46">
        <f ca="1">IF(ISTEXT($B47),IF(COUNTIF($B47,"*Industry*"),SUMIF('Industry-capacity'!$A$2:$A$6,$B47,'Industry-capacity'!$D$2:$D$6),IF(SUMIF(INDIRECT($C47&amp;"!A$2:A$20"),$B47,INDIRECT($C47&amp;"!D$2:D$20"))&gt;0,SUMIF(INDIRECT($C47&amp;"!A$2:A$20"),$B47,INDIRECT($C47&amp;"!D$2:D$20")),"")),"")</f>
        <v>530</v>
      </c>
      <c r="H47" s="46" t="str">
        <f t="shared" si="10"/>
        <v/>
      </c>
      <c r="I47" s="46">
        <f ca="1">IF(ISTEXT($B47),IF(COUNTIF($B47,"*Industry*"),SUMIF('Industry-capacity'!$A$2:$A$6,$B47,'Industry-capacity'!$B$2:$B$6),SUMIF(INDIRECT($C47&amp;"!A$2:A$20"),$B47,INDIRECT($C47&amp;"!B$2:B$20"))),"")</f>
        <v>152</v>
      </c>
      <c r="J47" s="46" t="str">
        <f t="shared" si="2"/>
        <v/>
      </c>
      <c r="K47" s="46">
        <f ca="1">IF(ISTEXT($B47),IF(COUNTIF($B47,"*Industry*"),SUMIF('Industry-capacity'!$A$2:$A$6,$B47,'Industry-capacity'!$C$2:$C$6),SUMIF(INDIRECT($C47&amp;"!A$2:A$20"),$B47,INDIRECT($C47&amp;"!C$2:C$20"))),"")</f>
        <v>395</v>
      </c>
      <c r="L47" s="46" t="str">
        <f t="shared" ca="1" si="3"/>
        <v>OUL</v>
      </c>
      <c r="M47" s="46">
        <f t="shared" ca="1" si="4"/>
        <v>0.38481012658227848</v>
      </c>
      <c r="N47" s="46"/>
      <c r="O47" s="46">
        <f t="shared" ca="1" si="12"/>
        <v>1.0320754716981133</v>
      </c>
      <c r="P47" s="46">
        <f t="shared" ca="1" si="12"/>
        <v>1.0320754716981133</v>
      </c>
      <c r="Q47" s="46">
        <f t="shared" si="11"/>
        <v>2.13</v>
      </c>
      <c r="S47" s="98" t="str">
        <f t="shared" ca="1" si="6"/>
        <v/>
      </c>
      <c r="V47" t="str">
        <f t="shared" si="7"/>
        <v>ROF</v>
      </c>
      <c r="Z47" t="s">
        <v>1658</v>
      </c>
    </row>
    <row r="48" spans="1:26">
      <c r="A48" t="s">
        <v>12</v>
      </c>
      <c r="B48" t="s">
        <v>1650</v>
      </c>
      <c r="C48" t="s">
        <v>17</v>
      </c>
      <c r="D48" s="53" t="s">
        <v>24</v>
      </c>
      <c r="E48" s="53">
        <v>1</v>
      </c>
      <c r="F48" s="53" t="s">
        <v>1668</v>
      </c>
      <c r="G48" s="46" t="str">
        <f ca="1">IF(ISTEXT($B48),IF(COUNTIF($B48,"*Industry*"),SUMIF('Industry-capacity'!$A$2:$A$6,$B48,'Industry-capacity'!$D$2:$D$6),IF(SUMIF(INDIRECT($C48&amp;"!A$2:A$20"),$B48,INDIRECT($C48&amp;"!D$2:D$20"))&gt;0,SUMIF(INDIRECT($C48&amp;"!A$2:A$20"),$B48,INDIRECT($C48&amp;"!D$2:D$20")),"")),"")</f>
        <v/>
      </c>
      <c r="H48" s="46" t="str">
        <f t="shared" si="10"/>
        <v>OUL</v>
      </c>
      <c r="I48" s="46">
        <f ca="1">IF(ISTEXT($B48),IF(COUNTIF($B48,"*Industry*"),SUMIF('Industry-capacity'!$A$2:$A$6,$B48,'Industry-capacity'!$B$2:$B$6),SUMIF(INDIRECT($C48&amp;"!A$2:A$20"),$B48,INDIRECT($C48&amp;"!B$2:B$20"))),"")</f>
        <v>80</v>
      </c>
      <c r="J48" s="46" t="str">
        <f t="shared" si="2"/>
        <v>OUL</v>
      </c>
      <c r="K48" s="46">
        <f ca="1">IF(ISTEXT($B48),IF(COUNTIF($B48,"*Industry*"),SUMIF('Industry-capacity'!$A$2:$A$6,$B48,'Industry-capacity'!$C$2:$C$6),SUMIF(INDIRECT($C48&amp;"!A$2:A$20"),$B48,INDIRECT($C48&amp;"!C$2:C$20"))),"")</f>
        <v>0</v>
      </c>
      <c r="L48" s="46" t="str">
        <f t="shared" ca="1" si="3"/>
        <v/>
      </c>
      <c r="M48" s="46" t="str">
        <f t="shared" ca="1" si="4"/>
        <v/>
      </c>
      <c r="N48" s="46"/>
      <c r="O48" s="46" t="str">
        <f t="shared" ca="1" si="12"/>
        <v/>
      </c>
      <c r="P48" s="46" t="str">
        <f t="shared" ca="1" si="12"/>
        <v/>
      </c>
      <c r="Q48" s="46">
        <f t="shared" si="11"/>
        <v>1.81</v>
      </c>
      <c r="S48" s="98" t="str">
        <f t="shared" ca="1" si="6"/>
        <v/>
      </c>
      <c r="V48" t="str">
        <f t="shared" si="7"/>
        <v>ROF</v>
      </c>
      <c r="Z48" t="s">
        <v>1652</v>
      </c>
    </row>
    <row r="49" spans="1:26">
      <c r="A49" t="s">
        <v>12</v>
      </c>
      <c r="B49" t="s">
        <v>1651</v>
      </c>
      <c r="C49" t="s">
        <v>17</v>
      </c>
      <c r="D49" s="53" t="s">
        <v>24</v>
      </c>
      <c r="E49" s="53">
        <v>1</v>
      </c>
      <c r="F49" s="53" t="s">
        <v>1668</v>
      </c>
      <c r="G49" s="46" t="str">
        <f ca="1">IF(ISTEXT($B49),IF(COUNTIF($B49,"*Industry*"),SUMIF('Industry-capacity'!$A$2:$A$6,$B49,'Industry-capacity'!$D$2:$D$6),IF(SUMIF(INDIRECT($C49&amp;"!A$2:A$20"),$B49,INDIRECT($C49&amp;"!D$2:D$20"))&gt;0,SUMIF(INDIRECT($C49&amp;"!A$2:A$20"),$B49,INDIRECT($C49&amp;"!D$2:D$20")),"")),"")</f>
        <v/>
      </c>
      <c r="H49" s="46" t="str">
        <f t="shared" si="10"/>
        <v>OUL</v>
      </c>
      <c r="I49" s="46">
        <f ca="1">IF(ISTEXT($B49),IF(COUNTIF($B49,"*Industry*"),SUMIF('Industry-capacity'!$A$2:$A$6,$B49,'Industry-capacity'!$B$2:$B$6),SUMIF(INDIRECT($C49&amp;"!A$2:A$20"),$B49,INDIRECT($C49&amp;"!B$2:B$20"))),"")</f>
        <v>80</v>
      </c>
      <c r="J49" s="46" t="str">
        <f t="shared" si="2"/>
        <v>OUL</v>
      </c>
      <c r="K49" s="46">
        <f ca="1">IF(ISTEXT($B49),IF(COUNTIF($B49,"*Industry*"),SUMIF('Industry-capacity'!$A$2:$A$6,$B49,'Industry-capacity'!$C$2:$C$6),SUMIF(INDIRECT($C49&amp;"!A$2:A$20"),$B49,INDIRECT($C49&amp;"!C$2:C$20"))),"")</f>
        <v>0</v>
      </c>
      <c r="L49" s="46" t="str">
        <f t="shared" ca="1" si="3"/>
        <v/>
      </c>
      <c r="M49" s="46" t="str">
        <f t="shared" ca="1" si="4"/>
        <v/>
      </c>
      <c r="N49" s="46"/>
      <c r="O49" s="46" t="str">
        <f t="shared" ca="1" si="12"/>
        <v/>
      </c>
      <c r="P49" s="46" t="str">
        <f t="shared" ca="1" si="12"/>
        <v/>
      </c>
      <c r="Q49" s="46">
        <f t="shared" si="11"/>
        <v>1.81</v>
      </c>
      <c r="S49" s="98" t="str">
        <f t="shared" ca="1" si="6"/>
        <v/>
      </c>
      <c r="V49" t="str">
        <f t="shared" si="7"/>
        <v>ROF</v>
      </c>
      <c r="Z49" t="s">
        <v>1648</v>
      </c>
    </row>
    <row r="50" spans="1:26">
      <c r="A50" t="s">
        <v>12</v>
      </c>
      <c r="B50" t="s">
        <v>1648</v>
      </c>
      <c r="C50" t="s">
        <v>17</v>
      </c>
      <c r="D50" s="53" t="s">
        <v>24</v>
      </c>
      <c r="E50" s="53">
        <v>1</v>
      </c>
      <c r="F50" s="53" t="s">
        <v>1668</v>
      </c>
      <c r="G50" s="46" t="str">
        <f ca="1">IF(ISTEXT($B50),IF(COUNTIF($B50,"*Industry*"),SUMIF('Industry-capacity'!$A$2:$A$6,$B50,'Industry-capacity'!$D$2:$D$6),IF(SUMIF(INDIRECT($C50&amp;"!A$2:A$20"),$B50,INDIRECT($C50&amp;"!D$2:D$20"))&gt;0,SUMIF(INDIRECT($C50&amp;"!A$2:A$20"),$B50,INDIRECT($C50&amp;"!D$2:D$20")),"")),"")</f>
        <v/>
      </c>
      <c r="H50" s="46" t="str">
        <f t="shared" si="10"/>
        <v>OUL</v>
      </c>
      <c r="I50" s="46">
        <f ca="1">IF(ISTEXT($B50),IF(COUNTIF($B50,"*Industry*"),SUMIF('Industry-capacity'!$A$2:$A$6,$B50,'Industry-capacity'!$B$2:$B$6),SUMIF(INDIRECT($C50&amp;"!A$2:A$20"),$B50,INDIRECT($C50&amp;"!B$2:B$20"))),"")</f>
        <v>55</v>
      </c>
      <c r="J50" s="46" t="str">
        <f t="shared" si="2"/>
        <v>OUL</v>
      </c>
      <c r="K50" s="46">
        <f ca="1">IF(ISTEXT($B50),IF(COUNTIF($B50,"*Industry*"),SUMIF('Industry-capacity'!$A$2:$A$6,$B50,'Industry-capacity'!$C$2:$C$6),SUMIF(INDIRECT($C50&amp;"!A$2:A$20"),$B50,INDIRECT($C50&amp;"!C$2:C$20"))),"")</f>
        <v>0</v>
      </c>
      <c r="L50" s="46" t="str">
        <f t="shared" ca="1" si="3"/>
        <v/>
      </c>
      <c r="M50" s="46" t="str">
        <f t="shared" ca="1" si="4"/>
        <v/>
      </c>
      <c r="N50" s="46"/>
      <c r="O50" s="46" t="str">
        <f t="shared" ca="1" si="12"/>
        <v/>
      </c>
      <c r="P50" s="46" t="str">
        <f t="shared" ca="1" si="12"/>
        <v/>
      </c>
      <c r="Q50" s="46">
        <f t="shared" si="11"/>
        <v>1.49</v>
      </c>
      <c r="S50" s="98" t="str">
        <f t="shared" ca="1" si="6"/>
        <v/>
      </c>
      <c r="V50" t="str">
        <f t="shared" si="7"/>
        <v>ROF</v>
      </c>
      <c r="Z50" t="s">
        <v>1649</v>
      </c>
    </row>
    <row r="51" spans="1:26">
      <c r="A51" t="s">
        <v>12</v>
      </c>
      <c r="B51" t="s">
        <v>1649</v>
      </c>
      <c r="C51" t="s">
        <v>17</v>
      </c>
      <c r="D51" s="53" t="s">
        <v>24</v>
      </c>
      <c r="E51" s="53">
        <v>1</v>
      </c>
      <c r="F51" s="53" t="s">
        <v>1668</v>
      </c>
      <c r="G51" s="46" t="str">
        <f ca="1">IF(ISTEXT($B51),IF(COUNTIF($B51,"*Industry*"),SUMIF('Industry-capacity'!$A$2:$A$6,$B51,'Industry-capacity'!$D$2:$D$6),IF(SUMIF(INDIRECT($C51&amp;"!A$2:A$20"),$B51,INDIRECT($C51&amp;"!D$2:D$20"))&gt;0,SUMIF(INDIRECT($C51&amp;"!A$2:A$20"),$B51,INDIRECT($C51&amp;"!D$2:D$20")),"")),"")</f>
        <v/>
      </c>
      <c r="H51" s="46" t="str">
        <f t="shared" si="10"/>
        <v>OUL</v>
      </c>
      <c r="I51" s="46">
        <f ca="1">IF(ISTEXT($B51),IF(COUNTIF($B51,"*Industry*"),SUMIF('Industry-capacity'!$A$2:$A$6,$B51,'Industry-capacity'!$B$2:$B$6),SUMIF(INDIRECT($C51&amp;"!A$2:A$20"),$B51,INDIRECT($C51&amp;"!B$2:B$20"))),"")</f>
        <v>55</v>
      </c>
      <c r="J51" s="46" t="str">
        <f t="shared" si="2"/>
        <v>OUL</v>
      </c>
      <c r="K51" s="46">
        <f ca="1">IF(ISTEXT($B51),IF(COUNTIF($B51,"*Industry*"),SUMIF('Industry-capacity'!$A$2:$A$6,$B51,'Industry-capacity'!$C$2:$C$6),SUMIF(INDIRECT($C51&amp;"!A$2:A$20"),$B51,INDIRECT($C51&amp;"!C$2:C$20"))),"")</f>
        <v>0</v>
      </c>
      <c r="L51" s="46" t="str">
        <f t="shared" ca="1" si="3"/>
        <v/>
      </c>
      <c r="M51" s="46" t="str">
        <f t="shared" ca="1" si="4"/>
        <v/>
      </c>
      <c r="N51" s="46"/>
      <c r="O51" s="46" t="str">
        <f t="shared" ca="1" si="12"/>
        <v/>
      </c>
      <c r="P51" s="46" t="str">
        <f t="shared" ca="1" si="12"/>
        <v/>
      </c>
      <c r="Q51" s="46">
        <f t="shared" si="11"/>
        <v>1.49</v>
      </c>
      <c r="S51" s="98" t="str">
        <f t="shared" ca="1" si="6"/>
        <v/>
      </c>
      <c r="V51" t="str">
        <f t="shared" si="7"/>
        <v>ROF</v>
      </c>
      <c r="Z51" t="s">
        <v>1650</v>
      </c>
    </row>
    <row r="52" spans="1:26">
      <c r="A52" t="s">
        <v>12</v>
      </c>
      <c r="B52" t="s">
        <v>1654</v>
      </c>
      <c r="C52" t="s">
        <v>19</v>
      </c>
      <c r="D52" s="53" t="s">
        <v>24</v>
      </c>
      <c r="E52" s="53">
        <v>1</v>
      </c>
      <c r="F52" s="53" t="s">
        <v>1668</v>
      </c>
      <c r="G52" s="46" t="str">
        <f ca="1">IF(ISTEXT($B52),IF(COUNTIF($B52,"*Industry*"),SUMIF('Industry-capacity'!$A$2:$A$6,$B52,'Industry-capacity'!$D$2:$D$6),IF(SUMIF(INDIRECT($C52&amp;"!A$2:A$20"),$B52,INDIRECT($C52&amp;"!D$2:D$20"))&gt;0,SUMIF(INDIRECT($C52&amp;"!A$2:A$20"),$B52,INDIRECT($C52&amp;"!D$2:D$20")),"")),"")</f>
        <v/>
      </c>
      <c r="H52" s="46" t="str">
        <f t="shared" si="10"/>
        <v/>
      </c>
      <c r="I52" s="46">
        <f ca="1">IF(ISTEXT($B52),IF(COUNTIF($B52,"*Industry*"),SUMIF('Industry-capacity'!$A$2:$A$6,$B52,'Industry-capacity'!$B$2:$B$6),SUMIF(INDIRECT($C52&amp;"!A$2:A$20"),$B52,INDIRECT($C52&amp;"!B$2:B$20"))),"")</f>
        <v>624</v>
      </c>
      <c r="J52" s="46" t="str">
        <f t="shared" si="2"/>
        <v>TKU</v>
      </c>
      <c r="K52" s="46">
        <f ca="1">IF(ISTEXT($B52),IF(COUNTIF($B52,"*Industry*"),SUMIF('Industry-capacity'!$A$2:$A$6,$B52,'Industry-capacity'!$C$2:$C$6),SUMIF(INDIRECT($C52&amp;"!A$2:A$20"),$B52,INDIRECT($C52&amp;"!C$2:C$20"))),"")</f>
        <v>0</v>
      </c>
      <c r="L52" s="46" t="str">
        <f t="shared" ca="1" si="3"/>
        <v/>
      </c>
      <c r="M52" s="46" t="str">
        <f t="shared" ca="1" si="4"/>
        <v/>
      </c>
      <c r="N52" s="46"/>
      <c r="O52" s="46" t="str">
        <f t="shared" ca="1" si="12"/>
        <v/>
      </c>
      <c r="P52" s="46" t="str">
        <f t="shared" ca="1" si="12"/>
        <v/>
      </c>
      <c r="Q52" s="46">
        <f t="shared" si="11"/>
        <v>2.15</v>
      </c>
      <c r="S52" s="98" t="str">
        <f t="shared" ca="1" si="6"/>
        <v/>
      </c>
      <c r="V52" t="str">
        <f t="shared" si="7"/>
        <v>ROF</v>
      </c>
      <c r="Z52" t="s">
        <v>1651</v>
      </c>
    </row>
    <row r="53" spans="1:26">
      <c r="A53" t="s">
        <v>12</v>
      </c>
      <c r="B53" t="s">
        <v>1613</v>
      </c>
      <c r="C53" t="s">
        <v>19</v>
      </c>
      <c r="D53" s="53" t="s">
        <v>24</v>
      </c>
      <c r="E53" s="53">
        <v>1</v>
      </c>
      <c r="F53" s="53" t="s">
        <v>1668</v>
      </c>
      <c r="G53" s="46" t="str">
        <f ca="1">IF(ISTEXT($B53),IF(COUNTIF($B53,"*Industry*"),SUMIF('Industry-capacity'!$A$2:$A$6,$B53,'Industry-capacity'!$D$2:$D$6),IF(SUMIF(INDIRECT($C53&amp;"!A$2:A$20"),$B53,INDIRECT($C53&amp;"!D$2:D$20"))&gt;0,SUMIF(INDIRECT($C53&amp;"!A$2:A$20"),$B53,INDIRECT($C53&amp;"!D$2:D$20")),"")),"")</f>
        <v/>
      </c>
      <c r="H53" s="46" t="str">
        <f t="shared" si="10"/>
        <v/>
      </c>
      <c r="I53" s="46">
        <f ca="1">IF(ISTEXT($B53),IF(COUNTIF($B53,"*Industry*"),SUMIF('Industry-capacity'!$A$2:$A$6,$B53,'Industry-capacity'!$B$2:$B$6),SUMIF(INDIRECT($C53&amp;"!A$2:A$20"),$B53,INDIRECT($C53&amp;"!B$2:B$20"))),"")</f>
        <v>64.400000000000006</v>
      </c>
      <c r="J53" s="46" t="str">
        <f t="shared" si="2"/>
        <v>TKU</v>
      </c>
      <c r="K53" s="46">
        <f ca="1">IF(ISTEXT($B53),IF(COUNTIF($B53,"*Industry*"),SUMIF('Industry-capacity'!$A$2:$A$6,$B53,'Industry-capacity'!$C$2:$C$6),SUMIF(INDIRECT($C53&amp;"!A$2:A$20"),$B53,INDIRECT($C53&amp;"!C$2:C$20"))),"")</f>
        <v>0</v>
      </c>
      <c r="L53" s="46" t="str">
        <f t="shared" ca="1" si="3"/>
        <v/>
      </c>
      <c r="M53" s="46" t="str">
        <f t="shared" ca="1" si="4"/>
        <v/>
      </c>
      <c r="N53" s="46"/>
      <c r="O53" s="46" t="str">
        <f t="shared" ca="1" si="12"/>
        <v/>
      </c>
      <c r="P53" s="46" t="str">
        <f t="shared" ca="1" si="12"/>
        <v/>
      </c>
      <c r="Q53" s="46">
        <f t="shared" si="11"/>
        <v>6.44</v>
      </c>
      <c r="S53" s="98" t="str">
        <f t="shared" ca="1" si="6"/>
        <v/>
      </c>
      <c r="V53" t="str">
        <f t="shared" si="7"/>
        <v>ROF</v>
      </c>
      <c r="Z53" t="s">
        <v>1660</v>
      </c>
    </row>
    <row r="54" spans="1:26">
      <c r="A54" t="s">
        <v>12</v>
      </c>
      <c r="B54" t="s">
        <v>1653</v>
      </c>
      <c r="C54" t="s">
        <v>19</v>
      </c>
      <c r="D54" s="53" t="s">
        <v>24</v>
      </c>
      <c r="E54" s="53">
        <v>1</v>
      </c>
      <c r="F54" s="53" t="s">
        <v>1668</v>
      </c>
      <c r="G54" s="46" t="str">
        <f ca="1">IF(ISTEXT($B54),IF(COUNTIF($B54,"*Industry*"),SUMIF('Industry-capacity'!$A$2:$A$6,$B54,'Industry-capacity'!$D$2:$D$6),IF(SUMIF(INDIRECT($C54&amp;"!A$2:A$20"),$B54,INDIRECT($C54&amp;"!D$2:D$20"))&gt;0,SUMIF(INDIRECT($C54&amp;"!A$2:A$20"),$B54,INDIRECT($C54&amp;"!D$2:D$20")),"")),"")</f>
        <v/>
      </c>
      <c r="H54" s="46" t="str">
        <f t="shared" si="10"/>
        <v/>
      </c>
      <c r="I54" s="46">
        <f ca="1">IF(ISTEXT($B54),IF(COUNTIF($B54,"*Industry*"),SUMIF('Industry-capacity'!$A$2:$A$6,$B54,'Industry-capacity'!$B$2:$B$6),SUMIF(INDIRECT($C54&amp;"!A$2:A$20"),$B54,INDIRECT($C54&amp;"!B$2:B$20"))),"")</f>
        <v>106.8</v>
      </c>
      <c r="J54" s="46" t="str">
        <f t="shared" si="2"/>
        <v>TKU</v>
      </c>
      <c r="K54" s="46">
        <f ca="1">IF(ISTEXT($B54),IF(COUNTIF($B54,"*Industry*"),SUMIF('Industry-capacity'!$A$2:$A$6,$B54,'Industry-capacity'!$C$2:$C$6),SUMIF(INDIRECT($C54&amp;"!A$2:A$20"),$B54,INDIRECT($C54&amp;"!C$2:C$20"))),"")</f>
        <v>0</v>
      </c>
      <c r="L54" s="46" t="str">
        <f t="shared" ca="1" si="3"/>
        <v/>
      </c>
      <c r="M54" s="46" t="str">
        <f t="shared" ca="1" si="4"/>
        <v/>
      </c>
      <c r="N54" s="46"/>
      <c r="O54" s="46" t="str">
        <f t="shared" ca="1" si="12"/>
        <v/>
      </c>
      <c r="P54" s="46" t="str">
        <f t="shared" ca="1" si="12"/>
        <v/>
      </c>
      <c r="Q54" s="46">
        <f t="shared" si="11"/>
        <v>2.15</v>
      </c>
      <c r="S54" s="98" t="str">
        <f t="shared" ca="1" si="6"/>
        <v/>
      </c>
      <c r="V54" t="str">
        <f t="shared" si="7"/>
        <v>ROF</v>
      </c>
      <c r="Z54" t="s">
        <v>1655</v>
      </c>
    </row>
    <row r="55" spans="1:26">
      <c r="A55" t="s">
        <v>12</v>
      </c>
      <c r="B55" t="s">
        <v>1656</v>
      </c>
      <c r="C55" t="s">
        <v>19</v>
      </c>
      <c r="D55" s="53" t="s">
        <v>24</v>
      </c>
      <c r="E55" s="53">
        <v>1</v>
      </c>
      <c r="F55" s="53" t="s">
        <v>1668</v>
      </c>
      <c r="G55" s="46">
        <f ca="1">IF(ISTEXT($B55),IF(COUNTIF($B55,"*Industry*"),SUMIF('Industry-capacity'!$A$2:$A$6,$B55,'Industry-capacity'!$D$2:$D$6),IF(SUMIF(INDIRECT($C55&amp;"!A$2:A$20"),$B55,INDIRECT($C55&amp;"!D$2:D$20"))&gt;0,SUMIF(INDIRECT($C55&amp;"!A$2:A$20"),$B55,INDIRECT($C55&amp;"!D$2:D$20")),"")),"")</f>
        <v>424</v>
      </c>
      <c r="H55" s="46" t="str">
        <f t="shared" si="10"/>
        <v/>
      </c>
      <c r="I55" s="46">
        <f ca="1">IF(ISTEXT($B55),IF(COUNTIF($B55,"*Industry*"),SUMIF('Industry-capacity'!$A$2:$A$6,$B55,'Industry-capacity'!$B$2:$B$6),SUMIF(INDIRECT($C55&amp;"!A$2:A$20"),$B55,INDIRECT($C55&amp;"!B$2:B$20"))),"")</f>
        <v>160</v>
      </c>
      <c r="J55" s="46" t="str">
        <f t="shared" si="2"/>
        <v/>
      </c>
      <c r="K55" s="46">
        <f ca="1">IF(ISTEXT($B55),IF(COUNTIF($B55,"*Industry*"),SUMIF('Industry-capacity'!$A$2:$A$6,$B55,'Industry-capacity'!$C$2:$C$6),SUMIF(INDIRECT($C55&amp;"!A$2:A$20"),$B55,INDIRECT($C55&amp;"!C$2:C$20"))),"")</f>
        <v>260</v>
      </c>
      <c r="L55" s="46" t="str">
        <f t="shared" ca="1" si="3"/>
        <v>TKU</v>
      </c>
      <c r="M55" s="46">
        <f t="shared" ca="1" si="4"/>
        <v>0.61538461538461542</v>
      </c>
      <c r="N55" s="46"/>
      <c r="O55" s="46">
        <f t="shared" ca="1" si="12"/>
        <v>0.99056603773584906</v>
      </c>
      <c r="P55" s="46">
        <f t="shared" ca="1" si="12"/>
        <v>0.99056603773584906</v>
      </c>
      <c r="Q55" s="46">
        <f t="shared" si="11"/>
        <v>2.15</v>
      </c>
      <c r="S55" s="98" t="str">
        <f t="shared" ca="1" si="6"/>
        <v/>
      </c>
      <c r="V55" t="str">
        <f t="shared" si="7"/>
        <v>ROF</v>
      </c>
      <c r="Z55" t="s">
        <v>1656</v>
      </c>
    </row>
    <row r="56" spans="1:26">
      <c r="A56" t="s">
        <v>12</v>
      </c>
      <c r="B56" t="s">
        <v>1652</v>
      </c>
      <c r="C56" t="s">
        <v>19</v>
      </c>
      <c r="D56" s="53" t="s">
        <v>24</v>
      </c>
      <c r="E56" s="53">
        <v>1</v>
      </c>
      <c r="F56" s="53" t="s">
        <v>1668</v>
      </c>
      <c r="G56" s="46" t="str">
        <f ca="1">IF(ISTEXT($B56),IF(COUNTIF($B56,"*Industry*"),SUMIF('Industry-capacity'!$A$2:$A$6,$B56,'Industry-capacity'!$D$2:$D$6),IF(SUMIF(INDIRECT($C56&amp;"!A$2:A$20"),$B56,INDIRECT($C56&amp;"!D$2:D$20"))&gt;0,SUMIF(INDIRECT($C56&amp;"!A$2:A$20"),$B56,INDIRECT($C56&amp;"!D$2:D$20")),"")),"")</f>
        <v/>
      </c>
      <c r="H56" s="46" t="str">
        <f t="shared" si="10"/>
        <v/>
      </c>
      <c r="I56" s="46">
        <f ca="1">IF(ISTEXT($B56),IF(COUNTIF($B56,"*Industry*"),SUMIF('Industry-capacity'!$A$2:$A$6,$B56,'Industry-capacity'!$B$2:$B$6),SUMIF(INDIRECT($C56&amp;"!A$2:A$20"),$B56,INDIRECT($C56&amp;"!B$2:B$20"))),"")</f>
        <v>50</v>
      </c>
      <c r="J56" s="46" t="str">
        <f t="shared" si="2"/>
        <v>TKU</v>
      </c>
      <c r="K56" s="46">
        <f ca="1">IF(ISTEXT($B56),IF(COUNTIF($B56,"*Industry*"),SUMIF('Industry-capacity'!$A$2:$A$6,$B56,'Industry-capacity'!$C$2:$C$6),SUMIF(INDIRECT($C56&amp;"!A$2:A$20"),$B56,INDIRECT($C56&amp;"!C$2:C$20"))),"")</f>
        <v>0</v>
      </c>
      <c r="L56" s="46" t="str">
        <f t="shared" ca="1" si="3"/>
        <v/>
      </c>
      <c r="M56" s="46" t="str">
        <f t="shared" ca="1" si="4"/>
        <v/>
      </c>
      <c r="N56" s="46"/>
      <c r="O56" s="46" t="str">
        <f t="shared" ca="1" si="12"/>
        <v/>
      </c>
      <c r="P56" s="46" t="str">
        <f t="shared" ca="1" si="12"/>
        <v/>
      </c>
      <c r="Q56" s="46">
        <f t="shared" si="11"/>
        <v>1.61</v>
      </c>
      <c r="S56" s="98" t="str">
        <f t="shared" ca="1" si="6"/>
        <v/>
      </c>
      <c r="V56" t="str">
        <f t="shared" si="7"/>
        <v>ROF</v>
      </c>
      <c r="Z56" t="s">
        <v>1659</v>
      </c>
    </row>
    <row r="57" spans="1:26">
      <c r="A57" t="s">
        <v>12</v>
      </c>
      <c r="B57" t="s">
        <v>1648</v>
      </c>
      <c r="C57" t="s">
        <v>19</v>
      </c>
      <c r="D57" s="53" t="s">
        <v>24</v>
      </c>
      <c r="E57" s="53">
        <v>1</v>
      </c>
      <c r="F57" s="53" t="s">
        <v>1668</v>
      </c>
      <c r="G57" s="46" t="str">
        <f ca="1">IF(ISTEXT($B57),IF(COUNTIF($B57,"*Industry*"),SUMIF('Industry-capacity'!$A$2:$A$6,$B57,'Industry-capacity'!$D$2:$D$6),IF(SUMIF(INDIRECT($C57&amp;"!A$2:A$20"),$B57,INDIRECT($C57&amp;"!D$2:D$20"))&gt;0,SUMIF(INDIRECT($C57&amp;"!A$2:A$20"),$B57,INDIRECT($C57&amp;"!D$2:D$20")),"")),"")</f>
        <v/>
      </c>
      <c r="H57" s="46" t="str">
        <f t="shared" si="10"/>
        <v>TKU</v>
      </c>
      <c r="I57" s="46">
        <f ca="1">IF(ISTEXT($B57),IF(COUNTIF($B57,"*Industry*"),SUMIF('Industry-capacity'!$A$2:$A$6,$B57,'Industry-capacity'!$B$2:$B$6),SUMIF(INDIRECT($C57&amp;"!A$2:A$20"),$B57,INDIRECT($C57&amp;"!B$2:B$20"))),"")</f>
        <v>75</v>
      </c>
      <c r="J57" s="46" t="str">
        <f t="shared" si="2"/>
        <v>TKU</v>
      </c>
      <c r="K57" s="46">
        <f ca="1">IF(ISTEXT($B57),IF(COUNTIF($B57,"*Industry*"),SUMIF('Industry-capacity'!$A$2:$A$6,$B57,'Industry-capacity'!$C$2:$C$6),SUMIF(INDIRECT($C57&amp;"!A$2:A$20"),$B57,INDIRECT($C57&amp;"!C$2:C$20"))),"")</f>
        <v>0</v>
      </c>
      <c r="L57" s="46" t="str">
        <f t="shared" ca="1" si="3"/>
        <v/>
      </c>
      <c r="M57" s="46" t="str">
        <f t="shared" ca="1" si="4"/>
        <v/>
      </c>
      <c r="N57" s="46"/>
      <c r="O57" s="46" t="str">
        <f t="shared" ca="1" si="12"/>
        <v/>
      </c>
      <c r="P57" s="46" t="str">
        <f t="shared" ca="1" si="12"/>
        <v/>
      </c>
      <c r="Q57" s="46">
        <f t="shared" si="11"/>
        <v>1.5</v>
      </c>
      <c r="S57" s="98" t="str">
        <f t="shared" ca="1" si="6"/>
        <v/>
      </c>
      <c r="V57" t="str">
        <f t="shared" si="7"/>
        <v>ROF</v>
      </c>
      <c r="Z57" t="s">
        <v>1661</v>
      </c>
    </row>
    <row r="58" spans="1:26">
      <c r="A58" t="s">
        <v>12</v>
      </c>
      <c r="B58" t="s">
        <v>1649</v>
      </c>
      <c r="C58" t="s">
        <v>19</v>
      </c>
      <c r="D58" s="53" t="s">
        <v>24</v>
      </c>
      <c r="E58" s="53">
        <v>1</v>
      </c>
      <c r="F58" s="53" t="s">
        <v>1668</v>
      </c>
      <c r="G58" s="46" t="str">
        <f ca="1">IF(ISTEXT($B58),IF(COUNTIF($B58,"*Industry*"),SUMIF('Industry-capacity'!$A$2:$A$6,$B58,'Industry-capacity'!$D$2:$D$6),IF(SUMIF(INDIRECT($C58&amp;"!A$2:A$20"),$B58,INDIRECT($C58&amp;"!D$2:D$20"))&gt;0,SUMIF(INDIRECT($C58&amp;"!A$2:A$20"),$B58,INDIRECT($C58&amp;"!D$2:D$20")),"")),"")</f>
        <v/>
      </c>
      <c r="H58" s="46" t="str">
        <f t="shared" si="10"/>
        <v>TKU</v>
      </c>
      <c r="I58" s="46">
        <f ca="1">IF(ISTEXT($B58),IF(COUNTIF($B58,"*Industry*"),SUMIF('Industry-capacity'!$A$2:$A$6,$B58,'Industry-capacity'!$B$2:$B$6),SUMIF(INDIRECT($C58&amp;"!A$2:A$20"),$B58,INDIRECT($C58&amp;"!B$2:B$20"))),"")</f>
        <v>75</v>
      </c>
      <c r="J58" s="46" t="str">
        <f t="shared" si="2"/>
        <v>TKU</v>
      </c>
      <c r="K58" s="46">
        <f ca="1">IF(ISTEXT($B58),IF(COUNTIF($B58,"*Industry*"),SUMIF('Industry-capacity'!$A$2:$A$6,$B58,'Industry-capacity'!$C$2:$C$6),SUMIF(INDIRECT($C58&amp;"!A$2:A$20"),$B58,INDIRECT($C58&amp;"!C$2:C$20"))),"")</f>
        <v>0</v>
      </c>
      <c r="L58" s="46" t="str">
        <f t="shared" ca="1" si="3"/>
        <v/>
      </c>
      <c r="M58" s="46" t="str">
        <f t="shared" ca="1" si="4"/>
        <v/>
      </c>
      <c r="N58" s="46"/>
      <c r="O58" s="46" t="str">
        <f t="shared" ca="1" si="12"/>
        <v/>
      </c>
      <c r="P58" s="46" t="str">
        <f t="shared" ca="1" si="12"/>
        <v/>
      </c>
      <c r="Q58" s="46">
        <f t="shared" si="11"/>
        <v>1.5</v>
      </c>
      <c r="S58" s="98" t="str">
        <f t="shared" ca="1" si="6"/>
        <v/>
      </c>
      <c r="V58" t="str">
        <f t="shared" si="7"/>
        <v>ROF</v>
      </c>
      <c r="Z58" t="s">
        <v>1662</v>
      </c>
    </row>
    <row r="59" spans="1:26">
      <c r="A59" t="s">
        <v>12</v>
      </c>
      <c r="B59" t="s">
        <v>1653</v>
      </c>
      <c r="C59" t="s">
        <v>16</v>
      </c>
      <c r="D59" s="53" t="s">
        <v>24</v>
      </c>
      <c r="E59" s="53">
        <v>1</v>
      </c>
      <c r="F59" s="53" t="s">
        <v>1668</v>
      </c>
      <c r="G59" s="46" t="str">
        <f ca="1">IF(ISTEXT($B59),IF(COUNTIF($B59,"*Industry*"),SUMIF('Industry-capacity'!$A$2:$A$6,$B59,'Industry-capacity'!$D$2:$D$6),IF(SUMIF(INDIRECT($C59&amp;"!A$2:A$20"),$B59,INDIRECT($C59&amp;"!D$2:D$20"))&gt;0,SUMIF(INDIRECT($C59&amp;"!A$2:A$20"),$B59,INDIRECT($C59&amp;"!D$2:D$20")),"")),"")</f>
        <v/>
      </c>
      <c r="H59" s="46" t="str">
        <f t="shared" si="10"/>
        <v/>
      </c>
      <c r="I59" s="46">
        <f ca="1">IF(ISTEXT($B59),IF(COUNTIF($B59,"*Industry*"),SUMIF('Industry-capacity'!$A$2:$A$6,$B59,'Industry-capacity'!$B$2:$B$6),SUMIF(INDIRECT($C59&amp;"!A$2:A$20"),$B59,INDIRECT($C59&amp;"!B$2:B$20"))),"")</f>
        <v>26.8</v>
      </c>
      <c r="J59" s="46" t="str">
        <f t="shared" si="2"/>
        <v>JKL</v>
      </c>
      <c r="K59" s="46">
        <f ca="1">IF(ISTEXT($B59),IF(COUNTIF($B59,"*Industry*"),SUMIF('Industry-capacity'!$A$2:$A$6,$B59,'Industry-capacity'!$C$2:$C$6),SUMIF(INDIRECT($C59&amp;"!A$2:A$20"),$B59,INDIRECT($C59&amp;"!C$2:C$20"))),"")</f>
        <v>0</v>
      </c>
      <c r="L59" s="46" t="str">
        <f t="shared" ca="1" si="3"/>
        <v/>
      </c>
      <c r="M59" s="46" t="str">
        <f t="shared" ca="1" si="4"/>
        <v/>
      </c>
      <c r="N59" s="46"/>
      <c r="O59" s="46" t="str">
        <f t="shared" ca="1" si="12"/>
        <v/>
      </c>
      <c r="P59" s="46" t="str">
        <f t="shared" ca="1" si="12"/>
        <v/>
      </c>
      <c r="Q59" s="46">
        <f t="shared" si="11"/>
        <v>2.04</v>
      </c>
      <c r="S59" s="98" t="str">
        <f t="shared" ca="1" si="6"/>
        <v/>
      </c>
      <c r="V59" t="str">
        <f t="shared" si="7"/>
        <v>ROF</v>
      </c>
    </row>
    <row r="60" spans="1:26">
      <c r="A60" t="s">
        <v>12</v>
      </c>
      <c r="B60" t="s">
        <v>1657</v>
      </c>
      <c r="C60" t="s">
        <v>16</v>
      </c>
      <c r="D60" s="53" t="s">
        <v>24</v>
      </c>
      <c r="E60" s="53">
        <v>1</v>
      </c>
      <c r="F60" s="53" t="s">
        <v>1668</v>
      </c>
      <c r="G60" s="46" t="str">
        <f ca="1">IF(ISTEXT($B60),IF(COUNTIF($B60,"*Industry*"),SUMIF('Industry-capacity'!$A$2:$A$6,$B60,'Industry-capacity'!$D$2:$D$6),IF(SUMIF(INDIRECT($C60&amp;"!A$2:A$20"),$B60,INDIRECT($C60&amp;"!D$2:D$20"))&gt;0,SUMIF(INDIRECT($C60&amp;"!A$2:A$20"),$B60,INDIRECT($C60&amp;"!D$2:D$20")),"")),"")</f>
        <v/>
      </c>
      <c r="H60" s="46" t="str">
        <f t="shared" si="10"/>
        <v/>
      </c>
      <c r="I60" s="46">
        <f ca="1">IF(ISTEXT($B60),IF(COUNTIF($B60,"*Industry*"),SUMIF('Industry-capacity'!$A$2:$A$6,$B60,'Industry-capacity'!$B$2:$B$6),SUMIF(INDIRECT($C60&amp;"!A$2:A$20"),$B60,INDIRECT($C60&amp;"!B$2:B$20"))),"")</f>
        <v>3.1</v>
      </c>
      <c r="J60" s="46" t="str">
        <f t="shared" si="2"/>
        <v>JKL</v>
      </c>
      <c r="K60" s="46">
        <f ca="1">IF(ISTEXT($B60),IF(COUNTIF($B60,"*Industry*"),SUMIF('Industry-capacity'!$A$2:$A$6,$B60,'Industry-capacity'!$C$2:$C$6),SUMIF(INDIRECT($C60&amp;"!A$2:A$20"),$B60,INDIRECT($C60&amp;"!C$2:C$20"))),"")</f>
        <v>0</v>
      </c>
      <c r="L60" s="46" t="str">
        <f t="shared" ca="1" si="3"/>
        <v/>
      </c>
      <c r="M60" s="46" t="str">
        <f t="shared" ca="1" si="4"/>
        <v/>
      </c>
      <c r="N60" s="46"/>
      <c r="O60" s="46" t="str">
        <f t="shared" ca="1" si="12"/>
        <v/>
      </c>
      <c r="P60" s="46" t="str">
        <f t="shared" ca="1" si="12"/>
        <v/>
      </c>
      <c r="Q60" s="46">
        <f t="shared" si="11"/>
        <v>2.04</v>
      </c>
      <c r="S60" s="98" t="str">
        <f t="shared" ca="1" si="6"/>
        <v>remove</v>
      </c>
      <c r="V60" t="str">
        <f t="shared" si="7"/>
        <v>ROF</v>
      </c>
    </row>
    <row r="61" spans="1:26">
      <c r="A61" t="s">
        <v>12</v>
      </c>
      <c r="B61" t="s">
        <v>1654</v>
      </c>
      <c r="C61" t="s">
        <v>16</v>
      </c>
      <c r="D61" s="53" t="s">
        <v>24</v>
      </c>
      <c r="E61" s="53">
        <v>1</v>
      </c>
      <c r="F61" s="53" t="s">
        <v>1668</v>
      </c>
      <c r="G61" s="46" t="str">
        <f ca="1">IF(ISTEXT($B61),IF(COUNTIF($B61,"*Industry*"),SUMIF('Industry-capacity'!$A$2:$A$6,$B61,'Industry-capacity'!$D$2:$D$6),IF(SUMIF(INDIRECT($C61&amp;"!A$2:A$20"),$B61,INDIRECT($C61&amp;"!D$2:D$20"))&gt;0,SUMIF(INDIRECT($C61&amp;"!A$2:A$20"),$B61,INDIRECT($C61&amp;"!D$2:D$20")),"")),"")</f>
        <v/>
      </c>
      <c r="H61" s="46" t="str">
        <f t="shared" si="10"/>
        <v/>
      </c>
      <c r="I61" s="46">
        <f ca="1">IF(ISTEXT($B61),IF(COUNTIF($B61,"*Industry*"),SUMIF('Industry-capacity'!$A$2:$A$6,$B61,'Industry-capacity'!$B$2:$B$6),SUMIF(INDIRECT($C61&amp;"!A$2:A$20"),$B61,INDIRECT($C61&amp;"!B$2:B$20"))),"")</f>
        <v>200</v>
      </c>
      <c r="J61" s="46" t="str">
        <f t="shared" si="2"/>
        <v>JKL</v>
      </c>
      <c r="K61" s="46">
        <f ca="1">IF(ISTEXT($B61),IF(COUNTIF($B61,"*Industry*"),SUMIF('Industry-capacity'!$A$2:$A$6,$B61,'Industry-capacity'!$C$2:$C$6),SUMIF(INDIRECT($C61&amp;"!A$2:A$20"),$B61,INDIRECT($C61&amp;"!C$2:C$20"))),"")</f>
        <v>0</v>
      </c>
      <c r="L61" s="46" t="str">
        <f t="shared" ca="1" si="3"/>
        <v/>
      </c>
      <c r="M61" s="46" t="str">
        <f t="shared" ca="1" si="4"/>
        <v/>
      </c>
      <c r="N61" s="46"/>
      <c r="O61" s="46" t="str">
        <f t="shared" ca="1" si="12"/>
        <v/>
      </c>
      <c r="P61" s="46" t="str">
        <f t="shared" ca="1" si="12"/>
        <v/>
      </c>
      <c r="Q61" s="46">
        <f t="shared" si="11"/>
        <v>2.04</v>
      </c>
      <c r="S61" s="98" t="str">
        <f t="shared" ca="1" si="6"/>
        <v/>
      </c>
      <c r="V61" t="str">
        <f t="shared" si="7"/>
        <v>ROF</v>
      </c>
    </row>
    <row r="62" spans="1:26">
      <c r="A62" t="s">
        <v>12</v>
      </c>
      <c r="B62" t="s">
        <v>1656</v>
      </c>
      <c r="C62" t="s">
        <v>16</v>
      </c>
      <c r="D62" s="53" t="s">
        <v>24</v>
      </c>
      <c r="E62" s="53">
        <v>1</v>
      </c>
      <c r="F62" s="53" t="s">
        <v>1668</v>
      </c>
      <c r="G62" s="46">
        <f ca="1">IF(ISTEXT($B62),IF(COUNTIF($B62,"*Industry*"),SUMIF('Industry-capacity'!$A$2:$A$6,$B62,'Industry-capacity'!$D$2:$D$6),IF(SUMIF(INDIRECT($C62&amp;"!A$2:A$20"),$B62,INDIRECT($C62&amp;"!D$2:D$20"))&gt;0,SUMIF(INDIRECT($C62&amp;"!A$2:A$20"),$B62,INDIRECT($C62&amp;"!D$2:D$20")),"")),"")</f>
        <v>790</v>
      </c>
      <c r="H62" s="46" t="str">
        <f t="shared" si="10"/>
        <v/>
      </c>
      <c r="I62" s="46">
        <f ca="1">IF(ISTEXT($B62),IF(COUNTIF($B62,"*Industry*"),SUMIF('Industry-capacity'!$A$2:$A$6,$B62,'Industry-capacity'!$B$2:$B$6),SUMIF(INDIRECT($C62&amp;"!A$2:A$20"),$B62,INDIRECT($C62&amp;"!B$2:B$20"))),"")</f>
        <v>250</v>
      </c>
      <c r="J62" s="46" t="str">
        <f t="shared" si="2"/>
        <v/>
      </c>
      <c r="K62" s="46">
        <f ca="1">IF(ISTEXT($B62),IF(COUNTIF($B62,"*Industry*"),SUMIF('Industry-capacity'!$A$2:$A$6,$B62,'Industry-capacity'!$C$2:$C$6),SUMIF(INDIRECT($C62&amp;"!A$2:A$20"),$B62,INDIRECT($C62&amp;"!C$2:C$20"))),"")</f>
        <v>435</v>
      </c>
      <c r="L62" s="46" t="str">
        <f t="shared" ca="1" si="3"/>
        <v>JKL</v>
      </c>
      <c r="M62" s="46">
        <f t="shared" ca="1" si="4"/>
        <v>0.57471264367816088</v>
      </c>
      <c r="N62" s="46"/>
      <c r="O62" s="46">
        <f t="shared" ca="1" si="12"/>
        <v>0.86708860759493667</v>
      </c>
      <c r="P62" s="46">
        <f t="shared" ca="1" si="12"/>
        <v>0.86708860759493667</v>
      </c>
      <c r="Q62" s="46">
        <f t="shared" si="11"/>
        <v>2.04</v>
      </c>
      <c r="S62" s="98" t="str">
        <f t="shared" ca="1" si="6"/>
        <v/>
      </c>
      <c r="V62" t="str">
        <f t="shared" si="7"/>
        <v>ROF</v>
      </c>
    </row>
    <row r="63" spans="1:26">
      <c r="A63" t="s">
        <v>12</v>
      </c>
      <c r="B63" t="s">
        <v>1613</v>
      </c>
      <c r="C63" t="s">
        <v>16</v>
      </c>
      <c r="D63" s="53" t="s">
        <v>24</v>
      </c>
      <c r="E63" s="53">
        <v>1</v>
      </c>
      <c r="F63" s="53" t="s">
        <v>1668</v>
      </c>
      <c r="G63" s="46" t="str">
        <f ca="1">IF(ISTEXT($B63),IF(COUNTIF($B63,"*Industry*"),SUMIF('Industry-capacity'!$A$2:$A$6,$B63,'Industry-capacity'!$D$2:$D$6),IF(SUMIF(INDIRECT($C63&amp;"!A$2:A$20"),$B63,INDIRECT($C63&amp;"!D$2:D$20"))&gt;0,SUMIF(INDIRECT($C63&amp;"!A$2:A$20"),$B63,INDIRECT($C63&amp;"!D$2:D$20")),"")),"")</f>
        <v/>
      </c>
      <c r="H63" s="46" t="str">
        <f t="shared" si="10"/>
        <v/>
      </c>
      <c r="I63" s="46">
        <f ca="1">IF(ISTEXT($B63),IF(COUNTIF($B63,"*Industry*"),SUMIF('Industry-capacity'!$A$2:$A$6,$B63,'Industry-capacity'!$B$2:$B$6),SUMIF(INDIRECT($C63&amp;"!A$2:A$20"),$B63,INDIRECT($C63&amp;"!B$2:B$20"))),"")</f>
        <v>45</v>
      </c>
      <c r="J63" s="46" t="str">
        <f t="shared" si="2"/>
        <v>JKL</v>
      </c>
      <c r="K63" s="46">
        <f ca="1">IF(ISTEXT($B63),IF(COUNTIF($B63,"*Industry*"),SUMIF('Industry-capacity'!$A$2:$A$6,$B63,'Industry-capacity'!$C$2:$C$6),SUMIF(INDIRECT($C63&amp;"!A$2:A$20"),$B63,INDIRECT($C63&amp;"!C$2:C$20"))),"")</f>
        <v>0</v>
      </c>
      <c r="L63" s="46" t="str">
        <f t="shared" ca="1" si="3"/>
        <v/>
      </c>
      <c r="M63" s="46" t="str">
        <f t="shared" ca="1" si="4"/>
        <v/>
      </c>
      <c r="N63" s="46"/>
      <c r="O63" s="46" t="str">
        <f t="shared" ca="1" si="12"/>
        <v/>
      </c>
      <c r="P63" s="46" t="str">
        <f t="shared" ca="1" si="12"/>
        <v/>
      </c>
      <c r="Q63" s="46">
        <f t="shared" si="11"/>
        <v>6.11</v>
      </c>
      <c r="S63" s="98" t="str">
        <f t="shared" ca="1" si="6"/>
        <v/>
      </c>
      <c r="V63" t="str">
        <f t="shared" si="7"/>
        <v>ROF</v>
      </c>
    </row>
    <row r="64" spans="1:26">
      <c r="A64" t="s">
        <v>12</v>
      </c>
      <c r="B64" t="s">
        <v>1652</v>
      </c>
      <c r="C64" t="s">
        <v>16</v>
      </c>
      <c r="D64" s="53" t="s">
        <v>24</v>
      </c>
      <c r="E64" s="53">
        <v>1</v>
      </c>
      <c r="F64" s="53" t="s">
        <v>1668</v>
      </c>
      <c r="G64" s="46" t="str">
        <f ca="1">IF(ISTEXT($B64),IF(COUNTIF($B64,"*Industry*"),SUMIF('Industry-capacity'!$A$2:$A$6,$B64,'Industry-capacity'!$D$2:$D$6),IF(SUMIF(INDIRECT($C64&amp;"!A$2:A$20"),$B64,INDIRECT($C64&amp;"!D$2:D$20"))&gt;0,SUMIF(INDIRECT($C64&amp;"!A$2:A$20"),$B64,INDIRECT($C64&amp;"!D$2:D$20")),"")),"")</f>
        <v/>
      </c>
      <c r="H64" s="46" t="str">
        <f t="shared" si="10"/>
        <v/>
      </c>
      <c r="I64" s="46">
        <f ca="1">IF(ISTEXT($B64),IF(COUNTIF($B64,"*Industry*"),SUMIF('Industry-capacity'!$A$2:$A$6,$B64,'Industry-capacity'!$B$2:$B$6),SUMIF(INDIRECT($C64&amp;"!A$2:A$20"),$B64,INDIRECT($C64&amp;"!B$2:B$20"))),"")</f>
        <v>120</v>
      </c>
      <c r="J64" s="46" t="str">
        <f t="shared" si="2"/>
        <v>JKL</v>
      </c>
      <c r="K64" s="46">
        <f ca="1">IF(ISTEXT($B64),IF(COUNTIF($B64,"*Industry*"),SUMIF('Industry-capacity'!$A$2:$A$6,$B64,'Industry-capacity'!$C$2:$C$6),SUMIF(INDIRECT($C64&amp;"!A$2:A$20"),$B64,INDIRECT($C64&amp;"!C$2:C$20"))),"")</f>
        <v>0</v>
      </c>
      <c r="L64" s="46" t="str">
        <f t="shared" ca="1" si="3"/>
        <v/>
      </c>
      <c r="M64" s="46" t="str">
        <f t="shared" ca="1" si="4"/>
        <v/>
      </c>
      <c r="N64" s="46"/>
      <c r="O64" s="46" t="str">
        <f t="shared" ca="1" si="12"/>
        <v/>
      </c>
      <c r="P64" s="46" t="str">
        <f t="shared" ca="1" si="12"/>
        <v/>
      </c>
      <c r="Q64" s="46">
        <f t="shared" si="11"/>
        <v>1.53</v>
      </c>
      <c r="S64" s="98" t="str">
        <f t="shared" ca="1" si="6"/>
        <v/>
      </c>
      <c r="V64" t="str">
        <f t="shared" si="7"/>
        <v>ROF</v>
      </c>
    </row>
    <row r="65" spans="1:22">
      <c r="A65" t="s">
        <v>12</v>
      </c>
      <c r="B65" t="s">
        <v>1648</v>
      </c>
      <c r="C65" t="s">
        <v>16</v>
      </c>
      <c r="D65" s="53" t="s">
        <v>24</v>
      </c>
      <c r="E65" s="53">
        <v>1</v>
      </c>
      <c r="F65" s="53" t="s">
        <v>1668</v>
      </c>
      <c r="G65" s="46" t="str">
        <f ca="1">IF(ISTEXT($B65),IF(COUNTIF($B65,"*Industry*"),SUMIF('Industry-capacity'!$A$2:$A$6,$B65,'Industry-capacity'!$D$2:$D$6),IF(SUMIF(INDIRECT($C65&amp;"!A$2:A$20"),$B65,INDIRECT($C65&amp;"!D$2:D$20"))&gt;0,SUMIF(INDIRECT($C65&amp;"!A$2:A$20"),$B65,INDIRECT($C65&amp;"!D$2:D$20")),"")),"")</f>
        <v/>
      </c>
      <c r="H65" s="46" t="str">
        <f t="shared" si="10"/>
        <v>JKL</v>
      </c>
      <c r="I65" s="46">
        <f ca="1">IF(ISTEXT($B65),IF(COUNTIF($B65,"*Industry*"),SUMIF('Industry-capacity'!$A$2:$A$6,$B65,'Industry-capacity'!$B$2:$B$6),SUMIF(INDIRECT($C65&amp;"!A$2:A$20"),$B65,INDIRECT($C65&amp;"!B$2:B$20"))),"")</f>
        <v>80</v>
      </c>
      <c r="J65" s="46" t="str">
        <f t="shared" si="2"/>
        <v>JKL</v>
      </c>
      <c r="K65" s="46">
        <f ca="1">IF(ISTEXT($B65),IF(COUNTIF($B65,"*Industry*"),SUMIF('Industry-capacity'!$A$2:$A$6,$B65,'Industry-capacity'!$C$2:$C$6),SUMIF(INDIRECT($C65&amp;"!A$2:A$20"),$B65,INDIRECT($C65&amp;"!C$2:C$20"))),"")</f>
        <v>0</v>
      </c>
      <c r="L65" s="46" t="str">
        <f t="shared" ca="1" si="3"/>
        <v/>
      </c>
      <c r="M65" s="46" t="str">
        <f t="shared" ca="1" si="4"/>
        <v/>
      </c>
      <c r="N65" s="46"/>
      <c r="O65" s="46" t="str">
        <f t="shared" ca="1" si="12"/>
        <v/>
      </c>
      <c r="P65" s="46" t="str">
        <f t="shared" ca="1" si="12"/>
        <v/>
      </c>
      <c r="Q65" s="46">
        <f t="shared" si="11"/>
        <v>1.43</v>
      </c>
      <c r="S65" s="98" t="str">
        <f t="shared" ca="1" si="6"/>
        <v/>
      </c>
      <c r="V65" t="str">
        <f t="shared" si="7"/>
        <v>ROF</v>
      </c>
    </row>
    <row r="66" spans="1:22">
      <c r="A66" t="s">
        <v>12</v>
      </c>
      <c r="B66" t="s">
        <v>1649</v>
      </c>
      <c r="C66" t="s">
        <v>16</v>
      </c>
      <c r="D66" s="53" t="s">
        <v>24</v>
      </c>
      <c r="E66" s="53">
        <v>1</v>
      </c>
      <c r="F66" s="53" t="s">
        <v>1668</v>
      </c>
      <c r="G66" s="46" t="str">
        <f ca="1">IF(ISTEXT($B66),IF(COUNTIF($B66,"*Industry*"),SUMIF('Industry-capacity'!$A$2:$A$6,$B66,'Industry-capacity'!$D$2:$D$6),IF(SUMIF(INDIRECT($C66&amp;"!A$2:A$20"),$B66,INDIRECT($C66&amp;"!D$2:D$20"))&gt;0,SUMIF(INDIRECT($C66&amp;"!A$2:A$20"),$B66,INDIRECT($C66&amp;"!D$2:D$20")),"")),"")</f>
        <v/>
      </c>
      <c r="H66" s="46" t="str">
        <f t="shared" si="10"/>
        <v>JKL</v>
      </c>
      <c r="I66" s="46">
        <f ca="1">IF(ISTEXT($B66),IF(COUNTIF($B66,"*Industry*"),SUMIF('Industry-capacity'!$A$2:$A$6,$B66,'Industry-capacity'!$B$2:$B$6),SUMIF(INDIRECT($C66&amp;"!A$2:A$20"),$B66,INDIRECT($C66&amp;"!B$2:B$20"))),"")</f>
        <v>80</v>
      </c>
      <c r="J66" s="46" t="str">
        <f t="shared" si="2"/>
        <v>JKL</v>
      </c>
      <c r="K66" s="46">
        <f ca="1">IF(ISTEXT($B66),IF(COUNTIF($B66,"*Industry*"),SUMIF('Industry-capacity'!$A$2:$A$6,$B66,'Industry-capacity'!$C$2:$C$6),SUMIF(INDIRECT($C66&amp;"!A$2:A$20"),$B66,INDIRECT($C66&amp;"!C$2:C$20"))),"")</f>
        <v>0</v>
      </c>
      <c r="L66" s="46" t="str">
        <f t="shared" ca="1" si="3"/>
        <v/>
      </c>
      <c r="M66" s="46" t="str">
        <f t="shared" ca="1" si="4"/>
        <v/>
      </c>
      <c r="N66" s="46"/>
      <c r="O66" s="46" t="str">
        <f t="shared" ca="1" si="12"/>
        <v/>
      </c>
      <c r="P66" s="46" t="str">
        <f t="shared" ca="1" si="12"/>
        <v/>
      </c>
      <c r="Q66" s="46">
        <f t="shared" si="11"/>
        <v>1.43</v>
      </c>
      <c r="S66" s="98" t="str">
        <f t="shared" ca="1" si="6"/>
        <v/>
      </c>
      <c r="V66" t="str">
        <f t="shared" si="7"/>
        <v>ROF</v>
      </c>
    </row>
    <row r="67" spans="1:22">
      <c r="A67" t="s">
        <v>12</v>
      </c>
      <c r="B67" t="s">
        <v>1654</v>
      </c>
      <c r="C67" t="s">
        <v>14</v>
      </c>
      <c r="D67" s="53" t="s">
        <v>24</v>
      </c>
      <c r="E67" s="53">
        <v>1</v>
      </c>
      <c r="F67" s="53" t="s">
        <v>1668</v>
      </c>
      <c r="G67" s="46" t="str">
        <f ca="1">IF(ISTEXT($B67),IF(COUNTIF($B67,"*Industry*"),SUMIF('Industry-capacity'!$A$2:$A$6,$B67,'Industry-capacity'!$D$2:$D$6),IF(SUMIF(INDIRECT($C67&amp;"!A$2:A$20"),$B67,INDIRECT($C67&amp;"!D$2:D$20"))&gt;0,SUMIF(INDIRECT($C67&amp;"!A$2:A$20"),$B67,INDIRECT($C67&amp;"!D$2:D$20")),"")),"")</f>
        <v/>
      </c>
      <c r="H67" s="46" t="str">
        <f t="shared" si="10"/>
        <v/>
      </c>
      <c r="I67" s="46">
        <f ca="1">IF(ISTEXT($B67),IF(COUNTIF($B67,"*Industry*"),SUMIF('Industry-capacity'!$A$2:$A$6,$B67,'Industry-capacity'!$B$2:$B$6),SUMIF(INDIRECT($C67&amp;"!A$2:A$20"),$B67,INDIRECT($C67&amp;"!B$2:B$20"))),"")</f>
        <v>3520.3000000000006</v>
      </c>
      <c r="J67" s="46" t="str">
        <f t="shared" si="2"/>
        <v>ROF</v>
      </c>
      <c r="K67" s="46">
        <f ca="1">IF(ISTEXT($B67),IF(COUNTIF($B67,"*Industry*"),SUMIF('Industry-capacity'!$A$2:$A$6,$B67,'Industry-capacity'!$C$2:$C$6),SUMIF(INDIRECT($C67&amp;"!A$2:A$20"),$B67,INDIRECT($C67&amp;"!C$2:C$20"))),"")</f>
        <v>0</v>
      </c>
      <c r="L67" s="46" t="str">
        <f t="shared" ca="1" si="3"/>
        <v/>
      </c>
      <c r="M67" s="46" t="str">
        <f t="shared" ca="1" si="4"/>
        <v/>
      </c>
      <c r="N67" s="46"/>
      <c r="O67" s="46" t="str">
        <f t="shared" ca="1" si="12"/>
        <v/>
      </c>
      <c r="P67" s="46" t="str">
        <f t="shared" ca="1" si="12"/>
        <v/>
      </c>
      <c r="Q67" s="46">
        <f>ROUND(VLOOKUP($B67, $Z$6:$AA$32,2,FALSE) * (1+$AD$6) * (1 + IF(C67="",1, VLOOKUP($C67,$AC$8:$AD$15,2,FALSE))), 2)</f>
        <v>2.0499999999999998</v>
      </c>
      <c r="S67" s="98" t="str">
        <f t="shared" ca="1" si="6"/>
        <v/>
      </c>
      <c r="V67" t="str">
        <f t="shared" si="7"/>
        <v>ROF</v>
      </c>
    </row>
    <row r="68" spans="1:22">
      <c r="A68" t="s">
        <v>12</v>
      </c>
      <c r="B68" t="s">
        <v>1655</v>
      </c>
      <c r="C68" t="s">
        <v>14</v>
      </c>
      <c r="D68" s="53" t="s">
        <v>24</v>
      </c>
      <c r="E68" s="53">
        <v>1</v>
      </c>
      <c r="F68" s="53" t="s">
        <v>1668</v>
      </c>
      <c r="G68" s="46" t="str">
        <f ca="1">IF(ISTEXT($B68),IF(COUNTIF($B68,"*Industry*"),SUMIF('Industry-capacity'!$A$2:$A$6,$B68,'Industry-capacity'!$D$2:$D$6),IF(SUMIF(INDIRECT($C68&amp;"!A$2:A$20"),$B68,INDIRECT($C68&amp;"!D$2:D$20"))&gt;0,SUMIF(INDIRECT($C68&amp;"!A$2:A$20"),$B68,INDIRECT($C68&amp;"!D$2:D$20")),"")),"")</f>
        <v/>
      </c>
      <c r="H68" s="46" t="str">
        <f t="shared" si="10"/>
        <v/>
      </c>
      <c r="I68" s="46">
        <f ca="1">IF(ISTEXT($B68),IF(COUNTIF($B68,"*Industry*"),SUMIF('Industry-capacity'!$A$2:$A$6,$B68,'Industry-capacity'!$B$2:$B$6),SUMIF(INDIRECT($C68&amp;"!A$2:A$20"),$B68,INDIRECT($C68&amp;"!B$2:B$20"))),"")</f>
        <v>10</v>
      </c>
      <c r="J68" s="46" t="str">
        <f t="shared" ref="J68:J79" si="13">IF(COUNTIF($B68,"*HOB*")+COUNTIF($B68,"*charger*")+COUNTIF($B68,"*disch*")+COUNTIF($B68,"GSHP")+COUNTIF($B68,"EBoil"),C68,"")</f>
        <v>ROF</v>
      </c>
      <c r="K68" s="46">
        <f ca="1">IF(ISTEXT($B68),IF(COUNTIF($B68,"*Industry*"),SUMIF('Industry-capacity'!$A$2:$A$6,$B68,'Industry-capacity'!$C$2:$C$6),SUMIF(INDIRECT($C68&amp;"!A$2:A$20"),$B68,INDIRECT($C68&amp;"!C$2:C$20"))),"")</f>
        <v>0</v>
      </c>
      <c r="L68" s="46" t="str">
        <f t="shared" ref="L68:L79" ca="1" si="14">IF(K68=0,"",IF(ISTEXT($B68),IF(COUNTIF($B68,"*Industry*"),"industry",$C68),""))</f>
        <v/>
      </c>
      <c r="M68" s="46" t="str">
        <f t="shared" ref="M68:M79" ca="1" si="15">IF(ISTEXT($B68),IF($K68&gt;0,$I68/$K68,""),"")</f>
        <v/>
      </c>
      <c r="N68" s="46"/>
      <c r="O68" s="46" t="str">
        <f t="shared" ca="1" si="12"/>
        <v/>
      </c>
      <c r="P68" s="46" t="str">
        <f t="shared" ca="1" si="12"/>
        <v/>
      </c>
      <c r="Q68" s="46">
        <f>ROUND(VLOOKUP($B68, $Z$6:$AA$32,2,FALSE) * (1+$AD$6) * (1 + IF(C68="",1, VLOOKUP($C68,$AC$8:$AD$15,2,FALSE))), 2)</f>
        <v>2.0499999999999998</v>
      </c>
      <c r="S68" s="98" t="str">
        <f t="shared" ref="S68:S79" ca="1" si="16">IF(I68&lt;10, "remove", "")</f>
        <v/>
      </c>
      <c r="V68" t="str">
        <f>_xlfn.XLOOKUP(C68,$W$6:$W$13,$X$6:$X$13)</f>
        <v>ROF</v>
      </c>
    </row>
    <row r="69" spans="1:22">
      <c r="A69" t="s">
        <v>12</v>
      </c>
      <c r="B69" t="s">
        <v>1653</v>
      </c>
      <c r="C69" t="s">
        <v>14</v>
      </c>
      <c r="D69" s="53" t="s">
        <v>24</v>
      </c>
      <c r="E69" s="53">
        <v>1</v>
      </c>
      <c r="F69" s="53" t="s">
        <v>1668</v>
      </c>
      <c r="G69" s="46" t="str">
        <f ca="1">IF(ISTEXT($B69),IF(COUNTIF($B69,"*Industry*"),SUMIF('Industry-capacity'!$A$2:$A$6,$B69,'Industry-capacity'!$D$2:$D$6),IF(SUMIF(INDIRECT($C69&amp;"!A$2:A$20"),$B69,INDIRECT($C69&amp;"!D$2:D$20"))&gt;0,SUMIF(INDIRECT($C69&amp;"!A$2:A$20"),$B69,INDIRECT($C69&amp;"!D$2:D$20")),"")),"")</f>
        <v/>
      </c>
      <c r="H69" s="46" t="str">
        <f t="shared" si="10"/>
        <v/>
      </c>
      <c r="I69" s="46">
        <f ca="1">IF(ISTEXT($B69),IF(COUNTIF($B69,"*Industry*"),SUMIF('Industry-capacity'!$A$2:$A$6,$B69,'Industry-capacity'!$B$2:$B$6),SUMIF(INDIRECT($C69&amp;"!A$2:A$20"),$B69,INDIRECT($C69&amp;"!B$2:B$20"))),"")</f>
        <v>2701.9000000000005</v>
      </c>
      <c r="J69" s="46" t="str">
        <f t="shared" si="13"/>
        <v>ROF</v>
      </c>
      <c r="K69" s="46">
        <f ca="1">IF(ISTEXT($B69),IF(COUNTIF($B69,"*Industry*"),SUMIF('Industry-capacity'!$A$2:$A$6,$B69,'Industry-capacity'!$C$2:$C$6),SUMIF(INDIRECT($C69&amp;"!A$2:A$20"),$B69,INDIRECT($C69&amp;"!C$2:C$20"))),"")</f>
        <v>0</v>
      </c>
      <c r="L69" s="46" t="str">
        <f t="shared" ca="1" si="14"/>
        <v/>
      </c>
      <c r="M69" s="46" t="str">
        <f t="shared" ca="1" si="15"/>
        <v/>
      </c>
      <c r="N69" s="46"/>
      <c r="O69" s="46" t="str">
        <f t="shared" ca="1" si="12"/>
        <v/>
      </c>
      <c r="P69" s="46" t="str">
        <f t="shared" ca="1" si="12"/>
        <v/>
      </c>
      <c r="Q69" s="46">
        <f>ROUND(VLOOKUP($B69, $Z$6:$AA$32,2,FALSE) * (1+$AD$6) * (1 + IF(C69="",1, VLOOKUP($C69,$AC$8:$AD$15,2,FALSE))), 2)</f>
        <v>2.0499999999999998</v>
      </c>
      <c r="S69" s="98" t="str">
        <f t="shared" ca="1" si="16"/>
        <v/>
      </c>
      <c r="V69" t="str">
        <f>_xlfn.XLOOKUP(C69,$W$6:$W$13,$X$6:$X$13)</f>
        <v>ROF</v>
      </c>
    </row>
    <row r="70" spans="1:22">
      <c r="A70" t="s">
        <v>12</v>
      </c>
      <c r="B70" t="s">
        <v>1656</v>
      </c>
      <c r="C70" t="s">
        <v>14</v>
      </c>
      <c r="D70" s="53" t="s">
        <v>24</v>
      </c>
      <c r="E70" s="53">
        <v>1</v>
      </c>
      <c r="F70" s="53" t="s">
        <v>1668</v>
      </c>
      <c r="G70" s="46" t="str">
        <f ca="1">IF(ISTEXT($B70),IF(COUNTIF($B70,"*Industry*"),SUMIF('Industry-capacity'!$A$2:$A$6,$B70,'Industry-capacity'!$D$2:$D$6),IF(SUMIF(INDIRECT($C70&amp;"!A$2:A$20"),$B70,INDIRECT($C70&amp;"!D$2:D$20"))&gt;0,SUMIF(INDIRECT($C70&amp;"!A$2:A$20"),$B70,INDIRECT($C70&amp;"!D$2:D$20")),"")),"")</f>
        <v/>
      </c>
      <c r="H70" s="46" t="str">
        <f t="shared" si="10"/>
        <v/>
      </c>
      <c r="I70" s="46">
        <f ca="1">IF(ISTEXT($B70),IF(COUNTIF($B70,"*Industry*"),SUMIF('Industry-capacity'!$A$2:$A$6,$B70,'Industry-capacity'!$B$2:$B$6),SUMIF(INDIRECT($C70&amp;"!A$2:A$20"),$B70,INDIRECT($C70&amp;"!B$2:B$20"))),"")</f>
        <v>1426.6</v>
      </c>
      <c r="J70" s="46" t="str">
        <f t="shared" si="13"/>
        <v/>
      </c>
      <c r="K70" s="46">
        <f ca="1">IF(ISTEXT($B70),IF(COUNTIF($B70,"*Industry*"),SUMIF('Industry-capacity'!$A$2:$A$6,$B70,'Industry-capacity'!$C$2:$C$6),SUMIF(INDIRECT($C70&amp;"!A$2:A$20"),$B70,INDIRECT($C70&amp;"!C$2:C$20"))),"")</f>
        <v>3099.2999999999997</v>
      </c>
      <c r="L70" s="46" t="str">
        <f t="shared" ca="1" si="14"/>
        <v>ROF</v>
      </c>
      <c r="M70" s="46">
        <f t="shared" ca="1" si="15"/>
        <v>0.46029748652921626</v>
      </c>
      <c r="N70" s="46"/>
      <c r="O70" s="46" t="str">
        <f t="shared" ca="1" si="12"/>
        <v/>
      </c>
      <c r="P70" s="46" t="str">
        <f t="shared" ca="1" si="12"/>
        <v/>
      </c>
      <c r="Q70" s="46">
        <f>ROUND(VLOOKUP($B70, $Z$6:$AA$32,2,FALSE) * (1+$AD$6) * (1 + IF(C70="",1, VLOOKUP($C70,$AC$8:$AD$15,2,FALSE))), 2)</f>
        <v>2.0499999999999998</v>
      </c>
      <c r="S70" s="98" t="str">
        <f t="shared" ca="1" si="16"/>
        <v/>
      </c>
      <c r="V70" t="str">
        <f>_xlfn.XLOOKUP(C70,$W$6:$W$13,$X$6:$X$13)</f>
        <v>ROF</v>
      </c>
    </row>
    <row r="71" spans="1:22">
      <c r="A71" t="s">
        <v>12</v>
      </c>
      <c r="B71" t="s">
        <v>1657</v>
      </c>
      <c r="C71" t="s">
        <v>14</v>
      </c>
      <c r="D71" s="53" t="s">
        <v>24</v>
      </c>
      <c r="E71" s="53">
        <v>1</v>
      </c>
      <c r="F71" s="53" t="s">
        <v>1668</v>
      </c>
      <c r="G71" s="46" t="str">
        <f ca="1">IF(ISTEXT($B71),IF(COUNTIF($B71,"*Industry*"),SUMIF('Industry-capacity'!$A$2:$A$6,$B71,'Industry-capacity'!$D$2:$D$6),IF(SUMIF(INDIRECT($C71&amp;"!A$2:A$20"),$B71,INDIRECT($C71&amp;"!D$2:D$20"))&gt;0,SUMIF(INDIRECT($C71&amp;"!A$2:A$20"),$B71,INDIRECT($C71&amp;"!D$2:D$20")),"")),"")</f>
        <v/>
      </c>
      <c r="H71" s="46" t="str">
        <f t="shared" si="10"/>
        <v/>
      </c>
      <c r="I71" s="46">
        <f ca="1">IF(ISTEXT($B71),IF(COUNTIF($B71,"*Industry*"),SUMIF('Industry-capacity'!$A$2:$A$6,$B71,'Industry-capacity'!$B$2:$B$6),SUMIF(INDIRECT($C71&amp;"!A$2:A$20"),$B71,INDIRECT($C71&amp;"!B$2:B$20"))),"")</f>
        <v>1849.9999999999998</v>
      </c>
      <c r="J71" s="46" t="str">
        <f t="shared" si="13"/>
        <v>ROF</v>
      </c>
      <c r="K71" s="46">
        <f ca="1">IF(ISTEXT($B71),IF(COUNTIF($B71,"*Industry*"),SUMIF('Industry-capacity'!$A$2:$A$6,$B71,'Industry-capacity'!$C$2:$C$6),SUMIF(INDIRECT($C71&amp;"!A$2:A$20"),$B71,INDIRECT($C71&amp;"!C$2:C$20"))),"")</f>
        <v>0</v>
      </c>
      <c r="L71" s="46" t="str">
        <f t="shared" ca="1" si="14"/>
        <v/>
      </c>
      <c r="M71" s="46" t="str">
        <f t="shared" ca="1" si="15"/>
        <v/>
      </c>
      <c r="N71" s="46"/>
      <c r="O71" s="46" t="str">
        <f t="shared" ca="1" si="12"/>
        <v/>
      </c>
      <c r="P71" s="46" t="str">
        <f t="shared" ca="1" si="12"/>
        <v/>
      </c>
      <c r="Q71" s="46">
        <f>ROUND(VLOOKUP($B71, $Z$6:$AA$32,2,FALSE) * (1+$AD$6) * (1 + IF(C71="",1, VLOOKUP($C71,$AC$8:$AD$15,2,FALSE))), 2)</f>
        <v>2.0499999999999998</v>
      </c>
      <c r="S71" s="98" t="str">
        <f t="shared" ca="1" si="16"/>
        <v/>
      </c>
      <c r="V71" t="str">
        <f>_xlfn.XLOOKUP(C71,$W$6:$W$13,$X$6:$X$13)</f>
        <v>ROF</v>
      </c>
    </row>
    <row r="72" spans="1:22">
      <c r="A72" t="s">
        <v>12</v>
      </c>
      <c r="B72" t="s">
        <v>1613</v>
      </c>
      <c r="C72" t="s">
        <v>14</v>
      </c>
      <c r="D72" s="53" t="s">
        <v>24</v>
      </c>
      <c r="E72" s="53">
        <v>1</v>
      </c>
      <c r="F72" s="53" t="s">
        <v>1668</v>
      </c>
      <c r="G72" s="46" t="str">
        <f ca="1">IF(ISTEXT($B72),IF(COUNTIF($B72,"*Industry*"),SUMIF('Industry-capacity'!$A$2:$A$6,$B72,'Industry-capacity'!$D$2:$D$6),IF(SUMIF(INDIRECT($C72&amp;"!A$2:A$20"),$B72,INDIRECT($C72&amp;"!D$2:D$20"))&gt;0,SUMIF(INDIRECT($C72&amp;"!A$2:A$20"),$B72,INDIRECT($C72&amp;"!D$2:D$20")),"")),"")</f>
        <v/>
      </c>
      <c r="H72" s="46" t="str">
        <f t="shared" si="10"/>
        <v/>
      </c>
      <c r="I72" s="46">
        <f ca="1">IF(ISTEXT($B72),IF(COUNTIF($B72,"*Industry*"),SUMIF('Industry-capacity'!$A$2:$A$6,$B72,'Industry-capacity'!$B$2:$B$6),SUMIF(INDIRECT($C72&amp;"!A$2:A$20"),$B72,INDIRECT($C72&amp;"!B$2:B$20"))),"")</f>
        <v>148.80000000000001</v>
      </c>
      <c r="J72" s="46" t="str">
        <f t="shared" si="13"/>
        <v>ROF</v>
      </c>
      <c r="K72" s="46">
        <f ca="1">IF(ISTEXT($B72),IF(COUNTIF($B72,"*Industry*"),SUMIF('Industry-capacity'!$A$2:$A$6,$B72,'Industry-capacity'!$C$2:$C$6),SUMIF(INDIRECT($C72&amp;"!A$2:A$20"),$B72,INDIRECT($C72&amp;"!C$2:C$20"))),"")</f>
        <v>0</v>
      </c>
      <c r="L72" s="46" t="str">
        <f t="shared" ca="1" si="14"/>
        <v/>
      </c>
      <c r="M72" s="46" t="str">
        <f t="shared" ca="1" si="15"/>
        <v/>
      </c>
      <c r="N72" s="46"/>
      <c r="O72" s="46" t="str">
        <f t="shared" ca="1" si="12"/>
        <v/>
      </c>
      <c r="P72" s="46" t="str">
        <f t="shared" ca="1" si="12"/>
        <v/>
      </c>
      <c r="Q72" s="46">
        <f>ROUND(VLOOKUP($B72, $Z$6:$AA$32,2,FALSE) * (1+$AD$6) * (1 + IF(C72="",1, VLOOKUP($C72,$AC$8:$AD$15,2,FALSE))), 2)</f>
        <v>6.16</v>
      </c>
      <c r="S72" s="98" t="str">
        <f t="shared" ca="1" si="16"/>
        <v/>
      </c>
      <c r="V72" t="str">
        <f>_xlfn.XLOOKUP(C72,$W$6:$W$13,$X$6:$X$13)</f>
        <v>ROF</v>
      </c>
    </row>
    <row r="73" spans="1:22">
      <c r="A73" t="s">
        <v>12</v>
      </c>
      <c r="B73" t="s">
        <v>1658</v>
      </c>
      <c r="C73" t="s">
        <v>14</v>
      </c>
      <c r="D73" s="53" t="s">
        <v>24</v>
      </c>
      <c r="E73" s="53">
        <v>1</v>
      </c>
      <c r="F73" s="53" t="s">
        <v>1668</v>
      </c>
      <c r="G73" s="46" t="str">
        <f ca="1">IF(ISTEXT($B73),IF(COUNTIF($B73,"*Industry*"),SUMIF('Industry-capacity'!$A$2:$A$6,$B73,'Industry-capacity'!$D$2:$D$6),IF(SUMIF(INDIRECT($C73&amp;"!A$2:A$20"),$B73,INDIRECT($C73&amp;"!D$2:D$20"))&gt;0,SUMIF(INDIRECT($C73&amp;"!A$2:A$20"),$B73,INDIRECT($C73&amp;"!D$2:D$20")),"")),"")</f>
        <v/>
      </c>
      <c r="H73" s="46" t="str">
        <f t="shared" si="10"/>
        <v/>
      </c>
      <c r="I73" s="46">
        <f ca="1">IF(ISTEXT($B73),IF(COUNTIF($B73,"*Industry*"),SUMIF('Industry-capacity'!$A$2:$A$6,$B73,'Industry-capacity'!$B$2:$B$6),SUMIF(INDIRECT($C73&amp;"!A$2:A$20"),$B73,INDIRECT($C73&amp;"!B$2:B$20"))),"")</f>
        <v>211.3</v>
      </c>
      <c r="J73" s="46" t="str">
        <f t="shared" si="13"/>
        <v/>
      </c>
      <c r="K73" s="46">
        <f ca="1">IF(ISTEXT($B73),IF(COUNTIF($B73,"*Industry*"),SUMIF('Industry-capacity'!$A$2:$A$6,$B73,'Industry-capacity'!$C$2:$C$6),SUMIF(INDIRECT($C73&amp;"!A$2:A$20"),$B73,INDIRECT($C73&amp;"!C$2:C$20"))),"")</f>
        <v>356.6</v>
      </c>
      <c r="L73" s="46" t="str">
        <f t="shared" ca="1" si="14"/>
        <v>ROF</v>
      </c>
      <c r="M73" s="46">
        <f t="shared" ca="1" si="15"/>
        <v>0.592540661805945</v>
      </c>
      <c r="N73" s="46"/>
      <c r="O73" s="46" t="str">
        <f t="shared" ca="1" si="12"/>
        <v/>
      </c>
      <c r="P73" s="46" t="str">
        <f t="shared" ca="1" si="12"/>
        <v/>
      </c>
      <c r="Q73" s="46">
        <f>ROUND(VLOOKUP($B73, $Z$6:$AA$32,2,FALSE) * (1+$AD$6) * (1 + IF(C73="",1, VLOOKUP($C73,$AC$8:$AD$15,2,FALSE))), 2)</f>
        <v>1.64</v>
      </c>
      <c r="S73" s="98" t="str">
        <f t="shared" ca="1" si="16"/>
        <v/>
      </c>
      <c r="V73" t="str">
        <f>_xlfn.XLOOKUP(C73,$W$6:$W$13,$X$6:$X$13)</f>
        <v>ROF</v>
      </c>
    </row>
    <row r="74" spans="1:22">
      <c r="A74" t="s">
        <v>12</v>
      </c>
      <c r="B74" t="s">
        <v>1659</v>
      </c>
      <c r="C74" t="s">
        <v>14</v>
      </c>
      <c r="D74" s="53" t="s">
        <v>24</v>
      </c>
      <c r="E74" s="53">
        <v>1</v>
      </c>
      <c r="F74" s="53" t="s">
        <v>1668</v>
      </c>
      <c r="G74" s="46" t="str">
        <f ca="1">IF(ISTEXT($B74),IF(COUNTIF($B74,"*Industry*"),SUMIF('Industry-capacity'!$A$2:$A$6,$B74,'Industry-capacity'!$D$2:$D$6),IF(SUMIF(INDIRECT($C74&amp;"!A$2:A$20"),$B74,INDIRECT($C74&amp;"!D$2:D$20"))&gt;0,SUMIF(INDIRECT($C74&amp;"!A$2:A$20"),$B74,INDIRECT($C74&amp;"!D$2:D$20")),"")),"")</f>
        <v/>
      </c>
      <c r="H74" s="46" t="str">
        <f t="shared" si="10"/>
        <v/>
      </c>
      <c r="I74" s="46">
        <f ca="1">IF(ISTEXT($B74),IF(COUNTIF($B74,"*Industry*"),SUMIF('Industry-capacity'!$A$2:$A$6,$B74,'Industry-capacity'!$B$2:$B$6),SUMIF(INDIRECT($C74&amp;"!A$2:A$20"),$B74,INDIRECT($C74&amp;"!B$2:B$20"))),"")</f>
        <v>113.2</v>
      </c>
      <c r="J74" s="46" t="str">
        <f t="shared" si="13"/>
        <v/>
      </c>
      <c r="K74" s="46">
        <f ca="1">IF(ISTEXT($B74),IF(COUNTIF($B74,"*Industry*"),SUMIF('Industry-capacity'!$A$2:$A$6,$B74,'Industry-capacity'!$C$2:$C$6),SUMIF(INDIRECT($C74&amp;"!A$2:A$20"),$B74,INDIRECT($C74&amp;"!C$2:C$20"))),"")</f>
        <v>345</v>
      </c>
      <c r="L74" s="46" t="str">
        <f t="shared" ca="1" si="14"/>
        <v>ROF</v>
      </c>
      <c r="M74" s="46">
        <f t="shared" ca="1" si="15"/>
        <v>0.32811594202898553</v>
      </c>
      <c r="N74" s="46"/>
      <c r="O74" s="46" t="str">
        <f t="shared" ca="1" si="12"/>
        <v/>
      </c>
      <c r="P74" s="46" t="str">
        <f t="shared" ca="1" si="12"/>
        <v/>
      </c>
      <c r="Q74" s="46">
        <f>ROUND(VLOOKUP($B74, $Z$6:$AA$32,2,FALSE) * (1+$AD$6) * (1 + IF(C74="",1, VLOOKUP($C74,$AC$8:$AD$15,2,FALSE))), 2)</f>
        <v>2.0499999999999998</v>
      </c>
      <c r="S74" s="98" t="str">
        <f t="shared" ca="1" si="16"/>
        <v/>
      </c>
      <c r="V74" t="str">
        <f>_xlfn.XLOOKUP(C74,$W$6:$W$13,$X$6:$X$13)</f>
        <v>ROF</v>
      </c>
    </row>
    <row r="75" spans="1:22">
      <c r="A75" t="s">
        <v>12</v>
      </c>
      <c r="B75" t="s">
        <v>1652</v>
      </c>
      <c r="C75" t="s">
        <v>14</v>
      </c>
      <c r="D75" s="53" t="s">
        <v>24</v>
      </c>
      <c r="E75" s="53">
        <v>1</v>
      </c>
      <c r="F75" s="53" t="s">
        <v>1668</v>
      </c>
      <c r="G75" s="46" t="str">
        <f ca="1">IF(ISTEXT($B75),IF(COUNTIF($B75,"*Industry*"),SUMIF('Industry-capacity'!$A$2:$A$6,$B75,'Industry-capacity'!$D$2:$D$6),IF(SUMIF(INDIRECT($C75&amp;"!A$2:A$20"),$B75,INDIRECT($C75&amp;"!D$2:D$20"))&gt;0,SUMIF(INDIRECT($C75&amp;"!A$2:A$20"),$B75,INDIRECT($C75&amp;"!D$2:D$20")),"")),"")</f>
        <v/>
      </c>
      <c r="H75" s="46" t="str">
        <f t="shared" si="10"/>
        <v/>
      </c>
      <c r="I75" s="46">
        <f ca="1">IF(ISTEXT($B75),IF(COUNTIF($B75,"*Industry*"),SUMIF('Industry-capacity'!$A$2:$A$6,$B75,'Industry-capacity'!$B$2:$B$6),SUMIF(INDIRECT($C75&amp;"!A$2:A$20"),$B75,INDIRECT($C75&amp;"!B$2:B$20"))),"")</f>
        <v>1042.8999999999999</v>
      </c>
      <c r="J75" s="46" t="str">
        <f t="shared" si="13"/>
        <v>ROF</v>
      </c>
      <c r="K75" s="46">
        <f ca="1">IF(ISTEXT($B75),IF(COUNTIF($B75,"*Industry*"),SUMIF('Industry-capacity'!$A$2:$A$6,$B75,'Industry-capacity'!$C$2:$C$6),SUMIF(INDIRECT($C75&amp;"!A$2:A$20"),$B75,INDIRECT($C75&amp;"!C$2:C$20"))),"")</f>
        <v>0</v>
      </c>
      <c r="L75" s="46" t="str">
        <f t="shared" ca="1" si="14"/>
        <v/>
      </c>
      <c r="M75" s="46" t="str">
        <f t="shared" ca="1" si="15"/>
        <v/>
      </c>
      <c r="N75" s="46"/>
      <c r="O75" s="46" t="str">
        <f t="shared" ca="1" si="12"/>
        <v/>
      </c>
      <c r="P75" s="46" t="str">
        <f t="shared" ca="1" si="12"/>
        <v/>
      </c>
      <c r="Q75" s="46">
        <f>ROUND(VLOOKUP($B75, $Z$6:$AA$32,2,FALSE) * (1+$AD$6) * (1 + IF(C75="",1, VLOOKUP($C75,$AC$8:$AD$15,2,FALSE))), 2)</f>
        <v>1.54</v>
      </c>
      <c r="S75" s="98" t="str">
        <f t="shared" ca="1" si="16"/>
        <v/>
      </c>
      <c r="V75" t="str">
        <f>_xlfn.XLOOKUP(C75,$W$6:$W$13,$X$6:$X$13)</f>
        <v>ROF</v>
      </c>
    </row>
    <row r="76" spans="1:22">
      <c r="A76" t="s">
        <v>12</v>
      </c>
      <c r="B76" t="s">
        <v>1648</v>
      </c>
      <c r="C76" t="s">
        <v>14</v>
      </c>
      <c r="D76" s="53" t="s">
        <v>24</v>
      </c>
      <c r="E76" s="53">
        <v>1</v>
      </c>
      <c r="F76" s="53" t="s">
        <v>1668</v>
      </c>
      <c r="G76" s="46" t="str">
        <f ca="1">IF(ISTEXT($B76),IF(COUNTIF($B76,"*Industry*"),SUMIF('Industry-capacity'!$A$2:$A$6,$B76,'Industry-capacity'!$D$2:$D$6),IF(SUMIF(INDIRECT($C76&amp;"!A$2:A$20"),$B76,INDIRECT($C76&amp;"!D$2:D$20"))&gt;0,SUMIF(INDIRECT($C76&amp;"!A$2:A$20"),$B76,INDIRECT($C76&amp;"!D$2:D$20")),"")),"")</f>
        <v/>
      </c>
      <c r="H76" s="46" t="str">
        <f t="shared" si="10"/>
        <v>ROF</v>
      </c>
      <c r="I76" s="46">
        <f ca="1">IF(ISTEXT($B76),IF(COUNTIF($B76,"*Industry*"),SUMIF('Industry-capacity'!$A$2:$A$6,$B76,'Industry-capacity'!$B$2:$B$6),SUMIF(INDIRECT($C76&amp;"!A$2:A$20"),$B76,INDIRECT($C76&amp;"!B$2:B$20"))),"")</f>
        <v>625.5</v>
      </c>
      <c r="J76" s="46" t="str">
        <f t="shared" si="13"/>
        <v>ROF</v>
      </c>
      <c r="K76" s="46">
        <f ca="1">IF(ISTEXT($B76),IF(COUNTIF($B76,"*Industry*"),SUMIF('Industry-capacity'!$A$2:$A$6,$B76,'Industry-capacity'!$C$2:$C$6),SUMIF(INDIRECT($C76&amp;"!A$2:A$20"),$B76,INDIRECT($C76&amp;"!C$2:C$20"))),"")</f>
        <v>0</v>
      </c>
      <c r="L76" s="46" t="str">
        <f t="shared" ca="1" si="14"/>
        <v/>
      </c>
      <c r="M76" s="46" t="str">
        <f t="shared" ca="1" si="15"/>
        <v/>
      </c>
      <c r="N76" s="46"/>
      <c r="O76" s="46" t="str">
        <f t="shared" ca="1" si="12"/>
        <v/>
      </c>
      <c r="P76" s="46" t="str">
        <f t="shared" ca="1" si="12"/>
        <v/>
      </c>
      <c r="Q76" s="46">
        <f>ROUND(VLOOKUP($B76, $Z$6:$AA$32,2,FALSE) * (1+$AD$6) * (1 + IF(C76="",1, VLOOKUP($C76,$AC$8:$AD$15,2,FALSE))), 2)</f>
        <v>1.44</v>
      </c>
      <c r="S76" s="98" t="str">
        <f t="shared" ca="1" si="16"/>
        <v/>
      </c>
      <c r="V76" t="str">
        <f>_xlfn.XLOOKUP(C76,$W$6:$W$13,$X$6:$X$13)</f>
        <v>ROF</v>
      </c>
    </row>
    <row r="77" spans="1:22">
      <c r="A77" t="s">
        <v>12</v>
      </c>
      <c r="B77" t="s">
        <v>1649</v>
      </c>
      <c r="C77" t="s">
        <v>14</v>
      </c>
      <c r="D77" s="53" t="s">
        <v>24</v>
      </c>
      <c r="E77" s="53">
        <v>1</v>
      </c>
      <c r="F77" s="53" t="s">
        <v>1668</v>
      </c>
      <c r="G77" s="46" t="str">
        <f ca="1">IF(ISTEXT($B77),IF(COUNTIF($B77,"*Industry*"),SUMIF('Industry-capacity'!$A$2:$A$6,$B77,'Industry-capacity'!$D$2:$D$6),IF(SUMIF(INDIRECT($C77&amp;"!A$2:A$20"),$B77,INDIRECT($C77&amp;"!D$2:D$20"))&gt;0,SUMIF(INDIRECT($C77&amp;"!A$2:A$20"),$B77,INDIRECT($C77&amp;"!D$2:D$20")),"")),"")</f>
        <v/>
      </c>
      <c r="H77" s="46" t="str">
        <f t="shared" si="10"/>
        <v>ROF</v>
      </c>
      <c r="I77" s="46">
        <f ca="1">IF(ISTEXT($B77),IF(COUNTIF($B77,"*Industry*"),SUMIF('Industry-capacity'!$A$2:$A$6,$B77,'Industry-capacity'!$B$2:$B$6),SUMIF(INDIRECT($C77&amp;"!A$2:A$20"),$B77,INDIRECT($C77&amp;"!B$2:B$20"))),"")</f>
        <v>625.5</v>
      </c>
      <c r="J77" s="46" t="str">
        <f t="shared" si="13"/>
        <v>ROF</v>
      </c>
      <c r="K77" s="46">
        <f ca="1">IF(ISTEXT($B77),IF(COUNTIF($B77,"*Industry*"),SUMIF('Industry-capacity'!$A$2:$A$6,$B77,'Industry-capacity'!$C$2:$C$6),SUMIF(INDIRECT($C77&amp;"!A$2:A$20"),$B77,INDIRECT($C77&amp;"!C$2:C$20"))),"")</f>
        <v>0</v>
      </c>
      <c r="L77" s="46" t="str">
        <f t="shared" ca="1" si="14"/>
        <v/>
      </c>
      <c r="M77" s="46" t="str">
        <f t="shared" ca="1" si="15"/>
        <v/>
      </c>
      <c r="N77" s="46"/>
      <c r="O77" s="46" t="str">
        <f t="shared" ca="1" si="12"/>
        <v/>
      </c>
      <c r="P77" s="46" t="str">
        <f t="shared" ca="1" si="12"/>
        <v/>
      </c>
      <c r="Q77" s="46">
        <f>ROUND(VLOOKUP($B77, $Z$6:$AA$32,2,FALSE) * (1+$AD$6) * (1 + IF(C77="",1, VLOOKUP($C77,$AC$8:$AD$15,2,FALSE))), 2)</f>
        <v>1.44</v>
      </c>
      <c r="S77" s="98" t="str">
        <f t="shared" ca="1" si="16"/>
        <v/>
      </c>
      <c r="V77" t="str">
        <f>_xlfn.XLOOKUP(C77,$W$6:$W$13,$X$6:$X$13)</f>
        <v>ROF</v>
      </c>
    </row>
    <row r="78" spans="1:22">
      <c r="A78" t="s">
        <v>12</v>
      </c>
      <c r="B78" t="s">
        <v>1650</v>
      </c>
      <c r="C78" t="s">
        <v>14</v>
      </c>
      <c r="D78" s="53" t="s">
        <v>24</v>
      </c>
      <c r="E78" s="53">
        <v>1</v>
      </c>
      <c r="F78" s="53" t="s">
        <v>1668</v>
      </c>
      <c r="G78" s="46" t="str">
        <f ca="1">IF(ISTEXT($B78),IF(COUNTIF($B78,"*Industry*"),SUMIF('Industry-capacity'!$A$2:$A$6,$B78,'Industry-capacity'!$D$2:$D$6),IF(SUMIF(INDIRECT($C78&amp;"!A$2:A$20"),$B78,INDIRECT($C78&amp;"!D$2:D$20"))&gt;0,SUMIF(INDIRECT($C78&amp;"!A$2:A$20"),$B78,INDIRECT($C78&amp;"!D$2:D$20")),"")),"")</f>
        <v/>
      </c>
      <c r="H78" s="46" t="str">
        <f t="shared" si="10"/>
        <v>ROF</v>
      </c>
      <c r="I78" s="46">
        <f ca="1">IF(ISTEXT($B78),IF(COUNTIF($B78,"*Industry*"),SUMIF('Industry-capacity'!$A$2:$A$6,$B78,'Industry-capacity'!$B$2:$B$6),SUMIF(INDIRECT($C78&amp;"!A$2:A$20"),$B78,INDIRECT($C78&amp;"!B$2:B$20"))),"")</f>
        <v>170</v>
      </c>
      <c r="J78" s="46" t="str">
        <f t="shared" si="13"/>
        <v>ROF</v>
      </c>
      <c r="K78" s="46">
        <f ca="1">IF(ISTEXT($B78),IF(COUNTIF($B78,"*Industry*"),SUMIF('Industry-capacity'!$A$2:$A$6,$B78,'Industry-capacity'!$C$2:$C$6),SUMIF(INDIRECT($C78&amp;"!A$2:A$20"),$B78,INDIRECT($C78&amp;"!C$2:C$20"))),"")</f>
        <v>0</v>
      </c>
      <c r="L78" s="46" t="str">
        <f t="shared" ca="1" si="14"/>
        <v/>
      </c>
      <c r="M78" s="46" t="str">
        <f t="shared" ca="1" si="15"/>
        <v/>
      </c>
      <c r="N78" s="46"/>
      <c r="O78" s="46" t="str">
        <f t="shared" ca="1" si="12"/>
        <v/>
      </c>
      <c r="P78" s="46" t="str">
        <f t="shared" ca="1" si="12"/>
        <v/>
      </c>
      <c r="Q78" s="46">
        <f>ROUND(VLOOKUP($B78, $Z$6:$AA$32,2,FALSE) * (1+$AD$6) * (1 + IF(C78="",1, VLOOKUP($C78,$AC$8:$AD$15,2,FALSE))), 2)</f>
        <v>1.75</v>
      </c>
      <c r="S78" s="98" t="str">
        <f t="shared" ca="1" si="16"/>
        <v/>
      </c>
      <c r="V78" t="str">
        <f>_xlfn.XLOOKUP(C78,$W$6:$W$13,$X$6:$X$13)</f>
        <v>ROF</v>
      </c>
    </row>
    <row r="79" spans="1:22">
      <c r="A79" t="s">
        <v>12</v>
      </c>
      <c r="B79" t="s">
        <v>1651</v>
      </c>
      <c r="C79" t="s">
        <v>14</v>
      </c>
      <c r="D79" s="53" t="s">
        <v>24</v>
      </c>
      <c r="E79" s="53">
        <v>1</v>
      </c>
      <c r="F79" s="53" t="s">
        <v>1668</v>
      </c>
      <c r="G79" s="46" t="str">
        <f ca="1">IF(ISTEXT($B79),IF(COUNTIF($B79,"*Industry*"),SUMIF('Industry-capacity'!$A$2:$A$6,$B79,'Industry-capacity'!$D$2:$D$6),IF(SUMIF(INDIRECT($C79&amp;"!A$2:A$20"),$B79,INDIRECT($C79&amp;"!D$2:D$20"))&gt;0,SUMIF(INDIRECT($C79&amp;"!A$2:A$20"),$B79,INDIRECT($C79&amp;"!D$2:D$20")),"")),"")</f>
        <v/>
      </c>
      <c r="H79" s="46" t="str">
        <f t="shared" si="10"/>
        <v>ROF</v>
      </c>
      <c r="I79" s="46">
        <f ca="1">IF(ISTEXT($B79),IF(COUNTIF($B79,"*Industry*"),SUMIF('Industry-capacity'!$A$2:$A$6,$B79,'Industry-capacity'!$B$2:$B$6),SUMIF(INDIRECT($C79&amp;"!A$2:A$20"),$B79,INDIRECT($C79&amp;"!B$2:B$20"))),"")</f>
        <v>170</v>
      </c>
      <c r="J79" s="46" t="str">
        <f t="shared" si="13"/>
        <v>ROF</v>
      </c>
      <c r="K79" s="46">
        <f ca="1">IF(ISTEXT($B79),IF(COUNTIF($B79,"*Industry*"),SUMIF('Industry-capacity'!$A$2:$A$6,$B79,'Industry-capacity'!$C$2:$C$6),SUMIF(INDIRECT($C79&amp;"!A$2:A$20"),$B79,INDIRECT($C79&amp;"!C$2:C$20"))),"")</f>
        <v>0</v>
      </c>
      <c r="L79" s="46" t="str">
        <f t="shared" ca="1" si="14"/>
        <v/>
      </c>
      <c r="M79" s="46" t="str">
        <f t="shared" ca="1" si="15"/>
        <v/>
      </c>
      <c r="N79" s="46"/>
      <c r="O79" s="46" t="str">
        <f t="shared" ca="1" si="12"/>
        <v/>
      </c>
      <c r="P79" s="46" t="str">
        <f t="shared" ca="1" si="12"/>
        <v/>
      </c>
      <c r="Q79" s="46">
        <f>ROUND(VLOOKUP($B79, $Z$6:$AA$32,2,FALSE) * (1+$AD$6) * (1 + IF(C79="",1, VLOOKUP($C79,$AC$8:$AD$15,2,FALSE))), 2)</f>
        <v>1.75</v>
      </c>
      <c r="S79" s="98" t="str">
        <f t="shared" ca="1" si="16"/>
        <v/>
      </c>
      <c r="V79" t="str">
        <f>_xlfn.XLOOKUP(C79,$W$6:$W$13,$X$6:$X$13)</f>
        <v>ROF</v>
      </c>
    </row>
    <row r="80" spans="1:22">
      <c r="A80" s="106" t="s">
        <v>1691</v>
      </c>
      <c r="B80" s="106"/>
      <c r="C80" s="106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6"/>
      <c r="S80" s="106"/>
    </row>
    <row r="81" spans="1:19">
      <c r="A81" t="s">
        <v>12</v>
      </c>
      <c r="B81" t="s">
        <v>1645</v>
      </c>
      <c r="D81" s="53" t="s">
        <v>24</v>
      </c>
      <c r="E81" s="53">
        <v>1</v>
      </c>
      <c r="G81" s="46">
        <f ca="1">IF(ISTEXT($B81),IF(COUNTIF($B81,"*Industry*"),SUMIF('Industry-capacity'!$A$2:$A$6,$B81,'Industry-capacity'!$D$2:$D$6),IF(SUMIF(INDIRECT($C81&amp;"!A$2:A$20"),$B81,INDIRECT($C81&amp;"!D$2:D$20"))&gt;0,SUMIF(INDIRECT($C81&amp;"!A$2:A$20"),$B81,INDIRECT($C81&amp;"!D$2:D$20")),"")),"")</f>
        <v>8433.6666666666679</v>
      </c>
      <c r="H81" s="46" t="str">
        <f>IF(COUNTIF($B81,"*charger*")+COUNTIF($B81,"*disch*"),$C81,"")</f>
        <v/>
      </c>
      <c r="I81" s="46">
        <f ca="1">IF(ISTEXT($B81),IF(COUNTIF($B81,"*Industry*"),SUMIF('Industry-capacity'!$A$2:$A$6,$B81,'Industry-capacity'!$B$2:$B$6),SUMIF(INDIRECT($C81&amp;"!A$2:A$20"),$B81,INDIRECT($C81&amp;"!B$2:B$20"))),"")</f>
        <v>2530.1000000000004</v>
      </c>
      <c r="J81" s="46" t="str">
        <f>IF(COUNTIF($B81,"*HOB*")+COUNTIF($B81,"*charger*")+COUNTIF($B81,"*disch*")+COUNTIF($B81,"GSHP")+COUNTIF($B81,"EBoil"),C81,"")</f>
        <v/>
      </c>
      <c r="K81" s="46">
        <f ca="1">IF(ISTEXT($B81),IF(COUNTIF($B81,"*Industry*"),SUMIF('Industry-capacity'!$A$2:$A$6,$B81,'Industry-capacity'!$C$2:$C$6),SUMIF(INDIRECT($C81&amp;"!A$2:A$20"),$B81,INDIRECT($C81&amp;"!C$2:C$20"))),"")</f>
        <v>5060.2000000000007</v>
      </c>
      <c r="L81" s="46" t="str">
        <f ca="1">IF(K81=0,"",IF(ISTEXT($B81),IF(COUNTIF($B81,"*Industry*"),"industry",$C81),""))</f>
        <v>industry</v>
      </c>
      <c r="M81" s="46">
        <f ca="1">IF(ISTEXT($B81),IF($K81&gt;0,$I81/$K81,""),"")</f>
        <v>0.5</v>
      </c>
      <c r="N81" s="46">
        <v>0</v>
      </c>
      <c r="O81" s="46">
        <f t="shared" ca="1" si="12"/>
        <v>0.9</v>
      </c>
      <c r="P81" s="46">
        <f t="shared" ca="1" si="12"/>
        <v>0.9</v>
      </c>
      <c r="Q81" s="46">
        <f>ROUND(VLOOKUP($B81, $Z$6:$AA$32,2,FALSE) * (1+$AD$6) * (1 + IF(C81="",1, VLOOKUP($C81,$AC$8:$AD$15,2,FALSE))), 2)</f>
        <v>4.43</v>
      </c>
      <c r="S81" s="98" t="str">
        <f t="shared" ref="S81:S92" ca="1" si="17">IF(I81&lt;10, "remove", "")</f>
        <v/>
      </c>
    </row>
    <row r="82" spans="1:19">
      <c r="A82" t="s">
        <v>12</v>
      </c>
      <c r="B82" t="s">
        <v>1646</v>
      </c>
      <c r="D82" s="53" t="s">
        <v>24</v>
      </c>
      <c r="E82" s="53">
        <v>1</v>
      </c>
      <c r="G82" s="46">
        <f ca="1">IF(ISTEXT($B82),IF(COUNTIF($B82,"*Industry*"),SUMIF('Industry-capacity'!$A$2:$A$6,$B82,'Industry-capacity'!$D$2:$D$6),IF(SUMIF(INDIRECT($C82&amp;"!A$2:A$20"),$B82,INDIRECT($C82&amp;"!D$2:D$20"))&gt;0,SUMIF(INDIRECT($C82&amp;"!A$2:A$20"),$B82,INDIRECT($C82&amp;"!D$2:D$20")),"")),"")</f>
        <v>650</v>
      </c>
      <c r="H82" s="46" t="str">
        <f>IF(COUNTIF($B82,"*charger*")+COUNTIF($B82,"*disch*"),$C82,"")</f>
        <v/>
      </c>
      <c r="I82" s="46">
        <f ca="1">IF(ISTEXT($B82),IF(COUNTIF($B82,"*Industry*"),SUMIF('Industry-capacity'!$A$2:$A$6,$B82,'Industry-capacity'!$B$2:$B$6),SUMIF(INDIRECT($C82&amp;"!A$2:A$20"),$B82,INDIRECT($C82&amp;"!B$2:B$20"))),"")</f>
        <v>195</v>
      </c>
      <c r="J82" s="46" t="str">
        <f>IF(COUNTIF($B82,"*HOB*")+COUNTIF($B82,"*charger*")+COUNTIF($B82,"*disch*")+COUNTIF($B82,"GSHP")+COUNTIF($B82,"EBoil"),C82,"")</f>
        <v/>
      </c>
      <c r="K82" s="46">
        <f ca="1">IF(ISTEXT($B82),IF(COUNTIF($B82,"*Industry*"),SUMIF('Industry-capacity'!$A$2:$A$6,$B82,'Industry-capacity'!$C$2:$C$6),SUMIF(INDIRECT($C82&amp;"!A$2:A$20"),$B82,INDIRECT($C82&amp;"!C$2:C$20"))),"")</f>
        <v>390</v>
      </c>
      <c r="L82" s="46" t="str">
        <f ca="1">IF(K82=0,"",IF(ISTEXT($B82),IF(COUNTIF($B82,"*Industry*"),"industry",$C82),""))</f>
        <v>industry</v>
      </c>
      <c r="M82" s="46">
        <f ca="1">IF(ISTEXT($B82),IF($K82&gt;0,$I82/$K82,""),"")</f>
        <v>0.5</v>
      </c>
      <c r="N82" s="46">
        <v>0</v>
      </c>
      <c r="O82" s="46">
        <f t="shared" ca="1" si="12"/>
        <v>0.9</v>
      </c>
      <c r="P82" s="46">
        <f t="shared" ca="1" si="12"/>
        <v>0.9</v>
      </c>
      <c r="Q82" s="46">
        <f>ROUND(VLOOKUP($B82, $Z$6:$AA$32,2,FALSE) * (1+$AD$6) * (1 + IF(C82="",1, VLOOKUP($C82,$AC$8:$AD$15,2,FALSE))), 2)</f>
        <v>4.43</v>
      </c>
      <c r="S82" s="98" t="str">
        <f t="shared" ca="1" si="17"/>
        <v/>
      </c>
    </row>
    <row r="83" spans="1:19">
      <c r="A83" t="s">
        <v>12</v>
      </c>
      <c r="B83" t="s">
        <v>1647</v>
      </c>
      <c r="D83" s="53" t="s">
        <v>24</v>
      </c>
      <c r="E83" s="53">
        <v>1</v>
      </c>
      <c r="G83" s="46">
        <f ca="1">IF(ISTEXT($B83),IF(COUNTIF($B83,"*Industry*"),SUMIF('Industry-capacity'!$A$2:$A$6,$B83,'Industry-capacity'!$D$2:$D$6),IF(SUMIF(INDIRECT($C83&amp;"!A$2:A$20"),$B83,INDIRECT($C83&amp;"!D$2:D$20"))&gt;0,SUMIF(INDIRECT($C83&amp;"!A$2:A$20"),$B83,INDIRECT($C83&amp;"!D$2:D$20")),"")),"")</f>
        <v>1336.6666666666667</v>
      </c>
      <c r="H83" s="46" t="str">
        <f>IF(COUNTIF($B83,"*charger*")+COUNTIF($B83,"*disch*"),$C83,"")</f>
        <v/>
      </c>
      <c r="I83" s="46">
        <f ca="1">IF(ISTEXT($B83),IF(COUNTIF($B83,"*Industry*"),SUMIF('Industry-capacity'!$A$2:$A$6,$B83,'Industry-capacity'!$B$2:$B$6),SUMIF(INDIRECT($C83&amp;"!A$2:A$20"),$B83,INDIRECT($C83&amp;"!B$2:B$20"))),"")</f>
        <v>401</v>
      </c>
      <c r="J83" s="46" t="str">
        <f>IF(COUNTIF($B83,"*HOB*")+COUNTIF($B83,"*charger*")+COUNTIF($B83,"*disch*")+COUNTIF($B83,"GSHP")+COUNTIF($B83,"EBoil"),C83,"")</f>
        <v/>
      </c>
      <c r="K83" s="46">
        <f ca="1">IF(ISTEXT($B83),IF(COUNTIF($B83,"*Industry*"),SUMIF('Industry-capacity'!$A$2:$A$6,$B83,'Industry-capacity'!$C$2:$C$6),SUMIF(INDIRECT($C83&amp;"!A$2:A$20"),$B83,INDIRECT($C83&amp;"!C$2:C$20"))),"")</f>
        <v>802</v>
      </c>
      <c r="L83" s="46" t="str">
        <f ca="1">IF(K83=0,"",IF(ISTEXT($B83),IF(COUNTIF($B83,"*Industry*"),"industry",$C83),""))</f>
        <v>industry</v>
      </c>
      <c r="M83" s="46">
        <f ca="1">IF(ISTEXT($B83),IF($K83&gt;0,$I83/$K83,""),"")</f>
        <v>0.5</v>
      </c>
      <c r="N83" s="46">
        <v>0</v>
      </c>
      <c r="O83" s="46">
        <f t="shared" ca="1" si="12"/>
        <v>0.89999999999999991</v>
      </c>
      <c r="P83" s="46">
        <f t="shared" ca="1" si="12"/>
        <v>0.89999999999999991</v>
      </c>
      <c r="Q83" s="46">
        <f>ROUND(VLOOKUP($B83, $Z$6:$AA$32,2,FALSE) * (1+$AD$6) * (1 + IF(C83="",1, VLOOKUP($C83,$AC$8:$AD$15,2,FALSE))), 2)</f>
        <v>4.43</v>
      </c>
      <c r="S83" s="98" t="str">
        <f t="shared" ca="1" si="17"/>
        <v/>
      </c>
    </row>
    <row r="84" spans="1:19">
      <c r="A84" s="106" t="s">
        <v>1682</v>
      </c>
      <c r="B84" s="106"/>
      <c r="C84" s="106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6"/>
      <c r="S84" s="106"/>
    </row>
    <row r="85" spans="1:19">
      <c r="A85" t="s">
        <v>12</v>
      </c>
      <c r="B85" t="s">
        <v>1614</v>
      </c>
      <c r="D85" s="53" t="s">
        <v>24</v>
      </c>
      <c r="E85" s="53">
        <v>1</v>
      </c>
      <c r="S85" s="98" t="str">
        <f t="shared" si="17"/>
        <v>remove</v>
      </c>
    </row>
    <row r="86" spans="1:19">
      <c r="A86" t="s">
        <v>12</v>
      </c>
      <c r="B86" t="s">
        <v>1615</v>
      </c>
      <c r="D86" s="53" t="s">
        <v>24</v>
      </c>
      <c r="E86" s="53">
        <v>1</v>
      </c>
      <c r="S86" s="98" t="str">
        <f t="shared" si="17"/>
        <v>remove</v>
      </c>
    </row>
    <row r="87" spans="1:19">
      <c r="A87" t="s">
        <v>12</v>
      </c>
      <c r="B87" t="s">
        <v>1616</v>
      </c>
      <c r="D87" s="53" t="s">
        <v>24</v>
      </c>
      <c r="E87" s="53">
        <v>1</v>
      </c>
      <c r="S87" s="98" t="str">
        <f t="shared" si="17"/>
        <v>remove</v>
      </c>
    </row>
    <row r="88" spans="1:19">
      <c r="A88" t="s">
        <v>12</v>
      </c>
      <c r="B88" t="s">
        <v>1617</v>
      </c>
      <c r="D88" s="53" t="s">
        <v>24</v>
      </c>
      <c r="E88" s="53">
        <v>1</v>
      </c>
      <c r="S88" s="98" t="str">
        <f t="shared" si="17"/>
        <v>remove</v>
      </c>
    </row>
    <row r="89" spans="1:19">
      <c r="A89" t="s">
        <v>12</v>
      </c>
      <c r="B89" t="s">
        <v>1663</v>
      </c>
      <c r="D89" s="53" t="s">
        <v>24</v>
      </c>
      <c r="E89" s="53">
        <v>1</v>
      </c>
      <c r="S89" s="98" t="str">
        <f t="shared" si="17"/>
        <v>remove</v>
      </c>
    </row>
    <row r="90" spans="1:19">
      <c r="A90" t="s">
        <v>12</v>
      </c>
      <c r="B90" t="s">
        <v>1664</v>
      </c>
      <c r="D90" s="53" t="s">
        <v>24</v>
      </c>
      <c r="E90" s="53">
        <v>1</v>
      </c>
      <c r="S90" s="98" t="str">
        <f t="shared" si="17"/>
        <v>remove</v>
      </c>
    </row>
    <row r="91" spans="1:19">
      <c r="A91" t="s">
        <v>12</v>
      </c>
      <c r="B91" t="s">
        <v>1665</v>
      </c>
      <c r="D91" s="53" t="s">
        <v>24</v>
      </c>
      <c r="E91" s="53">
        <v>1</v>
      </c>
      <c r="S91" s="98" t="str">
        <f t="shared" si="17"/>
        <v>remove</v>
      </c>
    </row>
    <row r="92" spans="1:19">
      <c r="A92" t="s">
        <v>12</v>
      </c>
      <c r="B92" t="s">
        <v>1666</v>
      </c>
      <c r="D92" s="53" t="s">
        <v>24</v>
      </c>
      <c r="E92" s="53">
        <v>1</v>
      </c>
      <c r="S92" s="98" t="str">
        <f t="shared" si="17"/>
        <v>remove</v>
      </c>
    </row>
    <row r="93" spans="1:19">
      <c r="A93" s="106" t="s">
        <v>1683</v>
      </c>
      <c r="B93" s="106"/>
      <c r="C93" s="106"/>
      <c r="D93" s="107"/>
      <c r="E93" s="107"/>
      <c r="F93" s="107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</row>
    <row r="94" spans="1:19">
      <c r="A94" t="s">
        <v>12</v>
      </c>
      <c r="B94" s="3" t="s">
        <v>1654</v>
      </c>
      <c r="C94" t="s">
        <v>15</v>
      </c>
      <c r="D94" s="53" t="s">
        <v>24</v>
      </c>
      <c r="E94" s="53">
        <v>1</v>
      </c>
      <c r="F94" s="53" t="s">
        <v>1669</v>
      </c>
      <c r="G94" s="103">
        <f ca="1">SUMIFS(G$3:G$83, $B$3:$B$83,$B94,    $D$3:$D$83,$D94,    $E$3:$E$83,$E94,    $V$3:$V$83,$C94)</f>
        <v>0</v>
      </c>
      <c r="H94" s="46" t="str">
        <f t="shared" si="10"/>
        <v/>
      </c>
      <c r="I94" s="103">
        <f ca="1">SUMIFS(I$3:I$83, $B$3:$B$83,$B94,    $D$3:$D$83,$D94,    $E$3:$E$83,$E94,    $V$3:$V$83,$C94)</f>
        <v>851</v>
      </c>
      <c r="J94" s="46" t="str">
        <f t="shared" ref="J94:J122" si="18">IF(COUNTIF($B94,"*HOB*")+COUNTIF($B94,"*charger*")+COUNTIF($B94,"*disch*")+COUNTIF($B94,"GSHP")+COUNTIF($B94,"EBoil"),C94,"")</f>
        <v>HKI</v>
      </c>
      <c r="K94" s="103">
        <f ca="1">SUMIFS(K$3:K$83, $B$3:$B$83,$B94,    $D$3:$D$83,$D94,    $E$3:$E$83,$E94,    $V$3:$V$83,$C94)</f>
        <v>0</v>
      </c>
      <c r="L94" s="46" t="str">
        <f t="shared" ref="L94:L122" ca="1" si="19">IF(K94=0,"",IF(ISTEXT($B94),IF(COUNTIF($B94,"*Industry*"),"industry",$C94),""))</f>
        <v/>
      </c>
      <c r="M94" s="46" t="str">
        <f t="shared" ref="M94:M122" ca="1" si="20">IF(ISTEXT($B94),IF($K94&gt;0,$I94/$K94,""),"")</f>
        <v/>
      </c>
      <c r="N94" s="46"/>
      <c r="O94" s="46" t="str">
        <f t="shared" ref="O94:P122" ca="1" si="21">IF(SUM($G94)&gt;0,($I94+$K94)/$G94,"")</f>
        <v/>
      </c>
      <c r="P94" s="46" t="str">
        <f t="shared" ca="1" si="21"/>
        <v/>
      </c>
      <c r="Q94" s="46">
        <f t="shared" ref="Q94:Q122" si="22">ROUND(VLOOKUP($B94, $Z$6:$AA$32,2,FALSE) * (1+$AD$6) * (1 + IF(C94="",1, VLOOKUP($C94,$AC$8:$AD$15,2,FALSE))), 2)</f>
        <v>2.5</v>
      </c>
      <c r="S94" s="98"/>
    </row>
    <row r="95" spans="1:19">
      <c r="A95" t="s">
        <v>12</v>
      </c>
      <c r="B95" s="3" t="s">
        <v>1657</v>
      </c>
      <c r="C95" t="s">
        <v>15</v>
      </c>
      <c r="D95" s="53" t="s">
        <v>24</v>
      </c>
      <c r="E95" s="53">
        <v>1</v>
      </c>
      <c r="F95" s="53" t="s">
        <v>1669</v>
      </c>
      <c r="G95" s="103">
        <f t="shared" ref="G95:G122" ca="1" si="23">SUMIFS(G$3:G$83, $B$3:$B$83,$B95,    $D$3:$D$83,$D95,    $E$3:$E$83,$E95,    $V$3:$V$83,$C95)</f>
        <v>0</v>
      </c>
      <c r="H95" s="46" t="str">
        <f t="shared" ref="H95:H122" si="24">IF(COUNTIF($B95,"*charger*")+COUNTIF($B95,"*disch*"),$C95,"")</f>
        <v/>
      </c>
      <c r="I95" s="103">
        <f t="shared" ref="I95:I122" ca="1" si="25">SUMIFS(I$3:I$83, $B$3:$B$83,$B95,    $D$3:$D$83,$D95,    $E$3:$E$83,$E95,    $V$3:$V$83,$C95)</f>
        <v>2096.4</v>
      </c>
      <c r="J95" s="46" t="str">
        <f t="shared" si="18"/>
        <v>HKI</v>
      </c>
      <c r="K95" s="103">
        <f t="shared" ref="K95:K122" ca="1" si="26">SUMIFS(K$3:K$83, $B$3:$B$83,$B95,    $D$3:$D$83,$D95,    $E$3:$E$83,$E95,    $V$3:$V$83,$C95)</f>
        <v>0</v>
      </c>
      <c r="L95" s="46" t="str">
        <f t="shared" ca="1" si="19"/>
        <v/>
      </c>
      <c r="M95" s="46" t="str">
        <f t="shared" ca="1" si="20"/>
        <v/>
      </c>
      <c r="N95" s="46"/>
      <c r="O95" s="46" t="str">
        <f t="shared" ca="1" si="21"/>
        <v/>
      </c>
      <c r="P95" s="46" t="str">
        <f t="shared" ca="1" si="21"/>
        <v/>
      </c>
      <c r="Q95" s="46">
        <f t="shared" si="22"/>
        <v>2.5</v>
      </c>
      <c r="S95" s="98"/>
    </row>
    <row r="96" spans="1:19">
      <c r="A96" t="s">
        <v>12</v>
      </c>
      <c r="B96" s="3" t="s">
        <v>1653</v>
      </c>
      <c r="C96" t="s">
        <v>15</v>
      </c>
      <c r="D96" s="53" t="s">
        <v>24</v>
      </c>
      <c r="E96" s="53">
        <v>1</v>
      </c>
      <c r="F96" s="53" t="s">
        <v>1669</v>
      </c>
      <c r="G96" s="103">
        <f t="shared" ca="1" si="23"/>
        <v>0</v>
      </c>
      <c r="H96" s="46" t="str">
        <f t="shared" si="24"/>
        <v/>
      </c>
      <c r="I96" s="103">
        <f t="shared" ca="1" si="25"/>
        <v>689</v>
      </c>
      <c r="J96" s="46" t="str">
        <f t="shared" si="18"/>
        <v>HKI</v>
      </c>
      <c r="K96" s="103">
        <f t="shared" ca="1" si="26"/>
        <v>0</v>
      </c>
      <c r="L96" s="46" t="str">
        <f t="shared" ca="1" si="19"/>
        <v/>
      </c>
      <c r="M96" s="46" t="str">
        <f t="shared" ca="1" si="20"/>
        <v/>
      </c>
      <c r="N96" s="46"/>
      <c r="O96" s="46" t="str">
        <f t="shared" ca="1" si="21"/>
        <v/>
      </c>
      <c r="P96" s="46" t="str">
        <f t="shared" ca="1" si="21"/>
        <v/>
      </c>
      <c r="Q96" s="46">
        <f t="shared" si="22"/>
        <v>2.5</v>
      </c>
      <c r="S96" s="98"/>
    </row>
    <row r="97" spans="1:19">
      <c r="A97" t="s">
        <v>12</v>
      </c>
      <c r="B97" s="3" t="s">
        <v>1613</v>
      </c>
      <c r="C97" t="s">
        <v>15</v>
      </c>
      <c r="D97" s="53" t="s">
        <v>24</v>
      </c>
      <c r="E97" s="53">
        <v>1</v>
      </c>
      <c r="F97" s="53" t="s">
        <v>1669</v>
      </c>
      <c r="G97" s="103">
        <f t="shared" ca="1" si="23"/>
        <v>0</v>
      </c>
      <c r="H97" s="46" t="str">
        <f t="shared" si="24"/>
        <v/>
      </c>
      <c r="I97" s="103">
        <f t="shared" ca="1" si="25"/>
        <v>673.2</v>
      </c>
      <c r="J97" s="46" t="str">
        <f t="shared" si="18"/>
        <v>HKI</v>
      </c>
      <c r="K97" s="103">
        <f t="shared" ca="1" si="26"/>
        <v>0</v>
      </c>
      <c r="L97" s="46" t="str">
        <f t="shared" ca="1" si="19"/>
        <v/>
      </c>
      <c r="M97" s="46" t="str">
        <f t="shared" ca="1" si="20"/>
        <v/>
      </c>
      <c r="N97" s="46"/>
      <c r="O97" s="46" t="str">
        <f t="shared" ca="1" si="21"/>
        <v/>
      </c>
      <c r="P97" s="46" t="str">
        <f t="shared" ca="1" si="21"/>
        <v/>
      </c>
      <c r="Q97" s="46">
        <f t="shared" si="22"/>
        <v>7.5</v>
      </c>
      <c r="S97" s="98"/>
    </row>
    <row r="98" spans="1:19">
      <c r="A98" t="s">
        <v>12</v>
      </c>
      <c r="B98" s="3" t="s">
        <v>1658</v>
      </c>
      <c r="C98" t="s">
        <v>15</v>
      </c>
      <c r="D98" s="53" t="s">
        <v>24</v>
      </c>
      <c r="E98" s="53">
        <v>1</v>
      </c>
      <c r="F98" s="53" t="s">
        <v>1669</v>
      </c>
      <c r="G98" s="103">
        <f t="shared" ca="1" si="23"/>
        <v>2061</v>
      </c>
      <c r="H98" s="46" t="str">
        <f t="shared" si="24"/>
        <v/>
      </c>
      <c r="I98" s="103">
        <f t="shared" ca="1" si="25"/>
        <v>952</v>
      </c>
      <c r="J98" s="46" t="str">
        <f t="shared" si="18"/>
        <v/>
      </c>
      <c r="K98" s="103">
        <f t="shared" ca="1" si="26"/>
        <v>890</v>
      </c>
      <c r="L98" s="46" t="str">
        <f t="shared" ca="1" si="19"/>
        <v>HKI</v>
      </c>
      <c r="M98" s="46">
        <f t="shared" ca="1" si="20"/>
        <v>1.0696629213483146</v>
      </c>
      <c r="N98" s="46"/>
      <c r="O98" s="46">
        <f t="shared" ca="1" si="21"/>
        <v>0.89374090247452698</v>
      </c>
      <c r="P98" s="46">
        <f t="shared" ca="1" si="21"/>
        <v>0.89374090247452698</v>
      </c>
      <c r="Q98" s="46">
        <f t="shared" si="22"/>
        <v>2</v>
      </c>
      <c r="S98" s="98"/>
    </row>
    <row r="99" spans="1:19">
      <c r="A99" t="s">
        <v>12</v>
      </c>
      <c r="B99" s="3" t="s">
        <v>1652</v>
      </c>
      <c r="C99" t="s">
        <v>15</v>
      </c>
      <c r="D99" s="53" t="s">
        <v>24</v>
      </c>
      <c r="E99" s="53">
        <v>1</v>
      </c>
      <c r="F99" s="53" t="s">
        <v>1669</v>
      </c>
      <c r="G99" s="103">
        <f t="shared" ca="1" si="23"/>
        <v>0</v>
      </c>
      <c r="H99" s="46" t="str">
        <f t="shared" si="24"/>
        <v/>
      </c>
      <c r="I99" s="103">
        <f t="shared" ca="1" si="25"/>
        <v>870</v>
      </c>
      <c r="J99" s="46" t="str">
        <f t="shared" si="18"/>
        <v>HKI</v>
      </c>
      <c r="K99" s="103">
        <f t="shared" ca="1" si="26"/>
        <v>0</v>
      </c>
      <c r="L99" s="46" t="str">
        <f t="shared" ca="1" si="19"/>
        <v/>
      </c>
      <c r="M99" s="46" t="str">
        <f t="shared" ca="1" si="20"/>
        <v/>
      </c>
      <c r="N99" s="46"/>
      <c r="O99" s="46" t="str">
        <f t="shared" ca="1" si="21"/>
        <v/>
      </c>
      <c r="P99" s="46" t="str">
        <f t="shared" ca="1" si="21"/>
        <v/>
      </c>
      <c r="Q99" s="46">
        <f t="shared" si="22"/>
        <v>1.87</v>
      </c>
      <c r="S99" s="98"/>
    </row>
    <row r="100" spans="1:19">
      <c r="A100" t="s">
        <v>12</v>
      </c>
      <c r="B100" s="3" t="s">
        <v>1648</v>
      </c>
      <c r="C100" t="s">
        <v>15</v>
      </c>
      <c r="D100" s="53" t="s">
        <v>24</v>
      </c>
      <c r="E100" s="53">
        <v>1</v>
      </c>
      <c r="F100" s="53" t="s">
        <v>1669</v>
      </c>
      <c r="G100" s="103">
        <f t="shared" ca="1" si="23"/>
        <v>0</v>
      </c>
      <c r="H100" s="46" t="str">
        <f t="shared" si="24"/>
        <v>HKI</v>
      </c>
      <c r="I100" s="103">
        <f t="shared" ca="1" si="25"/>
        <v>800</v>
      </c>
      <c r="J100" s="46" t="str">
        <f t="shared" si="18"/>
        <v>HKI</v>
      </c>
      <c r="K100" s="103">
        <f t="shared" ca="1" si="26"/>
        <v>0</v>
      </c>
      <c r="L100" s="46" t="str">
        <f t="shared" ca="1" si="19"/>
        <v/>
      </c>
      <c r="M100" s="46" t="str">
        <f t="shared" ca="1" si="20"/>
        <v/>
      </c>
      <c r="N100" s="46"/>
      <c r="O100" s="46" t="str">
        <f t="shared" ca="1" si="21"/>
        <v/>
      </c>
      <c r="P100" s="46" t="str">
        <f t="shared" ca="1" si="21"/>
        <v/>
      </c>
      <c r="Q100" s="46">
        <f t="shared" si="22"/>
        <v>1.75</v>
      </c>
      <c r="S100" s="98"/>
    </row>
    <row r="101" spans="1:19">
      <c r="A101" t="s">
        <v>12</v>
      </c>
      <c r="B101" s="3" t="s">
        <v>1649</v>
      </c>
      <c r="C101" t="s">
        <v>15</v>
      </c>
      <c r="D101" s="53" t="s">
        <v>24</v>
      </c>
      <c r="E101" s="53">
        <v>1</v>
      </c>
      <c r="F101" s="53" t="s">
        <v>1669</v>
      </c>
      <c r="G101" s="103">
        <f t="shared" ca="1" si="23"/>
        <v>0</v>
      </c>
      <c r="H101" s="46" t="str">
        <f t="shared" si="24"/>
        <v>HKI</v>
      </c>
      <c r="I101" s="103">
        <f t="shared" ca="1" si="25"/>
        <v>800</v>
      </c>
      <c r="J101" s="46" t="str">
        <f t="shared" si="18"/>
        <v>HKI</v>
      </c>
      <c r="K101" s="103">
        <f t="shared" ca="1" si="26"/>
        <v>0</v>
      </c>
      <c r="L101" s="46" t="str">
        <f t="shared" ca="1" si="19"/>
        <v/>
      </c>
      <c r="M101" s="46" t="str">
        <f t="shared" ca="1" si="20"/>
        <v/>
      </c>
      <c r="N101" s="46"/>
      <c r="O101" s="46" t="str">
        <f t="shared" ca="1" si="21"/>
        <v/>
      </c>
      <c r="P101" s="46" t="str">
        <f t="shared" ca="1" si="21"/>
        <v/>
      </c>
      <c r="Q101" s="46">
        <f t="shared" si="22"/>
        <v>1.75</v>
      </c>
      <c r="S101" s="98"/>
    </row>
    <row r="102" spans="1:19">
      <c r="A102" t="s">
        <v>12</v>
      </c>
      <c r="B102" s="3" t="s">
        <v>1650</v>
      </c>
      <c r="C102" t="s">
        <v>15</v>
      </c>
      <c r="D102" s="53" t="s">
        <v>24</v>
      </c>
      <c r="E102" s="53">
        <v>1</v>
      </c>
      <c r="F102" s="53" t="s">
        <v>1669</v>
      </c>
      <c r="G102" s="103">
        <f t="shared" ca="1" si="23"/>
        <v>0</v>
      </c>
      <c r="H102" s="46" t="str">
        <f t="shared" si="24"/>
        <v>HKI</v>
      </c>
      <c r="I102" s="103">
        <f t="shared" ca="1" si="25"/>
        <v>120</v>
      </c>
      <c r="J102" s="46" t="str">
        <f t="shared" si="18"/>
        <v>HKI</v>
      </c>
      <c r="K102" s="103">
        <f t="shared" ca="1" si="26"/>
        <v>0</v>
      </c>
      <c r="L102" s="46" t="str">
        <f t="shared" ca="1" si="19"/>
        <v/>
      </c>
      <c r="M102" s="46" t="str">
        <f t="shared" ca="1" si="20"/>
        <v/>
      </c>
      <c r="N102" s="46"/>
      <c r="O102" s="46" t="str">
        <f t="shared" ca="1" si="21"/>
        <v/>
      </c>
      <c r="P102" s="46" t="str">
        <f t="shared" ca="1" si="21"/>
        <v/>
      </c>
      <c r="Q102" s="46">
        <f t="shared" si="22"/>
        <v>2.12</v>
      </c>
      <c r="S102" s="98"/>
    </row>
    <row r="103" spans="1:19">
      <c r="A103" t="s">
        <v>12</v>
      </c>
      <c r="B103" s="3" t="s">
        <v>1651</v>
      </c>
      <c r="C103" t="s">
        <v>15</v>
      </c>
      <c r="D103" s="53" t="s">
        <v>24</v>
      </c>
      <c r="E103" s="53">
        <v>1</v>
      </c>
      <c r="F103" s="53" t="s">
        <v>1669</v>
      </c>
      <c r="G103" s="103">
        <f t="shared" ca="1" si="23"/>
        <v>0</v>
      </c>
      <c r="H103" s="46" t="str">
        <f t="shared" si="24"/>
        <v>HKI</v>
      </c>
      <c r="I103" s="103">
        <f t="shared" ca="1" si="25"/>
        <v>120</v>
      </c>
      <c r="J103" s="46" t="str">
        <f t="shared" si="18"/>
        <v>HKI</v>
      </c>
      <c r="K103" s="103">
        <f t="shared" ca="1" si="26"/>
        <v>0</v>
      </c>
      <c r="L103" s="46" t="str">
        <f t="shared" ca="1" si="19"/>
        <v/>
      </c>
      <c r="M103" s="46" t="str">
        <f t="shared" ca="1" si="20"/>
        <v/>
      </c>
      <c r="N103" s="46"/>
      <c r="O103" s="46" t="str">
        <f t="shared" ca="1" si="21"/>
        <v/>
      </c>
      <c r="P103" s="46" t="str">
        <f t="shared" ca="1" si="21"/>
        <v/>
      </c>
      <c r="Q103" s="46">
        <f t="shared" si="22"/>
        <v>2.12</v>
      </c>
      <c r="S103" s="98"/>
    </row>
    <row r="104" spans="1:19">
      <c r="A104" t="s">
        <v>12</v>
      </c>
      <c r="B104" s="3" t="s">
        <v>1660</v>
      </c>
      <c r="C104" t="s">
        <v>15</v>
      </c>
      <c r="D104" s="53" t="s">
        <v>24</v>
      </c>
      <c r="E104" s="53">
        <v>1</v>
      </c>
      <c r="F104" s="53" t="s">
        <v>1669</v>
      </c>
      <c r="G104" s="103">
        <f t="shared" ca="1" si="23"/>
        <v>132</v>
      </c>
      <c r="H104" s="46" t="str">
        <f t="shared" si="24"/>
        <v/>
      </c>
      <c r="I104" s="103">
        <f t="shared" ca="1" si="25"/>
        <v>49</v>
      </c>
      <c r="J104" s="46" t="str">
        <f t="shared" si="18"/>
        <v/>
      </c>
      <c r="K104" s="103">
        <f t="shared" ca="1" si="26"/>
        <v>80</v>
      </c>
      <c r="L104" s="46" t="str">
        <f t="shared" ca="1" si="19"/>
        <v>HKI</v>
      </c>
      <c r="M104" s="46">
        <f t="shared" ca="1" si="20"/>
        <v>0.61250000000000004</v>
      </c>
      <c r="N104" s="46"/>
      <c r="O104" s="46">
        <f t="shared" ca="1" si="21"/>
        <v>0.97727272727272729</v>
      </c>
      <c r="P104" s="46">
        <f t="shared" ca="1" si="21"/>
        <v>0.97727272727272729</v>
      </c>
      <c r="Q104" s="46">
        <f t="shared" si="22"/>
        <v>2</v>
      </c>
      <c r="S104" s="98"/>
    </row>
    <row r="105" spans="1:19">
      <c r="A105" t="s">
        <v>12</v>
      </c>
      <c r="B105" s="3" t="s">
        <v>1655</v>
      </c>
      <c r="C105" t="s">
        <v>15</v>
      </c>
      <c r="D105" s="53" t="s">
        <v>24</v>
      </c>
      <c r="E105" s="53">
        <v>1</v>
      </c>
      <c r="F105" s="53" t="s">
        <v>1669</v>
      </c>
      <c r="G105" s="103">
        <f t="shared" ca="1" si="23"/>
        <v>0</v>
      </c>
      <c r="H105" s="46" t="str">
        <f t="shared" si="24"/>
        <v/>
      </c>
      <c r="I105" s="103">
        <f t="shared" ca="1" si="25"/>
        <v>80</v>
      </c>
      <c r="J105" s="46" t="str">
        <f t="shared" si="18"/>
        <v>HKI</v>
      </c>
      <c r="K105" s="103">
        <f t="shared" ca="1" si="26"/>
        <v>0</v>
      </c>
      <c r="L105" s="46" t="str">
        <f t="shared" ca="1" si="19"/>
        <v/>
      </c>
      <c r="M105" s="46" t="str">
        <f t="shared" ca="1" si="20"/>
        <v/>
      </c>
      <c r="N105" s="46"/>
      <c r="O105" s="46" t="str">
        <f t="shared" ca="1" si="21"/>
        <v/>
      </c>
      <c r="P105" s="46" t="str">
        <f t="shared" ca="1" si="21"/>
        <v/>
      </c>
      <c r="Q105" s="46">
        <f t="shared" si="22"/>
        <v>2.5</v>
      </c>
      <c r="S105" s="98"/>
    </row>
    <row r="106" spans="1:19">
      <c r="A106" t="s">
        <v>12</v>
      </c>
      <c r="B106" s="3" t="s">
        <v>1656</v>
      </c>
      <c r="C106" t="s">
        <v>15</v>
      </c>
      <c r="D106" s="53" t="s">
        <v>24</v>
      </c>
      <c r="E106" s="53">
        <v>1</v>
      </c>
      <c r="F106" s="53" t="s">
        <v>1669</v>
      </c>
      <c r="G106" s="103">
        <f t="shared" ca="1" si="23"/>
        <v>120</v>
      </c>
      <c r="H106" s="46" t="str">
        <f t="shared" si="24"/>
        <v/>
      </c>
      <c r="I106" s="103">
        <f t="shared" ca="1" si="25"/>
        <v>28</v>
      </c>
      <c r="J106" s="46" t="str">
        <f t="shared" si="18"/>
        <v/>
      </c>
      <c r="K106" s="103">
        <f t="shared" ca="1" si="26"/>
        <v>105</v>
      </c>
      <c r="L106" s="46" t="str">
        <f t="shared" ca="1" si="19"/>
        <v>HKI</v>
      </c>
      <c r="M106" s="46">
        <f t="shared" ca="1" si="20"/>
        <v>0.26666666666666666</v>
      </c>
      <c r="N106" s="46"/>
      <c r="O106" s="46">
        <f t="shared" ca="1" si="21"/>
        <v>1.1083333333333334</v>
      </c>
      <c r="P106" s="46">
        <f t="shared" ca="1" si="21"/>
        <v>1.1083333333333334</v>
      </c>
      <c r="Q106" s="46">
        <f t="shared" si="22"/>
        <v>2.5</v>
      </c>
      <c r="S106" s="98"/>
    </row>
    <row r="107" spans="1:19">
      <c r="A107" t="s">
        <v>12</v>
      </c>
      <c r="B107" s="3" t="s">
        <v>1659</v>
      </c>
      <c r="C107" t="s">
        <v>15</v>
      </c>
      <c r="D107" s="53" t="s">
        <v>24</v>
      </c>
      <c r="E107" s="53">
        <v>1</v>
      </c>
      <c r="F107" s="53" t="s">
        <v>1669</v>
      </c>
      <c r="G107" s="103">
        <f t="shared" ca="1" si="23"/>
        <v>202</v>
      </c>
      <c r="H107" s="46" t="str">
        <f t="shared" si="24"/>
        <v/>
      </c>
      <c r="I107" s="103">
        <f t="shared" ca="1" si="25"/>
        <v>76.400000000000006</v>
      </c>
      <c r="J107" s="46" t="str">
        <f t="shared" si="18"/>
        <v/>
      </c>
      <c r="K107" s="103">
        <f t="shared" ca="1" si="26"/>
        <v>147</v>
      </c>
      <c r="L107" s="46" t="str">
        <f t="shared" ca="1" si="19"/>
        <v>HKI</v>
      </c>
      <c r="M107" s="46">
        <f t="shared" ca="1" si="20"/>
        <v>0.51972789115646267</v>
      </c>
      <c r="N107" s="46"/>
      <c r="O107" s="46">
        <f t="shared" ca="1" si="21"/>
        <v>1.105940594059406</v>
      </c>
      <c r="P107" s="46">
        <f t="shared" ca="1" si="21"/>
        <v>1.105940594059406</v>
      </c>
      <c r="Q107" s="46">
        <f t="shared" si="22"/>
        <v>2.5</v>
      </c>
      <c r="S107" s="98"/>
    </row>
    <row r="108" spans="1:19">
      <c r="A108" t="s">
        <v>12</v>
      </c>
      <c r="B108" s="3" t="s">
        <v>1661</v>
      </c>
      <c r="C108" t="s">
        <v>15</v>
      </c>
      <c r="D108" s="53" t="s">
        <v>24</v>
      </c>
      <c r="E108" s="53">
        <v>1</v>
      </c>
      <c r="F108" s="53" t="s">
        <v>1669</v>
      </c>
      <c r="G108" s="103">
        <f t="shared" ca="1" si="23"/>
        <v>0</v>
      </c>
      <c r="H108" s="46" t="str">
        <f t="shared" si="24"/>
        <v>HKI</v>
      </c>
      <c r="I108" s="103">
        <f t="shared" ca="1" si="25"/>
        <v>200</v>
      </c>
      <c r="J108" s="46" t="str">
        <f t="shared" si="18"/>
        <v>HKI</v>
      </c>
      <c r="K108" s="103">
        <f t="shared" ca="1" si="26"/>
        <v>0</v>
      </c>
      <c r="L108" s="46" t="str">
        <f t="shared" ca="1" si="19"/>
        <v/>
      </c>
      <c r="M108" s="46" t="str">
        <f t="shared" ca="1" si="20"/>
        <v/>
      </c>
      <c r="N108" s="46"/>
      <c r="O108" s="46" t="str">
        <f t="shared" ca="1" si="21"/>
        <v/>
      </c>
      <c r="P108" s="46" t="str">
        <f t="shared" ca="1" si="21"/>
        <v/>
      </c>
      <c r="Q108" s="46">
        <f t="shared" si="22"/>
        <v>2.5</v>
      </c>
      <c r="S108" s="98"/>
    </row>
    <row r="109" spans="1:19">
      <c r="A109" t="s">
        <v>12</v>
      </c>
      <c r="B109" s="3" t="s">
        <v>1662</v>
      </c>
      <c r="C109" t="s">
        <v>15</v>
      </c>
      <c r="D109" s="53" t="s">
        <v>24</v>
      </c>
      <c r="E109" s="53">
        <v>1</v>
      </c>
      <c r="F109" s="53" t="s">
        <v>1669</v>
      </c>
      <c r="G109" s="103">
        <f t="shared" ca="1" si="23"/>
        <v>0</v>
      </c>
      <c r="H109" s="46" t="str">
        <f t="shared" si="24"/>
        <v>HKI</v>
      </c>
      <c r="I109" s="103">
        <f t="shared" ca="1" si="25"/>
        <v>200</v>
      </c>
      <c r="J109" s="46" t="str">
        <f t="shared" si="18"/>
        <v>HKI</v>
      </c>
      <c r="K109" s="103">
        <f t="shared" ca="1" si="26"/>
        <v>0</v>
      </c>
      <c r="L109" s="46" t="str">
        <f t="shared" ca="1" si="19"/>
        <v/>
      </c>
      <c r="M109" s="46" t="str">
        <f t="shared" ca="1" si="20"/>
        <v/>
      </c>
      <c r="N109" s="46"/>
      <c r="O109" s="46" t="str">
        <f t="shared" ca="1" si="21"/>
        <v/>
      </c>
      <c r="P109" s="46" t="str">
        <f t="shared" ca="1" si="21"/>
        <v/>
      </c>
      <c r="Q109" s="46">
        <f t="shared" si="22"/>
        <v>2.5</v>
      </c>
      <c r="S109" s="98"/>
    </row>
    <row r="110" spans="1:19">
      <c r="A110" t="s">
        <v>12</v>
      </c>
      <c r="B110" t="s">
        <v>1657</v>
      </c>
      <c r="C110" t="s">
        <v>14</v>
      </c>
      <c r="D110" s="53" t="s">
        <v>24</v>
      </c>
      <c r="E110" s="53">
        <v>1</v>
      </c>
      <c r="F110" s="53" t="s">
        <v>1669</v>
      </c>
      <c r="G110" s="103">
        <f t="shared" ca="1" si="23"/>
        <v>0</v>
      </c>
      <c r="H110" s="46" t="str">
        <f t="shared" si="24"/>
        <v/>
      </c>
      <c r="I110" s="103">
        <f t="shared" ca="1" si="25"/>
        <v>2088.1</v>
      </c>
      <c r="J110" s="46" t="str">
        <f t="shared" si="18"/>
        <v>ROF</v>
      </c>
      <c r="K110" s="103">
        <f t="shared" ca="1" si="26"/>
        <v>0</v>
      </c>
      <c r="L110" s="46" t="str">
        <f t="shared" ca="1" si="19"/>
        <v/>
      </c>
      <c r="M110" s="46" t="str">
        <f t="shared" ca="1" si="20"/>
        <v/>
      </c>
      <c r="N110" s="46"/>
      <c r="O110" s="46" t="str">
        <f t="shared" ca="1" si="21"/>
        <v/>
      </c>
      <c r="P110" s="46" t="str">
        <f t="shared" ca="1" si="21"/>
        <v/>
      </c>
      <c r="Q110" s="46">
        <f t="shared" si="22"/>
        <v>2.0499999999999998</v>
      </c>
      <c r="S110" s="98"/>
    </row>
    <row r="111" spans="1:19">
      <c r="A111" t="s">
        <v>12</v>
      </c>
      <c r="B111" t="s">
        <v>1654</v>
      </c>
      <c r="C111" t="s">
        <v>14</v>
      </c>
      <c r="D111" s="53" t="s">
        <v>24</v>
      </c>
      <c r="E111" s="53">
        <v>1</v>
      </c>
      <c r="F111" s="53" t="s">
        <v>1669</v>
      </c>
      <c r="G111" s="103">
        <f t="shared" ca="1" si="23"/>
        <v>0</v>
      </c>
      <c r="H111" s="46" t="str">
        <f t="shared" si="24"/>
        <v/>
      </c>
      <c r="I111" s="103">
        <f t="shared" ca="1" si="25"/>
        <v>4997.3000000000011</v>
      </c>
      <c r="J111" s="46" t="str">
        <f t="shared" si="18"/>
        <v>ROF</v>
      </c>
      <c r="K111" s="103">
        <f t="shared" ca="1" si="26"/>
        <v>0</v>
      </c>
      <c r="L111" s="46" t="str">
        <f t="shared" ca="1" si="19"/>
        <v/>
      </c>
      <c r="M111" s="46" t="str">
        <f t="shared" ca="1" si="20"/>
        <v/>
      </c>
      <c r="N111" s="46"/>
      <c r="O111" s="46" t="str">
        <f t="shared" ca="1" si="21"/>
        <v/>
      </c>
      <c r="P111" s="46" t="str">
        <f t="shared" ca="1" si="21"/>
        <v/>
      </c>
      <c r="Q111" s="46">
        <f t="shared" si="22"/>
        <v>2.0499999999999998</v>
      </c>
      <c r="S111" s="98"/>
    </row>
    <row r="112" spans="1:19">
      <c r="A112" t="s">
        <v>12</v>
      </c>
      <c r="B112" t="s">
        <v>1653</v>
      </c>
      <c r="C112" t="s">
        <v>14</v>
      </c>
      <c r="D112" s="53" t="s">
        <v>24</v>
      </c>
      <c r="E112" s="53">
        <v>1</v>
      </c>
      <c r="F112" s="53" t="s">
        <v>1669</v>
      </c>
      <c r="G112" s="103">
        <f t="shared" ca="1" si="23"/>
        <v>0</v>
      </c>
      <c r="H112" s="46" t="str">
        <f t="shared" si="24"/>
        <v/>
      </c>
      <c r="I112" s="103">
        <f t="shared" ca="1" si="25"/>
        <v>2927.5000000000005</v>
      </c>
      <c r="J112" s="46" t="str">
        <f t="shared" si="18"/>
        <v>ROF</v>
      </c>
      <c r="K112" s="103">
        <f t="shared" ca="1" si="26"/>
        <v>0</v>
      </c>
      <c r="L112" s="46" t="str">
        <f t="shared" ca="1" si="19"/>
        <v/>
      </c>
      <c r="M112" s="46" t="str">
        <f t="shared" ca="1" si="20"/>
        <v/>
      </c>
      <c r="N112" s="46"/>
      <c r="O112" s="46" t="str">
        <f t="shared" ca="1" si="21"/>
        <v/>
      </c>
      <c r="P112" s="46" t="str">
        <f t="shared" ca="1" si="21"/>
        <v/>
      </c>
      <c r="Q112" s="46">
        <f t="shared" si="22"/>
        <v>2.0499999999999998</v>
      </c>
      <c r="S112" s="98"/>
    </row>
    <row r="113" spans="1:19">
      <c r="A113" t="s">
        <v>12</v>
      </c>
      <c r="B113" t="s">
        <v>1652</v>
      </c>
      <c r="C113" t="s">
        <v>14</v>
      </c>
      <c r="D113" s="53" t="s">
        <v>24</v>
      </c>
      <c r="E113" s="53">
        <v>1</v>
      </c>
      <c r="F113" s="53" t="s">
        <v>1669</v>
      </c>
      <c r="G113" s="103">
        <f t="shared" ca="1" si="23"/>
        <v>0</v>
      </c>
      <c r="H113" s="46" t="str">
        <f t="shared" si="24"/>
        <v/>
      </c>
      <c r="I113" s="103">
        <f t="shared" ca="1" si="25"/>
        <v>1497.8999999999999</v>
      </c>
      <c r="J113" s="46" t="str">
        <f t="shared" si="18"/>
        <v>ROF</v>
      </c>
      <c r="K113" s="103">
        <f t="shared" ca="1" si="26"/>
        <v>0</v>
      </c>
      <c r="L113" s="46" t="str">
        <f t="shared" ca="1" si="19"/>
        <v/>
      </c>
      <c r="M113" s="46" t="str">
        <f t="shared" ca="1" si="20"/>
        <v/>
      </c>
      <c r="N113" s="46"/>
      <c r="O113" s="46" t="str">
        <f t="shared" ca="1" si="21"/>
        <v/>
      </c>
      <c r="P113" s="46" t="str">
        <f t="shared" ca="1" si="21"/>
        <v/>
      </c>
      <c r="Q113" s="46">
        <f t="shared" si="22"/>
        <v>1.54</v>
      </c>
      <c r="S113" s="98"/>
    </row>
    <row r="114" spans="1:19">
      <c r="A114" t="s">
        <v>12</v>
      </c>
      <c r="B114" t="s">
        <v>1656</v>
      </c>
      <c r="C114" t="s">
        <v>14</v>
      </c>
      <c r="D114" s="53" t="s">
        <v>24</v>
      </c>
      <c r="E114" s="53">
        <v>1</v>
      </c>
      <c r="F114" s="53" t="s">
        <v>1669</v>
      </c>
      <c r="G114" s="103">
        <f t="shared" ca="1" si="23"/>
        <v>1954</v>
      </c>
      <c r="H114" s="46" t="str">
        <f t="shared" si="24"/>
        <v/>
      </c>
      <c r="I114" s="103">
        <f t="shared" ca="1" si="25"/>
        <v>2043.6</v>
      </c>
      <c r="J114" s="46" t="str">
        <f t="shared" si="18"/>
        <v/>
      </c>
      <c r="K114" s="103">
        <f t="shared" ca="1" si="26"/>
        <v>4349.2999999999993</v>
      </c>
      <c r="L114" s="46" t="str">
        <f t="shared" ca="1" si="19"/>
        <v>ROF</v>
      </c>
      <c r="M114" s="46">
        <f t="shared" ca="1" si="20"/>
        <v>0.4698687145057826</v>
      </c>
      <c r="N114" s="46"/>
      <c r="O114" s="46">
        <f t="shared" ca="1" si="21"/>
        <v>3.2716990788126918</v>
      </c>
      <c r="P114" s="46">
        <f t="shared" ca="1" si="21"/>
        <v>3.2716990788126918</v>
      </c>
      <c r="Q114" s="46">
        <f t="shared" si="22"/>
        <v>2.0499999999999998</v>
      </c>
      <c r="S114" s="98"/>
    </row>
    <row r="115" spans="1:19">
      <c r="A115" t="s">
        <v>12</v>
      </c>
      <c r="B115" t="s">
        <v>1658</v>
      </c>
      <c r="C115" t="s">
        <v>14</v>
      </c>
      <c r="D115" s="53" t="s">
        <v>24</v>
      </c>
      <c r="E115" s="53">
        <v>1</v>
      </c>
      <c r="F115" s="53" t="s">
        <v>1669</v>
      </c>
      <c r="G115" s="103">
        <f t="shared" ca="1" si="23"/>
        <v>336</v>
      </c>
      <c r="H115" s="46" t="str">
        <f t="shared" si="24"/>
        <v/>
      </c>
      <c r="I115" s="103">
        <f t="shared" ca="1" si="25"/>
        <v>358.3</v>
      </c>
      <c r="J115" s="46" t="str">
        <f t="shared" si="18"/>
        <v/>
      </c>
      <c r="K115" s="103">
        <f t="shared" ca="1" si="26"/>
        <v>526.6</v>
      </c>
      <c r="L115" s="46" t="str">
        <f t="shared" ca="1" si="19"/>
        <v>ROF</v>
      </c>
      <c r="M115" s="46">
        <f t="shared" ca="1" si="20"/>
        <v>0.6804025826053931</v>
      </c>
      <c r="N115" s="46"/>
      <c r="O115" s="46">
        <f t="shared" ca="1" si="21"/>
        <v>2.6336309523809525</v>
      </c>
      <c r="P115" s="46">
        <f t="shared" ca="1" si="21"/>
        <v>2.6336309523809525</v>
      </c>
      <c r="Q115" s="46">
        <f t="shared" si="22"/>
        <v>1.64</v>
      </c>
      <c r="S115" s="98"/>
    </row>
    <row r="116" spans="1:19">
      <c r="A116" t="s">
        <v>12</v>
      </c>
      <c r="B116" t="s">
        <v>1659</v>
      </c>
      <c r="C116" t="s">
        <v>14</v>
      </c>
      <c r="D116" s="53" t="s">
        <v>24</v>
      </c>
      <c r="E116" s="53">
        <v>1</v>
      </c>
      <c r="F116" s="53" t="s">
        <v>1669</v>
      </c>
      <c r="G116" s="103">
        <f t="shared" ca="1" si="23"/>
        <v>66</v>
      </c>
      <c r="H116" s="46" t="str">
        <f t="shared" si="24"/>
        <v/>
      </c>
      <c r="I116" s="103">
        <f t="shared" ca="1" si="25"/>
        <v>125.2</v>
      </c>
      <c r="J116" s="46" t="str">
        <f t="shared" si="18"/>
        <v/>
      </c>
      <c r="K116" s="103">
        <f t="shared" ca="1" si="26"/>
        <v>391</v>
      </c>
      <c r="L116" s="46" t="str">
        <f t="shared" ca="1" si="19"/>
        <v>ROF</v>
      </c>
      <c r="M116" s="46">
        <f t="shared" ca="1" si="20"/>
        <v>0.32020460358056269</v>
      </c>
      <c r="N116" s="46"/>
      <c r="O116" s="46">
        <f t="shared" ca="1" si="21"/>
        <v>7.8212121212121222</v>
      </c>
      <c r="P116" s="46">
        <f t="shared" ca="1" si="21"/>
        <v>7.8212121212121222</v>
      </c>
      <c r="Q116" s="46">
        <f t="shared" si="22"/>
        <v>2.0499999999999998</v>
      </c>
      <c r="S116" s="98"/>
    </row>
    <row r="117" spans="1:19">
      <c r="A117" t="s">
        <v>12</v>
      </c>
      <c r="B117" t="s">
        <v>1648</v>
      </c>
      <c r="C117" t="s">
        <v>14</v>
      </c>
      <c r="D117" s="53" t="s">
        <v>24</v>
      </c>
      <c r="E117" s="53">
        <v>1</v>
      </c>
      <c r="F117" s="53" t="s">
        <v>1669</v>
      </c>
      <c r="G117" s="103">
        <f t="shared" ca="1" si="23"/>
        <v>0</v>
      </c>
      <c r="H117" s="46" t="str">
        <f t="shared" si="24"/>
        <v>ROF</v>
      </c>
      <c r="I117" s="103">
        <f t="shared" ca="1" si="25"/>
        <v>935.5</v>
      </c>
      <c r="J117" s="46" t="str">
        <f t="shared" si="18"/>
        <v>ROF</v>
      </c>
      <c r="K117" s="103">
        <f t="shared" ca="1" si="26"/>
        <v>0</v>
      </c>
      <c r="L117" s="46" t="str">
        <f t="shared" ca="1" si="19"/>
        <v/>
      </c>
      <c r="M117" s="46" t="str">
        <f t="shared" ca="1" si="20"/>
        <v/>
      </c>
      <c r="N117" s="46"/>
      <c r="O117" s="46" t="str">
        <f t="shared" ca="1" si="21"/>
        <v/>
      </c>
      <c r="P117" s="46" t="str">
        <f t="shared" ca="1" si="21"/>
        <v/>
      </c>
      <c r="Q117" s="46">
        <f t="shared" si="22"/>
        <v>1.44</v>
      </c>
      <c r="S117" s="98"/>
    </row>
    <row r="118" spans="1:19">
      <c r="A118" t="s">
        <v>12</v>
      </c>
      <c r="B118" t="s">
        <v>1649</v>
      </c>
      <c r="C118" t="s">
        <v>14</v>
      </c>
      <c r="D118" s="53" t="s">
        <v>24</v>
      </c>
      <c r="E118" s="53">
        <v>1</v>
      </c>
      <c r="F118" s="53" t="s">
        <v>1669</v>
      </c>
      <c r="G118" s="103">
        <f t="shared" ca="1" si="23"/>
        <v>0</v>
      </c>
      <c r="H118" s="46" t="str">
        <f t="shared" si="24"/>
        <v>ROF</v>
      </c>
      <c r="I118" s="103">
        <f t="shared" ca="1" si="25"/>
        <v>935.5</v>
      </c>
      <c r="J118" s="46" t="str">
        <f t="shared" si="18"/>
        <v>ROF</v>
      </c>
      <c r="K118" s="103">
        <f t="shared" ca="1" si="26"/>
        <v>0</v>
      </c>
      <c r="L118" s="46" t="str">
        <f t="shared" ca="1" si="19"/>
        <v/>
      </c>
      <c r="M118" s="46" t="str">
        <f t="shared" ca="1" si="20"/>
        <v/>
      </c>
      <c r="N118" s="46"/>
      <c r="O118" s="46" t="str">
        <f t="shared" ca="1" si="21"/>
        <v/>
      </c>
      <c r="P118" s="46" t="str">
        <f t="shared" ca="1" si="21"/>
        <v/>
      </c>
      <c r="Q118" s="46">
        <f t="shared" si="22"/>
        <v>1.44</v>
      </c>
      <c r="S118" s="98"/>
    </row>
    <row r="119" spans="1:19">
      <c r="A119" t="s">
        <v>12</v>
      </c>
      <c r="B119" t="s">
        <v>1613</v>
      </c>
      <c r="C119" t="s">
        <v>14</v>
      </c>
      <c r="D119" s="53" t="s">
        <v>24</v>
      </c>
      <c r="E119" s="53">
        <v>1</v>
      </c>
      <c r="F119" s="53" t="s">
        <v>1669</v>
      </c>
      <c r="G119" s="103">
        <f t="shared" ca="1" si="23"/>
        <v>0</v>
      </c>
      <c r="H119" s="46" t="str">
        <f t="shared" si="24"/>
        <v/>
      </c>
      <c r="I119" s="103">
        <f t="shared" ca="1" si="25"/>
        <v>260.3</v>
      </c>
      <c r="J119" s="46" t="str">
        <f t="shared" si="18"/>
        <v>ROF</v>
      </c>
      <c r="K119" s="103">
        <f t="shared" ca="1" si="26"/>
        <v>0</v>
      </c>
      <c r="L119" s="46" t="str">
        <f t="shared" ca="1" si="19"/>
        <v/>
      </c>
      <c r="M119" s="46" t="str">
        <f t="shared" ca="1" si="20"/>
        <v/>
      </c>
      <c r="N119" s="46"/>
      <c r="O119" s="46" t="str">
        <f t="shared" ca="1" si="21"/>
        <v/>
      </c>
      <c r="P119" s="46" t="str">
        <f t="shared" ca="1" si="21"/>
        <v/>
      </c>
      <c r="Q119" s="46">
        <f t="shared" si="22"/>
        <v>6.16</v>
      </c>
      <c r="S119" s="98"/>
    </row>
    <row r="120" spans="1:19">
      <c r="A120" t="s">
        <v>12</v>
      </c>
      <c r="B120" t="s">
        <v>1650</v>
      </c>
      <c r="C120" t="s">
        <v>14</v>
      </c>
      <c r="D120" s="53" t="s">
        <v>24</v>
      </c>
      <c r="E120" s="53">
        <v>1</v>
      </c>
      <c r="F120" s="53" t="s">
        <v>1669</v>
      </c>
      <c r="G120" s="103">
        <f t="shared" ca="1" si="23"/>
        <v>0</v>
      </c>
      <c r="H120" s="46" t="str">
        <f t="shared" si="24"/>
        <v>ROF</v>
      </c>
      <c r="I120" s="103">
        <f t="shared" ca="1" si="25"/>
        <v>250</v>
      </c>
      <c r="J120" s="46" t="str">
        <f t="shared" si="18"/>
        <v>ROF</v>
      </c>
      <c r="K120" s="103">
        <f t="shared" ca="1" si="26"/>
        <v>0</v>
      </c>
      <c r="L120" s="46" t="str">
        <f t="shared" ca="1" si="19"/>
        <v/>
      </c>
      <c r="M120" s="46" t="str">
        <f t="shared" ca="1" si="20"/>
        <v/>
      </c>
      <c r="N120" s="46"/>
      <c r="O120" s="46" t="str">
        <f t="shared" ca="1" si="21"/>
        <v/>
      </c>
      <c r="P120" s="46" t="str">
        <f t="shared" ca="1" si="21"/>
        <v/>
      </c>
      <c r="Q120" s="46">
        <f t="shared" si="22"/>
        <v>1.75</v>
      </c>
      <c r="S120" s="98"/>
    </row>
    <row r="121" spans="1:19">
      <c r="A121" t="s">
        <v>12</v>
      </c>
      <c r="B121" t="s">
        <v>1651</v>
      </c>
      <c r="C121" t="s">
        <v>14</v>
      </c>
      <c r="D121" s="53" t="s">
        <v>24</v>
      </c>
      <c r="E121" s="53">
        <v>1</v>
      </c>
      <c r="F121" s="53" t="s">
        <v>1669</v>
      </c>
      <c r="G121" s="103">
        <f t="shared" ca="1" si="23"/>
        <v>0</v>
      </c>
      <c r="H121" s="46" t="str">
        <f t="shared" si="24"/>
        <v>ROF</v>
      </c>
      <c r="I121" s="103">
        <f t="shared" ca="1" si="25"/>
        <v>250</v>
      </c>
      <c r="J121" s="46" t="str">
        <f t="shared" si="18"/>
        <v>ROF</v>
      </c>
      <c r="K121" s="103">
        <f t="shared" ca="1" si="26"/>
        <v>0</v>
      </c>
      <c r="L121" s="46" t="str">
        <f t="shared" ca="1" si="19"/>
        <v/>
      </c>
      <c r="M121" s="46" t="str">
        <f t="shared" ca="1" si="20"/>
        <v/>
      </c>
      <c r="N121" s="46"/>
      <c r="O121" s="46" t="str">
        <f t="shared" ca="1" si="21"/>
        <v/>
      </c>
      <c r="P121" s="46" t="str">
        <f t="shared" ca="1" si="21"/>
        <v/>
      </c>
      <c r="Q121" s="46">
        <f t="shared" si="22"/>
        <v>1.75</v>
      </c>
      <c r="S121" s="98"/>
    </row>
    <row r="122" spans="1:19">
      <c r="A122" t="s">
        <v>12</v>
      </c>
      <c r="B122" t="s">
        <v>1655</v>
      </c>
      <c r="C122" t="s">
        <v>14</v>
      </c>
      <c r="D122" s="53" t="s">
        <v>24</v>
      </c>
      <c r="E122" s="53">
        <v>1</v>
      </c>
      <c r="F122" s="53" t="s">
        <v>1669</v>
      </c>
      <c r="G122" s="103">
        <f t="shared" ca="1" si="23"/>
        <v>0</v>
      </c>
      <c r="H122" s="46" t="str">
        <f t="shared" si="24"/>
        <v/>
      </c>
      <c r="I122" s="103">
        <f t="shared" ca="1" si="25"/>
        <v>10</v>
      </c>
      <c r="J122" s="46" t="str">
        <f t="shared" si="18"/>
        <v>ROF</v>
      </c>
      <c r="K122" s="103">
        <f t="shared" ca="1" si="26"/>
        <v>0</v>
      </c>
      <c r="L122" s="46" t="str">
        <f t="shared" ca="1" si="19"/>
        <v/>
      </c>
      <c r="M122" s="46" t="str">
        <f t="shared" ca="1" si="20"/>
        <v/>
      </c>
      <c r="N122" s="46"/>
      <c r="O122" s="46" t="str">
        <f t="shared" ca="1" si="21"/>
        <v/>
      </c>
      <c r="P122" s="46" t="str">
        <f t="shared" ca="1" si="21"/>
        <v/>
      </c>
      <c r="Q122" s="46">
        <f t="shared" si="22"/>
        <v>2.0499999999999998</v>
      </c>
      <c r="S122" s="98"/>
    </row>
    <row r="123" spans="1:19">
      <c r="A123" s="106" t="s">
        <v>1684</v>
      </c>
      <c r="B123" s="106"/>
      <c r="C123" s="106"/>
      <c r="D123" s="107"/>
      <c r="E123" s="107"/>
      <c r="F123" s="107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</row>
    <row r="124" spans="1:19">
      <c r="A124" t="s">
        <v>12</v>
      </c>
      <c r="B124" t="s">
        <v>1654</v>
      </c>
      <c r="D124" s="53" t="s">
        <v>24</v>
      </c>
      <c r="E124" s="53">
        <v>1</v>
      </c>
      <c r="F124" s="53" t="s">
        <v>1686</v>
      </c>
      <c r="G124" s="108">
        <f ca="1">SUMIFS(G$94:G$122,$B$94:$B$122,$B124)</f>
        <v>0</v>
      </c>
      <c r="I124" s="108">
        <f ca="1">SUMIFS(I$94:I$122,$B$94:$B$122,$B124)</f>
        <v>5848.3000000000011</v>
      </c>
      <c r="K124" s="108">
        <f ca="1">SUMIFS(K$94:K$122,$B$94:$B$122,$B124)</f>
        <v>0</v>
      </c>
    </row>
    <row r="125" spans="1:19">
      <c r="A125" t="s">
        <v>12</v>
      </c>
      <c r="B125" t="s">
        <v>1657</v>
      </c>
      <c r="D125" s="53" t="s">
        <v>24</v>
      </c>
      <c r="E125" s="53">
        <v>1</v>
      </c>
      <c r="F125" s="53" t="s">
        <v>1686</v>
      </c>
      <c r="G125" s="108">
        <f t="shared" ref="G125:K139" ca="1" si="27">SUMIFS(G$94:G$122,$B$94:$B$122,$B125)</f>
        <v>0</v>
      </c>
      <c r="I125" s="108">
        <f t="shared" ca="1" si="27"/>
        <v>4184.5</v>
      </c>
      <c r="K125" s="108">
        <f t="shared" ca="1" si="27"/>
        <v>0</v>
      </c>
    </row>
    <row r="126" spans="1:19">
      <c r="A126" t="s">
        <v>12</v>
      </c>
      <c r="B126" t="s">
        <v>1653</v>
      </c>
      <c r="D126" s="53" t="s">
        <v>24</v>
      </c>
      <c r="E126" s="53">
        <v>1</v>
      </c>
      <c r="F126" s="53" t="s">
        <v>1686</v>
      </c>
      <c r="G126" s="108">
        <f t="shared" ca="1" si="27"/>
        <v>0</v>
      </c>
      <c r="I126" s="108">
        <f t="shared" ca="1" si="27"/>
        <v>3616.5000000000005</v>
      </c>
      <c r="K126" s="108">
        <f t="shared" ca="1" si="27"/>
        <v>0</v>
      </c>
    </row>
    <row r="127" spans="1:19">
      <c r="A127" t="s">
        <v>12</v>
      </c>
      <c r="B127" t="s">
        <v>1613</v>
      </c>
      <c r="D127" s="53" t="s">
        <v>24</v>
      </c>
      <c r="E127" s="53">
        <v>1</v>
      </c>
      <c r="F127" s="53" t="s">
        <v>1686</v>
      </c>
      <c r="G127" s="108">
        <f t="shared" ca="1" si="27"/>
        <v>0</v>
      </c>
      <c r="I127" s="108">
        <f t="shared" ca="1" si="27"/>
        <v>933.5</v>
      </c>
      <c r="K127" s="108">
        <f t="shared" ca="1" si="27"/>
        <v>0</v>
      </c>
    </row>
    <row r="128" spans="1:19">
      <c r="A128" t="s">
        <v>12</v>
      </c>
      <c r="B128" t="s">
        <v>1658</v>
      </c>
      <c r="D128" s="53" t="s">
        <v>24</v>
      </c>
      <c r="E128" s="53">
        <v>1</v>
      </c>
      <c r="F128" s="53" t="s">
        <v>1686</v>
      </c>
      <c r="G128" s="108">
        <f t="shared" ca="1" si="27"/>
        <v>2397</v>
      </c>
      <c r="I128" s="108">
        <f t="shared" ca="1" si="27"/>
        <v>1310.3</v>
      </c>
      <c r="K128" s="108">
        <f t="shared" ca="1" si="27"/>
        <v>1416.6</v>
      </c>
    </row>
    <row r="129" spans="1:11">
      <c r="A129" t="s">
        <v>12</v>
      </c>
      <c r="B129" t="s">
        <v>1652</v>
      </c>
      <c r="D129" s="53" t="s">
        <v>24</v>
      </c>
      <c r="E129" s="53">
        <v>1</v>
      </c>
      <c r="F129" s="53" t="s">
        <v>1686</v>
      </c>
      <c r="G129" s="108">
        <f t="shared" ca="1" si="27"/>
        <v>0</v>
      </c>
      <c r="I129" s="108">
        <f t="shared" ca="1" si="27"/>
        <v>2367.8999999999996</v>
      </c>
      <c r="K129" s="108">
        <f t="shared" ca="1" si="27"/>
        <v>0</v>
      </c>
    </row>
    <row r="130" spans="1:11">
      <c r="A130" t="s">
        <v>12</v>
      </c>
      <c r="B130" t="s">
        <v>1648</v>
      </c>
      <c r="D130" s="53" t="s">
        <v>24</v>
      </c>
      <c r="E130" s="53">
        <v>1</v>
      </c>
      <c r="F130" s="53" t="s">
        <v>1686</v>
      </c>
      <c r="G130" s="108">
        <f t="shared" ca="1" si="27"/>
        <v>0</v>
      </c>
      <c r="I130" s="108">
        <f t="shared" ca="1" si="27"/>
        <v>1735.5</v>
      </c>
      <c r="K130" s="108">
        <f t="shared" ca="1" si="27"/>
        <v>0</v>
      </c>
    </row>
    <row r="131" spans="1:11">
      <c r="A131" t="s">
        <v>12</v>
      </c>
      <c r="B131" t="s">
        <v>1649</v>
      </c>
      <c r="D131" s="53" t="s">
        <v>24</v>
      </c>
      <c r="E131" s="53">
        <v>1</v>
      </c>
      <c r="F131" s="53" t="s">
        <v>1686</v>
      </c>
      <c r="G131" s="108">
        <f t="shared" ca="1" si="27"/>
        <v>0</v>
      </c>
      <c r="I131" s="108">
        <f t="shared" ca="1" si="27"/>
        <v>1735.5</v>
      </c>
      <c r="K131" s="108">
        <f t="shared" ca="1" si="27"/>
        <v>0</v>
      </c>
    </row>
    <row r="132" spans="1:11">
      <c r="A132" t="s">
        <v>12</v>
      </c>
      <c r="B132" t="s">
        <v>1650</v>
      </c>
      <c r="D132" s="53" t="s">
        <v>24</v>
      </c>
      <c r="E132" s="53">
        <v>1</v>
      </c>
      <c r="F132" s="53" t="s">
        <v>1686</v>
      </c>
      <c r="G132" s="108">
        <f t="shared" ca="1" si="27"/>
        <v>0</v>
      </c>
      <c r="I132" s="108">
        <f t="shared" ca="1" si="27"/>
        <v>370</v>
      </c>
      <c r="K132" s="108">
        <f t="shared" ca="1" si="27"/>
        <v>0</v>
      </c>
    </row>
    <row r="133" spans="1:11">
      <c r="A133" t="s">
        <v>12</v>
      </c>
      <c r="B133" t="s">
        <v>1651</v>
      </c>
      <c r="D133" s="53" t="s">
        <v>24</v>
      </c>
      <c r="E133" s="53">
        <v>1</v>
      </c>
      <c r="F133" s="53" t="s">
        <v>1686</v>
      </c>
      <c r="G133" s="108">
        <f t="shared" ca="1" si="27"/>
        <v>0</v>
      </c>
      <c r="I133" s="108">
        <f t="shared" ca="1" si="27"/>
        <v>370</v>
      </c>
      <c r="K133" s="108">
        <f t="shared" ca="1" si="27"/>
        <v>0</v>
      </c>
    </row>
    <row r="134" spans="1:11">
      <c r="A134" t="s">
        <v>12</v>
      </c>
      <c r="B134" t="s">
        <v>1660</v>
      </c>
      <c r="D134" s="53" t="s">
        <v>24</v>
      </c>
      <c r="E134" s="53">
        <v>1</v>
      </c>
      <c r="F134" s="53" t="s">
        <v>1686</v>
      </c>
      <c r="G134" s="108">
        <f t="shared" ca="1" si="27"/>
        <v>132</v>
      </c>
      <c r="I134" s="108">
        <f t="shared" ca="1" si="27"/>
        <v>49</v>
      </c>
      <c r="K134" s="108">
        <f t="shared" ca="1" si="27"/>
        <v>80</v>
      </c>
    </row>
    <row r="135" spans="1:11">
      <c r="A135" t="s">
        <v>12</v>
      </c>
      <c r="B135" t="s">
        <v>1655</v>
      </c>
      <c r="D135" s="53" t="s">
        <v>24</v>
      </c>
      <c r="E135" s="53">
        <v>1</v>
      </c>
      <c r="F135" s="53" t="s">
        <v>1686</v>
      </c>
      <c r="G135" s="108">
        <f t="shared" ca="1" si="27"/>
        <v>0</v>
      </c>
      <c r="I135" s="108">
        <f t="shared" ca="1" si="27"/>
        <v>90</v>
      </c>
      <c r="K135" s="108">
        <f t="shared" ca="1" si="27"/>
        <v>0</v>
      </c>
    </row>
    <row r="136" spans="1:11">
      <c r="A136" t="s">
        <v>12</v>
      </c>
      <c r="B136" t="s">
        <v>1656</v>
      </c>
      <c r="D136" s="53" t="s">
        <v>24</v>
      </c>
      <c r="E136" s="53">
        <v>1</v>
      </c>
      <c r="F136" s="53" t="s">
        <v>1686</v>
      </c>
      <c r="G136" s="108">
        <f t="shared" ca="1" si="27"/>
        <v>2074</v>
      </c>
      <c r="I136" s="108">
        <f t="shared" ca="1" si="27"/>
        <v>2071.6</v>
      </c>
      <c r="K136" s="108">
        <f t="shared" ca="1" si="27"/>
        <v>4454.2999999999993</v>
      </c>
    </row>
    <row r="137" spans="1:11">
      <c r="A137" t="s">
        <v>12</v>
      </c>
      <c r="B137" t="s">
        <v>1659</v>
      </c>
      <c r="D137" s="53" t="s">
        <v>24</v>
      </c>
      <c r="E137" s="53">
        <v>1</v>
      </c>
      <c r="F137" s="53" t="s">
        <v>1686</v>
      </c>
      <c r="G137" s="108">
        <f t="shared" ca="1" si="27"/>
        <v>268</v>
      </c>
      <c r="I137" s="108">
        <f t="shared" ca="1" si="27"/>
        <v>201.60000000000002</v>
      </c>
      <c r="K137" s="108">
        <f t="shared" ca="1" si="27"/>
        <v>538</v>
      </c>
    </row>
    <row r="138" spans="1:11">
      <c r="A138" t="s">
        <v>12</v>
      </c>
      <c r="B138" t="s">
        <v>1661</v>
      </c>
      <c r="D138" s="53" t="s">
        <v>24</v>
      </c>
      <c r="E138" s="53">
        <v>1</v>
      </c>
      <c r="F138" s="53" t="s">
        <v>1686</v>
      </c>
      <c r="G138" s="108">
        <f t="shared" ca="1" si="27"/>
        <v>0</v>
      </c>
      <c r="I138" s="108">
        <f t="shared" ca="1" si="27"/>
        <v>200</v>
      </c>
      <c r="K138" s="108">
        <f t="shared" ca="1" si="27"/>
        <v>0</v>
      </c>
    </row>
    <row r="139" spans="1:11">
      <c r="A139" t="s">
        <v>12</v>
      </c>
      <c r="B139" t="s">
        <v>1662</v>
      </c>
      <c r="D139" s="53" t="s">
        <v>24</v>
      </c>
      <c r="E139" s="53">
        <v>1</v>
      </c>
      <c r="F139" s="53" t="s">
        <v>1686</v>
      </c>
      <c r="G139" s="108">
        <f t="shared" ca="1" si="27"/>
        <v>0</v>
      </c>
      <c r="I139" s="108">
        <f t="shared" ca="1" si="27"/>
        <v>200</v>
      </c>
      <c r="K139" s="108">
        <f t="shared" ca="1" si="27"/>
        <v>0</v>
      </c>
    </row>
    <row r="143" spans="1:11">
      <c r="A143" t="s">
        <v>1687</v>
      </c>
      <c r="B143" t="s">
        <v>4</v>
      </c>
      <c r="C143" t="s">
        <v>3</v>
      </c>
      <c r="D143" s="53" t="s">
        <v>9</v>
      </c>
    </row>
    <row r="144" spans="1:11">
      <c r="A144" t="s">
        <v>1688</v>
      </c>
      <c r="B144">
        <f ca="1">SUM(G3:G79)</f>
        <v>4871</v>
      </c>
      <c r="C144">
        <f ca="1">SUM(I3:I79)</f>
        <v>25284.2</v>
      </c>
      <c r="D144">
        <f ca="1">SUM(K3:K79)</f>
        <v>6488.9</v>
      </c>
    </row>
    <row r="145" spans="1:4">
      <c r="A145" t="s">
        <v>1689</v>
      </c>
      <c r="B145">
        <f ca="1">SUM(G94:G122)</f>
        <v>4871</v>
      </c>
      <c r="C145">
        <f ca="1">SUM(I94:I122)</f>
        <v>25284.2</v>
      </c>
      <c r="D145">
        <f ca="1">SUM(K94:K122)</f>
        <v>6488.9</v>
      </c>
    </row>
    <row r="146" spans="1:4">
      <c r="A146" t="s">
        <v>1690</v>
      </c>
      <c r="B146">
        <f ca="1">SUM(G124:G139)</f>
        <v>4871</v>
      </c>
      <c r="C146">
        <f ca="1">SUM(I124:I139)</f>
        <v>25284.199999999997</v>
      </c>
      <c r="D146">
        <f ca="1">SUM(K124:K139)</f>
        <v>6488.9</v>
      </c>
    </row>
  </sheetData>
  <phoneticPr fontId="8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BAAE-C25B-44FA-BAC0-9E9B5F2A93F9}">
  <sheetPr>
    <tabColor rgb="FFCC99FF"/>
  </sheetPr>
  <dimension ref="A1:E4"/>
  <sheetViews>
    <sheetView tabSelected="1" workbookViewId="0">
      <selection activeCell="E2" sqref="E2:E4"/>
    </sheetView>
  </sheetViews>
  <sheetFormatPr defaultRowHeight="15"/>
  <cols>
    <col min="1" max="1" width="13.42578125" customWidth="1"/>
    <col min="2" max="2" width="12.7109375" customWidth="1"/>
    <col min="5" max="5" width="35.28515625" customWidth="1"/>
  </cols>
  <sheetData>
    <row r="1" spans="1:5">
      <c r="A1" s="10" t="s">
        <v>1667</v>
      </c>
      <c r="B1" s="10" t="s">
        <v>1670</v>
      </c>
      <c r="C1" s="10" t="s">
        <v>1671</v>
      </c>
      <c r="D1" s="10" t="s">
        <v>1594</v>
      </c>
      <c r="E1" s="10" t="s">
        <v>1672</v>
      </c>
    </row>
    <row r="2" spans="1:5">
      <c r="A2" t="s">
        <v>1673</v>
      </c>
      <c r="B2" t="s">
        <v>1674</v>
      </c>
      <c r="D2" t="s">
        <v>1676</v>
      </c>
      <c r="E2" t="s">
        <v>1677</v>
      </c>
    </row>
    <row r="3" spans="1:5">
      <c r="A3" t="s">
        <v>1673</v>
      </c>
      <c r="B3" t="s">
        <v>1679</v>
      </c>
      <c r="C3" t="s">
        <v>1675</v>
      </c>
      <c r="D3" t="s">
        <v>1676</v>
      </c>
      <c r="E3" t="s">
        <v>1692</v>
      </c>
    </row>
    <row r="4" spans="1:5">
      <c r="A4" t="s">
        <v>1673</v>
      </c>
      <c r="B4" t="s">
        <v>1678</v>
      </c>
      <c r="D4" t="s">
        <v>1676</v>
      </c>
      <c r="E4" t="s">
        <v>1693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3856-CC14-4C49-8781-1E170F939E00}">
  <sheetPr codeName="Sheet6"/>
  <dimension ref="A1:O82"/>
  <sheetViews>
    <sheetView workbookViewId="0">
      <selection activeCell="E12" sqref="E12"/>
    </sheetView>
  </sheetViews>
  <sheetFormatPr defaultRowHeight="15"/>
  <cols>
    <col min="1" max="1" width="27.28515625" customWidth="1"/>
    <col min="2" max="2" width="22.28515625" customWidth="1"/>
    <col min="3" max="3" width="10.5703125" customWidth="1"/>
    <col min="4" max="4" width="10.7109375" customWidth="1"/>
    <col min="6" max="6" width="24.28515625" customWidth="1"/>
    <col min="7" max="7" width="28" customWidth="1"/>
    <col min="9" max="9" width="9.140625" customWidth="1"/>
    <col min="11" max="11" width="11.85546875" customWidth="1"/>
    <col min="14" max="14" width="26.5703125" customWidth="1"/>
    <col min="15" max="15" width="9.140625" customWidth="1"/>
  </cols>
  <sheetData>
    <row r="1" spans="1:7">
      <c r="A1" s="38" t="s">
        <v>1612</v>
      </c>
      <c r="B1" s="45" t="s">
        <v>1371</v>
      </c>
      <c r="C1" s="45" t="s">
        <v>1372</v>
      </c>
      <c r="D1" s="45" t="s">
        <v>1573</v>
      </c>
      <c r="E1" s="37"/>
      <c r="F1" s="45" t="s">
        <v>1575</v>
      </c>
      <c r="G1" s="38" t="s">
        <v>1576</v>
      </c>
    </row>
    <row r="2" spans="1:7">
      <c r="A2" s="37" t="str" cm="1">
        <f t="array" ref="A2:A11">_xlfn.UNIQUE(_xlfn._xlws.FILTER(N23:N82,(ISTEXT(N23:N82))*(N23:N82&lt;&gt;"Excluded")*(N23:N82&lt;&gt;"Included in industry")*(N23:N82&lt;&gt;"unittype")))</f>
        <v>oilHOB</v>
      </c>
      <c r="B2" s="46">
        <f>IF(COUNTIF($A2,"*HOB*")+COUNTIF($A2,"*charger*")+COUNTIF($A2,"*disch*")+COUNTIF($A2,"GSHP")+COUNTIF($A2,"elecHOB"),SUMIF($N$23:$N$82,$A2,$I$23:$I$82),SUMIF($N$23:$N$82,$A2,$J$23:$J$82))</f>
        <v>671</v>
      </c>
      <c r="C2" s="46">
        <f>IF(COUNTIF($A2,"*HOB*")+COUNTIF($A2,"*charger*")+COUNTIF($A2,"*disch*")+COUNTIF($A2,"GSHP")+COUNTIF($A2,"elecHOB"),SUMIF($N$23:$N$82,$A2,$J$23:$J$82),SUMIF($N$23:$N$82,$A2,$I$23:$I$82))</f>
        <v>0</v>
      </c>
      <c r="D2" s="46" t="str">
        <f t="shared" ref="D2:D20" si="0">IF(COUNTIFS($K$23:$K$82,"&gt;0",$N$23:$N$82,$A2)=COUNTIF($N$23:$N$82,$A2),SUMIF($N$23:$N$82,$A2,$K$23:$K$82),"")</f>
        <v/>
      </c>
      <c r="E2" s="37"/>
      <c r="F2" s="46" t="str">
        <f>IF(ISTEXT($A2),IF(COUNTIFS(unitdata_Finland!$B$3:$B$85,$A2,unitdata_Finland!$C$3:$C$85,"*HKI*"),"","Add the unit!"),"")</f>
        <v/>
      </c>
      <c r="G2" s="46" t="str">
        <f>IF(COUNTIFS(unitdata_Finland!$B$3:$B$85,$A2,unitdata_Finland!$C$3:$C$85,"*HKI*")&gt;1,"Warning!","")</f>
        <v/>
      </c>
    </row>
    <row r="3" spans="1:7">
      <c r="A3" s="37" t="str">
        <v>gasHOB</v>
      </c>
      <c r="B3" s="46">
        <f t="shared" ref="B3:B20" si="1">IF(COUNTIF($A3,"*HOB*")+COUNTIF($A3,"*charger*")+COUNTIF($A3,"*disch*")+COUNTIF($A3,"GSHP")+COUNTIF($A3,"elecHOB"),SUMIF($N$23:$N$82,$A3,$I$23:$I$82),SUMIF($N$23:$N$82,$A3,$J$23:$J$82))</f>
        <v>912</v>
      </c>
      <c r="C3" s="46">
        <f t="shared" ref="C3:C20" si="2">IF(COUNTIF($A3,"*HOB*")+COUNTIF($A3,"*charger*")+COUNTIF($A3,"*disch*")+COUNTIF($A3,"GSHP")+COUNTIF($A3,"elecHOB"),SUMIF($N$23:$N$82,$A3,$J$23:$J$82),SUMIF($N$23:$N$82,$A3,$I$23:$I$82))</f>
        <v>0</v>
      </c>
      <c r="D3" s="46" t="str">
        <f t="shared" si="0"/>
        <v/>
      </c>
      <c r="E3" s="37"/>
      <c r="F3" s="46" t="str">
        <f>IF(ISTEXT($A3),IF(COUNTIFS(unitdata_Finland!$B$3:$B$85,$A3,unitdata_Finland!$C$3:$C$85,"*HKI*"),"","Add the unit!"),"")</f>
        <v/>
      </c>
      <c r="G3" s="46" t="str">
        <f>IF(COUNTIFS(unitdata_Finland!$B$3:$B$85,$A3,unitdata_Finland!$C$3:$C$85,"*HKI*")&gt;1,"Warning!","")</f>
        <v/>
      </c>
    </row>
    <row r="4" spans="1:7">
      <c r="A4" s="37" t="str">
        <v>bioHOB</v>
      </c>
      <c r="B4" s="46">
        <f t="shared" si="1"/>
        <v>527</v>
      </c>
      <c r="C4" s="46">
        <f t="shared" si="2"/>
        <v>0</v>
      </c>
      <c r="D4" s="46" t="str">
        <f t="shared" si="0"/>
        <v/>
      </c>
      <c r="E4" s="37"/>
      <c r="F4" s="46" t="str">
        <f>IF(ISTEXT($A4),IF(COUNTIFS(unitdata_Finland!$B$3:$B$85,$A4,unitdata_Finland!$C$3:$C$85,"*HKI*"),"","Add the unit!"),"")</f>
        <v/>
      </c>
      <c r="G4" s="46" t="str">
        <f>IF(COUNTIFS(unitdata_Finland!$B$3:$B$85,$A4,unitdata_Finland!$C$3:$C$85,"*HKI*")&gt;1,"Warning!","")</f>
        <v/>
      </c>
    </row>
    <row r="5" spans="1:7">
      <c r="A5" s="37" t="str">
        <v>GSHP</v>
      </c>
      <c r="B5" s="46">
        <f t="shared" si="1"/>
        <v>343.2</v>
      </c>
      <c r="C5" s="46">
        <f t="shared" si="2"/>
        <v>0</v>
      </c>
      <c r="D5" s="46" t="str">
        <f t="shared" si="0"/>
        <v/>
      </c>
      <c r="E5" s="37"/>
      <c r="F5" s="46" t="str">
        <f>IF(ISTEXT($A5),IF(COUNTIFS(unitdata_Finland!$B$3:$B$85,$A5,unitdata_Finland!$C$3:$C$85,"*HKI*"),"","Add the unit!"),"")</f>
        <v/>
      </c>
      <c r="G5" s="46" t="str">
        <f>IF(COUNTIFS(unitdata_Finland!$B$3:$B$85,$A5,unitdata_Finland!$C$3:$C$85,"*HKI*")&gt;1,"Warning!","")</f>
        <v/>
      </c>
    </row>
    <row r="6" spans="1:7">
      <c r="A6" s="37" t="str">
        <v>gasCCGTCHP</v>
      </c>
      <c r="B6" s="46">
        <f t="shared" si="1"/>
        <v>630</v>
      </c>
      <c r="C6" s="46">
        <f t="shared" si="2"/>
        <v>587</v>
      </c>
      <c r="D6" s="46">
        <f t="shared" si="0"/>
        <v>1343</v>
      </c>
      <c r="E6" s="37"/>
      <c r="F6" s="46" t="str">
        <f>IF(ISTEXT($A6),IF(COUNTIFS(unitdata_Finland!$B$3:$B$85,$A6,unitdata_Finland!$C$3:$C$85,"*HKI*"),"","Add the unit!"),"")</f>
        <v/>
      </c>
      <c r="G6" s="46" t="str">
        <f>IF(COUNTIFS(unitdata_Finland!$B$3:$B$85,$A6,unitdata_Finland!$C$3:$C$85,"*HKI*")&gt;1,"Warning!","")</f>
        <v/>
      </c>
    </row>
    <row r="7" spans="1:7">
      <c r="A7" s="37" t="str">
        <v>elecHOB</v>
      </c>
      <c r="B7" s="46">
        <f t="shared" si="1"/>
        <v>540</v>
      </c>
      <c r="C7" s="46">
        <f t="shared" si="2"/>
        <v>0</v>
      </c>
      <c r="D7" s="46" t="str">
        <f t="shared" si="0"/>
        <v/>
      </c>
      <c r="E7" s="37"/>
      <c r="F7" s="46" t="str">
        <f>IF(ISTEXT($A7),IF(COUNTIFS(unitdata_Finland!$B$3:$B$85,$A7,unitdata_Finland!$C$3:$C$85,"*HKI*"),"","Add the unit!"),"")</f>
        <v/>
      </c>
      <c r="G7" s="46" t="str">
        <f>IF(COUNTIFS(unitdata_Finland!$B$3:$B$85,$A7,unitdata_Finland!$C$3:$C$85,"*HKI*")&gt;1,"Warning!","")</f>
        <v/>
      </c>
    </row>
    <row r="8" spans="1:7">
      <c r="A8" s="37" t="str">
        <v>HeatStorageCharger</v>
      </c>
      <c r="B8" s="46">
        <f t="shared" si="1"/>
        <v>340</v>
      </c>
      <c r="C8" s="46">
        <f t="shared" si="2"/>
        <v>0</v>
      </c>
      <c r="D8" s="46" t="str">
        <f t="shared" si="0"/>
        <v/>
      </c>
      <c r="E8" s="37"/>
      <c r="F8" s="46" t="str">
        <f>IF(ISTEXT($A8),IF(COUNTIFS(unitdata_Finland!$B$3:$B$85,$A8,unitdata_Finland!$C$3:$C$85,"*HKI*"),"","Add the unit!"),"")</f>
        <v/>
      </c>
      <c r="G8" s="46" t="str">
        <f>IF(COUNTIFS(unitdata_Finland!$B$3:$B$85,$A8,unitdata_Finland!$C$3:$C$85,"*HKI*")&gt;1,"Warning!","")</f>
        <v/>
      </c>
    </row>
    <row r="9" spans="1:7">
      <c r="A9" s="37" t="str">
        <v>HeatStorageDisch</v>
      </c>
      <c r="B9" s="46">
        <f t="shared" si="1"/>
        <v>340</v>
      </c>
      <c r="C9" s="46">
        <f t="shared" si="2"/>
        <v>0</v>
      </c>
      <c r="D9" s="46" t="str">
        <f t="shared" si="0"/>
        <v/>
      </c>
      <c r="E9" s="37"/>
      <c r="F9" s="46" t="str">
        <f>IF(ISTEXT($A9),IF(COUNTIFS(unitdata_Finland!$B$3:$B$85,$A9,unitdata_Finland!$C$3:$C$85,"*HKI*"),"","Add the unit!"),"")</f>
        <v/>
      </c>
      <c r="G9" s="46" t="str">
        <f>IF(COUNTIFS(unitdata_Finland!$B$3:$B$85,$A9,unitdata_Finland!$C$3:$C$85,"*HKI*")&gt;1,"Warning!","")</f>
        <v/>
      </c>
    </row>
    <row r="10" spans="1:7">
      <c r="A10" s="37" t="str">
        <v>heatStorageChargerLarge</v>
      </c>
      <c r="B10" s="46">
        <f t="shared" si="1"/>
        <v>120</v>
      </c>
      <c r="C10" s="46">
        <f t="shared" si="2"/>
        <v>0</v>
      </c>
      <c r="D10" s="46" t="str">
        <f t="shared" si="0"/>
        <v/>
      </c>
      <c r="E10" s="37"/>
      <c r="F10" s="46" t="str">
        <f>IF(ISTEXT($A10),IF(COUNTIFS(unitdata_Finland!$B$3:$B$85,$A10,unitdata_Finland!$C$3:$C$85,"*HKI*"),"","Add the unit!"),"")</f>
        <v/>
      </c>
      <c r="G10" s="46" t="str">
        <f>IF(COUNTIFS(unitdata_Finland!$B$3:$B$85,$A10,unitdata_Finland!$C$3:$C$85,"*HKI*")&gt;1,"Warning!","")</f>
        <v/>
      </c>
    </row>
    <row r="11" spans="1:7">
      <c r="A11" s="37" t="str">
        <v>heatStorageDischLarge</v>
      </c>
      <c r="B11" s="46">
        <f t="shared" si="1"/>
        <v>120</v>
      </c>
      <c r="C11" s="46">
        <f t="shared" si="2"/>
        <v>0</v>
      </c>
      <c r="D11" s="46" t="str">
        <f t="shared" si="0"/>
        <v/>
      </c>
      <c r="E11" s="37"/>
      <c r="F11" s="46" t="str">
        <f>IF(ISTEXT($A11),IF(COUNTIFS(unitdata_Finland!$B$3:$B$85,$A11,unitdata_Finland!$C$3:$C$85,"*HKI*"),"","Add the unit!"),"")</f>
        <v/>
      </c>
      <c r="G11" s="46" t="str">
        <f>IF(COUNTIFS(unitdata_Finland!$B$3:$B$85,$A11,unitdata_Finland!$C$3:$C$85,"*HKI*")&gt;1,"Warning!","")</f>
        <v/>
      </c>
    </row>
    <row r="12" spans="1:7">
      <c r="A12" s="37"/>
      <c r="B12" s="46">
        <f t="shared" si="1"/>
        <v>0</v>
      </c>
      <c r="C12" s="46">
        <f t="shared" si="2"/>
        <v>0</v>
      </c>
      <c r="D12" s="46">
        <f t="shared" si="0"/>
        <v>0</v>
      </c>
      <c r="E12" s="37"/>
      <c r="F12" s="46" t="str">
        <f>IF(ISTEXT($A12),IF(COUNTIFS(unitdata_Finland!$B$3:$B$85,$A12,unitdata_Finland!$C$3:$C$85,"*HKI*"),"","Add the unit!"),"")</f>
        <v/>
      </c>
      <c r="G12" s="46" t="str">
        <f>IF(COUNTIFS(unitdata_Finland!$B$3:$B$85,$A12,unitdata_Finland!$C$3:$C$85,"*HKI*")&gt;1,"Warning!","")</f>
        <v/>
      </c>
    </row>
    <row r="13" spans="1:7">
      <c r="A13" s="37"/>
      <c r="B13" s="46">
        <f t="shared" si="1"/>
        <v>0</v>
      </c>
      <c r="C13" s="46">
        <f t="shared" si="2"/>
        <v>0</v>
      </c>
      <c r="D13" s="46">
        <f t="shared" si="0"/>
        <v>0</v>
      </c>
      <c r="E13" s="37"/>
      <c r="F13" s="46" t="str">
        <f>IF(ISTEXT($A13),IF(COUNTIFS(unitdata_Finland!$B$3:$B$85,$A13,unitdata_Finland!$C$3:$C$85,"*HKI*"),"","Add the unit!"),"")</f>
        <v/>
      </c>
      <c r="G13" s="46" t="str">
        <f>IF(COUNTIFS(unitdata_Finland!$B$3:$B$85,$A13,unitdata_Finland!$C$3:$C$85,"*HKI*")&gt;1,"Warning!","")</f>
        <v/>
      </c>
    </row>
    <row r="14" spans="1:7">
      <c r="A14" s="37"/>
      <c r="B14" s="46">
        <f t="shared" si="1"/>
        <v>0</v>
      </c>
      <c r="C14" s="46">
        <f t="shared" si="2"/>
        <v>0</v>
      </c>
      <c r="D14" s="46">
        <f t="shared" si="0"/>
        <v>0</v>
      </c>
      <c r="E14" s="37"/>
      <c r="F14" s="46" t="str">
        <f>IF(ISTEXT($A14),IF(COUNTIFS(unitdata_Finland!$B$3:$B$85,$A14,unitdata_Finland!$C$3:$C$85,"*HKI*"),"","Add the unit!"),"")</f>
        <v/>
      </c>
      <c r="G14" s="46" t="str">
        <f>IF(COUNTIFS(unitdata_Finland!$B$3:$B$85,$A14,unitdata_Finland!$C$3:$C$85,"*HKI*")&gt;1,"Warning!","")</f>
        <v/>
      </c>
    </row>
    <row r="15" spans="1:7">
      <c r="A15" s="37"/>
      <c r="B15" s="46">
        <f t="shared" si="1"/>
        <v>0</v>
      </c>
      <c r="C15" s="46">
        <f t="shared" si="2"/>
        <v>0</v>
      </c>
      <c r="D15" s="46">
        <f t="shared" si="0"/>
        <v>0</v>
      </c>
      <c r="E15" s="37"/>
      <c r="F15" s="46" t="str">
        <f>IF(ISTEXT($A15),IF(COUNTIFS(unitdata_Finland!$B$3:$B$85,$A15,unitdata_Finland!$C$3:$C$85,"*HKI*"),"","Add the unit!"),"")</f>
        <v/>
      </c>
      <c r="G15" s="46" t="str">
        <f>IF(COUNTIFS(unitdata_Finland!$B$3:$B$85,$A15,unitdata_Finland!$C$3:$C$85,"*HKI*")&gt;1,"Warning!","")</f>
        <v/>
      </c>
    </row>
    <row r="16" spans="1:7">
      <c r="A16" s="37"/>
      <c r="B16" s="46">
        <f t="shared" si="1"/>
        <v>0</v>
      </c>
      <c r="C16" s="46">
        <f t="shared" si="2"/>
        <v>0</v>
      </c>
      <c r="D16" s="46">
        <f t="shared" si="0"/>
        <v>0</v>
      </c>
      <c r="E16" s="37"/>
      <c r="F16" s="46" t="str">
        <f>IF(ISTEXT($A16),IF(COUNTIFS(unitdata_Finland!$B$3:$B$85,$A16,unitdata_Finland!$C$3:$C$85,"*HKI*"),"","Add the unit!"),"")</f>
        <v/>
      </c>
      <c r="G16" s="46" t="str">
        <f>IF(COUNTIFS(unitdata_Finland!$B$3:$B$85,$A16,unitdata_Finland!$C$3:$C$85,"*HKI*")&gt;1,"Warning!","")</f>
        <v/>
      </c>
    </row>
    <row r="17" spans="1:14">
      <c r="A17" s="37"/>
      <c r="B17" s="46">
        <f t="shared" si="1"/>
        <v>0</v>
      </c>
      <c r="C17" s="46">
        <f t="shared" si="2"/>
        <v>0</v>
      </c>
      <c r="D17" s="46">
        <f t="shared" si="0"/>
        <v>0</v>
      </c>
      <c r="E17" s="37"/>
      <c r="F17" s="46" t="str">
        <f>IF(ISTEXT($A17),IF(COUNTIFS(unitdata_Finland!$B$3:$B$85,$A17,unitdata_Finland!$C$3:$C$85,"*HKI*"),"","Add the unit!"),"")</f>
        <v/>
      </c>
      <c r="G17" s="46" t="str">
        <f>IF(COUNTIFS(unitdata_Finland!$B$3:$B$85,$A17,unitdata_Finland!$C$3:$C$85,"*HKI*")&gt;1,"Warning!","")</f>
        <v/>
      </c>
    </row>
    <row r="18" spans="1:14">
      <c r="A18" s="37"/>
      <c r="B18" s="46">
        <f t="shared" si="1"/>
        <v>0</v>
      </c>
      <c r="C18" s="46">
        <f t="shared" si="2"/>
        <v>0</v>
      </c>
      <c r="D18" s="46">
        <f t="shared" si="0"/>
        <v>0</v>
      </c>
      <c r="E18" s="37"/>
      <c r="F18" s="46" t="str">
        <f>IF(ISTEXT($A18),IF(COUNTIFS(unitdata_Finland!$B$3:$B$85,$A18,unitdata_Finland!$C$3:$C$85,"*HKI*"),"","Add the unit!"),"")</f>
        <v/>
      </c>
      <c r="G18" s="46" t="str">
        <f>IF(COUNTIFS(unitdata_Finland!$B$3:$B$85,$A18,unitdata_Finland!$C$3:$C$85,"*HKI*")&gt;1,"Warning!","")</f>
        <v/>
      </c>
    </row>
    <row r="19" spans="1:14">
      <c r="A19" s="37"/>
      <c r="B19" s="46">
        <f t="shared" si="1"/>
        <v>0</v>
      </c>
      <c r="C19" s="46">
        <f t="shared" si="2"/>
        <v>0</v>
      </c>
      <c r="D19" s="46">
        <f t="shared" si="0"/>
        <v>0</v>
      </c>
      <c r="E19" s="37"/>
      <c r="F19" s="46" t="str">
        <f>IF(ISTEXT($A19),IF(COUNTIFS(unitdata_Finland!$B$3:$B$85,$A19,unitdata_Finland!$C$3:$C$85,"*HKI*"),"","Add the unit!"),"")</f>
        <v/>
      </c>
      <c r="G19" s="46" t="str">
        <f>IF(COUNTIFS(unitdata_Finland!$B$3:$B$85,$A19,unitdata_Finland!$C$3:$C$85,"*HKI*")&gt;1,"Warning!","")</f>
        <v/>
      </c>
    </row>
    <row r="20" spans="1:14">
      <c r="A20" s="37"/>
      <c r="B20" s="46">
        <f t="shared" si="1"/>
        <v>0</v>
      </c>
      <c r="C20" s="46">
        <f t="shared" si="2"/>
        <v>0</v>
      </c>
      <c r="D20" s="46">
        <f t="shared" si="0"/>
        <v>0</v>
      </c>
      <c r="E20" s="37"/>
      <c r="F20" s="46" t="str">
        <f>IF(ISTEXT($A20),IF(COUNTIFS(unitdata_Finland!$B$3:$B$85,$A20,unitdata_Finland!$C$3:$C$85,"*HKI*"),"","Add the unit!"),"")</f>
        <v/>
      </c>
      <c r="G20" s="46" t="str">
        <f>IF(COUNTIFS(unitdata_Finland!$B$3:$B$85,$A20,unitdata_Finland!$C$3:$C$85,"*HKI*")&gt;1,"Warning!","")</f>
        <v/>
      </c>
    </row>
    <row r="21" spans="1:14" ht="18.75">
      <c r="A21" s="54" t="s">
        <v>1577</v>
      </c>
      <c r="B21" s="53"/>
      <c r="C21" s="53"/>
      <c r="D21" s="53"/>
      <c r="F21" s="53"/>
      <c r="G21" s="53"/>
    </row>
    <row r="22" spans="1:14" s="10" customFormat="1">
      <c r="A22" s="47" t="s">
        <v>192</v>
      </c>
      <c r="B22" s="47"/>
      <c r="C22" s="47"/>
      <c r="D22" s="47"/>
      <c r="E22" s="47"/>
      <c r="F22" s="47"/>
      <c r="G22" s="47"/>
      <c r="H22" s="47"/>
      <c r="I22" s="47" t="s">
        <v>56</v>
      </c>
      <c r="J22" s="47" t="s">
        <v>57</v>
      </c>
      <c r="K22" s="47" t="s">
        <v>1559</v>
      </c>
      <c r="L22" s="47"/>
      <c r="M22" s="47"/>
      <c r="N22" s="47" t="s">
        <v>1612</v>
      </c>
    </row>
    <row r="23" spans="1:14">
      <c r="A23" s="48" t="s">
        <v>27</v>
      </c>
      <c r="B23" s="48" t="s">
        <v>28</v>
      </c>
      <c r="C23" s="49" t="s">
        <v>29</v>
      </c>
      <c r="D23" s="39">
        <v>1964</v>
      </c>
      <c r="E23" s="49">
        <v>4</v>
      </c>
      <c r="F23" s="39" t="s">
        <v>30</v>
      </c>
      <c r="G23" s="21">
        <v>136</v>
      </c>
      <c r="H23" s="39" t="s">
        <v>30</v>
      </c>
      <c r="I23" s="21">
        <v>136</v>
      </c>
      <c r="J23" s="39" t="s">
        <v>30</v>
      </c>
      <c r="K23" s="39"/>
      <c r="L23" s="49" t="s">
        <v>31</v>
      </c>
      <c r="M23" s="50" t="s">
        <v>30</v>
      </c>
      <c r="N23" s="50" t="s">
        <v>1654</v>
      </c>
    </row>
    <row r="24" spans="1:14">
      <c r="A24" s="48" t="s">
        <v>27</v>
      </c>
      <c r="B24" s="48" t="s">
        <v>32</v>
      </c>
      <c r="C24" s="49" t="s">
        <v>29</v>
      </c>
      <c r="D24" s="39">
        <v>1969</v>
      </c>
      <c r="E24" s="49">
        <v>5</v>
      </c>
      <c r="F24" s="39" t="s">
        <v>30</v>
      </c>
      <c r="G24" s="21">
        <v>235</v>
      </c>
      <c r="H24" s="39" t="s">
        <v>30</v>
      </c>
      <c r="I24" s="21">
        <v>235</v>
      </c>
      <c r="J24" s="39" t="s">
        <v>30</v>
      </c>
      <c r="K24" s="39"/>
      <c r="L24" s="49" t="s">
        <v>33</v>
      </c>
      <c r="M24" s="50" t="s">
        <v>30</v>
      </c>
      <c r="N24" s="50" t="s">
        <v>1654</v>
      </c>
    </row>
    <row r="25" spans="1:14">
      <c r="A25" s="48" t="s">
        <v>27</v>
      </c>
      <c r="B25" s="48" t="s">
        <v>34</v>
      </c>
      <c r="C25" s="49" t="s">
        <v>29</v>
      </c>
      <c r="D25" s="39">
        <v>1972</v>
      </c>
      <c r="E25" s="49">
        <v>4</v>
      </c>
      <c r="F25" s="39" t="s">
        <v>30</v>
      </c>
      <c r="G25" s="21">
        <v>248</v>
      </c>
      <c r="H25" s="39" t="s">
        <v>30</v>
      </c>
      <c r="I25" s="21">
        <v>248</v>
      </c>
      <c r="J25" s="39" t="s">
        <v>30</v>
      </c>
      <c r="K25" s="39"/>
      <c r="L25" s="49" t="s">
        <v>33</v>
      </c>
      <c r="M25" s="50" t="s">
        <v>30</v>
      </c>
      <c r="N25" s="50" t="s">
        <v>1654</v>
      </c>
    </row>
    <row r="26" spans="1:14">
      <c r="A26" s="48" t="s">
        <v>27</v>
      </c>
      <c r="B26" s="48" t="s">
        <v>35</v>
      </c>
      <c r="C26" s="49" t="s">
        <v>29</v>
      </c>
      <c r="D26" s="39">
        <v>1977</v>
      </c>
      <c r="E26" s="49">
        <v>4</v>
      </c>
      <c r="F26" s="39" t="s">
        <v>30</v>
      </c>
      <c r="G26" s="21">
        <v>324</v>
      </c>
      <c r="H26" s="39" t="s">
        <v>30</v>
      </c>
      <c r="I26" s="21">
        <v>324</v>
      </c>
      <c r="J26" s="39" t="s">
        <v>30</v>
      </c>
      <c r="K26" s="39"/>
      <c r="L26" s="49" t="s">
        <v>36</v>
      </c>
      <c r="M26" s="50" t="s">
        <v>30</v>
      </c>
      <c r="N26" s="39" t="s">
        <v>1657</v>
      </c>
    </row>
    <row r="27" spans="1:14">
      <c r="A27" s="48" t="s">
        <v>27</v>
      </c>
      <c r="B27" s="48" t="s">
        <v>37</v>
      </c>
      <c r="C27" s="49" t="s">
        <v>29</v>
      </c>
      <c r="D27" s="39">
        <v>1982</v>
      </c>
      <c r="E27" s="49">
        <v>6</v>
      </c>
      <c r="F27" s="39" t="s">
        <v>30</v>
      </c>
      <c r="G27" s="21">
        <v>228</v>
      </c>
      <c r="H27" s="39" t="s">
        <v>30</v>
      </c>
      <c r="I27" s="21">
        <v>228</v>
      </c>
      <c r="J27" s="39" t="s">
        <v>30</v>
      </c>
      <c r="K27" s="39"/>
      <c r="L27" s="49" t="s">
        <v>36</v>
      </c>
      <c r="M27" s="50" t="s">
        <v>30</v>
      </c>
      <c r="N27" s="39" t="s">
        <v>1657</v>
      </c>
    </row>
    <row r="28" spans="1:14">
      <c r="A28" s="48" t="s">
        <v>27</v>
      </c>
      <c r="B28" s="48" t="s">
        <v>38</v>
      </c>
      <c r="C28" s="49" t="s">
        <v>29</v>
      </c>
      <c r="D28" s="39">
        <v>1986</v>
      </c>
      <c r="E28" s="49">
        <v>1</v>
      </c>
      <c r="F28" s="39" t="s">
        <v>30</v>
      </c>
      <c r="G28" s="21">
        <v>190</v>
      </c>
      <c r="H28" s="39" t="s">
        <v>30</v>
      </c>
      <c r="I28" s="21">
        <v>190</v>
      </c>
      <c r="J28" s="39" t="s">
        <v>30</v>
      </c>
      <c r="K28" s="39"/>
      <c r="L28" s="49" t="s">
        <v>39</v>
      </c>
      <c r="M28" s="50" t="s">
        <v>30</v>
      </c>
      <c r="N28" s="39" t="s">
        <v>58</v>
      </c>
    </row>
    <row r="29" spans="1:14">
      <c r="A29" s="48" t="s">
        <v>27</v>
      </c>
      <c r="B29" s="48" t="s">
        <v>38</v>
      </c>
      <c r="C29" s="49" t="s">
        <v>29</v>
      </c>
      <c r="D29" s="39">
        <v>1977</v>
      </c>
      <c r="E29" s="49">
        <v>1</v>
      </c>
      <c r="F29" s="39" t="s">
        <v>30</v>
      </c>
      <c r="G29" s="21">
        <v>8</v>
      </c>
      <c r="H29" s="39" t="s">
        <v>30</v>
      </c>
      <c r="I29" s="21">
        <v>8</v>
      </c>
      <c r="J29" s="39" t="s">
        <v>30</v>
      </c>
      <c r="K29" s="39"/>
      <c r="L29" s="49" t="s">
        <v>33</v>
      </c>
      <c r="M29" s="50" t="s">
        <v>30</v>
      </c>
      <c r="N29" s="39" t="s">
        <v>1654</v>
      </c>
    </row>
    <row r="30" spans="1:14">
      <c r="A30" s="48" t="s">
        <v>27</v>
      </c>
      <c r="B30" s="48" t="s">
        <v>40</v>
      </c>
      <c r="C30" s="49" t="s">
        <v>29</v>
      </c>
      <c r="D30" s="39">
        <v>1968</v>
      </c>
      <c r="E30" s="49">
        <v>2</v>
      </c>
      <c r="F30" s="39" t="s">
        <v>30</v>
      </c>
      <c r="G30" s="21">
        <v>44</v>
      </c>
      <c r="H30" s="39" t="s">
        <v>30</v>
      </c>
      <c r="I30" s="21">
        <v>44</v>
      </c>
      <c r="J30" s="39" t="s">
        <v>30</v>
      </c>
      <c r="K30" s="39"/>
      <c r="L30" s="49" t="s">
        <v>33</v>
      </c>
      <c r="M30" s="50" t="s">
        <v>30</v>
      </c>
      <c r="N30" s="39" t="s">
        <v>1654</v>
      </c>
    </row>
    <row r="31" spans="1:14">
      <c r="A31" s="48" t="s">
        <v>27</v>
      </c>
      <c r="B31" s="48" t="s">
        <v>41</v>
      </c>
      <c r="C31" s="49" t="s">
        <v>29</v>
      </c>
      <c r="D31" s="39">
        <v>1978</v>
      </c>
      <c r="E31" s="49">
        <v>2</v>
      </c>
      <c r="F31" s="39" t="s">
        <v>30</v>
      </c>
      <c r="G31" s="21">
        <v>240</v>
      </c>
      <c r="H31" s="39" t="s">
        <v>30</v>
      </c>
      <c r="I31" s="21">
        <v>240</v>
      </c>
      <c r="J31" s="39" t="s">
        <v>30</v>
      </c>
      <c r="K31" s="39"/>
      <c r="L31" s="49" t="s">
        <v>36</v>
      </c>
      <c r="M31" s="50" t="s">
        <v>30</v>
      </c>
      <c r="N31" s="39" t="s">
        <v>1657</v>
      </c>
    </row>
    <row r="32" spans="1:14">
      <c r="A32" s="48" t="s">
        <v>27</v>
      </c>
      <c r="B32" s="48" t="s">
        <v>42</v>
      </c>
      <c r="C32" s="49" t="s">
        <v>29</v>
      </c>
      <c r="D32" s="39">
        <v>1989</v>
      </c>
      <c r="E32" s="49">
        <v>3</v>
      </c>
      <c r="F32" s="39" t="s">
        <v>30</v>
      </c>
      <c r="G32" s="21">
        <v>120</v>
      </c>
      <c r="H32" s="39" t="s">
        <v>30</v>
      </c>
      <c r="I32" s="21">
        <v>120</v>
      </c>
      <c r="J32" s="39" t="s">
        <v>30</v>
      </c>
      <c r="K32" s="39"/>
      <c r="L32" s="49" t="s">
        <v>36</v>
      </c>
      <c r="M32" s="50" t="s">
        <v>30</v>
      </c>
      <c r="N32" s="39" t="s">
        <v>1657</v>
      </c>
    </row>
    <row r="33" spans="1:15">
      <c r="A33" s="48" t="s">
        <v>27</v>
      </c>
      <c r="B33" s="48" t="s">
        <v>43</v>
      </c>
      <c r="C33" s="49" t="s">
        <v>29</v>
      </c>
      <c r="D33" s="39">
        <v>1977</v>
      </c>
      <c r="E33" s="49">
        <v>1</v>
      </c>
      <c r="F33" s="39" t="s">
        <v>30</v>
      </c>
      <c r="G33" s="21">
        <v>56</v>
      </c>
      <c r="H33" s="39" t="s">
        <v>30</v>
      </c>
      <c r="I33" s="21">
        <v>56</v>
      </c>
      <c r="J33" s="39" t="s">
        <v>30</v>
      </c>
      <c r="K33" s="39"/>
      <c r="L33" s="49" t="s">
        <v>33</v>
      </c>
      <c r="M33" s="50" t="s">
        <v>30</v>
      </c>
      <c r="N33" s="39" t="s">
        <v>58</v>
      </c>
    </row>
    <row r="34" spans="1:15">
      <c r="A34" s="48" t="s">
        <v>27</v>
      </c>
      <c r="B34" s="48" t="s">
        <v>43</v>
      </c>
      <c r="C34" s="49" t="s">
        <v>29</v>
      </c>
      <c r="D34" s="39">
        <v>2009</v>
      </c>
      <c r="E34" s="49">
        <v>6</v>
      </c>
      <c r="F34" s="39" t="s">
        <v>30</v>
      </c>
      <c r="G34" s="21">
        <v>282</v>
      </c>
      <c r="H34" s="39" t="s">
        <v>30</v>
      </c>
      <c r="I34" s="21">
        <v>282</v>
      </c>
      <c r="J34" s="39" t="s">
        <v>30</v>
      </c>
      <c r="K34" s="39"/>
      <c r="L34" s="49" t="s">
        <v>33</v>
      </c>
      <c r="M34" s="50" t="s">
        <v>30</v>
      </c>
      <c r="N34" s="39" t="s">
        <v>58</v>
      </c>
    </row>
    <row r="35" spans="1:15">
      <c r="A35" s="48" t="s">
        <v>27</v>
      </c>
      <c r="B35" s="48" t="s">
        <v>38</v>
      </c>
      <c r="C35" s="49" t="s">
        <v>29</v>
      </c>
      <c r="D35" s="39">
        <v>2018</v>
      </c>
      <c r="E35" s="49">
        <v>1</v>
      </c>
      <c r="F35" s="39" t="s">
        <v>30</v>
      </c>
      <c r="G35" s="21">
        <v>92</v>
      </c>
      <c r="H35" s="39" t="s">
        <v>30</v>
      </c>
      <c r="I35" s="21">
        <v>92</v>
      </c>
      <c r="J35" s="39" t="s">
        <v>30</v>
      </c>
      <c r="K35" s="39"/>
      <c r="L35" s="49" t="s">
        <v>44</v>
      </c>
      <c r="M35" s="50" t="s">
        <v>30</v>
      </c>
      <c r="N35" s="39" t="s">
        <v>1653</v>
      </c>
    </row>
    <row r="36" spans="1:15">
      <c r="A36" s="48" t="s">
        <v>27</v>
      </c>
      <c r="B36" s="48" t="s">
        <v>45</v>
      </c>
      <c r="C36" s="49" t="s">
        <v>29</v>
      </c>
      <c r="D36" s="39">
        <v>2022</v>
      </c>
      <c r="E36" s="49">
        <v>1</v>
      </c>
      <c r="F36" s="39" t="s">
        <v>30</v>
      </c>
      <c r="G36" s="21">
        <v>200</v>
      </c>
      <c r="H36" s="39">
        <v>70</v>
      </c>
      <c r="I36" s="21">
        <v>270</v>
      </c>
      <c r="J36" s="39" t="s">
        <v>30</v>
      </c>
      <c r="K36" s="39"/>
      <c r="L36" s="49" t="s">
        <v>46</v>
      </c>
      <c r="M36" s="50" t="s">
        <v>30</v>
      </c>
      <c r="N36" s="39" t="s">
        <v>1653</v>
      </c>
      <c r="O36" s="22"/>
    </row>
    <row r="37" spans="1:15">
      <c r="A37" s="48" t="s">
        <v>27</v>
      </c>
      <c r="B37" s="48" t="s">
        <v>47</v>
      </c>
      <c r="C37" s="49" t="s">
        <v>48</v>
      </c>
      <c r="D37" s="39">
        <v>2006</v>
      </c>
      <c r="E37" s="49" t="s">
        <v>30</v>
      </c>
      <c r="F37" s="39" t="s">
        <v>30</v>
      </c>
      <c r="G37" s="21" t="s">
        <v>30</v>
      </c>
      <c r="H37" s="39" t="s">
        <v>30</v>
      </c>
      <c r="I37" s="21">
        <v>105</v>
      </c>
      <c r="J37" s="39" t="s">
        <v>30</v>
      </c>
      <c r="K37" s="39"/>
      <c r="L37" s="49" t="s">
        <v>30</v>
      </c>
      <c r="M37" s="50">
        <v>30</v>
      </c>
      <c r="N37" s="2" t="s">
        <v>1613</v>
      </c>
    </row>
    <row r="38" spans="1:15">
      <c r="A38" s="48" t="s">
        <v>27</v>
      </c>
      <c r="B38" s="48" t="s">
        <v>49</v>
      </c>
      <c r="C38" s="49" t="s">
        <v>48</v>
      </c>
      <c r="D38" s="39">
        <v>2018</v>
      </c>
      <c r="E38" s="49" t="s">
        <v>30</v>
      </c>
      <c r="F38" s="39" t="s">
        <v>30</v>
      </c>
      <c r="G38" s="21" t="s">
        <v>30</v>
      </c>
      <c r="H38" s="39" t="s">
        <v>30</v>
      </c>
      <c r="I38" s="21">
        <v>22</v>
      </c>
      <c r="J38" s="39" t="s">
        <v>30</v>
      </c>
      <c r="K38" s="39"/>
      <c r="L38" s="49" t="s">
        <v>30</v>
      </c>
      <c r="M38" s="50">
        <v>7.6</v>
      </c>
      <c r="N38" s="2" t="s">
        <v>1613</v>
      </c>
    </row>
    <row r="39" spans="1:15">
      <c r="A39" s="48" t="s">
        <v>27</v>
      </c>
      <c r="B39" s="48" t="s">
        <v>50</v>
      </c>
      <c r="C39" s="49" t="s">
        <v>48</v>
      </c>
      <c r="D39" s="39">
        <v>2022</v>
      </c>
      <c r="E39" s="49" t="s">
        <v>30</v>
      </c>
      <c r="F39" s="39" t="s">
        <v>30</v>
      </c>
      <c r="G39" s="21" t="s">
        <v>30</v>
      </c>
      <c r="H39" s="39" t="s">
        <v>30</v>
      </c>
      <c r="I39" s="21">
        <v>12.2</v>
      </c>
      <c r="J39" s="39" t="s">
        <v>30</v>
      </c>
      <c r="K39" s="39"/>
      <c r="L39" s="49" t="s">
        <v>30</v>
      </c>
      <c r="M39" s="50">
        <v>4</v>
      </c>
      <c r="N39" s="2" t="s">
        <v>1613</v>
      </c>
    </row>
    <row r="40" spans="1:15">
      <c r="A40" s="48" t="s">
        <v>27</v>
      </c>
      <c r="B40" s="48" t="s">
        <v>51</v>
      </c>
      <c r="C40" s="49" t="s">
        <v>52</v>
      </c>
      <c r="D40" s="39">
        <v>1984</v>
      </c>
      <c r="E40" s="49">
        <v>1</v>
      </c>
      <c r="F40" s="39">
        <v>300</v>
      </c>
      <c r="G40" s="21" t="s">
        <v>30</v>
      </c>
      <c r="H40" s="39" t="s">
        <v>30</v>
      </c>
      <c r="I40" s="21">
        <v>300</v>
      </c>
      <c r="J40" s="39">
        <v>160</v>
      </c>
      <c r="K40" s="39"/>
      <c r="L40" s="49" t="s">
        <v>39</v>
      </c>
      <c r="M40" s="50" t="s">
        <v>30</v>
      </c>
      <c r="N40" s="50" t="s">
        <v>58</v>
      </c>
    </row>
    <row r="41" spans="1:15">
      <c r="A41" s="48" t="s">
        <v>27</v>
      </c>
      <c r="B41" s="48" t="s">
        <v>53</v>
      </c>
      <c r="C41" s="49" t="s">
        <v>52</v>
      </c>
      <c r="D41" s="39">
        <v>1973</v>
      </c>
      <c r="E41" s="49">
        <v>2</v>
      </c>
      <c r="F41" s="39">
        <v>429</v>
      </c>
      <c r="G41" s="21" t="s">
        <v>30</v>
      </c>
      <c r="H41" s="39" t="s">
        <v>30</v>
      </c>
      <c r="I41" s="21">
        <v>429</v>
      </c>
      <c r="J41" s="39">
        <v>218</v>
      </c>
      <c r="K41" s="39"/>
      <c r="L41" s="49" t="s">
        <v>39</v>
      </c>
      <c r="M41" s="50" t="s">
        <v>30</v>
      </c>
      <c r="N41" s="50" t="s">
        <v>58</v>
      </c>
    </row>
    <row r="42" spans="1:15">
      <c r="A42" s="48" t="s">
        <v>27</v>
      </c>
      <c r="B42" s="48" t="s">
        <v>54</v>
      </c>
      <c r="C42" s="49" t="s">
        <v>52</v>
      </c>
      <c r="D42" s="39">
        <v>1991</v>
      </c>
      <c r="E42" s="49">
        <v>2</v>
      </c>
      <c r="F42" s="39">
        <v>158</v>
      </c>
      <c r="G42" s="21" t="s">
        <v>30</v>
      </c>
      <c r="H42" s="39" t="s">
        <v>30</v>
      </c>
      <c r="I42" s="21">
        <v>158</v>
      </c>
      <c r="J42" s="39">
        <v>160</v>
      </c>
      <c r="K42" s="39">
        <v>356</v>
      </c>
      <c r="L42" s="49" t="s">
        <v>36</v>
      </c>
      <c r="M42" s="50" t="s">
        <v>30</v>
      </c>
      <c r="N42" s="50" t="s">
        <v>1658</v>
      </c>
      <c r="O42" s="22" t="s">
        <v>1560</v>
      </c>
    </row>
    <row r="43" spans="1:15">
      <c r="A43" s="48" t="s">
        <v>27</v>
      </c>
      <c r="B43" s="48" t="s">
        <v>55</v>
      </c>
      <c r="C43" s="49" t="s">
        <v>52</v>
      </c>
      <c r="D43" s="39">
        <v>1998</v>
      </c>
      <c r="E43" s="49">
        <v>2</v>
      </c>
      <c r="F43" s="39">
        <v>429</v>
      </c>
      <c r="G43" s="21" t="s">
        <v>30</v>
      </c>
      <c r="H43" s="39" t="s">
        <v>30</v>
      </c>
      <c r="I43" s="21">
        <v>429</v>
      </c>
      <c r="J43" s="39">
        <v>470</v>
      </c>
      <c r="K43" s="39">
        <v>987</v>
      </c>
      <c r="L43" s="49" t="s">
        <v>36</v>
      </c>
      <c r="M43" s="50" t="s">
        <v>30</v>
      </c>
      <c r="N43" s="39" t="s">
        <v>1658</v>
      </c>
      <c r="O43" s="22" t="s">
        <v>1561</v>
      </c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5">
      <c r="A45" s="51" t="s">
        <v>168</v>
      </c>
      <c r="B45" s="2"/>
      <c r="C45" s="2"/>
      <c r="D45" s="2"/>
      <c r="E45" s="2"/>
      <c r="F45" s="2"/>
      <c r="G45" s="2"/>
      <c r="H45" s="2"/>
      <c r="I45" s="47" t="s">
        <v>56</v>
      </c>
      <c r="J45" s="47" t="s">
        <v>57</v>
      </c>
      <c r="K45" s="47" t="s">
        <v>1559</v>
      </c>
      <c r="L45" s="47"/>
      <c r="M45" s="47"/>
      <c r="N45" s="47" t="s">
        <v>1612</v>
      </c>
    </row>
    <row r="46" spans="1:15">
      <c r="A46" s="48" t="s">
        <v>169</v>
      </c>
      <c r="B46" s="2"/>
      <c r="C46" s="2"/>
      <c r="D46" s="2"/>
      <c r="E46" s="2"/>
      <c r="F46" s="2"/>
      <c r="G46" s="2"/>
      <c r="H46" s="2"/>
      <c r="I46" s="39">
        <v>165</v>
      </c>
      <c r="J46" s="2"/>
      <c r="K46" s="2"/>
      <c r="L46" s="52" t="s">
        <v>44</v>
      </c>
      <c r="M46" s="2"/>
      <c r="N46" s="39" t="s">
        <v>1653</v>
      </c>
      <c r="O46" t="s">
        <v>170</v>
      </c>
    </row>
    <row r="47" spans="1:15">
      <c r="A47" s="48" t="s">
        <v>171</v>
      </c>
      <c r="B47" s="2"/>
      <c r="C47" s="2"/>
      <c r="D47" s="2"/>
      <c r="E47" s="2"/>
      <c r="F47" s="2"/>
      <c r="G47" s="2"/>
      <c r="H47" s="2"/>
      <c r="I47" s="39">
        <v>20</v>
      </c>
      <c r="J47" s="2"/>
      <c r="K47" s="2"/>
      <c r="L47" s="2"/>
      <c r="M47" s="2"/>
      <c r="N47" s="39" t="s">
        <v>1613</v>
      </c>
      <c r="O47" t="s">
        <v>172</v>
      </c>
    </row>
    <row r="48" spans="1:15">
      <c r="A48" s="48" t="s">
        <v>1374</v>
      </c>
      <c r="B48" s="2"/>
      <c r="C48" s="2"/>
      <c r="D48" s="2"/>
      <c r="E48" s="2"/>
      <c r="F48" s="2"/>
      <c r="G48" s="2"/>
      <c r="H48" s="2"/>
      <c r="I48" s="39">
        <v>140</v>
      </c>
      <c r="J48" s="2"/>
      <c r="K48" s="2"/>
      <c r="L48" s="2"/>
      <c r="M48" s="2"/>
      <c r="N48" s="39" t="s">
        <v>1652</v>
      </c>
      <c r="O48" t="s">
        <v>1375</v>
      </c>
    </row>
    <row r="49" spans="1:15">
      <c r="A49" s="48" t="s">
        <v>1373</v>
      </c>
      <c r="B49" s="2"/>
      <c r="C49" s="2"/>
      <c r="D49" s="2"/>
      <c r="E49" s="2"/>
      <c r="F49" s="2"/>
      <c r="G49" s="2"/>
      <c r="H49" s="2"/>
      <c r="I49" s="39">
        <v>200</v>
      </c>
      <c r="J49" s="2"/>
      <c r="K49" s="2"/>
      <c r="L49" s="2"/>
      <c r="M49" s="2"/>
      <c r="N49" s="39" t="s">
        <v>1652</v>
      </c>
      <c r="O49" t="s">
        <v>173</v>
      </c>
    </row>
    <row r="50" spans="1:15">
      <c r="A50" s="48" t="s">
        <v>174</v>
      </c>
      <c r="B50" s="2"/>
      <c r="C50" s="2"/>
      <c r="D50" s="2"/>
      <c r="E50" s="2"/>
      <c r="F50" s="2"/>
      <c r="G50" s="2"/>
      <c r="H50" s="2"/>
      <c r="I50" s="39">
        <v>100</v>
      </c>
      <c r="J50" s="2"/>
      <c r="K50" s="2"/>
      <c r="L50" s="2"/>
      <c r="M50" s="2"/>
      <c r="N50" s="39" t="s">
        <v>1652</v>
      </c>
      <c r="O50" t="s">
        <v>175</v>
      </c>
    </row>
    <row r="51" spans="1:15">
      <c r="A51" s="48" t="s">
        <v>176</v>
      </c>
      <c r="B51" s="2"/>
      <c r="C51" s="2"/>
      <c r="D51" s="2"/>
      <c r="E51" s="2"/>
      <c r="F51" s="2"/>
      <c r="G51" s="2"/>
      <c r="H51" s="2"/>
      <c r="I51" s="39">
        <v>30</v>
      </c>
      <c r="J51" s="2"/>
      <c r="K51" s="2"/>
      <c r="L51" s="2"/>
      <c r="M51" s="2"/>
      <c r="N51" s="39" t="s">
        <v>1613</v>
      </c>
      <c r="O51" t="s">
        <v>175</v>
      </c>
    </row>
    <row r="52" spans="1:15">
      <c r="A52" s="48" t="s">
        <v>179</v>
      </c>
      <c r="B52" s="2"/>
      <c r="C52" s="2"/>
      <c r="D52" s="2"/>
      <c r="E52" s="2"/>
      <c r="F52" s="2"/>
      <c r="G52" s="2"/>
      <c r="H52" s="2"/>
      <c r="I52" s="39">
        <v>90</v>
      </c>
      <c r="J52" s="2"/>
      <c r="K52" s="2"/>
      <c r="L52" s="2"/>
      <c r="M52" s="2"/>
      <c r="N52" s="39" t="s">
        <v>1613</v>
      </c>
      <c r="O52" t="s">
        <v>180</v>
      </c>
    </row>
    <row r="53" spans="1:15">
      <c r="A53" s="48" t="s">
        <v>181</v>
      </c>
      <c r="B53" s="2"/>
      <c r="C53" s="2"/>
      <c r="D53" s="2"/>
      <c r="E53" s="2"/>
      <c r="F53" s="2"/>
      <c r="G53" s="2"/>
      <c r="H53" s="2"/>
      <c r="I53" s="39">
        <v>100</v>
      </c>
      <c r="J53" s="2"/>
      <c r="K53" s="2"/>
      <c r="L53" s="2"/>
      <c r="M53" s="2"/>
      <c r="N53" s="39" t="s">
        <v>1652</v>
      </c>
      <c r="O53" t="s">
        <v>186</v>
      </c>
    </row>
    <row r="54" spans="1:15">
      <c r="A54" s="48" t="s">
        <v>182</v>
      </c>
      <c r="B54" s="2"/>
      <c r="C54" s="2"/>
      <c r="D54" s="2"/>
      <c r="E54" s="2"/>
      <c r="F54" s="2"/>
      <c r="G54" s="2"/>
      <c r="H54" s="2"/>
      <c r="I54" s="39">
        <v>14</v>
      </c>
      <c r="J54" s="2"/>
      <c r="K54" s="2"/>
      <c r="L54" s="2"/>
      <c r="M54" s="2"/>
      <c r="N54" s="39" t="s">
        <v>1613</v>
      </c>
      <c r="O54" t="s">
        <v>183</v>
      </c>
    </row>
    <row r="55" spans="1:15">
      <c r="A55" s="48" t="s">
        <v>187</v>
      </c>
      <c r="B55" s="2"/>
      <c r="C55" s="2"/>
      <c r="D55" s="2"/>
      <c r="E55" s="2"/>
      <c r="F55" s="2"/>
      <c r="G55" s="2"/>
      <c r="H55" s="2"/>
      <c r="I55" s="39">
        <v>18</v>
      </c>
      <c r="J55" s="2"/>
      <c r="K55" s="2"/>
      <c r="L55" s="2"/>
      <c r="M55" s="2"/>
      <c r="N55" s="39" t="s">
        <v>1613</v>
      </c>
    </row>
    <row r="56" spans="1:15">
      <c r="A56" s="48" t="s">
        <v>188</v>
      </c>
      <c r="B56" s="2"/>
      <c r="C56" s="2"/>
      <c r="D56" s="2"/>
      <c r="E56" s="2"/>
      <c r="F56" s="2"/>
      <c r="G56" s="2"/>
      <c r="H56" s="2"/>
      <c r="I56" s="39">
        <v>32</v>
      </c>
      <c r="J56" s="2"/>
      <c r="K56" s="2"/>
      <c r="L56" s="2"/>
      <c r="M56" s="2"/>
      <c r="N56" s="39" t="s">
        <v>1613</v>
      </c>
      <c r="O56" t="s">
        <v>189</v>
      </c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5">
      <c r="A58" s="51" t="s">
        <v>190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5">
      <c r="A59" s="2"/>
      <c r="B59" s="47" t="s">
        <v>178</v>
      </c>
      <c r="C59" s="2"/>
      <c r="D59" s="2"/>
      <c r="E59" s="2"/>
      <c r="F59" s="2"/>
      <c r="G59" s="2"/>
      <c r="H59" s="2"/>
      <c r="I59" s="47" t="s">
        <v>56</v>
      </c>
      <c r="J59" s="47" t="s">
        <v>57</v>
      </c>
      <c r="K59" s="47"/>
      <c r="L59" s="47"/>
      <c r="M59" s="47"/>
      <c r="N59" s="47" t="s">
        <v>1612</v>
      </c>
    </row>
    <row r="60" spans="1:15">
      <c r="A60" s="48" t="s">
        <v>38</v>
      </c>
      <c r="B60" s="2">
        <v>1200</v>
      </c>
      <c r="C60" s="2"/>
      <c r="D60" s="2"/>
      <c r="E60" s="2"/>
      <c r="F60" s="2"/>
      <c r="G60" s="2"/>
      <c r="H60" s="2" t="s">
        <v>184</v>
      </c>
      <c r="I60" s="2">
        <f>B60/10</f>
        <v>120</v>
      </c>
      <c r="J60" s="2"/>
      <c r="K60" s="2"/>
      <c r="L60" s="2"/>
      <c r="M60" s="2"/>
      <c r="N60" s="2" t="s">
        <v>1648</v>
      </c>
    </row>
    <row r="61" spans="1:15">
      <c r="A61" s="2"/>
      <c r="B61" s="2"/>
      <c r="C61" s="2"/>
      <c r="D61" s="2"/>
      <c r="E61" s="2"/>
      <c r="F61" s="2"/>
      <c r="G61" s="2"/>
      <c r="H61" s="2" t="s">
        <v>185</v>
      </c>
      <c r="I61" s="2">
        <f>I60</f>
        <v>120</v>
      </c>
      <c r="J61" s="2"/>
      <c r="K61" s="2"/>
      <c r="L61" s="2"/>
      <c r="M61" s="2"/>
      <c r="N61" s="2" t="s">
        <v>1649</v>
      </c>
    </row>
    <row r="62" spans="1:15">
      <c r="A62" s="2" t="s">
        <v>42</v>
      </c>
      <c r="B62" s="2">
        <v>1200</v>
      </c>
      <c r="C62" s="2"/>
      <c r="D62" s="2"/>
      <c r="E62" s="2"/>
      <c r="F62" s="2"/>
      <c r="G62" s="2"/>
      <c r="H62" s="2" t="s">
        <v>184</v>
      </c>
      <c r="I62" s="2">
        <f>B62/10</f>
        <v>120</v>
      </c>
      <c r="J62" s="2"/>
      <c r="K62" s="2"/>
      <c r="L62" s="2"/>
      <c r="M62" s="2"/>
      <c r="N62" s="2" t="s">
        <v>1648</v>
      </c>
    </row>
    <row r="63" spans="1:15">
      <c r="A63" s="2"/>
      <c r="B63" s="2"/>
      <c r="C63" s="2"/>
      <c r="D63" s="2"/>
      <c r="E63" s="2"/>
      <c r="F63" s="2"/>
      <c r="G63" s="2"/>
      <c r="H63" s="2" t="s">
        <v>185</v>
      </c>
      <c r="I63" s="2">
        <f>I62</f>
        <v>120</v>
      </c>
      <c r="J63" s="2"/>
      <c r="K63" s="2"/>
      <c r="L63" s="2"/>
      <c r="M63" s="2"/>
      <c r="N63" s="2" t="s">
        <v>1649</v>
      </c>
    </row>
    <row r="64" spans="1:15">
      <c r="A64" s="2" t="s">
        <v>191</v>
      </c>
      <c r="B64" s="2">
        <v>12000</v>
      </c>
      <c r="C64" s="2"/>
      <c r="D64" s="2"/>
      <c r="E64" s="2"/>
      <c r="F64" s="2"/>
      <c r="G64" s="2"/>
      <c r="H64" s="2" t="s">
        <v>184</v>
      </c>
      <c r="I64" s="2">
        <f>B64/100</f>
        <v>120</v>
      </c>
      <c r="J64" s="2"/>
      <c r="K64" s="2"/>
      <c r="L64" s="2"/>
      <c r="M64" s="2"/>
      <c r="N64" s="2" t="s">
        <v>1650</v>
      </c>
    </row>
    <row r="65" spans="1:14">
      <c r="A65" s="2"/>
      <c r="B65" s="2"/>
      <c r="C65" s="2"/>
      <c r="D65" s="2"/>
      <c r="E65" s="2"/>
      <c r="F65" s="2"/>
      <c r="G65" s="2"/>
      <c r="H65" s="2" t="s">
        <v>185</v>
      </c>
      <c r="I65" s="2">
        <f>I64</f>
        <v>120</v>
      </c>
      <c r="J65" s="2"/>
      <c r="K65" s="2"/>
      <c r="L65" s="2"/>
      <c r="M65" s="2"/>
      <c r="N65" s="2" t="s">
        <v>1651</v>
      </c>
    </row>
    <row r="66" spans="1:1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51" t="s">
        <v>177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47" t="s">
        <v>178</v>
      </c>
      <c r="C68" s="2"/>
      <c r="D68" s="2"/>
      <c r="E68" s="2"/>
      <c r="F68" s="2"/>
      <c r="G68" s="2"/>
      <c r="H68" s="2"/>
      <c r="I68" s="47" t="s">
        <v>56</v>
      </c>
      <c r="J68" s="47" t="s">
        <v>57</v>
      </c>
      <c r="K68" s="47"/>
      <c r="L68" s="47"/>
      <c r="M68" s="47"/>
      <c r="N68" s="47" t="s">
        <v>1612</v>
      </c>
    </row>
    <row r="69" spans="1:14">
      <c r="A69" s="48" t="s">
        <v>43</v>
      </c>
      <c r="B69" s="2">
        <v>1000</v>
      </c>
      <c r="C69" s="2"/>
      <c r="D69" s="2"/>
      <c r="E69" s="2"/>
      <c r="F69" s="2"/>
      <c r="G69" s="2"/>
      <c r="H69" s="2" t="s">
        <v>184</v>
      </c>
      <c r="I69" s="2">
        <f>B69/10</f>
        <v>100</v>
      </c>
      <c r="J69" s="2"/>
      <c r="K69" s="2"/>
      <c r="L69" s="2"/>
      <c r="M69" s="2"/>
      <c r="N69" s="2" t="s">
        <v>1648</v>
      </c>
    </row>
    <row r="70" spans="1:14">
      <c r="A70" s="48" t="s">
        <v>43</v>
      </c>
      <c r="B70" s="2"/>
      <c r="C70" s="2"/>
      <c r="D70" s="2"/>
      <c r="E70" s="2"/>
      <c r="F70" s="2"/>
      <c r="G70" s="2"/>
      <c r="H70" s="2" t="s">
        <v>185</v>
      </c>
      <c r="I70" s="2">
        <f>I69</f>
        <v>100</v>
      </c>
      <c r="J70" s="2"/>
      <c r="K70" s="2"/>
      <c r="L70" s="2"/>
      <c r="M70" s="2"/>
      <c r="N70" s="2" t="s">
        <v>1649</v>
      </c>
    </row>
    <row r="71" spans="1:1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80A9-6BEE-4543-889C-C8FF08881B0E}">
  <sheetPr codeName="Sheet7"/>
  <dimension ref="A1:O82"/>
  <sheetViews>
    <sheetView workbookViewId="0">
      <selection activeCell="B2" sqref="B2:C20"/>
    </sheetView>
  </sheetViews>
  <sheetFormatPr defaultRowHeight="15"/>
  <cols>
    <col min="1" max="1" width="32.42578125" customWidth="1"/>
    <col min="2" max="2" width="29.5703125" customWidth="1"/>
    <col min="6" max="6" width="27" customWidth="1"/>
    <col min="7" max="7" width="26.5703125" customWidth="1"/>
    <col min="11" max="11" width="12.5703125" customWidth="1"/>
    <col min="14" max="14" width="28.28515625" customWidth="1"/>
    <col min="15" max="15" width="15.5703125" customWidth="1"/>
  </cols>
  <sheetData>
    <row r="1" spans="1:7">
      <c r="A1" s="38" t="s">
        <v>1612</v>
      </c>
      <c r="B1" s="45" t="s">
        <v>1371</v>
      </c>
      <c r="C1" s="45" t="s">
        <v>1372</v>
      </c>
      <c r="D1" s="45" t="s">
        <v>1573</v>
      </c>
      <c r="E1" s="37"/>
      <c r="F1" s="45" t="s">
        <v>1575</v>
      </c>
      <c r="G1" s="38" t="s">
        <v>1576</v>
      </c>
    </row>
    <row r="2" spans="1:7">
      <c r="A2" s="37" t="str" cm="1">
        <f t="array" ref="A2:A10">_xlfn.UNIQUE(_xlfn._xlws.FILTER(N23:N82,(ISTEXT(N23:N82))*(N23:N82&lt;&gt;"Excluded")*(N23:N82&lt;&gt;"Included in industry")*(N23:N82&lt;&gt;"unittype")))</f>
        <v>bioHOB</v>
      </c>
      <c r="B2" s="46">
        <f>IF(COUNTIF($A2,"*HOB*")+COUNTIF($A2,"*charger*")+COUNTIF($A2,"*disch*")+COUNTIF($A2,"GSHP")+COUNTIF($A2,"elecHOB"),SUMIF($N$23:$N$82,$A2,$I$23:$I$82),SUMIF($N$23:$N$82,$A2,$J$23:$J$82))</f>
        <v>139</v>
      </c>
      <c r="C2" s="46">
        <f>IF(COUNTIF($A2,"*HOB*")+COUNTIF($A2,"*charger*")+COUNTIF($A2,"*disch*")+COUNTIF($A2,"GSHP")+COUNTIF($A2,"elecHOB"),SUMIF($N$23:$N$82,$A2,$J$23:$J$82),SUMIF($N$23:$N$82,$A2,$I$23:$I$82))</f>
        <v>0</v>
      </c>
      <c r="D2" s="46" t="str">
        <f>IF(COUNTIFS($K$23:$K$82,"&gt;0",$N$23:$N$82,$A2)=COUNTIF($N$23:$N$82,$A2),SUMIF($N$23:$N$82,$A2,$K$23:$K$82),"")</f>
        <v/>
      </c>
      <c r="E2" s="37"/>
      <c r="F2" s="46" t="str">
        <f>IF(ISTEXT($A2),IF(COUNTIFS(unitdata_Finland!$B$3:$B$85,$A2,unitdata_Finland!$C$3:$C$85,"*ESP*"),"","Add the unit!"),"")</f>
        <v/>
      </c>
      <c r="G2" s="46" t="str">
        <f>IF(COUNTIFS(unitdata_Finland!$B$3:$B$85,$A2,unitdata_Finland!$C$3:$C$85,"*ESP*")&gt;1,"Warning!","")</f>
        <v/>
      </c>
    </row>
    <row r="3" spans="1:7">
      <c r="A3" s="37" t="str">
        <v>gasHOB</v>
      </c>
      <c r="B3" s="46">
        <f t="shared" ref="B3:B20" si="0">IF(COUNTIF($A3,"*HOB*")+COUNTIF($A3,"*charger*")+COUNTIF($A3,"*disch*")+COUNTIF($A3,"GSHP")+COUNTIF($A3,"elecHOB"),SUMIF($N$23:$N$82,$A3,$I$23:$I$82),SUMIF($N$23:$N$82,$A3,$J$23:$J$82))</f>
        <v>757.4</v>
      </c>
      <c r="C3" s="46">
        <f t="shared" ref="C3:C20" si="1">IF(COUNTIF($A3,"*HOB*")+COUNTIF($A3,"*charger*")+COUNTIF($A3,"*disch*")+COUNTIF($A3,"GSHP")+COUNTIF($A3,"elecHOB"),SUMIF($N$23:$N$82,$A3,$J$23:$J$82),SUMIF($N$23:$N$82,$A3,$I$23:$I$82))</f>
        <v>0</v>
      </c>
      <c r="D3" s="46" t="str">
        <f t="shared" ref="D3:D20" si="2">IF(COUNTIFS($K$23:$K$82,"&gt;0",$N$23:$N$82,$A3)=COUNTIF($N$23:$N$82,$A3),SUMIF($N$23:$N$82,$A3,$K$23:$K$82),"")</f>
        <v/>
      </c>
      <c r="E3" s="37"/>
      <c r="F3" s="46" t="str">
        <f>IF(ISTEXT($A3),IF(COUNTIFS(unitdata_Finland!$B$3:$B$85,$A3,unitdata_Finland!$C$3:$C$85,"*ESP*"),"","Add the unit!"),"")</f>
        <v/>
      </c>
      <c r="G3" s="46" t="str">
        <f>IF(COUNTIFS(unitdata_Finland!$B$3:$B$85,$A3,unitdata_Finland!$C$3:$C$85,"*ESP*")&gt;1,"Warning!","")</f>
        <v/>
      </c>
    </row>
    <row r="4" spans="1:7">
      <c r="A4" s="37" t="str">
        <v>oilHOB</v>
      </c>
      <c r="B4" s="46">
        <f t="shared" si="0"/>
        <v>88</v>
      </c>
      <c r="C4" s="46">
        <f t="shared" si="1"/>
        <v>0</v>
      </c>
      <c r="D4" s="46" t="str">
        <f t="shared" si="2"/>
        <v/>
      </c>
      <c r="E4" s="37"/>
      <c r="F4" s="46" t="str">
        <f>IF(ISTEXT($A4),IF(COUNTIFS(unitdata_Finland!$B$3:$B$85,$A4,unitdata_Finland!$C$3:$C$85,"*ESP*"),"","Add the unit!"),"")</f>
        <v/>
      </c>
      <c r="G4" s="46" t="str">
        <f>IF(COUNTIFS(unitdata_Finland!$B$3:$B$85,$A4,unitdata_Finland!$C$3:$C$85,"*ESP*")&gt;1,"Warning!","")</f>
        <v/>
      </c>
    </row>
    <row r="5" spans="1:7">
      <c r="A5" s="37" t="str">
        <v>GSHP</v>
      </c>
      <c r="B5" s="46">
        <f t="shared" si="0"/>
        <v>295</v>
      </c>
      <c r="C5" s="46">
        <f t="shared" si="1"/>
        <v>0</v>
      </c>
      <c r="D5" s="46" t="str">
        <f t="shared" si="2"/>
        <v/>
      </c>
      <c r="E5" s="37"/>
      <c r="F5" s="46" t="str">
        <f>IF(ISTEXT($A5),IF(COUNTIFS(unitdata_Finland!$B$3:$B$85,$A5,unitdata_Finland!$C$3:$C$85,"*ESP*"),"","Add the unit!"),"")</f>
        <v/>
      </c>
      <c r="G5" s="46" t="str">
        <f>IF(COUNTIFS(unitdata_Finland!$B$3:$B$85,$A5,unitdata_Finland!$C$3:$C$85,"*ESP*")&gt;1,"Warning!","")</f>
        <v/>
      </c>
    </row>
    <row r="6" spans="1:7">
      <c r="A6" s="37" t="str">
        <v>gasCCGTCHP</v>
      </c>
      <c r="B6" s="46">
        <f t="shared" si="0"/>
        <v>234</v>
      </c>
      <c r="C6" s="46">
        <f t="shared" si="1"/>
        <v>213</v>
      </c>
      <c r="D6" s="46">
        <f t="shared" si="2"/>
        <v>498</v>
      </c>
      <c r="E6" s="37"/>
      <c r="F6" s="46" t="str">
        <f>IF(ISTEXT($A6),IF(COUNTIFS(unitdata_Finland!$B$3:$B$85,$A6,unitdata_Finland!$C$3:$C$85,"*ESP*"),"","Add the unit!"),"")</f>
        <v/>
      </c>
      <c r="G6" s="46" t="str">
        <f>IF(COUNTIFS(unitdata_Finland!$B$3:$B$85,$A6,unitdata_Finland!$C$3:$C$85,"*ESP*")&gt;1,"Warning!","")</f>
        <v/>
      </c>
    </row>
    <row r="7" spans="1:7">
      <c r="A7" s="37" t="str">
        <v>gasOCGTCHP</v>
      </c>
      <c r="B7" s="46">
        <f t="shared" si="0"/>
        <v>49</v>
      </c>
      <c r="C7" s="46">
        <f t="shared" si="1"/>
        <v>80</v>
      </c>
      <c r="D7" s="46">
        <f t="shared" si="2"/>
        <v>132</v>
      </c>
      <c r="E7" s="37"/>
      <c r="F7" s="46" t="str">
        <f>IF(ISTEXT($A7),IF(COUNTIFS(unitdata_Finland!$B$3:$B$85,$A7,unitdata_Finland!$C$3:$C$85,"*ESP*"),"","Add the unit!"),"")</f>
        <v/>
      </c>
      <c r="G7" s="46" t="str">
        <f>IF(COUNTIFS(unitdata_Finland!$B$3:$B$85,$A7,unitdata_Finland!$C$3:$C$85,"*ESP*")&gt;1,"Warning!","")</f>
        <v/>
      </c>
    </row>
    <row r="8" spans="1:7">
      <c r="A8" s="37" t="str">
        <v>elecHOB</v>
      </c>
      <c r="B8" s="46">
        <f t="shared" si="0"/>
        <v>150</v>
      </c>
      <c r="C8" s="46">
        <f t="shared" si="1"/>
        <v>0</v>
      </c>
      <c r="D8" s="46" t="str">
        <f t="shared" si="2"/>
        <v/>
      </c>
      <c r="E8" s="37"/>
      <c r="F8" s="46" t="str">
        <f>IF(ISTEXT($A8),IF(COUNTIFS(unitdata_Finland!$B$3:$B$85,$A8,unitdata_Finland!$C$3:$C$85,"*ESP*"),"","Add the unit!"),"")</f>
        <v/>
      </c>
      <c r="G8" s="46" t="str">
        <f>IF(COUNTIFS(unitdata_Finland!$B$3:$B$85,$A8,unitdata_Finland!$C$3:$C$85,"*ESP*")&gt;1,"Warning!","")</f>
        <v/>
      </c>
    </row>
    <row r="9" spans="1:7">
      <c r="A9" s="37" t="str">
        <v>HeatStorageCharger</v>
      </c>
      <c r="B9" s="46">
        <f t="shared" si="0"/>
        <v>280</v>
      </c>
      <c r="C9" s="46">
        <f t="shared" si="1"/>
        <v>0</v>
      </c>
      <c r="D9" s="46" t="str">
        <f t="shared" si="2"/>
        <v/>
      </c>
      <c r="E9" s="37"/>
      <c r="F9" s="46" t="str">
        <f>IF(ISTEXT($A9),IF(COUNTIFS(unitdata_Finland!$B$3:$B$85,$A9,unitdata_Finland!$C$3:$C$85,"*ESP*"),"","Add the unit!"),"")</f>
        <v/>
      </c>
      <c r="G9" s="46" t="str">
        <f>IF(COUNTIFS(unitdata_Finland!$B$3:$B$85,$A9,unitdata_Finland!$C$3:$C$85,"*ESP*")&gt;1,"Warning!","")</f>
        <v/>
      </c>
    </row>
    <row r="10" spans="1:7">
      <c r="A10" s="37" t="str">
        <v>HeatStorageDisch</v>
      </c>
      <c r="B10" s="46">
        <f t="shared" si="0"/>
        <v>280</v>
      </c>
      <c r="C10" s="46">
        <f t="shared" si="1"/>
        <v>0</v>
      </c>
      <c r="D10" s="46" t="str">
        <f t="shared" si="2"/>
        <v/>
      </c>
      <c r="E10" s="37"/>
      <c r="F10" s="46" t="str">
        <f>IF(ISTEXT($A10),IF(COUNTIFS(unitdata_Finland!$B$3:$B$85,$A10,unitdata_Finland!$C$3:$C$85,"*ESP*"),"","Add the unit!"),"")</f>
        <v/>
      </c>
      <c r="G10" s="46" t="str">
        <f>IF(COUNTIFS(unitdata_Finland!$B$3:$B$85,$A10,unitdata_Finland!$C$3:$C$85,"*ESP*")&gt;1,"Warning!","")</f>
        <v/>
      </c>
    </row>
    <row r="11" spans="1:7">
      <c r="A11" s="37"/>
      <c r="B11" s="46">
        <f t="shared" si="0"/>
        <v>0</v>
      </c>
      <c r="C11" s="46">
        <f t="shared" si="1"/>
        <v>0</v>
      </c>
      <c r="D11" s="46">
        <f t="shared" si="2"/>
        <v>0</v>
      </c>
      <c r="E11" s="37"/>
      <c r="F11" s="46" t="str">
        <f>IF(ISTEXT($A11),IF(COUNTIFS(unitdata_Finland!$B$3:$B$85,$A11,unitdata_Finland!$C$3:$C$85,"*ESP*"),"","Add the unit!"),"")</f>
        <v/>
      </c>
      <c r="G11" s="46" t="str">
        <f>IF(COUNTIFS(unitdata_Finland!$B$3:$B$85,$A11,unitdata_Finland!$C$3:$C$85,"*ESP*")&gt;1,"Warning!","")</f>
        <v/>
      </c>
    </row>
    <row r="12" spans="1:7">
      <c r="A12" s="37"/>
      <c r="B12" s="46">
        <f t="shared" si="0"/>
        <v>0</v>
      </c>
      <c r="C12" s="46">
        <f t="shared" si="1"/>
        <v>0</v>
      </c>
      <c r="D12" s="46">
        <f t="shared" si="2"/>
        <v>0</v>
      </c>
      <c r="E12" s="37"/>
      <c r="F12" s="46" t="str">
        <f>IF(ISTEXT($A12),IF(COUNTIFS(unitdata_Finland!$B$3:$B$85,$A12,unitdata_Finland!$C$3:$C$85,"*ESP*"),"","Add the unit!"),"")</f>
        <v/>
      </c>
      <c r="G12" s="46" t="str">
        <f>IF(COUNTIFS(unitdata_Finland!$B$3:$B$85,$A12,unitdata_Finland!$C$3:$C$85,"*ESP*")&gt;1,"Warning!","")</f>
        <v/>
      </c>
    </row>
    <row r="13" spans="1:7">
      <c r="A13" s="37"/>
      <c r="B13" s="46">
        <f t="shared" si="0"/>
        <v>0</v>
      </c>
      <c r="C13" s="46">
        <f t="shared" si="1"/>
        <v>0</v>
      </c>
      <c r="D13" s="46">
        <f t="shared" si="2"/>
        <v>0</v>
      </c>
      <c r="E13" s="37"/>
      <c r="F13" s="46" t="str">
        <f>IF(ISTEXT($A13),IF(COUNTIFS(unitdata_Finland!$B$3:$B$85,$A13,unitdata_Finland!$C$3:$C$85,"*ESP*"),"","Add the unit!"),"")</f>
        <v/>
      </c>
      <c r="G13" s="46" t="str">
        <f>IF(COUNTIFS(unitdata_Finland!$B$3:$B$85,$A13,unitdata_Finland!$C$3:$C$85,"*ESP*")&gt;1,"Warning!","")</f>
        <v/>
      </c>
    </row>
    <row r="14" spans="1:7">
      <c r="A14" s="37"/>
      <c r="B14" s="46">
        <f t="shared" si="0"/>
        <v>0</v>
      </c>
      <c r="C14" s="46">
        <f t="shared" si="1"/>
        <v>0</v>
      </c>
      <c r="D14" s="46">
        <f t="shared" si="2"/>
        <v>0</v>
      </c>
      <c r="E14" s="37"/>
      <c r="F14" s="46" t="str">
        <f>IF(ISTEXT($A14),IF(COUNTIFS(unitdata_Finland!$B$3:$B$85,$A14,unitdata_Finland!$C$3:$C$85,"*ESP*"),"","Add the unit!"),"")</f>
        <v/>
      </c>
      <c r="G14" s="46" t="str">
        <f>IF(COUNTIFS(unitdata_Finland!$B$3:$B$85,$A14,unitdata_Finland!$C$3:$C$85,"*ESP*")&gt;1,"Warning!","")</f>
        <v/>
      </c>
    </row>
    <row r="15" spans="1:7">
      <c r="A15" s="37"/>
      <c r="B15" s="46">
        <f t="shared" si="0"/>
        <v>0</v>
      </c>
      <c r="C15" s="46">
        <f t="shared" si="1"/>
        <v>0</v>
      </c>
      <c r="D15" s="46">
        <f t="shared" si="2"/>
        <v>0</v>
      </c>
      <c r="E15" s="37"/>
      <c r="F15" s="46" t="str">
        <f>IF(ISTEXT($A15),IF(COUNTIFS(unitdata_Finland!$B$3:$B$85,$A15,unitdata_Finland!$C$3:$C$85,"*ESP*"),"","Add the unit!"),"")</f>
        <v/>
      </c>
      <c r="G15" s="46" t="str">
        <f>IF(COUNTIFS(unitdata_Finland!$B$3:$B$85,$A15,unitdata_Finland!$C$3:$C$85,"*ESP*")&gt;1,"Warning!","")</f>
        <v/>
      </c>
    </row>
    <row r="16" spans="1:7">
      <c r="A16" s="37"/>
      <c r="B16" s="46">
        <f t="shared" si="0"/>
        <v>0</v>
      </c>
      <c r="C16" s="46">
        <f t="shared" si="1"/>
        <v>0</v>
      </c>
      <c r="D16" s="46">
        <f t="shared" si="2"/>
        <v>0</v>
      </c>
      <c r="E16" s="37"/>
      <c r="F16" s="46" t="str">
        <f>IF(ISTEXT($A16),IF(COUNTIFS(unitdata_Finland!$B$3:$B$85,$A16,unitdata_Finland!$C$3:$C$85,"*ESP*"),"","Add the unit!"),"")</f>
        <v/>
      </c>
      <c r="G16" s="46" t="str">
        <f>IF(COUNTIFS(unitdata_Finland!$B$3:$B$85,$A16,unitdata_Finland!$C$3:$C$85,"*ESP*")&gt;1,"Warning!","")</f>
        <v/>
      </c>
    </row>
    <row r="17" spans="1:15">
      <c r="A17" s="37"/>
      <c r="B17" s="46">
        <f t="shared" si="0"/>
        <v>0</v>
      </c>
      <c r="C17" s="46">
        <f t="shared" si="1"/>
        <v>0</v>
      </c>
      <c r="D17" s="46">
        <f t="shared" si="2"/>
        <v>0</v>
      </c>
      <c r="E17" s="37"/>
      <c r="F17" s="46" t="str">
        <f>IF(ISTEXT($A17),IF(COUNTIFS(unitdata_Finland!$B$3:$B$85,$A17,unitdata_Finland!$C$3:$C$85,"*ESP*"),"","Add the unit!"),"")</f>
        <v/>
      </c>
      <c r="G17" s="46" t="str">
        <f>IF(COUNTIFS(unitdata_Finland!$B$3:$B$85,$A17,unitdata_Finland!$C$3:$C$85,"*ESP*")&gt;1,"Warning!","")</f>
        <v/>
      </c>
    </row>
    <row r="18" spans="1:15">
      <c r="A18" s="37"/>
      <c r="B18" s="46">
        <f t="shared" si="0"/>
        <v>0</v>
      </c>
      <c r="C18" s="46">
        <f t="shared" si="1"/>
        <v>0</v>
      </c>
      <c r="D18" s="46">
        <f t="shared" si="2"/>
        <v>0</v>
      </c>
      <c r="E18" s="37"/>
      <c r="F18" s="46" t="str">
        <f>IF(ISTEXT($A18),IF(COUNTIFS(unitdata_Finland!$B$3:$B$85,$A18,unitdata_Finland!$C$3:$C$85,"*ESP*"),"","Add the unit!"),"")</f>
        <v/>
      </c>
      <c r="G18" s="46" t="str">
        <f>IF(COUNTIFS(unitdata_Finland!$B$3:$B$85,$A18,unitdata_Finland!$C$3:$C$85,"*ESP*")&gt;1,"Warning!","")</f>
        <v/>
      </c>
    </row>
    <row r="19" spans="1:15">
      <c r="A19" s="37"/>
      <c r="B19" s="46">
        <f t="shared" si="0"/>
        <v>0</v>
      </c>
      <c r="C19" s="46">
        <f t="shared" si="1"/>
        <v>0</v>
      </c>
      <c r="D19" s="46">
        <f t="shared" si="2"/>
        <v>0</v>
      </c>
      <c r="E19" s="37"/>
      <c r="F19" s="46" t="str">
        <f>IF(ISTEXT($A19),IF(COUNTIFS(unitdata_Finland!$B$3:$B$85,$A19,unitdata_Finland!$C$3:$C$85,"*ESP*"),"","Add the unit!"),"")</f>
        <v/>
      </c>
      <c r="G19" s="46" t="str">
        <f>IF(COUNTIFS(unitdata_Finland!$B$3:$B$85,$A19,unitdata_Finland!$C$3:$C$85,"*ESP*")&gt;1,"Warning!","")</f>
        <v/>
      </c>
    </row>
    <row r="20" spans="1:15">
      <c r="A20" s="37"/>
      <c r="B20" s="46">
        <f t="shared" si="0"/>
        <v>0</v>
      </c>
      <c r="C20" s="46">
        <f t="shared" si="1"/>
        <v>0</v>
      </c>
      <c r="D20" s="46">
        <f t="shared" si="2"/>
        <v>0</v>
      </c>
      <c r="E20" s="37"/>
      <c r="F20" s="46" t="str">
        <f>IF(ISTEXT($A20),IF(COUNTIFS(unitdata_Finland!$B$3:$B$85,$A20,unitdata_Finland!$C$3:$C$85,"*ESP*"),"","Add the unit!"),"")</f>
        <v/>
      </c>
      <c r="G20" s="46" t="str">
        <f>IF(COUNTIFS(unitdata_Finland!$B$3:$B$85,$A20,unitdata_Finland!$C$3:$C$85,"*ESP*")&gt;1,"Warning!","")</f>
        <v/>
      </c>
    </row>
    <row r="21" spans="1:15" ht="18.75">
      <c r="A21" s="54" t="s">
        <v>1577</v>
      </c>
      <c r="B21" s="53"/>
      <c r="C21" s="53"/>
      <c r="D21" s="53"/>
      <c r="F21" s="53"/>
      <c r="G21" s="53"/>
    </row>
    <row r="22" spans="1:15" s="10" customFormat="1">
      <c r="A22" s="47" t="s">
        <v>192</v>
      </c>
      <c r="B22" s="47"/>
      <c r="C22" s="47"/>
      <c r="D22" s="47"/>
      <c r="E22" s="47"/>
      <c r="F22" s="47"/>
      <c r="G22" s="47"/>
      <c r="H22" s="47"/>
      <c r="I22" s="47" t="s">
        <v>56</v>
      </c>
      <c r="J22" s="47" t="s">
        <v>57</v>
      </c>
      <c r="K22" s="47" t="s">
        <v>1559</v>
      </c>
      <c r="L22" s="47"/>
      <c r="M22" s="47"/>
      <c r="N22" s="47" t="s">
        <v>1612</v>
      </c>
      <c r="O22" s="10" t="s">
        <v>1618</v>
      </c>
    </row>
    <row r="23" spans="1:15">
      <c r="A23" s="48" t="s">
        <v>59</v>
      </c>
      <c r="B23" s="48" t="s">
        <v>60</v>
      </c>
      <c r="C23" s="49" t="s">
        <v>29</v>
      </c>
      <c r="D23" s="39">
        <v>1974</v>
      </c>
      <c r="E23" s="49">
        <v>3</v>
      </c>
      <c r="F23" s="39" t="s">
        <v>30</v>
      </c>
      <c r="G23" s="21">
        <v>139</v>
      </c>
      <c r="H23" s="39" t="s">
        <v>30</v>
      </c>
      <c r="I23" s="21">
        <v>139</v>
      </c>
      <c r="J23" s="39" t="s">
        <v>30</v>
      </c>
      <c r="K23" s="39"/>
      <c r="L23" s="49" t="s">
        <v>44</v>
      </c>
      <c r="M23" s="50" t="s">
        <v>30</v>
      </c>
      <c r="N23" s="50" t="s">
        <v>1653</v>
      </c>
    </row>
    <row r="24" spans="1:15">
      <c r="A24" s="48" t="s">
        <v>59</v>
      </c>
      <c r="B24" s="48" t="s">
        <v>61</v>
      </c>
      <c r="C24" s="49" t="s">
        <v>29</v>
      </c>
      <c r="D24" s="39">
        <v>2002</v>
      </c>
      <c r="E24" s="49">
        <v>4</v>
      </c>
      <c r="F24" s="39" t="s">
        <v>30</v>
      </c>
      <c r="G24" s="21">
        <v>180</v>
      </c>
      <c r="H24" s="39" t="s">
        <v>30</v>
      </c>
      <c r="I24" s="21">
        <v>180</v>
      </c>
      <c r="J24" s="39" t="s">
        <v>30</v>
      </c>
      <c r="K24" s="39"/>
      <c r="L24" s="49" t="s">
        <v>36</v>
      </c>
      <c r="M24" s="50" t="s">
        <v>30</v>
      </c>
      <c r="N24" s="50" t="s">
        <v>1657</v>
      </c>
    </row>
    <row r="25" spans="1:15">
      <c r="A25" s="48" t="s">
        <v>59</v>
      </c>
      <c r="B25" s="48" t="s">
        <v>62</v>
      </c>
      <c r="C25" s="49" t="s">
        <v>29</v>
      </c>
      <c r="D25" s="39">
        <v>1985</v>
      </c>
      <c r="E25" s="49">
        <v>4</v>
      </c>
      <c r="F25" s="39" t="s">
        <v>30</v>
      </c>
      <c r="G25" s="21">
        <v>188</v>
      </c>
      <c r="H25" s="39" t="s">
        <v>30</v>
      </c>
      <c r="I25" s="21">
        <v>188</v>
      </c>
      <c r="J25" s="39" t="s">
        <v>30</v>
      </c>
      <c r="K25" s="39"/>
      <c r="L25" s="49" t="s">
        <v>36</v>
      </c>
      <c r="M25" s="50" t="s">
        <v>30</v>
      </c>
      <c r="N25" s="50" t="s">
        <v>1657</v>
      </c>
    </row>
    <row r="26" spans="1:15">
      <c r="A26" s="48" t="s">
        <v>59</v>
      </c>
      <c r="B26" s="48" t="s">
        <v>63</v>
      </c>
      <c r="C26" s="49" t="s">
        <v>29</v>
      </c>
      <c r="D26" s="39">
        <v>1991</v>
      </c>
      <c r="E26" s="49">
        <v>2</v>
      </c>
      <c r="F26" s="39" t="s">
        <v>30</v>
      </c>
      <c r="G26" s="21">
        <v>88</v>
      </c>
      <c r="H26" s="39" t="s">
        <v>30</v>
      </c>
      <c r="I26" s="21">
        <v>88</v>
      </c>
      <c r="J26" s="39" t="s">
        <v>30</v>
      </c>
      <c r="K26" s="39"/>
      <c r="L26" s="49" t="s">
        <v>31</v>
      </c>
      <c r="M26" s="50" t="s">
        <v>30</v>
      </c>
      <c r="N26" s="39" t="s">
        <v>1654</v>
      </c>
    </row>
    <row r="27" spans="1:15">
      <c r="A27" s="48" t="s">
        <v>59</v>
      </c>
      <c r="B27" s="48" t="s">
        <v>64</v>
      </c>
      <c r="C27" s="49" t="s">
        <v>29</v>
      </c>
      <c r="D27" s="39">
        <v>2001</v>
      </c>
      <c r="E27" s="49">
        <v>3</v>
      </c>
      <c r="F27" s="39" t="s">
        <v>30</v>
      </c>
      <c r="G27" s="21">
        <v>129</v>
      </c>
      <c r="H27" s="39" t="s">
        <v>30</v>
      </c>
      <c r="I27" s="21">
        <v>129</v>
      </c>
      <c r="J27" s="39" t="s">
        <v>30</v>
      </c>
      <c r="K27" s="39"/>
      <c r="L27" s="49" t="s">
        <v>36</v>
      </c>
      <c r="M27" s="50" t="s">
        <v>30</v>
      </c>
      <c r="N27" s="39" t="s">
        <v>1657</v>
      </c>
    </row>
    <row r="28" spans="1:15">
      <c r="A28" s="48" t="s">
        <v>59</v>
      </c>
      <c r="B28" s="48" t="s">
        <v>65</v>
      </c>
      <c r="C28" s="49" t="s">
        <v>29</v>
      </c>
      <c r="D28" s="39">
        <v>2000</v>
      </c>
      <c r="E28" s="49">
        <v>1</v>
      </c>
      <c r="F28" s="39" t="s">
        <v>30</v>
      </c>
      <c r="G28" s="21">
        <v>16</v>
      </c>
      <c r="H28" s="39" t="s">
        <v>30</v>
      </c>
      <c r="I28" s="21">
        <v>16</v>
      </c>
      <c r="J28" s="39" t="s">
        <v>30</v>
      </c>
      <c r="K28" s="39"/>
      <c r="L28" s="49" t="s">
        <v>36</v>
      </c>
      <c r="M28" s="50" t="s">
        <v>30</v>
      </c>
      <c r="N28" s="39" t="s">
        <v>1657</v>
      </c>
    </row>
    <row r="29" spans="1:15">
      <c r="A29" s="48" t="s">
        <v>59</v>
      </c>
      <c r="B29" s="48" t="s">
        <v>62</v>
      </c>
      <c r="C29" s="49" t="s">
        <v>29</v>
      </c>
      <c r="D29" s="39">
        <v>2007</v>
      </c>
      <c r="E29" s="49">
        <v>4</v>
      </c>
      <c r="F29" s="39" t="s">
        <v>30</v>
      </c>
      <c r="G29" s="21">
        <v>188</v>
      </c>
      <c r="H29" s="39" t="s">
        <v>30</v>
      </c>
      <c r="I29" s="21">
        <v>188</v>
      </c>
      <c r="J29" s="39" t="s">
        <v>30</v>
      </c>
      <c r="K29" s="39"/>
      <c r="L29" s="49" t="s">
        <v>36</v>
      </c>
      <c r="M29" s="50" t="s">
        <v>30</v>
      </c>
      <c r="N29" s="39" t="s">
        <v>1657</v>
      </c>
    </row>
    <row r="30" spans="1:15">
      <c r="A30" s="48" t="s">
        <v>59</v>
      </c>
      <c r="B30" s="48" t="s">
        <v>66</v>
      </c>
      <c r="C30" s="49" t="s">
        <v>29</v>
      </c>
      <c r="D30" s="39">
        <v>1990</v>
      </c>
      <c r="E30" s="49">
        <v>4</v>
      </c>
      <c r="F30" s="39" t="s">
        <v>30</v>
      </c>
      <c r="G30" s="21">
        <v>35</v>
      </c>
      <c r="H30" s="39" t="s">
        <v>30</v>
      </c>
      <c r="I30" s="21">
        <v>35</v>
      </c>
      <c r="J30" s="39" t="s">
        <v>30</v>
      </c>
      <c r="K30" s="39"/>
      <c r="L30" s="49" t="s">
        <v>36</v>
      </c>
      <c r="M30" s="50" t="s">
        <v>30</v>
      </c>
      <c r="N30" s="39" t="s">
        <v>1657</v>
      </c>
    </row>
    <row r="31" spans="1:15">
      <c r="A31" s="48" t="s">
        <v>59</v>
      </c>
      <c r="B31" s="48" t="s">
        <v>67</v>
      </c>
      <c r="C31" s="49" t="s">
        <v>29</v>
      </c>
      <c r="D31" s="39">
        <v>2007</v>
      </c>
      <c r="E31" s="49">
        <v>2</v>
      </c>
      <c r="F31" s="39" t="s">
        <v>30</v>
      </c>
      <c r="G31" s="21">
        <v>4.4000000000000004</v>
      </c>
      <c r="H31" s="39" t="s">
        <v>30</v>
      </c>
      <c r="I31" s="21">
        <v>4.4000000000000004</v>
      </c>
      <c r="J31" s="39" t="s">
        <v>30</v>
      </c>
      <c r="K31" s="39"/>
      <c r="L31" s="49" t="s">
        <v>68</v>
      </c>
      <c r="M31" s="50" t="s">
        <v>30</v>
      </c>
      <c r="N31" s="39" t="s">
        <v>1657</v>
      </c>
    </row>
    <row r="32" spans="1:15">
      <c r="A32" s="48" t="s">
        <v>59</v>
      </c>
      <c r="B32" s="48" t="s">
        <v>69</v>
      </c>
      <c r="C32" s="49" t="s">
        <v>29</v>
      </c>
      <c r="D32" s="39">
        <v>1989</v>
      </c>
      <c r="E32" s="49">
        <v>1</v>
      </c>
      <c r="F32" s="39" t="s">
        <v>30</v>
      </c>
      <c r="G32" s="21">
        <v>17</v>
      </c>
      <c r="H32" s="39" t="s">
        <v>30</v>
      </c>
      <c r="I32" s="21">
        <v>17</v>
      </c>
      <c r="J32" s="39" t="s">
        <v>30</v>
      </c>
      <c r="K32" s="39"/>
      <c r="L32" s="49" t="s">
        <v>36</v>
      </c>
      <c r="M32" s="50" t="s">
        <v>30</v>
      </c>
      <c r="N32" s="39" t="s">
        <v>1657</v>
      </c>
    </row>
    <row r="33" spans="1:15">
      <c r="A33" s="48" t="s">
        <v>59</v>
      </c>
      <c r="B33" s="48" t="s">
        <v>70</v>
      </c>
      <c r="C33" s="49" t="s">
        <v>48</v>
      </c>
      <c r="D33" s="39">
        <v>2015</v>
      </c>
      <c r="E33" s="49" t="s">
        <v>30</v>
      </c>
      <c r="F33" s="39" t="s">
        <v>30</v>
      </c>
      <c r="G33" s="21" t="s">
        <v>30</v>
      </c>
      <c r="H33" s="39" t="s">
        <v>30</v>
      </c>
      <c r="I33" s="21">
        <v>43</v>
      </c>
      <c r="J33" s="39" t="s">
        <v>30</v>
      </c>
      <c r="K33" s="39"/>
      <c r="L33" s="49" t="s">
        <v>30</v>
      </c>
      <c r="M33" s="50">
        <v>13</v>
      </c>
      <c r="N33" s="39" t="s">
        <v>1613</v>
      </c>
    </row>
    <row r="34" spans="1:15">
      <c r="A34" s="48" t="s">
        <v>59</v>
      </c>
      <c r="B34" s="48" t="s">
        <v>71</v>
      </c>
      <c r="C34" s="49" t="s">
        <v>48</v>
      </c>
      <c r="D34" s="39">
        <v>2021</v>
      </c>
      <c r="E34" s="49" t="s">
        <v>30</v>
      </c>
      <c r="F34" s="39" t="s">
        <v>30</v>
      </c>
      <c r="G34" s="21" t="s">
        <v>30</v>
      </c>
      <c r="H34" s="39" t="s">
        <v>30</v>
      </c>
      <c r="I34" s="21">
        <v>22</v>
      </c>
      <c r="J34" s="39" t="s">
        <v>30</v>
      </c>
      <c r="K34" s="39"/>
      <c r="L34" s="49" t="s">
        <v>30</v>
      </c>
      <c r="M34" s="50">
        <v>7</v>
      </c>
      <c r="N34" s="39" t="s">
        <v>1613</v>
      </c>
    </row>
    <row r="35" spans="1:15">
      <c r="A35" s="48" t="s">
        <v>59</v>
      </c>
      <c r="B35" s="48" t="s">
        <v>62</v>
      </c>
      <c r="C35" s="49" t="s">
        <v>48</v>
      </c>
      <c r="D35" s="39">
        <v>2021</v>
      </c>
      <c r="E35" s="49" t="s">
        <v>30</v>
      </c>
      <c r="F35" s="39" t="s">
        <v>30</v>
      </c>
      <c r="G35" s="21" t="s">
        <v>30</v>
      </c>
      <c r="H35" s="39" t="s">
        <v>30</v>
      </c>
      <c r="I35" s="21">
        <v>11</v>
      </c>
      <c r="J35" s="39" t="s">
        <v>30</v>
      </c>
      <c r="K35" s="39"/>
      <c r="L35" s="49" t="s">
        <v>30</v>
      </c>
      <c r="M35" s="50">
        <v>1</v>
      </c>
      <c r="N35" s="39" t="s">
        <v>1613</v>
      </c>
      <c r="O35" s="22" t="s">
        <v>202</v>
      </c>
    </row>
    <row r="36" spans="1:15">
      <c r="A36" s="48" t="s">
        <v>59</v>
      </c>
      <c r="B36" s="48" t="s">
        <v>72</v>
      </c>
      <c r="C36" s="49" t="s">
        <v>52</v>
      </c>
      <c r="D36" s="39">
        <v>1977</v>
      </c>
      <c r="E36" s="49">
        <v>1</v>
      </c>
      <c r="F36" s="39">
        <v>162</v>
      </c>
      <c r="G36" s="21" t="s">
        <v>30</v>
      </c>
      <c r="H36" s="39" t="s">
        <v>30</v>
      </c>
      <c r="I36" s="21">
        <v>162</v>
      </c>
      <c r="J36" s="39">
        <v>75</v>
      </c>
      <c r="K36" s="39"/>
      <c r="L36" s="49" t="s">
        <v>39</v>
      </c>
      <c r="M36" s="50" t="s">
        <v>30</v>
      </c>
      <c r="N36" s="39" t="s">
        <v>58</v>
      </c>
    </row>
    <row r="37" spans="1:15">
      <c r="A37" s="48" t="s">
        <v>59</v>
      </c>
      <c r="B37" s="48" t="s">
        <v>73</v>
      </c>
      <c r="C37" s="49" t="s">
        <v>52</v>
      </c>
      <c r="D37" s="39">
        <v>2009</v>
      </c>
      <c r="E37" s="49">
        <v>1</v>
      </c>
      <c r="F37" s="39">
        <v>213</v>
      </c>
      <c r="G37" s="21" t="s">
        <v>30</v>
      </c>
      <c r="H37" s="39" t="s">
        <v>30</v>
      </c>
      <c r="I37" s="21">
        <v>213</v>
      </c>
      <c r="J37" s="39">
        <v>234</v>
      </c>
      <c r="K37" s="39">
        <v>498</v>
      </c>
      <c r="L37" s="49" t="s">
        <v>36</v>
      </c>
      <c r="M37" s="50" t="s">
        <v>30</v>
      </c>
      <c r="N37" s="39" t="s">
        <v>1658</v>
      </c>
      <c r="O37" s="22" t="s">
        <v>1562</v>
      </c>
    </row>
    <row r="38" spans="1:15">
      <c r="A38" s="48" t="s">
        <v>59</v>
      </c>
      <c r="B38" s="48" t="s">
        <v>74</v>
      </c>
      <c r="C38" s="49" t="s">
        <v>75</v>
      </c>
      <c r="D38" s="39">
        <v>1989</v>
      </c>
      <c r="E38" s="49" t="s">
        <v>30</v>
      </c>
      <c r="F38" s="39" t="s">
        <v>30</v>
      </c>
      <c r="G38" s="21" t="s">
        <v>30</v>
      </c>
      <c r="H38" s="39" t="s">
        <v>30</v>
      </c>
      <c r="I38" s="21">
        <v>80</v>
      </c>
      <c r="J38" s="39">
        <v>49</v>
      </c>
      <c r="K38" s="39">
        <v>132</v>
      </c>
      <c r="L38" s="49" t="s">
        <v>36</v>
      </c>
      <c r="M38" s="50" t="s">
        <v>30</v>
      </c>
      <c r="N38" s="39" t="s">
        <v>1660</v>
      </c>
      <c r="O38" s="22" t="s">
        <v>1562</v>
      </c>
    </row>
    <row r="39" spans="1:15">
      <c r="A39" s="55" t="s">
        <v>59</v>
      </c>
      <c r="B39" s="55" t="s">
        <v>76</v>
      </c>
      <c r="C39" s="56" t="s">
        <v>75</v>
      </c>
      <c r="D39" s="40">
        <v>2023</v>
      </c>
      <c r="E39" s="56" t="s">
        <v>30</v>
      </c>
      <c r="F39" s="40" t="s">
        <v>30</v>
      </c>
      <c r="G39" s="57" t="s">
        <v>30</v>
      </c>
      <c r="H39" s="40" t="s">
        <v>30</v>
      </c>
      <c r="I39" s="57">
        <v>100</v>
      </c>
      <c r="J39" s="40" t="s">
        <v>30</v>
      </c>
      <c r="K39" s="40"/>
      <c r="L39" s="56" t="s">
        <v>77</v>
      </c>
      <c r="M39" s="58" t="s">
        <v>30</v>
      </c>
      <c r="N39" s="39" t="s">
        <v>1652</v>
      </c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5">
      <c r="A41" s="51" t="s">
        <v>168</v>
      </c>
      <c r="B41" s="2"/>
      <c r="C41" s="2"/>
      <c r="D41" s="2"/>
      <c r="E41" s="2"/>
      <c r="F41" s="2"/>
      <c r="G41" s="2"/>
      <c r="H41" s="2"/>
      <c r="I41" s="47" t="s">
        <v>56</v>
      </c>
      <c r="J41" s="47" t="s">
        <v>57</v>
      </c>
      <c r="K41" s="62" t="s">
        <v>1559</v>
      </c>
      <c r="L41" s="47"/>
      <c r="M41" s="47"/>
      <c r="N41" s="47" t="s">
        <v>1612</v>
      </c>
    </row>
    <row r="42" spans="1:15">
      <c r="A42" s="48" t="s">
        <v>193</v>
      </c>
      <c r="B42" s="2"/>
      <c r="C42" s="2"/>
      <c r="D42" s="2"/>
      <c r="E42" s="2"/>
      <c r="F42" s="2"/>
      <c r="G42" s="2"/>
      <c r="H42" s="2"/>
      <c r="I42" s="39">
        <v>15</v>
      </c>
      <c r="J42" s="2"/>
      <c r="K42" s="2"/>
      <c r="L42" s="2"/>
      <c r="M42" s="2"/>
      <c r="N42" s="39" t="s">
        <v>1613</v>
      </c>
      <c r="O42" t="s">
        <v>194</v>
      </c>
    </row>
    <row r="43" spans="1:15">
      <c r="A43" s="48" t="s">
        <v>195</v>
      </c>
      <c r="B43" s="2"/>
      <c r="C43" s="2"/>
      <c r="D43" s="2"/>
      <c r="E43" s="2"/>
      <c r="F43" s="2"/>
      <c r="G43" s="2"/>
      <c r="H43" s="2"/>
      <c r="I43" s="39">
        <v>200</v>
      </c>
      <c r="J43" s="2"/>
      <c r="K43" s="2"/>
      <c r="L43" s="2"/>
      <c r="M43" s="2"/>
      <c r="N43" s="39" t="s">
        <v>1613</v>
      </c>
      <c r="O43" t="s">
        <v>196</v>
      </c>
    </row>
    <row r="44" spans="1:15">
      <c r="A44" s="48" t="s">
        <v>197</v>
      </c>
      <c r="B44" s="2"/>
      <c r="C44" s="2"/>
      <c r="D44" s="2"/>
      <c r="E44" s="2"/>
      <c r="F44" s="2"/>
      <c r="G44" s="2"/>
      <c r="H44" s="2"/>
      <c r="I44" s="39">
        <v>4</v>
      </c>
      <c r="J44" s="2"/>
      <c r="K44" s="2"/>
      <c r="L44" s="2"/>
      <c r="M44" s="2"/>
      <c r="N44" s="39" t="s">
        <v>1613</v>
      </c>
      <c r="O44" t="s">
        <v>198</v>
      </c>
    </row>
    <row r="45" spans="1:15">
      <c r="A45" s="48" t="s">
        <v>199</v>
      </c>
      <c r="B45" s="2"/>
      <c r="C45" s="2"/>
      <c r="D45" s="2"/>
      <c r="E45" s="2"/>
      <c r="F45" s="2"/>
      <c r="G45" s="2"/>
      <c r="H45" s="2"/>
      <c r="I45" s="39">
        <v>50</v>
      </c>
      <c r="J45" s="2"/>
      <c r="K45" s="2"/>
      <c r="L45" s="2"/>
      <c r="M45" s="2"/>
      <c r="N45" s="39" t="s">
        <v>1652</v>
      </c>
      <c r="O45" t="s">
        <v>200</v>
      </c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5">
      <c r="A47" s="51" t="s">
        <v>190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5">
      <c r="A48" s="2"/>
      <c r="B48" s="47" t="s">
        <v>178</v>
      </c>
      <c r="C48" s="2"/>
      <c r="D48" s="2"/>
      <c r="E48" s="2"/>
      <c r="F48" s="2"/>
      <c r="G48" s="2"/>
      <c r="H48" s="2"/>
      <c r="I48" s="47" t="s">
        <v>56</v>
      </c>
      <c r="J48" s="47" t="s">
        <v>57</v>
      </c>
      <c r="K48" s="47"/>
      <c r="L48" s="47"/>
      <c r="M48" s="47"/>
      <c r="N48" s="47" t="s">
        <v>1612</v>
      </c>
    </row>
    <row r="49" spans="1:15">
      <c r="A49" s="2" t="s">
        <v>203</v>
      </c>
      <c r="B49" s="2">
        <v>1000</v>
      </c>
      <c r="C49" s="2"/>
      <c r="D49" s="2"/>
      <c r="E49" s="2"/>
      <c r="F49" s="2"/>
      <c r="G49" s="2"/>
      <c r="H49" s="2" t="s">
        <v>184</v>
      </c>
      <c r="I49" s="2">
        <f>B49/10</f>
        <v>100</v>
      </c>
      <c r="J49" s="2"/>
      <c r="K49" s="2"/>
      <c r="L49" s="2"/>
      <c r="M49" s="2"/>
      <c r="N49" s="2" t="s">
        <v>1648</v>
      </c>
    </row>
    <row r="50" spans="1:15">
      <c r="A50" s="2"/>
      <c r="B50" s="2"/>
      <c r="C50" s="2"/>
      <c r="D50" s="2"/>
      <c r="E50" s="2"/>
      <c r="F50" s="2"/>
      <c r="G50" s="2"/>
      <c r="H50" s="2" t="s">
        <v>185</v>
      </c>
      <c r="I50" s="2">
        <f>I49</f>
        <v>100</v>
      </c>
      <c r="J50" s="2"/>
      <c r="K50" s="2"/>
      <c r="L50" s="2"/>
      <c r="M50" s="2"/>
      <c r="N50" s="2" t="s">
        <v>1649</v>
      </c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5">
      <c r="A52" s="51" t="s">
        <v>177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5">
      <c r="A53" s="2"/>
      <c r="B53" s="47" t="s">
        <v>178</v>
      </c>
      <c r="C53" s="2"/>
      <c r="D53" s="2"/>
      <c r="E53" s="2"/>
      <c r="F53" s="2"/>
      <c r="G53" s="2"/>
      <c r="H53" s="2"/>
      <c r="I53" s="47" t="s">
        <v>56</v>
      </c>
      <c r="J53" s="47" t="s">
        <v>57</v>
      </c>
      <c r="K53" s="47"/>
      <c r="L53" s="47"/>
      <c r="M53" s="47"/>
      <c r="N53" s="47" t="s">
        <v>1612</v>
      </c>
    </row>
    <row r="54" spans="1:15">
      <c r="A54" s="2" t="s">
        <v>201</v>
      </c>
      <c r="B54" s="2">
        <v>800</v>
      </c>
      <c r="C54" s="2"/>
      <c r="D54" s="2"/>
      <c r="E54" s="2"/>
      <c r="F54" s="2"/>
      <c r="G54" s="2"/>
      <c r="H54" s="2" t="s">
        <v>184</v>
      </c>
      <c r="I54" s="2">
        <f>B54/10</f>
        <v>80</v>
      </c>
      <c r="J54" s="2"/>
      <c r="K54" s="2"/>
      <c r="L54" s="2"/>
      <c r="M54" s="2"/>
      <c r="N54" s="2" t="s">
        <v>1648</v>
      </c>
      <c r="O54" t="s">
        <v>200</v>
      </c>
    </row>
    <row r="55" spans="1:15">
      <c r="A55" s="2"/>
      <c r="B55" s="2"/>
      <c r="C55" s="2"/>
      <c r="D55" s="2"/>
      <c r="E55" s="2"/>
      <c r="F55" s="2"/>
      <c r="G55" s="2"/>
      <c r="H55" s="2" t="s">
        <v>185</v>
      </c>
      <c r="I55" s="2">
        <f>I54</f>
        <v>80</v>
      </c>
      <c r="J55" s="2"/>
      <c r="K55" s="2"/>
      <c r="L55" s="2"/>
      <c r="M55" s="2"/>
      <c r="N55" s="2" t="s">
        <v>1649</v>
      </c>
    </row>
    <row r="56" spans="1:15">
      <c r="A56" s="2" t="s">
        <v>1279</v>
      </c>
      <c r="B56" s="2">
        <v>1000</v>
      </c>
      <c r="C56" s="2"/>
      <c r="D56" s="2"/>
      <c r="E56" s="2"/>
      <c r="F56" s="2"/>
      <c r="G56" s="2"/>
      <c r="H56" s="2" t="s">
        <v>184</v>
      </c>
      <c r="I56" s="2">
        <f>B56/10</f>
        <v>100</v>
      </c>
      <c r="J56" s="2"/>
      <c r="K56" s="2"/>
      <c r="L56" s="2"/>
      <c r="M56" s="2"/>
      <c r="N56" s="2" t="s">
        <v>1648</v>
      </c>
      <c r="O56" t="s">
        <v>1280</v>
      </c>
    </row>
    <row r="57" spans="1:15">
      <c r="A57" s="2"/>
      <c r="B57" s="2"/>
      <c r="C57" s="2"/>
      <c r="D57" s="2"/>
      <c r="E57" s="2"/>
      <c r="F57" s="2"/>
      <c r="G57" s="2"/>
      <c r="H57" s="2" t="s">
        <v>185</v>
      </c>
      <c r="I57" s="2">
        <f>I56</f>
        <v>100</v>
      </c>
      <c r="J57" s="2"/>
      <c r="K57" s="2"/>
      <c r="L57" s="2"/>
      <c r="M57" s="2"/>
      <c r="N57" s="2" t="s">
        <v>1649</v>
      </c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FBA9-A84B-4F78-BE48-9986DE038C27}">
  <sheetPr codeName="Sheet8"/>
  <dimension ref="A1:O83"/>
  <sheetViews>
    <sheetView workbookViewId="0">
      <selection activeCell="B2" sqref="B2:C20"/>
    </sheetView>
  </sheetViews>
  <sheetFormatPr defaultRowHeight="15"/>
  <cols>
    <col min="1" max="1" width="37.28515625" customWidth="1"/>
    <col min="2" max="2" width="20.140625" customWidth="1"/>
    <col min="4" max="4" width="12.140625" customWidth="1"/>
    <col min="6" max="6" width="24.42578125" customWidth="1"/>
    <col min="7" max="7" width="27" customWidth="1"/>
    <col min="11" max="11" width="12" customWidth="1"/>
    <col min="14" max="14" width="32.85546875" customWidth="1"/>
  </cols>
  <sheetData>
    <row r="1" spans="1:7">
      <c r="A1" s="38" t="s">
        <v>1612</v>
      </c>
      <c r="B1" s="38" t="s">
        <v>1371</v>
      </c>
      <c r="C1" s="38" t="s">
        <v>1372</v>
      </c>
      <c r="D1" s="38" t="s">
        <v>1573</v>
      </c>
      <c r="E1" s="37"/>
      <c r="F1" s="45" t="s">
        <v>1575</v>
      </c>
      <c r="G1" s="38" t="s">
        <v>1576</v>
      </c>
    </row>
    <row r="2" spans="1:7">
      <c r="A2" s="37" t="str" cm="1">
        <f t="array" ref="A2:A14">_xlfn.UNIQUE(_xlfn._xlws.FILTER(N23:N83,(ISTEXT(N23:N83))*(N23:N83&lt;&gt;"Excluded")*(N23:N83&lt;&gt;"Included in industry")*(N23:N83&lt;&gt;"unittype")))</f>
        <v>gasHOB</v>
      </c>
      <c r="B2" s="37">
        <f>IF(COUNTIF($A2,"*HOB*")+COUNTIF($A2,"*charger*")+COUNTIF($A2,"*disch*")+COUNTIF($A2,"GSHP")+COUNTIF($A2,"elecHOB"),SUMIF($N$23:$N$83,$A2,$I$23:$I$83),SUMIF($N$23:$N$83,$A2,$J$23:$J$83))</f>
        <v>427</v>
      </c>
      <c r="C2" s="37">
        <f>IF(COUNTIF($A2,"*HOB*")+COUNTIF($A2,"*charger*")+COUNTIF($A2,"*disch*")+COUNTIF($A2,"GSHP")+COUNTIF($A2,"elecHOB"),SUMIF($N$23:$N$83,$A2,$J$23:$J$83),SUMIF($N$23:$N$83,$A2,$I$23:$I$83))</f>
        <v>0</v>
      </c>
      <c r="D2" s="37" t="str">
        <f>IF(COUNTIFS($K$23:$K$83,"&gt;0",$N$23:$N$83,$A2)=COUNTIF($N$23:$N$83,$A2),SUMIF($N$23:$N$83,$A2,$K$23:$K$83),"")</f>
        <v/>
      </c>
      <c r="E2" s="37"/>
      <c r="F2" s="46" t="str">
        <f>IF(ISTEXT($A2),IF(COUNTIFS(unitdata_Finland!$B$3:$B$85,$A2,unitdata_Finland!$C$3:$C$85,"*VAN*"),"","Add the unit!"),"")</f>
        <v/>
      </c>
      <c r="G2" s="46" t="str">
        <f>IF(COUNTIFS(unitdata_Finland!$B$3:$B$85,$A2,unitdata_Finland!$C$3:$C$85,"*VAN*")&gt;1,"Warning!","")</f>
        <v/>
      </c>
    </row>
    <row r="3" spans="1:7">
      <c r="A3" s="37" t="str">
        <v>oilHOB</v>
      </c>
      <c r="B3" s="37">
        <f t="shared" ref="B3:B20" si="0">IF(COUNTIF($A3,"*HOB*")+COUNTIF($A3,"*charger*")+COUNTIF($A3,"*disch*")+COUNTIF($A3,"GSHP")+COUNTIF($A3,"elecHOB"),SUMIF($N$23:$N$83,$A3,$I$23:$I$83),SUMIF($N$23:$N$83,$A3,$J$23:$J$83))</f>
        <v>92</v>
      </c>
      <c r="C3" s="37">
        <f t="shared" ref="C3:C20" si="1">IF(COUNTIF($A3,"*HOB*")+COUNTIF($A3,"*charger*")+COUNTIF($A3,"*disch*")+COUNTIF($A3,"GSHP")+COUNTIF($A3,"elecHOB"),SUMIF($N$23:$N$83,$A3,$J$23:$J$83),SUMIF($N$23:$N$83,$A3,$I$23:$I$83))</f>
        <v>0</v>
      </c>
      <c r="D3" s="37" t="str">
        <f t="shared" ref="D3:D20" si="2">IF(COUNTIFS($K$23:$K$83,"&gt;0",$N$23:$N$83,$A3)=COUNTIF($N$23:$N$83,$A3),SUMIF($N$23:$N$83,$A3,$K$23:$K$83),"")</f>
        <v/>
      </c>
      <c r="E3" s="37"/>
      <c r="F3" s="46" t="str">
        <f>IF(ISTEXT($A3),IF(COUNTIFS(unitdata_Finland!$B$3:$B$85,$A3,unitdata_Finland!$C$3:$C$85,"*VAN*"),"","Add the unit!"),"")</f>
        <v/>
      </c>
      <c r="G3" s="46" t="str">
        <f>IF(COUNTIFS(unitdata_Finland!$B$3:$B$85,$A3,unitdata_Finland!$C$3:$C$85,"*VAN*")&gt;1,"Warning!","")</f>
        <v/>
      </c>
    </row>
    <row r="4" spans="1:7">
      <c r="A4" s="37" t="str">
        <v>wasteHOB</v>
      </c>
      <c r="B4" s="37">
        <f t="shared" si="0"/>
        <v>80</v>
      </c>
      <c r="C4" s="37">
        <f t="shared" si="1"/>
        <v>0</v>
      </c>
      <c r="D4" s="37" t="str">
        <f t="shared" si="2"/>
        <v/>
      </c>
      <c r="E4" s="37"/>
      <c r="F4" s="46" t="str">
        <f>IF(ISTEXT($A4),IF(COUNTIFS(unitdata_Finland!$B$3:$B$85,$A4,unitdata_Finland!$C$3:$C$85,"*VAN*"),"","Add the unit!"),"")</f>
        <v/>
      </c>
      <c r="G4" s="46" t="str">
        <f>IF(COUNTIFS(unitdata_Finland!$B$3:$B$85,$A4,unitdata_Finland!$C$3:$C$85,"*VAN*")&gt;1,"Warning!","")</f>
        <v/>
      </c>
    </row>
    <row r="5" spans="1:7">
      <c r="A5" s="37" t="str">
        <v>gasCCGTCHP</v>
      </c>
      <c r="B5" s="37">
        <f t="shared" si="0"/>
        <v>88</v>
      </c>
      <c r="C5" s="37">
        <f t="shared" si="1"/>
        <v>90</v>
      </c>
      <c r="D5" s="37">
        <f t="shared" si="2"/>
        <v>220</v>
      </c>
      <c r="E5" s="37"/>
      <c r="F5" s="46" t="str">
        <f>IF(ISTEXT($A5),IF(COUNTIFS(unitdata_Finland!$B$3:$B$85,$A5,unitdata_Finland!$C$3:$C$85,"*VAN*"),"","Add the unit!"),"")</f>
        <v/>
      </c>
      <c r="G5" s="46" t="str">
        <f>IF(COUNTIFS(unitdata_Finland!$B$3:$B$85,$A5,unitdata_Finland!$C$3:$C$85,"*VAN*")&gt;1,"Warning!","")</f>
        <v/>
      </c>
    </row>
    <row r="6" spans="1:7">
      <c r="A6" s="37" t="str">
        <v>bioCHP</v>
      </c>
      <c r="B6" s="37">
        <f t="shared" si="0"/>
        <v>28</v>
      </c>
      <c r="C6" s="37">
        <f t="shared" si="1"/>
        <v>105</v>
      </c>
      <c r="D6" s="37">
        <f t="shared" si="2"/>
        <v>120</v>
      </c>
      <c r="E6" s="37"/>
      <c r="F6" s="46" t="str">
        <f>IF(ISTEXT($A6),IF(COUNTIFS(unitdata_Finland!$B$3:$B$85,$A6,unitdata_Finland!$C$3:$C$85,"*VAN*"),"","Add the unit!"),"")</f>
        <v/>
      </c>
      <c r="G6" s="46" t="str">
        <f>IF(COUNTIFS(unitdata_Finland!$B$3:$B$85,$A6,unitdata_Finland!$C$3:$C$85,"*VAN*")&gt;1,"Warning!","")</f>
        <v/>
      </c>
    </row>
    <row r="7" spans="1:7">
      <c r="A7" s="37" t="str">
        <v>wasteCHP</v>
      </c>
      <c r="B7" s="37">
        <f t="shared" si="0"/>
        <v>76.400000000000006</v>
      </c>
      <c r="C7" s="37">
        <f t="shared" si="1"/>
        <v>147</v>
      </c>
      <c r="D7" s="37">
        <f t="shared" si="2"/>
        <v>202</v>
      </c>
      <c r="E7" s="37"/>
      <c r="F7" s="46" t="str">
        <f>IF(ISTEXT($A7),IF(COUNTIFS(unitdata_Finland!$B$3:$B$85,$A7,unitdata_Finland!$C$3:$C$85,"*VAN*"),"","Add the unit!"),"")</f>
        <v/>
      </c>
      <c r="G7" s="46" t="str">
        <f>IF(COUNTIFS(unitdata_Finland!$B$3:$B$85,$A7,unitdata_Finland!$C$3:$C$85,"*VAN*")&gt;1,"Warning!","")</f>
        <v/>
      </c>
    </row>
    <row r="8" spans="1:7">
      <c r="A8" s="37" t="str">
        <v>elecHOB</v>
      </c>
      <c r="B8" s="37">
        <f t="shared" si="0"/>
        <v>180</v>
      </c>
      <c r="C8" s="37">
        <f t="shared" si="1"/>
        <v>0</v>
      </c>
      <c r="D8" s="37" t="str">
        <f t="shared" si="2"/>
        <v/>
      </c>
      <c r="E8" s="37"/>
      <c r="F8" s="46" t="str">
        <f>IF(ISTEXT($A8),IF(COUNTIFS(unitdata_Finland!$B$3:$B$85,$A8,unitdata_Finland!$C$3:$C$85,"*VAN*"),"","Add the unit!"),"")</f>
        <v/>
      </c>
      <c r="G8" s="46" t="str">
        <f>IF(COUNTIFS(unitdata_Finland!$B$3:$B$85,$A8,unitdata_Finland!$C$3:$C$85,"*VAN*")&gt;1,"Warning!","")</f>
        <v/>
      </c>
    </row>
    <row r="9" spans="1:7">
      <c r="A9" s="37" t="str">
        <v>GSHP</v>
      </c>
      <c r="B9" s="37">
        <f t="shared" si="0"/>
        <v>35</v>
      </c>
      <c r="C9" s="37">
        <f t="shared" si="1"/>
        <v>0</v>
      </c>
      <c r="D9" s="37" t="str">
        <f t="shared" si="2"/>
        <v/>
      </c>
      <c r="E9" s="37"/>
      <c r="F9" s="46" t="str">
        <f>IF(ISTEXT($A9),IF(COUNTIFS(unitdata_Finland!$B$3:$B$85,$A9,unitdata_Finland!$C$3:$C$85,"*VAN*"),"","Add the unit!"),"")</f>
        <v/>
      </c>
      <c r="G9" s="46" t="str">
        <f>IF(COUNTIFS(unitdata_Finland!$B$3:$B$85,$A9,unitdata_Finland!$C$3:$C$85,"*VAN*")&gt;1,"Warning!","")</f>
        <v/>
      </c>
    </row>
    <row r="10" spans="1:7">
      <c r="A10" s="37" t="str">
        <v>bioHOB</v>
      </c>
      <c r="B10" s="37">
        <f t="shared" si="0"/>
        <v>23</v>
      </c>
      <c r="C10" s="37">
        <f t="shared" si="1"/>
        <v>0</v>
      </c>
      <c r="D10" s="37" t="str">
        <f t="shared" si="2"/>
        <v/>
      </c>
      <c r="E10" s="37"/>
      <c r="F10" s="46" t="str">
        <f>IF(ISTEXT($A10),IF(COUNTIFS(unitdata_Finland!$B$3:$B$85,$A10,unitdata_Finland!$C$3:$C$85,"*VAN*"),"","Add the unit!"),"")</f>
        <v/>
      </c>
      <c r="G10" s="46" t="str">
        <f>IF(COUNTIFS(unitdata_Finland!$B$3:$B$85,$A10,unitdata_Finland!$C$3:$C$85,"*VAN*")&gt;1,"Warning!","")</f>
        <v/>
      </c>
    </row>
    <row r="11" spans="1:7">
      <c r="A11" s="37" t="str">
        <v>HeatStorageCharger</v>
      </c>
      <c r="B11" s="37">
        <f t="shared" si="0"/>
        <v>180</v>
      </c>
      <c r="C11" s="37">
        <f t="shared" si="1"/>
        <v>0</v>
      </c>
      <c r="D11" s="37" t="str">
        <f t="shared" si="2"/>
        <v/>
      </c>
      <c r="E11" s="37"/>
      <c r="F11" s="46" t="str">
        <f>IF(ISTEXT($A11),IF(COUNTIFS(unitdata_Finland!$B$3:$B$85,$A11,unitdata_Finland!$C$3:$C$85,"*VAN*"),"","Add the unit!"),"")</f>
        <v/>
      </c>
      <c r="G11" s="46" t="str">
        <f>IF(COUNTIFS(unitdata_Finland!$B$3:$B$85,$A11,unitdata_Finland!$C$3:$C$85,"*VAN*")&gt;1,"Warning!","")</f>
        <v/>
      </c>
    </row>
    <row r="12" spans="1:7">
      <c r="A12" s="37" t="str">
        <v>HeatStorageDisch</v>
      </c>
      <c r="B12" s="37">
        <f t="shared" si="0"/>
        <v>180</v>
      </c>
      <c r="C12" s="37">
        <f t="shared" si="1"/>
        <v>0</v>
      </c>
      <c r="D12" s="37" t="str">
        <f t="shared" si="2"/>
        <v/>
      </c>
      <c r="E12" s="37"/>
      <c r="F12" s="46" t="str">
        <f>IF(ISTEXT($A12),IF(COUNTIFS(unitdata_Finland!$B$3:$B$85,$A12,unitdata_Finland!$C$3:$C$85,"*VAN*"),"","Add the unit!"),"")</f>
        <v/>
      </c>
      <c r="G12" s="46" t="str">
        <f>IF(COUNTIFS(unitdata_Finland!$B$3:$B$85,$A12,unitdata_Finland!$C$3:$C$85,"*VAN*")&gt;1,"Warning!","")</f>
        <v/>
      </c>
    </row>
    <row r="13" spans="1:7">
      <c r="A13" s="37" t="str">
        <v>heatStorageChargerSeasonal</v>
      </c>
      <c r="B13" s="37">
        <f t="shared" si="0"/>
        <v>200</v>
      </c>
      <c r="C13" s="37">
        <f t="shared" si="1"/>
        <v>0</v>
      </c>
      <c r="D13" s="37" t="str">
        <f t="shared" si="2"/>
        <v/>
      </c>
      <c r="E13" s="37"/>
      <c r="F13" s="46" t="str">
        <f>IF(ISTEXT($A13),IF(COUNTIFS(unitdata_Finland!$B$3:$B$85,$A13,unitdata_Finland!$C$3:$C$85,"*VAN*"),"","Add the unit!"),"")</f>
        <v/>
      </c>
      <c r="G13" s="46" t="str">
        <f>IF(COUNTIFS(unitdata_Finland!$B$3:$B$85,$A13,unitdata_Finland!$C$3:$C$85,"*VAN*")&gt;1,"Warning!","")</f>
        <v/>
      </c>
    </row>
    <row r="14" spans="1:7">
      <c r="A14" s="37" t="str">
        <v>heatStorageDischSeasonal</v>
      </c>
      <c r="B14" s="37">
        <f t="shared" si="0"/>
        <v>200</v>
      </c>
      <c r="C14" s="37">
        <f t="shared" si="1"/>
        <v>0</v>
      </c>
      <c r="D14" s="37" t="str">
        <f t="shared" si="2"/>
        <v/>
      </c>
      <c r="E14" s="37"/>
      <c r="F14" s="46" t="str">
        <f>IF(ISTEXT($A14),IF(COUNTIFS(unitdata_Finland!$B$3:$B$85,$A14,unitdata_Finland!$C$3:$C$85,"*VAN*"),"","Add the unit!"),"")</f>
        <v/>
      </c>
      <c r="G14" s="46" t="str">
        <f>IF(COUNTIFS(unitdata_Finland!$B$3:$B$85,$A14,unitdata_Finland!$C$3:$C$85,"*VAN*")&gt;1,"Warning!","")</f>
        <v/>
      </c>
    </row>
    <row r="15" spans="1:7">
      <c r="A15" s="37"/>
      <c r="B15" s="37">
        <f t="shared" si="0"/>
        <v>0</v>
      </c>
      <c r="C15" s="37">
        <f t="shared" si="1"/>
        <v>0</v>
      </c>
      <c r="D15" s="37">
        <f t="shared" si="2"/>
        <v>0</v>
      </c>
      <c r="E15" s="37"/>
      <c r="F15" s="46" t="str">
        <f>IF(ISTEXT($A15),IF(COUNTIFS(unitdata_Finland!$B$3:$B$85,$A15,unitdata_Finland!$C$3:$C$85,"*VAN*"),"","Add the unit!"),"")</f>
        <v/>
      </c>
      <c r="G15" s="46" t="str">
        <f>IF(COUNTIFS(unitdata_Finland!$B$3:$B$85,$A15,unitdata_Finland!$C$3:$C$85,"*VAN*")&gt;1,"Warning!","")</f>
        <v/>
      </c>
    </row>
    <row r="16" spans="1:7">
      <c r="A16" s="37"/>
      <c r="B16" s="37">
        <f t="shared" si="0"/>
        <v>0</v>
      </c>
      <c r="C16" s="37">
        <f t="shared" si="1"/>
        <v>0</v>
      </c>
      <c r="D16" s="37">
        <f t="shared" si="2"/>
        <v>0</v>
      </c>
      <c r="E16" s="37"/>
      <c r="F16" s="46" t="str">
        <f>IF(ISTEXT($A16),IF(COUNTIFS(unitdata_Finland!$B$3:$B$85,$A16,unitdata_Finland!$C$3:$C$85,"*VAN*"),"","Add the unit!"),"")</f>
        <v/>
      </c>
      <c r="G16" s="46" t="str">
        <f>IF(COUNTIFS(unitdata_Finland!$B$3:$B$85,$A16,unitdata_Finland!$C$3:$C$85,"*VAN*")&gt;1,"Warning!","")</f>
        <v/>
      </c>
    </row>
    <row r="17" spans="1:15">
      <c r="A17" s="37"/>
      <c r="B17" s="37">
        <f t="shared" si="0"/>
        <v>0</v>
      </c>
      <c r="C17" s="37">
        <f t="shared" si="1"/>
        <v>0</v>
      </c>
      <c r="D17" s="37">
        <f t="shared" si="2"/>
        <v>0</v>
      </c>
      <c r="E17" s="37"/>
      <c r="F17" s="46" t="str">
        <f>IF(ISTEXT($A17),IF(COUNTIFS(unitdata_Finland!$B$3:$B$85,$A17,unitdata_Finland!$C$3:$C$85,"*VAN*"),"","Add the unit!"),"")</f>
        <v/>
      </c>
      <c r="G17" s="46" t="str">
        <f>IF(COUNTIFS(unitdata_Finland!$B$3:$B$85,$A17,unitdata_Finland!$C$3:$C$85,"*VAN*")&gt;1,"Warning!","")</f>
        <v/>
      </c>
    </row>
    <row r="18" spans="1:15">
      <c r="A18" s="37"/>
      <c r="B18" s="37">
        <f t="shared" si="0"/>
        <v>0</v>
      </c>
      <c r="C18" s="37">
        <f t="shared" si="1"/>
        <v>0</v>
      </c>
      <c r="D18" s="37">
        <f t="shared" si="2"/>
        <v>0</v>
      </c>
      <c r="E18" s="37"/>
      <c r="F18" s="46" t="str">
        <f>IF(ISTEXT($A18),IF(COUNTIFS(unitdata_Finland!$B$3:$B$85,$A18,unitdata_Finland!$C$3:$C$85,"*VAN*"),"","Add the unit!"),"")</f>
        <v/>
      </c>
      <c r="G18" s="46" t="str">
        <f>IF(COUNTIFS(unitdata_Finland!$B$3:$B$85,$A18,unitdata_Finland!$C$3:$C$85,"*VAN*")&gt;1,"Warning!","")</f>
        <v/>
      </c>
    </row>
    <row r="19" spans="1:15">
      <c r="A19" s="37"/>
      <c r="B19" s="37">
        <f t="shared" si="0"/>
        <v>0</v>
      </c>
      <c r="C19" s="37">
        <f t="shared" si="1"/>
        <v>0</v>
      </c>
      <c r="D19" s="37">
        <f t="shared" si="2"/>
        <v>0</v>
      </c>
      <c r="E19" s="37"/>
      <c r="F19" s="46" t="str">
        <f>IF(ISTEXT($A19),IF(COUNTIFS(unitdata_Finland!$B$3:$B$85,$A19,unitdata_Finland!$C$3:$C$85,"*VAN*"),"","Add the unit!"),"")</f>
        <v/>
      </c>
      <c r="G19" s="46" t="str">
        <f>IF(COUNTIFS(unitdata_Finland!$B$3:$B$85,$A19,unitdata_Finland!$C$3:$C$85,"*VAN*")&gt;1,"Warning!","")</f>
        <v/>
      </c>
    </row>
    <row r="20" spans="1:15">
      <c r="A20" s="37"/>
      <c r="B20" s="37">
        <f t="shared" si="0"/>
        <v>0</v>
      </c>
      <c r="C20" s="37">
        <f t="shared" si="1"/>
        <v>0</v>
      </c>
      <c r="D20" s="37">
        <f t="shared" si="2"/>
        <v>0</v>
      </c>
      <c r="E20" s="37"/>
      <c r="F20" s="46" t="str">
        <f>IF(ISTEXT($A20),IF(COUNTIFS(unitdata_Finland!$B$3:$B$85,$A20,unitdata_Finland!$C$3:$C$85,"*VAN*"),"","Add the unit!"),"")</f>
        <v/>
      </c>
      <c r="G20" s="46" t="str">
        <f>IF(COUNTIFS(unitdata_Finland!$B$3:$B$85,$A20,unitdata_Finland!$C$3:$C$85,"*VAN*")&gt;1,"Warning!","")</f>
        <v/>
      </c>
    </row>
    <row r="21" spans="1:15" ht="18.75">
      <c r="A21" s="54" t="s">
        <v>1577</v>
      </c>
      <c r="B21" s="53"/>
      <c r="C21" s="53"/>
      <c r="D21" s="53"/>
      <c r="F21" s="53"/>
      <c r="G21" s="53"/>
    </row>
    <row r="22" spans="1:15" s="10" customFormat="1">
      <c r="A22" s="47" t="s">
        <v>192</v>
      </c>
      <c r="B22" s="62"/>
      <c r="C22" s="47"/>
      <c r="D22" s="47"/>
      <c r="E22" s="47"/>
      <c r="F22" s="47"/>
      <c r="G22" s="47"/>
      <c r="H22" s="47"/>
      <c r="I22" s="62" t="s">
        <v>56</v>
      </c>
      <c r="J22" s="62" t="s">
        <v>57</v>
      </c>
      <c r="K22" s="62" t="s">
        <v>1559</v>
      </c>
      <c r="L22" s="47"/>
      <c r="M22" s="47"/>
      <c r="N22" s="62" t="s">
        <v>1612</v>
      </c>
    </row>
    <row r="23" spans="1:15">
      <c r="A23" s="48" t="s">
        <v>78</v>
      </c>
      <c r="B23" s="52" t="s">
        <v>79</v>
      </c>
      <c r="C23" s="49" t="s">
        <v>29</v>
      </c>
      <c r="D23" s="39">
        <v>1972</v>
      </c>
      <c r="E23" s="49">
        <v>2</v>
      </c>
      <c r="F23" s="39" t="s">
        <v>30</v>
      </c>
      <c r="G23" s="21">
        <v>75</v>
      </c>
      <c r="H23" s="39" t="s">
        <v>30</v>
      </c>
      <c r="I23" s="64">
        <v>75</v>
      </c>
      <c r="J23" s="65" t="s">
        <v>30</v>
      </c>
      <c r="K23" s="65"/>
      <c r="L23" s="49" t="s">
        <v>36</v>
      </c>
      <c r="M23" s="50" t="s">
        <v>30</v>
      </c>
      <c r="N23" s="69" t="s">
        <v>1657</v>
      </c>
    </row>
    <row r="24" spans="1:15">
      <c r="A24" s="48" t="s">
        <v>78</v>
      </c>
      <c r="B24" s="52" t="s">
        <v>80</v>
      </c>
      <c r="C24" s="49" t="s">
        <v>29</v>
      </c>
      <c r="D24" s="39">
        <v>1972</v>
      </c>
      <c r="E24" s="49">
        <v>2</v>
      </c>
      <c r="F24" s="39" t="s">
        <v>30</v>
      </c>
      <c r="G24" s="21">
        <v>80</v>
      </c>
      <c r="H24" s="39" t="s">
        <v>30</v>
      </c>
      <c r="I24" s="64">
        <v>80</v>
      </c>
      <c r="J24" s="65" t="s">
        <v>30</v>
      </c>
      <c r="K24" s="65"/>
      <c r="L24" s="49" t="s">
        <v>36</v>
      </c>
      <c r="M24" s="50" t="s">
        <v>30</v>
      </c>
      <c r="N24" s="69" t="s">
        <v>1657</v>
      </c>
    </row>
    <row r="25" spans="1:15">
      <c r="A25" s="48" t="s">
        <v>78</v>
      </c>
      <c r="B25" s="52" t="s">
        <v>81</v>
      </c>
      <c r="C25" s="49" t="s">
        <v>29</v>
      </c>
      <c r="D25" s="39">
        <v>2002</v>
      </c>
      <c r="E25" s="49">
        <v>5</v>
      </c>
      <c r="F25" s="39" t="s">
        <v>30</v>
      </c>
      <c r="G25" s="21">
        <v>180</v>
      </c>
      <c r="H25" s="39" t="s">
        <v>30</v>
      </c>
      <c r="I25" s="64">
        <v>180</v>
      </c>
      <c r="J25" s="65" t="s">
        <v>30</v>
      </c>
      <c r="K25" s="65"/>
      <c r="L25" s="49" t="s">
        <v>36</v>
      </c>
      <c r="M25" s="50" t="s">
        <v>30</v>
      </c>
      <c r="N25" s="69" t="s">
        <v>1657</v>
      </c>
    </row>
    <row r="26" spans="1:15">
      <c r="A26" s="48" t="s">
        <v>78</v>
      </c>
      <c r="B26" s="52" t="s">
        <v>82</v>
      </c>
      <c r="C26" s="49" t="s">
        <v>29</v>
      </c>
      <c r="D26" s="39">
        <v>2008</v>
      </c>
      <c r="E26" s="49">
        <v>2</v>
      </c>
      <c r="F26" s="39" t="s">
        <v>30</v>
      </c>
      <c r="G26" s="21">
        <v>92</v>
      </c>
      <c r="H26" s="39" t="s">
        <v>30</v>
      </c>
      <c r="I26" s="64">
        <v>92</v>
      </c>
      <c r="J26" s="65" t="s">
        <v>30</v>
      </c>
      <c r="K26" s="65"/>
      <c r="L26" s="49" t="s">
        <v>31</v>
      </c>
      <c r="M26" s="50" t="s">
        <v>30</v>
      </c>
      <c r="N26" s="65" t="s">
        <v>1654</v>
      </c>
    </row>
    <row r="27" spans="1:15">
      <c r="A27" s="48" t="s">
        <v>78</v>
      </c>
      <c r="B27" s="52" t="s">
        <v>83</v>
      </c>
      <c r="C27" s="49" t="s">
        <v>29</v>
      </c>
      <c r="D27" s="39">
        <v>2014</v>
      </c>
      <c r="E27" s="49">
        <v>2</v>
      </c>
      <c r="F27" s="39" t="s">
        <v>30</v>
      </c>
      <c r="G27" s="21">
        <v>92</v>
      </c>
      <c r="H27" s="39" t="s">
        <v>30</v>
      </c>
      <c r="I27" s="64">
        <v>92</v>
      </c>
      <c r="J27" s="65" t="s">
        <v>30</v>
      </c>
      <c r="K27" s="65"/>
      <c r="L27" s="49" t="s">
        <v>36</v>
      </c>
      <c r="M27" s="50" t="s">
        <v>30</v>
      </c>
      <c r="N27" s="65" t="s">
        <v>1657</v>
      </c>
    </row>
    <row r="28" spans="1:15">
      <c r="A28" s="48" t="s">
        <v>78</v>
      </c>
      <c r="B28" s="52" t="s">
        <v>84</v>
      </c>
      <c r="C28" s="49" t="s">
        <v>29</v>
      </c>
      <c r="D28" s="39">
        <v>2022</v>
      </c>
      <c r="E28" s="49">
        <v>1</v>
      </c>
      <c r="F28" s="39" t="s">
        <v>30</v>
      </c>
      <c r="G28" s="21">
        <v>70</v>
      </c>
      <c r="H28" s="39">
        <v>10</v>
      </c>
      <c r="I28" s="64">
        <v>80</v>
      </c>
      <c r="J28" s="65" t="s">
        <v>30</v>
      </c>
      <c r="K28" s="65"/>
      <c r="L28" s="49" t="s">
        <v>85</v>
      </c>
      <c r="M28" s="50" t="s">
        <v>30</v>
      </c>
      <c r="N28" s="65" t="s">
        <v>1655</v>
      </c>
    </row>
    <row r="29" spans="1:15">
      <c r="A29" s="48" t="s">
        <v>78</v>
      </c>
      <c r="B29" s="52" t="s">
        <v>86</v>
      </c>
      <c r="C29" s="49" t="s">
        <v>52</v>
      </c>
      <c r="D29" s="39">
        <v>1982</v>
      </c>
      <c r="E29" s="49">
        <v>1</v>
      </c>
      <c r="F29" s="39">
        <v>145</v>
      </c>
      <c r="G29" s="21" t="s">
        <v>30</v>
      </c>
      <c r="H29" s="39" t="s">
        <v>30</v>
      </c>
      <c r="I29" s="64">
        <v>145</v>
      </c>
      <c r="J29" s="65">
        <v>75</v>
      </c>
      <c r="K29" s="65"/>
      <c r="L29" s="49" t="s">
        <v>39</v>
      </c>
      <c r="M29" s="50" t="s">
        <v>30</v>
      </c>
      <c r="N29" s="65" t="s">
        <v>58</v>
      </c>
    </row>
    <row r="30" spans="1:15">
      <c r="A30" s="48" t="s">
        <v>78</v>
      </c>
      <c r="B30" s="52" t="s">
        <v>87</v>
      </c>
      <c r="C30" s="49" t="s">
        <v>52</v>
      </c>
      <c r="D30" s="39">
        <v>1995</v>
      </c>
      <c r="E30" s="49">
        <v>1</v>
      </c>
      <c r="F30" s="39">
        <v>75</v>
      </c>
      <c r="G30" s="21">
        <v>15</v>
      </c>
      <c r="H30" s="39" t="s">
        <v>30</v>
      </c>
      <c r="I30" s="64">
        <v>90</v>
      </c>
      <c r="J30" s="65">
        <v>88</v>
      </c>
      <c r="K30" s="65">
        <v>220</v>
      </c>
      <c r="L30" s="49" t="s">
        <v>36</v>
      </c>
      <c r="M30" s="50" t="s">
        <v>30</v>
      </c>
      <c r="N30" s="65" t="s">
        <v>1658</v>
      </c>
      <c r="O30" s="22" t="s">
        <v>1563</v>
      </c>
    </row>
    <row r="31" spans="1:15">
      <c r="A31" s="48" t="s">
        <v>78</v>
      </c>
      <c r="B31" s="52" t="s">
        <v>88</v>
      </c>
      <c r="C31" s="49" t="s">
        <v>52</v>
      </c>
      <c r="D31" s="39">
        <v>2019</v>
      </c>
      <c r="E31" s="49">
        <v>1</v>
      </c>
      <c r="F31" s="39">
        <v>75</v>
      </c>
      <c r="G31" s="21" t="s">
        <v>30</v>
      </c>
      <c r="H31" s="39">
        <v>30</v>
      </c>
      <c r="I31" s="64">
        <v>105</v>
      </c>
      <c r="J31" s="65">
        <v>28</v>
      </c>
      <c r="K31" s="65">
        <v>120</v>
      </c>
      <c r="L31" s="49" t="s">
        <v>46</v>
      </c>
      <c r="M31" s="50" t="s">
        <v>30</v>
      </c>
      <c r="N31" s="65" t="s">
        <v>1656</v>
      </c>
      <c r="O31" s="22" t="s">
        <v>1563</v>
      </c>
    </row>
    <row r="32" spans="1:15">
      <c r="A32" s="55" t="s">
        <v>78</v>
      </c>
      <c r="B32" s="70" t="s">
        <v>89</v>
      </c>
      <c r="C32" s="56" t="s">
        <v>52</v>
      </c>
      <c r="D32" s="40">
        <v>2014</v>
      </c>
      <c r="E32" s="56">
        <v>3</v>
      </c>
      <c r="F32" s="40">
        <v>117</v>
      </c>
      <c r="G32" s="57" t="s">
        <v>30</v>
      </c>
      <c r="H32" s="40">
        <v>30</v>
      </c>
      <c r="I32" s="66">
        <v>147</v>
      </c>
      <c r="J32" s="67">
        <v>76.400000000000006</v>
      </c>
      <c r="K32" s="67">
        <v>202</v>
      </c>
      <c r="L32" s="56" t="s">
        <v>85</v>
      </c>
      <c r="M32" s="58" t="s">
        <v>30</v>
      </c>
      <c r="N32" s="65" t="s">
        <v>1659</v>
      </c>
      <c r="O32" s="22" t="s">
        <v>1564</v>
      </c>
    </row>
    <row r="33" spans="1:15">
      <c r="A33" s="2"/>
      <c r="B33" s="63"/>
      <c r="C33" s="2"/>
      <c r="D33" s="2"/>
      <c r="E33" s="2"/>
      <c r="F33" s="2"/>
      <c r="G33" s="2"/>
      <c r="H33" s="2"/>
      <c r="I33" s="63"/>
      <c r="J33" s="63"/>
      <c r="K33" s="63"/>
      <c r="L33" s="2"/>
      <c r="M33" s="2"/>
      <c r="N33" s="63"/>
    </row>
    <row r="34" spans="1:15">
      <c r="A34" s="51" t="s">
        <v>168</v>
      </c>
      <c r="B34" s="63"/>
      <c r="C34" s="2"/>
      <c r="D34" s="2"/>
      <c r="E34" s="2"/>
      <c r="F34" s="2"/>
      <c r="G34" s="2"/>
      <c r="H34" s="2"/>
      <c r="I34" s="62" t="s">
        <v>56</v>
      </c>
      <c r="J34" s="62" t="s">
        <v>57</v>
      </c>
      <c r="K34" s="62" t="s">
        <v>1559</v>
      </c>
      <c r="L34" s="47"/>
      <c r="M34" s="47"/>
      <c r="N34" s="62" t="s">
        <v>1612</v>
      </c>
    </row>
    <row r="35" spans="1:15">
      <c r="A35" s="48" t="s">
        <v>204</v>
      </c>
      <c r="B35" s="63"/>
      <c r="C35" s="2"/>
      <c r="D35" s="2"/>
      <c r="E35" s="2"/>
      <c r="F35" s="2"/>
      <c r="G35" s="2"/>
      <c r="H35" s="2"/>
      <c r="I35" s="65">
        <v>120</v>
      </c>
      <c r="J35" s="63"/>
      <c r="K35" s="63"/>
      <c r="L35" s="2"/>
      <c r="M35" s="2"/>
      <c r="N35" s="65" t="s">
        <v>1652</v>
      </c>
      <c r="O35" t="s">
        <v>205</v>
      </c>
    </row>
    <row r="36" spans="1:15">
      <c r="A36" s="48" t="s">
        <v>206</v>
      </c>
      <c r="B36" s="63"/>
      <c r="C36" s="2"/>
      <c r="D36" s="2"/>
      <c r="E36" s="2"/>
      <c r="F36" s="2"/>
      <c r="G36" s="2"/>
      <c r="H36" s="2"/>
      <c r="I36" s="65">
        <v>60</v>
      </c>
      <c r="J36" s="63"/>
      <c r="K36" s="63"/>
      <c r="L36" s="2"/>
      <c r="M36" s="2"/>
      <c r="N36" s="65" t="s">
        <v>1652</v>
      </c>
      <c r="O36" t="s">
        <v>207</v>
      </c>
    </row>
    <row r="37" spans="1:15">
      <c r="A37" s="48"/>
      <c r="B37" s="63"/>
      <c r="C37" s="2"/>
      <c r="D37" s="2"/>
      <c r="E37" s="2"/>
      <c r="F37" s="2"/>
      <c r="G37" s="2"/>
      <c r="H37" s="2"/>
      <c r="I37" s="65"/>
      <c r="J37" s="63"/>
      <c r="K37" s="63"/>
      <c r="L37" s="2"/>
      <c r="M37" s="2"/>
      <c r="N37" s="65"/>
    </row>
    <row r="38" spans="1:15">
      <c r="A38" s="51" t="s">
        <v>1368</v>
      </c>
      <c r="B38" s="63"/>
      <c r="C38" s="2"/>
      <c r="D38" s="2"/>
      <c r="E38" s="2"/>
      <c r="F38" s="2"/>
      <c r="G38" s="2"/>
      <c r="H38" s="2"/>
      <c r="I38" s="68" t="s">
        <v>56</v>
      </c>
      <c r="J38" s="62" t="s">
        <v>57</v>
      </c>
      <c r="K38" s="62" t="s">
        <v>1559</v>
      </c>
      <c r="L38" s="47"/>
      <c r="M38" s="47"/>
      <c r="N38" s="62" t="s">
        <v>1612</v>
      </c>
    </row>
    <row r="39" spans="1:15">
      <c r="A39" s="48" t="s">
        <v>1369</v>
      </c>
      <c r="B39" s="63"/>
      <c r="C39" s="2"/>
      <c r="D39" s="2"/>
      <c r="E39" s="2"/>
      <c r="F39" s="2"/>
      <c r="G39" s="2"/>
      <c r="H39" s="2"/>
      <c r="I39" s="65">
        <v>35</v>
      </c>
      <c r="J39" s="63"/>
      <c r="K39" s="63"/>
      <c r="L39" s="2"/>
      <c r="M39" s="2"/>
      <c r="N39" s="65" t="s">
        <v>1613</v>
      </c>
      <c r="O39" t="s">
        <v>1314</v>
      </c>
    </row>
    <row r="40" spans="1:15">
      <c r="A40" s="48" t="s">
        <v>1376</v>
      </c>
      <c r="B40" s="63"/>
      <c r="C40" s="2"/>
      <c r="D40" s="2"/>
      <c r="E40" s="2"/>
      <c r="F40" s="2"/>
      <c r="G40" s="2"/>
      <c r="H40" s="2"/>
      <c r="I40" s="65">
        <v>23</v>
      </c>
      <c r="J40" s="63"/>
      <c r="K40" s="63"/>
      <c r="L40" s="2"/>
      <c r="M40" s="2"/>
      <c r="N40" s="65" t="s">
        <v>1653</v>
      </c>
      <c r="O40" t="s">
        <v>1377</v>
      </c>
    </row>
    <row r="41" spans="1:15">
      <c r="A41" s="2"/>
      <c r="B41" s="63"/>
      <c r="C41" s="2"/>
      <c r="D41" s="2"/>
      <c r="E41" s="2"/>
      <c r="F41" s="2"/>
      <c r="G41" s="2"/>
      <c r="H41" s="2"/>
      <c r="I41" s="63"/>
      <c r="J41" s="63"/>
      <c r="K41" s="63"/>
      <c r="L41" s="2"/>
      <c r="M41" s="2"/>
      <c r="N41" s="63"/>
    </row>
    <row r="42" spans="1:15">
      <c r="A42" s="51" t="s">
        <v>190</v>
      </c>
      <c r="B42" s="63"/>
      <c r="C42" s="2"/>
      <c r="D42" s="2"/>
      <c r="E42" s="2"/>
      <c r="F42" s="2"/>
      <c r="G42" s="2"/>
      <c r="H42" s="2"/>
      <c r="I42" s="63"/>
      <c r="J42" s="63"/>
      <c r="K42" s="63"/>
      <c r="L42" s="2"/>
      <c r="M42" s="2"/>
      <c r="N42" s="63"/>
    </row>
    <row r="43" spans="1:15">
      <c r="A43" s="2"/>
      <c r="B43" s="62" t="s">
        <v>178</v>
      </c>
      <c r="C43" s="2"/>
      <c r="D43" s="2"/>
      <c r="E43" s="2"/>
      <c r="F43" s="2"/>
      <c r="G43" s="2"/>
      <c r="H43" s="2"/>
      <c r="I43" s="62" t="s">
        <v>56</v>
      </c>
      <c r="J43" s="62" t="s">
        <v>57</v>
      </c>
      <c r="K43" s="62"/>
      <c r="L43" s="47"/>
      <c r="M43" s="47"/>
      <c r="N43" s="62" t="s">
        <v>1612</v>
      </c>
    </row>
    <row r="44" spans="1:15">
      <c r="A44" s="2" t="s">
        <v>208</v>
      </c>
      <c r="B44" s="63">
        <v>800</v>
      </c>
      <c r="C44" s="2"/>
      <c r="D44" s="2"/>
      <c r="E44" s="2"/>
      <c r="F44" s="2"/>
      <c r="G44" s="2"/>
      <c r="H44" s="2" t="s">
        <v>184</v>
      </c>
      <c r="I44" s="63">
        <f>B44/10</f>
        <v>80</v>
      </c>
      <c r="J44" s="62"/>
      <c r="K44" s="62"/>
      <c r="L44" s="47"/>
      <c r="M44" s="47"/>
      <c r="N44" s="63" t="s">
        <v>1648</v>
      </c>
    </row>
    <row r="45" spans="1:15">
      <c r="A45" s="2"/>
      <c r="B45" s="62"/>
      <c r="C45" s="2"/>
      <c r="D45" s="2"/>
      <c r="E45" s="2"/>
      <c r="F45" s="2"/>
      <c r="G45" s="2"/>
      <c r="H45" s="2" t="s">
        <v>185</v>
      </c>
      <c r="I45" s="63">
        <f>I44</f>
        <v>80</v>
      </c>
      <c r="J45" s="62"/>
      <c r="K45" s="62"/>
      <c r="L45" s="47"/>
      <c r="M45" s="47"/>
      <c r="N45" s="63" t="s">
        <v>1649</v>
      </c>
    </row>
    <row r="46" spans="1:15">
      <c r="A46" s="2" t="s">
        <v>211</v>
      </c>
      <c r="B46" s="63">
        <v>500</v>
      </c>
      <c r="C46" s="2"/>
      <c r="D46" s="2"/>
      <c r="E46" s="2"/>
      <c r="F46" s="2"/>
      <c r="G46" s="2"/>
      <c r="H46" s="2" t="s">
        <v>184</v>
      </c>
      <c r="I46" s="63">
        <f>B46/10</f>
        <v>50</v>
      </c>
      <c r="J46" s="63"/>
      <c r="K46" s="63"/>
      <c r="L46" s="2"/>
      <c r="M46" s="2"/>
      <c r="N46" s="63" t="s">
        <v>1648</v>
      </c>
    </row>
    <row r="47" spans="1:15">
      <c r="A47" s="2"/>
      <c r="B47" s="63"/>
      <c r="C47" s="2"/>
      <c r="D47" s="2"/>
      <c r="E47" s="2"/>
      <c r="F47" s="2"/>
      <c r="G47" s="2"/>
      <c r="H47" s="2" t="s">
        <v>185</v>
      </c>
      <c r="I47" s="63">
        <f>I46</f>
        <v>50</v>
      </c>
      <c r="J47" s="63"/>
      <c r="K47" s="63"/>
      <c r="L47" s="2"/>
      <c r="M47" s="2"/>
      <c r="N47" s="63" t="s">
        <v>1649</v>
      </c>
    </row>
    <row r="48" spans="1:15">
      <c r="A48" s="2"/>
      <c r="B48" s="63"/>
      <c r="C48" s="2"/>
      <c r="D48" s="2"/>
      <c r="E48" s="2"/>
      <c r="F48" s="2"/>
      <c r="G48" s="2"/>
      <c r="H48" s="2"/>
      <c r="I48" s="63"/>
      <c r="J48" s="63"/>
      <c r="K48" s="63"/>
      <c r="L48" s="2"/>
      <c r="M48" s="2"/>
      <c r="N48" s="63"/>
    </row>
    <row r="49" spans="1:15">
      <c r="A49" s="51" t="s">
        <v>177</v>
      </c>
      <c r="B49" s="63"/>
      <c r="C49" s="2"/>
      <c r="D49" s="2"/>
      <c r="E49" s="2"/>
      <c r="F49" s="2"/>
      <c r="G49" s="2"/>
      <c r="H49" s="2"/>
      <c r="I49" s="63"/>
      <c r="J49" s="63"/>
      <c r="K49" s="63"/>
      <c r="L49" s="2"/>
      <c r="M49" s="2"/>
      <c r="N49" s="63"/>
    </row>
    <row r="50" spans="1:15">
      <c r="A50" s="2"/>
      <c r="B50" s="62" t="s">
        <v>178</v>
      </c>
      <c r="C50" s="2"/>
      <c r="D50" s="2"/>
      <c r="E50" s="2"/>
      <c r="F50" s="2"/>
      <c r="G50" s="2"/>
      <c r="H50" s="2"/>
      <c r="I50" s="62" t="s">
        <v>56</v>
      </c>
      <c r="J50" s="62" t="s">
        <v>57</v>
      </c>
      <c r="K50" s="62"/>
      <c r="L50" s="47"/>
      <c r="M50" s="47"/>
      <c r="N50" s="62" t="s">
        <v>1612</v>
      </c>
    </row>
    <row r="51" spans="1:15">
      <c r="A51" s="2" t="s">
        <v>210</v>
      </c>
      <c r="B51" s="63">
        <v>500</v>
      </c>
      <c r="C51" s="2"/>
      <c r="D51" s="2"/>
      <c r="E51" s="2"/>
      <c r="F51" s="2"/>
      <c r="G51" s="2"/>
      <c r="H51" s="2" t="s">
        <v>184</v>
      </c>
      <c r="I51" s="63">
        <f>B51/10</f>
        <v>50</v>
      </c>
      <c r="J51" s="63"/>
      <c r="K51" s="63"/>
      <c r="L51" s="2"/>
      <c r="M51" s="2"/>
      <c r="N51" s="63" t="s">
        <v>1648</v>
      </c>
      <c r="O51" t="s">
        <v>207</v>
      </c>
    </row>
    <row r="52" spans="1:15">
      <c r="A52" s="2"/>
      <c r="B52" s="63"/>
      <c r="C52" s="2"/>
      <c r="D52" s="2"/>
      <c r="E52" s="2"/>
      <c r="F52" s="2"/>
      <c r="G52" s="2"/>
      <c r="H52" s="2" t="s">
        <v>185</v>
      </c>
      <c r="I52" s="63">
        <f>I51</f>
        <v>50</v>
      </c>
      <c r="J52" s="63"/>
      <c r="K52" s="63"/>
      <c r="L52" s="2"/>
      <c r="M52" s="2"/>
      <c r="N52" s="63" t="s">
        <v>1649</v>
      </c>
    </row>
    <row r="53" spans="1:15">
      <c r="A53" s="2" t="s">
        <v>209</v>
      </c>
      <c r="B53" s="63">
        <v>90000</v>
      </c>
      <c r="C53" s="2"/>
      <c r="D53" s="2"/>
      <c r="E53" s="2"/>
      <c r="F53" s="2"/>
      <c r="G53" s="2"/>
      <c r="H53" s="2" t="s">
        <v>184</v>
      </c>
      <c r="I53" s="63">
        <f>B53/450</f>
        <v>200</v>
      </c>
      <c r="J53" s="63"/>
      <c r="K53" s="63"/>
      <c r="L53" s="2"/>
      <c r="M53" s="2"/>
      <c r="N53" s="63" t="s">
        <v>1661</v>
      </c>
      <c r="O53" t="s">
        <v>205</v>
      </c>
    </row>
    <row r="54" spans="1:15">
      <c r="A54" s="2"/>
      <c r="B54" s="63"/>
      <c r="C54" s="2"/>
      <c r="D54" s="2"/>
      <c r="E54" s="2"/>
      <c r="F54" s="2"/>
      <c r="G54" s="2"/>
      <c r="H54" s="2" t="s">
        <v>185</v>
      </c>
      <c r="I54" s="63">
        <f>I53</f>
        <v>200</v>
      </c>
      <c r="J54" s="63"/>
      <c r="K54" s="63"/>
      <c r="L54" s="2"/>
      <c r="M54" s="2"/>
      <c r="N54" s="63" t="s">
        <v>1662</v>
      </c>
    </row>
    <row r="55" spans="1:15">
      <c r="A55" s="2"/>
      <c r="B55" s="63"/>
      <c r="C55" s="2"/>
      <c r="D55" s="2"/>
      <c r="E55" s="2"/>
      <c r="F55" s="2"/>
      <c r="G55" s="2"/>
      <c r="H55" s="2"/>
      <c r="I55" s="63"/>
      <c r="J55" s="63"/>
      <c r="K55" s="63"/>
      <c r="L55" s="2"/>
      <c r="M55" s="2"/>
      <c r="N55" s="63"/>
    </row>
    <row r="56" spans="1:15">
      <c r="A56" s="2"/>
      <c r="B56" s="63"/>
      <c r="C56" s="2"/>
      <c r="D56" s="2"/>
      <c r="E56" s="2"/>
      <c r="F56" s="2"/>
      <c r="G56" s="2"/>
      <c r="H56" s="2"/>
      <c r="I56" s="63"/>
      <c r="J56" s="63"/>
      <c r="K56" s="63"/>
      <c r="L56" s="2"/>
      <c r="M56" s="2"/>
      <c r="N56" s="63"/>
    </row>
    <row r="57" spans="1:15">
      <c r="A57" s="2"/>
      <c r="B57" s="63"/>
      <c r="C57" s="2"/>
      <c r="D57" s="2"/>
      <c r="E57" s="2"/>
      <c r="F57" s="2"/>
      <c r="G57" s="2"/>
      <c r="H57" s="2"/>
      <c r="I57" s="63"/>
      <c r="J57" s="63"/>
      <c r="K57" s="63"/>
      <c r="L57" s="2"/>
      <c r="M57" s="2"/>
      <c r="N57" s="63"/>
    </row>
    <row r="58" spans="1:15">
      <c r="A58" s="2"/>
      <c r="B58" s="63"/>
      <c r="C58" s="2"/>
      <c r="D58" s="2"/>
      <c r="E58" s="2"/>
      <c r="F58" s="2"/>
      <c r="G58" s="2"/>
      <c r="H58" s="2"/>
      <c r="I58" s="63"/>
      <c r="J58" s="63"/>
      <c r="K58" s="63"/>
      <c r="L58" s="2"/>
      <c r="M58" s="2"/>
      <c r="N58" s="63"/>
    </row>
    <row r="59" spans="1:15">
      <c r="A59" s="2"/>
      <c r="B59" s="63"/>
      <c r="C59" s="2"/>
      <c r="D59" s="2"/>
      <c r="E59" s="2"/>
      <c r="F59" s="2"/>
      <c r="G59" s="2"/>
      <c r="H59" s="2"/>
      <c r="I59" s="63"/>
      <c r="J59" s="63"/>
      <c r="K59" s="63"/>
      <c r="L59" s="2"/>
      <c r="M59" s="2"/>
      <c r="N59" s="63"/>
    </row>
    <row r="60" spans="1:15">
      <c r="A60" s="2"/>
      <c r="B60" s="63"/>
      <c r="C60" s="2"/>
      <c r="D60" s="2"/>
      <c r="E60" s="2"/>
      <c r="F60" s="2"/>
      <c r="G60" s="2"/>
      <c r="H60" s="2"/>
      <c r="I60" s="63"/>
      <c r="J60" s="63"/>
      <c r="K60" s="63"/>
      <c r="L60" s="2"/>
      <c r="M60" s="2"/>
      <c r="N60" s="63"/>
    </row>
    <row r="61" spans="1:15">
      <c r="A61" s="2"/>
      <c r="B61" s="63"/>
      <c r="C61" s="2"/>
      <c r="D61" s="2"/>
      <c r="E61" s="2"/>
      <c r="F61" s="2"/>
      <c r="G61" s="2"/>
      <c r="H61" s="2"/>
      <c r="I61" s="63"/>
      <c r="J61" s="63"/>
      <c r="K61" s="63"/>
      <c r="L61" s="2"/>
      <c r="M61" s="2"/>
      <c r="N61" s="63"/>
    </row>
    <row r="62" spans="1:15">
      <c r="A62" s="2"/>
      <c r="B62" s="63"/>
      <c r="C62" s="2"/>
      <c r="D62" s="2"/>
      <c r="E62" s="2"/>
      <c r="F62" s="2"/>
      <c r="G62" s="2"/>
      <c r="H62" s="2"/>
      <c r="I62" s="63"/>
      <c r="J62" s="63"/>
      <c r="K62" s="63"/>
      <c r="L62" s="2"/>
      <c r="M62" s="2"/>
      <c r="N62" s="63"/>
    </row>
    <row r="63" spans="1:15">
      <c r="A63" s="2"/>
      <c r="B63" s="63"/>
      <c r="C63" s="2"/>
      <c r="D63" s="2"/>
      <c r="E63" s="2"/>
      <c r="F63" s="2"/>
      <c r="G63" s="2"/>
      <c r="H63" s="2"/>
      <c r="I63" s="63"/>
      <c r="J63" s="63"/>
      <c r="K63" s="63"/>
      <c r="L63" s="2"/>
      <c r="M63" s="2"/>
      <c r="N63" s="63"/>
    </row>
    <row r="64" spans="1:15">
      <c r="A64" s="2"/>
      <c r="B64" s="63"/>
      <c r="C64" s="2"/>
      <c r="D64" s="2"/>
      <c r="E64" s="2"/>
      <c r="F64" s="2"/>
      <c r="G64" s="2"/>
      <c r="H64" s="2"/>
      <c r="I64" s="63"/>
      <c r="J64" s="63"/>
      <c r="K64" s="63"/>
      <c r="L64" s="2"/>
      <c r="M64" s="2"/>
      <c r="N64" s="63"/>
    </row>
    <row r="65" spans="1:14">
      <c r="A65" s="2"/>
      <c r="B65" s="63"/>
      <c r="C65" s="2"/>
      <c r="D65" s="2"/>
      <c r="E65" s="2"/>
      <c r="F65" s="2"/>
      <c r="G65" s="2"/>
      <c r="H65" s="2"/>
      <c r="I65" s="63"/>
      <c r="J65" s="63"/>
      <c r="K65" s="63"/>
      <c r="L65" s="2"/>
      <c r="M65" s="2"/>
      <c r="N65" s="63"/>
    </row>
    <row r="66" spans="1:14">
      <c r="A66" s="2"/>
      <c r="B66" s="63"/>
      <c r="C66" s="2"/>
      <c r="D66" s="2"/>
      <c r="E66" s="2"/>
      <c r="F66" s="2"/>
      <c r="G66" s="2"/>
      <c r="H66" s="2"/>
      <c r="I66" s="63"/>
      <c r="J66" s="63"/>
      <c r="K66" s="63"/>
      <c r="L66" s="2"/>
      <c r="M66" s="2"/>
      <c r="N66" s="63"/>
    </row>
    <row r="67" spans="1:14">
      <c r="A67" s="2"/>
      <c r="B67" s="63"/>
      <c r="C67" s="2"/>
      <c r="D67" s="2"/>
      <c r="E67" s="2"/>
      <c r="F67" s="2"/>
      <c r="G67" s="2"/>
      <c r="H67" s="2"/>
      <c r="I67" s="63"/>
      <c r="J67" s="63"/>
      <c r="K67" s="63"/>
      <c r="L67" s="2"/>
      <c r="M67" s="2"/>
      <c r="N67" s="63"/>
    </row>
    <row r="68" spans="1:14">
      <c r="A68" s="2"/>
      <c r="B68" s="63"/>
      <c r="C68" s="2"/>
      <c r="D68" s="2"/>
      <c r="E68" s="2"/>
      <c r="F68" s="2"/>
      <c r="G68" s="2"/>
      <c r="H68" s="2"/>
      <c r="I68" s="63"/>
      <c r="J68" s="63"/>
      <c r="K68" s="63"/>
      <c r="L68" s="2"/>
      <c r="M68" s="2"/>
      <c r="N68" s="63"/>
    </row>
    <row r="69" spans="1:14">
      <c r="A69" s="2"/>
      <c r="B69" s="63"/>
      <c r="C69" s="2"/>
      <c r="D69" s="2"/>
      <c r="E69" s="2"/>
      <c r="F69" s="2"/>
      <c r="G69" s="2"/>
      <c r="H69" s="2"/>
      <c r="I69" s="63"/>
      <c r="J69" s="63"/>
      <c r="K69" s="63"/>
      <c r="L69" s="2"/>
      <c r="M69" s="2"/>
      <c r="N69" s="63"/>
    </row>
    <row r="70" spans="1:14">
      <c r="A70" s="2"/>
      <c r="B70" s="63"/>
      <c r="C70" s="2"/>
      <c r="D70" s="2"/>
      <c r="E70" s="2"/>
      <c r="F70" s="2"/>
      <c r="G70" s="2"/>
      <c r="H70" s="2"/>
      <c r="I70" s="63"/>
      <c r="J70" s="63"/>
      <c r="K70" s="63"/>
      <c r="L70" s="2"/>
      <c r="M70" s="2"/>
      <c r="N70" s="63"/>
    </row>
    <row r="71" spans="1:14">
      <c r="A71" s="2"/>
      <c r="B71" s="63"/>
      <c r="C71" s="2"/>
      <c r="D71" s="2"/>
      <c r="E71" s="2"/>
      <c r="F71" s="2"/>
      <c r="G71" s="2"/>
      <c r="H71" s="2"/>
      <c r="I71" s="63"/>
      <c r="J71" s="63"/>
      <c r="K71" s="63"/>
      <c r="L71" s="2"/>
      <c r="M71" s="2"/>
      <c r="N71" s="63"/>
    </row>
    <row r="72" spans="1:14">
      <c r="A72" s="2"/>
      <c r="B72" s="63"/>
      <c r="C72" s="2"/>
      <c r="D72" s="2"/>
      <c r="E72" s="2"/>
      <c r="F72" s="2"/>
      <c r="G72" s="2"/>
      <c r="H72" s="2"/>
      <c r="I72" s="63"/>
      <c r="J72" s="63"/>
      <c r="K72" s="63"/>
      <c r="L72" s="2"/>
      <c r="M72" s="2"/>
      <c r="N72" s="63"/>
    </row>
    <row r="73" spans="1:14">
      <c r="A73" s="2"/>
      <c r="B73" s="63"/>
      <c r="C73" s="2"/>
      <c r="D73" s="2"/>
      <c r="E73" s="2"/>
      <c r="F73" s="2"/>
      <c r="G73" s="2"/>
      <c r="H73" s="2"/>
      <c r="I73" s="63"/>
      <c r="J73" s="63"/>
      <c r="K73" s="63"/>
      <c r="L73" s="2"/>
      <c r="M73" s="2"/>
      <c r="N73" s="63"/>
    </row>
    <row r="74" spans="1:14">
      <c r="A74" s="2"/>
      <c r="B74" s="63"/>
      <c r="C74" s="2"/>
      <c r="D74" s="2"/>
      <c r="E74" s="2"/>
      <c r="F74" s="2"/>
      <c r="G74" s="2"/>
      <c r="H74" s="2"/>
      <c r="I74" s="63"/>
      <c r="J74" s="63"/>
      <c r="K74" s="63"/>
      <c r="L74" s="2"/>
      <c r="M74" s="2"/>
      <c r="N74" s="63"/>
    </row>
    <row r="75" spans="1:14">
      <c r="A75" s="2"/>
      <c r="B75" s="63"/>
      <c r="C75" s="2"/>
      <c r="D75" s="2"/>
      <c r="E75" s="2"/>
      <c r="F75" s="2"/>
      <c r="G75" s="2"/>
      <c r="H75" s="2"/>
      <c r="I75" s="63"/>
      <c r="J75" s="63"/>
      <c r="K75" s="63"/>
      <c r="L75" s="2"/>
      <c r="M75" s="2"/>
      <c r="N75" s="63"/>
    </row>
    <row r="76" spans="1:14">
      <c r="A76" s="2"/>
      <c r="B76" s="63"/>
      <c r="C76" s="2"/>
      <c r="D76" s="2"/>
      <c r="E76" s="2"/>
      <c r="F76" s="2"/>
      <c r="G76" s="2"/>
      <c r="H76" s="2"/>
      <c r="I76" s="63"/>
      <c r="J76" s="63"/>
      <c r="K76" s="63"/>
      <c r="L76" s="2"/>
      <c r="M76" s="2"/>
      <c r="N76" s="63"/>
    </row>
    <row r="77" spans="1:14">
      <c r="A77" s="2"/>
      <c r="B77" s="63"/>
      <c r="C77" s="2"/>
      <c r="D77" s="2"/>
      <c r="E77" s="2"/>
      <c r="F77" s="2"/>
      <c r="G77" s="2"/>
      <c r="H77" s="2"/>
      <c r="I77" s="63"/>
      <c r="J77" s="63"/>
      <c r="K77" s="63"/>
      <c r="L77" s="2"/>
      <c r="M77" s="2"/>
      <c r="N77" s="63"/>
    </row>
    <row r="78" spans="1:14">
      <c r="A78" s="2"/>
      <c r="B78" s="63"/>
      <c r="C78" s="2"/>
      <c r="D78" s="2"/>
      <c r="E78" s="2"/>
      <c r="F78" s="2"/>
      <c r="G78" s="2"/>
      <c r="H78" s="2"/>
      <c r="I78" s="63"/>
      <c r="J78" s="63"/>
      <c r="K78" s="63"/>
      <c r="L78" s="2"/>
      <c r="M78" s="2"/>
      <c r="N78" s="63"/>
    </row>
    <row r="79" spans="1:14">
      <c r="A79" s="2"/>
      <c r="B79" s="63"/>
      <c r="C79" s="2"/>
      <c r="D79" s="2"/>
      <c r="E79" s="2"/>
      <c r="F79" s="2"/>
      <c r="G79" s="2"/>
      <c r="H79" s="2"/>
      <c r="I79" s="63"/>
      <c r="J79" s="63"/>
      <c r="K79" s="63"/>
      <c r="L79" s="2"/>
      <c r="M79" s="2"/>
      <c r="N79" s="63"/>
    </row>
    <row r="80" spans="1:14">
      <c r="A80" s="2"/>
      <c r="B80" s="63"/>
      <c r="C80" s="2"/>
      <c r="D80" s="2"/>
      <c r="E80" s="2"/>
      <c r="F80" s="2"/>
      <c r="G80" s="2"/>
      <c r="H80" s="2"/>
      <c r="I80" s="63"/>
      <c r="J80" s="63"/>
      <c r="K80" s="63"/>
      <c r="L80" s="2"/>
      <c r="M80" s="2"/>
      <c r="N80" s="63"/>
    </row>
    <row r="81" spans="1:14">
      <c r="A81" s="2"/>
      <c r="B81" s="63"/>
      <c r="C81" s="2"/>
      <c r="D81" s="2"/>
      <c r="E81" s="2"/>
      <c r="F81" s="2"/>
      <c r="G81" s="2"/>
      <c r="H81" s="2"/>
      <c r="I81" s="63"/>
      <c r="J81" s="63"/>
      <c r="K81" s="63"/>
      <c r="L81" s="2"/>
      <c r="M81" s="2"/>
      <c r="N81" s="63"/>
    </row>
    <row r="82" spans="1:14">
      <c r="A82" s="2"/>
      <c r="B82" s="63"/>
      <c r="C82" s="2"/>
      <c r="D82" s="2"/>
      <c r="E82" s="2"/>
      <c r="F82" s="2"/>
      <c r="G82" s="2"/>
      <c r="H82" s="2"/>
      <c r="I82" s="63"/>
      <c r="J82" s="63"/>
      <c r="K82" s="63"/>
      <c r="L82" s="2"/>
      <c r="M82" s="2"/>
      <c r="N82" s="63"/>
    </row>
    <row r="83" spans="1:14">
      <c r="A83" s="2"/>
      <c r="B83" s="63"/>
      <c r="C83" s="2"/>
      <c r="D83" s="2"/>
      <c r="E83" s="2"/>
      <c r="F83" s="2"/>
      <c r="G83" s="2"/>
      <c r="H83" s="2"/>
      <c r="I83" s="63"/>
      <c r="J83" s="63"/>
      <c r="K83" s="63"/>
      <c r="L83" s="2"/>
      <c r="M83" s="2"/>
      <c r="N83" s="6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1CAF-A78C-4ED8-8466-269FBB2DE1A1}">
  <sheetPr codeName="Sheet9"/>
  <dimension ref="A1:O82"/>
  <sheetViews>
    <sheetView workbookViewId="0">
      <selection activeCell="B2" sqref="B2:C20"/>
    </sheetView>
  </sheetViews>
  <sheetFormatPr defaultRowHeight="15"/>
  <cols>
    <col min="1" max="1" width="33.42578125" customWidth="1"/>
    <col min="2" max="2" width="29.5703125" customWidth="1"/>
    <col min="6" max="6" width="23.5703125" customWidth="1"/>
    <col min="7" max="7" width="27.42578125" customWidth="1"/>
    <col min="11" max="11" width="12" customWidth="1"/>
    <col min="14" max="14" width="20.7109375" customWidth="1"/>
  </cols>
  <sheetData>
    <row r="1" spans="1:7">
      <c r="A1" s="38" t="s">
        <v>1612</v>
      </c>
      <c r="B1" s="45" t="s">
        <v>1371</v>
      </c>
      <c r="C1" s="45" t="s">
        <v>1372</v>
      </c>
      <c r="D1" s="45" t="s">
        <v>1573</v>
      </c>
      <c r="E1" s="37"/>
      <c r="F1" s="45" t="s">
        <v>1575</v>
      </c>
      <c r="G1" s="38" t="s">
        <v>1576</v>
      </c>
    </row>
    <row r="2" spans="1:7">
      <c r="A2" s="37" t="str" cm="1">
        <f t="array" ref="A2:A10">_xlfn.UNIQUE(_xlfn._xlws.FILTER(N23:N82,(ISTEXT(N23:N82))*(N23:N82&lt;&gt;"Excluded")*(N23:N82&lt;&gt;"Included in industry")*(N23:N82&lt;&gt;"unittype")))</f>
        <v>gasHOB</v>
      </c>
      <c r="B2" s="46">
        <f>IF(COUNTIF($A2,"*HOB*")+COUNTIF($A2,"*charger*")+COUNTIF($A2,"*disch*")+COUNTIF($A2,"GSHP")+COUNTIF($A2,"elecHOB"),SUMIF($N$23:$N$82,$A2,$I$23:$I$82),SUMIF($N$23:$N$82,$A2,$J$23:$J$82))</f>
        <v>235</v>
      </c>
      <c r="C2" s="46">
        <f>IF(COUNTIF($A2,"*HOB*")+COUNTIF($A2,"*charger*")+COUNTIF($A2,"*disch*")+COUNTIF($A2,"GSHP")+COUNTIF($A2,"elecHOB"),SUMIF($N$23:$N$82,$A2,$J$23:$J$82),SUMIF($N$23:$N$82,$A2,$I$23:$I$82))</f>
        <v>0</v>
      </c>
      <c r="D2" s="46" t="str">
        <f>IF(COUNTIFS($K$23:$K$82,"&gt;0",$N$23:$N$82,$A2)=COUNTIF($N$23:$N$82,$A2),SUMIF($N$23:$N$82,$A2,$K$23:$K$82),"")</f>
        <v/>
      </c>
      <c r="E2" s="37"/>
      <c r="F2" s="46" t="str">
        <f>IF(ISTEXT($A2),IF(COUNTIFS(unitdata_Finland!$B$3:$B$85,$A2,unitdata_Finland!$C$3:$C$85,"*TRE*"),"","Add the unit!"),"")</f>
        <v/>
      </c>
      <c r="G2" s="46" t="str">
        <f>IF(COUNTIFS(unitdata_Finland!$B$3:$B$85,$A2,unitdata_Finland!$C$3:$C$85,"*TRE*")&gt;1,"Warning!","")</f>
        <v/>
      </c>
    </row>
    <row r="3" spans="1:7">
      <c r="A3" s="37" t="str">
        <v>oilHOB</v>
      </c>
      <c r="B3" s="46">
        <f t="shared" ref="B3:B20" si="0">IF(COUNTIF($A3,"*HOB*")+COUNTIF($A3,"*charger*")+COUNTIF($A3,"*disch*")+COUNTIF($A3,"GSHP")+COUNTIF($A3,"elecHOB"),SUMIF($N$23:$N$82,$A3,$I$23:$I$82),SUMIF($N$23:$N$82,$A3,$J$23:$J$82))</f>
        <v>305</v>
      </c>
      <c r="C3" s="46">
        <f t="shared" ref="C3:C20" si="1">IF(COUNTIF($A3,"*HOB*")+COUNTIF($A3,"*charger*")+COUNTIF($A3,"*disch*")+COUNTIF($A3,"GSHP")+COUNTIF($A3,"elecHOB"),SUMIF($N$23:$N$82,$A3,$J$23:$J$82),SUMIF($N$23:$N$82,$A3,$I$23:$I$82))</f>
        <v>0</v>
      </c>
      <c r="D3" s="46" t="str">
        <f t="shared" ref="D3:D20" si="2">IF(COUNTIFS($K$23:$K$82,"&gt;0",$N$23:$N$82,$A3)=COUNTIF($N$23:$N$82,$A3),SUMIF($N$23:$N$82,$A3,$K$23:$K$82),"")</f>
        <v/>
      </c>
      <c r="E3" s="37"/>
      <c r="F3" s="46" t="str">
        <f>IF(ISTEXT($A3),IF(COUNTIFS(unitdata_Finland!$B$3:$B$85,$A3,unitdata_Finland!$C$3:$C$85,"*TRE*"),"","Add the unit!"),"")</f>
        <v/>
      </c>
      <c r="G3" s="46" t="str">
        <f>IF(COUNTIFS(unitdata_Finland!$B$3:$B$85,$A3,unitdata_Finland!$C$3:$C$85,"*TRE*")&gt;1,"Warning!","")</f>
        <v/>
      </c>
    </row>
    <row r="4" spans="1:7">
      <c r="A4" s="37" t="str">
        <v>bioHOB</v>
      </c>
      <c r="B4" s="46">
        <f t="shared" si="0"/>
        <v>92</v>
      </c>
      <c r="C4" s="46">
        <f t="shared" si="1"/>
        <v>0</v>
      </c>
      <c r="D4" s="46" t="str">
        <f t="shared" si="2"/>
        <v/>
      </c>
      <c r="E4" s="37"/>
      <c r="F4" s="46" t="str">
        <f>IF(ISTEXT($A4),IF(COUNTIFS(unitdata_Finland!$B$3:$B$85,$A4,unitdata_Finland!$C$3:$C$85,"*TRE*"),"","Add the unit!"),"")</f>
        <v/>
      </c>
      <c r="G4" s="46" t="str">
        <f>IF(COUNTIFS(unitdata_Finland!$B$3:$B$85,$A4,unitdata_Finland!$C$3:$C$85,"*TRE*")&gt;1,"Warning!","")</f>
        <v/>
      </c>
    </row>
    <row r="5" spans="1:7">
      <c r="A5" s="37" t="str">
        <v>elecHOB</v>
      </c>
      <c r="B5" s="46">
        <f t="shared" si="0"/>
        <v>145</v>
      </c>
      <c r="C5" s="46">
        <f t="shared" si="1"/>
        <v>0</v>
      </c>
      <c r="D5" s="46" t="str">
        <f t="shared" si="2"/>
        <v/>
      </c>
      <c r="E5" s="37"/>
      <c r="F5" s="46" t="str">
        <f>IF(ISTEXT($A5),IF(COUNTIFS(unitdata_Finland!$B$3:$B$85,$A5,unitdata_Finland!$C$3:$C$85,"*TRE*"),"","Add the unit!"),"")</f>
        <v/>
      </c>
      <c r="G5" s="46" t="str">
        <f>IF(COUNTIFS(unitdata_Finland!$B$3:$B$85,$A5,unitdata_Finland!$C$3:$C$85,"*TRE*")&gt;1,"Warning!","")</f>
        <v/>
      </c>
    </row>
    <row r="6" spans="1:7">
      <c r="A6" s="37" t="str">
        <v>bioCHP</v>
      </c>
      <c r="B6" s="46">
        <f t="shared" si="0"/>
        <v>55</v>
      </c>
      <c r="C6" s="46">
        <f t="shared" si="1"/>
        <v>160</v>
      </c>
      <c r="D6" s="46">
        <f t="shared" si="2"/>
        <v>210</v>
      </c>
      <c r="E6" s="37"/>
      <c r="F6" s="46" t="str">
        <f>IF(ISTEXT($A6),IF(COUNTIFS(unitdata_Finland!$B$3:$B$85,$A6,unitdata_Finland!$C$3:$C$85,"*TRE*"),"","Add the unit!"),"")</f>
        <v/>
      </c>
      <c r="G6" s="46" t="str">
        <f>IF(COUNTIFS(unitdata_Finland!$B$3:$B$85,$A6,unitdata_Finland!$C$3:$C$85,"*TRE*")&gt;1,"Warning!","")</f>
        <v/>
      </c>
    </row>
    <row r="7" spans="1:7">
      <c r="A7" s="37" t="str">
        <v>gasCCGTCHP</v>
      </c>
      <c r="B7" s="46">
        <f t="shared" si="0"/>
        <v>147</v>
      </c>
      <c r="C7" s="46">
        <f t="shared" si="1"/>
        <v>170</v>
      </c>
      <c r="D7" s="46">
        <f t="shared" si="2"/>
        <v>336</v>
      </c>
      <c r="E7" s="37"/>
      <c r="F7" s="46" t="str">
        <f>IF(ISTEXT($A7),IF(COUNTIFS(unitdata_Finland!$B$3:$B$85,$A7,unitdata_Finland!$C$3:$C$85,"*TRE*"),"","Add the unit!"),"")</f>
        <v/>
      </c>
      <c r="G7" s="46" t="str">
        <f>IF(COUNTIFS(unitdata_Finland!$B$3:$B$85,$A7,unitdata_Finland!$C$3:$C$85,"*TRE*")&gt;1,"Warning!","")</f>
        <v/>
      </c>
    </row>
    <row r="8" spans="1:7">
      <c r="A8" s="37" t="str">
        <v>wasteCHP</v>
      </c>
      <c r="B8" s="46">
        <f t="shared" si="0"/>
        <v>12</v>
      </c>
      <c r="C8" s="46">
        <f t="shared" si="1"/>
        <v>46</v>
      </c>
      <c r="D8" s="46">
        <f t="shared" si="2"/>
        <v>66</v>
      </c>
      <c r="E8" s="37"/>
      <c r="F8" s="46" t="str">
        <f>IF(ISTEXT($A8),IF(COUNTIFS(unitdata_Finland!$B$3:$B$85,$A8,unitdata_Finland!$C$3:$C$85,"*TRE*"),"","Add the unit!"),"")</f>
        <v/>
      </c>
      <c r="G8" s="46" t="str">
        <f>IF(COUNTIFS(unitdata_Finland!$B$3:$B$85,$A8,unitdata_Finland!$C$3:$C$85,"*TRE*")&gt;1,"Warning!","")</f>
        <v/>
      </c>
    </row>
    <row r="9" spans="1:7">
      <c r="A9" s="37" t="str">
        <v>HeatStorageCharger</v>
      </c>
      <c r="B9" s="46">
        <f t="shared" si="0"/>
        <v>100</v>
      </c>
      <c r="C9" s="46">
        <f t="shared" si="1"/>
        <v>0</v>
      </c>
      <c r="D9" s="46" t="str">
        <f t="shared" si="2"/>
        <v/>
      </c>
      <c r="E9" s="37"/>
      <c r="F9" s="46" t="str">
        <f>IF(ISTEXT($A9),IF(COUNTIFS(unitdata_Finland!$B$3:$B$85,$A9,unitdata_Finland!$C$3:$C$85,"*TRE*"),"","Add the unit!"),"")</f>
        <v/>
      </c>
      <c r="G9" s="46" t="str">
        <f>IF(COUNTIFS(unitdata_Finland!$B$3:$B$85,$A9,unitdata_Finland!$C$3:$C$85,"*TRE*")&gt;1,"Warning!","")</f>
        <v/>
      </c>
    </row>
    <row r="10" spans="1:7">
      <c r="A10" s="37" t="str">
        <v>HeatStorageDisch</v>
      </c>
      <c r="B10" s="46">
        <f t="shared" si="0"/>
        <v>100</v>
      </c>
      <c r="C10" s="46">
        <f t="shared" si="1"/>
        <v>0</v>
      </c>
      <c r="D10" s="46" t="str">
        <f t="shared" si="2"/>
        <v/>
      </c>
      <c r="E10" s="37"/>
      <c r="F10" s="46" t="str">
        <f>IF(ISTEXT($A10),IF(COUNTIFS(unitdata_Finland!$B$3:$B$85,$A10,unitdata_Finland!$C$3:$C$85,"*TRE*"),"","Add the unit!"),"")</f>
        <v/>
      </c>
      <c r="G10" s="46" t="str">
        <f>IF(COUNTIFS(unitdata_Finland!$B$3:$B$85,$A10,unitdata_Finland!$C$3:$C$85,"*TRE*")&gt;1,"Warning!","")</f>
        <v/>
      </c>
    </row>
    <row r="11" spans="1:7">
      <c r="A11" s="37"/>
      <c r="B11" s="46">
        <f t="shared" si="0"/>
        <v>0</v>
      </c>
      <c r="C11" s="46">
        <f t="shared" si="1"/>
        <v>0</v>
      </c>
      <c r="D11" s="46">
        <f t="shared" si="2"/>
        <v>0</v>
      </c>
      <c r="E11" s="37"/>
      <c r="F11" s="46" t="str">
        <f>IF(ISTEXT($A11),IF(COUNTIFS(unitdata_Finland!$B$3:$B$85,$A11,unitdata_Finland!$C$3:$C$85,"*TRE*"),"","Add the unit!"),"")</f>
        <v/>
      </c>
      <c r="G11" s="46" t="str">
        <f>IF(COUNTIFS(unitdata_Finland!$B$3:$B$85,$A11,unitdata_Finland!$C$3:$C$85,"*TRE*")&gt;1,"Warning!","")</f>
        <v/>
      </c>
    </row>
    <row r="12" spans="1:7">
      <c r="A12" s="37"/>
      <c r="B12" s="46">
        <f t="shared" si="0"/>
        <v>0</v>
      </c>
      <c r="C12" s="46">
        <f t="shared" si="1"/>
        <v>0</v>
      </c>
      <c r="D12" s="46">
        <f t="shared" si="2"/>
        <v>0</v>
      </c>
      <c r="E12" s="37"/>
      <c r="F12" s="46" t="str">
        <f>IF(ISTEXT($A12),IF(COUNTIFS(unitdata_Finland!$B$3:$B$85,$A12,unitdata_Finland!$C$3:$C$85,"*TRE*"),"","Add the unit!"),"")</f>
        <v/>
      </c>
      <c r="G12" s="46" t="str">
        <f>IF(COUNTIFS(unitdata_Finland!$B$3:$B$85,$A12,unitdata_Finland!$C$3:$C$85,"*TRE*")&gt;1,"Warning!","")</f>
        <v/>
      </c>
    </row>
    <row r="13" spans="1:7">
      <c r="A13" s="37"/>
      <c r="B13" s="46">
        <f t="shared" si="0"/>
        <v>0</v>
      </c>
      <c r="C13" s="46">
        <f t="shared" si="1"/>
        <v>0</v>
      </c>
      <c r="D13" s="46">
        <f t="shared" si="2"/>
        <v>0</v>
      </c>
      <c r="E13" s="37"/>
      <c r="F13" s="46" t="str">
        <f>IF(ISTEXT($A13),IF(COUNTIFS(unitdata_Finland!$B$3:$B$85,$A13,unitdata_Finland!$C$3:$C$85,"*TRE*"),"","Add the unit!"),"")</f>
        <v/>
      </c>
      <c r="G13" s="46" t="str">
        <f>IF(COUNTIFS(unitdata_Finland!$B$3:$B$85,$A13,unitdata_Finland!$C$3:$C$85,"*TRE*")&gt;1,"Warning!","")</f>
        <v/>
      </c>
    </row>
    <row r="14" spans="1:7">
      <c r="A14" s="37"/>
      <c r="B14" s="46">
        <f t="shared" si="0"/>
        <v>0</v>
      </c>
      <c r="C14" s="46">
        <f t="shared" si="1"/>
        <v>0</v>
      </c>
      <c r="D14" s="46">
        <f t="shared" si="2"/>
        <v>0</v>
      </c>
      <c r="E14" s="37"/>
      <c r="F14" s="46" t="str">
        <f>IF(ISTEXT($A14),IF(COUNTIFS(unitdata_Finland!$B$3:$B$85,$A14,unitdata_Finland!$C$3:$C$85,"*TRE*"),"","Add the unit!"),"")</f>
        <v/>
      </c>
      <c r="G14" s="46" t="str">
        <f>IF(COUNTIFS(unitdata_Finland!$B$3:$B$85,$A14,unitdata_Finland!$C$3:$C$85,"*TRE*")&gt;1,"Warning!","")</f>
        <v/>
      </c>
    </row>
    <row r="15" spans="1:7">
      <c r="A15" s="37"/>
      <c r="B15" s="46">
        <f t="shared" si="0"/>
        <v>0</v>
      </c>
      <c r="C15" s="46">
        <f t="shared" si="1"/>
        <v>0</v>
      </c>
      <c r="D15" s="46">
        <f t="shared" si="2"/>
        <v>0</v>
      </c>
      <c r="E15" s="37"/>
      <c r="F15" s="46" t="str">
        <f>IF(ISTEXT($A15),IF(COUNTIFS(unitdata_Finland!$B$3:$B$85,$A15,unitdata_Finland!$C$3:$C$85,"*TRE*"),"","Add the unit!"),"")</f>
        <v/>
      </c>
      <c r="G15" s="46" t="str">
        <f>IF(COUNTIFS(unitdata_Finland!$B$3:$B$85,$A15,unitdata_Finland!$C$3:$C$85,"*TRE*")&gt;1,"Warning!","")</f>
        <v/>
      </c>
    </row>
    <row r="16" spans="1:7">
      <c r="A16" s="37"/>
      <c r="B16" s="46">
        <f t="shared" si="0"/>
        <v>0</v>
      </c>
      <c r="C16" s="46">
        <f t="shared" si="1"/>
        <v>0</v>
      </c>
      <c r="D16" s="46">
        <f t="shared" si="2"/>
        <v>0</v>
      </c>
      <c r="E16" s="37"/>
      <c r="F16" s="46" t="str">
        <f>IF(ISTEXT($A16),IF(COUNTIFS(unitdata_Finland!$B$3:$B$85,$A16,unitdata_Finland!$C$3:$C$85,"*TRE*"),"","Add the unit!"),"")</f>
        <v/>
      </c>
      <c r="G16" s="46" t="str">
        <f>IF(COUNTIFS(unitdata_Finland!$B$3:$B$85,$A16,unitdata_Finland!$C$3:$C$85,"*TRE*")&gt;1,"Warning!","")</f>
        <v/>
      </c>
    </row>
    <row r="17" spans="1:14">
      <c r="A17" s="37"/>
      <c r="B17" s="46">
        <f t="shared" si="0"/>
        <v>0</v>
      </c>
      <c r="C17" s="46">
        <f t="shared" si="1"/>
        <v>0</v>
      </c>
      <c r="D17" s="46">
        <f t="shared" si="2"/>
        <v>0</v>
      </c>
      <c r="E17" s="37"/>
      <c r="F17" s="46" t="str">
        <f>IF(ISTEXT($A17),IF(COUNTIFS(unitdata_Finland!$B$3:$B$85,$A17,unitdata_Finland!$C$3:$C$85,"*TRE*"),"","Add the unit!"),"")</f>
        <v/>
      </c>
      <c r="G17" s="46" t="str">
        <f>IF(COUNTIFS(unitdata_Finland!$B$3:$B$85,$A17,unitdata_Finland!$C$3:$C$85,"*TRE*")&gt;1,"Warning!","")</f>
        <v/>
      </c>
    </row>
    <row r="18" spans="1:14">
      <c r="A18" s="37"/>
      <c r="B18" s="46">
        <f t="shared" si="0"/>
        <v>0</v>
      </c>
      <c r="C18" s="46">
        <f t="shared" si="1"/>
        <v>0</v>
      </c>
      <c r="D18" s="46">
        <f t="shared" si="2"/>
        <v>0</v>
      </c>
      <c r="E18" s="37"/>
      <c r="F18" s="46" t="str">
        <f>IF(ISTEXT($A18),IF(COUNTIFS(unitdata_Finland!$B$3:$B$85,$A18,unitdata_Finland!$C$3:$C$85,"*TRE*"),"","Add the unit!"),"")</f>
        <v/>
      </c>
      <c r="G18" s="46" t="str">
        <f>IF(COUNTIFS(unitdata_Finland!$B$3:$B$85,$A18,unitdata_Finland!$C$3:$C$85,"*TRE*")&gt;1,"Warning!","")</f>
        <v/>
      </c>
    </row>
    <row r="19" spans="1:14">
      <c r="A19" s="37"/>
      <c r="B19" s="46">
        <f t="shared" si="0"/>
        <v>0</v>
      </c>
      <c r="C19" s="46">
        <f t="shared" si="1"/>
        <v>0</v>
      </c>
      <c r="D19" s="46">
        <f t="shared" si="2"/>
        <v>0</v>
      </c>
      <c r="E19" s="37"/>
      <c r="F19" s="46" t="str">
        <f>IF(ISTEXT($A19),IF(COUNTIFS(unitdata_Finland!$B$3:$B$85,$A19,unitdata_Finland!$C$3:$C$85,"*TRE*"),"","Add the unit!"),"")</f>
        <v/>
      </c>
      <c r="G19" s="46" t="str">
        <f>IF(COUNTIFS(unitdata_Finland!$B$3:$B$85,$A19,unitdata_Finland!$C$3:$C$85,"*TRE*")&gt;1,"Warning!","")</f>
        <v/>
      </c>
    </row>
    <row r="20" spans="1:14">
      <c r="A20" s="37"/>
      <c r="B20" s="46">
        <f t="shared" si="0"/>
        <v>0</v>
      </c>
      <c r="C20" s="46">
        <f t="shared" si="1"/>
        <v>0</v>
      </c>
      <c r="D20" s="46">
        <f t="shared" si="2"/>
        <v>0</v>
      </c>
      <c r="E20" s="37"/>
      <c r="F20" s="46" t="str">
        <f>IF(ISTEXT($A20),IF(COUNTIFS(unitdata_Finland!$B$3:$B$85,$A20,unitdata_Finland!$C$3:$C$85,"*TRE*"),"","Add the unit!"),"")</f>
        <v/>
      </c>
      <c r="G20" s="46" t="str">
        <f>IF(COUNTIFS(unitdata_Finland!$B$3:$B$85,$A20,unitdata_Finland!$C$3:$C$85,"*TRE*")&gt;1,"Warning!","")</f>
        <v/>
      </c>
    </row>
    <row r="21" spans="1:14" ht="18.75">
      <c r="A21" s="54" t="s">
        <v>1577</v>
      </c>
      <c r="B21" s="53"/>
      <c r="C21" s="53"/>
      <c r="D21" s="53"/>
      <c r="F21" s="53"/>
      <c r="G21" s="53"/>
    </row>
    <row r="22" spans="1:14" s="10" customFormat="1">
      <c r="A22" s="47" t="s">
        <v>192</v>
      </c>
      <c r="B22" s="47"/>
      <c r="C22" s="47"/>
      <c r="D22" s="47"/>
      <c r="E22" s="47"/>
      <c r="F22" s="47"/>
      <c r="G22" s="47"/>
      <c r="H22" s="47"/>
      <c r="I22" s="62" t="s">
        <v>56</v>
      </c>
      <c r="J22" s="62" t="s">
        <v>57</v>
      </c>
      <c r="K22" s="62" t="s">
        <v>1559</v>
      </c>
      <c r="L22" s="47"/>
      <c r="M22" s="47"/>
      <c r="N22" s="62" t="s">
        <v>1612</v>
      </c>
    </row>
    <row r="23" spans="1:14">
      <c r="A23" s="48" t="s">
        <v>90</v>
      </c>
      <c r="B23" s="52" t="s">
        <v>91</v>
      </c>
      <c r="C23" s="49" t="s">
        <v>29</v>
      </c>
      <c r="D23" s="39">
        <v>2005</v>
      </c>
      <c r="E23" s="49">
        <v>1</v>
      </c>
      <c r="F23" s="39" t="s">
        <v>30</v>
      </c>
      <c r="G23" s="21">
        <v>40</v>
      </c>
      <c r="H23" s="39" t="s">
        <v>30</v>
      </c>
      <c r="I23" s="64">
        <v>40</v>
      </c>
      <c r="J23" s="65" t="s">
        <v>30</v>
      </c>
      <c r="K23" s="65"/>
      <c r="L23" s="49" t="s">
        <v>36</v>
      </c>
      <c r="M23" s="50" t="s">
        <v>30</v>
      </c>
      <c r="N23" s="69" t="s">
        <v>1657</v>
      </c>
    </row>
    <row r="24" spans="1:14">
      <c r="A24" s="48" t="s">
        <v>90</v>
      </c>
      <c r="B24" s="52" t="s">
        <v>92</v>
      </c>
      <c r="C24" s="49" t="s">
        <v>29</v>
      </c>
      <c r="D24" s="39">
        <v>1976</v>
      </c>
      <c r="E24" s="49">
        <v>3</v>
      </c>
      <c r="F24" s="39" t="s">
        <v>30</v>
      </c>
      <c r="G24" s="21">
        <v>95</v>
      </c>
      <c r="H24" s="39" t="s">
        <v>30</v>
      </c>
      <c r="I24" s="64">
        <v>95</v>
      </c>
      <c r="J24" s="65" t="s">
        <v>30</v>
      </c>
      <c r="K24" s="65"/>
      <c r="L24" s="49" t="s">
        <v>31</v>
      </c>
      <c r="M24" s="50" t="s">
        <v>30</v>
      </c>
      <c r="N24" s="69" t="s">
        <v>1654</v>
      </c>
    </row>
    <row r="25" spans="1:14">
      <c r="A25" s="48" t="s">
        <v>90</v>
      </c>
      <c r="B25" s="52" t="s">
        <v>93</v>
      </c>
      <c r="C25" s="49" t="s">
        <v>29</v>
      </c>
      <c r="D25" s="39">
        <v>1975</v>
      </c>
      <c r="E25" s="49">
        <v>1</v>
      </c>
      <c r="F25" s="39" t="s">
        <v>30</v>
      </c>
      <c r="G25" s="21">
        <v>38</v>
      </c>
      <c r="H25" s="39" t="s">
        <v>30</v>
      </c>
      <c r="I25" s="64">
        <v>38</v>
      </c>
      <c r="J25" s="65" t="s">
        <v>30</v>
      </c>
      <c r="K25" s="65"/>
      <c r="L25" s="49" t="s">
        <v>36</v>
      </c>
      <c r="M25" s="50" t="s">
        <v>30</v>
      </c>
      <c r="N25" s="69" t="s">
        <v>1657</v>
      </c>
    </row>
    <row r="26" spans="1:14">
      <c r="A26" s="48" t="s">
        <v>90</v>
      </c>
      <c r="B26" s="52" t="s">
        <v>94</v>
      </c>
      <c r="C26" s="49" t="s">
        <v>29</v>
      </c>
      <c r="D26" s="39">
        <v>2012</v>
      </c>
      <c r="E26" s="49">
        <v>1</v>
      </c>
      <c r="F26" s="39" t="s">
        <v>30</v>
      </c>
      <c r="G26" s="21">
        <v>37</v>
      </c>
      <c r="H26" s="39" t="s">
        <v>30</v>
      </c>
      <c r="I26" s="64">
        <v>37</v>
      </c>
      <c r="J26" s="65" t="s">
        <v>30</v>
      </c>
      <c r="K26" s="65"/>
      <c r="L26" s="49" t="s">
        <v>44</v>
      </c>
      <c r="M26" s="50" t="s">
        <v>30</v>
      </c>
      <c r="N26" s="65" t="s">
        <v>1653</v>
      </c>
    </row>
    <row r="27" spans="1:14">
      <c r="A27" s="48" t="s">
        <v>90</v>
      </c>
      <c r="B27" s="52" t="s">
        <v>95</v>
      </c>
      <c r="C27" s="49" t="s">
        <v>29</v>
      </c>
      <c r="D27" s="39">
        <v>1983</v>
      </c>
      <c r="E27" s="49">
        <v>1</v>
      </c>
      <c r="F27" s="39" t="s">
        <v>30</v>
      </c>
      <c r="G27" s="21">
        <v>37</v>
      </c>
      <c r="H27" s="39" t="s">
        <v>30</v>
      </c>
      <c r="I27" s="64">
        <v>37</v>
      </c>
      <c r="J27" s="65" t="s">
        <v>30</v>
      </c>
      <c r="K27" s="65"/>
      <c r="L27" s="49" t="s">
        <v>36</v>
      </c>
      <c r="M27" s="50" t="s">
        <v>30</v>
      </c>
      <c r="N27" s="65" t="s">
        <v>1657</v>
      </c>
    </row>
    <row r="28" spans="1:14">
      <c r="A28" s="48" t="s">
        <v>90</v>
      </c>
      <c r="B28" s="52" t="s">
        <v>96</v>
      </c>
      <c r="C28" s="49" t="s">
        <v>29</v>
      </c>
      <c r="D28" s="39">
        <v>1985</v>
      </c>
      <c r="E28" s="49">
        <v>3</v>
      </c>
      <c r="F28" s="39" t="s">
        <v>30</v>
      </c>
      <c r="G28" s="21">
        <v>120</v>
      </c>
      <c r="H28" s="39" t="s">
        <v>30</v>
      </c>
      <c r="I28" s="64">
        <v>120</v>
      </c>
      <c r="J28" s="65" t="s">
        <v>30</v>
      </c>
      <c r="K28" s="65"/>
      <c r="L28" s="49" t="s">
        <v>36</v>
      </c>
      <c r="M28" s="50" t="s">
        <v>30</v>
      </c>
      <c r="N28" s="65" t="s">
        <v>1657</v>
      </c>
    </row>
    <row r="29" spans="1:14">
      <c r="A29" s="48" t="s">
        <v>90</v>
      </c>
      <c r="B29" s="52" t="s">
        <v>97</v>
      </c>
      <c r="C29" s="49" t="s">
        <v>29</v>
      </c>
      <c r="D29" s="39">
        <v>1968</v>
      </c>
      <c r="E29" s="49">
        <v>2</v>
      </c>
      <c r="F29" s="39" t="s">
        <v>30</v>
      </c>
      <c r="G29" s="21">
        <v>90</v>
      </c>
      <c r="H29" s="39" t="s">
        <v>30</v>
      </c>
      <c r="I29" s="64">
        <v>90</v>
      </c>
      <c r="J29" s="65" t="s">
        <v>30</v>
      </c>
      <c r="K29" s="65"/>
      <c r="L29" s="49" t="s">
        <v>31</v>
      </c>
      <c r="M29" s="50" t="s">
        <v>30</v>
      </c>
      <c r="N29" s="65" t="s">
        <v>1654</v>
      </c>
    </row>
    <row r="30" spans="1:14">
      <c r="A30" s="48" t="s">
        <v>90</v>
      </c>
      <c r="B30" s="52" t="s">
        <v>98</v>
      </c>
      <c r="C30" s="49" t="s">
        <v>29</v>
      </c>
      <c r="D30" s="39">
        <v>1995</v>
      </c>
      <c r="E30" s="49">
        <v>3</v>
      </c>
      <c r="F30" s="39" t="s">
        <v>30</v>
      </c>
      <c r="G30" s="21">
        <v>120</v>
      </c>
      <c r="H30" s="39" t="s">
        <v>30</v>
      </c>
      <c r="I30" s="64">
        <v>120</v>
      </c>
      <c r="J30" s="65" t="s">
        <v>30</v>
      </c>
      <c r="K30" s="65"/>
      <c r="L30" s="49" t="s">
        <v>31</v>
      </c>
      <c r="M30" s="50" t="s">
        <v>30</v>
      </c>
      <c r="N30" s="65" t="s">
        <v>1654</v>
      </c>
    </row>
    <row r="31" spans="1:14">
      <c r="A31" s="48" t="s">
        <v>90</v>
      </c>
      <c r="B31" s="52" t="s">
        <v>99</v>
      </c>
      <c r="C31" s="49" t="s">
        <v>29</v>
      </c>
      <c r="D31" s="39">
        <v>2016</v>
      </c>
      <c r="E31" s="49">
        <v>1</v>
      </c>
      <c r="F31" s="39" t="s">
        <v>30</v>
      </c>
      <c r="G31" s="21">
        <v>42</v>
      </c>
      <c r="H31" s="39">
        <v>13</v>
      </c>
      <c r="I31" s="64">
        <v>55</v>
      </c>
      <c r="J31" s="65" t="s">
        <v>30</v>
      </c>
      <c r="K31" s="65"/>
      <c r="L31" s="49" t="s">
        <v>46</v>
      </c>
      <c r="M31" s="50" t="s">
        <v>30</v>
      </c>
      <c r="N31" s="65" t="s">
        <v>1653</v>
      </c>
    </row>
    <row r="32" spans="1:14">
      <c r="A32" s="48" t="s">
        <v>90</v>
      </c>
      <c r="B32" s="52" t="s">
        <v>100</v>
      </c>
      <c r="C32" s="49" t="s">
        <v>29</v>
      </c>
      <c r="D32" s="39">
        <v>2023</v>
      </c>
      <c r="E32" s="49">
        <v>1</v>
      </c>
      <c r="F32" s="39" t="s">
        <v>30</v>
      </c>
      <c r="G32" s="21">
        <v>45</v>
      </c>
      <c r="H32" s="39" t="s">
        <v>30</v>
      </c>
      <c r="I32" s="64">
        <v>45</v>
      </c>
      <c r="J32" s="65" t="s">
        <v>30</v>
      </c>
      <c r="K32" s="65"/>
      <c r="L32" s="49" t="s">
        <v>77</v>
      </c>
      <c r="M32" s="50" t="s">
        <v>30</v>
      </c>
      <c r="N32" s="65" t="s">
        <v>1652</v>
      </c>
    </row>
    <row r="33" spans="1:15">
      <c r="A33" s="48" t="s">
        <v>90</v>
      </c>
      <c r="B33" s="52" t="s">
        <v>101</v>
      </c>
      <c r="C33" s="49" t="s">
        <v>52</v>
      </c>
      <c r="D33" s="39">
        <v>2022</v>
      </c>
      <c r="E33" s="49">
        <v>1</v>
      </c>
      <c r="F33" s="39">
        <v>115</v>
      </c>
      <c r="G33" s="21" t="s">
        <v>30</v>
      </c>
      <c r="H33" s="39">
        <v>45</v>
      </c>
      <c r="I33" s="64">
        <v>160</v>
      </c>
      <c r="J33" s="65">
        <v>55</v>
      </c>
      <c r="K33" s="65">
        <v>210</v>
      </c>
      <c r="L33" s="49" t="s">
        <v>46</v>
      </c>
      <c r="M33" s="50" t="s">
        <v>30</v>
      </c>
      <c r="N33" s="65" t="s">
        <v>1656</v>
      </c>
      <c r="O33" s="22" t="s">
        <v>1565</v>
      </c>
    </row>
    <row r="34" spans="1:15">
      <c r="A34" s="48" t="s">
        <v>90</v>
      </c>
      <c r="B34" s="52" t="s">
        <v>102</v>
      </c>
      <c r="C34" s="49" t="s">
        <v>52</v>
      </c>
      <c r="D34" s="39">
        <v>1988</v>
      </c>
      <c r="E34" s="49">
        <v>2</v>
      </c>
      <c r="F34" s="39">
        <v>170</v>
      </c>
      <c r="G34" s="21" t="s">
        <v>30</v>
      </c>
      <c r="H34" s="39" t="s">
        <v>30</v>
      </c>
      <c r="I34" s="64">
        <v>170</v>
      </c>
      <c r="J34" s="65">
        <v>147</v>
      </c>
      <c r="K34" s="65">
        <v>336</v>
      </c>
      <c r="L34" s="49" t="s">
        <v>36</v>
      </c>
      <c r="M34" s="50" t="s">
        <v>30</v>
      </c>
      <c r="N34" s="65" t="s">
        <v>1658</v>
      </c>
      <c r="O34" s="22" t="s">
        <v>1566</v>
      </c>
    </row>
    <row r="35" spans="1:15">
      <c r="A35" s="48" t="s">
        <v>90</v>
      </c>
      <c r="B35" s="52" t="s">
        <v>103</v>
      </c>
      <c r="C35" s="49" t="s">
        <v>52</v>
      </c>
      <c r="D35" s="39">
        <v>2016</v>
      </c>
      <c r="E35" s="49">
        <v>1</v>
      </c>
      <c r="F35" s="39">
        <v>36.5</v>
      </c>
      <c r="G35" s="21" t="s">
        <v>30</v>
      </c>
      <c r="H35" s="39">
        <v>9.5</v>
      </c>
      <c r="I35" s="64">
        <v>46</v>
      </c>
      <c r="J35" s="65">
        <v>12</v>
      </c>
      <c r="K35" s="65">
        <v>66</v>
      </c>
      <c r="L35" s="49" t="s">
        <v>85</v>
      </c>
      <c r="M35" s="50" t="s">
        <v>30</v>
      </c>
      <c r="N35" s="65" t="s">
        <v>1659</v>
      </c>
      <c r="O35" s="22" t="s">
        <v>1567</v>
      </c>
    </row>
    <row r="36" spans="1:15">
      <c r="A36" s="2"/>
      <c r="B36" s="63"/>
      <c r="C36" s="2"/>
      <c r="D36" s="2"/>
      <c r="E36" s="2"/>
      <c r="F36" s="2"/>
      <c r="G36" s="2"/>
      <c r="H36" s="2"/>
      <c r="I36" s="63"/>
      <c r="J36" s="63"/>
      <c r="K36" s="63"/>
      <c r="L36" s="2"/>
      <c r="M36" s="2"/>
      <c r="N36" s="63"/>
    </row>
    <row r="37" spans="1:15">
      <c r="A37" s="51" t="s">
        <v>168</v>
      </c>
      <c r="B37" s="63"/>
      <c r="C37" s="2"/>
      <c r="D37" s="2"/>
      <c r="E37" s="2"/>
      <c r="F37" s="2"/>
      <c r="G37" s="2"/>
      <c r="H37" s="2"/>
      <c r="I37" s="62" t="s">
        <v>56</v>
      </c>
      <c r="J37" s="62" t="s">
        <v>57</v>
      </c>
      <c r="K37" s="62" t="s">
        <v>1559</v>
      </c>
      <c r="L37" s="47"/>
      <c r="M37" s="47"/>
      <c r="N37" s="62" t="s">
        <v>1612</v>
      </c>
    </row>
    <row r="38" spans="1:15">
      <c r="A38" s="48" t="s">
        <v>212</v>
      </c>
      <c r="B38" s="63"/>
      <c r="C38" s="2"/>
      <c r="D38" s="2"/>
      <c r="E38" s="2"/>
      <c r="F38" s="2"/>
      <c r="G38" s="2"/>
      <c r="H38" s="2"/>
      <c r="I38" s="65">
        <v>100</v>
      </c>
      <c r="J38" s="63"/>
      <c r="K38" s="63"/>
      <c r="L38" s="2"/>
      <c r="M38" s="2"/>
      <c r="N38" s="65" t="s">
        <v>1652</v>
      </c>
      <c r="O38" t="s">
        <v>213</v>
      </c>
    </row>
    <row r="39" spans="1:15">
      <c r="A39" s="2"/>
      <c r="B39" s="63"/>
      <c r="C39" s="2"/>
      <c r="D39" s="2"/>
      <c r="E39" s="2"/>
      <c r="F39" s="2"/>
      <c r="G39" s="2"/>
      <c r="H39" s="2"/>
      <c r="I39" s="63"/>
      <c r="J39" s="63"/>
      <c r="K39" s="63"/>
      <c r="L39" s="2"/>
      <c r="M39" s="2"/>
      <c r="N39" s="63"/>
    </row>
    <row r="40" spans="1:15">
      <c r="A40" s="51" t="s">
        <v>190</v>
      </c>
      <c r="B40" s="63"/>
      <c r="C40" s="2"/>
      <c r="D40" s="2"/>
      <c r="E40" s="2"/>
      <c r="F40" s="2"/>
      <c r="G40" s="2"/>
      <c r="H40" s="2"/>
      <c r="I40" s="63"/>
      <c r="J40" s="63"/>
      <c r="K40" s="63"/>
      <c r="L40" s="2"/>
      <c r="M40" s="2"/>
      <c r="N40" s="63"/>
    </row>
    <row r="41" spans="1:15">
      <c r="A41" s="2"/>
      <c r="B41" s="62" t="s">
        <v>178</v>
      </c>
      <c r="C41" s="2"/>
      <c r="D41" s="2"/>
      <c r="E41" s="2"/>
      <c r="F41" s="2"/>
      <c r="G41" s="2"/>
      <c r="H41" s="2"/>
      <c r="I41" s="62" t="s">
        <v>56</v>
      </c>
      <c r="J41" s="62" t="s">
        <v>57</v>
      </c>
      <c r="K41" s="62"/>
      <c r="L41" s="47"/>
      <c r="M41" s="47"/>
      <c r="N41" s="62" t="s">
        <v>1612</v>
      </c>
    </row>
    <row r="42" spans="1:15">
      <c r="A42" s="2" t="s">
        <v>215</v>
      </c>
      <c r="B42" s="63">
        <v>100</v>
      </c>
      <c r="C42" s="2"/>
      <c r="D42" s="2"/>
      <c r="E42" s="2"/>
      <c r="F42" s="2"/>
      <c r="G42" s="2"/>
      <c r="H42" s="2" t="s">
        <v>184</v>
      </c>
      <c r="I42" s="63">
        <f>B42/10</f>
        <v>10</v>
      </c>
      <c r="J42" s="63"/>
      <c r="K42" s="63"/>
      <c r="L42" s="2"/>
      <c r="M42" s="2"/>
      <c r="N42" s="63" t="s">
        <v>1648</v>
      </c>
    </row>
    <row r="43" spans="1:15">
      <c r="A43" s="2"/>
      <c r="B43" s="63"/>
      <c r="C43" s="2"/>
      <c r="D43" s="2"/>
      <c r="E43" s="2"/>
      <c r="F43" s="2"/>
      <c r="G43" s="2"/>
      <c r="H43" s="2" t="s">
        <v>185</v>
      </c>
      <c r="I43" s="63">
        <f>I42</f>
        <v>10</v>
      </c>
      <c r="J43" s="63"/>
      <c r="K43" s="63"/>
      <c r="L43" s="2"/>
      <c r="M43" s="2"/>
      <c r="N43" s="63" t="s">
        <v>1649</v>
      </c>
    </row>
    <row r="44" spans="1:15">
      <c r="A44" s="2"/>
      <c r="B44" s="63"/>
      <c r="C44" s="2"/>
      <c r="D44" s="2"/>
      <c r="E44" s="2"/>
      <c r="F44" s="2"/>
      <c r="G44" s="2"/>
      <c r="H44" s="2"/>
      <c r="I44" s="63"/>
      <c r="J44" s="63"/>
      <c r="K44" s="63"/>
      <c r="L44" s="2"/>
      <c r="M44" s="2"/>
      <c r="N44" s="63"/>
    </row>
    <row r="45" spans="1:15">
      <c r="A45" s="51" t="s">
        <v>177</v>
      </c>
      <c r="B45" s="63"/>
      <c r="C45" s="2"/>
      <c r="D45" s="2"/>
      <c r="E45" s="2"/>
      <c r="F45" s="2"/>
      <c r="G45" s="2"/>
      <c r="H45" s="2"/>
      <c r="I45" s="63"/>
      <c r="J45" s="63"/>
      <c r="K45" s="63"/>
      <c r="L45" s="2"/>
      <c r="M45" s="2"/>
      <c r="N45" s="63"/>
    </row>
    <row r="46" spans="1:15">
      <c r="A46" s="2"/>
      <c r="B46" s="62" t="s">
        <v>178</v>
      </c>
      <c r="C46" s="2"/>
      <c r="D46" s="2"/>
      <c r="E46" s="2"/>
      <c r="F46" s="2"/>
      <c r="G46" s="2"/>
      <c r="H46" s="2"/>
      <c r="I46" s="62" t="s">
        <v>56</v>
      </c>
      <c r="J46" s="62" t="s">
        <v>57</v>
      </c>
      <c r="K46" s="62"/>
      <c r="L46" s="47"/>
      <c r="M46" s="47"/>
      <c r="N46" s="62" t="s">
        <v>1612</v>
      </c>
    </row>
    <row r="47" spans="1:15">
      <c r="A47" s="2" t="s">
        <v>102</v>
      </c>
      <c r="B47" s="63">
        <v>900</v>
      </c>
      <c r="C47" s="2"/>
      <c r="D47" s="2"/>
      <c r="E47" s="2"/>
      <c r="F47" s="2"/>
      <c r="G47" s="2"/>
      <c r="H47" s="2" t="s">
        <v>184</v>
      </c>
      <c r="I47" s="63">
        <f>B47/10</f>
        <v>90</v>
      </c>
      <c r="J47" s="63"/>
      <c r="K47" s="63"/>
      <c r="L47" s="2"/>
      <c r="M47" s="2"/>
      <c r="N47" s="63" t="s">
        <v>1648</v>
      </c>
      <c r="O47" t="s">
        <v>214</v>
      </c>
    </row>
    <row r="48" spans="1:15">
      <c r="A48" s="2"/>
      <c r="B48" s="63"/>
      <c r="C48" s="2"/>
      <c r="D48" s="2"/>
      <c r="E48" s="2"/>
      <c r="F48" s="2"/>
      <c r="G48" s="2"/>
      <c r="H48" s="2" t="s">
        <v>185</v>
      </c>
      <c r="I48" s="63">
        <f>I47</f>
        <v>90</v>
      </c>
      <c r="J48" s="63"/>
      <c r="K48" s="63"/>
      <c r="L48" s="2"/>
      <c r="M48" s="2"/>
      <c r="N48" s="63" t="s">
        <v>1649</v>
      </c>
    </row>
    <row r="49" spans="1:14">
      <c r="A49" s="2"/>
      <c r="B49" s="63"/>
      <c r="C49" s="2"/>
      <c r="D49" s="2"/>
      <c r="E49" s="2"/>
      <c r="F49" s="2"/>
      <c r="G49" s="2"/>
      <c r="H49" s="2"/>
      <c r="I49" s="63"/>
      <c r="J49" s="63"/>
      <c r="K49" s="63"/>
      <c r="L49" s="2"/>
      <c r="M49" s="2"/>
      <c r="N49" s="63"/>
    </row>
    <row r="50" spans="1:14">
      <c r="A50" s="2"/>
      <c r="B50" s="63"/>
      <c r="C50" s="2"/>
      <c r="D50" s="2"/>
      <c r="E50" s="2"/>
      <c r="F50" s="2"/>
      <c r="G50" s="2"/>
      <c r="H50" s="2"/>
      <c r="I50" s="63"/>
      <c r="J50" s="63"/>
      <c r="K50" s="63"/>
      <c r="L50" s="2"/>
      <c r="M50" s="2"/>
      <c r="N50" s="63"/>
    </row>
    <row r="51" spans="1:14">
      <c r="A51" s="2"/>
      <c r="B51" s="63"/>
      <c r="C51" s="2"/>
      <c r="D51" s="2"/>
      <c r="E51" s="2"/>
      <c r="F51" s="2"/>
      <c r="G51" s="2"/>
      <c r="H51" s="2"/>
      <c r="I51" s="63"/>
      <c r="J51" s="63"/>
      <c r="K51" s="63"/>
      <c r="L51" s="2"/>
      <c r="M51" s="2"/>
      <c r="N51" s="63"/>
    </row>
    <row r="52" spans="1:14">
      <c r="A52" s="2"/>
      <c r="B52" s="63"/>
      <c r="C52" s="2"/>
      <c r="D52" s="2"/>
      <c r="E52" s="2"/>
      <c r="F52" s="2"/>
      <c r="G52" s="2"/>
      <c r="H52" s="2"/>
      <c r="I52" s="63"/>
      <c r="J52" s="63"/>
      <c r="K52" s="63"/>
      <c r="L52" s="2"/>
      <c r="M52" s="2"/>
      <c r="N52" s="63"/>
    </row>
    <row r="53" spans="1:14">
      <c r="A53" s="2"/>
      <c r="B53" s="63"/>
      <c r="C53" s="2"/>
      <c r="D53" s="2"/>
      <c r="E53" s="2"/>
      <c r="F53" s="2"/>
      <c r="G53" s="2"/>
      <c r="H53" s="2"/>
      <c r="I53" s="63"/>
      <c r="J53" s="63"/>
      <c r="K53" s="63"/>
      <c r="L53" s="2"/>
      <c r="M53" s="2"/>
      <c r="N53" s="63"/>
    </row>
    <row r="54" spans="1:14">
      <c r="A54" s="2"/>
      <c r="B54" s="63"/>
      <c r="C54" s="2"/>
      <c r="D54" s="2"/>
      <c r="E54" s="2"/>
      <c r="F54" s="2"/>
      <c r="G54" s="2"/>
      <c r="H54" s="2"/>
      <c r="I54" s="63"/>
      <c r="J54" s="63"/>
      <c r="K54" s="63"/>
      <c r="L54" s="2"/>
      <c r="M54" s="2"/>
      <c r="N54" s="63"/>
    </row>
    <row r="55" spans="1:14">
      <c r="A55" s="2"/>
      <c r="B55" s="63"/>
      <c r="C55" s="2"/>
      <c r="D55" s="2"/>
      <c r="E55" s="2"/>
      <c r="F55" s="2"/>
      <c r="G55" s="2"/>
      <c r="H55" s="2"/>
      <c r="I55" s="63"/>
      <c r="J55" s="63"/>
      <c r="K55" s="63"/>
      <c r="L55" s="2"/>
      <c r="M55" s="2"/>
      <c r="N55" s="63"/>
    </row>
    <row r="56" spans="1:14">
      <c r="A56" s="2"/>
      <c r="B56" s="63"/>
      <c r="C56" s="2"/>
      <c r="D56" s="2"/>
      <c r="E56" s="2"/>
      <c r="F56" s="2"/>
      <c r="G56" s="2"/>
      <c r="H56" s="2"/>
      <c r="I56" s="63"/>
      <c r="J56" s="63"/>
      <c r="K56" s="63"/>
      <c r="L56" s="2"/>
      <c r="M56" s="2"/>
      <c r="N56" s="63"/>
    </row>
    <row r="57" spans="1:14">
      <c r="A57" s="2"/>
      <c r="B57" s="63"/>
      <c r="C57" s="2"/>
      <c r="D57" s="2"/>
      <c r="E57" s="2"/>
      <c r="F57" s="2"/>
      <c r="G57" s="2"/>
      <c r="H57" s="2"/>
      <c r="I57" s="63"/>
      <c r="J57" s="63"/>
      <c r="K57" s="63"/>
      <c r="L57" s="2"/>
      <c r="M57" s="2"/>
      <c r="N57" s="63"/>
    </row>
    <row r="58" spans="1:14">
      <c r="A58" s="2"/>
      <c r="B58" s="63"/>
      <c r="C58" s="2"/>
      <c r="D58" s="2"/>
      <c r="E58" s="2"/>
      <c r="F58" s="2"/>
      <c r="G58" s="2"/>
      <c r="H58" s="2"/>
      <c r="I58" s="63"/>
      <c r="J58" s="63"/>
      <c r="K58" s="63"/>
      <c r="L58" s="2"/>
      <c r="M58" s="2"/>
      <c r="N58" s="63"/>
    </row>
    <row r="59" spans="1:14">
      <c r="A59" s="2"/>
      <c r="B59" s="63"/>
      <c r="C59" s="2"/>
      <c r="D59" s="2"/>
      <c r="E59" s="2"/>
      <c r="F59" s="2"/>
      <c r="G59" s="2"/>
      <c r="H59" s="2"/>
      <c r="I59" s="63"/>
      <c r="J59" s="63"/>
      <c r="K59" s="63"/>
      <c r="L59" s="2"/>
      <c r="M59" s="2"/>
      <c r="N59" s="63"/>
    </row>
    <row r="60" spans="1:14">
      <c r="A60" s="2"/>
      <c r="B60" s="63"/>
      <c r="C60" s="2"/>
      <c r="D60" s="2"/>
      <c r="E60" s="2"/>
      <c r="F60" s="2"/>
      <c r="G60" s="2"/>
      <c r="H60" s="2"/>
      <c r="I60" s="63"/>
      <c r="J60" s="63"/>
      <c r="K60" s="63"/>
      <c r="L60" s="2"/>
      <c r="M60" s="2"/>
      <c r="N60" s="63"/>
    </row>
    <row r="61" spans="1:14">
      <c r="A61" s="2"/>
      <c r="B61" s="63"/>
      <c r="C61" s="2"/>
      <c r="D61" s="2"/>
      <c r="E61" s="2"/>
      <c r="F61" s="2"/>
      <c r="G61" s="2"/>
      <c r="H61" s="2"/>
      <c r="I61" s="63"/>
      <c r="J61" s="63"/>
      <c r="K61" s="63"/>
      <c r="L61" s="2"/>
      <c r="M61" s="2"/>
      <c r="N61" s="63"/>
    </row>
    <row r="62" spans="1:14">
      <c r="A62" s="2"/>
      <c r="B62" s="63"/>
      <c r="C62" s="2"/>
      <c r="D62" s="2"/>
      <c r="E62" s="2"/>
      <c r="F62" s="2"/>
      <c r="G62" s="2"/>
      <c r="H62" s="2"/>
      <c r="I62" s="63"/>
      <c r="J62" s="63"/>
      <c r="K62" s="63"/>
      <c r="L62" s="2"/>
      <c r="M62" s="2"/>
      <c r="N62" s="63"/>
    </row>
    <row r="63" spans="1:14">
      <c r="A63" s="2"/>
      <c r="B63" s="63"/>
      <c r="C63" s="2"/>
      <c r="D63" s="2"/>
      <c r="E63" s="2"/>
      <c r="F63" s="2"/>
      <c r="G63" s="2"/>
      <c r="H63" s="2"/>
      <c r="I63" s="63"/>
      <c r="J63" s="63"/>
      <c r="K63" s="63"/>
      <c r="L63" s="2"/>
      <c r="M63" s="2"/>
      <c r="N63" s="63"/>
    </row>
    <row r="64" spans="1:14">
      <c r="A64" s="2"/>
      <c r="B64" s="63"/>
      <c r="C64" s="2"/>
      <c r="D64" s="2"/>
      <c r="E64" s="2"/>
      <c r="F64" s="2"/>
      <c r="G64" s="2"/>
      <c r="H64" s="2"/>
      <c r="I64" s="63"/>
      <c r="J64" s="63"/>
      <c r="K64" s="63"/>
      <c r="L64" s="2"/>
      <c r="M64" s="2"/>
      <c r="N64" s="63"/>
    </row>
    <row r="65" spans="1:14">
      <c r="A65" s="2"/>
      <c r="B65" s="63"/>
      <c r="C65" s="2"/>
      <c r="D65" s="2"/>
      <c r="E65" s="2"/>
      <c r="F65" s="2"/>
      <c r="G65" s="2"/>
      <c r="H65" s="2"/>
      <c r="I65" s="63"/>
      <c r="J65" s="63"/>
      <c r="K65" s="63"/>
      <c r="L65" s="2"/>
      <c r="M65" s="2"/>
      <c r="N65" s="63"/>
    </row>
    <row r="66" spans="1:14">
      <c r="A66" s="2"/>
      <c r="B66" s="63"/>
      <c r="C66" s="2"/>
      <c r="D66" s="2"/>
      <c r="E66" s="2"/>
      <c r="F66" s="2"/>
      <c r="G66" s="2"/>
      <c r="H66" s="2"/>
      <c r="I66" s="63"/>
      <c r="J66" s="63"/>
      <c r="K66" s="63"/>
      <c r="L66" s="2"/>
      <c r="M66" s="2"/>
      <c r="N66" s="63"/>
    </row>
    <row r="67" spans="1:14">
      <c r="A67" s="2"/>
      <c r="B67" s="63"/>
      <c r="C67" s="2"/>
      <c r="D67" s="2"/>
      <c r="E67" s="2"/>
      <c r="F67" s="2"/>
      <c r="G67" s="2"/>
      <c r="H67" s="2"/>
      <c r="I67" s="63"/>
      <c r="J67" s="63"/>
      <c r="K67" s="63"/>
      <c r="L67" s="2"/>
      <c r="M67" s="2"/>
      <c r="N67" s="63"/>
    </row>
    <row r="68" spans="1:14">
      <c r="A68" s="2"/>
      <c r="B68" s="63"/>
      <c r="C68" s="2"/>
      <c r="D68" s="2"/>
      <c r="E68" s="2"/>
      <c r="F68" s="2"/>
      <c r="G68" s="2"/>
      <c r="H68" s="2"/>
      <c r="I68" s="63"/>
      <c r="J68" s="63"/>
      <c r="K68" s="63"/>
      <c r="L68" s="2"/>
      <c r="M68" s="2"/>
      <c r="N68" s="63"/>
    </row>
    <row r="69" spans="1:14">
      <c r="A69" s="2"/>
      <c r="B69" s="63"/>
      <c r="C69" s="2"/>
      <c r="D69" s="2"/>
      <c r="E69" s="2"/>
      <c r="F69" s="2"/>
      <c r="G69" s="2"/>
      <c r="H69" s="2"/>
      <c r="I69" s="63"/>
      <c r="J69" s="63"/>
      <c r="K69" s="63"/>
      <c r="L69" s="2"/>
      <c r="M69" s="2"/>
      <c r="N69" s="63"/>
    </row>
    <row r="70" spans="1:14">
      <c r="A70" s="2"/>
      <c r="B70" s="63"/>
      <c r="C70" s="2"/>
      <c r="D70" s="2"/>
      <c r="E70" s="2"/>
      <c r="F70" s="2"/>
      <c r="G70" s="2"/>
      <c r="H70" s="2"/>
      <c r="I70" s="63"/>
      <c r="J70" s="63"/>
      <c r="K70" s="63"/>
      <c r="L70" s="2"/>
      <c r="M70" s="2"/>
      <c r="N70" s="63"/>
    </row>
    <row r="71" spans="1:14">
      <c r="A71" s="2"/>
      <c r="B71" s="63"/>
      <c r="C71" s="2"/>
      <c r="D71" s="2"/>
      <c r="E71" s="2"/>
      <c r="F71" s="2"/>
      <c r="G71" s="2"/>
      <c r="H71" s="2"/>
      <c r="I71" s="63"/>
      <c r="J71" s="63"/>
      <c r="K71" s="63"/>
      <c r="L71" s="2"/>
      <c r="M71" s="2"/>
      <c r="N71" s="63"/>
    </row>
    <row r="72" spans="1:14">
      <c r="A72" s="2"/>
      <c r="B72" s="63"/>
      <c r="C72" s="2"/>
      <c r="D72" s="2"/>
      <c r="E72" s="2"/>
      <c r="F72" s="2"/>
      <c r="G72" s="2"/>
      <c r="H72" s="2"/>
      <c r="I72" s="63"/>
      <c r="J72" s="63"/>
      <c r="K72" s="63"/>
      <c r="L72" s="2"/>
      <c r="M72" s="2"/>
      <c r="N72" s="63"/>
    </row>
    <row r="73" spans="1:14">
      <c r="A73" s="2"/>
      <c r="B73" s="63"/>
      <c r="C73" s="2"/>
      <c r="D73" s="2"/>
      <c r="E73" s="2"/>
      <c r="F73" s="2"/>
      <c r="G73" s="2"/>
      <c r="H73" s="2"/>
      <c r="I73" s="63"/>
      <c r="J73" s="63"/>
      <c r="K73" s="63"/>
      <c r="L73" s="2"/>
      <c r="M73" s="2"/>
      <c r="N73" s="63"/>
    </row>
    <row r="74" spans="1:14">
      <c r="A74" s="2"/>
      <c r="B74" s="63"/>
      <c r="C74" s="2"/>
      <c r="D74" s="2"/>
      <c r="E74" s="2"/>
      <c r="F74" s="2"/>
      <c r="G74" s="2"/>
      <c r="H74" s="2"/>
      <c r="I74" s="63"/>
      <c r="J74" s="63"/>
      <c r="K74" s="63"/>
      <c r="L74" s="2"/>
      <c r="M74" s="2"/>
      <c r="N74" s="63"/>
    </row>
    <row r="75" spans="1:14">
      <c r="A75" s="2"/>
      <c r="B75" s="63"/>
      <c r="C75" s="2"/>
      <c r="D75" s="2"/>
      <c r="E75" s="2"/>
      <c r="F75" s="2"/>
      <c r="G75" s="2"/>
      <c r="H75" s="2"/>
      <c r="I75" s="63"/>
      <c r="J75" s="63"/>
      <c r="K75" s="63"/>
      <c r="L75" s="2"/>
      <c r="M75" s="2"/>
      <c r="N75" s="63"/>
    </row>
    <row r="76" spans="1:14">
      <c r="A76" s="2"/>
      <c r="B76" s="63"/>
      <c r="C76" s="2"/>
      <c r="D76" s="2"/>
      <c r="E76" s="2"/>
      <c r="F76" s="2"/>
      <c r="G76" s="2"/>
      <c r="H76" s="2"/>
      <c r="I76" s="63"/>
      <c r="J76" s="63"/>
      <c r="K76" s="63"/>
      <c r="L76" s="2"/>
      <c r="M76" s="2"/>
      <c r="N76" s="63"/>
    </row>
    <row r="77" spans="1:14">
      <c r="A77" s="2"/>
      <c r="B77" s="63"/>
      <c r="C77" s="2"/>
      <c r="D77" s="2"/>
      <c r="E77" s="2"/>
      <c r="F77" s="2"/>
      <c r="G77" s="2"/>
      <c r="H77" s="2"/>
      <c r="I77" s="63"/>
      <c r="J77" s="63"/>
      <c r="K77" s="63"/>
      <c r="L77" s="2"/>
      <c r="M77" s="2"/>
      <c r="N77" s="63"/>
    </row>
    <row r="78" spans="1:14">
      <c r="A78" s="2"/>
      <c r="B78" s="63"/>
      <c r="C78" s="2"/>
      <c r="D78" s="2"/>
      <c r="E78" s="2"/>
      <c r="F78" s="2"/>
      <c r="G78" s="2"/>
      <c r="H78" s="2"/>
      <c r="I78" s="63"/>
      <c r="J78" s="63"/>
      <c r="K78" s="63"/>
      <c r="L78" s="2"/>
      <c r="M78" s="2"/>
      <c r="N78" s="63"/>
    </row>
    <row r="79" spans="1:14">
      <c r="A79" s="2"/>
      <c r="B79" s="63"/>
      <c r="C79" s="2"/>
      <c r="D79" s="2"/>
      <c r="E79" s="2"/>
      <c r="F79" s="2"/>
      <c r="G79" s="2"/>
      <c r="H79" s="2"/>
      <c r="I79" s="63"/>
      <c r="J79" s="63"/>
      <c r="K79" s="63"/>
      <c r="L79" s="2"/>
      <c r="M79" s="2"/>
      <c r="N79" s="63"/>
    </row>
    <row r="80" spans="1:14">
      <c r="A80" s="2"/>
      <c r="B80" s="63"/>
      <c r="C80" s="2"/>
      <c r="D80" s="2"/>
      <c r="E80" s="2"/>
      <c r="F80" s="2"/>
      <c r="G80" s="2"/>
      <c r="H80" s="2"/>
      <c r="I80" s="63"/>
      <c r="J80" s="63"/>
      <c r="K80" s="63"/>
      <c r="L80" s="2"/>
      <c r="M80" s="2"/>
      <c r="N80" s="63"/>
    </row>
    <row r="81" spans="1:14">
      <c r="A81" s="2"/>
      <c r="B81" s="63"/>
      <c r="C81" s="2"/>
      <c r="D81" s="2"/>
      <c r="E81" s="2"/>
      <c r="F81" s="2"/>
      <c r="G81" s="2"/>
      <c r="H81" s="2"/>
      <c r="I81" s="63"/>
      <c r="J81" s="63"/>
      <c r="K81" s="63"/>
      <c r="L81" s="2"/>
      <c r="M81" s="2"/>
      <c r="N81" s="63"/>
    </row>
    <row r="82" spans="1:14">
      <c r="A82" s="2"/>
      <c r="B82" s="63"/>
      <c r="C82" s="2"/>
      <c r="D82" s="2"/>
      <c r="E82" s="2"/>
      <c r="F82" s="2"/>
      <c r="G82" s="2"/>
      <c r="H82" s="2"/>
      <c r="I82" s="63"/>
      <c r="J82" s="63"/>
      <c r="K82" s="63"/>
      <c r="L82" s="2"/>
      <c r="M82" s="2"/>
      <c r="N82" s="6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2E52-6E1F-4788-B38A-CEFFE41A10B9}">
  <sheetPr codeName="Sheet10"/>
  <dimension ref="A1:O82"/>
  <sheetViews>
    <sheetView workbookViewId="0">
      <selection activeCell="C2" sqref="B2:C20"/>
    </sheetView>
  </sheetViews>
  <sheetFormatPr defaultRowHeight="15"/>
  <cols>
    <col min="1" max="1" width="23.5703125" customWidth="1"/>
    <col min="2" max="2" width="25.42578125" customWidth="1"/>
    <col min="4" max="4" width="11.140625" customWidth="1"/>
    <col min="6" max="6" width="22.7109375" customWidth="1"/>
    <col min="7" max="7" width="27.42578125" customWidth="1"/>
    <col min="11" max="11" width="16.7109375" customWidth="1"/>
    <col min="14" max="14" width="30.5703125" customWidth="1"/>
  </cols>
  <sheetData>
    <row r="1" spans="1:7">
      <c r="A1" s="38" t="s">
        <v>1612</v>
      </c>
      <c r="B1" s="45" t="s">
        <v>1371</v>
      </c>
      <c r="C1" s="45" t="s">
        <v>1372</v>
      </c>
      <c r="D1" s="45" t="s">
        <v>1573</v>
      </c>
      <c r="E1" s="37"/>
      <c r="F1" s="45" t="s">
        <v>1575</v>
      </c>
      <c r="G1" s="38" t="s">
        <v>1576</v>
      </c>
    </row>
    <row r="2" spans="1:7">
      <c r="A2" s="37" t="str" cm="1">
        <f t="array" ref="A2:A9">_xlfn.UNIQUE(_xlfn._xlws.FILTER(N23:N82,(ISTEXT(N23:N82))*(N23:N82&lt;&gt;"Excluded")*(N23:N82&lt;&gt;"Included in industry")*(N23:N82&lt;&gt;"unittype")))</f>
        <v>oilHOB</v>
      </c>
      <c r="B2" s="46">
        <f>IF(COUNTIF($A2,"*HOB*")+COUNTIF($A2,"*charger*")+COUNTIF($A2,"*disch*")+COUNTIF($A2,"GSHP")+COUNTIF($A2,"elecHOB"),SUMIF($N$23:$N$82,$A2,$I$23:$I$82),SUMIF($N$23:$N$82,$A2,$J$23:$J$82))</f>
        <v>348</v>
      </c>
      <c r="C2" s="46">
        <f>IF(COUNTIF($A2,"*HOB*")+COUNTIF($A2,"*charger*")+COUNTIF($A2,"*disch*")+COUNTIF($A2,"GSHP")+COUNTIF($A2,"elecHOB"),SUMIF($N$23:$N$82,$A2,$J$23:$J$82),SUMIF($N$23:$N$82,$A2,$I$23:$I$82))</f>
        <v>0</v>
      </c>
      <c r="D2" s="46" t="str">
        <f>IF(COUNTIFS($K$23:$K$82,"&gt;0",$N$23:$N$82,$A2)=COUNTIF($N$23:$N$82,$A2),SUMIF($N$23:$N$82,$A2,$K$23:$K$82),"")</f>
        <v/>
      </c>
      <c r="E2" s="37"/>
      <c r="F2" s="46" t="str">
        <f>IF(ISTEXT($A2),IF(COUNTIFS(unitdata_Finland!$B$3:$B$85,$A2,unitdata_Finland!$C$3:$C$85,"*OUL*"),"","Add the unit!"),"")</f>
        <v/>
      </c>
      <c r="G2" s="46" t="str">
        <f>IF(COUNTIFS(unitdata_Finland!$B$3:$B$85,$A2,unitdata_Finland!$C$3:$C$85,"*OUL*")&gt;1,"Warning!","")</f>
        <v/>
      </c>
    </row>
    <row r="3" spans="1:7">
      <c r="A3" s="37" t="str">
        <v>elecHOB</v>
      </c>
      <c r="B3" s="46">
        <f t="shared" ref="B3:B20" si="0">IF(COUNTIF($A3,"*HOB*")+COUNTIF($A3,"*charger*")+COUNTIF($A3,"*disch*")+COUNTIF($A3,"GSHP")+COUNTIF($A3,"elecHOB"),SUMIF($N$23:$N$82,$A3,$I$23:$I$82),SUMIF($N$23:$N$82,$A3,$J$23:$J$82))</f>
        <v>140</v>
      </c>
      <c r="C3" s="46">
        <f t="shared" ref="C3:C20" si="1">IF(COUNTIF($A3,"*HOB*")+COUNTIF($A3,"*charger*")+COUNTIF($A3,"*disch*")+COUNTIF($A3,"GSHP")+COUNTIF($A3,"elecHOB"),SUMIF($N$23:$N$82,$A3,$J$23:$J$82),SUMIF($N$23:$N$82,$A3,$I$23:$I$82))</f>
        <v>0</v>
      </c>
      <c r="D3" s="46" t="str">
        <f t="shared" ref="D3:D20" si="2">IF(COUNTIFS($K$23:$K$82,"&gt;0",$N$23:$N$82,$A3)=COUNTIF($N$23:$N$82,$A3),SUMIF($N$23:$N$82,$A3,$K$23:$K$82),"")</f>
        <v/>
      </c>
      <c r="E3" s="37"/>
      <c r="F3" s="46" t="str">
        <f>IF(ISTEXT($A3),IF(COUNTIFS(unitdata_Finland!$B$3:$B$85,$A3,unitdata_Finland!$C$3:$C$85,"*OUL*"),"","Add the unit!"),"")</f>
        <v/>
      </c>
      <c r="G3" s="46" t="str">
        <f>IF(COUNTIFS(unitdata_Finland!$B$3:$B$85,$A3,unitdata_Finland!$C$3:$C$85,"*OUL*")&gt;1,"Warning!","")</f>
        <v/>
      </c>
    </row>
    <row r="4" spans="1:7">
      <c r="A4" s="37" t="str">
        <v>GSHP</v>
      </c>
      <c r="B4" s="46">
        <f t="shared" si="0"/>
        <v>2.1</v>
      </c>
      <c r="C4" s="46">
        <f t="shared" si="1"/>
        <v>0</v>
      </c>
      <c r="D4" s="46" t="str">
        <f t="shared" si="2"/>
        <v/>
      </c>
      <c r="E4" s="37"/>
      <c r="F4" s="46" t="str">
        <f>IF(ISTEXT($A4),IF(COUNTIFS(unitdata_Finland!$B$3:$B$85,$A4,unitdata_Finland!$C$3:$C$85,"*OUL*"),"","Add the unit!"),"")</f>
        <v/>
      </c>
      <c r="G4" s="46" t="str">
        <f>IF(COUNTIFS(unitdata_Finland!$B$3:$B$85,$A4,unitdata_Finland!$C$3:$C$85,"*OUL*")&gt;1,"Warning!","")</f>
        <v/>
      </c>
    </row>
    <row r="5" spans="1:7">
      <c r="A5" s="37" t="str">
        <v>bioCHP</v>
      </c>
      <c r="B5" s="46">
        <f t="shared" si="0"/>
        <v>152</v>
      </c>
      <c r="C5" s="46">
        <f t="shared" si="1"/>
        <v>395</v>
      </c>
      <c r="D5" s="46">
        <f t="shared" si="2"/>
        <v>530</v>
      </c>
      <c r="E5" s="37"/>
      <c r="F5" s="46" t="str">
        <f>IF(ISTEXT($A5),IF(COUNTIFS(unitdata_Finland!$B$3:$B$85,$A5,unitdata_Finland!$C$3:$C$85,"*OUL*"),"","Add the unit!"),"")</f>
        <v/>
      </c>
      <c r="G5" s="46" t="str">
        <f>IF(COUNTIFS(unitdata_Finland!$B$3:$B$85,$A5,unitdata_Finland!$C$3:$C$85,"*OUL*")&gt;1,"Warning!","")</f>
        <v/>
      </c>
    </row>
    <row r="6" spans="1:7">
      <c r="A6" s="37" t="str">
        <v>heatStorageChargerLarge</v>
      </c>
      <c r="B6" s="46">
        <f t="shared" si="0"/>
        <v>80</v>
      </c>
      <c r="C6" s="46">
        <f t="shared" si="1"/>
        <v>0</v>
      </c>
      <c r="D6" s="46" t="str">
        <f t="shared" si="2"/>
        <v/>
      </c>
      <c r="E6" s="37"/>
      <c r="F6" s="46" t="str">
        <f>IF(ISTEXT($A6),IF(COUNTIFS(unitdata_Finland!$B$3:$B$85,$A6,unitdata_Finland!$C$3:$C$85,"*OUL*"),"","Add the unit!"),"")</f>
        <v/>
      </c>
      <c r="G6" s="46" t="str">
        <f>IF(COUNTIFS(unitdata_Finland!$B$3:$B$85,$A6,unitdata_Finland!$C$3:$C$85,"*OUL*")&gt;1,"Warning!","")</f>
        <v/>
      </c>
    </row>
    <row r="7" spans="1:7">
      <c r="A7" s="37" t="str">
        <v>heatStorageDischLarge</v>
      </c>
      <c r="B7" s="46">
        <f t="shared" si="0"/>
        <v>80</v>
      </c>
      <c r="C7" s="46">
        <f t="shared" si="1"/>
        <v>0</v>
      </c>
      <c r="D7" s="46" t="str">
        <f t="shared" si="2"/>
        <v/>
      </c>
      <c r="E7" s="37"/>
      <c r="F7" s="46" t="str">
        <f>IF(ISTEXT($A7),IF(COUNTIFS(unitdata_Finland!$B$3:$B$85,$A7,unitdata_Finland!$C$3:$C$85,"*OUL*"),"","Add the unit!"),"")</f>
        <v/>
      </c>
      <c r="G7" s="46" t="str">
        <f>IF(COUNTIFS(unitdata_Finland!$B$3:$B$85,$A7,unitdata_Finland!$C$3:$C$85,"*OUL*")&gt;1,"Warning!","")</f>
        <v/>
      </c>
    </row>
    <row r="8" spans="1:7">
      <c r="A8" s="37" t="str">
        <v>HeatStorageCharger</v>
      </c>
      <c r="B8" s="46">
        <f t="shared" si="0"/>
        <v>55</v>
      </c>
      <c r="C8" s="46">
        <f t="shared" si="1"/>
        <v>0</v>
      </c>
      <c r="D8" s="46" t="str">
        <f t="shared" si="2"/>
        <v/>
      </c>
      <c r="E8" s="37"/>
      <c r="F8" s="46" t="str">
        <f>IF(ISTEXT($A8),IF(COUNTIFS(unitdata_Finland!$B$3:$B$85,$A8,unitdata_Finland!$C$3:$C$85,"*OUL*"),"","Add the unit!"),"")</f>
        <v/>
      </c>
      <c r="G8" s="46" t="str">
        <f>IF(COUNTIFS(unitdata_Finland!$B$3:$B$85,$A8,unitdata_Finland!$C$3:$C$85,"*OUL*")&gt;1,"Warning!","")</f>
        <v/>
      </c>
    </row>
    <row r="9" spans="1:7">
      <c r="A9" s="37" t="str">
        <v>HeatStorageDisch</v>
      </c>
      <c r="B9" s="46">
        <f t="shared" si="0"/>
        <v>55</v>
      </c>
      <c r="C9" s="46">
        <f t="shared" si="1"/>
        <v>0</v>
      </c>
      <c r="D9" s="46" t="str">
        <f t="shared" si="2"/>
        <v/>
      </c>
      <c r="E9" s="37"/>
      <c r="F9" s="46" t="str">
        <f>IF(ISTEXT($A9),IF(COUNTIFS(unitdata_Finland!$B$3:$B$85,$A9,unitdata_Finland!$C$3:$C$85,"*OUL*"),"","Add the unit!"),"")</f>
        <v/>
      </c>
      <c r="G9" s="46" t="str">
        <f>IF(COUNTIFS(unitdata_Finland!$B$3:$B$85,$A9,unitdata_Finland!$C$3:$C$85,"*OUL*")&gt;1,"Warning!","")</f>
        <v/>
      </c>
    </row>
    <row r="10" spans="1:7">
      <c r="A10" s="37"/>
      <c r="B10" s="46">
        <f t="shared" si="0"/>
        <v>0</v>
      </c>
      <c r="C10" s="46">
        <f t="shared" si="1"/>
        <v>0</v>
      </c>
      <c r="D10" s="46">
        <f t="shared" si="2"/>
        <v>0</v>
      </c>
      <c r="E10" s="37"/>
      <c r="F10" s="46" t="str">
        <f>IF(ISTEXT($A10),IF(COUNTIFS(unitdata_Finland!$B$3:$B$85,$A10,unitdata_Finland!$C$3:$C$85,"*OUL*"),"","Add the unit!"),"")</f>
        <v/>
      </c>
      <c r="G10" s="46" t="str">
        <f>IF(COUNTIFS(unitdata_Finland!$B$3:$B$85,$A10,unitdata_Finland!$C$3:$C$85,"*OUL*")&gt;1,"Warning!","")</f>
        <v/>
      </c>
    </row>
    <row r="11" spans="1:7">
      <c r="A11" s="37"/>
      <c r="B11" s="46">
        <f t="shared" si="0"/>
        <v>0</v>
      </c>
      <c r="C11" s="46">
        <f t="shared" si="1"/>
        <v>0</v>
      </c>
      <c r="D11" s="46">
        <f t="shared" si="2"/>
        <v>0</v>
      </c>
      <c r="E11" s="37"/>
      <c r="F11" s="46" t="str">
        <f>IF(ISTEXT($A11),IF(COUNTIFS(unitdata_Finland!$B$3:$B$85,$A11,unitdata_Finland!$C$3:$C$85,"*OUL*"),"","Add the unit!"),"")</f>
        <v/>
      </c>
      <c r="G11" s="46" t="str">
        <f>IF(COUNTIFS(unitdata_Finland!$B$3:$B$85,$A11,unitdata_Finland!$C$3:$C$85,"*OUL*")&gt;1,"Warning!","")</f>
        <v/>
      </c>
    </row>
    <row r="12" spans="1:7">
      <c r="A12" s="37"/>
      <c r="B12" s="46">
        <f t="shared" si="0"/>
        <v>0</v>
      </c>
      <c r="C12" s="46">
        <f t="shared" si="1"/>
        <v>0</v>
      </c>
      <c r="D12" s="46">
        <f t="shared" si="2"/>
        <v>0</v>
      </c>
      <c r="E12" s="37"/>
      <c r="F12" s="46" t="str">
        <f>IF(ISTEXT($A12),IF(COUNTIFS(unitdata_Finland!$B$3:$B$85,$A12,unitdata_Finland!$C$3:$C$85,"*OUL*"),"","Add the unit!"),"")</f>
        <v/>
      </c>
      <c r="G12" s="46" t="str">
        <f>IF(COUNTIFS(unitdata_Finland!$B$3:$B$85,$A12,unitdata_Finland!$C$3:$C$85,"*OUL*")&gt;1,"Warning!","")</f>
        <v/>
      </c>
    </row>
    <row r="13" spans="1:7">
      <c r="A13" s="37"/>
      <c r="B13" s="46">
        <f t="shared" si="0"/>
        <v>0</v>
      </c>
      <c r="C13" s="46">
        <f t="shared" si="1"/>
        <v>0</v>
      </c>
      <c r="D13" s="46">
        <f t="shared" si="2"/>
        <v>0</v>
      </c>
      <c r="E13" s="37"/>
      <c r="F13" s="46" t="str">
        <f>IF(ISTEXT($A13),IF(COUNTIFS(unitdata_Finland!$B$3:$B$85,$A13,unitdata_Finland!$C$3:$C$85,"*OUL*"),"","Add the unit!"),"")</f>
        <v/>
      </c>
      <c r="G13" s="46" t="str">
        <f>IF(COUNTIFS(unitdata_Finland!$B$3:$B$85,$A13,unitdata_Finland!$C$3:$C$85,"*OUL*")&gt;1,"Warning!","")</f>
        <v/>
      </c>
    </row>
    <row r="14" spans="1:7">
      <c r="A14" s="37"/>
      <c r="B14" s="46">
        <f t="shared" si="0"/>
        <v>0</v>
      </c>
      <c r="C14" s="46">
        <f t="shared" si="1"/>
        <v>0</v>
      </c>
      <c r="D14" s="46">
        <f t="shared" si="2"/>
        <v>0</v>
      </c>
      <c r="E14" s="37"/>
      <c r="F14" s="46" t="str">
        <f>IF(ISTEXT($A14),IF(COUNTIFS(unitdata_Finland!$B$3:$B$85,$A14,unitdata_Finland!$C$3:$C$85,"*OUL*"),"","Add the unit!"),"")</f>
        <v/>
      </c>
      <c r="G14" s="46" t="str">
        <f>IF(COUNTIFS(unitdata_Finland!$B$3:$B$85,$A14,unitdata_Finland!$C$3:$C$85,"*OUL*")&gt;1,"Warning!","")</f>
        <v/>
      </c>
    </row>
    <row r="15" spans="1:7">
      <c r="A15" s="37"/>
      <c r="B15" s="46">
        <f t="shared" si="0"/>
        <v>0</v>
      </c>
      <c r="C15" s="46">
        <f t="shared" si="1"/>
        <v>0</v>
      </c>
      <c r="D15" s="46">
        <f t="shared" si="2"/>
        <v>0</v>
      </c>
      <c r="E15" s="37"/>
      <c r="F15" s="46" t="str">
        <f>IF(ISTEXT($A15),IF(COUNTIFS(unitdata_Finland!$B$3:$B$85,$A15,unitdata_Finland!$C$3:$C$85,"*OUL*"),"","Add the unit!"),"")</f>
        <v/>
      </c>
      <c r="G15" s="46" t="str">
        <f>IF(COUNTIFS(unitdata_Finland!$B$3:$B$85,$A15,unitdata_Finland!$C$3:$C$85,"*OUL*")&gt;1,"Warning!","")</f>
        <v/>
      </c>
    </row>
    <row r="16" spans="1:7">
      <c r="A16" s="37"/>
      <c r="B16" s="46">
        <f t="shared" si="0"/>
        <v>0</v>
      </c>
      <c r="C16" s="46">
        <f t="shared" si="1"/>
        <v>0</v>
      </c>
      <c r="D16" s="46">
        <f t="shared" si="2"/>
        <v>0</v>
      </c>
      <c r="E16" s="37"/>
      <c r="F16" s="46" t="str">
        <f>IF(ISTEXT($A16),IF(COUNTIFS(unitdata_Finland!$B$3:$B$85,$A16,unitdata_Finland!$C$3:$C$85,"*OUL*"),"","Add the unit!"),"")</f>
        <v/>
      </c>
      <c r="G16" s="46" t="str">
        <f>IF(COUNTIFS(unitdata_Finland!$B$3:$B$85,$A16,unitdata_Finland!$C$3:$C$85,"*OUL*")&gt;1,"Warning!","")</f>
        <v/>
      </c>
    </row>
    <row r="17" spans="1:14">
      <c r="A17" s="37"/>
      <c r="B17" s="46">
        <f t="shared" si="0"/>
        <v>0</v>
      </c>
      <c r="C17" s="46">
        <f t="shared" si="1"/>
        <v>0</v>
      </c>
      <c r="D17" s="46">
        <f t="shared" si="2"/>
        <v>0</v>
      </c>
      <c r="E17" s="37"/>
      <c r="F17" s="46" t="str">
        <f>IF(ISTEXT($A17),IF(COUNTIFS(unitdata_Finland!$B$3:$B$85,$A17,unitdata_Finland!$C$3:$C$85,"*OUL*"),"","Add the unit!"),"")</f>
        <v/>
      </c>
      <c r="G17" s="46" t="str">
        <f>IF(COUNTIFS(unitdata_Finland!$B$3:$B$85,$A17,unitdata_Finland!$C$3:$C$85,"*OUL*")&gt;1,"Warning!","")</f>
        <v/>
      </c>
    </row>
    <row r="18" spans="1:14">
      <c r="A18" s="37"/>
      <c r="B18" s="46">
        <f t="shared" si="0"/>
        <v>0</v>
      </c>
      <c r="C18" s="46">
        <f t="shared" si="1"/>
        <v>0</v>
      </c>
      <c r="D18" s="46">
        <f t="shared" si="2"/>
        <v>0</v>
      </c>
      <c r="E18" s="37"/>
      <c r="F18" s="46" t="str">
        <f>IF(ISTEXT($A18),IF(COUNTIFS(unitdata_Finland!$B$3:$B$85,$A18,unitdata_Finland!$C$3:$C$85,"*OUL*"),"","Add the unit!"),"")</f>
        <v/>
      </c>
      <c r="G18" s="46" t="str">
        <f>IF(COUNTIFS(unitdata_Finland!$B$3:$B$85,$A18,unitdata_Finland!$C$3:$C$85,"*OUL*")&gt;1,"Warning!","")</f>
        <v/>
      </c>
    </row>
    <row r="19" spans="1:14">
      <c r="A19" s="37"/>
      <c r="B19" s="46">
        <f t="shared" si="0"/>
        <v>0</v>
      </c>
      <c r="C19" s="46">
        <f t="shared" si="1"/>
        <v>0</v>
      </c>
      <c r="D19" s="46">
        <f t="shared" si="2"/>
        <v>0</v>
      </c>
      <c r="E19" s="37"/>
      <c r="F19" s="46" t="str">
        <f>IF(ISTEXT($A19),IF(COUNTIFS(unitdata_Finland!$B$3:$B$85,$A19,unitdata_Finland!$C$3:$C$85,"*OUL*"),"","Add the unit!"),"")</f>
        <v/>
      </c>
      <c r="G19" s="46" t="str">
        <f>IF(COUNTIFS(unitdata_Finland!$B$3:$B$85,$A19,unitdata_Finland!$C$3:$C$85,"*OUL*")&gt;1,"Warning!","")</f>
        <v/>
      </c>
    </row>
    <row r="20" spans="1:14">
      <c r="A20" s="37"/>
      <c r="B20" s="46">
        <f t="shared" si="0"/>
        <v>0</v>
      </c>
      <c r="C20" s="46">
        <f t="shared" si="1"/>
        <v>0</v>
      </c>
      <c r="D20" s="46">
        <f t="shared" si="2"/>
        <v>0</v>
      </c>
      <c r="E20" s="37"/>
      <c r="F20" s="46" t="str">
        <f>IF(ISTEXT($A20),IF(COUNTIFS(unitdata_Finland!$B$3:$B$85,$A20,unitdata_Finland!$C$3:$C$85,"*OUL*"),"","Add the unit!"),"")</f>
        <v/>
      </c>
      <c r="G20" s="46" t="str">
        <f>IF(COUNTIFS(unitdata_Finland!$B$3:$B$85,$A20,unitdata_Finland!$C$3:$C$85,"*OUL*")&gt;1,"Warning!","")</f>
        <v/>
      </c>
    </row>
    <row r="21" spans="1:14" ht="18.75">
      <c r="A21" s="54" t="s">
        <v>1577</v>
      </c>
      <c r="B21" s="53"/>
      <c r="C21" s="53"/>
      <c r="D21" s="53"/>
      <c r="F21" s="53"/>
      <c r="G21" s="53"/>
    </row>
    <row r="22" spans="1:14" s="10" customFormat="1">
      <c r="A22" s="47" t="s">
        <v>192</v>
      </c>
      <c r="B22" s="62"/>
      <c r="C22" s="47"/>
      <c r="D22" s="47"/>
      <c r="E22" s="47"/>
      <c r="F22" s="47"/>
      <c r="G22" s="47"/>
      <c r="H22" s="47"/>
      <c r="I22" s="62" t="s">
        <v>56</v>
      </c>
      <c r="J22" s="62" t="s">
        <v>57</v>
      </c>
      <c r="K22" s="62" t="s">
        <v>1559</v>
      </c>
      <c r="L22" s="47"/>
      <c r="M22" s="47"/>
      <c r="N22" s="62" t="s">
        <v>1612</v>
      </c>
    </row>
    <row r="23" spans="1:14">
      <c r="A23" s="48" t="s">
        <v>104</v>
      </c>
      <c r="B23" s="52" t="s">
        <v>105</v>
      </c>
      <c r="C23" s="49" t="s">
        <v>29</v>
      </c>
      <c r="D23" s="39">
        <v>1981</v>
      </c>
      <c r="E23" s="49">
        <v>1</v>
      </c>
      <c r="F23" s="39" t="s">
        <v>30</v>
      </c>
      <c r="G23" s="21">
        <v>50</v>
      </c>
      <c r="H23" s="39" t="s">
        <v>30</v>
      </c>
      <c r="I23" s="64">
        <v>50</v>
      </c>
      <c r="J23" s="65" t="s">
        <v>30</v>
      </c>
      <c r="K23" s="65"/>
      <c r="L23" s="49" t="s">
        <v>31</v>
      </c>
      <c r="M23" s="50" t="s">
        <v>30</v>
      </c>
      <c r="N23" s="69" t="s">
        <v>1654</v>
      </c>
    </row>
    <row r="24" spans="1:14">
      <c r="A24" s="48" t="s">
        <v>104</v>
      </c>
      <c r="B24" s="52" t="s">
        <v>106</v>
      </c>
      <c r="C24" s="49" t="s">
        <v>29</v>
      </c>
      <c r="D24" s="39">
        <v>2010</v>
      </c>
      <c r="E24" s="49">
        <v>1</v>
      </c>
      <c r="F24" s="39" t="s">
        <v>30</v>
      </c>
      <c r="G24" s="21">
        <v>40</v>
      </c>
      <c r="H24" s="39" t="s">
        <v>30</v>
      </c>
      <c r="I24" s="64">
        <v>40</v>
      </c>
      <c r="J24" s="65" t="s">
        <v>30</v>
      </c>
      <c r="K24" s="65"/>
      <c r="L24" s="49" t="s">
        <v>31</v>
      </c>
      <c r="M24" s="50" t="s">
        <v>30</v>
      </c>
      <c r="N24" s="69" t="s">
        <v>1654</v>
      </c>
    </row>
    <row r="25" spans="1:14">
      <c r="A25" s="48" t="s">
        <v>104</v>
      </c>
      <c r="B25" s="52" t="s">
        <v>107</v>
      </c>
      <c r="C25" s="49" t="s">
        <v>29</v>
      </c>
      <c r="D25" s="39">
        <v>1982</v>
      </c>
      <c r="E25" s="49">
        <v>1</v>
      </c>
      <c r="F25" s="39" t="s">
        <v>30</v>
      </c>
      <c r="G25" s="21">
        <v>45</v>
      </c>
      <c r="H25" s="39" t="s">
        <v>30</v>
      </c>
      <c r="I25" s="64">
        <v>45</v>
      </c>
      <c r="J25" s="65" t="s">
        <v>30</v>
      </c>
      <c r="K25" s="65"/>
      <c r="L25" s="49" t="s">
        <v>31</v>
      </c>
      <c r="M25" s="50" t="s">
        <v>30</v>
      </c>
      <c r="N25" s="69" t="s">
        <v>1654</v>
      </c>
    </row>
    <row r="26" spans="1:14">
      <c r="A26" s="48" t="s">
        <v>104</v>
      </c>
      <c r="B26" s="52" t="s">
        <v>108</v>
      </c>
      <c r="C26" s="49" t="s">
        <v>29</v>
      </c>
      <c r="D26" s="39">
        <v>2003</v>
      </c>
      <c r="E26" s="49">
        <v>1</v>
      </c>
      <c r="F26" s="39" t="s">
        <v>30</v>
      </c>
      <c r="G26" s="21">
        <v>40</v>
      </c>
      <c r="H26" s="39" t="s">
        <v>30</v>
      </c>
      <c r="I26" s="64">
        <v>40</v>
      </c>
      <c r="J26" s="65" t="s">
        <v>30</v>
      </c>
      <c r="K26" s="65"/>
      <c r="L26" s="49" t="s">
        <v>31</v>
      </c>
      <c r="M26" s="50" t="s">
        <v>30</v>
      </c>
      <c r="N26" s="69" t="s">
        <v>1654</v>
      </c>
    </row>
    <row r="27" spans="1:14">
      <c r="A27" s="48" t="s">
        <v>104</v>
      </c>
      <c r="B27" s="52" t="s">
        <v>109</v>
      </c>
      <c r="C27" s="49" t="s">
        <v>29</v>
      </c>
      <c r="D27" s="39">
        <v>2005</v>
      </c>
      <c r="E27" s="49">
        <v>1</v>
      </c>
      <c r="F27" s="39" t="s">
        <v>30</v>
      </c>
      <c r="G27" s="21">
        <v>40</v>
      </c>
      <c r="H27" s="39" t="s">
        <v>30</v>
      </c>
      <c r="I27" s="64">
        <v>40</v>
      </c>
      <c r="J27" s="65" t="s">
        <v>30</v>
      </c>
      <c r="K27" s="65"/>
      <c r="L27" s="49" t="s">
        <v>31</v>
      </c>
      <c r="M27" s="50" t="s">
        <v>30</v>
      </c>
      <c r="N27" s="69" t="s">
        <v>1654</v>
      </c>
    </row>
    <row r="28" spans="1:14">
      <c r="A28" s="48" t="s">
        <v>104</v>
      </c>
      <c r="B28" s="52" t="s">
        <v>110</v>
      </c>
      <c r="C28" s="49" t="s">
        <v>29</v>
      </c>
      <c r="D28" s="39">
        <v>2007</v>
      </c>
      <c r="E28" s="49">
        <v>1</v>
      </c>
      <c r="F28" s="39" t="s">
        <v>30</v>
      </c>
      <c r="G28" s="21">
        <v>40</v>
      </c>
      <c r="H28" s="39" t="s">
        <v>30</v>
      </c>
      <c r="I28" s="64">
        <v>40</v>
      </c>
      <c r="J28" s="65" t="s">
        <v>30</v>
      </c>
      <c r="K28" s="65"/>
      <c r="L28" s="49" t="s">
        <v>31</v>
      </c>
      <c r="M28" s="50" t="s">
        <v>30</v>
      </c>
      <c r="N28" s="69" t="s">
        <v>1654</v>
      </c>
    </row>
    <row r="29" spans="1:14">
      <c r="A29" s="48" t="s">
        <v>104</v>
      </c>
      <c r="B29" s="52" t="s">
        <v>111</v>
      </c>
      <c r="C29" s="49" t="s">
        <v>29</v>
      </c>
      <c r="D29" s="39">
        <v>2008</v>
      </c>
      <c r="E29" s="49">
        <v>1</v>
      </c>
      <c r="F29" s="39" t="s">
        <v>30</v>
      </c>
      <c r="G29" s="21">
        <v>46.5</v>
      </c>
      <c r="H29" s="39" t="s">
        <v>30</v>
      </c>
      <c r="I29" s="64">
        <v>46.5</v>
      </c>
      <c r="J29" s="65" t="s">
        <v>30</v>
      </c>
      <c r="K29" s="65"/>
      <c r="L29" s="49" t="s">
        <v>31</v>
      </c>
      <c r="M29" s="50" t="s">
        <v>30</v>
      </c>
      <c r="N29" s="69" t="s">
        <v>1654</v>
      </c>
    </row>
    <row r="30" spans="1:14">
      <c r="A30" s="48" t="s">
        <v>104</v>
      </c>
      <c r="B30" s="52" t="s">
        <v>112</v>
      </c>
      <c r="C30" s="49" t="s">
        <v>29</v>
      </c>
      <c r="D30" s="39">
        <v>2012</v>
      </c>
      <c r="E30" s="49">
        <v>1</v>
      </c>
      <c r="F30" s="39" t="s">
        <v>30</v>
      </c>
      <c r="G30" s="21">
        <v>46.5</v>
      </c>
      <c r="H30" s="39" t="s">
        <v>30</v>
      </c>
      <c r="I30" s="64">
        <v>46.5</v>
      </c>
      <c r="J30" s="65" t="s">
        <v>30</v>
      </c>
      <c r="K30" s="65"/>
      <c r="L30" s="49" t="s">
        <v>31</v>
      </c>
      <c r="M30" s="50" t="s">
        <v>30</v>
      </c>
      <c r="N30" s="69" t="s">
        <v>1654</v>
      </c>
    </row>
    <row r="31" spans="1:14">
      <c r="A31" s="48" t="s">
        <v>104</v>
      </c>
      <c r="B31" s="52" t="s">
        <v>113</v>
      </c>
      <c r="C31" s="49" t="s">
        <v>29</v>
      </c>
      <c r="D31" s="39">
        <v>2023</v>
      </c>
      <c r="E31" s="49">
        <v>1</v>
      </c>
      <c r="F31" s="39" t="s">
        <v>30</v>
      </c>
      <c r="G31" s="21">
        <v>40</v>
      </c>
      <c r="H31" s="39" t="s">
        <v>30</v>
      </c>
      <c r="I31" s="64">
        <v>40</v>
      </c>
      <c r="J31" s="65" t="s">
        <v>30</v>
      </c>
      <c r="K31" s="65"/>
      <c r="L31" s="49" t="s">
        <v>77</v>
      </c>
      <c r="M31" s="50" t="s">
        <v>30</v>
      </c>
      <c r="N31" s="69" t="s">
        <v>1652</v>
      </c>
    </row>
    <row r="32" spans="1:14">
      <c r="A32" s="48" t="s">
        <v>104</v>
      </c>
      <c r="B32" s="52" t="s">
        <v>114</v>
      </c>
      <c r="C32" s="49" t="s">
        <v>48</v>
      </c>
      <c r="D32" s="39">
        <v>2022</v>
      </c>
      <c r="E32" s="49" t="s">
        <v>30</v>
      </c>
      <c r="F32" s="39" t="s">
        <v>30</v>
      </c>
      <c r="G32" s="21" t="s">
        <v>30</v>
      </c>
      <c r="H32" s="39" t="s">
        <v>30</v>
      </c>
      <c r="I32" s="64">
        <v>0.6</v>
      </c>
      <c r="J32" s="65" t="s">
        <v>30</v>
      </c>
      <c r="K32" s="65"/>
      <c r="L32" s="49" t="s">
        <v>30</v>
      </c>
      <c r="M32" s="50">
        <v>0.6</v>
      </c>
      <c r="N32" s="69" t="s">
        <v>1613</v>
      </c>
    </row>
    <row r="33" spans="1:15">
      <c r="A33" s="48" t="s">
        <v>104</v>
      </c>
      <c r="B33" s="52" t="s">
        <v>115</v>
      </c>
      <c r="C33" s="49" t="s">
        <v>48</v>
      </c>
      <c r="D33" s="39">
        <v>2022</v>
      </c>
      <c r="E33" s="49" t="s">
        <v>30</v>
      </c>
      <c r="F33" s="39" t="s">
        <v>30</v>
      </c>
      <c r="G33" s="21" t="s">
        <v>30</v>
      </c>
      <c r="H33" s="39" t="s">
        <v>30</v>
      </c>
      <c r="I33" s="64">
        <v>1</v>
      </c>
      <c r="J33" s="65" t="s">
        <v>30</v>
      </c>
      <c r="K33" s="65"/>
      <c r="L33" s="49" t="s">
        <v>30</v>
      </c>
      <c r="M33" s="50">
        <v>1</v>
      </c>
      <c r="N33" s="69" t="s">
        <v>1613</v>
      </c>
    </row>
    <row r="34" spans="1:15">
      <c r="A34" s="48" t="s">
        <v>104</v>
      </c>
      <c r="B34" s="52" t="s">
        <v>116</v>
      </c>
      <c r="C34" s="49" t="s">
        <v>48</v>
      </c>
      <c r="D34" s="39">
        <v>2023</v>
      </c>
      <c r="E34" s="49" t="s">
        <v>30</v>
      </c>
      <c r="F34" s="39" t="s">
        <v>30</v>
      </c>
      <c r="G34" s="21" t="s">
        <v>30</v>
      </c>
      <c r="H34" s="39" t="s">
        <v>30</v>
      </c>
      <c r="I34" s="64">
        <v>0.5</v>
      </c>
      <c r="J34" s="65" t="s">
        <v>30</v>
      </c>
      <c r="K34" s="65"/>
      <c r="L34" s="49" t="s">
        <v>30</v>
      </c>
      <c r="M34" s="50">
        <v>0.5</v>
      </c>
      <c r="N34" s="69" t="s">
        <v>1613</v>
      </c>
    </row>
    <row r="35" spans="1:15">
      <c r="A35" s="48" t="s">
        <v>104</v>
      </c>
      <c r="B35" s="52" t="s">
        <v>117</v>
      </c>
      <c r="C35" s="49" t="s">
        <v>52</v>
      </c>
      <c r="D35" s="39">
        <v>1995</v>
      </c>
      <c r="E35" s="49">
        <v>1</v>
      </c>
      <c r="F35" s="39">
        <v>175</v>
      </c>
      <c r="G35" s="21" t="s">
        <v>30</v>
      </c>
      <c r="H35" s="39">
        <v>60</v>
      </c>
      <c r="I35" s="64">
        <v>220</v>
      </c>
      <c r="J35" s="65">
        <v>90</v>
      </c>
      <c r="K35" s="65">
        <v>315</v>
      </c>
      <c r="L35" s="49" t="s">
        <v>118</v>
      </c>
      <c r="M35" s="50" t="s">
        <v>30</v>
      </c>
      <c r="N35" s="69" t="s">
        <v>1656</v>
      </c>
      <c r="O35" s="22" t="s">
        <v>1568</v>
      </c>
    </row>
    <row r="36" spans="1:15">
      <c r="A36" s="48" t="s">
        <v>104</v>
      </c>
      <c r="B36" s="52" t="s">
        <v>119</v>
      </c>
      <c r="C36" s="49" t="s">
        <v>52</v>
      </c>
      <c r="D36" s="39">
        <v>2020</v>
      </c>
      <c r="E36" s="49">
        <v>1</v>
      </c>
      <c r="F36" s="39">
        <v>120</v>
      </c>
      <c r="G36" s="21" t="s">
        <v>30</v>
      </c>
      <c r="H36" s="39">
        <v>55</v>
      </c>
      <c r="I36" s="64">
        <v>175</v>
      </c>
      <c r="J36" s="65">
        <v>62</v>
      </c>
      <c r="K36" s="65">
        <v>215</v>
      </c>
      <c r="L36" s="49" t="s">
        <v>46</v>
      </c>
      <c r="M36" s="50" t="s">
        <v>30</v>
      </c>
      <c r="N36" s="69" t="s">
        <v>1656</v>
      </c>
      <c r="O36" s="3" t="s">
        <v>1569</v>
      </c>
    </row>
    <row r="37" spans="1:15">
      <c r="A37" s="55" t="s">
        <v>104</v>
      </c>
      <c r="B37" s="70" t="s">
        <v>120</v>
      </c>
      <c r="C37" s="56" t="s">
        <v>75</v>
      </c>
      <c r="D37" s="40">
        <v>2012</v>
      </c>
      <c r="E37" s="56" t="s">
        <v>30</v>
      </c>
      <c r="F37" s="40" t="s">
        <v>30</v>
      </c>
      <c r="G37" s="57" t="s">
        <v>30</v>
      </c>
      <c r="H37" s="40" t="s">
        <v>30</v>
      </c>
      <c r="I37" s="66">
        <v>58</v>
      </c>
      <c r="J37" s="67">
        <v>12</v>
      </c>
      <c r="K37" s="67"/>
      <c r="L37" s="56" t="s">
        <v>85</v>
      </c>
      <c r="M37" s="58" t="s">
        <v>30</v>
      </c>
      <c r="N37" s="69" t="s">
        <v>1265</v>
      </c>
    </row>
    <row r="38" spans="1:15">
      <c r="A38" s="2"/>
      <c r="B38" s="63"/>
      <c r="C38" s="2"/>
      <c r="D38" s="2"/>
      <c r="E38" s="2"/>
      <c r="F38" s="2"/>
      <c r="G38" s="2"/>
      <c r="H38" s="2"/>
      <c r="I38" s="63"/>
      <c r="J38" s="63"/>
      <c r="K38" s="63"/>
      <c r="L38" s="2"/>
      <c r="M38" s="2"/>
      <c r="N38" s="63"/>
    </row>
    <row r="39" spans="1:15">
      <c r="A39" s="51" t="s">
        <v>168</v>
      </c>
      <c r="B39" s="63"/>
      <c r="C39" s="2"/>
      <c r="D39" s="2"/>
      <c r="E39" s="2"/>
      <c r="F39" s="2"/>
      <c r="G39" s="2"/>
      <c r="H39" s="2"/>
      <c r="I39" s="62" t="s">
        <v>56</v>
      </c>
      <c r="J39" s="62" t="s">
        <v>57</v>
      </c>
      <c r="K39" s="62" t="s">
        <v>1559</v>
      </c>
      <c r="L39" s="47"/>
      <c r="M39" s="47"/>
      <c r="N39" s="62" t="s">
        <v>1612</v>
      </c>
    </row>
    <row r="40" spans="1:15">
      <c r="A40" s="48" t="s">
        <v>216</v>
      </c>
      <c r="B40" s="63"/>
      <c r="C40" s="2"/>
      <c r="D40" s="2"/>
      <c r="E40" s="2"/>
      <c r="F40" s="2"/>
      <c r="G40" s="2"/>
      <c r="H40" s="2"/>
      <c r="I40" s="65">
        <v>40</v>
      </c>
      <c r="J40" s="63"/>
      <c r="K40" s="63"/>
      <c r="L40" s="2"/>
      <c r="M40" s="2"/>
      <c r="N40" s="65" t="s">
        <v>1652</v>
      </c>
      <c r="O40" t="s">
        <v>217</v>
      </c>
    </row>
    <row r="41" spans="1:15">
      <c r="A41" s="48" t="s">
        <v>218</v>
      </c>
      <c r="B41" s="63"/>
      <c r="C41" s="2"/>
      <c r="D41" s="2"/>
      <c r="E41" s="2"/>
      <c r="F41" s="2"/>
      <c r="G41" s="2"/>
      <c r="H41" s="2"/>
      <c r="I41" s="65">
        <v>60</v>
      </c>
      <c r="J41" s="63"/>
      <c r="K41" s="63"/>
      <c r="L41" s="2"/>
      <c r="M41" s="2"/>
      <c r="N41" s="65" t="s">
        <v>1652</v>
      </c>
      <c r="O41" t="s">
        <v>219</v>
      </c>
    </row>
    <row r="42" spans="1:15">
      <c r="A42" s="2"/>
      <c r="B42" s="63"/>
      <c r="C42" s="2"/>
      <c r="D42" s="2"/>
      <c r="E42" s="2"/>
      <c r="F42" s="2"/>
      <c r="G42" s="2"/>
      <c r="H42" s="2"/>
      <c r="I42" s="63"/>
      <c r="J42" s="63"/>
      <c r="K42" s="63"/>
      <c r="L42" s="2"/>
      <c r="M42" s="2"/>
      <c r="N42" s="63"/>
    </row>
    <row r="43" spans="1:15">
      <c r="A43" s="51" t="s">
        <v>190</v>
      </c>
      <c r="B43" s="63"/>
      <c r="C43" s="2"/>
      <c r="D43" s="2"/>
      <c r="E43" s="2"/>
      <c r="F43" s="2"/>
      <c r="G43" s="2"/>
      <c r="H43" s="2"/>
      <c r="I43" s="63"/>
      <c r="J43" s="63"/>
      <c r="K43" s="63"/>
      <c r="L43" s="2"/>
      <c r="M43" s="2"/>
      <c r="N43" s="63"/>
    </row>
    <row r="44" spans="1:15">
      <c r="A44" s="2"/>
      <c r="B44" s="62" t="s">
        <v>178</v>
      </c>
      <c r="C44" s="2"/>
      <c r="D44" s="2"/>
      <c r="E44" s="2"/>
      <c r="F44" s="2"/>
      <c r="G44" s="2"/>
      <c r="H44" s="2"/>
      <c r="I44" s="62" t="s">
        <v>56</v>
      </c>
      <c r="J44" s="62" t="s">
        <v>57</v>
      </c>
      <c r="K44" s="62"/>
      <c r="L44" s="47"/>
      <c r="M44" s="47"/>
      <c r="N44" s="62" t="s">
        <v>1612</v>
      </c>
    </row>
    <row r="45" spans="1:15">
      <c r="A45" s="2" t="s">
        <v>220</v>
      </c>
      <c r="B45" s="63">
        <v>8000</v>
      </c>
      <c r="C45" s="2"/>
      <c r="D45" s="2"/>
      <c r="E45" s="2"/>
      <c r="F45" s="2"/>
      <c r="G45" s="2"/>
      <c r="H45" s="2" t="s">
        <v>184</v>
      </c>
      <c r="I45" s="63">
        <f>B45/100</f>
        <v>80</v>
      </c>
      <c r="J45" s="63"/>
      <c r="K45" s="63"/>
      <c r="L45" s="2"/>
      <c r="M45" s="2"/>
      <c r="N45" s="63" t="s">
        <v>1650</v>
      </c>
      <c r="O45" t="s">
        <v>222</v>
      </c>
    </row>
    <row r="46" spans="1:15">
      <c r="A46" s="2"/>
      <c r="B46" s="63"/>
      <c r="C46" s="2"/>
      <c r="D46" s="2"/>
      <c r="E46" s="2"/>
      <c r="F46" s="2"/>
      <c r="G46" s="2"/>
      <c r="H46" s="2" t="s">
        <v>185</v>
      </c>
      <c r="I46" s="63">
        <f>I45</f>
        <v>80</v>
      </c>
      <c r="J46" s="63"/>
      <c r="K46" s="63"/>
      <c r="L46" s="2"/>
      <c r="M46" s="2"/>
      <c r="N46" s="63" t="s">
        <v>1651</v>
      </c>
    </row>
    <row r="47" spans="1:15">
      <c r="A47" s="2" t="s">
        <v>221</v>
      </c>
      <c r="B47" s="63">
        <v>550</v>
      </c>
      <c r="C47" s="2"/>
      <c r="D47" s="2"/>
      <c r="E47" s="2"/>
      <c r="F47" s="2"/>
      <c r="G47" s="2"/>
      <c r="H47" s="2" t="s">
        <v>184</v>
      </c>
      <c r="I47" s="63">
        <f>B47/10</f>
        <v>55</v>
      </c>
      <c r="J47" s="63"/>
      <c r="K47" s="63"/>
      <c r="L47" s="2"/>
      <c r="M47" s="2"/>
      <c r="N47" s="63" t="s">
        <v>1648</v>
      </c>
    </row>
    <row r="48" spans="1:15">
      <c r="A48" s="2"/>
      <c r="B48" s="63"/>
      <c r="C48" s="2"/>
      <c r="D48" s="2"/>
      <c r="E48" s="2"/>
      <c r="F48" s="2"/>
      <c r="G48" s="2"/>
      <c r="H48" s="2" t="s">
        <v>185</v>
      </c>
      <c r="I48" s="63">
        <f>I47</f>
        <v>55</v>
      </c>
      <c r="J48" s="63"/>
      <c r="K48" s="63"/>
      <c r="L48" s="2"/>
      <c r="M48" s="2"/>
      <c r="N48" s="63" t="s">
        <v>1649</v>
      </c>
    </row>
    <row r="49" spans="1:14">
      <c r="A49" s="2"/>
      <c r="B49" s="63"/>
      <c r="C49" s="2"/>
      <c r="D49" s="2"/>
      <c r="E49" s="2"/>
      <c r="F49" s="2"/>
      <c r="G49" s="2"/>
      <c r="H49" s="2"/>
      <c r="I49" s="63"/>
      <c r="J49" s="63"/>
      <c r="K49" s="63"/>
      <c r="L49" s="2"/>
      <c r="M49" s="2"/>
      <c r="N49" s="63"/>
    </row>
    <row r="50" spans="1:14">
      <c r="A50" s="51"/>
      <c r="B50" s="63"/>
      <c r="C50" s="2"/>
      <c r="D50" s="2"/>
      <c r="E50" s="2"/>
      <c r="F50" s="2"/>
      <c r="G50" s="2"/>
      <c r="H50" s="2"/>
      <c r="I50" s="63"/>
      <c r="J50" s="63"/>
      <c r="K50" s="63"/>
      <c r="L50" s="2"/>
      <c r="M50" s="2"/>
      <c r="N50" s="63"/>
    </row>
    <row r="51" spans="1:14">
      <c r="A51" s="2"/>
      <c r="B51" s="62"/>
      <c r="C51" s="2"/>
      <c r="D51" s="2"/>
      <c r="E51" s="2"/>
      <c r="F51" s="2"/>
      <c r="G51" s="2"/>
      <c r="H51" s="2"/>
      <c r="I51" s="63"/>
      <c r="J51" s="63"/>
      <c r="K51" s="63"/>
      <c r="L51" s="2"/>
      <c r="M51" s="2"/>
      <c r="N51" s="63"/>
    </row>
    <row r="52" spans="1:14">
      <c r="A52" s="2"/>
      <c r="B52" s="63"/>
      <c r="C52" s="2"/>
      <c r="D52" s="2"/>
      <c r="E52" s="2"/>
      <c r="F52" s="2"/>
      <c r="G52" s="2"/>
      <c r="H52" s="2"/>
      <c r="I52" s="63"/>
      <c r="J52" s="63"/>
      <c r="K52" s="63"/>
      <c r="L52" s="2"/>
      <c r="M52" s="2"/>
      <c r="N52" s="63"/>
    </row>
    <row r="53" spans="1:14">
      <c r="A53" s="2"/>
      <c r="B53" s="63"/>
      <c r="C53" s="2"/>
      <c r="D53" s="2"/>
      <c r="E53" s="2"/>
      <c r="F53" s="2"/>
      <c r="G53" s="2"/>
      <c r="H53" s="2"/>
      <c r="I53" s="63"/>
      <c r="J53" s="63"/>
      <c r="K53" s="63"/>
      <c r="L53" s="2"/>
      <c r="M53" s="2"/>
      <c r="N53" s="63"/>
    </row>
    <row r="54" spans="1:14">
      <c r="A54" s="2"/>
      <c r="B54" s="63"/>
      <c r="C54" s="2"/>
      <c r="D54" s="2"/>
      <c r="E54" s="2"/>
      <c r="F54" s="2"/>
      <c r="G54" s="2"/>
      <c r="H54" s="2"/>
      <c r="I54" s="63"/>
      <c r="J54" s="63"/>
      <c r="K54" s="63"/>
      <c r="L54" s="2"/>
      <c r="M54" s="2"/>
      <c r="N54" s="63"/>
    </row>
    <row r="55" spans="1:14">
      <c r="A55" s="2"/>
      <c r="B55" s="63"/>
      <c r="C55" s="2"/>
      <c r="D55" s="2"/>
      <c r="E55" s="2"/>
      <c r="F55" s="2"/>
      <c r="G55" s="2"/>
      <c r="H55" s="2"/>
      <c r="I55" s="63"/>
      <c r="J55" s="63"/>
      <c r="K55" s="63"/>
      <c r="L55" s="2"/>
      <c r="M55" s="2"/>
      <c r="N55" s="63"/>
    </row>
    <row r="56" spans="1:14">
      <c r="A56" s="2"/>
      <c r="B56" s="63"/>
      <c r="C56" s="2"/>
      <c r="D56" s="2"/>
      <c r="E56" s="2"/>
      <c r="F56" s="2"/>
      <c r="G56" s="2"/>
      <c r="H56" s="2"/>
      <c r="I56" s="63"/>
      <c r="J56" s="63"/>
      <c r="K56" s="63"/>
      <c r="L56" s="2"/>
      <c r="M56" s="2"/>
      <c r="N56" s="63"/>
    </row>
    <row r="57" spans="1:14">
      <c r="A57" s="2"/>
      <c r="B57" s="63"/>
      <c r="C57" s="2"/>
      <c r="D57" s="2"/>
      <c r="E57" s="2"/>
      <c r="F57" s="2"/>
      <c r="G57" s="2"/>
      <c r="H57" s="2"/>
      <c r="I57" s="63"/>
      <c r="J57" s="63"/>
      <c r="K57" s="63"/>
      <c r="L57" s="2"/>
      <c r="M57" s="2"/>
      <c r="N57" s="63"/>
    </row>
    <row r="58" spans="1:14">
      <c r="A58" s="2"/>
      <c r="B58" s="63"/>
      <c r="C58" s="2"/>
      <c r="D58" s="2"/>
      <c r="E58" s="2"/>
      <c r="F58" s="2"/>
      <c r="G58" s="2"/>
      <c r="H58" s="2"/>
      <c r="I58" s="63"/>
      <c r="J58" s="63"/>
      <c r="K58" s="63"/>
      <c r="L58" s="2"/>
      <c r="M58" s="2"/>
      <c r="N58" s="63"/>
    </row>
    <row r="59" spans="1:14">
      <c r="A59" s="2"/>
      <c r="B59" s="63"/>
      <c r="C59" s="2"/>
      <c r="D59" s="2"/>
      <c r="E59" s="2"/>
      <c r="F59" s="2"/>
      <c r="G59" s="2"/>
      <c r="H59" s="2"/>
      <c r="I59" s="63"/>
      <c r="J59" s="63"/>
      <c r="K59" s="63"/>
      <c r="L59" s="2"/>
      <c r="M59" s="2"/>
      <c r="N59" s="63"/>
    </row>
    <row r="60" spans="1:14">
      <c r="A60" s="2"/>
      <c r="B60" s="63"/>
      <c r="C60" s="2"/>
      <c r="D60" s="2"/>
      <c r="E60" s="2"/>
      <c r="F60" s="2"/>
      <c r="G60" s="2"/>
      <c r="H60" s="2"/>
      <c r="I60" s="63"/>
      <c r="J60" s="63"/>
      <c r="K60" s="63"/>
      <c r="L60" s="2"/>
      <c r="M60" s="2"/>
      <c r="N60" s="63"/>
    </row>
    <row r="61" spans="1:14">
      <c r="A61" s="2"/>
      <c r="B61" s="63"/>
      <c r="C61" s="2"/>
      <c r="D61" s="2"/>
      <c r="E61" s="2"/>
      <c r="F61" s="2"/>
      <c r="G61" s="2"/>
      <c r="H61" s="2"/>
      <c r="I61" s="63"/>
      <c r="J61" s="63"/>
      <c r="K61" s="63"/>
      <c r="L61" s="2"/>
      <c r="M61" s="2"/>
      <c r="N61" s="63"/>
    </row>
    <row r="62" spans="1:14">
      <c r="A62" s="2"/>
      <c r="B62" s="63"/>
      <c r="C62" s="2"/>
      <c r="D62" s="2"/>
      <c r="E62" s="2"/>
      <c r="F62" s="2"/>
      <c r="G62" s="2"/>
      <c r="H62" s="2"/>
      <c r="I62" s="63"/>
      <c r="J62" s="63"/>
      <c r="K62" s="63"/>
      <c r="L62" s="2"/>
      <c r="M62" s="2"/>
      <c r="N62" s="63"/>
    </row>
    <row r="63" spans="1:14">
      <c r="A63" s="2"/>
      <c r="B63" s="63"/>
      <c r="C63" s="2"/>
      <c r="D63" s="2"/>
      <c r="E63" s="2"/>
      <c r="F63" s="2"/>
      <c r="G63" s="2"/>
      <c r="H63" s="2"/>
      <c r="I63" s="63"/>
      <c r="J63" s="63"/>
      <c r="K63" s="63"/>
      <c r="L63" s="2"/>
      <c r="M63" s="2"/>
      <c r="N63" s="63"/>
    </row>
    <row r="64" spans="1:14">
      <c r="A64" s="2"/>
      <c r="B64" s="63"/>
      <c r="C64" s="2"/>
      <c r="D64" s="2"/>
      <c r="E64" s="2"/>
      <c r="F64" s="2"/>
      <c r="G64" s="2"/>
      <c r="H64" s="2"/>
      <c r="I64" s="63"/>
      <c r="J64" s="63"/>
      <c r="K64" s="63"/>
      <c r="L64" s="2"/>
      <c r="M64" s="2"/>
      <c r="N64" s="63"/>
    </row>
    <row r="65" spans="1:14">
      <c r="A65" s="2"/>
      <c r="B65" s="63"/>
      <c r="C65" s="2"/>
      <c r="D65" s="2"/>
      <c r="E65" s="2"/>
      <c r="F65" s="2"/>
      <c r="G65" s="2"/>
      <c r="H65" s="2"/>
      <c r="I65" s="63"/>
      <c r="J65" s="63"/>
      <c r="K65" s="63"/>
      <c r="L65" s="2"/>
      <c r="M65" s="2"/>
      <c r="N65" s="63"/>
    </row>
    <row r="66" spans="1:14">
      <c r="A66" s="2"/>
      <c r="B66" s="63"/>
      <c r="C66" s="2"/>
      <c r="D66" s="2"/>
      <c r="E66" s="2"/>
      <c r="F66" s="2"/>
      <c r="G66" s="2"/>
      <c r="H66" s="2"/>
      <c r="I66" s="63"/>
      <c r="J66" s="63"/>
      <c r="K66" s="63"/>
      <c r="L66" s="2"/>
      <c r="M66" s="2"/>
      <c r="N66" s="63"/>
    </row>
    <row r="67" spans="1:14">
      <c r="A67" s="2"/>
      <c r="B67" s="63"/>
      <c r="C67" s="2"/>
      <c r="D67" s="2"/>
      <c r="E67" s="2"/>
      <c r="F67" s="2"/>
      <c r="G67" s="2"/>
      <c r="H67" s="2"/>
      <c r="I67" s="63"/>
      <c r="J67" s="63"/>
      <c r="K67" s="63"/>
      <c r="L67" s="2"/>
      <c r="M67" s="2"/>
      <c r="N67" s="63"/>
    </row>
    <row r="68" spans="1:14">
      <c r="A68" s="2"/>
      <c r="B68" s="63"/>
      <c r="C68" s="2"/>
      <c r="D68" s="2"/>
      <c r="E68" s="2"/>
      <c r="F68" s="2"/>
      <c r="G68" s="2"/>
      <c r="H68" s="2"/>
      <c r="I68" s="63"/>
      <c r="J68" s="63"/>
      <c r="K68" s="63"/>
      <c r="L68" s="2"/>
      <c r="M68" s="2"/>
      <c r="N68" s="63"/>
    </row>
    <row r="69" spans="1:14">
      <c r="A69" s="2"/>
      <c r="B69" s="63"/>
      <c r="C69" s="2"/>
      <c r="D69" s="2"/>
      <c r="E69" s="2"/>
      <c r="F69" s="2"/>
      <c r="G69" s="2"/>
      <c r="H69" s="2"/>
      <c r="I69" s="63"/>
      <c r="J69" s="63"/>
      <c r="K69" s="63"/>
      <c r="L69" s="2"/>
      <c r="M69" s="2"/>
      <c r="N69" s="63"/>
    </row>
    <row r="70" spans="1:14">
      <c r="A70" s="2"/>
      <c r="B70" s="63"/>
      <c r="C70" s="2"/>
      <c r="D70" s="2"/>
      <c r="E70" s="2"/>
      <c r="F70" s="2"/>
      <c r="G70" s="2"/>
      <c r="H70" s="2"/>
      <c r="I70" s="63"/>
      <c r="J70" s="63"/>
      <c r="K70" s="63"/>
      <c r="L70" s="2"/>
      <c r="M70" s="2"/>
      <c r="N70" s="63"/>
    </row>
    <row r="71" spans="1:14">
      <c r="A71" s="2"/>
      <c r="B71" s="63"/>
      <c r="C71" s="2"/>
      <c r="D71" s="2"/>
      <c r="E71" s="2"/>
      <c r="F71" s="2"/>
      <c r="G71" s="2"/>
      <c r="H71" s="2"/>
      <c r="I71" s="63"/>
      <c r="J71" s="63"/>
      <c r="K71" s="63"/>
      <c r="L71" s="2"/>
      <c r="M71" s="2"/>
      <c r="N71" s="63"/>
    </row>
    <row r="72" spans="1:14">
      <c r="A72" s="2"/>
      <c r="B72" s="63"/>
      <c r="C72" s="2"/>
      <c r="D72" s="2"/>
      <c r="E72" s="2"/>
      <c r="F72" s="2"/>
      <c r="G72" s="2"/>
      <c r="H72" s="2"/>
      <c r="I72" s="63"/>
      <c r="J72" s="63"/>
      <c r="K72" s="63"/>
      <c r="L72" s="2"/>
      <c r="M72" s="2"/>
      <c r="N72" s="63"/>
    </row>
    <row r="73" spans="1:14">
      <c r="A73" s="2"/>
      <c r="B73" s="63"/>
      <c r="C73" s="2"/>
      <c r="D73" s="2"/>
      <c r="E73" s="2"/>
      <c r="F73" s="2"/>
      <c r="G73" s="2"/>
      <c r="H73" s="2"/>
      <c r="I73" s="63"/>
      <c r="J73" s="63"/>
      <c r="K73" s="63"/>
      <c r="L73" s="2"/>
      <c r="M73" s="2"/>
      <c r="N73" s="63"/>
    </row>
    <row r="74" spans="1:14">
      <c r="A74" s="2"/>
      <c r="B74" s="63"/>
      <c r="C74" s="2"/>
      <c r="D74" s="2"/>
      <c r="E74" s="2"/>
      <c r="F74" s="2"/>
      <c r="G74" s="2"/>
      <c r="H74" s="2"/>
      <c r="I74" s="63"/>
      <c r="J74" s="63"/>
      <c r="K74" s="63"/>
      <c r="L74" s="2"/>
      <c r="M74" s="2"/>
      <c r="N74" s="63"/>
    </row>
    <row r="75" spans="1:14">
      <c r="A75" s="2"/>
      <c r="B75" s="63"/>
      <c r="C75" s="2"/>
      <c r="D75" s="2"/>
      <c r="E75" s="2"/>
      <c r="F75" s="2"/>
      <c r="G75" s="2"/>
      <c r="H75" s="2"/>
      <c r="I75" s="63"/>
      <c r="J75" s="63"/>
      <c r="K75" s="63"/>
      <c r="L75" s="2"/>
      <c r="M75" s="2"/>
      <c r="N75" s="63"/>
    </row>
    <row r="76" spans="1:14">
      <c r="A76" s="2"/>
      <c r="B76" s="63"/>
      <c r="C76" s="2"/>
      <c r="D76" s="2"/>
      <c r="E76" s="2"/>
      <c r="F76" s="2"/>
      <c r="G76" s="2"/>
      <c r="H76" s="2"/>
      <c r="I76" s="63"/>
      <c r="J76" s="63"/>
      <c r="K76" s="63"/>
      <c r="L76" s="2"/>
      <c r="M76" s="2"/>
      <c r="N76" s="63"/>
    </row>
    <row r="77" spans="1:14">
      <c r="A77" s="2"/>
      <c r="B77" s="63"/>
      <c r="C77" s="2"/>
      <c r="D77" s="2"/>
      <c r="E77" s="2"/>
      <c r="F77" s="2"/>
      <c r="G77" s="2"/>
      <c r="H77" s="2"/>
      <c r="I77" s="63"/>
      <c r="J77" s="63"/>
      <c r="K77" s="63"/>
      <c r="L77" s="2"/>
      <c r="M77" s="2"/>
      <c r="N77" s="63"/>
    </row>
    <row r="78" spans="1:14">
      <c r="A78" s="2"/>
      <c r="B78" s="63"/>
      <c r="C78" s="2"/>
      <c r="D78" s="2"/>
      <c r="E78" s="2"/>
      <c r="F78" s="2"/>
      <c r="G78" s="2"/>
      <c r="H78" s="2"/>
      <c r="I78" s="63"/>
      <c r="J78" s="63"/>
      <c r="K78" s="63"/>
      <c r="L78" s="2"/>
      <c r="M78" s="2"/>
      <c r="N78" s="63"/>
    </row>
    <row r="79" spans="1:14">
      <c r="A79" s="2"/>
      <c r="B79" s="63"/>
      <c r="C79" s="2"/>
      <c r="D79" s="2"/>
      <c r="E79" s="2"/>
      <c r="F79" s="2"/>
      <c r="G79" s="2"/>
      <c r="H79" s="2"/>
      <c r="I79" s="63"/>
      <c r="J79" s="63"/>
      <c r="K79" s="63"/>
      <c r="L79" s="2"/>
      <c r="M79" s="2"/>
      <c r="N79" s="63"/>
    </row>
    <row r="80" spans="1:14">
      <c r="A80" s="2"/>
      <c r="B80" s="63"/>
      <c r="C80" s="2"/>
      <c r="D80" s="2"/>
      <c r="E80" s="2"/>
      <c r="F80" s="2"/>
      <c r="G80" s="2"/>
      <c r="H80" s="2"/>
      <c r="I80" s="63"/>
      <c r="J80" s="63"/>
      <c r="K80" s="63"/>
      <c r="L80" s="2"/>
      <c r="M80" s="2"/>
      <c r="N80" s="63"/>
    </row>
    <row r="81" spans="1:14">
      <c r="A81" s="2"/>
      <c r="B81" s="63"/>
      <c r="C81" s="2"/>
      <c r="D81" s="2"/>
      <c r="E81" s="2"/>
      <c r="F81" s="2"/>
      <c r="G81" s="2"/>
      <c r="H81" s="2"/>
      <c r="I81" s="63"/>
      <c r="J81" s="63"/>
      <c r="K81" s="63"/>
      <c r="L81" s="2"/>
      <c r="M81" s="2"/>
      <c r="N81" s="63"/>
    </row>
    <row r="82" spans="1:14">
      <c r="A82" s="2"/>
      <c r="B82" s="63"/>
      <c r="C82" s="2"/>
      <c r="D82" s="2"/>
      <c r="E82" s="2"/>
      <c r="F82" s="2"/>
      <c r="G82" s="2"/>
      <c r="H82" s="2"/>
      <c r="I82" s="63"/>
      <c r="J82" s="63"/>
      <c r="K82" s="63"/>
      <c r="L82" s="2"/>
      <c r="M82" s="2"/>
      <c r="N82" s="6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3CDC-CC94-4810-846E-4915DC61652A}">
  <sheetPr codeName="Sheet11"/>
  <dimension ref="A1:O82"/>
  <sheetViews>
    <sheetView workbookViewId="0">
      <selection activeCell="E14" sqref="E14"/>
    </sheetView>
  </sheetViews>
  <sheetFormatPr defaultRowHeight="15"/>
  <cols>
    <col min="1" max="1" width="32.5703125" customWidth="1"/>
    <col min="2" max="2" width="27.7109375" customWidth="1"/>
    <col min="6" max="6" width="24.85546875" customWidth="1"/>
    <col min="7" max="7" width="27.7109375" customWidth="1"/>
    <col min="11" max="11" width="15" customWidth="1"/>
    <col min="14" max="14" width="28.42578125" customWidth="1"/>
  </cols>
  <sheetData>
    <row r="1" spans="1:7">
      <c r="A1" s="38" t="s">
        <v>1612</v>
      </c>
      <c r="B1" s="38" t="s">
        <v>1371</v>
      </c>
      <c r="C1" s="38" t="s">
        <v>1372</v>
      </c>
      <c r="D1" s="38" t="s">
        <v>1573</v>
      </c>
      <c r="E1" s="37"/>
      <c r="F1" s="45" t="s">
        <v>1575</v>
      </c>
      <c r="G1" s="38" t="s">
        <v>1576</v>
      </c>
    </row>
    <row r="2" spans="1:7">
      <c r="A2" s="37" t="str" cm="1">
        <f t="array" ref="A2:A8">_xlfn.UNIQUE(_xlfn._xlws.FILTER(N23:N82,(ISTEXT(N23:N82))*(N23:N82&lt;&gt;"Excluded")*(N23:N82&lt;&gt;"Included in industry")*(N23:N82&lt;&gt;"unittype")))</f>
        <v>oilHOB</v>
      </c>
      <c r="B2" s="37">
        <f>IF(COUNTIF($A2,"*HOB*")+COUNTIF($A2,"*charger*")+COUNTIF($A2,"*disch*")+COUNTIF($A2,"GSHP")+COUNTIF($A2,"elecHOB"),SUMIF($N$23:$N$82,$A2,$I$23:$I$82),SUMIF($N$23:$N$82,$A2,$J$23:$J$82))</f>
        <v>624</v>
      </c>
      <c r="C2" s="37">
        <f>IF(COUNTIF($A2,"*HOB*")+COUNTIF($A2,"*charger*")+COUNTIF($A2,"*disch*")+COUNTIF($A2,"GSHP")+COUNTIF($A2,"elecHOB"),SUMIF($N$23:$N$82,$A2,$J$23:$J$82),SUMIF($N$23:$N$82,$A2,$I$23:$I$82))</f>
        <v>0</v>
      </c>
      <c r="D2" s="37" t="str">
        <f>IF(COUNTIFS($K$23:$K$82,"&gt;0",$N$23:$N$82,$A2)=COUNTIF($N$23:$N$82,$A2),SUMIF($N$23:$N$82,$A2,$K$23:$K$82),"")</f>
        <v/>
      </c>
      <c r="E2" s="37"/>
      <c r="F2" s="46" t="str">
        <f>IF(ISTEXT($A2),IF(COUNTIFS(unitdata_Finland!$B$3:$B$85,$A2,unitdata_Finland!$C$3:$C$85,"*TKU*"),"","Add the unit!"),"")</f>
        <v/>
      </c>
      <c r="G2" s="46" t="str">
        <f>IF(COUNTIFS(unitdata_Finland!$B$3:$B$85,$A2,unitdata_Finland!$C$3:$C$85,"*TKU*")&gt;1,"Warning!","")</f>
        <v/>
      </c>
    </row>
    <row r="3" spans="1:7">
      <c r="A3" s="37" t="str">
        <v>GSHP</v>
      </c>
      <c r="B3" s="37">
        <f t="shared" ref="B3:B20" si="0">IF(COUNTIF($A3,"*HOB*")+COUNTIF($A3,"*charger*")+COUNTIF($A3,"*disch*")+COUNTIF($A3,"GSHP")+COUNTIF($A3,"elecHOB"),SUMIF($N$23:$N$82,$A3,$I$23:$I$82),SUMIF($N$23:$N$82,$A3,$J$23:$J$82))</f>
        <v>64.400000000000006</v>
      </c>
      <c r="C3" s="37">
        <f t="shared" ref="C3:C20" si="1">IF(COUNTIF($A3,"*HOB*")+COUNTIF($A3,"*charger*")+COUNTIF($A3,"*disch*")+COUNTIF($A3,"GSHP")+COUNTIF($A3,"elecHOB"),SUMIF($N$23:$N$82,$A3,$J$23:$J$82),SUMIF($N$23:$N$82,$A3,$I$23:$I$82))</f>
        <v>0</v>
      </c>
      <c r="D3" s="37" t="str">
        <f t="shared" ref="D3:D20" si="2">IF(COUNTIFS($K$23:$K$82,"&gt;0",$N$23:$N$82,$A3)=COUNTIF($N$23:$N$82,$A3),SUMIF($N$23:$N$82,$A3,$K$23:$K$82),"")</f>
        <v/>
      </c>
      <c r="E3" s="37"/>
      <c r="F3" s="46" t="str">
        <f>IF(ISTEXT($A3),IF(COUNTIFS(unitdata_Finland!$B$3:$B$85,$A3,unitdata_Finland!$C$3:$C$85,"*TKU*"),"","Add the unit!"),"")</f>
        <v/>
      </c>
      <c r="G3" s="46" t="str">
        <f>IF(COUNTIFS(unitdata_Finland!$B$3:$B$85,$A3,unitdata_Finland!$C$3:$C$85,"*TKU*")&gt;1,"Warning!","")</f>
        <v/>
      </c>
    </row>
    <row r="4" spans="1:7">
      <c r="A4" s="37" t="str">
        <v>bioHOB</v>
      </c>
      <c r="B4" s="37">
        <f t="shared" si="0"/>
        <v>106.8</v>
      </c>
      <c r="C4" s="37">
        <f t="shared" si="1"/>
        <v>0</v>
      </c>
      <c r="D4" s="37" t="str">
        <f t="shared" si="2"/>
        <v/>
      </c>
      <c r="E4" s="37"/>
      <c r="F4" s="46" t="str">
        <f>IF(ISTEXT($A4),IF(COUNTIFS(unitdata_Finland!$B$3:$B$85,$A4,unitdata_Finland!$C$3:$C$85,"*TKU*"),"","Add the unit!"),"")</f>
        <v/>
      </c>
      <c r="G4" s="46" t="str">
        <f>IF(COUNTIFS(unitdata_Finland!$B$3:$B$85,$A4,unitdata_Finland!$C$3:$C$85,"*TKU*")&gt;1,"Warning!","")</f>
        <v/>
      </c>
    </row>
    <row r="5" spans="1:7">
      <c r="A5" s="37" t="str">
        <v>bioCHP</v>
      </c>
      <c r="B5" s="37">
        <f t="shared" si="0"/>
        <v>160</v>
      </c>
      <c r="C5" s="37">
        <f t="shared" si="1"/>
        <v>260</v>
      </c>
      <c r="D5" s="37">
        <f t="shared" si="2"/>
        <v>424</v>
      </c>
      <c r="E5" s="37"/>
      <c r="F5" s="46" t="str">
        <f>IF(ISTEXT($A5),IF(COUNTIFS(unitdata_Finland!$B$3:$B$85,$A5,unitdata_Finland!$C$3:$C$85,"*TKU*"),"","Add the unit!"),"")</f>
        <v/>
      </c>
      <c r="G5" s="46" t="str">
        <f>IF(COUNTIFS(unitdata_Finland!$B$3:$B$85,$A5,unitdata_Finland!$C$3:$C$85,"*TKU*")&gt;1,"Warning!","")</f>
        <v/>
      </c>
    </row>
    <row r="6" spans="1:7">
      <c r="A6" s="37" t="str">
        <v>elecHOB</v>
      </c>
      <c r="B6" s="37">
        <f t="shared" si="0"/>
        <v>50</v>
      </c>
      <c r="C6" s="37">
        <f t="shared" si="1"/>
        <v>0</v>
      </c>
      <c r="D6" s="37" t="str">
        <f t="shared" si="2"/>
        <v/>
      </c>
      <c r="E6" s="37"/>
      <c r="F6" s="46" t="str">
        <f>IF(ISTEXT($A6),IF(COUNTIFS(unitdata_Finland!$B$3:$B$85,$A6,unitdata_Finland!$C$3:$C$85,"*TKU*"),"","Add the unit!"),"")</f>
        <v/>
      </c>
      <c r="G6" s="46" t="str">
        <f>IF(COUNTIFS(unitdata_Finland!$B$3:$B$85,$A6,unitdata_Finland!$C$3:$C$85,"*TKU*")&gt;1,"Warning!","")</f>
        <v/>
      </c>
    </row>
    <row r="7" spans="1:7">
      <c r="A7" s="37" t="str">
        <v>HeatStorageCharger</v>
      </c>
      <c r="B7" s="37">
        <f t="shared" si="0"/>
        <v>75</v>
      </c>
      <c r="C7" s="37">
        <f t="shared" si="1"/>
        <v>0</v>
      </c>
      <c r="D7" s="37" t="str">
        <f t="shared" si="2"/>
        <v/>
      </c>
      <c r="E7" s="37"/>
      <c r="F7" s="46" t="str">
        <f>IF(ISTEXT($A7),IF(COUNTIFS(unitdata_Finland!$B$3:$B$85,$A7,unitdata_Finland!$C$3:$C$85,"*TKU*"),"","Add the unit!"),"")</f>
        <v/>
      </c>
      <c r="G7" s="46" t="str">
        <f>IF(COUNTIFS(unitdata_Finland!$B$3:$B$85,$A7,unitdata_Finland!$C$3:$C$85,"*TKU*")&gt;1,"Warning!","")</f>
        <v/>
      </c>
    </row>
    <row r="8" spans="1:7">
      <c r="A8" s="37" t="str">
        <v>HeatStorageDisch</v>
      </c>
      <c r="B8" s="37">
        <f t="shared" si="0"/>
        <v>75</v>
      </c>
      <c r="C8" s="37">
        <f t="shared" si="1"/>
        <v>0</v>
      </c>
      <c r="D8" s="37" t="str">
        <f t="shared" si="2"/>
        <v/>
      </c>
      <c r="E8" s="37"/>
      <c r="F8" s="46" t="str">
        <f>IF(ISTEXT($A8),IF(COUNTIFS(unitdata_Finland!$B$3:$B$85,$A8,unitdata_Finland!$C$3:$C$85,"*TKU*"),"","Add the unit!"),"")</f>
        <v/>
      </c>
      <c r="G8" s="46" t="str">
        <f>IF(COUNTIFS(unitdata_Finland!$B$3:$B$85,$A8,unitdata_Finland!$C$3:$C$85,"*TKU*")&gt;1,"Warning!","")</f>
        <v/>
      </c>
    </row>
    <row r="9" spans="1:7">
      <c r="A9" s="37"/>
      <c r="B9" s="37">
        <f t="shared" si="0"/>
        <v>0</v>
      </c>
      <c r="C9" s="37">
        <f t="shared" si="1"/>
        <v>0</v>
      </c>
      <c r="D9" s="37">
        <f t="shared" si="2"/>
        <v>0</v>
      </c>
      <c r="E9" s="37"/>
      <c r="F9" s="46" t="str">
        <f>IF(ISTEXT($A9),IF(COUNTIFS(unitdata_Finland!$B$3:$B$85,$A9,unitdata_Finland!$C$3:$C$85,"*TKU*"),"","Add the unit!"),"")</f>
        <v/>
      </c>
      <c r="G9" s="46" t="str">
        <f>IF(COUNTIFS(unitdata_Finland!$B$3:$B$85,$A9,unitdata_Finland!$C$3:$C$85,"*TKU*")&gt;1,"Warning!","")</f>
        <v/>
      </c>
    </row>
    <row r="10" spans="1:7">
      <c r="A10" s="37"/>
      <c r="B10" s="37">
        <f t="shared" si="0"/>
        <v>0</v>
      </c>
      <c r="C10" s="37">
        <f t="shared" si="1"/>
        <v>0</v>
      </c>
      <c r="D10" s="37">
        <f t="shared" si="2"/>
        <v>0</v>
      </c>
      <c r="E10" s="37"/>
      <c r="F10" s="46" t="str">
        <f>IF(ISTEXT($A10),IF(COUNTIFS(unitdata_Finland!$B$3:$B$85,$A10,unitdata_Finland!$C$3:$C$85,"*TKU*"),"","Add the unit!"),"")</f>
        <v/>
      </c>
      <c r="G10" s="46" t="str">
        <f>IF(COUNTIFS(unitdata_Finland!$B$3:$B$85,$A10,unitdata_Finland!$C$3:$C$85,"*TKU*")&gt;1,"Warning!","")</f>
        <v/>
      </c>
    </row>
    <row r="11" spans="1:7">
      <c r="A11" s="37"/>
      <c r="B11" s="37">
        <f t="shared" si="0"/>
        <v>0</v>
      </c>
      <c r="C11" s="37">
        <f t="shared" si="1"/>
        <v>0</v>
      </c>
      <c r="D11" s="37">
        <f t="shared" si="2"/>
        <v>0</v>
      </c>
      <c r="E11" s="37"/>
      <c r="F11" s="46" t="str">
        <f>IF(ISTEXT($A11),IF(COUNTIFS(unitdata_Finland!$B$3:$B$85,$A11,unitdata_Finland!$C$3:$C$85,"*TKU*"),"","Add the unit!"),"")</f>
        <v/>
      </c>
      <c r="G11" s="46" t="str">
        <f>IF(COUNTIFS(unitdata_Finland!$B$3:$B$85,$A11,unitdata_Finland!$C$3:$C$85,"*TKU*")&gt;1,"Warning!","")</f>
        <v/>
      </c>
    </row>
    <row r="12" spans="1:7">
      <c r="A12" s="37"/>
      <c r="B12" s="37">
        <f t="shared" si="0"/>
        <v>0</v>
      </c>
      <c r="C12" s="37">
        <f t="shared" si="1"/>
        <v>0</v>
      </c>
      <c r="D12" s="37">
        <f t="shared" si="2"/>
        <v>0</v>
      </c>
      <c r="E12" s="37"/>
      <c r="F12" s="46" t="str">
        <f>IF(ISTEXT($A12),IF(COUNTIFS(unitdata_Finland!$B$3:$B$85,$A12,unitdata_Finland!$C$3:$C$85,"*TKU*"),"","Add the unit!"),"")</f>
        <v/>
      </c>
      <c r="G12" s="46" t="str">
        <f>IF(COUNTIFS(unitdata_Finland!$B$3:$B$85,$A12,unitdata_Finland!$C$3:$C$85,"*TKU*")&gt;1,"Warning!","")</f>
        <v/>
      </c>
    </row>
    <row r="13" spans="1:7">
      <c r="A13" s="37"/>
      <c r="B13" s="37">
        <f t="shared" si="0"/>
        <v>0</v>
      </c>
      <c r="C13" s="37">
        <f t="shared" si="1"/>
        <v>0</v>
      </c>
      <c r="D13" s="37">
        <f t="shared" si="2"/>
        <v>0</v>
      </c>
      <c r="E13" s="37"/>
      <c r="F13" s="46" t="str">
        <f>IF(ISTEXT($A13),IF(COUNTIFS(unitdata_Finland!$B$3:$B$85,$A13,unitdata_Finland!$C$3:$C$85,"*TKU*"),"","Add the unit!"),"")</f>
        <v/>
      </c>
      <c r="G13" s="46" t="str">
        <f>IF(COUNTIFS(unitdata_Finland!$B$3:$B$85,$A13,unitdata_Finland!$C$3:$C$85,"*TKU*")&gt;1,"Warning!","")</f>
        <v/>
      </c>
    </row>
    <row r="14" spans="1:7">
      <c r="A14" s="37"/>
      <c r="B14" s="37">
        <f t="shared" si="0"/>
        <v>0</v>
      </c>
      <c r="C14" s="37">
        <f t="shared" si="1"/>
        <v>0</v>
      </c>
      <c r="D14" s="37">
        <f t="shared" si="2"/>
        <v>0</v>
      </c>
      <c r="E14" s="37"/>
      <c r="F14" s="46" t="str">
        <f>IF(ISTEXT($A14),IF(COUNTIFS(unitdata_Finland!$B$3:$B$85,$A14,unitdata_Finland!$C$3:$C$85,"*TKU*"),"","Add the unit!"),"")</f>
        <v/>
      </c>
      <c r="G14" s="46" t="str">
        <f>IF(COUNTIFS(unitdata_Finland!$B$3:$B$85,$A14,unitdata_Finland!$C$3:$C$85,"*TKU*")&gt;1,"Warning!","")</f>
        <v/>
      </c>
    </row>
    <row r="15" spans="1:7">
      <c r="A15" s="37"/>
      <c r="B15" s="37">
        <f t="shared" si="0"/>
        <v>0</v>
      </c>
      <c r="C15" s="37">
        <f t="shared" si="1"/>
        <v>0</v>
      </c>
      <c r="D15" s="37">
        <f t="shared" si="2"/>
        <v>0</v>
      </c>
      <c r="E15" s="37"/>
      <c r="F15" s="46" t="str">
        <f>IF(ISTEXT($A15),IF(COUNTIFS(unitdata_Finland!$B$3:$B$85,$A15,unitdata_Finland!$C$3:$C$85,"*TKU*"),"","Add the unit!"),"")</f>
        <v/>
      </c>
      <c r="G15" s="46" t="str">
        <f>IF(COUNTIFS(unitdata_Finland!$B$3:$B$85,$A15,unitdata_Finland!$C$3:$C$85,"*TKU*")&gt;1,"Warning!","")</f>
        <v/>
      </c>
    </row>
    <row r="16" spans="1:7">
      <c r="A16" s="37"/>
      <c r="B16" s="37">
        <f t="shared" si="0"/>
        <v>0</v>
      </c>
      <c r="C16" s="37">
        <f t="shared" si="1"/>
        <v>0</v>
      </c>
      <c r="D16" s="37">
        <f t="shared" si="2"/>
        <v>0</v>
      </c>
      <c r="E16" s="37"/>
      <c r="F16" s="46" t="str">
        <f>IF(ISTEXT($A16),IF(COUNTIFS(unitdata_Finland!$B$3:$B$85,$A16,unitdata_Finland!$C$3:$C$85,"*TKU*"),"","Add the unit!"),"")</f>
        <v/>
      </c>
      <c r="G16" s="46" t="str">
        <f>IF(COUNTIFS(unitdata_Finland!$B$3:$B$85,$A16,unitdata_Finland!$C$3:$C$85,"*TKU*")&gt;1,"Warning!","")</f>
        <v/>
      </c>
    </row>
    <row r="17" spans="1:14">
      <c r="A17" s="37"/>
      <c r="B17" s="37">
        <f t="shared" si="0"/>
        <v>0</v>
      </c>
      <c r="C17" s="37">
        <f t="shared" si="1"/>
        <v>0</v>
      </c>
      <c r="D17" s="37">
        <f t="shared" si="2"/>
        <v>0</v>
      </c>
      <c r="E17" s="37"/>
      <c r="F17" s="46" t="str">
        <f>IF(ISTEXT($A17),IF(COUNTIFS(unitdata_Finland!$B$3:$B$85,$A17,unitdata_Finland!$C$3:$C$85,"*TKU*"),"","Add the unit!"),"")</f>
        <v/>
      </c>
      <c r="G17" s="46" t="str">
        <f>IF(COUNTIFS(unitdata_Finland!$B$3:$B$85,$A17,unitdata_Finland!$C$3:$C$85,"*TKU*")&gt;1,"Warning!","")</f>
        <v/>
      </c>
    </row>
    <row r="18" spans="1:14">
      <c r="A18" s="37"/>
      <c r="B18" s="37">
        <f t="shared" si="0"/>
        <v>0</v>
      </c>
      <c r="C18" s="37">
        <f t="shared" si="1"/>
        <v>0</v>
      </c>
      <c r="D18" s="37">
        <f t="shared" si="2"/>
        <v>0</v>
      </c>
      <c r="E18" s="37"/>
      <c r="F18" s="46" t="str">
        <f>IF(ISTEXT($A18),IF(COUNTIFS(unitdata_Finland!$B$3:$B$85,$A18,unitdata_Finland!$C$3:$C$85,"*TKU*"),"","Add the unit!"),"")</f>
        <v/>
      </c>
      <c r="G18" s="46" t="str">
        <f>IF(COUNTIFS(unitdata_Finland!$B$3:$B$85,$A18,unitdata_Finland!$C$3:$C$85,"*TKU*")&gt;1,"Warning!","")</f>
        <v/>
      </c>
    </row>
    <row r="19" spans="1:14">
      <c r="A19" s="37"/>
      <c r="B19" s="37">
        <f t="shared" si="0"/>
        <v>0</v>
      </c>
      <c r="C19" s="37">
        <f t="shared" si="1"/>
        <v>0</v>
      </c>
      <c r="D19" s="37">
        <f t="shared" si="2"/>
        <v>0</v>
      </c>
      <c r="E19" s="37"/>
      <c r="F19" s="46" t="str">
        <f>IF(ISTEXT($A19),IF(COUNTIFS(unitdata_Finland!$B$3:$B$85,$A19,unitdata_Finland!$C$3:$C$85,"*TKU*"),"","Add the unit!"),"")</f>
        <v/>
      </c>
      <c r="G19" s="46" t="str">
        <f>IF(COUNTIFS(unitdata_Finland!$B$3:$B$85,$A19,unitdata_Finland!$C$3:$C$85,"*TKU*")&gt;1,"Warning!","")</f>
        <v/>
      </c>
    </row>
    <row r="20" spans="1:14">
      <c r="A20" s="37"/>
      <c r="B20" s="37">
        <f t="shared" si="0"/>
        <v>0</v>
      </c>
      <c r="C20" s="37">
        <f t="shared" si="1"/>
        <v>0</v>
      </c>
      <c r="D20" s="37">
        <f t="shared" si="2"/>
        <v>0</v>
      </c>
      <c r="E20" s="37"/>
      <c r="F20" s="46" t="str">
        <f>IF(ISTEXT($A20),IF(COUNTIFS(unitdata_Finland!$B$3:$B$85,$A20,unitdata_Finland!$C$3:$C$85,"*TKU*"),"","Add the unit!"),"")</f>
        <v/>
      </c>
      <c r="G20" s="46" t="str">
        <f>IF(COUNTIFS(unitdata_Finland!$B$3:$B$85,$A20,unitdata_Finland!$C$3:$C$85,"*TKU*")&gt;1,"Warning!","")</f>
        <v/>
      </c>
    </row>
    <row r="21" spans="1:14" ht="18.75">
      <c r="A21" s="54" t="s">
        <v>1577</v>
      </c>
      <c r="B21" s="53"/>
      <c r="C21" s="53"/>
      <c r="D21" s="53"/>
      <c r="F21" s="53"/>
      <c r="G21" s="53"/>
    </row>
    <row r="22" spans="1:14" s="10" customFormat="1">
      <c r="A22" s="47" t="s">
        <v>192</v>
      </c>
      <c r="B22" s="62"/>
      <c r="C22" s="47"/>
      <c r="D22" s="47"/>
      <c r="E22" s="47"/>
      <c r="F22" s="47"/>
      <c r="G22" s="47"/>
      <c r="H22" s="47"/>
      <c r="I22" s="62" t="s">
        <v>56</v>
      </c>
      <c r="J22" s="62" t="s">
        <v>57</v>
      </c>
      <c r="K22" s="62" t="s">
        <v>1559</v>
      </c>
      <c r="L22" s="47"/>
      <c r="M22" s="47"/>
      <c r="N22" s="62" t="s">
        <v>1612</v>
      </c>
    </row>
    <row r="23" spans="1:14">
      <c r="A23" s="48" t="s">
        <v>121</v>
      </c>
      <c r="B23" s="52" t="s">
        <v>122</v>
      </c>
      <c r="C23" s="49" t="s">
        <v>29</v>
      </c>
      <c r="D23" s="39">
        <v>1982</v>
      </c>
      <c r="E23" s="49">
        <v>2</v>
      </c>
      <c r="F23" s="39" t="s">
        <v>30</v>
      </c>
      <c r="G23" s="21">
        <v>14</v>
      </c>
      <c r="H23" s="39" t="s">
        <v>30</v>
      </c>
      <c r="I23" s="64">
        <v>14</v>
      </c>
      <c r="J23" s="65" t="s">
        <v>30</v>
      </c>
      <c r="K23" s="65"/>
      <c r="L23" s="49" t="s">
        <v>31</v>
      </c>
      <c r="M23" s="50" t="s">
        <v>30</v>
      </c>
      <c r="N23" s="69" t="s">
        <v>1654</v>
      </c>
    </row>
    <row r="24" spans="1:14">
      <c r="A24" s="48" t="s">
        <v>121</v>
      </c>
      <c r="B24" s="52" t="s">
        <v>123</v>
      </c>
      <c r="C24" s="49" t="s">
        <v>29</v>
      </c>
      <c r="D24" s="39">
        <v>1991</v>
      </c>
      <c r="E24" s="49">
        <v>2</v>
      </c>
      <c r="F24" s="39" t="s">
        <v>30</v>
      </c>
      <c r="G24" s="21">
        <v>9</v>
      </c>
      <c r="H24" s="39" t="s">
        <v>30</v>
      </c>
      <c r="I24" s="64">
        <v>9</v>
      </c>
      <c r="J24" s="65" t="s">
        <v>30</v>
      </c>
      <c r="K24" s="65"/>
      <c r="L24" s="49" t="s">
        <v>31</v>
      </c>
      <c r="M24" s="50" t="s">
        <v>30</v>
      </c>
      <c r="N24" s="69" t="s">
        <v>1654</v>
      </c>
    </row>
    <row r="25" spans="1:14">
      <c r="A25" s="55" t="s">
        <v>121</v>
      </c>
      <c r="B25" s="70" t="s">
        <v>124</v>
      </c>
      <c r="C25" s="56" t="s">
        <v>29</v>
      </c>
      <c r="D25" s="40">
        <v>1997</v>
      </c>
      <c r="E25" s="56">
        <v>2</v>
      </c>
      <c r="F25" s="40" t="s">
        <v>30</v>
      </c>
      <c r="G25" s="57">
        <v>12</v>
      </c>
      <c r="H25" s="40" t="s">
        <v>30</v>
      </c>
      <c r="I25" s="66">
        <v>12</v>
      </c>
      <c r="J25" s="67" t="s">
        <v>30</v>
      </c>
      <c r="K25" s="67"/>
      <c r="L25" s="56" t="s">
        <v>31</v>
      </c>
      <c r="M25" s="58" t="s">
        <v>30</v>
      </c>
      <c r="N25" s="69" t="s">
        <v>1654</v>
      </c>
    </row>
    <row r="26" spans="1:14">
      <c r="A26" s="48" t="s">
        <v>125</v>
      </c>
      <c r="B26" s="52" t="s">
        <v>126</v>
      </c>
      <c r="C26" s="49" t="s">
        <v>29</v>
      </c>
      <c r="D26" s="39">
        <v>1981</v>
      </c>
      <c r="E26" s="49">
        <v>1</v>
      </c>
      <c r="F26" s="39" t="s">
        <v>30</v>
      </c>
      <c r="G26" s="21">
        <v>8</v>
      </c>
      <c r="H26" s="39" t="s">
        <v>30</v>
      </c>
      <c r="I26" s="64">
        <v>8</v>
      </c>
      <c r="J26" s="65" t="s">
        <v>30</v>
      </c>
      <c r="K26" s="65"/>
      <c r="L26" s="49" t="s">
        <v>31</v>
      </c>
      <c r="M26" s="50" t="s">
        <v>30</v>
      </c>
      <c r="N26" s="69" t="s">
        <v>1654</v>
      </c>
    </row>
    <row r="27" spans="1:14">
      <c r="A27" s="48" t="s">
        <v>125</v>
      </c>
      <c r="B27" s="52" t="s">
        <v>127</v>
      </c>
      <c r="C27" s="49" t="s">
        <v>29</v>
      </c>
      <c r="D27" s="39">
        <v>1981</v>
      </c>
      <c r="E27" s="49">
        <v>3</v>
      </c>
      <c r="F27" s="39" t="s">
        <v>30</v>
      </c>
      <c r="G27" s="21">
        <v>26</v>
      </c>
      <c r="H27" s="39" t="s">
        <v>30</v>
      </c>
      <c r="I27" s="64">
        <v>26</v>
      </c>
      <c r="J27" s="65" t="s">
        <v>30</v>
      </c>
      <c r="K27" s="65"/>
      <c r="L27" s="49" t="s">
        <v>31</v>
      </c>
      <c r="M27" s="50" t="s">
        <v>30</v>
      </c>
      <c r="N27" s="69" t="s">
        <v>1654</v>
      </c>
    </row>
    <row r="28" spans="1:14">
      <c r="A28" s="55" t="s">
        <v>125</v>
      </c>
      <c r="B28" s="70" t="s">
        <v>128</v>
      </c>
      <c r="C28" s="56" t="s">
        <v>29</v>
      </c>
      <c r="D28" s="40">
        <v>2009</v>
      </c>
      <c r="E28" s="56">
        <v>1</v>
      </c>
      <c r="F28" s="40" t="s">
        <v>30</v>
      </c>
      <c r="G28" s="57">
        <v>4</v>
      </c>
      <c r="H28" s="40" t="s">
        <v>30</v>
      </c>
      <c r="I28" s="66">
        <v>4</v>
      </c>
      <c r="J28" s="67" t="s">
        <v>30</v>
      </c>
      <c r="K28" s="67"/>
      <c r="L28" s="56" t="s">
        <v>31</v>
      </c>
      <c r="M28" s="58" t="s">
        <v>30</v>
      </c>
      <c r="N28" s="69" t="s">
        <v>1654</v>
      </c>
    </row>
    <row r="29" spans="1:14">
      <c r="A29" s="48" t="s">
        <v>129</v>
      </c>
      <c r="B29" s="52" t="s">
        <v>130</v>
      </c>
      <c r="C29" s="49" t="s">
        <v>29</v>
      </c>
      <c r="D29" s="39">
        <v>1982</v>
      </c>
      <c r="E29" s="49">
        <v>3</v>
      </c>
      <c r="F29" s="39" t="s">
        <v>30</v>
      </c>
      <c r="G29" s="21">
        <v>34</v>
      </c>
      <c r="H29" s="39" t="s">
        <v>30</v>
      </c>
      <c r="I29" s="64">
        <v>34</v>
      </c>
      <c r="J29" s="65" t="s">
        <v>30</v>
      </c>
      <c r="K29" s="65"/>
      <c r="L29" s="49" t="s">
        <v>31</v>
      </c>
      <c r="M29" s="50" t="s">
        <v>30</v>
      </c>
      <c r="N29" s="69" t="s">
        <v>1654</v>
      </c>
    </row>
    <row r="30" spans="1:14">
      <c r="A30" s="48" t="s">
        <v>129</v>
      </c>
      <c r="B30" s="52" t="s">
        <v>131</v>
      </c>
      <c r="C30" s="49" t="s">
        <v>29</v>
      </c>
      <c r="D30" s="39">
        <v>1976</v>
      </c>
      <c r="E30" s="49">
        <v>2</v>
      </c>
      <c r="F30" s="39" t="s">
        <v>30</v>
      </c>
      <c r="G30" s="21">
        <v>6</v>
      </c>
      <c r="H30" s="39" t="s">
        <v>30</v>
      </c>
      <c r="I30" s="64">
        <v>6</v>
      </c>
      <c r="J30" s="65" t="s">
        <v>30</v>
      </c>
      <c r="K30" s="65"/>
      <c r="L30" s="49" t="s">
        <v>31</v>
      </c>
      <c r="M30" s="50" t="s">
        <v>30</v>
      </c>
      <c r="N30" s="69" t="s">
        <v>1654</v>
      </c>
    </row>
    <row r="31" spans="1:14">
      <c r="A31" s="48" t="s">
        <v>129</v>
      </c>
      <c r="B31" s="52" t="s">
        <v>132</v>
      </c>
      <c r="C31" s="49" t="s">
        <v>29</v>
      </c>
      <c r="D31" s="39">
        <v>2003</v>
      </c>
      <c r="E31" s="49">
        <v>2</v>
      </c>
      <c r="F31" s="39" t="s">
        <v>30</v>
      </c>
      <c r="G31" s="21">
        <v>24</v>
      </c>
      <c r="H31" s="39" t="s">
        <v>30</v>
      </c>
      <c r="I31" s="64">
        <v>24</v>
      </c>
      <c r="J31" s="65" t="s">
        <v>30</v>
      </c>
      <c r="K31" s="65"/>
      <c r="L31" s="49" t="s">
        <v>31</v>
      </c>
      <c r="M31" s="50" t="s">
        <v>30</v>
      </c>
      <c r="N31" s="69" t="s">
        <v>1654</v>
      </c>
    </row>
    <row r="32" spans="1:14">
      <c r="A32" s="48" t="s">
        <v>129</v>
      </c>
      <c r="B32" s="52" t="s">
        <v>133</v>
      </c>
      <c r="C32" s="49" t="s">
        <v>29</v>
      </c>
      <c r="D32" s="39">
        <v>1986</v>
      </c>
      <c r="E32" s="49">
        <v>2</v>
      </c>
      <c r="F32" s="39" t="s">
        <v>30</v>
      </c>
      <c r="G32" s="21">
        <v>2</v>
      </c>
      <c r="H32" s="39" t="s">
        <v>30</v>
      </c>
      <c r="I32" s="64">
        <v>2</v>
      </c>
      <c r="J32" s="65" t="s">
        <v>30</v>
      </c>
      <c r="K32" s="65"/>
      <c r="L32" s="49" t="s">
        <v>31</v>
      </c>
      <c r="M32" s="50" t="s">
        <v>30</v>
      </c>
      <c r="N32" s="69" t="s">
        <v>1654</v>
      </c>
    </row>
    <row r="33" spans="1:14">
      <c r="A33" s="55" t="s">
        <v>129</v>
      </c>
      <c r="B33" s="70" t="s">
        <v>134</v>
      </c>
      <c r="C33" s="56" t="s">
        <v>48</v>
      </c>
      <c r="D33" s="40">
        <v>2020</v>
      </c>
      <c r="E33" s="56" t="s">
        <v>30</v>
      </c>
      <c r="F33" s="40" t="s">
        <v>30</v>
      </c>
      <c r="G33" s="57" t="s">
        <v>30</v>
      </c>
      <c r="H33" s="40" t="s">
        <v>30</v>
      </c>
      <c r="I33" s="66">
        <v>0.2</v>
      </c>
      <c r="J33" s="67" t="s">
        <v>30</v>
      </c>
      <c r="K33" s="67"/>
      <c r="L33" s="56" t="s">
        <v>30</v>
      </c>
      <c r="M33" s="58">
        <v>0.1</v>
      </c>
      <c r="N33" s="69" t="s">
        <v>1613</v>
      </c>
    </row>
    <row r="34" spans="1:14">
      <c r="A34" s="48" t="s">
        <v>135</v>
      </c>
      <c r="B34" s="52" t="s">
        <v>136</v>
      </c>
      <c r="C34" s="49" t="s">
        <v>29</v>
      </c>
      <c r="D34" s="39">
        <v>1980</v>
      </c>
      <c r="E34" s="49">
        <v>4</v>
      </c>
      <c r="F34" s="39" t="s">
        <v>30</v>
      </c>
      <c r="G34" s="21">
        <v>160</v>
      </c>
      <c r="H34" s="39" t="s">
        <v>30</v>
      </c>
      <c r="I34" s="64">
        <v>160</v>
      </c>
      <c r="J34" s="65" t="s">
        <v>30</v>
      </c>
      <c r="K34" s="65"/>
      <c r="L34" s="49" t="s">
        <v>31</v>
      </c>
      <c r="M34" s="50" t="s">
        <v>30</v>
      </c>
      <c r="N34" s="69" t="s">
        <v>1654</v>
      </c>
    </row>
    <row r="35" spans="1:14">
      <c r="A35" s="48" t="s">
        <v>135</v>
      </c>
      <c r="B35" s="52" t="s">
        <v>137</v>
      </c>
      <c r="C35" s="49" t="s">
        <v>29</v>
      </c>
      <c r="D35" s="39">
        <v>1982</v>
      </c>
      <c r="E35" s="49">
        <v>1</v>
      </c>
      <c r="F35" s="39" t="s">
        <v>30</v>
      </c>
      <c r="G35" s="21">
        <v>40</v>
      </c>
      <c r="H35" s="39" t="s">
        <v>30</v>
      </c>
      <c r="I35" s="64">
        <v>40</v>
      </c>
      <c r="J35" s="65" t="s">
        <v>30</v>
      </c>
      <c r="K35" s="65"/>
      <c r="L35" s="49" t="s">
        <v>31</v>
      </c>
      <c r="M35" s="50" t="s">
        <v>30</v>
      </c>
      <c r="N35" s="69" t="s">
        <v>1654</v>
      </c>
    </row>
    <row r="36" spans="1:14">
      <c r="A36" s="48" t="s">
        <v>135</v>
      </c>
      <c r="B36" s="52" t="s">
        <v>138</v>
      </c>
      <c r="C36" s="49" t="s">
        <v>29</v>
      </c>
      <c r="D36" s="39">
        <v>1982</v>
      </c>
      <c r="E36" s="49">
        <v>2</v>
      </c>
      <c r="F36" s="39" t="s">
        <v>30</v>
      </c>
      <c r="G36" s="21">
        <v>80</v>
      </c>
      <c r="H36" s="39" t="s">
        <v>30</v>
      </c>
      <c r="I36" s="64">
        <v>80</v>
      </c>
      <c r="J36" s="65" t="s">
        <v>30</v>
      </c>
      <c r="K36" s="65"/>
      <c r="L36" s="49" t="s">
        <v>31</v>
      </c>
      <c r="M36" s="50" t="s">
        <v>30</v>
      </c>
      <c r="N36" s="69" t="s">
        <v>1654</v>
      </c>
    </row>
    <row r="37" spans="1:14">
      <c r="A37" s="48" t="s">
        <v>135</v>
      </c>
      <c r="B37" s="52" t="s">
        <v>139</v>
      </c>
      <c r="C37" s="49" t="s">
        <v>29</v>
      </c>
      <c r="D37" s="39">
        <v>2012</v>
      </c>
      <c r="E37" s="49">
        <v>1</v>
      </c>
      <c r="F37" s="39" t="s">
        <v>30</v>
      </c>
      <c r="G37" s="21">
        <v>5</v>
      </c>
      <c r="H37" s="39" t="s">
        <v>30</v>
      </c>
      <c r="I37" s="64">
        <v>5</v>
      </c>
      <c r="J37" s="65" t="s">
        <v>30</v>
      </c>
      <c r="K37" s="65"/>
      <c r="L37" s="49" t="s">
        <v>31</v>
      </c>
      <c r="M37" s="50" t="s">
        <v>30</v>
      </c>
      <c r="N37" s="69" t="s">
        <v>1654</v>
      </c>
    </row>
    <row r="38" spans="1:14">
      <c r="A38" s="48" t="s">
        <v>135</v>
      </c>
      <c r="B38" s="52" t="s">
        <v>140</v>
      </c>
      <c r="C38" s="49" t="s">
        <v>29</v>
      </c>
      <c r="D38" s="39">
        <v>1986</v>
      </c>
      <c r="E38" s="49">
        <v>2</v>
      </c>
      <c r="F38" s="39" t="s">
        <v>30</v>
      </c>
      <c r="G38" s="21">
        <v>80</v>
      </c>
      <c r="H38" s="39" t="s">
        <v>30</v>
      </c>
      <c r="I38" s="64">
        <v>80</v>
      </c>
      <c r="J38" s="65" t="s">
        <v>30</v>
      </c>
      <c r="K38" s="65"/>
      <c r="L38" s="49" t="s">
        <v>31</v>
      </c>
      <c r="M38" s="50" t="s">
        <v>30</v>
      </c>
      <c r="N38" s="69" t="s">
        <v>1654</v>
      </c>
    </row>
    <row r="39" spans="1:14">
      <c r="A39" s="48" t="s">
        <v>135</v>
      </c>
      <c r="B39" s="52" t="s">
        <v>141</v>
      </c>
      <c r="C39" s="49" t="s">
        <v>29</v>
      </c>
      <c r="D39" s="39">
        <v>1989</v>
      </c>
      <c r="E39" s="49">
        <v>2</v>
      </c>
      <c r="F39" s="39" t="s">
        <v>30</v>
      </c>
      <c r="G39" s="21">
        <v>80</v>
      </c>
      <c r="H39" s="39" t="s">
        <v>30</v>
      </c>
      <c r="I39" s="64">
        <v>80</v>
      </c>
      <c r="J39" s="65" t="s">
        <v>30</v>
      </c>
      <c r="K39" s="65"/>
      <c r="L39" s="49" t="s">
        <v>31</v>
      </c>
      <c r="M39" s="50" t="s">
        <v>30</v>
      </c>
      <c r="N39" s="69" t="s">
        <v>1654</v>
      </c>
    </row>
    <row r="40" spans="1:14">
      <c r="A40" s="48" t="s">
        <v>135</v>
      </c>
      <c r="B40" s="52" t="s">
        <v>142</v>
      </c>
      <c r="C40" s="49" t="s">
        <v>29</v>
      </c>
      <c r="D40" s="39">
        <v>1999</v>
      </c>
      <c r="E40" s="49">
        <v>1</v>
      </c>
      <c r="F40" s="39" t="s">
        <v>30</v>
      </c>
      <c r="G40" s="21">
        <v>34</v>
      </c>
      <c r="H40" s="39" t="s">
        <v>30</v>
      </c>
      <c r="I40" s="64">
        <v>34</v>
      </c>
      <c r="J40" s="65" t="s">
        <v>30</v>
      </c>
      <c r="K40" s="65"/>
      <c r="L40" s="49" t="s">
        <v>31</v>
      </c>
      <c r="M40" s="50" t="s">
        <v>30</v>
      </c>
      <c r="N40" s="69" t="s">
        <v>1654</v>
      </c>
    </row>
    <row r="41" spans="1:14">
      <c r="A41" s="48" t="s">
        <v>135</v>
      </c>
      <c r="B41" s="52" t="s">
        <v>143</v>
      </c>
      <c r="C41" s="49" t="s">
        <v>29</v>
      </c>
      <c r="D41" s="39">
        <v>2008</v>
      </c>
      <c r="E41" s="49">
        <v>1</v>
      </c>
      <c r="F41" s="39" t="s">
        <v>30</v>
      </c>
      <c r="G41" s="21">
        <v>6</v>
      </c>
      <c r="H41" s="39" t="s">
        <v>30</v>
      </c>
      <c r="I41" s="64">
        <v>6</v>
      </c>
      <c r="J41" s="65" t="s">
        <v>30</v>
      </c>
      <c r="K41" s="65"/>
      <c r="L41" s="49" t="s">
        <v>31</v>
      </c>
      <c r="M41" s="50" t="s">
        <v>30</v>
      </c>
      <c r="N41" s="69" t="s">
        <v>1654</v>
      </c>
    </row>
    <row r="42" spans="1:14">
      <c r="A42" s="48" t="s">
        <v>135</v>
      </c>
      <c r="B42" s="52" t="s">
        <v>144</v>
      </c>
      <c r="C42" s="49" t="s">
        <v>29</v>
      </c>
      <c r="D42" s="39">
        <v>2015</v>
      </c>
      <c r="E42" s="49">
        <v>1</v>
      </c>
      <c r="F42" s="39" t="s">
        <v>30</v>
      </c>
      <c r="G42" s="21">
        <v>40</v>
      </c>
      <c r="H42" s="39" t="s">
        <v>30</v>
      </c>
      <c r="I42" s="64">
        <v>40</v>
      </c>
      <c r="J42" s="65" t="s">
        <v>30</v>
      </c>
      <c r="K42" s="65"/>
      <c r="L42" s="49" t="s">
        <v>44</v>
      </c>
      <c r="M42" s="50" t="s">
        <v>30</v>
      </c>
      <c r="N42" s="69" t="s">
        <v>1653</v>
      </c>
    </row>
    <row r="43" spans="1:14">
      <c r="A43" s="48" t="s">
        <v>135</v>
      </c>
      <c r="B43" s="52" t="s">
        <v>145</v>
      </c>
      <c r="C43" s="49" t="s">
        <v>29</v>
      </c>
      <c r="D43" s="39">
        <v>2018</v>
      </c>
      <c r="E43" s="49">
        <v>2</v>
      </c>
      <c r="F43" s="39" t="s">
        <v>30</v>
      </c>
      <c r="G43" s="21">
        <v>12</v>
      </c>
      <c r="H43" s="39">
        <v>3</v>
      </c>
      <c r="I43" s="64">
        <v>15</v>
      </c>
      <c r="J43" s="65" t="s">
        <v>30</v>
      </c>
      <c r="K43" s="65"/>
      <c r="L43" s="49" t="s">
        <v>46</v>
      </c>
      <c r="M43" s="50" t="s">
        <v>30</v>
      </c>
      <c r="N43" s="69" t="s">
        <v>1653</v>
      </c>
    </row>
    <row r="44" spans="1:14">
      <c r="A44" s="48" t="s">
        <v>135</v>
      </c>
      <c r="B44" s="52" t="s">
        <v>146</v>
      </c>
      <c r="C44" s="49" t="s">
        <v>48</v>
      </c>
      <c r="D44" s="39">
        <v>2006</v>
      </c>
      <c r="E44" s="49" t="s">
        <v>30</v>
      </c>
      <c r="F44" s="39" t="s">
        <v>30</v>
      </c>
      <c r="G44" s="21" t="s">
        <v>30</v>
      </c>
      <c r="H44" s="39" t="s">
        <v>30</v>
      </c>
      <c r="I44" s="64">
        <v>6</v>
      </c>
      <c r="J44" s="65" t="s">
        <v>30</v>
      </c>
      <c r="K44" s="65"/>
      <c r="L44" s="49" t="s">
        <v>30</v>
      </c>
      <c r="M44" s="50">
        <v>2</v>
      </c>
      <c r="N44" s="69" t="s">
        <v>1613</v>
      </c>
    </row>
    <row r="45" spans="1:14">
      <c r="A45" s="48" t="s">
        <v>135</v>
      </c>
      <c r="B45" s="52" t="s">
        <v>147</v>
      </c>
      <c r="C45" s="49" t="s">
        <v>48</v>
      </c>
      <c r="D45" s="39">
        <v>2007</v>
      </c>
      <c r="E45" s="49" t="s">
        <v>30</v>
      </c>
      <c r="F45" s="39" t="s">
        <v>30</v>
      </c>
      <c r="G45" s="21" t="s">
        <v>30</v>
      </c>
      <c r="H45" s="39" t="s">
        <v>30</v>
      </c>
      <c r="I45" s="64">
        <v>3</v>
      </c>
      <c r="J45" s="65" t="s">
        <v>30</v>
      </c>
      <c r="K45" s="65"/>
      <c r="L45" s="49" t="s">
        <v>30</v>
      </c>
      <c r="M45" s="50">
        <v>1</v>
      </c>
      <c r="N45" s="69" t="s">
        <v>1613</v>
      </c>
    </row>
    <row r="46" spans="1:14">
      <c r="A46" s="48" t="s">
        <v>135</v>
      </c>
      <c r="B46" s="52" t="s">
        <v>148</v>
      </c>
      <c r="C46" s="49" t="s">
        <v>48</v>
      </c>
      <c r="D46" s="39">
        <v>2019</v>
      </c>
      <c r="E46" s="49" t="s">
        <v>30</v>
      </c>
      <c r="F46" s="39" t="s">
        <v>30</v>
      </c>
      <c r="G46" s="21" t="s">
        <v>30</v>
      </c>
      <c r="H46" s="39" t="s">
        <v>30</v>
      </c>
      <c r="I46" s="64">
        <v>0.2</v>
      </c>
      <c r="J46" s="65" t="s">
        <v>30</v>
      </c>
      <c r="K46" s="65"/>
      <c r="L46" s="49" t="s">
        <v>30</v>
      </c>
      <c r="M46" s="50">
        <v>0.1</v>
      </c>
      <c r="N46" s="69" t="s">
        <v>1613</v>
      </c>
    </row>
    <row r="47" spans="1:14">
      <c r="A47" s="48" t="s">
        <v>135</v>
      </c>
      <c r="B47" s="52" t="s">
        <v>149</v>
      </c>
      <c r="C47" s="49" t="s">
        <v>48</v>
      </c>
      <c r="D47" s="39">
        <v>2023</v>
      </c>
      <c r="E47" s="49" t="s">
        <v>30</v>
      </c>
      <c r="F47" s="39" t="s">
        <v>30</v>
      </c>
      <c r="G47" s="21" t="s">
        <v>30</v>
      </c>
      <c r="H47" s="39" t="s">
        <v>30</v>
      </c>
      <c r="I47" s="64">
        <v>3</v>
      </c>
      <c r="J47" s="65" t="s">
        <v>30</v>
      </c>
      <c r="K47" s="65"/>
      <c r="L47" s="49" t="s">
        <v>30</v>
      </c>
      <c r="M47" s="50">
        <v>0.4</v>
      </c>
      <c r="N47" s="69" t="s">
        <v>1613</v>
      </c>
    </row>
    <row r="48" spans="1:14">
      <c r="A48" s="48" t="s">
        <v>150</v>
      </c>
      <c r="B48" s="52" t="s">
        <v>151</v>
      </c>
      <c r="C48" s="49" t="s">
        <v>29</v>
      </c>
      <c r="D48" s="39">
        <v>2001</v>
      </c>
      <c r="E48" s="49">
        <v>1</v>
      </c>
      <c r="F48" s="39" t="s">
        <v>30</v>
      </c>
      <c r="G48" s="21">
        <v>40</v>
      </c>
      <c r="H48" s="39">
        <v>11.8</v>
      </c>
      <c r="I48" s="64">
        <v>51.8</v>
      </c>
      <c r="J48" s="65" t="s">
        <v>30</v>
      </c>
      <c r="K48" s="65"/>
      <c r="L48" s="49" t="s">
        <v>46</v>
      </c>
      <c r="M48" s="50" t="s">
        <v>30</v>
      </c>
      <c r="N48" s="69" t="s">
        <v>1653</v>
      </c>
    </row>
    <row r="49" spans="1:15">
      <c r="A49" s="48" t="s">
        <v>150</v>
      </c>
      <c r="B49" s="52" t="s">
        <v>152</v>
      </c>
      <c r="C49" s="49" t="s">
        <v>48</v>
      </c>
      <c r="D49" s="39">
        <v>2009</v>
      </c>
      <c r="E49" s="49" t="s">
        <v>30</v>
      </c>
      <c r="F49" s="39" t="s">
        <v>30</v>
      </c>
      <c r="G49" s="21" t="s">
        <v>30</v>
      </c>
      <c r="H49" s="39" t="s">
        <v>30</v>
      </c>
      <c r="I49" s="64">
        <v>21</v>
      </c>
      <c r="J49" s="65" t="s">
        <v>30</v>
      </c>
      <c r="K49" s="65"/>
      <c r="L49" s="49" t="s">
        <v>30</v>
      </c>
      <c r="M49" s="50">
        <v>6.5</v>
      </c>
      <c r="N49" s="69" t="s">
        <v>1613</v>
      </c>
    </row>
    <row r="50" spans="1:15">
      <c r="A50" s="48" t="s">
        <v>150</v>
      </c>
      <c r="B50" s="52" t="s">
        <v>152</v>
      </c>
      <c r="C50" s="49" t="s">
        <v>48</v>
      </c>
      <c r="D50" s="39">
        <v>2013</v>
      </c>
      <c r="E50" s="49" t="s">
        <v>30</v>
      </c>
      <c r="F50" s="39" t="s">
        <v>30</v>
      </c>
      <c r="G50" s="21" t="s">
        <v>30</v>
      </c>
      <c r="H50" s="39" t="s">
        <v>30</v>
      </c>
      <c r="I50" s="64">
        <v>21</v>
      </c>
      <c r="J50" s="65" t="s">
        <v>30</v>
      </c>
      <c r="K50" s="65"/>
      <c r="L50" s="49" t="s">
        <v>30</v>
      </c>
      <c r="M50" s="50">
        <v>6.5</v>
      </c>
      <c r="N50" s="69" t="s">
        <v>1613</v>
      </c>
    </row>
    <row r="51" spans="1:15">
      <c r="A51" s="48" t="s">
        <v>150</v>
      </c>
      <c r="B51" s="52" t="s">
        <v>153</v>
      </c>
      <c r="C51" s="49" t="s">
        <v>52</v>
      </c>
      <c r="D51" s="39">
        <v>2017</v>
      </c>
      <c r="E51" s="49">
        <v>1</v>
      </c>
      <c r="F51" s="39">
        <v>200</v>
      </c>
      <c r="G51" s="21" t="s">
        <v>30</v>
      </c>
      <c r="H51" s="39">
        <v>60</v>
      </c>
      <c r="I51" s="64">
        <v>260</v>
      </c>
      <c r="J51" s="65">
        <v>160</v>
      </c>
      <c r="K51" s="65">
        <v>424</v>
      </c>
      <c r="L51" s="49" t="s">
        <v>46</v>
      </c>
      <c r="M51" s="50" t="s">
        <v>30</v>
      </c>
      <c r="N51" s="69" t="s">
        <v>1656</v>
      </c>
      <c r="O51" s="22" t="s">
        <v>1570</v>
      </c>
    </row>
    <row r="52" spans="1:15">
      <c r="A52" s="48" t="s">
        <v>150</v>
      </c>
      <c r="B52" s="52" t="s">
        <v>154</v>
      </c>
      <c r="C52" s="49" t="s">
        <v>52</v>
      </c>
      <c r="D52" s="39">
        <v>1972</v>
      </c>
      <c r="E52" s="49">
        <v>1</v>
      </c>
      <c r="F52" s="39">
        <v>174</v>
      </c>
      <c r="G52" s="21" t="s">
        <v>30</v>
      </c>
      <c r="H52" s="39" t="s">
        <v>30</v>
      </c>
      <c r="I52" s="64">
        <v>174</v>
      </c>
      <c r="J52" s="65">
        <v>86</v>
      </c>
      <c r="K52" s="65"/>
      <c r="L52" s="49" t="s">
        <v>39</v>
      </c>
      <c r="M52" s="50" t="s">
        <v>30</v>
      </c>
      <c r="N52" s="69" t="s">
        <v>58</v>
      </c>
    </row>
    <row r="53" spans="1:15">
      <c r="A53" s="2"/>
      <c r="B53" s="63"/>
      <c r="C53" s="2"/>
      <c r="D53" s="2"/>
      <c r="E53" s="2"/>
      <c r="F53" s="2"/>
      <c r="G53" s="2"/>
      <c r="H53" s="2"/>
      <c r="I53" s="63"/>
      <c r="J53" s="63"/>
      <c r="K53" s="63"/>
      <c r="L53" s="2"/>
      <c r="M53" s="2"/>
      <c r="N53" s="63"/>
    </row>
    <row r="54" spans="1:15">
      <c r="A54" s="51" t="s">
        <v>168</v>
      </c>
      <c r="B54" s="63"/>
      <c r="C54" s="2"/>
      <c r="D54" s="2"/>
      <c r="E54" s="2"/>
      <c r="F54" s="2"/>
      <c r="G54" s="2"/>
      <c r="H54" s="2"/>
      <c r="I54" s="62" t="s">
        <v>56</v>
      </c>
      <c r="J54" s="62" t="s">
        <v>57</v>
      </c>
      <c r="K54" s="62" t="s">
        <v>1559</v>
      </c>
      <c r="L54" s="47"/>
      <c r="M54" s="47"/>
      <c r="N54" s="62" t="s">
        <v>1612</v>
      </c>
    </row>
    <row r="55" spans="1:15">
      <c r="A55" s="48" t="s">
        <v>223</v>
      </c>
      <c r="B55" s="63"/>
      <c r="C55" s="2"/>
      <c r="D55" s="2"/>
      <c r="E55" s="2"/>
      <c r="F55" s="2"/>
      <c r="G55" s="2"/>
      <c r="H55" s="2"/>
      <c r="I55" s="65">
        <v>50</v>
      </c>
      <c r="J55" s="63"/>
      <c r="K55" s="63"/>
      <c r="L55" s="2"/>
      <c r="M55" s="2"/>
      <c r="N55" s="65" t="s">
        <v>1652</v>
      </c>
      <c r="O55" t="s">
        <v>224</v>
      </c>
    </row>
    <row r="56" spans="1:15">
      <c r="A56" s="48" t="s">
        <v>226</v>
      </c>
      <c r="B56" s="63"/>
      <c r="C56" s="2"/>
      <c r="D56" s="2"/>
      <c r="E56" s="2"/>
      <c r="F56" s="2"/>
      <c r="G56" s="2"/>
      <c r="H56" s="2"/>
      <c r="I56" s="65">
        <v>10</v>
      </c>
      <c r="J56" s="63"/>
      <c r="K56" s="63"/>
      <c r="L56" s="2"/>
      <c r="M56" s="2"/>
      <c r="N56" s="65" t="s">
        <v>1613</v>
      </c>
      <c r="O56" t="s">
        <v>227</v>
      </c>
    </row>
    <row r="57" spans="1:15">
      <c r="A57" s="2"/>
      <c r="B57" s="63"/>
      <c r="C57" s="2"/>
      <c r="D57" s="2"/>
      <c r="E57" s="2"/>
      <c r="F57" s="2"/>
      <c r="G57" s="2"/>
      <c r="H57" s="2"/>
      <c r="I57" s="63"/>
      <c r="J57" s="63"/>
      <c r="K57" s="63"/>
      <c r="L57" s="2"/>
      <c r="M57" s="2"/>
      <c r="N57" s="63"/>
    </row>
    <row r="58" spans="1:15">
      <c r="A58" s="51" t="s">
        <v>190</v>
      </c>
      <c r="B58" s="63"/>
      <c r="C58" s="2"/>
      <c r="D58" s="2"/>
      <c r="E58" s="2"/>
      <c r="F58" s="2"/>
      <c r="G58" s="2"/>
      <c r="H58" s="2"/>
      <c r="I58" s="63"/>
      <c r="J58" s="63"/>
      <c r="K58" s="63"/>
      <c r="L58" s="2"/>
      <c r="M58" s="2"/>
      <c r="N58" s="63"/>
    </row>
    <row r="59" spans="1:15">
      <c r="A59" s="2"/>
      <c r="B59" s="62" t="s">
        <v>178</v>
      </c>
      <c r="C59" s="2"/>
      <c r="D59" s="2"/>
      <c r="E59" s="2"/>
      <c r="F59" s="2"/>
      <c r="G59" s="2"/>
      <c r="H59" s="2"/>
      <c r="I59" s="62" t="s">
        <v>56</v>
      </c>
      <c r="J59" s="62" t="s">
        <v>57</v>
      </c>
      <c r="K59" s="62"/>
      <c r="L59" s="47"/>
      <c r="M59" s="47"/>
      <c r="N59" s="62" t="s">
        <v>1612</v>
      </c>
    </row>
    <row r="60" spans="1:15">
      <c r="A60" s="2" t="s">
        <v>225</v>
      </c>
      <c r="B60" s="63">
        <v>750</v>
      </c>
      <c r="C60" s="2"/>
      <c r="D60" s="2"/>
      <c r="E60" s="2"/>
      <c r="F60" s="2"/>
      <c r="G60" s="2"/>
      <c r="H60" s="2" t="s">
        <v>184</v>
      </c>
      <c r="I60" s="63">
        <f>B60/10</f>
        <v>75</v>
      </c>
      <c r="J60" s="63"/>
      <c r="K60" s="63"/>
      <c r="L60" s="2"/>
      <c r="M60" s="2"/>
      <c r="N60" s="63" t="s">
        <v>1648</v>
      </c>
    </row>
    <row r="61" spans="1:15">
      <c r="A61" s="2"/>
      <c r="B61" s="63"/>
      <c r="C61" s="2"/>
      <c r="D61" s="2"/>
      <c r="E61" s="2"/>
      <c r="F61" s="2"/>
      <c r="G61" s="2"/>
      <c r="H61" s="2" t="s">
        <v>185</v>
      </c>
      <c r="I61" s="63">
        <f>I60</f>
        <v>75</v>
      </c>
      <c r="J61" s="63"/>
      <c r="K61" s="63"/>
      <c r="L61" s="2"/>
      <c r="M61" s="2"/>
      <c r="N61" s="63" t="s">
        <v>1649</v>
      </c>
    </row>
    <row r="62" spans="1:15">
      <c r="A62" s="2"/>
      <c r="B62" s="63"/>
      <c r="C62" s="2"/>
      <c r="D62" s="2"/>
      <c r="E62" s="2"/>
      <c r="F62" s="2"/>
      <c r="G62" s="2"/>
      <c r="H62" s="2"/>
      <c r="I62" s="63"/>
      <c r="J62" s="63"/>
      <c r="K62" s="63"/>
      <c r="L62" s="2"/>
      <c r="M62" s="2"/>
      <c r="N62" s="63"/>
    </row>
    <row r="63" spans="1:15">
      <c r="A63" s="2"/>
      <c r="B63" s="63"/>
      <c r="C63" s="2"/>
      <c r="D63" s="2"/>
      <c r="E63" s="2"/>
      <c r="F63" s="2"/>
      <c r="G63" s="2"/>
      <c r="H63" s="2"/>
      <c r="I63" s="63"/>
      <c r="J63" s="63"/>
      <c r="K63" s="63"/>
      <c r="L63" s="2"/>
      <c r="M63" s="2"/>
      <c r="N63" s="63"/>
    </row>
    <row r="64" spans="1:15">
      <c r="A64" s="2"/>
      <c r="B64" s="63"/>
      <c r="C64" s="2"/>
      <c r="D64" s="2"/>
      <c r="E64" s="2"/>
      <c r="F64" s="2"/>
      <c r="G64" s="2"/>
      <c r="H64" s="2"/>
      <c r="I64" s="63"/>
      <c r="J64" s="63"/>
      <c r="K64" s="63"/>
      <c r="L64" s="2"/>
      <c r="M64" s="2"/>
      <c r="N64" s="63"/>
    </row>
    <row r="65" spans="1:14">
      <c r="A65" s="2"/>
      <c r="B65" s="63"/>
      <c r="C65" s="2"/>
      <c r="D65" s="2"/>
      <c r="E65" s="2"/>
      <c r="F65" s="2"/>
      <c r="G65" s="2"/>
      <c r="H65" s="2"/>
      <c r="I65" s="63"/>
      <c r="J65" s="63"/>
      <c r="K65" s="63"/>
      <c r="L65" s="2"/>
      <c r="M65" s="2"/>
      <c r="N65" s="63"/>
    </row>
    <row r="66" spans="1:14">
      <c r="A66" s="2"/>
      <c r="B66" s="63"/>
      <c r="C66" s="2"/>
      <c r="D66" s="2"/>
      <c r="E66" s="2"/>
      <c r="F66" s="2"/>
      <c r="G66" s="2"/>
      <c r="H66" s="2"/>
      <c r="I66" s="63"/>
      <c r="J66" s="63"/>
      <c r="K66" s="63"/>
      <c r="L66" s="2"/>
      <c r="M66" s="2"/>
      <c r="N66" s="63"/>
    </row>
    <row r="67" spans="1:14">
      <c r="A67" s="2"/>
      <c r="B67" s="63"/>
      <c r="C67" s="2"/>
      <c r="D67" s="2"/>
      <c r="E67" s="2"/>
      <c r="F67" s="2"/>
      <c r="G67" s="2"/>
      <c r="H67" s="2"/>
      <c r="I67" s="63"/>
      <c r="J67" s="63"/>
      <c r="K67" s="63"/>
      <c r="L67" s="2"/>
      <c r="M67" s="2"/>
      <c r="N67" s="63"/>
    </row>
    <row r="68" spans="1:14">
      <c r="A68" s="2"/>
      <c r="B68" s="63"/>
      <c r="C68" s="2"/>
      <c r="D68" s="2"/>
      <c r="E68" s="2"/>
      <c r="F68" s="2"/>
      <c r="G68" s="2"/>
      <c r="H68" s="2"/>
      <c r="I68" s="63"/>
      <c r="J68" s="63"/>
      <c r="K68" s="63"/>
      <c r="L68" s="2"/>
      <c r="M68" s="2"/>
      <c r="N68" s="63"/>
    </row>
    <row r="69" spans="1:14">
      <c r="A69" s="2"/>
      <c r="B69" s="63"/>
      <c r="C69" s="2"/>
      <c r="D69" s="2"/>
      <c r="E69" s="2"/>
      <c r="F69" s="2"/>
      <c r="G69" s="2"/>
      <c r="H69" s="2"/>
      <c r="I69" s="63"/>
      <c r="J69" s="63"/>
      <c r="K69" s="63"/>
      <c r="L69" s="2"/>
      <c r="M69" s="2"/>
      <c r="N69" s="63"/>
    </row>
    <row r="70" spans="1:14">
      <c r="A70" s="2"/>
      <c r="B70" s="63"/>
      <c r="C70" s="2"/>
      <c r="D70" s="2"/>
      <c r="E70" s="2"/>
      <c r="F70" s="2"/>
      <c r="G70" s="2"/>
      <c r="H70" s="2"/>
      <c r="I70" s="63"/>
      <c r="J70" s="63"/>
      <c r="K70" s="63"/>
      <c r="L70" s="2"/>
      <c r="M70" s="2"/>
      <c r="N70" s="63"/>
    </row>
    <row r="71" spans="1:14">
      <c r="A71" s="2"/>
      <c r="B71" s="63"/>
      <c r="C71" s="2"/>
      <c r="D71" s="2"/>
      <c r="E71" s="2"/>
      <c r="F71" s="2"/>
      <c r="G71" s="2"/>
      <c r="H71" s="2"/>
      <c r="I71" s="63"/>
      <c r="J71" s="63"/>
      <c r="K71" s="63"/>
      <c r="L71" s="2"/>
      <c r="M71" s="2"/>
      <c r="N71" s="63"/>
    </row>
    <row r="72" spans="1:14">
      <c r="A72" s="2"/>
      <c r="B72" s="63"/>
      <c r="C72" s="2"/>
      <c r="D72" s="2"/>
      <c r="E72" s="2"/>
      <c r="F72" s="2"/>
      <c r="G72" s="2"/>
      <c r="H72" s="2"/>
      <c r="I72" s="63"/>
      <c r="J72" s="63"/>
      <c r="K72" s="63"/>
      <c r="L72" s="2"/>
      <c r="M72" s="2"/>
      <c r="N72" s="63"/>
    </row>
    <row r="73" spans="1:14">
      <c r="A73" s="2"/>
      <c r="B73" s="63"/>
      <c r="C73" s="2"/>
      <c r="D73" s="2"/>
      <c r="E73" s="2"/>
      <c r="F73" s="2"/>
      <c r="G73" s="2"/>
      <c r="H73" s="2"/>
      <c r="I73" s="63"/>
      <c r="J73" s="63"/>
      <c r="K73" s="63"/>
      <c r="L73" s="2"/>
      <c r="M73" s="2"/>
      <c r="N73" s="63"/>
    </row>
    <row r="74" spans="1:14">
      <c r="A74" s="2"/>
      <c r="B74" s="63"/>
      <c r="C74" s="2"/>
      <c r="D74" s="2"/>
      <c r="E74" s="2"/>
      <c r="F74" s="2"/>
      <c r="G74" s="2"/>
      <c r="H74" s="2"/>
      <c r="I74" s="63"/>
      <c r="J74" s="63"/>
      <c r="K74" s="63"/>
      <c r="L74" s="2"/>
      <c r="M74" s="2"/>
      <c r="N74" s="63"/>
    </row>
    <row r="75" spans="1:14">
      <c r="A75" s="2"/>
      <c r="B75" s="63"/>
      <c r="C75" s="2"/>
      <c r="D75" s="2"/>
      <c r="E75" s="2"/>
      <c r="F75" s="2"/>
      <c r="G75" s="2"/>
      <c r="H75" s="2"/>
      <c r="I75" s="63"/>
      <c r="J75" s="63"/>
      <c r="K75" s="63"/>
      <c r="L75" s="2"/>
      <c r="M75" s="2"/>
      <c r="N75" s="63"/>
    </row>
    <row r="76" spans="1:14">
      <c r="A76" s="2"/>
      <c r="B76" s="63"/>
      <c r="C76" s="2"/>
      <c r="D76" s="2"/>
      <c r="E76" s="2"/>
      <c r="F76" s="2"/>
      <c r="G76" s="2"/>
      <c r="H76" s="2"/>
      <c r="I76" s="63"/>
      <c r="J76" s="63"/>
      <c r="K76" s="63"/>
      <c r="L76" s="2"/>
      <c r="M76" s="2"/>
      <c r="N76" s="63"/>
    </row>
    <row r="77" spans="1:14">
      <c r="A77" s="2"/>
      <c r="B77" s="63"/>
      <c r="C77" s="2"/>
      <c r="D77" s="2"/>
      <c r="E77" s="2"/>
      <c r="F77" s="2"/>
      <c r="G77" s="2"/>
      <c r="H77" s="2"/>
      <c r="I77" s="63"/>
      <c r="J77" s="63"/>
      <c r="K77" s="63"/>
      <c r="L77" s="2"/>
      <c r="M77" s="2"/>
      <c r="N77" s="63"/>
    </row>
    <row r="78" spans="1:14">
      <c r="A78" s="2"/>
      <c r="B78" s="63"/>
      <c r="C78" s="2"/>
      <c r="D78" s="2"/>
      <c r="E78" s="2"/>
      <c r="F78" s="2"/>
      <c r="G78" s="2"/>
      <c r="H78" s="2"/>
      <c r="I78" s="63"/>
      <c r="J78" s="63"/>
      <c r="K78" s="63"/>
      <c r="L78" s="2"/>
      <c r="M78" s="2"/>
      <c r="N78" s="63"/>
    </row>
    <row r="79" spans="1:14">
      <c r="A79" s="2"/>
      <c r="B79" s="63"/>
      <c r="C79" s="2"/>
      <c r="D79" s="2"/>
      <c r="E79" s="2"/>
      <c r="F79" s="2"/>
      <c r="G79" s="2"/>
      <c r="H79" s="2"/>
      <c r="I79" s="63"/>
      <c r="J79" s="63"/>
      <c r="K79" s="63"/>
      <c r="L79" s="2"/>
      <c r="M79" s="2"/>
      <c r="N79" s="63"/>
    </row>
    <row r="80" spans="1:14">
      <c r="A80" s="2"/>
      <c r="B80" s="63"/>
      <c r="C80" s="2"/>
      <c r="D80" s="2"/>
      <c r="E80" s="2"/>
      <c r="F80" s="2"/>
      <c r="G80" s="2"/>
      <c r="H80" s="2"/>
      <c r="I80" s="63"/>
      <c r="J80" s="63"/>
      <c r="K80" s="63"/>
      <c r="L80" s="2"/>
      <c r="M80" s="2"/>
      <c r="N80" s="63"/>
    </row>
    <row r="81" spans="1:14">
      <c r="A81" s="2"/>
      <c r="B81" s="63"/>
      <c r="C81" s="2"/>
      <c r="D81" s="2"/>
      <c r="E81" s="2"/>
      <c r="F81" s="2"/>
      <c r="G81" s="2"/>
      <c r="H81" s="2"/>
      <c r="I81" s="63"/>
      <c r="J81" s="63"/>
      <c r="K81" s="63"/>
      <c r="L81" s="2"/>
      <c r="M81" s="2"/>
      <c r="N81" s="63"/>
    </row>
    <row r="82" spans="1:14">
      <c r="A82" s="2"/>
      <c r="B82" s="63"/>
      <c r="C82" s="2"/>
      <c r="D82" s="2"/>
      <c r="E82" s="2"/>
      <c r="F82" s="2"/>
      <c r="G82" s="2"/>
      <c r="H82" s="2"/>
      <c r="I82" s="63"/>
      <c r="J82" s="63"/>
      <c r="K82" s="63"/>
      <c r="L82" s="2"/>
      <c r="M82" s="2"/>
      <c r="N82" s="6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D992-D171-4D8C-9C82-C82A17CCB9CA}">
  <sheetPr codeName="Sheet12"/>
  <dimension ref="A1:O82"/>
  <sheetViews>
    <sheetView workbookViewId="0">
      <selection activeCell="B2" sqref="B2:C20"/>
    </sheetView>
  </sheetViews>
  <sheetFormatPr defaultRowHeight="15"/>
  <cols>
    <col min="1" max="1" width="27.5703125" customWidth="1"/>
    <col min="2" max="2" width="38.5703125" customWidth="1"/>
    <col min="3" max="3" width="11.7109375" customWidth="1"/>
    <col min="4" max="4" width="13" customWidth="1"/>
    <col min="6" max="6" width="23.140625" customWidth="1"/>
    <col min="7" max="7" width="28.140625" customWidth="1"/>
    <col min="11" max="11" width="13.5703125" customWidth="1"/>
    <col min="13" max="13" width="8.140625" customWidth="1"/>
    <col min="14" max="14" width="25.42578125" customWidth="1"/>
  </cols>
  <sheetData>
    <row r="1" spans="1:7" s="10" customFormat="1">
      <c r="A1" s="38" t="s">
        <v>1612</v>
      </c>
      <c r="B1" s="43" t="s">
        <v>1371</v>
      </c>
      <c r="C1" s="43" t="s">
        <v>1372</v>
      </c>
      <c r="D1" s="43" t="s">
        <v>1573</v>
      </c>
      <c r="E1" s="37"/>
      <c r="F1" s="45" t="s">
        <v>1575</v>
      </c>
      <c r="G1" s="38" t="s">
        <v>1576</v>
      </c>
    </row>
    <row r="2" spans="1:7">
      <c r="A2" s="37" t="str" cm="1">
        <f t="array" ref="A2:A9">_xlfn.UNIQUE(_xlfn._xlws.FILTER(N23:N82,(ISTEXT(N23:N82))*(N23:N82&lt;&gt;"Excluded")*(N23:N82&lt;&gt;"Included in industry")*(N23:N82&lt;&gt;"unittype")))</f>
        <v>bioHOB</v>
      </c>
      <c r="B2" s="44">
        <f>IF(COUNTIF($A2,"*HOB*")+COUNTIF($A2,"*charger*")+COUNTIF($A2,"*disch*")+COUNTIF($A2,"GSHP")+COUNTIF($A2,"elecHOB"),SUMIF($N$23:$N$82,$A2,$I$23:$I$82),SUMIF($N$23:$N$82,$A2,$J$23:$J$82))</f>
        <v>26.8</v>
      </c>
      <c r="C2" s="44">
        <f>IF(COUNTIF($A2,"*HOB*")+COUNTIF($A2,"*charger*")+COUNTIF($A2,"*disch*")+COUNTIF($A2,"GSHP")+COUNTIF($A2,"elecHOB"),SUMIF($N$23:$N$82,$A2,$J$23:$J$82),SUMIF($N$23:$N$82,$A2,$I$23:$I$82))</f>
        <v>0</v>
      </c>
      <c r="D2" s="44" t="str">
        <f>IF(COUNTIFS($K$23:$K$82,"&gt;0",$N$23:$N$82,$A2)=COUNTIF($N$23:$N$82,$A2),SUMIF($N$23:$N$82,$A2,$K$23:$K$82),"")</f>
        <v/>
      </c>
      <c r="E2" s="37"/>
      <c r="F2" s="46" t="str">
        <f>IF(ISTEXT($A2),IF(COUNTIFS(unitdata_Finland!$B$3:$B$85,$A2,unitdata_Finland!$C$3:$C$85,"*JKL*"),"","Add the unit!"),"")</f>
        <v/>
      </c>
      <c r="G2" s="46" t="str">
        <f>IF(COUNTIFS(unitdata_Finland!$B$3:$B$85,$A2,unitdata_Finland!$C$3:$C$85,"*JKL*")&gt;1,"Warning!","")</f>
        <v/>
      </c>
    </row>
    <row r="3" spans="1:7">
      <c r="A3" s="37" t="str">
        <v>gasHOB</v>
      </c>
      <c r="B3" s="44">
        <f t="shared" ref="B3:B20" si="0">IF(COUNTIF($A3,"*HOB*")+COUNTIF($A3,"*charger*")+COUNTIF($A3,"*disch*")+COUNTIF($A3,"GSHP")+COUNTIF($A3,"elecHOB"),SUMIF($N$23:$N$82,$A3,$I$23:$I$82),SUMIF($N$23:$N$82,$A3,$J$23:$J$82))</f>
        <v>3.1</v>
      </c>
      <c r="C3" s="44">
        <f t="shared" ref="C3:C20" si="1">IF(COUNTIF($A3,"*HOB*")+COUNTIF($A3,"*charger*")+COUNTIF($A3,"*disch*")+COUNTIF($A3,"GSHP")+COUNTIF($A3,"elecHOB"),SUMIF($N$23:$N$82,$A3,$J$23:$J$82),SUMIF($N$23:$N$82,$A3,$I$23:$I$82))</f>
        <v>0</v>
      </c>
      <c r="D3" s="37" t="str">
        <f>IF(COUNTIFS($K$23:$K$82,"&gt;0",$N$23:$N$82,$A3)=COUNTIF($N$23:$N$82,$A3),SUMIF($N$23:$N$82,$A3,$K$23:$K$82),"")</f>
        <v/>
      </c>
      <c r="E3" s="37"/>
      <c r="F3" s="46" t="str">
        <f>IF(ISTEXT($A3),IF(COUNTIFS(unitdata_Finland!$B$3:$B$85,$A3,unitdata_Finland!$C$3:$C$85,"*JKL*"),"","Add the unit!"),"")</f>
        <v/>
      </c>
      <c r="G3" s="46" t="str">
        <f>IF(COUNTIFS(unitdata_Finland!$B$3:$B$85,$A3,unitdata_Finland!$C$3:$C$85,"*JKL*")&gt;1,"Warning!","")</f>
        <v/>
      </c>
    </row>
    <row r="4" spans="1:7">
      <c r="A4" s="37" t="str">
        <v>oilHOB</v>
      </c>
      <c r="B4" s="44">
        <f t="shared" si="0"/>
        <v>200</v>
      </c>
      <c r="C4" s="44">
        <f t="shared" si="1"/>
        <v>0</v>
      </c>
      <c r="D4" s="37" t="str">
        <f t="shared" ref="D4:D20" si="2">IF(COUNTIFS($K$23:$K$82,"&gt;0",$N$23:$N$82,$A4)=COUNTIF($N$23:$N$82,$A4),SUMIF($N$23:$N$82,$A4,$K$23:$K$82),"")</f>
        <v/>
      </c>
      <c r="E4" s="37"/>
      <c r="F4" s="46" t="str">
        <f>IF(ISTEXT($A4),IF(COUNTIFS(unitdata_Finland!$B$3:$B$85,$A4,unitdata_Finland!$C$3:$C$85,"*JKL*"),"","Add the unit!"),"")</f>
        <v/>
      </c>
      <c r="G4" s="46" t="str">
        <f>IF(COUNTIFS(unitdata_Finland!$B$3:$B$85,$A4,unitdata_Finland!$C$3:$C$85,"*JKL*")&gt;1,"Warning!","")</f>
        <v/>
      </c>
    </row>
    <row r="5" spans="1:7">
      <c r="A5" s="37" t="str">
        <v>bioCHP</v>
      </c>
      <c r="B5" s="44">
        <f t="shared" si="0"/>
        <v>250</v>
      </c>
      <c r="C5" s="44">
        <f t="shared" si="1"/>
        <v>435</v>
      </c>
      <c r="D5" s="37">
        <f t="shared" si="2"/>
        <v>790</v>
      </c>
      <c r="E5" s="37"/>
      <c r="F5" s="46" t="str">
        <f>IF(ISTEXT($A5),IF(COUNTIFS(unitdata_Finland!$B$3:$B$85,$A5,unitdata_Finland!$C$3:$C$85,"*JKL*"),"","Add the unit!"),"")</f>
        <v/>
      </c>
      <c r="G5" s="46" t="str">
        <f>IF(COUNTIFS(unitdata_Finland!$B$3:$B$85,$A5,unitdata_Finland!$C$3:$C$85,"*JKL*")&gt;1,"Warning!","")</f>
        <v/>
      </c>
    </row>
    <row r="6" spans="1:7">
      <c r="A6" s="37" t="str">
        <v>GSHP</v>
      </c>
      <c r="B6" s="44">
        <f t="shared" si="0"/>
        <v>45</v>
      </c>
      <c r="C6" s="44">
        <f t="shared" si="1"/>
        <v>0</v>
      </c>
      <c r="D6" s="37" t="str">
        <f>IF(COUNTIFS($K$23:$K$82,"&gt;0",$N$23:$N$82,$A6)=COUNTIF($N$23:$N$82,$A6),SUMIF($N$23:$N$82,$A6,$K$23:$K$82),"")</f>
        <v/>
      </c>
      <c r="E6" s="37"/>
      <c r="F6" s="46" t="str">
        <f>IF(ISTEXT($A6),IF(COUNTIFS(unitdata_Finland!$B$3:$B$85,$A6,unitdata_Finland!$C$3:$C$85,"*JKL*"),"","Add the unit!"),"")</f>
        <v/>
      </c>
      <c r="G6" s="46" t="str">
        <f>IF(COUNTIFS(unitdata_Finland!$B$3:$B$85,$A6,unitdata_Finland!$C$3:$C$85,"*JKL*")&gt;1,"Warning!","")</f>
        <v/>
      </c>
    </row>
    <row r="7" spans="1:7">
      <c r="A7" s="37" t="str">
        <v>elecHOB</v>
      </c>
      <c r="B7" s="44">
        <f t="shared" si="0"/>
        <v>120</v>
      </c>
      <c r="C7" s="44">
        <f t="shared" si="1"/>
        <v>0</v>
      </c>
      <c r="D7" s="37" t="str">
        <f t="shared" si="2"/>
        <v/>
      </c>
      <c r="E7" s="37"/>
      <c r="F7" s="46" t="str">
        <f>IF(ISTEXT($A7),IF(COUNTIFS(unitdata_Finland!$B$3:$B$85,$A7,unitdata_Finland!$C$3:$C$85,"*JKL*"),"","Add the unit!"),"")</f>
        <v/>
      </c>
      <c r="G7" s="46" t="str">
        <f>IF(COUNTIFS(unitdata_Finland!$B$3:$B$85,$A7,unitdata_Finland!$C$3:$C$85,"*JKL*")&gt;1,"Warning!","")</f>
        <v/>
      </c>
    </row>
    <row r="8" spans="1:7">
      <c r="A8" s="37" t="str">
        <v>HeatStorageCharger</v>
      </c>
      <c r="B8" s="44">
        <f t="shared" si="0"/>
        <v>80</v>
      </c>
      <c r="C8" s="44">
        <f t="shared" si="1"/>
        <v>0</v>
      </c>
      <c r="D8" s="37" t="str">
        <f t="shared" si="2"/>
        <v/>
      </c>
      <c r="E8" s="37"/>
      <c r="F8" s="46" t="str">
        <f>IF(ISTEXT($A8),IF(COUNTIFS(unitdata_Finland!$B$3:$B$85,$A8,unitdata_Finland!$C$3:$C$85,"*JKL*"),"","Add the unit!"),"")</f>
        <v/>
      </c>
      <c r="G8" s="46" t="str">
        <f>IF(COUNTIFS(unitdata_Finland!$B$3:$B$85,$A8,unitdata_Finland!$C$3:$C$85,"*JKL*")&gt;1,"Warning!","")</f>
        <v/>
      </c>
    </row>
    <row r="9" spans="1:7">
      <c r="A9" s="37" t="str">
        <v>HeatStorageDisch</v>
      </c>
      <c r="B9" s="44">
        <f t="shared" si="0"/>
        <v>80</v>
      </c>
      <c r="C9" s="44">
        <f t="shared" si="1"/>
        <v>0</v>
      </c>
      <c r="D9" s="37" t="str">
        <f t="shared" si="2"/>
        <v/>
      </c>
      <c r="E9" s="37"/>
      <c r="F9" s="46" t="str">
        <f>IF(ISTEXT($A9),IF(COUNTIFS(unitdata_Finland!$B$3:$B$85,$A9,unitdata_Finland!$C$3:$C$85,"*JKL*"),"","Add the unit!"),"")</f>
        <v/>
      </c>
      <c r="G9" s="46" t="str">
        <f>IF(COUNTIFS(unitdata_Finland!$B$3:$B$85,$A9,unitdata_Finland!$C$3:$C$85,"*JKL*")&gt;1,"Warning!","")</f>
        <v/>
      </c>
    </row>
    <row r="10" spans="1:7">
      <c r="A10" s="37"/>
      <c r="B10" s="44">
        <f t="shared" si="0"/>
        <v>0</v>
      </c>
      <c r="C10" s="44">
        <f t="shared" si="1"/>
        <v>0</v>
      </c>
      <c r="D10" s="37">
        <f t="shared" si="2"/>
        <v>0</v>
      </c>
      <c r="E10" s="37"/>
      <c r="F10" s="46" t="str">
        <f>IF(ISTEXT($A10),IF(COUNTIFS(unitdata_Finland!$B$3:$B$85,$A10,unitdata_Finland!$C$3:$C$85,"*JKL*"),"","Add the unit!"),"")</f>
        <v/>
      </c>
      <c r="G10" s="46" t="str">
        <f>IF(COUNTIFS(unitdata_Finland!$B$3:$B$85,$A10,unitdata_Finland!$C$3:$C$85,"*JKL*")&gt;1,"Warning!","")</f>
        <v/>
      </c>
    </row>
    <row r="11" spans="1:7">
      <c r="A11" s="37"/>
      <c r="B11" s="44">
        <f t="shared" si="0"/>
        <v>0</v>
      </c>
      <c r="C11" s="44">
        <f t="shared" si="1"/>
        <v>0</v>
      </c>
      <c r="D11" s="37">
        <f t="shared" si="2"/>
        <v>0</v>
      </c>
      <c r="E11" s="37"/>
      <c r="F11" s="46" t="str">
        <f>IF(ISTEXT($A11),IF(COUNTIFS(unitdata_Finland!$B$3:$B$85,$A11,unitdata_Finland!$C$3:$C$85,"*JKL*"),"","Add the unit!"),"")</f>
        <v/>
      </c>
      <c r="G11" s="46" t="str">
        <f>IF(COUNTIFS(unitdata_Finland!$B$3:$B$85,$A11,unitdata_Finland!$C$3:$C$85,"*JKL*")&gt;1,"Warning!","")</f>
        <v/>
      </c>
    </row>
    <row r="12" spans="1:7">
      <c r="A12" s="37"/>
      <c r="B12" s="44">
        <f t="shared" si="0"/>
        <v>0</v>
      </c>
      <c r="C12" s="44">
        <f t="shared" si="1"/>
        <v>0</v>
      </c>
      <c r="D12" s="37">
        <f t="shared" si="2"/>
        <v>0</v>
      </c>
      <c r="E12" s="37"/>
      <c r="F12" s="46" t="str">
        <f>IF(ISTEXT($A12),IF(COUNTIFS(unitdata_Finland!$B$3:$B$85,$A12,unitdata_Finland!$C$3:$C$85,"*JKL*"),"","Add the unit!"),"")</f>
        <v/>
      </c>
      <c r="G12" s="46" t="str">
        <f>IF(COUNTIFS(unitdata_Finland!$B$3:$B$85,$A12,unitdata_Finland!$C$3:$C$85,"*JKL*")&gt;1,"Warning!","")</f>
        <v/>
      </c>
    </row>
    <row r="13" spans="1:7">
      <c r="A13" s="37"/>
      <c r="B13" s="44">
        <f t="shared" si="0"/>
        <v>0</v>
      </c>
      <c r="C13" s="44">
        <f t="shared" si="1"/>
        <v>0</v>
      </c>
      <c r="D13" s="37">
        <f t="shared" si="2"/>
        <v>0</v>
      </c>
      <c r="E13" s="37"/>
      <c r="F13" s="46" t="str">
        <f>IF(ISTEXT($A13),IF(COUNTIFS(unitdata_Finland!$B$3:$B$85,$A13,unitdata_Finland!$C$3:$C$85,"*JKL*"),"","Add the unit!"),"")</f>
        <v/>
      </c>
      <c r="G13" s="46" t="str">
        <f>IF(COUNTIFS(unitdata_Finland!$B$3:$B$85,$A13,unitdata_Finland!$C$3:$C$85,"*JKL*")&gt;1,"Warning!","")</f>
        <v/>
      </c>
    </row>
    <row r="14" spans="1:7">
      <c r="A14" s="37"/>
      <c r="B14" s="44">
        <f t="shared" si="0"/>
        <v>0</v>
      </c>
      <c r="C14" s="44">
        <f t="shared" si="1"/>
        <v>0</v>
      </c>
      <c r="D14" s="37">
        <f t="shared" si="2"/>
        <v>0</v>
      </c>
      <c r="E14" s="37"/>
      <c r="F14" s="46" t="str">
        <f>IF(ISTEXT($A14),IF(COUNTIFS(unitdata_Finland!$B$3:$B$85,$A14,unitdata_Finland!$C$3:$C$85,"*JKL*"),"","Add the unit!"),"")</f>
        <v/>
      </c>
      <c r="G14" s="46" t="str">
        <f>IF(COUNTIFS(unitdata_Finland!$B$3:$B$85,$A14,unitdata_Finland!$C$3:$C$85,"*JKL*")&gt;1,"Warning!","")</f>
        <v/>
      </c>
    </row>
    <row r="15" spans="1:7">
      <c r="A15" s="37"/>
      <c r="B15" s="44">
        <f t="shared" si="0"/>
        <v>0</v>
      </c>
      <c r="C15" s="44">
        <f t="shared" si="1"/>
        <v>0</v>
      </c>
      <c r="D15" s="37">
        <f t="shared" si="2"/>
        <v>0</v>
      </c>
      <c r="E15" s="37"/>
      <c r="F15" s="46" t="str">
        <f>IF(ISTEXT($A15),IF(COUNTIFS(unitdata_Finland!$B$3:$B$85,$A15,unitdata_Finland!$C$3:$C$85,"*JKL*"),"","Add the unit!"),"")</f>
        <v/>
      </c>
      <c r="G15" s="46" t="str">
        <f>IF(COUNTIFS(unitdata_Finland!$B$3:$B$85,$A15,unitdata_Finland!$C$3:$C$85,"*JKL*")&gt;1,"Warning!","")</f>
        <v/>
      </c>
    </row>
    <row r="16" spans="1:7">
      <c r="A16" s="37"/>
      <c r="B16" s="44">
        <f t="shared" si="0"/>
        <v>0</v>
      </c>
      <c r="C16" s="44">
        <f t="shared" si="1"/>
        <v>0</v>
      </c>
      <c r="D16" s="37">
        <f t="shared" si="2"/>
        <v>0</v>
      </c>
      <c r="E16" s="37"/>
      <c r="F16" s="46" t="str">
        <f>IF(ISTEXT($A16),IF(COUNTIFS(unitdata_Finland!$B$3:$B$85,$A16,unitdata_Finland!$C$3:$C$85,"*JKL*"),"","Add the unit!"),"")</f>
        <v/>
      </c>
      <c r="G16" s="46" t="str">
        <f>IF(COUNTIFS(unitdata_Finland!$B$3:$B$85,$A16,unitdata_Finland!$C$3:$C$85,"*JKL*")&gt;1,"Warning!","")</f>
        <v/>
      </c>
    </row>
    <row r="17" spans="1:15">
      <c r="A17" s="37"/>
      <c r="B17" s="44">
        <f t="shared" si="0"/>
        <v>0</v>
      </c>
      <c r="C17" s="44">
        <f t="shared" si="1"/>
        <v>0</v>
      </c>
      <c r="D17" s="37">
        <f t="shared" si="2"/>
        <v>0</v>
      </c>
      <c r="E17" s="37"/>
      <c r="F17" s="46" t="str">
        <f>IF(ISTEXT($A17),IF(COUNTIFS(unitdata_Finland!$B$3:$B$85,$A17,unitdata_Finland!$C$3:$C$85,"*JKL*"),"","Add the unit!"),"")</f>
        <v/>
      </c>
      <c r="G17" s="46" t="str">
        <f>IF(COUNTIFS(unitdata_Finland!$B$3:$B$85,$A17,unitdata_Finland!$C$3:$C$85,"*JKL*")&gt;1,"Warning!","")</f>
        <v/>
      </c>
    </row>
    <row r="18" spans="1:15">
      <c r="A18" s="37"/>
      <c r="B18" s="44">
        <f t="shared" si="0"/>
        <v>0</v>
      </c>
      <c r="C18" s="44">
        <f t="shared" si="1"/>
        <v>0</v>
      </c>
      <c r="D18" s="37">
        <f t="shared" si="2"/>
        <v>0</v>
      </c>
      <c r="E18" s="37"/>
      <c r="F18" s="46" t="str">
        <f>IF(ISTEXT($A18),IF(COUNTIFS(unitdata_Finland!$B$3:$B$85,$A18,unitdata_Finland!$C$3:$C$85,"*JKL*"),"","Add the unit!"),"")</f>
        <v/>
      </c>
      <c r="G18" s="46" t="str">
        <f>IF(COUNTIFS(unitdata_Finland!$B$3:$B$85,$A18,unitdata_Finland!$C$3:$C$85,"*JKL*")&gt;1,"Warning!","")</f>
        <v/>
      </c>
    </row>
    <row r="19" spans="1:15">
      <c r="A19" s="37"/>
      <c r="B19" s="44">
        <f t="shared" si="0"/>
        <v>0</v>
      </c>
      <c r="C19" s="44">
        <f t="shared" si="1"/>
        <v>0</v>
      </c>
      <c r="D19" s="37">
        <f t="shared" si="2"/>
        <v>0</v>
      </c>
      <c r="E19" s="37"/>
      <c r="F19" s="46" t="str">
        <f>IF(ISTEXT($A19),IF(COUNTIFS(unitdata_Finland!$B$3:$B$85,$A19,unitdata_Finland!$C$3:$C$85,"*JKL*"),"","Add the unit!"),"")</f>
        <v/>
      </c>
      <c r="G19" s="46" t="str">
        <f>IF(COUNTIFS(unitdata_Finland!$B$3:$B$85,$A19,unitdata_Finland!$C$3:$C$85,"*JKL*")&gt;1,"Warning!","")</f>
        <v/>
      </c>
    </row>
    <row r="20" spans="1:15">
      <c r="A20" s="37"/>
      <c r="B20" s="44">
        <f t="shared" si="0"/>
        <v>0</v>
      </c>
      <c r="C20" s="44">
        <f t="shared" si="1"/>
        <v>0</v>
      </c>
      <c r="D20" s="37">
        <f t="shared" si="2"/>
        <v>0</v>
      </c>
      <c r="E20" s="37"/>
      <c r="F20" s="46" t="str">
        <f>IF(ISTEXT($A20),IF(COUNTIFS(unitdata_Finland!$B$3:$B$85,$A20,unitdata_Finland!$C$3:$C$85,"*JKL*"),"","Add the unit!"),"")</f>
        <v/>
      </c>
      <c r="G20" s="46" t="str">
        <f>IF(COUNTIFS(unitdata_Finland!$B$3:$B$85,$A20,unitdata_Finland!$C$3:$C$85,"*JKL*")&gt;1,"Warning!","")</f>
        <v/>
      </c>
    </row>
    <row r="21" spans="1:15" ht="18.75">
      <c r="A21" s="54" t="s">
        <v>1577</v>
      </c>
      <c r="B21" s="53"/>
      <c r="C21" s="53"/>
      <c r="D21" s="53"/>
      <c r="F21" s="53"/>
      <c r="G21" s="53"/>
    </row>
    <row r="22" spans="1:15" s="10" customFormat="1">
      <c r="A22" s="47" t="s">
        <v>192</v>
      </c>
      <c r="B22" s="62"/>
      <c r="C22" s="47"/>
      <c r="D22" s="47"/>
      <c r="E22" s="47"/>
      <c r="F22" s="47"/>
      <c r="G22" s="47"/>
      <c r="H22" s="47"/>
      <c r="I22" s="62" t="s">
        <v>56</v>
      </c>
      <c r="J22" s="62" t="s">
        <v>57</v>
      </c>
      <c r="K22" s="62" t="s">
        <v>1559</v>
      </c>
      <c r="L22" s="47"/>
      <c r="M22" s="47"/>
      <c r="N22" s="62" t="s">
        <v>1612</v>
      </c>
    </row>
    <row r="23" spans="1:15">
      <c r="A23" s="48" t="s">
        <v>155</v>
      </c>
      <c r="B23" s="52" t="s">
        <v>156</v>
      </c>
      <c r="C23" s="49" t="s">
        <v>29</v>
      </c>
      <c r="D23" s="39">
        <v>2010</v>
      </c>
      <c r="E23" s="49">
        <v>2</v>
      </c>
      <c r="F23" s="39" t="s">
        <v>30</v>
      </c>
      <c r="G23" s="21">
        <v>8</v>
      </c>
      <c r="H23" s="39" t="s">
        <v>30</v>
      </c>
      <c r="I23" s="64">
        <v>8</v>
      </c>
      <c r="J23" s="65" t="s">
        <v>30</v>
      </c>
      <c r="K23" s="65"/>
      <c r="L23" s="49" t="s">
        <v>118</v>
      </c>
      <c r="M23" s="50" t="s">
        <v>30</v>
      </c>
      <c r="N23" s="69" t="s">
        <v>1653</v>
      </c>
    </row>
    <row r="24" spans="1:15">
      <c r="A24" s="48" t="s">
        <v>155</v>
      </c>
      <c r="B24" s="52" t="s">
        <v>157</v>
      </c>
      <c r="C24" s="49" t="s">
        <v>29</v>
      </c>
      <c r="D24" s="39" t="s">
        <v>158</v>
      </c>
      <c r="E24" s="49">
        <v>2</v>
      </c>
      <c r="F24" s="39" t="s">
        <v>30</v>
      </c>
      <c r="G24" s="21">
        <v>3.1</v>
      </c>
      <c r="H24" s="39" t="s">
        <v>30</v>
      </c>
      <c r="I24" s="64">
        <v>3.1</v>
      </c>
      <c r="J24" s="65" t="s">
        <v>30</v>
      </c>
      <c r="K24" s="65"/>
      <c r="L24" s="49" t="s">
        <v>68</v>
      </c>
      <c r="M24" s="50" t="s">
        <v>30</v>
      </c>
      <c r="N24" s="69" t="s">
        <v>1657</v>
      </c>
    </row>
    <row r="25" spans="1:15">
      <c r="A25" s="55" t="s">
        <v>155</v>
      </c>
      <c r="B25" s="70" t="s">
        <v>159</v>
      </c>
      <c r="C25" s="56" t="s">
        <v>29</v>
      </c>
      <c r="D25" s="40">
        <v>2021</v>
      </c>
      <c r="E25" s="56">
        <v>4</v>
      </c>
      <c r="F25" s="40" t="s">
        <v>30</v>
      </c>
      <c r="G25" s="57">
        <v>18.8</v>
      </c>
      <c r="H25" s="40" t="s">
        <v>30</v>
      </c>
      <c r="I25" s="66">
        <v>18.8</v>
      </c>
      <c r="J25" s="67" t="s">
        <v>30</v>
      </c>
      <c r="K25" s="67"/>
      <c r="L25" s="56" t="s">
        <v>118</v>
      </c>
      <c r="M25" s="58" t="s">
        <v>30</v>
      </c>
      <c r="N25" s="69" t="s">
        <v>1653</v>
      </c>
    </row>
    <row r="26" spans="1:15">
      <c r="A26" s="48" t="s">
        <v>160</v>
      </c>
      <c r="B26" s="52" t="s">
        <v>161</v>
      </c>
      <c r="C26" s="49" t="s">
        <v>29</v>
      </c>
      <c r="D26" s="39">
        <v>1992</v>
      </c>
      <c r="E26" s="49">
        <v>2</v>
      </c>
      <c r="F26" s="39" t="s">
        <v>30</v>
      </c>
      <c r="G26" s="21">
        <v>80</v>
      </c>
      <c r="H26" s="39" t="s">
        <v>30</v>
      </c>
      <c r="I26" s="64">
        <v>80</v>
      </c>
      <c r="J26" s="65" t="s">
        <v>30</v>
      </c>
      <c r="K26" s="65"/>
      <c r="L26" s="49" t="s">
        <v>33</v>
      </c>
      <c r="M26" s="50" t="s">
        <v>30</v>
      </c>
      <c r="N26" s="65" t="s">
        <v>1654</v>
      </c>
    </row>
    <row r="27" spans="1:15">
      <c r="A27" s="48" t="s">
        <v>160</v>
      </c>
      <c r="B27" s="52" t="s">
        <v>162</v>
      </c>
      <c r="C27" s="49" t="s">
        <v>29</v>
      </c>
      <c r="D27" s="39">
        <v>1989</v>
      </c>
      <c r="E27" s="49">
        <v>1</v>
      </c>
      <c r="F27" s="39" t="s">
        <v>30</v>
      </c>
      <c r="G27" s="21">
        <v>40</v>
      </c>
      <c r="H27" s="39" t="s">
        <v>30</v>
      </c>
      <c r="I27" s="64">
        <v>40</v>
      </c>
      <c r="J27" s="65" t="s">
        <v>30</v>
      </c>
      <c r="K27" s="65"/>
      <c r="L27" s="49" t="s">
        <v>33</v>
      </c>
      <c r="M27" s="50" t="s">
        <v>30</v>
      </c>
      <c r="N27" s="65" t="s">
        <v>1654</v>
      </c>
    </row>
    <row r="28" spans="1:15">
      <c r="A28" s="48" t="s">
        <v>160</v>
      </c>
      <c r="B28" s="52" t="s">
        <v>163</v>
      </c>
      <c r="C28" s="49" t="s">
        <v>29</v>
      </c>
      <c r="D28" s="39">
        <v>2004</v>
      </c>
      <c r="E28" s="49">
        <v>1</v>
      </c>
      <c r="F28" s="39" t="s">
        <v>30</v>
      </c>
      <c r="G28" s="21">
        <v>40</v>
      </c>
      <c r="H28" s="39" t="s">
        <v>30</v>
      </c>
      <c r="I28" s="64">
        <v>40</v>
      </c>
      <c r="J28" s="65" t="s">
        <v>30</v>
      </c>
      <c r="K28" s="65"/>
      <c r="L28" s="49" t="s">
        <v>33</v>
      </c>
      <c r="M28" s="50" t="s">
        <v>30</v>
      </c>
      <c r="N28" s="65" t="s">
        <v>1654</v>
      </c>
    </row>
    <row r="29" spans="1:15">
      <c r="A29" s="48" t="s">
        <v>160</v>
      </c>
      <c r="B29" s="52" t="s">
        <v>164</v>
      </c>
      <c r="C29" s="49" t="s">
        <v>29</v>
      </c>
      <c r="D29" s="39">
        <v>2007</v>
      </c>
      <c r="E29" s="49">
        <v>1</v>
      </c>
      <c r="F29" s="39" t="s">
        <v>30</v>
      </c>
      <c r="G29" s="21">
        <v>40</v>
      </c>
      <c r="H29" s="39" t="s">
        <v>30</v>
      </c>
      <c r="I29" s="64">
        <v>40</v>
      </c>
      <c r="J29" s="65" t="s">
        <v>30</v>
      </c>
      <c r="K29" s="65"/>
      <c r="L29" s="49" t="s">
        <v>33</v>
      </c>
      <c r="M29" s="50" t="s">
        <v>30</v>
      </c>
      <c r="N29" s="65" t="s">
        <v>1654</v>
      </c>
    </row>
    <row r="30" spans="1:15">
      <c r="A30" s="48" t="s">
        <v>160</v>
      </c>
      <c r="B30" s="52" t="s">
        <v>165</v>
      </c>
      <c r="C30" s="49" t="s">
        <v>52</v>
      </c>
      <c r="D30" s="39">
        <v>1986</v>
      </c>
      <c r="E30" s="49">
        <v>3</v>
      </c>
      <c r="F30" s="39">
        <v>150</v>
      </c>
      <c r="G30" s="21">
        <v>130</v>
      </c>
      <c r="H30" s="39" t="s">
        <v>30</v>
      </c>
      <c r="I30" s="64">
        <v>175</v>
      </c>
      <c r="J30" s="65">
        <v>87</v>
      </c>
      <c r="K30" s="65">
        <v>295</v>
      </c>
      <c r="L30" s="49" t="s">
        <v>118</v>
      </c>
      <c r="M30" s="50" t="s">
        <v>30</v>
      </c>
      <c r="N30" s="65" t="s">
        <v>1656</v>
      </c>
      <c r="O30" t="s">
        <v>1571</v>
      </c>
    </row>
    <row r="31" spans="1:15">
      <c r="A31" s="59" t="s">
        <v>166</v>
      </c>
      <c r="B31" s="71" t="s">
        <v>167</v>
      </c>
      <c r="C31" s="60" t="s">
        <v>52</v>
      </c>
      <c r="D31" s="42">
        <v>2010</v>
      </c>
      <c r="E31" s="60">
        <v>2</v>
      </c>
      <c r="F31" s="42">
        <v>260</v>
      </c>
      <c r="G31" s="41" t="s">
        <v>30</v>
      </c>
      <c r="H31" s="42" t="s">
        <v>30</v>
      </c>
      <c r="I31" s="72">
        <v>260</v>
      </c>
      <c r="J31" s="73">
        <v>163</v>
      </c>
      <c r="K31" s="73">
        <v>495</v>
      </c>
      <c r="L31" s="60" t="s">
        <v>118</v>
      </c>
      <c r="M31" s="61" t="s">
        <v>30</v>
      </c>
      <c r="N31" s="65" t="s">
        <v>1656</v>
      </c>
      <c r="O31" t="s">
        <v>1572</v>
      </c>
    </row>
    <row r="32" spans="1:15">
      <c r="A32" s="2"/>
      <c r="B32" s="63"/>
      <c r="C32" s="2"/>
      <c r="D32" s="2"/>
      <c r="E32" s="2"/>
      <c r="F32" s="2"/>
      <c r="G32" s="2"/>
      <c r="H32" s="2"/>
      <c r="I32" s="63"/>
      <c r="J32" s="63"/>
      <c r="K32" s="63"/>
      <c r="L32" s="2"/>
      <c r="M32" s="2"/>
      <c r="N32" s="63"/>
    </row>
    <row r="33" spans="1:15">
      <c r="A33" s="51" t="s">
        <v>168</v>
      </c>
      <c r="B33" s="63"/>
      <c r="C33" s="2"/>
      <c r="D33" s="2"/>
      <c r="E33" s="2"/>
      <c r="F33" s="2"/>
      <c r="G33" s="2"/>
      <c r="H33" s="2"/>
      <c r="I33" s="62" t="s">
        <v>56</v>
      </c>
      <c r="J33" s="62" t="s">
        <v>57</v>
      </c>
      <c r="K33" s="62" t="s">
        <v>1559</v>
      </c>
      <c r="L33" s="47"/>
      <c r="M33" s="47"/>
      <c r="N33" s="62" t="s">
        <v>1612</v>
      </c>
    </row>
    <row r="34" spans="1:15">
      <c r="A34" s="48" t="s">
        <v>228</v>
      </c>
      <c r="B34" s="63"/>
      <c r="C34" s="2"/>
      <c r="D34" s="2"/>
      <c r="E34" s="2"/>
      <c r="F34" s="2"/>
      <c r="G34" s="2"/>
      <c r="H34" s="2"/>
      <c r="I34" s="65">
        <v>5</v>
      </c>
      <c r="J34" s="63"/>
      <c r="K34" s="63"/>
      <c r="L34" s="2"/>
      <c r="M34" s="2"/>
      <c r="N34" s="65" t="s">
        <v>1613</v>
      </c>
      <c r="O34" t="s">
        <v>229</v>
      </c>
    </row>
    <row r="35" spans="1:15">
      <c r="A35" s="48" t="s">
        <v>230</v>
      </c>
      <c r="B35" s="63"/>
      <c r="C35" s="2"/>
      <c r="D35" s="2"/>
      <c r="E35" s="2"/>
      <c r="F35" s="2"/>
      <c r="G35" s="2"/>
      <c r="H35" s="2"/>
      <c r="I35" s="65">
        <v>120</v>
      </c>
      <c r="J35" s="63"/>
      <c r="K35" s="63"/>
      <c r="L35" s="2"/>
      <c r="M35" s="2"/>
      <c r="N35" s="65" t="s">
        <v>1652</v>
      </c>
      <c r="O35" t="s">
        <v>233</v>
      </c>
    </row>
    <row r="36" spans="1:15">
      <c r="A36" s="48" t="s">
        <v>231</v>
      </c>
      <c r="B36" s="63"/>
      <c r="C36" s="2"/>
      <c r="D36" s="2"/>
      <c r="E36" s="2"/>
      <c r="F36" s="2"/>
      <c r="G36" s="2"/>
      <c r="H36" s="2"/>
      <c r="I36" s="65">
        <v>40</v>
      </c>
      <c r="J36" s="63"/>
      <c r="K36" s="63"/>
      <c r="L36" s="2"/>
      <c r="M36" s="2"/>
      <c r="N36" s="65" t="s">
        <v>1613</v>
      </c>
      <c r="O36" t="s">
        <v>232</v>
      </c>
    </row>
    <row r="37" spans="1:15">
      <c r="A37" s="2"/>
      <c r="B37" s="63"/>
      <c r="C37" s="2"/>
      <c r="D37" s="2"/>
      <c r="E37" s="2"/>
      <c r="F37" s="2"/>
      <c r="G37" s="2"/>
      <c r="H37" s="2"/>
      <c r="I37" s="63"/>
      <c r="J37" s="63"/>
      <c r="K37" s="63"/>
      <c r="L37" s="2"/>
      <c r="M37" s="2"/>
      <c r="N37" s="63"/>
    </row>
    <row r="38" spans="1:15">
      <c r="A38" s="51" t="s">
        <v>190</v>
      </c>
      <c r="B38" s="63"/>
      <c r="C38" s="2"/>
      <c r="D38" s="2"/>
      <c r="E38" s="2"/>
      <c r="F38" s="2"/>
      <c r="G38" s="2"/>
      <c r="H38" s="2"/>
      <c r="I38" s="63"/>
      <c r="J38" s="63"/>
      <c r="K38" s="63"/>
      <c r="L38" s="2"/>
      <c r="M38" s="2"/>
      <c r="N38" s="63"/>
    </row>
    <row r="39" spans="1:15">
      <c r="A39" s="2"/>
      <c r="B39" s="62" t="s">
        <v>178</v>
      </c>
      <c r="C39" s="2"/>
      <c r="D39" s="2"/>
      <c r="E39" s="2"/>
      <c r="F39" s="2"/>
      <c r="G39" s="2"/>
      <c r="H39" s="2"/>
      <c r="I39" s="62" t="s">
        <v>56</v>
      </c>
      <c r="J39" s="62" t="s">
        <v>57</v>
      </c>
      <c r="K39" s="62"/>
      <c r="L39" s="47"/>
      <c r="M39" s="47"/>
      <c r="N39" s="62" t="s">
        <v>1612</v>
      </c>
    </row>
    <row r="40" spans="1:15">
      <c r="A40" s="2" t="s">
        <v>234</v>
      </c>
      <c r="B40" s="63">
        <v>800</v>
      </c>
      <c r="C40" s="2"/>
      <c r="D40" s="2"/>
      <c r="E40" s="2"/>
      <c r="F40" s="2"/>
      <c r="G40" s="2"/>
      <c r="H40" s="2" t="s">
        <v>184</v>
      </c>
      <c r="I40" s="63">
        <f>B40/10</f>
        <v>80</v>
      </c>
      <c r="J40" s="63"/>
      <c r="K40" s="63"/>
      <c r="L40" s="2"/>
      <c r="M40" s="2"/>
      <c r="N40" s="63" t="s">
        <v>1648</v>
      </c>
      <c r="O40" t="s">
        <v>232</v>
      </c>
    </row>
    <row r="41" spans="1:15">
      <c r="A41" s="2"/>
      <c r="B41" s="63"/>
      <c r="C41" s="2"/>
      <c r="D41" s="2"/>
      <c r="E41" s="2"/>
      <c r="F41" s="2"/>
      <c r="G41" s="2"/>
      <c r="H41" s="2" t="s">
        <v>185</v>
      </c>
      <c r="I41" s="63">
        <f>I40</f>
        <v>80</v>
      </c>
      <c r="J41" s="63"/>
      <c r="K41" s="63"/>
      <c r="L41" s="2"/>
      <c r="M41" s="2"/>
      <c r="N41" s="63" t="s">
        <v>1649</v>
      </c>
    </row>
    <row r="42" spans="1:15">
      <c r="A42" s="2"/>
      <c r="B42" s="63"/>
      <c r="C42" s="2"/>
      <c r="D42" s="2"/>
      <c r="E42" s="2"/>
      <c r="F42" s="2"/>
      <c r="G42" s="2"/>
      <c r="H42" s="2"/>
      <c r="I42" s="63"/>
      <c r="J42" s="63"/>
      <c r="K42" s="63"/>
      <c r="L42" s="2"/>
      <c r="M42" s="2"/>
      <c r="N42" s="63"/>
    </row>
    <row r="43" spans="1:15">
      <c r="A43" s="2"/>
      <c r="B43" s="63"/>
      <c r="C43" s="2"/>
      <c r="D43" s="2"/>
      <c r="E43" s="2"/>
      <c r="F43" s="2"/>
      <c r="G43" s="2"/>
      <c r="H43" s="2"/>
      <c r="I43" s="63"/>
      <c r="J43" s="63"/>
      <c r="K43" s="63"/>
      <c r="L43" s="2"/>
      <c r="M43" s="2"/>
      <c r="N43" s="63"/>
    </row>
    <row r="44" spans="1:15">
      <c r="A44" s="2"/>
      <c r="B44" s="63"/>
      <c r="C44" s="2"/>
      <c r="D44" s="2"/>
      <c r="E44" s="2"/>
      <c r="F44" s="2"/>
      <c r="G44" s="2"/>
      <c r="H44" s="2"/>
      <c r="I44" s="63"/>
      <c r="J44" s="63"/>
      <c r="K44" s="63"/>
      <c r="L44" s="2"/>
      <c r="M44" s="2"/>
      <c r="N44" s="63"/>
    </row>
    <row r="45" spans="1:15">
      <c r="A45" s="2"/>
      <c r="B45" s="63"/>
      <c r="C45" s="2"/>
      <c r="D45" s="2"/>
      <c r="E45" s="2"/>
      <c r="F45" s="2"/>
      <c r="G45" s="2"/>
      <c r="H45" s="2"/>
      <c r="I45" s="63"/>
      <c r="J45" s="63"/>
      <c r="K45" s="63"/>
      <c r="L45" s="2"/>
      <c r="M45" s="2"/>
      <c r="N45" s="63"/>
    </row>
    <row r="46" spans="1:15">
      <c r="A46" s="2"/>
      <c r="B46" s="63"/>
      <c r="C46" s="2"/>
      <c r="D46" s="2"/>
      <c r="E46" s="2"/>
      <c r="F46" s="2"/>
      <c r="G46" s="2"/>
      <c r="H46" s="2"/>
      <c r="I46" s="63"/>
      <c r="J46" s="63"/>
      <c r="K46" s="63"/>
      <c r="L46" s="2"/>
      <c r="M46" s="2"/>
      <c r="N46" s="63"/>
    </row>
    <row r="47" spans="1:15">
      <c r="A47" s="2"/>
      <c r="B47" s="63"/>
      <c r="C47" s="2"/>
      <c r="D47" s="2"/>
      <c r="E47" s="2"/>
      <c r="F47" s="2"/>
      <c r="G47" s="2"/>
      <c r="H47" s="2"/>
      <c r="I47" s="63"/>
      <c r="J47" s="63"/>
      <c r="K47" s="63"/>
      <c r="L47" s="2"/>
      <c r="M47" s="2"/>
      <c r="N47" s="63"/>
    </row>
    <row r="48" spans="1:15">
      <c r="A48" s="2"/>
      <c r="B48" s="63"/>
      <c r="C48" s="2"/>
      <c r="D48" s="2"/>
      <c r="E48" s="2"/>
      <c r="F48" s="2"/>
      <c r="G48" s="2"/>
      <c r="H48" s="2"/>
      <c r="I48" s="63"/>
      <c r="J48" s="63"/>
      <c r="K48" s="63"/>
      <c r="L48" s="2"/>
      <c r="M48" s="2"/>
      <c r="N48" s="63"/>
    </row>
    <row r="49" spans="1:14">
      <c r="A49" s="2"/>
      <c r="B49" s="63"/>
      <c r="C49" s="2"/>
      <c r="D49" s="2"/>
      <c r="E49" s="2"/>
      <c r="F49" s="2"/>
      <c r="G49" s="2"/>
      <c r="H49" s="2"/>
      <c r="I49" s="63"/>
      <c r="J49" s="63"/>
      <c r="K49" s="63"/>
      <c r="L49" s="2"/>
      <c r="M49" s="2"/>
      <c r="N49" s="63"/>
    </row>
    <row r="50" spans="1:14">
      <c r="A50" s="2"/>
      <c r="B50" s="63"/>
      <c r="C50" s="2"/>
      <c r="D50" s="2"/>
      <c r="E50" s="2"/>
      <c r="F50" s="2"/>
      <c r="G50" s="2"/>
      <c r="H50" s="2"/>
      <c r="I50" s="63"/>
      <c r="J50" s="63"/>
      <c r="K50" s="63"/>
      <c r="L50" s="2"/>
      <c r="M50" s="2"/>
      <c r="N50" s="63"/>
    </row>
    <row r="51" spans="1:14">
      <c r="A51" s="2"/>
      <c r="B51" s="63"/>
      <c r="C51" s="2"/>
      <c r="D51" s="2"/>
      <c r="E51" s="2"/>
      <c r="F51" s="2"/>
      <c r="G51" s="2"/>
      <c r="H51" s="2"/>
      <c r="I51" s="63"/>
      <c r="J51" s="63"/>
      <c r="K51" s="63"/>
      <c r="L51" s="2"/>
      <c r="M51" s="2"/>
      <c r="N51" s="63"/>
    </row>
    <row r="52" spans="1:14">
      <c r="A52" s="2"/>
      <c r="B52" s="63"/>
      <c r="C52" s="2"/>
      <c r="D52" s="2"/>
      <c r="E52" s="2"/>
      <c r="F52" s="2"/>
      <c r="G52" s="2"/>
      <c r="H52" s="2"/>
      <c r="I52" s="63"/>
      <c r="J52" s="63"/>
      <c r="K52" s="63"/>
      <c r="L52" s="2"/>
      <c r="M52" s="2"/>
      <c r="N52" s="63"/>
    </row>
    <row r="53" spans="1:14">
      <c r="A53" s="2"/>
      <c r="B53" s="63"/>
      <c r="C53" s="2"/>
      <c r="D53" s="2"/>
      <c r="E53" s="2"/>
      <c r="F53" s="2"/>
      <c r="G53" s="2"/>
      <c r="H53" s="2"/>
      <c r="I53" s="63"/>
      <c r="J53" s="63"/>
      <c r="K53" s="63"/>
      <c r="L53" s="2"/>
      <c r="M53" s="2"/>
      <c r="N53" s="63"/>
    </row>
    <row r="54" spans="1:14">
      <c r="A54" s="2"/>
      <c r="B54" s="63"/>
      <c r="C54" s="2"/>
      <c r="D54" s="2"/>
      <c r="E54" s="2"/>
      <c r="F54" s="2"/>
      <c r="G54" s="2"/>
      <c r="H54" s="2"/>
      <c r="I54" s="63"/>
      <c r="J54" s="63"/>
      <c r="K54" s="63"/>
      <c r="L54" s="2"/>
      <c r="M54" s="2"/>
      <c r="N54" s="63"/>
    </row>
    <row r="55" spans="1:14">
      <c r="A55" s="2"/>
      <c r="B55" s="63"/>
      <c r="C55" s="2"/>
      <c r="D55" s="2"/>
      <c r="E55" s="2"/>
      <c r="F55" s="2"/>
      <c r="G55" s="2"/>
      <c r="H55" s="2"/>
      <c r="I55" s="63"/>
      <c r="J55" s="63"/>
      <c r="K55" s="63"/>
      <c r="L55" s="2"/>
      <c r="M55" s="2"/>
      <c r="N55" s="63"/>
    </row>
    <row r="56" spans="1:14">
      <c r="A56" s="2"/>
      <c r="B56" s="63"/>
      <c r="C56" s="2"/>
      <c r="D56" s="2"/>
      <c r="E56" s="2"/>
      <c r="F56" s="2"/>
      <c r="G56" s="2"/>
      <c r="H56" s="2"/>
      <c r="I56" s="63"/>
      <c r="J56" s="63"/>
      <c r="K56" s="63"/>
      <c r="L56" s="2"/>
      <c r="M56" s="2"/>
      <c r="N56" s="63"/>
    </row>
    <row r="57" spans="1:14">
      <c r="A57" s="2"/>
      <c r="B57" s="63"/>
      <c r="C57" s="2"/>
      <c r="D57" s="2"/>
      <c r="E57" s="2"/>
      <c r="F57" s="2"/>
      <c r="G57" s="2"/>
      <c r="H57" s="2"/>
      <c r="I57" s="63"/>
      <c r="J57" s="63"/>
      <c r="K57" s="63"/>
      <c r="L57" s="2"/>
      <c r="M57" s="2"/>
      <c r="N57" s="63"/>
    </row>
    <row r="58" spans="1:14">
      <c r="A58" s="2"/>
      <c r="B58" s="63"/>
      <c r="C58" s="2"/>
      <c r="D58" s="2"/>
      <c r="E58" s="2"/>
      <c r="F58" s="2"/>
      <c r="G58" s="2"/>
      <c r="H58" s="2"/>
      <c r="I58" s="63"/>
      <c r="J58" s="63"/>
      <c r="K58" s="63"/>
      <c r="L58" s="2"/>
      <c r="M58" s="2"/>
      <c r="N58" s="63"/>
    </row>
    <row r="59" spans="1:14">
      <c r="A59" s="2"/>
      <c r="B59" s="63"/>
      <c r="C59" s="2"/>
      <c r="D59" s="2"/>
      <c r="E59" s="2"/>
      <c r="F59" s="2"/>
      <c r="G59" s="2"/>
      <c r="H59" s="2"/>
      <c r="I59" s="63"/>
      <c r="J59" s="63"/>
      <c r="K59" s="63"/>
      <c r="L59" s="2"/>
      <c r="M59" s="2"/>
      <c r="N59" s="63"/>
    </row>
    <row r="60" spans="1:14">
      <c r="A60" s="2"/>
      <c r="B60" s="63"/>
      <c r="C60" s="2"/>
      <c r="D60" s="2"/>
      <c r="E60" s="2"/>
      <c r="F60" s="2"/>
      <c r="G60" s="2"/>
      <c r="H60" s="2"/>
      <c r="I60" s="63"/>
      <c r="J60" s="63"/>
      <c r="K60" s="63"/>
      <c r="L60" s="2"/>
      <c r="M60" s="2"/>
      <c r="N60" s="63"/>
    </row>
    <row r="61" spans="1:14">
      <c r="A61" s="2"/>
      <c r="B61" s="63"/>
      <c r="C61" s="2"/>
      <c r="D61" s="2"/>
      <c r="E61" s="2"/>
      <c r="F61" s="2"/>
      <c r="G61" s="2"/>
      <c r="H61" s="2"/>
      <c r="I61" s="63"/>
      <c r="J61" s="63"/>
      <c r="K61" s="63"/>
      <c r="L61" s="2"/>
      <c r="M61" s="2"/>
      <c r="N61" s="63"/>
    </row>
    <row r="62" spans="1:14">
      <c r="A62" s="2"/>
      <c r="B62" s="63"/>
      <c r="C62" s="2"/>
      <c r="D62" s="2"/>
      <c r="E62" s="2"/>
      <c r="F62" s="2"/>
      <c r="G62" s="2"/>
      <c r="H62" s="2"/>
      <c r="I62" s="63"/>
      <c r="J62" s="63"/>
      <c r="K62" s="63"/>
      <c r="L62" s="2"/>
      <c r="M62" s="2"/>
      <c r="N62" s="63"/>
    </row>
    <row r="63" spans="1:14">
      <c r="A63" s="2"/>
      <c r="B63" s="63"/>
      <c r="C63" s="2"/>
      <c r="D63" s="2"/>
      <c r="E63" s="2"/>
      <c r="F63" s="2"/>
      <c r="G63" s="2"/>
      <c r="H63" s="2"/>
      <c r="I63" s="63"/>
      <c r="J63" s="63"/>
      <c r="K63" s="63"/>
      <c r="L63" s="2"/>
      <c r="M63" s="2"/>
      <c r="N63" s="63"/>
    </row>
    <row r="64" spans="1:14">
      <c r="A64" s="2"/>
      <c r="B64" s="63"/>
      <c r="C64" s="2"/>
      <c r="D64" s="2"/>
      <c r="E64" s="2"/>
      <c r="F64" s="2"/>
      <c r="G64" s="2"/>
      <c r="H64" s="2"/>
      <c r="I64" s="63"/>
      <c r="J64" s="63"/>
      <c r="K64" s="63"/>
      <c r="L64" s="2"/>
      <c r="M64" s="2"/>
      <c r="N64" s="63"/>
    </row>
    <row r="65" spans="1:14">
      <c r="A65" s="2"/>
      <c r="B65" s="63"/>
      <c r="C65" s="2"/>
      <c r="D65" s="2"/>
      <c r="E65" s="2"/>
      <c r="F65" s="2"/>
      <c r="G65" s="2"/>
      <c r="H65" s="2"/>
      <c r="I65" s="63"/>
      <c r="J65" s="63"/>
      <c r="K65" s="63"/>
      <c r="L65" s="2"/>
      <c r="M65" s="2"/>
      <c r="N65" s="63"/>
    </row>
    <row r="66" spans="1:14">
      <c r="A66" s="2"/>
      <c r="B66" s="63"/>
      <c r="C66" s="2"/>
      <c r="D66" s="2"/>
      <c r="E66" s="2"/>
      <c r="F66" s="2"/>
      <c r="G66" s="2"/>
      <c r="H66" s="2"/>
      <c r="I66" s="63"/>
      <c r="J66" s="63"/>
      <c r="K66" s="63"/>
      <c r="L66" s="2"/>
      <c r="M66" s="2"/>
      <c r="N66" s="63"/>
    </row>
    <row r="67" spans="1:14">
      <c r="A67" s="2"/>
      <c r="B67" s="63"/>
      <c r="C67" s="2"/>
      <c r="D67" s="2"/>
      <c r="E67" s="2"/>
      <c r="F67" s="2"/>
      <c r="G67" s="2"/>
      <c r="H67" s="2"/>
      <c r="I67" s="63"/>
      <c r="J67" s="63"/>
      <c r="K67" s="63"/>
      <c r="L67" s="2"/>
      <c r="M67" s="2"/>
      <c r="N67" s="63"/>
    </row>
    <row r="68" spans="1:14">
      <c r="A68" s="2"/>
      <c r="B68" s="63"/>
      <c r="C68" s="2"/>
      <c r="D68" s="2"/>
      <c r="E68" s="2"/>
      <c r="F68" s="2"/>
      <c r="G68" s="2"/>
      <c r="H68" s="2"/>
      <c r="I68" s="63"/>
      <c r="J68" s="63"/>
      <c r="K68" s="63"/>
      <c r="L68" s="2"/>
      <c r="M68" s="2"/>
      <c r="N68" s="63"/>
    </row>
    <row r="69" spans="1:14">
      <c r="A69" s="2"/>
      <c r="B69" s="63"/>
      <c r="C69" s="2"/>
      <c r="D69" s="2"/>
      <c r="E69" s="2"/>
      <c r="F69" s="2"/>
      <c r="G69" s="2"/>
      <c r="H69" s="2"/>
      <c r="I69" s="63"/>
      <c r="J69" s="63"/>
      <c r="K69" s="63"/>
      <c r="L69" s="2"/>
      <c r="M69" s="2"/>
      <c r="N69" s="63"/>
    </row>
    <row r="70" spans="1:14">
      <c r="A70" s="2"/>
      <c r="B70" s="63"/>
      <c r="C70" s="2"/>
      <c r="D70" s="2"/>
      <c r="E70" s="2"/>
      <c r="F70" s="2"/>
      <c r="G70" s="2"/>
      <c r="H70" s="2"/>
      <c r="I70" s="63"/>
      <c r="J70" s="63"/>
      <c r="K70" s="63"/>
      <c r="L70" s="2"/>
      <c r="M70" s="2"/>
      <c r="N70" s="63"/>
    </row>
    <row r="71" spans="1:14">
      <c r="A71" s="2"/>
      <c r="B71" s="63"/>
      <c r="C71" s="2"/>
      <c r="D71" s="2"/>
      <c r="E71" s="2"/>
      <c r="F71" s="2"/>
      <c r="G71" s="2"/>
      <c r="H71" s="2"/>
      <c r="I71" s="63"/>
      <c r="J71" s="63"/>
      <c r="K71" s="63"/>
      <c r="L71" s="2"/>
      <c r="M71" s="2"/>
      <c r="N71" s="63"/>
    </row>
    <row r="72" spans="1:14">
      <c r="A72" s="2"/>
      <c r="B72" s="63"/>
      <c r="C72" s="2"/>
      <c r="D72" s="2"/>
      <c r="E72" s="2"/>
      <c r="F72" s="2"/>
      <c r="G72" s="2"/>
      <c r="H72" s="2"/>
      <c r="I72" s="63"/>
      <c r="J72" s="63"/>
      <c r="K72" s="63"/>
      <c r="L72" s="2"/>
      <c r="M72" s="2"/>
      <c r="N72" s="63"/>
    </row>
    <row r="73" spans="1:14">
      <c r="A73" s="2"/>
      <c r="B73" s="63"/>
      <c r="C73" s="2"/>
      <c r="D73" s="2"/>
      <c r="E73" s="2"/>
      <c r="F73" s="2"/>
      <c r="G73" s="2"/>
      <c r="H73" s="2"/>
      <c r="I73" s="63"/>
      <c r="J73" s="63"/>
      <c r="K73" s="63"/>
      <c r="L73" s="2"/>
      <c r="M73" s="2"/>
      <c r="N73" s="63"/>
    </row>
    <row r="74" spans="1:14">
      <c r="A74" s="2"/>
      <c r="B74" s="63"/>
      <c r="C74" s="2"/>
      <c r="D74" s="2"/>
      <c r="E74" s="2"/>
      <c r="F74" s="2"/>
      <c r="G74" s="2"/>
      <c r="H74" s="2"/>
      <c r="I74" s="63"/>
      <c r="J74" s="63"/>
      <c r="K74" s="63"/>
      <c r="L74" s="2"/>
      <c r="M74" s="2"/>
      <c r="N74" s="63"/>
    </row>
    <row r="75" spans="1:14">
      <c r="A75" s="2"/>
      <c r="B75" s="63"/>
      <c r="C75" s="2"/>
      <c r="D75" s="2"/>
      <c r="E75" s="2"/>
      <c r="F75" s="2"/>
      <c r="G75" s="2"/>
      <c r="H75" s="2"/>
      <c r="I75" s="63"/>
      <c r="J75" s="63"/>
      <c r="K75" s="63"/>
      <c r="L75" s="2"/>
      <c r="M75" s="2"/>
      <c r="N75" s="63"/>
    </row>
    <row r="76" spans="1:14">
      <c r="A76" s="2"/>
      <c r="B76" s="63"/>
      <c r="C76" s="2"/>
      <c r="D76" s="2"/>
      <c r="E76" s="2"/>
      <c r="F76" s="2"/>
      <c r="G76" s="2"/>
      <c r="H76" s="2"/>
      <c r="I76" s="63"/>
      <c r="J76" s="63"/>
      <c r="K76" s="63"/>
      <c r="L76" s="2"/>
      <c r="M76" s="2"/>
      <c r="N76" s="63"/>
    </row>
    <row r="77" spans="1:14">
      <c r="A77" s="2"/>
      <c r="B77" s="63"/>
      <c r="C77" s="2"/>
      <c r="D77" s="2"/>
      <c r="E77" s="2"/>
      <c r="F77" s="2"/>
      <c r="G77" s="2"/>
      <c r="H77" s="2"/>
      <c r="I77" s="63"/>
      <c r="J77" s="63"/>
      <c r="K77" s="63"/>
      <c r="L77" s="2"/>
      <c r="M77" s="2"/>
      <c r="N77" s="63"/>
    </row>
    <row r="78" spans="1:14">
      <c r="A78" s="2"/>
      <c r="B78" s="63"/>
      <c r="C78" s="2"/>
      <c r="D78" s="2"/>
      <c r="E78" s="2"/>
      <c r="F78" s="2"/>
      <c r="G78" s="2"/>
      <c r="H78" s="2"/>
      <c r="I78" s="63"/>
      <c r="J78" s="63"/>
      <c r="K78" s="63"/>
      <c r="L78" s="2"/>
      <c r="M78" s="2"/>
      <c r="N78" s="63"/>
    </row>
    <row r="79" spans="1:14">
      <c r="A79" s="2"/>
      <c r="B79" s="63"/>
      <c r="C79" s="2"/>
      <c r="D79" s="2"/>
      <c r="E79" s="2"/>
      <c r="F79" s="2"/>
      <c r="G79" s="2"/>
      <c r="H79" s="2"/>
      <c r="I79" s="63"/>
      <c r="J79" s="63"/>
      <c r="K79" s="63"/>
      <c r="L79" s="2"/>
      <c r="M79" s="2"/>
      <c r="N79" s="63"/>
    </row>
    <row r="80" spans="1:14">
      <c r="A80" s="2"/>
      <c r="B80" s="63"/>
      <c r="C80" s="2"/>
      <c r="D80" s="2"/>
      <c r="E80" s="2"/>
      <c r="F80" s="2"/>
      <c r="G80" s="2"/>
      <c r="H80" s="2"/>
      <c r="I80" s="63"/>
      <c r="J80" s="63"/>
      <c r="K80" s="63"/>
      <c r="L80" s="2"/>
      <c r="M80" s="2"/>
      <c r="N80" s="63"/>
    </row>
    <row r="81" spans="1:14">
      <c r="A81" s="2"/>
      <c r="B81" s="63"/>
      <c r="C81" s="2"/>
      <c r="D81" s="2"/>
      <c r="E81" s="2"/>
      <c r="F81" s="2"/>
      <c r="G81" s="2"/>
      <c r="H81" s="2"/>
      <c r="I81" s="63"/>
      <c r="J81" s="63"/>
      <c r="K81" s="63"/>
      <c r="L81" s="2"/>
      <c r="M81" s="2"/>
      <c r="N81" s="63"/>
    </row>
    <row r="82" spans="1:14">
      <c r="A82" s="2"/>
      <c r="B82" s="63"/>
      <c r="C82" s="2"/>
      <c r="D82" s="2"/>
      <c r="E82" s="2"/>
      <c r="F82" s="2"/>
      <c r="G82" s="2"/>
      <c r="H82" s="2"/>
      <c r="I82" s="63"/>
      <c r="J82" s="63"/>
      <c r="K82" s="63"/>
      <c r="L82" s="2"/>
      <c r="M82" s="2"/>
      <c r="N82" s="6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F8F1-A0D4-4846-8F5E-A0D6F56548C1}">
  <sheetPr codeName="Sheet13"/>
  <dimension ref="A1:P1000"/>
  <sheetViews>
    <sheetView workbookViewId="0">
      <selection activeCell="D13" sqref="D13"/>
    </sheetView>
  </sheetViews>
  <sheetFormatPr defaultRowHeight="15"/>
  <cols>
    <col min="1" max="1" width="42.28515625" customWidth="1"/>
    <col min="2" max="2" width="35" customWidth="1"/>
    <col min="3" max="5" width="11" customWidth="1"/>
    <col min="6" max="6" width="24.28515625" customWidth="1"/>
    <col min="7" max="7" width="26.28515625" customWidth="1"/>
    <col min="8" max="9" width="11" customWidth="1"/>
    <col min="10" max="10" width="12" customWidth="1"/>
    <col min="11" max="11" width="15.140625" customWidth="1"/>
    <col min="12" max="13" width="12" customWidth="1"/>
    <col min="14" max="14" width="27.85546875" customWidth="1"/>
  </cols>
  <sheetData>
    <row r="1" spans="1:7">
      <c r="A1" s="38" t="s">
        <v>1612</v>
      </c>
      <c r="B1" s="37" t="s">
        <v>1371</v>
      </c>
      <c r="C1" s="37" t="s">
        <v>1372</v>
      </c>
      <c r="D1" s="37" t="s">
        <v>1573</v>
      </c>
      <c r="E1" s="37"/>
      <c r="F1" s="45" t="s">
        <v>1575</v>
      </c>
      <c r="G1" s="38" t="s">
        <v>1576</v>
      </c>
    </row>
    <row r="2" spans="1:7">
      <c r="A2" s="37" t="str" cm="1">
        <f t="array" ref="A2:A14">_xlfn.UNIQUE(_xlfn._xlws.FILTER(N23:N1001,(ISTEXT(N23:N1001))*(N23:N1001&lt;&gt;"Excluded")*(N23:N1001&lt;&gt;"Included in industry")*(N23:N1001&lt;&gt;"unittype")))</f>
        <v>oilHOB</v>
      </c>
      <c r="B2" s="46">
        <f>IF(COUNTIF($A2,"*HOB*")+COUNTIF($A2,"*charger*")+COUNTIF($A2,"*disch*")+COUNTIF($A2,"GSHP")+COUNTIF($A2,"elecHOB"),SUMIF($N$23:$N$1001,$A2,$I$23:$I$1001),SUMIF($N$23:$N$1001,$A2,$J$23:$J$1001))</f>
        <v>3520.3000000000006</v>
      </c>
      <c r="C2" s="46">
        <f>IF(COUNTIF($A2,"*HOB*")+COUNTIF($A2,"*charger*")+COUNTIF($A2,"*disch*")+COUNTIF($A2,"GSHP")+COUNTIF($A2,"elecHOB"),SUMIF($N$23:$N$1001,$A2,$J$23:$J$1001),SUMIF($N$23:$N$1001,$A2,$I$23:$I$1001))</f>
        <v>0</v>
      </c>
      <c r="D2" s="46" t="str">
        <f>IF(COUNTIFS($K$23:$K$1001,"&gt;0",$N$23:$N$1001,$A2)=COUNTIF($N$23:$N$1001,$A2),SUMIF($N$23:$N$1001,$A2,$K$23:$K$1001),"")</f>
        <v/>
      </c>
      <c r="E2" s="46"/>
      <c r="F2" s="46" t="str">
        <f>IF(ISTEXT($A2),IF(COUNTIFS(unitdata_Finland!$B$3:$B$85,$A2,unitdata_Finland!$C$3:$C$85,"*ROF*"),"","Add the unit!"),"")</f>
        <v/>
      </c>
      <c r="G2" s="46" t="str">
        <f>IF(COUNTIFS(unitdata_Finland!$B$3:$B$85,$A2,unitdata_Finland!$C$3:$C$85,"*ROF*")&gt;1,"Warning!","")</f>
        <v/>
      </c>
    </row>
    <row r="3" spans="1:7">
      <c r="A3" s="37" t="str">
        <v>wasteHOB</v>
      </c>
      <c r="B3" s="46">
        <f t="shared" ref="B3:B20" si="0">IF(COUNTIF($A3,"*HOB*")+COUNTIF($A3,"*charger*")+COUNTIF($A3,"*disch*")+COUNTIF($A3,"GSHP")+COUNTIF($A3,"elecHOB"),SUMIF($N$23:$N$1001,$A3,$I$23:$I$1001),SUMIF($N$23:$N$1001,$A3,$J$23:$J$1001))</f>
        <v>10</v>
      </c>
      <c r="C3" s="46">
        <f t="shared" ref="C3:C20" si="1">IF(COUNTIF($A3,"*HOB*")+COUNTIF($A3,"*charger*")+COUNTIF($A3,"*disch*")+COUNTIF($A3,"GSHP")+COUNTIF($A3,"elecHOB"),SUMIF($N$23:$N$1001,$A3,$J$23:$J$1001),SUMIF($N$23:$N$1001,$A3,$I$23:$I$1001))</f>
        <v>0</v>
      </c>
      <c r="D3" s="46" t="str">
        <f t="shared" ref="D3:D20" si="2">IF(COUNTIFS($K$23:$K$1001,"&gt;0",$N$23:$N$1001,$A3)=COUNTIF($N$23:$N$1001,$A3),SUMIF($N$23:$N$1001,$A3,$K$23:$K$1001),"")</f>
        <v/>
      </c>
      <c r="E3" s="46"/>
      <c r="F3" s="46" t="str">
        <f>IF(ISTEXT($A3),IF(COUNTIFS(unitdata_Finland!$B$3:$B$85,$A3,unitdata_Finland!$C$3:$C$85,"*ROF*"),"","Add the unit!"),"")</f>
        <v/>
      </c>
      <c r="G3" s="46" t="str">
        <f>IF(COUNTIFS(unitdata_Finland!$B$3:$B$85,$A3,unitdata_Finland!$C$3:$C$85,"*ROF*")&gt;1,"Warning!","")</f>
        <v/>
      </c>
    </row>
    <row r="4" spans="1:7">
      <c r="A4" s="37" t="str">
        <v>bioHOB</v>
      </c>
      <c r="B4" s="46">
        <f t="shared" si="0"/>
        <v>2701.9000000000005</v>
      </c>
      <c r="C4" s="46">
        <f t="shared" si="1"/>
        <v>0</v>
      </c>
      <c r="D4" s="46" t="str">
        <f t="shared" si="2"/>
        <v/>
      </c>
      <c r="E4" s="46"/>
      <c r="F4" s="46" t="str">
        <f>IF(ISTEXT($A4),IF(COUNTIFS(unitdata_Finland!$B$3:$B$85,$A4,unitdata_Finland!$C$3:$C$85,"*ROF*"),"","Add the unit!"),"")</f>
        <v/>
      </c>
      <c r="G4" s="46" t="str">
        <f>IF(COUNTIFS(unitdata_Finland!$B$3:$B$85,$A4,unitdata_Finland!$C$3:$C$85,"*ROF*")&gt;1,"Warning!","")</f>
        <v/>
      </c>
    </row>
    <row r="5" spans="1:7">
      <c r="A5" s="37" t="str">
        <v>bioCHP</v>
      </c>
      <c r="B5" s="46">
        <f t="shared" si="0"/>
        <v>1426.6</v>
      </c>
      <c r="C5" s="46">
        <f t="shared" si="1"/>
        <v>3099.2999999999997</v>
      </c>
      <c r="D5" s="46" t="str">
        <f t="shared" si="2"/>
        <v/>
      </c>
      <c r="E5" s="46"/>
      <c r="F5" s="46" t="str">
        <f>IF(ISTEXT($A5),IF(COUNTIFS(unitdata_Finland!$B$3:$B$85,$A5,unitdata_Finland!$C$3:$C$85,"*ROF*"),"","Add the unit!"),"")</f>
        <v/>
      </c>
      <c r="G5" s="46" t="str">
        <f>IF(COUNTIFS(unitdata_Finland!$B$3:$B$85,$A5,unitdata_Finland!$C$3:$C$85,"*ROF*")&gt;1,"Warning!","")</f>
        <v/>
      </c>
    </row>
    <row r="6" spans="1:7">
      <c r="A6" s="37" t="str">
        <v>gasHOB</v>
      </c>
      <c r="B6" s="46">
        <f t="shared" si="0"/>
        <v>1849.9999999999998</v>
      </c>
      <c r="C6" s="46">
        <f t="shared" si="1"/>
        <v>0</v>
      </c>
      <c r="D6" s="46" t="str">
        <f t="shared" si="2"/>
        <v/>
      </c>
      <c r="E6" s="46"/>
      <c r="F6" s="46" t="str">
        <f>IF(ISTEXT($A6),IF(COUNTIFS(unitdata_Finland!$B$3:$B$85,$A6,unitdata_Finland!$C$3:$C$85,"*ROF*"),"","Add the unit!"),"")</f>
        <v/>
      </c>
      <c r="G6" s="46" t="str">
        <f>IF(COUNTIFS(unitdata_Finland!$B$3:$B$85,$A6,unitdata_Finland!$C$3:$C$85,"*ROF*")&gt;1,"Warning!","")</f>
        <v/>
      </c>
    </row>
    <row r="7" spans="1:7">
      <c r="A7" s="37" t="str">
        <v>GSHP</v>
      </c>
      <c r="B7" s="46">
        <f t="shared" si="0"/>
        <v>148.80000000000001</v>
      </c>
      <c r="C7" s="46">
        <f t="shared" si="1"/>
        <v>0</v>
      </c>
      <c r="D7" s="46" t="str">
        <f t="shared" si="2"/>
        <v/>
      </c>
      <c r="E7" s="46"/>
      <c r="F7" s="46" t="str">
        <f>IF(ISTEXT($A7),IF(COUNTIFS(unitdata_Finland!$B$3:$B$85,$A7,unitdata_Finland!$C$3:$C$85,"*ROF*"),"","Add the unit!"),"")</f>
        <v/>
      </c>
      <c r="G7" s="46" t="str">
        <f>IF(COUNTIFS(unitdata_Finland!$B$3:$B$85,$A7,unitdata_Finland!$C$3:$C$85,"*ROF*")&gt;1,"Warning!","")</f>
        <v/>
      </c>
    </row>
    <row r="8" spans="1:7">
      <c r="A8" s="37" t="str">
        <v>gasCCGTCHP</v>
      </c>
      <c r="B8" s="46">
        <f t="shared" si="0"/>
        <v>211.3</v>
      </c>
      <c r="C8" s="46">
        <f t="shared" si="1"/>
        <v>356.6</v>
      </c>
      <c r="D8" s="46" t="str">
        <f t="shared" si="2"/>
        <v/>
      </c>
      <c r="E8" s="46"/>
      <c r="F8" s="46" t="str">
        <f>IF(ISTEXT($A8),IF(COUNTIFS(unitdata_Finland!$B$3:$B$85,$A8,unitdata_Finland!$C$3:$C$85,"*ROF*"),"","Add the unit!"),"")</f>
        <v/>
      </c>
      <c r="G8" s="46" t="str">
        <f>IF(COUNTIFS(unitdata_Finland!$B$3:$B$85,$A8,unitdata_Finland!$C$3:$C$85,"*ROF*")&gt;1,"Warning!","")</f>
        <v/>
      </c>
    </row>
    <row r="9" spans="1:7">
      <c r="A9" s="37" t="str">
        <v>wasteCHP</v>
      </c>
      <c r="B9" s="46">
        <f t="shared" si="0"/>
        <v>113.2</v>
      </c>
      <c r="C9" s="46">
        <f t="shared" si="1"/>
        <v>345</v>
      </c>
      <c r="D9" s="46" t="str">
        <f t="shared" si="2"/>
        <v/>
      </c>
      <c r="E9" s="46"/>
      <c r="F9" s="46" t="str">
        <f>IF(ISTEXT($A9),IF(COUNTIFS(unitdata_Finland!$B$3:$B$85,$A9,unitdata_Finland!$C$3:$C$85,"*ROF*"),"","Add the unit!"),"")</f>
        <v/>
      </c>
      <c r="G9" s="46" t="str">
        <f>IF(COUNTIFS(unitdata_Finland!$B$3:$B$85,$A9,unitdata_Finland!$C$3:$C$85,"*ROF*")&gt;1,"Warning!","")</f>
        <v/>
      </c>
    </row>
    <row r="10" spans="1:7">
      <c r="A10" s="37" t="str">
        <v>elecHOB</v>
      </c>
      <c r="B10" s="46">
        <f t="shared" si="0"/>
        <v>1042.8999999999999</v>
      </c>
      <c r="C10" s="46">
        <f t="shared" si="1"/>
        <v>0</v>
      </c>
      <c r="D10" s="46" t="str">
        <f t="shared" si="2"/>
        <v/>
      </c>
      <c r="E10" s="46"/>
      <c r="F10" s="46" t="str">
        <f>IF(ISTEXT($A10),IF(COUNTIFS(unitdata_Finland!$B$3:$B$85,$A10,unitdata_Finland!$C$3:$C$85,"*ROF*"),"","Add the unit!"),"")</f>
        <v/>
      </c>
      <c r="G10" s="46" t="str">
        <f>IF(COUNTIFS(unitdata_Finland!$B$3:$B$85,$A10,unitdata_Finland!$C$3:$C$85,"*ROF*")&gt;1,"Warning!","")</f>
        <v/>
      </c>
    </row>
    <row r="11" spans="1:7">
      <c r="A11" s="37" t="str">
        <v>HeatStorageCharger</v>
      </c>
      <c r="B11" s="46">
        <f t="shared" si="0"/>
        <v>625.5</v>
      </c>
      <c r="C11" s="46">
        <f t="shared" si="1"/>
        <v>0</v>
      </c>
      <c r="D11" s="46" t="str">
        <f t="shared" si="2"/>
        <v/>
      </c>
      <c r="E11" s="46"/>
      <c r="F11" s="46" t="str">
        <f>IF(ISTEXT($A11),IF(COUNTIFS(unitdata_Finland!$B$3:$B$85,$A11,unitdata_Finland!$C$3:$C$85,"*ROF*"),"","Add the unit!"),"")</f>
        <v/>
      </c>
      <c r="G11" s="46" t="str">
        <f>IF(COUNTIFS(unitdata_Finland!$B$3:$B$85,$A11,unitdata_Finland!$C$3:$C$85,"*ROF*")&gt;1,"Warning!","")</f>
        <v/>
      </c>
    </row>
    <row r="12" spans="1:7">
      <c r="A12" s="37" t="str">
        <v>HeatStorageDisch</v>
      </c>
      <c r="B12" s="46">
        <f t="shared" si="0"/>
        <v>625.5</v>
      </c>
      <c r="C12" s="46">
        <f t="shared" si="1"/>
        <v>0</v>
      </c>
      <c r="D12" s="46" t="str">
        <f t="shared" si="2"/>
        <v/>
      </c>
      <c r="E12" s="46"/>
      <c r="F12" s="46" t="str">
        <f>IF(ISTEXT($A12),IF(COUNTIFS(unitdata_Finland!$B$3:$B$85,$A12,unitdata_Finland!$C$3:$C$85,"*ROF*"),"","Add the unit!"),"")</f>
        <v/>
      </c>
      <c r="G12" s="46" t="str">
        <f>IF(COUNTIFS(unitdata_Finland!$B$3:$B$85,$A12,unitdata_Finland!$C$3:$C$85,"*ROF*")&gt;1,"Warning!","")</f>
        <v/>
      </c>
    </row>
    <row r="13" spans="1:7">
      <c r="A13" s="37" t="str">
        <v>heatStorageChargerLarge</v>
      </c>
      <c r="B13" s="46">
        <f t="shared" si="0"/>
        <v>170</v>
      </c>
      <c r="C13" s="46">
        <f t="shared" si="1"/>
        <v>0</v>
      </c>
      <c r="D13" s="46" t="str">
        <f t="shared" si="2"/>
        <v/>
      </c>
      <c r="E13" s="46"/>
      <c r="F13" s="46" t="str">
        <f>IF(ISTEXT($A13),IF(COUNTIFS(unitdata_Finland!$B$3:$B$85,$A13,unitdata_Finland!$C$3:$C$85,"*ROF*"),"","Add the unit!"),"")</f>
        <v/>
      </c>
      <c r="G13" s="46" t="str">
        <f>IF(COUNTIFS(unitdata_Finland!$B$3:$B$85,$A13,unitdata_Finland!$C$3:$C$85,"*ROF*")&gt;1,"Warning!","")</f>
        <v/>
      </c>
    </row>
    <row r="14" spans="1:7">
      <c r="A14" s="37" t="str">
        <v>heatStorageDischLarge</v>
      </c>
      <c r="B14" s="46">
        <f t="shared" si="0"/>
        <v>170</v>
      </c>
      <c r="C14" s="46">
        <f t="shared" si="1"/>
        <v>0</v>
      </c>
      <c r="D14" s="46" t="str">
        <f t="shared" si="2"/>
        <v/>
      </c>
      <c r="E14" s="46"/>
      <c r="F14" s="46" t="str">
        <f>IF(ISTEXT($A14),IF(COUNTIFS(unitdata_Finland!$B$3:$B$85,$A14,unitdata_Finland!$C$3:$C$85,"*ROF*"),"","Add the unit!"),"")</f>
        <v/>
      </c>
      <c r="G14" s="46" t="str">
        <f>IF(COUNTIFS(unitdata_Finland!$B$3:$B$85,$A14,unitdata_Finland!$C$3:$C$85,"*ROF*")&gt;1,"Warning!","")</f>
        <v/>
      </c>
    </row>
    <row r="15" spans="1:7">
      <c r="A15" s="37"/>
      <c r="B15" s="46">
        <f t="shared" si="0"/>
        <v>0</v>
      </c>
      <c r="C15" s="46">
        <f t="shared" si="1"/>
        <v>0</v>
      </c>
      <c r="D15" s="46">
        <f t="shared" si="2"/>
        <v>0</v>
      </c>
      <c r="E15" s="46"/>
      <c r="F15" s="46" t="str">
        <f>IF(ISTEXT($A15),IF(COUNTIFS(unitdata_Finland!$B$3:$B$85,$A15,unitdata_Finland!$C$3:$C$85,"*ROF*"),"","Add the unit!"),"")</f>
        <v/>
      </c>
      <c r="G15" s="46" t="str">
        <f>IF(COUNTIFS(unitdata_Finland!$B$3:$B$85,$A15,unitdata_Finland!$C$3:$C$85,"*ROF*")&gt;1,"Warning!","")</f>
        <v/>
      </c>
    </row>
    <row r="16" spans="1:7">
      <c r="A16" s="37"/>
      <c r="B16" s="46">
        <f t="shared" si="0"/>
        <v>0</v>
      </c>
      <c r="C16" s="46">
        <f t="shared" si="1"/>
        <v>0</v>
      </c>
      <c r="D16" s="46">
        <f t="shared" si="2"/>
        <v>0</v>
      </c>
      <c r="E16" s="46"/>
      <c r="F16" s="46" t="str">
        <f>IF(ISTEXT($A16),IF(COUNTIFS(unitdata_Finland!$B$3:$B$85,$A16,unitdata_Finland!$C$3:$C$85,"*ROF*"),"","Add the unit!"),"")</f>
        <v/>
      </c>
      <c r="G16" s="46" t="str">
        <f>IF(COUNTIFS(unitdata_Finland!$B$3:$B$85,$A16,unitdata_Finland!$C$3:$C$85,"*ROF*")&gt;1,"Warning!","")</f>
        <v/>
      </c>
    </row>
    <row r="17" spans="1:16">
      <c r="A17" s="37"/>
      <c r="B17" s="46">
        <f t="shared" si="0"/>
        <v>0</v>
      </c>
      <c r="C17" s="46">
        <f t="shared" si="1"/>
        <v>0</v>
      </c>
      <c r="D17" s="46">
        <f t="shared" si="2"/>
        <v>0</v>
      </c>
      <c r="E17" s="46"/>
      <c r="F17" s="46" t="str">
        <f>IF(ISTEXT($A17),IF(COUNTIFS(unitdata_Finland!$B$3:$B$85,$A17,unitdata_Finland!$C$3:$C$85,"*ROF*"),"","Add the unit!"),"")</f>
        <v/>
      </c>
      <c r="G17" s="46" t="str">
        <f>IF(COUNTIFS(unitdata_Finland!$B$3:$B$85,$A17,unitdata_Finland!$C$3:$C$85,"*ROF*")&gt;1,"Warning!","")</f>
        <v/>
      </c>
    </row>
    <row r="18" spans="1:16">
      <c r="A18" s="37"/>
      <c r="B18" s="46">
        <f t="shared" si="0"/>
        <v>0</v>
      </c>
      <c r="C18" s="46">
        <f t="shared" si="1"/>
        <v>0</v>
      </c>
      <c r="D18" s="46">
        <f t="shared" si="2"/>
        <v>0</v>
      </c>
      <c r="E18" s="46"/>
      <c r="F18" s="46" t="str">
        <f>IF(ISTEXT($A18),IF(COUNTIFS(unitdata_Finland!$B$3:$B$85,$A18,unitdata_Finland!$C$3:$C$85,"*ROF*"),"","Add the unit!"),"")</f>
        <v/>
      </c>
      <c r="G18" s="46" t="str">
        <f>IF(COUNTIFS(unitdata_Finland!$B$3:$B$85,$A18,unitdata_Finland!$C$3:$C$85,"*ROF*")&gt;1,"Warning!","")</f>
        <v/>
      </c>
    </row>
    <row r="19" spans="1:16">
      <c r="A19" s="37"/>
      <c r="B19" s="46">
        <f t="shared" si="0"/>
        <v>0</v>
      </c>
      <c r="C19" s="46">
        <f t="shared" si="1"/>
        <v>0</v>
      </c>
      <c r="D19" s="46">
        <f t="shared" si="2"/>
        <v>0</v>
      </c>
      <c r="E19" s="46"/>
      <c r="F19" s="46" t="str">
        <f>IF(ISTEXT($A19),IF(COUNTIFS(unitdata_Finland!$B$3:$B$85,$A19,unitdata_Finland!$C$3:$C$85,"*ROF*"),"","Add the unit!"),"")</f>
        <v/>
      </c>
      <c r="G19" s="46" t="str">
        <f>IF(COUNTIFS(unitdata_Finland!$B$3:$B$85,$A19,unitdata_Finland!$C$3:$C$85,"*ROF*")&gt;1,"Warning!","")</f>
        <v/>
      </c>
    </row>
    <row r="20" spans="1:16">
      <c r="A20" s="37"/>
      <c r="B20" s="46">
        <f t="shared" si="0"/>
        <v>0</v>
      </c>
      <c r="C20" s="46">
        <f t="shared" si="1"/>
        <v>0</v>
      </c>
      <c r="D20" s="46">
        <f t="shared" si="2"/>
        <v>0</v>
      </c>
      <c r="E20" s="46"/>
      <c r="F20" s="46" t="str">
        <f>IF(ISTEXT($A20),IF(COUNTIFS(unitdata_Finland!$B$3:$B$85,$A20,unitdata_Finland!$C$3:$C$85,"*ROF*"),"","Add the unit!"),"")</f>
        <v/>
      </c>
      <c r="G20" s="46" t="str">
        <f>IF(COUNTIFS(unitdata_Finland!$B$3:$B$85,$A20,unitdata_Finland!$C$3:$C$85,"*ROF*")&gt;1,"Warning!","")</f>
        <v/>
      </c>
    </row>
    <row r="21" spans="1:16" ht="18.75">
      <c r="A21" s="54" t="s">
        <v>1577</v>
      </c>
      <c r="B21" s="53"/>
      <c r="C21" s="53"/>
      <c r="D21" s="53"/>
      <c r="F21" s="53"/>
      <c r="G21" s="53"/>
    </row>
    <row r="22" spans="1:16" s="10" customFormat="1">
      <c r="A22" s="10" t="s">
        <v>1266</v>
      </c>
      <c r="B22" s="10" t="s">
        <v>1267</v>
      </c>
      <c r="C22" s="10" t="s">
        <v>1268</v>
      </c>
      <c r="D22" s="10" t="s">
        <v>1269</v>
      </c>
      <c r="E22" s="10" t="s">
        <v>1270</v>
      </c>
      <c r="F22" s="10" t="s">
        <v>1271</v>
      </c>
      <c r="G22" s="10" t="s">
        <v>1272</v>
      </c>
      <c r="H22" s="10" t="s">
        <v>1273</v>
      </c>
      <c r="I22" s="10" t="s">
        <v>1274</v>
      </c>
      <c r="J22" s="10" t="s">
        <v>1275</v>
      </c>
      <c r="K22" s="10" t="s">
        <v>1574</v>
      </c>
      <c r="L22" s="10" t="s">
        <v>1276</v>
      </c>
      <c r="M22" s="10" t="s">
        <v>1277</v>
      </c>
      <c r="N22" s="10" t="s">
        <v>1278</v>
      </c>
    </row>
    <row r="23" spans="1:16">
      <c r="A23" s="10" t="s">
        <v>192</v>
      </c>
      <c r="B23" s="10"/>
      <c r="C23" s="10"/>
      <c r="D23" s="10"/>
      <c r="E23" s="10"/>
      <c r="F23" s="10"/>
      <c r="G23" s="10"/>
      <c r="H23" s="10"/>
      <c r="I23" s="10" t="s">
        <v>56</v>
      </c>
      <c r="J23" s="10" t="s">
        <v>57</v>
      </c>
      <c r="K23" s="10" t="s">
        <v>1559</v>
      </c>
      <c r="L23" s="10" t="s">
        <v>1366</v>
      </c>
      <c r="M23" s="10"/>
      <c r="N23" s="10" t="s">
        <v>1612</v>
      </c>
    </row>
    <row r="24" spans="1:16">
      <c r="A24" s="16" t="s">
        <v>235</v>
      </c>
      <c r="B24" s="16" t="s">
        <v>236</v>
      </c>
      <c r="C24" s="17" t="s">
        <v>29</v>
      </c>
      <c r="D24" s="18">
        <v>1981</v>
      </c>
      <c r="E24" s="17">
        <v>3</v>
      </c>
      <c r="F24" s="18" t="s">
        <v>30</v>
      </c>
      <c r="G24" s="19">
        <v>6.9</v>
      </c>
      <c r="H24" s="18" t="s">
        <v>30</v>
      </c>
      <c r="I24" s="19">
        <v>6.9</v>
      </c>
      <c r="J24" s="18"/>
      <c r="K24" s="18"/>
      <c r="L24" s="17" t="s">
        <v>33</v>
      </c>
      <c r="M24" s="20" t="s">
        <v>30</v>
      </c>
      <c r="N24" s="9" t="s">
        <v>1654</v>
      </c>
      <c r="P24" t="e">
        <f>IF(N24="","",  IF(N24="Excluded", N24,  IF(N24="included in industry", N24,   _xlfn.XLOOKUP(N24, [1]unittypedata!$AD:$AD,[1]unittypedata!$D:$D)   )))</f>
        <v>#N/A</v>
      </c>
    </row>
    <row r="25" spans="1:16">
      <c r="A25" s="11" t="s">
        <v>235</v>
      </c>
      <c r="B25" s="11" t="s">
        <v>237</v>
      </c>
      <c r="C25" s="12" t="s">
        <v>29</v>
      </c>
      <c r="D25" s="13">
        <v>1981</v>
      </c>
      <c r="E25" s="12">
        <v>2</v>
      </c>
      <c r="F25" s="13" t="s">
        <v>30</v>
      </c>
      <c r="G25" s="14">
        <v>10</v>
      </c>
      <c r="H25" s="13" t="s">
        <v>30</v>
      </c>
      <c r="I25" s="14">
        <v>10</v>
      </c>
      <c r="J25" s="13"/>
      <c r="K25" s="13"/>
      <c r="L25" s="12" t="s">
        <v>238</v>
      </c>
      <c r="M25" s="15" t="s">
        <v>30</v>
      </c>
      <c r="N25" s="9" t="s">
        <v>1655</v>
      </c>
      <c r="P25" t="e">
        <f>IF(N25="","",  IF(N25="Excluded", N25,  IF(N25="included in industry", N25,   _xlfn.XLOOKUP(N25, [1]unittypedata!$AD:$AD,[1]unittypedata!$D:$D)   )))</f>
        <v>#N/A</v>
      </c>
    </row>
    <row r="26" spans="1:16">
      <c r="A26" s="16" t="s">
        <v>239</v>
      </c>
      <c r="B26" s="16" t="s">
        <v>240</v>
      </c>
      <c r="C26" s="17" t="s">
        <v>29</v>
      </c>
      <c r="D26" s="18">
        <v>2010</v>
      </c>
      <c r="E26" s="17">
        <v>1</v>
      </c>
      <c r="F26" s="18" t="s">
        <v>30</v>
      </c>
      <c r="G26" s="19">
        <v>7</v>
      </c>
      <c r="H26" s="18" t="s">
        <v>30</v>
      </c>
      <c r="I26" s="19">
        <v>7</v>
      </c>
      <c r="J26" s="18"/>
      <c r="K26" s="18"/>
      <c r="L26" s="17" t="s">
        <v>46</v>
      </c>
      <c r="M26" s="20" t="s">
        <v>30</v>
      </c>
      <c r="N26" s="9" t="s">
        <v>1653</v>
      </c>
      <c r="P26" t="e">
        <f>IF(N26="","",  IF(N26="Excluded", N26,  IF(N26="included in industry", N26,   _xlfn.XLOOKUP(N26, [1]unittypedata!$AD:$AD,[1]unittypedata!$D:$D)   )))</f>
        <v>#N/A</v>
      </c>
    </row>
    <row r="27" spans="1:16">
      <c r="A27" s="23" t="s">
        <v>241</v>
      </c>
      <c r="B27" s="23" t="s">
        <v>242</v>
      </c>
      <c r="C27" s="24" t="s">
        <v>29</v>
      </c>
      <c r="D27" s="25">
        <v>1990</v>
      </c>
      <c r="E27" s="24">
        <v>3</v>
      </c>
      <c r="F27" s="25" t="s">
        <v>30</v>
      </c>
      <c r="G27" s="26">
        <v>8</v>
      </c>
      <c r="H27" s="25" t="s">
        <v>30</v>
      </c>
      <c r="I27" s="26">
        <v>8</v>
      </c>
      <c r="J27" s="25"/>
      <c r="K27" s="25"/>
      <c r="L27" s="24" t="s">
        <v>46</v>
      </c>
      <c r="M27" s="27" t="s">
        <v>30</v>
      </c>
      <c r="N27" s="7" t="s">
        <v>1653</v>
      </c>
      <c r="P27" t="e">
        <f>IF(N27="","",  IF(N27="Excluded", N27,  IF(N27="included in industry", N27,   _xlfn.XLOOKUP(N27, [1]unittypedata!$AD:$AD,[1]unittypedata!$D:$D)   )))</f>
        <v>#N/A</v>
      </c>
    </row>
    <row r="28" spans="1:16">
      <c r="A28" s="5" t="s">
        <v>243</v>
      </c>
      <c r="B28" s="5" t="s">
        <v>244</v>
      </c>
      <c r="C28" s="6" t="s">
        <v>29</v>
      </c>
      <c r="D28" s="7">
        <v>2006</v>
      </c>
      <c r="E28" s="6">
        <v>1</v>
      </c>
      <c r="F28" s="7" t="s">
        <v>30</v>
      </c>
      <c r="G28" s="8">
        <v>9</v>
      </c>
      <c r="H28" s="7" t="s">
        <v>30</v>
      </c>
      <c r="I28" s="8">
        <v>9</v>
      </c>
      <c r="J28" s="7"/>
      <c r="K28" s="7"/>
      <c r="L28" s="6" t="s">
        <v>118</v>
      </c>
      <c r="M28" s="9" t="s">
        <v>30</v>
      </c>
      <c r="N28" s="7" t="s">
        <v>1653</v>
      </c>
      <c r="P28" t="e">
        <f>IF(N28="","",  IF(N28="Excluded", N28,  IF(N28="included in industry", N28,   _xlfn.XLOOKUP(N28, [1]unittypedata!$AD:$AD,[1]unittypedata!$D:$D)   )))</f>
        <v>#N/A</v>
      </c>
    </row>
    <row r="29" spans="1:16">
      <c r="A29" s="5" t="s">
        <v>243</v>
      </c>
      <c r="B29" s="5" t="s">
        <v>245</v>
      </c>
      <c r="C29" s="6" t="s">
        <v>29</v>
      </c>
      <c r="D29" s="7">
        <v>1990</v>
      </c>
      <c r="E29" s="6">
        <v>2</v>
      </c>
      <c r="F29" s="7" t="s">
        <v>30</v>
      </c>
      <c r="G29" s="8">
        <v>10</v>
      </c>
      <c r="H29" s="7" t="s">
        <v>30</v>
      </c>
      <c r="I29" s="8">
        <v>10</v>
      </c>
      <c r="J29" s="7"/>
      <c r="K29" s="7"/>
      <c r="L29" s="6" t="s">
        <v>31</v>
      </c>
      <c r="M29" s="9" t="s">
        <v>30</v>
      </c>
      <c r="N29" s="7" t="s">
        <v>1654</v>
      </c>
      <c r="P29" t="e">
        <f>IF(N29="","",  IF(N29="Excluded", N29,  IF(N29="included in industry", N29,   _xlfn.XLOOKUP(N29, [1]unittypedata!$AD:$AD,[1]unittypedata!$D:$D)   )))</f>
        <v>#N/A</v>
      </c>
    </row>
    <row r="30" spans="1:16">
      <c r="A30" s="23" t="s">
        <v>246</v>
      </c>
      <c r="B30" s="23" t="s">
        <v>247</v>
      </c>
      <c r="C30" s="24" t="s">
        <v>29</v>
      </c>
      <c r="D30" s="25">
        <v>2004</v>
      </c>
      <c r="E30" s="24">
        <v>3</v>
      </c>
      <c r="F30" s="25" t="s">
        <v>30</v>
      </c>
      <c r="G30" s="26">
        <v>6</v>
      </c>
      <c r="H30" s="25" t="s">
        <v>30</v>
      </c>
      <c r="I30" s="26">
        <v>6</v>
      </c>
      <c r="J30" s="25"/>
      <c r="K30" s="25"/>
      <c r="L30" s="24" t="s">
        <v>46</v>
      </c>
      <c r="M30" s="27" t="s">
        <v>30</v>
      </c>
      <c r="N30" s="7" t="s">
        <v>1653</v>
      </c>
      <c r="P30" t="e">
        <f>IF(N30="","",  IF(N30="Excluded", N30,  IF(N30="included in industry", N30,   _xlfn.XLOOKUP(N30, [1]unittypedata!$AD:$AD,[1]unittypedata!$D:$D)   )))</f>
        <v>#N/A</v>
      </c>
    </row>
    <row r="31" spans="1:16">
      <c r="A31" s="5" t="s">
        <v>248</v>
      </c>
      <c r="B31" s="5" t="s">
        <v>249</v>
      </c>
      <c r="C31" s="6" t="s">
        <v>29</v>
      </c>
      <c r="D31" s="7">
        <v>1990</v>
      </c>
      <c r="E31" s="6">
        <v>4</v>
      </c>
      <c r="F31" s="7" t="s">
        <v>30</v>
      </c>
      <c r="G31" s="8">
        <v>6</v>
      </c>
      <c r="H31" s="7" t="s">
        <v>30</v>
      </c>
      <c r="I31" s="8">
        <v>6</v>
      </c>
      <c r="J31" s="7"/>
      <c r="K31" s="7"/>
      <c r="L31" s="6" t="s">
        <v>46</v>
      </c>
      <c r="M31" s="9" t="s">
        <v>30</v>
      </c>
      <c r="N31" s="7" t="s">
        <v>1653</v>
      </c>
      <c r="P31" t="e">
        <f>IF(N31="","",  IF(N31="Excluded", N31,  IF(N31="included in industry", N31,   _xlfn.XLOOKUP(N31, [1]unittypedata!$AD:$AD,[1]unittypedata!$D:$D)   )))</f>
        <v>#N/A</v>
      </c>
    </row>
    <row r="32" spans="1:16">
      <c r="A32" s="5" t="s">
        <v>248</v>
      </c>
      <c r="B32" s="5" t="s">
        <v>250</v>
      </c>
      <c r="C32" s="6" t="s">
        <v>29</v>
      </c>
      <c r="D32" s="7">
        <v>2004</v>
      </c>
      <c r="E32" s="6">
        <v>2</v>
      </c>
      <c r="F32" s="7" t="s">
        <v>30</v>
      </c>
      <c r="G32" s="8">
        <v>3</v>
      </c>
      <c r="H32" s="7" t="s">
        <v>30</v>
      </c>
      <c r="I32" s="8">
        <v>3</v>
      </c>
      <c r="J32" s="7"/>
      <c r="K32" s="7"/>
      <c r="L32" s="6" t="s">
        <v>44</v>
      </c>
      <c r="M32" s="9" t="s">
        <v>30</v>
      </c>
      <c r="N32" s="7" t="s">
        <v>1653</v>
      </c>
      <c r="P32" t="e">
        <f>IF(N32="","",  IF(N32="Excluded", N32,  IF(N32="included in industry", N32,   _xlfn.XLOOKUP(N32, [1]unittypedata!$AD:$AD,[1]unittypedata!$D:$D)   )))</f>
        <v>#N/A</v>
      </c>
    </row>
    <row r="33" spans="1:16">
      <c r="A33" s="23" t="s">
        <v>251</v>
      </c>
      <c r="B33" s="23" t="s">
        <v>252</v>
      </c>
      <c r="C33" s="24" t="s">
        <v>52</v>
      </c>
      <c r="D33" s="25">
        <v>1993</v>
      </c>
      <c r="E33" s="24">
        <v>1</v>
      </c>
      <c r="F33" s="25">
        <v>18</v>
      </c>
      <c r="G33" s="26">
        <v>5</v>
      </c>
      <c r="H33" s="25">
        <v>5</v>
      </c>
      <c r="I33" s="26">
        <v>28</v>
      </c>
      <c r="J33" s="25">
        <v>6.1</v>
      </c>
      <c r="K33" s="25"/>
      <c r="L33" s="24" t="s">
        <v>253</v>
      </c>
      <c r="M33" s="27" t="s">
        <v>30</v>
      </c>
      <c r="N33" s="7" t="s">
        <v>1656</v>
      </c>
      <c r="P33" t="e">
        <f>IF(N33="","",  IF(N33="Excluded", N33,  IF(N33="included in industry", N33,   _xlfn.XLOOKUP(N33, [1]unittypedata!$AD:$AD,[1]unittypedata!$D:$D)   )))</f>
        <v>#N/A</v>
      </c>
    </row>
    <row r="34" spans="1:16">
      <c r="A34" s="5" t="s">
        <v>254</v>
      </c>
      <c r="B34" s="5" t="s">
        <v>255</v>
      </c>
      <c r="C34" s="6" t="s">
        <v>29</v>
      </c>
      <c r="D34" s="7">
        <v>1999</v>
      </c>
      <c r="E34" s="6">
        <v>1</v>
      </c>
      <c r="F34" s="7" t="s">
        <v>30</v>
      </c>
      <c r="G34" s="8">
        <v>5</v>
      </c>
      <c r="H34" s="7" t="s">
        <v>30</v>
      </c>
      <c r="I34" s="8">
        <v>5</v>
      </c>
      <c r="J34" s="7"/>
      <c r="K34" s="7"/>
      <c r="L34" s="6" t="s">
        <v>256</v>
      </c>
      <c r="M34" s="9" t="s">
        <v>30</v>
      </c>
      <c r="N34" s="7" t="s">
        <v>58</v>
      </c>
      <c r="P34" t="str">
        <f>IF(N34="","",  IF(N34="Excluded", N34,  IF(N34="included in industry", N34,   _xlfn.XLOOKUP(N34, [1]unittypedata!$AD:$AD,[1]unittypedata!$D:$D)   )))</f>
        <v>Excluded</v>
      </c>
    </row>
    <row r="35" spans="1:16">
      <c r="A35" s="11" t="s">
        <v>254</v>
      </c>
      <c r="B35" s="11" t="s">
        <v>257</v>
      </c>
      <c r="C35" s="12" t="s">
        <v>52</v>
      </c>
      <c r="D35" s="13">
        <v>2006</v>
      </c>
      <c r="E35" s="12">
        <v>1</v>
      </c>
      <c r="F35" s="13">
        <v>5</v>
      </c>
      <c r="G35" s="14" t="s">
        <v>30</v>
      </c>
      <c r="H35" s="13" t="s">
        <v>30</v>
      </c>
      <c r="I35" s="14">
        <v>5</v>
      </c>
      <c r="J35" s="13">
        <v>4.5</v>
      </c>
      <c r="K35" s="13"/>
      <c r="L35" s="12" t="s">
        <v>256</v>
      </c>
      <c r="M35" s="15" t="s">
        <v>30</v>
      </c>
      <c r="N35" s="7" t="s">
        <v>58</v>
      </c>
      <c r="P35" t="str">
        <f>IF(N35="","",  IF(N35="Excluded", N35,  IF(N35="included in industry", N35,   _xlfn.XLOOKUP(N35, [1]unittypedata!$AD:$AD,[1]unittypedata!$D:$D)   )))</f>
        <v>Excluded</v>
      </c>
    </row>
    <row r="36" spans="1:16">
      <c r="A36" s="5" t="s">
        <v>258</v>
      </c>
      <c r="B36" s="5" t="s">
        <v>259</v>
      </c>
      <c r="C36" s="6" t="s">
        <v>29</v>
      </c>
      <c r="D36" s="7">
        <v>2007</v>
      </c>
      <c r="E36" s="6">
        <v>5</v>
      </c>
      <c r="F36" s="7" t="s">
        <v>30</v>
      </c>
      <c r="G36" s="8">
        <v>12.5</v>
      </c>
      <c r="H36" s="7" t="s">
        <v>30</v>
      </c>
      <c r="I36" s="8">
        <v>12.5</v>
      </c>
      <c r="J36" s="7"/>
      <c r="K36" s="7"/>
      <c r="L36" s="6" t="s">
        <v>46</v>
      </c>
      <c r="M36" s="9" t="s">
        <v>30</v>
      </c>
      <c r="N36" s="7" t="s">
        <v>1653</v>
      </c>
      <c r="P36" t="e">
        <f>IF(N36="","",  IF(N36="Excluded", N36,  IF(N36="included in industry", N36,   _xlfn.XLOOKUP(N36, [1]unittypedata!$AD:$AD,[1]unittypedata!$D:$D)   )))</f>
        <v>#N/A</v>
      </c>
    </row>
    <row r="37" spans="1:16">
      <c r="A37" s="5" t="s">
        <v>258</v>
      </c>
      <c r="B37" s="5" t="s">
        <v>260</v>
      </c>
      <c r="C37" s="6" t="s">
        <v>48</v>
      </c>
      <c r="D37" s="7">
        <v>2013</v>
      </c>
      <c r="E37" s="6" t="s">
        <v>30</v>
      </c>
      <c r="F37" s="7" t="s">
        <v>30</v>
      </c>
      <c r="G37" s="8" t="s">
        <v>30</v>
      </c>
      <c r="H37" s="7" t="s">
        <v>30</v>
      </c>
      <c r="I37" s="8" t="s">
        <v>158</v>
      </c>
      <c r="J37" s="7"/>
      <c r="K37" s="7"/>
      <c r="L37" s="6" t="s">
        <v>30</v>
      </c>
      <c r="M37" s="9" t="s">
        <v>158</v>
      </c>
      <c r="N37" t="s">
        <v>58</v>
      </c>
      <c r="P37" t="str">
        <f>IF(N37="","",  IF(N37="Excluded", N37,  IF(N37="included in industry", N37,   _xlfn.XLOOKUP(N37, [1]unittypedata!$AD:$AD,[1]unittypedata!$D:$D)   )))</f>
        <v>Excluded</v>
      </c>
    </row>
    <row r="38" spans="1:16">
      <c r="A38" s="23" t="s">
        <v>261</v>
      </c>
      <c r="B38" s="23" t="s">
        <v>262</v>
      </c>
      <c r="C38" s="24" t="s">
        <v>29</v>
      </c>
      <c r="D38" s="25">
        <v>2009</v>
      </c>
      <c r="E38" s="24">
        <v>1</v>
      </c>
      <c r="F38" s="25" t="s">
        <v>30</v>
      </c>
      <c r="G38" s="26">
        <v>3</v>
      </c>
      <c r="H38" s="25" t="s">
        <v>30</v>
      </c>
      <c r="I38" s="26">
        <v>3</v>
      </c>
      <c r="J38" s="25"/>
      <c r="K38" s="25"/>
      <c r="L38" s="24" t="s">
        <v>46</v>
      </c>
      <c r="M38" s="27" t="s">
        <v>30</v>
      </c>
      <c r="N38" s="7" t="s">
        <v>1653</v>
      </c>
      <c r="P38" t="e">
        <f>IF(N38="","",  IF(N38="Excluded", N38,  IF(N38="included in industry", N38,   _xlfn.XLOOKUP(N38, [1]unittypedata!$AD:$AD,[1]unittypedata!$D:$D)   )))</f>
        <v>#N/A</v>
      </c>
    </row>
    <row r="39" spans="1:16">
      <c r="A39" s="5" t="s">
        <v>263</v>
      </c>
      <c r="B39" s="5" t="s">
        <v>264</v>
      </c>
      <c r="C39" s="6" t="s">
        <v>29</v>
      </c>
      <c r="D39" s="7">
        <v>1977</v>
      </c>
      <c r="E39" s="6">
        <v>2</v>
      </c>
      <c r="F39" s="7" t="s">
        <v>30</v>
      </c>
      <c r="G39" s="8">
        <v>5</v>
      </c>
      <c r="H39" s="7" t="s">
        <v>30</v>
      </c>
      <c r="I39" s="8">
        <v>5</v>
      </c>
      <c r="J39" s="7"/>
      <c r="K39" s="7"/>
      <c r="L39" s="6" t="s">
        <v>36</v>
      </c>
      <c r="M39" s="9" t="s">
        <v>30</v>
      </c>
      <c r="N39" s="7" t="s">
        <v>1657</v>
      </c>
      <c r="P39" t="e">
        <f>IF(N39="","",  IF(N39="Excluded", N39,  IF(N39="included in industry", N39,   _xlfn.XLOOKUP(N39, [1]unittypedata!$AD:$AD,[1]unittypedata!$D:$D)   )))</f>
        <v>#N/A</v>
      </c>
    </row>
    <row r="40" spans="1:16">
      <c r="A40" s="11" t="s">
        <v>263</v>
      </c>
      <c r="B40" s="11" t="s">
        <v>265</v>
      </c>
      <c r="C40" s="12" t="s">
        <v>29</v>
      </c>
      <c r="D40" s="13">
        <v>1991</v>
      </c>
      <c r="E40" s="12">
        <v>3</v>
      </c>
      <c r="F40" s="13" t="s">
        <v>30</v>
      </c>
      <c r="G40" s="14">
        <v>9</v>
      </c>
      <c r="H40" s="13" t="s">
        <v>30</v>
      </c>
      <c r="I40" s="14">
        <v>9</v>
      </c>
      <c r="J40" s="13"/>
      <c r="K40" s="13"/>
      <c r="L40" s="12" t="s">
        <v>44</v>
      </c>
      <c r="M40" s="15" t="s">
        <v>30</v>
      </c>
      <c r="N40" s="7" t="s">
        <v>1653</v>
      </c>
      <c r="P40" t="e">
        <f>IF(N40="","",  IF(N40="Excluded", N40,  IF(N40="included in industry", N40,   _xlfn.XLOOKUP(N40, [1]unittypedata!$AD:$AD,[1]unittypedata!$D:$D)   )))</f>
        <v>#N/A</v>
      </c>
    </row>
    <row r="41" spans="1:16">
      <c r="A41" s="5" t="s">
        <v>266</v>
      </c>
      <c r="B41" s="5" t="s">
        <v>267</v>
      </c>
      <c r="C41" s="6" t="s">
        <v>29</v>
      </c>
      <c r="D41" s="7">
        <v>2006</v>
      </c>
      <c r="E41" s="6">
        <v>3</v>
      </c>
      <c r="F41" s="7" t="s">
        <v>30</v>
      </c>
      <c r="G41" s="8">
        <v>14</v>
      </c>
      <c r="H41" s="7" t="s">
        <v>30</v>
      </c>
      <c r="I41" s="8">
        <v>14</v>
      </c>
      <c r="J41" s="7"/>
      <c r="K41" s="7"/>
      <c r="L41" s="6" t="s">
        <v>46</v>
      </c>
      <c r="M41" s="9" t="s">
        <v>30</v>
      </c>
      <c r="N41" s="7" t="s">
        <v>1653</v>
      </c>
      <c r="P41" t="e">
        <f>IF(N41="","",  IF(N41="Excluded", N41,  IF(N41="included in industry", N41,   _xlfn.XLOOKUP(N41, [1]unittypedata!$AD:$AD,[1]unittypedata!$D:$D)   )))</f>
        <v>#N/A</v>
      </c>
    </row>
    <row r="42" spans="1:16">
      <c r="A42" s="5" t="s">
        <v>266</v>
      </c>
      <c r="B42" s="5" t="s">
        <v>268</v>
      </c>
      <c r="C42" s="6" t="s">
        <v>29</v>
      </c>
      <c r="D42" s="7">
        <v>1986</v>
      </c>
      <c r="E42" s="6">
        <v>2</v>
      </c>
      <c r="F42" s="7" t="s">
        <v>30</v>
      </c>
      <c r="G42" s="8">
        <v>6</v>
      </c>
      <c r="H42" s="7" t="s">
        <v>30</v>
      </c>
      <c r="I42" s="8">
        <v>6</v>
      </c>
      <c r="J42" s="7"/>
      <c r="K42" s="7"/>
      <c r="L42" s="6" t="s">
        <v>269</v>
      </c>
      <c r="M42" s="9" t="s">
        <v>30</v>
      </c>
      <c r="N42" s="7" t="s">
        <v>1657</v>
      </c>
      <c r="P42" t="e">
        <f>IF(N42="","",  IF(N42="Excluded", N42,  IF(N42="included in industry", N42,   _xlfn.XLOOKUP(N42, [1]unittypedata!$AD:$AD,[1]unittypedata!$D:$D)   )))</f>
        <v>#N/A</v>
      </c>
    </row>
    <row r="43" spans="1:16">
      <c r="A43" s="5" t="s">
        <v>266</v>
      </c>
      <c r="B43" s="5" t="s">
        <v>270</v>
      </c>
      <c r="C43" s="6" t="s">
        <v>29</v>
      </c>
      <c r="D43" s="7">
        <v>1989</v>
      </c>
      <c r="E43" s="6">
        <v>1</v>
      </c>
      <c r="F43" s="7" t="s">
        <v>30</v>
      </c>
      <c r="G43" s="8">
        <v>1.3</v>
      </c>
      <c r="H43" s="7" t="s">
        <v>30</v>
      </c>
      <c r="I43" s="8">
        <v>1.3</v>
      </c>
      <c r="J43" s="7"/>
      <c r="K43" s="7"/>
      <c r="L43" s="6" t="s">
        <v>31</v>
      </c>
      <c r="M43" s="9" t="s">
        <v>30</v>
      </c>
      <c r="N43" s="7" t="s">
        <v>1654</v>
      </c>
      <c r="P43" t="e">
        <f>IF(N43="","",  IF(N43="Excluded", N43,  IF(N43="included in industry", N43,   _xlfn.XLOOKUP(N43, [1]unittypedata!$AD:$AD,[1]unittypedata!$D:$D)   )))</f>
        <v>#N/A</v>
      </c>
    </row>
    <row r="44" spans="1:16">
      <c r="A44" s="11" t="s">
        <v>266</v>
      </c>
      <c r="B44" s="11" t="s">
        <v>271</v>
      </c>
      <c r="C44" s="12" t="s">
        <v>48</v>
      </c>
      <c r="D44" s="13" t="s">
        <v>158</v>
      </c>
      <c r="E44" s="12" t="s">
        <v>30</v>
      </c>
      <c r="F44" s="13" t="s">
        <v>30</v>
      </c>
      <c r="G44" s="14" t="s">
        <v>30</v>
      </c>
      <c r="H44" s="13" t="s">
        <v>30</v>
      </c>
      <c r="I44" s="14" t="s">
        <v>158</v>
      </c>
      <c r="J44" s="13"/>
      <c r="K44" s="13"/>
      <c r="L44" s="12" t="s">
        <v>30</v>
      </c>
      <c r="M44" s="15" t="s">
        <v>158</v>
      </c>
      <c r="N44" t="s">
        <v>58</v>
      </c>
      <c r="P44" t="str">
        <f>IF(N44="","",  IF(N44="Excluded", N44,  IF(N44="included in industry", N44,   _xlfn.XLOOKUP(N44, [1]unittypedata!$AD:$AD,[1]unittypedata!$D:$D)   )))</f>
        <v>Excluded</v>
      </c>
    </row>
    <row r="45" spans="1:16">
      <c r="A45" s="5" t="s">
        <v>272</v>
      </c>
      <c r="B45" s="5" t="s">
        <v>273</v>
      </c>
      <c r="C45" s="6" t="s">
        <v>29</v>
      </c>
      <c r="D45" s="7">
        <v>2004</v>
      </c>
      <c r="E45" s="6">
        <v>3</v>
      </c>
      <c r="F45" s="7" t="s">
        <v>30</v>
      </c>
      <c r="G45" s="8">
        <v>9.5</v>
      </c>
      <c r="H45" s="7" t="s">
        <v>30</v>
      </c>
      <c r="I45" s="8">
        <v>9.5</v>
      </c>
      <c r="J45" s="7"/>
      <c r="K45" s="7"/>
      <c r="L45" s="6" t="s">
        <v>46</v>
      </c>
      <c r="M45" s="9" t="s">
        <v>30</v>
      </c>
      <c r="N45" s="7" t="s">
        <v>1653</v>
      </c>
      <c r="P45" t="e">
        <f>IF(N45="","",  IF(N45="Excluded", N45,  IF(N45="included in industry", N45,   _xlfn.XLOOKUP(N45, [1]unittypedata!$AD:$AD,[1]unittypedata!$D:$D)   )))</f>
        <v>#N/A</v>
      </c>
    </row>
    <row r="46" spans="1:16">
      <c r="A46" s="5" t="s">
        <v>272</v>
      </c>
      <c r="B46" s="5" t="s">
        <v>274</v>
      </c>
      <c r="C46" s="6" t="s">
        <v>29</v>
      </c>
      <c r="D46" s="7" t="s">
        <v>158</v>
      </c>
      <c r="E46" s="6">
        <v>2</v>
      </c>
      <c r="F46" s="7" t="s">
        <v>30</v>
      </c>
      <c r="G46" s="8">
        <v>1.3</v>
      </c>
      <c r="H46" s="7" t="s">
        <v>30</v>
      </c>
      <c r="I46" s="8">
        <v>1.3</v>
      </c>
      <c r="J46" s="7"/>
      <c r="K46" s="7"/>
      <c r="L46" s="6" t="s">
        <v>46</v>
      </c>
      <c r="M46" s="9" t="s">
        <v>30</v>
      </c>
      <c r="N46" s="7" t="s">
        <v>1653</v>
      </c>
      <c r="P46" t="e">
        <f>IF(N46="","",  IF(N46="Excluded", N46,  IF(N46="included in industry", N46,   _xlfn.XLOOKUP(N46, [1]unittypedata!$AD:$AD,[1]unittypedata!$D:$D)   )))</f>
        <v>#N/A</v>
      </c>
    </row>
    <row r="47" spans="1:16">
      <c r="A47" s="23" t="s">
        <v>275</v>
      </c>
      <c r="B47" s="23" t="s">
        <v>276</v>
      </c>
      <c r="C47" s="24" t="s">
        <v>29</v>
      </c>
      <c r="D47" s="25">
        <v>1999</v>
      </c>
      <c r="E47" s="24">
        <v>1</v>
      </c>
      <c r="F47" s="25" t="s">
        <v>30</v>
      </c>
      <c r="G47" s="26">
        <v>12</v>
      </c>
      <c r="H47" s="25" t="s">
        <v>30</v>
      </c>
      <c r="I47" s="26">
        <v>12</v>
      </c>
      <c r="J47" s="25"/>
      <c r="K47" s="25"/>
      <c r="L47" s="24" t="s">
        <v>256</v>
      </c>
      <c r="M47" s="27" t="s">
        <v>30</v>
      </c>
      <c r="N47" s="7" t="s">
        <v>58</v>
      </c>
      <c r="P47" t="str">
        <f>IF(N47="","",  IF(N47="Excluded", N47,  IF(N47="included in industry", N47,   _xlfn.XLOOKUP(N47, [1]unittypedata!$AD:$AD,[1]unittypedata!$D:$D)   )))</f>
        <v>Excluded</v>
      </c>
    </row>
    <row r="48" spans="1:16">
      <c r="A48" s="5" t="s">
        <v>277</v>
      </c>
      <c r="B48" s="5" t="s">
        <v>278</v>
      </c>
      <c r="C48" s="6" t="s">
        <v>29</v>
      </c>
      <c r="D48" s="7">
        <v>2001</v>
      </c>
      <c r="E48" s="6">
        <v>3</v>
      </c>
      <c r="F48" s="7" t="s">
        <v>30</v>
      </c>
      <c r="G48" s="8">
        <v>15</v>
      </c>
      <c r="H48" s="7" t="s">
        <v>30</v>
      </c>
      <c r="I48" s="8">
        <v>15</v>
      </c>
      <c r="J48" s="7"/>
      <c r="K48" s="7"/>
      <c r="L48" s="6" t="s">
        <v>253</v>
      </c>
      <c r="M48" s="9" t="s">
        <v>30</v>
      </c>
      <c r="N48" s="7" t="s">
        <v>1653</v>
      </c>
      <c r="P48" t="e">
        <f>IF(N48="","",  IF(N48="Excluded", N48,  IF(N48="included in industry", N48,   _xlfn.XLOOKUP(N48, [1]unittypedata!$AD:$AD,[1]unittypedata!$D:$D)   )))</f>
        <v>#N/A</v>
      </c>
    </row>
    <row r="49" spans="1:16">
      <c r="A49" s="11" t="s">
        <v>277</v>
      </c>
      <c r="B49" s="11" t="s">
        <v>279</v>
      </c>
      <c r="C49" s="12" t="s">
        <v>29</v>
      </c>
      <c r="D49" s="13">
        <v>1972</v>
      </c>
      <c r="E49" s="12">
        <v>1</v>
      </c>
      <c r="F49" s="13" t="s">
        <v>30</v>
      </c>
      <c r="G49" s="14">
        <v>7</v>
      </c>
      <c r="H49" s="13" t="s">
        <v>30</v>
      </c>
      <c r="I49" s="14">
        <v>7</v>
      </c>
      <c r="J49" s="13"/>
      <c r="K49" s="13"/>
      <c r="L49" s="12" t="s">
        <v>31</v>
      </c>
      <c r="M49" s="15" t="s">
        <v>30</v>
      </c>
      <c r="N49" s="7" t="s">
        <v>1654</v>
      </c>
      <c r="P49" t="e">
        <f>IF(N49="","",  IF(N49="Excluded", N49,  IF(N49="included in industry", N49,   _xlfn.XLOOKUP(N49, [1]unittypedata!$AD:$AD,[1]unittypedata!$D:$D)   )))</f>
        <v>#N/A</v>
      </c>
    </row>
    <row r="50" spans="1:16">
      <c r="A50" s="5" t="s">
        <v>280</v>
      </c>
      <c r="B50" s="5" t="s">
        <v>281</v>
      </c>
      <c r="C50" s="6" t="s">
        <v>29</v>
      </c>
      <c r="D50" s="7">
        <v>1985</v>
      </c>
      <c r="E50" s="6">
        <v>3</v>
      </c>
      <c r="F50" s="7" t="s">
        <v>30</v>
      </c>
      <c r="G50" s="8">
        <v>9</v>
      </c>
      <c r="H50" s="7" t="s">
        <v>30</v>
      </c>
      <c r="I50" s="8">
        <v>9</v>
      </c>
      <c r="J50" s="7"/>
      <c r="K50" s="7"/>
      <c r="L50" s="6" t="s">
        <v>46</v>
      </c>
      <c r="M50" s="9" t="s">
        <v>30</v>
      </c>
      <c r="N50" s="7" t="s">
        <v>1653</v>
      </c>
      <c r="P50" t="e">
        <f>IF(N50="","",  IF(N50="Excluded", N50,  IF(N50="included in industry", N50,   _xlfn.XLOOKUP(N50, [1]unittypedata!$AD:$AD,[1]unittypedata!$D:$D)   )))</f>
        <v>#N/A</v>
      </c>
    </row>
    <row r="51" spans="1:16">
      <c r="A51" s="5" t="s">
        <v>280</v>
      </c>
      <c r="B51" s="5" t="s">
        <v>282</v>
      </c>
      <c r="C51" s="6" t="s">
        <v>29</v>
      </c>
      <c r="D51" s="7">
        <v>2007</v>
      </c>
      <c r="E51" s="6">
        <v>2</v>
      </c>
      <c r="F51" s="7" t="s">
        <v>30</v>
      </c>
      <c r="G51" s="8">
        <v>1.4</v>
      </c>
      <c r="H51" s="7" t="s">
        <v>30</v>
      </c>
      <c r="I51" s="8">
        <v>1.4</v>
      </c>
      <c r="J51" s="7"/>
      <c r="K51" s="7"/>
      <c r="L51" s="6" t="s">
        <v>46</v>
      </c>
      <c r="M51" s="9" t="s">
        <v>30</v>
      </c>
      <c r="N51" s="7" t="s">
        <v>1653</v>
      </c>
      <c r="P51" t="e">
        <f>IF(N51="","",  IF(N51="Excluded", N51,  IF(N51="included in industry", N51,   _xlfn.XLOOKUP(N51, [1]unittypedata!$AD:$AD,[1]unittypedata!$D:$D)   )))</f>
        <v>#N/A</v>
      </c>
    </row>
    <row r="52" spans="1:16">
      <c r="A52" s="16" t="s">
        <v>283</v>
      </c>
      <c r="B52" s="16" t="s">
        <v>284</v>
      </c>
      <c r="C52" s="17" t="s">
        <v>29</v>
      </c>
      <c r="D52" s="18" t="s">
        <v>158</v>
      </c>
      <c r="E52" s="17" t="s">
        <v>158</v>
      </c>
      <c r="F52" s="18" t="s">
        <v>30</v>
      </c>
      <c r="G52" s="19" t="s">
        <v>30</v>
      </c>
      <c r="H52" s="18" t="s">
        <v>158</v>
      </c>
      <c r="I52" s="19" t="s">
        <v>158</v>
      </c>
      <c r="J52" s="18"/>
      <c r="K52" s="18"/>
      <c r="L52" s="17" t="s">
        <v>285</v>
      </c>
      <c r="M52" s="20" t="s">
        <v>30</v>
      </c>
      <c r="N52" t="s">
        <v>58</v>
      </c>
      <c r="P52" t="str">
        <f>IF(N52="","",  IF(N52="Excluded", N52,  IF(N52="included in industry", N52,   _xlfn.XLOOKUP(N52, [1]unittypedata!$AD:$AD,[1]unittypedata!$D:$D)   )))</f>
        <v>Excluded</v>
      </c>
    </row>
    <row r="53" spans="1:16">
      <c r="A53" s="16" t="s">
        <v>286</v>
      </c>
      <c r="B53" s="16" t="s">
        <v>287</v>
      </c>
      <c r="C53" s="17" t="s">
        <v>29</v>
      </c>
      <c r="D53" s="18">
        <v>2015</v>
      </c>
      <c r="E53" s="17">
        <v>2</v>
      </c>
      <c r="F53" s="18" t="s">
        <v>30</v>
      </c>
      <c r="G53" s="19">
        <v>4.5</v>
      </c>
      <c r="H53" s="18" t="s">
        <v>30</v>
      </c>
      <c r="I53" s="19">
        <v>4.5</v>
      </c>
      <c r="J53" s="18"/>
      <c r="K53" s="18"/>
      <c r="L53" s="17" t="s">
        <v>44</v>
      </c>
      <c r="M53" s="20" t="s">
        <v>30</v>
      </c>
      <c r="N53" s="7" t="s">
        <v>1653</v>
      </c>
      <c r="P53" t="e">
        <f>IF(N53="","",  IF(N53="Excluded", N53,  IF(N53="included in industry", N53,   _xlfn.XLOOKUP(N53, [1]unittypedata!$AD:$AD,[1]unittypedata!$D:$D)   )))</f>
        <v>#N/A</v>
      </c>
    </row>
    <row r="54" spans="1:16">
      <c r="A54" s="23" t="s">
        <v>288</v>
      </c>
      <c r="B54" s="23" t="s">
        <v>289</v>
      </c>
      <c r="C54" s="24" t="s">
        <v>29</v>
      </c>
      <c r="D54" s="25">
        <v>1981</v>
      </c>
      <c r="E54" s="24">
        <v>3</v>
      </c>
      <c r="F54" s="25" t="s">
        <v>30</v>
      </c>
      <c r="G54" s="26">
        <v>6.5</v>
      </c>
      <c r="H54" s="25" t="s">
        <v>30</v>
      </c>
      <c r="I54" s="26">
        <v>6.5</v>
      </c>
      <c r="J54" s="25"/>
      <c r="K54" s="25"/>
      <c r="L54" s="24" t="s">
        <v>46</v>
      </c>
      <c r="M54" s="27" t="s">
        <v>30</v>
      </c>
      <c r="N54" s="7" t="s">
        <v>1653</v>
      </c>
      <c r="P54" t="e">
        <f>IF(N54="","",  IF(N54="Excluded", N54,  IF(N54="included in industry", N54,   _xlfn.XLOOKUP(N54, [1]unittypedata!$AD:$AD,[1]unittypedata!$D:$D)   )))</f>
        <v>#N/A</v>
      </c>
    </row>
    <row r="55" spans="1:16">
      <c r="A55" s="5" t="s">
        <v>290</v>
      </c>
      <c r="B55" s="5" t="s">
        <v>291</v>
      </c>
      <c r="C55" s="6" t="s">
        <v>29</v>
      </c>
      <c r="D55" s="7">
        <v>2010</v>
      </c>
      <c r="E55" s="6">
        <v>1</v>
      </c>
      <c r="F55" s="7" t="s">
        <v>30</v>
      </c>
      <c r="G55" s="8">
        <v>3</v>
      </c>
      <c r="H55" s="7" t="s">
        <v>30</v>
      </c>
      <c r="I55" s="8">
        <v>3</v>
      </c>
      <c r="J55" s="7"/>
      <c r="K55" s="7"/>
      <c r="L55" s="6" t="s">
        <v>46</v>
      </c>
      <c r="M55" s="9" t="s">
        <v>30</v>
      </c>
      <c r="N55" s="7" t="s">
        <v>1653</v>
      </c>
      <c r="P55" t="e">
        <f>IF(N55="","",  IF(N55="Excluded", N55,  IF(N55="included in industry", N55,   _xlfn.XLOOKUP(N55, [1]unittypedata!$AD:$AD,[1]unittypedata!$D:$D)   )))</f>
        <v>#N/A</v>
      </c>
    </row>
    <row r="56" spans="1:16">
      <c r="A56" s="5" t="s">
        <v>290</v>
      </c>
      <c r="B56" s="5" t="s">
        <v>292</v>
      </c>
      <c r="C56" s="6" t="s">
        <v>29</v>
      </c>
      <c r="D56" s="7">
        <v>1970</v>
      </c>
      <c r="E56" s="6">
        <v>3</v>
      </c>
      <c r="F56" s="7" t="s">
        <v>30</v>
      </c>
      <c r="G56" s="8">
        <v>5.4</v>
      </c>
      <c r="H56" s="7" t="s">
        <v>30</v>
      </c>
      <c r="I56" s="8">
        <v>5.4</v>
      </c>
      <c r="J56" s="7"/>
      <c r="K56" s="7"/>
      <c r="L56" s="6" t="s">
        <v>44</v>
      </c>
      <c r="M56" s="9" t="s">
        <v>30</v>
      </c>
      <c r="N56" s="7" t="s">
        <v>1653</v>
      </c>
      <c r="P56" t="e">
        <f>IF(N56="","",  IF(N56="Excluded", N56,  IF(N56="included in industry", N56,   _xlfn.XLOOKUP(N56, [1]unittypedata!$AD:$AD,[1]unittypedata!$D:$D)   )))</f>
        <v>#N/A</v>
      </c>
    </row>
    <row r="57" spans="1:16">
      <c r="A57" s="11" t="s">
        <v>290</v>
      </c>
      <c r="B57" s="11" t="s">
        <v>293</v>
      </c>
      <c r="C57" s="12" t="s">
        <v>29</v>
      </c>
      <c r="D57" s="13">
        <v>1994</v>
      </c>
      <c r="E57" s="12">
        <v>2</v>
      </c>
      <c r="F57" s="13" t="s">
        <v>30</v>
      </c>
      <c r="G57" s="14">
        <v>3</v>
      </c>
      <c r="H57" s="13" t="s">
        <v>30</v>
      </c>
      <c r="I57" s="14">
        <v>3</v>
      </c>
      <c r="J57" s="13"/>
      <c r="K57" s="13"/>
      <c r="L57" s="12" t="s">
        <v>44</v>
      </c>
      <c r="M57" s="15" t="s">
        <v>30</v>
      </c>
      <c r="N57" s="7" t="s">
        <v>1653</v>
      </c>
      <c r="P57" t="e">
        <f>IF(N57="","",  IF(N57="Excluded", N57,  IF(N57="included in industry", N57,   _xlfn.XLOOKUP(N57, [1]unittypedata!$AD:$AD,[1]unittypedata!$D:$D)   )))</f>
        <v>#N/A</v>
      </c>
    </row>
    <row r="58" spans="1:16">
      <c r="A58" s="5" t="s">
        <v>294</v>
      </c>
      <c r="B58" s="5" t="s">
        <v>295</v>
      </c>
      <c r="C58" s="6" t="s">
        <v>29</v>
      </c>
      <c r="D58" s="7">
        <v>1993</v>
      </c>
      <c r="E58" s="6">
        <v>1</v>
      </c>
      <c r="F58" s="7" t="s">
        <v>30</v>
      </c>
      <c r="G58" s="8">
        <v>3.2</v>
      </c>
      <c r="H58" s="7" t="s">
        <v>30</v>
      </c>
      <c r="I58" s="8">
        <v>3.2</v>
      </c>
      <c r="J58" s="7"/>
      <c r="K58" s="7"/>
      <c r="L58" s="6" t="s">
        <v>31</v>
      </c>
      <c r="M58" s="9" t="s">
        <v>30</v>
      </c>
      <c r="N58" s="7" t="s">
        <v>1654</v>
      </c>
      <c r="P58" t="e">
        <f>IF(N58="","",  IF(N58="Excluded", N58,  IF(N58="included in industry", N58,   _xlfn.XLOOKUP(N58, [1]unittypedata!$AD:$AD,[1]unittypedata!$D:$D)   )))</f>
        <v>#N/A</v>
      </c>
    </row>
    <row r="59" spans="1:16">
      <c r="A59" s="5" t="s">
        <v>294</v>
      </c>
      <c r="B59" s="5" t="s">
        <v>295</v>
      </c>
      <c r="C59" s="6" t="s">
        <v>29</v>
      </c>
      <c r="D59" s="7">
        <v>1996</v>
      </c>
      <c r="E59" s="6">
        <v>2</v>
      </c>
      <c r="F59" s="7" t="s">
        <v>30</v>
      </c>
      <c r="G59" s="8">
        <v>5</v>
      </c>
      <c r="H59" s="7" t="s">
        <v>30</v>
      </c>
      <c r="I59" s="8">
        <v>5</v>
      </c>
      <c r="J59" s="7"/>
      <c r="K59" s="7"/>
      <c r="L59" s="6" t="s">
        <v>46</v>
      </c>
      <c r="M59" s="9" t="s">
        <v>30</v>
      </c>
      <c r="N59" s="7" t="s">
        <v>1653</v>
      </c>
      <c r="P59" t="e">
        <f>IF(N59="","",  IF(N59="Excluded", N59,  IF(N59="included in industry", N59,   _xlfn.XLOOKUP(N59, [1]unittypedata!$AD:$AD,[1]unittypedata!$D:$D)   )))</f>
        <v>#N/A</v>
      </c>
    </row>
    <row r="60" spans="1:16">
      <c r="A60" s="5" t="s">
        <v>294</v>
      </c>
      <c r="B60" s="5" t="s">
        <v>295</v>
      </c>
      <c r="C60" s="6" t="s">
        <v>29</v>
      </c>
      <c r="D60" s="7">
        <v>2007</v>
      </c>
      <c r="E60" s="6">
        <v>1</v>
      </c>
      <c r="F60" s="7" t="s">
        <v>30</v>
      </c>
      <c r="G60" s="8">
        <v>4</v>
      </c>
      <c r="H60" s="7" t="s">
        <v>30</v>
      </c>
      <c r="I60" s="8">
        <v>4</v>
      </c>
      <c r="J60" s="7"/>
      <c r="K60" s="7"/>
      <c r="L60" s="6" t="s">
        <v>46</v>
      </c>
      <c r="M60" s="9" t="s">
        <v>30</v>
      </c>
      <c r="N60" s="7" t="s">
        <v>1653</v>
      </c>
      <c r="P60" t="e">
        <f>IF(N60="","",  IF(N60="Excluded", N60,  IF(N60="included in industry", N60,   _xlfn.XLOOKUP(N60, [1]unittypedata!$AD:$AD,[1]unittypedata!$D:$D)   )))</f>
        <v>#N/A</v>
      </c>
    </row>
    <row r="61" spans="1:16">
      <c r="A61" s="11" t="s">
        <v>294</v>
      </c>
      <c r="B61" s="11" t="s">
        <v>295</v>
      </c>
      <c r="C61" s="12" t="s">
        <v>29</v>
      </c>
      <c r="D61" s="13">
        <v>2021</v>
      </c>
      <c r="E61" s="12">
        <v>3</v>
      </c>
      <c r="F61" s="13" t="s">
        <v>30</v>
      </c>
      <c r="G61" s="14">
        <v>16</v>
      </c>
      <c r="H61" s="13">
        <v>2</v>
      </c>
      <c r="I61" s="14">
        <v>18</v>
      </c>
      <c r="J61" s="13"/>
      <c r="K61" s="13"/>
      <c r="L61" s="12" t="s">
        <v>46</v>
      </c>
      <c r="M61" s="15" t="s">
        <v>30</v>
      </c>
      <c r="N61" s="7" t="s">
        <v>1653</v>
      </c>
      <c r="P61" t="e">
        <f>IF(N61="","",  IF(N61="Excluded", N61,  IF(N61="included in industry", N61,   _xlfn.XLOOKUP(N61, [1]unittypedata!$AD:$AD,[1]unittypedata!$D:$D)   )))</f>
        <v>#N/A</v>
      </c>
    </row>
    <row r="62" spans="1:16">
      <c r="A62" s="5" t="s">
        <v>296</v>
      </c>
      <c r="B62" s="5" t="s">
        <v>297</v>
      </c>
      <c r="C62" s="6" t="s">
        <v>29</v>
      </c>
      <c r="D62" s="7" t="s">
        <v>158</v>
      </c>
      <c r="E62" s="6">
        <v>3</v>
      </c>
      <c r="F62" s="7" t="s">
        <v>30</v>
      </c>
      <c r="G62" s="8">
        <v>11</v>
      </c>
      <c r="H62" s="7" t="s">
        <v>30</v>
      </c>
      <c r="I62" s="8">
        <v>11</v>
      </c>
      <c r="J62" s="7"/>
      <c r="K62" s="7"/>
      <c r="L62" s="6" t="s">
        <v>118</v>
      </c>
      <c r="M62" s="9" t="s">
        <v>30</v>
      </c>
      <c r="N62" s="7" t="s">
        <v>1653</v>
      </c>
      <c r="P62" t="e">
        <f>IF(N62="","",  IF(N62="Excluded", N62,  IF(N62="included in industry", N62,   _xlfn.XLOOKUP(N62, [1]unittypedata!$AD:$AD,[1]unittypedata!$D:$D)   )))</f>
        <v>#N/A</v>
      </c>
    </row>
    <row r="63" spans="1:16">
      <c r="A63" s="5" t="s">
        <v>296</v>
      </c>
      <c r="B63" s="5" t="s">
        <v>298</v>
      </c>
      <c r="C63" s="6" t="s">
        <v>29</v>
      </c>
      <c r="D63" s="7" t="s">
        <v>158</v>
      </c>
      <c r="E63" s="6">
        <v>1</v>
      </c>
      <c r="F63" s="7" t="s">
        <v>30</v>
      </c>
      <c r="G63" s="8">
        <v>5</v>
      </c>
      <c r="H63" s="7" t="s">
        <v>30</v>
      </c>
      <c r="I63" s="8">
        <v>5</v>
      </c>
      <c r="J63" s="7"/>
      <c r="K63" s="7"/>
      <c r="L63" s="6" t="s">
        <v>31</v>
      </c>
      <c r="M63" s="9" t="s">
        <v>30</v>
      </c>
      <c r="N63" s="7" t="s">
        <v>1654</v>
      </c>
      <c r="P63" t="e">
        <f>IF(N63="","",  IF(N63="Excluded", N63,  IF(N63="included in industry", N63,   _xlfn.XLOOKUP(N63, [1]unittypedata!$AD:$AD,[1]unittypedata!$D:$D)   )))</f>
        <v>#N/A</v>
      </c>
    </row>
    <row r="64" spans="1:16">
      <c r="A64" s="5" t="s">
        <v>296</v>
      </c>
      <c r="B64" s="5" t="s">
        <v>299</v>
      </c>
      <c r="C64" s="6" t="s">
        <v>29</v>
      </c>
      <c r="D64" s="7" t="s">
        <v>158</v>
      </c>
      <c r="E64" s="6">
        <v>1</v>
      </c>
      <c r="F64" s="7" t="s">
        <v>30</v>
      </c>
      <c r="G64" s="8">
        <v>1.5</v>
      </c>
      <c r="H64" s="7" t="s">
        <v>30</v>
      </c>
      <c r="I64" s="8">
        <v>1.5</v>
      </c>
      <c r="J64" s="7"/>
      <c r="K64" s="7"/>
      <c r="L64" s="6" t="s">
        <v>31</v>
      </c>
      <c r="M64" s="9" t="s">
        <v>30</v>
      </c>
      <c r="N64" s="7" t="s">
        <v>1654</v>
      </c>
      <c r="P64" t="e">
        <f>IF(N64="","",  IF(N64="Excluded", N64,  IF(N64="included in industry", N64,   _xlfn.XLOOKUP(N64, [1]unittypedata!$AD:$AD,[1]unittypedata!$D:$D)   )))</f>
        <v>#N/A</v>
      </c>
    </row>
    <row r="65" spans="1:16">
      <c r="A65" s="5" t="s">
        <v>296</v>
      </c>
      <c r="B65" s="5" t="s">
        <v>300</v>
      </c>
      <c r="C65" s="6" t="s">
        <v>29</v>
      </c>
      <c r="D65" s="7">
        <v>2010</v>
      </c>
      <c r="E65" s="6">
        <v>2</v>
      </c>
      <c r="F65" s="7" t="s">
        <v>30</v>
      </c>
      <c r="G65" s="8">
        <v>1.8</v>
      </c>
      <c r="H65" s="7" t="s">
        <v>30</v>
      </c>
      <c r="I65" s="8">
        <v>1.8</v>
      </c>
      <c r="J65" s="7"/>
      <c r="K65" s="7"/>
      <c r="L65" s="6" t="s">
        <v>118</v>
      </c>
      <c r="M65" s="9" t="s">
        <v>30</v>
      </c>
      <c r="N65" s="7" t="s">
        <v>1653</v>
      </c>
      <c r="P65" t="e">
        <f>IF(N65="","",  IF(N65="Excluded", N65,  IF(N65="included in industry", N65,   _xlfn.XLOOKUP(N65, [1]unittypedata!$AD:$AD,[1]unittypedata!$D:$D)   )))</f>
        <v>#N/A</v>
      </c>
    </row>
    <row r="66" spans="1:16">
      <c r="A66" s="11" t="s">
        <v>296</v>
      </c>
      <c r="B66" s="11" t="s">
        <v>301</v>
      </c>
      <c r="C66" s="12" t="s">
        <v>29</v>
      </c>
      <c r="D66" s="13">
        <v>2017</v>
      </c>
      <c r="E66" s="12">
        <v>2</v>
      </c>
      <c r="F66" s="13" t="s">
        <v>30</v>
      </c>
      <c r="G66" s="14">
        <v>7</v>
      </c>
      <c r="H66" s="13" t="s">
        <v>30</v>
      </c>
      <c r="I66" s="14">
        <v>7</v>
      </c>
      <c r="J66" s="13"/>
      <c r="K66" s="13"/>
      <c r="L66" s="12" t="s">
        <v>46</v>
      </c>
      <c r="M66" s="15" t="s">
        <v>30</v>
      </c>
      <c r="N66" s="7" t="s">
        <v>1653</v>
      </c>
      <c r="P66" t="e">
        <f>IF(N66="","",  IF(N66="Excluded", N66,  IF(N66="included in industry", N66,   _xlfn.XLOOKUP(N66, [1]unittypedata!$AD:$AD,[1]unittypedata!$D:$D)   )))</f>
        <v>#N/A</v>
      </c>
    </row>
    <row r="67" spans="1:16">
      <c r="A67" s="5" t="s">
        <v>302</v>
      </c>
      <c r="B67" s="5" t="s">
        <v>303</v>
      </c>
      <c r="C67" s="6" t="s">
        <v>29</v>
      </c>
      <c r="D67" s="7">
        <v>2008</v>
      </c>
      <c r="E67" s="6">
        <v>2</v>
      </c>
      <c r="F67" s="7" t="s">
        <v>30</v>
      </c>
      <c r="G67" s="8">
        <v>1.7</v>
      </c>
      <c r="H67" s="7" t="s">
        <v>30</v>
      </c>
      <c r="I67" s="8">
        <v>1.7</v>
      </c>
      <c r="J67" s="7"/>
      <c r="K67" s="7"/>
      <c r="L67" s="6" t="s">
        <v>46</v>
      </c>
      <c r="M67" s="9" t="s">
        <v>30</v>
      </c>
      <c r="N67" s="7" t="s">
        <v>1653</v>
      </c>
      <c r="P67" t="e">
        <f>IF(N67="","",  IF(N67="Excluded", N67,  IF(N67="included in industry", N67,   _xlfn.XLOOKUP(N67, [1]unittypedata!$AD:$AD,[1]unittypedata!$D:$D)   )))</f>
        <v>#N/A</v>
      </c>
    </row>
    <row r="68" spans="1:16">
      <c r="A68" s="11" t="s">
        <v>302</v>
      </c>
      <c r="B68" s="11" t="s">
        <v>304</v>
      </c>
      <c r="C68" s="12" t="s">
        <v>29</v>
      </c>
      <c r="D68" s="13">
        <v>2020</v>
      </c>
      <c r="E68" s="12">
        <v>2</v>
      </c>
      <c r="F68" s="13" t="s">
        <v>30</v>
      </c>
      <c r="G68" s="14">
        <v>10</v>
      </c>
      <c r="H68" s="13" t="s">
        <v>30</v>
      </c>
      <c r="I68" s="14">
        <v>10</v>
      </c>
      <c r="J68" s="13"/>
      <c r="K68" s="13"/>
      <c r="L68" s="12" t="s">
        <v>118</v>
      </c>
      <c r="M68" s="15" t="s">
        <v>30</v>
      </c>
      <c r="N68" s="7" t="s">
        <v>1653</v>
      </c>
      <c r="P68" t="e">
        <f>IF(N68="","",  IF(N68="Excluded", N68,  IF(N68="included in industry", N68,   _xlfn.XLOOKUP(N68, [1]unittypedata!$AD:$AD,[1]unittypedata!$D:$D)   )))</f>
        <v>#N/A</v>
      </c>
    </row>
    <row r="69" spans="1:16">
      <c r="A69" s="5" t="s">
        <v>305</v>
      </c>
      <c r="B69" s="5" t="s">
        <v>306</v>
      </c>
      <c r="C69" s="6" t="s">
        <v>29</v>
      </c>
      <c r="D69" s="7">
        <v>2004</v>
      </c>
      <c r="E69" s="6">
        <v>2</v>
      </c>
      <c r="F69" s="7" t="s">
        <v>30</v>
      </c>
      <c r="G69" s="8">
        <v>4.5</v>
      </c>
      <c r="H69" s="7" t="s">
        <v>30</v>
      </c>
      <c r="I69" s="8">
        <v>4.5</v>
      </c>
      <c r="J69" s="7"/>
      <c r="K69" s="7"/>
      <c r="L69" s="6" t="s">
        <v>46</v>
      </c>
      <c r="M69" s="9" t="s">
        <v>30</v>
      </c>
      <c r="N69" s="7" t="s">
        <v>1653</v>
      </c>
      <c r="P69" t="e">
        <f>IF(N69="","",  IF(N69="Excluded", N69,  IF(N69="included in industry", N69,   _xlfn.XLOOKUP(N69, [1]unittypedata!$AD:$AD,[1]unittypedata!$D:$D)   )))</f>
        <v>#N/A</v>
      </c>
    </row>
    <row r="70" spans="1:16">
      <c r="A70" s="5" t="s">
        <v>305</v>
      </c>
      <c r="B70" s="5" t="s">
        <v>307</v>
      </c>
      <c r="C70" s="6" t="s">
        <v>29</v>
      </c>
      <c r="D70" s="7">
        <v>2008</v>
      </c>
      <c r="E70" s="6">
        <v>3</v>
      </c>
      <c r="F70" s="7" t="s">
        <v>30</v>
      </c>
      <c r="G70" s="8">
        <v>7.5</v>
      </c>
      <c r="H70" s="7" t="s">
        <v>30</v>
      </c>
      <c r="I70" s="8">
        <v>7.5</v>
      </c>
      <c r="J70" s="7"/>
      <c r="K70" s="7"/>
      <c r="L70" s="6" t="s">
        <v>46</v>
      </c>
      <c r="M70" s="9" t="s">
        <v>30</v>
      </c>
      <c r="N70" s="7" t="s">
        <v>1653</v>
      </c>
      <c r="P70" t="e">
        <f>IF(N70="","",  IF(N70="Excluded", N70,  IF(N70="included in industry", N70,   _xlfn.XLOOKUP(N70, [1]unittypedata!$AD:$AD,[1]unittypedata!$D:$D)   )))</f>
        <v>#N/A</v>
      </c>
    </row>
    <row r="71" spans="1:16">
      <c r="A71" s="23" t="s">
        <v>308</v>
      </c>
      <c r="B71" s="23" t="s">
        <v>309</v>
      </c>
      <c r="C71" s="24" t="s">
        <v>29</v>
      </c>
      <c r="D71" s="25">
        <v>2007</v>
      </c>
      <c r="E71" s="24">
        <v>2</v>
      </c>
      <c r="F71" s="25" t="s">
        <v>30</v>
      </c>
      <c r="G71" s="26">
        <v>2</v>
      </c>
      <c r="H71" s="25" t="s">
        <v>30</v>
      </c>
      <c r="I71" s="26">
        <v>2</v>
      </c>
      <c r="J71" s="25"/>
      <c r="K71" s="25"/>
      <c r="L71" s="24" t="s">
        <v>46</v>
      </c>
      <c r="M71" s="27" t="s">
        <v>30</v>
      </c>
      <c r="N71" s="7" t="s">
        <v>1653</v>
      </c>
      <c r="P71" t="e">
        <f>IF(N71="","",  IF(N71="Excluded", N71,  IF(N71="included in industry", N71,   _xlfn.XLOOKUP(N71, [1]unittypedata!$AD:$AD,[1]unittypedata!$D:$D)   )))</f>
        <v>#N/A</v>
      </c>
    </row>
    <row r="72" spans="1:16">
      <c r="A72" s="5" t="s">
        <v>310</v>
      </c>
      <c r="B72" s="5" t="s">
        <v>311</v>
      </c>
      <c r="C72" s="6" t="s">
        <v>29</v>
      </c>
      <c r="D72" s="7">
        <v>1981</v>
      </c>
      <c r="E72" s="6">
        <v>1</v>
      </c>
      <c r="F72" s="7" t="s">
        <v>30</v>
      </c>
      <c r="G72" s="8">
        <v>27</v>
      </c>
      <c r="H72" s="7" t="s">
        <v>30</v>
      </c>
      <c r="I72" s="8">
        <v>27</v>
      </c>
      <c r="J72" s="7"/>
      <c r="K72" s="7"/>
      <c r="L72" s="6" t="s">
        <v>46</v>
      </c>
      <c r="M72" s="9" t="s">
        <v>30</v>
      </c>
      <c r="N72" s="7" t="s">
        <v>1653</v>
      </c>
      <c r="P72" t="e">
        <f>IF(N72="","",  IF(N72="Excluded", N72,  IF(N72="included in industry", N72,   _xlfn.XLOOKUP(N72, [1]unittypedata!$AD:$AD,[1]unittypedata!$D:$D)   )))</f>
        <v>#N/A</v>
      </c>
    </row>
    <row r="73" spans="1:16">
      <c r="A73" s="5" t="s">
        <v>310</v>
      </c>
      <c r="B73" s="5" t="s">
        <v>312</v>
      </c>
      <c r="C73" s="6" t="s">
        <v>29</v>
      </c>
      <c r="D73" s="7">
        <v>1965</v>
      </c>
      <c r="E73" s="6">
        <v>3</v>
      </c>
      <c r="F73" s="7" t="s">
        <v>30</v>
      </c>
      <c r="G73" s="8">
        <v>41</v>
      </c>
      <c r="H73" s="7" t="s">
        <v>30</v>
      </c>
      <c r="I73" s="8">
        <v>41</v>
      </c>
      <c r="J73" s="7"/>
      <c r="K73" s="7"/>
      <c r="L73" s="6" t="s">
        <v>31</v>
      </c>
      <c r="M73" s="9" t="s">
        <v>30</v>
      </c>
      <c r="N73" s="7" t="s">
        <v>1654</v>
      </c>
      <c r="P73" t="e">
        <f>IF(N73="","",  IF(N73="Excluded", N73,  IF(N73="included in industry", N73,   _xlfn.XLOOKUP(N73, [1]unittypedata!$AD:$AD,[1]unittypedata!$D:$D)   )))</f>
        <v>#N/A</v>
      </c>
    </row>
    <row r="74" spans="1:16">
      <c r="A74" s="5" t="s">
        <v>310</v>
      </c>
      <c r="B74" s="5" t="s">
        <v>313</v>
      </c>
      <c r="C74" s="6" t="s">
        <v>29</v>
      </c>
      <c r="D74" s="7">
        <v>1975</v>
      </c>
      <c r="E74" s="6">
        <v>1</v>
      </c>
      <c r="F74" s="7" t="s">
        <v>30</v>
      </c>
      <c r="G74" s="8">
        <v>6.2</v>
      </c>
      <c r="H74" s="7" t="s">
        <v>30</v>
      </c>
      <c r="I74" s="8">
        <v>6.2</v>
      </c>
      <c r="J74" s="7"/>
      <c r="K74" s="7"/>
      <c r="L74" s="6" t="s">
        <v>31</v>
      </c>
      <c r="M74" s="9" t="s">
        <v>30</v>
      </c>
      <c r="N74" s="7" t="s">
        <v>1654</v>
      </c>
      <c r="P74" t="e">
        <f>IF(N74="","",  IF(N74="Excluded", N74,  IF(N74="included in industry", N74,   _xlfn.XLOOKUP(N74, [1]unittypedata!$AD:$AD,[1]unittypedata!$D:$D)   )))</f>
        <v>#N/A</v>
      </c>
    </row>
    <row r="75" spans="1:16">
      <c r="A75" s="5" t="s">
        <v>310</v>
      </c>
      <c r="B75" s="5" t="s">
        <v>314</v>
      </c>
      <c r="C75" s="6" t="s">
        <v>29</v>
      </c>
      <c r="D75" s="7">
        <v>1994</v>
      </c>
      <c r="E75" s="6">
        <v>1</v>
      </c>
      <c r="F75" s="7" t="s">
        <v>30</v>
      </c>
      <c r="G75" s="8">
        <v>0.7</v>
      </c>
      <c r="H75" s="7" t="s">
        <v>30</v>
      </c>
      <c r="I75" s="8">
        <v>0.7</v>
      </c>
      <c r="J75" s="7"/>
      <c r="K75" s="7"/>
      <c r="L75" s="6" t="s">
        <v>31</v>
      </c>
      <c r="M75" s="9" t="s">
        <v>30</v>
      </c>
      <c r="N75" s="7" t="s">
        <v>1654</v>
      </c>
      <c r="P75" t="e">
        <f>IF(N75="","",  IF(N75="Excluded", N75,  IF(N75="included in industry", N75,   _xlfn.XLOOKUP(N75, [1]unittypedata!$AD:$AD,[1]unittypedata!$D:$D)   )))</f>
        <v>#N/A</v>
      </c>
    </row>
    <row r="76" spans="1:16">
      <c r="A76" s="5" t="s">
        <v>310</v>
      </c>
      <c r="B76" s="5" t="s">
        <v>315</v>
      </c>
      <c r="C76" s="6" t="s">
        <v>29</v>
      </c>
      <c r="D76" s="7">
        <v>2003</v>
      </c>
      <c r="E76" s="6">
        <v>1</v>
      </c>
      <c r="F76" s="7" t="s">
        <v>30</v>
      </c>
      <c r="G76" s="8">
        <v>9.3000000000000007</v>
      </c>
      <c r="H76" s="7" t="s">
        <v>30</v>
      </c>
      <c r="I76" s="8">
        <v>9.3000000000000007</v>
      </c>
      <c r="J76" s="7"/>
      <c r="K76" s="7"/>
      <c r="L76" s="6" t="s">
        <v>46</v>
      </c>
      <c r="M76" s="9" t="s">
        <v>30</v>
      </c>
      <c r="N76" s="7" t="s">
        <v>1653</v>
      </c>
      <c r="P76" t="e">
        <f>IF(N76="","",  IF(N76="Excluded", N76,  IF(N76="included in industry", N76,   _xlfn.XLOOKUP(N76, [1]unittypedata!$AD:$AD,[1]unittypedata!$D:$D)   )))</f>
        <v>#N/A</v>
      </c>
    </row>
    <row r="77" spans="1:16">
      <c r="A77" s="5" t="s">
        <v>310</v>
      </c>
      <c r="B77" s="5" t="s">
        <v>316</v>
      </c>
      <c r="C77" s="6" t="s">
        <v>29</v>
      </c>
      <c r="D77" s="7">
        <v>2004</v>
      </c>
      <c r="E77" s="6">
        <v>3</v>
      </c>
      <c r="F77" s="7" t="s">
        <v>30</v>
      </c>
      <c r="G77" s="8">
        <v>40</v>
      </c>
      <c r="H77" s="7" t="s">
        <v>30</v>
      </c>
      <c r="I77" s="8">
        <v>40</v>
      </c>
      <c r="J77" s="7"/>
      <c r="K77" s="7"/>
      <c r="L77" s="6" t="s">
        <v>31</v>
      </c>
      <c r="M77" s="9" t="s">
        <v>30</v>
      </c>
      <c r="N77" s="7" t="s">
        <v>1654</v>
      </c>
      <c r="P77" t="e">
        <f>IF(N77="","",  IF(N77="Excluded", N77,  IF(N77="included in industry", N77,   _xlfn.XLOOKUP(N77, [1]unittypedata!$AD:$AD,[1]unittypedata!$D:$D)   )))</f>
        <v>#N/A</v>
      </c>
    </row>
    <row r="78" spans="1:16">
      <c r="A78" s="5" t="s">
        <v>310</v>
      </c>
      <c r="B78" s="5" t="s">
        <v>317</v>
      </c>
      <c r="C78" s="6" t="s">
        <v>29</v>
      </c>
      <c r="D78" s="7" t="s">
        <v>158</v>
      </c>
      <c r="E78" s="6">
        <v>1</v>
      </c>
      <c r="F78" s="7" t="s">
        <v>30</v>
      </c>
      <c r="G78" s="8">
        <v>2</v>
      </c>
      <c r="H78" s="7" t="s">
        <v>30</v>
      </c>
      <c r="I78" s="8">
        <v>2</v>
      </c>
      <c r="J78" s="7"/>
      <c r="K78" s="7"/>
      <c r="L78" s="6" t="s">
        <v>31</v>
      </c>
      <c r="M78" s="9" t="s">
        <v>30</v>
      </c>
      <c r="N78" s="7" t="s">
        <v>1654</v>
      </c>
      <c r="P78" t="e">
        <f>IF(N78="","",  IF(N78="Excluded", N78,  IF(N78="included in industry", N78,   _xlfn.XLOOKUP(N78, [1]unittypedata!$AD:$AD,[1]unittypedata!$D:$D)   )))</f>
        <v>#N/A</v>
      </c>
    </row>
    <row r="79" spans="1:16">
      <c r="A79" s="5" t="s">
        <v>310</v>
      </c>
      <c r="B79" s="5" t="s">
        <v>318</v>
      </c>
      <c r="C79" s="6" t="s">
        <v>52</v>
      </c>
      <c r="D79" s="7">
        <v>1990</v>
      </c>
      <c r="E79" s="6">
        <v>1</v>
      </c>
      <c r="F79" s="7">
        <v>54.4</v>
      </c>
      <c r="G79" s="8" t="s">
        <v>30</v>
      </c>
      <c r="H79" s="7" t="s">
        <v>30</v>
      </c>
      <c r="I79" s="8">
        <v>54.4</v>
      </c>
      <c r="J79" s="7">
        <v>26</v>
      </c>
      <c r="K79" s="7"/>
      <c r="L79" s="6" t="s">
        <v>46</v>
      </c>
      <c r="M79" s="9" t="s">
        <v>30</v>
      </c>
      <c r="N79" s="7" t="s">
        <v>1656</v>
      </c>
      <c r="P79" t="e">
        <f>IF(N79="","",  IF(N79="Excluded", N79,  IF(N79="included in industry", N79,   _xlfn.XLOOKUP(N79, [1]unittypedata!$AD:$AD,[1]unittypedata!$D:$D)   )))</f>
        <v>#N/A</v>
      </c>
    </row>
    <row r="80" spans="1:16">
      <c r="A80" s="11" t="s">
        <v>310</v>
      </c>
      <c r="B80" s="11" t="s">
        <v>319</v>
      </c>
      <c r="C80" s="12" t="s">
        <v>52</v>
      </c>
      <c r="D80" s="13">
        <v>2005</v>
      </c>
      <c r="E80" s="12">
        <v>1</v>
      </c>
      <c r="F80" s="13">
        <v>76</v>
      </c>
      <c r="G80" s="14" t="s">
        <v>30</v>
      </c>
      <c r="H80" s="13" t="s">
        <v>30</v>
      </c>
      <c r="I80" s="14">
        <v>76</v>
      </c>
      <c r="J80" s="13">
        <v>24</v>
      </c>
      <c r="K80" s="13"/>
      <c r="L80" s="12" t="s">
        <v>46</v>
      </c>
      <c r="M80" s="15" t="s">
        <v>30</v>
      </c>
      <c r="N80" s="7" t="s">
        <v>1656</v>
      </c>
      <c r="P80" t="e">
        <f>IF(N80="","",  IF(N80="Excluded", N80,  IF(N80="included in industry", N80,   _xlfn.XLOOKUP(N80, [1]unittypedata!$AD:$AD,[1]unittypedata!$D:$D)   )))</f>
        <v>#N/A</v>
      </c>
    </row>
    <row r="81" spans="1:16">
      <c r="A81" s="5" t="s">
        <v>320</v>
      </c>
      <c r="B81" s="5" t="s">
        <v>321</v>
      </c>
      <c r="C81" s="6" t="s">
        <v>29</v>
      </c>
      <c r="D81" s="7">
        <v>1993</v>
      </c>
      <c r="E81" s="6">
        <v>1</v>
      </c>
      <c r="F81" s="7" t="s">
        <v>30</v>
      </c>
      <c r="G81" s="8" t="s">
        <v>158</v>
      </c>
      <c r="H81" s="7" t="s">
        <v>158</v>
      </c>
      <c r="I81" s="8">
        <v>17</v>
      </c>
      <c r="J81" s="7"/>
      <c r="K81" s="7"/>
      <c r="L81" s="6" t="s">
        <v>46</v>
      </c>
      <c r="M81" s="9" t="s">
        <v>30</v>
      </c>
      <c r="N81" s="7" t="s">
        <v>1653</v>
      </c>
      <c r="P81" t="e">
        <f>IF(N81="","",  IF(N81="Excluded", N81,  IF(N81="included in industry", N81,   _xlfn.XLOOKUP(N81, [1]unittypedata!$AD:$AD,[1]unittypedata!$D:$D)   )))</f>
        <v>#N/A</v>
      </c>
    </row>
    <row r="82" spans="1:16">
      <c r="A82" s="5" t="s">
        <v>320</v>
      </c>
      <c r="B82" s="5" t="s">
        <v>322</v>
      </c>
      <c r="C82" s="6" t="s">
        <v>29</v>
      </c>
      <c r="D82" s="7">
        <v>1997</v>
      </c>
      <c r="E82" s="6">
        <v>1</v>
      </c>
      <c r="F82" s="7" t="s">
        <v>30</v>
      </c>
      <c r="G82" s="8" t="s">
        <v>158</v>
      </c>
      <c r="H82" s="7" t="s">
        <v>158</v>
      </c>
      <c r="I82" s="8">
        <v>4</v>
      </c>
      <c r="J82" s="7"/>
      <c r="K82" s="7"/>
      <c r="L82" s="6" t="s">
        <v>31</v>
      </c>
      <c r="M82" s="9" t="s">
        <v>30</v>
      </c>
      <c r="N82" s="7" t="s">
        <v>1654</v>
      </c>
      <c r="P82" t="e">
        <f>IF(N82="","",  IF(N82="Excluded", N82,  IF(N82="included in industry", N82,   _xlfn.XLOOKUP(N82, [1]unittypedata!$AD:$AD,[1]unittypedata!$D:$D)   )))</f>
        <v>#N/A</v>
      </c>
    </row>
    <row r="83" spans="1:16">
      <c r="A83" s="5" t="s">
        <v>320</v>
      </c>
      <c r="B83" s="5" t="s">
        <v>323</v>
      </c>
      <c r="C83" s="6" t="s">
        <v>29</v>
      </c>
      <c r="D83" s="7">
        <v>2008</v>
      </c>
      <c r="E83" s="6">
        <v>1</v>
      </c>
      <c r="F83" s="7" t="s">
        <v>30</v>
      </c>
      <c r="G83" s="8" t="s">
        <v>158</v>
      </c>
      <c r="H83" s="7" t="s">
        <v>158</v>
      </c>
      <c r="I83" s="8">
        <v>14</v>
      </c>
      <c r="J83" s="7"/>
      <c r="K83" s="7"/>
      <c r="L83" s="6" t="s">
        <v>46</v>
      </c>
      <c r="M83" s="9" t="s">
        <v>30</v>
      </c>
      <c r="N83" s="7" t="s">
        <v>1653</v>
      </c>
      <c r="P83" t="e">
        <f>IF(N83="","",  IF(N83="Excluded", N83,  IF(N83="included in industry", N83,   _xlfn.XLOOKUP(N83, [1]unittypedata!$AD:$AD,[1]unittypedata!$D:$D)   )))</f>
        <v>#N/A</v>
      </c>
    </row>
    <row r="84" spans="1:16">
      <c r="A84" s="5" t="s">
        <v>320</v>
      </c>
      <c r="B84" s="5" t="s">
        <v>323</v>
      </c>
      <c r="C84" s="6" t="s">
        <v>29</v>
      </c>
      <c r="D84" s="7">
        <v>2008</v>
      </c>
      <c r="E84" s="6">
        <v>1</v>
      </c>
      <c r="F84" s="7" t="s">
        <v>30</v>
      </c>
      <c r="G84" s="8" t="s">
        <v>158</v>
      </c>
      <c r="H84" s="7" t="s">
        <v>158</v>
      </c>
      <c r="I84" s="8">
        <v>8</v>
      </c>
      <c r="J84" s="7"/>
      <c r="K84" s="7"/>
      <c r="L84" s="6" t="s">
        <v>33</v>
      </c>
      <c r="M84" s="9" t="s">
        <v>30</v>
      </c>
      <c r="N84" s="7" t="s">
        <v>1654</v>
      </c>
      <c r="P84" t="e">
        <f>IF(N84="","",  IF(N84="Excluded", N84,  IF(N84="included in industry", N84,   _xlfn.XLOOKUP(N84, [1]unittypedata!$AD:$AD,[1]unittypedata!$D:$D)   )))</f>
        <v>#N/A</v>
      </c>
    </row>
    <row r="85" spans="1:16">
      <c r="A85" s="11" t="s">
        <v>320</v>
      </c>
      <c r="B85" s="11" t="s">
        <v>324</v>
      </c>
      <c r="C85" s="12" t="s">
        <v>29</v>
      </c>
      <c r="D85" s="13">
        <v>2020</v>
      </c>
      <c r="E85" s="12">
        <v>1</v>
      </c>
      <c r="F85" s="13" t="s">
        <v>30</v>
      </c>
      <c r="G85" s="14" t="s">
        <v>158</v>
      </c>
      <c r="H85" s="13" t="s">
        <v>158</v>
      </c>
      <c r="I85" s="14">
        <v>20</v>
      </c>
      <c r="J85" s="13"/>
      <c r="K85" s="13"/>
      <c r="L85" s="12" t="s">
        <v>46</v>
      </c>
      <c r="M85" s="15" t="s">
        <v>30</v>
      </c>
      <c r="N85" s="7" t="s">
        <v>1653</v>
      </c>
      <c r="P85" t="e">
        <f>IF(N85="","",  IF(N85="Excluded", N85,  IF(N85="included in industry", N85,   _xlfn.XLOOKUP(N85, [1]unittypedata!$AD:$AD,[1]unittypedata!$D:$D)   )))</f>
        <v>#N/A</v>
      </c>
    </row>
    <row r="86" spans="1:16">
      <c r="A86" s="5" t="s">
        <v>325</v>
      </c>
      <c r="B86" s="5" t="s">
        <v>326</v>
      </c>
      <c r="C86" s="6" t="s">
        <v>29</v>
      </c>
      <c r="D86" s="7">
        <v>1977</v>
      </c>
      <c r="E86" s="6">
        <v>2</v>
      </c>
      <c r="F86" s="7" t="s">
        <v>30</v>
      </c>
      <c r="G86" s="8">
        <v>3.5</v>
      </c>
      <c r="H86" s="7" t="s">
        <v>30</v>
      </c>
      <c r="I86" s="8">
        <v>3.5</v>
      </c>
      <c r="J86" s="7"/>
      <c r="K86" s="7"/>
      <c r="L86" s="6" t="s">
        <v>36</v>
      </c>
      <c r="M86" s="9" t="s">
        <v>30</v>
      </c>
      <c r="N86" s="7" t="s">
        <v>1657</v>
      </c>
      <c r="P86" t="e">
        <f>IF(N86="","",  IF(N86="Excluded", N86,  IF(N86="included in industry", N86,   _xlfn.XLOOKUP(N86, [1]unittypedata!$AD:$AD,[1]unittypedata!$D:$D)   )))</f>
        <v>#N/A</v>
      </c>
    </row>
    <row r="87" spans="1:16">
      <c r="A87" s="5" t="s">
        <v>325</v>
      </c>
      <c r="B87" s="5" t="s">
        <v>327</v>
      </c>
      <c r="C87" s="6" t="s">
        <v>29</v>
      </c>
      <c r="D87" s="7">
        <v>2007</v>
      </c>
      <c r="E87" s="6">
        <v>3</v>
      </c>
      <c r="F87" s="7" t="s">
        <v>30</v>
      </c>
      <c r="G87" s="8">
        <v>12</v>
      </c>
      <c r="H87" s="7" t="s">
        <v>30</v>
      </c>
      <c r="I87" s="8">
        <v>12</v>
      </c>
      <c r="J87" s="7"/>
      <c r="K87" s="7"/>
      <c r="L87" s="6" t="s">
        <v>36</v>
      </c>
      <c r="M87" s="9" t="s">
        <v>30</v>
      </c>
      <c r="N87" s="7" t="s">
        <v>1657</v>
      </c>
      <c r="P87" t="e">
        <f>IF(N87="","",  IF(N87="Excluded", N87,  IF(N87="included in industry", N87,   _xlfn.XLOOKUP(N87, [1]unittypedata!$AD:$AD,[1]unittypedata!$D:$D)   )))</f>
        <v>#N/A</v>
      </c>
    </row>
    <row r="88" spans="1:16">
      <c r="A88" s="5" t="s">
        <v>325</v>
      </c>
      <c r="B88" s="5" t="s">
        <v>328</v>
      </c>
      <c r="C88" s="6" t="s">
        <v>29</v>
      </c>
      <c r="D88" s="7">
        <v>1994</v>
      </c>
      <c r="E88" s="6">
        <v>2</v>
      </c>
      <c r="F88" s="7" t="s">
        <v>30</v>
      </c>
      <c r="G88" s="8">
        <v>2.5</v>
      </c>
      <c r="H88" s="7" t="s">
        <v>30</v>
      </c>
      <c r="I88" s="8">
        <v>2.5</v>
      </c>
      <c r="J88" s="7"/>
      <c r="K88" s="7"/>
      <c r="L88" s="6" t="s">
        <v>36</v>
      </c>
      <c r="M88" s="9" t="s">
        <v>30</v>
      </c>
      <c r="N88" s="7" t="s">
        <v>1657</v>
      </c>
      <c r="P88" t="e">
        <f>IF(N88="","",  IF(N88="Excluded", N88,  IF(N88="included in industry", N88,   _xlfn.XLOOKUP(N88, [1]unittypedata!$AD:$AD,[1]unittypedata!$D:$D)   )))</f>
        <v>#N/A</v>
      </c>
    </row>
    <row r="89" spans="1:16">
      <c r="A89" s="5" t="s">
        <v>325</v>
      </c>
      <c r="B89" s="5" t="s">
        <v>329</v>
      </c>
      <c r="C89" s="6" t="s">
        <v>29</v>
      </c>
      <c r="D89" s="7">
        <v>2015</v>
      </c>
      <c r="E89" s="6">
        <v>2</v>
      </c>
      <c r="F89" s="7" t="s">
        <v>30</v>
      </c>
      <c r="G89" s="8">
        <v>1.1000000000000001</v>
      </c>
      <c r="H89" s="7" t="s">
        <v>30</v>
      </c>
      <c r="I89" s="8">
        <v>1.1000000000000001</v>
      </c>
      <c r="J89" s="7"/>
      <c r="K89" s="7"/>
      <c r="L89" s="6" t="s">
        <v>36</v>
      </c>
      <c r="M89" s="9" t="s">
        <v>30</v>
      </c>
      <c r="N89" s="7" t="s">
        <v>1657</v>
      </c>
      <c r="P89" t="e">
        <f>IF(N89="","",  IF(N89="Excluded", N89,  IF(N89="included in industry", N89,   _xlfn.XLOOKUP(N89, [1]unittypedata!$AD:$AD,[1]unittypedata!$D:$D)   )))</f>
        <v>#N/A</v>
      </c>
    </row>
    <row r="90" spans="1:16">
      <c r="A90" s="11" t="s">
        <v>325</v>
      </c>
      <c r="B90" s="11" t="s">
        <v>330</v>
      </c>
      <c r="C90" s="12" t="s">
        <v>29</v>
      </c>
      <c r="D90" s="13">
        <v>2019</v>
      </c>
      <c r="E90" s="12">
        <v>2</v>
      </c>
      <c r="F90" s="13" t="s">
        <v>30</v>
      </c>
      <c r="G90" s="14">
        <v>8</v>
      </c>
      <c r="H90" s="13">
        <v>1</v>
      </c>
      <c r="I90" s="14">
        <v>9</v>
      </c>
      <c r="J90" s="13"/>
      <c r="K90" s="13"/>
      <c r="L90" s="12" t="s">
        <v>46</v>
      </c>
      <c r="M90" s="15" t="s">
        <v>30</v>
      </c>
      <c r="N90" s="7" t="s">
        <v>1653</v>
      </c>
      <c r="P90" t="e">
        <f>IF(N90="","",  IF(N90="Excluded", N90,  IF(N90="included in industry", N90,   _xlfn.XLOOKUP(N90, [1]unittypedata!$AD:$AD,[1]unittypedata!$D:$D)   )))</f>
        <v>#N/A</v>
      </c>
    </row>
    <row r="91" spans="1:16">
      <c r="A91" s="23" t="s">
        <v>331</v>
      </c>
      <c r="B91" s="23" t="s">
        <v>332</v>
      </c>
      <c r="C91" s="24" t="s">
        <v>29</v>
      </c>
      <c r="D91" s="25">
        <v>2000</v>
      </c>
      <c r="E91" s="24">
        <v>2</v>
      </c>
      <c r="F91" s="25" t="s">
        <v>30</v>
      </c>
      <c r="G91" s="26">
        <v>2.5</v>
      </c>
      <c r="H91" s="25" t="s">
        <v>30</v>
      </c>
      <c r="I91" s="26">
        <v>2.5</v>
      </c>
      <c r="J91" s="25"/>
      <c r="K91" s="25"/>
      <c r="L91" s="24" t="s">
        <v>46</v>
      </c>
      <c r="M91" s="27" t="s">
        <v>30</v>
      </c>
      <c r="N91" s="7" t="s">
        <v>1653</v>
      </c>
      <c r="P91" t="e">
        <f>IF(N91="","",  IF(N91="Excluded", N91,  IF(N91="included in industry", N91,   _xlfn.XLOOKUP(N91, [1]unittypedata!$AD:$AD,[1]unittypedata!$D:$D)   )))</f>
        <v>#N/A</v>
      </c>
    </row>
    <row r="92" spans="1:16">
      <c r="A92" s="5" t="s">
        <v>333</v>
      </c>
      <c r="B92" s="5" t="s">
        <v>334</v>
      </c>
      <c r="C92" s="6" t="s">
        <v>29</v>
      </c>
      <c r="D92" s="7">
        <v>2019</v>
      </c>
      <c r="E92" s="6">
        <v>1</v>
      </c>
      <c r="F92" s="7" t="s">
        <v>30</v>
      </c>
      <c r="G92" s="8">
        <v>12.5</v>
      </c>
      <c r="H92" s="7" t="s">
        <v>30</v>
      </c>
      <c r="I92" s="8">
        <v>12.5</v>
      </c>
      <c r="J92" s="7"/>
      <c r="K92" s="7"/>
      <c r="L92" s="6" t="s">
        <v>31</v>
      </c>
      <c r="M92" s="9" t="s">
        <v>30</v>
      </c>
      <c r="N92" s="7" t="s">
        <v>1654</v>
      </c>
      <c r="P92" t="e">
        <f>IF(N92="","",  IF(N92="Excluded", N92,  IF(N92="included in industry", N92,   _xlfn.XLOOKUP(N92, [1]unittypedata!$AD:$AD,[1]unittypedata!$D:$D)   )))</f>
        <v>#N/A</v>
      </c>
    </row>
    <row r="93" spans="1:16">
      <c r="A93" s="5" t="s">
        <v>333</v>
      </c>
      <c r="B93" s="5" t="s">
        <v>335</v>
      </c>
      <c r="C93" s="6" t="s">
        <v>29</v>
      </c>
      <c r="D93" s="7">
        <v>1991</v>
      </c>
      <c r="E93" s="6">
        <v>2</v>
      </c>
      <c r="F93" s="7" t="s">
        <v>30</v>
      </c>
      <c r="G93" s="8">
        <v>12</v>
      </c>
      <c r="H93" s="7" t="s">
        <v>30</v>
      </c>
      <c r="I93" s="8">
        <v>12</v>
      </c>
      <c r="J93" s="7"/>
      <c r="K93" s="7"/>
      <c r="L93" s="6" t="s">
        <v>31</v>
      </c>
      <c r="M93" s="9" t="s">
        <v>30</v>
      </c>
      <c r="N93" s="7" t="s">
        <v>1654</v>
      </c>
      <c r="P93" t="e">
        <f>IF(N93="","",  IF(N93="Excluded", N93,  IF(N93="included in industry", N93,   _xlfn.XLOOKUP(N93, [1]unittypedata!$AD:$AD,[1]unittypedata!$D:$D)   )))</f>
        <v>#N/A</v>
      </c>
    </row>
    <row r="94" spans="1:16">
      <c r="A94" s="11" t="s">
        <v>333</v>
      </c>
      <c r="B94" s="11" t="s">
        <v>335</v>
      </c>
      <c r="C94" s="12" t="s">
        <v>29</v>
      </c>
      <c r="D94" s="13">
        <v>2001</v>
      </c>
      <c r="E94" s="12">
        <v>1</v>
      </c>
      <c r="F94" s="13" t="s">
        <v>30</v>
      </c>
      <c r="G94" s="14">
        <v>12</v>
      </c>
      <c r="H94" s="13" t="s">
        <v>30</v>
      </c>
      <c r="I94" s="14">
        <v>12</v>
      </c>
      <c r="J94" s="13"/>
      <c r="K94" s="13"/>
      <c r="L94" s="12" t="s">
        <v>31</v>
      </c>
      <c r="M94" s="15" t="s">
        <v>30</v>
      </c>
      <c r="N94" s="7" t="s">
        <v>1654</v>
      </c>
      <c r="P94" t="e">
        <f>IF(N94="","",  IF(N94="Excluded", N94,  IF(N94="included in industry", N94,   _xlfn.XLOOKUP(N94, [1]unittypedata!$AD:$AD,[1]unittypedata!$D:$D)   )))</f>
        <v>#N/A</v>
      </c>
    </row>
    <row r="95" spans="1:16">
      <c r="A95" s="5" t="s">
        <v>336</v>
      </c>
      <c r="B95" s="5" t="s">
        <v>337</v>
      </c>
      <c r="C95" s="6" t="s">
        <v>29</v>
      </c>
      <c r="D95" s="7">
        <v>1983</v>
      </c>
      <c r="E95" s="6">
        <v>5</v>
      </c>
      <c r="F95" s="7" t="s">
        <v>30</v>
      </c>
      <c r="G95" s="8">
        <v>49</v>
      </c>
      <c r="H95" s="7">
        <v>6.5</v>
      </c>
      <c r="I95" s="8">
        <v>55.5</v>
      </c>
      <c r="J95" s="7"/>
      <c r="K95" s="7"/>
      <c r="L95" s="6" t="s">
        <v>46</v>
      </c>
      <c r="M95" s="9" t="s">
        <v>30</v>
      </c>
      <c r="N95" s="7" t="s">
        <v>1653</v>
      </c>
      <c r="P95" t="e">
        <f>IF(N95="","",  IF(N95="Excluded", N95,  IF(N95="included in industry", N95,   _xlfn.XLOOKUP(N95, [1]unittypedata!$AD:$AD,[1]unittypedata!$D:$D)   )))</f>
        <v>#N/A</v>
      </c>
    </row>
    <row r="96" spans="1:16">
      <c r="A96" s="5" t="s">
        <v>336</v>
      </c>
      <c r="B96" s="5" t="s">
        <v>338</v>
      </c>
      <c r="C96" s="6" t="s">
        <v>29</v>
      </c>
      <c r="D96" s="7">
        <v>2011</v>
      </c>
      <c r="E96" s="6">
        <v>2</v>
      </c>
      <c r="F96" s="7" t="s">
        <v>30</v>
      </c>
      <c r="G96" s="8">
        <v>1.5</v>
      </c>
      <c r="H96" s="7" t="s">
        <v>30</v>
      </c>
      <c r="I96" s="8">
        <v>1.5</v>
      </c>
      <c r="J96" s="7"/>
      <c r="K96" s="7"/>
      <c r="L96" s="6" t="s">
        <v>46</v>
      </c>
      <c r="M96" s="9" t="s">
        <v>30</v>
      </c>
      <c r="N96" s="7" t="s">
        <v>1653</v>
      </c>
      <c r="P96" t="e">
        <f>IF(N96="","",  IF(N96="Excluded", N96,  IF(N96="included in industry", N96,   _xlfn.XLOOKUP(N96, [1]unittypedata!$AD:$AD,[1]unittypedata!$D:$D)   )))</f>
        <v>#N/A</v>
      </c>
    </row>
    <row r="97" spans="1:16">
      <c r="A97" s="11" t="s">
        <v>336</v>
      </c>
      <c r="B97" s="11" t="s">
        <v>339</v>
      </c>
      <c r="C97" s="12" t="s">
        <v>52</v>
      </c>
      <c r="D97" s="13">
        <v>1993</v>
      </c>
      <c r="E97" s="12">
        <v>1</v>
      </c>
      <c r="F97" s="13">
        <v>15</v>
      </c>
      <c r="G97" s="14" t="s">
        <v>30</v>
      </c>
      <c r="H97" s="13">
        <v>6</v>
      </c>
      <c r="I97" s="14">
        <v>21</v>
      </c>
      <c r="J97" s="13">
        <v>5.8</v>
      </c>
      <c r="K97" s="13"/>
      <c r="L97" s="12" t="s">
        <v>253</v>
      </c>
      <c r="M97" s="15" t="s">
        <v>30</v>
      </c>
      <c r="N97" s="7" t="s">
        <v>1656</v>
      </c>
      <c r="P97" t="e">
        <f>IF(N97="","",  IF(N97="Excluded", N97,  IF(N97="included in industry", N97,   _xlfn.XLOOKUP(N97, [1]unittypedata!$AD:$AD,[1]unittypedata!$D:$D)   )))</f>
        <v>#N/A</v>
      </c>
    </row>
    <row r="98" spans="1:16">
      <c r="A98" s="5" t="s">
        <v>340</v>
      </c>
      <c r="B98" s="5" t="s">
        <v>341</v>
      </c>
      <c r="C98" s="6" t="s">
        <v>29</v>
      </c>
      <c r="D98" s="7">
        <v>2007</v>
      </c>
      <c r="E98" s="6">
        <v>1</v>
      </c>
      <c r="F98" s="7" t="s">
        <v>30</v>
      </c>
      <c r="G98" s="8">
        <v>26</v>
      </c>
      <c r="H98" s="7" t="s">
        <v>30</v>
      </c>
      <c r="I98" s="8">
        <v>26</v>
      </c>
      <c r="J98" s="7"/>
      <c r="K98" s="7"/>
      <c r="L98" s="6" t="s">
        <v>36</v>
      </c>
      <c r="M98" s="9" t="s">
        <v>30</v>
      </c>
      <c r="N98" s="7" t="s">
        <v>1657</v>
      </c>
      <c r="P98" t="e">
        <f>IF(N98="","",  IF(N98="Excluded", N98,  IF(N98="included in industry", N98,   _xlfn.XLOOKUP(N98, [1]unittypedata!$AD:$AD,[1]unittypedata!$D:$D)   )))</f>
        <v>#N/A</v>
      </c>
    </row>
    <row r="99" spans="1:16">
      <c r="A99" s="5" t="s">
        <v>340</v>
      </c>
      <c r="B99" s="5" t="s">
        <v>342</v>
      </c>
      <c r="C99" s="6" t="s">
        <v>29</v>
      </c>
      <c r="D99" s="7">
        <v>1978</v>
      </c>
      <c r="E99" s="6">
        <v>3</v>
      </c>
      <c r="F99" s="7" t="s">
        <v>30</v>
      </c>
      <c r="G99" s="8">
        <v>36</v>
      </c>
      <c r="H99" s="7" t="s">
        <v>30</v>
      </c>
      <c r="I99" s="8">
        <v>36</v>
      </c>
      <c r="J99" s="7"/>
      <c r="K99" s="7"/>
      <c r="L99" s="6" t="s">
        <v>33</v>
      </c>
      <c r="M99" s="9" t="s">
        <v>30</v>
      </c>
      <c r="N99" s="7" t="s">
        <v>1654</v>
      </c>
      <c r="P99" t="e">
        <f>IF(N99="","",  IF(N99="Excluded", N99,  IF(N99="included in industry", N99,   _xlfn.XLOOKUP(N99, [1]unittypedata!$AD:$AD,[1]unittypedata!$D:$D)   )))</f>
        <v>#N/A</v>
      </c>
    </row>
    <row r="100" spans="1:16">
      <c r="A100" s="5" t="s">
        <v>340</v>
      </c>
      <c r="B100" s="5" t="s">
        <v>341</v>
      </c>
      <c r="C100" s="6" t="s">
        <v>29</v>
      </c>
      <c r="D100" s="7">
        <v>1986</v>
      </c>
      <c r="E100" s="6">
        <v>1</v>
      </c>
      <c r="F100" s="7" t="s">
        <v>30</v>
      </c>
      <c r="G100" s="8">
        <v>40</v>
      </c>
      <c r="H100" s="7" t="s">
        <v>30</v>
      </c>
      <c r="I100" s="8">
        <v>40</v>
      </c>
      <c r="J100" s="7"/>
      <c r="K100" s="7"/>
      <c r="L100" s="6" t="s">
        <v>36</v>
      </c>
      <c r="M100" s="9" t="s">
        <v>30</v>
      </c>
      <c r="N100" s="7" t="s">
        <v>1657</v>
      </c>
      <c r="P100" t="e">
        <f>IF(N100="","",  IF(N100="Excluded", N100,  IF(N100="included in industry", N100,   _xlfn.XLOOKUP(N100, [1]unittypedata!$AD:$AD,[1]unittypedata!$D:$D)   )))</f>
        <v>#N/A</v>
      </c>
    </row>
    <row r="101" spans="1:16">
      <c r="A101" s="5" t="s">
        <v>340</v>
      </c>
      <c r="B101" s="5" t="s">
        <v>341</v>
      </c>
      <c r="C101" s="6" t="s">
        <v>29</v>
      </c>
      <c r="D101" s="7">
        <v>1987</v>
      </c>
      <c r="E101" s="6">
        <v>1</v>
      </c>
      <c r="F101" s="7" t="s">
        <v>30</v>
      </c>
      <c r="G101" s="8">
        <v>12</v>
      </c>
      <c r="H101" s="7" t="s">
        <v>30</v>
      </c>
      <c r="I101" s="8">
        <v>12</v>
      </c>
      <c r="J101" s="7"/>
      <c r="K101" s="7"/>
      <c r="L101" s="6" t="s">
        <v>36</v>
      </c>
      <c r="M101" s="9" t="s">
        <v>30</v>
      </c>
      <c r="N101" s="7" t="s">
        <v>1657</v>
      </c>
      <c r="P101" t="e">
        <f>IF(N101="","",  IF(N101="Excluded", N101,  IF(N101="included in industry", N101,   _xlfn.XLOOKUP(N101, [1]unittypedata!$AD:$AD,[1]unittypedata!$D:$D)   )))</f>
        <v>#N/A</v>
      </c>
    </row>
    <row r="102" spans="1:16">
      <c r="A102" s="5" t="s">
        <v>340</v>
      </c>
      <c r="B102" s="5" t="s">
        <v>343</v>
      </c>
      <c r="C102" s="6" t="s">
        <v>29</v>
      </c>
      <c r="D102" s="7">
        <v>1990</v>
      </c>
      <c r="E102" s="6">
        <v>3</v>
      </c>
      <c r="F102" s="7" t="s">
        <v>30</v>
      </c>
      <c r="G102" s="8">
        <v>36</v>
      </c>
      <c r="H102" s="7" t="s">
        <v>30</v>
      </c>
      <c r="I102" s="8">
        <v>36</v>
      </c>
      <c r="J102" s="7"/>
      <c r="K102" s="7"/>
      <c r="L102" s="6" t="s">
        <v>33</v>
      </c>
      <c r="M102" s="9" t="s">
        <v>30</v>
      </c>
      <c r="N102" s="7" t="s">
        <v>1654</v>
      </c>
      <c r="P102" t="e">
        <f>IF(N102="","",  IF(N102="Excluded", N102,  IF(N102="included in industry", N102,   _xlfn.XLOOKUP(N102, [1]unittypedata!$AD:$AD,[1]unittypedata!$D:$D)   )))</f>
        <v>#N/A</v>
      </c>
    </row>
    <row r="103" spans="1:16">
      <c r="A103" s="5" t="s">
        <v>340</v>
      </c>
      <c r="B103" s="5" t="s">
        <v>343</v>
      </c>
      <c r="C103" s="6" t="s">
        <v>29</v>
      </c>
      <c r="D103" s="7">
        <v>2015</v>
      </c>
      <c r="E103" s="6">
        <v>1</v>
      </c>
      <c r="F103" s="7" t="s">
        <v>30</v>
      </c>
      <c r="G103" s="8">
        <v>10</v>
      </c>
      <c r="H103" s="7" t="s">
        <v>30</v>
      </c>
      <c r="I103" s="8">
        <v>10</v>
      </c>
      <c r="J103" s="7"/>
      <c r="K103" s="7"/>
      <c r="L103" s="6" t="s">
        <v>44</v>
      </c>
      <c r="M103" s="9" t="s">
        <v>30</v>
      </c>
      <c r="N103" s="7" t="s">
        <v>1653</v>
      </c>
      <c r="P103" t="e">
        <f>IF(N103="","",  IF(N103="Excluded", N103,  IF(N103="included in industry", N103,   _xlfn.XLOOKUP(N103, [1]unittypedata!$AD:$AD,[1]unittypedata!$D:$D)   )))</f>
        <v>#N/A</v>
      </c>
    </row>
    <row r="104" spans="1:16">
      <c r="A104" s="5" t="s">
        <v>340</v>
      </c>
      <c r="B104" s="5" t="s">
        <v>341</v>
      </c>
      <c r="C104" s="6" t="s">
        <v>29</v>
      </c>
      <c r="D104" s="7">
        <v>1994</v>
      </c>
      <c r="E104" s="6">
        <v>1</v>
      </c>
      <c r="F104" s="7" t="s">
        <v>30</v>
      </c>
      <c r="G104" s="8">
        <v>2</v>
      </c>
      <c r="H104" s="7" t="s">
        <v>30</v>
      </c>
      <c r="I104" s="8">
        <v>2</v>
      </c>
      <c r="J104" s="7"/>
      <c r="K104" s="7"/>
      <c r="L104" s="6" t="s">
        <v>68</v>
      </c>
      <c r="M104" s="9" t="s">
        <v>30</v>
      </c>
      <c r="N104" s="7" t="s">
        <v>1657</v>
      </c>
      <c r="P104" t="e">
        <f>IF(N104="","",  IF(N104="Excluded", N104,  IF(N104="included in industry", N104,   _xlfn.XLOOKUP(N104, [1]unittypedata!$AD:$AD,[1]unittypedata!$D:$D)   )))</f>
        <v>#N/A</v>
      </c>
    </row>
    <row r="105" spans="1:16">
      <c r="A105" s="11" t="s">
        <v>340</v>
      </c>
      <c r="B105" s="11" t="s">
        <v>341</v>
      </c>
      <c r="C105" s="12" t="s">
        <v>29</v>
      </c>
      <c r="D105" s="13">
        <v>2020</v>
      </c>
      <c r="E105" s="12">
        <v>1</v>
      </c>
      <c r="F105" s="13" t="s">
        <v>30</v>
      </c>
      <c r="G105" s="14">
        <v>14</v>
      </c>
      <c r="H105" s="13" t="s">
        <v>30</v>
      </c>
      <c r="I105" s="14">
        <v>14</v>
      </c>
      <c r="J105" s="13"/>
      <c r="K105" s="13"/>
      <c r="L105" s="12" t="s">
        <v>36</v>
      </c>
      <c r="M105" s="15" t="s">
        <v>30</v>
      </c>
      <c r="N105" s="7" t="s">
        <v>1657</v>
      </c>
      <c r="P105" t="e">
        <f>IF(N105="","",  IF(N105="Excluded", N105,  IF(N105="included in industry", N105,   _xlfn.XLOOKUP(N105, [1]unittypedata!$AD:$AD,[1]unittypedata!$D:$D)   )))</f>
        <v>#N/A</v>
      </c>
    </row>
    <row r="106" spans="1:16">
      <c r="A106" s="5" t="s">
        <v>344</v>
      </c>
      <c r="B106" s="5" t="s">
        <v>345</v>
      </c>
      <c r="C106" s="6" t="s">
        <v>29</v>
      </c>
      <c r="D106" s="7">
        <v>1984</v>
      </c>
      <c r="E106" s="6">
        <v>3</v>
      </c>
      <c r="F106" s="7" t="s">
        <v>30</v>
      </c>
      <c r="G106" s="8">
        <v>30</v>
      </c>
      <c r="H106" s="7" t="s">
        <v>30</v>
      </c>
      <c r="I106" s="8">
        <v>30</v>
      </c>
      <c r="J106" s="7"/>
      <c r="K106" s="7"/>
      <c r="L106" s="6" t="s">
        <v>36</v>
      </c>
      <c r="M106" s="9" t="s">
        <v>30</v>
      </c>
      <c r="N106" s="7" t="s">
        <v>1657</v>
      </c>
      <c r="P106" t="e">
        <f>IF(N106="","",  IF(N106="Excluded", N106,  IF(N106="included in industry", N106,   _xlfn.XLOOKUP(N106, [1]unittypedata!$AD:$AD,[1]unittypedata!$D:$D)   )))</f>
        <v>#N/A</v>
      </c>
    </row>
    <row r="107" spans="1:16">
      <c r="A107" s="5" t="s">
        <v>344</v>
      </c>
      <c r="B107" s="5" t="s">
        <v>346</v>
      </c>
      <c r="C107" s="6" t="s">
        <v>29</v>
      </c>
      <c r="D107" s="7">
        <v>1984</v>
      </c>
      <c r="E107" s="6">
        <v>2</v>
      </c>
      <c r="F107" s="7" t="s">
        <v>30</v>
      </c>
      <c r="G107" s="8">
        <v>3</v>
      </c>
      <c r="H107" s="7" t="s">
        <v>30</v>
      </c>
      <c r="I107" s="8">
        <v>3</v>
      </c>
      <c r="J107" s="7"/>
      <c r="K107" s="7"/>
      <c r="L107" s="6" t="s">
        <v>36</v>
      </c>
      <c r="M107" s="9" t="s">
        <v>30</v>
      </c>
      <c r="N107" s="7" t="s">
        <v>1657</v>
      </c>
      <c r="P107" t="e">
        <f>IF(N107="","",  IF(N107="Excluded", N107,  IF(N107="included in industry", N107,   _xlfn.XLOOKUP(N107, [1]unittypedata!$AD:$AD,[1]unittypedata!$D:$D)   )))</f>
        <v>#N/A</v>
      </c>
    </row>
    <row r="108" spans="1:16">
      <c r="A108" s="5" t="s">
        <v>344</v>
      </c>
      <c r="B108" s="5" t="s">
        <v>347</v>
      </c>
      <c r="C108" s="6" t="s">
        <v>29</v>
      </c>
      <c r="D108" s="7">
        <v>1984</v>
      </c>
      <c r="E108" s="6">
        <v>2</v>
      </c>
      <c r="F108" s="7" t="s">
        <v>30</v>
      </c>
      <c r="G108" s="8">
        <v>8.5</v>
      </c>
      <c r="H108" s="7" t="s">
        <v>30</v>
      </c>
      <c r="I108" s="8">
        <v>8.5</v>
      </c>
      <c r="J108" s="7"/>
      <c r="K108" s="7"/>
      <c r="L108" s="6" t="s">
        <v>36</v>
      </c>
      <c r="M108" s="9" t="s">
        <v>30</v>
      </c>
      <c r="N108" s="7" t="s">
        <v>1657</v>
      </c>
      <c r="P108" t="e">
        <f>IF(N108="","",  IF(N108="Excluded", N108,  IF(N108="included in industry", N108,   _xlfn.XLOOKUP(N108, [1]unittypedata!$AD:$AD,[1]unittypedata!$D:$D)   )))</f>
        <v>#N/A</v>
      </c>
    </row>
    <row r="109" spans="1:16">
      <c r="A109" s="5" t="s">
        <v>344</v>
      </c>
      <c r="B109" s="5" t="s">
        <v>348</v>
      </c>
      <c r="C109" s="6" t="s">
        <v>29</v>
      </c>
      <c r="D109" s="7">
        <v>1977</v>
      </c>
      <c r="E109" s="6">
        <v>3</v>
      </c>
      <c r="F109" s="7" t="s">
        <v>30</v>
      </c>
      <c r="G109" s="8">
        <v>16.5</v>
      </c>
      <c r="H109" s="7" t="s">
        <v>30</v>
      </c>
      <c r="I109" s="8">
        <v>16.5</v>
      </c>
      <c r="J109" s="7"/>
      <c r="K109" s="7"/>
      <c r="L109" s="6" t="s">
        <v>36</v>
      </c>
      <c r="M109" s="9" t="s">
        <v>30</v>
      </c>
      <c r="N109" s="7" t="s">
        <v>1657</v>
      </c>
      <c r="P109" t="e">
        <f>IF(N109="","",  IF(N109="Excluded", N109,  IF(N109="included in industry", N109,   _xlfn.XLOOKUP(N109, [1]unittypedata!$AD:$AD,[1]unittypedata!$D:$D)   )))</f>
        <v>#N/A</v>
      </c>
    </row>
    <row r="110" spans="1:16">
      <c r="A110" s="5" t="s">
        <v>344</v>
      </c>
      <c r="B110" s="5" t="s">
        <v>349</v>
      </c>
      <c r="C110" s="6" t="s">
        <v>29</v>
      </c>
      <c r="D110" s="7">
        <v>2000</v>
      </c>
      <c r="E110" s="6">
        <v>2</v>
      </c>
      <c r="F110" s="7" t="s">
        <v>30</v>
      </c>
      <c r="G110" s="8">
        <v>3</v>
      </c>
      <c r="H110" s="7" t="s">
        <v>30</v>
      </c>
      <c r="I110" s="8">
        <v>3</v>
      </c>
      <c r="J110" s="7"/>
      <c r="K110" s="7"/>
      <c r="L110" s="6" t="s">
        <v>36</v>
      </c>
      <c r="M110" s="9" t="s">
        <v>30</v>
      </c>
      <c r="N110" s="7" t="s">
        <v>1657</v>
      </c>
      <c r="P110" t="e">
        <f>IF(N110="","",  IF(N110="Excluded", N110,  IF(N110="included in industry", N110,   _xlfn.XLOOKUP(N110, [1]unittypedata!$AD:$AD,[1]unittypedata!$D:$D)   )))</f>
        <v>#N/A</v>
      </c>
    </row>
    <row r="111" spans="1:16">
      <c r="A111" s="5" t="s">
        <v>344</v>
      </c>
      <c r="B111" s="5" t="s">
        <v>350</v>
      </c>
      <c r="C111" s="6" t="s">
        <v>29</v>
      </c>
      <c r="D111" s="7">
        <v>2003</v>
      </c>
      <c r="E111" s="6">
        <v>2</v>
      </c>
      <c r="F111" s="7" t="s">
        <v>30</v>
      </c>
      <c r="G111" s="8">
        <v>14</v>
      </c>
      <c r="H111" s="7" t="s">
        <v>30</v>
      </c>
      <c r="I111" s="8">
        <v>14</v>
      </c>
      <c r="J111" s="7"/>
      <c r="K111" s="7"/>
      <c r="L111" s="6" t="s">
        <v>36</v>
      </c>
      <c r="M111" s="9" t="s">
        <v>30</v>
      </c>
      <c r="N111" s="7" t="s">
        <v>1657</v>
      </c>
      <c r="P111" t="e">
        <f>IF(N111="","",  IF(N111="Excluded", N111,  IF(N111="included in industry", N111,   _xlfn.XLOOKUP(N111, [1]unittypedata!$AD:$AD,[1]unittypedata!$D:$D)   )))</f>
        <v>#N/A</v>
      </c>
    </row>
    <row r="112" spans="1:16">
      <c r="A112" s="5" t="s">
        <v>344</v>
      </c>
      <c r="B112" s="5" t="s">
        <v>351</v>
      </c>
      <c r="C112" s="6" t="s">
        <v>29</v>
      </c>
      <c r="D112" s="7">
        <v>2007</v>
      </c>
      <c r="E112" s="6">
        <v>3</v>
      </c>
      <c r="F112" s="7" t="s">
        <v>30</v>
      </c>
      <c r="G112" s="8">
        <v>19</v>
      </c>
      <c r="H112" s="7" t="s">
        <v>30</v>
      </c>
      <c r="I112" s="8">
        <v>19</v>
      </c>
      <c r="J112" s="7"/>
      <c r="K112" s="7"/>
      <c r="L112" s="6" t="s">
        <v>36</v>
      </c>
      <c r="M112" s="9" t="s">
        <v>30</v>
      </c>
      <c r="N112" s="7" t="s">
        <v>1657</v>
      </c>
      <c r="P112" t="e">
        <f>IF(N112="","",  IF(N112="Excluded", N112,  IF(N112="included in industry", N112,   _xlfn.XLOOKUP(N112, [1]unittypedata!$AD:$AD,[1]unittypedata!$D:$D)   )))</f>
        <v>#N/A</v>
      </c>
    </row>
    <row r="113" spans="1:16">
      <c r="A113" s="5" t="s">
        <v>344</v>
      </c>
      <c r="B113" s="5" t="s">
        <v>352</v>
      </c>
      <c r="C113" s="6" t="s">
        <v>29</v>
      </c>
      <c r="D113" s="7">
        <v>2009</v>
      </c>
      <c r="E113" s="6">
        <v>1</v>
      </c>
      <c r="F113" s="7" t="s">
        <v>30</v>
      </c>
      <c r="G113" s="8">
        <v>4</v>
      </c>
      <c r="H113" s="7" t="s">
        <v>30</v>
      </c>
      <c r="I113" s="8">
        <v>4</v>
      </c>
      <c r="J113" s="7"/>
      <c r="K113" s="7"/>
      <c r="L113" s="6" t="s">
        <v>36</v>
      </c>
      <c r="M113" s="9" t="s">
        <v>30</v>
      </c>
      <c r="N113" s="7" t="s">
        <v>1657</v>
      </c>
      <c r="P113" t="e">
        <f>IF(N113="","",  IF(N113="Excluded", N113,  IF(N113="included in industry", N113,   _xlfn.XLOOKUP(N113, [1]unittypedata!$AD:$AD,[1]unittypedata!$D:$D)   )))</f>
        <v>#N/A</v>
      </c>
    </row>
    <row r="114" spans="1:16">
      <c r="A114" s="5" t="s">
        <v>344</v>
      </c>
      <c r="B114" s="5" t="s">
        <v>353</v>
      </c>
      <c r="C114" s="6" t="s">
        <v>29</v>
      </c>
      <c r="D114" s="7">
        <v>2015</v>
      </c>
      <c r="E114" s="6">
        <v>2</v>
      </c>
      <c r="F114" s="7" t="s">
        <v>30</v>
      </c>
      <c r="G114" s="8">
        <v>30</v>
      </c>
      <c r="H114" s="7">
        <v>6</v>
      </c>
      <c r="I114" s="8">
        <v>36</v>
      </c>
      <c r="J114" s="7"/>
      <c r="K114" s="7"/>
      <c r="L114" s="6" t="s">
        <v>46</v>
      </c>
      <c r="M114" s="9" t="s">
        <v>30</v>
      </c>
      <c r="N114" s="7" t="s">
        <v>1653</v>
      </c>
      <c r="P114" t="e">
        <f>IF(N114="","",  IF(N114="Excluded", N114,  IF(N114="included in industry", N114,   _xlfn.XLOOKUP(N114, [1]unittypedata!$AD:$AD,[1]unittypedata!$D:$D)   )))</f>
        <v>#N/A</v>
      </c>
    </row>
    <row r="115" spans="1:16">
      <c r="A115" s="5" t="s">
        <v>344</v>
      </c>
      <c r="B115" s="5" t="s">
        <v>354</v>
      </c>
      <c r="C115" s="6" t="s">
        <v>29</v>
      </c>
      <c r="D115" s="7">
        <v>2015</v>
      </c>
      <c r="E115" s="6">
        <v>1</v>
      </c>
      <c r="F115" s="7" t="s">
        <v>30</v>
      </c>
      <c r="G115" s="8">
        <v>1.5</v>
      </c>
      <c r="H115" s="7" t="s">
        <v>30</v>
      </c>
      <c r="I115" s="8">
        <v>1.5</v>
      </c>
      <c r="J115" s="7"/>
      <c r="K115" s="7"/>
      <c r="L115" s="6" t="s">
        <v>46</v>
      </c>
      <c r="M115" s="9" t="s">
        <v>30</v>
      </c>
      <c r="N115" s="7" t="s">
        <v>1653</v>
      </c>
      <c r="P115" t="e">
        <f>IF(N115="","",  IF(N115="Excluded", N115,  IF(N115="included in industry", N115,   _xlfn.XLOOKUP(N115, [1]unittypedata!$AD:$AD,[1]unittypedata!$D:$D)   )))</f>
        <v>#N/A</v>
      </c>
    </row>
    <row r="116" spans="1:16">
      <c r="A116" s="5" t="s">
        <v>344</v>
      </c>
      <c r="B116" s="5" t="s">
        <v>355</v>
      </c>
      <c r="C116" s="6" t="s">
        <v>29</v>
      </c>
      <c r="D116" s="7">
        <v>2015</v>
      </c>
      <c r="E116" s="6">
        <v>1</v>
      </c>
      <c r="F116" s="7" t="s">
        <v>30</v>
      </c>
      <c r="G116" s="8">
        <v>4</v>
      </c>
      <c r="H116" s="7" t="s">
        <v>30</v>
      </c>
      <c r="I116" s="8">
        <v>4</v>
      </c>
      <c r="J116" s="7"/>
      <c r="K116" s="7"/>
      <c r="L116" s="6" t="s">
        <v>46</v>
      </c>
      <c r="M116" s="9" t="s">
        <v>30</v>
      </c>
      <c r="N116" s="7" t="s">
        <v>1653</v>
      </c>
      <c r="P116" t="e">
        <f>IF(N116="","",  IF(N116="Excluded", N116,  IF(N116="included in industry", N116,   _xlfn.XLOOKUP(N116, [1]unittypedata!$AD:$AD,[1]unittypedata!$D:$D)   )))</f>
        <v>#N/A</v>
      </c>
    </row>
    <row r="117" spans="1:16">
      <c r="A117" s="11" t="s">
        <v>344</v>
      </c>
      <c r="B117" s="11" t="s">
        <v>356</v>
      </c>
      <c r="C117" s="12" t="s">
        <v>48</v>
      </c>
      <c r="D117" s="13">
        <v>2023</v>
      </c>
      <c r="E117" s="12" t="s">
        <v>30</v>
      </c>
      <c r="F117" s="13" t="s">
        <v>30</v>
      </c>
      <c r="G117" s="14" t="s">
        <v>30</v>
      </c>
      <c r="H117" s="13" t="s">
        <v>30</v>
      </c>
      <c r="I117" s="14">
        <v>0.8</v>
      </c>
      <c r="J117" s="13"/>
      <c r="K117" s="13"/>
      <c r="L117" s="12" t="s">
        <v>30</v>
      </c>
      <c r="M117" s="15">
        <v>0.8</v>
      </c>
      <c r="N117" s="7" t="s">
        <v>1613</v>
      </c>
      <c r="P117" t="str">
        <f>IF(N117="","",  IF(N117="Excluded", N117,  IF(N117="included in industry", N117,   _xlfn.XLOOKUP(N117, [1]unittypedata!$AD:$AD,[1]unittypedata!$D:$D)   )))</f>
        <v>GSHP</v>
      </c>
    </row>
    <row r="118" spans="1:16">
      <c r="A118" s="5" t="s">
        <v>357</v>
      </c>
      <c r="B118" s="5" t="s">
        <v>358</v>
      </c>
      <c r="C118" s="6" t="s">
        <v>29</v>
      </c>
      <c r="D118" s="7">
        <v>2000</v>
      </c>
      <c r="E118" s="6">
        <v>3</v>
      </c>
      <c r="F118" s="7" t="s">
        <v>30</v>
      </c>
      <c r="G118" s="8">
        <v>10</v>
      </c>
      <c r="H118" s="7" t="s">
        <v>30</v>
      </c>
      <c r="I118" s="8">
        <v>10</v>
      </c>
      <c r="J118" s="7"/>
      <c r="K118" s="7"/>
      <c r="L118" s="6" t="s">
        <v>46</v>
      </c>
      <c r="M118" s="9" t="s">
        <v>30</v>
      </c>
      <c r="N118" s="7" t="s">
        <v>1653</v>
      </c>
      <c r="P118" t="e">
        <f>IF(N118="","",  IF(N118="Excluded", N118,  IF(N118="included in industry", N118,   _xlfn.XLOOKUP(N118, [1]unittypedata!$AD:$AD,[1]unittypedata!$D:$D)   )))</f>
        <v>#N/A</v>
      </c>
    </row>
    <row r="119" spans="1:16">
      <c r="A119" s="5" t="s">
        <v>357</v>
      </c>
      <c r="B119" s="5" t="s">
        <v>359</v>
      </c>
      <c r="C119" s="6" t="s">
        <v>29</v>
      </c>
      <c r="D119" s="7">
        <v>2007</v>
      </c>
      <c r="E119" s="6">
        <v>3</v>
      </c>
      <c r="F119" s="7" t="s">
        <v>30</v>
      </c>
      <c r="G119" s="8">
        <v>6.2</v>
      </c>
      <c r="H119" s="7" t="s">
        <v>30</v>
      </c>
      <c r="I119" s="8">
        <v>6.2</v>
      </c>
      <c r="J119" s="7"/>
      <c r="K119" s="7"/>
      <c r="L119" s="6" t="s">
        <v>46</v>
      </c>
      <c r="M119" s="9" t="s">
        <v>30</v>
      </c>
      <c r="N119" s="7" t="s">
        <v>1653</v>
      </c>
      <c r="P119" t="e">
        <f>IF(N119="","",  IF(N119="Excluded", N119,  IF(N119="included in industry", N119,   _xlfn.XLOOKUP(N119, [1]unittypedata!$AD:$AD,[1]unittypedata!$D:$D)   )))</f>
        <v>#N/A</v>
      </c>
    </row>
    <row r="120" spans="1:16">
      <c r="A120" s="5" t="s">
        <v>357</v>
      </c>
      <c r="B120" s="5" t="s">
        <v>360</v>
      </c>
      <c r="C120" s="6" t="s">
        <v>29</v>
      </c>
      <c r="D120" s="7">
        <v>2010</v>
      </c>
      <c r="E120" s="6">
        <v>3</v>
      </c>
      <c r="F120" s="7" t="s">
        <v>30</v>
      </c>
      <c r="G120" s="8">
        <v>4.9000000000000004</v>
      </c>
      <c r="H120" s="7" t="s">
        <v>30</v>
      </c>
      <c r="I120" s="8">
        <v>4.9000000000000004</v>
      </c>
      <c r="J120" s="7"/>
      <c r="K120" s="7"/>
      <c r="L120" s="6" t="s">
        <v>46</v>
      </c>
      <c r="M120" s="9" t="s">
        <v>30</v>
      </c>
      <c r="N120" s="7" t="s">
        <v>1653</v>
      </c>
      <c r="P120" t="e">
        <f>IF(N120="","",  IF(N120="Excluded", N120,  IF(N120="included in industry", N120,   _xlfn.XLOOKUP(N120, [1]unittypedata!$AD:$AD,[1]unittypedata!$D:$D)   )))</f>
        <v>#N/A</v>
      </c>
    </row>
    <row r="121" spans="1:16">
      <c r="A121" s="5" t="s">
        <v>357</v>
      </c>
      <c r="B121" s="5" t="s">
        <v>361</v>
      </c>
      <c r="C121" s="6" t="s">
        <v>29</v>
      </c>
      <c r="D121" s="7">
        <v>2017</v>
      </c>
      <c r="E121" s="6">
        <v>2</v>
      </c>
      <c r="F121" s="7" t="s">
        <v>30</v>
      </c>
      <c r="G121" s="8">
        <v>0.6</v>
      </c>
      <c r="H121" s="7" t="s">
        <v>30</v>
      </c>
      <c r="I121" s="8">
        <v>0.6</v>
      </c>
      <c r="J121" s="7"/>
      <c r="K121" s="7"/>
      <c r="L121" s="6" t="s">
        <v>44</v>
      </c>
      <c r="M121" s="9" t="s">
        <v>30</v>
      </c>
      <c r="N121" s="7" t="s">
        <v>1653</v>
      </c>
      <c r="P121" t="e">
        <f>IF(N121="","",  IF(N121="Excluded", N121,  IF(N121="included in industry", N121,   _xlfn.XLOOKUP(N121, [1]unittypedata!$AD:$AD,[1]unittypedata!$D:$D)   )))</f>
        <v>#N/A</v>
      </c>
    </row>
    <row r="122" spans="1:16">
      <c r="A122" s="5" t="s">
        <v>357</v>
      </c>
      <c r="B122" s="5" t="s">
        <v>362</v>
      </c>
      <c r="C122" s="6" t="s">
        <v>29</v>
      </c>
      <c r="D122" s="7">
        <v>2018</v>
      </c>
      <c r="E122" s="6">
        <v>2</v>
      </c>
      <c r="F122" s="7" t="s">
        <v>30</v>
      </c>
      <c r="G122" s="8">
        <v>0.5</v>
      </c>
      <c r="H122" s="7" t="s">
        <v>30</v>
      </c>
      <c r="I122" s="8">
        <v>0.5</v>
      </c>
      <c r="J122" s="7"/>
      <c r="K122" s="7"/>
      <c r="L122" s="6" t="s">
        <v>46</v>
      </c>
      <c r="M122" s="9" t="s">
        <v>30</v>
      </c>
      <c r="N122" s="7" t="s">
        <v>1653</v>
      </c>
      <c r="P122" t="e">
        <f>IF(N122="","",  IF(N122="Excluded", N122,  IF(N122="included in industry", N122,   _xlfn.XLOOKUP(N122, [1]unittypedata!$AD:$AD,[1]unittypedata!$D:$D)   )))</f>
        <v>#N/A</v>
      </c>
    </row>
    <row r="123" spans="1:16">
      <c r="A123" s="5" t="s">
        <v>357</v>
      </c>
      <c r="B123" s="5" t="s">
        <v>363</v>
      </c>
      <c r="C123" s="6" t="s">
        <v>29</v>
      </c>
      <c r="D123" s="7">
        <v>2018</v>
      </c>
      <c r="E123" s="6">
        <v>2</v>
      </c>
      <c r="F123" s="7" t="s">
        <v>30</v>
      </c>
      <c r="G123" s="8">
        <v>0.3</v>
      </c>
      <c r="H123" s="7" t="s">
        <v>30</v>
      </c>
      <c r="I123" s="8">
        <v>0.3</v>
      </c>
      <c r="J123" s="7"/>
      <c r="K123" s="7"/>
      <c r="L123" s="6" t="s">
        <v>44</v>
      </c>
      <c r="M123" s="9" t="s">
        <v>30</v>
      </c>
      <c r="N123" s="7" t="s">
        <v>1653</v>
      </c>
      <c r="P123" t="e">
        <f>IF(N123="","",  IF(N123="Excluded", N123,  IF(N123="included in industry", N123,   _xlfn.XLOOKUP(N123, [1]unittypedata!$AD:$AD,[1]unittypedata!$D:$D)   )))</f>
        <v>#N/A</v>
      </c>
    </row>
    <row r="124" spans="1:16">
      <c r="A124" s="5" t="s">
        <v>357</v>
      </c>
      <c r="B124" s="5" t="s">
        <v>364</v>
      </c>
      <c r="C124" s="6" t="s">
        <v>29</v>
      </c>
      <c r="D124" s="7">
        <v>2022</v>
      </c>
      <c r="E124" s="6">
        <v>2</v>
      </c>
      <c r="F124" s="7" t="s">
        <v>30</v>
      </c>
      <c r="G124" s="8">
        <v>4</v>
      </c>
      <c r="H124" s="7" t="s">
        <v>30</v>
      </c>
      <c r="I124" s="8">
        <v>4</v>
      </c>
      <c r="J124" s="7"/>
      <c r="K124" s="7"/>
      <c r="L124" s="6" t="s">
        <v>31</v>
      </c>
      <c r="M124" s="9" t="s">
        <v>30</v>
      </c>
      <c r="N124" s="7" t="s">
        <v>1654</v>
      </c>
      <c r="P124" t="e">
        <f>IF(N124="","",  IF(N124="Excluded", N124,  IF(N124="included in industry", N124,   _xlfn.XLOOKUP(N124, [1]unittypedata!$AD:$AD,[1]unittypedata!$D:$D)   )))</f>
        <v>#N/A</v>
      </c>
    </row>
    <row r="125" spans="1:16">
      <c r="A125" s="11" t="s">
        <v>357</v>
      </c>
      <c r="B125" s="11" t="s">
        <v>365</v>
      </c>
      <c r="C125" s="12" t="s">
        <v>29</v>
      </c>
      <c r="D125" s="13">
        <v>2022</v>
      </c>
      <c r="E125" s="12">
        <v>1</v>
      </c>
      <c r="F125" s="13" t="s">
        <v>30</v>
      </c>
      <c r="G125" s="14">
        <v>2</v>
      </c>
      <c r="H125" s="13" t="s">
        <v>30</v>
      </c>
      <c r="I125" s="14">
        <v>2</v>
      </c>
      <c r="J125" s="13"/>
      <c r="K125" s="13"/>
      <c r="L125" s="12" t="s">
        <v>31</v>
      </c>
      <c r="M125" s="15" t="s">
        <v>30</v>
      </c>
      <c r="N125" s="7" t="s">
        <v>1654</v>
      </c>
      <c r="P125" t="e">
        <f>IF(N125="","",  IF(N125="Excluded", N125,  IF(N125="included in industry", N125,   _xlfn.XLOOKUP(N125, [1]unittypedata!$AD:$AD,[1]unittypedata!$D:$D)   )))</f>
        <v>#N/A</v>
      </c>
    </row>
    <row r="126" spans="1:16">
      <c r="A126" s="5" t="s">
        <v>366</v>
      </c>
      <c r="B126" s="5" t="s">
        <v>367</v>
      </c>
      <c r="C126" s="6" t="s">
        <v>29</v>
      </c>
      <c r="D126" s="7" t="s">
        <v>158</v>
      </c>
      <c r="E126" s="6">
        <v>2</v>
      </c>
      <c r="F126" s="7" t="s">
        <v>30</v>
      </c>
      <c r="G126" s="8">
        <v>7</v>
      </c>
      <c r="H126" s="7" t="s">
        <v>30</v>
      </c>
      <c r="I126" s="8">
        <v>7</v>
      </c>
      <c r="J126" s="7"/>
      <c r="K126" s="7"/>
      <c r="L126" s="6" t="s">
        <v>31</v>
      </c>
      <c r="M126" s="9" t="s">
        <v>30</v>
      </c>
      <c r="N126" s="7" t="s">
        <v>1654</v>
      </c>
      <c r="P126" t="e">
        <f>IF(N126="","",  IF(N126="Excluded", N126,  IF(N126="included in industry", N126,   _xlfn.XLOOKUP(N126, [1]unittypedata!$AD:$AD,[1]unittypedata!$D:$D)   )))</f>
        <v>#N/A</v>
      </c>
    </row>
    <row r="127" spans="1:16">
      <c r="A127" s="11" t="s">
        <v>366</v>
      </c>
      <c r="B127" s="11" t="s">
        <v>368</v>
      </c>
      <c r="C127" s="12" t="s">
        <v>29</v>
      </c>
      <c r="D127" s="13" t="s">
        <v>158</v>
      </c>
      <c r="E127" s="12">
        <v>2</v>
      </c>
      <c r="F127" s="13" t="s">
        <v>30</v>
      </c>
      <c r="G127" s="14">
        <v>5.3</v>
      </c>
      <c r="H127" s="13">
        <v>1</v>
      </c>
      <c r="I127" s="14">
        <v>6.3</v>
      </c>
      <c r="J127" s="13"/>
      <c r="K127" s="13"/>
      <c r="L127" s="12" t="s">
        <v>46</v>
      </c>
      <c r="M127" s="15" t="s">
        <v>30</v>
      </c>
      <c r="N127" s="7" t="s">
        <v>1653</v>
      </c>
      <c r="P127" t="e">
        <f>IF(N127="","",  IF(N127="Excluded", N127,  IF(N127="included in industry", N127,   _xlfn.XLOOKUP(N127, [1]unittypedata!$AD:$AD,[1]unittypedata!$D:$D)   )))</f>
        <v>#N/A</v>
      </c>
    </row>
    <row r="128" spans="1:16">
      <c r="A128" s="5" t="s">
        <v>369</v>
      </c>
      <c r="B128" s="5" t="s">
        <v>370</v>
      </c>
      <c r="C128" s="6" t="s">
        <v>29</v>
      </c>
      <c r="D128" s="7">
        <v>1983</v>
      </c>
      <c r="E128" s="6">
        <v>4</v>
      </c>
      <c r="F128" s="7" t="s">
        <v>30</v>
      </c>
      <c r="G128" s="8">
        <v>11.5</v>
      </c>
      <c r="H128" s="7" t="s">
        <v>30</v>
      </c>
      <c r="I128" s="8">
        <v>11.5</v>
      </c>
      <c r="J128" s="7"/>
      <c r="K128" s="7"/>
      <c r="L128" s="6" t="s">
        <v>46</v>
      </c>
      <c r="M128" s="9" t="s">
        <v>30</v>
      </c>
      <c r="N128" s="7" t="s">
        <v>1653</v>
      </c>
      <c r="P128" t="e">
        <f>IF(N128="","",  IF(N128="Excluded", N128,  IF(N128="included in industry", N128,   _xlfn.XLOOKUP(N128, [1]unittypedata!$AD:$AD,[1]unittypedata!$D:$D)   )))</f>
        <v>#N/A</v>
      </c>
    </row>
    <row r="129" spans="1:16">
      <c r="A129" s="11" t="s">
        <v>369</v>
      </c>
      <c r="B129" s="11" t="s">
        <v>371</v>
      </c>
      <c r="C129" s="12" t="s">
        <v>29</v>
      </c>
      <c r="D129" s="13">
        <v>2014</v>
      </c>
      <c r="E129" s="12">
        <v>1</v>
      </c>
      <c r="F129" s="13" t="s">
        <v>30</v>
      </c>
      <c r="G129" s="14">
        <v>5</v>
      </c>
      <c r="H129" s="13" t="s">
        <v>30</v>
      </c>
      <c r="I129" s="14">
        <v>5</v>
      </c>
      <c r="J129" s="13"/>
      <c r="K129" s="13"/>
      <c r="L129" s="12" t="s">
        <v>31</v>
      </c>
      <c r="M129" s="15" t="s">
        <v>30</v>
      </c>
      <c r="N129" s="7" t="s">
        <v>1654</v>
      </c>
      <c r="P129" t="e">
        <f>IF(N129="","",  IF(N129="Excluded", N129,  IF(N129="included in industry", N129,   _xlfn.XLOOKUP(N129, [1]unittypedata!$AD:$AD,[1]unittypedata!$D:$D)   )))</f>
        <v>#N/A</v>
      </c>
    </row>
    <row r="130" spans="1:16">
      <c r="A130" s="5" t="s">
        <v>372</v>
      </c>
      <c r="B130" s="5" t="s">
        <v>373</v>
      </c>
      <c r="C130" s="6" t="s">
        <v>29</v>
      </c>
      <c r="D130" s="7">
        <v>1992</v>
      </c>
      <c r="E130" s="6">
        <v>2</v>
      </c>
      <c r="F130" s="7" t="s">
        <v>30</v>
      </c>
      <c r="G130" s="8">
        <v>16</v>
      </c>
      <c r="H130" s="7" t="s">
        <v>30</v>
      </c>
      <c r="I130" s="8">
        <v>16</v>
      </c>
      <c r="J130" s="7"/>
      <c r="K130" s="7"/>
      <c r="L130" s="6" t="s">
        <v>31</v>
      </c>
      <c r="M130" s="9" t="s">
        <v>30</v>
      </c>
      <c r="N130" s="7" t="s">
        <v>1654</v>
      </c>
      <c r="P130" t="e">
        <f>IF(N130="","",  IF(N130="Excluded", N130,  IF(N130="included in industry", N130,   _xlfn.XLOOKUP(N130, [1]unittypedata!$AD:$AD,[1]unittypedata!$D:$D)   )))</f>
        <v>#N/A</v>
      </c>
    </row>
    <row r="131" spans="1:16">
      <c r="A131" s="5" t="s">
        <v>372</v>
      </c>
      <c r="B131" s="5" t="s">
        <v>374</v>
      </c>
      <c r="C131" s="6" t="s">
        <v>29</v>
      </c>
      <c r="D131" s="7">
        <v>2012</v>
      </c>
      <c r="E131" s="6">
        <v>1</v>
      </c>
      <c r="F131" s="7" t="s">
        <v>30</v>
      </c>
      <c r="G131" s="8">
        <v>10</v>
      </c>
      <c r="H131" s="7" t="s">
        <v>30</v>
      </c>
      <c r="I131" s="8">
        <v>10</v>
      </c>
      <c r="J131" s="7"/>
      <c r="K131" s="7"/>
      <c r="L131" s="6" t="s">
        <v>31</v>
      </c>
      <c r="M131" s="9" t="s">
        <v>30</v>
      </c>
      <c r="N131" s="7" t="s">
        <v>1654</v>
      </c>
      <c r="P131" t="e">
        <f>IF(N131="","",  IF(N131="Excluded", N131,  IF(N131="included in industry", N131,   _xlfn.XLOOKUP(N131, [1]unittypedata!$AD:$AD,[1]unittypedata!$D:$D)   )))</f>
        <v>#N/A</v>
      </c>
    </row>
    <row r="132" spans="1:16">
      <c r="A132" s="5" t="s">
        <v>372</v>
      </c>
      <c r="B132" s="5" t="s">
        <v>375</v>
      </c>
      <c r="C132" s="6" t="s">
        <v>29</v>
      </c>
      <c r="D132" s="7">
        <v>2004</v>
      </c>
      <c r="E132" s="6">
        <v>2</v>
      </c>
      <c r="F132" s="7" t="s">
        <v>30</v>
      </c>
      <c r="G132" s="8">
        <v>13</v>
      </c>
      <c r="H132" s="7" t="s">
        <v>30</v>
      </c>
      <c r="I132" s="8">
        <v>13</v>
      </c>
      <c r="J132" s="7"/>
      <c r="K132" s="7"/>
      <c r="L132" s="6" t="s">
        <v>46</v>
      </c>
      <c r="M132" s="9" t="s">
        <v>30</v>
      </c>
      <c r="N132" s="7" t="s">
        <v>1653</v>
      </c>
      <c r="P132" t="e">
        <f>IF(N132="","",  IF(N132="Excluded", N132,  IF(N132="included in industry", N132,   _xlfn.XLOOKUP(N132, [1]unittypedata!$AD:$AD,[1]unittypedata!$D:$D)   )))</f>
        <v>#N/A</v>
      </c>
    </row>
    <row r="133" spans="1:16">
      <c r="A133" s="5" t="s">
        <v>372</v>
      </c>
      <c r="B133" s="5" t="s">
        <v>375</v>
      </c>
      <c r="C133" s="6" t="s">
        <v>29</v>
      </c>
      <c r="D133" s="7">
        <v>2017</v>
      </c>
      <c r="E133" s="6">
        <v>1</v>
      </c>
      <c r="F133" s="7" t="s">
        <v>30</v>
      </c>
      <c r="G133" s="8">
        <v>4</v>
      </c>
      <c r="H133" s="7" t="s">
        <v>30</v>
      </c>
      <c r="I133" s="8">
        <v>4</v>
      </c>
      <c r="J133" s="7"/>
      <c r="K133" s="7"/>
      <c r="L133" s="6" t="s">
        <v>46</v>
      </c>
      <c r="M133" s="9" t="s">
        <v>30</v>
      </c>
      <c r="N133" s="7" t="s">
        <v>1653</v>
      </c>
      <c r="P133" t="e">
        <f>IF(N133="","",  IF(N133="Excluded", N133,  IF(N133="included in industry", N133,   _xlfn.XLOOKUP(N133, [1]unittypedata!$AD:$AD,[1]unittypedata!$D:$D)   )))</f>
        <v>#N/A</v>
      </c>
    </row>
    <row r="134" spans="1:16">
      <c r="A134" s="11" t="s">
        <v>372</v>
      </c>
      <c r="B134" s="11" t="s">
        <v>376</v>
      </c>
      <c r="C134" s="12" t="s">
        <v>48</v>
      </c>
      <c r="D134" s="13">
        <v>2022</v>
      </c>
      <c r="E134" s="12" t="s">
        <v>30</v>
      </c>
      <c r="F134" s="13" t="s">
        <v>30</v>
      </c>
      <c r="G134" s="14" t="s">
        <v>30</v>
      </c>
      <c r="H134" s="13" t="s">
        <v>30</v>
      </c>
      <c r="I134" s="14">
        <v>0.6</v>
      </c>
      <c r="J134" s="13"/>
      <c r="K134" s="13"/>
      <c r="L134" s="12" t="s">
        <v>30</v>
      </c>
      <c r="M134" s="15">
        <v>0.6</v>
      </c>
      <c r="N134" s="7" t="s">
        <v>1613</v>
      </c>
      <c r="P134" t="str">
        <f>IF(N134="","",  IF(N134="Excluded", N134,  IF(N134="included in industry", N134,   _xlfn.XLOOKUP(N134, [1]unittypedata!$AD:$AD,[1]unittypedata!$D:$D)   )))</f>
        <v>GSHP</v>
      </c>
    </row>
    <row r="135" spans="1:16">
      <c r="A135" s="5" t="s">
        <v>377</v>
      </c>
      <c r="B135" s="5" t="s">
        <v>378</v>
      </c>
      <c r="C135" s="6" t="s">
        <v>29</v>
      </c>
      <c r="D135" s="7">
        <v>2015</v>
      </c>
      <c r="E135" s="6">
        <v>1</v>
      </c>
      <c r="F135" s="7" t="s">
        <v>30</v>
      </c>
      <c r="G135" s="8">
        <v>4</v>
      </c>
      <c r="H135" s="7" t="s">
        <v>30</v>
      </c>
      <c r="I135" s="8">
        <v>4</v>
      </c>
      <c r="J135" s="7"/>
      <c r="K135" s="7"/>
      <c r="L135" s="6" t="s">
        <v>44</v>
      </c>
      <c r="M135" s="9" t="s">
        <v>30</v>
      </c>
      <c r="N135" s="7" t="s">
        <v>1653</v>
      </c>
      <c r="P135" t="e">
        <f>IF(N135="","",  IF(N135="Excluded", N135,  IF(N135="included in industry", N135,   _xlfn.XLOOKUP(N135, [1]unittypedata!$AD:$AD,[1]unittypedata!$D:$D)   )))</f>
        <v>#N/A</v>
      </c>
    </row>
    <row r="136" spans="1:16">
      <c r="A136" s="5" t="s">
        <v>377</v>
      </c>
      <c r="B136" s="5" t="s">
        <v>379</v>
      </c>
      <c r="C136" s="6" t="s">
        <v>29</v>
      </c>
      <c r="D136" s="7" t="s">
        <v>380</v>
      </c>
      <c r="E136" s="6">
        <v>3</v>
      </c>
      <c r="F136" s="7" t="s">
        <v>30</v>
      </c>
      <c r="G136" s="8">
        <v>10</v>
      </c>
      <c r="H136" s="7" t="s">
        <v>30</v>
      </c>
      <c r="I136" s="8">
        <v>10</v>
      </c>
      <c r="J136" s="7"/>
      <c r="K136" s="7"/>
      <c r="L136" s="6" t="s">
        <v>31</v>
      </c>
      <c r="M136" s="9" t="s">
        <v>30</v>
      </c>
      <c r="N136" s="7" t="s">
        <v>1654</v>
      </c>
      <c r="P136" t="e">
        <f>IF(N136="","",  IF(N136="Excluded", N136,  IF(N136="included in industry", N136,   _xlfn.XLOOKUP(N136, [1]unittypedata!$AD:$AD,[1]unittypedata!$D:$D)   )))</f>
        <v>#N/A</v>
      </c>
    </row>
    <row r="137" spans="1:16">
      <c r="A137" s="5" t="s">
        <v>377</v>
      </c>
      <c r="B137" s="5" t="s">
        <v>381</v>
      </c>
      <c r="C137" s="6" t="s">
        <v>29</v>
      </c>
      <c r="D137" s="7">
        <v>2006</v>
      </c>
      <c r="E137" s="6">
        <v>1</v>
      </c>
      <c r="F137" s="7" t="s">
        <v>30</v>
      </c>
      <c r="G137" s="8">
        <v>1.5</v>
      </c>
      <c r="H137" s="7" t="s">
        <v>30</v>
      </c>
      <c r="I137" s="8">
        <v>1.5</v>
      </c>
      <c r="J137" s="7"/>
      <c r="K137" s="7"/>
      <c r="L137" s="6" t="s">
        <v>253</v>
      </c>
      <c r="M137" s="9" t="s">
        <v>30</v>
      </c>
      <c r="N137" s="7" t="s">
        <v>1653</v>
      </c>
      <c r="P137" t="e">
        <f>IF(N137="","",  IF(N137="Excluded", N137,  IF(N137="included in industry", N137,   _xlfn.XLOOKUP(N137, [1]unittypedata!$AD:$AD,[1]unittypedata!$D:$D)   )))</f>
        <v>#N/A</v>
      </c>
    </row>
    <row r="138" spans="1:16">
      <c r="A138" s="5" t="s">
        <v>377</v>
      </c>
      <c r="B138" s="5" t="s">
        <v>382</v>
      </c>
      <c r="C138" s="6" t="s">
        <v>29</v>
      </c>
      <c r="D138" s="7">
        <v>1990</v>
      </c>
      <c r="E138" s="6">
        <v>2</v>
      </c>
      <c r="F138" s="7" t="s">
        <v>30</v>
      </c>
      <c r="G138" s="8">
        <v>3</v>
      </c>
      <c r="H138" s="7" t="s">
        <v>30</v>
      </c>
      <c r="I138" s="8">
        <v>3</v>
      </c>
      <c r="J138" s="7"/>
      <c r="K138" s="7"/>
      <c r="L138" s="6" t="s">
        <v>31</v>
      </c>
      <c r="M138" s="9" t="s">
        <v>30</v>
      </c>
      <c r="N138" s="7" t="s">
        <v>1654</v>
      </c>
      <c r="P138" t="e">
        <f>IF(N138="","",  IF(N138="Excluded", N138,  IF(N138="included in industry", N138,   _xlfn.XLOOKUP(N138, [1]unittypedata!$AD:$AD,[1]unittypedata!$D:$D)   )))</f>
        <v>#N/A</v>
      </c>
    </row>
    <row r="139" spans="1:16">
      <c r="A139" s="5" t="s">
        <v>377</v>
      </c>
      <c r="B139" s="5" t="s">
        <v>383</v>
      </c>
      <c r="C139" s="6" t="s">
        <v>29</v>
      </c>
      <c r="D139" s="7">
        <v>2004</v>
      </c>
      <c r="E139" s="6">
        <v>1</v>
      </c>
      <c r="F139" s="7" t="s">
        <v>30</v>
      </c>
      <c r="G139" s="8">
        <v>4.5</v>
      </c>
      <c r="H139" s="7" t="s">
        <v>30</v>
      </c>
      <c r="I139" s="8">
        <v>4.5</v>
      </c>
      <c r="J139" s="7"/>
      <c r="K139" s="7"/>
      <c r="L139" s="6" t="s">
        <v>46</v>
      </c>
      <c r="M139" s="9" t="s">
        <v>30</v>
      </c>
      <c r="N139" s="7" t="s">
        <v>1653</v>
      </c>
      <c r="P139" t="e">
        <f>IF(N139="","",  IF(N139="Excluded", N139,  IF(N139="included in industry", N139,   _xlfn.XLOOKUP(N139, [1]unittypedata!$AD:$AD,[1]unittypedata!$D:$D)   )))</f>
        <v>#N/A</v>
      </c>
    </row>
    <row r="140" spans="1:16">
      <c r="A140" s="11" t="s">
        <v>377</v>
      </c>
      <c r="B140" s="11" t="s">
        <v>384</v>
      </c>
      <c r="C140" s="12" t="s">
        <v>29</v>
      </c>
      <c r="D140" s="13">
        <v>2000</v>
      </c>
      <c r="E140" s="12">
        <v>1</v>
      </c>
      <c r="F140" s="13" t="s">
        <v>30</v>
      </c>
      <c r="G140" s="14">
        <v>2</v>
      </c>
      <c r="H140" s="13" t="s">
        <v>30</v>
      </c>
      <c r="I140" s="14">
        <v>2</v>
      </c>
      <c r="J140" s="13"/>
      <c r="K140" s="13"/>
      <c r="L140" s="12" t="s">
        <v>31</v>
      </c>
      <c r="M140" s="15" t="s">
        <v>30</v>
      </c>
      <c r="N140" s="7" t="s">
        <v>1654</v>
      </c>
      <c r="P140" t="e">
        <f>IF(N140="","",  IF(N140="Excluded", N140,  IF(N140="included in industry", N140,   _xlfn.XLOOKUP(N140, [1]unittypedata!$AD:$AD,[1]unittypedata!$D:$D)   )))</f>
        <v>#N/A</v>
      </c>
    </row>
    <row r="141" spans="1:16">
      <c r="A141" s="5" t="s">
        <v>385</v>
      </c>
      <c r="B141" s="5" t="s">
        <v>386</v>
      </c>
      <c r="C141" s="6" t="s">
        <v>29</v>
      </c>
      <c r="D141" s="7">
        <v>1995</v>
      </c>
      <c r="E141" s="6">
        <v>2</v>
      </c>
      <c r="F141" s="7" t="s">
        <v>30</v>
      </c>
      <c r="G141" s="8">
        <v>4</v>
      </c>
      <c r="H141" s="7" t="s">
        <v>30</v>
      </c>
      <c r="I141" s="8">
        <v>4</v>
      </c>
      <c r="J141" s="7"/>
      <c r="K141" s="7"/>
      <c r="L141" s="6" t="s">
        <v>36</v>
      </c>
      <c r="M141" s="9" t="s">
        <v>30</v>
      </c>
      <c r="N141" s="7" t="s">
        <v>1657</v>
      </c>
      <c r="P141" t="e">
        <f>IF(N141="","",  IF(N141="Excluded", N141,  IF(N141="included in industry", N141,   _xlfn.XLOOKUP(N141, [1]unittypedata!$AD:$AD,[1]unittypedata!$D:$D)   )))</f>
        <v>#N/A</v>
      </c>
    </row>
    <row r="142" spans="1:16">
      <c r="A142" s="5" t="s">
        <v>385</v>
      </c>
      <c r="B142" s="5" t="s">
        <v>387</v>
      </c>
      <c r="C142" s="6" t="s">
        <v>29</v>
      </c>
      <c r="D142" s="7">
        <v>1999</v>
      </c>
      <c r="E142" s="6">
        <v>3</v>
      </c>
      <c r="F142" s="7" t="s">
        <v>30</v>
      </c>
      <c r="G142" s="8">
        <v>20</v>
      </c>
      <c r="H142" s="7" t="s">
        <v>30</v>
      </c>
      <c r="I142" s="8">
        <v>20</v>
      </c>
      <c r="J142" s="7"/>
      <c r="K142" s="7"/>
      <c r="L142" s="6" t="s">
        <v>36</v>
      </c>
      <c r="M142" s="9" t="s">
        <v>30</v>
      </c>
      <c r="N142" s="7" t="s">
        <v>1657</v>
      </c>
      <c r="P142" t="e">
        <f>IF(N142="","",  IF(N142="Excluded", N142,  IF(N142="included in industry", N142,   _xlfn.XLOOKUP(N142, [1]unittypedata!$AD:$AD,[1]unittypedata!$D:$D)   )))</f>
        <v>#N/A</v>
      </c>
    </row>
    <row r="143" spans="1:16">
      <c r="A143" s="5" t="s">
        <v>385</v>
      </c>
      <c r="B143" s="5" t="s">
        <v>388</v>
      </c>
      <c r="C143" s="6" t="s">
        <v>29</v>
      </c>
      <c r="D143" s="7">
        <v>2009</v>
      </c>
      <c r="E143" s="6">
        <v>2</v>
      </c>
      <c r="F143" s="7" t="s">
        <v>30</v>
      </c>
      <c r="G143" s="8">
        <v>7</v>
      </c>
      <c r="H143" s="7" t="s">
        <v>30</v>
      </c>
      <c r="I143" s="8">
        <v>7</v>
      </c>
      <c r="J143" s="7"/>
      <c r="K143" s="7"/>
      <c r="L143" s="6" t="s">
        <v>36</v>
      </c>
      <c r="M143" s="9" t="s">
        <v>30</v>
      </c>
      <c r="N143" s="7" t="s">
        <v>1657</v>
      </c>
      <c r="P143" t="e">
        <f>IF(N143="","",  IF(N143="Excluded", N143,  IF(N143="included in industry", N143,   _xlfn.XLOOKUP(N143, [1]unittypedata!$AD:$AD,[1]unittypedata!$D:$D)   )))</f>
        <v>#N/A</v>
      </c>
    </row>
    <row r="144" spans="1:16">
      <c r="A144" s="5" t="s">
        <v>385</v>
      </c>
      <c r="B144" s="5" t="s">
        <v>389</v>
      </c>
      <c r="C144" s="6" t="s">
        <v>29</v>
      </c>
      <c r="D144" s="7">
        <v>2015</v>
      </c>
      <c r="E144" s="6">
        <v>2</v>
      </c>
      <c r="F144" s="7" t="s">
        <v>30</v>
      </c>
      <c r="G144" s="8">
        <v>7</v>
      </c>
      <c r="H144" s="7" t="s">
        <v>30</v>
      </c>
      <c r="I144" s="8">
        <v>7</v>
      </c>
      <c r="J144" s="7"/>
      <c r="K144" s="7"/>
      <c r="L144" s="6" t="s">
        <v>46</v>
      </c>
      <c r="M144" s="9" t="s">
        <v>30</v>
      </c>
      <c r="N144" s="7" t="s">
        <v>1653</v>
      </c>
      <c r="P144" t="e">
        <f>IF(N144="","",  IF(N144="Excluded", N144,  IF(N144="included in industry", N144,   _xlfn.XLOOKUP(N144, [1]unittypedata!$AD:$AD,[1]unittypedata!$D:$D)   )))</f>
        <v>#N/A</v>
      </c>
    </row>
    <row r="145" spans="1:16">
      <c r="A145" s="11" t="s">
        <v>385</v>
      </c>
      <c r="B145" s="11" t="s">
        <v>390</v>
      </c>
      <c r="C145" s="12" t="s">
        <v>29</v>
      </c>
      <c r="D145" s="13">
        <v>2020</v>
      </c>
      <c r="E145" s="12">
        <v>2</v>
      </c>
      <c r="F145" s="13" t="s">
        <v>30</v>
      </c>
      <c r="G145" s="14">
        <v>12</v>
      </c>
      <c r="H145" s="13">
        <v>4</v>
      </c>
      <c r="I145" s="14">
        <v>16</v>
      </c>
      <c r="J145" s="13"/>
      <c r="K145" s="13"/>
      <c r="L145" s="12" t="s">
        <v>46</v>
      </c>
      <c r="M145" s="15" t="s">
        <v>30</v>
      </c>
      <c r="N145" s="7" t="s">
        <v>1653</v>
      </c>
      <c r="P145" t="e">
        <f>IF(N145="","",  IF(N145="Excluded", N145,  IF(N145="included in industry", N145,   _xlfn.XLOOKUP(N145, [1]unittypedata!$AD:$AD,[1]unittypedata!$D:$D)   )))</f>
        <v>#N/A</v>
      </c>
    </row>
    <row r="146" spans="1:16">
      <c r="A146" s="5" t="s">
        <v>391</v>
      </c>
      <c r="B146" s="5" t="s">
        <v>392</v>
      </c>
      <c r="C146" s="6" t="s">
        <v>29</v>
      </c>
      <c r="D146" s="7">
        <v>1980</v>
      </c>
      <c r="E146" s="6">
        <v>3</v>
      </c>
      <c r="F146" s="7" t="s">
        <v>30</v>
      </c>
      <c r="G146" s="8">
        <v>19.899999999999999</v>
      </c>
      <c r="H146" s="7">
        <v>2</v>
      </c>
      <c r="I146" s="8">
        <v>21.9</v>
      </c>
      <c r="J146" s="7"/>
      <c r="K146" s="7"/>
      <c r="L146" s="6" t="s">
        <v>46</v>
      </c>
      <c r="M146" s="9" t="s">
        <v>30</v>
      </c>
      <c r="N146" s="7" t="s">
        <v>1653</v>
      </c>
      <c r="P146" t="e">
        <f>IF(N146="","",  IF(N146="Excluded", N146,  IF(N146="included in industry", N146,   _xlfn.XLOOKUP(N146, [1]unittypedata!$AD:$AD,[1]unittypedata!$D:$D)   )))</f>
        <v>#N/A</v>
      </c>
    </row>
    <row r="147" spans="1:16">
      <c r="A147" s="11" t="s">
        <v>391</v>
      </c>
      <c r="B147" s="11" t="s">
        <v>393</v>
      </c>
      <c r="C147" s="12" t="s">
        <v>29</v>
      </c>
      <c r="D147" s="13">
        <v>2009</v>
      </c>
      <c r="E147" s="12">
        <v>1</v>
      </c>
      <c r="F147" s="13" t="s">
        <v>30</v>
      </c>
      <c r="G147" s="14">
        <v>5</v>
      </c>
      <c r="H147" s="13" t="s">
        <v>30</v>
      </c>
      <c r="I147" s="14">
        <v>5</v>
      </c>
      <c r="J147" s="13"/>
      <c r="K147" s="13"/>
      <c r="L147" s="12" t="s">
        <v>46</v>
      </c>
      <c r="M147" s="15" t="s">
        <v>30</v>
      </c>
      <c r="N147" s="7" t="s">
        <v>1653</v>
      </c>
      <c r="P147" t="e">
        <f>IF(N147="","",  IF(N147="Excluded", N147,  IF(N147="included in industry", N147,   _xlfn.XLOOKUP(N147, [1]unittypedata!$AD:$AD,[1]unittypedata!$D:$D)   )))</f>
        <v>#N/A</v>
      </c>
    </row>
    <row r="148" spans="1:16">
      <c r="A148" s="5" t="s">
        <v>394</v>
      </c>
      <c r="B148" s="5" t="s">
        <v>394</v>
      </c>
      <c r="C148" s="6" t="s">
        <v>29</v>
      </c>
      <c r="D148" s="7">
        <v>2008</v>
      </c>
      <c r="E148" s="6">
        <v>2</v>
      </c>
      <c r="F148" s="7" t="s">
        <v>30</v>
      </c>
      <c r="G148" s="8">
        <v>3</v>
      </c>
      <c r="H148" s="7" t="s">
        <v>30</v>
      </c>
      <c r="I148" s="8">
        <v>3</v>
      </c>
      <c r="J148" s="7"/>
      <c r="K148" s="7"/>
      <c r="L148" s="6" t="s">
        <v>46</v>
      </c>
      <c r="M148" s="9" t="s">
        <v>30</v>
      </c>
      <c r="N148" s="7" t="s">
        <v>1653</v>
      </c>
      <c r="P148" t="e">
        <f>IF(N148="","",  IF(N148="Excluded", N148,  IF(N148="included in industry", N148,   _xlfn.XLOOKUP(N148, [1]unittypedata!$AD:$AD,[1]unittypedata!$D:$D)   )))</f>
        <v>#N/A</v>
      </c>
    </row>
    <row r="149" spans="1:16">
      <c r="A149" s="11" t="s">
        <v>394</v>
      </c>
      <c r="B149" s="11" t="s">
        <v>395</v>
      </c>
      <c r="C149" s="12" t="s">
        <v>29</v>
      </c>
      <c r="D149" s="13">
        <v>2017</v>
      </c>
      <c r="E149" s="12">
        <v>1</v>
      </c>
      <c r="F149" s="13" t="s">
        <v>30</v>
      </c>
      <c r="G149" s="14">
        <v>1.5</v>
      </c>
      <c r="H149" s="13" t="s">
        <v>30</v>
      </c>
      <c r="I149" s="14">
        <v>1.5</v>
      </c>
      <c r="J149" s="13"/>
      <c r="K149" s="13"/>
      <c r="L149" s="12" t="s">
        <v>46</v>
      </c>
      <c r="M149" s="15" t="s">
        <v>30</v>
      </c>
      <c r="N149" s="7" t="s">
        <v>1653</v>
      </c>
      <c r="P149" t="e">
        <f>IF(N149="","",  IF(N149="Excluded", N149,  IF(N149="included in industry", N149,   _xlfn.XLOOKUP(N149, [1]unittypedata!$AD:$AD,[1]unittypedata!$D:$D)   )))</f>
        <v>#N/A</v>
      </c>
    </row>
    <row r="150" spans="1:16">
      <c r="A150" s="5" t="s">
        <v>396</v>
      </c>
      <c r="B150" s="5" t="s">
        <v>397</v>
      </c>
      <c r="C150" s="6" t="s">
        <v>29</v>
      </c>
      <c r="D150" s="7">
        <v>1985</v>
      </c>
      <c r="E150" s="6">
        <v>1</v>
      </c>
      <c r="F150" s="7" t="s">
        <v>30</v>
      </c>
      <c r="G150" s="8">
        <v>6</v>
      </c>
      <c r="H150" s="7">
        <v>1.2</v>
      </c>
      <c r="I150" s="8">
        <v>7.2</v>
      </c>
      <c r="J150" s="7"/>
      <c r="K150" s="7"/>
      <c r="L150" s="6" t="s">
        <v>118</v>
      </c>
      <c r="M150" s="9" t="s">
        <v>30</v>
      </c>
      <c r="N150" s="7" t="s">
        <v>1653</v>
      </c>
      <c r="P150" t="e">
        <f>IF(N150="","",  IF(N150="Excluded", N150,  IF(N150="included in industry", N150,   _xlfn.XLOOKUP(N150, [1]unittypedata!$AD:$AD,[1]unittypedata!$D:$D)   )))</f>
        <v>#N/A</v>
      </c>
    </row>
    <row r="151" spans="1:16">
      <c r="A151" s="5" t="s">
        <v>396</v>
      </c>
      <c r="B151" s="5" t="s">
        <v>397</v>
      </c>
      <c r="C151" s="6" t="s">
        <v>29</v>
      </c>
      <c r="D151" s="7">
        <v>2008</v>
      </c>
      <c r="E151" s="6">
        <v>1</v>
      </c>
      <c r="F151" s="7" t="s">
        <v>30</v>
      </c>
      <c r="G151" s="8">
        <v>7.5</v>
      </c>
      <c r="H151" s="7">
        <v>1.5</v>
      </c>
      <c r="I151" s="8">
        <v>9</v>
      </c>
      <c r="J151" s="7"/>
      <c r="K151" s="7"/>
      <c r="L151" s="6" t="s">
        <v>118</v>
      </c>
      <c r="M151" s="9" t="s">
        <v>30</v>
      </c>
      <c r="N151" s="7" t="s">
        <v>1653</v>
      </c>
      <c r="P151" t="e">
        <f>IF(N151="","",  IF(N151="Excluded", N151,  IF(N151="included in industry", N151,   _xlfn.XLOOKUP(N151, [1]unittypedata!$AD:$AD,[1]unittypedata!$D:$D)   )))</f>
        <v>#N/A</v>
      </c>
    </row>
    <row r="152" spans="1:16">
      <c r="A152" s="5" t="s">
        <v>396</v>
      </c>
      <c r="B152" s="5" t="s">
        <v>397</v>
      </c>
      <c r="C152" s="6" t="s">
        <v>29</v>
      </c>
      <c r="D152" s="7">
        <v>1985</v>
      </c>
      <c r="E152" s="6">
        <v>1</v>
      </c>
      <c r="F152" s="7" t="s">
        <v>30</v>
      </c>
      <c r="G152" s="8">
        <v>4</v>
      </c>
      <c r="H152" s="7" t="s">
        <v>30</v>
      </c>
      <c r="I152" s="8">
        <v>4</v>
      </c>
      <c r="J152" s="7"/>
      <c r="K152" s="7"/>
      <c r="L152" s="6" t="s">
        <v>33</v>
      </c>
      <c r="M152" s="9" t="s">
        <v>30</v>
      </c>
      <c r="N152" s="7" t="s">
        <v>1654</v>
      </c>
      <c r="P152" t="e">
        <f>IF(N152="","",  IF(N152="Excluded", N152,  IF(N152="included in industry", N152,   _xlfn.XLOOKUP(N152, [1]unittypedata!$AD:$AD,[1]unittypedata!$D:$D)   )))</f>
        <v>#N/A</v>
      </c>
    </row>
    <row r="153" spans="1:16">
      <c r="A153" s="5" t="s">
        <v>396</v>
      </c>
      <c r="B153" s="5" t="s">
        <v>398</v>
      </c>
      <c r="C153" s="6" t="s">
        <v>29</v>
      </c>
      <c r="D153" s="7">
        <v>2001</v>
      </c>
      <c r="E153" s="6">
        <v>1</v>
      </c>
      <c r="F153" s="7" t="s">
        <v>30</v>
      </c>
      <c r="G153" s="8">
        <v>3.6</v>
      </c>
      <c r="H153" s="7" t="s">
        <v>30</v>
      </c>
      <c r="I153" s="8">
        <v>3.6</v>
      </c>
      <c r="J153" s="7"/>
      <c r="K153" s="7"/>
      <c r="L153" s="6" t="s">
        <v>118</v>
      </c>
      <c r="M153" s="9" t="s">
        <v>30</v>
      </c>
      <c r="N153" s="7" t="s">
        <v>1653</v>
      </c>
      <c r="P153" t="e">
        <f>IF(N153="","",  IF(N153="Excluded", N153,  IF(N153="included in industry", N153,   _xlfn.XLOOKUP(N153, [1]unittypedata!$AD:$AD,[1]unittypedata!$D:$D)   )))</f>
        <v>#N/A</v>
      </c>
    </row>
    <row r="154" spans="1:16">
      <c r="A154" s="5" t="s">
        <v>396</v>
      </c>
      <c r="B154" s="5" t="s">
        <v>398</v>
      </c>
      <c r="C154" s="6" t="s">
        <v>29</v>
      </c>
      <c r="D154" s="7">
        <v>2008</v>
      </c>
      <c r="E154" s="6">
        <v>1</v>
      </c>
      <c r="F154" s="7" t="s">
        <v>30</v>
      </c>
      <c r="G154" s="8">
        <v>4</v>
      </c>
      <c r="H154" s="7" t="s">
        <v>30</v>
      </c>
      <c r="I154" s="8">
        <v>4</v>
      </c>
      <c r="J154" s="7"/>
      <c r="K154" s="7"/>
      <c r="L154" s="6" t="s">
        <v>33</v>
      </c>
      <c r="M154" s="9" t="s">
        <v>30</v>
      </c>
      <c r="N154" s="7" t="s">
        <v>1654</v>
      </c>
      <c r="P154" t="e">
        <f>IF(N154="","",  IF(N154="Excluded", N154,  IF(N154="included in industry", N154,   _xlfn.XLOOKUP(N154, [1]unittypedata!$AD:$AD,[1]unittypedata!$D:$D)   )))</f>
        <v>#N/A</v>
      </c>
    </row>
    <row r="155" spans="1:16">
      <c r="A155" s="5" t="s">
        <v>396</v>
      </c>
      <c r="B155" s="5" t="s">
        <v>399</v>
      </c>
      <c r="C155" s="6" t="s">
        <v>29</v>
      </c>
      <c r="D155" s="7">
        <v>1995</v>
      </c>
      <c r="E155" s="6">
        <v>1</v>
      </c>
      <c r="F155" s="7" t="s">
        <v>30</v>
      </c>
      <c r="G155" s="8">
        <v>2.5</v>
      </c>
      <c r="H155" s="7" t="s">
        <v>30</v>
      </c>
      <c r="I155" s="8">
        <v>2.5</v>
      </c>
      <c r="J155" s="7"/>
      <c r="K155" s="7"/>
      <c r="L155" s="6" t="s">
        <v>33</v>
      </c>
      <c r="M155" s="9" t="s">
        <v>30</v>
      </c>
      <c r="N155" s="7" t="s">
        <v>1654</v>
      </c>
      <c r="P155" t="e">
        <f>IF(N155="","",  IF(N155="Excluded", N155,  IF(N155="included in industry", N155,   _xlfn.XLOOKUP(N155, [1]unittypedata!$AD:$AD,[1]unittypedata!$D:$D)   )))</f>
        <v>#N/A</v>
      </c>
    </row>
    <row r="156" spans="1:16">
      <c r="A156" s="5" t="s">
        <v>396</v>
      </c>
      <c r="B156" s="5" t="s">
        <v>400</v>
      </c>
      <c r="C156" s="6" t="s">
        <v>29</v>
      </c>
      <c r="D156" s="7">
        <v>2019</v>
      </c>
      <c r="E156" s="6">
        <v>1</v>
      </c>
      <c r="F156" s="7" t="s">
        <v>30</v>
      </c>
      <c r="G156" s="8">
        <v>12</v>
      </c>
      <c r="H156" s="7">
        <v>2.4</v>
      </c>
      <c r="I156" s="8">
        <v>14.4</v>
      </c>
      <c r="J156" s="7"/>
      <c r="K156" s="7"/>
      <c r="L156" s="6" t="s">
        <v>118</v>
      </c>
      <c r="M156" s="9" t="s">
        <v>30</v>
      </c>
      <c r="N156" s="7" t="s">
        <v>1653</v>
      </c>
      <c r="P156" t="e">
        <f>IF(N156="","",  IF(N156="Excluded", N156,  IF(N156="included in industry", N156,   _xlfn.XLOOKUP(N156, [1]unittypedata!$AD:$AD,[1]unittypedata!$D:$D)   )))</f>
        <v>#N/A</v>
      </c>
    </row>
    <row r="157" spans="1:16">
      <c r="A157" s="11" t="s">
        <v>396</v>
      </c>
      <c r="B157" s="11" t="s">
        <v>401</v>
      </c>
      <c r="C157" s="12" t="s">
        <v>29</v>
      </c>
      <c r="D157" s="13">
        <v>2020</v>
      </c>
      <c r="E157" s="12">
        <v>1</v>
      </c>
      <c r="F157" s="13" t="s">
        <v>30</v>
      </c>
      <c r="G157" s="14">
        <v>6</v>
      </c>
      <c r="H157" s="13" t="s">
        <v>30</v>
      </c>
      <c r="I157" s="14">
        <v>6</v>
      </c>
      <c r="J157" s="13"/>
      <c r="K157" s="13"/>
      <c r="L157" s="12" t="s">
        <v>31</v>
      </c>
      <c r="M157" s="15" t="s">
        <v>30</v>
      </c>
      <c r="N157" s="7" t="s">
        <v>1654</v>
      </c>
      <c r="P157" t="e">
        <f>IF(N157="","",  IF(N157="Excluded", N157,  IF(N157="included in industry", N157,   _xlfn.XLOOKUP(N157, [1]unittypedata!$AD:$AD,[1]unittypedata!$D:$D)   )))</f>
        <v>#N/A</v>
      </c>
    </row>
    <row r="158" spans="1:16">
      <c r="A158" s="5" t="s">
        <v>402</v>
      </c>
      <c r="B158" s="5" t="s">
        <v>403</v>
      </c>
      <c r="C158" s="6" t="s">
        <v>29</v>
      </c>
      <c r="D158" s="7">
        <v>1980</v>
      </c>
      <c r="E158" s="6">
        <v>3</v>
      </c>
      <c r="F158" s="7" t="s">
        <v>30</v>
      </c>
      <c r="G158" s="8">
        <v>10.5</v>
      </c>
      <c r="H158" s="7">
        <v>0.5</v>
      </c>
      <c r="I158" s="8">
        <v>11</v>
      </c>
      <c r="J158" s="7"/>
      <c r="K158" s="7"/>
      <c r="L158" s="6" t="s">
        <v>118</v>
      </c>
      <c r="M158" s="9" t="s">
        <v>30</v>
      </c>
      <c r="N158" s="7" t="s">
        <v>1653</v>
      </c>
      <c r="P158" t="e">
        <f>IF(N158="","",  IF(N158="Excluded", N158,  IF(N158="included in industry", N158,   _xlfn.XLOOKUP(N158, [1]unittypedata!$AD:$AD,[1]unittypedata!$D:$D)   )))</f>
        <v>#N/A</v>
      </c>
    </row>
    <row r="159" spans="1:16">
      <c r="A159" s="5" t="s">
        <v>402</v>
      </c>
      <c r="B159" s="5" t="s">
        <v>404</v>
      </c>
      <c r="C159" s="6" t="s">
        <v>29</v>
      </c>
      <c r="D159" s="7">
        <v>1984</v>
      </c>
      <c r="E159" s="6">
        <v>4</v>
      </c>
      <c r="F159" s="7" t="s">
        <v>30</v>
      </c>
      <c r="G159" s="8">
        <v>15.5</v>
      </c>
      <c r="H159" s="7">
        <v>1</v>
      </c>
      <c r="I159" s="8">
        <v>16.5</v>
      </c>
      <c r="J159" s="7"/>
      <c r="K159" s="7"/>
      <c r="L159" s="6" t="s">
        <v>118</v>
      </c>
      <c r="M159" s="9" t="s">
        <v>30</v>
      </c>
      <c r="N159" s="7" t="s">
        <v>1653</v>
      </c>
      <c r="P159" t="e">
        <f>IF(N159="","",  IF(N159="Excluded", N159,  IF(N159="included in industry", N159,   _xlfn.XLOOKUP(N159, [1]unittypedata!$AD:$AD,[1]unittypedata!$D:$D)   )))</f>
        <v>#N/A</v>
      </c>
    </row>
    <row r="160" spans="1:16">
      <c r="A160" s="5" t="s">
        <v>402</v>
      </c>
      <c r="B160" s="5" t="s">
        <v>405</v>
      </c>
      <c r="C160" s="6" t="s">
        <v>29</v>
      </c>
      <c r="D160" s="7">
        <v>2015</v>
      </c>
      <c r="E160" s="6">
        <v>1</v>
      </c>
      <c r="F160" s="7" t="s">
        <v>30</v>
      </c>
      <c r="G160" s="8">
        <v>10</v>
      </c>
      <c r="H160" s="7">
        <v>2</v>
      </c>
      <c r="I160" s="8">
        <v>12</v>
      </c>
      <c r="J160" s="7"/>
      <c r="K160" s="7"/>
      <c r="L160" s="6" t="s">
        <v>118</v>
      </c>
      <c r="M160" s="9" t="s">
        <v>30</v>
      </c>
      <c r="N160" s="7" t="s">
        <v>1653</v>
      </c>
      <c r="P160" t="e">
        <f>IF(N160="","",  IF(N160="Excluded", N160,  IF(N160="included in industry", N160,   _xlfn.XLOOKUP(N160, [1]unittypedata!$AD:$AD,[1]unittypedata!$D:$D)   )))</f>
        <v>#N/A</v>
      </c>
    </row>
    <row r="161" spans="1:16">
      <c r="A161" s="5" t="s">
        <v>402</v>
      </c>
      <c r="B161" s="5" t="s">
        <v>406</v>
      </c>
      <c r="C161" s="6" t="s">
        <v>29</v>
      </c>
      <c r="D161" s="7">
        <v>2013</v>
      </c>
      <c r="E161" s="6">
        <v>1</v>
      </c>
      <c r="F161" s="7" t="s">
        <v>30</v>
      </c>
      <c r="G161" s="8">
        <v>3</v>
      </c>
      <c r="H161" s="7">
        <v>0.5</v>
      </c>
      <c r="I161" s="8">
        <v>3.5</v>
      </c>
      <c r="J161" s="7"/>
      <c r="K161" s="7"/>
      <c r="L161" s="6" t="s">
        <v>118</v>
      </c>
      <c r="M161" s="9" t="s">
        <v>30</v>
      </c>
      <c r="N161" s="7" t="s">
        <v>1653</v>
      </c>
      <c r="P161" t="e">
        <f>IF(N161="","",  IF(N161="Excluded", N161,  IF(N161="included in industry", N161,   _xlfn.XLOOKUP(N161, [1]unittypedata!$AD:$AD,[1]unittypedata!$D:$D)   )))</f>
        <v>#N/A</v>
      </c>
    </row>
    <row r="162" spans="1:16">
      <c r="A162" s="5" t="s">
        <v>402</v>
      </c>
      <c r="B162" s="5" t="s">
        <v>407</v>
      </c>
      <c r="C162" s="6" t="s">
        <v>29</v>
      </c>
      <c r="D162" s="7">
        <v>1981</v>
      </c>
      <c r="E162" s="6">
        <v>2</v>
      </c>
      <c r="F162" s="7" t="s">
        <v>30</v>
      </c>
      <c r="G162" s="8">
        <v>4.5</v>
      </c>
      <c r="H162" s="7" t="s">
        <v>30</v>
      </c>
      <c r="I162" s="8">
        <v>4.5</v>
      </c>
      <c r="J162" s="7"/>
      <c r="K162" s="7"/>
      <c r="L162" s="6" t="s">
        <v>31</v>
      </c>
      <c r="M162" s="9" t="s">
        <v>30</v>
      </c>
      <c r="N162" s="7" t="s">
        <v>1654</v>
      </c>
      <c r="P162" t="e">
        <f>IF(N162="","",  IF(N162="Excluded", N162,  IF(N162="included in industry", N162,   _xlfn.XLOOKUP(N162, [1]unittypedata!$AD:$AD,[1]unittypedata!$D:$D)   )))</f>
        <v>#N/A</v>
      </c>
    </row>
    <row r="163" spans="1:16">
      <c r="A163" s="5" t="s">
        <v>402</v>
      </c>
      <c r="B163" s="5" t="s">
        <v>408</v>
      </c>
      <c r="C163" s="6" t="s">
        <v>29</v>
      </c>
      <c r="D163" s="7">
        <v>1980</v>
      </c>
      <c r="E163" s="6">
        <v>3</v>
      </c>
      <c r="F163" s="7" t="s">
        <v>30</v>
      </c>
      <c r="G163" s="8">
        <v>3</v>
      </c>
      <c r="H163" s="7" t="s">
        <v>30</v>
      </c>
      <c r="I163" s="8">
        <v>3</v>
      </c>
      <c r="J163" s="7"/>
      <c r="K163" s="7"/>
      <c r="L163" s="6" t="s">
        <v>118</v>
      </c>
      <c r="M163" s="9" t="s">
        <v>30</v>
      </c>
      <c r="N163" s="7" t="s">
        <v>1653</v>
      </c>
      <c r="P163" t="e">
        <f>IF(N163="","",  IF(N163="Excluded", N163,  IF(N163="included in industry", N163,   _xlfn.XLOOKUP(N163, [1]unittypedata!$AD:$AD,[1]unittypedata!$D:$D)   )))</f>
        <v>#N/A</v>
      </c>
    </row>
    <row r="164" spans="1:16">
      <c r="A164" s="5" t="s">
        <v>402</v>
      </c>
      <c r="B164" s="5" t="s">
        <v>409</v>
      </c>
      <c r="C164" s="6" t="s">
        <v>29</v>
      </c>
      <c r="D164" s="7">
        <v>2003</v>
      </c>
      <c r="E164" s="6">
        <v>1</v>
      </c>
      <c r="F164" s="7" t="s">
        <v>30</v>
      </c>
      <c r="G164" s="8">
        <v>3</v>
      </c>
      <c r="H164" s="7" t="s">
        <v>30</v>
      </c>
      <c r="I164" s="8">
        <v>3</v>
      </c>
      <c r="J164" s="7"/>
      <c r="K164" s="7"/>
      <c r="L164" s="6" t="s">
        <v>31</v>
      </c>
      <c r="M164" s="9" t="s">
        <v>30</v>
      </c>
      <c r="N164" s="7" t="s">
        <v>1654</v>
      </c>
      <c r="P164" t="e">
        <f>IF(N164="","",  IF(N164="Excluded", N164,  IF(N164="included in industry", N164,   _xlfn.XLOOKUP(N164, [1]unittypedata!$AD:$AD,[1]unittypedata!$D:$D)   )))</f>
        <v>#N/A</v>
      </c>
    </row>
    <row r="165" spans="1:16">
      <c r="A165" s="5" t="s">
        <v>402</v>
      </c>
      <c r="B165" s="5" t="s">
        <v>410</v>
      </c>
      <c r="C165" s="6" t="s">
        <v>48</v>
      </c>
      <c r="D165" s="7">
        <v>2015</v>
      </c>
      <c r="E165" s="6" t="s">
        <v>30</v>
      </c>
      <c r="F165" s="7" t="s">
        <v>30</v>
      </c>
      <c r="G165" s="8" t="s">
        <v>30</v>
      </c>
      <c r="H165" s="7" t="s">
        <v>30</v>
      </c>
      <c r="I165" s="8">
        <v>1</v>
      </c>
      <c r="J165" s="7"/>
      <c r="K165" s="7"/>
      <c r="L165" s="6" t="s">
        <v>30</v>
      </c>
      <c r="M165" s="9">
        <v>1</v>
      </c>
      <c r="N165" s="7" t="s">
        <v>1613</v>
      </c>
      <c r="P165" t="str">
        <f>IF(N165="","",  IF(N165="Excluded", N165,  IF(N165="included in industry", N165,   _xlfn.XLOOKUP(N165, [1]unittypedata!$AD:$AD,[1]unittypedata!$D:$D)   )))</f>
        <v>GSHP</v>
      </c>
    </row>
    <row r="166" spans="1:16">
      <c r="A166" s="11" t="s">
        <v>402</v>
      </c>
      <c r="B166" s="11" t="s">
        <v>411</v>
      </c>
      <c r="C166" s="12" t="s">
        <v>48</v>
      </c>
      <c r="D166" s="13">
        <v>2022</v>
      </c>
      <c r="E166" s="12" t="s">
        <v>30</v>
      </c>
      <c r="F166" s="13" t="s">
        <v>30</v>
      </c>
      <c r="G166" s="14" t="s">
        <v>30</v>
      </c>
      <c r="H166" s="13" t="s">
        <v>30</v>
      </c>
      <c r="I166" s="14">
        <v>0.9</v>
      </c>
      <c r="J166" s="13"/>
      <c r="K166" s="13"/>
      <c r="L166" s="12" t="s">
        <v>30</v>
      </c>
      <c r="M166" s="15">
        <v>0.9</v>
      </c>
      <c r="N166" s="7" t="s">
        <v>1613</v>
      </c>
      <c r="P166" t="str">
        <f>IF(N166="","",  IF(N166="Excluded", N166,  IF(N166="included in industry", N166,   _xlfn.XLOOKUP(N166, [1]unittypedata!$AD:$AD,[1]unittypedata!$D:$D)   )))</f>
        <v>GSHP</v>
      </c>
    </row>
    <row r="167" spans="1:16">
      <c r="A167" s="5" t="s">
        <v>412</v>
      </c>
      <c r="B167" s="5" t="s">
        <v>413</v>
      </c>
      <c r="C167" s="6" t="s">
        <v>29</v>
      </c>
      <c r="D167" s="7">
        <v>1993</v>
      </c>
      <c r="E167" s="6">
        <v>2</v>
      </c>
      <c r="F167" s="7" t="s">
        <v>30</v>
      </c>
      <c r="G167" s="8">
        <v>9</v>
      </c>
      <c r="H167" s="7" t="s">
        <v>30</v>
      </c>
      <c r="I167" s="8">
        <v>9</v>
      </c>
      <c r="J167" s="7"/>
      <c r="K167" s="7"/>
      <c r="L167" s="6" t="s">
        <v>33</v>
      </c>
      <c r="M167" s="9" t="s">
        <v>30</v>
      </c>
      <c r="N167" s="7" t="s">
        <v>1654</v>
      </c>
      <c r="P167" t="e">
        <f>IF(N167="","",  IF(N167="Excluded", N167,  IF(N167="included in industry", N167,   _xlfn.XLOOKUP(N167, [1]unittypedata!$AD:$AD,[1]unittypedata!$D:$D)   )))</f>
        <v>#N/A</v>
      </c>
    </row>
    <row r="168" spans="1:16">
      <c r="A168" s="11" t="s">
        <v>412</v>
      </c>
      <c r="B168" s="11" t="s">
        <v>413</v>
      </c>
      <c r="C168" s="12" t="s">
        <v>29</v>
      </c>
      <c r="D168" s="13">
        <v>2001</v>
      </c>
      <c r="E168" s="12">
        <v>1</v>
      </c>
      <c r="F168" s="13" t="s">
        <v>30</v>
      </c>
      <c r="G168" s="14">
        <v>4</v>
      </c>
      <c r="H168" s="13">
        <v>0.1</v>
      </c>
      <c r="I168" s="14">
        <v>4.0999999999999996</v>
      </c>
      <c r="J168" s="13"/>
      <c r="K168" s="13"/>
      <c r="L168" s="12" t="s">
        <v>46</v>
      </c>
      <c r="M168" s="15" t="s">
        <v>30</v>
      </c>
      <c r="N168" s="7" t="s">
        <v>1653</v>
      </c>
      <c r="P168" t="e">
        <f>IF(N168="","",  IF(N168="Excluded", N168,  IF(N168="included in industry", N168,   _xlfn.XLOOKUP(N168, [1]unittypedata!$AD:$AD,[1]unittypedata!$D:$D)   )))</f>
        <v>#N/A</v>
      </c>
    </row>
    <row r="169" spans="1:16">
      <c r="A169" s="5" t="s">
        <v>414</v>
      </c>
      <c r="B169" s="5" t="s">
        <v>415</v>
      </c>
      <c r="C169" s="6" t="s">
        <v>29</v>
      </c>
      <c r="D169" s="7">
        <v>1983</v>
      </c>
      <c r="E169" s="6">
        <v>2</v>
      </c>
      <c r="F169" s="7" t="s">
        <v>30</v>
      </c>
      <c r="G169" s="8" t="s">
        <v>158</v>
      </c>
      <c r="H169" s="7" t="s">
        <v>158</v>
      </c>
      <c r="I169" s="8">
        <v>32</v>
      </c>
      <c r="J169" s="7"/>
      <c r="K169" s="7"/>
      <c r="L169" s="6" t="s">
        <v>118</v>
      </c>
      <c r="M169" s="9" t="s">
        <v>30</v>
      </c>
      <c r="N169" s="7" t="s">
        <v>1653</v>
      </c>
      <c r="P169" t="e">
        <f>IF(N169="","",  IF(N169="Excluded", N169,  IF(N169="included in industry", N169,   _xlfn.XLOOKUP(N169, [1]unittypedata!$AD:$AD,[1]unittypedata!$D:$D)   )))</f>
        <v>#N/A</v>
      </c>
    </row>
    <row r="170" spans="1:16">
      <c r="A170" s="5" t="s">
        <v>414</v>
      </c>
      <c r="B170" s="5" t="s">
        <v>416</v>
      </c>
      <c r="C170" s="6" t="s">
        <v>29</v>
      </c>
      <c r="D170" s="7">
        <v>1980</v>
      </c>
      <c r="E170" s="6">
        <v>2</v>
      </c>
      <c r="F170" s="7" t="s">
        <v>30</v>
      </c>
      <c r="G170" s="8" t="s">
        <v>158</v>
      </c>
      <c r="H170" s="7" t="s">
        <v>158</v>
      </c>
      <c r="I170" s="8">
        <v>4.4000000000000004</v>
      </c>
      <c r="J170" s="7"/>
      <c r="K170" s="7"/>
      <c r="L170" s="6" t="s">
        <v>31</v>
      </c>
      <c r="M170" s="9" t="s">
        <v>30</v>
      </c>
      <c r="N170" s="7" t="s">
        <v>1654</v>
      </c>
      <c r="P170" t="e">
        <f>IF(N170="","",  IF(N170="Excluded", N170,  IF(N170="included in industry", N170,   _xlfn.XLOOKUP(N170, [1]unittypedata!$AD:$AD,[1]unittypedata!$D:$D)   )))</f>
        <v>#N/A</v>
      </c>
    </row>
    <row r="171" spans="1:16">
      <c r="A171" s="5" t="s">
        <v>414</v>
      </c>
      <c r="B171" s="5" t="s">
        <v>417</v>
      </c>
      <c r="C171" s="6" t="s">
        <v>29</v>
      </c>
      <c r="D171" s="7">
        <v>1978</v>
      </c>
      <c r="E171" s="6">
        <v>3</v>
      </c>
      <c r="F171" s="7" t="s">
        <v>30</v>
      </c>
      <c r="G171" s="8" t="s">
        <v>158</v>
      </c>
      <c r="H171" s="7" t="s">
        <v>158</v>
      </c>
      <c r="I171" s="8">
        <v>7</v>
      </c>
      <c r="J171" s="7"/>
      <c r="K171" s="7"/>
      <c r="L171" s="6" t="s">
        <v>31</v>
      </c>
      <c r="M171" s="9" t="s">
        <v>30</v>
      </c>
      <c r="N171" s="7" t="s">
        <v>1654</v>
      </c>
      <c r="P171" t="e">
        <f>IF(N171="","",  IF(N171="Excluded", N171,  IF(N171="included in industry", N171,   _xlfn.XLOOKUP(N171, [1]unittypedata!$AD:$AD,[1]unittypedata!$D:$D)   )))</f>
        <v>#N/A</v>
      </c>
    </row>
    <row r="172" spans="1:16">
      <c r="A172" s="5" t="s">
        <v>414</v>
      </c>
      <c r="B172" s="5" t="s">
        <v>418</v>
      </c>
      <c r="C172" s="6" t="s">
        <v>29</v>
      </c>
      <c r="D172" s="7">
        <v>2010</v>
      </c>
      <c r="E172" s="6">
        <v>2</v>
      </c>
      <c r="F172" s="7" t="s">
        <v>30</v>
      </c>
      <c r="G172" s="8" t="s">
        <v>158</v>
      </c>
      <c r="H172" s="7" t="s">
        <v>158</v>
      </c>
      <c r="I172" s="8">
        <v>3.5</v>
      </c>
      <c r="J172" s="7"/>
      <c r="K172" s="7"/>
      <c r="L172" s="6" t="s">
        <v>253</v>
      </c>
      <c r="M172" s="9" t="s">
        <v>30</v>
      </c>
      <c r="N172" s="7" t="s">
        <v>1653</v>
      </c>
      <c r="P172" t="e">
        <f>IF(N172="","",  IF(N172="Excluded", N172,  IF(N172="included in industry", N172,   _xlfn.XLOOKUP(N172, [1]unittypedata!$AD:$AD,[1]unittypedata!$D:$D)   )))</f>
        <v>#N/A</v>
      </c>
    </row>
    <row r="173" spans="1:16">
      <c r="A173" s="11" t="s">
        <v>414</v>
      </c>
      <c r="B173" s="11" t="s">
        <v>419</v>
      </c>
      <c r="C173" s="12" t="s">
        <v>52</v>
      </c>
      <c r="D173" s="13">
        <v>2010</v>
      </c>
      <c r="E173" s="12">
        <v>1</v>
      </c>
      <c r="F173" s="13">
        <v>15.5</v>
      </c>
      <c r="G173" s="14" t="s">
        <v>30</v>
      </c>
      <c r="H173" s="13" t="s">
        <v>158</v>
      </c>
      <c r="I173" s="14">
        <v>16</v>
      </c>
      <c r="J173" s="13">
        <v>4.5</v>
      </c>
      <c r="K173" s="13"/>
      <c r="L173" s="12" t="s">
        <v>118</v>
      </c>
      <c r="M173" s="15" t="s">
        <v>30</v>
      </c>
      <c r="N173" s="7" t="s">
        <v>1656</v>
      </c>
      <c r="P173" t="e">
        <f>IF(N173="","",  IF(N173="Excluded", N173,  IF(N173="included in industry", N173,   _xlfn.XLOOKUP(N173, [1]unittypedata!$AD:$AD,[1]unittypedata!$D:$D)   )))</f>
        <v>#N/A</v>
      </c>
    </row>
    <row r="174" spans="1:16">
      <c r="A174" s="5" t="s">
        <v>420</v>
      </c>
      <c r="B174" s="5" t="s">
        <v>421</v>
      </c>
      <c r="C174" s="6" t="s">
        <v>29</v>
      </c>
      <c r="D174" s="7">
        <v>1978</v>
      </c>
      <c r="E174" s="6">
        <v>3</v>
      </c>
      <c r="F174" s="7" t="s">
        <v>30</v>
      </c>
      <c r="G174" s="8">
        <v>30</v>
      </c>
      <c r="H174" s="7" t="s">
        <v>30</v>
      </c>
      <c r="I174" s="8">
        <v>30</v>
      </c>
      <c r="J174" s="7"/>
      <c r="K174" s="7"/>
      <c r="L174" s="6" t="s">
        <v>33</v>
      </c>
      <c r="M174" s="9" t="s">
        <v>30</v>
      </c>
      <c r="N174" s="7" t="s">
        <v>1654</v>
      </c>
      <c r="P174" t="e">
        <f>IF(N174="","",  IF(N174="Excluded", N174,  IF(N174="included in industry", N174,   _xlfn.XLOOKUP(N174, [1]unittypedata!$AD:$AD,[1]unittypedata!$D:$D)   )))</f>
        <v>#N/A</v>
      </c>
    </row>
    <row r="175" spans="1:16">
      <c r="A175" s="5" t="s">
        <v>420</v>
      </c>
      <c r="B175" s="5" t="s">
        <v>422</v>
      </c>
      <c r="C175" s="6" t="s">
        <v>29</v>
      </c>
      <c r="D175" s="7">
        <v>2006</v>
      </c>
      <c r="E175" s="6">
        <v>2</v>
      </c>
      <c r="F175" s="7" t="s">
        <v>30</v>
      </c>
      <c r="G175" s="8">
        <v>36.5</v>
      </c>
      <c r="H175" s="7">
        <v>7.5</v>
      </c>
      <c r="I175" s="8">
        <v>44</v>
      </c>
      <c r="J175" s="7"/>
      <c r="K175" s="7"/>
      <c r="L175" s="6" t="s">
        <v>118</v>
      </c>
      <c r="M175" s="9" t="s">
        <v>30</v>
      </c>
      <c r="N175" s="7" t="s">
        <v>1653</v>
      </c>
      <c r="P175" t="e">
        <f>IF(N175="","",  IF(N175="Excluded", N175,  IF(N175="included in industry", N175,   _xlfn.XLOOKUP(N175, [1]unittypedata!$AD:$AD,[1]unittypedata!$D:$D)   )))</f>
        <v>#N/A</v>
      </c>
    </row>
    <row r="176" spans="1:16">
      <c r="A176" s="11" t="s">
        <v>420</v>
      </c>
      <c r="B176" s="11" t="s">
        <v>423</v>
      </c>
      <c r="C176" s="12" t="s">
        <v>29</v>
      </c>
      <c r="D176" s="13">
        <v>2021</v>
      </c>
      <c r="E176" s="12">
        <v>1</v>
      </c>
      <c r="F176" s="13" t="s">
        <v>30</v>
      </c>
      <c r="G176" s="14">
        <v>20</v>
      </c>
      <c r="H176" s="13">
        <v>5</v>
      </c>
      <c r="I176" s="14">
        <v>25</v>
      </c>
      <c r="J176" s="13"/>
      <c r="K176" s="13"/>
      <c r="L176" s="12" t="s">
        <v>118</v>
      </c>
      <c r="M176" s="15" t="s">
        <v>30</v>
      </c>
      <c r="N176" s="7" t="s">
        <v>1653</v>
      </c>
      <c r="P176" t="e">
        <f>IF(N176="","",  IF(N176="Excluded", N176,  IF(N176="included in industry", N176,   _xlfn.XLOOKUP(N176, [1]unittypedata!$AD:$AD,[1]unittypedata!$D:$D)   )))</f>
        <v>#N/A</v>
      </c>
    </row>
    <row r="177" spans="1:16">
      <c r="A177" s="5" t="s">
        <v>424</v>
      </c>
      <c r="B177" s="5" t="s">
        <v>425</v>
      </c>
      <c r="C177" s="6" t="s">
        <v>29</v>
      </c>
      <c r="D177" s="7">
        <v>1998</v>
      </c>
      <c r="E177" s="6">
        <v>3</v>
      </c>
      <c r="F177" s="7" t="s">
        <v>30</v>
      </c>
      <c r="G177" s="8">
        <v>14</v>
      </c>
      <c r="H177" s="7" t="s">
        <v>30</v>
      </c>
      <c r="I177" s="8">
        <v>14</v>
      </c>
      <c r="J177" s="7"/>
      <c r="K177" s="7"/>
      <c r="L177" s="6" t="s">
        <v>118</v>
      </c>
      <c r="M177" s="9" t="s">
        <v>30</v>
      </c>
      <c r="N177" s="7" t="s">
        <v>1653</v>
      </c>
      <c r="P177" t="e">
        <f>IF(N177="","",  IF(N177="Excluded", N177,  IF(N177="included in industry", N177,   _xlfn.XLOOKUP(N177, [1]unittypedata!$AD:$AD,[1]unittypedata!$D:$D)   )))</f>
        <v>#N/A</v>
      </c>
    </row>
    <row r="178" spans="1:16">
      <c r="A178" s="11" t="s">
        <v>424</v>
      </c>
      <c r="B178" s="11" t="s">
        <v>426</v>
      </c>
      <c r="C178" s="12" t="s">
        <v>29</v>
      </c>
      <c r="D178" s="13">
        <v>2002</v>
      </c>
      <c r="E178" s="12">
        <v>1</v>
      </c>
      <c r="F178" s="13" t="s">
        <v>30</v>
      </c>
      <c r="G178" s="14">
        <v>4</v>
      </c>
      <c r="H178" s="13" t="s">
        <v>30</v>
      </c>
      <c r="I178" s="14">
        <v>4</v>
      </c>
      <c r="J178" s="13"/>
      <c r="K178" s="13"/>
      <c r="L178" s="12" t="s">
        <v>33</v>
      </c>
      <c r="M178" s="15" t="s">
        <v>30</v>
      </c>
      <c r="N178" s="7" t="s">
        <v>1654</v>
      </c>
      <c r="P178" t="e">
        <f>IF(N178="","",  IF(N178="Excluded", N178,  IF(N178="included in industry", N178,   _xlfn.XLOOKUP(N178, [1]unittypedata!$AD:$AD,[1]unittypedata!$D:$D)   )))</f>
        <v>#N/A</v>
      </c>
    </row>
    <row r="179" spans="1:16">
      <c r="A179" s="5" t="s">
        <v>427</v>
      </c>
      <c r="B179" s="5" t="s">
        <v>428</v>
      </c>
      <c r="C179" s="6" t="s">
        <v>29</v>
      </c>
      <c r="D179" s="7">
        <v>1985</v>
      </c>
      <c r="E179" s="6">
        <v>1</v>
      </c>
      <c r="F179" s="7" t="s">
        <v>30</v>
      </c>
      <c r="G179" s="8">
        <v>20</v>
      </c>
      <c r="H179" s="7" t="s">
        <v>30</v>
      </c>
      <c r="I179" s="8">
        <v>20</v>
      </c>
      <c r="J179" s="7"/>
      <c r="K179" s="7"/>
      <c r="L179" s="6" t="s">
        <v>46</v>
      </c>
      <c r="M179" s="9" t="s">
        <v>30</v>
      </c>
      <c r="N179" s="7" t="s">
        <v>1653</v>
      </c>
      <c r="P179" t="e">
        <f>IF(N179="","",  IF(N179="Excluded", N179,  IF(N179="included in industry", N179,   _xlfn.XLOOKUP(N179, [1]unittypedata!$AD:$AD,[1]unittypedata!$D:$D)   )))</f>
        <v>#N/A</v>
      </c>
    </row>
    <row r="180" spans="1:16">
      <c r="A180" s="5" t="s">
        <v>427</v>
      </c>
      <c r="B180" s="5" t="s">
        <v>428</v>
      </c>
      <c r="C180" s="6" t="s">
        <v>29</v>
      </c>
      <c r="D180" s="7">
        <v>1976</v>
      </c>
      <c r="E180" s="6">
        <v>2</v>
      </c>
      <c r="F180" s="7" t="s">
        <v>30</v>
      </c>
      <c r="G180" s="8">
        <v>24</v>
      </c>
      <c r="H180" s="7" t="s">
        <v>30</v>
      </c>
      <c r="I180" s="8">
        <v>24</v>
      </c>
      <c r="J180" s="7"/>
      <c r="K180" s="7"/>
      <c r="L180" s="6" t="s">
        <v>36</v>
      </c>
      <c r="M180" s="9" t="s">
        <v>30</v>
      </c>
      <c r="N180" s="7" t="s">
        <v>1657</v>
      </c>
      <c r="P180" t="e">
        <f>IF(N180="","",  IF(N180="Excluded", N180,  IF(N180="included in industry", N180,   _xlfn.XLOOKUP(N180, [1]unittypedata!$AD:$AD,[1]unittypedata!$D:$D)   )))</f>
        <v>#N/A</v>
      </c>
    </row>
    <row r="181" spans="1:16">
      <c r="A181" s="5" t="s">
        <v>427</v>
      </c>
      <c r="B181" s="5" t="s">
        <v>428</v>
      </c>
      <c r="C181" s="6" t="s">
        <v>29</v>
      </c>
      <c r="D181" s="7">
        <v>1976</v>
      </c>
      <c r="E181" s="6">
        <v>1</v>
      </c>
      <c r="F181" s="7" t="s">
        <v>30</v>
      </c>
      <c r="G181" s="8">
        <v>12</v>
      </c>
      <c r="H181" s="7" t="s">
        <v>30</v>
      </c>
      <c r="I181" s="8">
        <v>12</v>
      </c>
      <c r="J181" s="7"/>
      <c r="K181" s="7"/>
      <c r="L181" s="6" t="s">
        <v>31</v>
      </c>
      <c r="M181" s="9" t="s">
        <v>30</v>
      </c>
      <c r="N181" s="7" t="s">
        <v>1654</v>
      </c>
      <c r="P181" t="e">
        <f>IF(N181="","",  IF(N181="Excluded", N181,  IF(N181="included in industry", N181,   _xlfn.XLOOKUP(N181, [1]unittypedata!$AD:$AD,[1]unittypedata!$D:$D)   )))</f>
        <v>#N/A</v>
      </c>
    </row>
    <row r="182" spans="1:16">
      <c r="A182" s="5" t="s">
        <v>427</v>
      </c>
      <c r="B182" s="5" t="s">
        <v>429</v>
      </c>
      <c r="C182" s="6" t="s">
        <v>29</v>
      </c>
      <c r="D182" s="7">
        <v>1989</v>
      </c>
      <c r="E182" s="6">
        <v>1</v>
      </c>
      <c r="F182" s="7" t="s">
        <v>30</v>
      </c>
      <c r="G182" s="8">
        <v>12</v>
      </c>
      <c r="H182" s="7" t="s">
        <v>30</v>
      </c>
      <c r="I182" s="8">
        <v>12</v>
      </c>
      <c r="J182" s="7"/>
      <c r="K182" s="7"/>
      <c r="L182" s="6" t="s">
        <v>36</v>
      </c>
      <c r="M182" s="9" t="s">
        <v>30</v>
      </c>
      <c r="N182" s="7" t="s">
        <v>1657</v>
      </c>
      <c r="P182" t="e">
        <f>IF(N182="","",  IF(N182="Excluded", N182,  IF(N182="included in industry", N182,   _xlfn.XLOOKUP(N182, [1]unittypedata!$AD:$AD,[1]unittypedata!$D:$D)   )))</f>
        <v>#N/A</v>
      </c>
    </row>
    <row r="183" spans="1:16">
      <c r="A183" s="5" t="s">
        <v>427</v>
      </c>
      <c r="B183" s="5" t="s">
        <v>430</v>
      </c>
      <c r="C183" s="6" t="s">
        <v>29</v>
      </c>
      <c r="D183" s="7">
        <v>1991</v>
      </c>
      <c r="E183" s="6">
        <v>2</v>
      </c>
      <c r="F183" s="7" t="s">
        <v>30</v>
      </c>
      <c r="G183" s="8">
        <v>16</v>
      </c>
      <c r="H183" s="7" t="s">
        <v>30</v>
      </c>
      <c r="I183" s="8">
        <v>16</v>
      </c>
      <c r="J183" s="7"/>
      <c r="K183" s="7"/>
      <c r="L183" s="6" t="s">
        <v>36</v>
      </c>
      <c r="M183" s="9" t="s">
        <v>30</v>
      </c>
      <c r="N183" s="7" t="s">
        <v>1657</v>
      </c>
      <c r="P183" t="e">
        <f>IF(N183="","",  IF(N183="Excluded", N183,  IF(N183="included in industry", N183,   _xlfn.XLOOKUP(N183, [1]unittypedata!$AD:$AD,[1]unittypedata!$D:$D)   )))</f>
        <v>#N/A</v>
      </c>
    </row>
    <row r="184" spans="1:16">
      <c r="A184" s="5" t="s">
        <v>427</v>
      </c>
      <c r="B184" s="5" t="s">
        <v>431</v>
      </c>
      <c r="C184" s="6" t="s">
        <v>29</v>
      </c>
      <c r="D184" s="7">
        <v>1989</v>
      </c>
      <c r="E184" s="6">
        <v>1</v>
      </c>
      <c r="F184" s="7" t="s">
        <v>30</v>
      </c>
      <c r="G184" s="8">
        <v>8</v>
      </c>
      <c r="H184" s="7" t="s">
        <v>30</v>
      </c>
      <c r="I184" s="8">
        <v>8</v>
      </c>
      <c r="J184" s="7"/>
      <c r="K184" s="7"/>
      <c r="L184" s="6" t="s">
        <v>36</v>
      </c>
      <c r="M184" s="9" t="s">
        <v>30</v>
      </c>
      <c r="N184" s="7" t="s">
        <v>1657</v>
      </c>
      <c r="P184" t="e">
        <f>IF(N184="","",  IF(N184="Excluded", N184,  IF(N184="included in industry", N184,   _xlfn.XLOOKUP(N184, [1]unittypedata!$AD:$AD,[1]unittypedata!$D:$D)   )))</f>
        <v>#N/A</v>
      </c>
    </row>
    <row r="185" spans="1:16">
      <c r="A185" s="5" t="s">
        <v>427</v>
      </c>
      <c r="B185" s="5" t="s">
        <v>432</v>
      </c>
      <c r="C185" s="6" t="s">
        <v>29</v>
      </c>
      <c r="D185" s="7">
        <v>2004</v>
      </c>
      <c r="E185" s="6">
        <v>1</v>
      </c>
      <c r="F185" s="7" t="s">
        <v>30</v>
      </c>
      <c r="G185" s="8">
        <v>12</v>
      </c>
      <c r="H185" s="7" t="s">
        <v>30</v>
      </c>
      <c r="I185" s="8">
        <v>12</v>
      </c>
      <c r="J185" s="7"/>
      <c r="K185" s="7"/>
      <c r="L185" s="6" t="s">
        <v>31</v>
      </c>
      <c r="M185" s="9" t="s">
        <v>30</v>
      </c>
      <c r="N185" s="7" t="s">
        <v>1654</v>
      </c>
      <c r="P185" t="e">
        <f>IF(N185="","",  IF(N185="Excluded", N185,  IF(N185="included in industry", N185,   _xlfn.XLOOKUP(N185, [1]unittypedata!$AD:$AD,[1]unittypedata!$D:$D)   )))</f>
        <v>#N/A</v>
      </c>
    </row>
    <row r="186" spans="1:16">
      <c r="A186" s="5" t="s">
        <v>427</v>
      </c>
      <c r="B186" s="5" t="s">
        <v>433</v>
      </c>
      <c r="C186" s="6" t="s">
        <v>29</v>
      </c>
      <c r="D186" s="7">
        <v>2004</v>
      </c>
      <c r="E186" s="6">
        <v>1</v>
      </c>
      <c r="F186" s="7" t="s">
        <v>30</v>
      </c>
      <c r="G186" s="8">
        <v>10</v>
      </c>
      <c r="H186" s="7" t="s">
        <v>30</v>
      </c>
      <c r="I186" s="8">
        <v>10</v>
      </c>
      <c r="J186" s="7"/>
      <c r="K186" s="7"/>
      <c r="L186" s="6" t="s">
        <v>36</v>
      </c>
      <c r="M186" s="9" t="s">
        <v>30</v>
      </c>
      <c r="N186" s="7" t="s">
        <v>1657</v>
      </c>
      <c r="P186" t="e">
        <f>IF(N186="","",  IF(N186="Excluded", N186,  IF(N186="included in industry", N186,   _xlfn.XLOOKUP(N186, [1]unittypedata!$AD:$AD,[1]unittypedata!$D:$D)   )))</f>
        <v>#N/A</v>
      </c>
    </row>
    <row r="187" spans="1:16">
      <c r="A187" s="5" t="s">
        <v>427</v>
      </c>
      <c r="B187" s="5" t="s">
        <v>430</v>
      </c>
      <c r="C187" s="6" t="s">
        <v>75</v>
      </c>
      <c r="D187" s="7">
        <v>1991</v>
      </c>
      <c r="E187" s="6" t="s">
        <v>30</v>
      </c>
      <c r="F187" s="7" t="s">
        <v>30</v>
      </c>
      <c r="G187" s="8" t="s">
        <v>30</v>
      </c>
      <c r="H187" s="7" t="s">
        <v>30</v>
      </c>
      <c r="I187" s="8">
        <v>8.4</v>
      </c>
      <c r="J187" s="7">
        <v>4.0999999999999996</v>
      </c>
      <c r="K187" s="7"/>
      <c r="L187" s="6" t="s">
        <v>36</v>
      </c>
      <c r="M187" s="9" t="s">
        <v>30</v>
      </c>
      <c r="N187" s="7" t="s">
        <v>1658</v>
      </c>
      <c r="P187" t="e">
        <f>IF(N187="","",  IF(N187="Excluded", N187,  IF(N187="included in industry", N187,   _xlfn.XLOOKUP(N187, [1]unittypedata!$AD:$AD,[1]unittypedata!$D:$D)   )))</f>
        <v>#N/A</v>
      </c>
    </row>
    <row r="188" spans="1:16">
      <c r="A188" s="11" t="s">
        <v>427</v>
      </c>
      <c r="B188" s="11" t="s">
        <v>429</v>
      </c>
      <c r="C188" s="12" t="s">
        <v>75</v>
      </c>
      <c r="D188" s="13">
        <v>1989</v>
      </c>
      <c r="E188" s="12" t="s">
        <v>30</v>
      </c>
      <c r="F188" s="13" t="s">
        <v>30</v>
      </c>
      <c r="G188" s="14" t="s">
        <v>30</v>
      </c>
      <c r="H188" s="13" t="s">
        <v>30</v>
      </c>
      <c r="I188" s="14">
        <v>8.4</v>
      </c>
      <c r="J188" s="13">
        <v>4.0999999999999996</v>
      </c>
      <c r="K188" s="13"/>
      <c r="L188" s="12" t="s">
        <v>36</v>
      </c>
      <c r="M188" s="15" t="s">
        <v>30</v>
      </c>
      <c r="N188" s="7" t="s">
        <v>1658</v>
      </c>
      <c r="P188" t="e">
        <f>IF(N188="","",  IF(N188="Excluded", N188,  IF(N188="included in industry", N188,   _xlfn.XLOOKUP(N188, [1]unittypedata!$AD:$AD,[1]unittypedata!$D:$D)   )))</f>
        <v>#N/A</v>
      </c>
    </row>
    <row r="189" spans="1:16">
      <c r="A189" s="5" t="s">
        <v>434</v>
      </c>
      <c r="B189" s="5" t="s">
        <v>435</v>
      </c>
      <c r="C189" s="6" t="s">
        <v>29</v>
      </c>
      <c r="D189" s="7">
        <v>2002</v>
      </c>
      <c r="E189" s="6">
        <v>2</v>
      </c>
      <c r="F189" s="7" t="s">
        <v>30</v>
      </c>
      <c r="G189" s="8">
        <v>4.5</v>
      </c>
      <c r="H189" s="7" t="s">
        <v>30</v>
      </c>
      <c r="I189" s="8">
        <v>4.5</v>
      </c>
      <c r="J189" s="7"/>
      <c r="K189" s="7"/>
      <c r="L189" s="6" t="s">
        <v>36</v>
      </c>
      <c r="M189" s="9" t="s">
        <v>30</v>
      </c>
      <c r="N189" s="7" t="s">
        <v>1657</v>
      </c>
      <c r="P189" t="e">
        <f>IF(N189="","",  IF(N189="Excluded", N189,  IF(N189="included in industry", N189,   _xlfn.XLOOKUP(N189, [1]unittypedata!$AD:$AD,[1]unittypedata!$D:$D)   )))</f>
        <v>#N/A</v>
      </c>
    </row>
    <row r="190" spans="1:16">
      <c r="A190" s="5" t="s">
        <v>434</v>
      </c>
      <c r="B190" s="5" t="s">
        <v>436</v>
      </c>
      <c r="C190" s="6" t="s">
        <v>29</v>
      </c>
      <c r="D190" s="7" t="s">
        <v>158</v>
      </c>
      <c r="E190" s="6">
        <v>3</v>
      </c>
      <c r="F190" s="7" t="s">
        <v>30</v>
      </c>
      <c r="G190" s="8">
        <v>12.4</v>
      </c>
      <c r="H190" s="7" t="s">
        <v>30</v>
      </c>
      <c r="I190" s="8">
        <v>12.4</v>
      </c>
      <c r="J190" s="7"/>
      <c r="K190" s="7"/>
      <c r="L190" s="6" t="s">
        <v>36</v>
      </c>
      <c r="M190" s="9" t="s">
        <v>30</v>
      </c>
      <c r="N190" s="7" t="s">
        <v>1657</v>
      </c>
      <c r="P190" t="e">
        <f>IF(N190="","",  IF(N190="Excluded", N190,  IF(N190="included in industry", N190,   _xlfn.XLOOKUP(N190, [1]unittypedata!$AD:$AD,[1]unittypedata!$D:$D)   )))</f>
        <v>#N/A</v>
      </c>
    </row>
    <row r="191" spans="1:16">
      <c r="A191" s="5" t="s">
        <v>434</v>
      </c>
      <c r="B191" s="5" t="s">
        <v>437</v>
      </c>
      <c r="C191" s="6" t="s">
        <v>29</v>
      </c>
      <c r="D191" s="7" t="s">
        <v>158</v>
      </c>
      <c r="E191" s="6">
        <v>3</v>
      </c>
      <c r="F191" s="7" t="s">
        <v>30</v>
      </c>
      <c r="G191" s="8">
        <v>10</v>
      </c>
      <c r="H191" s="7" t="s">
        <v>30</v>
      </c>
      <c r="I191" s="8">
        <v>10</v>
      </c>
      <c r="J191" s="7"/>
      <c r="K191" s="7"/>
      <c r="L191" s="6" t="s">
        <v>36</v>
      </c>
      <c r="M191" s="9" t="s">
        <v>30</v>
      </c>
      <c r="N191" s="7" t="s">
        <v>1657</v>
      </c>
      <c r="P191" t="e">
        <f>IF(N191="","",  IF(N191="Excluded", N191,  IF(N191="included in industry", N191,   _xlfn.XLOOKUP(N191, [1]unittypedata!$AD:$AD,[1]unittypedata!$D:$D)   )))</f>
        <v>#N/A</v>
      </c>
    </row>
    <row r="192" spans="1:16">
      <c r="A192" s="5" t="s">
        <v>434</v>
      </c>
      <c r="B192" s="5" t="s">
        <v>438</v>
      </c>
      <c r="C192" s="6" t="s">
        <v>29</v>
      </c>
      <c r="D192" s="7">
        <v>2017</v>
      </c>
      <c r="E192" s="6">
        <v>1</v>
      </c>
      <c r="F192" s="7" t="s">
        <v>30</v>
      </c>
      <c r="G192" s="8">
        <v>0.2</v>
      </c>
      <c r="H192" s="7" t="s">
        <v>30</v>
      </c>
      <c r="I192" s="8">
        <v>0.2</v>
      </c>
      <c r="J192" s="7"/>
      <c r="K192" s="7"/>
      <c r="L192" s="6" t="s">
        <v>31</v>
      </c>
      <c r="M192" s="9" t="s">
        <v>30</v>
      </c>
      <c r="N192" s="7" t="s">
        <v>1654</v>
      </c>
      <c r="P192" t="e">
        <f>IF(N192="","",  IF(N192="Excluded", N192,  IF(N192="included in industry", N192,   _xlfn.XLOOKUP(N192, [1]unittypedata!$AD:$AD,[1]unittypedata!$D:$D)   )))</f>
        <v>#N/A</v>
      </c>
    </row>
    <row r="193" spans="1:16">
      <c r="A193" s="5" t="s">
        <v>434</v>
      </c>
      <c r="B193" s="5" t="s">
        <v>439</v>
      </c>
      <c r="C193" s="6" t="s">
        <v>29</v>
      </c>
      <c r="D193" s="7">
        <v>1994</v>
      </c>
      <c r="E193" s="6">
        <v>3</v>
      </c>
      <c r="F193" s="7" t="s">
        <v>30</v>
      </c>
      <c r="G193" s="8">
        <v>11.5</v>
      </c>
      <c r="H193" s="7" t="s">
        <v>30</v>
      </c>
      <c r="I193" s="8">
        <v>11.5</v>
      </c>
      <c r="J193" s="7"/>
      <c r="K193" s="7"/>
      <c r="L193" s="6" t="s">
        <v>36</v>
      </c>
      <c r="M193" s="9" t="s">
        <v>30</v>
      </c>
      <c r="N193" s="7" t="s">
        <v>1657</v>
      </c>
      <c r="P193" t="e">
        <f>IF(N193="","",  IF(N193="Excluded", N193,  IF(N193="included in industry", N193,   _xlfn.XLOOKUP(N193, [1]unittypedata!$AD:$AD,[1]unittypedata!$D:$D)   )))</f>
        <v>#N/A</v>
      </c>
    </row>
    <row r="194" spans="1:16">
      <c r="A194" s="5" t="s">
        <v>434</v>
      </c>
      <c r="B194" s="5" t="s">
        <v>440</v>
      </c>
      <c r="C194" s="6" t="s">
        <v>29</v>
      </c>
      <c r="D194" s="7">
        <v>2020</v>
      </c>
      <c r="E194" s="6">
        <v>2</v>
      </c>
      <c r="F194" s="7" t="s">
        <v>30</v>
      </c>
      <c r="G194" s="8">
        <v>8</v>
      </c>
      <c r="H194" s="7" t="s">
        <v>30</v>
      </c>
      <c r="I194" s="8">
        <v>8</v>
      </c>
      <c r="J194" s="7"/>
      <c r="K194" s="7"/>
      <c r="L194" s="6" t="s">
        <v>44</v>
      </c>
      <c r="M194" s="9" t="s">
        <v>30</v>
      </c>
      <c r="N194" s="7" t="s">
        <v>1653</v>
      </c>
      <c r="P194" t="e">
        <f>IF(N194="","",  IF(N194="Excluded", N194,  IF(N194="included in industry", N194,   _xlfn.XLOOKUP(N194, [1]unittypedata!$AD:$AD,[1]unittypedata!$D:$D)   )))</f>
        <v>#N/A</v>
      </c>
    </row>
    <row r="195" spans="1:16">
      <c r="A195" s="11" t="s">
        <v>434</v>
      </c>
      <c r="B195" s="11" t="s">
        <v>439</v>
      </c>
      <c r="C195" s="12" t="s">
        <v>75</v>
      </c>
      <c r="D195" s="13">
        <v>1997</v>
      </c>
      <c r="E195" s="12" t="s">
        <v>30</v>
      </c>
      <c r="F195" s="13" t="s">
        <v>30</v>
      </c>
      <c r="G195" s="14" t="s">
        <v>30</v>
      </c>
      <c r="H195" s="13" t="s">
        <v>30</v>
      </c>
      <c r="I195" s="14">
        <v>6.2</v>
      </c>
      <c r="J195" s="13">
        <v>5.5</v>
      </c>
      <c r="K195" s="13"/>
      <c r="L195" s="12" t="s">
        <v>36</v>
      </c>
      <c r="M195" s="15" t="s">
        <v>30</v>
      </c>
      <c r="N195" s="7" t="s">
        <v>1658</v>
      </c>
      <c r="P195" t="e">
        <f>IF(N195="","",  IF(N195="Excluded", N195,  IF(N195="included in industry", N195,   _xlfn.XLOOKUP(N195, [1]unittypedata!$AD:$AD,[1]unittypedata!$D:$D)   )))</f>
        <v>#N/A</v>
      </c>
    </row>
    <row r="196" spans="1:16">
      <c r="A196" s="5" t="s">
        <v>441</v>
      </c>
      <c r="B196" s="5" t="s">
        <v>442</v>
      </c>
      <c r="C196" s="6" t="s">
        <v>29</v>
      </c>
      <c r="D196" s="7">
        <v>1989</v>
      </c>
      <c r="E196" s="6">
        <v>2</v>
      </c>
      <c r="F196" s="7" t="s">
        <v>30</v>
      </c>
      <c r="G196" s="8">
        <v>12</v>
      </c>
      <c r="H196" s="7" t="s">
        <v>30</v>
      </c>
      <c r="I196" s="8">
        <v>12</v>
      </c>
      <c r="J196" s="7"/>
      <c r="K196" s="7"/>
      <c r="L196" s="6" t="s">
        <v>31</v>
      </c>
      <c r="M196" s="9" t="s">
        <v>30</v>
      </c>
      <c r="N196" s="7" t="s">
        <v>1654</v>
      </c>
      <c r="P196" t="e">
        <f>IF(N196="","",  IF(N196="Excluded", N196,  IF(N196="included in industry", N196,   _xlfn.XLOOKUP(N196, [1]unittypedata!$AD:$AD,[1]unittypedata!$D:$D)   )))</f>
        <v>#N/A</v>
      </c>
    </row>
    <row r="197" spans="1:16">
      <c r="A197" s="5" t="s">
        <v>441</v>
      </c>
      <c r="B197" s="5" t="s">
        <v>443</v>
      </c>
      <c r="C197" s="6" t="s">
        <v>29</v>
      </c>
      <c r="D197" s="7">
        <v>1995</v>
      </c>
      <c r="E197" s="6">
        <v>2</v>
      </c>
      <c r="F197" s="7" t="s">
        <v>30</v>
      </c>
      <c r="G197" s="8">
        <v>3</v>
      </c>
      <c r="H197" s="7" t="s">
        <v>30</v>
      </c>
      <c r="I197" s="8">
        <v>3</v>
      </c>
      <c r="J197" s="7"/>
      <c r="K197" s="7"/>
      <c r="L197" s="6" t="s">
        <v>31</v>
      </c>
      <c r="M197" s="9" t="s">
        <v>30</v>
      </c>
      <c r="N197" s="7" t="s">
        <v>1654</v>
      </c>
      <c r="P197" t="e">
        <f>IF(N197="","",  IF(N197="Excluded", N197,  IF(N197="included in industry", N197,   _xlfn.XLOOKUP(N197, [1]unittypedata!$AD:$AD,[1]unittypedata!$D:$D)   )))</f>
        <v>#N/A</v>
      </c>
    </row>
    <row r="198" spans="1:16">
      <c r="A198" s="5" t="s">
        <v>441</v>
      </c>
      <c r="B198" s="5" t="s">
        <v>444</v>
      </c>
      <c r="C198" s="6" t="s">
        <v>29</v>
      </c>
      <c r="D198" s="7">
        <v>2006</v>
      </c>
      <c r="E198" s="6">
        <v>2</v>
      </c>
      <c r="F198" s="7" t="s">
        <v>30</v>
      </c>
      <c r="G198" s="8">
        <v>1.4</v>
      </c>
      <c r="H198" s="7" t="s">
        <v>30</v>
      </c>
      <c r="I198" s="8">
        <v>1.4</v>
      </c>
      <c r="J198" s="7"/>
      <c r="K198" s="7"/>
      <c r="L198" s="6" t="s">
        <v>44</v>
      </c>
      <c r="M198" s="9" t="s">
        <v>30</v>
      </c>
      <c r="N198" s="7" t="s">
        <v>1653</v>
      </c>
      <c r="P198" t="e">
        <f>IF(N198="","",  IF(N198="Excluded", N198,  IF(N198="included in industry", N198,   _xlfn.XLOOKUP(N198, [1]unittypedata!$AD:$AD,[1]unittypedata!$D:$D)   )))</f>
        <v>#N/A</v>
      </c>
    </row>
    <row r="199" spans="1:16">
      <c r="A199" s="5" t="s">
        <v>441</v>
      </c>
      <c r="B199" s="5" t="s">
        <v>445</v>
      </c>
      <c r="C199" s="6" t="s">
        <v>29</v>
      </c>
      <c r="D199" s="7">
        <v>2008</v>
      </c>
      <c r="E199" s="6">
        <v>1</v>
      </c>
      <c r="F199" s="7" t="s">
        <v>30</v>
      </c>
      <c r="G199" s="8">
        <v>0.7</v>
      </c>
      <c r="H199" s="7" t="s">
        <v>30</v>
      </c>
      <c r="I199" s="8">
        <v>0.7</v>
      </c>
      <c r="J199" s="7"/>
      <c r="K199" s="7"/>
      <c r="L199" s="6" t="s">
        <v>44</v>
      </c>
      <c r="M199" s="9" t="s">
        <v>30</v>
      </c>
      <c r="N199" s="7" t="s">
        <v>1653</v>
      </c>
      <c r="P199" t="e">
        <f>IF(N199="","",  IF(N199="Excluded", N199,  IF(N199="included in industry", N199,   _xlfn.XLOOKUP(N199, [1]unittypedata!$AD:$AD,[1]unittypedata!$D:$D)   )))</f>
        <v>#N/A</v>
      </c>
    </row>
    <row r="200" spans="1:16">
      <c r="A200" s="5" t="s">
        <v>441</v>
      </c>
      <c r="B200" s="5" t="s">
        <v>446</v>
      </c>
      <c r="C200" s="6" t="s">
        <v>29</v>
      </c>
      <c r="D200" s="7">
        <v>2000</v>
      </c>
      <c r="E200" s="6">
        <v>1</v>
      </c>
      <c r="F200" s="7" t="s">
        <v>30</v>
      </c>
      <c r="G200" s="8">
        <v>0.4</v>
      </c>
      <c r="H200" s="7" t="s">
        <v>30</v>
      </c>
      <c r="I200" s="8">
        <v>0.4</v>
      </c>
      <c r="J200" s="7"/>
      <c r="K200" s="7"/>
      <c r="L200" s="6" t="s">
        <v>44</v>
      </c>
      <c r="M200" s="9" t="s">
        <v>30</v>
      </c>
      <c r="N200" s="7" t="s">
        <v>1653</v>
      </c>
      <c r="P200" t="e">
        <f>IF(N200="","",  IF(N200="Excluded", N200,  IF(N200="included in industry", N200,   _xlfn.XLOOKUP(N200, [1]unittypedata!$AD:$AD,[1]unittypedata!$D:$D)   )))</f>
        <v>#N/A</v>
      </c>
    </row>
    <row r="201" spans="1:16">
      <c r="A201" s="5" t="s">
        <v>441</v>
      </c>
      <c r="B201" s="5" t="s">
        <v>447</v>
      </c>
      <c r="C201" s="6" t="s">
        <v>29</v>
      </c>
      <c r="D201" s="7">
        <v>2013</v>
      </c>
      <c r="E201" s="6">
        <v>1</v>
      </c>
      <c r="F201" s="7" t="s">
        <v>30</v>
      </c>
      <c r="G201" s="8">
        <v>2</v>
      </c>
      <c r="H201" s="7" t="s">
        <v>30</v>
      </c>
      <c r="I201" s="8">
        <v>2</v>
      </c>
      <c r="J201" s="7"/>
      <c r="K201" s="7"/>
      <c r="L201" s="6" t="s">
        <v>46</v>
      </c>
      <c r="M201" s="9" t="s">
        <v>30</v>
      </c>
      <c r="N201" s="7" t="s">
        <v>1653</v>
      </c>
      <c r="P201" t="e">
        <f>IF(N201="","",  IF(N201="Excluded", N201,  IF(N201="included in industry", N201,   _xlfn.XLOOKUP(N201, [1]unittypedata!$AD:$AD,[1]unittypedata!$D:$D)   )))</f>
        <v>#N/A</v>
      </c>
    </row>
    <row r="202" spans="1:16">
      <c r="A202" s="5" t="s">
        <v>441</v>
      </c>
      <c r="B202" s="5" t="s">
        <v>448</v>
      </c>
      <c r="C202" s="6" t="s">
        <v>29</v>
      </c>
      <c r="D202" s="7">
        <v>2018</v>
      </c>
      <c r="E202" s="6">
        <v>1</v>
      </c>
      <c r="F202" s="7" t="s">
        <v>30</v>
      </c>
      <c r="G202" s="8">
        <v>8</v>
      </c>
      <c r="H202" s="7">
        <v>2</v>
      </c>
      <c r="I202" s="8">
        <v>10</v>
      </c>
      <c r="J202" s="7"/>
      <c r="K202" s="7"/>
      <c r="L202" s="6" t="s">
        <v>46</v>
      </c>
      <c r="M202" s="9" t="s">
        <v>30</v>
      </c>
      <c r="N202" s="7" t="s">
        <v>1653</v>
      </c>
      <c r="P202" t="e">
        <f>IF(N202="","",  IF(N202="Excluded", N202,  IF(N202="included in industry", N202,   _xlfn.XLOOKUP(N202, [1]unittypedata!$AD:$AD,[1]unittypedata!$D:$D)   )))</f>
        <v>#N/A</v>
      </c>
    </row>
    <row r="203" spans="1:16">
      <c r="A203" s="11" t="s">
        <v>441</v>
      </c>
      <c r="B203" s="11" t="s">
        <v>449</v>
      </c>
      <c r="C203" s="12" t="s">
        <v>52</v>
      </c>
      <c r="D203" s="13">
        <v>2010</v>
      </c>
      <c r="E203" s="12">
        <v>1</v>
      </c>
      <c r="F203" s="13">
        <v>14.9</v>
      </c>
      <c r="G203" s="14" t="s">
        <v>30</v>
      </c>
      <c r="H203" s="13">
        <v>4</v>
      </c>
      <c r="I203" s="14">
        <v>18.899999999999999</v>
      </c>
      <c r="J203" s="13">
        <v>5</v>
      </c>
      <c r="K203" s="13"/>
      <c r="L203" s="12" t="s">
        <v>46</v>
      </c>
      <c r="M203" s="15" t="s">
        <v>30</v>
      </c>
      <c r="N203" s="7" t="s">
        <v>1656</v>
      </c>
      <c r="P203" t="e">
        <f>IF(N203="","",  IF(N203="Excluded", N203,  IF(N203="included in industry", N203,   _xlfn.XLOOKUP(N203, [1]unittypedata!$AD:$AD,[1]unittypedata!$D:$D)   )))</f>
        <v>#N/A</v>
      </c>
    </row>
    <row r="204" spans="1:16">
      <c r="A204" s="5" t="s">
        <v>450</v>
      </c>
      <c r="B204" s="5" t="s">
        <v>451</v>
      </c>
      <c r="C204" s="6" t="s">
        <v>29</v>
      </c>
      <c r="D204" s="7">
        <v>1981</v>
      </c>
      <c r="E204" s="6">
        <v>1</v>
      </c>
      <c r="F204" s="7" t="s">
        <v>30</v>
      </c>
      <c r="G204" s="8" t="s">
        <v>158</v>
      </c>
      <c r="H204" s="7" t="s">
        <v>158</v>
      </c>
      <c r="I204" s="8">
        <v>4</v>
      </c>
      <c r="J204" s="7"/>
      <c r="K204" s="7"/>
      <c r="L204" s="6" t="s">
        <v>31</v>
      </c>
      <c r="M204" s="9" t="s">
        <v>30</v>
      </c>
      <c r="N204" s="7" t="s">
        <v>1654</v>
      </c>
      <c r="P204" t="e">
        <f>IF(N204="","",  IF(N204="Excluded", N204,  IF(N204="included in industry", N204,   _xlfn.XLOOKUP(N204, [1]unittypedata!$AD:$AD,[1]unittypedata!$D:$D)   )))</f>
        <v>#N/A</v>
      </c>
    </row>
    <row r="205" spans="1:16">
      <c r="A205" s="5" t="s">
        <v>450</v>
      </c>
      <c r="B205" s="5" t="s">
        <v>452</v>
      </c>
      <c r="C205" s="6" t="s">
        <v>29</v>
      </c>
      <c r="D205" s="7">
        <v>1986</v>
      </c>
      <c r="E205" s="6">
        <v>2</v>
      </c>
      <c r="F205" s="7" t="s">
        <v>30</v>
      </c>
      <c r="G205" s="8" t="s">
        <v>158</v>
      </c>
      <c r="H205" s="7" t="s">
        <v>158</v>
      </c>
      <c r="I205" s="8">
        <v>8</v>
      </c>
      <c r="J205" s="7"/>
      <c r="K205" s="7"/>
      <c r="L205" s="6" t="s">
        <v>31</v>
      </c>
      <c r="M205" s="9" t="s">
        <v>30</v>
      </c>
      <c r="N205" s="7" t="s">
        <v>1654</v>
      </c>
      <c r="P205" t="e">
        <f>IF(N205="","",  IF(N205="Excluded", N205,  IF(N205="included in industry", N205,   _xlfn.XLOOKUP(N205, [1]unittypedata!$AD:$AD,[1]unittypedata!$D:$D)   )))</f>
        <v>#N/A</v>
      </c>
    </row>
    <row r="206" spans="1:16">
      <c r="A206" s="5" t="s">
        <v>450</v>
      </c>
      <c r="B206" s="5" t="s">
        <v>453</v>
      </c>
      <c r="C206" s="6" t="s">
        <v>29</v>
      </c>
      <c r="D206" s="7">
        <v>2011</v>
      </c>
      <c r="E206" s="6">
        <v>1</v>
      </c>
      <c r="F206" s="7" t="s">
        <v>30</v>
      </c>
      <c r="G206" s="8" t="s">
        <v>158</v>
      </c>
      <c r="H206" s="7" t="s">
        <v>158</v>
      </c>
      <c r="I206" s="8">
        <v>5</v>
      </c>
      <c r="J206" s="7"/>
      <c r="K206" s="7"/>
      <c r="L206" s="6" t="s">
        <v>46</v>
      </c>
      <c r="M206" s="9" t="s">
        <v>30</v>
      </c>
      <c r="N206" s="7" t="s">
        <v>1653</v>
      </c>
      <c r="P206" t="e">
        <f>IF(N206="","",  IF(N206="Excluded", N206,  IF(N206="included in industry", N206,   _xlfn.XLOOKUP(N206, [1]unittypedata!$AD:$AD,[1]unittypedata!$D:$D)   )))</f>
        <v>#N/A</v>
      </c>
    </row>
    <row r="207" spans="1:16">
      <c r="A207" s="5" t="s">
        <v>450</v>
      </c>
      <c r="B207" s="5" t="s">
        <v>454</v>
      </c>
      <c r="C207" s="6" t="s">
        <v>29</v>
      </c>
      <c r="D207" s="7">
        <v>2011</v>
      </c>
      <c r="E207" s="6">
        <v>1</v>
      </c>
      <c r="F207" s="7" t="s">
        <v>30</v>
      </c>
      <c r="G207" s="8" t="s">
        <v>158</v>
      </c>
      <c r="H207" s="7" t="s">
        <v>158</v>
      </c>
      <c r="I207" s="8">
        <v>4</v>
      </c>
      <c r="J207" s="7"/>
      <c r="K207" s="7"/>
      <c r="L207" s="6" t="s">
        <v>31</v>
      </c>
      <c r="M207" s="9" t="s">
        <v>30</v>
      </c>
      <c r="N207" s="7" t="s">
        <v>1654</v>
      </c>
      <c r="P207" t="e">
        <f>IF(N207="","",  IF(N207="Excluded", N207,  IF(N207="included in industry", N207,   _xlfn.XLOOKUP(N207, [1]unittypedata!$AD:$AD,[1]unittypedata!$D:$D)   )))</f>
        <v>#N/A</v>
      </c>
    </row>
    <row r="208" spans="1:16">
      <c r="A208" s="11" t="s">
        <v>450</v>
      </c>
      <c r="B208" s="11" t="s">
        <v>455</v>
      </c>
      <c r="C208" s="12" t="s">
        <v>29</v>
      </c>
      <c r="D208" s="13">
        <v>1986</v>
      </c>
      <c r="E208" s="12">
        <v>1</v>
      </c>
      <c r="F208" s="13" t="s">
        <v>30</v>
      </c>
      <c r="G208" s="14" t="s">
        <v>158</v>
      </c>
      <c r="H208" s="13" t="s">
        <v>158</v>
      </c>
      <c r="I208" s="14">
        <v>6</v>
      </c>
      <c r="J208" s="13"/>
      <c r="K208" s="13"/>
      <c r="L208" s="12" t="s">
        <v>46</v>
      </c>
      <c r="M208" s="15" t="s">
        <v>30</v>
      </c>
      <c r="N208" s="7" t="s">
        <v>1653</v>
      </c>
      <c r="P208" t="e">
        <f>IF(N208="","",  IF(N208="Excluded", N208,  IF(N208="included in industry", N208,   _xlfn.XLOOKUP(N208, [1]unittypedata!$AD:$AD,[1]unittypedata!$D:$D)   )))</f>
        <v>#N/A</v>
      </c>
    </row>
    <row r="209" spans="1:16">
      <c r="A209" s="5" t="s">
        <v>456</v>
      </c>
      <c r="B209" s="5" t="s">
        <v>457</v>
      </c>
      <c r="C209" s="6" t="s">
        <v>29</v>
      </c>
      <c r="D209" s="7">
        <v>1982</v>
      </c>
      <c r="E209" s="6">
        <v>1</v>
      </c>
      <c r="F209" s="7" t="s">
        <v>30</v>
      </c>
      <c r="G209" s="8">
        <v>3</v>
      </c>
      <c r="H209" s="7" t="s">
        <v>30</v>
      </c>
      <c r="I209" s="8">
        <v>3</v>
      </c>
      <c r="J209" s="7"/>
      <c r="K209" s="7"/>
      <c r="L209" s="6" t="s">
        <v>118</v>
      </c>
      <c r="M209" s="9" t="s">
        <v>30</v>
      </c>
      <c r="N209" s="7" t="s">
        <v>1653</v>
      </c>
      <c r="P209" t="e">
        <f>IF(N209="","",  IF(N209="Excluded", N209,  IF(N209="included in industry", N209,   _xlfn.XLOOKUP(N209, [1]unittypedata!$AD:$AD,[1]unittypedata!$D:$D)   )))</f>
        <v>#N/A</v>
      </c>
    </row>
    <row r="210" spans="1:16">
      <c r="A210" s="11" t="s">
        <v>456</v>
      </c>
      <c r="B210" s="11" t="s">
        <v>458</v>
      </c>
      <c r="C210" s="12" t="s">
        <v>29</v>
      </c>
      <c r="D210" s="13">
        <v>2021</v>
      </c>
      <c r="E210" s="12">
        <v>1</v>
      </c>
      <c r="F210" s="13" t="s">
        <v>30</v>
      </c>
      <c r="G210" s="14">
        <v>6</v>
      </c>
      <c r="H210" s="13" t="s">
        <v>30</v>
      </c>
      <c r="I210" s="14">
        <v>6</v>
      </c>
      <c r="J210" s="13"/>
      <c r="K210" s="13"/>
      <c r="L210" s="12" t="s">
        <v>46</v>
      </c>
      <c r="M210" s="15" t="s">
        <v>30</v>
      </c>
      <c r="N210" s="7" t="s">
        <v>1653</v>
      </c>
      <c r="P210" t="e">
        <f>IF(N210="","",  IF(N210="Excluded", N210,  IF(N210="included in industry", N210,   _xlfn.XLOOKUP(N210, [1]unittypedata!$AD:$AD,[1]unittypedata!$D:$D)   )))</f>
        <v>#N/A</v>
      </c>
    </row>
    <row r="211" spans="1:16">
      <c r="A211" s="5" t="s">
        <v>459</v>
      </c>
      <c r="B211" s="5" t="s">
        <v>460</v>
      </c>
      <c r="C211" s="6" t="s">
        <v>29</v>
      </c>
      <c r="D211" s="7">
        <v>1997</v>
      </c>
      <c r="E211" s="6">
        <v>1</v>
      </c>
      <c r="F211" s="7" t="s">
        <v>30</v>
      </c>
      <c r="G211" s="8" t="s">
        <v>158</v>
      </c>
      <c r="H211" s="7" t="s">
        <v>158</v>
      </c>
      <c r="I211" s="8">
        <v>6</v>
      </c>
      <c r="J211" s="7"/>
      <c r="K211" s="7"/>
      <c r="L211" s="6" t="s">
        <v>46</v>
      </c>
      <c r="M211" s="9" t="s">
        <v>30</v>
      </c>
      <c r="N211" s="7" t="s">
        <v>1653</v>
      </c>
      <c r="P211" t="e">
        <f>IF(N211="","",  IF(N211="Excluded", N211,  IF(N211="included in industry", N211,   _xlfn.XLOOKUP(N211, [1]unittypedata!$AD:$AD,[1]unittypedata!$D:$D)   )))</f>
        <v>#N/A</v>
      </c>
    </row>
    <row r="212" spans="1:16">
      <c r="A212" s="5" t="s">
        <v>459</v>
      </c>
      <c r="B212" s="5" t="s">
        <v>461</v>
      </c>
      <c r="C212" s="6" t="s">
        <v>29</v>
      </c>
      <c r="D212" s="7">
        <v>2008</v>
      </c>
      <c r="E212" s="6">
        <v>1</v>
      </c>
      <c r="F212" s="7" t="s">
        <v>30</v>
      </c>
      <c r="G212" s="8" t="s">
        <v>158</v>
      </c>
      <c r="H212" s="7" t="s">
        <v>158</v>
      </c>
      <c r="I212" s="8">
        <v>7</v>
      </c>
      <c r="J212" s="7"/>
      <c r="K212" s="7"/>
      <c r="L212" s="6" t="s">
        <v>46</v>
      </c>
      <c r="M212" s="9" t="s">
        <v>30</v>
      </c>
      <c r="N212" s="7" t="s">
        <v>1653</v>
      </c>
      <c r="P212" t="e">
        <f>IF(N212="","",  IF(N212="Excluded", N212,  IF(N212="included in industry", N212,   _xlfn.XLOOKUP(N212, [1]unittypedata!$AD:$AD,[1]unittypedata!$D:$D)   )))</f>
        <v>#N/A</v>
      </c>
    </row>
    <row r="213" spans="1:16">
      <c r="A213" s="5" t="s">
        <v>459</v>
      </c>
      <c r="B213" s="5" t="s">
        <v>462</v>
      </c>
      <c r="C213" s="6" t="s">
        <v>29</v>
      </c>
      <c r="D213" s="7">
        <v>2014</v>
      </c>
      <c r="E213" s="6">
        <v>1</v>
      </c>
      <c r="F213" s="7" t="s">
        <v>30</v>
      </c>
      <c r="G213" s="8" t="s">
        <v>158</v>
      </c>
      <c r="H213" s="7" t="s">
        <v>158</v>
      </c>
      <c r="I213" s="8">
        <v>6</v>
      </c>
      <c r="J213" s="7"/>
      <c r="K213" s="7"/>
      <c r="L213" s="6" t="s">
        <v>46</v>
      </c>
      <c r="M213" s="9" t="s">
        <v>30</v>
      </c>
      <c r="N213" s="7" t="s">
        <v>1653</v>
      </c>
      <c r="P213" t="e">
        <f>IF(N213="","",  IF(N213="Excluded", N213,  IF(N213="included in industry", N213,   _xlfn.XLOOKUP(N213, [1]unittypedata!$AD:$AD,[1]unittypedata!$D:$D)   )))</f>
        <v>#N/A</v>
      </c>
    </row>
    <row r="214" spans="1:16">
      <c r="A214" s="5" t="s">
        <v>459</v>
      </c>
      <c r="B214" s="5" t="s">
        <v>463</v>
      </c>
      <c r="C214" s="6" t="s">
        <v>29</v>
      </c>
      <c r="D214" s="7">
        <v>2014</v>
      </c>
      <c r="E214" s="6">
        <v>1</v>
      </c>
      <c r="F214" s="7" t="s">
        <v>30</v>
      </c>
      <c r="G214" s="8" t="s">
        <v>158</v>
      </c>
      <c r="H214" s="7" t="s">
        <v>158</v>
      </c>
      <c r="I214" s="8">
        <v>5</v>
      </c>
      <c r="J214" s="7"/>
      <c r="K214" s="7"/>
      <c r="L214" s="6" t="s">
        <v>46</v>
      </c>
      <c r="M214" s="9" t="s">
        <v>30</v>
      </c>
      <c r="N214" s="7" t="s">
        <v>1653</v>
      </c>
      <c r="P214" t="e">
        <f>IF(N214="","",  IF(N214="Excluded", N214,  IF(N214="included in industry", N214,   _xlfn.XLOOKUP(N214, [1]unittypedata!$AD:$AD,[1]unittypedata!$D:$D)   )))</f>
        <v>#N/A</v>
      </c>
    </row>
    <row r="215" spans="1:16">
      <c r="A215" s="5" t="s">
        <v>459</v>
      </c>
      <c r="B215" s="5" t="s">
        <v>464</v>
      </c>
      <c r="C215" s="6" t="s">
        <v>29</v>
      </c>
      <c r="D215" s="7">
        <v>2015</v>
      </c>
      <c r="E215" s="6">
        <v>1</v>
      </c>
      <c r="F215" s="7" t="s">
        <v>30</v>
      </c>
      <c r="G215" s="8" t="s">
        <v>158</v>
      </c>
      <c r="H215" s="7" t="s">
        <v>158</v>
      </c>
      <c r="I215" s="8">
        <v>2</v>
      </c>
      <c r="J215" s="7"/>
      <c r="K215" s="7"/>
      <c r="L215" s="6" t="s">
        <v>31</v>
      </c>
      <c r="M215" s="9" t="s">
        <v>30</v>
      </c>
      <c r="N215" s="7" t="s">
        <v>1654</v>
      </c>
      <c r="P215" t="e">
        <f>IF(N215="","",  IF(N215="Excluded", N215,  IF(N215="included in industry", N215,   _xlfn.XLOOKUP(N215, [1]unittypedata!$AD:$AD,[1]unittypedata!$D:$D)   )))</f>
        <v>#N/A</v>
      </c>
    </row>
    <row r="216" spans="1:16">
      <c r="A216" s="5" t="s">
        <v>459</v>
      </c>
      <c r="B216" s="5" t="s">
        <v>465</v>
      </c>
      <c r="C216" s="6" t="s">
        <v>29</v>
      </c>
      <c r="D216" s="7">
        <v>1998</v>
      </c>
      <c r="E216" s="6">
        <v>2</v>
      </c>
      <c r="F216" s="7" t="s">
        <v>30</v>
      </c>
      <c r="G216" s="8" t="s">
        <v>158</v>
      </c>
      <c r="H216" s="7" t="s">
        <v>158</v>
      </c>
      <c r="I216" s="8">
        <v>5</v>
      </c>
      <c r="J216" s="7"/>
      <c r="K216" s="7"/>
      <c r="L216" s="6" t="s">
        <v>31</v>
      </c>
      <c r="M216" s="9" t="s">
        <v>30</v>
      </c>
      <c r="N216" s="7" t="s">
        <v>1654</v>
      </c>
      <c r="P216" t="e">
        <f>IF(N216="","",  IF(N216="Excluded", N216,  IF(N216="included in industry", N216,   _xlfn.XLOOKUP(N216, [1]unittypedata!$AD:$AD,[1]unittypedata!$D:$D)   )))</f>
        <v>#N/A</v>
      </c>
    </row>
    <row r="217" spans="1:16">
      <c r="A217" s="11" t="s">
        <v>459</v>
      </c>
      <c r="B217" s="11" t="s">
        <v>466</v>
      </c>
      <c r="C217" s="12" t="s">
        <v>29</v>
      </c>
      <c r="D217" s="13">
        <v>2020</v>
      </c>
      <c r="E217" s="12">
        <v>1</v>
      </c>
      <c r="F217" s="13" t="s">
        <v>30</v>
      </c>
      <c r="G217" s="14" t="s">
        <v>158</v>
      </c>
      <c r="H217" s="13" t="s">
        <v>158</v>
      </c>
      <c r="I217" s="14">
        <v>4</v>
      </c>
      <c r="J217" s="13"/>
      <c r="K217" s="13"/>
      <c r="L217" s="12" t="s">
        <v>31</v>
      </c>
      <c r="M217" s="15" t="s">
        <v>30</v>
      </c>
      <c r="N217" s="7" t="s">
        <v>1654</v>
      </c>
      <c r="P217" t="e">
        <f>IF(N217="","",  IF(N217="Excluded", N217,  IF(N217="included in industry", N217,   _xlfn.XLOOKUP(N217, [1]unittypedata!$AD:$AD,[1]unittypedata!$D:$D)   )))</f>
        <v>#N/A</v>
      </c>
    </row>
    <row r="218" spans="1:16">
      <c r="A218" s="5" t="s">
        <v>467</v>
      </c>
      <c r="B218" s="5" t="s">
        <v>468</v>
      </c>
      <c r="C218" s="6" t="s">
        <v>29</v>
      </c>
      <c r="D218" s="7">
        <v>1981</v>
      </c>
      <c r="E218" s="6">
        <v>3</v>
      </c>
      <c r="F218" s="7" t="s">
        <v>30</v>
      </c>
      <c r="G218" s="8">
        <v>57</v>
      </c>
      <c r="H218" s="7" t="s">
        <v>30</v>
      </c>
      <c r="I218" s="8">
        <v>57</v>
      </c>
      <c r="J218" s="7"/>
      <c r="K218" s="7"/>
      <c r="L218" s="6" t="s">
        <v>31</v>
      </c>
      <c r="M218" s="9" t="s">
        <v>30</v>
      </c>
      <c r="N218" s="7" t="s">
        <v>1654</v>
      </c>
      <c r="P218" t="e">
        <f>IF(N218="","",  IF(N218="Excluded", N218,  IF(N218="included in industry", N218,   _xlfn.XLOOKUP(N218, [1]unittypedata!$AD:$AD,[1]unittypedata!$D:$D)   )))</f>
        <v>#N/A</v>
      </c>
    </row>
    <row r="219" spans="1:16">
      <c r="A219" s="5" t="s">
        <v>467</v>
      </c>
      <c r="B219" s="5" t="s">
        <v>469</v>
      </c>
      <c r="C219" s="6" t="s">
        <v>29</v>
      </c>
      <c r="D219" s="7" t="s">
        <v>158</v>
      </c>
      <c r="E219" s="6" t="s">
        <v>30</v>
      </c>
      <c r="F219" s="7" t="s">
        <v>30</v>
      </c>
      <c r="G219" s="8" t="s">
        <v>30</v>
      </c>
      <c r="H219" s="7">
        <v>14</v>
      </c>
      <c r="I219" s="8">
        <v>14</v>
      </c>
      <c r="J219" s="7"/>
      <c r="K219" s="7"/>
      <c r="L219" s="6" t="s">
        <v>285</v>
      </c>
      <c r="M219" s="9" t="s">
        <v>30</v>
      </c>
      <c r="N219" s="7" t="s">
        <v>58</v>
      </c>
      <c r="P219" t="str">
        <f>IF(N219="","",  IF(N219="Excluded", N219,  IF(N219="included in industry", N219,   _xlfn.XLOOKUP(N219, [1]unittypedata!$AD:$AD,[1]unittypedata!$D:$D)   )))</f>
        <v>Excluded</v>
      </c>
    </row>
    <row r="220" spans="1:16">
      <c r="A220" s="5" t="s">
        <v>467</v>
      </c>
      <c r="B220" s="5" t="s">
        <v>470</v>
      </c>
      <c r="C220" s="6" t="s">
        <v>52</v>
      </c>
      <c r="D220" s="7">
        <v>1978</v>
      </c>
      <c r="E220" s="6">
        <v>4</v>
      </c>
      <c r="F220" s="7">
        <v>61</v>
      </c>
      <c r="G220" s="8">
        <v>24</v>
      </c>
      <c r="H220" s="7">
        <v>15</v>
      </c>
      <c r="I220" s="8">
        <v>100</v>
      </c>
      <c r="J220" s="7">
        <v>27</v>
      </c>
      <c r="K220" s="7"/>
      <c r="L220" s="6" t="s">
        <v>118</v>
      </c>
      <c r="M220" s="9" t="s">
        <v>30</v>
      </c>
      <c r="N220" s="7" t="s">
        <v>1656</v>
      </c>
      <c r="P220" t="e">
        <f>IF(N220="","",  IF(N220="Excluded", N220,  IF(N220="included in industry", N220,   _xlfn.XLOOKUP(N220, [1]unittypedata!$AD:$AD,[1]unittypedata!$D:$D)   )))</f>
        <v>#N/A</v>
      </c>
    </row>
    <row r="221" spans="1:16">
      <c r="A221" s="11" t="s">
        <v>467</v>
      </c>
      <c r="B221" s="11" t="s">
        <v>471</v>
      </c>
      <c r="C221" s="12" t="s">
        <v>52</v>
      </c>
      <c r="D221" s="13">
        <v>2001</v>
      </c>
      <c r="E221" s="12">
        <v>2</v>
      </c>
      <c r="F221" s="13">
        <v>50</v>
      </c>
      <c r="G221" s="14">
        <v>5</v>
      </c>
      <c r="H221" s="13" t="s">
        <v>30</v>
      </c>
      <c r="I221" s="14">
        <v>55</v>
      </c>
      <c r="J221" s="13">
        <v>20</v>
      </c>
      <c r="K221" s="13"/>
      <c r="L221" s="12" t="s">
        <v>253</v>
      </c>
      <c r="M221" s="15" t="s">
        <v>30</v>
      </c>
      <c r="N221" s="7" t="s">
        <v>1656</v>
      </c>
      <c r="P221" t="e">
        <f>IF(N221="","",  IF(N221="Excluded", N221,  IF(N221="included in industry", N221,   _xlfn.XLOOKUP(N221, [1]unittypedata!$AD:$AD,[1]unittypedata!$D:$D)   )))</f>
        <v>#N/A</v>
      </c>
    </row>
    <row r="222" spans="1:16">
      <c r="A222" s="5" t="s">
        <v>472</v>
      </c>
      <c r="B222" s="5" t="s">
        <v>473</v>
      </c>
      <c r="C222" s="6" t="s">
        <v>29</v>
      </c>
      <c r="D222" s="7">
        <v>1979</v>
      </c>
      <c r="E222" s="6">
        <v>2</v>
      </c>
      <c r="F222" s="7" t="s">
        <v>30</v>
      </c>
      <c r="G222" s="8" t="s">
        <v>158</v>
      </c>
      <c r="H222" s="7" t="s">
        <v>158</v>
      </c>
      <c r="I222" s="8">
        <v>50</v>
      </c>
      <c r="J222" s="7"/>
      <c r="K222" s="7"/>
      <c r="L222" s="6" t="s">
        <v>31</v>
      </c>
      <c r="M222" s="9" t="s">
        <v>30</v>
      </c>
      <c r="N222" s="7" t="s">
        <v>1654</v>
      </c>
      <c r="P222" t="e">
        <f>IF(N222="","",  IF(N222="Excluded", N222,  IF(N222="included in industry", N222,   _xlfn.XLOOKUP(N222, [1]unittypedata!$AD:$AD,[1]unittypedata!$D:$D)   )))</f>
        <v>#N/A</v>
      </c>
    </row>
    <row r="223" spans="1:16">
      <c r="A223" s="5" t="s">
        <v>472</v>
      </c>
      <c r="B223" s="5" t="s">
        <v>474</v>
      </c>
      <c r="C223" s="6" t="s">
        <v>29</v>
      </c>
      <c r="D223" s="7">
        <v>1972</v>
      </c>
      <c r="E223" s="6">
        <v>2</v>
      </c>
      <c r="F223" s="7" t="s">
        <v>30</v>
      </c>
      <c r="G223" s="8" t="s">
        <v>158</v>
      </c>
      <c r="H223" s="7" t="s">
        <v>158</v>
      </c>
      <c r="I223" s="8">
        <v>20.9</v>
      </c>
      <c r="J223" s="7"/>
      <c r="K223" s="7"/>
      <c r="L223" s="6" t="s">
        <v>31</v>
      </c>
      <c r="M223" s="9" t="s">
        <v>30</v>
      </c>
      <c r="N223" s="7" t="s">
        <v>1654</v>
      </c>
      <c r="P223" t="e">
        <f>IF(N223="","",  IF(N223="Excluded", N223,  IF(N223="included in industry", N223,   _xlfn.XLOOKUP(N223, [1]unittypedata!$AD:$AD,[1]unittypedata!$D:$D)   )))</f>
        <v>#N/A</v>
      </c>
    </row>
    <row r="224" spans="1:16">
      <c r="A224" s="5" t="s">
        <v>472</v>
      </c>
      <c r="B224" s="5" t="s">
        <v>475</v>
      </c>
      <c r="C224" s="6" t="s">
        <v>29</v>
      </c>
      <c r="D224" s="7">
        <v>2013</v>
      </c>
      <c r="E224" s="6">
        <v>1</v>
      </c>
      <c r="F224" s="7" t="s">
        <v>30</v>
      </c>
      <c r="G224" s="8" t="s">
        <v>158</v>
      </c>
      <c r="H224" s="7" t="s">
        <v>158</v>
      </c>
      <c r="I224" s="8">
        <v>18</v>
      </c>
      <c r="J224" s="7"/>
      <c r="K224" s="7"/>
      <c r="L224" s="6" t="s">
        <v>46</v>
      </c>
      <c r="M224" s="9" t="s">
        <v>30</v>
      </c>
      <c r="N224" s="7" t="s">
        <v>1653</v>
      </c>
      <c r="P224" t="e">
        <f>IF(N224="","",  IF(N224="Excluded", N224,  IF(N224="included in industry", N224,   _xlfn.XLOOKUP(N224, [1]unittypedata!$AD:$AD,[1]unittypedata!$D:$D)   )))</f>
        <v>#N/A</v>
      </c>
    </row>
    <row r="225" spans="1:16">
      <c r="A225" s="5" t="s">
        <v>472</v>
      </c>
      <c r="B225" s="5" t="s">
        <v>476</v>
      </c>
      <c r="C225" s="6" t="s">
        <v>52</v>
      </c>
      <c r="D225" s="7">
        <v>1997</v>
      </c>
      <c r="E225" s="6">
        <v>3</v>
      </c>
      <c r="F225" s="7">
        <v>97</v>
      </c>
      <c r="G225" s="8">
        <v>23</v>
      </c>
      <c r="H225" s="7" t="s">
        <v>158</v>
      </c>
      <c r="I225" s="8">
        <f>F225+G225</f>
        <v>120</v>
      </c>
      <c r="J225" s="7">
        <v>50</v>
      </c>
      <c r="K225" s="7"/>
      <c r="L225" s="6" t="s">
        <v>36</v>
      </c>
      <c r="M225" s="9" t="s">
        <v>30</v>
      </c>
      <c r="N225" s="7" t="s">
        <v>1658</v>
      </c>
      <c r="P225" t="e">
        <f>IF(N225="","",  IF(N225="Excluded", N225,  IF(N225="included in industry", N225,   _xlfn.XLOOKUP(N225, [1]unittypedata!$AD:$AD,[1]unittypedata!$D:$D)   )))</f>
        <v>#N/A</v>
      </c>
    </row>
    <row r="226" spans="1:16">
      <c r="A226" s="11" t="s">
        <v>472</v>
      </c>
      <c r="B226" s="11" t="s">
        <v>477</v>
      </c>
      <c r="C226" s="12" t="s">
        <v>52</v>
      </c>
      <c r="D226" s="13">
        <v>2008</v>
      </c>
      <c r="E226" s="12">
        <v>1</v>
      </c>
      <c r="F226" s="13">
        <v>22</v>
      </c>
      <c r="G226" s="14" t="s">
        <v>30</v>
      </c>
      <c r="H226" s="13" t="s">
        <v>158</v>
      </c>
      <c r="I226" s="8">
        <f>F226</f>
        <v>22</v>
      </c>
      <c r="J226" s="13">
        <v>8</v>
      </c>
      <c r="K226" s="13"/>
      <c r="L226" s="12" t="s">
        <v>478</v>
      </c>
      <c r="M226" s="15" t="s">
        <v>30</v>
      </c>
      <c r="N226" s="7" t="s">
        <v>1659</v>
      </c>
      <c r="P226" t="e">
        <f>IF(N226="","",  IF(N226="Excluded", N226,  IF(N226="included in industry", N226,   _xlfn.XLOOKUP(N226, [1]unittypedata!$AD:$AD,[1]unittypedata!$D:$D)   )))</f>
        <v>#N/A</v>
      </c>
    </row>
    <row r="227" spans="1:16">
      <c r="A227" s="5" t="s">
        <v>479</v>
      </c>
      <c r="B227" s="5" t="s">
        <v>480</v>
      </c>
      <c r="C227" s="6" t="s">
        <v>29</v>
      </c>
      <c r="D227" s="7">
        <v>1982</v>
      </c>
      <c r="E227" s="6">
        <v>4</v>
      </c>
      <c r="F227" s="7" t="s">
        <v>30</v>
      </c>
      <c r="G227" s="8">
        <v>48</v>
      </c>
      <c r="H227" s="7" t="s">
        <v>30</v>
      </c>
      <c r="I227" s="8">
        <v>48</v>
      </c>
      <c r="J227" s="7"/>
      <c r="K227" s="7"/>
      <c r="L227" s="6" t="s">
        <v>36</v>
      </c>
      <c r="M227" s="9" t="s">
        <v>30</v>
      </c>
      <c r="N227" s="7" t="s">
        <v>1657</v>
      </c>
      <c r="P227" t="e">
        <f>IF(N227="","",  IF(N227="Excluded", N227,  IF(N227="included in industry", N227,   _xlfn.XLOOKUP(N227, [1]unittypedata!$AD:$AD,[1]unittypedata!$D:$D)   )))</f>
        <v>#N/A</v>
      </c>
    </row>
    <row r="228" spans="1:16">
      <c r="A228" s="5" t="s">
        <v>479</v>
      </c>
      <c r="B228" s="5" t="s">
        <v>481</v>
      </c>
      <c r="C228" s="6" t="s">
        <v>29</v>
      </c>
      <c r="D228" s="7">
        <v>1984</v>
      </c>
      <c r="E228" s="6">
        <v>4</v>
      </c>
      <c r="F228" s="7" t="s">
        <v>30</v>
      </c>
      <c r="G228" s="8">
        <v>40</v>
      </c>
      <c r="H228" s="7" t="s">
        <v>30</v>
      </c>
      <c r="I228" s="8">
        <v>40</v>
      </c>
      <c r="J228" s="7"/>
      <c r="K228" s="7"/>
      <c r="L228" s="6" t="s">
        <v>36</v>
      </c>
      <c r="M228" s="9" t="s">
        <v>30</v>
      </c>
      <c r="N228" s="7" t="s">
        <v>1657</v>
      </c>
      <c r="P228" t="e">
        <f>IF(N228="","",  IF(N228="Excluded", N228,  IF(N228="included in industry", N228,   _xlfn.XLOOKUP(N228, [1]unittypedata!$AD:$AD,[1]unittypedata!$D:$D)   )))</f>
        <v>#N/A</v>
      </c>
    </row>
    <row r="229" spans="1:16">
      <c r="A229" s="5" t="s">
        <v>479</v>
      </c>
      <c r="B229" s="5" t="s">
        <v>482</v>
      </c>
      <c r="C229" s="6" t="s">
        <v>29</v>
      </c>
      <c r="D229" s="7">
        <v>1987</v>
      </c>
      <c r="E229" s="6">
        <v>1</v>
      </c>
      <c r="F229" s="7" t="s">
        <v>30</v>
      </c>
      <c r="G229" s="8">
        <v>12</v>
      </c>
      <c r="H229" s="7" t="s">
        <v>30</v>
      </c>
      <c r="I229" s="8">
        <v>12</v>
      </c>
      <c r="J229" s="7"/>
      <c r="K229" s="7"/>
      <c r="L229" s="6" t="s">
        <v>36</v>
      </c>
      <c r="M229" s="9" t="s">
        <v>30</v>
      </c>
      <c r="N229" s="7" t="s">
        <v>1657</v>
      </c>
      <c r="P229" t="e">
        <f>IF(N229="","",  IF(N229="Excluded", N229,  IF(N229="included in industry", N229,   _xlfn.XLOOKUP(N229, [1]unittypedata!$AD:$AD,[1]unittypedata!$D:$D)   )))</f>
        <v>#N/A</v>
      </c>
    </row>
    <row r="230" spans="1:16">
      <c r="A230" s="5" t="s">
        <v>479</v>
      </c>
      <c r="B230" s="5" t="s">
        <v>483</v>
      </c>
      <c r="C230" s="6" t="s">
        <v>29</v>
      </c>
      <c r="D230" s="7">
        <v>1979</v>
      </c>
      <c r="E230" s="6">
        <v>2</v>
      </c>
      <c r="F230" s="7" t="s">
        <v>30</v>
      </c>
      <c r="G230" s="8">
        <v>16</v>
      </c>
      <c r="H230" s="7" t="s">
        <v>30</v>
      </c>
      <c r="I230" s="8">
        <v>16</v>
      </c>
      <c r="J230" s="7"/>
      <c r="K230" s="7"/>
      <c r="L230" s="6" t="s">
        <v>36</v>
      </c>
      <c r="M230" s="9" t="s">
        <v>30</v>
      </c>
      <c r="N230" s="7" t="s">
        <v>1657</v>
      </c>
      <c r="P230" t="e">
        <f>IF(N230="","",  IF(N230="Excluded", N230,  IF(N230="included in industry", N230,   _xlfn.XLOOKUP(N230, [1]unittypedata!$AD:$AD,[1]unittypedata!$D:$D)   )))</f>
        <v>#N/A</v>
      </c>
    </row>
    <row r="231" spans="1:16">
      <c r="A231" s="5" t="s">
        <v>479</v>
      </c>
      <c r="B231" s="5" t="s">
        <v>484</v>
      </c>
      <c r="C231" s="6" t="s">
        <v>29</v>
      </c>
      <c r="D231" s="7">
        <v>2003</v>
      </c>
      <c r="E231" s="6">
        <v>1</v>
      </c>
      <c r="F231" s="7" t="s">
        <v>30</v>
      </c>
      <c r="G231" s="8">
        <v>8</v>
      </c>
      <c r="H231" s="7" t="s">
        <v>30</v>
      </c>
      <c r="I231" s="8">
        <v>8</v>
      </c>
      <c r="J231" s="7"/>
      <c r="K231" s="7"/>
      <c r="L231" s="6" t="s">
        <v>36</v>
      </c>
      <c r="M231" s="9" t="s">
        <v>30</v>
      </c>
      <c r="N231" s="7" t="s">
        <v>1657</v>
      </c>
      <c r="P231" t="e">
        <f>IF(N231="","",  IF(N231="Excluded", N231,  IF(N231="included in industry", N231,   _xlfn.XLOOKUP(N231, [1]unittypedata!$AD:$AD,[1]unittypedata!$D:$D)   )))</f>
        <v>#N/A</v>
      </c>
    </row>
    <row r="232" spans="1:16">
      <c r="A232" s="5" t="s">
        <v>479</v>
      </c>
      <c r="B232" s="5" t="s">
        <v>485</v>
      </c>
      <c r="C232" s="6" t="s">
        <v>29</v>
      </c>
      <c r="D232" s="7">
        <v>2004</v>
      </c>
      <c r="E232" s="6">
        <v>1</v>
      </c>
      <c r="F232" s="7" t="s">
        <v>30</v>
      </c>
      <c r="G232" s="8">
        <v>8</v>
      </c>
      <c r="H232" s="7" t="s">
        <v>30</v>
      </c>
      <c r="I232" s="8">
        <v>8</v>
      </c>
      <c r="J232" s="7"/>
      <c r="K232" s="7"/>
      <c r="L232" s="6" t="s">
        <v>36</v>
      </c>
      <c r="M232" s="9" t="s">
        <v>30</v>
      </c>
      <c r="N232" s="7" t="s">
        <v>1657</v>
      </c>
      <c r="P232" t="e">
        <f>IF(N232="","",  IF(N232="Excluded", N232,  IF(N232="included in industry", N232,   _xlfn.XLOOKUP(N232, [1]unittypedata!$AD:$AD,[1]unittypedata!$D:$D)   )))</f>
        <v>#N/A</v>
      </c>
    </row>
    <row r="233" spans="1:16">
      <c r="A233" s="5" t="s">
        <v>479</v>
      </c>
      <c r="B233" s="5" t="s">
        <v>486</v>
      </c>
      <c r="C233" s="6" t="s">
        <v>29</v>
      </c>
      <c r="D233" s="7">
        <v>2006</v>
      </c>
      <c r="E233" s="6">
        <v>1</v>
      </c>
      <c r="F233" s="7" t="s">
        <v>30</v>
      </c>
      <c r="G233" s="8">
        <v>4</v>
      </c>
      <c r="H233" s="7" t="s">
        <v>30</v>
      </c>
      <c r="I233" s="8">
        <v>4</v>
      </c>
      <c r="J233" s="7"/>
      <c r="K233" s="7"/>
      <c r="L233" s="6" t="s">
        <v>36</v>
      </c>
      <c r="M233" s="9" t="s">
        <v>30</v>
      </c>
      <c r="N233" s="7" t="s">
        <v>1657</v>
      </c>
      <c r="P233" t="e">
        <f>IF(N233="","",  IF(N233="Excluded", N233,  IF(N233="included in industry", N233,   _xlfn.XLOOKUP(N233, [1]unittypedata!$AD:$AD,[1]unittypedata!$D:$D)   )))</f>
        <v>#N/A</v>
      </c>
    </row>
    <row r="234" spans="1:16">
      <c r="A234" s="5" t="s">
        <v>479</v>
      </c>
      <c r="B234" s="5" t="s">
        <v>487</v>
      </c>
      <c r="C234" s="6" t="s">
        <v>29</v>
      </c>
      <c r="D234" s="7">
        <v>1987</v>
      </c>
      <c r="E234" s="6">
        <v>1</v>
      </c>
      <c r="F234" s="7" t="s">
        <v>30</v>
      </c>
      <c r="G234" s="8">
        <v>4</v>
      </c>
      <c r="H234" s="7" t="s">
        <v>30</v>
      </c>
      <c r="I234" s="8">
        <v>4</v>
      </c>
      <c r="J234" s="7"/>
      <c r="K234" s="7"/>
      <c r="L234" s="6" t="s">
        <v>36</v>
      </c>
      <c r="M234" s="9" t="s">
        <v>30</v>
      </c>
      <c r="N234" s="7" t="s">
        <v>1657</v>
      </c>
      <c r="P234" t="e">
        <f>IF(N234="","",  IF(N234="Excluded", N234,  IF(N234="included in industry", N234,   _xlfn.XLOOKUP(N234, [1]unittypedata!$AD:$AD,[1]unittypedata!$D:$D)   )))</f>
        <v>#N/A</v>
      </c>
    </row>
    <row r="235" spans="1:16">
      <c r="A235" s="5" t="s">
        <v>479</v>
      </c>
      <c r="B235" s="5" t="s">
        <v>488</v>
      </c>
      <c r="C235" s="6" t="s">
        <v>29</v>
      </c>
      <c r="D235" s="7">
        <v>2003</v>
      </c>
      <c r="E235" s="6">
        <v>2</v>
      </c>
      <c r="F235" s="7" t="s">
        <v>30</v>
      </c>
      <c r="G235" s="8">
        <v>3.7</v>
      </c>
      <c r="H235" s="7" t="s">
        <v>30</v>
      </c>
      <c r="I235" s="8">
        <v>3.7</v>
      </c>
      <c r="J235" s="7"/>
      <c r="K235" s="7"/>
      <c r="L235" s="6" t="s">
        <v>36</v>
      </c>
      <c r="M235" s="9" t="s">
        <v>30</v>
      </c>
      <c r="N235" s="7" t="s">
        <v>1657</v>
      </c>
      <c r="P235" t="e">
        <f>IF(N235="","",  IF(N235="Excluded", N235,  IF(N235="included in industry", N235,   _xlfn.XLOOKUP(N235, [1]unittypedata!$AD:$AD,[1]unittypedata!$D:$D)   )))</f>
        <v>#N/A</v>
      </c>
    </row>
    <row r="236" spans="1:16">
      <c r="A236" s="5" t="s">
        <v>479</v>
      </c>
      <c r="B236" s="5" t="s">
        <v>489</v>
      </c>
      <c r="C236" s="6" t="s">
        <v>29</v>
      </c>
      <c r="D236" s="7">
        <v>2005</v>
      </c>
      <c r="E236" s="6">
        <v>2</v>
      </c>
      <c r="F236" s="7" t="s">
        <v>30</v>
      </c>
      <c r="G236" s="8">
        <v>4.8</v>
      </c>
      <c r="H236" s="7" t="s">
        <v>30</v>
      </c>
      <c r="I236" s="8">
        <v>4.8</v>
      </c>
      <c r="J236" s="7"/>
      <c r="K236" s="7"/>
      <c r="L236" s="6" t="s">
        <v>36</v>
      </c>
      <c r="M236" s="9" t="s">
        <v>30</v>
      </c>
      <c r="N236" s="7" t="s">
        <v>1657</v>
      </c>
      <c r="P236" t="e">
        <f>IF(N236="","",  IF(N236="Excluded", N236,  IF(N236="included in industry", N236,   _xlfn.XLOOKUP(N236, [1]unittypedata!$AD:$AD,[1]unittypedata!$D:$D)   )))</f>
        <v>#N/A</v>
      </c>
    </row>
    <row r="237" spans="1:16">
      <c r="A237" s="5" t="s">
        <v>479</v>
      </c>
      <c r="B237" s="5" t="s">
        <v>490</v>
      </c>
      <c r="C237" s="6" t="s">
        <v>29</v>
      </c>
      <c r="D237" s="7">
        <v>1993</v>
      </c>
      <c r="E237" s="6">
        <v>1</v>
      </c>
      <c r="F237" s="7" t="s">
        <v>30</v>
      </c>
      <c r="G237" s="8">
        <v>6</v>
      </c>
      <c r="H237" s="7" t="s">
        <v>30</v>
      </c>
      <c r="I237" s="8">
        <v>6</v>
      </c>
      <c r="J237" s="7"/>
      <c r="K237" s="7"/>
      <c r="L237" s="6" t="s">
        <v>36</v>
      </c>
      <c r="M237" s="9" t="s">
        <v>30</v>
      </c>
      <c r="N237" s="7" t="s">
        <v>1657</v>
      </c>
      <c r="P237" t="e">
        <f>IF(N237="","",  IF(N237="Excluded", N237,  IF(N237="included in industry", N237,   _xlfn.XLOOKUP(N237, [1]unittypedata!$AD:$AD,[1]unittypedata!$D:$D)   )))</f>
        <v>#N/A</v>
      </c>
    </row>
    <row r="238" spans="1:16">
      <c r="A238" s="5" t="s">
        <v>479</v>
      </c>
      <c r="B238" s="5" t="s">
        <v>491</v>
      </c>
      <c r="C238" s="6" t="s">
        <v>29</v>
      </c>
      <c r="D238" s="7">
        <v>1997</v>
      </c>
      <c r="E238" s="6">
        <v>2</v>
      </c>
      <c r="F238" s="7" t="s">
        <v>30</v>
      </c>
      <c r="G238" s="8">
        <v>12</v>
      </c>
      <c r="H238" s="7" t="s">
        <v>30</v>
      </c>
      <c r="I238" s="8">
        <v>12</v>
      </c>
      <c r="J238" s="7"/>
      <c r="K238" s="7"/>
      <c r="L238" s="6" t="s">
        <v>31</v>
      </c>
      <c r="M238" s="9" t="s">
        <v>30</v>
      </c>
      <c r="N238" s="7" t="s">
        <v>1654</v>
      </c>
      <c r="P238" t="e">
        <f>IF(N238="","",  IF(N238="Excluded", N238,  IF(N238="included in industry", N238,   _xlfn.XLOOKUP(N238, [1]unittypedata!$AD:$AD,[1]unittypedata!$D:$D)   )))</f>
        <v>#N/A</v>
      </c>
    </row>
    <row r="239" spans="1:16">
      <c r="A239" s="5" t="s">
        <v>479</v>
      </c>
      <c r="B239" s="5" t="s">
        <v>492</v>
      </c>
      <c r="C239" s="6" t="s">
        <v>29</v>
      </c>
      <c r="D239" s="7">
        <v>1985</v>
      </c>
      <c r="E239" s="6">
        <v>4</v>
      </c>
      <c r="F239" s="7" t="s">
        <v>30</v>
      </c>
      <c r="G239" s="8">
        <v>2.4</v>
      </c>
      <c r="H239" s="7" t="s">
        <v>30</v>
      </c>
      <c r="I239" s="8">
        <v>2.4</v>
      </c>
      <c r="J239" s="7"/>
      <c r="K239" s="7"/>
      <c r="L239" s="6" t="s">
        <v>36</v>
      </c>
      <c r="M239" s="9" t="s">
        <v>30</v>
      </c>
      <c r="N239" s="7" t="s">
        <v>1657</v>
      </c>
      <c r="P239" t="e">
        <f>IF(N239="","",  IF(N239="Excluded", N239,  IF(N239="included in industry", N239,   _xlfn.XLOOKUP(N239, [1]unittypedata!$AD:$AD,[1]unittypedata!$D:$D)   )))</f>
        <v>#N/A</v>
      </c>
    </row>
    <row r="240" spans="1:16">
      <c r="A240" s="5" t="s">
        <v>479</v>
      </c>
      <c r="B240" s="5" t="s">
        <v>493</v>
      </c>
      <c r="C240" s="6" t="s">
        <v>29</v>
      </c>
      <c r="D240" s="7" t="s">
        <v>158</v>
      </c>
      <c r="E240" s="6">
        <v>2</v>
      </c>
      <c r="F240" s="7" t="s">
        <v>30</v>
      </c>
      <c r="G240" s="8">
        <v>0.9</v>
      </c>
      <c r="H240" s="7" t="s">
        <v>30</v>
      </c>
      <c r="I240" s="8">
        <v>0.9</v>
      </c>
      <c r="J240" s="7"/>
      <c r="K240" s="7"/>
      <c r="L240" s="6" t="s">
        <v>36</v>
      </c>
      <c r="M240" s="9" t="s">
        <v>30</v>
      </c>
      <c r="N240" s="7" t="s">
        <v>1657</v>
      </c>
      <c r="P240" t="e">
        <f>IF(N240="","",  IF(N240="Excluded", N240,  IF(N240="included in industry", N240,   _xlfn.XLOOKUP(N240, [1]unittypedata!$AD:$AD,[1]unittypedata!$D:$D)   )))</f>
        <v>#N/A</v>
      </c>
    </row>
    <row r="241" spans="1:16">
      <c r="A241" s="5" t="s">
        <v>479</v>
      </c>
      <c r="B241" s="5" t="s">
        <v>494</v>
      </c>
      <c r="C241" s="6" t="s">
        <v>29</v>
      </c>
      <c r="D241" s="7">
        <v>2023</v>
      </c>
      <c r="E241" s="6">
        <v>1</v>
      </c>
      <c r="F241" s="7" t="s">
        <v>30</v>
      </c>
      <c r="G241" s="8">
        <v>2.5</v>
      </c>
      <c r="H241" s="7" t="s">
        <v>30</v>
      </c>
      <c r="I241" s="8">
        <v>2.5</v>
      </c>
      <c r="J241" s="7"/>
      <c r="K241" s="7"/>
      <c r="L241" s="6" t="s">
        <v>36</v>
      </c>
      <c r="M241" s="9" t="s">
        <v>30</v>
      </c>
      <c r="N241" s="7" t="s">
        <v>1657</v>
      </c>
      <c r="P241" t="e">
        <f>IF(N241="","",  IF(N241="Excluded", N241,  IF(N241="included in industry", N241,   _xlfn.XLOOKUP(N241, [1]unittypedata!$AD:$AD,[1]unittypedata!$D:$D)   )))</f>
        <v>#N/A</v>
      </c>
    </row>
    <row r="242" spans="1:16">
      <c r="A242" s="11" t="s">
        <v>479</v>
      </c>
      <c r="B242" s="11" t="s">
        <v>495</v>
      </c>
      <c r="C242" s="12" t="s">
        <v>29</v>
      </c>
      <c r="D242" s="13">
        <v>2023</v>
      </c>
      <c r="E242" s="12">
        <v>1</v>
      </c>
      <c r="F242" s="13" t="s">
        <v>30</v>
      </c>
      <c r="G242" s="14">
        <v>2</v>
      </c>
      <c r="H242" s="13" t="s">
        <v>30</v>
      </c>
      <c r="I242" s="14">
        <v>2</v>
      </c>
      <c r="J242" s="13"/>
      <c r="K242" s="13"/>
      <c r="L242" s="12" t="s">
        <v>46</v>
      </c>
      <c r="M242" s="15" t="s">
        <v>30</v>
      </c>
      <c r="N242" s="7" t="s">
        <v>1653</v>
      </c>
      <c r="P242" t="e">
        <f>IF(N242="","",  IF(N242="Excluded", N242,  IF(N242="included in industry", N242,   _xlfn.XLOOKUP(N242, [1]unittypedata!$AD:$AD,[1]unittypedata!$D:$D)   )))</f>
        <v>#N/A</v>
      </c>
    </row>
    <row r="243" spans="1:16">
      <c r="A243" s="5" t="s">
        <v>496</v>
      </c>
      <c r="B243" s="5" t="s">
        <v>497</v>
      </c>
      <c r="C243" s="6" t="s">
        <v>29</v>
      </c>
      <c r="D243" s="7">
        <v>2000</v>
      </c>
      <c r="E243" s="6">
        <v>2</v>
      </c>
      <c r="F243" s="7" t="s">
        <v>30</v>
      </c>
      <c r="G243" s="8">
        <v>80</v>
      </c>
      <c r="H243" s="7" t="s">
        <v>30</v>
      </c>
      <c r="I243" s="8">
        <v>80</v>
      </c>
      <c r="J243" s="7"/>
      <c r="K243" s="7"/>
      <c r="L243" s="6" t="s">
        <v>31</v>
      </c>
      <c r="M243" s="9" t="s">
        <v>30</v>
      </c>
      <c r="N243" s="7" t="s">
        <v>1654</v>
      </c>
      <c r="P243" t="e">
        <f>IF(N243="","",  IF(N243="Excluded", N243,  IF(N243="included in industry", N243,   _xlfn.XLOOKUP(N243, [1]unittypedata!$AD:$AD,[1]unittypedata!$D:$D)   )))</f>
        <v>#N/A</v>
      </c>
    </row>
    <row r="244" spans="1:16">
      <c r="A244" s="5" t="s">
        <v>496</v>
      </c>
      <c r="B244" s="5" t="s">
        <v>498</v>
      </c>
      <c r="C244" s="6" t="s">
        <v>29</v>
      </c>
      <c r="D244" s="7">
        <v>2005</v>
      </c>
      <c r="E244" s="6">
        <v>1</v>
      </c>
      <c r="F244" s="7" t="s">
        <v>30</v>
      </c>
      <c r="G244" s="8">
        <v>40</v>
      </c>
      <c r="H244" s="7" t="s">
        <v>30</v>
      </c>
      <c r="I244" s="8">
        <v>40</v>
      </c>
      <c r="J244" s="7"/>
      <c r="K244" s="7"/>
      <c r="L244" s="6" t="s">
        <v>31</v>
      </c>
      <c r="M244" s="9" t="s">
        <v>30</v>
      </c>
      <c r="N244" s="7" t="s">
        <v>1654</v>
      </c>
      <c r="P244" t="e">
        <f>IF(N244="","",  IF(N244="Excluded", N244,  IF(N244="included in industry", N244,   _xlfn.XLOOKUP(N244, [1]unittypedata!$AD:$AD,[1]unittypedata!$D:$D)   )))</f>
        <v>#N/A</v>
      </c>
    </row>
    <row r="245" spans="1:16">
      <c r="A245" s="5" t="s">
        <v>496</v>
      </c>
      <c r="B245" s="5" t="s">
        <v>499</v>
      </c>
      <c r="C245" s="6" t="s">
        <v>29</v>
      </c>
      <c r="D245" s="7">
        <v>1996</v>
      </c>
      <c r="E245" s="6">
        <v>2</v>
      </c>
      <c r="F245" s="7" t="s">
        <v>30</v>
      </c>
      <c r="G245" s="8">
        <v>80</v>
      </c>
      <c r="H245" s="7" t="s">
        <v>30</v>
      </c>
      <c r="I245" s="8">
        <v>80</v>
      </c>
      <c r="J245" s="7"/>
      <c r="K245" s="7"/>
      <c r="L245" s="6" t="s">
        <v>31</v>
      </c>
      <c r="M245" s="9" t="s">
        <v>30</v>
      </c>
      <c r="N245" s="7" t="s">
        <v>1654</v>
      </c>
      <c r="P245" t="e">
        <f>IF(N245="","",  IF(N245="Excluded", N245,  IF(N245="included in industry", N245,   _xlfn.XLOOKUP(N245, [1]unittypedata!$AD:$AD,[1]unittypedata!$D:$D)   )))</f>
        <v>#N/A</v>
      </c>
    </row>
    <row r="246" spans="1:16">
      <c r="A246" s="5" t="s">
        <v>496</v>
      </c>
      <c r="B246" s="5" t="s">
        <v>500</v>
      </c>
      <c r="C246" s="6" t="s">
        <v>29</v>
      </c>
      <c r="D246" s="7">
        <v>1978</v>
      </c>
      <c r="E246" s="6">
        <v>2</v>
      </c>
      <c r="F246" s="7" t="s">
        <v>30</v>
      </c>
      <c r="G246" s="8">
        <v>24</v>
      </c>
      <c r="H246" s="7" t="s">
        <v>30</v>
      </c>
      <c r="I246" s="8">
        <v>24</v>
      </c>
      <c r="J246" s="7"/>
      <c r="K246" s="7"/>
      <c r="L246" s="6" t="s">
        <v>31</v>
      </c>
      <c r="M246" s="9" t="s">
        <v>30</v>
      </c>
      <c r="N246" s="7" t="s">
        <v>1654</v>
      </c>
      <c r="P246" t="e">
        <f>IF(N246="","",  IF(N246="Excluded", N246,  IF(N246="included in industry", N246,   _xlfn.XLOOKUP(N246, [1]unittypedata!$AD:$AD,[1]unittypedata!$D:$D)   )))</f>
        <v>#N/A</v>
      </c>
    </row>
    <row r="247" spans="1:16">
      <c r="A247" s="5" t="s">
        <v>496</v>
      </c>
      <c r="B247" s="5" t="s">
        <v>501</v>
      </c>
      <c r="C247" s="6" t="s">
        <v>29</v>
      </c>
      <c r="D247" s="7">
        <v>1992</v>
      </c>
      <c r="E247" s="6">
        <v>3</v>
      </c>
      <c r="F247" s="7" t="s">
        <v>30</v>
      </c>
      <c r="G247" s="8">
        <v>62</v>
      </c>
      <c r="H247" s="7" t="s">
        <v>30</v>
      </c>
      <c r="I247" s="8">
        <v>62</v>
      </c>
      <c r="J247" s="7"/>
      <c r="K247" s="7"/>
      <c r="L247" s="6" t="s">
        <v>31</v>
      </c>
      <c r="M247" s="9" t="s">
        <v>30</v>
      </c>
      <c r="N247" s="7" t="s">
        <v>1654</v>
      </c>
      <c r="P247" t="e">
        <f>IF(N247="","",  IF(N247="Excluded", N247,  IF(N247="included in industry", N247,   _xlfn.XLOOKUP(N247, [1]unittypedata!$AD:$AD,[1]unittypedata!$D:$D)   )))</f>
        <v>#N/A</v>
      </c>
    </row>
    <row r="248" spans="1:16">
      <c r="A248" s="5" t="s">
        <v>496</v>
      </c>
      <c r="B248" s="5" t="s">
        <v>502</v>
      </c>
      <c r="C248" s="6" t="s">
        <v>29</v>
      </c>
      <c r="D248" s="7">
        <v>1994</v>
      </c>
      <c r="E248" s="6">
        <v>2</v>
      </c>
      <c r="F248" s="7" t="s">
        <v>30</v>
      </c>
      <c r="G248" s="8">
        <v>24</v>
      </c>
      <c r="H248" s="7" t="s">
        <v>30</v>
      </c>
      <c r="I248" s="8">
        <v>24</v>
      </c>
      <c r="J248" s="7"/>
      <c r="K248" s="7"/>
      <c r="L248" s="6" t="s">
        <v>31</v>
      </c>
      <c r="M248" s="9" t="s">
        <v>30</v>
      </c>
      <c r="N248" s="7" t="s">
        <v>1654</v>
      </c>
      <c r="P248" t="e">
        <f>IF(N248="","",  IF(N248="Excluded", N248,  IF(N248="included in industry", N248,   _xlfn.XLOOKUP(N248, [1]unittypedata!$AD:$AD,[1]unittypedata!$D:$D)   )))</f>
        <v>#N/A</v>
      </c>
    </row>
    <row r="249" spans="1:16">
      <c r="A249" s="5" t="s">
        <v>496</v>
      </c>
      <c r="B249" s="5" t="s">
        <v>503</v>
      </c>
      <c r="C249" s="6" t="s">
        <v>29</v>
      </c>
      <c r="D249" s="7">
        <v>2009</v>
      </c>
      <c r="E249" s="6">
        <v>1</v>
      </c>
      <c r="F249" s="7" t="s">
        <v>30</v>
      </c>
      <c r="G249" s="8">
        <v>40</v>
      </c>
      <c r="H249" s="7" t="s">
        <v>30</v>
      </c>
      <c r="I249" s="8">
        <v>40</v>
      </c>
      <c r="J249" s="7"/>
      <c r="K249" s="7"/>
      <c r="L249" s="6" t="s">
        <v>31</v>
      </c>
      <c r="M249" s="9" t="s">
        <v>30</v>
      </c>
      <c r="N249" s="7" t="s">
        <v>1654</v>
      </c>
      <c r="P249" t="e">
        <f>IF(N249="","",  IF(N249="Excluded", N249,  IF(N249="included in industry", N249,   _xlfn.XLOOKUP(N249, [1]unittypedata!$AD:$AD,[1]unittypedata!$D:$D)   )))</f>
        <v>#N/A</v>
      </c>
    </row>
    <row r="250" spans="1:16">
      <c r="A250" s="5" t="s">
        <v>496</v>
      </c>
      <c r="B250" s="5" t="s">
        <v>504</v>
      </c>
      <c r="C250" s="6" t="s">
        <v>48</v>
      </c>
      <c r="D250" s="7">
        <v>2020</v>
      </c>
      <c r="E250" s="6" t="s">
        <v>30</v>
      </c>
      <c r="F250" s="7" t="s">
        <v>30</v>
      </c>
      <c r="G250" s="8" t="s">
        <v>30</v>
      </c>
      <c r="H250" s="7" t="s">
        <v>30</v>
      </c>
      <c r="I250" s="8">
        <v>3</v>
      </c>
      <c r="J250" s="7"/>
      <c r="K250" s="7"/>
      <c r="L250" s="6" t="s">
        <v>30</v>
      </c>
      <c r="M250" s="9">
        <v>1.1000000000000001</v>
      </c>
      <c r="N250" s="7" t="s">
        <v>1613</v>
      </c>
      <c r="P250" t="str">
        <f>IF(N250="","",  IF(N250="Excluded", N250,  IF(N250="included in industry", N250,   _xlfn.XLOOKUP(N250, [1]unittypedata!$AD:$AD,[1]unittypedata!$D:$D)   )))</f>
        <v>GSHP</v>
      </c>
    </row>
    <row r="251" spans="1:16">
      <c r="A251" s="5" t="s">
        <v>496</v>
      </c>
      <c r="B251" s="5" t="s">
        <v>505</v>
      </c>
      <c r="C251" s="6" t="s">
        <v>48</v>
      </c>
      <c r="D251" s="7">
        <v>2019</v>
      </c>
      <c r="E251" s="6" t="s">
        <v>30</v>
      </c>
      <c r="F251" s="7" t="s">
        <v>30</v>
      </c>
      <c r="G251" s="8" t="s">
        <v>30</v>
      </c>
      <c r="H251" s="7" t="s">
        <v>30</v>
      </c>
      <c r="I251" s="8">
        <v>0.6</v>
      </c>
      <c r="J251" s="7"/>
      <c r="K251" s="7"/>
      <c r="L251" s="6" t="s">
        <v>30</v>
      </c>
      <c r="M251" s="9">
        <v>0.2</v>
      </c>
      <c r="N251" s="7" t="s">
        <v>1613</v>
      </c>
      <c r="P251" t="str">
        <f>IF(N251="","",  IF(N251="Excluded", N251,  IF(N251="included in industry", N251,   _xlfn.XLOOKUP(N251, [1]unittypedata!$AD:$AD,[1]unittypedata!$D:$D)   )))</f>
        <v>GSHP</v>
      </c>
    </row>
    <row r="252" spans="1:16">
      <c r="A252" s="5" t="s">
        <v>496</v>
      </c>
      <c r="B252" s="5" t="s">
        <v>506</v>
      </c>
      <c r="C252" s="6" t="s">
        <v>48</v>
      </c>
      <c r="D252" s="7">
        <v>2022</v>
      </c>
      <c r="E252" s="6" t="s">
        <v>30</v>
      </c>
      <c r="F252" s="7" t="s">
        <v>30</v>
      </c>
      <c r="G252" s="8" t="s">
        <v>30</v>
      </c>
      <c r="H252" s="7" t="s">
        <v>30</v>
      </c>
      <c r="I252" s="8">
        <v>1</v>
      </c>
      <c r="J252" s="7"/>
      <c r="K252" s="7"/>
      <c r="L252" s="6" t="s">
        <v>30</v>
      </c>
      <c r="M252" s="9">
        <v>0.3</v>
      </c>
      <c r="N252" s="7" t="s">
        <v>1613</v>
      </c>
      <c r="P252" t="str">
        <f>IF(N252="","",  IF(N252="Excluded", N252,  IF(N252="included in industry", N252,   _xlfn.XLOOKUP(N252, [1]unittypedata!$AD:$AD,[1]unittypedata!$D:$D)   )))</f>
        <v>GSHP</v>
      </c>
    </row>
    <row r="253" spans="1:16">
      <c r="A253" s="5" t="s">
        <v>496</v>
      </c>
      <c r="B253" s="5" t="s">
        <v>507</v>
      </c>
      <c r="C253" s="6" t="s">
        <v>48</v>
      </c>
      <c r="D253" s="7">
        <v>2022</v>
      </c>
      <c r="E253" s="6" t="s">
        <v>30</v>
      </c>
      <c r="F253" s="7" t="s">
        <v>30</v>
      </c>
      <c r="G253" s="8" t="s">
        <v>30</v>
      </c>
      <c r="H253" s="7" t="s">
        <v>30</v>
      </c>
      <c r="I253" s="8">
        <v>0.9</v>
      </c>
      <c r="J253" s="7"/>
      <c r="K253" s="7"/>
      <c r="L253" s="6" t="s">
        <v>30</v>
      </c>
      <c r="M253" s="9">
        <v>0.3</v>
      </c>
      <c r="N253" s="7" t="s">
        <v>1613</v>
      </c>
      <c r="P253" t="str">
        <f>IF(N253="","",  IF(N253="Excluded", N253,  IF(N253="included in industry", N253,   _xlfn.XLOOKUP(N253, [1]unittypedata!$AD:$AD,[1]unittypedata!$D:$D)   )))</f>
        <v>GSHP</v>
      </c>
    </row>
    <row r="254" spans="1:16">
      <c r="A254" s="5" t="s">
        <v>496</v>
      </c>
      <c r="B254" s="5" t="s">
        <v>508</v>
      </c>
      <c r="C254" s="6" t="s">
        <v>48</v>
      </c>
      <c r="D254" s="7">
        <v>2022</v>
      </c>
      <c r="E254" s="6" t="s">
        <v>30</v>
      </c>
      <c r="F254" s="7" t="s">
        <v>30</v>
      </c>
      <c r="G254" s="8" t="s">
        <v>30</v>
      </c>
      <c r="H254" s="7" t="s">
        <v>30</v>
      </c>
      <c r="I254" s="8">
        <v>0.2</v>
      </c>
      <c r="J254" s="7"/>
      <c r="K254" s="7"/>
      <c r="L254" s="6" t="s">
        <v>30</v>
      </c>
      <c r="M254" s="9">
        <v>0.1</v>
      </c>
      <c r="N254" s="7" t="s">
        <v>1613</v>
      </c>
      <c r="P254" t="str">
        <f>IF(N254="","",  IF(N254="Excluded", N254,  IF(N254="included in industry", N254,   _xlfn.XLOOKUP(N254, [1]unittypedata!$AD:$AD,[1]unittypedata!$D:$D)   )))</f>
        <v>GSHP</v>
      </c>
    </row>
    <row r="255" spans="1:16">
      <c r="A255" s="5" t="s">
        <v>496</v>
      </c>
      <c r="B255" s="5" t="s">
        <v>509</v>
      </c>
      <c r="C255" s="6" t="s">
        <v>48</v>
      </c>
      <c r="D255" s="7">
        <v>2022</v>
      </c>
      <c r="E255" s="6" t="s">
        <v>30</v>
      </c>
      <c r="F255" s="7" t="s">
        <v>30</v>
      </c>
      <c r="G255" s="8" t="s">
        <v>30</v>
      </c>
      <c r="H255" s="7" t="s">
        <v>30</v>
      </c>
      <c r="I255" s="8">
        <v>0.2</v>
      </c>
      <c r="J255" s="7"/>
      <c r="K255" s="7"/>
      <c r="L255" s="6" t="s">
        <v>30</v>
      </c>
      <c r="M255" s="9">
        <v>0.1</v>
      </c>
      <c r="N255" s="7" t="s">
        <v>1613</v>
      </c>
      <c r="P255" t="str">
        <f>IF(N255="","",  IF(N255="Excluded", N255,  IF(N255="included in industry", N255,   _xlfn.XLOOKUP(N255, [1]unittypedata!$AD:$AD,[1]unittypedata!$D:$D)   )))</f>
        <v>GSHP</v>
      </c>
    </row>
    <row r="256" spans="1:16">
      <c r="A256" s="5" t="s">
        <v>496</v>
      </c>
      <c r="B256" s="5" t="s">
        <v>510</v>
      </c>
      <c r="C256" s="6" t="s">
        <v>52</v>
      </c>
      <c r="D256" s="7">
        <v>1982</v>
      </c>
      <c r="E256" s="6">
        <v>2</v>
      </c>
      <c r="F256" s="7">
        <v>235</v>
      </c>
      <c r="G256" s="8">
        <v>15</v>
      </c>
      <c r="H256" s="7">
        <v>46</v>
      </c>
      <c r="I256" s="8">
        <v>296</v>
      </c>
      <c r="J256" s="7">
        <v>100</v>
      </c>
      <c r="K256" s="7"/>
      <c r="L256" s="6" t="s">
        <v>118</v>
      </c>
      <c r="M256" s="9" t="s">
        <v>30</v>
      </c>
      <c r="N256" s="7" t="s">
        <v>1656</v>
      </c>
      <c r="P256" t="e">
        <f>IF(N256="","",  IF(N256="Excluded", N256,  IF(N256="included in industry", N256,   _xlfn.XLOOKUP(N256, [1]unittypedata!$AD:$AD,[1]unittypedata!$D:$D)   )))</f>
        <v>#N/A</v>
      </c>
    </row>
    <row r="257" spans="1:16">
      <c r="A257" s="11" t="s">
        <v>496</v>
      </c>
      <c r="B257" s="11" t="s">
        <v>511</v>
      </c>
      <c r="C257" s="12" t="s">
        <v>75</v>
      </c>
      <c r="D257" s="13">
        <v>2014</v>
      </c>
      <c r="E257" s="12" t="s">
        <v>30</v>
      </c>
      <c r="F257" s="13" t="s">
        <v>30</v>
      </c>
      <c r="G257" s="14" t="s">
        <v>30</v>
      </c>
      <c r="H257" s="13" t="s">
        <v>30</v>
      </c>
      <c r="I257" s="14">
        <v>1.6</v>
      </c>
      <c r="J257" s="13">
        <v>1.6</v>
      </c>
      <c r="K257" s="13"/>
      <c r="L257" s="12" t="s">
        <v>68</v>
      </c>
      <c r="M257" s="15" t="s">
        <v>30</v>
      </c>
      <c r="N257" s="7" t="s">
        <v>1658</v>
      </c>
      <c r="P257" t="e">
        <f>IF(N257="","",  IF(N257="Excluded", N257,  IF(N257="included in industry", N257,   _xlfn.XLOOKUP(N257, [1]unittypedata!$AD:$AD,[1]unittypedata!$D:$D)   )))</f>
        <v>#N/A</v>
      </c>
    </row>
    <row r="258" spans="1:16">
      <c r="A258" s="5" t="s">
        <v>512</v>
      </c>
      <c r="B258" s="5" t="s">
        <v>513</v>
      </c>
      <c r="C258" s="6" t="s">
        <v>29</v>
      </c>
      <c r="D258" s="7">
        <v>2004</v>
      </c>
      <c r="E258" s="6">
        <v>1</v>
      </c>
      <c r="F258" s="7" t="s">
        <v>30</v>
      </c>
      <c r="G258" s="8">
        <v>0.2</v>
      </c>
      <c r="H258" s="7" t="s">
        <v>30</v>
      </c>
      <c r="I258" s="8">
        <v>0.2</v>
      </c>
      <c r="J258" s="7"/>
      <c r="K258" s="7"/>
      <c r="L258" s="6" t="s">
        <v>46</v>
      </c>
      <c r="M258" s="9" t="s">
        <v>30</v>
      </c>
      <c r="N258" s="7" t="s">
        <v>1653</v>
      </c>
      <c r="P258" t="e">
        <f>IF(N258="","",  IF(N258="Excluded", N258,  IF(N258="included in industry", N258,   _xlfn.XLOOKUP(N258, [1]unittypedata!$AD:$AD,[1]unittypedata!$D:$D)   )))</f>
        <v>#N/A</v>
      </c>
    </row>
    <row r="259" spans="1:16">
      <c r="A259" s="5" t="s">
        <v>512</v>
      </c>
      <c r="B259" s="5" t="s">
        <v>514</v>
      </c>
      <c r="C259" s="6" t="s">
        <v>29</v>
      </c>
      <c r="D259" s="7">
        <v>2010</v>
      </c>
      <c r="E259" s="6">
        <v>1</v>
      </c>
      <c r="F259" s="7" t="s">
        <v>30</v>
      </c>
      <c r="G259" s="8">
        <v>4.2</v>
      </c>
      <c r="H259" s="7" t="s">
        <v>30</v>
      </c>
      <c r="I259" s="8">
        <v>4.2</v>
      </c>
      <c r="J259" s="7"/>
      <c r="K259" s="7"/>
      <c r="L259" s="6" t="s">
        <v>46</v>
      </c>
      <c r="M259" s="9" t="s">
        <v>30</v>
      </c>
      <c r="N259" s="7" t="s">
        <v>1653</v>
      </c>
      <c r="P259" t="e">
        <f>IF(N259="","",  IF(N259="Excluded", N259,  IF(N259="included in industry", N259,   _xlfn.XLOOKUP(N259, [1]unittypedata!$AD:$AD,[1]unittypedata!$D:$D)   )))</f>
        <v>#N/A</v>
      </c>
    </row>
    <row r="260" spans="1:16">
      <c r="A260" s="11" t="s">
        <v>512</v>
      </c>
      <c r="B260" s="11" t="s">
        <v>515</v>
      </c>
      <c r="C260" s="12" t="s">
        <v>29</v>
      </c>
      <c r="D260" s="13">
        <v>2005</v>
      </c>
      <c r="E260" s="12">
        <v>1</v>
      </c>
      <c r="F260" s="13" t="s">
        <v>30</v>
      </c>
      <c r="G260" s="14">
        <v>1</v>
      </c>
      <c r="H260" s="13" t="s">
        <v>30</v>
      </c>
      <c r="I260" s="14">
        <v>1</v>
      </c>
      <c r="J260" s="13"/>
      <c r="K260" s="13"/>
      <c r="L260" s="12" t="s">
        <v>46</v>
      </c>
      <c r="M260" s="15" t="s">
        <v>30</v>
      </c>
      <c r="N260" s="7" t="s">
        <v>1653</v>
      </c>
      <c r="P260" t="e">
        <f>IF(N260="","",  IF(N260="Excluded", N260,  IF(N260="included in industry", N260,   _xlfn.XLOOKUP(N260, [1]unittypedata!$AD:$AD,[1]unittypedata!$D:$D)   )))</f>
        <v>#N/A</v>
      </c>
    </row>
    <row r="261" spans="1:16">
      <c r="A261" s="5" t="s">
        <v>516</v>
      </c>
      <c r="B261" s="5" t="s">
        <v>517</v>
      </c>
      <c r="C261" s="6" t="s">
        <v>29</v>
      </c>
      <c r="D261" s="7">
        <v>1987</v>
      </c>
      <c r="E261" s="6">
        <v>3</v>
      </c>
      <c r="F261" s="7" t="s">
        <v>30</v>
      </c>
      <c r="G261" s="8">
        <v>16</v>
      </c>
      <c r="H261" s="7">
        <v>2</v>
      </c>
      <c r="I261" s="8">
        <v>18</v>
      </c>
      <c r="J261" s="7"/>
      <c r="K261" s="7"/>
      <c r="L261" s="6" t="s">
        <v>46</v>
      </c>
      <c r="M261" s="9" t="s">
        <v>30</v>
      </c>
      <c r="N261" s="7" t="s">
        <v>1653</v>
      </c>
      <c r="P261" t="e">
        <f>IF(N261="","",  IF(N261="Excluded", N261,  IF(N261="included in industry", N261,   _xlfn.XLOOKUP(N261, [1]unittypedata!$AD:$AD,[1]unittypedata!$D:$D)   )))</f>
        <v>#N/A</v>
      </c>
    </row>
    <row r="262" spans="1:16">
      <c r="A262" s="5" t="s">
        <v>516</v>
      </c>
      <c r="B262" s="5" t="s">
        <v>518</v>
      </c>
      <c r="C262" s="6" t="s">
        <v>29</v>
      </c>
      <c r="D262" s="7">
        <v>1996</v>
      </c>
      <c r="E262" s="6">
        <v>1</v>
      </c>
      <c r="F262" s="7" t="s">
        <v>30</v>
      </c>
      <c r="G262" s="8">
        <v>4.8</v>
      </c>
      <c r="H262" s="7" t="s">
        <v>30</v>
      </c>
      <c r="I262" s="8">
        <v>4.8</v>
      </c>
      <c r="J262" s="7"/>
      <c r="K262" s="7"/>
      <c r="L262" s="6" t="s">
        <v>31</v>
      </c>
      <c r="M262" s="9" t="s">
        <v>30</v>
      </c>
      <c r="N262" s="7" t="s">
        <v>1654</v>
      </c>
      <c r="P262" t="e">
        <f>IF(N262="","",  IF(N262="Excluded", N262,  IF(N262="included in industry", N262,   _xlfn.XLOOKUP(N262, [1]unittypedata!$AD:$AD,[1]unittypedata!$D:$D)   )))</f>
        <v>#N/A</v>
      </c>
    </row>
    <row r="263" spans="1:16">
      <c r="A263" s="5" t="s">
        <v>516</v>
      </c>
      <c r="B263" s="5" t="s">
        <v>519</v>
      </c>
      <c r="C263" s="6" t="s">
        <v>29</v>
      </c>
      <c r="D263" s="7">
        <v>1996</v>
      </c>
      <c r="E263" s="6">
        <v>1</v>
      </c>
      <c r="F263" s="7" t="s">
        <v>30</v>
      </c>
      <c r="G263" s="8">
        <v>1.8</v>
      </c>
      <c r="H263" s="7" t="s">
        <v>30</v>
      </c>
      <c r="I263" s="8">
        <v>1.8</v>
      </c>
      <c r="J263" s="7"/>
      <c r="K263" s="7"/>
      <c r="L263" s="6" t="s">
        <v>31</v>
      </c>
      <c r="M263" s="9" t="s">
        <v>30</v>
      </c>
      <c r="N263" s="7" t="s">
        <v>1654</v>
      </c>
      <c r="P263" t="e">
        <f>IF(N263="","",  IF(N263="Excluded", N263,  IF(N263="included in industry", N263,   _xlfn.XLOOKUP(N263, [1]unittypedata!$AD:$AD,[1]unittypedata!$D:$D)   )))</f>
        <v>#N/A</v>
      </c>
    </row>
    <row r="264" spans="1:16">
      <c r="A264" s="5" t="s">
        <v>516</v>
      </c>
      <c r="B264" s="5" t="s">
        <v>520</v>
      </c>
      <c r="C264" s="6" t="s">
        <v>29</v>
      </c>
      <c r="D264" s="7">
        <v>1980</v>
      </c>
      <c r="E264" s="6">
        <v>3</v>
      </c>
      <c r="F264" s="7" t="s">
        <v>30</v>
      </c>
      <c r="G264" s="8">
        <v>6</v>
      </c>
      <c r="H264" s="7" t="s">
        <v>30</v>
      </c>
      <c r="I264" s="8">
        <v>6</v>
      </c>
      <c r="J264" s="7"/>
      <c r="K264" s="7"/>
      <c r="L264" s="6" t="s">
        <v>46</v>
      </c>
      <c r="M264" s="9" t="s">
        <v>30</v>
      </c>
      <c r="N264" s="7" t="s">
        <v>1653</v>
      </c>
      <c r="P264" t="e">
        <f>IF(N264="","",  IF(N264="Excluded", N264,  IF(N264="included in industry", N264,   _xlfn.XLOOKUP(N264, [1]unittypedata!$AD:$AD,[1]unittypedata!$D:$D)   )))</f>
        <v>#N/A</v>
      </c>
    </row>
    <row r="265" spans="1:16">
      <c r="A265" s="5" t="s">
        <v>516</v>
      </c>
      <c r="B265" s="5" t="s">
        <v>521</v>
      </c>
      <c r="C265" s="6" t="s">
        <v>29</v>
      </c>
      <c r="D265" s="7">
        <v>2011</v>
      </c>
      <c r="E265" s="6">
        <v>2</v>
      </c>
      <c r="F265" s="7" t="s">
        <v>30</v>
      </c>
      <c r="G265" s="8">
        <v>2</v>
      </c>
      <c r="H265" s="7" t="s">
        <v>30</v>
      </c>
      <c r="I265" s="8">
        <v>2</v>
      </c>
      <c r="J265" s="7"/>
      <c r="K265" s="7"/>
      <c r="L265" s="6" t="s">
        <v>46</v>
      </c>
      <c r="M265" s="9" t="s">
        <v>30</v>
      </c>
      <c r="N265" s="7" t="s">
        <v>1653</v>
      </c>
      <c r="P265" t="e">
        <f>IF(N265="","",  IF(N265="Excluded", N265,  IF(N265="included in industry", N265,   _xlfn.XLOOKUP(N265, [1]unittypedata!$AD:$AD,[1]unittypedata!$D:$D)   )))</f>
        <v>#N/A</v>
      </c>
    </row>
    <row r="266" spans="1:16">
      <c r="A266" s="5" t="s">
        <v>516</v>
      </c>
      <c r="B266" s="5" t="s">
        <v>522</v>
      </c>
      <c r="C266" s="6" t="s">
        <v>29</v>
      </c>
      <c r="D266" s="7">
        <v>2001</v>
      </c>
      <c r="E266" s="6">
        <v>4</v>
      </c>
      <c r="F266" s="7" t="s">
        <v>30</v>
      </c>
      <c r="G266" s="8">
        <v>15</v>
      </c>
      <c r="H266" s="7">
        <v>1.5</v>
      </c>
      <c r="I266" s="8">
        <v>16.5</v>
      </c>
      <c r="J266" s="7"/>
      <c r="K266" s="7"/>
      <c r="L266" s="6" t="s">
        <v>46</v>
      </c>
      <c r="M266" s="9" t="s">
        <v>30</v>
      </c>
      <c r="N266" s="7" t="s">
        <v>1653</v>
      </c>
      <c r="P266" t="e">
        <f>IF(N266="","",  IF(N266="Excluded", N266,  IF(N266="included in industry", N266,   _xlfn.XLOOKUP(N266, [1]unittypedata!$AD:$AD,[1]unittypedata!$D:$D)   )))</f>
        <v>#N/A</v>
      </c>
    </row>
    <row r="267" spans="1:16">
      <c r="A267" s="5" t="s">
        <v>516</v>
      </c>
      <c r="B267" s="5" t="s">
        <v>523</v>
      </c>
      <c r="C267" s="6" t="s">
        <v>29</v>
      </c>
      <c r="D267" s="7">
        <v>2004</v>
      </c>
      <c r="E267" s="6">
        <v>1</v>
      </c>
      <c r="F267" s="7" t="s">
        <v>30</v>
      </c>
      <c r="G267" s="8">
        <v>4</v>
      </c>
      <c r="H267" s="7" t="s">
        <v>30</v>
      </c>
      <c r="I267" s="8">
        <v>4</v>
      </c>
      <c r="J267" s="7"/>
      <c r="K267" s="7"/>
      <c r="L267" s="6" t="s">
        <v>31</v>
      </c>
      <c r="M267" s="9" t="s">
        <v>30</v>
      </c>
      <c r="N267" s="7" t="s">
        <v>1654</v>
      </c>
      <c r="P267" t="e">
        <f>IF(N267="","",  IF(N267="Excluded", N267,  IF(N267="included in industry", N267,   _xlfn.XLOOKUP(N267, [1]unittypedata!$AD:$AD,[1]unittypedata!$D:$D)   )))</f>
        <v>#N/A</v>
      </c>
    </row>
    <row r="268" spans="1:16">
      <c r="A268" s="5" t="s">
        <v>516</v>
      </c>
      <c r="B268" s="5" t="s">
        <v>524</v>
      </c>
      <c r="C268" s="6" t="s">
        <v>29</v>
      </c>
      <c r="D268" s="7">
        <v>2004</v>
      </c>
      <c r="E268" s="6">
        <v>2</v>
      </c>
      <c r="F268" s="7" t="s">
        <v>30</v>
      </c>
      <c r="G268" s="8">
        <v>3.5</v>
      </c>
      <c r="H268" s="7" t="s">
        <v>30</v>
      </c>
      <c r="I268" s="8">
        <v>3.5</v>
      </c>
      <c r="J268" s="7"/>
      <c r="K268" s="7"/>
      <c r="L268" s="6" t="s">
        <v>31</v>
      </c>
      <c r="M268" s="9" t="s">
        <v>30</v>
      </c>
      <c r="N268" s="7" t="s">
        <v>1654</v>
      </c>
      <c r="P268" t="e">
        <f>IF(N268="","",  IF(N268="Excluded", N268,  IF(N268="included in industry", N268,   _xlfn.XLOOKUP(N268, [1]unittypedata!$AD:$AD,[1]unittypedata!$D:$D)   )))</f>
        <v>#N/A</v>
      </c>
    </row>
    <row r="269" spans="1:16">
      <c r="A269" s="5" t="s">
        <v>516</v>
      </c>
      <c r="B269" s="5" t="s">
        <v>525</v>
      </c>
      <c r="C269" s="6" t="s">
        <v>29</v>
      </c>
      <c r="D269" s="7">
        <v>2015</v>
      </c>
      <c r="E269" s="6">
        <v>2</v>
      </c>
      <c r="F269" s="7" t="s">
        <v>30</v>
      </c>
      <c r="G269" s="8">
        <v>2</v>
      </c>
      <c r="H269" s="7" t="s">
        <v>30</v>
      </c>
      <c r="I269" s="8">
        <v>2</v>
      </c>
      <c r="J269" s="7"/>
      <c r="K269" s="7"/>
      <c r="L269" s="6" t="s">
        <v>46</v>
      </c>
      <c r="M269" s="9" t="s">
        <v>30</v>
      </c>
      <c r="N269" s="7" t="s">
        <v>1653</v>
      </c>
      <c r="P269" t="e">
        <f>IF(N269="","",  IF(N269="Excluded", N269,  IF(N269="included in industry", N269,   _xlfn.XLOOKUP(N269, [1]unittypedata!$AD:$AD,[1]unittypedata!$D:$D)   )))</f>
        <v>#N/A</v>
      </c>
    </row>
    <row r="270" spans="1:16">
      <c r="A270" s="5" t="s">
        <v>516</v>
      </c>
      <c r="B270" s="5" t="s">
        <v>526</v>
      </c>
      <c r="C270" s="6" t="s">
        <v>29</v>
      </c>
      <c r="D270" s="7">
        <v>1998</v>
      </c>
      <c r="E270" s="6">
        <v>1</v>
      </c>
      <c r="F270" s="7" t="s">
        <v>30</v>
      </c>
      <c r="G270" s="8">
        <v>2</v>
      </c>
      <c r="H270" s="7" t="s">
        <v>30</v>
      </c>
      <c r="I270" s="8">
        <v>2</v>
      </c>
      <c r="J270" s="7"/>
      <c r="K270" s="7"/>
      <c r="L270" s="6" t="s">
        <v>31</v>
      </c>
      <c r="M270" s="9" t="s">
        <v>30</v>
      </c>
      <c r="N270" s="7" t="s">
        <v>1654</v>
      </c>
      <c r="P270" t="e">
        <f>IF(N270="","",  IF(N270="Excluded", N270,  IF(N270="included in industry", N270,   _xlfn.XLOOKUP(N270, [1]unittypedata!$AD:$AD,[1]unittypedata!$D:$D)   )))</f>
        <v>#N/A</v>
      </c>
    </row>
    <row r="271" spans="1:16">
      <c r="A271" s="5" t="s">
        <v>516</v>
      </c>
      <c r="B271" s="5" t="s">
        <v>527</v>
      </c>
      <c r="C271" s="6" t="s">
        <v>29</v>
      </c>
      <c r="D271" s="7">
        <v>1987</v>
      </c>
      <c r="E271" s="6">
        <v>3</v>
      </c>
      <c r="F271" s="7" t="s">
        <v>30</v>
      </c>
      <c r="G271" s="8">
        <v>15</v>
      </c>
      <c r="H271" s="7">
        <v>1.5</v>
      </c>
      <c r="I271" s="8">
        <v>16.5</v>
      </c>
      <c r="J271" s="7"/>
      <c r="K271" s="7"/>
      <c r="L271" s="6" t="s">
        <v>46</v>
      </c>
      <c r="M271" s="9" t="s">
        <v>30</v>
      </c>
      <c r="N271" s="7" t="s">
        <v>1653</v>
      </c>
      <c r="P271" t="e">
        <f>IF(N271="","",  IF(N271="Excluded", N271,  IF(N271="included in industry", N271,   _xlfn.XLOOKUP(N271, [1]unittypedata!$AD:$AD,[1]unittypedata!$D:$D)   )))</f>
        <v>#N/A</v>
      </c>
    </row>
    <row r="272" spans="1:16">
      <c r="A272" s="11" t="s">
        <v>516</v>
      </c>
      <c r="B272" s="11" t="s">
        <v>528</v>
      </c>
      <c r="C272" s="12" t="s">
        <v>48</v>
      </c>
      <c r="D272" s="13">
        <v>2021</v>
      </c>
      <c r="E272" s="12" t="s">
        <v>30</v>
      </c>
      <c r="F272" s="13" t="s">
        <v>30</v>
      </c>
      <c r="G272" s="14" t="s">
        <v>30</v>
      </c>
      <c r="H272" s="13" t="s">
        <v>30</v>
      </c>
      <c r="I272" s="14">
        <v>0.2</v>
      </c>
      <c r="J272" s="13"/>
      <c r="K272" s="13"/>
      <c r="L272" s="12" t="s">
        <v>30</v>
      </c>
      <c r="M272" s="15">
        <v>0.1</v>
      </c>
      <c r="N272" s="7" t="s">
        <v>1613</v>
      </c>
      <c r="P272" t="str">
        <f>IF(N272="","",  IF(N272="Excluded", N272,  IF(N272="included in industry", N272,   _xlfn.XLOOKUP(N272, [1]unittypedata!$AD:$AD,[1]unittypedata!$D:$D)   )))</f>
        <v>GSHP</v>
      </c>
    </row>
    <row r="273" spans="1:16">
      <c r="A273" s="5" t="s">
        <v>529</v>
      </c>
      <c r="B273" s="5" t="s">
        <v>530</v>
      </c>
      <c r="C273" s="6" t="s">
        <v>29</v>
      </c>
      <c r="D273" s="7" t="s">
        <v>158</v>
      </c>
      <c r="E273" s="6">
        <v>3</v>
      </c>
      <c r="F273" s="7" t="s">
        <v>30</v>
      </c>
      <c r="G273" s="8">
        <v>25.5</v>
      </c>
      <c r="H273" s="7" t="s">
        <v>30</v>
      </c>
      <c r="I273" s="8">
        <v>25.5</v>
      </c>
      <c r="J273" s="7"/>
      <c r="K273" s="7"/>
      <c r="L273" s="6" t="s">
        <v>253</v>
      </c>
      <c r="M273" s="9" t="s">
        <v>30</v>
      </c>
      <c r="N273" s="7" t="s">
        <v>1653</v>
      </c>
      <c r="P273" t="e">
        <f>IF(N273="","",  IF(N273="Excluded", N273,  IF(N273="included in industry", N273,   _xlfn.XLOOKUP(N273, [1]unittypedata!$AD:$AD,[1]unittypedata!$D:$D)   )))</f>
        <v>#N/A</v>
      </c>
    </row>
    <row r="274" spans="1:16">
      <c r="A274" s="5" t="s">
        <v>529</v>
      </c>
      <c r="B274" s="5" t="s">
        <v>531</v>
      </c>
      <c r="C274" s="6" t="s">
        <v>29</v>
      </c>
      <c r="D274" s="7" t="s">
        <v>158</v>
      </c>
      <c r="E274" s="6">
        <v>3</v>
      </c>
      <c r="F274" s="7" t="s">
        <v>30</v>
      </c>
      <c r="G274" s="8">
        <v>4</v>
      </c>
      <c r="H274" s="7" t="s">
        <v>30</v>
      </c>
      <c r="I274" s="8">
        <v>4</v>
      </c>
      <c r="J274" s="7"/>
      <c r="K274" s="7"/>
      <c r="L274" s="6" t="s">
        <v>31</v>
      </c>
      <c r="M274" s="9" t="s">
        <v>30</v>
      </c>
      <c r="N274" s="7" t="s">
        <v>1654</v>
      </c>
      <c r="P274" t="e">
        <f>IF(N274="","",  IF(N274="Excluded", N274,  IF(N274="included in industry", N274,   _xlfn.XLOOKUP(N274, [1]unittypedata!$AD:$AD,[1]unittypedata!$D:$D)   )))</f>
        <v>#N/A</v>
      </c>
    </row>
    <row r="275" spans="1:16">
      <c r="A275" s="5" t="s">
        <v>529</v>
      </c>
      <c r="B275" s="5" t="s">
        <v>532</v>
      </c>
      <c r="C275" s="6" t="s">
        <v>29</v>
      </c>
      <c r="D275" s="7" t="s">
        <v>158</v>
      </c>
      <c r="E275" s="6">
        <v>2</v>
      </c>
      <c r="F275" s="7" t="s">
        <v>30</v>
      </c>
      <c r="G275" s="8">
        <v>8.6</v>
      </c>
      <c r="H275" s="7" t="s">
        <v>30</v>
      </c>
      <c r="I275" s="8">
        <v>8.6</v>
      </c>
      <c r="J275" s="7"/>
      <c r="K275" s="7"/>
      <c r="L275" s="6" t="s">
        <v>31</v>
      </c>
      <c r="M275" s="9" t="s">
        <v>30</v>
      </c>
      <c r="N275" s="7" t="s">
        <v>1654</v>
      </c>
      <c r="P275" t="e">
        <f>IF(N275="","",  IF(N275="Excluded", N275,  IF(N275="included in industry", N275,   _xlfn.XLOOKUP(N275, [1]unittypedata!$AD:$AD,[1]unittypedata!$D:$D)   )))</f>
        <v>#N/A</v>
      </c>
    </row>
    <row r="276" spans="1:16">
      <c r="A276" s="5" t="s">
        <v>529</v>
      </c>
      <c r="B276" s="5" t="s">
        <v>533</v>
      </c>
      <c r="C276" s="6" t="s">
        <v>29</v>
      </c>
      <c r="D276" s="7" t="s">
        <v>158</v>
      </c>
      <c r="E276" s="6">
        <v>2</v>
      </c>
      <c r="F276" s="7" t="s">
        <v>30</v>
      </c>
      <c r="G276" s="8">
        <v>1.4</v>
      </c>
      <c r="H276" s="7" t="s">
        <v>30</v>
      </c>
      <c r="I276" s="8">
        <v>1.4</v>
      </c>
      <c r="J276" s="7"/>
      <c r="K276" s="7"/>
      <c r="L276" s="6" t="s">
        <v>31</v>
      </c>
      <c r="M276" s="9" t="s">
        <v>30</v>
      </c>
      <c r="N276" s="7" t="s">
        <v>1654</v>
      </c>
      <c r="P276" t="e">
        <f>IF(N276="","",  IF(N276="Excluded", N276,  IF(N276="included in industry", N276,   _xlfn.XLOOKUP(N276, [1]unittypedata!$AD:$AD,[1]unittypedata!$D:$D)   )))</f>
        <v>#N/A</v>
      </c>
    </row>
    <row r="277" spans="1:16">
      <c r="A277" s="5" t="s">
        <v>529</v>
      </c>
      <c r="B277" s="5" t="s">
        <v>534</v>
      </c>
      <c r="C277" s="6" t="s">
        <v>29</v>
      </c>
      <c r="D277" s="7" t="s">
        <v>158</v>
      </c>
      <c r="E277" s="6">
        <v>2</v>
      </c>
      <c r="F277" s="7" t="s">
        <v>30</v>
      </c>
      <c r="G277" s="8">
        <v>2.5</v>
      </c>
      <c r="H277" s="7" t="s">
        <v>30</v>
      </c>
      <c r="I277" s="8">
        <v>2.5</v>
      </c>
      <c r="J277" s="7"/>
      <c r="K277" s="7"/>
      <c r="L277" s="6" t="s">
        <v>31</v>
      </c>
      <c r="M277" s="9" t="s">
        <v>30</v>
      </c>
      <c r="N277" s="7" t="s">
        <v>1654</v>
      </c>
      <c r="P277" t="e">
        <f>IF(N277="","",  IF(N277="Excluded", N277,  IF(N277="included in industry", N277,   _xlfn.XLOOKUP(N277, [1]unittypedata!$AD:$AD,[1]unittypedata!$D:$D)   )))</f>
        <v>#N/A</v>
      </c>
    </row>
    <row r="278" spans="1:16">
      <c r="A278" s="5" t="s">
        <v>529</v>
      </c>
      <c r="B278" s="5" t="s">
        <v>535</v>
      </c>
      <c r="C278" s="6" t="s">
        <v>29</v>
      </c>
      <c r="D278" s="7" t="s">
        <v>158</v>
      </c>
      <c r="E278" s="6">
        <v>1</v>
      </c>
      <c r="F278" s="7" t="s">
        <v>30</v>
      </c>
      <c r="G278" s="8">
        <v>0.8</v>
      </c>
      <c r="H278" s="7" t="s">
        <v>30</v>
      </c>
      <c r="I278" s="8">
        <v>0.8</v>
      </c>
      <c r="J278" s="7"/>
      <c r="K278" s="7"/>
      <c r="L278" s="6" t="s">
        <v>31</v>
      </c>
      <c r="M278" s="9" t="s">
        <v>30</v>
      </c>
      <c r="N278" s="7" t="s">
        <v>1654</v>
      </c>
      <c r="P278" t="e">
        <f>IF(N278="","",  IF(N278="Excluded", N278,  IF(N278="included in industry", N278,   _xlfn.XLOOKUP(N278, [1]unittypedata!$AD:$AD,[1]unittypedata!$D:$D)   )))</f>
        <v>#N/A</v>
      </c>
    </row>
    <row r="279" spans="1:16">
      <c r="A279" s="5" t="s">
        <v>529</v>
      </c>
      <c r="B279" s="5" t="s">
        <v>536</v>
      </c>
      <c r="C279" s="6" t="s">
        <v>29</v>
      </c>
      <c r="D279" s="7" t="s">
        <v>158</v>
      </c>
      <c r="E279" s="6">
        <v>2</v>
      </c>
      <c r="F279" s="7" t="s">
        <v>30</v>
      </c>
      <c r="G279" s="8">
        <v>7</v>
      </c>
      <c r="H279" s="7" t="s">
        <v>30</v>
      </c>
      <c r="I279" s="8">
        <v>7</v>
      </c>
      <c r="J279" s="7"/>
      <c r="K279" s="7"/>
      <c r="L279" s="6" t="s">
        <v>253</v>
      </c>
      <c r="M279" s="9" t="s">
        <v>30</v>
      </c>
      <c r="N279" s="7" t="s">
        <v>1653</v>
      </c>
      <c r="P279" t="e">
        <f>IF(N279="","",  IF(N279="Excluded", N279,  IF(N279="included in industry", N279,   _xlfn.XLOOKUP(N279, [1]unittypedata!$AD:$AD,[1]unittypedata!$D:$D)   )))</f>
        <v>#N/A</v>
      </c>
    </row>
    <row r="280" spans="1:16">
      <c r="A280" s="11" t="s">
        <v>529</v>
      </c>
      <c r="B280" s="11" t="s">
        <v>537</v>
      </c>
      <c r="C280" s="12" t="s">
        <v>29</v>
      </c>
      <c r="D280" s="13" t="s">
        <v>158</v>
      </c>
      <c r="E280" s="12">
        <v>2</v>
      </c>
      <c r="F280" s="13" t="s">
        <v>30</v>
      </c>
      <c r="G280" s="14">
        <v>3</v>
      </c>
      <c r="H280" s="13" t="s">
        <v>30</v>
      </c>
      <c r="I280" s="14">
        <v>3</v>
      </c>
      <c r="J280" s="13"/>
      <c r="K280" s="13"/>
      <c r="L280" s="12" t="s">
        <v>31</v>
      </c>
      <c r="M280" s="15" t="s">
        <v>30</v>
      </c>
      <c r="N280" s="7" t="s">
        <v>1654</v>
      </c>
      <c r="P280" t="e">
        <f>IF(N280="","",  IF(N280="Excluded", N280,  IF(N280="included in industry", N280,   _xlfn.XLOOKUP(N280, [1]unittypedata!$AD:$AD,[1]unittypedata!$D:$D)   )))</f>
        <v>#N/A</v>
      </c>
    </row>
    <row r="281" spans="1:16">
      <c r="A281" s="5" t="s">
        <v>538</v>
      </c>
      <c r="B281" s="5" t="s">
        <v>306</v>
      </c>
      <c r="C281" s="6" t="s">
        <v>29</v>
      </c>
      <c r="D281" s="7">
        <v>1987</v>
      </c>
      <c r="E281" s="6">
        <v>3</v>
      </c>
      <c r="F281" s="7" t="s">
        <v>30</v>
      </c>
      <c r="G281" s="8">
        <v>5.5</v>
      </c>
      <c r="H281" s="7" t="s">
        <v>30</v>
      </c>
      <c r="I281" s="8">
        <v>5.5</v>
      </c>
      <c r="J281" s="7"/>
      <c r="K281" s="7"/>
      <c r="L281" s="6" t="s">
        <v>33</v>
      </c>
      <c r="M281" s="9" t="s">
        <v>30</v>
      </c>
      <c r="N281" s="7" t="s">
        <v>1654</v>
      </c>
      <c r="P281" t="e">
        <f>IF(N281="","",  IF(N281="Excluded", N281,  IF(N281="included in industry", N281,   _xlfn.XLOOKUP(N281, [1]unittypedata!$AD:$AD,[1]unittypedata!$D:$D)   )))</f>
        <v>#N/A</v>
      </c>
    </row>
    <row r="282" spans="1:16">
      <c r="A282" s="11" t="s">
        <v>538</v>
      </c>
      <c r="B282" s="11" t="s">
        <v>539</v>
      </c>
      <c r="C282" s="12" t="s">
        <v>29</v>
      </c>
      <c r="D282" s="13">
        <v>2006</v>
      </c>
      <c r="E282" s="12">
        <v>1</v>
      </c>
      <c r="F282" s="13" t="s">
        <v>30</v>
      </c>
      <c r="G282" s="14">
        <v>2.5</v>
      </c>
      <c r="H282" s="13" t="s">
        <v>30</v>
      </c>
      <c r="I282" s="14">
        <v>2.5</v>
      </c>
      <c r="J282" s="13"/>
      <c r="K282" s="13"/>
      <c r="L282" s="12" t="s">
        <v>46</v>
      </c>
      <c r="M282" s="15" t="s">
        <v>30</v>
      </c>
      <c r="N282" s="7" t="s">
        <v>1653</v>
      </c>
      <c r="P282" t="e">
        <f>IF(N282="","",  IF(N282="Excluded", N282,  IF(N282="included in industry", N282,   _xlfn.XLOOKUP(N282, [1]unittypedata!$AD:$AD,[1]unittypedata!$D:$D)   )))</f>
        <v>#N/A</v>
      </c>
    </row>
    <row r="283" spans="1:16">
      <c r="A283" s="5" t="s">
        <v>540</v>
      </c>
      <c r="B283" s="5" t="s">
        <v>541</v>
      </c>
      <c r="C283" s="6" t="s">
        <v>29</v>
      </c>
      <c r="D283" s="7" t="s">
        <v>542</v>
      </c>
      <c r="E283" s="6">
        <v>3</v>
      </c>
      <c r="F283" s="7" t="s">
        <v>30</v>
      </c>
      <c r="G283" s="8">
        <v>14</v>
      </c>
      <c r="H283" s="7" t="s">
        <v>30</v>
      </c>
      <c r="I283" s="8">
        <v>14</v>
      </c>
      <c r="J283" s="7"/>
      <c r="K283" s="7"/>
      <c r="L283" s="6" t="s">
        <v>36</v>
      </c>
      <c r="M283" s="9" t="s">
        <v>30</v>
      </c>
      <c r="N283" s="7" t="s">
        <v>1657</v>
      </c>
      <c r="P283" t="e">
        <f>IF(N283="","",  IF(N283="Excluded", N283,  IF(N283="included in industry", N283,   _xlfn.XLOOKUP(N283, [1]unittypedata!$AD:$AD,[1]unittypedata!$D:$D)   )))</f>
        <v>#N/A</v>
      </c>
    </row>
    <row r="284" spans="1:16">
      <c r="A284" s="11" t="s">
        <v>540</v>
      </c>
      <c r="B284" s="11" t="s">
        <v>543</v>
      </c>
      <c r="C284" s="12" t="s">
        <v>29</v>
      </c>
      <c r="D284" s="13">
        <v>2018</v>
      </c>
      <c r="E284" s="12">
        <v>1</v>
      </c>
      <c r="F284" s="13" t="s">
        <v>30</v>
      </c>
      <c r="G284" s="14">
        <v>4</v>
      </c>
      <c r="H284" s="13">
        <v>0.8</v>
      </c>
      <c r="I284" s="14">
        <v>4.8</v>
      </c>
      <c r="J284" s="13"/>
      <c r="K284" s="13"/>
      <c r="L284" s="12" t="s">
        <v>46</v>
      </c>
      <c r="M284" s="15" t="s">
        <v>30</v>
      </c>
      <c r="N284" s="7" t="s">
        <v>1653</v>
      </c>
      <c r="P284" t="e">
        <f>IF(N284="","",  IF(N284="Excluded", N284,  IF(N284="included in industry", N284,   _xlfn.XLOOKUP(N284, [1]unittypedata!$AD:$AD,[1]unittypedata!$D:$D)   )))</f>
        <v>#N/A</v>
      </c>
    </row>
    <row r="285" spans="1:16">
      <c r="A285" s="5" t="s">
        <v>544</v>
      </c>
      <c r="B285" s="5" t="s">
        <v>545</v>
      </c>
      <c r="C285" s="6" t="s">
        <v>29</v>
      </c>
      <c r="D285" s="7">
        <v>1991</v>
      </c>
      <c r="E285" s="6">
        <v>2</v>
      </c>
      <c r="F285" s="7" t="s">
        <v>30</v>
      </c>
      <c r="G285" s="8">
        <v>24</v>
      </c>
      <c r="H285" s="7" t="s">
        <v>30</v>
      </c>
      <c r="I285" s="8">
        <v>24</v>
      </c>
      <c r="J285" s="7"/>
      <c r="K285" s="7"/>
      <c r="L285" s="6" t="s">
        <v>36</v>
      </c>
      <c r="M285" s="9" t="s">
        <v>30</v>
      </c>
      <c r="N285" s="7" t="s">
        <v>1657</v>
      </c>
      <c r="P285" t="e">
        <f>IF(N285="","",  IF(N285="Excluded", N285,  IF(N285="included in industry", N285,   _xlfn.XLOOKUP(N285, [1]unittypedata!$AD:$AD,[1]unittypedata!$D:$D)   )))</f>
        <v>#N/A</v>
      </c>
    </row>
    <row r="286" spans="1:16">
      <c r="A286" s="11" t="s">
        <v>544</v>
      </c>
      <c r="B286" s="11" t="s">
        <v>546</v>
      </c>
      <c r="C286" s="12" t="s">
        <v>29</v>
      </c>
      <c r="D286" s="13">
        <v>1998</v>
      </c>
      <c r="E286" s="12">
        <v>2</v>
      </c>
      <c r="F286" s="13" t="s">
        <v>30</v>
      </c>
      <c r="G286" s="14">
        <v>13</v>
      </c>
      <c r="H286" s="13" t="s">
        <v>30</v>
      </c>
      <c r="I286" s="14">
        <v>13</v>
      </c>
      <c r="J286" s="13"/>
      <c r="K286" s="13"/>
      <c r="L286" s="12" t="s">
        <v>36</v>
      </c>
      <c r="M286" s="15" t="s">
        <v>30</v>
      </c>
      <c r="N286" s="7" t="s">
        <v>1657</v>
      </c>
      <c r="P286" t="e">
        <f>IF(N286="","",  IF(N286="Excluded", N286,  IF(N286="included in industry", N286,   _xlfn.XLOOKUP(N286, [1]unittypedata!$AD:$AD,[1]unittypedata!$D:$D)   )))</f>
        <v>#N/A</v>
      </c>
    </row>
    <row r="287" spans="1:16">
      <c r="A287" s="5" t="s">
        <v>547</v>
      </c>
      <c r="B287" s="5" t="s">
        <v>548</v>
      </c>
      <c r="C287" s="6" t="s">
        <v>29</v>
      </c>
      <c r="D287" s="7">
        <v>2013</v>
      </c>
      <c r="E287" s="6">
        <v>2</v>
      </c>
      <c r="F287" s="7" t="s">
        <v>30</v>
      </c>
      <c r="G287" s="8">
        <v>24</v>
      </c>
      <c r="H287" s="7" t="s">
        <v>30</v>
      </c>
      <c r="I287" s="8">
        <v>24</v>
      </c>
      <c r="J287" s="7"/>
      <c r="K287" s="7"/>
      <c r="L287" s="6" t="s">
        <v>36</v>
      </c>
      <c r="M287" s="9" t="s">
        <v>30</v>
      </c>
      <c r="N287" s="7" t="s">
        <v>1657</v>
      </c>
      <c r="P287" t="e">
        <f>IF(N287="","",  IF(N287="Excluded", N287,  IF(N287="included in industry", N287,   _xlfn.XLOOKUP(N287, [1]unittypedata!$AD:$AD,[1]unittypedata!$D:$D)   )))</f>
        <v>#N/A</v>
      </c>
    </row>
    <row r="288" spans="1:16">
      <c r="A288" s="5" t="s">
        <v>547</v>
      </c>
      <c r="B288" s="5" t="s">
        <v>549</v>
      </c>
      <c r="C288" s="6" t="s">
        <v>29</v>
      </c>
      <c r="D288" s="7">
        <v>1974</v>
      </c>
      <c r="E288" s="6">
        <v>1</v>
      </c>
      <c r="F288" s="7" t="s">
        <v>30</v>
      </c>
      <c r="G288" s="8">
        <v>35</v>
      </c>
      <c r="H288" s="7" t="s">
        <v>30</v>
      </c>
      <c r="I288" s="8">
        <v>35</v>
      </c>
      <c r="J288" s="7"/>
      <c r="K288" s="7"/>
      <c r="L288" s="6" t="s">
        <v>36</v>
      </c>
      <c r="M288" s="9" t="s">
        <v>30</v>
      </c>
      <c r="N288" s="7" t="s">
        <v>1657</v>
      </c>
      <c r="P288" t="e">
        <f>IF(N288="","",  IF(N288="Excluded", N288,  IF(N288="included in industry", N288,   _xlfn.XLOOKUP(N288, [1]unittypedata!$AD:$AD,[1]unittypedata!$D:$D)   )))</f>
        <v>#N/A</v>
      </c>
    </row>
    <row r="289" spans="1:16">
      <c r="A289" s="5" t="s">
        <v>547</v>
      </c>
      <c r="B289" s="5" t="s">
        <v>550</v>
      </c>
      <c r="C289" s="6" t="s">
        <v>29</v>
      </c>
      <c r="D289" s="7">
        <v>2001</v>
      </c>
      <c r="E289" s="6">
        <v>4</v>
      </c>
      <c r="F289" s="7" t="s">
        <v>30</v>
      </c>
      <c r="G289" s="8">
        <v>10</v>
      </c>
      <c r="H289" s="7" t="s">
        <v>30</v>
      </c>
      <c r="I289" s="8">
        <v>10</v>
      </c>
      <c r="J289" s="7"/>
      <c r="K289" s="7"/>
      <c r="L289" s="6" t="s">
        <v>36</v>
      </c>
      <c r="M289" s="9" t="s">
        <v>30</v>
      </c>
      <c r="N289" s="7" t="s">
        <v>1657</v>
      </c>
      <c r="P289" t="e">
        <f>IF(N289="","",  IF(N289="Excluded", N289,  IF(N289="included in industry", N289,   _xlfn.XLOOKUP(N289, [1]unittypedata!$AD:$AD,[1]unittypedata!$D:$D)   )))</f>
        <v>#N/A</v>
      </c>
    </row>
    <row r="290" spans="1:16">
      <c r="A290" s="5" t="s">
        <v>547</v>
      </c>
      <c r="B290" s="5" t="s">
        <v>551</v>
      </c>
      <c r="C290" s="6" t="s">
        <v>29</v>
      </c>
      <c r="D290" s="7">
        <v>1979</v>
      </c>
      <c r="E290" s="6">
        <v>2</v>
      </c>
      <c r="F290" s="7" t="s">
        <v>30</v>
      </c>
      <c r="G290" s="8">
        <v>4.3</v>
      </c>
      <c r="H290" s="7" t="s">
        <v>30</v>
      </c>
      <c r="I290" s="8">
        <v>4.3</v>
      </c>
      <c r="J290" s="7"/>
      <c r="K290" s="7"/>
      <c r="L290" s="6" t="s">
        <v>31</v>
      </c>
      <c r="M290" s="9" t="s">
        <v>30</v>
      </c>
      <c r="N290" s="7" t="s">
        <v>1654</v>
      </c>
      <c r="P290" t="e">
        <f>IF(N290="","",  IF(N290="Excluded", N290,  IF(N290="included in industry", N290,   _xlfn.XLOOKUP(N290, [1]unittypedata!$AD:$AD,[1]unittypedata!$D:$D)   )))</f>
        <v>#N/A</v>
      </c>
    </row>
    <row r="291" spans="1:16">
      <c r="A291" s="5" t="s">
        <v>547</v>
      </c>
      <c r="B291" s="5" t="s">
        <v>552</v>
      </c>
      <c r="C291" s="6" t="s">
        <v>29</v>
      </c>
      <c r="D291" s="7">
        <v>1965</v>
      </c>
      <c r="E291" s="6">
        <v>2</v>
      </c>
      <c r="F291" s="7" t="s">
        <v>30</v>
      </c>
      <c r="G291" s="8">
        <v>39</v>
      </c>
      <c r="H291" s="7" t="s">
        <v>30</v>
      </c>
      <c r="I291" s="8">
        <v>39</v>
      </c>
      <c r="J291" s="7"/>
      <c r="K291" s="7"/>
      <c r="L291" s="6" t="s">
        <v>36</v>
      </c>
      <c r="M291" s="9" t="s">
        <v>30</v>
      </c>
      <c r="N291" s="7" t="s">
        <v>1657</v>
      </c>
      <c r="P291" t="e">
        <f>IF(N291="","",  IF(N291="Excluded", N291,  IF(N291="included in industry", N291,   _xlfn.XLOOKUP(N291, [1]unittypedata!$AD:$AD,[1]unittypedata!$D:$D)   )))</f>
        <v>#N/A</v>
      </c>
    </row>
    <row r="292" spans="1:16">
      <c r="A292" s="5" t="s">
        <v>547</v>
      </c>
      <c r="B292" s="5" t="s">
        <v>553</v>
      </c>
      <c r="C292" s="6" t="s">
        <v>29</v>
      </c>
      <c r="D292" s="7">
        <v>2010</v>
      </c>
      <c r="E292" s="6">
        <v>1</v>
      </c>
      <c r="F292" s="7" t="s">
        <v>30</v>
      </c>
      <c r="G292" s="8">
        <v>47</v>
      </c>
      <c r="H292" s="7" t="s">
        <v>30</v>
      </c>
      <c r="I292" s="8">
        <v>47</v>
      </c>
      <c r="J292" s="7"/>
      <c r="K292" s="7"/>
      <c r="L292" s="6" t="s">
        <v>36</v>
      </c>
      <c r="M292" s="9" t="s">
        <v>30</v>
      </c>
      <c r="N292" s="7" t="s">
        <v>1657</v>
      </c>
      <c r="P292" t="e">
        <f>IF(N292="","",  IF(N292="Excluded", N292,  IF(N292="included in industry", N292,   _xlfn.XLOOKUP(N292, [1]unittypedata!$AD:$AD,[1]unittypedata!$D:$D)   )))</f>
        <v>#N/A</v>
      </c>
    </row>
    <row r="293" spans="1:16">
      <c r="A293" s="5" t="s">
        <v>547</v>
      </c>
      <c r="B293" s="5" t="s">
        <v>554</v>
      </c>
      <c r="C293" s="6" t="s">
        <v>29</v>
      </c>
      <c r="D293" s="7">
        <v>1988</v>
      </c>
      <c r="E293" s="6">
        <v>1</v>
      </c>
      <c r="F293" s="7" t="s">
        <v>30</v>
      </c>
      <c r="G293" s="8">
        <v>1.5</v>
      </c>
      <c r="H293" s="7" t="s">
        <v>30</v>
      </c>
      <c r="I293" s="8">
        <v>1.5</v>
      </c>
      <c r="J293" s="7"/>
      <c r="K293" s="7"/>
      <c r="L293" s="6" t="s">
        <v>36</v>
      </c>
      <c r="M293" s="9" t="s">
        <v>30</v>
      </c>
      <c r="N293" s="7" t="s">
        <v>1657</v>
      </c>
      <c r="P293" t="e">
        <f>IF(N293="","",  IF(N293="Excluded", N293,  IF(N293="included in industry", N293,   _xlfn.XLOOKUP(N293, [1]unittypedata!$AD:$AD,[1]unittypedata!$D:$D)   )))</f>
        <v>#N/A</v>
      </c>
    </row>
    <row r="294" spans="1:16">
      <c r="A294" s="5" t="s">
        <v>547</v>
      </c>
      <c r="B294" s="5" t="s">
        <v>555</v>
      </c>
      <c r="C294" s="6" t="s">
        <v>29</v>
      </c>
      <c r="D294" s="7">
        <v>2012</v>
      </c>
      <c r="E294" s="6">
        <v>1</v>
      </c>
      <c r="F294" s="7" t="s">
        <v>30</v>
      </c>
      <c r="G294" s="8">
        <v>15</v>
      </c>
      <c r="H294" s="7" t="s">
        <v>30</v>
      </c>
      <c r="I294" s="8">
        <v>15</v>
      </c>
      <c r="J294" s="7"/>
      <c r="K294" s="7"/>
      <c r="L294" s="6" t="s">
        <v>36</v>
      </c>
      <c r="M294" s="9" t="s">
        <v>30</v>
      </c>
      <c r="N294" s="7" t="s">
        <v>1657</v>
      </c>
      <c r="P294" t="e">
        <f>IF(N294="","",  IF(N294="Excluded", N294,  IF(N294="included in industry", N294,   _xlfn.XLOOKUP(N294, [1]unittypedata!$AD:$AD,[1]unittypedata!$D:$D)   )))</f>
        <v>#N/A</v>
      </c>
    </row>
    <row r="295" spans="1:16">
      <c r="A295" s="5" t="s">
        <v>547</v>
      </c>
      <c r="B295" s="5" t="s">
        <v>556</v>
      </c>
      <c r="C295" s="6" t="s">
        <v>29</v>
      </c>
      <c r="D295" s="7">
        <v>2017</v>
      </c>
      <c r="E295" s="6">
        <v>1</v>
      </c>
      <c r="F295" s="7" t="s">
        <v>30</v>
      </c>
      <c r="G295" s="8">
        <v>8</v>
      </c>
      <c r="H295" s="7" t="s">
        <v>30</v>
      </c>
      <c r="I295" s="8">
        <v>8</v>
      </c>
      <c r="J295" s="7"/>
      <c r="K295" s="7"/>
      <c r="L295" s="6" t="s">
        <v>36</v>
      </c>
      <c r="M295" s="9" t="s">
        <v>30</v>
      </c>
      <c r="N295" s="7" t="s">
        <v>1657</v>
      </c>
      <c r="P295" t="e">
        <f>IF(N295="","",  IF(N295="Excluded", N295,  IF(N295="included in industry", N295,   _xlfn.XLOOKUP(N295, [1]unittypedata!$AD:$AD,[1]unittypedata!$D:$D)   )))</f>
        <v>#N/A</v>
      </c>
    </row>
    <row r="296" spans="1:16">
      <c r="A296" s="5" t="s">
        <v>547</v>
      </c>
      <c r="B296" s="5" t="s">
        <v>557</v>
      </c>
      <c r="C296" s="6" t="s">
        <v>29</v>
      </c>
      <c r="D296" s="7">
        <v>2000</v>
      </c>
      <c r="E296" s="6">
        <v>3</v>
      </c>
      <c r="F296" s="7" t="s">
        <v>30</v>
      </c>
      <c r="G296" s="8">
        <v>45</v>
      </c>
      <c r="H296" s="7" t="s">
        <v>30</v>
      </c>
      <c r="I296" s="8">
        <v>45</v>
      </c>
      <c r="J296" s="7"/>
      <c r="K296" s="7"/>
      <c r="L296" s="6" t="s">
        <v>36</v>
      </c>
      <c r="M296" s="9" t="s">
        <v>30</v>
      </c>
      <c r="N296" s="7" t="s">
        <v>1657</v>
      </c>
      <c r="P296" t="e">
        <f>IF(N296="","",  IF(N296="Excluded", N296,  IF(N296="included in industry", N296,   _xlfn.XLOOKUP(N296, [1]unittypedata!$AD:$AD,[1]unittypedata!$D:$D)   )))</f>
        <v>#N/A</v>
      </c>
    </row>
    <row r="297" spans="1:16">
      <c r="A297" s="5" t="s">
        <v>547</v>
      </c>
      <c r="B297" s="5" t="s">
        <v>558</v>
      </c>
      <c r="C297" s="6" t="s">
        <v>29</v>
      </c>
      <c r="D297" s="7">
        <v>2000</v>
      </c>
      <c r="E297" s="6">
        <v>2</v>
      </c>
      <c r="F297" s="7" t="s">
        <v>30</v>
      </c>
      <c r="G297" s="8">
        <v>30</v>
      </c>
      <c r="H297" s="7" t="s">
        <v>30</v>
      </c>
      <c r="I297" s="8">
        <v>30</v>
      </c>
      <c r="J297" s="7"/>
      <c r="K297" s="7"/>
      <c r="L297" s="6" t="s">
        <v>36</v>
      </c>
      <c r="M297" s="9" t="s">
        <v>30</v>
      </c>
      <c r="N297" s="7" t="s">
        <v>1657</v>
      </c>
      <c r="P297" t="e">
        <f>IF(N297="","",  IF(N297="Excluded", N297,  IF(N297="included in industry", N297,   _xlfn.XLOOKUP(N297, [1]unittypedata!$AD:$AD,[1]unittypedata!$D:$D)   )))</f>
        <v>#N/A</v>
      </c>
    </row>
    <row r="298" spans="1:16">
      <c r="A298" s="5" t="s">
        <v>547</v>
      </c>
      <c r="B298" s="5" t="s">
        <v>559</v>
      </c>
      <c r="C298" s="6" t="s">
        <v>29</v>
      </c>
      <c r="D298" s="7">
        <v>1986</v>
      </c>
      <c r="E298" s="6">
        <v>3</v>
      </c>
      <c r="F298" s="7" t="s">
        <v>30</v>
      </c>
      <c r="G298" s="8">
        <v>24</v>
      </c>
      <c r="H298" s="7" t="s">
        <v>30</v>
      </c>
      <c r="I298" s="8">
        <v>24</v>
      </c>
      <c r="J298" s="7"/>
      <c r="K298" s="7"/>
      <c r="L298" s="6" t="s">
        <v>36</v>
      </c>
      <c r="M298" s="9" t="s">
        <v>30</v>
      </c>
      <c r="N298" s="7" t="s">
        <v>1657</v>
      </c>
      <c r="P298" t="e">
        <f>IF(N298="","",  IF(N298="Excluded", N298,  IF(N298="included in industry", N298,   _xlfn.XLOOKUP(N298, [1]unittypedata!$AD:$AD,[1]unittypedata!$D:$D)   )))</f>
        <v>#N/A</v>
      </c>
    </row>
    <row r="299" spans="1:16">
      <c r="A299" s="5" t="s">
        <v>547</v>
      </c>
      <c r="B299" s="5" t="s">
        <v>560</v>
      </c>
      <c r="C299" s="6" t="s">
        <v>29</v>
      </c>
      <c r="D299" s="7">
        <v>2019</v>
      </c>
      <c r="E299" s="6">
        <v>2</v>
      </c>
      <c r="F299" s="7" t="s">
        <v>30</v>
      </c>
      <c r="G299" s="8">
        <v>25</v>
      </c>
      <c r="H299" s="7" t="s">
        <v>30</v>
      </c>
      <c r="I299" s="8">
        <v>25</v>
      </c>
      <c r="J299" s="7"/>
      <c r="K299" s="7"/>
      <c r="L299" s="6" t="s">
        <v>36</v>
      </c>
      <c r="M299" s="9" t="s">
        <v>30</v>
      </c>
      <c r="N299" s="7" t="s">
        <v>1657</v>
      </c>
      <c r="P299" t="e">
        <f>IF(N299="","",  IF(N299="Excluded", N299,  IF(N299="included in industry", N299,   _xlfn.XLOOKUP(N299, [1]unittypedata!$AD:$AD,[1]unittypedata!$D:$D)   )))</f>
        <v>#N/A</v>
      </c>
    </row>
    <row r="300" spans="1:16">
      <c r="A300" s="5" t="s">
        <v>547</v>
      </c>
      <c r="B300" s="5" t="s">
        <v>561</v>
      </c>
      <c r="C300" s="6" t="s">
        <v>48</v>
      </c>
      <c r="D300" s="7">
        <v>2023</v>
      </c>
      <c r="E300" s="6" t="s">
        <v>30</v>
      </c>
      <c r="F300" s="7" t="s">
        <v>30</v>
      </c>
      <c r="G300" s="8" t="s">
        <v>30</v>
      </c>
      <c r="H300" s="7" t="s">
        <v>30</v>
      </c>
      <c r="I300" s="8">
        <v>5</v>
      </c>
      <c r="J300" s="7"/>
      <c r="K300" s="7"/>
      <c r="L300" s="6" t="s">
        <v>30</v>
      </c>
      <c r="M300" s="9" t="s">
        <v>30</v>
      </c>
      <c r="N300" s="7" t="s">
        <v>1613</v>
      </c>
      <c r="P300" t="str">
        <f>IF(N300="","",  IF(N300="Excluded", N300,  IF(N300="included in industry", N300,   _xlfn.XLOOKUP(N300, [1]unittypedata!$AD:$AD,[1]unittypedata!$D:$D)   )))</f>
        <v>GSHP</v>
      </c>
    </row>
    <row r="301" spans="1:16">
      <c r="A301" s="5" t="s">
        <v>547</v>
      </c>
      <c r="B301" s="5" t="s">
        <v>562</v>
      </c>
      <c r="C301" s="6" t="s">
        <v>52</v>
      </c>
      <c r="D301" s="7">
        <v>2012</v>
      </c>
      <c r="E301" s="6">
        <v>1</v>
      </c>
      <c r="F301" s="7">
        <v>90</v>
      </c>
      <c r="G301" s="8" t="s">
        <v>30</v>
      </c>
      <c r="H301" s="7" t="s">
        <v>30</v>
      </c>
      <c r="I301" s="8">
        <v>90</v>
      </c>
      <c r="J301" s="7">
        <v>50</v>
      </c>
      <c r="K301" s="7"/>
      <c r="L301" s="6" t="s">
        <v>238</v>
      </c>
      <c r="M301" s="9" t="s">
        <v>30</v>
      </c>
      <c r="N301" s="7" t="s">
        <v>1659</v>
      </c>
      <c r="P301" t="e">
        <f>IF(N301="","",  IF(N301="Excluded", N301,  IF(N301="included in industry", N301,   _xlfn.XLOOKUP(N301, [1]unittypedata!$AD:$AD,[1]unittypedata!$D:$D)   )))</f>
        <v>#N/A</v>
      </c>
    </row>
    <row r="302" spans="1:16">
      <c r="A302" s="5" t="s">
        <v>547</v>
      </c>
      <c r="B302" s="5" t="s">
        <v>563</v>
      </c>
      <c r="C302" s="6" t="s">
        <v>52</v>
      </c>
      <c r="D302" s="7">
        <v>2019</v>
      </c>
      <c r="E302" s="6">
        <v>1</v>
      </c>
      <c r="F302" s="7" t="s">
        <v>30</v>
      </c>
      <c r="G302" s="8">
        <v>160</v>
      </c>
      <c r="H302" s="7">
        <v>40</v>
      </c>
      <c r="I302" s="8">
        <v>200</v>
      </c>
      <c r="J302" s="7">
        <v>50</v>
      </c>
      <c r="K302" s="7"/>
      <c r="L302" s="6" t="s">
        <v>46</v>
      </c>
      <c r="M302" s="9" t="s">
        <v>30</v>
      </c>
      <c r="N302" s="7" t="s">
        <v>1656</v>
      </c>
      <c r="P302" t="e">
        <f>IF(N302="","",  IF(N302="Excluded", N302,  IF(N302="included in industry", N302,   _xlfn.XLOOKUP(N302, [1]unittypedata!$AD:$AD,[1]unittypedata!$D:$D)   )))</f>
        <v>#N/A</v>
      </c>
    </row>
    <row r="303" spans="1:16">
      <c r="A303" s="5" t="s">
        <v>547</v>
      </c>
      <c r="B303" s="5" t="s">
        <v>564</v>
      </c>
      <c r="C303" s="6" t="s">
        <v>75</v>
      </c>
      <c r="D303" s="7">
        <v>1990</v>
      </c>
      <c r="E303" s="6" t="s">
        <v>30</v>
      </c>
      <c r="F303" s="7" t="s">
        <v>30</v>
      </c>
      <c r="G303" s="8" t="s">
        <v>30</v>
      </c>
      <c r="H303" s="7" t="s">
        <v>30</v>
      </c>
      <c r="I303" s="8">
        <v>55</v>
      </c>
      <c r="J303" s="7">
        <v>49.5</v>
      </c>
      <c r="K303" s="7"/>
      <c r="L303" s="6" t="s">
        <v>36</v>
      </c>
      <c r="M303" s="9" t="s">
        <v>30</v>
      </c>
      <c r="N303" s="7" t="s">
        <v>1658</v>
      </c>
      <c r="P303" t="e">
        <f>IF(N303="","",  IF(N303="Excluded", N303,  IF(N303="included in industry", N303,   _xlfn.XLOOKUP(N303, [1]unittypedata!$AD:$AD,[1]unittypedata!$D:$D)   )))</f>
        <v>#N/A</v>
      </c>
    </row>
    <row r="304" spans="1:16">
      <c r="A304" s="11" t="s">
        <v>547</v>
      </c>
      <c r="B304" s="11" t="s">
        <v>565</v>
      </c>
      <c r="C304" s="12" t="s">
        <v>75</v>
      </c>
      <c r="D304" s="13">
        <v>1990</v>
      </c>
      <c r="E304" s="12" t="s">
        <v>30</v>
      </c>
      <c r="F304" s="13" t="s">
        <v>30</v>
      </c>
      <c r="G304" s="14" t="s">
        <v>30</v>
      </c>
      <c r="H304" s="13" t="s">
        <v>30</v>
      </c>
      <c r="I304" s="14">
        <v>9</v>
      </c>
      <c r="J304" s="13">
        <v>4.5</v>
      </c>
      <c r="K304" s="13"/>
      <c r="L304" s="12" t="s">
        <v>36</v>
      </c>
      <c r="M304" s="15" t="s">
        <v>30</v>
      </c>
      <c r="N304" s="7" t="s">
        <v>1658</v>
      </c>
      <c r="P304" t="e">
        <f>IF(N304="","",  IF(N304="Excluded", N304,  IF(N304="included in industry", N304,   _xlfn.XLOOKUP(N304, [1]unittypedata!$AD:$AD,[1]unittypedata!$D:$D)   )))</f>
        <v>#N/A</v>
      </c>
    </row>
    <row r="305" spans="1:16">
      <c r="A305" s="5" t="s">
        <v>566</v>
      </c>
      <c r="B305" s="5" t="s">
        <v>567</v>
      </c>
      <c r="C305" s="6" t="s">
        <v>29</v>
      </c>
      <c r="D305" s="7">
        <v>2021</v>
      </c>
      <c r="E305" s="6">
        <v>1</v>
      </c>
      <c r="F305" s="7" t="s">
        <v>30</v>
      </c>
      <c r="G305" s="8">
        <v>6</v>
      </c>
      <c r="H305" s="7" t="s">
        <v>30</v>
      </c>
      <c r="I305" s="8">
        <v>6</v>
      </c>
      <c r="J305" s="7"/>
      <c r="K305" s="7"/>
      <c r="L305" s="6" t="s">
        <v>46</v>
      </c>
      <c r="M305" s="9" t="s">
        <v>30</v>
      </c>
      <c r="N305" s="7" t="s">
        <v>1653</v>
      </c>
      <c r="P305" t="e">
        <f>IF(N305="","",  IF(N305="Excluded", N305,  IF(N305="included in industry", N305,   _xlfn.XLOOKUP(N305, [1]unittypedata!$AD:$AD,[1]unittypedata!$D:$D)   )))</f>
        <v>#N/A</v>
      </c>
    </row>
    <row r="306" spans="1:16">
      <c r="A306" s="5" t="s">
        <v>566</v>
      </c>
      <c r="B306" s="5" t="s">
        <v>568</v>
      </c>
      <c r="C306" s="6" t="s">
        <v>29</v>
      </c>
      <c r="D306" s="7">
        <v>2002</v>
      </c>
      <c r="E306" s="6">
        <v>2</v>
      </c>
      <c r="F306" s="7" t="s">
        <v>30</v>
      </c>
      <c r="G306" s="8">
        <v>5</v>
      </c>
      <c r="H306" s="7" t="s">
        <v>30</v>
      </c>
      <c r="I306" s="8">
        <v>5</v>
      </c>
      <c r="J306" s="7"/>
      <c r="K306" s="7"/>
      <c r="L306" s="6" t="s">
        <v>31</v>
      </c>
      <c r="M306" s="9" t="s">
        <v>30</v>
      </c>
      <c r="N306" s="7" t="s">
        <v>1654</v>
      </c>
      <c r="P306" t="e">
        <f>IF(N306="","",  IF(N306="Excluded", N306,  IF(N306="included in industry", N306,   _xlfn.XLOOKUP(N306, [1]unittypedata!$AD:$AD,[1]unittypedata!$D:$D)   )))</f>
        <v>#N/A</v>
      </c>
    </row>
    <row r="307" spans="1:16">
      <c r="A307" s="11" t="s">
        <v>566</v>
      </c>
      <c r="B307" s="11" t="s">
        <v>567</v>
      </c>
      <c r="C307" s="12" t="s">
        <v>29</v>
      </c>
      <c r="D307" s="13">
        <v>2015</v>
      </c>
      <c r="E307" s="12">
        <v>1</v>
      </c>
      <c r="F307" s="13" t="s">
        <v>30</v>
      </c>
      <c r="G307" s="14">
        <v>3</v>
      </c>
      <c r="H307" s="13" t="s">
        <v>30</v>
      </c>
      <c r="I307" s="14">
        <v>3</v>
      </c>
      <c r="J307" s="13"/>
      <c r="K307" s="13"/>
      <c r="L307" s="12" t="s">
        <v>46</v>
      </c>
      <c r="M307" s="15" t="s">
        <v>30</v>
      </c>
      <c r="N307" s="7" t="s">
        <v>1653</v>
      </c>
      <c r="P307" t="e">
        <f>IF(N307="","",  IF(N307="Excluded", N307,  IF(N307="included in industry", N307,   _xlfn.XLOOKUP(N307, [1]unittypedata!$AD:$AD,[1]unittypedata!$D:$D)   )))</f>
        <v>#N/A</v>
      </c>
    </row>
    <row r="308" spans="1:16">
      <c r="A308" s="5" t="s">
        <v>569</v>
      </c>
      <c r="B308" s="5" t="s">
        <v>570</v>
      </c>
      <c r="C308" s="6" t="s">
        <v>29</v>
      </c>
      <c r="D308" s="7">
        <v>1976</v>
      </c>
      <c r="E308" s="6">
        <v>3</v>
      </c>
      <c r="F308" s="7" t="s">
        <v>30</v>
      </c>
      <c r="G308" s="8">
        <v>12</v>
      </c>
      <c r="H308" s="7" t="s">
        <v>30</v>
      </c>
      <c r="I308" s="8">
        <v>12</v>
      </c>
      <c r="J308" s="7"/>
      <c r="K308" s="7"/>
      <c r="L308" s="6" t="s">
        <v>33</v>
      </c>
      <c r="M308" s="9" t="s">
        <v>30</v>
      </c>
      <c r="N308" s="7" t="s">
        <v>1654</v>
      </c>
      <c r="P308" t="e">
        <f>IF(N308="","",  IF(N308="Excluded", N308,  IF(N308="included in industry", N308,   _xlfn.XLOOKUP(N308, [1]unittypedata!$AD:$AD,[1]unittypedata!$D:$D)   )))</f>
        <v>#N/A</v>
      </c>
    </row>
    <row r="309" spans="1:16">
      <c r="A309" s="11" t="s">
        <v>569</v>
      </c>
      <c r="B309" s="11" t="s">
        <v>571</v>
      </c>
      <c r="C309" s="12" t="s">
        <v>29</v>
      </c>
      <c r="D309" s="13">
        <v>1976</v>
      </c>
      <c r="E309" s="12">
        <v>1</v>
      </c>
      <c r="F309" s="13" t="s">
        <v>30</v>
      </c>
      <c r="G309" s="14">
        <v>7</v>
      </c>
      <c r="H309" s="13" t="s">
        <v>30</v>
      </c>
      <c r="I309" s="14">
        <v>7</v>
      </c>
      <c r="J309" s="13"/>
      <c r="K309" s="13"/>
      <c r="L309" s="12" t="s">
        <v>31</v>
      </c>
      <c r="M309" s="15" t="s">
        <v>30</v>
      </c>
      <c r="N309" s="7" t="s">
        <v>1654</v>
      </c>
      <c r="P309" t="e">
        <f>IF(N309="","",  IF(N309="Excluded", N309,  IF(N309="included in industry", N309,   _xlfn.XLOOKUP(N309, [1]unittypedata!$AD:$AD,[1]unittypedata!$D:$D)   )))</f>
        <v>#N/A</v>
      </c>
    </row>
    <row r="310" spans="1:16">
      <c r="A310" s="5" t="s">
        <v>572</v>
      </c>
      <c r="B310" s="5" t="s">
        <v>573</v>
      </c>
      <c r="C310" s="6" t="s">
        <v>29</v>
      </c>
      <c r="D310" s="7">
        <v>2004</v>
      </c>
      <c r="E310" s="6">
        <v>2</v>
      </c>
      <c r="F310" s="7" t="s">
        <v>30</v>
      </c>
      <c r="G310" s="8">
        <v>4.5</v>
      </c>
      <c r="H310" s="7" t="s">
        <v>30</v>
      </c>
      <c r="I310" s="8">
        <v>4.5</v>
      </c>
      <c r="J310" s="7"/>
      <c r="K310" s="7"/>
      <c r="L310" s="6" t="s">
        <v>46</v>
      </c>
      <c r="M310" s="9" t="s">
        <v>30</v>
      </c>
      <c r="N310" s="7" t="s">
        <v>1653</v>
      </c>
      <c r="P310" t="e">
        <f>IF(N310="","",  IF(N310="Excluded", N310,  IF(N310="included in industry", N310,   _xlfn.XLOOKUP(N310, [1]unittypedata!$AD:$AD,[1]unittypedata!$D:$D)   )))</f>
        <v>#N/A</v>
      </c>
    </row>
    <row r="311" spans="1:16">
      <c r="A311" s="5" t="s">
        <v>572</v>
      </c>
      <c r="B311" s="5" t="s">
        <v>574</v>
      </c>
      <c r="C311" s="6" t="s">
        <v>29</v>
      </c>
      <c r="D311" s="7">
        <v>2011</v>
      </c>
      <c r="E311" s="6">
        <v>2</v>
      </c>
      <c r="F311" s="7" t="s">
        <v>30</v>
      </c>
      <c r="G311" s="8">
        <v>4</v>
      </c>
      <c r="H311" s="7" t="s">
        <v>30</v>
      </c>
      <c r="I311" s="8">
        <v>4</v>
      </c>
      <c r="J311" s="7"/>
      <c r="K311" s="7"/>
      <c r="L311" s="6" t="s">
        <v>46</v>
      </c>
      <c r="M311" s="9" t="s">
        <v>30</v>
      </c>
      <c r="N311" s="7" t="s">
        <v>1653</v>
      </c>
      <c r="P311" t="e">
        <f>IF(N311="","",  IF(N311="Excluded", N311,  IF(N311="included in industry", N311,   _xlfn.XLOOKUP(N311, [1]unittypedata!$AD:$AD,[1]unittypedata!$D:$D)   )))</f>
        <v>#N/A</v>
      </c>
    </row>
    <row r="312" spans="1:16">
      <c r="A312" s="23" t="s">
        <v>575</v>
      </c>
      <c r="B312" s="23" t="s">
        <v>576</v>
      </c>
      <c r="C312" s="24" t="s">
        <v>29</v>
      </c>
      <c r="D312" s="25">
        <v>1997</v>
      </c>
      <c r="E312" s="24">
        <v>2</v>
      </c>
      <c r="F312" s="25" t="s">
        <v>30</v>
      </c>
      <c r="G312" s="26">
        <v>4</v>
      </c>
      <c r="H312" s="25" t="s">
        <v>30</v>
      </c>
      <c r="I312" s="26">
        <v>4</v>
      </c>
      <c r="J312" s="25"/>
      <c r="K312" s="25"/>
      <c r="L312" s="24" t="s">
        <v>31</v>
      </c>
      <c r="M312" s="27" t="s">
        <v>30</v>
      </c>
      <c r="N312" s="7" t="s">
        <v>1654</v>
      </c>
      <c r="P312" t="e">
        <f>IF(N312="","",  IF(N312="Excluded", N312,  IF(N312="included in industry", N312,   _xlfn.XLOOKUP(N312, [1]unittypedata!$AD:$AD,[1]unittypedata!$D:$D)   )))</f>
        <v>#N/A</v>
      </c>
    </row>
    <row r="313" spans="1:16">
      <c r="A313" s="5" t="s">
        <v>577</v>
      </c>
      <c r="B313" s="5" t="s">
        <v>578</v>
      </c>
      <c r="C313" s="6" t="s">
        <v>29</v>
      </c>
      <c r="D313" s="7">
        <v>1985</v>
      </c>
      <c r="E313" s="6">
        <v>3</v>
      </c>
      <c r="F313" s="7" t="s">
        <v>30</v>
      </c>
      <c r="G313" s="8">
        <v>16</v>
      </c>
      <c r="H313" s="7" t="s">
        <v>30</v>
      </c>
      <c r="I313" s="8">
        <v>16</v>
      </c>
      <c r="J313" s="7"/>
      <c r="K313" s="7"/>
      <c r="L313" s="6" t="s">
        <v>46</v>
      </c>
      <c r="M313" s="9" t="s">
        <v>30</v>
      </c>
      <c r="N313" s="7" t="s">
        <v>1653</v>
      </c>
      <c r="P313" t="e">
        <f>IF(N313="","",  IF(N313="Excluded", N313,  IF(N313="included in industry", N313,   _xlfn.XLOOKUP(N313, [1]unittypedata!$AD:$AD,[1]unittypedata!$D:$D)   )))</f>
        <v>#N/A</v>
      </c>
    </row>
    <row r="314" spans="1:16">
      <c r="A314" s="11" t="s">
        <v>577</v>
      </c>
      <c r="B314" s="11" t="s">
        <v>579</v>
      </c>
      <c r="C314" s="12" t="s">
        <v>29</v>
      </c>
      <c r="D314" s="13">
        <v>2015</v>
      </c>
      <c r="E314" s="12">
        <v>2</v>
      </c>
      <c r="F314" s="13" t="s">
        <v>30</v>
      </c>
      <c r="G314" s="14">
        <v>3</v>
      </c>
      <c r="H314" s="13" t="s">
        <v>30</v>
      </c>
      <c r="I314" s="14">
        <v>3</v>
      </c>
      <c r="J314" s="13"/>
      <c r="K314" s="13"/>
      <c r="L314" s="12" t="s">
        <v>44</v>
      </c>
      <c r="M314" s="15" t="s">
        <v>30</v>
      </c>
      <c r="N314" s="7" t="s">
        <v>1653</v>
      </c>
      <c r="P314" t="e">
        <f>IF(N314="","",  IF(N314="Excluded", N314,  IF(N314="included in industry", N314,   _xlfn.XLOOKUP(N314, [1]unittypedata!$AD:$AD,[1]unittypedata!$D:$D)   )))</f>
        <v>#N/A</v>
      </c>
    </row>
    <row r="315" spans="1:16">
      <c r="A315" s="5" t="s">
        <v>580</v>
      </c>
      <c r="B315" s="5" t="s">
        <v>581</v>
      </c>
      <c r="C315" s="6" t="s">
        <v>29</v>
      </c>
      <c r="D315" s="7">
        <v>1996</v>
      </c>
      <c r="E315" s="6">
        <v>1</v>
      </c>
      <c r="F315" s="7" t="s">
        <v>30</v>
      </c>
      <c r="G315" s="8">
        <v>1.7</v>
      </c>
      <c r="H315" s="7" t="s">
        <v>30</v>
      </c>
      <c r="I315" s="8">
        <v>1.7</v>
      </c>
      <c r="J315" s="7"/>
      <c r="K315" s="7"/>
      <c r="L315" s="6" t="s">
        <v>31</v>
      </c>
      <c r="M315" s="9" t="s">
        <v>30</v>
      </c>
      <c r="N315" s="7" t="s">
        <v>1654</v>
      </c>
      <c r="P315" t="e">
        <f>IF(N315="","",  IF(N315="Excluded", N315,  IF(N315="included in industry", N315,   _xlfn.XLOOKUP(N315, [1]unittypedata!$AD:$AD,[1]unittypedata!$D:$D)   )))</f>
        <v>#N/A</v>
      </c>
    </row>
    <row r="316" spans="1:16">
      <c r="A316" s="5" t="s">
        <v>580</v>
      </c>
      <c r="B316" s="5" t="s">
        <v>582</v>
      </c>
      <c r="C316" s="6" t="s">
        <v>29</v>
      </c>
      <c r="D316" s="7">
        <v>2003</v>
      </c>
      <c r="E316" s="6">
        <v>2</v>
      </c>
      <c r="F316" s="7" t="s">
        <v>30</v>
      </c>
      <c r="G316" s="8">
        <v>1.2</v>
      </c>
      <c r="H316" s="7" t="s">
        <v>30</v>
      </c>
      <c r="I316" s="8">
        <v>1.2</v>
      </c>
      <c r="J316" s="7"/>
      <c r="K316" s="7"/>
      <c r="L316" s="6" t="s">
        <v>46</v>
      </c>
      <c r="M316" s="9" t="s">
        <v>30</v>
      </c>
      <c r="N316" s="7" t="s">
        <v>1653</v>
      </c>
      <c r="P316" t="e">
        <f>IF(N316="","",  IF(N316="Excluded", N316,  IF(N316="included in industry", N316,   _xlfn.XLOOKUP(N316, [1]unittypedata!$AD:$AD,[1]unittypedata!$D:$D)   )))</f>
        <v>#N/A</v>
      </c>
    </row>
    <row r="317" spans="1:16">
      <c r="A317" s="11" t="s">
        <v>580</v>
      </c>
      <c r="B317" s="11" t="s">
        <v>583</v>
      </c>
      <c r="C317" s="12" t="s">
        <v>29</v>
      </c>
      <c r="D317" s="13">
        <v>2004</v>
      </c>
      <c r="E317" s="12">
        <v>3</v>
      </c>
      <c r="F317" s="13" t="s">
        <v>30</v>
      </c>
      <c r="G317" s="14">
        <v>8.6</v>
      </c>
      <c r="H317" s="13" t="s">
        <v>30</v>
      </c>
      <c r="I317" s="14">
        <v>8.6</v>
      </c>
      <c r="J317" s="13"/>
      <c r="K317" s="13"/>
      <c r="L317" s="12" t="s">
        <v>46</v>
      </c>
      <c r="M317" s="15" t="s">
        <v>30</v>
      </c>
      <c r="N317" s="7" t="s">
        <v>1653</v>
      </c>
      <c r="P317" t="e">
        <f>IF(N317="","",  IF(N317="Excluded", N317,  IF(N317="included in industry", N317,   _xlfn.XLOOKUP(N317, [1]unittypedata!$AD:$AD,[1]unittypedata!$D:$D)   )))</f>
        <v>#N/A</v>
      </c>
    </row>
    <row r="318" spans="1:16">
      <c r="A318" s="5" t="s">
        <v>584</v>
      </c>
      <c r="B318" s="5" t="s">
        <v>585</v>
      </c>
      <c r="C318" s="6" t="s">
        <v>29</v>
      </c>
      <c r="D318" s="7">
        <v>1975</v>
      </c>
      <c r="E318" s="6">
        <v>1</v>
      </c>
      <c r="F318" s="7" t="s">
        <v>30</v>
      </c>
      <c r="G318" s="8">
        <v>1.2</v>
      </c>
      <c r="H318" s="7" t="s">
        <v>30</v>
      </c>
      <c r="I318" s="8">
        <v>1.2</v>
      </c>
      <c r="J318" s="7"/>
      <c r="K318" s="7"/>
      <c r="L318" s="6" t="s">
        <v>31</v>
      </c>
      <c r="M318" s="9" t="s">
        <v>30</v>
      </c>
      <c r="N318" s="7" t="s">
        <v>1654</v>
      </c>
      <c r="P318" t="e">
        <f>IF(N318="","",  IF(N318="Excluded", N318,  IF(N318="included in industry", N318,   _xlfn.XLOOKUP(N318, [1]unittypedata!$AD:$AD,[1]unittypedata!$D:$D)   )))</f>
        <v>#N/A</v>
      </c>
    </row>
    <row r="319" spans="1:16">
      <c r="A319" s="5" t="s">
        <v>584</v>
      </c>
      <c r="B319" s="5" t="s">
        <v>585</v>
      </c>
      <c r="C319" s="6" t="s">
        <v>29</v>
      </c>
      <c r="D319" s="7">
        <v>2016</v>
      </c>
      <c r="E319" s="6">
        <v>1</v>
      </c>
      <c r="F319" s="7" t="s">
        <v>30</v>
      </c>
      <c r="G319" s="8">
        <v>2</v>
      </c>
      <c r="H319" s="7" t="s">
        <v>30</v>
      </c>
      <c r="I319" s="8">
        <v>2</v>
      </c>
      <c r="J319" s="7"/>
      <c r="K319" s="7"/>
      <c r="L319" s="6" t="s">
        <v>31</v>
      </c>
      <c r="M319" s="9" t="s">
        <v>30</v>
      </c>
      <c r="N319" s="7" t="s">
        <v>1654</v>
      </c>
      <c r="P319" t="e">
        <f>IF(N319="","",  IF(N319="Excluded", N319,  IF(N319="included in industry", N319,   _xlfn.XLOOKUP(N319, [1]unittypedata!$AD:$AD,[1]unittypedata!$D:$D)   )))</f>
        <v>#N/A</v>
      </c>
    </row>
    <row r="320" spans="1:16">
      <c r="A320" s="5" t="s">
        <v>584</v>
      </c>
      <c r="B320" s="5" t="s">
        <v>586</v>
      </c>
      <c r="C320" s="6" t="s">
        <v>29</v>
      </c>
      <c r="D320" s="7">
        <v>1981</v>
      </c>
      <c r="E320" s="6">
        <v>1</v>
      </c>
      <c r="F320" s="7" t="s">
        <v>30</v>
      </c>
      <c r="G320" s="8">
        <v>4.5999999999999996</v>
      </c>
      <c r="H320" s="7" t="s">
        <v>30</v>
      </c>
      <c r="I320" s="8">
        <v>4.5999999999999996</v>
      </c>
      <c r="J320" s="7"/>
      <c r="K320" s="7"/>
      <c r="L320" s="6" t="s">
        <v>31</v>
      </c>
      <c r="M320" s="9" t="s">
        <v>30</v>
      </c>
      <c r="N320" s="7" t="s">
        <v>1654</v>
      </c>
      <c r="P320" t="e">
        <f>IF(N320="","",  IF(N320="Excluded", N320,  IF(N320="included in industry", N320,   _xlfn.XLOOKUP(N320, [1]unittypedata!$AD:$AD,[1]unittypedata!$D:$D)   )))</f>
        <v>#N/A</v>
      </c>
    </row>
    <row r="321" spans="1:16">
      <c r="A321" s="5" t="s">
        <v>584</v>
      </c>
      <c r="B321" s="5" t="s">
        <v>586</v>
      </c>
      <c r="C321" s="6" t="s">
        <v>29</v>
      </c>
      <c r="D321" s="7">
        <v>2002</v>
      </c>
      <c r="E321" s="6">
        <v>1</v>
      </c>
      <c r="F321" s="7" t="s">
        <v>30</v>
      </c>
      <c r="G321" s="8">
        <v>3</v>
      </c>
      <c r="H321" s="7" t="s">
        <v>30</v>
      </c>
      <c r="I321" s="8">
        <v>3</v>
      </c>
      <c r="J321" s="7"/>
      <c r="K321" s="7"/>
      <c r="L321" s="6" t="s">
        <v>31</v>
      </c>
      <c r="M321" s="9" t="s">
        <v>30</v>
      </c>
      <c r="N321" s="7" t="s">
        <v>1654</v>
      </c>
      <c r="P321" t="e">
        <f>IF(N321="","",  IF(N321="Excluded", N321,  IF(N321="included in industry", N321,   _xlfn.XLOOKUP(N321, [1]unittypedata!$AD:$AD,[1]unittypedata!$D:$D)   )))</f>
        <v>#N/A</v>
      </c>
    </row>
    <row r="322" spans="1:16">
      <c r="A322" s="11" t="s">
        <v>584</v>
      </c>
      <c r="B322" s="11" t="s">
        <v>586</v>
      </c>
      <c r="C322" s="12" t="s">
        <v>29</v>
      </c>
      <c r="D322" s="13">
        <v>2018</v>
      </c>
      <c r="E322" s="12">
        <v>1</v>
      </c>
      <c r="F322" s="13" t="s">
        <v>30</v>
      </c>
      <c r="G322" s="14">
        <v>8</v>
      </c>
      <c r="H322" s="13" t="s">
        <v>30</v>
      </c>
      <c r="I322" s="14">
        <v>8</v>
      </c>
      <c r="J322" s="13"/>
      <c r="K322" s="13"/>
      <c r="L322" s="12" t="s">
        <v>46</v>
      </c>
      <c r="M322" s="15" t="s">
        <v>30</v>
      </c>
      <c r="N322" s="7" t="s">
        <v>1653</v>
      </c>
      <c r="P322" t="e">
        <f>IF(N322="","",  IF(N322="Excluded", N322,  IF(N322="included in industry", N322,   _xlfn.XLOOKUP(N322, [1]unittypedata!$AD:$AD,[1]unittypedata!$D:$D)   )))</f>
        <v>#N/A</v>
      </c>
    </row>
    <row r="323" spans="1:16">
      <c r="A323" s="5" t="s">
        <v>587</v>
      </c>
      <c r="B323" s="5" t="s">
        <v>368</v>
      </c>
      <c r="C323" s="6" t="s">
        <v>29</v>
      </c>
      <c r="D323" s="7">
        <v>2020</v>
      </c>
      <c r="E323" s="6">
        <v>2</v>
      </c>
      <c r="F323" s="7" t="s">
        <v>30</v>
      </c>
      <c r="G323" s="8">
        <v>1.8</v>
      </c>
      <c r="H323" s="7" t="s">
        <v>30</v>
      </c>
      <c r="I323" s="8">
        <v>1.8</v>
      </c>
      <c r="J323" s="7"/>
      <c r="K323" s="7"/>
      <c r="L323" s="6" t="s">
        <v>44</v>
      </c>
      <c r="M323" s="9" t="s">
        <v>30</v>
      </c>
      <c r="N323" s="7" t="s">
        <v>1653</v>
      </c>
      <c r="P323" t="e">
        <f>IF(N323="","",  IF(N323="Excluded", N323,  IF(N323="included in industry", N323,   _xlfn.XLOOKUP(N323, [1]unittypedata!$AD:$AD,[1]unittypedata!$D:$D)   )))</f>
        <v>#N/A</v>
      </c>
    </row>
    <row r="324" spans="1:16">
      <c r="A324" s="11" t="s">
        <v>587</v>
      </c>
      <c r="B324" s="11" t="s">
        <v>588</v>
      </c>
      <c r="C324" s="12" t="s">
        <v>29</v>
      </c>
      <c r="D324" s="13">
        <v>2007</v>
      </c>
      <c r="E324" s="12">
        <v>1</v>
      </c>
      <c r="F324" s="13" t="s">
        <v>30</v>
      </c>
      <c r="G324" s="14">
        <v>0.5</v>
      </c>
      <c r="H324" s="13" t="s">
        <v>30</v>
      </c>
      <c r="I324" s="14">
        <v>0.5</v>
      </c>
      <c r="J324" s="13"/>
      <c r="K324" s="13"/>
      <c r="L324" s="12" t="s">
        <v>31</v>
      </c>
      <c r="M324" s="15" t="s">
        <v>30</v>
      </c>
      <c r="N324" s="7" t="s">
        <v>1654</v>
      </c>
      <c r="P324" t="e">
        <f>IF(N324="","",  IF(N324="Excluded", N324,  IF(N324="included in industry", N324,   _xlfn.XLOOKUP(N324, [1]unittypedata!$AD:$AD,[1]unittypedata!$D:$D)   )))</f>
        <v>#N/A</v>
      </c>
    </row>
    <row r="325" spans="1:16">
      <c r="A325" s="5" t="s">
        <v>589</v>
      </c>
      <c r="B325" s="5" t="s">
        <v>590</v>
      </c>
      <c r="C325" s="6" t="s">
        <v>29</v>
      </c>
      <c r="D325" s="7">
        <v>2003</v>
      </c>
      <c r="E325" s="6">
        <v>3</v>
      </c>
      <c r="F325" s="7" t="s">
        <v>30</v>
      </c>
      <c r="G325" s="8">
        <v>4.8</v>
      </c>
      <c r="H325" s="7" t="s">
        <v>30</v>
      </c>
      <c r="I325" s="8">
        <v>4.8</v>
      </c>
      <c r="J325" s="7"/>
      <c r="K325" s="7"/>
      <c r="L325" s="6" t="s">
        <v>46</v>
      </c>
      <c r="M325" s="9" t="s">
        <v>30</v>
      </c>
      <c r="N325" s="7" t="s">
        <v>1653</v>
      </c>
      <c r="P325" t="e">
        <f>IF(N325="","",  IF(N325="Excluded", N325,  IF(N325="included in industry", N325,   _xlfn.XLOOKUP(N325, [1]unittypedata!$AD:$AD,[1]unittypedata!$D:$D)   )))</f>
        <v>#N/A</v>
      </c>
    </row>
    <row r="326" spans="1:16">
      <c r="A326" s="11" t="s">
        <v>589</v>
      </c>
      <c r="B326" s="11" t="s">
        <v>591</v>
      </c>
      <c r="C326" s="12" t="s">
        <v>29</v>
      </c>
      <c r="D326" s="13">
        <v>2020</v>
      </c>
      <c r="E326" s="12" t="s">
        <v>30</v>
      </c>
      <c r="F326" s="13" t="s">
        <v>30</v>
      </c>
      <c r="G326" s="14" t="s">
        <v>30</v>
      </c>
      <c r="H326" s="13">
        <v>1</v>
      </c>
      <c r="I326" s="14">
        <v>1</v>
      </c>
      <c r="J326" s="13"/>
      <c r="K326" s="13"/>
      <c r="L326" s="12" t="s">
        <v>77</v>
      </c>
      <c r="M326" s="15" t="s">
        <v>30</v>
      </c>
      <c r="N326" s="7" t="s">
        <v>1652</v>
      </c>
      <c r="P326" t="e">
        <f>IF(N326="","",  IF(N326="Excluded", N326,  IF(N326="included in industry", N326,   _xlfn.XLOOKUP(N326, [1]unittypedata!$AD:$AD,[1]unittypedata!$D:$D)   )))</f>
        <v>#N/A</v>
      </c>
    </row>
    <row r="327" spans="1:16">
      <c r="A327" s="5" t="s">
        <v>592</v>
      </c>
      <c r="B327" s="5" t="s">
        <v>593</v>
      </c>
      <c r="C327" s="6" t="s">
        <v>29</v>
      </c>
      <c r="D327" s="7">
        <v>2017</v>
      </c>
      <c r="E327" s="6">
        <v>2</v>
      </c>
      <c r="F327" s="7" t="s">
        <v>30</v>
      </c>
      <c r="G327" s="8">
        <v>9</v>
      </c>
      <c r="H327" s="7" t="s">
        <v>30</v>
      </c>
      <c r="I327" s="8">
        <v>9</v>
      </c>
      <c r="J327" s="7"/>
      <c r="K327" s="7"/>
      <c r="L327" s="6" t="s">
        <v>46</v>
      </c>
      <c r="M327" s="9" t="s">
        <v>30</v>
      </c>
      <c r="N327" s="7" t="s">
        <v>1653</v>
      </c>
      <c r="P327" t="e">
        <f>IF(N327="","",  IF(N327="Excluded", N327,  IF(N327="included in industry", N327,   _xlfn.XLOOKUP(N327, [1]unittypedata!$AD:$AD,[1]unittypedata!$D:$D)   )))</f>
        <v>#N/A</v>
      </c>
    </row>
    <row r="328" spans="1:16">
      <c r="A328" s="11" t="s">
        <v>592</v>
      </c>
      <c r="B328" s="11" t="s">
        <v>594</v>
      </c>
      <c r="C328" s="12" t="s">
        <v>29</v>
      </c>
      <c r="D328" s="13">
        <v>2020</v>
      </c>
      <c r="E328" s="12">
        <v>2</v>
      </c>
      <c r="F328" s="13" t="s">
        <v>30</v>
      </c>
      <c r="G328" s="14">
        <v>2</v>
      </c>
      <c r="H328" s="13" t="s">
        <v>30</v>
      </c>
      <c r="I328" s="14">
        <v>2</v>
      </c>
      <c r="J328" s="13"/>
      <c r="K328" s="13"/>
      <c r="L328" s="12" t="s">
        <v>44</v>
      </c>
      <c r="M328" s="15" t="s">
        <v>30</v>
      </c>
      <c r="N328" s="7" t="s">
        <v>1653</v>
      </c>
      <c r="P328" t="e">
        <f>IF(N328="","",  IF(N328="Excluded", N328,  IF(N328="included in industry", N328,   _xlfn.XLOOKUP(N328, [1]unittypedata!$AD:$AD,[1]unittypedata!$D:$D)   )))</f>
        <v>#N/A</v>
      </c>
    </row>
    <row r="329" spans="1:16">
      <c r="A329" s="5" t="s">
        <v>595</v>
      </c>
      <c r="B329" s="5" t="s">
        <v>596</v>
      </c>
      <c r="C329" s="6" t="s">
        <v>29</v>
      </c>
      <c r="D329" s="7">
        <v>1980</v>
      </c>
      <c r="E329" s="6">
        <v>2</v>
      </c>
      <c r="F329" s="7" t="s">
        <v>30</v>
      </c>
      <c r="G329" s="8">
        <v>12</v>
      </c>
      <c r="H329" s="7" t="s">
        <v>30</v>
      </c>
      <c r="I329" s="8">
        <v>12</v>
      </c>
      <c r="J329" s="7"/>
      <c r="K329" s="7"/>
      <c r="L329" s="6" t="s">
        <v>31</v>
      </c>
      <c r="M329" s="9" t="s">
        <v>30</v>
      </c>
      <c r="N329" s="7" t="s">
        <v>1654</v>
      </c>
      <c r="P329" t="e">
        <f>IF(N329="","",  IF(N329="Excluded", N329,  IF(N329="included in industry", N329,   _xlfn.XLOOKUP(N329, [1]unittypedata!$AD:$AD,[1]unittypedata!$D:$D)   )))</f>
        <v>#N/A</v>
      </c>
    </row>
    <row r="330" spans="1:16">
      <c r="A330" s="5" t="s">
        <v>595</v>
      </c>
      <c r="B330" s="5" t="s">
        <v>597</v>
      </c>
      <c r="C330" s="6" t="s">
        <v>29</v>
      </c>
      <c r="D330" s="7">
        <v>1983</v>
      </c>
      <c r="E330" s="6">
        <v>1</v>
      </c>
      <c r="F330" s="7" t="s">
        <v>30</v>
      </c>
      <c r="G330" s="8">
        <v>10</v>
      </c>
      <c r="H330" s="7" t="s">
        <v>30</v>
      </c>
      <c r="I330" s="8">
        <v>10</v>
      </c>
      <c r="J330" s="7"/>
      <c r="K330" s="7"/>
      <c r="L330" s="6" t="s">
        <v>31</v>
      </c>
      <c r="M330" s="9" t="s">
        <v>30</v>
      </c>
      <c r="N330" s="7" t="s">
        <v>1654</v>
      </c>
      <c r="P330" t="e">
        <f>IF(N330="","",  IF(N330="Excluded", N330,  IF(N330="included in industry", N330,   _xlfn.XLOOKUP(N330, [1]unittypedata!$AD:$AD,[1]unittypedata!$D:$D)   )))</f>
        <v>#N/A</v>
      </c>
    </row>
    <row r="331" spans="1:16">
      <c r="A331" s="5" t="s">
        <v>595</v>
      </c>
      <c r="B331" s="5" t="s">
        <v>598</v>
      </c>
      <c r="C331" s="6" t="s">
        <v>29</v>
      </c>
      <c r="D331" s="7">
        <v>1988</v>
      </c>
      <c r="E331" s="6">
        <v>1</v>
      </c>
      <c r="F331" s="7" t="s">
        <v>30</v>
      </c>
      <c r="G331" s="8">
        <v>10</v>
      </c>
      <c r="H331" s="7" t="s">
        <v>30</v>
      </c>
      <c r="I331" s="8">
        <v>10</v>
      </c>
      <c r="J331" s="7"/>
      <c r="K331" s="7"/>
      <c r="L331" s="6" t="s">
        <v>31</v>
      </c>
      <c r="M331" s="9" t="s">
        <v>30</v>
      </c>
      <c r="N331" s="7" t="s">
        <v>1654</v>
      </c>
      <c r="P331" t="e">
        <f>IF(N331="","",  IF(N331="Excluded", N331,  IF(N331="included in industry", N331,   _xlfn.XLOOKUP(N331, [1]unittypedata!$AD:$AD,[1]unittypedata!$D:$D)   )))</f>
        <v>#N/A</v>
      </c>
    </row>
    <row r="332" spans="1:16">
      <c r="A332" s="5" t="s">
        <v>595</v>
      </c>
      <c r="B332" s="5" t="s">
        <v>599</v>
      </c>
      <c r="C332" s="6" t="s">
        <v>29</v>
      </c>
      <c r="D332" s="7">
        <v>1975</v>
      </c>
      <c r="E332" s="6">
        <v>2</v>
      </c>
      <c r="F332" s="7" t="s">
        <v>30</v>
      </c>
      <c r="G332" s="8">
        <v>7.5</v>
      </c>
      <c r="H332" s="7" t="s">
        <v>30</v>
      </c>
      <c r="I332" s="8">
        <v>7.5</v>
      </c>
      <c r="J332" s="7"/>
      <c r="K332" s="7"/>
      <c r="L332" s="6" t="s">
        <v>31</v>
      </c>
      <c r="M332" s="9" t="s">
        <v>30</v>
      </c>
      <c r="N332" s="7" t="s">
        <v>1654</v>
      </c>
      <c r="P332" t="e">
        <f>IF(N332="","",  IF(N332="Excluded", N332,  IF(N332="included in industry", N332,   _xlfn.XLOOKUP(N332, [1]unittypedata!$AD:$AD,[1]unittypedata!$D:$D)   )))</f>
        <v>#N/A</v>
      </c>
    </row>
    <row r="333" spans="1:16">
      <c r="A333" s="11" t="s">
        <v>595</v>
      </c>
      <c r="B333" s="11" t="s">
        <v>600</v>
      </c>
      <c r="C333" s="12" t="s">
        <v>29</v>
      </c>
      <c r="D333" s="13">
        <v>2013</v>
      </c>
      <c r="E333" s="12">
        <v>1</v>
      </c>
      <c r="F333" s="13" t="s">
        <v>30</v>
      </c>
      <c r="G333" s="14">
        <v>18</v>
      </c>
      <c r="H333" s="13" t="s">
        <v>30</v>
      </c>
      <c r="I333" s="14">
        <v>18</v>
      </c>
      <c r="J333" s="13"/>
      <c r="K333" s="13"/>
      <c r="L333" s="12" t="s">
        <v>46</v>
      </c>
      <c r="M333" s="15" t="s">
        <v>30</v>
      </c>
      <c r="N333" s="7" t="s">
        <v>1653</v>
      </c>
      <c r="P333" t="e">
        <f>IF(N333="","",  IF(N333="Excluded", N333,  IF(N333="included in industry", N333,   _xlfn.XLOOKUP(N333, [1]unittypedata!$AD:$AD,[1]unittypedata!$D:$D)   )))</f>
        <v>#N/A</v>
      </c>
    </row>
    <row r="334" spans="1:16">
      <c r="A334" s="5" t="s">
        <v>601</v>
      </c>
      <c r="B334" s="5" t="s">
        <v>602</v>
      </c>
      <c r="C334" s="6" t="s">
        <v>29</v>
      </c>
      <c r="D334" s="7">
        <v>1986</v>
      </c>
      <c r="E334" s="6">
        <v>2</v>
      </c>
      <c r="F334" s="7" t="s">
        <v>30</v>
      </c>
      <c r="G334" s="8">
        <v>0.8</v>
      </c>
      <c r="H334" s="7" t="s">
        <v>30</v>
      </c>
      <c r="I334" s="8">
        <v>0.8</v>
      </c>
      <c r="J334" s="7"/>
      <c r="K334" s="7"/>
      <c r="L334" s="6" t="s">
        <v>36</v>
      </c>
      <c r="M334" s="9" t="s">
        <v>30</v>
      </c>
      <c r="N334" s="7" t="s">
        <v>1657</v>
      </c>
      <c r="P334" t="e">
        <f>IF(N334="","",  IF(N334="Excluded", N334,  IF(N334="included in industry", N334,   _xlfn.XLOOKUP(N334, [1]unittypedata!$AD:$AD,[1]unittypedata!$D:$D)   )))</f>
        <v>#N/A</v>
      </c>
    </row>
    <row r="335" spans="1:16">
      <c r="A335" s="5" t="s">
        <v>601</v>
      </c>
      <c r="B335" s="5" t="s">
        <v>603</v>
      </c>
      <c r="C335" s="6" t="s">
        <v>29</v>
      </c>
      <c r="D335" s="7">
        <v>1994</v>
      </c>
      <c r="E335" s="6">
        <v>3</v>
      </c>
      <c r="F335" s="7" t="s">
        <v>30</v>
      </c>
      <c r="G335" s="8">
        <v>19</v>
      </c>
      <c r="H335" s="7" t="s">
        <v>30</v>
      </c>
      <c r="I335" s="8">
        <v>19</v>
      </c>
      <c r="J335" s="7"/>
      <c r="K335" s="7"/>
      <c r="L335" s="6" t="s">
        <v>36</v>
      </c>
      <c r="M335" s="9" t="s">
        <v>30</v>
      </c>
      <c r="N335" s="7" t="s">
        <v>1657</v>
      </c>
      <c r="P335" t="e">
        <f>IF(N335="","",  IF(N335="Excluded", N335,  IF(N335="included in industry", N335,   _xlfn.XLOOKUP(N335, [1]unittypedata!$AD:$AD,[1]unittypedata!$D:$D)   )))</f>
        <v>#N/A</v>
      </c>
    </row>
    <row r="336" spans="1:16">
      <c r="A336" s="5" t="s">
        <v>601</v>
      </c>
      <c r="B336" s="5" t="s">
        <v>604</v>
      </c>
      <c r="C336" s="6" t="s">
        <v>29</v>
      </c>
      <c r="D336" s="7">
        <v>2013</v>
      </c>
      <c r="E336" s="6">
        <v>1</v>
      </c>
      <c r="F336" s="7" t="s">
        <v>30</v>
      </c>
      <c r="G336" s="8">
        <v>4</v>
      </c>
      <c r="H336" s="7" t="s">
        <v>30</v>
      </c>
      <c r="I336" s="8">
        <v>4</v>
      </c>
      <c r="J336" s="7"/>
      <c r="K336" s="7"/>
      <c r="L336" s="6" t="s">
        <v>36</v>
      </c>
      <c r="M336" s="9" t="s">
        <v>30</v>
      </c>
      <c r="N336" s="7" t="s">
        <v>1657</v>
      </c>
      <c r="P336" t="e">
        <f>IF(N336="","",  IF(N336="Excluded", N336,  IF(N336="included in industry", N336,   _xlfn.XLOOKUP(N336, [1]unittypedata!$AD:$AD,[1]unittypedata!$D:$D)   )))</f>
        <v>#N/A</v>
      </c>
    </row>
    <row r="337" spans="1:16">
      <c r="A337" s="5" t="s">
        <v>601</v>
      </c>
      <c r="B337" s="5" t="s">
        <v>605</v>
      </c>
      <c r="C337" s="6" t="s">
        <v>48</v>
      </c>
      <c r="D337" s="7">
        <v>2021</v>
      </c>
      <c r="E337" s="6" t="s">
        <v>30</v>
      </c>
      <c r="F337" s="7" t="s">
        <v>30</v>
      </c>
      <c r="G337" s="8" t="s">
        <v>30</v>
      </c>
      <c r="H337" s="7" t="s">
        <v>30</v>
      </c>
      <c r="I337" s="8">
        <v>0.9</v>
      </c>
      <c r="J337" s="7"/>
      <c r="K337" s="7"/>
      <c r="L337" s="6" t="s">
        <v>30</v>
      </c>
      <c r="M337" s="9">
        <v>0.6</v>
      </c>
      <c r="N337" s="7" t="s">
        <v>1613</v>
      </c>
      <c r="P337" t="str">
        <f>IF(N337="","",  IF(N337="Excluded", N337,  IF(N337="included in industry", N337,   _xlfn.XLOOKUP(N337, [1]unittypedata!$AD:$AD,[1]unittypedata!$D:$D)   )))</f>
        <v>GSHP</v>
      </c>
    </row>
    <row r="338" spans="1:16">
      <c r="A338" s="5" t="s">
        <v>601</v>
      </c>
      <c r="B338" s="5" t="s">
        <v>606</v>
      </c>
      <c r="C338" s="6" t="s">
        <v>48</v>
      </c>
      <c r="D338" s="7">
        <v>2022</v>
      </c>
      <c r="E338" s="6" t="s">
        <v>30</v>
      </c>
      <c r="F338" s="7" t="s">
        <v>30</v>
      </c>
      <c r="G338" s="8" t="s">
        <v>30</v>
      </c>
      <c r="H338" s="7" t="s">
        <v>30</v>
      </c>
      <c r="I338" s="8">
        <v>0.5</v>
      </c>
      <c r="J338" s="7"/>
      <c r="K338" s="7"/>
      <c r="L338" s="6" t="s">
        <v>30</v>
      </c>
      <c r="M338" s="9">
        <v>0.3</v>
      </c>
      <c r="N338" s="7" t="s">
        <v>1613</v>
      </c>
      <c r="P338" t="str">
        <f>IF(N338="","",  IF(N338="Excluded", N338,  IF(N338="included in industry", N338,   _xlfn.XLOOKUP(N338, [1]unittypedata!$AD:$AD,[1]unittypedata!$D:$D)   )))</f>
        <v>GSHP</v>
      </c>
    </row>
    <row r="339" spans="1:16">
      <c r="A339" s="23" t="s">
        <v>607</v>
      </c>
      <c r="B339" s="23" t="s">
        <v>608</v>
      </c>
      <c r="C339" s="24" t="s">
        <v>29</v>
      </c>
      <c r="D339" s="25">
        <v>2013</v>
      </c>
      <c r="E339" s="24">
        <v>4</v>
      </c>
      <c r="F339" s="25" t="s">
        <v>30</v>
      </c>
      <c r="G339" s="26">
        <v>11.5</v>
      </c>
      <c r="H339" s="25" t="s">
        <v>30</v>
      </c>
      <c r="I339" s="26">
        <v>11.5</v>
      </c>
      <c r="J339" s="25"/>
      <c r="K339" s="25"/>
      <c r="L339" s="24" t="s">
        <v>31</v>
      </c>
      <c r="M339" s="27" t="s">
        <v>30</v>
      </c>
      <c r="N339" s="7" t="s">
        <v>1654</v>
      </c>
      <c r="P339" t="e">
        <f>IF(N339="","",  IF(N339="Excluded", N339,  IF(N339="included in industry", N339,   _xlfn.XLOOKUP(N339, [1]unittypedata!$AD:$AD,[1]unittypedata!$D:$D)   )))</f>
        <v>#N/A</v>
      </c>
    </row>
    <row r="340" spans="1:16">
      <c r="A340" s="5" t="s">
        <v>609</v>
      </c>
      <c r="B340" s="5" t="s">
        <v>610</v>
      </c>
      <c r="C340" s="6" t="s">
        <v>29</v>
      </c>
      <c r="D340" s="7">
        <v>1992</v>
      </c>
      <c r="E340" s="6">
        <v>2</v>
      </c>
      <c r="F340" s="7" t="s">
        <v>30</v>
      </c>
      <c r="G340" s="8">
        <v>4.5</v>
      </c>
      <c r="H340" s="7" t="s">
        <v>30</v>
      </c>
      <c r="I340" s="8">
        <v>4.5</v>
      </c>
      <c r="J340" s="7"/>
      <c r="K340" s="7"/>
      <c r="L340" s="6" t="s">
        <v>31</v>
      </c>
      <c r="M340" s="9" t="s">
        <v>30</v>
      </c>
      <c r="N340" s="7" t="s">
        <v>1654</v>
      </c>
      <c r="P340" t="e">
        <f>IF(N340="","",  IF(N340="Excluded", N340,  IF(N340="included in industry", N340,   _xlfn.XLOOKUP(N340, [1]unittypedata!$AD:$AD,[1]unittypedata!$D:$D)   )))</f>
        <v>#N/A</v>
      </c>
    </row>
    <row r="341" spans="1:16">
      <c r="A341" s="5" t="s">
        <v>609</v>
      </c>
      <c r="B341" s="5" t="s">
        <v>611</v>
      </c>
      <c r="C341" s="6" t="s">
        <v>29</v>
      </c>
      <c r="D341" s="7">
        <v>2012</v>
      </c>
      <c r="E341" s="6">
        <v>1</v>
      </c>
      <c r="F341" s="7" t="s">
        <v>30</v>
      </c>
      <c r="G341" s="8">
        <v>3</v>
      </c>
      <c r="H341" s="7" t="s">
        <v>30</v>
      </c>
      <c r="I341" s="8">
        <v>3</v>
      </c>
      <c r="J341" s="7"/>
      <c r="K341" s="7"/>
      <c r="L341" s="6" t="s">
        <v>44</v>
      </c>
      <c r="M341" s="9" t="s">
        <v>30</v>
      </c>
      <c r="N341" s="7" t="s">
        <v>1653</v>
      </c>
      <c r="P341" t="e">
        <f>IF(N341="","",  IF(N341="Excluded", N341,  IF(N341="included in industry", N341,   _xlfn.XLOOKUP(N341, [1]unittypedata!$AD:$AD,[1]unittypedata!$D:$D)   )))</f>
        <v>#N/A</v>
      </c>
    </row>
    <row r="342" spans="1:16">
      <c r="A342" s="5" t="s">
        <v>609</v>
      </c>
      <c r="B342" s="5" t="s">
        <v>612</v>
      </c>
      <c r="C342" s="6" t="s">
        <v>29</v>
      </c>
      <c r="D342" s="7">
        <v>2014</v>
      </c>
      <c r="E342" s="6">
        <v>1</v>
      </c>
      <c r="F342" s="7" t="s">
        <v>30</v>
      </c>
      <c r="G342" s="8">
        <v>3</v>
      </c>
      <c r="H342" s="7" t="s">
        <v>30</v>
      </c>
      <c r="I342" s="8">
        <v>3</v>
      </c>
      <c r="J342" s="7"/>
      <c r="K342" s="7"/>
      <c r="L342" s="6" t="s">
        <v>44</v>
      </c>
      <c r="M342" s="9" t="s">
        <v>30</v>
      </c>
      <c r="N342" s="7" t="s">
        <v>1653</v>
      </c>
      <c r="P342" t="e">
        <f>IF(N342="","",  IF(N342="Excluded", N342,  IF(N342="included in industry", N342,   _xlfn.XLOOKUP(N342, [1]unittypedata!$AD:$AD,[1]unittypedata!$D:$D)   )))</f>
        <v>#N/A</v>
      </c>
    </row>
    <row r="343" spans="1:16">
      <c r="A343" s="5" t="s">
        <v>609</v>
      </c>
      <c r="B343" s="5" t="s">
        <v>613</v>
      </c>
      <c r="C343" s="6" t="s">
        <v>29</v>
      </c>
      <c r="D343" s="7">
        <v>2023</v>
      </c>
      <c r="E343" s="6">
        <v>1</v>
      </c>
      <c r="F343" s="7" t="s">
        <v>30</v>
      </c>
      <c r="G343" s="8">
        <v>4.5</v>
      </c>
      <c r="H343" s="7">
        <v>1.5</v>
      </c>
      <c r="I343" s="8">
        <v>6</v>
      </c>
      <c r="J343" s="7"/>
      <c r="K343" s="7"/>
      <c r="L343" s="6" t="s">
        <v>46</v>
      </c>
      <c r="M343" s="9" t="s">
        <v>30</v>
      </c>
      <c r="N343" s="7" t="s">
        <v>1653</v>
      </c>
      <c r="P343" t="e">
        <f>IF(N343="","",  IF(N343="Excluded", N343,  IF(N343="included in industry", N343,   _xlfn.XLOOKUP(N343, [1]unittypedata!$AD:$AD,[1]unittypedata!$D:$D)   )))</f>
        <v>#N/A</v>
      </c>
    </row>
    <row r="344" spans="1:16">
      <c r="A344" s="11" t="s">
        <v>609</v>
      </c>
      <c r="B344" s="11" t="s">
        <v>614</v>
      </c>
      <c r="C344" s="12" t="s">
        <v>75</v>
      </c>
      <c r="D344" s="13">
        <v>1997</v>
      </c>
      <c r="E344" s="12" t="s">
        <v>30</v>
      </c>
      <c r="F344" s="13" t="s">
        <v>30</v>
      </c>
      <c r="G344" s="14" t="s">
        <v>30</v>
      </c>
      <c r="H344" s="13" t="s">
        <v>30</v>
      </c>
      <c r="I344" s="14" t="s">
        <v>30</v>
      </c>
      <c r="J344" s="13">
        <v>6</v>
      </c>
      <c r="K344" s="13"/>
      <c r="L344" s="12" t="s">
        <v>36</v>
      </c>
      <c r="M344" s="15" t="s">
        <v>30</v>
      </c>
      <c r="N344" s="7" t="s">
        <v>58</v>
      </c>
      <c r="P344" t="str">
        <f>IF(N344="","",  IF(N344="Excluded", N344,  IF(N344="included in industry", N344,   _xlfn.XLOOKUP(N344, [1]unittypedata!$AD:$AD,[1]unittypedata!$D:$D)   )))</f>
        <v>Excluded</v>
      </c>
    </row>
    <row r="345" spans="1:16">
      <c r="A345" s="5" t="s">
        <v>615</v>
      </c>
      <c r="B345" s="5" t="s">
        <v>616</v>
      </c>
      <c r="C345" s="6" t="s">
        <v>29</v>
      </c>
      <c r="D345" s="7">
        <v>2014</v>
      </c>
      <c r="E345" s="6">
        <v>2</v>
      </c>
      <c r="F345" s="7" t="s">
        <v>30</v>
      </c>
      <c r="G345" s="8">
        <v>6</v>
      </c>
      <c r="H345" s="7" t="s">
        <v>30</v>
      </c>
      <c r="I345" s="8">
        <v>6</v>
      </c>
      <c r="J345" s="7"/>
      <c r="K345" s="7"/>
      <c r="L345" s="6" t="s">
        <v>44</v>
      </c>
      <c r="M345" s="9" t="s">
        <v>30</v>
      </c>
      <c r="N345" s="7" t="s">
        <v>1653</v>
      </c>
      <c r="P345" t="e">
        <f>IF(N345="","",  IF(N345="Excluded", N345,  IF(N345="included in industry", N345,   _xlfn.XLOOKUP(N345, [1]unittypedata!$AD:$AD,[1]unittypedata!$D:$D)   )))</f>
        <v>#N/A</v>
      </c>
    </row>
    <row r="346" spans="1:16">
      <c r="A346" s="5" t="s">
        <v>615</v>
      </c>
      <c r="B346" s="5" t="s">
        <v>617</v>
      </c>
      <c r="C346" s="6" t="s">
        <v>29</v>
      </c>
      <c r="D346" s="7">
        <v>2017</v>
      </c>
      <c r="E346" s="6">
        <v>1</v>
      </c>
      <c r="F346" s="7" t="s">
        <v>30</v>
      </c>
      <c r="G346" s="8">
        <v>20</v>
      </c>
      <c r="H346" s="7" t="s">
        <v>30</v>
      </c>
      <c r="I346" s="8">
        <v>20</v>
      </c>
      <c r="J346" s="7"/>
      <c r="K346" s="7"/>
      <c r="L346" s="6" t="s">
        <v>36</v>
      </c>
      <c r="M346" s="9" t="s">
        <v>30</v>
      </c>
      <c r="N346" s="7" t="s">
        <v>1657</v>
      </c>
      <c r="P346" t="e">
        <f>IF(N346="","",  IF(N346="Excluded", N346,  IF(N346="included in industry", N346,   _xlfn.XLOOKUP(N346, [1]unittypedata!$AD:$AD,[1]unittypedata!$D:$D)   )))</f>
        <v>#N/A</v>
      </c>
    </row>
    <row r="347" spans="1:16">
      <c r="A347" s="11" t="s">
        <v>615</v>
      </c>
      <c r="B347" s="11" t="s">
        <v>618</v>
      </c>
      <c r="C347" s="12" t="s">
        <v>29</v>
      </c>
      <c r="D347" s="13">
        <v>2004</v>
      </c>
      <c r="E347" s="12">
        <v>3</v>
      </c>
      <c r="F347" s="13" t="s">
        <v>30</v>
      </c>
      <c r="G347" s="14">
        <v>2.5</v>
      </c>
      <c r="H347" s="13" t="s">
        <v>30</v>
      </c>
      <c r="I347" s="14">
        <v>2.5</v>
      </c>
      <c r="J347" s="13"/>
      <c r="K347" s="13"/>
      <c r="L347" s="12" t="s">
        <v>44</v>
      </c>
      <c r="M347" s="15" t="s">
        <v>30</v>
      </c>
      <c r="N347" s="7" t="s">
        <v>1653</v>
      </c>
      <c r="P347" t="e">
        <f>IF(N347="","",  IF(N347="Excluded", N347,  IF(N347="included in industry", N347,   _xlfn.XLOOKUP(N347, [1]unittypedata!$AD:$AD,[1]unittypedata!$D:$D)   )))</f>
        <v>#N/A</v>
      </c>
    </row>
    <row r="348" spans="1:16">
      <c r="A348" s="5" t="s">
        <v>619</v>
      </c>
      <c r="B348" s="5" t="s">
        <v>620</v>
      </c>
      <c r="C348" s="6" t="s">
        <v>29</v>
      </c>
      <c r="D348" s="7">
        <v>2009</v>
      </c>
      <c r="E348" s="6">
        <v>2</v>
      </c>
      <c r="F348" s="7" t="s">
        <v>30</v>
      </c>
      <c r="G348" s="8">
        <v>9</v>
      </c>
      <c r="H348" s="7" t="s">
        <v>30</v>
      </c>
      <c r="I348" s="8">
        <v>9</v>
      </c>
      <c r="J348" s="7"/>
      <c r="K348" s="7"/>
      <c r="L348" s="6" t="s">
        <v>31</v>
      </c>
      <c r="M348" s="9" t="s">
        <v>30</v>
      </c>
      <c r="N348" s="7" t="s">
        <v>1654</v>
      </c>
      <c r="P348" t="e">
        <f>IF(N348="","",  IF(N348="Excluded", N348,  IF(N348="included in industry", N348,   _xlfn.XLOOKUP(N348, [1]unittypedata!$AD:$AD,[1]unittypedata!$D:$D)   )))</f>
        <v>#N/A</v>
      </c>
    </row>
    <row r="349" spans="1:16">
      <c r="A349" s="5" t="s">
        <v>619</v>
      </c>
      <c r="B349" s="5" t="s">
        <v>621</v>
      </c>
      <c r="C349" s="6" t="s">
        <v>29</v>
      </c>
      <c r="D349" s="7">
        <v>1989</v>
      </c>
      <c r="E349" s="6">
        <v>2</v>
      </c>
      <c r="F349" s="7" t="s">
        <v>30</v>
      </c>
      <c r="G349" s="8">
        <v>7</v>
      </c>
      <c r="H349" s="7" t="s">
        <v>30</v>
      </c>
      <c r="I349" s="8">
        <v>7</v>
      </c>
      <c r="J349" s="7"/>
      <c r="K349" s="7"/>
      <c r="L349" s="6" t="s">
        <v>31</v>
      </c>
      <c r="M349" s="9" t="s">
        <v>30</v>
      </c>
      <c r="N349" s="7" t="s">
        <v>1654</v>
      </c>
      <c r="P349" t="e">
        <f>IF(N349="","",  IF(N349="Excluded", N349,  IF(N349="included in industry", N349,   _xlfn.XLOOKUP(N349, [1]unittypedata!$AD:$AD,[1]unittypedata!$D:$D)   )))</f>
        <v>#N/A</v>
      </c>
    </row>
    <row r="350" spans="1:16">
      <c r="A350" s="5" t="s">
        <v>619</v>
      </c>
      <c r="B350" s="5" t="s">
        <v>583</v>
      </c>
      <c r="C350" s="6" t="s">
        <v>29</v>
      </c>
      <c r="D350" s="7">
        <v>2009</v>
      </c>
      <c r="E350" s="6">
        <v>1</v>
      </c>
      <c r="F350" s="7" t="s">
        <v>30</v>
      </c>
      <c r="G350" s="8">
        <v>6</v>
      </c>
      <c r="H350" s="7" t="s">
        <v>30</v>
      </c>
      <c r="I350" s="8">
        <v>6</v>
      </c>
      <c r="J350" s="7"/>
      <c r="K350" s="7"/>
      <c r="L350" s="6" t="s">
        <v>118</v>
      </c>
      <c r="M350" s="9" t="s">
        <v>30</v>
      </c>
      <c r="N350" s="7" t="s">
        <v>1653</v>
      </c>
      <c r="P350" t="e">
        <f>IF(N350="","",  IF(N350="Excluded", N350,  IF(N350="included in industry", N350,   _xlfn.XLOOKUP(N350, [1]unittypedata!$AD:$AD,[1]unittypedata!$D:$D)   )))</f>
        <v>#N/A</v>
      </c>
    </row>
    <row r="351" spans="1:16">
      <c r="A351" s="5" t="s">
        <v>619</v>
      </c>
      <c r="B351" s="5" t="s">
        <v>622</v>
      </c>
      <c r="C351" s="6" t="s">
        <v>29</v>
      </c>
      <c r="D351" s="7">
        <v>2019</v>
      </c>
      <c r="E351" s="6">
        <v>1</v>
      </c>
      <c r="F351" s="7" t="s">
        <v>30</v>
      </c>
      <c r="G351" s="8">
        <v>0.9</v>
      </c>
      <c r="H351" s="7" t="s">
        <v>30</v>
      </c>
      <c r="I351" s="8">
        <v>0.9</v>
      </c>
      <c r="J351" s="7"/>
      <c r="K351" s="7"/>
      <c r="L351" s="6" t="s">
        <v>31</v>
      </c>
      <c r="M351" s="9" t="s">
        <v>30</v>
      </c>
      <c r="N351" s="7" t="s">
        <v>1654</v>
      </c>
      <c r="P351" t="e">
        <f>IF(N351="","",  IF(N351="Excluded", N351,  IF(N351="included in industry", N351,   _xlfn.XLOOKUP(N351, [1]unittypedata!$AD:$AD,[1]unittypedata!$D:$D)   )))</f>
        <v>#N/A</v>
      </c>
    </row>
    <row r="352" spans="1:16">
      <c r="A352" s="23" t="s">
        <v>623</v>
      </c>
      <c r="B352" s="23" t="s">
        <v>624</v>
      </c>
      <c r="C352" s="24" t="s">
        <v>29</v>
      </c>
      <c r="D352" s="25">
        <v>2012</v>
      </c>
      <c r="E352" s="24">
        <v>2</v>
      </c>
      <c r="F352" s="25" t="s">
        <v>30</v>
      </c>
      <c r="G352" s="26">
        <v>0.3</v>
      </c>
      <c r="H352" s="25" t="s">
        <v>30</v>
      </c>
      <c r="I352" s="26">
        <v>0.3</v>
      </c>
      <c r="J352" s="25"/>
      <c r="K352" s="25"/>
      <c r="L352" s="24" t="s">
        <v>77</v>
      </c>
      <c r="M352" s="27" t="s">
        <v>30</v>
      </c>
      <c r="N352" s="7" t="s">
        <v>1652</v>
      </c>
      <c r="P352" t="e">
        <f>IF(N352="","",  IF(N352="Excluded", N352,  IF(N352="included in industry", N352,   _xlfn.XLOOKUP(N352, [1]unittypedata!$AD:$AD,[1]unittypedata!$D:$D)   )))</f>
        <v>#N/A</v>
      </c>
    </row>
    <row r="353" spans="1:16">
      <c r="A353" s="5" t="s">
        <v>625</v>
      </c>
      <c r="B353" s="5" t="s">
        <v>626</v>
      </c>
      <c r="C353" s="6" t="s">
        <v>29</v>
      </c>
      <c r="D353" s="7">
        <v>2002</v>
      </c>
      <c r="E353" s="6">
        <v>1</v>
      </c>
      <c r="F353" s="7" t="s">
        <v>30</v>
      </c>
      <c r="G353" s="8">
        <v>9</v>
      </c>
      <c r="H353" s="7">
        <v>2</v>
      </c>
      <c r="I353" s="8">
        <v>11</v>
      </c>
      <c r="J353" s="7"/>
      <c r="K353" s="7"/>
      <c r="L353" s="6" t="s">
        <v>46</v>
      </c>
      <c r="M353" s="9" t="s">
        <v>30</v>
      </c>
      <c r="N353" s="7" t="s">
        <v>1653</v>
      </c>
      <c r="P353" t="e">
        <f>IF(N353="","",  IF(N353="Excluded", N353,  IF(N353="included in industry", N353,   _xlfn.XLOOKUP(N353, [1]unittypedata!$AD:$AD,[1]unittypedata!$D:$D)   )))</f>
        <v>#N/A</v>
      </c>
    </row>
    <row r="354" spans="1:16">
      <c r="A354" s="5" t="s">
        <v>625</v>
      </c>
      <c r="B354" s="5" t="s">
        <v>626</v>
      </c>
      <c r="C354" s="6" t="s">
        <v>29</v>
      </c>
      <c r="D354" s="7" t="s">
        <v>158</v>
      </c>
      <c r="E354" s="6">
        <v>2</v>
      </c>
      <c r="F354" s="7" t="s">
        <v>30</v>
      </c>
      <c r="G354" s="8">
        <v>12</v>
      </c>
      <c r="H354" s="7" t="s">
        <v>30</v>
      </c>
      <c r="I354" s="8">
        <v>12</v>
      </c>
      <c r="J354" s="7"/>
      <c r="K354" s="7"/>
      <c r="L354" s="6" t="s">
        <v>31</v>
      </c>
      <c r="M354" s="9" t="s">
        <v>30</v>
      </c>
      <c r="N354" s="7" t="s">
        <v>1654</v>
      </c>
      <c r="P354" t="e">
        <f>IF(N354="","",  IF(N354="Excluded", N354,  IF(N354="included in industry", N354,   _xlfn.XLOOKUP(N354, [1]unittypedata!$AD:$AD,[1]unittypedata!$D:$D)   )))</f>
        <v>#N/A</v>
      </c>
    </row>
    <row r="355" spans="1:16">
      <c r="A355" s="5" t="s">
        <v>625</v>
      </c>
      <c r="B355" s="5" t="s">
        <v>627</v>
      </c>
      <c r="C355" s="6" t="s">
        <v>29</v>
      </c>
      <c r="D355" s="7" t="s">
        <v>158</v>
      </c>
      <c r="E355" s="6">
        <v>1</v>
      </c>
      <c r="F355" s="7" t="s">
        <v>30</v>
      </c>
      <c r="G355" s="8">
        <v>2.5</v>
      </c>
      <c r="H355" s="7" t="s">
        <v>30</v>
      </c>
      <c r="I355" s="8">
        <v>2.5</v>
      </c>
      <c r="J355" s="7"/>
      <c r="K355" s="7"/>
      <c r="L355" s="6" t="s">
        <v>31</v>
      </c>
      <c r="M355" s="9" t="s">
        <v>30</v>
      </c>
      <c r="N355" s="7" t="s">
        <v>1654</v>
      </c>
      <c r="P355" t="e">
        <f>IF(N355="","",  IF(N355="Excluded", N355,  IF(N355="included in industry", N355,   _xlfn.XLOOKUP(N355, [1]unittypedata!$AD:$AD,[1]unittypedata!$D:$D)   )))</f>
        <v>#N/A</v>
      </c>
    </row>
    <row r="356" spans="1:16">
      <c r="A356" s="5" t="s">
        <v>625</v>
      </c>
      <c r="B356" s="5" t="s">
        <v>628</v>
      </c>
      <c r="C356" s="6" t="s">
        <v>29</v>
      </c>
      <c r="D356" s="7" t="s">
        <v>158</v>
      </c>
      <c r="E356" s="6">
        <v>1</v>
      </c>
      <c r="F356" s="7" t="s">
        <v>30</v>
      </c>
      <c r="G356" s="8">
        <v>3.6</v>
      </c>
      <c r="H356" s="7" t="s">
        <v>30</v>
      </c>
      <c r="I356" s="8">
        <v>3.6</v>
      </c>
      <c r="J356" s="7"/>
      <c r="K356" s="7"/>
      <c r="L356" s="6" t="s">
        <v>31</v>
      </c>
      <c r="M356" s="9" t="s">
        <v>30</v>
      </c>
      <c r="N356" s="7" t="s">
        <v>1654</v>
      </c>
      <c r="P356" t="e">
        <f>IF(N356="","",  IF(N356="Excluded", N356,  IF(N356="included in industry", N356,   _xlfn.XLOOKUP(N356, [1]unittypedata!$AD:$AD,[1]unittypedata!$D:$D)   )))</f>
        <v>#N/A</v>
      </c>
    </row>
    <row r="357" spans="1:16">
      <c r="A357" s="5" t="s">
        <v>625</v>
      </c>
      <c r="B357" s="5" t="s">
        <v>629</v>
      </c>
      <c r="C357" s="6" t="s">
        <v>29</v>
      </c>
      <c r="D357" s="7" t="s">
        <v>158</v>
      </c>
      <c r="E357" s="6">
        <v>2</v>
      </c>
      <c r="F357" s="7" t="s">
        <v>30</v>
      </c>
      <c r="G357" s="8">
        <v>1.5</v>
      </c>
      <c r="H357" s="7" t="s">
        <v>30</v>
      </c>
      <c r="I357" s="8">
        <v>1.5</v>
      </c>
      <c r="J357" s="7"/>
      <c r="K357" s="7"/>
      <c r="L357" s="6" t="s">
        <v>31</v>
      </c>
      <c r="M357" s="9" t="s">
        <v>30</v>
      </c>
      <c r="N357" s="7" t="s">
        <v>1654</v>
      </c>
      <c r="P357" t="e">
        <f>IF(N357="","",  IF(N357="Excluded", N357,  IF(N357="included in industry", N357,   _xlfn.XLOOKUP(N357, [1]unittypedata!$AD:$AD,[1]unittypedata!$D:$D)   )))</f>
        <v>#N/A</v>
      </c>
    </row>
    <row r="358" spans="1:16">
      <c r="A358" s="5" t="s">
        <v>625</v>
      </c>
      <c r="B358" s="5" t="s">
        <v>630</v>
      </c>
      <c r="C358" s="6" t="s">
        <v>29</v>
      </c>
      <c r="D358" s="7" t="s">
        <v>158</v>
      </c>
      <c r="E358" s="6">
        <v>2</v>
      </c>
      <c r="F358" s="7" t="s">
        <v>30</v>
      </c>
      <c r="G358" s="8">
        <v>1.5</v>
      </c>
      <c r="H358" s="7" t="s">
        <v>30</v>
      </c>
      <c r="I358" s="8">
        <v>1.5</v>
      </c>
      <c r="J358" s="7"/>
      <c r="K358" s="7"/>
      <c r="L358" s="6" t="s">
        <v>31</v>
      </c>
      <c r="M358" s="9" t="s">
        <v>30</v>
      </c>
      <c r="N358" s="7" t="s">
        <v>1654</v>
      </c>
      <c r="P358" t="e">
        <f>IF(N358="","",  IF(N358="Excluded", N358,  IF(N358="included in industry", N358,   _xlfn.XLOOKUP(N358, [1]unittypedata!$AD:$AD,[1]unittypedata!$D:$D)   )))</f>
        <v>#N/A</v>
      </c>
    </row>
    <row r="359" spans="1:16">
      <c r="A359" s="5" t="s">
        <v>625</v>
      </c>
      <c r="B359" s="5" t="s">
        <v>631</v>
      </c>
      <c r="C359" s="6" t="s">
        <v>29</v>
      </c>
      <c r="D359" s="7">
        <v>2021</v>
      </c>
      <c r="E359" s="6">
        <v>1</v>
      </c>
      <c r="F359" s="7" t="s">
        <v>30</v>
      </c>
      <c r="G359" s="8">
        <v>10</v>
      </c>
      <c r="H359" s="7" t="s">
        <v>30</v>
      </c>
      <c r="I359" s="8">
        <v>10</v>
      </c>
      <c r="J359" s="7"/>
      <c r="K359" s="7"/>
      <c r="L359" s="6" t="s">
        <v>269</v>
      </c>
      <c r="M359" s="9" t="s">
        <v>30</v>
      </c>
      <c r="N359" s="7" t="s">
        <v>1657</v>
      </c>
      <c r="P359" t="e">
        <f>IF(N359="","",  IF(N359="Excluded", N359,  IF(N359="included in industry", N359,   _xlfn.XLOOKUP(N359, [1]unittypedata!$AD:$AD,[1]unittypedata!$D:$D)   )))</f>
        <v>#N/A</v>
      </c>
    </row>
    <row r="360" spans="1:16">
      <c r="A360" s="11" t="s">
        <v>625</v>
      </c>
      <c r="B360" s="11" t="s">
        <v>632</v>
      </c>
      <c r="C360" s="12" t="s">
        <v>48</v>
      </c>
      <c r="D360" s="13">
        <v>2020</v>
      </c>
      <c r="E360" s="12" t="s">
        <v>30</v>
      </c>
      <c r="F360" s="13" t="s">
        <v>30</v>
      </c>
      <c r="G360" s="14" t="s">
        <v>30</v>
      </c>
      <c r="H360" s="13" t="s">
        <v>30</v>
      </c>
      <c r="I360" s="14">
        <v>0.3</v>
      </c>
      <c r="J360" s="13"/>
      <c r="K360" s="13"/>
      <c r="L360" s="12" t="s">
        <v>30</v>
      </c>
      <c r="M360" s="15" t="s">
        <v>158</v>
      </c>
      <c r="N360" s="7" t="s">
        <v>1613</v>
      </c>
      <c r="P360" t="str">
        <f>IF(N360="","",  IF(N360="Excluded", N360,  IF(N360="included in industry", N360,   _xlfn.XLOOKUP(N360, [1]unittypedata!$AD:$AD,[1]unittypedata!$D:$D)   )))</f>
        <v>GSHP</v>
      </c>
    </row>
    <row r="361" spans="1:16">
      <c r="A361" s="5" t="s">
        <v>633</v>
      </c>
      <c r="B361" s="5" t="s">
        <v>634</v>
      </c>
      <c r="C361" s="6" t="s">
        <v>29</v>
      </c>
      <c r="D361" s="7">
        <v>2005</v>
      </c>
      <c r="E361" s="6">
        <v>2</v>
      </c>
      <c r="F361" s="7" t="s">
        <v>30</v>
      </c>
      <c r="G361" s="8">
        <v>13</v>
      </c>
      <c r="H361" s="7" t="s">
        <v>30</v>
      </c>
      <c r="I361" s="8">
        <v>13</v>
      </c>
      <c r="J361" s="7"/>
      <c r="K361" s="7"/>
      <c r="L361" s="6" t="s">
        <v>33</v>
      </c>
      <c r="M361" s="9" t="s">
        <v>30</v>
      </c>
      <c r="N361" s="7" t="s">
        <v>1654</v>
      </c>
      <c r="P361" t="e">
        <f>IF(N361="","",  IF(N361="Excluded", N361,  IF(N361="included in industry", N361,   _xlfn.XLOOKUP(N361, [1]unittypedata!$AD:$AD,[1]unittypedata!$D:$D)   )))</f>
        <v>#N/A</v>
      </c>
    </row>
    <row r="362" spans="1:16">
      <c r="A362" s="5" t="s">
        <v>633</v>
      </c>
      <c r="B362" s="5" t="s">
        <v>635</v>
      </c>
      <c r="C362" s="6" t="s">
        <v>29</v>
      </c>
      <c r="D362" s="7">
        <v>2008</v>
      </c>
      <c r="E362" s="6">
        <v>1</v>
      </c>
      <c r="F362" s="7" t="s">
        <v>30</v>
      </c>
      <c r="G362" s="8">
        <v>0.5</v>
      </c>
      <c r="H362" s="7" t="s">
        <v>30</v>
      </c>
      <c r="I362" s="8">
        <v>0.5</v>
      </c>
      <c r="J362" s="7"/>
      <c r="K362" s="7"/>
      <c r="L362" s="6" t="s">
        <v>46</v>
      </c>
      <c r="M362" s="9" t="s">
        <v>30</v>
      </c>
      <c r="N362" s="7" t="s">
        <v>1653</v>
      </c>
      <c r="P362" t="e">
        <f>IF(N362="","",  IF(N362="Excluded", N362,  IF(N362="included in industry", N362,   _xlfn.XLOOKUP(N362, [1]unittypedata!$AD:$AD,[1]unittypedata!$D:$D)   )))</f>
        <v>#N/A</v>
      </c>
    </row>
    <row r="363" spans="1:16">
      <c r="A363" s="5" t="s">
        <v>633</v>
      </c>
      <c r="B363" s="5" t="s">
        <v>636</v>
      </c>
      <c r="C363" s="6" t="s">
        <v>29</v>
      </c>
      <c r="D363" s="7" t="s">
        <v>158</v>
      </c>
      <c r="E363" s="6">
        <v>3</v>
      </c>
      <c r="F363" s="7" t="s">
        <v>30</v>
      </c>
      <c r="G363" s="8">
        <v>8</v>
      </c>
      <c r="H363" s="7" t="s">
        <v>30</v>
      </c>
      <c r="I363" s="8">
        <v>8</v>
      </c>
      <c r="J363" s="7"/>
      <c r="K363" s="7"/>
      <c r="L363" s="6" t="s">
        <v>36</v>
      </c>
      <c r="M363" s="9" t="s">
        <v>30</v>
      </c>
      <c r="N363" s="7" t="s">
        <v>1657</v>
      </c>
      <c r="P363" t="e">
        <f>IF(N363="","",  IF(N363="Excluded", N363,  IF(N363="included in industry", N363,   _xlfn.XLOOKUP(N363, [1]unittypedata!$AD:$AD,[1]unittypedata!$D:$D)   )))</f>
        <v>#N/A</v>
      </c>
    </row>
    <row r="364" spans="1:16">
      <c r="A364" s="5" t="s">
        <v>633</v>
      </c>
      <c r="B364" s="5" t="s">
        <v>637</v>
      </c>
      <c r="C364" s="6" t="s">
        <v>29</v>
      </c>
      <c r="D364" s="7" t="s">
        <v>158</v>
      </c>
      <c r="E364" s="6">
        <v>3</v>
      </c>
      <c r="F364" s="7" t="s">
        <v>30</v>
      </c>
      <c r="G364" s="8">
        <v>6</v>
      </c>
      <c r="H364" s="7" t="s">
        <v>30</v>
      </c>
      <c r="I364" s="8">
        <v>6</v>
      </c>
      <c r="J364" s="7"/>
      <c r="K364" s="7"/>
      <c r="L364" s="6" t="s">
        <v>33</v>
      </c>
      <c r="M364" s="9" t="s">
        <v>30</v>
      </c>
      <c r="N364" s="7" t="s">
        <v>1654</v>
      </c>
      <c r="P364" t="e">
        <f>IF(N364="","",  IF(N364="Excluded", N364,  IF(N364="included in industry", N364,   _xlfn.XLOOKUP(N364, [1]unittypedata!$AD:$AD,[1]unittypedata!$D:$D)   )))</f>
        <v>#N/A</v>
      </c>
    </row>
    <row r="365" spans="1:16">
      <c r="A365" s="5" t="s">
        <v>633</v>
      </c>
      <c r="B365" s="5" t="s">
        <v>638</v>
      </c>
      <c r="C365" s="6" t="s">
        <v>29</v>
      </c>
      <c r="D365" s="7">
        <v>2012</v>
      </c>
      <c r="E365" s="6">
        <v>2</v>
      </c>
      <c r="F365" s="7" t="s">
        <v>30</v>
      </c>
      <c r="G365" s="8">
        <v>0.7</v>
      </c>
      <c r="H365" s="7" t="s">
        <v>30</v>
      </c>
      <c r="I365" s="8">
        <v>0.7</v>
      </c>
      <c r="J365" s="7"/>
      <c r="K365" s="7"/>
      <c r="L365" s="6" t="s">
        <v>46</v>
      </c>
      <c r="M365" s="9" t="s">
        <v>30</v>
      </c>
      <c r="N365" s="7" t="s">
        <v>1653</v>
      </c>
      <c r="P365" t="e">
        <f>IF(N365="","",  IF(N365="Excluded", N365,  IF(N365="included in industry", N365,   _xlfn.XLOOKUP(N365, [1]unittypedata!$AD:$AD,[1]unittypedata!$D:$D)   )))</f>
        <v>#N/A</v>
      </c>
    </row>
    <row r="366" spans="1:16">
      <c r="A366" s="5" t="s">
        <v>633</v>
      </c>
      <c r="B366" s="5" t="s">
        <v>639</v>
      </c>
      <c r="C366" s="6" t="s">
        <v>29</v>
      </c>
      <c r="D366" s="7">
        <v>2010</v>
      </c>
      <c r="E366" s="6">
        <v>2</v>
      </c>
      <c r="F366" s="7" t="s">
        <v>30</v>
      </c>
      <c r="G366" s="8">
        <v>0.7</v>
      </c>
      <c r="H366" s="7" t="s">
        <v>30</v>
      </c>
      <c r="I366" s="8">
        <v>0.7</v>
      </c>
      <c r="J366" s="7"/>
      <c r="K366" s="7"/>
      <c r="L366" s="6" t="s">
        <v>46</v>
      </c>
      <c r="M366" s="9" t="s">
        <v>30</v>
      </c>
      <c r="N366" s="7" t="s">
        <v>1653</v>
      </c>
      <c r="P366" t="e">
        <f>IF(N366="","",  IF(N366="Excluded", N366,  IF(N366="included in industry", N366,   _xlfn.XLOOKUP(N366, [1]unittypedata!$AD:$AD,[1]unittypedata!$D:$D)   )))</f>
        <v>#N/A</v>
      </c>
    </row>
    <row r="367" spans="1:16">
      <c r="A367" s="5" t="s">
        <v>633</v>
      </c>
      <c r="B367" s="5" t="s">
        <v>640</v>
      </c>
      <c r="C367" s="6" t="s">
        <v>29</v>
      </c>
      <c r="D367" s="7">
        <v>1995</v>
      </c>
      <c r="E367" s="6">
        <v>2</v>
      </c>
      <c r="F367" s="7" t="s">
        <v>30</v>
      </c>
      <c r="G367" s="8">
        <v>11</v>
      </c>
      <c r="H367" s="7" t="s">
        <v>30</v>
      </c>
      <c r="I367" s="8">
        <v>11</v>
      </c>
      <c r="J367" s="7"/>
      <c r="K367" s="7"/>
      <c r="L367" s="6" t="s">
        <v>36</v>
      </c>
      <c r="M367" s="9" t="s">
        <v>30</v>
      </c>
      <c r="N367" s="7" t="s">
        <v>1657</v>
      </c>
      <c r="P367" t="e">
        <f>IF(N367="","",  IF(N367="Excluded", N367,  IF(N367="included in industry", N367,   _xlfn.XLOOKUP(N367, [1]unittypedata!$AD:$AD,[1]unittypedata!$D:$D)   )))</f>
        <v>#N/A</v>
      </c>
    </row>
    <row r="368" spans="1:16">
      <c r="A368" s="5" t="s">
        <v>633</v>
      </c>
      <c r="B368" s="5" t="s">
        <v>641</v>
      </c>
      <c r="C368" s="6" t="s">
        <v>29</v>
      </c>
      <c r="D368" s="7" t="s">
        <v>158</v>
      </c>
      <c r="E368" s="6">
        <v>2</v>
      </c>
      <c r="F368" s="7" t="s">
        <v>30</v>
      </c>
      <c r="G368" s="8">
        <v>4.2</v>
      </c>
      <c r="H368" s="7" t="s">
        <v>30</v>
      </c>
      <c r="I368" s="8">
        <v>4.2</v>
      </c>
      <c r="J368" s="7"/>
      <c r="K368" s="7"/>
      <c r="L368" s="6" t="s">
        <v>36</v>
      </c>
      <c r="M368" s="9" t="s">
        <v>30</v>
      </c>
      <c r="N368" s="7" t="s">
        <v>1657</v>
      </c>
      <c r="P368" t="e">
        <f>IF(N368="","",  IF(N368="Excluded", N368,  IF(N368="included in industry", N368,   _xlfn.XLOOKUP(N368, [1]unittypedata!$AD:$AD,[1]unittypedata!$D:$D)   )))</f>
        <v>#N/A</v>
      </c>
    </row>
    <row r="369" spans="1:16">
      <c r="A369" s="11" t="s">
        <v>633</v>
      </c>
      <c r="B369" s="11" t="s">
        <v>642</v>
      </c>
      <c r="C369" s="12" t="s">
        <v>29</v>
      </c>
      <c r="D369" s="13">
        <v>2021</v>
      </c>
      <c r="E369" s="12">
        <v>1</v>
      </c>
      <c r="F369" s="13" t="s">
        <v>30</v>
      </c>
      <c r="G369" s="14">
        <v>4</v>
      </c>
      <c r="H369" s="13" t="s">
        <v>30</v>
      </c>
      <c r="I369" s="14">
        <v>4</v>
      </c>
      <c r="J369" s="13"/>
      <c r="K369" s="13"/>
      <c r="L369" s="12" t="s">
        <v>46</v>
      </c>
      <c r="M369" s="15" t="s">
        <v>30</v>
      </c>
      <c r="N369" s="7" t="s">
        <v>1653</v>
      </c>
      <c r="P369" t="e">
        <f>IF(N369="","",  IF(N369="Excluded", N369,  IF(N369="included in industry", N369,   _xlfn.XLOOKUP(N369, [1]unittypedata!$AD:$AD,[1]unittypedata!$D:$D)   )))</f>
        <v>#N/A</v>
      </c>
    </row>
    <row r="370" spans="1:16">
      <c r="A370" s="5" t="s">
        <v>643</v>
      </c>
      <c r="B370" s="5" t="s">
        <v>644</v>
      </c>
      <c r="C370" s="6" t="s">
        <v>29</v>
      </c>
      <c r="D370" s="7">
        <v>1994</v>
      </c>
      <c r="E370" s="6">
        <v>3</v>
      </c>
      <c r="F370" s="7" t="s">
        <v>30</v>
      </c>
      <c r="G370" s="8">
        <v>13</v>
      </c>
      <c r="H370" s="7" t="s">
        <v>30</v>
      </c>
      <c r="I370" s="8">
        <v>13</v>
      </c>
      <c r="J370" s="7"/>
      <c r="K370" s="7"/>
      <c r="L370" s="6" t="s">
        <v>31</v>
      </c>
      <c r="M370" s="9" t="s">
        <v>30</v>
      </c>
      <c r="N370" s="7" t="s">
        <v>1654</v>
      </c>
      <c r="P370" t="e">
        <f>IF(N370="","",  IF(N370="Excluded", N370,  IF(N370="included in industry", N370,   _xlfn.XLOOKUP(N370, [1]unittypedata!$AD:$AD,[1]unittypedata!$D:$D)   )))</f>
        <v>#N/A</v>
      </c>
    </row>
    <row r="371" spans="1:16">
      <c r="A371" s="5" t="s">
        <v>643</v>
      </c>
      <c r="B371" s="5" t="s">
        <v>330</v>
      </c>
      <c r="C371" s="6" t="s">
        <v>29</v>
      </c>
      <c r="D371" s="7">
        <v>1997</v>
      </c>
      <c r="E371" s="6">
        <v>1</v>
      </c>
      <c r="F371" s="7" t="s">
        <v>30</v>
      </c>
      <c r="G371" s="8">
        <v>6</v>
      </c>
      <c r="H371" s="7">
        <v>1.5</v>
      </c>
      <c r="I371" s="8">
        <v>7.5</v>
      </c>
      <c r="J371" s="7"/>
      <c r="K371" s="7"/>
      <c r="L371" s="6" t="s">
        <v>253</v>
      </c>
      <c r="M371" s="9" t="s">
        <v>30</v>
      </c>
      <c r="N371" s="7" t="s">
        <v>1653</v>
      </c>
      <c r="P371" t="e">
        <f>IF(N371="","",  IF(N371="Excluded", N371,  IF(N371="included in industry", N371,   _xlfn.XLOOKUP(N371, [1]unittypedata!$AD:$AD,[1]unittypedata!$D:$D)   )))</f>
        <v>#N/A</v>
      </c>
    </row>
    <row r="372" spans="1:16">
      <c r="A372" s="5" t="s">
        <v>643</v>
      </c>
      <c r="B372" s="5" t="s">
        <v>330</v>
      </c>
      <c r="C372" s="6" t="s">
        <v>29</v>
      </c>
      <c r="D372" s="7">
        <v>2005</v>
      </c>
      <c r="E372" s="6">
        <v>1</v>
      </c>
      <c r="F372" s="7" t="s">
        <v>30</v>
      </c>
      <c r="G372" s="8">
        <v>8</v>
      </c>
      <c r="H372" s="7">
        <v>2</v>
      </c>
      <c r="I372" s="8">
        <v>10</v>
      </c>
      <c r="J372" s="7"/>
      <c r="K372" s="7"/>
      <c r="L372" s="6" t="s">
        <v>253</v>
      </c>
      <c r="M372" s="9" t="s">
        <v>30</v>
      </c>
      <c r="N372" s="7" t="s">
        <v>1653</v>
      </c>
      <c r="P372" t="e">
        <f>IF(N372="","",  IF(N372="Excluded", N372,  IF(N372="included in industry", N372,   _xlfn.XLOOKUP(N372, [1]unittypedata!$AD:$AD,[1]unittypedata!$D:$D)   )))</f>
        <v>#N/A</v>
      </c>
    </row>
    <row r="373" spans="1:16">
      <c r="A373" s="5" t="s">
        <v>643</v>
      </c>
      <c r="B373" s="5" t="s">
        <v>645</v>
      </c>
      <c r="C373" s="6" t="s">
        <v>29</v>
      </c>
      <c r="D373" s="7">
        <v>2012</v>
      </c>
      <c r="E373" s="6">
        <v>1</v>
      </c>
      <c r="F373" s="7" t="s">
        <v>30</v>
      </c>
      <c r="G373" s="8">
        <v>9</v>
      </c>
      <c r="H373" s="7">
        <v>2</v>
      </c>
      <c r="I373" s="8">
        <v>11</v>
      </c>
      <c r="J373" s="7"/>
      <c r="K373" s="7"/>
      <c r="L373" s="6" t="s">
        <v>253</v>
      </c>
      <c r="M373" s="9" t="s">
        <v>30</v>
      </c>
      <c r="N373" s="7" t="s">
        <v>1653</v>
      </c>
      <c r="P373" t="e">
        <f>IF(N373="","",  IF(N373="Excluded", N373,  IF(N373="included in industry", N373,   _xlfn.XLOOKUP(N373, [1]unittypedata!$AD:$AD,[1]unittypedata!$D:$D)   )))</f>
        <v>#N/A</v>
      </c>
    </row>
    <row r="374" spans="1:16">
      <c r="A374" s="5" t="s">
        <v>643</v>
      </c>
      <c r="B374" s="5" t="s">
        <v>646</v>
      </c>
      <c r="C374" s="6" t="s">
        <v>29</v>
      </c>
      <c r="D374" s="7">
        <v>2000</v>
      </c>
      <c r="E374" s="6">
        <v>2</v>
      </c>
      <c r="F374" s="7" t="s">
        <v>30</v>
      </c>
      <c r="G374" s="8">
        <v>6</v>
      </c>
      <c r="H374" s="7" t="s">
        <v>30</v>
      </c>
      <c r="I374" s="8">
        <v>6</v>
      </c>
      <c r="J374" s="7"/>
      <c r="K374" s="7"/>
      <c r="L374" s="6" t="s">
        <v>31</v>
      </c>
      <c r="M374" s="9" t="s">
        <v>30</v>
      </c>
      <c r="N374" s="7" t="s">
        <v>1654</v>
      </c>
      <c r="P374" t="e">
        <f>IF(N374="","",  IF(N374="Excluded", N374,  IF(N374="included in industry", N374,   _xlfn.XLOOKUP(N374, [1]unittypedata!$AD:$AD,[1]unittypedata!$D:$D)   )))</f>
        <v>#N/A</v>
      </c>
    </row>
    <row r="375" spans="1:16">
      <c r="A375" s="5" t="s">
        <v>643</v>
      </c>
      <c r="B375" s="5" t="s">
        <v>647</v>
      </c>
      <c r="C375" s="6" t="s">
        <v>29</v>
      </c>
      <c r="D375" s="7">
        <v>1986</v>
      </c>
      <c r="E375" s="6">
        <v>2</v>
      </c>
      <c r="F375" s="7" t="s">
        <v>30</v>
      </c>
      <c r="G375" s="8">
        <v>6</v>
      </c>
      <c r="H375" s="7" t="s">
        <v>30</v>
      </c>
      <c r="I375" s="8">
        <v>6</v>
      </c>
      <c r="J375" s="7"/>
      <c r="K375" s="7"/>
      <c r="L375" s="6" t="s">
        <v>31</v>
      </c>
      <c r="M375" s="9" t="s">
        <v>30</v>
      </c>
      <c r="N375" s="7" t="s">
        <v>1654</v>
      </c>
      <c r="P375" t="e">
        <f>IF(N375="","",  IF(N375="Excluded", N375,  IF(N375="included in industry", N375,   _xlfn.XLOOKUP(N375, [1]unittypedata!$AD:$AD,[1]unittypedata!$D:$D)   )))</f>
        <v>#N/A</v>
      </c>
    </row>
    <row r="376" spans="1:16">
      <c r="A376" s="5" t="s">
        <v>643</v>
      </c>
      <c r="B376" s="5" t="s">
        <v>648</v>
      </c>
      <c r="C376" s="6" t="s">
        <v>29</v>
      </c>
      <c r="D376" s="7">
        <v>2002</v>
      </c>
      <c r="E376" s="6">
        <v>1</v>
      </c>
      <c r="F376" s="7" t="s">
        <v>30</v>
      </c>
      <c r="G376" s="8">
        <v>2</v>
      </c>
      <c r="H376" s="7" t="s">
        <v>30</v>
      </c>
      <c r="I376" s="8">
        <v>2</v>
      </c>
      <c r="J376" s="7"/>
      <c r="K376" s="7"/>
      <c r="L376" s="6" t="s">
        <v>31</v>
      </c>
      <c r="M376" s="9" t="s">
        <v>30</v>
      </c>
      <c r="N376" s="7" t="s">
        <v>1654</v>
      </c>
      <c r="P376" t="e">
        <f>IF(N376="","",  IF(N376="Excluded", N376,  IF(N376="included in industry", N376,   _xlfn.XLOOKUP(N376, [1]unittypedata!$AD:$AD,[1]unittypedata!$D:$D)   )))</f>
        <v>#N/A</v>
      </c>
    </row>
    <row r="377" spans="1:16">
      <c r="A377" s="11" t="s">
        <v>643</v>
      </c>
      <c r="B377" s="11" t="s">
        <v>649</v>
      </c>
      <c r="C377" s="12" t="s">
        <v>29</v>
      </c>
      <c r="D377" s="13">
        <v>2023</v>
      </c>
      <c r="E377" s="12">
        <v>2</v>
      </c>
      <c r="F377" s="13" t="s">
        <v>30</v>
      </c>
      <c r="G377" s="14">
        <v>4.2</v>
      </c>
      <c r="H377" s="13" t="s">
        <v>30</v>
      </c>
      <c r="I377" s="14">
        <v>4.2</v>
      </c>
      <c r="J377" s="13"/>
      <c r="K377" s="13"/>
      <c r="L377" s="12" t="s">
        <v>44</v>
      </c>
      <c r="M377" s="15" t="s">
        <v>30</v>
      </c>
      <c r="N377" s="7" t="s">
        <v>1653</v>
      </c>
      <c r="P377" t="e">
        <f>IF(N377="","",  IF(N377="Excluded", N377,  IF(N377="included in industry", N377,   _xlfn.XLOOKUP(N377, [1]unittypedata!$AD:$AD,[1]unittypedata!$D:$D)   )))</f>
        <v>#N/A</v>
      </c>
    </row>
    <row r="378" spans="1:16">
      <c r="A378" s="5" t="s">
        <v>650</v>
      </c>
      <c r="B378" s="5" t="s">
        <v>651</v>
      </c>
      <c r="C378" s="6" t="s">
        <v>29</v>
      </c>
      <c r="D378" s="7" t="s">
        <v>158</v>
      </c>
      <c r="E378" s="6">
        <v>2</v>
      </c>
      <c r="F378" s="7" t="s">
        <v>30</v>
      </c>
      <c r="G378" s="8">
        <v>8</v>
      </c>
      <c r="H378" s="7" t="s">
        <v>30</v>
      </c>
      <c r="I378" s="8">
        <v>8</v>
      </c>
      <c r="J378" s="7"/>
      <c r="K378" s="7"/>
      <c r="L378" s="6" t="s">
        <v>36</v>
      </c>
      <c r="M378" s="9" t="s">
        <v>30</v>
      </c>
      <c r="N378" s="7" t="s">
        <v>1657</v>
      </c>
      <c r="P378" t="e">
        <f>IF(N378="","",  IF(N378="Excluded", N378,  IF(N378="included in industry", N378,   _xlfn.XLOOKUP(N378, [1]unittypedata!$AD:$AD,[1]unittypedata!$D:$D)   )))</f>
        <v>#N/A</v>
      </c>
    </row>
    <row r="379" spans="1:16">
      <c r="A379" s="11" t="s">
        <v>650</v>
      </c>
      <c r="B379" s="11" t="s">
        <v>652</v>
      </c>
      <c r="C379" s="12" t="s">
        <v>29</v>
      </c>
      <c r="D379" s="13" t="s">
        <v>158</v>
      </c>
      <c r="E379" s="12">
        <v>2</v>
      </c>
      <c r="F379" s="13" t="s">
        <v>30</v>
      </c>
      <c r="G379" s="14">
        <v>11</v>
      </c>
      <c r="H379" s="13">
        <v>6</v>
      </c>
      <c r="I379" s="14">
        <v>17</v>
      </c>
      <c r="J379" s="13"/>
      <c r="K379" s="13"/>
      <c r="L379" s="12" t="s">
        <v>46</v>
      </c>
      <c r="M379" s="15" t="s">
        <v>30</v>
      </c>
      <c r="N379" s="7" t="s">
        <v>1653</v>
      </c>
      <c r="P379" t="e">
        <f>IF(N379="","",  IF(N379="Excluded", N379,  IF(N379="included in industry", N379,   _xlfn.XLOOKUP(N379, [1]unittypedata!$AD:$AD,[1]unittypedata!$D:$D)   )))</f>
        <v>#N/A</v>
      </c>
    </row>
    <row r="380" spans="1:16">
      <c r="A380" s="5" t="s">
        <v>653</v>
      </c>
      <c r="B380" s="5" t="s">
        <v>654</v>
      </c>
      <c r="C380" s="6" t="s">
        <v>29</v>
      </c>
      <c r="D380" s="7">
        <v>1977</v>
      </c>
      <c r="E380" s="6">
        <v>3</v>
      </c>
      <c r="F380" s="7" t="s">
        <v>30</v>
      </c>
      <c r="G380" s="8">
        <v>13.5</v>
      </c>
      <c r="H380" s="7" t="s">
        <v>30</v>
      </c>
      <c r="I380" s="8">
        <v>13.5</v>
      </c>
      <c r="J380" s="7"/>
      <c r="K380" s="7"/>
      <c r="L380" s="6" t="s">
        <v>31</v>
      </c>
      <c r="M380" s="9" t="s">
        <v>30</v>
      </c>
      <c r="N380" s="7" t="s">
        <v>1654</v>
      </c>
      <c r="P380" t="e">
        <f>IF(N380="","",  IF(N380="Excluded", N380,  IF(N380="included in industry", N380,   _xlfn.XLOOKUP(N380, [1]unittypedata!$AD:$AD,[1]unittypedata!$D:$D)   )))</f>
        <v>#N/A</v>
      </c>
    </row>
    <row r="381" spans="1:16">
      <c r="A381" s="5" t="s">
        <v>653</v>
      </c>
      <c r="B381" s="5" t="s">
        <v>655</v>
      </c>
      <c r="C381" s="6" t="s">
        <v>29</v>
      </c>
      <c r="D381" s="7">
        <v>1986</v>
      </c>
      <c r="E381" s="6">
        <v>1</v>
      </c>
      <c r="F381" s="7" t="s">
        <v>30</v>
      </c>
      <c r="G381" s="8">
        <v>8</v>
      </c>
      <c r="H381" s="7" t="s">
        <v>30</v>
      </c>
      <c r="I381" s="8">
        <v>8</v>
      </c>
      <c r="J381" s="7"/>
      <c r="K381" s="7"/>
      <c r="L381" s="6" t="s">
        <v>31</v>
      </c>
      <c r="M381" s="9" t="s">
        <v>30</v>
      </c>
      <c r="N381" s="7" t="s">
        <v>1654</v>
      </c>
      <c r="P381" t="e">
        <f>IF(N381="","",  IF(N381="Excluded", N381,  IF(N381="included in industry", N381,   _xlfn.XLOOKUP(N381, [1]unittypedata!$AD:$AD,[1]unittypedata!$D:$D)   )))</f>
        <v>#N/A</v>
      </c>
    </row>
    <row r="382" spans="1:16">
      <c r="A382" s="5" t="s">
        <v>653</v>
      </c>
      <c r="B382" s="5" t="s">
        <v>656</v>
      </c>
      <c r="C382" s="6" t="s">
        <v>29</v>
      </c>
      <c r="D382" s="7">
        <v>1991</v>
      </c>
      <c r="E382" s="6">
        <v>2</v>
      </c>
      <c r="F382" s="7" t="s">
        <v>30</v>
      </c>
      <c r="G382" s="8">
        <v>24</v>
      </c>
      <c r="H382" s="7" t="s">
        <v>30</v>
      </c>
      <c r="I382" s="8">
        <v>24</v>
      </c>
      <c r="J382" s="7"/>
      <c r="K382" s="7"/>
      <c r="L382" s="6" t="s">
        <v>31</v>
      </c>
      <c r="M382" s="9" t="s">
        <v>30</v>
      </c>
      <c r="N382" s="7" t="s">
        <v>1654</v>
      </c>
      <c r="P382" t="e">
        <f>IF(N382="","",  IF(N382="Excluded", N382,  IF(N382="included in industry", N382,   _xlfn.XLOOKUP(N382, [1]unittypedata!$AD:$AD,[1]unittypedata!$D:$D)   )))</f>
        <v>#N/A</v>
      </c>
    </row>
    <row r="383" spans="1:16">
      <c r="A383" s="11" t="s">
        <v>653</v>
      </c>
      <c r="B383" s="11" t="s">
        <v>657</v>
      </c>
      <c r="C383" s="12" t="s">
        <v>29</v>
      </c>
      <c r="D383" s="13">
        <v>2010</v>
      </c>
      <c r="E383" s="12">
        <v>1</v>
      </c>
      <c r="F383" s="13" t="s">
        <v>30</v>
      </c>
      <c r="G383" s="14">
        <v>10</v>
      </c>
      <c r="H383" s="13" t="s">
        <v>30</v>
      </c>
      <c r="I383" s="14">
        <v>10</v>
      </c>
      <c r="J383" s="13"/>
      <c r="K383" s="13"/>
      <c r="L383" s="12" t="s">
        <v>31</v>
      </c>
      <c r="M383" s="15" t="s">
        <v>30</v>
      </c>
      <c r="N383" s="7" t="s">
        <v>1654</v>
      </c>
      <c r="P383" t="e">
        <f>IF(N383="","",  IF(N383="Excluded", N383,  IF(N383="included in industry", N383,   _xlfn.XLOOKUP(N383, [1]unittypedata!$AD:$AD,[1]unittypedata!$D:$D)   )))</f>
        <v>#N/A</v>
      </c>
    </row>
    <row r="384" spans="1:16">
      <c r="A384" s="5" t="s">
        <v>658</v>
      </c>
      <c r="B384" s="5" t="s">
        <v>659</v>
      </c>
      <c r="C384" s="6" t="s">
        <v>29</v>
      </c>
      <c r="D384" s="7">
        <v>1964</v>
      </c>
      <c r="E384" s="6">
        <v>3</v>
      </c>
      <c r="F384" s="7" t="s">
        <v>30</v>
      </c>
      <c r="G384" s="8">
        <v>40</v>
      </c>
      <c r="H384" s="7" t="s">
        <v>30</v>
      </c>
      <c r="I384" s="8">
        <v>40</v>
      </c>
      <c r="J384" s="7"/>
      <c r="K384" s="7"/>
      <c r="L384" s="6" t="s">
        <v>36</v>
      </c>
      <c r="M384" s="9" t="s">
        <v>30</v>
      </c>
      <c r="N384" s="7" t="s">
        <v>1657</v>
      </c>
      <c r="P384" t="e">
        <f>IF(N384="","",  IF(N384="Excluded", N384,  IF(N384="included in industry", N384,   _xlfn.XLOOKUP(N384, [1]unittypedata!$AD:$AD,[1]unittypedata!$D:$D)   )))</f>
        <v>#N/A</v>
      </c>
    </row>
    <row r="385" spans="1:16">
      <c r="A385" s="5" t="s">
        <v>658</v>
      </c>
      <c r="B385" s="5" t="s">
        <v>660</v>
      </c>
      <c r="C385" s="6" t="s">
        <v>29</v>
      </c>
      <c r="D385" s="7">
        <v>1969</v>
      </c>
      <c r="E385" s="6">
        <v>2</v>
      </c>
      <c r="F385" s="7" t="s">
        <v>30</v>
      </c>
      <c r="G385" s="8">
        <v>63.3</v>
      </c>
      <c r="H385" s="7" t="s">
        <v>30</v>
      </c>
      <c r="I385" s="8">
        <v>63.3</v>
      </c>
      <c r="J385" s="7"/>
      <c r="K385" s="7"/>
      <c r="L385" s="6" t="s">
        <v>33</v>
      </c>
      <c r="M385" s="9" t="s">
        <v>30</v>
      </c>
      <c r="N385" s="7" t="s">
        <v>1654</v>
      </c>
      <c r="P385" t="e">
        <f>IF(N385="","",  IF(N385="Excluded", N385,  IF(N385="included in industry", N385,   _xlfn.XLOOKUP(N385, [1]unittypedata!$AD:$AD,[1]unittypedata!$D:$D)   )))</f>
        <v>#N/A</v>
      </c>
    </row>
    <row r="386" spans="1:16">
      <c r="A386" s="5" t="s">
        <v>658</v>
      </c>
      <c r="B386" s="5" t="s">
        <v>661</v>
      </c>
      <c r="C386" s="6" t="s">
        <v>29</v>
      </c>
      <c r="D386" s="7">
        <v>1977</v>
      </c>
      <c r="E386" s="6">
        <v>4</v>
      </c>
      <c r="F386" s="7" t="s">
        <v>30</v>
      </c>
      <c r="G386" s="8">
        <v>55</v>
      </c>
      <c r="H386" s="7" t="s">
        <v>30</v>
      </c>
      <c r="I386" s="8">
        <v>55</v>
      </c>
      <c r="J386" s="7"/>
      <c r="K386" s="7"/>
      <c r="L386" s="6" t="s">
        <v>36</v>
      </c>
      <c r="M386" s="9" t="s">
        <v>30</v>
      </c>
      <c r="N386" s="7" t="s">
        <v>1657</v>
      </c>
      <c r="P386" t="e">
        <f>IF(N386="","",  IF(N386="Excluded", N386,  IF(N386="included in industry", N386,   _xlfn.XLOOKUP(N386, [1]unittypedata!$AD:$AD,[1]unittypedata!$D:$D)   )))</f>
        <v>#N/A</v>
      </c>
    </row>
    <row r="387" spans="1:16">
      <c r="A387" s="5" t="s">
        <v>658</v>
      </c>
      <c r="B387" s="5" t="s">
        <v>662</v>
      </c>
      <c r="C387" s="6" t="s">
        <v>29</v>
      </c>
      <c r="D387" s="7">
        <v>1980</v>
      </c>
      <c r="E387" s="6">
        <v>3</v>
      </c>
      <c r="F387" s="7" t="s">
        <v>30</v>
      </c>
      <c r="G387" s="8">
        <v>10</v>
      </c>
      <c r="H387" s="7" t="s">
        <v>30</v>
      </c>
      <c r="I387" s="8">
        <v>10</v>
      </c>
      <c r="J387" s="7"/>
      <c r="K387" s="7"/>
      <c r="L387" s="6" t="s">
        <v>31</v>
      </c>
      <c r="M387" s="9" t="s">
        <v>30</v>
      </c>
      <c r="N387" s="7" t="s">
        <v>1654</v>
      </c>
      <c r="P387" t="e">
        <f>IF(N387="","",  IF(N387="Excluded", N387,  IF(N387="included in industry", N387,   _xlfn.XLOOKUP(N387, [1]unittypedata!$AD:$AD,[1]unittypedata!$D:$D)   )))</f>
        <v>#N/A</v>
      </c>
    </row>
    <row r="388" spans="1:16">
      <c r="A388" s="5" t="s">
        <v>658</v>
      </c>
      <c r="B388" s="5" t="s">
        <v>663</v>
      </c>
      <c r="C388" s="6" t="s">
        <v>29</v>
      </c>
      <c r="D388" s="7">
        <v>1992</v>
      </c>
      <c r="E388" s="6">
        <v>1</v>
      </c>
      <c r="F388" s="7" t="s">
        <v>30</v>
      </c>
      <c r="G388" s="8">
        <v>4</v>
      </c>
      <c r="H388" s="7" t="s">
        <v>30</v>
      </c>
      <c r="I388" s="8">
        <v>4</v>
      </c>
      <c r="J388" s="7"/>
      <c r="K388" s="7"/>
      <c r="L388" s="6" t="s">
        <v>36</v>
      </c>
      <c r="M388" s="9" t="s">
        <v>30</v>
      </c>
      <c r="N388" s="7" t="s">
        <v>1657</v>
      </c>
      <c r="P388" t="e">
        <f>IF(N388="","",  IF(N388="Excluded", N388,  IF(N388="included in industry", N388,   _xlfn.XLOOKUP(N388, [1]unittypedata!$AD:$AD,[1]unittypedata!$D:$D)   )))</f>
        <v>#N/A</v>
      </c>
    </row>
    <row r="389" spans="1:16">
      <c r="A389" s="5" t="s">
        <v>658</v>
      </c>
      <c r="B389" s="5" t="s">
        <v>664</v>
      </c>
      <c r="C389" s="6" t="s">
        <v>29</v>
      </c>
      <c r="D389" s="7">
        <v>2007</v>
      </c>
      <c r="E389" s="6">
        <v>1</v>
      </c>
      <c r="F389" s="7" t="s">
        <v>30</v>
      </c>
      <c r="G389" s="8">
        <v>10</v>
      </c>
      <c r="H389" s="7" t="s">
        <v>30</v>
      </c>
      <c r="I389" s="8">
        <v>10</v>
      </c>
      <c r="J389" s="7"/>
      <c r="K389" s="7"/>
      <c r="L389" s="6" t="s">
        <v>31</v>
      </c>
      <c r="M389" s="9" t="s">
        <v>30</v>
      </c>
      <c r="N389" s="7" t="s">
        <v>1654</v>
      </c>
      <c r="P389" t="e">
        <f>IF(N389="","",  IF(N389="Excluded", N389,  IF(N389="included in industry", N389,   _xlfn.XLOOKUP(N389, [1]unittypedata!$AD:$AD,[1]unittypedata!$D:$D)   )))</f>
        <v>#N/A</v>
      </c>
    </row>
    <row r="390" spans="1:16">
      <c r="A390" s="5" t="s">
        <v>658</v>
      </c>
      <c r="B390" s="5" t="s">
        <v>665</v>
      </c>
      <c r="C390" s="6" t="s">
        <v>29</v>
      </c>
      <c r="D390" s="7" t="s">
        <v>158</v>
      </c>
      <c r="E390" s="6">
        <v>3</v>
      </c>
      <c r="F390" s="7" t="s">
        <v>30</v>
      </c>
      <c r="G390" s="8">
        <v>10</v>
      </c>
      <c r="H390" s="7" t="s">
        <v>30</v>
      </c>
      <c r="I390" s="8">
        <v>10</v>
      </c>
      <c r="J390" s="7"/>
      <c r="K390" s="7"/>
      <c r="L390" s="6" t="s">
        <v>36</v>
      </c>
      <c r="M390" s="9" t="s">
        <v>30</v>
      </c>
      <c r="N390" s="7" t="s">
        <v>1657</v>
      </c>
      <c r="P390" t="e">
        <f>IF(N390="","",  IF(N390="Excluded", N390,  IF(N390="included in industry", N390,   _xlfn.XLOOKUP(N390, [1]unittypedata!$AD:$AD,[1]unittypedata!$D:$D)   )))</f>
        <v>#N/A</v>
      </c>
    </row>
    <row r="391" spans="1:16">
      <c r="A391" s="5" t="s">
        <v>658</v>
      </c>
      <c r="B391" s="5" t="s">
        <v>666</v>
      </c>
      <c r="C391" s="6" t="s">
        <v>29</v>
      </c>
      <c r="D391" s="7" t="s">
        <v>158</v>
      </c>
      <c r="E391" s="6">
        <v>2</v>
      </c>
      <c r="F391" s="7" t="s">
        <v>30</v>
      </c>
      <c r="G391" s="8">
        <v>5</v>
      </c>
      <c r="H391" s="7" t="s">
        <v>30</v>
      </c>
      <c r="I391" s="8">
        <v>5</v>
      </c>
      <c r="J391" s="7"/>
      <c r="K391" s="7"/>
      <c r="L391" s="6" t="s">
        <v>31</v>
      </c>
      <c r="M391" s="9" t="s">
        <v>30</v>
      </c>
      <c r="N391" s="7" t="s">
        <v>1654</v>
      </c>
      <c r="P391" t="e">
        <f>IF(N391="","",  IF(N391="Excluded", N391,  IF(N391="included in industry", N391,   _xlfn.XLOOKUP(N391, [1]unittypedata!$AD:$AD,[1]unittypedata!$D:$D)   )))</f>
        <v>#N/A</v>
      </c>
    </row>
    <row r="392" spans="1:16">
      <c r="A392" s="5" t="s">
        <v>658</v>
      </c>
      <c r="B392" s="5" t="s">
        <v>667</v>
      </c>
      <c r="C392" s="6" t="s">
        <v>29</v>
      </c>
      <c r="D392" s="7" t="s">
        <v>158</v>
      </c>
      <c r="E392" s="6">
        <v>1</v>
      </c>
      <c r="F392" s="7" t="s">
        <v>30</v>
      </c>
      <c r="G392" s="8">
        <v>5</v>
      </c>
      <c r="H392" s="7" t="s">
        <v>30</v>
      </c>
      <c r="I392" s="8">
        <v>5</v>
      </c>
      <c r="J392" s="7"/>
      <c r="K392" s="7"/>
      <c r="L392" s="6" t="s">
        <v>33</v>
      </c>
      <c r="M392" s="9" t="s">
        <v>30</v>
      </c>
      <c r="N392" s="7" t="s">
        <v>1654</v>
      </c>
      <c r="P392" t="e">
        <f>IF(N392="","",  IF(N392="Excluded", N392,  IF(N392="included in industry", N392,   _xlfn.XLOOKUP(N392, [1]unittypedata!$AD:$AD,[1]unittypedata!$D:$D)   )))</f>
        <v>#N/A</v>
      </c>
    </row>
    <row r="393" spans="1:16">
      <c r="A393" s="5" t="s">
        <v>658</v>
      </c>
      <c r="B393" s="5" t="s">
        <v>668</v>
      </c>
      <c r="C393" s="6" t="s">
        <v>29</v>
      </c>
      <c r="D393" s="7" t="s">
        <v>158</v>
      </c>
      <c r="E393" s="6">
        <v>1</v>
      </c>
      <c r="F393" s="7" t="s">
        <v>30</v>
      </c>
      <c r="G393" s="8">
        <v>4</v>
      </c>
      <c r="H393" s="7" t="s">
        <v>30</v>
      </c>
      <c r="I393" s="8">
        <v>4</v>
      </c>
      <c r="J393" s="7"/>
      <c r="K393" s="7"/>
      <c r="L393" s="6" t="s">
        <v>46</v>
      </c>
      <c r="M393" s="9" t="s">
        <v>30</v>
      </c>
      <c r="N393" s="7" t="s">
        <v>1653</v>
      </c>
      <c r="P393" t="e">
        <f>IF(N393="","",  IF(N393="Excluded", N393,  IF(N393="included in industry", N393,   _xlfn.XLOOKUP(N393, [1]unittypedata!$AD:$AD,[1]unittypedata!$D:$D)   )))</f>
        <v>#N/A</v>
      </c>
    </row>
    <row r="394" spans="1:16">
      <c r="A394" s="5" t="s">
        <v>658</v>
      </c>
      <c r="B394" s="5" t="s">
        <v>669</v>
      </c>
      <c r="C394" s="6" t="s">
        <v>29</v>
      </c>
      <c r="D394" s="7">
        <v>2020</v>
      </c>
      <c r="E394" s="6">
        <v>1</v>
      </c>
      <c r="F394" s="7" t="s">
        <v>30</v>
      </c>
      <c r="G394" s="8">
        <v>35</v>
      </c>
      <c r="H394" s="7">
        <v>10</v>
      </c>
      <c r="I394" s="8">
        <v>45</v>
      </c>
      <c r="J394" s="7"/>
      <c r="K394" s="7"/>
      <c r="L394" s="6" t="s">
        <v>46</v>
      </c>
      <c r="M394" s="9" t="s">
        <v>30</v>
      </c>
      <c r="N394" s="7" t="s">
        <v>1653</v>
      </c>
      <c r="P394" t="e">
        <f>IF(N394="","",  IF(N394="Excluded", N394,  IF(N394="included in industry", N394,   _xlfn.XLOOKUP(N394, [1]unittypedata!$AD:$AD,[1]unittypedata!$D:$D)   )))</f>
        <v>#N/A</v>
      </c>
    </row>
    <row r="395" spans="1:16">
      <c r="A395" s="5" t="s">
        <v>658</v>
      </c>
      <c r="B395" s="5" t="s">
        <v>670</v>
      </c>
      <c r="C395" s="6" t="s">
        <v>29</v>
      </c>
      <c r="D395" s="7" t="s">
        <v>158</v>
      </c>
      <c r="E395" s="6">
        <v>1</v>
      </c>
      <c r="F395" s="7" t="s">
        <v>30</v>
      </c>
      <c r="G395" s="8">
        <v>2</v>
      </c>
      <c r="H395" s="7" t="s">
        <v>30</v>
      </c>
      <c r="I395" s="8">
        <v>2</v>
      </c>
      <c r="J395" s="7"/>
      <c r="K395" s="7"/>
      <c r="L395" s="6" t="s">
        <v>46</v>
      </c>
      <c r="M395" s="9" t="s">
        <v>30</v>
      </c>
      <c r="N395" s="7" t="s">
        <v>1653</v>
      </c>
      <c r="P395" t="e">
        <f>IF(N395="","",  IF(N395="Excluded", N395,  IF(N395="included in industry", N395,   _xlfn.XLOOKUP(N395, [1]unittypedata!$AD:$AD,[1]unittypedata!$D:$D)   )))</f>
        <v>#N/A</v>
      </c>
    </row>
    <row r="396" spans="1:16">
      <c r="A396" s="5" t="s">
        <v>658</v>
      </c>
      <c r="B396" s="5" t="s">
        <v>671</v>
      </c>
      <c r="C396" s="6" t="s">
        <v>52</v>
      </c>
      <c r="D396" s="7">
        <v>1989</v>
      </c>
      <c r="E396" s="6">
        <v>1</v>
      </c>
      <c r="F396" s="7" t="s">
        <v>30</v>
      </c>
      <c r="G396" s="8">
        <v>54</v>
      </c>
      <c r="H396" s="7">
        <v>4</v>
      </c>
      <c r="I396" s="8">
        <v>58</v>
      </c>
      <c r="J396" s="7">
        <v>16</v>
      </c>
      <c r="K396" s="7"/>
      <c r="L396" s="6" t="s">
        <v>46</v>
      </c>
      <c r="M396" s="9" t="s">
        <v>30</v>
      </c>
      <c r="N396" s="7" t="s">
        <v>1656</v>
      </c>
      <c r="P396" t="e">
        <f>IF(N396="","",  IF(N396="Excluded", N396,  IF(N396="included in industry", N396,   _xlfn.XLOOKUP(N396, [1]unittypedata!$AD:$AD,[1]unittypedata!$D:$D)   )))</f>
        <v>#N/A</v>
      </c>
    </row>
    <row r="397" spans="1:16">
      <c r="A397" s="11" t="s">
        <v>658</v>
      </c>
      <c r="B397" s="11" t="s">
        <v>672</v>
      </c>
      <c r="C397" s="12" t="s">
        <v>52</v>
      </c>
      <c r="D397" s="13">
        <v>1989</v>
      </c>
      <c r="E397" s="12">
        <v>1</v>
      </c>
      <c r="F397" s="13">
        <v>65</v>
      </c>
      <c r="G397" s="14" t="s">
        <v>30</v>
      </c>
      <c r="H397" s="13" t="s">
        <v>30</v>
      </c>
      <c r="I397" s="14">
        <v>65</v>
      </c>
      <c r="J397" s="13">
        <v>40</v>
      </c>
      <c r="K397" s="13"/>
      <c r="L397" s="12" t="s">
        <v>36</v>
      </c>
      <c r="M397" s="15" t="s">
        <v>30</v>
      </c>
      <c r="N397" s="7" t="s">
        <v>1658</v>
      </c>
      <c r="P397" t="e">
        <f>IF(N397="","",  IF(N397="Excluded", N397,  IF(N397="included in industry", N397,   _xlfn.XLOOKUP(N397, [1]unittypedata!$AD:$AD,[1]unittypedata!$D:$D)   )))</f>
        <v>#N/A</v>
      </c>
    </row>
    <row r="398" spans="1:16">
      <c r="A398" s="5" t="s">
        <v>673</v>
      </c>
      <c r="B398" s="5" t="s">
        <v>674</v>
      </c>
      <c r="C398" s="6" t="s">
        <v>29</v>
      </c>
      <c r="D398" s="7" t="s">
        <v>158</v>
      </c>
      <c r="E398" s="6">
        <v>2</v>
      </c>
      <c r="F398" s="7" t="s">
        <v>30</v>
      </c>
      <c r="G398" s="8">
        <v>20</v>
      </c>
      <c r="H398" s="7" t="s">
        <v>30</v>
      </c>
      <c r="I398" s="8">
        <v>20</v>
      </c>
      <c r="J398" s="7"/>
      <c r="K398" s="7"/>
      <c r="L398" s="6" t="s">
        <v>36</v>
      </c>
      <c r="M398" s="9" t="s">
        <v>30</v>
      </c>
      <c r="N398" s="7" t="s">
        <v>1657</v>
      </c>
      <c r="P398" t="e">
        <f>IF(N398="","",  IF(N398="Excluded", N398,  IF(N398="included in industry", N398,   _xlfn.XLOOKUP(N398, [1]unittypedata!$AD:$AD,[1]unittypedata!$D:$D)   )))</f>
        <v>#N/A</v>
      </c>
    </row>
    <row r="399" spans="1:16">
      <c r="A399" s="5" t="s">
        <v>673</v>
      </c>
      <c r="B399" s="5" t="s">
        <v>675</v>
      </c>
      <c r="C399" s="6" t="s">
        <v>29</v>
      </c>
      <c r="D399" s="7" t="s">
        <v>158</v>
      </c>
      <c r="E399" s="6">
        <v>1</v>
      </c>
      <c r="F399" s="7" t="s">
        <v>30</v>
      </c>
      <c r="G399" s="8">
        <v>5</v>
      </c>
      <c r="H399" s="7" t="s">
        <v>30</v>
      </c>
      <c r="I399" s="8">
        <v>5</v>
      </c>
      <c r="J399" s="7"/>
      <c r="K399" s="7"/>
      <c r="L399" s="6" t="s">
        <v>31</v>
      </c>
      <c r="M399" s="9" t="s">
        <v>30</v>
      </c>
      <c r="N399" s="7" t="s">
        <v>1654</v>
      </c>
      <c r="P399" t="e">
        <f>IF(N399="","",  IF(N399="Excluded", N399,  IF(N399="included in industry", N399,   _xlfn.XLOOKUP(N399, [1]unittypedata!$AD:$AD,[1]unittypedata!$D:$D)   )))</f>
        <v>#N/A</v>
      </c>
    </row>
    <row r="400" spans="1:16">
      <c r="A400" s="5" t="s">
        <v>673</v>
      </c>
      <c r="B400" s="5" t="s">
        <v>676</v>
      </c>
      <c r="C400" s="6" t="s">
        <v>29</v>
      </c>
      <c r="D400" s="7">
        <v>2014</v>
      </c>
      <c r="E400" s="6">
        <v>1</v>
      </c>
      <c r="F400" s="7" t="s">
        <v>30</v>
      </c>
      <c r="G400" s="8">
        <v>10</v>
      </c>
      <c r="H400" s="7" t="s">
        <v>30</v>
      </c>
      <c r="I400" s="8">
        <v>10</v>
      </c>
      <c r="J400" s="7"/>
      <c r="K400" s="7"/>
      <c r="L400" s="6" t="s">
        <v>46</v>
      </c>
      <c r="M400" s="9" t="s">
        <v>30</v>
      </c>
      <c r="N400" s="7" t="s">
        <v>1653</v>
      </c>
      <c r="P400" t="e">
        <f>IF(N400="","",  IF(N400="Excluded", N400,  IF(N400="included in industry", N400,   _xlfn.XLOOKUP(N400, [1]unittypedata!$AD:$AD,[1]unittypedata!$D:$D)   )))</f>
        <v>#N/A</v>
      </c>
    </row>
    <row r="401" spans="1:16">
      <c r="A401" s="11" t="s">
        <v>673</v>
      </c>
      <c r="B401" s="11" t="s">
        <v>677</v>
      </c>
      <c r="C401" s="12" t="s">
        <v>29</v>
      </c>
      <c r="D401" s="13" t="s">
        <v>158</v>
      </c>
      <c r="E401" s="12">
        <v>1</v>
      </c>
      <c r="F401" s="13" t="s">
        <v>30</v>
      </c>
      <c r="G401" s="14">
        <v>3.8</v>
      </c>
      <c r="H401" s="13" t="s">
        <v>30</v>
      </c>
      <c r="I401" s="14">
        <v>3.8</v>
      </c>
      <c r="J401" s="13"/>
      <c r="K401" s="13"/>
      <c r="L401" s="12" t="s">
        <v>36</v>
      </c>
      <c r="M401" s="15" t="s">
        <v>30</v>
      </c>
      <c r="N401" s="7" t="s">
        <v>1657</v>
      </c>
      <c r="P401" t="e">
        <f>IF(N401="","",  IF(N401="Excluded", N401,  IF(N401="included in industry", N401,   _xlfn.XLOOKUP(N401, [1]unittypedata!$AD:$AD,[1]unittypedata!$D:$D)   )))</f>
        <v>#N/A</v>
      </c>
    </row>
    <row r="402" spans="1:16">
      <c r="A402" s="5" t="s">
        <v>678</v>
      </c>
      <c r="B402" s="5" t="s">
        <v>679</v>
      </c>
      <c r="C402" s="6" t="s">
        <v>29</v>
      </c>
      <c r="D402" s="7">
        <v>2019</v>
      </c>
      <c r="E402" s="6">
        <v>4</v>
      </c>
      <c r="F402" s="7" t="s">
        <v>30</v>
      </c>
      <c r="G402" s="8">
        <v>13</v>
      </c>
      <c r="H402" s="7">
        <v>1.5</v>
      </c>
      <c r="I402" s="8">
        <v>14.5</v>
      </c>
      <c r="J402" s="7"/>
      <c r="K402" s="7"/>
      <c r="L402" s="6" t="s">
        <v>46</v>
      </c>
      <c r="M402" s="9" t="s">
        <v>30</v>
      </c>
      <c r="N402" s="7" t="s">
        <v>1653</v>
      </c>
      <c r="P402" t="e">
        <f>IF(N402="","",  IF(N402="Excluded", N402,  IF(N402="included in industry", N402,   _xlfn.XLOOKUP(N402, [1]unittypedata!$AD:$AD,[1]unittypedata!$D:$D)   )))</f>
        <v>#N/A</v>
      </c>
    </row>
    <row r="403" spans="1:16">
      <c r="A403" s="5" t="s">
        <v>678</v>
      </c>
      <c r="B403" s="5" t="s">
        <v>680</v>
      </c>
      <c r="C403" s="6" t="s">
        <v>29</v>
      </c>
      <c r="D403" s="7">
        <v>2002</v>
      </c>
      <c r="E403" s="6">
        <v>2</v>
      </c>
      <c r="F403" s="7" t="s">
        <v>30</v>
      </c>
      <c r="G403" s="8">
        <v>4</v>
      </c>
      <c r="H403" s="7" t="s">
        <v>30</v>
      </c>
      <c r="I403" s="8">
        <v>4</v>
      </c>
      <c r="J403" s="7"/>
      <c r="K403" s="7"/>
      <c r="L403" s="6" t="s">
        <v>681</v>
      </c>
      <c r="M403" s="9" t="s">
        <v>30</v>
      </c>
      <c r="N403" s="7" t="s">
        <v>1653</v>
      </c>
      <c r="P403" t="e">
        <f>IF(N403="","",  IF(N403="Excluded", N403,  IF(N403="included in industry", N403,   _xlfn.XLOOKUP(N403, [1]unittypedata!$AD:$AD,[1]unittypedata!$D:$D)   )))</f>
        <v>#N/A</v>
      </c>
    </row>
    <row r="404" spans="1:16">
      <c r="A404" s="5" t="s">
        <v>678</v>
      </c>
      <c r="B404" s="5" t="s">
        <v>682</v>
      </c>
      <c r="C404" s="6" t="s">
        <v>29</v>
      </c>
      <c r="D404" s="7">
        <v>2003</v>
      </c>
      <c r="E404" s="6">
        <v>2</v>
      </c>
      <c r="F404" s="7" t="s">
        <v>30</v>
      </c>
      <c r="G404" s="8">
        <v>3</v>
      </c>
      <c r="H404" s="7" t="s">
        <v>30</v>
      </c>
      <c r="I404" s="8">
        <v>3</v>
      </c>
      <c r="J404" s="7"/>
      <c r="K404" s="7"/>
      <c r="L404" s="6" t="s">
        <v>44</v>
      </c>
      <c r="M404" s="9" t="s">
        <v>30</v>
      </c>
      <c r="N404" s="7" t="s">
        <v>1653</v>
      </c>
      <c r="P404" t="e">
        <f>IF(N404="","",  IF(N404="Excluded", N404,  IF(N404="included in industry", N404,   _xlfn.XLOOKUP(N404, [1]unittypedata!$AD:$AD,[1]unittypedata!$D:$D)   )))</f>
        <v>#N/A</v>
      </c>
    </row>
    <row r="405" spans="1:16">
      <c r="A405" s="5" t="s">
        <v>678</v>
      </c>
      <c r="B405" s="5" t="s">
        <v>683</v>
      </c>
      <c r="C405" s="6" t="s">
        <v>29</v>
      </c>
      <c r="D405" s="7">
        <v>2014</v>
      </c>
      <c r="E405" s="6">
        <v>2</v>
      </c>
      <c r="F405" s="7" t="s">
        <v>30</v>
      </c>
      <c r="G405" s="8">
        <v>1.6</v>
      </c>
      <c r="H405" s="7" t="s">
        <v>30</v>
      </c>
      <c r="I405" s="8">
        <v>1.6</v>
      </c>
      <c r="J405" s="7"/>
      <c r="K405" s="7"/>
      <c r="L405" s="6" t="s">
        <v>44</v>
      </c>
      <c r="M405" s="9" t="s">
        <v>30</v>
      </c>
      <c r="N405" s="7" t="s">
        <v>1653</v>
      </c>
      <c r="P405" t="e">
        <f>IF(N405="","",  IF(N405="Excluded", N405,  IF(N405="included in industry", N405,   _xlfn.XLOOKUP(N405, [1]unittypedata!$AD:$AD,[1]unittypedata!$D:$D)   )))</f>
        <v>#N/A</v>
      </c>
    </row>
    <row r="406" spans="1:16">
      <c r="A406" s="11" t="s">
        <v>678</v>
      </c>
      <c r="B406" s="11" t="s">
        <v>684</v>
      </c>
      <c r="C406" s="12" t="s">
        <v>29</v>
      </c>
      <c r="D406" s="13">
        <v>2020</v>
      </c>
      <c r="E406" s="12">
        <v>2</v>
      </c>
      <c r="F406" s="13" t="s">
        <v>30</v>
      </c>
      <c r="G406" s="14">
        <v>13</v>
      </c>
      <c r="H406" s="13">
        <v>1.5</v>
      </c>
      <c r="I406" s="14">
        <v>14.5</v>
      </c>
      <c r="J406" s="13"/>
      <c r="K406" s="13"/>
      <c r="L406" s="12" t="s">
        <v>46</v>
      </c>
      <c r="M406" s="15" t="s">
        <v>30</v>
      </c>
      <c r="N406" s="7" t="s">
        <v>1653</v>
      </c>
      <c r="P406" t="e">
        <f>IF(N406="","",  IF(N406="Excluded", N406,  IF(N406="included in industry", N406,   _xlfn.XLOOKUP(N406, [1]unittypedata!$AD:$AD,[1]unittypedata!$D:$D)   )))</f>
        <v>#N/A</v>
      </c>
    </row>
    <row r="407" spans="1:16">
      <c r="A407" s="5" t="s">
        <v>685</v>
      </c>
      <c r="B407" s="5" t="s">
        <v>686</v>
      </c>
      <c r="C407" s="6" t="s">
        <v>29</v>
      </c>
      <c r="D407" s="7">
        <v>2005</v>
      </c>
      <c r="E407" s="6">
        <v>1</v>
      </c>
      <c r="F407" s="7" t="s">
        <v>30</v>
      </c>
      <c r="G407" s="8">
        <v>2.5</v>
      </c>
      <c r="H407" s="7" t="s">
        <v>30</v>
      </c>
      <c r="I407" s="8">
        <v>2.5</v>
      </c>
      <c r="J407" s="7"/>
      <c r="K407" s="7"/>
      <c r="L407" s="6" t="s">
        <v>46</v>
      </c>
      <c r="M407" s="9" t="s">
        <v>30</v>
      </c>
      <c r="N407" s="7" t="s">
        <v>1653</v>
      </c>
      <c r="P407" t="e">
        <f>IF(N407="","",  IF(N407="Excluded", N407,  IF(N407="included in industry", N407,   _xlfn.XLOOKUP(N407, [1]unittypedata!$AD:$AD,[1]unittypedata!$D:$D)   )))</f>
        <v>#N/A</v>
      </c>
    </row>
    <row r="408" spans="1:16">
      <c r="A408" s="5" t="s">
        <v>685</v>
      </c>
      <c r="B408" s="5" t="s">
        <v>686</v>
      </c>
      <c r="C408" s="6" t="s">
        <v>29</v>
      </c>
      <c r="D408" s="7">
        <v>2005</v>
      </c>
      <c r="E408" s="6">
        <v>1</v>
      </c>
      <c r="F408" s="7" t="s">
        <v>30</v>
      </c>
      <c r="G408" s="8">
        <v>2.5</v>
      </c>
      <c r="H408" s="7" t="s">
        <v>30</v>
      </c>
      <c r="I408" s="8">
        <v>2.5</v>
      </c>
      <c r="J408" s="7"/>
      <c r="K408" s="7"/>
      <c r="L408" s="6" t="s">
        <v>31</v>
      </c>
      <c r="M408" s="9" t="s">
        <v>30</v>
      </c>
      <c r="N408" s="7" t="s">
        <v>1654</v>
      </c>
      <c r="P408" t="e">
        <f>IF(N408="","",  IF(N408="Excluded", N408,  IF(N408="included in industry", N408,   _xlfn.XLOOKUP(N408, [1]unittypedata!$AD:$AD,[1]unittypedata!$D:$D)   )))</f>
        <v>#N/A</v>
      </c>
    </row>
    <row r="409" spans="1:16">
      <c r="A409" s="5" t="s">
        <v>685</v>
      </c>
      <c r="B409" s="5" t="s">
        <v>686</v>
      </c>
      <c r="C409" s="6" t="s">
        <v>29</v>
      </c>
      <c r="D409" s="7">
        <v>2015</v>
      </c>
      <c r="E409" s="6">
        <v>1</v>
      </c>
      <c r="F409" s="7" t="s">
        <v>30</v>
      </c>
      <c r="G409" s="8">
        <v>1</v>
      </c>
      <c r="H409" s="7" t="s">
        <v>30</v>
      </c>
      <c r="I409" s="8">
        <v>1</v>
      </c>
      <c r="J409" s="7"/>
      <c r="K409" s="7"/>
      <c r="L409" s="6" t="s">
        <v>44</v>
      </c>
      <c r="M409" s="9" t="s">
        <v>30</v>
      </c>
      <c r="N409" s="7" t="s">
        <v>1653</v>
      </c>
      <c r="P409" t="e">
        <f>IF(N409="","",  IF(N409="Excluded", N409,  IF(N409="included in industry", N409,   _xlfn.XLOOKUP(N409, [1]unittypedata!$AD:$AD,[1]unittypedata!$D:$D)   )))</f>
        <v>#N/A</v>
      </c>
    </row>
    <row r="410" spans="1:16">
      <c r="A410" s="11" t="s">
        <v>685</v>
      </c>
      <c r="B410" s="11" t="s">
        <v>686</v>
      </c>
      <c r="C410" s="12" t="s">
        <v>29</v>
      </c>
      <c r="D410" s="13">
        <v>1976</v>
      </c>
      <c r="E410" s="12">
        <v>1</v>
      </c>
      <c r="F410" s="13" t="s">
        <v>30</v>
      </c>
      <c r="G410" s="14">
        <v>1.4</v>
      </c>
      <c r="H410" s="13" t="s">
        <v>30</v>
      </c>
      <c r="I410" s="14">
        <v>1.4</v>
      </c>
      <c r="J410" s="13"/>
      <c r="K410" s="13"/>
      <c r="L410" s="12" t="s">
        <v>31</v>
      </c>
      <c r="M410" s="15" t="s">
        <v>30</v>
      </c>
      <c r="N410" s="7" t="s">
        <v>1654</v>
      </c>
      <c r="P410" t="e">
        <f>IF(N410="","",  IF(N410="Excluded", N410,  IF(N410="included in industry", N410,   _xlfn.XLOOKUP(N410, [1]unittypedata!$AD:$AD,[1]unittypedata!$D:$D)   )))</f>
        <v>#N/A</v>
      </c>
    </row>
    <row r="411" spans="1:16">
      <c r="A411" s="5" t="s">
        <v>687</v>
      </c>
      <c r="B411" s="5" t="s">
        <v>688</v>
      </c>
      <c r="C411" s="6" t="s">
        <v>29</v>
      </c>
      <c r="D411" s="7">
        <v>1995</v>
      </c>
      <c r="E411" s="6">
        <v>1</v>
      </c>
      <c r="F411" s="7" t="s">
        <v>30</v>
      </c>
      <c r="G411" s="8">
        <v>6</v>
      </c>
      <c r="H411" s="7">
        <v>1.5</v>
      </c>
      <c r="I411" s="8">
        <v>7.5</v>
      </c>
      <c r="J411" s="7"/>
      <c r="K411" s="7"/>
      <c r="L411" s="6" t="s">
        <v>46</v>
      </c>
      <c r="M411" s="9" t="s">
        <v>30</v>
      </c>
      <c r="N411" s="7" t="s">
        <v>1653</v>
      </c>
      <c r="P411" t="e">
        <f>IF(N411="","",  IF(N411="Excluded", N411,  IF(N411="included in industry", N411,   _xlfn.XLOOKUP(N411, [1]unittypedata!$AD:$AD,[1]unittypedata!$D:$D)   )))</f>
        <v>#N/A</v>
      </c>
    </row>
    <row r="412" spans="1:16">
      <c r="A412" s="5" t="s">
        <v>687</v>
      </c>
      <c r="B412" s="5" t="s">
        <v>688</v>
      </c>
      <c r="C412" s="6" t="s">
        <v>29</v>
      </c>
      <c r="D412" s="7">
        <v>1996</v>
      </c>
      <c r="E412" s="6">
        <v>1</v>
      </c>
      <c r="F412" s="7" t="s">
        <v>30</v>
      </c>
      <c r="G412" s="8">
        <v>4</v>
      </c>
      <c r="H412" s="7" t="s">
        <v>30</v>
      </c>
      <c r="I412" s="8">
        <v>4</v>
      </c>
      <c r="J412" s="7"/>
      <c r="K412" s="7"/>
      <c r="L412" s="6" t="s">
        <v>31</v>
      </c>
      <c r="M412" s="9" t="s">
        <v>30</v>
      </c>
      <c r="N412" s="7" t="s">
        <v>1654</v>
      </c>
      <c r="P412" t="e">
        <f>IF(N412="","",  IF(N412="Excluded", N412,  IF(N412="included in industry", N412,   _xlfn.XLOOKUP(N412, [1]unittypedata!$AD:$AD,[1]unittypedata!$D:$D)   )))</f>
        <v>#N/A</v>
      </c>
    </row>
    <row r="413" spans="1:16">
      <c r="A413" s="5" t="s">
        <v>687</v>
      </c>
      <c r="B413" s="5" t="s">
        <v>689</v>
      </c>
      <c r="C413" s="6" t="s">
        <v>29</v>
      </c>
      <c r="D413" s="7">
        <v>1982</v>
      </c>
      <c r="E413" s="6">
        <v>2</v>
      </c>
      <c r="F413" s="7" t="s">
        <v>30</v>
      </c>
      <c r="G413" s="8">
        <v>6.5</v>
      </c>
      <c r="H413" s="7" t="s">
        <v>30</v>
      </c>
      <c r="I413" s="8">
        <v>6.5</v>
      </c>
      <c r="J413" s="7"/>
      <c r="K413" s="7"/>
      <c r="L413" s="6" t="s">
        <v>31</v>
      </c>
      <c r="M413" s="9" t="s">
        <v>30</v>
      </c>
      <c r="N413" s="7" t="s">
        <v>1654</v>
      </c>
      <c r="P413" t="e">
        <f>IF(N413="","",  IF(N413="Excluded", N413,  IF(N413="included in industry", N413,   _xlfn.XLOOKUP(N413, [1]unittypedata!$AD:$AD,[1]unittypedata!$D:$D)   )))</f>
        <v>#N/A</v>
      </c>
    </row>
    <row r="414" spans="1:16">
      <c r="A414" s="5" t="s">
        <v>687</v>
      </c>
      <c r="B414" s="5" t="s">
        <v>690</v>
      </c>
      <c r="C414" s="6" t="s">
        <v>29</v>
      </c>
      <c r="D414" s="7">
        <v>1991</v>
      </c>
      <c r="E414" s="6">
        <v>2</v>
      </c>
      <c r="F414" s="7" t="s">
        <v>30</v>
      </c>
      <c r="G414" s="8">
        <v>5</v>
      </c>
      <c r="H414" s="7" t="s">
        <v>30</v>
      </c>
      <c r="I414" s="8">
        <v>5</v>
      </c>
      <c r="J414" s="7"/>
      <c r="K414" s="7"/>
      <c r="L414" s="6" t="s">
        <v>31</v>
      </c>
      <c r="M414" s="9" t="s">
        <v>30</v>
      </c>
      <c r="N414" s="7" t="s">
        <v>1654</v>
      </c>
      <c r="P414" t="e">
        <f>IF(N414="","",  IF(N414="Excluded", N414,  IF(N414="included in industry", N414,   _xlfn.XLOOKUP(N414, [1]unittypedata!$AD:$AD,[1]unittypedata!$D:$D)   )))</f>
        <v>#N/A</v>
      </c>
    </row>
    <row r="415" spans="1:16">
      <c r="A415" s="5" t="s">
        <v>687</v>
      </c>
      <c r="B415" s="5" t="s">
        <v>691</v>
      </c>
      <c r="C415" s="6" t="s">
        <v>29</v>
      </c>
      <c r="D415" s="7">
        <v>2006</v>
      </c>
      <c r="E415" s="6">
        <v>2</v>
      </c>
      <c r="F415" s="7" t="s">
        <v>30</v>
      </c>
      <c r="G415" s="8">
        <v>7.7</v>
      </c>
      <c r="H415" s="7">
        <v>2.5</v>
      </c>
      <c r="I415" s="8">
        <v>10.199999999999999</v>
      </c>
      <c r="J415" s="7"/>
      <c r="K415" s="7"/>
      <c r="L415" s="6" t="s">
        <v>46</v>
      </c>
      <c r="M415" s="9" t="s">
        <v>30</v>
      </c>
      <c r="N415" s="7" t="s">
        <v>1653</v>
      </c>
      <c r="P415" t="e">
        <f>IF(N415="","",  IF(N415="Excluded", N415,  IF(N415="included in industry", N415,   _xlfn.XLOOKUP(N415, [1]unittypedata!$AD:$AD,[1]unittypedata!$D:$D)   )))</f>
        <v>#N/A</v>
      </c>
    </row>
    <row r="416" spans="1:16">
      <c r="A416" s="11" t="s">
        <v>687</v>
      </c>
      <c r="B416" s="11" t="s">
        <v>691</v>
      </c>
      <c r="C416" s="12" t="s">
        <v>29</v>
      </c>
      <c r="D416" s="13" t="s">
        <v>158</v>
      </c>
      <c r="E416" s="12">
        <v>1</v>
      </c>
      <c r="F416" s="13" t="s">
        <v>30</v>
      </c>
      <c r="G416" s="14">
        <v>4</v>
      </c>
      <c r="H416" s="13" t="s">
        <v>30</v>
      </c>
      <c r="I416" s="14">
        <v>4</v>
      </c>
      <c r="J416" s="13"/>
      <c r="K416" s="13"/>
      <c r="L416" s="12" t="s">
        <v>31</v>
      </c>
      <c r="M416" s="15" t="s">
        <v>30</v>
      </c>
      <c r="N416" s="7" t="s">
        <v>1654</v>
      </c>
      <c r="P416" t="e">
        <f>IF(N416="","",  IF(N416="Excluded", N416,  IF(N416="included in industry", N416,   _xlfn.XLOOKUP(N416, [1]unittypedata!$AD:$AD,[1]unittypedata!$D:$D)   )))</f>
        <v>#N/A</v>
      </c>
    </row>
    <row r="417" spans="1:16">
      <c r="A417" s="5" t="s">
        <v>692</v>
      </c>
      <c r="B417" s="5" t="s">
        <v>693</v>
      </c>
      <c r="C417" s="6" t="s">
        <v>29</v>
      </c>
      <c r="D417" s="7">
        <v>1979</v>
      </c>
      <c r="E417" s="6">
        <v>2</v>
      </c>
      <c r="F417" s="7" t="s">
        <v>30</v>
      </c>
      <c r="G417" s="8">
        <v>4.2</v>
      </c>
      <c r="H417" s="7" t="s">
        <v>30</v>
      </c>
      <c r="I417" s="8">
        <v>4.2</v>
      </c>
      <c r="J417" s="7"/>
      <c r="K417" s="7"/>
      <c r="L417" s="6" t="s">
        <v>31</v>
      </c>
      <c r="M417" s="9" t="s">
        <v>30</v>
      </c>
      <c r="N417" s="7" t="s">
        <v>1654</v>
      </c>
      <c r="P417" t="e">
        <f>IF(N417="","",  IF(N417="Excluded", N417,  IF(N417="included in industry", N417,   _xlfn.XLOOKUP(N417, [1]unittypedata!$AD:$AD,[1]unittypedata!$D:$D)   )))</f>
        <v>#N/A</v>
      </c>
    </row>
    <row r="418" spans="1:16">
      <c r="A418" s="11" t="s">
        <v>692</v>
      </c>
      <c r="B418" s="11" t="s">
        <v>694</v>
      </c>
      <c r="C418" s="12" t="s">
        <v>29</v>
      </c>
      <c r="D418" s="13">
        <v>1982</v>
      </c>
      <c r="E418" s="12">
        <v>2</v>
      </c>
      <c r="F418" s="13" t="s">
        <v>30</v>
      </c>
      <c r="G418" s="14">
        <v>2.4</v>
      </c>
      <c r="H418" s="13" t="s">
        <v>30</v>
      </c>
      <c r="I418" s="14">
        <v>2.4</v>
      </c>
      <c r="J418" s="13"/>
      <c r="K418" s="13"/>
      <c r="L418" s="12" t="s">
        <v>31</v>
      </c>
      <c r="M418" s="15" t="s">
        <v>30</v>
      </c>
      <c r="N418" s="7" t="s">
        <v>1654</v>
      </c>
      <c r="P418" t="e">
        <f>IF(N418="","",  IF(N418="Excluded", N418,  IF(N418="included in industry", N418,   _xlfn.XLOOKUP(N418, [1]unittypedata!$AD:$AD,[1]unittypedata!$D:$D)   )))</f>
        <v>#N/A</v>
      </c>
    </row>
    <row r="419" spans="1:16">
      <c r="A419" s="5" t="s">
        <v>695</v>
      </c>
      <c r="B419" s="5" t="s">
        <v>696</v>
      </c>
      <c r="C419" s="6" t="s">
        <v>29</v>
      </c>
      <c r="D419" s="7">
        <v>1977</v>
      </c>
      <c r="E419" s="6">
        <v>3</v>
      </c>
      <c r="F419" s="7" t="s">
        <v>30</v>
      </c>
      <c r="G419" s="8">
        <v>36</v>
      </c>
      <c r="H419" s="7" t="s">
        <v>30</v>
      </c>
      <c r="I419" s="8">
        <v>36</v>
      </c>
      <c r="J419" s="7"/>
      <c r="K419" s="7"/>
      <c r="L419" s="6" t="s">
        <v>33</v>
      </c>
      <c r="M419" s="9" t="s">
        <v>30</v>
      </c>
      <c r="N419" s="7" t="s">
        <v>1654</v>
      </c>
      <c r="P419" t="e">
        <f>IF(N419="","",  IF(N419="Excluded", N419,  IF(N419="included in industry", N419,   _xlfn.XLOOKUP(N419, [1]unittypedata!$AD:$AD,[1]unittypedata!$D:$D)   )))</f>
        <v>#N/A</v>
      </c>
    </row>
    <row r="420" spans="1:16">
      <c r="A420" s="5" t="s">
        <v>695</v>
      </c>
      <c r="B420" s="5" t="s">
        <v>696</v>
      </c>
      <c r="C420" s="6" t="s">
        <v>29</v>
      </c>
      <c r="D420" s="7">
        <v>1997</v>
      </c>
      <c r="E420" s="6">
        <v>1</v>
      </c>
      <c r="F420" s="7" t="s">
        <v>30</v>
      </c>
      <c r="G420" s="8">
        <v>40</v>
      </c>
      <c r="H420" s="7" t="s">
        <v>30</v>
      </c>
      <c r="I420" s="8">
        <v>40</v>
      </c>
      <c r="J420" s="7"/>
      <c r="K420" s="7"/>
      <c r="L420" s="6" t="s">
        <v>33</v>
      </c>
      <c r="M420" s="9" t="s">
        <v>30</v>
      </c>
      <c r="N420" s="7" t="s">
        <v>1654</v>
      </c>
      <c r="P420" t="e">
        <f>IF(N420="","",  IF(N420="Excluded", N420,  IF(N420="included in industry", N420,   _xlfn.XLOOKUP(N420, [1]unittypedata!$AD:$AD,[1]unittypedata!$D:$D)   )))</f>
        <v>#N/A</v>
      </c>
    </row>
    <row r="421" spans="1:16">
      <c r="A421" s="11" t="s">
        <v>695</v>
      </c>
      <c r="B421" s="11" t="s">
        <v>697</v>
      </c>
      <c r="C421" s="12" t="s">
        <v>29</v>
      </c>
      <c r="D421" s="13">
        <v>1990</v>
      </c>
      <c r="E421" s="12">
        <v>1</v>
      </c>
      <c r="F421" s="13" t="s">
        <v>30</v>
      </c>
      <c r="G421" s="14">
        <v>12</v>
      </c>
      <c r="H421" s="13" t="s">
        <v>30</v>
      </c>
      <c r="I421" s="14">
        <v>12</v>
      </c>
      <c r="J421" s="13"/>
      <c r="K421" s="13"/>
      <c r="L421" s="12" t="s">
        <v>31</v>
      </c>
      <c r="M421" s="15" t="s">
        <v>30</v>
      </c>
      <c r="N421" s="7" t="s">
        <v>1654</v>
      </c>
      <c r="P421" t="e">
        <f>IF(N421="","",  IF(N421="Excluded", N421,  IF(N421="included in industry", N421,   _xlfn.XLOOKUP(N421, [1]unittypedata!$AD:$AD,[1]unittypedata!$D:$D)   )))</f>
        <v>#N/A</v>
      </c>
    </row>
    <row r="422" spans="1:16">
      <c r="A422" s="5" t="s">
        <v>698</v>
      </c>
      <c r="B422" s="5" t="s">
        <v>699</v>
      </c>
      <c r="C422" s="6" t="s">
        <v>29</v>
      </c>
      <c r="D422" s="7">
        <v>2003</v>
      </c>
      <c r="E422" s="6">
        <v>2</v>
      </c>
      <c r="F422" s="7" t="s">
        <v>30</v>
      </c>
      <c r="G422" s="8">
        <v>10</v>
      </c>
      <c r="H422" s="7" t="s">
        <v>30</v>
      </c>
      <c r="I422" s="8">
        <v>10</v>
      </c>
      <c r="J422" s="7"/>
      <c r="K422" s="7"/>
      <c r="L422" s="6" t="s">
        <v>31</v>
      </c>
      <c r="M422" s="9" t="s">
        <v>30</v>
      </c>
      <c r="N422" s="7" t="s">
        <v>1654</v>
      </c>
      <c r="P422" t="e">
        <f>IF(N422="","",  IF(N422="Excluded", N422,  IF(N422="included in industry", N422,   _xlfn.XLOOKUP(N422, [1]unittypedata!$AD:$AD,[1]unittypedata!$D:$D)   )))</f>
        <v>#N/A</v>
      </c>
    </row>
    <row r="423" spans="1:16">
      <c r="A423" s="5" t="s">
        <v>698</v>
      </c>
      <c r="B423" s="5" t="s">
        <v>700</v>
      </c>
      <c r="C423" s="6" t="s">
        <v>29</v>
      </c>
      <c r="D423" s="7">
        <v>2006</v>
      </c>
      <c r="E423" s="6">
        <v>1</v>
      </c>
      <c r="F423" s="7" t="s">
        <v>30</v>
      </c>
      <c r="G423" s="8">
        <v>7</v>
      </c>
      <c r="H423" s="7" t="s">
        <v>30</v>
      </c>
      <c r="I423" s="8">
        <v>7</v>
      </c>
      <c r="J423" s="7"/>
      <c r="K423" s="7"/>
      <c r="L423" s="6" t="s">
        <v>46</v>
      </c>
      <c r="M423" s="9" t="s">
        <v>30</v>
      </c>
      <c r="N423" s="7" t="s">
        <v>1653</v>
      </c>
      <c r="P423" t="e">
        <f>IF(N423="","",  IF(N423="Excluded", N423,  IF(N423="included in industry", N423,   _xlfn.XLOOKUP(N423, [1]unittypedata!$AD:$AD,[1]unittypedata!$D:$D)   )))</f>
        <v>#N/A</v>
      </c>
    </row>
    <row r="424" spans="1:16">
      <c r="A424" s="5" t="s">
        <v>698</v>
      </c>
      <c r="B424" s="5" t="s">
        <v>701</v>
      </c>
      <c r="C424" s="6" t="s">
        <v>29</v>
      </c>
      <c r="D424" s="7">
        <v>2008</v>
      </c>
      <c r="E424" s="6">
        <v>2</v>
      </c>
      <c r="F424" s="7" t="s">
        <v>30</v>
      </c>
      <c r="G424" s="8">
        <v>6</v>
      </c>
      <c r="H424" s="7" t="s">
        <v>30</v>
      </c>
      <c r="I424" s="8">
        <v>6</v>
      </c>
      <c r="J424" s="7"/>
      <c r="K424" s="7"/>
      <c r="L424" s="6" t="s">
        <v>31</v>
      </c>
      <c r="M424" s="9" t="s">
        <v>30</v>
      </c>
      <c r="N424" s="7" t="s">
        <v>1654</v>
      </c>
      <c r="P424" t="e">
        <f>IF(N424="","",  IF(N424="Excluded", N424,  IF(N424="included in industry", N424,   _xlfn.XLOOKUP(N424, [1]unittypedata!$AD:$AD,[1]unittypedata!$D:$D)   )))</f>
        <v>#N/A</v>
      </c>
    </row>
    <row r="425" spans="1:16">
      <c r="A425" s="5" t="s">
        <v>698</v>
      </c>
      <c r="B425" s="5" t="s">
        <v>702</v>
      </c>
      <c r="C425" s="6" t="s">
        <v>29</v>
      </c>
      <c r="D425" s="7">
        <v>2009</v>
      </c>
      <c r="E425" s="6">
        <v>2</v>
      </c>
      <c r="F425" s="7" t="s">
        <v>30</v>
      </c>
      <c r="G425" s="8">
        <v>13</v>
      </c>
      <c r="H425" s="7" t="s">
        <v>30</v>
      </c>
      <c r="I425" s="8">
        <v>13</v>
      </c>
      <c r="J425" s="7"/>
      <c r="K425" s="7"/>
      <c r="L425" s="6" t="s">
        <v>31</v>
      </c>
      <c r="M425" s="9" t="s">
        <v>30</v>
      </c>
      <c r="N425" s="7" t="s">
        <v>1654</v>
      </c>
      <c r="P425" t="e">
        <f>IF(N425="","",  IF(N425="Excluded", N425,  IF(N425="included in industry", N425,   _xlfn.XLOOKUP(N425, [1]unittypedata!$AD:$AD,[1]unittypedata!$D:$D)   )))</f>
        <v>#N/A</v>
      </c>
    </row>
    <row r="426" spans="1:16">
      <c r="A426" s="5" t="s">
        <v>698</v>
      </c>
      <c r="B426" s="5" t="s">
        <v>703</v>
      </c>
      <c r="C426" s="6" t="s">
        <v>29</v>
      </c>
      <c r="D426" s="7">
        <v>2016</v>
      </c>
      <c r="E426" s="6">
        <v>1</v>
      </c>
      <c r="F426" s="7" t="s">
        <v>30</v>
      </c>
      <c r="G426" s="8">
        <v>10</v>
      </c>
      <c r="H426" s="7">
        <v>2</v>
      </c>
      <c r="I426" s="8">
        <v>12</v>
      </c>
      <c r="J426" s="7"/>
      <c r="K426" s="7"/>
      <c r="L426" s="6" t="s">
        <v>46</v>
      </c>
      <c r="M426" s="9" t="s">
        <v>30</v>
      </c>
      <c r="N426" s="7" t="s">
        <v>1653</v>
      </c>
      <c r="P426" t="e">
        <f>IF(N426="","",  IF(N426="Excluded", N426,  IF(N426="included in industry", N426,   _xlfn.XLOOKUP(N426, [1]unittypedata!$AD:$AD,[1]unittypedata!$D:$D)   )))</f>
        <v>#N/A</v>
      </c>
    </row>
    <row r="427" spans="1:16">
      <c r="A427" s="5" t="s">
        <v>698</v>
      </c>
      <c r="B427" s="5" t="s">
        <v>704</v>
      </c>
      <c r="C427" s="6" t="s">
        <v>29</v>
      </c>
      <c r="D427" s="7">
        <v>2007</v>
      </c>
      <c r="E427" s="6">
        <v>1</v>
      </c>
      <c r="F427" s="7" t="s">
        <v>30</v>
      </c>
      <c r="G427" s="8">
        <v>2</v>
      </c>
      <c r="H427" s="7" t="s">
        <v>30</v>
      </c>
      <c r="I427" s="8">
        <v>2</v>
      </c>
      <c r="J427" s="7"/>
      <c r="K427" s="7"/>
      <c r="L427" s="6" t="s">
        <v>46</v>
      </c>
      <c r="M427" s="9" t="s">
        <v>30</v>
      </c>
      <c r="N427" s="7" t="s">
        <v>1653</v>
      </c>
      <c r="P427" t="e">
        <f>IF(N427="","",  IF(N427="Excluded", N427,  IF(N427="included in industry", N427,   _xlfn.XLOOKUP(N427, [1]unittypedata!$AD:$AD,[1]unittypedata!$D:$D)   )))</f>
        <v>#N/A</v>
      </c>
    </row>
    <row r="428" spans="1:16">
      <c r="A428" s="5" t="s">
        <v>698</v>
      </c>
      <c r="B428" s="5" t="s">
        <v>705</v>
      </c>
      <c r="C428" s="6" t="s">
        <v>29</v>
      </c>
      <c r="D428" s="7">
        <v>2014</v>
      </c>
      <c r="E428" s="6">
        <v>1</v>
      </c>
      <c r="F428" s="7" t="s">
        <v>30</v>
      </c>
      <c r="G428" s="8">
        <v>1</v>
      </c>
      <c r="H428" s="7" t="s">
        <v>30</v>
      </c>
      <c r="I428" s="8">
        <v>1</v>
      </c>
      <c r="J428" s="7"/>
      <c r="K428" s="7"/>
      <c r="L428" s="6" t="s">
        <v>46</v>
      </c>
      <c r="M428" s="9" t="s">
        <v>30</v>
      </c>
      <c r="N428" s="7" t="s">
        <v>1653</v>
      </c>
      <c r="P428" t="e">
        <f>IF(N428="","",  IF(N428="Excluded", N428,  IF(N428="included in industry", N428,   _xlfn.XLOOKUP(N428, [1]unittypedata!$AD:$AD,[1]unittypedata!$D:$D)   )))</f>
        <v>#N/A</v>
      </c>
    </row>
    <row r="429" spans="1:16">
      <c r="A429" s="5" t="s">
        <v>698</v>
      </c>
      <c r="B429" s="5" t="s">
        <v>706</v>
      </c>
      <c r="C429" s="6" t="s">
        <v>29</v>
      </c>
      <c r="D429" s="7">
        <v>2008</v>
      </c>
      <c r="E429" s="6">
        <v>1</v>
      </c>
      <c r="F429" s="7" t="s">
        <v>30</v>
      </c>
      <c r="G429" s="8">
        <v>1</v>
      </c>
      <c r="H429" s="7" t="s">
        <v>30</v>
      </c>
      <c r="I429" s="8">
        <v>1</v>
      </c>
      <c r="J429" s="7"/>
      <c r="K429" s="7"/>
      <c r="L429" s="6" t="s">
        <v>46</v>
      </c>
      <c r="M429" s="9" t="s">
        <v>30</v>
      </c>
      <c r="N429" s="7" t="s">
        <v>1653</v>
      </c>
      <c r="P429" t="e">
        <f>IF(N429="","",  IF(N429="Excluded", N429,  IF(N429="included in industry", N429,   _xlfn.XLOOKUP(N429, [1]unittypedata!$AD:$AD,[1]unittypedata!$D:$D)   )))</f>
        <v>#N/A</v>
      </c>
    </row>
    <row r="430" spans="1:16">
      <c r="A430" s="5" t="s">
        <v>698</v>
      </c>
      <c r="B430" s="5" t="s">
        <v>707</v>
      </c>
      <c r="C430" s="6" t="s">
        <v>29</v>
      </c>
      <c r="D430" s="7">
        <v>2012</v>
      </c>
      <c r="E430" s="6">
        <v>1</v>
      </c>
      <c r="F430" s="7" t="s">
        <v>30</v>
      </c>
      <c r="G430" s="8">
        <v>1.5</v>
      </c>
      <c r="H430" s="7" t="s">
        <v>30</v>
      </c>
      <c r="I430" s="8">
        <v>1.5</v>
      </c>
      <c r="J430" s="7"/>
      <c r="K430" s="7"/>
      <c r="L430" s="6" t="s">
        <v>46</v>
      </c>
      <c r="M430" s="9" t="s">
        <v>30</v>
      </c>
      <c r="N430" s="7" t="s">
        <v>1653</v>
      </c>
      <c r="P430" t="e">
        <f>IF(N430="","",  IF(N430="Excluded", N430,  IF(N430="included in industry", N430,   _xlfn.XLOOKUP(N430, [1]unittypedata!$AD:$AD,[1]unittypedata!$D:$D)   )))</f>
        <v>#N/A</v>
      </c>
    </row>
    <row r="431" spans="1:16">
      <c r="A431" s="5" t="s">
        <v>698</v>
      </c>
      <c r="B431" s="5" t="s">
        <v>708</v>
      </c>
      <c r="C431" s="6" t="s">
        <v>29</v>
      </c>
      <c r="D431" s="7">
        <v>2000</v>
      </c>
      <c r="E431" s="6">
        <v>1</v>
      </c>
      <c r="F431" s="7" t="s">
        <v>30</v>
      </c>
      <c r="G431" s="8">
        <v>1.3</v>
      </c>
      <c r="H431" s="7" t="s">
        <v>30</v>
      </c>
      <c r="I431" s="8">
        <v>1.3</v>
      </c>
      <c r="J431" s="7"/>
      <c r="K431" s="7"/>
      <c r="L431" s="6" t="s">
        <v>46</v>
      </c>
      <c r="M431" s="9" t="s">
        <v>30</v>
      </c>
      <c r="N431" s="7" t="s">
        <v>1653</v>
      </c>
      <c r="P431" t="e">
        <f>IF(N431="","",  IF(N431="Excluded", N431,  IF(N431="included in industry", N431,   _xlfn.XLOOKUP(N431, [1]unittypedata!$AD:$AD,[1]unittypedata!$D:$D)   )))</f>
        <v>#N/A</v>
      </c>
    </row>
    <row r="432" spans="1:16">
      <c r="A432" s="16" t="s">
        <v>709</v>
      </c>
      <c r="B432" s="16" t="s">
        <v>710</v>
      </c>
      <c r="C432" s="17" t="s">
        <v>29</v>
      </c>
      <c r="D432" s="18">
        <v>2003</v>
      </c>
      <c r="E432" s="17">
        <v>4</v>
      </c>
      <c r="F432" s="18" t="s">
        <v>30</v>
      </c>
      <c r="G432" s="19">
        <v>10</v>
      </c>
      <c r="H432" s="18">
        <v>1.3</v>
      </c>
      <c r="I432" s="19">
        <v>11.3</v>
      </c>
      <c r="J432" s="18"/>
      <c r="K432" s="18"/>
      <c r="L432" s="17" t="s">
        <v>118</v>
      </c>
      <c r="M432" s="20" t="s">
        <v>30</v>
      </c>
      <c r="N432" s="7" t="s">
        <v>1653</v>
      </c>
      <c r="P432" t="e">
        <f>IF(N432="","",  IF(N432="Excluded", N432,  IF(N432="included in industry", N432,   _xlfn.XLOOKUP(N432, [1]unittypedata!$AD:$AD,[1]unittypedata!$D:$D)   )))</f>
        <v>#N/A</v>
      </c>
    </row>
    <row r="433" spans="1:16">
      <c r="A433" s="23" t="s">
        <v>711</v>
      </c>
      <c r="B433" s="23" t="s">
        <v>712</v>
      </c>
      <c r="C433" s="24" t="s">
        <v>75</v>
      </c>
      <c r="D433" s="25">
        <v>1980</v>
      </c>
      <c r="E433" s="24" t="s">
        <v>30</v>
      </c>
      <c r="F433" s="25" t="s">
        <v>30</v>
      </c>
      <c r="G433" s="26" t="s">
        <v>30</v>
      </c>
      <c r="H433" s="25" t="s">
        <v>30</v>
      </c>
      <c r="I433" s="26">
        <v>24</v>
      </c>
      <c r="J433" s="25">
        <v>8</v>
      </c>
      <c r="K433" s="25"/>
      <c r="L433" s="24" t="s">
        <v>33</v>
      </c>
      <c r="M433" s="27" t="s">
        <v>30</v>
      </c>
      <c r="N433" s="7" t="s">
        <v>58</v>
      </c>
      <c r="P433" t="str">
        <f>IF(N433="","",  IF(N433="Excluded", N433,  IF(N433="included in industry", N433,   _xlfn.XLOOKUP(N433, [1]unittypedata!$AD:$AD,[1]unittypedata!$D:$D)   )))</f>
        <v>Excluded</v>
      </c>
    </row>
    <row r="434" spans="1:16">
      <c r="A434" s="5" t="s">
        <v>713</v>
      </c>
      <c r="B434" s="5" t="s">
        <v>714</v>
      </c>
      <c r="C434" s="6" t="s">
        <v>29</v>
      </c>
      <c r="D434" s="7">
        <v>1971</v>
      </c>
      <c r="E434" s="6">
        <v>2</v>
      </c>
      <c r="F434" s="7" t="s">
        <v>30</v>
      </c>
      <c r="G434" s="8">
        <v>1</v>
      </c>
      <c r="H434" s="7" t="s">
        <v>30</v>
      </c>
      <c r="I434" s="8">
        <v>1</v>
      </c>
      <c r="J434" s="7"/>
      <c r="K434" s="7"/>
      <c r="L434" s="6" t="s">
        <v>44</v>
      </c>
      <c r="M434" s="9" t="s">
        <v>30</v>
      </c>
      <c r="N434" s="7" t="s">
        <v>1653</v>
      </c>
      <c r="P434" t="e">
        <f>IF(N434="","",  IF(N434="Excluded", N434,  IF(N434="included in industry", N434,   _xlfn.XLOOKUP(N434, [1]unittypedata!$AD:$AD,[1]unittypedata!$D:$D)   )))</f>
        <v>#N/A</v>
      </c>
    </row>
    <row r="435" spans="1:16">
      <c r="A435" s="11" t="s">
        <v>713</v>
      </c>
      <c r="B435" s="11" t="s">
        <v>715</v>
      </c>
      <c r="C435" s="12" t="s">
        <v>29</v>
      </c>
      <c r="D435" s="13">
        <v>2014</v>
      </c>
      <c r="E435" s="12">
        <v>2</v>
      </c>
      <c r="F435" s="13" t="s">
        <v>30</v>
      </c>
      <c r="G435" s="14">
        <v>0.8</v>
      </c>
      <c r="H435" s="13" t="s">
        <v>30</v>
      </c>
      <c r="I435" s="14">
        <v>0.8</v>
      </c>
      <c r="J435" s="13"/>
      <c r="K435" s="13"/>
      <c r="L435" s="12" t="s">
        <v>44</v>
      </c>
      <c r="M435" s="15" t="s">
        <v>30</v>
      </c>
      <c r="N435" s="7" t="s">
        <v>1653</v>
      </c>
      <c r="P435" t="e">
        <f>IF(N435="","",  IF(N435="Excluded", N435,  IF(N435="included in industry", N435,   _xlfn.XLOOKUP(N435, [1]unittypedata!$AD:$AD,[1]unittypedata!$D:$D)   )))</f>
        <v>#N/A</v>
      </c>
    </row>
    <row r="436" spans="1:16">
      <c r="A436" s="5" t="s">
        <v>716</v>
      </c>
      <c r="B436" s="5" t="s">
        <v>717</v>
      </c>
      <c r="C436" s="6" t="s">
        <v>29</v>
      </c>
      <c r="D436" s="7">
        <v>1980</v>
      </c>
      <c r="E436" s="6">
        <v>6</v>
      </c>
      <c r="F436" s="7" t="s">
        <v>30</v>
      </c>
      <c r="G436" s="8">
        <v>144.69999999999999</v>
      </c>
      <c r="H436" s="7" t="s">
        <v>30</v>
      </c>
      <c r="I436" s="8">
        <v>144.69999999999999</v>
      </c>
      <c r="J436" s="7"/>
      <c r="K436" s="7"/>
      <c r="L436" s="6" t="s">
        <v>31</v>
      </c>
      <c r="M436" s="9" t="s">
        <v>30</v>
      </c>
      <c r="N436" s="7" t="s">
        <v>1654</v>
      </c>
      <c r="P436" t="e">
        <f>IF(N436="","",  IF(N436="Excluded", N436,  IF(N436="included in industry", N436,   _xlfn.XLOOKUP(N436, [1]unittypedata!$AD:$AD,[1]unittypedata!$D:$D)   )))</f>
        <v>#N/A</v>
      </c>
    </row>
    <row r="437" spans="1:16">
      <c r="A437" s="5" t="s">
        <v>716</v>
      </c>
      <c r="B437" s="5" t="s">
        <v>718</v>
      </c>
      <c r="C437" s="6" t="s">
        <v>29</v>
      </c>
      <c r="D437" s="7">
        <v>2018</v>
      </c>
      <c r="E437" s="6">
        <v>1</v>
      </c>
      <c r="F437" s="7" t="s">
        <v>30</v>
      </c>
      <c r="G437" s="8">
        <v>40</v>
      </c>
      <c r="H437" s="7" t="s">
        <v>30</v>
      </c>
      <c r="I437" s="8">
        <v>40</v>
      </c>
      <c r="J437" s="7"/>
      <c r="K437" s="7"/>
      <c r="L437" s="6" t="s">
        <v>46</v>
      </c>
      <c r="M437" s="9" t="s">
        <v>30</v>
      </c>
      <c r="N437" s="7" t="s">
        <v>1653</v>
      </c>
      <c r="P437" t="e">
        <f>IF(N437="","",  IF(N437="Excluded", N437,  IF(N437="included in industry", N437,   _xlfn.XLOOKUP(N437, [1]unittypedata!$AD:$AD,[1]unittypedata!$D:$D)   )))</f>
        <v>#N/A</v>
      </c>
    </row>
    <row r="438" spans="1:16">
      <c r="A438" s="5" t="s">
        <v>716</v>
      </c>
      <c r="B438" s="5" t="s">
        <v>719</v>
      </c>
      <c r="C438" s="6" t="s">
        <v>29</v>
      </c>
      <c r="D438" s="7">
        <v>1986</v>
      </c>
      <c r="E438" s="6">
        <v>3</v>
      </c>
      <c r="F438" s="7" t="s">
        <v>30</v>
      </c>
      <c r="G438" s="8">
        <v>7.5</v>
      </c>
      <c r="H438" s="7" t="s">
        <v>30</v>
      </c>
      <c r="I438" s="8">
        <v>7.5</v>
      </c>
      <c r="J438" s="7"/>
      <c r="K438" s="7"/>
      <c r="L438" s="6" t="s">
        <v>46</v>
      </c>
      <c r="M438" s="9" t="s">
        <v>30</v>
      </c>
      <c r="N438" s="7" t="s">
        <v>1653</v>
      </c>
      <c r="P438" t="e">
        <f>IF(N438="","",  IF(N438="Excluded", N438,  IF(N438="included in industry", N438,   _xlfn.XLOOKUP(N438, [1]unittypedata!$AD:$AD,[1]unittypedata!$D:$D)   )))</f>
        <v>#N/A</v>
      </c>
    </row>
    <row r="439" spans="1:16">
      <c r="A439" s="5" t="s">
        <v>716</v>
      </c>
      <c r="B439" s="5" t="s">
        <v>720</v>
      </c>
      <c r="C439" s="6" t="s">
        <v>29</v>
      </c>
      <c r="D439" s="7">
        <v>2008</v>
      </c>
      <c r="E439" s="6">
        <v>2</v>
      </c>
      <c r="F439" s="7" t="s">
        <v>30</v>
      </c>
      <c r="G439" s="8">
        <v>6.3</v>
      </c>
      <c r="H439" s="7" t="s">
        <v>30</v>
      </c>
      <c r="I439" s="8">
        <v>6.3</v>
      </c>
      <c r="J439" s="7"/>
      <c r="K439" s="7"/>
      <c r="L439" s="6" t="s">
        <v>46</v>
      </c>
      <c r="M439" s="9" t="s">
        <v>30</v>
      </c>
      <c r="N439" s="7" t="s">
        <v>1653</v>
      </c>
      <c r="P439" t="e">
        <f>IF(N439="","",  IF(N439="Excluded", N439,  IF(N439="included in industry", N439,   _xlfn.XLOOKUP(N439, [1]unittypedata!$AD:$AD,[1]unittypedata!$D:$D)   )))</f>
        <v>#N/A</v>
      </c>
    </row>
    <row r="440" spans="1:16">
      <c r="A440" s="5" t="s">
        <v>716</v>
      </c>
      <c r="B440" s="5" t="s">
        <v>721</v>
      </c>
      <c r="C440" s="6" t="s">
        <v>29</v>
      </c>
      <c r="D440" s="7">
        <v>2010</v>
      </c>
      <c r="E440" s="6">
        <v>2</v>
      </c>
      <c r="F440" s="7" t="s">
        <v>30</v>
      </c>
      <c r="G440" s="8">
        <v>1</v>
      </c>
      <c r="H440" s="7" t="s">
        <v>30</v>
      </c>
      <c r="I440" s="8">
        <v>1</v>
      </c>
      <c r="J440" s="7"/>
      <c r="K440" s="7"/>
      <c r="L440" s="6" t="s">
        <v>44</v>
      </c>
      <c r="M440" s="9" t="s">
        <v>30</v>
      </c>
      <c r="N440" s="7" t="s">
        <v>1653</v>
      </c>
      <c r="P440" t="e">
        <f>IF(N440="","",  IF(N440="Excluded", N440,  IF(N440="included in industry", N440,   _xlfn.XLOOKUP(N440, [1]unittypedata!$AD:$AD,[1]unittypedata!$D:$D)   )))</f>
        <v>#N/A</v>
      </c>
    </row>
    <row r="441" spans="1:16">
      <c r="A441" s="5" t="s">
        <v>716</v>
      </c>
      <c r="B441" s="5" t="s">
        <v>722</v>
      </c>
      <c r="C441" s="6" t="s">
        <v>29</v>
      </c>
      <c r="D441" s="7">
        <v>2010</v>
      </c>
      <c r="E441" s="6">
        <v>4</v>
      </c>
      <c r="F441" s="7" t="s">
        <v>30</v>
      </c>
      <c r="G441" s="8">
        <v>2.7</v>
      </c>
      <c r="H441" s="7" t="s">
        <v>30</v>
      </c>
      <c r="I441" s="8">
        <v>2.7</v>
      </c>
      <c r="J441" s="7"/>
      <c r="K441" s="7"/>
      <c r="L441" s="6" t="s">
        <v>44</v>
      </c>
      <c r="M441" s="9" t="s">
        <v>30</v>
      </c>
      <c r="N441" s="7" t="s">
        <v>1653</v>
      </c>
      <c r="P441" t="e">
        <f>IF(N441="","",  IF(N441="Excluded", N441,  IF(N441="included in industry", N441,   _xlfn.XLOOKUP(N441, [1]unittypedata!$AD:$AD,[1]unittypedata!$D:$D)   )))</f>
        <v>#N/A</v>
      </c>
    </row>
    <row r="442" spans="1:16">
      <c r="A442" s="5" t="s">
        <v>716</v>
      </c>
      <c r="B442" s="5" t="s">
        <v>723</v>
      </c>
      <c r="C442" s="6" t="s">
        <v>29</v>
      </c>
      <c r="D442" s="7">
        <v>2005</v>
      </c>
      <c r="E442" s="6">
        <v>1</v>
      </c>
      <c r="F442" s="7" t="s">
        <v>30</v>
      </c>
      <c r="G442" s="8">
        <v>1</v>
      </c>
      <c r="H442" s="7" t="s">
        <v>30</v>
      </c>
      <c r="I442" s="8">
        <v>1</v>
      </c>
      <c r="J442" s="7"/>
      <c r="K442" s="7"/>
      <c r="L442" s="6" t="s">
        <v>68</v>
      </c>
      <c r="M442" s="9" t="s">
        <v>30</v>
      </c>
      <c r="N442" s="7" t="s">
        <v>1657</v>
      </c>
      <c r="P442" t="e">
        <f>IF(N442="","",  IF(N442="Excluded", N442,  IF(N442="included in industry", N442,   _xlfn.XLOOKUP(N442, [1]unittypedata!$AD:$AD,[1]unittypedata!$D:$D)   )))</f>
        <v>#N/A</v>
      </c>
    </row>
    <row r="443" spans="1:16">
      <c r="A443" s="11" t="s">
        <v>716</v>
      </c>
      <c r="B443" s="11" t="s">
        <v>718</v>
      </c>
      <c r="C443" s="12" t="s">
        <v>52</v>
      </c>
      <c r="D443" s="13">
        <v>1995</v>
      </c>
      <c r="E443" s="12">
        <v>1</v>
      </c>
      <c r="F443" s="13">
        <v>84.6</v>
      </c>
      <c r="G443" s="14">
        <v>22.4</v>
      </c>
      <c r="H443" s="13">
        <v>28</v>
      </c>
      <c r="I443" s="14">
        <v>135</v>
      </c>
      <c r="J443" s="13">
        <v>32.4</v>
      </c>
      <c r="K443" s="13"/>
      <c r="L443" s="12" t="s">
        <v>46</v>
      </c>
      <c r="M443" s="15" t="s">
        <v>30</v>
      </c>
      <c r="N443" s="7" t="s">
        <v>1656</v>
      </c>
      <c r="P443" t="e">
        <f>IF(N443="","",  IF(N443="Excluded", N443,  IF(N443="included in industry", N443,   _xlfn.XLOOKUP(N443, [1]unittypedata!$AD:$AD,[1]unittypedata!$D:$D)   )))</f>
        <v>#N/A</v>
      </c>
    </row>
    <row r="444" spans="1:16">
      <c r="A444" s="5" t="s">
        <v>724</v>
      </c>
      <c r="B444" s="5" t="s">
        <v>725</v>
      </c>
      <c r="C444" s="6" t="s">
        <v>29</v>
      </c>
      <c r="D444" s="7">
        <v>1984</v>
      </c>
      <c r="E444" s="6">
        <v>3</v>
      </c>
      <c r="F444" s="7" t="s">
        <v>30</v>
      </c>
      <c r="G444" s="8" t="s">
        <v>158</v>
      </c>
      <c r="H444" s="7" t="s">
        <v>158</v>
      </c>
      <c r="I444" s="8">
        <v>36</v>
      </c>
      <c r="J444" s="7"/>
      <c r="K444" s="7"/>
      <c r="L444" s="6" t="s">
        <v>33</v>
      </c>
      <c r="M444" s="9" t="s">
        <v>30</v>
      </c>
      <c r="N444" s="7" t="s">
        <v>1654</v>
      </c>
      <c r="P444" t="e">
        <f>IF(N444="","",  IF(N444="Excluded", N444,  IF(N444="included in industry", N444,   _xlfn.XLOOKUP(N444, [1]unittypedata!$AD:$AD,[1]unittypedata!$D:$D)   )))</f>
        <v>#N/A</v>
      </c>
    </row>
    <row r="445" spans="1:16">
      <c r="A445" s="5" t="s">
        <v>724</v>
      </c>
      <c r="B445" s="5" t="s">
        <v>726</v>
      </c>
      <c r="C445" s="6" t="s">
        <v>29</v>
      </c>
      <c r="D445" s="7">
        <v>1991</v>
      </c>
      <c r="E445" s="6">
        <v>3</v>
      </c>
      <c r="F445" s="7" t="s">
        <v>30</v>
      </c>
      <c r="G445" s="8" t="s">
        <v>158</v>
      </c>
      <c r="H445" s="7" t="s">
        <v>158</v>
      </c>
      <c r="I445" s="8">
        <v>34</v>
      </c>
      <c r="J445" s="7"/>
      <c r="K445" s="7"/>
      <c r="L445" s="6" t="s">
        <v>44</v>
      </c>
      <c r="M445" s="9" t="s">
        <v>30</v>
      </c>
      <c r="N445" s="7" t="s">
        <v>1653</v>
      </c>
      <c r="P445" t="e">
        <f>IF(N445="","",  IF(N445="Excluded", N445,  IF(N445="included in industry", N445,   _xlfn.XLOOKUP(N445, [1]unittypedata!$AD:$AD,[1]unittypedata!$D:$D)   )))</f>
        <v>#N/A</v>
      </c>
    </row>
    <row r="446" spans="1:16">
      <c r="A446" s="5" t="s">
        <v>724</v>
      </c>
      <c r="B446" s="5" t="s">
        <v>727</v>
      </c>
      <c r="C446" s="6" t="s">
        <v>29</v>
      </c>
      <c r="D446" s="7">
        <v>1981</v>
      </c>
      <c r="E446" s="6">
        <v>3</v>
      </c>
      <c r="F446" s="7" t="s">
        <v>30</v>
      </c>
      <c r="G446" s="8" t="s">
        <v>158</v>
      </c>
      <c r="H446" s="7" t="s">
        <v>158</v>
      </c>
      <c r="I446" s="8">
        <v>4.9000000000000004</v>
      </c>
      <c r="J446" s="7"/>
      <c r="K446" s="7"/>
      <c r="L446" s="6" t="s">
        <v>31</v>
      </c>
      <c r="M446" s="9" t="s">
        <v>30</v>
      </c>
      <c r="N446" s="7" t="s">
        <v>1653</v>
      </c>
      <c r="P446" t="e">
        <f>IF(N446="","",  IF(N446="Excluded", N446,  IF(N446="included in industry", N446,   _xlfn.XLOOKUP(N446, [1]unittypedata!$AD:$AD,[1]unittypedata!$D:$D)   )))</f>
        <v>#N/A</v>
      </c>
    </row>
    <row r="447" spans="1:16">
      <c r="A447" s="5" t="s">
        <v>724</v>
      </c>
      <c r="B447" s="5" t="s">
        <v>728</v>
      </c>
      <c r="C447" s="6" t="s">
        <v>29</v>
      </c>
      <c r="D447" s="7">
        <v>1990</v>
      </c>
      <c r="E447" s="6">
        <v>1</v>
      </c>
      <c r="F447" s="7" t="s">
        <v>30</v>
      </c>
      <c r="G447" s="8" t="s">
        <v>158</v>
      </c>
      <c r="H447" s="7" t="s">
        <v>158</v>
      </c>
      <c r="I447" s="8">
        <v>4.9000000000000004</v>
      </c>
      <c r="J447" s="7"/>
      <c r="K447" s="7"/>
      <c r="L447" s="6" t="s">
        <v>31</v>
      </c>
      <c r="M447" s="9" t="s">
        <v>30</v>
      </c>
      <c r="N447" s="7" t="s">
        <v>1653</v>
      </c>
      <c r="P447" t="e">
        <f>IF(N447="","",  IF(N447="Excluded", N447,  IF(N447="included in industry", N447,   _xlfn.XLOOKUP(N447, [1]unittypedata!$AD:$AD,[1]unittypedata!$D:$D)   )))</f>
        <v>#N/A</v>
      </c>
    </row>
    <row r="448" spans="1:16">
      <c r="A448" s="5" t="s">
        <v>724</v>
      </c>
      <c r="B448" s="5" t="s">
        <v>729</v>
      </c>
      <c r="C448" s="6" t="s">
        <v>52</v>
      </c>
      <c r="D448" s="7">
        <v>1996</v>
      </c>
      <c r="E448" s="6">
        <v>1</v>
      </c>
      <c r="F448" s="7">
        <v>48</v>
      </c>
      <c r="G448" s="8" t="s">
        <v>30</v>
      </c>
      <c r="H448" s="7" t="s">
        <v>158</v>
      </c>
      <c r="I448" s="8">
        <f>F448</f>
        <v>48</v>
      </c>
      <c r="J448" s="7">
        <v>17.2</v>
      </c>
      <c r="K448" s="7"/>
      <c r="L448" s="6" t="s">
        <v>118</v>
      </c>
      <c r="M448" s="9" t="s">
        <v>30</v>
      </c>
      <c r="N448" s="7" t="s">
        <v>1656</v>
      </c>
      <c r="P448" t="e">
        <f>IF(N448="","",  IF(N448="Excluded", N448,  IF(N448="included in industry", N448,   _xlfn.XLOOKUP(N448, [1]unittypedata!$AD:$AD,[1]unittypedata!$D:$D)   )))</f>
        <v>#N/A</v>
      </c>
    </row>
    <row r="449" spans="1:16">
      <c r="A449" s="16" t="s">
        <v>730</v>
      </c>
      <c r="B449" s="16" t="s">
        <v>731</v>
      </c>
      <c r="C449" s="17" t="s">
        <v>29</v>
      </c>
      <c r="D449" s="18">
        <v>2006</v>
      </c>
      <c r="E449" s="17">
        <v>3</v>
      </c>
      <c r="F449" s="18" t="s">
        <v>30</v>
      </c>
      <c r="G449" s="19">
        <v>6.5</v>
      </c>
      <c r="H449" s="18" t="s">
        <v>30</v>
      </c>
      <c r="I449" s="19">
        <v>6.5</v>
      </c>
      <c r="J449" s="18"/>
      <c r="K449" s="18"/>
      <c r="L449" s="17" t="s">
        <v>46</v>
      </c>
      <c r="M449" s="20" t="s">
        <v>30</v>
      </c>
      <c r="N449" s="7" t="s">
        <v>1653</v>
      </c>
      <c r="P449" t="e">
        <f>IF(N449="","",  IF(N449="Excluded", N449,  IF(N449="included in industry", N449,   _xlfn.XLOOKUP(N449, [1]unittypedata!$AD:$AD,[1]unittypedata!$D:$D)   )))</f>
        <v>#N/A</v>
      </c>
    </row>
    <row r="450" spans="1:16">
      <c r="A450" s="23" t="s">
        <v>732</v>
      </c>
      <c r="B450" s="23" t="s">
        <v>733</v>
      </c>
      <c r="C450" s="24" t="s">
        <v>29</v>
      </c>
      <c r="D450" s="25" t="s">
        <v>158</v>
      </c>
      <c r="E450" s="24">
        <v>4</v>
      </c>
      <c r="F450" s="25" t="s">
        <v>30</v>
      </c>
      <c r="G450" s="26">
        <v>21.6</v>
      </c>
      <c r="H450" s="25" t="s">
        <v>30</v>
      </c>
      <c r="I450" s="26">
        <v>21.6</v>
      </c>
      <c r="J450" s="25"/>
      <c r="K450" s="25"/>
      <c r="L450" s="24" t="s">
        <v>46</v>
      </c>
      <c r="M450" s="27" t="s">
        <v>30</v>
      </c>
      <c r="N450" s="7" t="s">
        <v>1653</v>
      </c>
      <c r="P450" t="e">
        <f>IF(N450="","",  IF(N450="Excluded", N450,  IF(N450="included in industry", N450,   _xlfn.XLOOKUP(N450, [1]unittypedata!$AD:$AD,[1]unittypedata!$D:$D)   )))</f>
        <v>#N/A</v>
      </c>
    </row>
    <row r="451" spans="1:16">
      <c r="A451" s="5" t="s">
        <v>734</v>
      </c>
      <c r="B451" s="5" t="s">
        <v>735</v>
      </c>
      <c r="C451" s="6" t="s">
        <v>29</v>
      </c>
      <c r="D451" s="7">
        <v>2001</v>
      </c>
      <c r="E451" s="6">
        <v>1</v>
      </c>
      <c r="F451" s="7" t="s">
        <v>30</v>
      </c>
      <c r="G451" s="8">
        <v>2</v>
      </c>
      <c r="H451" s="7" t="s">
        <v>30</v>
      </c>
      <c r="I451" s="8">
        <v>2</v>
      </c>
      <c r="J451" s="7"/>
      <c r="K451" s="7"/>
      <c r="L451" s="6" t="s">
        <v>118</v>
      </c>
      <c r="M451" s="9" t="s">
        <v>30</v>
      </c>
      <c r="N451" s="7" t="s">
        <v>1653</v>
      </c>
      <c r="P451" t="e">
        <f>IF(N451="","",  IF(N451="Excluded", N451,  IF(N451="included in industry", N451,   _xlfn.XLOOKUP(N451, [1]unittypedata!$AD:$AD,[1]unittypedata!$D:$D)   )))</f>
        <v>#N/A</v>
      </c>
    </row>
    <row r="452" spans="1:16">
      <c r="A452" s="5" t="s">
        <v>734</v>
      </c>
      <c r="B452" s="28" t="s">
        <v>736</v>
      </c>
      <c r="C452" s="6" t="s">
        <v>29</v>
      </c>
      <c r="D452" s="7">
        <v>1982</v>
      </c>
      <c r="E452" s="6">
        <v>3</v>
      </c>
      <c r="F452" s="7" t="s">
        <v>30</v>
      </c>
      <c r="G452" s="8">
        <v>4.3</v>
      </c>
      <c r="H452" s="7" t="s">
        <v>30</v>
      </c>
      <c r="I452" s="8">
        <v>4.3</v>
      </c>
      <c r="J452" s="7"/>
      <c r="K452" s="7"/>
      <c r="L452" s="6" t="s">
        <v>31</v>
      </c>
      <c r="M452" s="9" t="s">
        <v>30</v>
      </c>
      <c r="N452" s="7" t="s">
        <v>1654</v>
      </c>
      <c r="P452" t="e">
        <f>IF(N452="","",  IF(N452="Excluded", N452,  IF(N452="included in industry", N452,   _xlfn.XLOOKUP(N452, [1]unittypedata!$AD:$AD,[1]unittypedata!$D:$D)   )))</f>
        <v>#N/A</v>
      </c>
    </row>
    <row r="453" spans="1:16">
      <c r="A453" s="11" t="s">
        <v>734</v>
      </c>
      <c r="B453" s="11" t="s">
        <v>737</v>
      </c>
      <c r="C453" s="12" t="s">
        <v>29</v>
      </c>
      <c r="D453" s="13" t="s">
        <v>158</v>
      </c>
      <c r="E453" s="12">
        <v>2</v>
      </c>
      <c r="F453" s="13" t="s">
        <v>30</v>
      </c>
      <c r="G453" s="14">
        <v>1.8</v>
      </c>
      <c r="H453" s="13" t="s">
        <v>30</v>
      </c>
      <c r="I453" s="14">
        <v>1.8</v>
      </c>
      <c r="J453" s="13"/>
      <c r="K453" s="13"/>
      <c r="L453" s="12" t="s">
        <v>44</v>
      </c>
      <c r="M453" s="15" t="s">
        <v>30</v>
      </c>
      <c r="N453" s="7" t="s">
        <v>1653</v>
      </c>
      <c r="P453" t="e">
        <f>IF(N453="","",  IF(N453="Excluded", N453,  IF(N453="included in industry", N453,   _xlfn.XLOOKUP(N453, [1]unittypedata!$AD:$AD,[1]unittypedata!$D:$D)   )))</f>
        <v>#N/A</v>
      </c>
    </row>
    <row r="454" spans="1:16">
      <c r="A454" s="5" t="s">
        <v>738</v>
      </c>
      <c r="B454" s="5" t="s">
        <v>739</v>
      </c>
      <c r="C454" s="6" t="s">
        <v>29</v>
      </c>
      <c r="D454" s="7">
        <v>2004</v>
      </c>
      <c r="E454" s="6">
        <v>2</v>
      </c>
      <c r="F454" s="7" t="s">
        <v>30</v>
      </c>
      <c r="G454" s="8">
        <v>11</v>
      </c>
      <c r="H454" s="7" t="s">
        <v>30</v>
      </c>
      <c r="I454" s="8">
        <v>11</v>
      </c>
      <c r="J454" s="7"/>
      <c r="K454" s="7"/>
      <c r="L454" s="6" t="s">
        <v>31</v>
      </c>
      <c r="M454" s="9" t="s">
        <v>30</v>
      </c>
      <c r="N454" s="7" t="s">
        <v>1654</v>
      </c>
      <c r="P454" t="e">
        <f>IF(N454="","",  IF(N454="Excluded", N454,  IF(N454="included in industry", N454,   _xlfn.XLOOKUP(N454, [1]unittypedata!$AD:$AD,[1]unittypedata!$D:$D)   )))</f>
        <v>#N/A</v>
      </c>
    </row>
    <row r="455" spans="1:16">
      <c r="A455" s="5" t="s">
        <v>738</v>
      </c>
      <c r="B455" s="5" t="s">
        <v>740</v>
      </c>
      <c r="C455" s="6" t="s">
        <v>29</v>
      </c>
      <c r="D455" s="7">
        <v>2004</v>
      </c>
      <c r="E455" s="6">
        <v>2</v>
      </c>
      <c r="F455" s="7" t="s">
        <v>30</v>
      </c>
      <c r="G455" s="8">
        <v>15.4</v>
      </c>
      <c r="H455" s="7" t="s">
        <v>30</v>
      </c>
      <c r="I455" s="8">
        <v>15.4</v>
      </c>
      <c r="J455" s="7"/>
      <c r="K455" s="7"/>
      <c r="L455" s="6" t="s">
        <v>118</v>
      </c>
      <c r="M455" s="9" t="s">
        <v>30</v>
      </c>
      <c r="N455" s="7" t="s">
        <v>1653</v>
      </c>
      <c r="P455" t="e">
        <f>IF(N455="","",  IF(N455="Excluded", N455,  IF(N455="included in industry", N455,   _xlfn.XLOOKUP(N455, [1]unittypedata!$AD:$AD,[1]unittypedata!$D:$D)   )))</f>
        <v>#N/A</v>
      </c>
    </row>
    <row r="456" spans="1:16">
      <c r="A456" s="23" t="s">
        <v>741</v>
      </c>
      <c r="B456" s="23" t="s">
        <v>158</v>
      </c>
      <c r="C456" s="24" t="s">
        <v>29</v>
      </c>
      <c r="D456" s="25" t="s">
        <v>158</v>
      </c>
      <c r="E456" s="24" t="s">
        <v>158</v>
      </c>
      <c r="F456" s="25" t="s">
        <v>30</v>
      </c>
      <c r="G456" s="26" t="s">
        <v>158</v>
      </c>
      <c r="H456" s="25" t="s">
        <v>158</v>
      </c>
      <c r="I456" s="26" t="s">
        <v>158</v>
      </c>
      <c r="J456" s="25"/>
      <c r="K456" s="25"/>
      <c r="L456" s="24" t="s">
        <v>158</v>
      </c>
      <c r="M456" s="27" t="s">
        <v>30</v>
      </c>
      <c r="N456" s="7" t="s">
        <v>58</v>
      </c>
      <c r="P456" t="str">
        <f>IF(N456="","",  IF(N456="Excluded", N456,  IF(N456="included in industry", N456,   _xlfn.XLOOKUP(N456, [1]unittypedata!$AD:$AD,[1]unittypedata!$D:$D)   )))</f>
        <v>Excluded</v>
      </c>
    </row>
    <row r="457" spans="1:16">
      <c r="A457" s="5" t="s">
        <v>742</v>
      </c>
      <c r="B457" s="5" t="s">
        <v>743</v>
      </c>
      <c r="C457" s="6" t="s">
        <v>29</v>
      </c>
      <c r="D457" s="7">
        <v>1984</v>
      </c>
      <c r="E457" s="6">
        <v>1</v>
      </c>
      <c r="F457" s="7" t="s">
        <v>30</v>
      </c>
      <c r="G457" s="8">
        <v>22</v>
      </c>
      <c r="H457" s="7" t="s">
        <v>30</v>
      </c>
      <c r="I457" s="8">
        <v>22</v>
      </c>
      <c r="J457" s="7"/>
      <c r="K457" s="7"/>
      <c r="L457" s="6" t="s">
        <v>33</v>
      </c>
      <c r="M457" s="9" t="s">
        <v>30</v>
      </c>
      <c r="N457" s="7" t="s">
        <v>1654</v>
      </c>
      <c r="P457" t="e">
        <f>IF(N457="","",  IF(N457="Excluded", N457,  IF(N457="included in industry", N457,   _xlfn.XLOOKUP(N457, [1]unittypedata!$AD:$AD,[1]unittypedata!$D:$D)   )))</f>
        <v>#N/A</v>
      </c>
    </row>
    <row r="458" spans="1:16">
      <c r="A458" s="5" t="s">
        <v>742</v>
      </c>
      <c r="B458" s="5" t="s">
        <v>744</v>
      </c>
      <c r="C458" s="6" t="s">
        <v>29</v>
      </c>
      <c r="D458" s="7">
        <v>1985</v>
      </c>
      <c r="E458" s="6">
        <v>2</v>
      </c>
      <c r="F458" s="7" t="s">
        <v>30</v>
      </c>
      <c r="G458" s="8">
        <v>13</v>
      </c>
      <c r="H458" s="7" t="s">
        <v>30</v>
      </c>
      <c r="I458" s="8">
        <v>13</v>
      </c>
      <c r="J458" s="7"/>
      <c r="K458" s="7"/>
      <c r="L458" s="6" t="s">
        <v>33</v>
      </c>
      <c r="M458" s="9" t="s">
        <v>30</v>
      </c>
      <c r="N458" s="7" t="s">
        <v>1654</v>
      </c>
      <c r="P458" t="e">
        <f>IF(N458="","",  IF(N458="Excluded", N458,  IF(N458="included in industry", N458,   _xlfn.XLOOKUP(N458, [1]unittypedata!$AD:$AD,[1]unittypedata!$D:$D)   )))</f>
        <v>#N/A</v>
      </c>
    </row>
    <row r="459" spans="1:16">
      <c r="A459" s="5" t="s">
        <v>742</v>
      </c>
      <c r="B459" s="5" t="s">
        <v>745</v>
      </c>
      <c r="C459" s="6" t="s">
        <v>29</v>
      </c>
      <c r="D459" s="7">
        <v>1995</v>
      </c>
      <c r="E459" s="6">
        <v>1</v>
      </c>
      <c r="F459" s="7" t="s">
        <v>30</v>
      </c>
      <c r="G459" s="8">
        <v>8</v>
      </c>
      <c r="H459" s="7" t="s">
        <v>30</v>
      </c>
      <c r="I459" s="8">
        <v>8</v>
      </c>
      <c r="J459" s="7"/>
      <c r="K459" s="7"/>
      <c r="L459" s="6" t="s">
        <v>33</v>
      </c>
      <c r="M459" s="9" t="s">
        <v>30</v>
      </c>
      <c r="N459" s="7" t="s">
        <v>1654</v>
      </c>
      <c r="P459" t="e">
        <f>IF(N459="","",  IF(N459="Excluded", N459,  IF(N459="included in industry", N459,   _xlfn.XLOOKUP(N459, [1]unittypedata!$AD:$AD,[1]unittypedata!$D:$D)   )))</f>
        <v>#N/A</v>
      </c>
    </row>
    <row r="460" spans="1:16">
      <c r="A460" s="5" t="s">
        <v>742</v>
      </c>
      <c r="B460" s="5" t="s">
        <v>746</v>
      </c>
      <c r="C460" s="6" t="s">
        <v>29</v>
      </c>
      <c r="D460" s="7">
        <v>2000</v>
      </c>
      <c r="E460" s="6">
        <v>1</v>
      </c>
      <c r="F460" s="7" t="s">
        <v>30</v>
      </c>
      <c r="G460" s="8">
        <v>8</v>
      </c>
      <c r="H460" s="7" t="s">
        <v>30</v>
      </c>
      <c r="I460" s="8">
        <v>8</v>
      </c>
      <c r="J460" s="7"/>
      <c r="K460" s="7"/>
      <c r="L460" s="6" t="s">
        <v>33</v>
      </c>
      <c r="M460" s="9" t="s">
        <v>30</v>
      </c>
      <c r="N460" s="7" t="s">
        <v>1654</v>
      </c>
      <c r="P460" t="e">
        <f>IF(N460="","",  IF(N460="Excluded", N460,  IF(N460="included in industry", N460,   _xlfn.XLOOKUP(N460, [1]unittypedata!$AD:$AD,[1]unittypedata!$D:$D)   )))</f>
        <v>#N/A</v>
      </c>
    </row>
    <row r="461" spans="1:16">
      <c r="A461" s="5" t="s">
        <v>742</v>
      </c>
      <c r="B461" s="5" t="s">
        <v>747</v>
      </c>
      <c r="C461" s="6" t="s">
        <v>29</v>
      </c>
      <c r="D461" s="7">
        <v>2008</v>
      </c>
      <c r="E461" s="6">
        <v>1</v>
      </c>
      <c r="F461" s="7" t="s">
        <v>30</v>
      </c>
      <c r="G461" s="8">
        <v>5</v>
      </c>
      <c r="H461" s="7" t="s">
        <v>30</v>
      </c>
      <c r="I461" s="8">
        <v>5</v>
      </c>
      <c r="J461" s="7"/>
      <c r="K461" s="7"/>
      <c r="L461" s="6" t="s">
        <v>253</v>
      </c>
      <c r="M461" s="9" t="s">
        <v>30</v>
      </c>
      <c r="N461" s="7" t="s">
        <v>1653</v>
      </c>
      <c r="P461" t="e">
        <f>IF(N461="","",  IF(N461="Excluded", N461,  IF(N461="included in industry", N461,   _xlfn.XLOOKUP(N461, [1]unittypedata!$AD:$AD,[1]unittypedata!$D:$D)   )))</f>
        <v>#N/A</v>
      </c>
    </row>
    <row r="462" spans="1:16">
      <c r="A462" s="11" t="s">
        <v>742</v>
      </c>
      <c r="B462" s="11" t="s">
        <v>748</v>
      </c>
      <c r="C462" s="12" t="s">
        <v>52</v>
      </c>
      <c r="D462" s="13">
        <v>1994</v>
      </c>
      <c r="E462" s="12">
        <v>2</v>
      </c>
      <c r="F462" s="13">
        <v>22</v>
      </c>
      <c r="G462" s="14">
        <v>5</v>
      </c>
      <c r="H462" s="13" t="s">
        <v>30</v>
      </c>
      <c r="I462" s="14">
        <v>27</v>
      </c>
      <c r="J462" s="13">
        <v>7.8</v>
      </c>
      <c r="K462" s="13"/>
      <c r="L462" s="12" t="s">
        <v>118</v>
      </c>
      <c r="M462" s="15" t="s">
        <v>30</v>
      </c>
      <c r="N462" s="7" t="s">
        <v>1656</v>
      </c>
      <c r="P462" t="e">
        <f>IF(N462="","",  IF(N462="Excluded", N462,  IF(N462="included in industry", N462,   _xlfn.XLOOKUP(N462, [1]unittypedata!$AD:$AD,[1]unittypedata!$D:$D)   )))</f>
        <v>#N/A</v>
      </c>
    </row>
    <row r="463" spans="1:16">
      <c r="A463" s="5" t="s">
        <v>749</v>
      </c>
      <c r="B463" s="5" t="s">
        <v>750</v>
      </c>
      <c r="C463" s="6" t="s">
        <v>29</v>
      </c>
      <c r="D463" s="7">
        <v>2008</v>
      </c>
      <c r="E463" s="6">
        <v>1</v>
      </c>
      <c r="F463" s="7" t="s">
        <v>30</v>
      </c>
      <c r="G463" s="8">
        <v>3.5</v>
      </c>
      <c r="H463" s="7" t="s">
        <v>30</v>
      </c>
      <c r="I463" s="8">
        <v>3.5</v>
      </c>
      <c r="J463" s="7"/>
      <c r="K463" s="7"/>
      <c r="L463" s="6" t="s">
        <v>44</v>
      </c>
      <c r="M463" s="9" t="s">
        <v>30</v>
      </c>
      <c r="N463" s="7" t="s">
        <v>1653</v>
      </c>
      <c r="P463" t="e">
        <f>IF(N463="","",  IF(N463="Excluded", N463,  IF(N463="included in industry", N463,   _xlfn.XLOOKUP(N463, [1]unittypedata!$AD:$AD,[1]unittypedata!$D:$D)   )))</f>
        <v>#N/A</v>
      </c>
    </row>
    <row r="464" spans="1:16">
      <c r="A464" s="5" t="s">
        <v>749</v>
      </c>
      <c r="B464" s="5" t="s">
        <v>751</v>
      </c>
      <c r="C464" s="6" t="s">
        <v>29</v>
      </c>
      <c r="D464" s="7">
        <v>2008</v>
      </c>
      <c r="E464" s="6">
        <v>1</v>
      </c>
      <c r="F464" s="7" t="s">
        <v>30</v>
      </c>
      <c r="G464" s="8">
        <v>5</v>
      </c>
      <c r="H464" s="7" t="s">
        <v>30</v>
      </c>
      <c r="I464" s="8">
        <v>5</v>
      </c>
      <c r="J464" s="7"/>
      <c r="K464" s="7"/>
      <c r="L464" s="6" t="s">
        <v>31</v>
      </c>
      <c r="M464" s="9" t="s">
        <v>30</v>
      </c>
      <c r="N464" s="7" t="s">
        <v>1654</v>
      </c>
      <c r="P464" t="e">
        <f>IF(N464="","",  IF(N464="Excluded", N464,  IF(N464="included in industry", N464,   _xlfn.XLOOKUP(N464, [1]unittypedata!$AD:$AD,[1]unittypedata!$D:$D)   )))</f>
        <v>#N/A</v>
      </c>
    </row>
    <row r="465" spans="1:16">
      <c r="A465" s="11" t="s">
        <v>749</v>
      </c>
      <c r="B465" s="11" t="s">
        <v>752</v>
      </c>
      <c r="C465" s="12" t="s">
        <v>29</v>
      </c>
      <c r="D465" s="13">
        <v>2016</v>
      </c>
      <c r="E465" s="12">
        <v>1</v>
      </c>
      <c r="F465" s="13" t="s">
        <v>30</v>
      </c>
      <c r="G465" s="14">
        <v>3</v>
      </c>
      <c r="H465" s="13" t="s">
        <v>30</v>
      </c>
      <c r="I465" s="14">
        <v>3</v>
      </c>
      <c r="J465" s="13"/>
      <c r="K465" s="13"/>
      <c r="L465" s="12" t="s">
        <v>46</v>
      </c>
      <c r="M465" s="15" t="s">
        <v>30</v>
      </c>
      <c r="N465" s="7" t="s">
        <v>1653</v>
      </c>
      <c r="P465" t="e">
        <f>IF(N465="","",  IF(N465="Excluded", N465,  IF(N465="included in industry", N465,   _xlfn.XLOOKUP(N465, [1]unittypedata!$AD:$AD,[1]unittypedata!$D:$D)   )))</f>
        <v>#N/A</v>
      </c>
    </row>
    <row r="466" spans="1:16">
      <c r="A466" s="5" t="s">
        <v>753</v>
      </c>
      <c r="B466" s="5" t="s">
        <v>754</v>
      </c>
      <c r="C466" s="6" t="s">
        <v>29</v>
      </c>
      <c r="D466" s="7" t="s">
        <v>30</v>
      </c>
      <c r="E466" s="6">
        <v>2</v>
      </c>
      <c r="F466" s="7" t="s">
        <v>30</v>
      </c>
      <c r="G466" s="8">
        <v>3.5</v>
      </c>
      <c r="H466" s="7" t="s">
        <v>30</v>
      </c>
      <c r="I466" s="8">
        <v>3.5</v>
      </c>
      <c r="J466" s="7"/>
      <c r="K466" s="7"/>
      <c r="L466" s="6" t="s">
        <v>46</v>
      </c>
      <c r="M466" s="9" t="s">
        <v>30</v>
      </c>
      <c r="N466" s="7" t="s">
        <v>1653</v>
      </c>
      <c r="P466" t="e">
        <f>IF(N466="","",  IF(N466="Excluded", N466,  IF(N466="included in industry", N466,   _xlfn.XLOOKUP(N466, [1]unittypedata!$AD:$AD,[1]unittypedata!$D:$D)   )))</f>
        <v>#N/A</v>
      </c>
    </row>
    <row r="467" spans="1:16">
      <c r="A467" s="11" t="s">
        <v>753</v>
      </c>
      <c r="B467" s="11" t="s">
        <v>755</v>
      </c>
      <c r="C467" s="12" t="s">
        <v>29</v>
      </c>
      <c r="D467" s="13" t="s">
        <v>30</v>
      </c>
      <c r="E467" s="12">
        <v>2</v>
      </c>
      <c r="F467" s="13" t="s">
        <v>30</v>
      </c>
      <c r="G467" s="14">
        <v>4</v>
      </c>
      <c r="H467" s="13" t="s">
        <v>30</v>
      </c>
      <c r="I467" s="14">
        <v>4</v>
      </c>
      <c r="J467" s="13"/>
      <c r="K467" s="13"/>
      <c r="L467" s="12" t="s">
        <v>31</v>
      </c>
      <c r="M467" s="15" t="s">
        <v>30</v>
      </c>
      <c r="N467" s="7" t="s">
        <v>1654</v>
      </c>
      <c r="P467" t="e">
        <f>IF(N467="","",  IF(N467="Excluded", N467,  IF(N467="included in industry", N467,   _xlfn.XLOOKUP(N467, [1]unittypedata!$AD:$AD,[1]unittypedata!$D:$D)   )))</f>
        <v>#N/A</v>
      </c>
    </row>
    <row r="468" spans="1:16">
      <c r="A468" s="5" t="s">
        <v>756</v>
      </c>
      <c r="B468" s="5" t="s">
        <v>757</v>
      </c>
      <c r="C468" s="6" t="s">
        <v>29</v>
      </c>
      <c r="D468" s="7">
        <v>1981</v>
      </c>
      <c r="E468" s="6">
        <v>3</v>
      </c>
      <c r="F468" s="7" t="s">
        <v>30</v>
      </c>
      <c r="G468" s="8">
        <v>10</v>
      </c>
      <c r="H468" s="7" t="s">
        <v>30</v>
      </c>
      <c r="I468" s="8">
        <v>10</v>
      </c>
      <c r="J468" s="7"/>
      <c r="K468" s="7"/>
      <c r="L468" s="6" t="s">
        <v>33</v>
      </c>
      <c r="M468" s="9" t="s">
        <v>30</v>
      </c>
      <c r="N468" s="7" t="s">
        <v>1654</v>
      </c>
      <c r="P468" t="e">
        <f>IF(N468="","",  IF(N468="Excluded", N468,  IF(N468="included in industry", N468,   _xlfn.XLOOKUP(N468, [1]unittypedata!$AD:$AD,[1]unittypedata!$D:$D)   )))</f>
        <v>#N/A</v>
      </c>
    </row>
    <row r="469" spans="1:16">
      <c r="A469" s="11" t="s">
        <v>756</v>
      </c>
      <c r="B469" s="11" t="s">
        <v>758</v>
      </c>
      <c r="C469" s="12" t="s">
        <v>29</v>
      </c>
      <c r="D469" s="13">
        <v>2019</v>
      </c>
      <c r="E469" s="12">
        <v>1</v>
      </c>
      <c r="F469" s="13" t="s">
        <v>30</v>
      </c>
      <c r="G469" s="14">
        <v>3.5</v>
      </c>
      <c r="H469" s="13" t="s">
        <v>30</v>
      </c>
      <c r="I469" s="14">
        <v>3.5</v>
      </c>
      <c r="J469" s="13"/>
      <c r="K469" s="13"/>
      <c r="L469" s="12" t="s">
        <v>46</v>
      </c>
      <c r="M469" s="15" t="s">
        <v>30</v>
      </c>
      <c r="N469" s="7" t="s">
        <v>1653</v>
      </c>
      <c r="P469" t="e">
        <f>IF(N469="","",  IF(N469="Excluded", N469,  IF(N469="included in industry", N469,   _xlfn.XLOOKUP(N469, [1]unittypedata!$AD:$AD,[1]unittypedata!$D:$D)   )))</f>
        <v>#N/A</v>
      </c>
    </row>
    <row r="470" spans="1:16">
      <c r="A470" s="5" t="s">
        <v>759</v>
      </c>
      <c r="B470" s="5" t="s">
        <v>760</v>
      </c>
      <c r="C470" s="6" t="s">
        <v>29</v>
      </c>
      <c r="D470" s="7">
        <v>1984</v>
      </c>
      <c r="E470" s="6">
        <v>3</v>
      </c>
      <c r="F470" s="7" t="s">
        <v>30</v>
      </c>
      <c r="G470" s="8">
        <v>2.5</v>
      </c>
      <c r="H470" s="7" t="s">
        <v>30</v>
      </c>
      <c r="I470" s="8">
        <v>2.5</v>
      </c>
      <c r="J470" s="7"/>
      <c r="K470" s="7"/>
      <c r="L470" s="6" t="s">
        <v>46</v>
      </c>
      <c r="M470" s="9" t="s">
        <v>30</v>
      </c>
      <c r="N470" s="7" t="s">
        <v>1653</v>
      </c>
      <c r="P470" t="e">
        <f>IF(N470="","",  IF(N470="Excluded", N470,  IF(N470="included in industry", N470,   _xlfn.XLOOKUP(N470, [1]unittypedata!$AD:$AD,[1]unittypedata!$D:$D)   )))</f>
        <v>#N/A</v>
      </c>
    </row>
    <row r="471" spans="1:16">
      <c r="A471" s="5" t="s">
        <v>759</v>
      </c>
      <c r="B471" s="5" t="s">
        <v>761</v>
      </c>
      <c r="C471" s="6" t="s">
        <v>29</v>
      </c>
      <c r="D471" s="7">
        <v>1979</v>
      </c>
      <c r="E471" s="6">
        <v>2</v>
      </c>
      <c r="F471" s="7" t="s">
        <v>30</v>
      </c>
      <c r="G471" s="8">
        <v>4</v>
      </c>
      <c r="H471" s="7" t="s">
        <v>30</v>
      </c>
      <c r="I471" s="8">
        <v>4</v>
      </c>
      <c r="J471" s="7"/>
      <c r="K471" s="7"/>
      <c r="L471" s="6" t="s">
        <v>31</v>
      </c>
      <c r="M471" s="9" t="s">
        <v>30</v>
      </c>
      <c r="N471" s="7" t="s">
        <v>1654</v>
      </c>
      <c r="P471" t="e">
        <f>IF(N471="","",  IF(N471="Excluded", N471,  IF(N471="included in industry", N471,   _xlfn.XLOOKUP(N471, [1]unittypedata!$AD:$AD,[1]unittypedata!$D:$D)   )))</f>
        <v>#N/A</v>
      </c>
    </row>
    <row r="472" spans="1:16">
      <c r="A472" s="23" t="s">
        <v>762</v>
      </c>
      <c r="B472" s="23" t="s">
        <v>763</v>
      </c>
      <c r="C472" s="24" t="s">
        <v>52</v>
      </c>
      <c r="D472" s="25">
        <v>1920</v>
      </c>
      <c r="E472" s="24">
        <v>4</v>
      </c>
      <c r="F472" s="25">
        <v>60</v>
      </c>
      <c r="G472" s="26" t="s">
        <v>30</v>
      </c>
      <c r="H472" s="25" t="s">
        <v>158</v>
      </c>
      <c r="I472" s="26">
        <f>F472</f>
        <v>60</v>
      </c>
      <c r="J472" s="25">
        <v>10</v>
      </c>
      <c r="K472" s="25"/>
      <c r="L472" s="24" t="s">
        <v>118</v>
      </c>
      <c r="M472" s="27" t="s">
        <v>30</v>
      </c>
      <c r="N472" s="7" t="s">
        <v>1656</v>
      </c>
      <c r="P472" t="e">
        <f>IF(N472="","",  IF(N472="Excluded", N472,  IF(N472="included in industry", N472,   _xlfn.XLOOKUP(N472, [1]unittypedata!$AD:$AD,[1]unittypedata!$D:$D)   )))</f>
        <v>#N/A</v>
      </c>
    </row>
    <row r="473" spans="1:16">
      <c r="A473" s="5" t="s">
        <v>764</v>
      </c>
      <c r="B473" s="5" t="s">
        <v>765</v>
      </c>
      <c r="C473" s="6" t="s">
        <v>29</v>
      </c>
      <c r="D473" s="7">
        <v>2009</v>
      </c>
      <c r="E473" s="6">
        <v>1</v>
      </c>
      <c r="F473" s="7" t="s">
        <v>30</v>
      </c>
      <c r="G473" s="8" t="s">
        <v>158</v>
      </c>
      <c r="H473" s="7" t="s">
        <v>158</v>
      </c>
      <c r="I473" s="8">
        <v>7</v>
      </c>
      <c r="J473" s="7"/>
      <c r="K473" s="7"/>
      <c r="L473" s="6" t="s">
        <v>118</v>
      </c>
      <c r="M473" s="9" t="s">
        <v>30</v>
      </c>
      <c r="N473" s="7" t="s">
        <v>1653</v>
      </c>
      <c r="P473" t="e">
        <f>IF(N473="","",  IF(N473="Excluded", N473,  IF(N473="included in industry", N473,   _xlfn.XLOOKUP(N473, [1]unittypedata!$AD:$AD,[1]unittypedata!$D:$D)   )))</f>
        <v>#N/A</v>
      </c>
    </row>
    <row r="474" spans="1:16">
      <c r="A474" s="5" t="s">
        <v>764</v>
      </c>
      <c r="B474" s="5" t="s">
        <v>766</v>
      </c>
      <c r="C474" s="6" t="s">
        <v>29</v>
      </c>
      <c r="D474" s="7" t="s">
        <v>158</v>
      </c>
      <c r="E474" s="6">
        <v>1</v>
      </c>
      <c r="F474" s="7" t="s">
        <v>30</v>
      </c>
      <c r="G474" s="8" t="s">
        <v>158</v>
      </c>
      <c r="H474" s="7" t="s">
        <v>158</v>
      </c>
      <c r="I474" s="8">
        <v>10</v>
      </c>
      <c r="J474" s="7"/>
      <c r="K474" s="7"/>
      <c r="L474" s="6" t="s">
        <v>31</v>
      </c>
      <c r="M474" s="9" t="s">
        <v>30</v>
      </c>
      <c r="N474" s="7" t="s">
        <v>1654</v>
      </c>
      <c r="P474" t="e">
        <f>IF(N474="","",  IF(N474="Excluded", N474,  IF(N474="included in industry", N474,   _xlfn.XLOOKUP(N474, [1]unittypedata!$AD:$AD,[1]unittypedata!$D:$D)   )))</f>
        <v>#N/A</v>
      </c>
    </row>
    <row r="475" spans="1:16">
      <c r="A475" s="5" t="s">
        <v>764</v>
      </c>
      <c r="B475" s="5" t="s">
        <v>767</v>
      </c>
      <c r="C475" s="6" t="s">
        <v>52</v>
      </c>
      <c r="D475" s="7">
        <v>1981</v>
      </c>
      <c r="E475" s="6">
        <v>3</v>
      </c>
      <c r="F475" s="7">
        <v>13</v>
      </c>
      <c r="G475" s="8">
        <v>7</v>
      </c>
      <c r="H475" s="7" t="s">
        <v>158</v>
      </c>
      <c r="I475" s="8">
        <f>F475+G475</f>
        <v>20</v>
      </c>
      <c r="J475" s="7">
        <v>2</v>
      </c>
      <c r="K475" s="7"/>
      <c r="L475" s="6" t="s">
        <v>118</v>
      </c>
      <c r="M475" s="9" t="s">
        <v>30</v>
      </c>
      <c r="N475" s="7" t="s">
        <v>1656</v>
      </c>
      <c r="P475" t="e">
        <f>IF(N475="","",  IF(N475="Excluded", N475,  IF(N475="included in industry", N475,   _xlfn.XLOOKUP(N475, [1]unittypedata!$AD:$AD,[1]unittypedata!$D:$D)   )))</f>
        <v>#N/A</v>
      </c>
    </row>
    <row r="476" spans="1:16">
      <c r="A476" s="23" t="s">
        <v>768</v>
      </c>
      <c r="B476" s="23" t="s">
        <v>769</v>
      </c>
      <c r="C476" s="24" t="s">
        <v>29</v>
      </c>
      <c r="D476" s="25">
        <v>2011</v>
      </c>
      <c r="E476" s="24">
        <v>3</v>
      </c>
      <c r="F476" s="25" t="s">
        <v>30</v>
      </c>
      <c r="G476" s="26">
        <v>9</v>
      </c>
      <c r="H476" s="25" t="s">
        <v>30</v>
      </c>
      <c r="I476" s="26">
        <v>9</v>
      </c>
      <c r="J476" s="25"/>
      <c r="K476" s="25"/>
      <c r="L476" s="24" t="s">
        <v>46</v>
      </c>
      <c r="M476" s="27" t="s">
        <v>30</v>
      </c>
      <c r="N476" s="7" t="s">
        <v>1653</v>
      </c>
      <c r="P476" t="e">
        <f>IF(N476="","",  IF(N476="Excluded", N476,  IF(N476="included in industry", N476,   _xlfn.XLOOKUP(N476, [1]unittypedata!$AD:$AD,[1]unittypedata!$D:$D)   )))</f>
        <v>#N/A</v>
      </c>
    </row>
    <row r="477" spans="1:16">
      <c r="A477" s="5" t="s">
        <v>770</v>
      </c>
      <c r="B477" s="5" t="s">
        <v>771</v>
      </c>
      <c r="C477" s="6" t="s">
        <v>29</v>
      </c>
      <c r="D477" s="7">
        <v>2003</v>
      </c>
      <c r="E477" s="6">
        <v>1</v>
      </c>
      <c r="F477" s="7" t="s">
        <v>30</v>
      </c>
      <c r="G477" s="8">
        <v>3</v>
      </c>
      <c r="H477" s="7" t="s">
        <v>30</v>
      </c>
      <c r="I477" s="8">
        <v>3</v>
      </c>
      <c r="J477" s="7"/>
      <c r="K477" s="7"/>
      <c r="L477" s="6" t="s">
        <v>118</v>
      </c>
      <c r="M477" s="9" t="s">
        <v>30</v>
      </c>
      <c r="N477" s="7" t="s">
        <v>1653</v>
      </c>
      <c r="P477" t="e">
        <f>IF(N477="","",  IF(N477="Excluded", N477,  IF(N477="included in industry", N477,   _xlfn.XLOOKUP(N477, [1]unittypedata!$AD:$AD,[1]unittypedata!$D:$D)   )))</f>
        <v>#N/A</v>
      </c>
    </row>
    <row r="478" spans="1:16">
      <c r="A478" s="11" t="s">
        <v>770</v>
      </c>
      <c r="B478" s="11" t="s">
        <v>772</v>
      </c>
      <c r="C478" s="12" t="s">
        <v>29</v>
      </c>
      <c r="D478" s="13">
        <v>1986</v>
      </c>
      <c r="E478" s="12">
        <v>4</v>
      </c>
      <c r="F478" s="13" t="s">
        <v>30</v>
      </c>
      <c r="G478" s="14">
        <v>7.2</v>
      </c>
      <c r="H478" s="13" t="s">
        <v>30</v>
      </c>
      <c r="I478" s="14">
        <v>7.2</v>
      </c>
      <c r="J478" s="13"/>
      <c r="K478" s="13"/>
      <c r="L478" s="12" t="s">
        <v>33</v>
      </c>
      <c r="M478" s="15" t="s">
        <v>30</v>
      </c>
      <c r="N478" s="7" t="s">
        <v>1654</v>
      </c>
      <c r="P478" t="e">
        <f>IF(N478="","",  IF(N478="Excluded", N478,  IF(N478="included in industry", N478,   _xlfn.XLOOKUP(N478, [1]unittypedata!$AD:$AD,[1]unittypedata!$D:$D)   )))</f>
        <v>#N/A</v>
      </c>
    </row>
    <row r="479" spans="1:16">
      <c r="A479" s="5" t="s">
        <v>773</v>
      </c>
      <c r="B479" s="5" t="s">
        <v>774</v>
      </c>
      <c r="C479" s="6" t="s">
        <v>29</v>
      </c>
      <c r="D479" s="7">
        <v>2007</v>
      </c>
      <c r="E479" s="6">
        <v>2</v>
      </c>
      <c r="F479" s="7" t="s">
        <v>30</v>
      </c>
      <c r="G479" s="8">
        <v>4.4000000000000004</v>
      </c>
      <c r="H479" s="7" t="s">
        <v>30</v>
      </c>
      <c r="I479" s="8">
        <v>4.4000000000000004</v>
      </c>
      <c r="J479" s="7"/>
      <c r="K479" s="7"/>
      <c r="L479" s="6" t="s">
        <v>33</v>
      </c>
      <c r="M479" s="9" t="s">
        <v>30</v>
      </c>
      <c r="N479" s="7" t="s">
        <v>1654</v>
      </c>
      <c r="P479" t="e">
        <f>IF(N479="","",  IF(N479="Excluded", N479,  IF(N479="included in industry", N479,   _xlfn.XLOOKUP(N479, [1]unittypedata!$AD:$AD,[1]unittypedata!$D:$D)   )))</f>
        <v>#N/A</v>
      </c>
    </row>
    <row r="480" spans="1:16">
      <c r="A480" s="5" t="s">
        <v>773</v>
      </c>
      <c r="B480" s="5" t="s">
        <v>775</v>
      </c>
      <c r="C480" s="6" t="s">
        <v>29</v>
      </c>
      <c r="D480" s="7">
        <v>2015</v>
      </c>
      <c r="E480" s="6">
        <v>1</v>
      </c>
      <c r="F480" s="7" t="s">
        <v>30</v>
      </c>
      <c r="G480" s="8">
        <v>3</v>
      </c>
      <c r="H480" s="7" t="s">
        <v>30</v>
      </c>
      <c r="I480" s="8">
        <v>3</v>
      </c>
      <c r="J480" s="7"/>
      <c r="K480" s="7"/>
      <c r="L480" s="6" t="s">
        <v>46</v>
      </c>
      <c r="M480" s="9" t="s">
        <v>30</v>
      </c>
      <c r="N480" s="7" t="s">
        <v>1653</v>
      </c>
      <c r="P480" t="e">
        <f>IF(N480="","",  IF(N480="Excluded", N480,  IF(N480="included in industry", N480,   _xlfn.XLOOKUP(N480, [1]unittypedata!$AD:$AD,[1]unittypedata!$D:$D)   )))</f>
        <v>#N/A</v>
      </c>
    </row>
    <row r="481" spans="1:16">
      <c r="A481" s="11" t="s">
        <v>773</v>
      </c>
      <c r="B481" s="11" t="s">
        <v>776</v>
      </c>
      <c r="C481" s="12" t="s">
        <v>29</v>
      </c>
      <c r="D481" s="13">
        <v>2001</v>
      </c>
      <c r="E481" s="12">
        <v>2</v>
      </c>
      <c r="F481" s="13" t="s">
        <v>30</v>
      </c>
      <c r="G481" s="14">
        <v>4.4000000000000004</v>
      </c>
      <c r="H481" s="13" t="s">
        <v>30</v>
      </c>
      <c r="I481" s="14">
        <v>4.4000000000000004</v>
      </c>
      <c r="J481" s="13"/>
      <c r="K481" s="13"/>
      <c r="L481" s="12" t="s">
        <v>33</v>
      </c>
      <c r="M481" s="15" t="s">
        <v>30</v>
      </c>
      <c r="N481" s="7" t="s">
        <v>1654</v>
      </c>
      <c r="P481" t="e">
        <f>IF(N481="","",  IF(N481="Excluded", N481,  IF(N481="included in industry", N481,   _xlfn.XLOOKUP(N481, [1]unittypedata!$AD:$AD,[1]unittypedata!$D:$D)   )))</f>
        <v>#N/A</v>
      </c>
    </row>
    <row r="482" spans="1:16">
      <c r="A482" s="5" t="s">
        <v>777</v>
      </c>
      <c r="B482" s="5" t="s">
        <v>778</v>
      </c>
      <c r="C482" s="6" t="s">
        <v>29</v>
      </c>
      <c r="D482" s="7">
        <v>1985</v>
      </c>
      <c r="E482" s="6">
        <v>1</v>
      </c>
      <c r="F482" s="7" t="s">
        <v>30</v>
      </c>
      <c r="G482" s="8">
        <v>1.3</v>
      </c>
      <c r="H482" s="7" t="s">
        <v>30</v>
      </c>
      <c r="I482" s="8">
        <v>1.3</v>
      </c>
      <c r="J482" s="7"/>
      <c r="K482" s="7"/>
      <c r="L482" s="6" t="s">
        <v>31</v>
      </c>
      <c r="M482" s="9" t="s">
        <v>30</v>
      </c>
      <c r="N482" s="7" t="s">
        <v>1654</v>
      </c>
      <c r="P482" t="e">
        <f>IF(N482="","",  IF(N482="Excluded", N482,  IF(N482="included in industry", N482,   _xlfn.XLOOKUP(N482, [1]unittypedata!$AD:$AD,[1]unittypedata!$D:$D)   )))</f>
        <v>#N/A</v>
      </c>
    </row>
    <row r="483" spans="1:16">
      <c r="A483" s="5" t="s">
        <v>777</v>
      </c>
      <c r="B483" s="5" t="s">
        <v>779</v>
      </c>
      <c r="C483" s="6" t="s">
        <v>29</v>
      </c>
      <c r="D483" s="7">
        <v>2002</v>
      </c>
      <c r="E483" s="6">
        <v>2</v>
      </c>
      <c r="F483" s="7" t="s">
        <v>30</v>
      </c>
      <c r="G483" s="8">
        <v>3.5</v>
      </c>
      <c r="H483" s="7" t="s">
        <v>30</v>
      </c>
      <c r="I483" s="8">
        <v>3.5</v>
      </c>
      <c r="J483" s="7"/>
      <c r="K483" s="7"/>
      <c r="L483" s="6" t="s">
        <v>46</v>
      </c>
      <c r="M483" s="9" t="s">
        <v>30</v>
      </c>
      <c r="N483" s="7" t="s">
        <v>1653</v>
      </c>
      <c r="P483" t="e">
        <f>IF(N483="","",  IF(N483="Excluded", N483,  IF(N483="included in industry", N483,   _xlfn.XLOOKUP(N483, [1]unittypedata!$AD:$AD,[1]unittypedata!$D:$D)   )))</f>
        <v>#N/A</v>
      </c>
    </row>
    <row r="484" spans="1:16">
      <c r="A484" s="5" t="s">
        <v>777</v>
      </c>
      <c r="B484" s="5" t="s">
        <v>780</v>
      </c>
      <c r="C484" s="6" t="s">
        <v>29</v>
      </c>
      <c r="D484" s="7">
        <v>2019</v>
      </c>
      <c r="E484" s="6">
        <v>2</v>
      </c>
      <c r="F484" s="7" t="s">
        <v>30</v>
      </c>
      <c r="G484" s="8">
        <v>5.5</v>
      </c>
      <c r="H484" s="7" t="s">
        <v>30</v>
      </c>
      <c r="I484" s="8">
        <v>5.5</v>
      </c>
      <c r="J484" s="7"/>
      <c r="K484" s="7"/>
      <c r="L484" s="6" t="s">
        <v>781</v>
      </c>
      <c r="M484" s="9" t="s">
        <v>30</v>
      </c>
      <c r="N484" s="7" t="s">
        <v>1653</v>
      </c>
      <c r="P484" t="e">
        <f>IF(N484="","",  IF(N484="Excluded", N484,  IF(N484="included in industry", N484,   _xlfn.XLOOKUP(N484, [1]unittypedata!$AD:$AD,[1]unittypedata!$D:$D)   )))</f>
        <v>#N/A</v>
      </c>
    </row>
    <row r="485" spans="1:16">
      <c r="A485" s="23" t="s">
        <v>782</v>
      </c>
      <c r="B485" s="23" t="s">
        <v>783</v>
      </c>
      <c r="C485" s="24" t="s">
        <v>29</v>
      </c>
      <c r="D485" s="25" t="s">
        <v>158</v>
      </c>
      <c r="E485" s="24">
        <v>2</v>
      </c>
      <c r="F485" s="25" t="s">
        <v>30</v>
      </c>
      <c r="G485" s="26">
        <v>2.5</v>
      </c>
      <c r="H485" s="25" t="s">
        <v>30</v>
      </c>
      <c r="I485" s="26">
        <v>2.5</v>
      </c>
      <c r="J485" s="25"/>
      <c r="K485" s="25"/>
      <c r="L485" s="24" t="s">
        <v>44</v>
      </c>
      <c r="M485" s="27" t="s">
        <v>30</v>
      </c>
      <c r="N485" s="7" t="s">
        <v>1653</v>
      </c>
      <c r="P485" t="e">
        <f>IF(N485="","",  IF(N485="Excluded", N485,  IF(N485="included in industry", N485,   _xlfn.XLOOKUP(N485, [1]unittypedata!$AD:$AD,[1]unittypedata!$D:$D)   )))</f>
        <v>#N/A</v>
      </c>
    </row>
    <row r="486" spans="1:16">
      <c r="A486" s="5" t="s">
        <v>784</v>
      </c>
      <c r="B486" s="5" t="s">
        <v>744</v>
      </c>
      <c r="C486" s="6" t="s">
        <v>29</v>
      </c>
      <c r="D486" s="7">
        <v>1979</v>
      </c>
      <c r="E486" s="6">
        <v>5</v>
      </c>
      <c r="F486" s="7" t="s">
        <v>30</v>
      </c>
      <c r="G486" s="8">
        <v>42</v>
      </c>
      <c r="H486" s="7">
        <v>5</v>
      </c>
      <c r="I486" s="8">
        <v>47</v>
      </c>
      <c r="J486" s="7"/>
      <c r="K486" s="7"/>
      <c r="L486" s="6" t="s">
        <v>46</v>
      </c>
      <c r="M486" s="9" t="s">
        <v>30</v>
      </c>
      <c r="N486" s="7" t="s">
        <v>1653</v>
      </c>
      <c r="P486" t="e">
        <f>IF(N486="","",  IF(N486="Excluded", N486,  IF(N486="included in industry", N486,   _xlfn.XLOOKUP(N486, [1]unittypedata!$AD:$AD,[1]unittypedata!$D:$D)   )))</f>
        <v>#N/A</v>
      </c>
    </row>
    <row r="487" spans="1:16">
      <c r="A487" s="5" t="s">
        <v>784</v>
      </c>
      <c r="B487" s="5" t="s">
        <v>785</v>
      </c>
      <c r="C487" s="6" t="s">
        <v>29</v>
      </c>
      <c r="D487" s="7">
        <v>1978</v>
      </c>
      <c r="E487" s="6">
        <v>2</v>
      </c>
      <c r="F487" s="7" t="s">
        <v>30</v>
      </c>
      <c r="G487" s="8">
        <v>3.5</v>
      </c>
      <c r="H487" s="7" t="s">
        <v>30</v>
      </c>
      <c r="I487" s="8">
        <v>3.5</v>
      </c>
      <c r="J487" s="7"/>
      <c r="K487" s="7"/>
      <c r="L487" s="6" t="s">
        <v>31</v>
      </c>
      <c r="M487" s="9" t="s">
        <v>30</v>
      </c>
      <c r="N487" s="7" t="s">
        <v>1654</v>
      </c>
      <c r="P487" t="e">
        <f>IF(N487="","",  IF(N487="Excluded", N487,  IF(N487="included in industry", N487,   _xlfn.XLOOKUP(N487, [1]unittypedata!$AD:$AD,[1]unittypedata!$D:$D)   )))</f>
        <v>#N/A</v>
      </c>
    </row>
    <row r="488" spans="1:16">
      <c r="A488" s="11" t="s">
        <v>784</v>
      </c>
      <c r="B488" s="11" t="s">
        <v>744</v>
      </c>
      <c r="C488" s="12" t="s">
        <v>52</v>
      </c>
      <c r="D488" s="13">
        <v>2010</v>
      </c>
      <c r="E488" s="12">
        <v>1</v>
      </c>
      <c r="F488" s="13">
        <v>15</v>
      </c>
      <c r="G488" s="14">
        <v>5</v>
      </c>
      <c r="H488" s="13">
        <v>5</v>
      </c>
      <c r="I488" s="14">
        <v>25</v>
      </c>
      <c r="J488" s="13">
        <v>4.5</v>
      </c>
      <c r="K488" s="13"/>
      <c r="L488" s="12" t="s">
        <v>46</v>
      </c>
      <c r="M488" s="15" t="s">
        <v>30</v>
      </c>
      <c r="N488" s="7" t="s">
        <v>1656</v>
      </c>
      <c r="P488" t="e">
        <f>IF(N488="","",  IF(N488="Excluded", N488,  IF(N488="included in industry", N488,   _xlfn.XLOOKUP(N488, [1]unittypedata!$AD:$AD,[1]unittypedata!$D:$D)   )))</f>
        <v>#N/A</v>
      </c>
    </row>
    <row r="489" spans="1:16">
      <c r="A489" s="5" t="s">
        <v>786</v>
      </c>
      <c r="B489" s="5" t="s">
        <v>787</v>
      </c>
      <c r="C489" s="6" t="s">
        <v>29</v>
      </c>
      <c r="D489" s="7">
        <v>2010</v>
      </c>
      <c r="E489" s="6">
        <v>1</v>
      </c>
      <c r="F489" s="7" t="s">
        <v>30</v>
      </c>
      <c r="G489" s="8">
        <v>0.6</v>
      </c>
      <c r="H489" s="7" t="s">
        <v>30</v>
      </c>
      <c r="I489" s="8">
        <v>0.6</v>
      </c>
      <c r="J489" s="7"/>
      <c r="K489" s="7"/>
      <c r="L489" s="6" t="s">
        <v>36</v>
      </c>
      <c r="M489" s="9" t="s">
        <v>30</v>
      </c>
      <c r="N489" s="7" t="s">
        <v>1657</v>
      </c>
      <c r="P489" t="e">
        <f>IF(N489="","",  IF(N489="Excluded", N489,  IF(N489="included in industry", N489,   _xlfn.XLOOKUP(N489, [1]unittypedata!$AD:$AD,[1]unittypedata!$D:$D)   )))</f>
        <v>#N/A</v>
      </c>
    </row>
    <row r="490" spans="1:16">
      <c r="A490" s="5" t="s">
        <v>786</v>
      </c>
      <c r="B490" s="5" t="s">
        <v>788</v>
      </c>
      <c r="C490" s="6" t="s">
        <v>29</v>
      </c>
      <c r="D490" s="7">
        <v>2008</v>
      </c>
      <c r="E490" s="6">
        <v>1</v>
      </c>
      <c r="F490" s="7" t="s">
        <v>30</v>
      </c>
      <c r="G490" s="8">
        <v>1.4</v>
      </c>
      <c r="H490" s="7" t="s">
        <v>30</v>
      </c>
      <c r="I490" s="8">
        <v>1.4</v>
      </c>
      <c r="J490" s="7"/>
      <c r="K490" s="7"/>
      <c r="L490" s="6" t="s">
        <v>36</v>
      </c>
      <c r="M490" s="9" t="s">
        <v>30</v>
      </c>
      <c r="N490" s="7" t="s">
        <v>1657</v>
      </c>
      <c r="P490" t="e">
        <f>IF(N490="","",  IF(N490="Excluded", N490,  IF(N490="included in industry", N490,   _xlfn.XLOOKUP(N490, [1]unittypedata!$AD:$AD,[1]unittypedata!$D:$D)   )))</f>
        <v>#N/A</v>
      </c>
    </row>
    <row r="491" spans="1:16">
      <c r="A491" s="5" t="s">
        <v>786</v>
      </c>
      <c r="B491" s="5" t="s">
        <v>789</v>
      </c>
      <c r="C491" s="6" t="s">
        <v>29</v>
      </c>
      <c r="D491" s="7">
        <v>2007</v>
      </c>
      <c r="E491" s="6">
        <v>2</v>
      </c>
      <c r="F491" s="7" t="s">
        <v>30</v>
      </c>
      <c r="G491" s="8">
        <v>19</v>
      </c>
      <c r="H491" s="7" t="s">
        <v>30</v>
      </c>
      <c r="I491" s="8">
        <v>19</v>
      </c>
      <c r="J491" s="7"/>
      <c r="K491" s="7"/>
      <c r="L491" s="6" t="s">
        <v>36</v>
      </c>
      <c r="M491" s="9" t="s">
        <v>30</v>
      </c>
      <c r="N491" s="7" t="s">
        <v>1657</v>
      </c>
      <c r="P491" t="e">
        <f>IF(N491="","",  IF(N491="Excluded", N491,  IF(N491="included in industry", N491,   _xlfn.XLOOKUP(N491, [1]unittypedata!$AD:$AD,[1]unittypedata!$D:$D)   )))</f>
        <v>#N/A</v>
      </c>
    </row>
    <row r="492" spans="1:16">
      <c r="A492" s="5" t="s">
        <v>786</v>
      </c>
      <c r="B492" s="5" t="s">
        <v>790</v>
      </c>
      <c r="C492" s="6" t="s">
        <v>29</v>
      </c>
      <c r="D492" s="7">
        <v>2007</v>
      </c>
      <c r="E492" s="6">
        <v>1</v>
      </c>
      <c r="F492" s="7" t="s">
        <v>30</v>
      </c>
      <c r="G492" s="8">
        <v>6</v>
      </c>
      <c r="H492" s="7" t="s">
        <v>30</v>
      </c>
      <c r="I492" s="8">
        <v>6</v>
      </c>
      <c r="J492" s="7"/>
      <c r="K492" s="7"/>
      <c r="L492" s="6" t="s">
        <v>36</v>
      </c>
      <c r="M492" s="9" t="s">
        <v>30</v>
      </c>
      <c r="N492" s="7" t="s">
        <v>1657</v>
      </c>
      <c r="P492" t="e">
        <f>IF(N492="","",  IF(N492="Excluded", N492,  IF(N492="included in industry", N492,   _xlfn.XLOOKUP(N492, [1]unittypedata!$AD:$AD,[1]unittypedata!$D:$D)   )))</f>
        <v>#N/A</v>
      </c>
    </row>
    <row r="493" spans="1:16">
      <c r="A493" s="5" t="s">
        <v>786</v>
      </c>
      <c r="B493" s="5" t="s">
        <v>791</v>
      </c>
      <c r="C493" s="6" t="s">
        <v>29</v>
      </c>
      <c r="D493" s="7">
        <v>2010</v>
      </c>
      <c r="E493" s="6">
        <v>2</v>
      </c>
      <c r="F493" s="7" t="s">
        <v>30</v>
      </c>
      <c r="G493" s="8">
        <v>3</v>
      </c>
      <c r="H493" s="7" t="s">
        <v>30</v>
      </c>
      <c r="I493" s="8">
        <v>3</v>
      </c>
      <c r="J493" s="7"/>
      <c r="K493" s="7"/>
      <c r="L493" s="6" t="s">
        <v>31</v>
      </c>
      <c r="M493" s="9" t="s">
        <v>30</v>
      </c>
      <c r="N493" s="7" t="s">
        <v>1654</v>
      </c>
      <c r="P493" t="e">
        <f>IF(N493="","",  IF(N493="Excluded", N493,  IF(N493="included in industry", N493,   _xlfn.XLOOKUP(N493, [1]unittypedata!$AD:$AD,[1]unittypedata!$D:$D)   )))</f>
        <v>#N/A</v>
      </c>
    </row>
    <row r="494" spans="1:16">
      <c r="A494" s="5" t="s">
        <v>786</v>
      </c>
      <c r="B494" s="5" t="s">
        <v>792</v>
      </c>
      <c r="C494" s="6" t="s">
        <v>29</v>
      </c>
      <c r="D494" s="7">
        <v>2013</v>
      </c>
      <c r="E494" s="6">
        <v>2</v>
      </c>
      <c r="F494" s="7" t="s">
        <v>30</v>
      </c>
      <c r="G494" s="8">
        <v>0.5</v>
      </c>
      <c r="H494" s="7" t="s">
        <v>30</v>
      </c>
      <c r="I494" s="8">
        <v>0.5</v>
      </c>
      <c r="J494" s="7"/>
      <c r="K494" s="7"/>
      <c r="L494" s="6" t="s">
        <v>44</v>
      </c>
      <c r="M494" s="9" t="s">
        <v>30</v>
      </c>
      <c r="N494" s="7" t="s">
        <v>1653</v>
      </c>
      <c r="P494" t="e">
        <f>IF(N494="","",  IF(N494="Excluded", N494,  IF(N494="included in industry", N494,   _xlfn.XLOOKUP(N494, [1]unittypedata!$AD:$AD,[1]unittypedata!$D:$D)   )))</f>
        <v>#N/A</v>
      </c>
    </row>
    <row r="495" spans="1:16">
      <c r="A495" s="5" t="s">
        <v>786</v>
      </c>
      <c r="B495" s="5" t="s">
        <v>793</v>
      </c>
      <c r="C495" s="6" t="s">
        <v>29</v>
      </c>
      <c r="D495" s="7">
        <v>2014</v>
      </c>
      <c r="E495" s="6">
        <v>1</v>
      </c>
      <c r="F495" s="7" t="s">
        <v>30</v>
      </c>
      <c r="G495" s="8">
        <v>0.7</v>
      </c>
      <c r="H495" s="7" t="s">
        <v>30</v>
      </c>
      <c r="I495" s="8">
        <v>0.7</v>
      </c>
      <c r="J495" s="7"/>
      <c r="K495" s="7"/>
      <c r="L495" s="6" t="s">
        <v>44</v>
      </c>
      <c r="M495" s="9" t="s">
        <v>30</v>
      </c>
      <c r="N495" s="7" t="s">
        <v>1653</v>
      </c>
      <c r="P495" t="e">
        <f>IF(N495="","",  IF(N495="Excluded", N495,  IF(N495="included in industry", N495,   _xlfn.XLOOKUP(N495, [1]unittypedata!$AD:$AD,[1]unittypedata!$D:$D)   )))</f>
        <v>#N/A</v>
      </c>
    </row>
    <row r="496" spans="1:16">
      <c r="A496" s="5" t="s">
        <v>786</v>
      </c>
      <c r="B496" s="5" t="s">
        <v>794</v>
      </c>
      <c r="C496" s="6" t="s">
        <v>29</v>
      </c>
      <c r="D496" s="7">
        <v>2018</v>
      </c>
      <c r="E496" s="6">
        <v>1</v>
      </c>
      <c r="F496" s="7" t="s">
        <v>30</v>
      </c>
      <c r="G496" s="8">
        <v>0.8</v>
      </c>
      <c r="H496" s="7" t="s">
        <v>30</v>
      </c>
      <c r="I496" s="8">
        <v>0.8</v>
      </c>
      <c r="J496" s="7"/>
      <c r="K496" s="7"/>
      <c r="L496" s="6" t="s">
        <v>44</v>
      </c>
      <c r="M496" s="9" t="s">
        <v>30</v>
      </c>
      <c r="N496" s="7" t="s">
        <v>1653</v>
      </c>
      <c r="P496" t="e">
        <f>IF(N496="","",  IF(N496="Excluded", N496,  IF(N496="included in industry", N496,   _xlfn.XLOOKUP(N496, [1]unittypedata!$AD:$AD,[1]unittypedata!$D:$D)   )))</f>
        <v>#N/A</v>
      </c>
    </row>
    <row r="497" spans="1:16">
      <c r="A497" s="5" t="s">
        <v>786</v>
      </c>
      <c r="B497" s="5" t="s">
        <v>795</v>
      </c>
      <c r="C497" s="6" t="s">
        <v>29</v>
      </c>
      <c r="D497" s="7">
        <v>2023</v>
      </c>
      <c r="E497" s="6">
        <v>4</v>
      </c>
      <c r="F497" s="7" t="s">
        <v>30</v>
      </c>
      <c r="G497" s="8">
        <v>5</v>
      </c>
      <c r="H497" s="7" t="s">
        <v>30</v>
      </c>
      <c r="I497" s="8">
        <v>5</v>
      </c>
      <c r="J497" s="7"/>
      <c r="K497" s="7"/>
      <c r="L497" s="6" t="s">
        <v>44</v>
      </c>
      <c r="M497" s="9" t="s">
        <v>30</v>
      </c>
      <c r="N497" s="7" t="s">
        <v>1653</v>
      </c>
      <c r="P497" t="e">
        <f>IF(N497="","",  IF(N497="Excluded", N497,  IF(N497="included in industry", N497,   _xlfn.XLOOKUP(N497, [1]unittypedata!$AD:$AD,[1]unittypedata!$D:$D)   )))</f>
        <v>#N/A</v>
      </c>
    </row>
    <row r="498" spans="1:16">
      <c r="A498" s="11" t="s">
        <v>786</v>
      </c>
      <c r="B498" s="11" t="s">
        <v>796</v>
      </c>
      <c r="C498" s="12" t="s">
        <v>48</v>
      </c>
      <c r="D498" s="13">
        <v>2015</v>
      </c>
      <c r="E498" s="12" t="s">
        <v>30</v>
      </c>
      <c r="F498" s="13" t="s">
        <v>30</v>
      </c>
      <c r="G498" s="14" t="s">
        <v>30</v>
      </c>
      <c r="H498" s="13" t="s">
        <v>30</v>
      </c>
      <c r="I498" s="14">
        <v>6.9</v>
      </c>
      <c r="J498" s="13"/>
      <c r="K498" s="13"/>
      <c r="L498" s="12" t="s">
        <v>30</v>
      </c>
      <c r="M498" s="15">
        <v>1.9</v>
      </c>
      <c r="N498" s="7" t="s">
        <v>1613</v>
      </c>
      <c r="P498" t="str">
        <f>IF(N498="","",  IF(N498="Excluded", N498,  IF(N498="included in industry", N498,   _xlfn.XLOOKUP(N498, [1]unittypedata!$AD:$AD,[1]unittypedata!$D:$D)   )))</f>
        <v>GSHP</v>
      </c>
    </row>
    <row r="499" spans="1:16">
      <c r="A499" s="5" t="s">
        <v>797</v>
      </c>
      <c r="B499" s="5" t="s">
        <v>798</v>
      </c>
      <c r="C499" s="6" t="s">
        <v>29</v>
      </c>
      <c r="D499" s="7">
        <v>1985</v>
      </c>
      <c r="E499" s="6">
        <v>3</v>
      </c>
      <c r="F499" s="7" t="s">
        <v>30</v>
      </c>
      <c r="G499" s="8">
        <v>22</v>
      </c>
      <c r="H499" s="7" t="s">
        <v>30</v>
      </c>
      <c r="I499" s="8">
        <v>22</v>
      </c>
      <c r="J499" s="7"/>
      <c r="K499" s="7"/>
      <c r="L499" s="6" t="s">
        <v>253</v>
      </c>
      <c r="M499" s="9" t="s">
        <v>30</v>
      </c>
      <c r="N499" s="7" t="s">
        <v>1653</v>
      </c>
      <c r="P499" t="e">
        <f>IF(N499="","",  IF(N499="Excluded", N499,  IF(N499="included in industry", N499,   _xlfn.XLOOKUP(N499, [1]unittypedata!$AD:$AD,[1]unittypedata!$D:$D)   )))</f>
        <v>#N/A</v>
      </c>
    </row>
    <row r="500" spans="1:16">
      <c r="A500" s="5" t="s">
        <v>797</v>
      </c>
      <c r="B500" s="5" t="s">
        <v>798</v>
      </c>
      <c r="C500" s="6" t="s">
        <v>29</v>
      </c>
      <c r="D500" s="7">
        <v>2003</v>
      </c>
      <c r="E500" s="6">
        <v>1</v>
      </c>
      <c r="F500" s="7" t="s">
        <v>30</v>
      </c>
      <c r="G500" s="8">
        <v>4</v>
      </c>
      <c r="H500" s="7">
        <v>1</v>
      </c>
      <c r="I500" s="8">
        <v>5</v>
      </c>
      <c r="J500" s="7"/>
      <c r="K500" s="7"/>
      <c r="L500" s="6" t="s">
        <v>253</v>
      </c>
      <c r="M500" s="9" t="s">
        <v>30</v>
      </c>
      <c r="N500" s="7" t="s">
        <v>1653</v>
      </c>
      <c r="P500" t="e">
        <f>IF(N500="","",  IF(N500="Excluded", N500,  IF(N500="included in industry", N500,   _xlfn.XLOOKUP(N500, [1]unittypedata!$AD:$AD,[1]unittypedata!$D:$D)   )))</f>
        <v>#N/A</v>
      </c>
    </row>
    <row r="501" spans="1:16">
      <c r="A501" s="5" t="s">
        <v>797</v>
      </c>
      <c r="B501" s="5" t="s">
        <v>799</v>
      </c>
      <c r="C501" s="6" t="s">
        <v>29</v>
      </c>
      <c r="D501" s="7">
        <v>2008</v>
      </c>
      <c r="E501" s="6">
        <v>3</v>
      </c>
      <c r="F501" s="7" t="s">
        <v>30</v>
      </c>
      <c r="G501" s="8">
        <v>11</v>
      </c>
      <c r="H501" s="7">
        <v>1</v>
      </c>
      <c r="I501" s="8">
        <v>12</v>
      </c>
      <c r="J501" s="7"/>
      <c r="K501" s="7"/>
      <c r="L501" s="6" t="s">
        <v>46</v>
      </c>
      <c r="M501" s="9" t="s">
        <v>30</v>
      </c>
      <c r="N501" s="7" t="s">
        <v>1653</v>
      </c>
      <c r="P501" t="e">
        <f>IF(N501="","",  IF(N501="Excluded", N501,  IF(N501="included in industry", N501,   _xlfn.XLOOKUP(N501, [1]unittypedata!$AD:$AD,[1]unittypedata!$D:$D)   )))</f>
        <v>#N/A</v>
      </c>
    </row>
    <row r="502" spans="1:16">
      <c r="A502" s="11" t="s">
        <v>797</v>
      </c>
      <c r="B502" s="11" t="s">
        <v>800</v>
      </c>
      <c r="C502" s="12" t="s">
        <v>29</v>
      </c>
      <c r="D502" s="13">
        <v>1983</v>
      </c>
      <c r="E502" s="12">
        <v>1</v>
      </c>
      <c r="F502" s="13" t="s">
        <v>30</v>
      </c>
      <c r="G502" s="14">
        <v>2</v>
      </c>
      <c r="H502" s="13" t="s">
        <v>30</v>
      </c>
      <c r="I502" s="14">
        <v>2</v>
      </c>
      <c r="J502" s="13"/>
      <c r="K502" s="13"/>
      <c r="L502" s="12" t="s">
        <v>46</v>
      </c>
      <c r="M502" s="15" t="s">
        <v>30</v>
      </c>
      <c r="N502" s="7" t="s">
        <v>1653</v>
      </c>
      <c r="P502" t="e">
        <f>IF(N502="","",  IF(N502="Excluded", N502,  IF(N502="included in industry", N502,   _xlfn.XLOOKUP(N502, [1]unittypedata!$AD:$AD,[1]unittypedata!$D:$D)   )))</f>
        <v>#N/A</v>
      </c>
    </row>
    <row r="503" spans="1:16">
      <c r="A503" s="5" t="s">
        <v>801</v>
      </c>
      <c r="B503" s="5" t="s">
        <v>802</v>
      </c>
      <c r="C503" s="6" t="s">
        <v>29</v>
      </c>
      <c r="D503" s="7">
        <v>1988</v>
      </c>
      <c r="E503" s="6">
        <v>2</v>
      </c>
      <c r="F503" s="7" t="s">
        <v>30</v>
      </c>
      <c r="G503" s="8">
        <v>16</v>
      </c>
      <c r="H503" s="7" t="s">
        <v>30</v>
      </c>
      <c r="I503" s="8">
        <v>16</v>
      </c>
      <c r="J503" s="7"/>
      <c r="K503" s="7"/>
      <c r="L503" s="6" t="s">
        <v>31</v>
      </c>
      <c r="M503" s="9" t="s">
        <v>30</v>
      </c>
      <c r="N503" s="7" t="s">
        <v>1654</v>
      </c>
      <c r="P503" t="e">
        <f>IF(N503="","",  IF(N503="Excluded", N503,  IF(N503="included in industry", N503,   _xlfn.XLOOKUP(N503, [1]unittypedata!$AD:$AD,[1]unittypedata!$D:$D)   )))</f>
        <v>#N/A</v>
      </c>
    </row>
    <row r="504" spans="1:16">
      <c r="A504" s="5" t="s">
        <v>801</v>
      </c>
      <c r="B504" s="5" t="s">
        <v>803</v>
      </c>
      <c r="C504" s="6" t="s">
        <v>29</v>
      </c>
      <c r="D504" s="7">
        <v>1997</v>
      </c>
      <c r="E504" s="6">
        <v>2</v>
      </c>
      <c r="F504" s="7" t="s">
        <v>30</v>
      </c>
      <c r="G504" s="8">
        <v>2</v>
      </c>
      <c r="H504" s="7" t="s">
        <v>30</v>
      </c>
      <c r="I504" s="8">
        <v>2</v>
      </c>
      <c r="J504" s="7"/>
      <c r="K504" s="7"/>
      <c r="L504" s="6" t="s">
        <v>31</v>
      </c>
      <c r="M504" s="9" t="s">
        <v>30</v>
      </c>
      <c r="N504" s="7" t="s">
        <v>1654</v>
      </c>
      <c r="P504" t="e">
        <f>IF(N504="","",  IF(N504="Excluded", N504,  IF(N504="included in industry", N504,   _xlfn.XLOOKUP(N504, [1]unittypedata!$AD:$AD,[1]unittypedata!$D:$D)   )))</f>
        <v>#N/A</v>
      </c>
    </row>
    <row r="505" spans="1:16">
      <c r="A505" s="5" t="s">
        <v>801</v>
      </c>
      <c r="B505" s="5" t="s">
        <v>804</v>
      </c>
      <c r="C505" s="6" t="s">
        <v>29</v>
      </c>
      <c r="D505" s="7">
        <v>2002</v>
      </c>
      <c r="E505" s="6">
        <v>1</v>
      </c>
      <c r="F505" s="7" t="s">
        <v>30</v>
      </c>
      <c r="G505" s="8">
        <v>8</v>
      </c>
      <c r="H505" s="7">
        <v>2</v>
      </c>
      <c r="I505" s="8">
        <v>10</v>
      </c>
      <c r="J505" s="7"/>
      <c r="K505" s="7"/>
      <c r="L505" s="6" t="s">
        <v>46</v>
      </c>
      <c r="M505" s="9" t="s">
        <v>30</v>
      </c>
      <c r="N505" s="7" t="s">
        <v>1653</v>
      </c>
      <c r="P505" t="e">
        <f>IF(N505="","",  IF(N505="Excluded", N505,  IF(N505="included in industry", N505,   _xlfn.XLOOKUP(N505, [1]unittypedata!$AD:$AD,[1]unittypedata!$D:$D)   )))</f>
        <v>#N/A</v>
      </c>
    </row>
    <row r="506" spans="1:16">
      <c r="A506" s="5" t="s">
        <v>801</v>
      </c>
      <c r="B506" s="5" t="s">
        <v>805</v>
      </c>
      <c r="C506" s="6" t="s">
        <v>29</v>
      </c>
      <c r="D506" s="7">
        <v>1998</v>
      </c>
      <c r="E506" s="6">
        <v>1</v>
      </c>
      <c r="F506" s="7" t="s">
        <v>30</v>
      </c>
      <c r="G506" s="8">
        <v>4</v>
      </c>
      <c r="H506" s="7">
        <v>0.5</v>
      </c>
      <c r="I506" s="8">
        <v>4.5</v>
      </c>
      <c r="J506" s="7"/>
      <c r="K506" s="7"/>
      <c r="L506" s="6" t="s">
        <v>46</v>
      </c>
      <c r="M506" s="9" t="s">
        <v>30</v>
      </c>
      <c r="N506" s="7" t="s">
        <v>1653</v>
      </c>
      <c r="P506" t="e">
        <f>IF(N506="","",  IF(N506="Excluded", N506,  IF(N506="included in industry", N506,   _xlfn.XLOOKUP(N506, [1]unittypedata!$AD:$AD,[1]unittypedata!$D:$D)   )))</f>
        <v>#N/A</v>
      </c>
    </row>
    <row r="507" spans="1:16">
      <c r="A507" s="5" t="s">
        <v>801</v>
      </c>
      <c r="B507" s="5" t="s">
        <v>806</v>
      </c>
      <c r="C507" s="6" t="s">
        <v>29</v>
      </c>
      <c r="D507" s="7">
        <v>2005</v>
      </c>
      <c r="E507" s="6">
        <v>2</v>
      </c>
      <c r="F507" s="7" t="s">
        <v>30</v>
      </c>
      <c r="G507" s="8">
        <v>15</v>
      </c>
      <c r="H507" s="7" t="s">
        <v>30</v>
      </c>
      <c r="I507" s="8">
        <v>15</v>
      </c>
      <c r="J507" s="7"/>
      <c r="K507" s="7"/>
      <c r="L507" s="6" t="s">
        <v>31</v>
      </c>
      <c r="M507" s="9" t="s">
        <v>30</v>
      </c>
      <c r="N507" s="7" t="s">
        <v>1654</v>
      </c>
      <c r="P507" t="e">
        <f>IF(N507="","",  IF(N507="Excluded", N507,  IF(N507="included in industry", N507,   _xlfn.XLOOKUP(N507, [1]unittypedata!$AD:$AD,[1]unittypedata!$D:$D)   )))</f>
        <v>#N/A</v>
      </c>
    </row>
    <row r="508" spans="1:16">
      <c r="A508" s="5" t="s">
        <v>801</v>
      </c>
      <c r="B508" s="5" t="s">
        <v>807</v>
      </c>
      <c r="C508" s="6" t="s">
        <v>29</v>
      </c>
      <c r="D508" s="7">
        <v>2006</v>
      </c>
      <c r="E508" s="6">
        <v>1</v>
      </c>
      <c r="F508" s="7" t="s">
        <v>30</v>
      </c>
      <c r="G508" s="8">
        <v>0.4</v>
      </c>
      <c r="H508" s="7" t="s">
        <v>30</v>
      </c>
      <c r="I508" s="8">
        <v>0.4</v>
      </c>
      <c r="J508" s="7"/>
      <c r="K508" s="7"/>
      <c r="L508" s="6" t="s">
        <v>68</v>
      </c>
      <c r="M508" s="9" t="s">
        <v>30</v>
      </c>
      <c r="N508" s="7" t="s">
        <v>1657</v>
      </c>
      <c r="P508" t="e">
        <f>IF(N508="","",  IF(N508="Excluded", N508,  IF(N508="included in industry", N508,   _xlfn.XLOOKUP(N508, [1]unittypedata!$AD:$AD,[1]unittypedata!$D:$D)   )))</f>
        <v>#N/A</v>
      </c>
    </row>
    <row r="509" spans="1:16">
      <c r="A509" s="5" t="s">
        <v>801</v>
      </c>
      <c r="B509" s="5" t="s">
        <v>808</v>
      </c>
      <c r="C509" s="6" t="s">
        <v>29</v>
      </c>
      <c r="D509" s="7">
        <v>2009</v>
      </c>
      <c r="E509" s="6">
        <v>1</v>
      </c>
      <c r="F509" s="7" t="s">
        <v>30</v>
      </c>
      <c r="G509" s="8">
        <v>2</v>
      </c>
      <c r="H509" s="7" t="s">
        <v>30</v>
      </c>
      <c r="I509" s="8">
        <v>2</v>
      </c>
      <c r="J509" s="7"/>
      <c r="K509" s="7"/>
      <c r="L509" s="6" t="s">
        <v>44</v>
      </c>
      <c r="M509" s="9" t="s">
        <v>30</v>
      </c>
      <c r="N509" s="7" t="s">
        <v>1653</v>
      </c>
      <c r="P509" t="e">
        <f>IF(N509="","",  IF(N509="Excluded", N509,  IF(N509="included in industry", N509,   _xlfn.XLOOKUP(N509, [1]unittypedata!$AD:$AD,[1]unittypedata!$D:$D)   )))</f>
        <v>#N/A</v>
      </c>
    </row>
    <row r="510" spans="1:16">
      <c r="A510" s="5" t="s">
        <v>801</v>
      </c>
      <c r="B510" s="5" t="s">
        <v>808</v>
      </c>
      <c r="C510" s="6" t="s">
        <v>29</v>
      </c>
      <c r="D510" s="7">
        <v>2009</v>
      </c>
      <c r="E510" s="6">
        <v>1</v>
      </c>
      <c r="F510" s="7" t="s">
        <v>30</v>
      </c>
      <c r="G510" s="8">
        <v>2</v>
      </c>
      <c r="H510" s="7" t="s">
        <v>30</v>
      </c>
      <c r="I510" s="8">
        <v>2</v>
      </c>
      <c r="J510" s="7"/>
      <c r="K510" s="7"/>
      <c r="L510" s="6" t="s">
        <v>44</v>
      </c>
      <c r="M510" s="9" t="s">
        <v>30</v>
      </c>
      <c r="N510" s="7" t="s">
        <v>1653</v>
      </c>
      <c r="P510" t="e">
        <f>IF(N510="","",  IF(N510="Excluded", N510,  IF(N510="included in industry", N510,   _xlfn.XLOOKUP(N510, [1]unittypedata!$AD:$AD,[1]unittypedata!$D:$D)   )))</f>
        <v>#N/A</v>
      </c>
    </row>
    <row r="511" spans="1:16">
      <c r="A511" s="5" t="s">
        <v>801</v>
      </c>
      <c r="B511" s="5" t="s">
        <v>806</v>
      </c>
      <c r="C511" s="6" t="s">
        <v>29</v>
      </c>
      <c r="D511" s="7">
        <v>2009</v>
      </c>
      <c r="E511" s="6">
        <v>1</v>
      </c>
      <c r="F511" s="7" t="s">
        <v>30</v>
      </c>
      <c r="G511" s="8">
        <v>2</v>
      </c>
      <c r="H511" s="7" t="s">
        <v>30</v>
      </c>
      <c r="I511" s="8">
        <v>2</v>
      </c>
      <c r="J511" s="7"/>
      <c r="K511" s="7"/>
      <c r="L511" s="6" t="s">
        <v>31</v>
      </c>
      <c r="M511" s="9" t="s">
        <v>30</v>
      </c>
      <c r="N511" s="7" t="s">
        <v>1654</v>
      </c>
      <c r="P511" t="e">
        <f>IF(N511="","",  IF(N511="Excluded", N511,  IF(N511="included in industry", N511,   _xlfn.XLOOKUP(N511, [1]unittypedata!$AD:$AD,[1]unittypedata!$D:$D)   )))</f>
        <v>#N/A</v>
      </c>
    </row>
    <row r="512" spans="1:16">
      <c r="A512" s="5" t="s">
        <v>801</v>
      </c>
      <c r="B512" s="5" t="s">
        <v>805</v>
      </c>
      <c r="C512" s="6" t="s">
        <v>29</v>
      </c>
      <c r="D512" s="7">
        <v>2014</v>
      </c>
      <c r="E512" s="6">
        <v>1</v>
      </c>
      <c r="F512" s="7" t="s">
        <v>30</v>
      </c>
      <c r="G512" s="8">
        <v>10</v>
      </c>
      <c r="H512" s="7">
        <v>2</v>
      </c>
      <c r="I512" s="8">
        <v>12</v>
      </c>
      <c r="J512" s="7"/>
      <c r="K512" s="7"/>
      <c r="L512" s="6" t="s">
        <v>46</v>
      </c>
      <c r="M512" s="9" t="s">
        <v>30</v>
      </c>
      <c r="N512" s="7" t="s">
        <v>1653</v>
      </c>
      <c r="P512" t="e">
        <f>IF(N512="","",  IF(N512="Excluded", N512,  IF(N512="included in industry", N512,   _xlfn.XLOOKUP(N512, [1]unittypedata!$AD:$AD,[1]unittypedata!$D:$D)   )))</f>
        <v>#N/A</v>
      </c>
    </row>
    <row r="513" spans="1:16">
      <c r="A513" s="5" t="s">
        <v>801</v>
      </c>
      <c r="B513" s="5" t="s">
        <v>806</v>
      </c>
      <c r="C513" s="6" t="s">
        <v>29</v>
      </c>
      <c r="D513" s="7">
        <v>2002</v>
      </c>
      <c r="E513" s="6">
        <v>1</v>
      </c>
      <c r="F513" s="7" t="s">
        <v>30</v>
      </c>
      <c r="G513" s="8">
        <v>1</v>
      </c>
      <c r="H513" s="7" t="s">
        <v>30</v>
      </c>
      <c r="I513" s="8">
        <v>1</v>
      </c>
      <c r="J513" s="7"/>
      <c r="K513" s="7"/>
      <c r="L513" s="6" t="s">
        <v>31</v>
      </c>
      <c r="M513" s="9" t="s">
        <v>30</v>
      </c>
      <c r="N513" s="7" t="s">
        <v>1654</v>
      </c>
      <c r="P513" t="e">
        <f>IF(N513="","",  IF(N513="Excluded", N513,  IF(N513="included in industry", N513,   _xlfn.XLOOKUP(N513, [1]unittypedata!$AD:$AD,[1]unittypedata!$D:$D)   )))</f>
        <v>#N/A</v>
      </c>
    </row>
    <row r="514" spans="1:16">
      <c r="A514" s="5" t="s">
        <v>801</v>
      </c>
      <c r="B514" s="5" t="s">
        <v>809</v>
      </c>
      <c r="C514" s="6" t="s">
        <v>29</v>
      </c>
      <c r="D514" s="7">
        <v>2007</v>
      </c>
      <c r="E514" s="6">
        <v>1</v>
      </c>
      <c r="F514" s="7" t="s">
        <v>30</v>
      </c>
      <c r="G514" s="8">
        <v>11</v>
      </c>
      <c r="H514" s="7">
        <v>2</v>
      </c>
      <c r="I514" s="8">
        <v>13</v>
      </c>
      <c r="J514" s="7"/>
      <c r="K514" s="7"/>
      <c r="L514" s="6" t="s">
        <v>46</v>
      </c>
      <c r="M514" s="9" t="s">
        <v>30</v>
      </c>
      <c r="N514" s="7" t="s">
        <v>1653</v>
      </c>
      <c r="P514" t="e">
        <f>IF(N514="","",  IF(N514="Excluded", N514,  IF(N514="included in industry", N514,   _xlfn.XLOOKUP(N514, [1]unittypedata!$AD:$AD,[1]unittypedata!$D:$D)   )))</f>
        <v>#N/A</v>
      </c>
    </row>
    <row r="515" spans="1:16">
      <c r="A515" s="11" t="s">
        <v>801</v>
      </c>
      <c r="B515" s="11" t="s">
        <v>810</v>
      </c>
      <c r="C515" s="12" t="s">
        <v>29</v>
      </c>
      <c r="D515" s="13">
        <v>2007</v>
      </c>
      <c r="E515" s="12">
        <v>2</v>
      </c>
      <c r="F515" s="13" t="s">
        <v>30</v>
      </c>
      <c r="G515" s="14">
        <v>12</v>
      </c>
      <c r="H515" s="13" t="s">
        <v>30</v>
      </c>
      <c r="I515" s="14">
        <v>12</v>
      </c>
      <c r="J515" s="13"/>
      <c r="K515" s="13"/>
      <c r="L515" s="12" t="s">
        <v>31</v>
      </c>
      <c r="M515" s="15" t="s">
        <v>30</v>
      </c>
      <c r="N515" s="7" t="s">
        <v>1654</v>
      </c>
      <c r="P515" t="e">
        <f>IF(N515="","",  IF(N515="Excluded", N515,  IF(N515="included in industry", N515,   _xlfn.XLOOKUP(N515, [1]unittypedata!$AD:$AD,[1]unittypedata!$D:$D)   )))</f>
        <v>#N/A</v>
      </c>
    </row>
    <row r="516" spans="1:16">
      <c r="A516" s="5" t="s">
        <v>811</v>
      </c>
      <c r="B516" s="5" t="s">
        <v>812</v>
      </c>
      <c r="C516" s="6" t="s">
        <v>29</v>
      </c>
      <c r="D516" s="7">
        <v>2009</v>
      </c>
      <c r="E516" s="6">
        <v>2</v>
      </c>
      <c r="F516" s="7" t="s">
        <v>30</v>
      </c>
      <c r="G516" s="8">
        <v>6</v>
      </c>
      <c r="H516" s="7" t="s">
        <v>30</v>
      </c>
      <c r="I516" s="8">
        <v>6</v>
      </c>
      <c r="J516" s="7"/>
      <c r="K516" s="7"/>
      <c r="L516" s="6" t="s">
        <v>46</v>
      </c>
      <c r="M516" s="9" t="s">
        <v>30</v>
      </c>
      <c r="N516" s="7" t="s">
        <v>1653</v>
      </c>
      <c r="P516" t="e">
        <f>IF(N516="","",  IF(N516="Excluded", N516,  IF(N516="included in industry", N516,   _xlfn.XLOOKUP(N516, [1]unittypedata!$AD:$AD,[1]unittypedata!$D:$D)   )))</f>
        <v>#N/A</v>
      </c>
    </row>
    <row r="517" spans="1:16">
      <c r="A517" s="5" t="s">
        <v>811</v>
      </c>
      <c r="B517" s="5" t="s">
        <v>813</v>
      </c>
      <c r="C517" s="6" t="s">
        <v>29</v>
      </c>
      <c r="D517" s="7">
        <v>2008</v>
      </c>
      <c r="E517" s="6">
        <v>2</v>
      </c>
      <c r="F517" s="7" t="s">
        <v>30</v>
      </c>
      <c r="G517" s="8">
        <v>4</v>
      </c>
      <c r="H517" s="7" t="s">
        <v>30</v>
      </c>
      <c r="I517" s="8">
        <v>4</v>
      </c>
      <c r="J517" s="7"/>
      <c r="K517" s="7"/>
      <c r="L517" s="6" t="s">
        <v>31</v>
      </c>
      <c r="M517" s="9" t="s">
        <v>30</v>
      </c>
      <c r="N517" s="7" t="s">
        <v>1654</v>
      </c>
      <c r="P517" t="e">
        <f>IF(N517="","",  IF(N517="Excluded", N517,  IF(N517="included in industry", N517,   _xlfn.XLOOKUP(N517, [1]unittypedata!$AD:$AD,[1]unittypedata!$D:$D)   )))</f>
        <v>#N/A</v>
      </c>
    </row>
    <row r="518" spans="1:16">
      <c r="A518" s="11" t="s">
        <v>811</v>
      </c>
      <c r="B518" s="11" t="s">
        <v>814</v>
      </c>
      <c r="C518" s="12" t="s">
        <v>29</v>
      </c>
      <c r="D518" s="13">
        <v>2007</v>
      </c>
      <c r="E518" s="12">
        <v>1</v>
      </c>
      <c r="F518" s="13" t="s">
        <v>30</v>
      </c>
      <c r="G518" s="14">
        <v>2.5</v>
      </c>
      <c r="H518" s="13" t="s">
        <v>30</v>
      </c>
      <c r="I518" s="14">
        <v>2.5</v>
      </c>
      <c r="J518" s="13"/>
      <c r="K518" s="13"/>
      <c r="L518" s="12" t="s">
        <v>31</v>
      </c>
      <c r="M518" s="15" t="s">
        <v>30</v>
      </c>
      <c r="N518" s="7" t="s">
        <v>1654</v>
      </c>
      <c r="P518" t="e">
        <f>IF(N518="","",  IF(N518="Excluded", N518,  IF(N518="included in industry", N518,   _xlfn.XLOOKUP(N518, [1]unittypedata!$AD:$AD,[1]unittypedata!$D:$D)   )))</f>
        <v>#N/A</v>
      </c>
    </row>
    <row r="519" spans="1:16">
      <c r="A519" s="5" t="s">
        <v>815</v>
      </c>
      <c r="B519" s="5" t="s">
        <v>816</v>
      </c>
      <c r="C519" s="6" t="s">
        <v>29</v>
      </c>
      <c r="D519" s="7">
        <v>1975</v>
      </c>
      <c r="E519" s="6">
        <v>1</v>
      </c>
      <c r="F519" s="7" t="s">
        <v>30</v>
      </c>
      <c r="G519" s="8">
        <v>4</v>
      </c>
      <c r="H519" s="7" t="s">
        <v>30</v>
      </c>
      <c r="I519" s="8">
        <v>4</v>
      </c>
      <c r="J519" s="7"/>
      <c r="K519" s="7"/>
      <c r="L519" s="6" t="s">
        <v>31</v>
      </c>
      <c r="M519" s="9" t="s">
        <v>30</v>
      </c>
      <c r="N519" s="7" t="s">
        <v>1654</v>
      </c>
      <c r="P519" t="e">
        <f>IF(N519="","",  IF(N519="Excluded", N519,  IF(N519="included in industry", N519,   _xlfn.XLOOKUP(N519, [1]unittypedata!$AD:$AD,[1]unittypedata!$D:$D)   )))</f>
        <v>#N/A</v>
      </c>
    </row>
    <row r="520" spans="1:16">
      <c r="A520" s="5" t="s">
        <v>815</v>
      </c>
      <c r="B520" s="5" t="s">
        <v>817</v>
      </c>
      <c r="C520" s="6" t="s">
        <v>29</v>
      </c>
      <c r="D520" s="7">
        <v>1997</v>
      </c>
      <c r="E520" s="6">
        <v>3</v>
      </c>
      <c r="F520" s="7" t="s">
        <v>30</v>
      </c>
      <c r="G520" s="8">
        <v>22</v>
      </c>
      <c r="H520" s="7" t="s">
        <v>30</v>
      </c>
      <c r="I520" s="8">
        <v>22</v>
      </c>
      <c r="J520" s="7"/>
      <c r="K520" s="7"/>
      <c r="L520" s="6" t="s">
        <v>269</v>
      </c>
      <c r="M520" s="9" t="s">
        <v>30</v>
      </c>
      <c r="N520" s="7" t="s">
        <v>58</v>
      </c>
      <c r="P520" t="str">
        <f>IF(N520="","",  IF(N520="Excluded", N520,  IF(N520="included in industry", N520,   _xlfn.XLOOKUP(N520, [1]unittypedata!$AD:$AD,[1]unittypedata!$D:$D)   )))</f>
        <v>Excluded</v>
      </c>
    </row>
    <row r="521" spans="1:16">
      <c r="A521" s="5" t="s">
        <v>815</v>
      </c>
      <c r="B521" s="5" t="s">
        <v>818</v>
      </c>
      <c r="C521" s="6" t="s">
        <v>29</v>
      </c>
      <c r="D521" s="7">
        <v>2002</v>
      </c>
      <c r="E521" s="6">
        <v>1</v>
      </c>
      <c r="F521" s="7" t="s">
        <v>30</v>
      </c>
      <c r="G521" s="8">
        <v>10</v>
      </c>
      <c r="H521" s="7">
        <v>2.5</v>
      </c>
      <c r="I521" s="8">
        <v>12.5</v>
      </c>
      <c r="J521" s="7"/>
      <c r="K521" s="7"/>
      <c r="L521" s="6" t="s">
        <v>46</v>
      </c>
      <c r="M521" s="9" t="s">
        <v>30</v>
      </c>
      <c r="N521" s="7" t="s">
        <v>1653</v>
      </c>
      <c r="P521" t="e">
        <f>IF(N521="","",  IF(N521="Excluded", N521,  IF(N521="included in industry", N521,   _xlfn.XLOOKUP(N521, [1]unittypedata!$AD:$AD,[1]unittypedata!$D:$D)   )))</f>
        <v>#N/A</v>
      </c>
    </row>
    <row r="522" spans="1:16">
      <c r="A522" s="5" t="s">
        <v>815</v>
      </c>
      <c r="B522" s="5" t="s">
        <v>819</v>
      </c>
      <c r="C522" s="6" t="s">
        <v>29</v>
      </c>
      <c r="D522" s="7">
        <v>2008</v>
      </c>
      <c r="E522" s="6">
        <v>1</v>
      </c>
      <c r="F522" s="7" t="s">
        <v>30</v>
      </c>
      <c r="G522" s="8">
        <v>7</v>
      </c>
      <c r="H522" s="7">
        <v>2.1</v>
      </c>
      <c r="I522" s="8">
        <v>9.1</v>
      </c>
      <c r="J522" s="7"/>
      <c r="K522" s="7"/>
      <c r="L522" s="6" t="s">
        <v>46</v>
      </c>
      <c r="M522" s="9" t="s">
        <v>30</v>
      </c>
      <c r="N522" s="7" t="s">
        <v>1653</v>
      </c>
      <c r="P522" t="e">
        <f>IF(N522="","",  IF(N522="Excluded", N522,  IF(N522="included in industry", N522,   _xlfn.XLOOKUP(N522, [1]unittypedata!$AD:$AD,[1]unittypedata!$D:$D)   )))</f>
        <v>#N/A</v>
      </c>
    </row>
    <row r="523" spans="1:16">
      <c r="A523" s="11" t="s">
        <v>815</v>
      </c>
      <c r="B523" s="11" t="s">
        <v>744</v>
      </c>
      <c r="C523" s="12" t="s">
        <v>29</v>
      </c>
      <c r="D523" s="13">
        <v>1985</v>
      </c>
      <c r="E523" s="12">
        <v>2</v>
      </c>
      <c r="F523" s="13" t="s">
        <v>30</v>
      </c>
      <c r="G523" s="14">
        <v>7</v>
      </c>
      <c r="H523" s="13" t="s">
        <v>30</v>
      </c>
      <c r="I523" s="14">
        <v>7</v>
      </c>
      <c r="J523" s="13"/>
      <c r="K523" s="13"/>
      <c r="L523" s="12" t="s">
        <v>31</v>
      </c>
      <c r="M523" s="15" t="s">
        <v>30</v>
      </c>
      <c r="N523" s="7" t="s">
        <v>1654</v>
      </c>
      <c r="P523" t="e">
        <f>IF(N523="","",  IF(N523="Excluded", N523,  IF(N523="included in industry", N523,   _xlfn.XLOOKUP(N523, [1]unittypedata!$AD:$AD,[1]unittypedata!$D:$D)   )))</f>
        <v>#N/A</v>
      </c>
    </row>
    <row r="524" spans="1:16">
      <c r="A524" s="5" t="s">
        <v>820</v>
      </c>
      <c r="B524" s="5" t="s">
        <v>821</v>
      </c>
      <c r="C524" s="6" t="s">
        <v>29</v>
      </c>
      <c r="D524" s="7">
        <v>1971</v>
      </c>
      <c r="E524" s="6">
        <v>3</v>
      </c>
      <c r="F524" s="7" t="s">
        <v>30</v>
      </c>
      <c r="G524" s="8">
        <v>13</v>
      </c>
      <c r="H524" s="7" t="s">
        <v>30</v>
      </c>
      <c r="I524" s="8">
        <v>13</v>
      </c>
      <c r="J524" s="7"/>
      <c r="K524" s="7"/>
      <c r="L524" s="6" t="s">
        <v>36</v>
      </c>
      <c r="M524" s="9" t="s">
        <v>30</v>
      </c>
      <c r="N524" s="7" t="s">
        <v>1657</v>
      </c>
      <c r="P524" t="e">
        <f>IF(N524="","",  IF(N524="Excluded", N524,  IF(N524="included in industry", N524,   _xlfn.XLOOKUP(N524, [1]unittypedata!$AD:$AD,[1]unittypedata!$D:$D)   )))</f>
        <v>#N/A</v>
      </c>
    </row>
    <row r="525" spans="1:16">
      <c r="A525" s="5" t="s">
        <v>820</v>
      </c>
      <c r="B525" s="5" t="s">
        <v>822</v>
      </c>
      <c r="C525" s="6" t="s">
        <v>29</v>
      </c>
      <c r="D525" s="7">
        <v>1984</v>
      </c>
      <c r="E525" s="6">
        <v>1</v>
      </c>
      <c r="F525" s="7" t="s">
        <v>30</v>
      </c>
      <c r="G525" s="8">
        <v>4</v>
      </c>
      <c r="H525" s="7" t="s">
        <v>30</v>
      </c>
      <c r="I525" s="8">
        <v>4</v>
      </c>
      <c r="J525" s="7"/>
      <c r="K525" s="7"/>
      <c r="L525" s="6" t="s">
        <v>36</v>
      </c>
      <c r="M525" s="9" t="s">
        <v>30</v>
      </c>
      <c r="N525" s="7" t="s">
        <v>1657</v>
      </c>
      <c r="P525" t="e">
        <f>IF(N525="","",  IF(N525="Excluded", N525,  IF(N525="included in industry", N525,   _xlfn.XLOOKUP(N525, [1]unittypedata!$AD:$AD,[1]unittypedata!$D:$D)   )))</f>
        <v>#N/A</v>
      </c>
    </row>
    <row r="526" spans="1:16">
      <c r="A526" s="5" t="s">
        <v>820</v>
      </c>
      <c r="B526" s="5" t="s">
        <v>823</v>
      </c>
      <c r="C526" s="6" t="s">
        <v>29</v>
      </c>
      <c r="D526" s="7">
        <v>1995</v>
      </c>
      <c r="E526" s="6">
        <v>2</v>
      </c>
      <c r="F526" s="7" t="s">
        <v>30</v>
      </c>
      <c r="G526" s="8">
        <v>2</v>
      </c>
      <c r="H526" s="7" t="s">
        <v>30</v>
      </c>
      <c r="I526" s="8">
        <v>2</v>
      </c>
      <c r="J526" s="7"/>
      <c r="K526" s="7"/>
      <c r="L526" s="6" t="s">
        <v>36</v>
      </c>
      <c r="M526" s="9" t="s">
        <v>30</v>
      </c>
      <c r="N526" s="7" t="s">
        <v>1657</v>
      </c>
      <c r="P526" t="e">
        <f>IF(N526="","",  IF(N526="Excluded", N526,  IF(N526="included in industry", N526,   _xlfn.XLOOKUP(N526, [1]unittypedata!$AD:$AD,[1]unittypedata!$D:$D)   )))</f>
        <v>#N/A</v>
      </c>
    </row>
    <row r="527" spans="1:16">
      <c r="A527" s="5" t="s">
        <v>820</v>
      </c>
      <c r="B527" s="5" t="s">
        <v>824</v>
      </c>
      <c r="C527" s="6" t="s">
        <v>29</v>
      </c>
      <c r="D527" s="7">
        <v>2000</v>
      </c>
      <c r="E527" s="6">
        <v>1</v>
      </c>
      <c r="F527" s="7" t="s">
        <v>30</v>
      </c>
      <c r="G527" s="8">
        <v>6</v>
      </c>
      <c r="H527" s="7" t="s">
        <v>30</v>
      </c>
      <c r="I527" s="8">
        <v>6</v>
      </c>
      <c r="J527" s="7"/>
      <c r="K527" s="7"/>
      <c r="L527" s="6" t="s">
        <v>36</v>
      </c>
      <c r="M527" s="9" t="s">
        <v>30</v>
      </c>
      <c r="N527" s="7" t="s">
        <v>1657</v>
      </c>
      <c r="P527" t="e">
        <f>IF(N527="","",  IF(N527="Excluded", N527,  IF(N527="included in industry", N527,   _xlfn.XLOOKUP(N527, [1]unittypedata!$AD:$AD,[1]unittypedata!$D:$D)   )))</f>
        <v>#N/A</v>
      </c>
    </row>
    <row r="528" spans="1:16">
      <c r="A528" s="5" t="s">
        <v>820</v>
      </c>
      <c r="B528" s="5" t="s">
        <v>825</v>
      </c>
      <c r="C528" s="6" t="s">
        <v>29</v>
      </c>
      <c r="D528" s="7">
        <v>2010</v>
      </c>
      <c r="E528" s="6">
        <v>1</v>
      </c>
      <c r="F528" s="7" t="s">
        <v>30</v>
      </c>
      <c r="G528" s="8">
        <v>10</v>
      </c>
      <c r="H528" s="7">
        <v>3</v>
      </c>
      <c r="I528" s="8">
        <v>13</v>
      </c>
      <c r="J528" s="7"/>
      <c r="K528" s="7"/>
      <c r="L528" s="6" t="s">
        <v>46</v>
      </c>
      <c r="M528" s="9" t="s">
        <v>30</v>
      </c>
      <c r="N528" s="7" t="s">
        <v>1653</v>
      </c>
      <c r="P528" t="e">
        <f>IF(N528="","",  IF(N528="Excluded", N528,  IF(N528="included in industry", N528,   _xlfn.XLOOKUP(N528, [1]unittypedata!$AD:$AD,[1]unittypedata!$D:$D)   )))</f>
        <v>#N/A</v>
      </c>
    </row>
    <row r="529" spans="1:16">
      <c r="A529" s="5" t="s">
        <v>820</v>
      </c>
      <c r="B529" s="5" t="s">
        <v>826</v>
      </c>
      <c r="C529" s="6" t="s">
        <v>29</v>
      </c>
      <c r="D529" s="7">
        <v>2013</v>
      </c>
      <c r="E529" s="6">
        <v>1</v>
      </c>
      <c r="F529" s="7" t="s">
        <v>30</v>
      </c>
      <c r="G529" s="8">
        <v>0.3</v>
      </c>
      <c r="H529" s="7" t="s">
        <v>30</v>
      </c>
      <c r="I529" s="8">
        <v>0.3</v>
      </c>
      <c r="J529" s="7"/>
      <c r="K529" s="7"/>
      <c r="L529" s="6" t="s">
        <v>46</v>
      </c>
      <c r="M529" s="9" t="s">
        <v>30</v>
      </c>
      <c r="N529" s="7" t="s">
        <v>1653</v>
      </c>
      <c r="P529" t="e">
        <f>IF(N529="","",  IF(N529="Excluded", N529,  IF(N529="included in industry", N529,   _xlfn.XLOOKUP(N529, [1]unittypedata!$AD:$AD,[1]unittypedata!$D:$D)   )))</f>
        <v>#N/A</v>
      </c>
    </row>
    <row r="530" spans="1:16">
      <c r="A530" s="11" t="s">
        <v>820</v>
      </c>
      <c r="B530" s="11" t="s">
        <v>827</v>
      </c>
      <c r="C530" s="12" t="s">
        <v>48</v>
      </c>
      <c r="D530" s="13">
        <v>2014</v>
      </c>
      <c r="E530" s="12" t="s">
        <v>30</v>
      </c>
      <c r="F530" s="13" t="s">
        <v>30</v>
      </c>
      <c r="G530" s="14" t="s">
        <v>30</v>
      </c>
      <c r="H530" s="13" t="s">
        <v>30</v>
      </c>
      <c r="I530" s="14">
        <v>0.2</v>
      </c>
      <c r="J530" s="13"/>
      <c r="K530" s="13"/>
      <c r="L530" s="12" t="s">
        <v>30</v>
      </c>
      <c r="M530" s="15">
        <v>0.1</v>
      </c>
      <c r="N530" s="7" t="s">
        <v>1613</v>
      </c>
      <c r="P530" t="str">
        <f>IF(N530="","",  IF(N530="Excluded", N530,  IF(N530="included in industry", N530,   _xlfn.XLOOKUP(N530, [1]unittypedata!$AD:$AD,[1]unittypedata!$D:$D)   )))</f>
        <v>GSHP</v>
      </c>
    </row>
    <row r="531" spans="1:16">
      <c r="A531" s="5" t="s">
        <v>828</v>
      </c>
      <c r="B531" s="5" t="s">
        <v>829</v>
      </c>
      <c r="C531" s="6" t="s">
        <v>29</v>
      </c>
      <c r="D531" s="7">
        <v>1999</v>
      </c>
      <c r="E531" s="6">
        <v>2</v>
      </c>
      <c r="F531" s="7" t="s">
        <v>30</v>
      </c>
      <c r="G531" s="8">
        <v>3.4</v>
      </c>
      <c r="H531" s="7" t="s">
        <v>30</v>
      </c>
      <c r="I531" s="8">
        <v>3.4</v>
      </c>
      <c r="J531" s="7"/>
      <c r="K531" s="7"/>
      <c r="L531" s="6" t="s">
        <v>46</v>
      </c>
      <c r="M531" s="9" t="s">
        <v>30</v>
      </c>
      <c r="N531" s="7" t="s">
        <v>1653</v>
      </c>
      <c r="P531" t="e">
        <f>IF(N531="","",  IF(N531="Excluded", N531,  IF(N531="included in industry", N531,   _xlfn.XLOOKUP(N531, [1]unittypedata!$AD:$AD,[1]unittypedata!$D:$D)   )))</f>
        <v>#N/A</v>
      </c>
    </row>
    <row r="532" spans="1:16">
      <c r="A532" s="5" t="s">
        <v>828</v>
      </c>
      <c r="B532" s="5" t="s">
        <v>830</v>
      </c>
      <c r="C532" s="6" t="s">
        <v>29</v>
      </c>
      <c r="D532" s="7">
        <v>1970</v>
      </c>
      <c r="E532" s="6">
        <v>3</v>
      </c>
      <c r="F532" s="7" t="s">
        <v>30</v>
      </c>
      <c r="G532" s="8">
        <v>4</v>
      </c>
      <c r="H532" s="7" t="s">
        <v>30</v>
      </c>
      <c r="I532" s="8">
        <v>4</v>
      </c>
      <c r="J532" s="7"/>
      <c r="K532" s="7"/>
      <c r="L532" s="6" t="s">
        <v>31</v>
      </c>
      <c r="M532" s="9" t="s">
        <v>30</v>
      </c>
      <c r="N532" s="7" t="s">
        <v>1654</v>
      </c>
      <c r="P532" t="e">
        <f>IF(N532="","",  IF(N532="Excluded", N532,  IF(N532="included in industry", N532,   _xlfn.XLOOKUP(N532, [1]unittypedata!$AD:$AD,[1]unittypedata!$D:$D)   )))</f>
        <v>#N/A</v>
      </c>
    </row>
    <row r="533" spans="1:16">
      <c r="A533" s="11" t="s">
        <v>828</v>
      </c>
      <c r="B533" s="11" t="s">
        <v>831</v>
      </c>
      <c r="C533" s="12" t="s">
        <v>29</v>
      </c>
      <c r="D533" s="13">
        <v>2003</v>
      </c>
      <c r="E533" s="12">
        <v>2</v>
      </c>
      <c r="F533" s="13" t="s">
        <v>30</v>
      </c>
      <c r="G533" s="14">
        <v>1.8</v>
      </c>
      <c r="H533" s="13" t="s">
        <v>30</v>
      </c>
      <c r="I533" s="14">
        <v>1.8</v>
      </c>
      <c r="J533" s="13"/>
      <c r="K533" s="13"/>
      <c r="L533" s="12" t="s">
        <v>46</v>
      </c>
      <c r="M533" s="15" t="s">
        <v>30</v>
      </c>
      <c r="N533" s="7" t="s">
        <v>1653</v>
      </c>
      <c r="P533" t="e">
        <f>IF(N533="","",  IF(N533="Excluded", N533,  IF(N533="included in industry", N533,   _xlfn.XLOOKUP(N533, [1]unittypedata!$AD:$AD,[1]unittypedata!$D:$D)   )))</f>
        <v>#N/A</v>
      </c>
    </row>
    <row r="534" spans="1:16">
      <c r="A534" s="5" t="s">
        <v>832</v>
      </c>
      <c r="B534" s="5" t="s">
        <v>833</v>
      </c>
      <c r="C534" s="6" t="s">
        <v>29</v>
      </c>
      <c r="D534" s="7">
        <v>1985</v>
      </c>
      <c r="E534" s="6">
        <v>2</v>
      </c>
      <c r="F534" s="7" t="s">
        <v>30</v>
      </c>
      <c r="G534" s="8">
        <v>8</v>
      </c>
      <c r="H534" s="7" t="s">
        <v>30</v>
      </c>
      <c r="I534" s="8">
        <v>8</v>
      </c>
      <c r="J534" s="7"/>
      <c r="K534" s="7"/>
      <c r="L534" s="6" t="s">
        <v>31</v>
      </c>
      <c r="M534" s="9" t="s">
        <v>30</v>
      </c>
      <c r="N534" s="7" t="s">
        <v>1654</v>
      </c>
      <c r="P534" t="e">
        <f>IF(N534="","",  IF(N534="Excluded", N534,  IF(N534="included in industry", N534,   _xlfn.XLOOKUP(N534, [1]unittypedata!$AD:$AD,[1]unittypedata!$D:$D)   )))</f>
        <v>#N/A</v>
      </c>
    </row>
    <row r="535" spans="1:16">
      <c r="A535" s="5" t="s">
        <v>832</v>
      </c>
      <c r="B535" s="5" t="s">
        <v>834</v>
      </c>
      <c r="C535" s="6" t="s">
        <v>29</v>
      </c>
      <c r="D535" s="7">
        <v>1991</v>
      </c>
      <c r="E535" s="6">
        <v>3</v>
      </c>
      <c r="F535" s="7" t="s">
        <v>30</v>
      </c>
      <c r="G535" s="8">
        <v>13</v>
      </c>
      <c r="H535" s="7" t="s">
        <v>30</v>
      </c>
      <c r="I535" s="8">
        <v>13</v>
      </c>
      <c r="J535" s="7"/>
      <c r="K535" s="7"/>
      <c r="L535" s="6" t="s">
        <v>31</v>
      </c>
      <c r="M535" s="9" t="s">
        <v>30</v>
      </c>
      <c r="N535" s="7" t="s">
        <v>1654</v>
      </c>
      <c r="P535" t="e">
        <f>IF(N535="","",  IF(N535="Excluded", N535,  IF(N535="included in industry", N535,   _xlfn.XLOOKUP(N535, [1]unittypedata!$AD:$AD,[1]unittypedata!$D:$D)   )))</f>
        <v>#N/A</v>
      </c>
    </row>
    <row r="536" spans="1:16">
      <c r="A536" s="5" t="s">
        <v>832</v>
      </c>
      <c r="B536" s="5" t="s">
        <v>835</v>
      </c>
      <c r="C536" s="6" t="s">
        <v>29</v>
      </c>
      <c r="D536" s="7">
        <v>2008</v>
      </c>
      <c r="E536" s="6">
        <v>1</v>
      </c>
      <c r="F536" s="7" t="s">
        <v>30</v>
      </c>
      <c r="G536" s="8">
        <v>10</v>
      </c>
      <c r="H536" s="7" t="s">
        <v>30</v>
      </c>
      <c r="I536" s="8">
        <v>10</v>
      </c>
      <c r="J536" s="7"/>
      <c r="K536" s="7"/>
      <c r="L536" s="6" t="s">
        <v>31</v>
      </c>
      <c r="M536" s="9" t="s">
        <v>30</v>
      </c>
      <c r="N536" s="7" t="s">
        <v>1654</v>
      </c>
      <c r="P536" t="e">
        <f>IF(N536="","",  IF(N536="Excluded", N536,  IF(N536="included in industry", N536,   _xlfn.XLOOKUP(N536, [1]unittypedata!$AD:$AD,[1]unittypedata!$D:$D)   )))</f>
        <v>#N/A</v>
      </c>
    </row>
    <row r="537" spans="1:16">
      <c r="A537" s="11" t="s">
        <v>832</v>
      </c>
      <c r="B537" s="11" t="s">
        <v>836</v>
      </c>
      <c r="C537" s="12" t="s">
        <v>48</v>
      </c>
      <c r="D537" s="13">
        <v>2016</v>
      </c>
      <c r="E537" s="12" t="s">
        <v>30</v>
      </c>
      <c r="F537" s="13" t="s">
        <v>30</v>
      </c>
      <c r="G537" s="14" t="s">
        <v>30</v>
      </c>
      <c r="H537" s="13" t="s">
        <v>30</v>
      </c>
      <c r="I537" s="14">
        <v>0.1</v>
      </c>
      <c r="J537" s="13"/>
      <c r="K537" s="13"/>
      <c r="L537" s="12" t="s">
        <v>30</v>
      </c>
      <c r="M537" s="15">
        <v>0.1</v>
      </c>
      <c r="N537" s="9" t="s">
        <v>1613</v>
      </c>
      <c r="P537" t="str">
        <f>IF(N537="","",  IF(N537="Excluded", N537,  IF(N537="included in industry", N537,   _xlfn.XLOOKUP(N537, [1]unittypedata!$AD:$AD,[1]unittypedata!$D:$D)   )))</f>
        <v>GSHP</v>
      </c>
    </row>
    <row r="538" spans="1:16">
      <c r="A538" s="5" t="s">
        <v>837</v>
      </c>
      <c r="B538" s="5" t="s">
        <v>838</v>
      </c>
      <c r="C538" s="6" t="s">
        <v>29</v>
      </c>
      <c r="D538" s="7">
        <v>2007</v>
      </c>
      <c r="E538" s="6">
        <v>1</v>
      </c>
      <c r="F538" s="7" t="s">
        <v>30</v>
      </c>
      <c r="G538" s="8">
        <v>2.5</v>
      </c>
      <c r="H538" s="7" t="s">
        <v>30</v>
      </c>
      <c r="I538" s="8">
        <v>2.5</v>
      </c>
      <c r="J538" s="7"/>
      <c r="K538" s="7"/>
      <c r="L538" s="6" t="s">
        <v>118</v>
      </c>
      <c r="M538" s="9" t="s">
        <v>30</v>
      </c>
      <c r="N538" s="7" t="s">
        <v>1653</v>
      </c>
      <c r="P538" t="e">
        <f>IF(N538="","",  IF(N538="Excluded", N538,  IF(N538="included in industry", N538,   _xlfn.XLOOKUP(N538, [1]unittypedata!$AD:$AD,[1]unittypedata!$D:$D)   )))</f>
        <v>#N/A</v>
      </c>
    </row>
    <row r="539" spans="1:16">
      <c r="A539" s="5" t="s">
        <v>837</v>
      </c>
      <c r="B539" s="5" t="s">
        <v>838</v>
      </c>
      <c r="C539" s="6" t="s">
        <v>29</v>
      </c>
      <c r="D539" s="7">
        <v>2014</v>
      </c>
      <c r="E539" s="6">
        <v>1</v>
      </c>
      <c r="F539" s="7" t="s">
        <v>30</v>
      </c>
      <c r="G539" s="8">
        <v>1.5</v>
      </c>
      <c r="H539" s="7" t="s">
        <v>30</v>
      </c>
      <c r="I539" s="8">
        <v>1.5</v>
      </c>
      <c r="J539" s="7"/>
      <c r="K539" s="7"/>
      <c r="L539" s="6" t="s">
        <v>44</v>
      </c>
      <c r="M539" s="9" t="s">
        <v>30</v>
      </c>
      <c r="N539" s="7" t="s">
        <v>1653</v>
      </c>
      <c r="P539" t="e">
        <f>IF(N539="","",  IF(N539="Excluded", N539,  IF(N539="included in industry", N539,   _xlfn.XLOOKUP(N539, [1]unittypedata!$AD:$AD,[1]unittypedata!$D:$D)   )))</f>
        <v>#N/A</v>
      </c>
    </row>
    <row r="540" spans="1:16">
      <c r="A540" s="5" t="s">
        <v>837</v>
      </c>
      <c r="B540" s="5" t="s">
        <v>839</v>
      </c>
      <c r="C540" s="6" t="s">
        <v>29</v>
      </c>
      <c r="D540" s="7">
        <v>1994</v>
      </c>
      <c r="E540" s="6">
        <v>3</v>
      </c>
      <c r="F540" s="7" t="s">
        <v>30</v>
      </c>
      <c r="G540" s="8">
        <v>4.8</v>
      </c>
      <c r="H540" s="7" t="s">
        <v>30</v>
      </c>
      <c r="I540" s="8">
        <v>4.8</v>
      </c>
      <c r="J540" s="7"/>
      <c r="K540" s="7"/>
      <c r="L540" s="6" t="s">
        <v>31</v>
      </c>
      <c r="M540" s="9" t="s">
        <v>30</v>
      </c>
      <c r="N540" s="7" t="s">
        <v>1654</v>
      </c>
      <c r="P540" t="e">
        <f>IF(N540="","",  IF(N540="Excluded", N540,  IF(N540="included in industry", N540,   _xlfn.XLOOKUP(N540, [1]unittypedata!$AD:$AD,[1]unittypedata!$D:$D)   )))</f>
        <v>#N/A</v>
      </c>
    </row>
    <row r="541" spans="1:16">
      <c r="A541" s="5" t="s">
        <v>837</v>
      </c>
      <c r="B541" s="5" t="s">
        <v>840</v>
      </c>
      <c r="C541" s="6" t="s">
        <v>29</v>
      </c>
      <c r="D541" s="7">
        <v>2011</v>
      </c>
      <c r="E541" s="6">
        <v>1</v>
      </c>
      <c r="F541" s="7" t="s">
        <v>30</v>
      </c>
      <c r="G541" s="8">
        <v>1</v>
      </c>
      <c r="H541" s="7" t="s">
        <v>30</v>
      </c>
      <c r="I541" s="8">
        <v>1</v>
      </c>
      <c r="J541" s="7"/>
      <c r="K541" s="7"/>
      <c r="L541" s="6" t="s">
        <v>44</v>
      </c>
      <c r="M541" s="9" t="s">
        <v>30</v>
      </c>
      <c r="N541" s="7" t="s">
        <v>1653</v>
      </c>
      <c r="P541" t="e">
        <f>IF(N541="","",  IF(N541="Excluded", N541,  IF(N541="included in industry", N541,   _xlfn.XLOOKUP(N541, [1]unittypedata!$AD:$AD,[1]unittypedata!$D:$D)   )))</f>
        <v>#N/A</v>
      </c>
    </row>
    <row r="542" spans="1:16">
      <c r="A542" s="5" t="s">
        <v>837</v>
      </c>
      <c r="B542" s="5" t="s">
        <v>841</v>
      </c>
      <c r="C542" s="6" t="s">
        <v>29</v>
      </c>
      <c r="D542" s="7">
        <v>2015</v>
      </c>
      <c r="E542" s="6">
        <v>1</v>
      </c>
      <c r="F542" s="7" t="s">
        <v>30</v>
      </c>
      <c r="G542" s="8">
        <v>1</v>
      </c>
      <c r="H542" s="7" t="s">
        <v>30</v>
      </c>
      <c r="I542" s="8">
        <v>1</v>
      </c>
      <c r="J542" s="7"/>
      <c r="K542" s="7"/>
      <c r="L542" s="6" t="s">
        <v>44</v>
      </c>
      <c r="M542" s="9" t="s">
        <v>30</v>
      </c>
      <c r="N542" s="7" t="s">
        <v>1653</v>
      </c>
      <c r="P542" t="e">
        <f>IF(N542="","",  IF(N542="Excluded", N542,  IF(N542="included in industry", N542,   _xlfn.XLOOKUP(N542, [1]unittypedata!$AD:$AD,[1]unittypedata!$D:$D)   )))</f>
        <v>#N/A</v>
      </c>
    </row>
    <row r="543" spans="1:16">
      <c r="A543" s="5" t="s">
        <v>837</v>
      </c>
      <c r="B543" s="5" t="s">
        <v>840</v>
      </c>
      <c r="C543" s="6" t="s">
        <v>29</v>
      </c>
      <c r="D543" s="7">
        <v>2018</v>
      </c>
      <c r="E543" s="6">
        <v>1</v>
      </c>
      <c r="F543" s="7" t="s">
        <v>30</v>
      </c>
      <c r="G543" s="8" t="s">
        <v>30</v>
      </c>
      <c r="H543" s="7">
        <v>0.3</v>
      </c>
      <c r="I543" s="8">
        <v>0.3</v>
      </c>
      <c r="J543" s="7"/>
      <c r="K543" s="7"/>
      <c r="L543" s="6" t="s">
        <v>842</v>
      </c>
      <c r="M543" s="9" t="s">
        <v>30</v>
      </c>
      <c r="N543" s="7" t="s">
        <v>58</v>
      </c>
      <c r="P543" t="str">
        <f>IF(N543="","",  IF(N543="Excluded", N543,  IF(N543="included in industry", N543,   _xlfn.XLOOKUP(N543, [1]unittypedata!$AD:$AD,[1]unittypedata!$D:$D)   )))</f>
        <v>Excluded</v>
      </c>
    </row>
    <row r="544" spans="1:16">
      <c r="A544" s="23" t="s">
        <v>843</v>
      </c>
      <c r="B544" s="23" t="s">
        <v>844</v>
      </c>
      <c r="C544" s="24" t="s">
        <v>29</v>
      </c>
      <c r="D544" s="25">
        <v>2011</v>
      </c>
      <c r="E544" s="24">
        <v>1</v>
      </c>
      <c r="F544" s="25" t="s">
        <v>30</v>
      </c>
      <c r="G544" s="26">
        <v>1</v>
      </c>
      <c r="H544" s="25" t="s">
        <v>30</v>
      </c>
      <c r="I544" s="26">
        <v>1</v>
      </c>
      <c r="J544" s="25"/>
      <c r="K544" s="25"/>
      <c r="L544" s="24" t="s">
        <v>44</v>
      </c>
      <c r="M544" s="27" t="s">
        <v>30</v>
      </c>
      <c r="N544" s="7" t="s">
        <v>1653</v>
      </c>
      <c r="P544" t="e">
        <f>IF(N544="","",  IF(N544="Excluded", N544,  IF(N544="included in industry", N544,   _xlfn.XLOOKUP(N544, [1]unittypedata!$AD:$AD,[1]unittypedata!$D:$D)   )))</f>
        <v>#N/A</v>
      </c>
    </row>
    <row r="545" spans="1:16">
      <c r="A545" s="5" t="s">
        <v>845</v>
      </c>
      <c r="B545" s="5" t="s">
        <v>846</v>
      </c>
      <c r="C545" s="6" t="s">
        <v>29</v>
      </c>
      <c r="D545" s="7">
        <v>1980</v>
      </c>
      <c r="E545" s="6">
        <v>4</v>
      </c>
      <c r="F545" s="7" t="s">
        <v>30</v>
      </c>
      <c r="G545" s="8">
        <v>10.5</v>
      </c>
      <c r="H545" s="7" t="s">
        <v>30</v>
      </c>
      <c r="I545" s="8">
        <v>10.5</v>
      </c>
      <c r="J545" s="7"/>
      <c r="K545" s="7"/>
      <c r="L545" s="6" t="s">
        <v>118</v>
      </c>
      <c r="M545" s="9" t="s">
        <v>30</v>
      </c>
      <c r="N545" s="7" t="s">
        <v>1653</v>
      </c>
      <c r="P545" t="e">
        <f>IF(N545="","",  IF(N545="Excluded", N545,  IF(N545="included in industry", N545,   _xlfn.XLOOKUP(N545, [1]unittypedata!$AD:$AD,[1]unittypedata!$D:$D)   )))</f>
        <v>#N/A</v>
      </c>
    </row>
    <row r="546" spans="1:16">
      <c r="A546" s="5" t="s">
        <v>845</v>
      </c>
      <c r="B546" s="5" t="s">
        <v>846</v>
      </c>
      <c r="C546" s="6" t="s">
        <v>29</v>
      </c>
      <c r="D546" s="7">
        <v>2010</v>
      </c>
      <c r="E546" s="6">
        <v>1</v>
      </c>
      <c r="F546" s="7" t="s">
        <v>30</v>
      </c>
      <c r="G546" s="8">
        <v>5</v>
      </c>
      <c r="H546" s="7">
        <v>1</v>
      </c>
      <c r="I546" s="8">
        <v>6</v>
      </c>
      <c r="J546" s="7"/>
      <c r="K546" s="7"/>
      <c r="L546" s="6" t="s">
        <v>46</v>
      </c>
      <c r="M546" s="9" t="s">
        <v>30</v>
      </c>
      <c r="N546" s="7" t="s">
        <v>1653</v>
      </c>
      <c r="P546" t="e">
        <f>IF(N546="","",  IF(N546="Excluded", N546,  IF(N546="included in industry", N546,   _xlfn.XLOOKUP(N546, [1]unittypedata!$AD:$AD,[1]unittypedata!$D:$D)   )))</f>
        <v>#N/A</v>
      </c>
    </row>
    <row r="547" spans="1:16">
      <c r="A547" s="11" t="s">
        <v>845</v>
      </c>
      <c r="B547" s="11" t="s">
        <v>847</v>
      </c>
      <c r="C547" s="12" t="s">
        <v>29</v>
      </c>
      <c r="D547" s="13">
        <v>2003</v>
      </c>
      <c r="E547" s="12">
        <v>3</v>
      </c>
      <c r="F547" s="13" t="s">
        <v>30</v>
      </c>
      <c r="G547" s="14">
        <v>4.5</v>
      </c>
      <c r="H547" s="13" t="s">
        <v>30</v>
      </c>
      <c r="I547" s="14">
        <v>4.5</v>
      </c>
      <c r="J547" s="13"/>
      <c r="K547" s="13"/>
      <c r="L547" s="12" t="s">
        <v>46</v>
      </c>
      <c r="M547" s="15" t="s">
        <v>30</v>
      </c>
      <c r="N547" s="7" t="s">
        <v>1653</v>
      </c>
      <c r="P547" t="e">
        <f>IF(N547="","",  IF(N547="Excluded", N547,  IF(N547="included in industry", N547,   _xlfn.XLOOKUP(N547, [1]unittypedata!$AD:$AD,[1]unittypedata!$D:$D)   )))</f>
        <v>#N/A</v>
      </c>
    </row>
    <row r="548" spans="1:16">
      <c r="A548" s="5" t="s">
        <v>848</v>
      </c>
      <c r="B548" s="5" t="s">
        <v>849</v>
      </c>
      <c r="C548" s="6" t="s">
        <v>29</v>
      </c>
      <c r="D548" s="7">
        <v>1975</v>
      </c>
      <c r="E548" s="6">
        <v>1</v>
      </c>
      <c r="F548" s="7" t="s">
        <v>30</v>
      </c>
      <c r="G548" s="8">
        <v>2</v>
      </c>
      <c r="H548" s="7" t="s">
        <v>30</v>
      </c>
      <c r="I548" s="8">
        <v>2</v>
      </c>
      <c r="J548" s="7"/>
      <c r="K548" s="7"/>
      <c r="L548" s="6" t="s">
        <v>31</v>
      </c>
      <c r="M548" s="9" t="s">
        <v>30</v>
      </c>
      <c r="N548" s="7" t="s">
        <v>1654</v>
      </c>
      <c r="P548" t="e">
        <f>IF(N548="","",  IF(N548="Excluded", N548,  IF(N548="included in industry", N548,   _xlfn.XLOOKUP(N548, [1]unittypedata!$AD:$AD,[1]unittypedata!$D:$D)   )))</f>
        <v>#N/A</v>
      </c>
    </row>
    <row r="549" spans="1:16">
      <c r="A549" s="5" t="s">
        <v>848</v>
      </c>
      <c r="B549" s="5" t="s">
        <v>849</v>
      </c>
      <c r="C549" s="6" t="s">
        <v>29</v>
      </c>
      <c r="D549" s="7">
        <v>1995</v>
      </c>
      <c r="E549" s="6">
        <v>1</v>
      </c>
      <c r="F549" s="7" t="s">
        <v>30</v>
      </c>
      <c r="G549" s="8">
        <v>3</v>
      </c>
      <c r="H549" s="7" t="s">
        <v>30</v>
      </c>
      <c r="I549" s="8">
        <v>3</v>
      </c>
      <c r="J549" s="7"/>
      <c r="K549" s="7"/>
      <c r="L549" s="6" t="s">
        <v>31</v>
      </c>
      <c r="M549" s="9" t="s">
        <v>30</v>
      </c>
      <c r="N549" s="7" t="s">
        <v>1654</v>
      </c>
      <c r="P549" t="e">
        <f>IF(N549="","",  IF(N549="Excluded", N549,  IF(N549="included in industry", N549,   _xlfn.XLOOKUP(N549, [1]unittypedata!$AD:$AD,[1]unittypedata!$D:$D)   )))</f>
        <v>#N/A</v>
      </c>
    </row>
    <row r="550" spans="1:16">
      <c r="A550" s="5" t="s">
        <v>848</v>
      </c>
      <c r="B550" s="5" t="s">
        <v>849</v>
      </c>
      <c r="C550" s="6" t="s">
        <v>29</v>
      </c>
      <c r="D550" s="7">
        <v>1995</v>
      </c>
      <c r="E550" s="6">
        <v>1</v>
      </c>
      <c r="F550" s="7" t="s">
        <v>30</v>
      </c>
      <c r="G550" s="8">
        <v>1.3</v>
      </c>
      <c r="H550" s="7" t="s">
        <v>30</v>
      </c>
      <c r="I550" s="8">
        <v>1.3</v>
      </c>
      <c r="J550" s="7"/>
      <c r="K550" s="7"/>
      <c r="L550" s="6" t="s">
        <v>46</v>
      </c>
      <c r="M550" s="9" t="s">
        <v>30</v>
      </c>
      <c r="N550" s="7" t="s">
        <v>1653</v>
      </c>
      <c r="P550" t="e">
        <f>IF(N550="","",  IF(N550="Excluded", N550,  IF(N550="included in industry", N550,   _xlfn.XLOOKUP(N550, [1]unittypedata!$AD:$AD,[1]unittypedata!$D:$D)   )))</f>
        <v>#N/A</v>
      </c>
    </row>
    <row r="551" spans="1:16">
      <c r="A551" s="5" t="s">
        <v>848</v>
      </c>
      <c r="B551" s="5" t="s">
        <v>849</v>
      </c>
      <c r="C551" s="6" t="s">
        <v>29</v>
      </c>
      <c r="D551" s="7">
        <v>2013</v>
      </c>
      <c r="E551" s="6">
        <v>1</v>
      </c>
      <c r="F551" s="7" t="s">
        <v>30</v>
      </c>
      <c r="G551" s="8">
        <v>2.5</v>
      </c>
      <c r="H551" s="7" t="s">
        <v>30</v>
      </c>
      <c r="I551" s="8">
        <v>2.5</v>
      </c>
      <c r="J551" s="7"/>
      <c r="K551" s="7"/>
      <c r="L551" s="6" t="s">
        <v>118</v>
      </c>
      <c r="M551" s="9" t="s">
        <v>30</v>
      </c>
      <c r="N551" s="7" t="s">
        <v>1653</v>
      </c>
      <c r="P551" t="e">
        <f>IF(N551="","",  IF(N551="Excluded", N551,  IF(N551="included in industry", N551,   _xlfn.XLOOKUP(N551, [1]unittypedata!$AD:$AD,[1]unittypedata!$D:$D)   )))</f>
        <v>#N/A</v>
      </c>
    </row>
    <row r="552" spans="1:16">
      <c r="A552" s="11" t="s">
        <v>848</v>
      </c>
      <c r="B552" s="11" t="s">
        <v>850</v>
      </c>
      <c r="C552" s="12" t="s">
        <v>48</v>
      </c>
      <c r="D552" s="13">
        <v>2018</v>
      </c>
      <c r="E552" s="12" t="s">
        <v>30</v>
      </c>
      <c r="F552" s="13" t="s">
        <v>30</v>
      </c>
      <c r="G552" s="14" t="s">
        <v>30</v>
      </c>
      <c r="H552" s="13" t="s">
        <v>30</v>
      </c>
      <c r="I552" s="14">
        <v>0.1</v>
      </c>
      <c r="J552" s="13"/>
      <c r="K552" s="13"/>
      <c r="L552" s="12" t="s">
        <v>30</v>
      </c>
      <c r="M552" s="15" t="s">
        <v>30</v>
      </c>
      <c r="N552" s="7" t="s">
        <v>1613</v>
      </c>
      <c r="P552" t="str">
        <f>IF(N552="","",  IF(N552="Excluded", N552,  IF(N552="included in industry", N552,   _xlfn.XLOOKUP(N552, [1]unittypedata!$AD:$AD,[1]unittypedata!$D:$D)   )))</f>
        <v>GSHP</v>
      </c>
    </row>
    <row r="553" spans="1:16">
      <c r="A553" s="5" t="s">
        <v>851</v>
      </c>
      <c r="B553" s="5" t="s">
        <v>852</v>
      </c>
      <c r="C553" s="6" t="s">
        <v>29</v>
      </c>
      <c r="D553" s="7">
        <v>1990</v>
      </c>
      <c r="E553" s="6">
        <v>3</v>
      </c>
      <c r="F553" s="7" t="s">
        <v>30</v>
      </c>
      <c r="G553" s="8">
        <v>20</v>
      </c>
      <c r="H553" s="7" t="s">
        <v>30</v>
      </c>
      <c r="I553" s="8">
        <v>20</v>
      </c>
      <c r="J553" s="7"/>
      <c r="K553" s="7"/>
      <c r="L553" s="6" t="s">
        <v>33</v>
      </c>
      <c r="M553" s="9" t="s">
        <v>30</v>
      </c>
      <c r="N553" s="7" t="s">
        <v>1654</v>
      </c>
      <c r="P553" t="e">
        <f>IF(N553="","",  IF(N553="Excluded", N553,  IF(N553="included in industry", N553,   _xlfn.XLOOKUP(N553, [1]unittypedata!$AD:$AD,[1]unittypedata!$D:$D)   )))</f>
        <v>#N/A</v>
      </c>
    </row>
    <row r="554" spans="1:16">
      <c r="A554" s="5" t="s">
        <v>851</v>
      </c>
      <c r="B554" s="5" t="s">
        <v>853</v>
      </c>
      <c r="C554" s="6" t="s">
        <v>29</v>
      </c>
      <c r="D554" s="7">
        <v>2003</v>
      </c>
      <c r="E554" s="6">
        <v>1</v>
      </c>
      <c r="F554" s="7" t="s">
        <v>30</v>
      </c>
      <c r="G554" s="8">
        <v>11</v>
      </c>
      <c r="H554" s="7">
        <v>4</v>
      </c>
      <c r="I554" s="8">
        <v>15</v>
      </c>
      <c r="J554" s="7"/>
      <c r="K554" s="7"/>
      <c r="L554" s="6" t="s">
        <v>46</v>
      </c>
      <c r="M554" s="9" t="s">
        <v>30</v>
      </c>
      <c r="N554" s="7" t="s">
        <v>1653</v>
      </c>
      <c r="P554" t="e">
        <f>IF(N554="","",  IF(N554="Excluded", N554,  IF(N554="included in industry", N554,   _xlfn.XLOOKUP(N554, [1]unittypedata!$AD:$AD,[1]unittypedata!$D:$D)   )))</f>
        <v>#N/A</v>
      </c>
    </row>
    <row r="555" spans="1:16">
      <c r="A555" s="5" t="s">
        <v>851</v>
      </c>
      <c r="B555" s="5" t="s">
        <v>854</v>
      </c>
      <c r="C555" s="6" t="s">
        <v>29</v>
      </c>
      <c r="D555" s="7">
        <v>2014</v>
      </c>
      <c r="E555" s="6">
        <v>1</v>
      </c>
      <c r="F555" s="7" t="s">
        <v>30</v>
      </c>
      <c r="G555" s="8">
        <v>4.5</v>
      </c>
      <c r="H555" s="7" t="s">
        <v>30</v>
      </c>
      <c r="I555" s="8">
        <v>4.5</v>
      </c>
      <c r="J555" s="7"/>
      <c r="K555" s="7"/>
      <c r="L555" s="6" t="s">
        <v>44</v>
      </c>
      <c r="M555" s="9" t="s">
        <v>30</v>
      </c>
      <c r="N555" s="7" t="s">
        <v>1653</v>
      </c>
      <c r="P555" t="e">
        <f>IF(N555="","",  IF(N555="Excluded", N555,  IF(N555="included in industry", N555,   _xlfn.XLOOKUP(N555, [1]unittypedata!$AD:$AD,[1]unittypedata!$D:$D)   )))</f>
        <v>#N/A</v>
      </c>
    </row>
    <row r="556" spans="1:16">
      <c r="A556" s="5" t="s">
        <v>851</v>
      </c>
      <c r="B556" s="5" t="s">
        <v>855</v>
      </c>
      <c r="C556" s="6" t="s">
        <v>48</v>
      </c>
      <c r="D556" s="7">
        <v>2017</v>
      </c>
      <c r="E556" s="6" t="s">
        <v>30</v>
      </c>
      <c r="F556" s="7" t="s">
        <v>30</v>
      </c>
      <c r="G556" s="8" t="s">
        <v>30</v>
      </c>
      <c r="H556" s="7" t="s">
        <v>30</v>
      </c>
      <c r="I556" s="8" t="s">
        <v>30</v>
      </c>
      <c r="J556" s="7"/>
      <c r="K556" s="7"/>
      <c r="L556" s="6" t="s">
        <v>30</v>
      </c>
      <c r="M556" s="9" t="s">
        <v>158</v>
      </c>
      <c r="N556" s="7" t="s">
        <v>58</v>
      </c>
      <c r="P556" t="str">
        <f>IF(N556="","",  IF(N556="Excluded", N556,  IF(N556="included in industry", N556,   _xlfn.XLOOKUP(N556, [1]unittypedata!$AD:$AD,[1]unittypedata!$D:$D)   )))</f>
        <v>Excluded</v>
      </c>
    </row>
    <row r="557" spans="1:16">
      <c r="A557" s="11" t="s">
        <v>851</v>
      </c>
      <c r="B557" s="11" t="s">
        <v>856</v>
      </c>
      <c r="C557" s="12" t="s">
        <v>75</v>
      </c>
      <c r="D557" s="13">
        <v>2019</v>
      </c>
      <c r="E557" s="12" t="s">
        <v>30</v>
      </c>
      <c r="F557" s="13" t="s">
        <v>30</v>
      </c>
      <c r="G557" s="14" t="s">
        <v>30</v>
      </c>
      <c r="H557" s="13" t="s">
        <v>30</v>
      </c>
      <c r="I557" s="14" t="s">
        <v>30</v>
      </c>
      <c r="J557" s="13"/>
      <c r="K557" s="13"/>
      <c r="L557" s="12" t="s">
        <v>842</v>
      </c>
      <c r="M557" s="15" t="s">
        <v>30</v>
      </c>
      <c r="N557" s="7" t="s">
        <v>58</v>
      </c>
      <c r="P557" t="str">
        <f>IF(N557="","",  IF(N557="Excluded", N557,  IF(N557="included in industry", N557,   _xlfn.XLOOKUP(N557, [1]unittypedata!$AD:$AD,[1]unittypedata!$D:$D)   )))</f>
        <v>Excluded</v>
      </c>
    </row>
    <row r="558" spans="1:16">
      <c r="A558" s="5" t="s">
        <v>857</v>
      </c>
      <c r="B558" s="5" t="s">
        <v>858</v>
      </c>
      <c r="C558" s="6" t="s">
        <v>29</v>
      </c>
      <c r="D558" s="7">
        <v>1983</v>
      </c>
      <c r="E558" s="6">
        <v>2</v>
      </c>
      <c r="F558" s="7" t="s">
        <v>30</v>
      </c>
      <c r="G558" s="8">
        <v>6</v>
      </c>
      <c r="H558" s="7">
        <v>3</v>
      </c>
      <c r="I558" s="8">
        <v>9</v>
      </c>
      <c r="J558" s="7"/>
      <c r="K558" s="7"/>
      <c r="L558" s="6" t="s">
        <v>31</v>
      </c>
      <c r="M558" s="9" t="s">
        <v>30</v>
      </c>
      <c r="N558" s="7" t="s">
        <v>1654</v>
      </c>
      <c r="P558" t="e">
        <f>IF(N558="","",  IF(N558="Excluded", N558,  IF(N558="included in industry", N558,   _xlfn.XLOOKUP(N558, [1]unittypedata!$AD:$AD,[1]unittypedata!$D:$D)   )))</f>
        <v>#N/A</v>
      </c>
    </row>
    <row r="559" spans="1:16">
      <c r="A559" s="5" t="s">
        <v>857</v>
      </c>
      <c r="B559" s="5" t="s">
        <v>859</v>
      </c>
      <c r="C559" s="6" t="s">
        <v>29</v>
      </c>
      <c r="D559" s="7">
        <v>1993</v>
      </c>
      <c r="E559" s="6">
        <v>2</v>
      </c>
      <c r="F559" s="7" t="s">
        <v>30</v>
      </c>
      <c r="G559" s="8">
        <v>6</v>
      </c>
      <c r="H559" s="7" t="s">
        <v>30</v>
      </c>
      <c r="I559" s="8">
        <v>6</v>
      </c>
      <c r="J559" s="7"/>
      <c r="K559" s="7"/>
      <c r="L559" s="6" t="s">
        <v>31</v>
      </c>
      <c r="M559" s="9" t="s">
        <v>30</v>
      </c>
      <c r="N559" s="7" t="s">
        <v>1654</v>
      </c>
      <c r="P559" t="e">
        <f>IF(N559="","",  IF(N559="Excluded", N559,  IF(N559="included in industry", N559,   _xlfn.XLOOKUP(N559, [1]unittypedata!$AD:$AD,[1]unittypedata!$D:$D)   )))</f>
        <v>#N/A</v>
      </c>
    </row>
    <row r="560" spans="1:16">
      <c r="A560" s="5" t="s">
        <v>857</v>
      </c>
      <c r="B560" s="5" t="s">
        <v>860</v>
      </c>
      <c r="C560" s="6" t="s">
        <v>29</v>
      </c>
      <c r="D560" s="7">
        <v>2010</v>
      </c>
      <c r="E560" s="6">
        <v>1</v>
      </c>
      <c r="F560" s="7" t="s">
        <v>30</v>
      </c>
      <c r="G560" s="8">
        <v>8</v>
      </c>
      <c r="H560" s="7">
        <v>1.5</v>
      </c>
      <c r="I560" s="8">
        <v>9.5</v>
      </c>
      <c r="J560" s="7"/>
      <c r="K560" s="7"/>
      <c r="L560" s="6" t="s">
        <v>46</v>
      </c>
      <c r="M560" s="9" t="s">
        <v>30</v>
      </c>
      <c r="N560" s="7" t="s">
        <v>1653</v>
      </c>
      <c r="P560" t="e">
        <f>IF(N560="","",  IF(N560="Excluded", N560,  IF(N560="included in industry", N560,   _xlfn.XLOOKUP(N560, [1]unittypedata!$AD:$AD,[1]unittypedata!$D:$D)   )))</f>
        <v>#N/A</v>
      </c>
    </row>
    <row r="561" spans="1:16">
      <c r="A561" s="5" t="s">
        <v>857</v>
      </c>
      <c r="B561" s="5" t="s">
        <v>860</v>
      </c>
      <c r="C561" s="6" t="s">
        <v>29</v>
      </c>
      <c r="D561" s="7">
        <v>2014</v>
      </c>
      <c r="E561" s="6">
        <v>1</v>
      </c>
      <c r="F561" s="7" t="s">
        <v>30</v>
      </c>
      <c r="G561" s="8">
        <v>4</v>
      </c>
      <c r="H561" s="7" t="s">
        <v>30</v>
      </c>
      <c r="I561" s="8">
        <v>4</v>
      </c>
      <c r="J561" s="7"/>
      <c r="K561" s="7"/>
      <c r="L561" s="6" t="s">
        <v>46</v>
      </c>
      <c r="M561" s="9" t="s">
        <v>30</v>
      </c>
      <c r="N561" s="7" t="s">
        <v>1653</v>
      </c>
      <c r="P561" t="e">
        <f>IF(N561="","",  IF(N561="Excluded", N561,  IF(N561="included in industry", N561,   _xlfn.XLOOKUP(N561, [1]unittypedata!$AD:$AD,[1]unittypedata!$D:$D)   )))</f>
        <v>#N/A</v>
      </c>
    </row>
    <row r="562" spans="1:16">
      <c r="A562" s="11" t="s">
        <v>857</v>
      </c>
      <c r="B562" s="11" t="s">
        <v>860</v>
      </c>
      <c r="C562" s="12" t="s">
        <v>29</v>
      </c>
      <c r="D562" s="13">
        <v>2014</v>
      </c>
      <c r="E562" s="12">
        <v>1</v>
      </c>
      <c r="F562" s="13" t="s">
        <v>30</v>
      </c>
      <c r="G562" s="14">
        <v>4</v>
      </c>
      <c r="H562" s="13" t="s">
        <v>30</v>
      </c>
      <c r="I562" s="14">
        <v>4</v>
      </c>
      <c r="J562" s="13"/>
      <c r="K562" s="13"/>
      <c r="L562" s="12" t="s">
        <v>31</v>
      </c>
      <c r="M562" s="15" t="s">
        <v>30</v>
      </c>
      <c r="N562" s="7" t="s">
        <v>1654</v>
      </c>
      <c r="P562" t="e">
        <f>IF(N562="","",  IF(N562="Excluded", N562,  IF(N562="included in industry", N562,   _xlfn.XLOOKUP(N562, [1]unittypedata!$AD:$AD,[1]unittypedata!$D:$D)   )))</f>
        <v>#N/A</v>
      </c>
    </row>
    <row r="563" spans="1:16">
      <c r="A563" s="5" t="s">
        <v>861</v>
      </c>
      <c r="B563" s="5" t="s">
        <v>862</v>
      </c>
      <c r="C563" s="6" t="s">
        <v>29</v>
      </c>
      <c r="D563" s="7">
        <v>1967</v>
      </c>
      <c r="E563" s="6">
        <v>4</v>
      </c>
      <c r="F563" s="7" t="s">
        <v>30</v>
      </c>
      <c r="G563" s="8">
        <v>19.8</v>
      </c>
      <c r="H563" s="7" t="s">
        <v>30</v>
      </c>
      <c r="I563" s="8">
        <v>19.8</v>
      </c>
      <c r="J563" s="7"/>
      <c r="K563" s="7"/>
      <c r="L563" s="6" t="s">
        <v>31</v>
      </c>
      <c r="M563" s="9" t="s">
        <v>30</v>
      </c>
      <c r="N563" s="7" t="s">
        <v>1654</v>
      </c>
      <c r="P563" t="e">
        <f>IF(N563="","",  IF(N563="Excluded", N563,  IF(N563="included in industry", N563,   _xlfn.XLOOKUP(N563, [1]unittypedata!$AD:$AD,[1]unittypedata!$D:$D)   )))</f>
        <v>#N/A</v>
      </c>
    </row>
    <row r="564" spans="1:16">
      <c r="A564" s="5" t="s">
        <v>861</v>
      </c>
      <c r="B564" s="5" t="s">
        <v>863</v>
      </c>
      <c r="C564" s="6" t="s">
        <v>29</v>
      </c>
      <c r="D564" s="7">
        <v>1986</v>
      </c>
      <c r="E564" s="6">
        <v>2</v>
      </c>
      <c r="F564" s="7" t="s">
        <v>30</v>
      </c>
      <c r="G564" s="8">
        <v>2.5</v>
      </c>
      <c r="H564" s="7" t="s">
        <v>30</v>
      </c>
      <c r="I564" s="8">
        <v>2.5</v>
      </c>
      <c r="J564" s="7"/>
      <c r="K564" s="7"/>
      <c r="L564" s="6" t="s">
        <v>31</v>
      </c>
      <c r="M564" s="9" t="s">
        <v>30</v>
      </c>
      <c r="N564" s="7" t="s">
        <v>1654</v>
      </c>
      <c r="P564" t="e">
        <f>IF(N564="","",  IF(N564="Excluded", N564,  IF(N564="included in industry", N564,   _xlfn.XLOOKUP(N564, [1]unittypedata!$AD:$AD,[1]unittypedata!$D:$D)   )))</f>
        <v>#N/A</v>
      </c>
    </row>
    <row r="565" spans="1:16">
      <c r="A565" s="5" t="s">
        <v>861</v>
      </c>
      <c r="B565" s="5" t="s">
        <v>864</v>
      </c>
      <c r="C565" s="6" t="s">
        <v>29</v>
      </c>
      <c r="D565" s="7">
        <v>2012</v>
      </c>
      <c r="E565" s="6">
        <v>1</v>
      </c>
      <c r="F565" s="7" t="s">
        <v>30</v>
      </c>
      <c r="G565" s="8">
        <v>5</v>
      </c>
      <c r="H565" s="7" t="s">
        <v>30</v>
      </c>
      <c r="I565" s="8">
        <v>5</v>
      </c>
      <c r="J565" s="7"/>
      <c r="K565" s="7"/>
      <c r="L565" s="6" t="s">
        <v>31</v>
      </c>
      <c r="M565" s="9" t="s">
        <v>30</v>
      </c>
      <c r="N565" s="7" t="s">
        <v>1654</v>
      </c>
      <c r="P565" t="e">
        <f>IF(N565="","",  IF(N565="Excluded", N565,  IF(N565="included in industry", N565,   _xlfn.XLOOKUP(N565, [1]unittypedata!$AD:$AD,[1]unittypedata!$D:$D)   )))</f>
        <v>#N/A</v>
      </c>
    </row>
    <row r="566" spans="1:16">
      <c r="A566" s="23" t="s">
        <v>865</v>
      </c>
      <c r="B566" s="23" t="s">
        <v>866</v>
      </c>
      <c r="C566" s="24" t="s">
        <v>29</v>
      </c>
      <c r="D566" s="25">
        <v>2016</v>
      </c>
      <c r="E566" s="24">
        <v>1</v>
      </c>
      <c r="F566" s="25" t="s">
        <v>30</v>
      </c>
      <c r="G566" s="26">
        <v>4.5</v>
      </c>
      <c r="H566" s="25" t="s">
        <v>30</v>
      </c>
      <c r="I566" s="26">
        <v>4.5</v>
      </c>
      <c r="J566" s="25"/>
      <c r="K566" s="25"/>
      <c r="L566" s="24" t="s">
        <v>46</v>
      </c>
      <c r="M566" s="27" t="s">
        <v>30</v>
      </c>
      <c r="N566" s="7" t="s">
        <v>1653</v>
      </c>
      <c r="P566" t="e">
        <f>IF(N566="","",  IF(N566="Excluded", N566,  IF(N566="included in industry", N566,   _xlfn.XLOOKUP(N566, [1]unittypedata!$AD:$AD,[1]unittypedata!$D:$D)   )))</f>
        <v>#N/A</v>
      </c>
    </row>
    <row r="567" spans="1:16">
      <c r="A567" s="5" t="s">
        <v>867</v>
      </c>
      <c r="B567" s="5" t="s">
        <v>868</v>
      </c>
      <c r="C567" s="6" t="s">
        <v>29</v>
      </c>
      <c r="D567" s="7">
        <v>1975</v>
      </c>
      <c r="E567" s="6">
        <v>1</v>
      </c>
      <c r="F567" s="7" t="s">
        <v>30</v>
      </c>
      <c r="G567" s="8">
        <v>40</v>
      </c>
      <c r="H567" s="7" t="s">
        <v>30</v>
      </c>
      <c r="I567" s="8">
        <v>40</v>
      </c>
      <c r="J567" s="7"/>
      <c r="K567" s="7"/>
      <c r="L567" s="6" t="s">
        <v>31</v>
      </c>
      <c r="M567" s="9" t="s">
        <v>30</v>
      </c>
      <c r="N567" s="7" t="s">
        <v>1654</v>
      </c>
      <c r="P567" t="e">
        <f>IF(N567="","",  IF(N567="Excluded", N567,  IF(N567="included in industry", N567,   _xlfn.XLOOKUP(N567, [1]unittypedata!$AD:$AD,[1]unittypedata!$D:$D)   )))</f>
        <v>#N/A</v>
      </c>
    </row>
    <row r="568" spans="1:16">
      <c r="A568" s="5" t="s">
        <v>867</v>
      </c>
      <c r="B568" s="5" t="s">
        <v>869</v>
      </c>
      <c r="C568" s="6" t="s">
        <v>29</v>
      </c>
      <c r="D568" s="7">
        <v>1986</v>
      </c>
      <c r="E568" s="6">
        <v>1</v>
      </c>
      <c r="F568" s="7" t="s">
        <v>30</v>
      </c>
      <c r="G568" s="8">
        <v>40</v>
      </c>
      <c r="H568" s="7" t="s">
        <v>30</v>
      </c>
      <c r="I568" s="8">
        <v>40</v>
      </c>
      <c r="J568" s="7"/>
      <c r="K568" s="7"/>
      <c r="L568" s="6" t="s">
        <v>31</v>
      </c>
      <c r="M568" s="9" t="s">
        <v>30</v>
      </c>
      <c r="N568" s="7" t="s">
        <v>1654</v>
      </c>
      <c r="P568" t="e">
        <f>IF(N568="","",  IF(N568="Excluded", N568,  IF(N568="included in industry", N568,   _xlfn.XLOOKUP(N568, [1]unittypedata!$AD:$AD,[1]unittypedata!$D:$D)   )))</f>
        <v>#N/A</v>
      </c>
    </row>
    <row r="569" spans="1:16">
      <c r="A569" s="5" t="s">
        <v>867</v>
      </c>
      <c r="B569" s="5" t="s">
        <v>870</v>
      </c>
      <c r="C569" s="6" t="s">
        <v>29</v>
      </c>
      <c r="D569" s="7">
        <v>1989</v>
      </c>
      <c r="E569" s="6">
        <v>1</v>
      </c>
      <c r="F569" s="7" t="s">
        <v>30</v>
      </c>
      <c r="G569" s="8">
        <v>40</v>
      </c>
      <c r="H569" s="7" t="s">
        <v>30</v>
      </c>
      <c r="I569" s="8">
        <v>40</v>
      </c>
      <c r="J569" s="7"/>
      <c r="K569" s="7"/>
      <c r="L569" s="6" t="s">
        <v>31</v>
      </c>
      <c r="M569" s="9" t="s">
        <v>30</v>
      </c>
      <c r="N569" s="7" t="s">
        <v>1654</v>
      </c>
      <c r="P569" t="e">
        <f>IF(N569="","",  IF(N569="Excluded", N569,  IF(N569="included in industry", N569,   _xlfn.XLOOKUP(N569, [1]unittypedata!$AD:$AD,[1]unittypedata!$D:$D)   )))</f>
        <v>#N/A</v>
      </c>
    </row>
    <row r="570" spans="1:16">
      <c r="A570" s="5" t="s">
        <v>867</v>
      </c>
      <c r="B570" s="5" t="s">
        <v>871</v>
      </c>
      <c r="C570" s="6" t="s">
        <v>29</v>
      </c>
      <c r="D570" s="7">
        <v>1992</v>
      </c>
      <c r="E570" s="6">
        <v>2</v>
      </c>
      <c r="F570" s="7" t="s">
        <v>30</v>
      </c>
      <c r="G570" s="8">
        <v>30</v>
      </c>
      <c r="H570" s="7" t="s">
        <v>30</v>
      </c>
      <c r="I570" s="8">
        <v>30</v>
      </c>
      <c r="J570" s="7"/>
      <c r="K570" s="7"/>
      <c r="L570" s="6" t="s">
        <v>31</v>
      </c>
      <c r="M570" s="9" t="s">
        <v>30</v>
      </c>
      <c r="N570" s="7" t="s">
        <v>1654</v>
      </c>
      <c r="P570" t="e">
        <f>IF(N570="","",  IF(N570="Excluded", N570,  IF(N570="included in industry", N570,   _xlfn.XLOOKUP(N570, [1]unittypedata!$AD:$AD,[1]unittypedata!$D:$D)   )))</f>
        <v>#N/A</v>
      </c>
    </row>
    <row r="571" spans="1:16">
      <c r="A571" s="5" t="s">
        <v>867</v>
      </c>
      <c r="B571" s="5" t="s">
        <v>872</v>
      </c>
      <c r="C571" s="6" t="s">
        <v>29</v>
      </c>
      <c r="D571" s="7">
        <v>2006</v>
      </c>
      <c r="E571" s="6">
        <v>1</v>
      </c>
      <c r="F571" s="7" t="s">
        <v>30</v>
      </c>
      <c r="G571" s="8">
        <v>40</v>
      </c>
      <c r="H571" s="7" t="s">
        <v>30</v>
      </c>
      <c r="I571" s="8">
        <v>40</v>
      </c>
      <c r="J571" s="7"/>
      <c r="K571" s="7"/>
      <c r="L571" s="6" t="s">
        <v>31</v>
      </c>
      <c r="M571" s="9" t="s">
        <v>30</v>
      </c>
      <c r="N571" s="7" t="s">
        <v>1654</v>
      </c>
      <c r="P571" t="e">
        <f>IF(N571="","",  IF(N571="Excluded", N571,  IF(N571="included in industry", N571,   _xlfn.XLOOKUP(N571, [1]unittypedata!$AD:$AD,[1]unittypedata!$D:$D)   )))</f>
        <v>#N/A</v>
      </c>
    </row>
    <row r="572" spans="1:16">
      <c r="A572" s="5" t="s">
        <v>867</v>
      </c>
      <c r="B572" s="5" t="s">
        <v>873</v>
      </c>
      <c r="C572" s="6" t="s">
        <v>29</v>
      </c>
      <c r="D572" s="7">
        <v>2007</v>
      </c>
      <c r="E572" s="6">
        <v>2</v>
      </c>
      <c r="F572" s="7" t="s">
        <v>30</v>
      </c>
      <c r="G572" s="8">
        <v>3</v>
      </c>
      <c r="H572" s="7" t="s">
        <v>30</v>
      </c>
      <c r="I572" s="8">
        <v>3</v>
      </c>
      <c r="J572" s="7"/>
      <c r="K572" s="7"/>
      <c r="L572" s="6" t="s">
        <v>46</v>
      </c>
      <c r="M572" s="9" t="s">
        <v>30</v>
      </c>
      <c r="N572" s="7" t="s">
        <v>1653</v>
      </c>
      <c r="P572" t="e">
        <f>IF(N572="","",  IF(N572="Excluded", N572,  IF(N572="included in industry", N572,   _xlfn.XLOOKUP(N572, [1]unittypedata!$AD:$AD,[1]unittypedata!$D:$D)   )))</f>
        <v>#N/A</v>
      </c>
    </row>
    <row r="573" spans="1:16">
      <c r="A573" s="5" t="s">
        <v>867</v>
      </c>
      <c r="B573" s="5" t="s">
        <v>874</v>
      </c>
      <c r="C573" s="6" t="s">
        <v>29</v>
      </c>
      <c r="D573" s="7">
        <v>2014</v>
      </c>
      <c r="E573" s="6">
        <v>1</v>
      </c>
      <c r="F573" s="7" t="s">
        <v>30</v>
      </c>
      <c r="G573" s="8">
        <v>1.5</v>
      </c>
      <c r="H573" s="7" t="s">
        <v>30</v>
      </c>
      <c r="I573" s="8">
        <v>1.5</v>
      </c>
      <c r="J573" s="7"/>
      <c r="K573" s="7"/>
      <c r="L573" s="6" t="s">
        <v>46</v>
      </c>
      <c r="M573" s="9" t="s">
        <v>30</v>
      </c>
      <c r="N573" s="7" t="s">
        <v>1653</v>
      </c>
      <c r="P573" t="e">
        <f>IF(N573="","",  IF(N573="Excluded", N573,  IF(N573="included in industry", N573,   _xlfn.XLOOKUP(N573, [1]unittypedata!$AD:$AD,[1]unittypedata!$D:$D)   )))</f>
        <v>#N/A</v>
      </c>
    </row>
    <row r="574" spans="1:16">
      <c r="A574" s="5" t="s">
        <v>867</v>
      </c>
      <c r="B574" s="5" t="s">
        <v>875</v>
      </c>
      <c r="C574" s="6" t="s">
        <v>29</v>
      </c>
      <c r="D574" s="7" t="s">
        <v>158</v>
      </c>
      <c r="E574" s="6" t="s">
        <v>158</v>
      </c>
      <c r="F574" s="7" t="s">
        <v>30</v>
      </c>
      <c r="G574" s="8" t="s">
        <v>30</v>
      </c>
      <c r="H574" s="7" t="s">
        <v>158</v>
      </c>
      <c r="I574" s="8" t="s">
        <v>158</v>
      </c>
      <c r="J574" s="7"/>
      <c r="K574" s="7"/>
      <c r="L574" s="6" t="s">
        <v>285</v>
      </c>
      <c r="M574" s="9" t="s">
        <v>30</v>
      </c>
      <c r="N574" s="7" t="s">
        <v>58</v>
      </c>
      <c r="P574" t="str">
        <f>IF(N574="","",  IF(N574="Excluded", N574,  IF(N574="included in industry", N574,   _xlfn.XLOOKUP(N574, [1]unittypedata!$AD:$AD,[1]unittypedata!$D:$D)   )))</f>
        <v>Excluded</v>
      </c>
    </row>
    <row r="575" spans="1:16">
      <c r="A575" s="5" t="s">
        <v>867</v>
      </c>
      <c r="B575" s="5" t="s">
        <v>876</v>
      </c>
      <c r="C575" s="6" t="s">
        <v>52</v>
      </c>
      <c r="D575" s="7">
        <v>1981</v>
      </c>
      <c r="E575" s="6">
        <v>1</v>
      </c>
      <c r="F575" s="7">
        <v>70</v>
      </c>
      <c r="G575" s="8">
        <v>85</v>
      </c>
      <c r="H575" s="7" t="s">
        <v>30</v>
      </c>
      <c r="I575" s="8">
        <v>155</v>
      </c>
      <c r="J575" s="7">
        <v>12</v>
      </c>
      <c r="K575" s="7"/>
      <c r="L575" s="6" t="s">
        <v>118</v>
      </c>
      <c r="M575" s="9" t="s">
        <v>30</v>
      </c>
      <c r="N575" s="7" t="s">
        <v>1656</v>
      </c>
      <c r="P575" t="e">
        <f>IF(N575="","",  IF(N575="Excluded", N575,  IF(N575="included in industry", N575,   _xlfn.XLOOKUP(N575, [1]unittypedata!$AD:$AD,[1]unittypedata!$D:$D)   )))</f>
        <v>#N/A</v>
      </c>
    </row>
    <row r="576" spans="1:16">
      <c r="A576" s="5" t="s">
        <v>867</v>
      </c>
      <c r="B576" s="5" t="s">
        <v>877</v>
      </c>
      <c r="C576" s="6" t="s">
        <v>52</v>
      </c>
      <c r="D576" s="7">
        <v>2020</v>
      </c>
      <c r="E576" s="6">
        <v>1</v>
      </c>
      <c r="F576" s="7">
        <v>50</v>
      </c>
      <c r="G576" s="8">
        <v>70</v>
      </c>
      <c r="H576" s="7">
        <v>20</v>
      </c>
      <c r="I576" s="8">
        <v>140</v>
      </c>
      <c r="J576" s="7">
        <v>12</v>
      </c>
      <c r="K576" s="7"/>
      <c r="L576" s="6" t="s">
        <v>118</v>
      </c>
      <c r="M576" s="9" t="s">
        <v>30</v>
      </c>
      <c r="N576" s="7" t="s">
        <v>1656</v>
      </c>
      <c r="P576" t="e">
        <f>IF(N576="","",  IF(N576="Excluded", N576,  IF(N576="included in industry", N576,   _xlfn.XLOOKUP(N576, [1]unittypedata!$AD:$AD,[1]unittypedata!$D:$D)   )))</f>
        <v>#N/A</v>
      </c>
    </row>
    <row r="577" spans="1:16">
      <c r="A577" s="11" t="s">
        <v>867</v>
      </c>
      <c r="B577" s="11" t="s">
        <v>878</v>
      </c>
      <c r="C577" s="12" t="s">
        <v>52</v>
      </c>
      <c r="D577" s="13">
        <v>2008</v>
      </c>
      <c r="E577" s="12">
        <v>1</v>
      </c>
      <c r="F577" s="13">
        <v>72</v>
      </c>
      <c r="G577" s="14">
        <v>78</v>
      </c>
      <c r="H577" s="13" t="s">
        <v>30</v>
      </c>
      <c r="I577" s="14">
        <v>150</v>
      </c>
      <c r="J577" s="13">
        <v>65</v>
      </c>
      <c r="K577" s="13"/>
      <c r="L577" s="12" t="s">
        <v>118</v>
      </c>
      <c r="M577" s="15" t="s">
        <v>30</v>
      </c>
      <c r="N577" s="7" t="s">
        <v>1656</v>
      </c>
      <c r="P577" t="e">
        <f>IF(N577="","",  IF(N577="Excluded", N577,  IF(N577="included in industry", N577,   _xlfn.XLOOKUP(N577, [1]unittypedata!$AD:$AD,[1]unittypedata!$D:$D)   )))</f>
        <v>#N/A</v>
      </c>
    </row>
    <row r="578" spans="1:16">
      <c r="A578" s="5" t="s">
        <v>879</v>
      </c>
      <c r="B578" s="5" t="s">
        <v>880</v>
      </c>
      <c r="C578" s="6" t="s">
        <v>29</v>
      </c>
      <c r="D578" s="7">
        <v>1985</v>
      </c>
      <c r="E578" s="6">
        <v>3</v>
      </c>
      <c r="F578" s="7" t="s">
        <v>30</v>
      </c>
      <c r="G578" s="8">
        <v>39</v>
      </c>
      <c r="H578" s="7" t="s">
        <v>30</v>
      </c>
      <c r="I578" s="8">
        <v>39</v>
      </c>
      <c r="J578" s="7"/>
      <c r="K578" s="7"/>
      <c r="L578" s="6" t="s">
        <v>31</v>
      </c>
      <c r="M578" s="9" t="s">
        <v>30</v>
      </c>
      <c r="N578" s="7" t="s">
        <v>1654</v>
      </c>
      <c r="P578" t="e">
        <f>IF(N578="","",  IF(N578="Excluded", N578,  IF(N578="included in industry", N578,   _xlfn.XLOOKUP(N578, [1]unittypedata!$AD:$AD,[1]unittypedata!$D:$D)   )))</f>
        <v>#N/A</v>
      </c>
    </row>
    <row r="579" spans="1:16">
      <c r="A579" s="5" t="s">
        <v>879</v>
      </c>
      <c r="B579" s="5" t="s">
        <v>881</v>
      </c>
      <c r="C579" s="6" t="s">
        <v>29</v>
      </c>
      <c r="D579" s="7">
        <v>2001</v>
      </c>
      <c r="E579" s="6">
        <v>4</v>
      </c>
      <c r="F579" s="7" t="s">
        <v>30</v>
      </c>
      <c r="G579" s="8">
        <v>48</v>
      </c>
      <c r="H579" s="7" t="s">
        <v>30</v>
      </c>
      <c r="I579" s="8">
        <v>48</v>
      </c>
      <c r="J579" s="7"/>
      <c r="K579" s="7"/>
      <c r="L579" s="6" t="s">
        <v>36</v>
      </c>
      <c r="M579" s="9" t="s">
        <v>30</v>
      </c>
      <c r="N579" s="7" t="s">
        <v>1657</v>
      </c>
      <c r="P579" t="e">
        <f>IF(N579="","",  IF(N579="Excluded", N579,  IF(N579="included in industry", N579,   _xlfn.XLOOKUP(N579, [1]unittypedata!$AD:$AD,[1]unittypedata!$D:$D)   )))</f>
        <v>#N/A</v>
      </c>
    </row>
    <row r="580" spans="1:16">
      <c r="A580" s="5" t="s">
        <v>879</v>
      </c>
      <c r="B580" s="5" t="s">
        <v>882</v>
      </c>
      <c r="C580" s="6" t="s">
        <v>29</v>
      </c>
      <c r="D580" s="7">
        <v>2004</v>
      </c>
      <c r="E580" s="6">
        <v>3</v>
      </c>
      <c r="F580" s="7" t="s">
        <v>30</v>
      </c>
      <c r="G580" s="8">
        <v>38</v>
      </c>
      <c r="H580" s="7" t="s">
        <v>30</v>
      </c>
      <c r="I580" s="8">
        <v>38</v>
      </c>
      <c r="J580" s="7"/>
      <c r="K580" s="7"/>
      <c r="L580" s="6" t="s">
        <v>36</v>
      </c>
      <c r="M580" s="9" t="s">
        <v>30</v>
      </c>
      <c r="N580" s="7" t="s">
        <v>1657</v>
      </c>
      <c r="P580" t="e">
        <f>IF(N580="","",  IF(N580="Excluded", N580,  IF(N580="included in industry", N580,   _xlfn.XLOOKUP(N580, [1]unittypedata!$AD:$AD,[1]unittypedata!$D:$D)   )))</f>
        <v>#N/A</v>
      </c>
    </row>
    <row r="581" spans="1:16">
      <c r="A581" s="5" t="s">
        <v>879</v>
      </c>
      <c r="B581" s="5" t="s">
        <v>883</v>
      </c>
      <c r="C581" s="6" t="s">
        <v>52</v>
      </c>
      <c r="D581" s="7">
        <v>1979</v>
      </c>
      <c r="E581" s="6">
        <v>1</v>
      </c>
      <c r="F581" s="7">
        <v>36</v>
      </c>
      <c r="G581" s="8" t="s">
        <v>30</v>
      </c>
      <c r="H581" s="7" t="s">
        <v>30</v>
      </c>
      <c r="I581" s="8">
        <v>36</v>
      </c>
      <c r="J581" s="7">
        <v>11</v>
      </c>
      <c r="K581" s="7"/>
      <c r="L581" s="6" t="s">
        <v>46</v>
      </c>
      <c r="M581" s="9" t="s">
        <v>30</v>
      </c>
      <c r="N581" s="7" t="s">
        <v>1656</v>
      </c>
      <c r="P581" t="e">
        <f>IF(N581="","",  IF(N581="Excluded", N581,  IF(N581="included in industry", N581,   _xlfn.XLOOKUP(N581, [1]unittypedata!$AD:$AD,[1]unittypedata!$D:$D)   )))</f>
        <v>#N/A</v>
      </c>
    </row>
    <row r="582" spans="1:16">
      <c r="A582" s="11" t="s">
        <v>879</v>
      </c>
      <c r="B582" s="11" t="s">
        <v>884</v>
      </c>
      <c r="C582" s="12" t="s">
        <v>52</v>
      </c>
      <c r="D582" s="13">
        <v>2013</v>
      </c>
      <c r="E582" s="12">
        <v>1</v>
      </c>
      <c r="F582" s="13">
        <v>30</v>
      </c>
      <c r="G582" s="14" t="s">
        <v>30</v>
      </c>
      <c r="H582" s="13">
        <v>10</v>
      </c>
      <c r="I582" s="14">
        <v>40</v>
      </c>
      <c r="J582" s="13">
        <v>12.5</v>
      </c>
      <c r="K582" s="13"/>
      <c r="L582" s="12" t="s">
        <v>46</v>
      </c>
      <c r="M582" s="15" t="s">
        <v>30</v>
      </c>
      <c r="N582" s="7" t="s">
        <v>1656</v>
      </c>
      <c r="P582" t="e">
        <f>IF(N582="","",  IF(N582="Excluded", N582,  IF(N582="included in industry", N582,   _xlfn.XLOOKUP(N582, [1]unittypedata!$AD:$AD,[1]unittypedata!$D:$D)   )))</f>
        <v>#N/A</v>
      </c>
    </row>
    <row r="583" spans="1:16">
      <c r="A583" s="5" t="s">
        <v>885</v>
      </c>
      <c r="B583" s="5" t="s">
        <v>886</v>
      </c>
      <c r="C583" s="6" t="s">
        <v>29</v>
      </c>
      <c r="D583" s="7">
        <v>1997</v>
      </c>
      <c r="E583" s="6" t="s">
        <v>158</v>
      </c>
      <c r="F583" s="7" t="s">
        <v>30</v>
      </c>
      <c r="G583" s="8">
        <v>12</v>
      </c>
      <c r="H583" s="7" t="s">
        <v>30</v>
      </c>
      <c r="I583" s="8">
        <v>12</v>
      </c>
      <c r="J583" s="7"/>
      <c r="K583" s="7"/>
      <c r="L583" s="6" t="s">
        <v>31</v>
      </c>
      <c r="M583" s="9" t="s">
        <v>30</v>
      </c>
      <c r="N583" s="7" t="s">
        <v>1654</v>
      </c>
      <c r="P583" t="e">
        <f>IF(N583="","",  IF(N583="Excluded", N583,  IF(N583="included in industry", N583,   _xlfn.XLOOKUP(N583, [1]unittypedata!$AD:$AD,[1]unittypedata!$D:$D)   )))</f>
        <v>#N/A</v>
      </c>
    </row>
    <row r="584" spans="1:16">
      <c r="A584" s="5" t="s">
        <v>885</v>
      </c>
      <c r="B584" s="5" t="s">
        <v>887</v>
      </c>
      <c r="C584" s="6" t="s">
        <v>29</v>
      </c>
      <c r="D584" s="7">
        <v>1985</v>
      </c>
      <c r="E584" s="6" t="s">
        <v>158</v>
      </c>
      <c r="F584" s="7" t="s">
        <v>30</v>
      </c>
      <c r="G584" s="8">
        <v>16</v>
      </c>
      <c r="H584" s="7" t="s">
        <v>30</v>
      </c>
      <c r="I584" s="8">
        <v>16</v>
      </c>
      <c r="J584" s="7"/>
      <c r="K584" s="7"/>
      <c r="L584" s="6" t="s">
        <v>31</v>
      </c>
      <c r="M584" s="9" t="s">
        <v>30</v>
      </c>
      <c r="N584" s="7" t="s">
        <v>1654</v>
      </c>
      <c r="P584" t="e">
        <f>IF(N584="","",  IF(N584="Excluded", N584,  IF(N584="included in industry", N584,   _xlfn.XLOOKUP(N584, [1]unittypedata!$AD:$AD,[1]unittypedata!$D:$D)   )))</f>
        <v>#N/A</v>
      </c>
    </row>
    <row r="585" spans="1:16">
      <c r="A585" s="5" t="s">
        <v>885</v>
      </c>
      <c r="B585" s="5" t="s">
        <v>888</v>
      </c>
      <c r="C585" s="6" t="s">
        <v>29</v>
      </c>
      <c r="D585" s="7">
        <v>2004</v>
      </c>
      <c r="E585" s="6" t="s">
        <v>158</v>
      </c>
      <c r="F585" s="7" t="s">
        <v>30</v>
      </c>
      <c r="G585" s="8">
        <v>16</v>
      </c>
      <c r="H585" s="7" t="s">
        <v>30</v>
      </c>
      <c r="I585" s="8">
        <v>16</v>
      </c>
      <c r="J585" s="7"/>
      <c r="K585" s="7"/>
      <c r="L585" s="6" t="s">
        <v>31</v>
      </c>
      <c r="M585" s="9" t="s">
        <v>30</v>
      </c>
      <c r="N585" s="7" t="s">
        <v>1654</v>
      </c>
      <c r="P585" t="e">
        <f>IF(N585="","",  IF(N585="Excluded", N585,  IF(N585="included in industry", N585,   _xlfn.XLOOKUP(N585, [1]unittypedata!$AD:$AD,[1]unittypedata!$D:$D)   )))</f>
        <v>#N/A</v>
      </c>
    </row>
    <row r="586" spans="1:16">
      <c r="A586" s="5" t="s">
        <v>885</v>
      </c>
      <c r="B586" s="5" t="s">
        <v>889</v>
      </c>
      <c r="C586" s="6" t="s">
        <v>29</v>
      </c>
      <c r="D586" s="7">
        <v>2010</v>
      </c>
      <c r="E586" s="6" t="s">
        <v>158</v>
      </c>
      <c r="F586" s="7" t="s">
        <v>30</v>
      </c>
      <c r="G586" s="8">
        <v>8</v>
      </c>
      <c r="H586" s="7" t="s">
        <v>30</v>
      </c>
      <c r="I586" s="8">
        <v>8</v>
      </c>
      <c r="J586" s="7"/>
      <c r="K586" s="7"/>
      <c r="L586" s="6" t="s">
        <v>31</v>
      </c>
      <c r="M586" s="9" t="s">
        <v>30</v>
      </c>
      <c r="N586" s="7" t="s">
        <v>1654</v>
      </c>
      <c r="P586" t="e">
        <f>IF(N586="","",  IF(N586="Excluded", N586,  IF(N586="included in industry", N586,   _xlfn.XLOOKUP(N586, [1]unittypedata!$AD:$AD,[1]unittypedata!$D:$D)   )))</f>
        <v>#N/A</v>
      </c>
    </row>
    <row r="587" spans="1:16">
      <c r="A587" s="5" t="s">
        <v>885</v>
      </c>
      <c r="B587" s="5" t="s">
        <v>890</v>
      </c>
      <c r="C587" s="6" t="s">
        <v>29</v>
      </c>
      <c r="D587" s="7">
        <v>1981</v>
      </c>
      <c r="E587" s="6" t="s">
        <v>158</v>
      </c>
      <c r="F587" s="7" t="s">
        <v>30</v>
      </c>
      <c r="G587" s="8">
        <v>4</v>
      </c>
      <c r="H587" s="7" t="s">
        <v>30</v>
      </c>
      <c r="I587" s="8">
        <v>4</v>
      </c>
      <c r="J587" s="7"/>
      <c r="K587" s="7"/>
      <c r="L587" s="6" t="s">
        <v>31</v>
      </c>
      <c r="M587" s="9" t="s">
        <v>30</v>
      </c>
      <c r="N587" s="7" t="s">
        <v>1654</v>
      </c>
      <c r="P587" t="e">
        <f>IF(N587="","",  IF(N587="Excluded", N587,  IF(N587="included in industry", N587,   _xlfn.XLOOKUP(N587, [1]unittypedata!$AD:$AD,[1]unittypedata!$D:$D)   )))</f>
        <v>#N/A</v>
      </c>
    </row>
    <row r="588" spans="1:16">
      <c r="A588" s="5" t="s">
        <v>885</v>
      </c>
      <c r="B588" s="5" t="s">
        <v>891</v>
      </c>
      <c r="C588" s="6" t="s">
        <v>29</v>
      </c>
      <c r="D588" s="7">
        <v>2014</v>
      </c>
      <c r="E588" s="6" t="s">
        <v>158</v>
      </c>
      <c r="F588" s="7" t="s">
        <v>30</v>
      </c>
      <c r="G588" s="8">
        <v>10</v>
      </c>
      <c r="H588" s="7" t="s">
        <v>30</v>
      </c>
      <c r="I588" s="8">
        <v>10</v>
      </c>
      <c r="J588" s="7"/>
      <c r="K588" s="7"/>
      <c r="L588" s="6" t="s">
        <v>44</v>
      </c>
      <c r="M588" s="9" t="s">
        <v>30</v>
      </c>
      <c r="N588" s="7" t="s">
        <v>1653</v>
      </c>
      <c r="P588" t="e">
        <f>IF(N588="","",  IF(N588="Excluded", N588,  IF(N588="included in industry", N588,   _xlfn.XLOOKUP(N588, [1]unittypedata!$AD:$AD,[1]unittypedata!$D:$D)   )))</f>
        <v>#N/A</v>
      </c>
    </row>
    <row r="589" spans="1:16">
      <c r="A589" s="5" t="s">
        <v>885</v>
      </c>
      <c r="B589" s="5" t="s">
        <v>892</v>
      </c>
      <c r="C589" s="6" t="s">
        <v>29</v>
      </c>
      <c r="D589" s="7">
        <v>2010</v>
      </c>
      <c r="E589" s="6" t="s">
        <v>158</v>
      </c>
      <c r="F589" s="7" t="s">
        <v>30</v>
      </c>
      <c r="G589" s="8">
        <v>5.7</v>
      </c>
      <c r="H589" s="7" t="s">
        <v>30</v>
      </c>
      <c r="I589" s="8">
        <v>5.7</v>
      </c>
      <c r="J589" s="7"/>
      <c r="K589" s="7"/>
      <c r="L589" s="6" t="s">
        <v>46</v>
      </c>
      <c r="M589" s="9" t="s">
        <v>30</v>
      </c>
      <c r="N589" s="7" t="s">
        <v>1653</v>
      </c>
      <c r="P589" t="e">
        <f>IF(N589="","",  IF(N589="Excluded", N589,  IF(N589="included in industry", N589,   _xlfn.XLOOKUP(N589, [1]unittypedata!$AD:$AD,[1]unittypedata!$D:$D)   )))</f>
        <v>#N/A</v>
      </c>
    </row>
    <row r="590" spans="1:16">
      <c r="A590" s="11" t="s">
        <v>885</v>
      </c>
      <c r="B590" s="11" t="s">
        <v>893</v>
      </c>
      <c r="C590" s="12" t="s">
        <v>29</v>
      </c>
      <c r="D590" s="13">
        <v>1982</v>
      </c>
      <c r="E590" s="12" t="s">
        <v>158</v>
      </c>
      <c r="F590" s="13" t="s">
        <v>30</v>
      </c>
      <c r="G590" s="14">
        <v>2.2000000000000002</v>
      </c>
      <c r="H590" s="13" t="s">
        <v>30</v>
      </c>
      <c r="I590" s="14">
        <v>2.2000000000000002</v>
      </c>
      <c r="J590" s="13"/>
      <c r="K590" s="13"/>
      <c r="L590" s="12" t="s">
        <v>46</v>
      </c>
      <c r="M590" s="15" t="s">
        <v>30</v>
      </c>
      <c r="N590" s="7" t="s">
        <v>1653</v>
      </c>
      <c r="P590" t="e">
        <f>IF(N590="","",  IF(N590="Excluded", N590,  IF(N590="included in industry", N590,   _xlfn.XLOOKUP(N590, [1]unittypedata!$AD:$AD,[1]unittypedata!$D:$D)   )))</f>
        <v>#N/A</v>
      </c>
    </row>
    <row r="591" spans="1:16">
      <c r="A591" s="5" t="s">
        <v>894</v>
      </c>
      <c r="B591" s="5" t="s">
        <v>895</v>
      </c>
      <c r="C591" s="6" t="s">
        <v>29</v>
      </c>
      <c r="D591" s="7">
        <v>1992</v>
      </c>
      <c r="E591" s="6">
        <v>2</v>
      </c>
      <c r="F591" s="7" t="s">
        <v>30</v>
      </c>
      <c r="G591" s="8">
        <v>12</v>
      </c>
      <c r="H591" s="7" t="s">
        <v>30</v>
      </c>
      <c r="I591" s="8">
        <v>12</v>
      </c>
      <c r="J591" s="7"/>
      <c r="K591" s="7"/>
      <c r="L591" s="6" t="s">
        <v>33</v>
      </c>
      <c r="M591" s="9" t="s">
        <v>30</v>
      </c>
      <c r="N591" s="7" t="s">
        <v>1654</v>
      </c>
      <c r="P591" t="e">
        <f>IF(N591="","",  IF(N591="Excluded", N591,  IF(N591="included in industry", N591,   _xlfn.XLOOKUP(N591, [1]unittypedata!$AD:$AD,[1]unittypedata!$D:$D)   )))</f>
        <v>#N/A</v>
      </c>
    </row>
    <row r="592" spans="1:16">
      <c r="A592" s="5" t="s">
        <v>894</v>
      </c>
      <c r="B592" s="5" t="s">
        <v>895</v>
      </c>
      <c r="C592" s="6" t="s">
        <v>29</v>
      </c>
      <c r="D592" s="7">
        <v>1996</v>
      </c>
      <c r="E592" s="6">
        <v>1</v>
      </c>
      <c r="F592" s="7" t="s">
        <v>30</v>
      </c>
      <c r="G592" s="8">
        <v>12</v>
      </c>
      <c r="H592" s="7" t="s">
        <v>30</v>
      </c>
      <c r="I592" s="8">
        <v>12</v>
      </c>
      <c r="J592" s="7"/>
      <c r="K592" s="7"/>
      <c r="L592" s="6" t="s">
        <v>33</v>
      </c>
      <c r="M592" s="9" t="s">
        <v>30</v>
      </c>
      <c r="N592" s="7" t="s">
        <v>1654</v>
      </c>
      <c r="P592" t="e">
        <f>IF(N592="","",  IF(N592="Excluded", N592,  IF(N592="included in industry", N592,   _xlfn.XLOOKUP(N592, [1]unittypedata!$AD:$AD,[1]unittypedata!$D:$D)   )))</f>
        <v>#N/A</v>
      </c>
    </row>
    <row r="593" spans="1:16">
      <c r="A593" s="5" t="s">
        <v>894</v>
      </c>
      <c r="B593" s="5" t="s">
        <v>896</v>
      </c>
      <c r="C593" s="6" t="s">
        <v>29</v>
      </c>
      <c r="D593" s="7">
        <v>2001</v>
      </c>
      <c r="E593" s="6">
        <v>1</v>
      </c>
      <c r="F593" s="7" t="s">
        <v>30</v>
      </c>
      <c r="G593" s="8">
        <v>15</v>
      </c>
      <c r="H593" s="7" t="s">
        <v>30</v>
      </c>
      <c r="I593" s="8">
        <v>15</v>
      </c>
      <c r="J593" s="7"/>
      <c r="K593" s="7"/>
      <c r="L593" s="6" t="s">
        <v>46</v>
      </c>
      <c r="M593" s="9" t="s">
        <v>30</v>
      </c>
      <c r="N593" s="7" t="s">
        <v>1653</v>
      </c>
      <c r="P593" t="e">
        <f>IF(N593="","",  IF(N593="Excluded", N593,  IF(N593="included in industry", N593,   _xlfn.XLOOKUP(N593, [1]unittypedata!$AD:$AD,[1]unittypedata!$D:$D)   )))</f>
        <v>#N/A</v>
      </c>
    </row>
    <row r="594" spans="1:16">
      <c r="A594" s="5" t="s">
        <v>894</v>
      </c>
      <c r="B594" s="5" t="s">
        <v>897</v>
      </c>
      <c r="C594" s="6" t="s">
        <v>29</v>
      </c>
      <c r="D594" s="7">
        <v>2008</v>
      </c>
      <c r="E594" s="6">
        <v>2</v>
      </c>
      <c r="F594" s="7" t="s">
        <v>30</v>
      </c>
      <c r="G594" s="8">
        <v>3</v>
      </c>
      <c r="H594" s="7" t="s">
        <v>30</v>
      </c>
      <c r="I594" s="8">
        <v>3</v>
      </c>
      <c r="J594" s="7"/>
      <c r="K594" s="7"/>
      <c r="L594" s="6" t="s">
        <v>46</v>
      </c>
      <c r="M594" s="9" t="s">
        <v>30</v>
      </c>
      <c r="N594" s="7" t="s">
        <v>1653</v>
      </c>
      <c r="P594" t="e">
        <f>IF(N594="","",  IF(N594="Excluded", N594,  IF(N594="included in industry", N594,   _xlfn.XLOOKUP(N594, [1]unittypedata!$AD:$AD,[1]unittypedata!$D:$D)   )))</f>
        <v>#N/A</v>
      </c>
    </row>
    <row r="595" spans="1:16">
      <c r="A595" s="5" t="s">
        <v>894</v>
      </c>
      <c r="B595" s="5" t="s">
        <v>898</v>
      </c>
      <c r="C595" s="6" t="s">
        <v>29</v>
      </c>
      <c r="D595" s="7">
        <v>2012</v>
      </c>
      <c r="E595" s="6">
        <v>2</v>
      </c>
      <c r="F595" s="7" t="s">
        <v>30</v>
      </c>
      <c r="G595" s="8">
        <v>9.5</v>
      </c>
      <c r="H595" s="7" t="s">
        <v>30</v>
      </c>
      <c r="I595" s="8">
        <v>9.5</v>
      </c>
      <c r="J595" s="7"/>
      <c r="K595" s="7"/>
      <c r="L595" s="6" t="s">
        <v>46</v>
      </c>
      <c r="M595" s="9" t="s">
        <v>30</v>
      </c>
      <c r="N595" s="7" t="s">
        <v>1653</v>
      </c>
      <c r="P595" t="e">
        <f>IF(N595="","",  IF(N595="Excluded", N595,  IF(N595="included in industry", N595,   _xlfn.XLOOKUP(N595, [1]unittypedata!$AD:$AD,[1]unittypedata!$D:$D)   )))</f>
        <v>#N/A</v>
      </c>
    </row>
    <row r="596" spans="1:16">
      <c r="A596" s="5" t="s">
        <v>894</v>
      </c>
      <c r="B596" s="5" t="s">
        <v>899</v>
      </c>
      <c r="C596" s="6" t="s">
        <v>29</v>
      </c>
      <c r="D596" s="7">
        <v>2012</v>
      </c>
      <c r="E596" s="6">
        <v>2</v>
      </c>
      <c r="F596" s="7" t="s">
        <v>30</v>
      </c>
      <c r="G596" s="8">
        <v>2</v>
      </c>
      <c r="H596" s="7" t="s">
        <v>30</v>
      </c>
      <c r="I596" s="8">
        <v>2</v>
      </c>
      <c r="J596" s="7"/>
      <c r="K596" s="7"/>
      <c r="L596" s="6" t="s">
        <v>46</v>
      </c>
      <c r="M596" s="9" t="s">
        <v>30</v>
      </c>
      <c r="N596" s="7" t="s">
        <v>1653</v>
      </c>
      <c r="P596" t="e">
        <f>IF(N596="","",  IF(N596="Excluded", N596,  IF(N596="included in industry", N596,   _xlfn.XLOOKUP(N596, [1]unittypedata!$AD:$AD,[1]unittypedata!$D:$D)   )))</f>
        <v>#N/A</v>
      </c>
    </row>
    <row r="597" spans="1:16">
      <c r="A597" s="5" t="s">
        <v>894</v>
      </c>
      <c r="B597" s="5" t="s">
        <v>900</v>
      </c>
      <c r="C597" s="6" t="s">
        <v>29</v>
      </c>
      <c r="D597" s="7">
        <v>1989</v>
      </c>
      <c r="E597" s="6">
        <v>3</v>
      </c>
      <c r="F597" s="7" t="s">
        <v>30</v>
      </c>
      <c r="G597" s="8">
        <v>5</v>
      </c>
      <c r="H597" s="7" t="s">
        <v>30</v>
      </c>
      <c r="I597" s="8">
        <v>5</v>
      </c>
      <c r="J597" s="7"/>
      <c r="K597" s="7"/>
      <c r="L597" s="6" t="s">
        <v>31</v>
      </c>
      <c r="M597" s="9" t="s">
        <v>30</v>
      </c>
      <c r="N597" s="7" t="s">
        <v>1654</v>
      </c>
      <c r="P597" t="e">
        <f>IF(N597="","",  IF(N597="Excluded", N597,  IF(N597="included in industry", N597,   _xlfn.XLOOKUP(N597, [1]unittypedata!$AD:$AD,[1]unittypedata!$D:$D)   )))</f>
        <v>#N/A</v>
      </c>
    </row>
    <row r="598" spans="1:16">
      <c r="A598" s="11" t="s">
        <v>894</v>
      </c>
      <c r="B598" s="11" t="s">
        <v>901</v>
      </c>
      <c r="C598" s="12" t="s">
        <v>52</v>
      </c>
      <c r="D598" s="13">
        <v>2009</v>
      </c>
      <c r="E598" s="12">
        <v>1</v>
      </c>
      <c r="F598" s="13">
        <v>3.5</v>
      </c>
      <c r="G598" s="14">
        <v>13.5</v>
      </c>
      <c r="H598" s="13" t="s">
        <v>30</v>
      </c>
      <c r="I598" s="14">
        <v>17</v>
      </c>
      <c r="J598" s="13">
        <v>3.5</v>
      </c>
      <c r="K598" s="13"/>
      <c r="L598" s="12" t="s">
        <v>46</v>
      </c>
      <c r="M598" s="15" t="s">
        <v>30</v>
      </c>
      <c r="N598" s="7" t="s">
        <v>1656</v>
      </c>
      <c r="P598" t="e">
        <f>IF(N598="","",  IF(N598="Excluded", N598,  IF(N598="included in industry", N598,   _xlfn.XLOOKUP(N598, [1]unittypedata!$AD:$AD,[1]unittypedata!$D:$D)   )))</f>
        <v>#N/A</v>
      </c>
    </row>
    <row r="599" spans="1:16">
      <c r="A599" s="5" t="s">
        <v>902</v>
      </c>
      <c r="B599" s="5" t="s">
        <v>903</v>
      </c>
      <c r="C599" s="6" t="s">
        <v>29</v>
      </c>
      <c r="D599" s="7">
        <v>1995</v>
      </c>
      <c r="E599" s="6">
        <v>2</v>
      </c>
      <c r="F599" s="7" t="s">
        <v>30</v>
      </c>
      <c r="G599" s="8">
        <v>8</v>
      </c>
      <c r="H599" s="7" t="s">
        <v>30</v>
      </c>
      <c r="I599" s="8">
        <v>8</v>
      </c>
      <c r="J599" s="7"/>
      <c r="K599" s="7"/>
      <c r="L599" s="6" t="s">
        <v>31</v>
      </c>
      <c r="M599" s="9" t="s">
        <v>30</v>
      </c>
      <c r="N599" s="7" t="s">
        <v>1654</v>
      </c>
      <c r="P599" t="e">
        <f>IF(N599="","",  IF(N599="Excluded", N599,  IF(N599="included in industry", N599,   _xlfn.XLOOKUP(N599, [1]unittypedata!$AD:$AD,[1]unittypedata!$D:$D)   )))</f>
        <v>#N/A</v>
      </c>
    </row>
    <row r="600" spans="1:16">
      <c r="A600" s="5" t="s">
        <v>902</v>
      </c>
      <c r="B600" s="5" t="s">
        <v>904</v>
      </c>
      <c r="C600" s="6" t="s">
        <v>29</v>
      </c>
      <c r="D600" s="7">
        <v>1982</v>
      </c>
      <c r="E600" s="6">
        <v>2</v>
      </c>
      <c r="F600" s="7" t="s">
        <v>30</v>
      </c>
      <c r="G600" s="8">
        <v>10</v>
      </c>
      <c r="H600" s="7" t="s">
        <v>30</v>
      </c>
      <c r="I600" s="8">
        <v>10</v>
      </c>
      <c r="J600" s="7"/>
      <c r="K600" s="7"/>
      <c r="L600" s="6" t="s">
        <v>31</v>
      </c>
      <c r="M600" s="9" t="s">
        <v>30</v>
      </c>
      <c r="N600" s="7" t="s">
        <v>1654</v>
      </c>
      <c r="P600" t="e">
        <f>IF(N600="","",  IF(N600="Excluded", N600,  IF(N600="included in industry", N600,   _xlfn.XLOOKUP(N600, [1]unittypedata!$AD:$AD,[1]unittypedata!$D:$D)   )))</f>
        <v>#N/A</v>
      </c>
    </row>
    <row r="601" spans="1:16">
      <c r="A601" s="5" t="s">
        <v>902</v>
      </c>
      <c r="B601" s="5" t="s">
        <v>905</v>
      </c>
      <c r="C601" s="6" t="s">
        <v>29</v>
      </c>
      <c r="D601" s="7">
        <v>1991</v>
      </c>
      <c r="E601" s="6">
        <v>3</v>
      </c>
      <c r="F601" s="7" t="s">
        <v>30</v>
      </c>
      <c r="G601" s="8">
        <v>36</v>
      </c>
      <c r="H601" s="7" t="s">
        <v>30</v>
      </c>
      <c r="I601" s="8">
        <v>36</v>
      </c>
      <c r="J601" s="7"/>
      <c r="K601" s="7"/>
      <c r="L601" s="6" t="s">
        <v>33</v>
      </c>
      <c r="M601" s="9" t="s">
        <v>30</v>
      </c>
      <c r="N601" s="7" t="s">
        <v>1654</v>
      </c>
      <c r="P601" t="e">
        <f>IF(N601="","",  IF(N601="Excluded", N601,  IF(N601="included in industry", N601,   _xlfn.XLOOKUP(N601, [1]unittypedata!$AD:$AD,[1]unittypedata!$D:$D)   )))</f>
        <v>#N/A</v>
      </c>
    </row>
    <row r="602" spans="1:16">
      <c r="A602" s="5" t="s">
        <v>902</v>
      </c>
      <c r="B602" s="5" t="s">
        <v>906</v>
      </c>
      <c r="C602" s="6" t="s">
        <v>29</v>
      </c>
      <c r="D602" s="7">
        <v>1979</v>
      </c>
      <c r="E602" s="6">
        <v>2</v>
      </c>
      <c r="F602" s="7" t="s">
        <v>30</v>
      </c>
      <c r="G602" s="8">
        <v>6</v>
      </c>
      <c r="H602" s="7" t="s">
        <v>30</v>
      </c>
      <c r="I602" s="8">
        <v>6</v>
      </c>
      <c r="J602" s="7"/>
      <c r="K602" s="7"/>
      <c r="L602" s="6" t="s">
        <v>31</v>
      </c>
      <c r="M602" s="9" t="s">
        <v>30</v>
      </c>
      <c r="N602" s="7" t="s">
        <v>1654</v>
      </c>
      <c r="P602" t="e">
        <f>IF(N602="","",  IF(N602="Excluded", N602,  IF(N602="included in industry", N602,   _xlfn.XLOOKUP(N602, [1]unittypedata!$AD:$AD,[1]unittypedata!$D:$D)   )))</f>
        <v>#N/A</v>
      </c>
    </row>
    <row r="603" spans="1:16">
      <c r="A603" s="5" t="s">
        <v>902</v>
      </c>
      <c r="B603" s="5" t="s">
        <v>907</v>
      </c>
      <c r="C603" s="6" t="s">
        <v>29</v>
      </c>
      <c r="D603" s="7">
        <v>1999</v>
      </c>
      <c r="E603" s="6">
        <v>2</v>
      </c>
      <c r="F603" s="7" t="s">
        <v>30</v>
      </c>
      <c r="G603" s="8">
        <v>12</v>
      </c>
      <c r="H603" s="7" t="s">
        <v>30</v>
      </c>
      <c r="I603" s="8">
        <v>12</v>
      </c>
      <c r="J603" s="7"/>
      <c r="K603" s="7"/>
      <c r="L603" s="6" t="s">
        <v>31</v>
      </c>
      <c r="M603" s="9" t="s">
        <v>30</v>
      </c>
      <c r="N603" s="7" t="s">
        <v>1654</v>
      </c>
      <c r="P603" t="e">
        <f>IF(N603="","",  IF(N603="Excluded", N603,  IF(N603="included in industry", N603,   _xlfn.XLOOKUP(N603, [1]unittypedata!$AD:$AD,[1]unittypedata!$D:$D)   )))</f>
        <v>#N/A</v>
      </c>
    </row>
    <row r="604" spans="1:16">
      <c r="A604" s="5" t="s">
        <v>902</v>
      </c>
      <c r="B604" s="5" t="s">
        <v>908</v>
      </c>
      <c r="C604" s="6" t="s">
        <v>29</v>
      </c>
      <c r="D604" s="7">
        <v>2004</v>
      </c>
      <c r="E604" s="6">
        <v>2</v>
      </c>
      <c r="F604" s="7" t="s">
        <v>30</v>
      </c>
      <c r="G604" s="8">
        <v>10</v>
      </c>
      <c r="H604" s="7" t="s">
        <v>30</v>
      </c>
      <c r="I604" s="8">
        <v>10</v>
      </c>
      <c r="J604" s="7"/>
      <c r="K604" s="7"/>
      <c r="L604" s="6" t="s">
        <v>31</v>
      </c>
      <c r="M604" s="9" t="s">
        <v>30</v>
      </c>
      <c r="N604" s="7" t="s">
        <v>1654</v>
      </c>
      <c r="P604" t="e">
        <f>IF(N604="","",  IF(N604="Excluded", N604,  IF(N604="included in industry", N604,   _xlfn.XLOOKUP(N604, [1]unittypedata!$AD:$AD,[1]unittypedata!$D:$D)   )))</f>
        <v>#N/A</v>
      </c>
    </row>
    <row r="605" spans="1:16">
      <c r="A605" s="5" t="s">
        <v>902</v>
      </c>
      <c r="B605" s="5" t="s">
        <v>909</v>
      </c>
      <c r="C605" s="6" t="s">
        <v>29</v>
      </c>
      <c r="D605" s="7">
        <v>2005</v>
      </c>
      <c r="E605" s="6">
        <v>1</v>
      </c>
      <c r="F605" s="7" t="s">
        <v>30</v>
      </c>
      <c r="G605" s="8">
        <v>1</v>
      </c>
      <c r="H605" s="7" t="s">
        <v>30</v>
      </c>
      <c r="I605" s="8">
        <v>1</v>
      </c>
      <c r="J605" s="7"/>
      <c r="K605" s="7"/>
      <c r="L605" s="6" t="s">
        <v>31</v>
      </c>
      <c r="M605" s="9" t="s">
        <v>30</v>
      </c>
      <c r="N605" s="7" t="s">
        <v>1654</v>
      </c>
      <c r="P605" t="e">
        <f>IF(N605="","",  IF(N605="Excluded", N605,  IF(N605="included in industry", N605,   _xlfn.XLOOKUP(N605, [1]unittypedata!$AD:$AD,[1]unittypedata!$D:$D)   )))</f>
        <v>#N/A</v>
      </c>
    </row>
    <row r="606" spans="1:16">
      <c r="A606" s="11" t="s">
        <v>902</v>
      </c>
      <c r="B606" s="11" t="s">
        <v>910</v>
      </c>
      <c r="C606" s="12" t="s">
        <v>29</v>
      </c>
      <c r="D606" s="13">
        <v>2017</v>
      </c>
      <c r="E606" s="12">
        <v>1</v>
      </c>
      <c r="F606" s="13" t="s">
        <v>30</v>
      </c>
      <c r="G606" s="14">
        <v>6</v>
      </c>
      <c r="H606" s="13" t="s">
        <v>30</v>
      </c>
      <c r="I606" s="14">
        <v>6</v>
      </c>
      <c r="J606" s="13"/>
      <c r="K606" s="13"/>
      <c r="L606" s="12" t="s">
        <v>911</v>
      </c>
      <c r="M606" s="15" t="s">
        <v>30</v>
      </c>
      <c r="N606" s="7" t="s">
        <v>1654</v>
      </c>
      <c r="P606" t="e">
        <f>IF(N606="","",  IF(N606="Excluded", N606,  IF(N606="included in industry", N606,   _xlfn.XLOOKUP(N606, [1]unittypedata!$AD:$AD,[1]unittypedata!$D:$D)   )))</f>
        <v>#N/A</v>
      </c>
    </row>
    <row r="607" spans="1:16">
      <c r="A607" s="5" t="s">
        <v>912</v>
      </c>
      <c r="B607" s="5" t="s">
        <v>913</v>
      </c>
      <c r="C607" s="6" t="s">
        <v>29</v>
      </c>
      <c r="D607" s="7">
        <v>2007</v>
      </c>
      <c r="E607" s="6">
        <v>1</v>
      </c>
      <c r="F607" s="7" t="s">
        <v>30</v>
      </c>
      <c r="G607" s="8">
        <v>12</v>
      </c>
      <c r="H607" s="7" t="s">
        <v>30</v>
      </c>
      <c r="I607" s="8">
        <v>12</v>
      </c>
      <c r="J607" s="7"/>
      <c r="K607" s="7"/>
      <c r="L607" s="6" t="s">
        <v>36</v>
      </c>
      <c r="M607" s="9" t="s">
        <v>30</v>
      </c>
      <c r="N607" s="7" t="s">
        <v>1657</v>
      </c>
      <c r="P607" t="e">
        <f>IF(N607="","",  IF(N607="Excluded", N607,  IF(N607="included in industry", N607,   _xlfn.XLOOKUP(N607, [1]unittypedata!$AD:$AD,[1]unittypedata!$D:$D)   )))</f>
        <v>#N/A</v>
      </c>
    </row>
    <row r="608" spans="1:16">
      <c r="A608" s="5" t="s">
        <v>912</v>
      </c>
      <c r="B608" s="5" t="s">
        <v>914</v>
      </c>
      <c r="C608" s="6" t="s">
        <v>29</v>
      </c>
      <c r="D608" s="7">
        <v>1978</v>
      </c>
      <c r="E608" s="6">
        <v>2</v>
      </c>
      <c r="F608" s="7" t="s">
        <v>30</v>
      </c>
      <c r="G608" s="8">
        <v>9</v>
      </c>
      <c r="H608" s="7" t="s">
        <v>30</v>
      </c>
      <c r="I608" s="8">
        <v>9</v>
      </c>
      <c r="J608" s="7"/>
      <c r="K608" s="7"/>
      <c r="L608" s="6" t="s">
        <v>33</v>
      </c>
      <c r="M608" s="9" t="s">
        <v>30</v>
      </c>
      <c r="N608" s="7" t="s">
        <v>1654</v>
      </c>
      <c r="P608" t="e">
        <f>IF(N608="","",  IF(N608="Excluded", N608,  IF(N608="included in industry", N608,   _xlfn.XLOOKUP(N608, [1]unittypedata!$AD:$AD,[1]unittypedata!$D:$D)   )))</f>
        <v>#N/A</v>
      </c>
    </row>
    <row r="609" spans="1:16">
      <c r="A609" s="5" t="s">
        <v>912</v>
      </c>
      <c r="B609" s="5" t="s">
        <v>915</v>
      </c>
      <c r="C609" s="6" t="s">
        <v>29</v>
      </c>
      <c r="D609" s="7">
        <v>1987</v>
      </c>
      <c r="E609" s="6">
        <v>1</v>
      </c>
      <c r="F609" s="7" t="s">
        <v>30</v>
      </c>
      <c r="G609" s="8">
        <v>12</v>
      </c>
      <c r="H609" s="7" t="s">
        <v>30</v>
      </c>
      <c r="I609" s="8">
        <v>12</v>
      </c>
      <c r="J609" s="7"/>
      <c r="K609" s="7"/>
      <c r="L609" s="6" t="s">
        <v>33</v>
      </c>
      <c r="M609" s="9" t="s">
        <v>30</v>
      </c>
      <c r="N609" s="7" t="s">
        <v>1654</v>
      </c>
      <c r="P609" t="e">
        <f>IF(N609="","",  IF(N609="Excluded", N609,  IF(N609="included in industry", N609,   _xlfn.XLOOKUP(N609, [1]unittypedata!$AD:$AD,[1]unittypedata!$D:$D)   )))</f>
        <v>#N/A</v>
      </c>
    </row>
    <row r="610" spans="1:16">
      <c r="A610" s="5" t="s">
        <v>912</v>
      </c>
      <c r="B610" s="5" t="s">
        <v>916</v>
      </c>
      <c r="C610" s="6" t="s">
        <v>29</v>
      </c>
      <c r="D610" s="7">
        <v>1994</v>
      </c>
      <c r="E610" s="6">
        <v>1</v>
      </c>
      <c r="F610" s="7" t="s">
        <v>30</v>
      </c>
      <c r="G610" s="8">
        <v>12</v>
      </c>
      <c r="H610" s="7" t="s">
        <v>30</v>
      </c>
      <c r="I610" s="8">
        <v>12</v>
      </c>
      <c r="J610" s="7"/>
      <c r="K610" s="7"/>
      <c r="L610" s="6" t="s">
        <v>33</v>
      </c>
      <c r="M610" s="9" t="s">
        <v>30</v>
      </c>
      <c r="N610" s="7" t="s">
        <v>1654</v>
      </c>
      <c r="P610" t="e">
        <f>IF(N610="","",  IF(N610="Excluded", N610,  IF(N610="included in industry", N610,   _xlfn.XLOOKUP(N610, [1]unittypedata!$AD:$AD,[1]unittypedata!$D:$D)   )))</f>
        <v>#N/A</v>
      </c>
    </row>
    <row r="611" spans="1:16">
      <c r="A611" s="5" t="s">
        <v>912</v>
      </c>
      <c r="B611" s="5" t="s">
        <v>917</v>
      </c>
      <c r="C611" s="6" t="s">
        <v>29</v>
      </c>
      <c r="D611" s="7">
        <v>2011</v>
      </c>
      <c r="E611" s="6">
        <v>1</v>
      </c>
      <c r="F611" s="7" t="s">
        <v>30</v>
      </c>
      <c r="G611" s="8">
        <v>8</v>
      </c>
      <c r="H611" s="7" t="s">
        <v>30</v>
      </c>
      <c r="I611" s="8">
        <v>8</v>
      </c>
      <c r="J611" s="7"/>
      <c r="K611" s="7"/>
      <c r="L611" s="6" t="s">
        <v>36</v>
      </c>
      <c r="M611" s="9" t="s">
        <v>30</v>
      </c>
      <c r="N611" s="7" t="s">
        <v>1657</v>
      </c>
      <c r="P611" t="e">
        <f>IF(N611="","",  IF(N611="Excluded", N611,  IF(N611="included in industry", N611,   _xlfn.XLOOKUP(N611, [1]unittypedata!$AD:$AD,[1]unittypedata!$D:$D)   )))</f>
        <v>#N/A</v>
      </c>
    </row>
    <row r="612" spans="1:16">
      <c r="A612" s="5" t="s">
        <v>912</v>
      </c>
      <c r="B612" s="5" t="s">
        <v>918</v>
      </c>
      <c r="C612" s="6" t="s">
        <v>29</v>
      </c>
      <c r="D612" s="7">
        <v>2000</v>
      </c>
      <c r="E612" s="6">
        <v>3</v>
      </c>
      <c r="F612" s="7" t="s">
        <v>30</v>
      </c>
      <c r="G612" s="8">
        <v>2.5</v>
      </c>
      <c r="H612" s="7" t="s">
        <v>30</v>
      </c>
      <c r="I612" s="8">
        <v>2.5</v>
      </c>
      <c r="J612" s="7"/>
      <c r="K612" s="7"/>
      <c r="L612" s="6" t="s">
        <v>36</v>
      </c>
      <c r="M612" s="9" t="s">
        <v>30</v>
      </c>
      <c r="N612" s="7" t="s">
        <v>1657</v>
      </c>
      <c r="P612" t="e">
        <f>IF(N612="","",  IF(N612="Excluded", N612,  IF(N612="included in industry", N612,   _xlfn.XLOOKUP(N612, [1]unittypedata!$AD:$AD,[1]unittypedata!$D:$D)   )))</f>
        <v>#N/A</v>
      </c>
    </row>
    <row r="613" spans="1:16">
      <c r="A613" s="11" t="s">
        <v>912</v>
      </c>
      <c r="B613" s="11" t="s">
        <v>918</v>
      </c>
      <c r="C613" s="12" t="s">
        <v>48</v>
      </c>
      <c r="D613" s="13">
        <v>2023</v>
      </c>
      <c r="E613" s="12" t="s">
        <v>30</v>
      </c>
      <c r="F613" s="13" t="s">
        <v>30</v>
      </c>
      <c r="G613" s="14" t="s">
        <v>30</v>
      </c>
      <c r="H613" s="13" t="s">
        <v>30</v>
      </c>
      <c r="I613" s="14">
        <v>0.3</v>
      </c>
      <c r="J613" s="13"/>
      <c r="K613" s="13"/>
      <c r="L613" s="12" t="s">
        <v>30</v>
      </c>
      <c r="M613" s="15">
        <v>0.3</v>
      </c>
      <c r="N613" s="7" t="s">
        <v>1613</v>
      </c>
      <c r="P613" t="str">
        <f>IF(N613="","",  IF(N613="Excluded", N613,  IF(N613="included in industry", N613,   _xlfn.XLOOKUP(N613, [1]unittypedata!$AD:$AD,[1]unittypedata!$D:$D)   )))</f>
        <v>GSHP</v>
      </c>
    </row>
    <row r="614" spans="1:16">
      <c r="A614" s="5" t="s">
        <v>919</v>
      </c>
      <c r="B614" s="5" t="s">
        <v>920</v>
      </c>
      <c r="C614" s="6" t="s">
        <v>29</v>
      </c>
      <c r="D614" s="7">
        <v>2020</v>
      </c>
      <c r="E614" s="6">
        <v>1</v>
      </c>
      <c r="F614" s="7" t="s">
        <v>30</v>
      </c>
      <c r="G614" s="8">
        <v>1</v>
      </c>
      <c r="H614" s="7" t="s">
        <v>30</v>
      </c>
      <c r="I614" s="8">
        <v>1</v>
      </c>
      <c r="J614" s="7"/>
      <c r="K614" s="7"/>
      <c r="L614" s="6" t="s">
        <v>46</v>
      </c>
      <c r="M614" s="9" t="s">
        <v>30</v>
      </c>
      <c r="N614" s="7" t="s">
        <v>1653</v>
      </c>
      <c r="P614" t="e">
        <f>IF(N614="","",  IF(N614="Excluded", N614,  IF(N614="included in industry", N614,   _xlfn.XLOOKUP(N614, [1]unittypedata!$AD:$AD,[1]unittypedata!$D:$D)   )))</f>
        <v>#N/A</v>
      </c>
    </row>
    <row r="615" spans="1:16">
      <c r="A615" s="5" t="s">
        <v>919</v>
      </c>
      <c r="B615" s="5" t="s">
        <v>921</v>
      </c>
      <c r="C615" s="6" t="s">
        <v>29</v>
      </c>
      <c r="D615" s="7">
        <v>1962</v>
      </c>
      <c r="E615" s="6">
        <v>3</v>
      </c>
      <c r="F615" s="7" t="s">
        <v>30</v>
      </c>
      <c r="G615" s="8">
        <v>10</v>
      </c>
      <c r="H615" s="7" t="s">
        <v>30</v>
      </c>
      <c r="I615" s="8">
        <v>10</v>
      </c>
      <c r="J615" s="7"/>
      <c r="K615" s="7"/>
      <c r="L615" s="6" t="s">
        <v>33</v>
      </c>
      <c r="M615" s="9" t="s">
        <v>30</v>
      </c>
      <c r="N615" s="7" t="s">
        <v>1654</v>
      </c>
      <c r="P615" t="e">
        <f>IF(N615="","",  IF(N615="Excluded", N615,  IF(N615="included in industry", N615,   _xlfn.XLOOKUP(N615, [1]unittypedata!$AD:$AD,[1]unittypedata!$D:$D)   )))</f>
        <v>#N/A</v>
      </c>
    </row>
    <row r="616" spans="1:16">
      <c r="A616" s="5" t="s">
        <v>919</v>
      </c>
      <c r="B616" s="5" t="s">
        <v>922</v>
      </c>
      <c r="C616" s="6" t="s">
        <v>29</v>
      </c>
      <c r="D616" s="7">
        <v>1988</v>
      </c>
      <c r="E616" s="6">
        <v>1</v>
      </c>
      <c r="F616" s="7" t="s">
        <v>30</v>
      </c>
      <c r="G616" s="8">
        <v>4.5</v>
      </c>
      <c r="H616" s="7">
        <v>0.7</v>
      </c>
      <c r="I616" s="8">
        <v>5.2</v>
      </c>
      <c r="J616" s="7"/>
      <c r="K616" s="7"/>
      <c r="L616" s="6" t="s">
        <v>118</v>
      </c>
      <c r="M616" s="9" t="s">
        <v>30</v>
      </c>
      <c r="N616" s="7" t="s">
        <v>1653</v>
      </c>
      <c r="P616" t="e">
        <f>IF(N616="","",  IF(N616="Excluded", N616,  IF(N616="included in industry", N616,   _xlfn.XLOOKUP(N616, [1]unittypedata!$AD:$AD,[1]unittypedata!$D:$D)   )))</f>
        <v>#N/A</v>
      </c>
    </row>
    <row r="617" spans="1:16">
      <c r="A617" s="5" t="s">
        <v>919</v>
      </c>
      <c r="B617" s="5" t="s">
        <v>923</v>
      </c>
      <c r="C617" s="6" t="s">
        <v>29</v>
      </c>
      <c r="D617" s="7">
        <v>1981</v>
      </c>
      <c r="E617" s="6">
        <v>1</v>
      </c>
      <c r="F617" s="7" t="s">
        <v>30</v>
      </c>
      <c r="G617" s="8">
        <v>1</v>
      </c>
      <c r="H617" s="7" t="s">
        <v>30</v>
      </c>
      <c r="I617" s="8">
        <v>1</v>
      </c>
      <c r="J617" s="7"/>
      <c r="K617" s="7"/>
      <c r="L617" s="6" t="s">
        <v>33</v>
      </c>
      <c r="M617" s="9" t="s">
        <v>30</v>
      </c>
      <c r="N617" s="7" t="s">
        <v>1654</v>
      </c>
      <c r="P617" t="e">
        <f>IF(N617="","",  IF(N617="Excluded", N617,  IF(N617="included in industry", N617,   _xlfn.XLOOKUP(N617, [1]unittypedata!$AD:$AD,[1]unittypedata!$D:$D)   )))</f>
        <v>#N/A</v>
      </c>
    </row>
    <row r="618" spans="1:16">
      <c r="A618" s="5" t="s">
        <v>919</v>
      </c>
      <c r="B618" s="5" t="s">
        <v>924</v>
      </c>
      <c r="C618" s="6" t="s">
        <v>29</v>
      </c>
      <c r="D618" s="7">
        <v>2009</v>
      </c>
      <c r="E618" s="6">
        <v>1</v>
      </c>
      <c r="F618" s="7" t="s">
        <v>30</v>
      </c>
      <c r="G618" s="8">
        <v>4</v>
      </c>
      <c r="H618" s="7">
        <v>0.8</v>
      </c>
      <c r="I618" s="8">
        <v>4.8</v>
      </c>
      <c r="J618" s="7"/>
      <c r="K618" s="7"/>
      <c r="L618" s="6" t="s">
        <v>118</v>
      </c>
      <c r="M618" s="9" t="s">
        <v>30</v>
      </c>
      <c r="N618" s="7" t="s">
        <v>1653</v>
      </c>
      <c r="P618" t="e">
        <f>IF(N618="","",  IF(N618="Excluded", N618,  IF(N618="included in industry", N618,   _xlfn.XLOOKUP(N618, [1]unittypedata!$AD:$AD,[1]unittypedata!$D:$D)   )))</f>
        <v>#N/A</v>
      </c>
    </row>
    <row r="619" spans="1:16">
      <c r="A619" s="11" t="s">
        <v>919</v>
      </c>
      <c r="B619" s="11" t="s">
        <v>925</v>
      </c>
      <c r="C619" s="12" t="s">
        <v>48</v>
      </c>
      <c r="D619" s="13">
        <v>1994</v>
      </c>
      <c r="E619" s="12" t="s">
        <v>30</v>
      </c>
      <c r="F619" s="13" t="s">
        <v>30</v>
      </c>
      <c r="G619" s="14" t="s">
        <v>30</v>
      </c>
      <c r="H619" s="13" t="s">
        <v>30</v>
      </c>
      <c r="I619" s="14">
        <v>0.7</v>
      </c>
      <c r="J619" s="13"/>
      <c r="K619" s="13"/>
      <c r="L619" s="12" t="s">
        <v>30</v>
      </c>
      <c r="M619" s="15">
        <v>0.7</v>
      </c>
      <c r="N619" s="7" t="s">
        <v>58</v>
      </c>
      <c r="P619" t="str">
        <f>IF(N619="","",  IF(N619="Excluded", N619,  IF(N619="included in industry", N619,   _xlfn.XLOOKUP(N619, [1]unittypedata!$AD:$AD,[1]unittypedata!$D:$D)   )))</f>
        <v>Excluded</v>
      </c>
    </row>
    <row r="620" spans="1:16">
      <c r="A620" s="5" t="s">
        <v>926</v>
      </c>
      <c r="B620" s="5" t="s">
        <v>927</v>
      </c>
      <c r="C620" s="6" t="s">
        <v>29</v>
      </c>
      <c r="D620" s="7">
        <v>1996</v>
      </c>
      <c r="E620" s="6">
        <v>3</v>
      </c>
      <c r="F620" s="7" t="s">
        <v>30</v>
      </c>
      <c r="G620" s="8">
        <v>18.2</v>
      </c>
      <c r="H620" s="7" t="s">
        <v>30</v>
      </c>
      <c r="I620" s="8">
        <v>18.2</v>
      </c>
      <c r="J620" s="7"/>
      <c r="K620" s="7"/>
      <c r="L620" s="6" t="s">
        <v>33</v>
      </c>
      <c r="M620" s="9" t="s">
        <v>30</v>
      </c>
      <c r="N620" s="7" t="s">
        <v>1654</v>
      </c>
      <c r="P620" t="e">
        <f>IF(N620="","",  IF(N620="Excluded", N620,  IF(N620="included in industry", N620,   _xlfn.XLOOKUP(N620, [1]unittypedata!$AD:$AD,[1]unittypedata!$D:$D)   )))</f>
        <v>#N/A</v>
      </c>
    </row>
    <row r="621" spans="1:16">
      <c r="A621" s="5" t="s">
        <v>926</v>
      </c>
      <c r="B621" s="5" t="s">
        <v>928</v>
      </c>
      <c r="C621" s="6" t="s">
        <v>29</v>
      </c>
      <c r="D621" s="7">
        <v>1980</v>
      </c>
      <c r="E621" s="6">
        <v>5</v>
      </c>
      <c r="F621" s="7" t="s">
        <v>30</v>
      </c>
      <c r="G621" s="8">
        <v>13.3</v>
      </c>
      <c r="H621" s="7" t="s">
        <v>30</v>
      </c>
      <c r="I621" s="8">
        <v>13.3</v>
      </c>
      <c r="J621" s="7"/>
      <c r="K621" s="7"/>
      <c r="L621" s="6" t="s">
        <v>31</v>
      </c>
      <c r="M621" s="9" t="s">
        <v>30</v>
      </c>
      <c r="N621" s="7" t="s">
        <v>1654</v>
      </c>
      <c r="P621" t="e">
        <f>IF(N621="","",  IF(N621="Excluded", N621,  IF(N621="included in industry", N621,   _xlfn.XLOOKUP(N621, [1]unittypedata!$AD:$AD,[1]unittypedata!$D:$D)   )))</f>
        <v>#N/A</v>
      </c>
    </row>
    <row r="622" spans="1:16">
      <c r="A622" s="11" t="s">
        <v>926</v>
      </c>
      <c r="B622" s="11" t="s">
        <v>929</v>
      </c>
      <c r="C622" s="12" t="s">
        <v>29</v>
      </c>
      <c r="D622" s="13">
        <v>2003</v>
      </c>
      <c r="E622" s="12">
        <v>2</v>
      </c>
      <c r="F622" s="13" t="s">
        <v>30</v>
      </c>
      <c r="G622" s="14">
        <v>20</v>
      </c>
      <c r="H622" s="13" t="s">
        <v>30</v>
      </c>
      <c r="I622" s="14">
        <v>20</v>
      </c>
      <c r="J622" s="13"/>
      <c r="K622" s="13"/>
      <c r="L622" s="12" t="s">
        <v>33</v>
      </c>
      <c r="M622" s="15" t="s">
        <v>30</v>
      </c>
      <c r="N622" s="7" t="s">
        <v>1654</v>
      </c>
      <c r="P622" t="e">
        <f>IF(N622="","",  IF(N622="Excluded", N622,  IF(N622="included in industry", N622,   _xlfn.XLOOKUP(N622, [1]unittypedata!$AD:$AD,[1]unittypedata!$D:$D)   )))</f>
        <v>#N/A</v>
      </c>
    </row>
    <row r="623" spans="1:16">
      <c r="A623" s="5" t="s">
        <v>930</v>
      </c>
      <c r="B623" s="5" t="s">
        <v>931</v>
      </c>
      <c r="C623" s="6" t="s">
        <v>29</v>
      </c>
      <c r="D623" s="7">
        <v>1983</v>
      </c>
      <c r="E623" s="6">
        <v>3</v>
      </c>
      <c r="F623" s="7" t="s">
        <v>30</v>
      </c>
      <c r="G623" s="8">
        <v>39</v>
      </c>
      <c r="H623" s="7" t="s">
        <v>30</v>
      </c>
      <c r="I623" s="8">
        <v>39</v>
      </c>
      <c r="J623" s="7"/>
      <c r="K623" s="7"/>
      <c r="L623" s="6" t="s">
        <v>46</v>
      </c>
      <c r="M623" s="9" t="s">
        <v>30</v>
      </c>
      <c r="N623" s="7" t="s">
        <v>1653</v>
      </c>
      <c r="P623" t="e">
        <f>IF(N623="","",  IF(N623="Excluded", N623,  IF(N623="included in industry", N623,   _xlfn.XLOOKUP(N623, [1]unittypedata!$AD:$AD,[1]unittypedata!$D:$D)   )))</f>
        <v>#N/A</v>
      </c>
    </row>
    <row r="624" spans="1:16">
      <c r="A624" s="5" t="s">
        <v>930</v>
      </c>
      <c r="B624" s="5" t="s">
        <v>932</v>
      </c>
      <c r="C624" s="6" t="s">
        <v>29</v>
      </c>
      <c r="D624" s="7">
        <v>1990</v>
      </c>
      <c r="E624" s="6">
        <v>3</v>
      </c>
      <c r="F624" s="7" t="s">
        <v>30</v>
      </c>
      <c r="G624" s="8">
        <v>28</v>
      </c>
      <c r="H624" s="7" t="s">
        <v>30</v>
      </c>
      <c r="I624" s="8">
        <v>28</v>
      </c>
      <c r="J624" s="7"/>
      <c r="K624" s="7"/>
      <c r="L624" s="6" t="s">
        <v>31</v>
      </c>
      <c r="M624" s="9" t="s">
        <v>30</v>
      </c>
      <c r="N624" s="7" t="s">
        <v>1654</v>
      </c>
      <c r="P624" t="e">
        <f>IF(N624="","",  IF(N624="Excluded", N624,  IF(N624="included in industry", N624,   _xlfn.XLOOKUP(N624, [1]unittypedata!$AD:$AD,[1]unittypedata!$D:$D)   )))</f>
        <v>#N/A</v>
      </c>
    </row>
    <row r="625" spans="1:16">
      <c r="A625" s="5" t="s">
        <v>930</v>
      </c>
      <c r="B625" s="5" t="s">
        <v>933</v>
      </c>
      <c r="C625" s="6" t="s">
        <v>29</v>
      </c>
      <c r="D625" s="7">
        <v>2005</v>
      </c>
      <c r="E625" s="6">
        <v>2</v>
      </c>
      <c r="F625" s="7" t="s">
        <v>30</v>
      </c>
      <c r="G625" s="8">
        <v>12.8</v>
      </c>
      <c r="H625" s="7" t="s">
        <v>30</v>
      </c>
      <c r="I625" s="8">
        <v>12.8</v>
      </c>
      <c r="J625" s="7"/>
      <c r="K625" s="7"/>
      <c r="L625" s="6" t="s">
        <v>31</v>
      </c>
      <c r="M625" s="9" t="s">
        <v>30</v>
      </c>
      <c r="N625" s="7" t="s">
        <v>1654</v>
      </c>
      <c r="P625" t="e">
        <f>IF(N625="","",  IF(N625="Excluded", N625,  IF(N625="included in industry", N625,   _xlfn.XLOOKUP(N625, [1]unittypedata!$AD:$AD,[1]unittypedata!$D:$D)   )))</f>
        <v>#N/A</v>
      </c>
    </row>
    <row r="626" spans="1:16">
      <c r="A626" s="5" t="s">
        <v>930</v>
      </c>
      <c r="B626" s="5" t="s">
        <v>934</v>
      </c>
      <c r="C626" s="6" t="s">
        <v>29</v>
      </c>
      <c r="D626" s="7">
        <v>2012</v>
      </c>
      <c r="E626" s="6">
        <v>1</v>
      </c>
      <c r="F626" s="7" t="s">
        <v>30</v>
      </c>
      <c r="G626" s="8">
        <v>12.8</v>
      </c>
      <c r="H626" s="7" t="s">
        <v>30</v>
      </c>
      <c r="I626" s="8">
        <v>12.8</v>
      </c>
      <c r="J626" s="7"/>
      <c r="K626" s="7"/>
      <c r="L626" s="6" t="s">
        <v>31</v>
      </c>
      <c r="M626" s="9" t="s">
        <v>30</v>
      </c>
      <c r="N626" s="7" t="s">
        <v>1654</v>
      </c>
      <c r="P626" t="e">
        <f>IF(N626="","",  IF(N626="Excluded", N626,  IF(N626="included in industry", N626,   _xlfn.XLOOKUP(N626, [1]unittypedata!$AD:$AD,[1]unittypedata!$D:$D)   )))</f>
        <v>#N/A</v>
      </c>
    </row>
    <row r="627" spans="1:16">
      <c r="A627" s="5" t="s">
        <v>930</v>
      </c>
      <c r="B627" s="5" t="s">
        <v>935</v>
      </c>
      <c r="C627" s="6" t="s">
        <v>29</v>
      </c>
      <c r="D627" s="7">
        <v>2013</v>
      </c>
      <c r="E627" s="6">
        <v>1</v>
      </c>
      <c r="F627" s="7" t="s">
        <v>30</v>
      </c>
      <c r="G627" s="8">
        <v>12.8</v>
      </c>
      <c r="H627" s="7" t="s">
        <v>30</v>
      </c>
      <c r="I627" s="8">
        <v>12.8</v>
      </c>
      <c r="J627" s="7"/>
      <c r="K627" s="7"/>
      <c r="L627" s="6" t="s">
        <v>31</v>
      </c>
      <c r="M627" s="9" t="s">
        <v>30</v>
      </c>
      <c r="N627" s="7" t="s">
        <v>1654</v>
      </c>
      <c r="P627" t="e">
        <f>IF(N627="","",  IF(N627="Excluded", N627,  IF(N627="included in industry", N627,   _xlfn.XLOOKUP(N627, [1]unittypedata!$AD:$AD,[1]unittypedata!$D:$D)   )))</f>
        <v>#N/A</v>
      </c>
    </row>
    <row r="628" spans="1:16">
      <c r="A628" s="5" t="s">
        <v>930</v>
      </c>
      <c r="B628" s="5" t="s">
        <v>936</v>
      </c>
      <c r="C628" s="6" t="s">
        <v>29</v>
      </c>
      <c r="D628" s="7">
        <v>2018</v>
      </c>
      <c r="E628" s="6">
        <v>1</v>
      </c>
      <c r="F628" s="7" t="s">
        <v>30</v>
      </c>
      <c r="G628" s="8">
        <v>12.8</v>
      </c>
      <c r="H628" s="7" t="s">
        <v>30</v>
      </c>
      <c r="I628" s="8">
        <v>12.8</v>
      </c>
      <c r="J628" s="7"/>
      <c r="K628" s="7"/>
      <c r="L628" s="6" t="s">
        <v>269</v>
      </c>
      <c r="M628" s="9" t="s">
        <v>30</v>
      </c>
      <c r="N628" s="7" t="s">
        <v>1653</v>
      </c>
      <c r="P628" t="e">
        <f>IF(N628="","",  IF(N628="Excluded", N628,  IF(N628="included in industry", N628,   _xlfn.XLOOKUP(N628, [1]unittypedata!$AD:$AD,[1]unittypedata!$D:$D)   )))</f>
        <v>#N/A</v>
      </c>
    </row>
    <row r="629" spans="1:16">
      <c r="A629" s="11" t="s">
        <v>930</v>
      </c>
      <c r="B629" s="11" t="s">
        <v>937</v>
      </c>
      <c r="C629" s="12" t="s">
        <v>52</v>
      </c>
      <c r="D629" s="13">
        <v>2002</v>
      </c>
      <c r="E629" s="12">
        <v>1</v>
      </c>
      <c r="F629" s="13">
        <v>30</v>
      </c>
      <c r="G629" s="14" t="s">
        <v>30</v>
      </c>
      <c r="H629" s="13">
        <v>8</v>
      </c>
      <c r="I629" s="14">
        <v>38</v>
      </c>
      <c r="J629" s="13">
        <v>14.7</v>
      </c>
      <c r="K629" s="13"/>
      <c r="L629" s="12" t="s">
        <v>46</v>
      </c>
      <c r="M629" s="15" t="s">
        <v>30</v>
      </c>
      <c r="N629" s="7" t="s">
        <v>1656</v>
      </c>
      <c r="P629" t="e">
        <f>IF(N629="","",  IF(N629="Excluded", N629,  IF(N629="included in industry", N629,   _xlfn.XLOOKUP(N629, [1]unittypedata!$AD:$AD,[1]unittypedata!$D:$D)   )))</f>
        <v>#N/A</v>
      </c>
    </row>
    <row r="630" spans="1:16">
      <c r="A630" s="5" t="s">
        <v>938</v>
      </c>
      <c r="B630" s="5" t="s">
        <v>939</v>
      </c>
      <c r="C630" s="6" t="s">
        <v>29</v>
      </c>
      <c r="D630" s="7">
        <v>2009</v>
      </c>
      <c r="E630" s="6">
        <v>1</v>
      </c>
      <c r="F630" s="7" t="s">
        <v>30</v>
      </c>
      <c r="G630" s="8">
        <v>30</v>
      </c>
      <c r="H630" s="7" t="s">
        <v>30</v>
      </c>
      <c r="I630" s="8">
        <v>30</v>
      </c>
      <c r="J630" s="7"/>
      <c r="K630" s="7"/>
      <c r="L630" s="6" t="s">
        <v>253</v>
      </c>
      <c r="M630" s="9" t="s">
        <v>30</v>
      </c>
      <c r="N630" s="7" t="s">
        <v>1653</v>
      </c>
      <c r="P630" t="e">
        <f>IF(N630="","",  IF(N630="Excluded", N630,  IF(N630="included in industry", N630,   _xlfn.XLOOKUP(N630, [1]unittypedata!$AD:$AD,[1]unittypedata!$D:$D)   )))</f>
        <v>#N/A</v>
      </c>
    </row>
    <row r="631" spans="1:16">
      <c r="A631" s="5" t="s">
        <v>938</v>
      </c>
      <c r="B631" s="5" t="s">
        <v>940</v>
      </c>
      <c r="C631" s="6" t="s">
        <v>29</v>
      </c>
      <c r="D631" s="7">
        <v>1993</v>
      </c>
      <c r="E631" s="6">
        <v>3</v>
      </c>
      <c r="F631" s="7" t="s">
        <v>30</v>
      </c>
      <c r="G631" s="8">
        <v>30</v>
      </c>
      <c r="H631" s="7" t="s">
        <v>30</v>
      </c>
      <c r="I631" s="8">
        <v>30</v>
      </c>
      <c r="J631" s="7"/>
      <c r="K631" s="7"/>
      <c r="L631" s="6" t="s">
        <v>31</v>
      </c>
      <c r="M631" s="9" t="s">
        <v>30</v>
      </c>
      <c r="N631" s="7" t="s">
        <v>1654</v>
      </c>
      <c r="P631" t="e">
        <f>IF(N631="","",  IF(N631="Excluded", N631,  IF(N631="included in industry", N631,   _xlfn.XLOOKUP(N631, [1]unittypedata!$AD:$AD,[1]unittypedata!$D:$D)   )))</f>
        <v>#N/A</v>
      </c>
    </row>
    <row r="632" spans="1:16">
      <c r="A632" s="5" t="s">
        <v>938</v>
      </c>
      <c r="B632" s="5" t="s">
        <v>743</v>
      </c>
      <c r="C632" s="6" t="s">
        <v>29</v>
      </c>
      <c r="D632" s="7">
        <v>1978</v>
      </c>
      <c r="E632" s="6">
        <v>2</v>
      </c>
      <c r="F632" s="7" t="s">
        <v>30</v>
      </c>
      <c r="G632" s="8">
        <v>35</v>
      </c>
      <c r="H632" s="7" t="s">
        <v>30</v>
      </c>
      <c r="I632" s="8">
        <v>35</v>
      </c>
      <c r="J632" s="7"/>
      <c r="K632" s="7"/>
      <c r="L632" s="6" t="s">
        <v>31</v>
      </c>
      <c r="M632" s="9" t="s">
        <v>30</v>
      </c>
      <c r="N632" s="7" t="s">
        <v>1654</v>
      </c>
      <c r="P632" t="e">
        <f>IF(N632="","",  IF(N632="Excluded", N632,  IF(N632="included in industry", N632,   _xlfn.XLOOKUP(N632, [1]unittypedata!$AD:$AD,[1]unittypedata!$D:$D)   )))</f>
        <v>#N/A</v>
      </c>
    </row>
    <row r="633" spans="1:16">
      <c r="A633" s="5" t="s">
        <v>938</v>
      </c>
      <c r="B633" s="5" t="s">
        <v>941</v>
      </c>
      <c r="C633" s="6" t="s">
        <v>29</v>
      </c>
      <c r="D633" s="7">
        <v>1983</v>
      </c>
      <c r="E633" s="6">
        <v>1</v>
      </c>
      <c r="F633" s="7" t="s">
        <v>30</v>
      </c>
      <c r="G633" s="8">
        <v>40</v>
      </c>
      <c r="H633" s="7" t="s">
        <v>30</v>
      </c>
      <c r="I633" s="8">
        <v>40</v>
      </c>
      <c r="J633" s="7"/>
      <c r="K633" s="7"/>
      <c r="L633" s="6" t="s">
        <v>31</v>
      </c>
      <c r="M633" s="9" t="s">
        <v>30</v>
      </c>
      <c r="N633" s="7" t="s">
        <v>1654</v>
      </c>
      <c r="P633" t="e">
        <f>IF(N633="","",  IF(N633="Excluded", N633,  IF(N633="included in industry", N633,   _xlfn.XLOOKUP(N633, [1]unittypedata!$AD:$AD,[1]unittypedata!$D:$D)   )))</f>
        <v>#N/A</v>
      </c>
    </row>
    <row r="634" spans="1:16">
      <c r="A634" s="5" t="s">
        <v>938</v>
      </c>
      <c r="B634" s="5" t="s">
        <v>942</v>
      </c>
      <c r="C634" s="6" t="s">
        <v>29</v>
      </c>
      <c r="D634" s="7">
        <v>1989</v>
      </c>
      <c r="E634" s="6">
        <v>1</v>
      </c>
      <c r="F634" s="7" t="s">
        <v>30</v>
      </c>
      <c r="G634" s="8">
        <v>40</v>
      </c>
      <c r="H634" s="7" t="s">
        <v>30</v>
      </c>
      <c r="I634" s="8">
        <v>40</v>
      </c>
      <c r="J634" s="7"/>
      <c r="K634" s="7"/>
      <c r="L634" s="6" t="s">
        <v>31</v>
      </c>
      <c r="M634" s="9" t="s">
        <v>30</v>
      </c>
      <c r="N634" s="7" t="s">
        <v>1654</v>
      </c>
      <c r="P634" t="e">
        <f>IF(N634="","",  IF(N634="Excluded", N634,  IF(N634="included in industry", N634,   _xlfn.XLOOKUP(N634, [1]unittypedata!$AD:$AD,[1]unittypedata!$D:$D)   )))</f>
        <v>#N/A</v>
      </c>
    </row>
    <row r="635" spans="1:16">
      <c r="A635" s="5" t="s">
        <v>938</v>
      </c>
      <c r="B635" s="5" t="s">
        <v>943</v>
      </c>
      <c r="C635" s="6" t="s">
        <v>29</v>
      </c>
      <c r="D635" s="7">
        <v>1994</v>
      </c>
      <c r="E635" s="6">
        <v>1</v>
      </c>
      <c r="F635" s="7" t="s">
        <v>30</v>
      </c>
      <c r="G635" s="8">
        <v>5.8</v>
      </c>
      <c r="H635" s="7" t="s">
        <v>30</v>
      </c>
      <c r="I635" s="8">
        <v>5.8</v>
      </c>
      <c r="J635" s="7"/>
      <c r="K635" s="7"/>
      <c r="L635" s="6" t="s">
        <v>31</v>
      </c>
      <c r="M635" s="9" t="s">
        <v>30</v>
      </c>
      <c r="N635" s="7" t="s">
        <v>1654</v>
      </c>
      <c r="P635" t="e">
        <f>IF(N635="","",  IF(N635="Excluded", N635,  IF(N635="included in industry", N635,   _xlfn.XLOOKUP(N635, [1]unittypedata!$AD:$AD,[1]unittypedata!$D:$D)   )))</f>
        <v>#N/A</v>
      </c>
    </row>
    <row r="636" spans="1:16">
      <c r="A636" s="5" t="s">
        <v>938</v>
      </c>
      <c r="B636" s="5" t="s">
        <v>944</v>
      </c>
      <c r="C636" s="6" t="s">
        <v>29</v>
      </c>
      <c r="D636" s="7">
        <v>2002</v>
      </c>
      <c r="E636" s="6">
        <v>1</v>
      </c>
      <c r="F636" s="7" t="s">
        <v>30</v>
      </c>
      <c r="G636" s="8">
        <v>20</v>
      </c>
      <c r="H636" s="7" t="s">
        <v>30</v>
      </c>
      <c r="I636" s="8">
        <v>20</v>
      </c>
      <c r="J636" s="7"/>
      <c r="K636" s="7"/>
      <c r="L636" s="6" t="s">
        <v>31</v>
      </c>
      <c r="M636" s="9" t="s">
        <v>30</v>
      </c>
      <c r="N636" s="7" t="s">
        <v>1654</v>
      </c>
      <c r="P636" t="e">
        <f>IF(N636="","",  IF(N636="Excluded", N636,  IF(N636="included in industry", N636,   _xlfn.XLOOKUP(N636, [1]unittypedata!$AD:$AD,[1]unittypedata!$D:$D)   )))</f>
        <v>#N/A</v>
      </c>
    </row>
    <row r="637" spans="1:16">
      <c r="A637" s="5" t="s">
        <v>938</v>
      </c>
      <c r="B637" s="5" t="s">
        <v>945</v>
      </c>
      <c r="C637" s="6" t="s">
        <v>29</v>
      </c>
      <c r="D637" s="7">
        <v>2005</v>
      </c>
      <c r="E637" s="6">
        <v>1</v>
      </c>
      <c r="F637" s="7" t="s">
        <v>30</v>
      </c>
      <c r="G637" s="8">
        <v>12.8</v>
      </c>
      <c r="H637" s="7" t="s">
        <v>30</v>
      </c>
      <c r="I637" s="8">
        <v>12.8</v>
      </c>
      <c r="J637" s="7"/>
      <c r="K637" s="7"/>
      <c r="L637" s="6" t="s">
        <v>31</v>
      </c>
      <c r="M637" s="9" t="s">
        <v>30</v>
      </c>
      <c r="N637" s="7" t="s">
        <v>1654</v>
      </c>
      <c r="P637" t="e">
        <f>IF(N637="","",  IF(N637="Excluded", N637,  IF(N637="included in industry", N637,   _xlfn.XLOOKUP(N637, [1]unittypedata!$AD:$AD,[1]unittypedata!$D:$D)   )))</f>
        <v>#N/A</v>
      </c>
    </row>
    <row r="638" spans="1:16">
      <c r="A638" s="5" t="s">
        <v>938</v>
      </c>
      <c r="B638" s="5" t="s">
        <v>946</v>
      </c>
      <c r="C638" s="6" t="s">
        <v>29</v>
      </c>
      <c r="D638" s="7">
        <v>1998</v>
      </c>
      <c r="E638" s="6">
        <v>1</v>
      </c>
      <c r="F638" s="7" t="s">
        <v>30</v>
      </c>
      <c r="G638" s="8">
        <v>10</v>
      </c>
      <c r="H638" s="7" t="s">
        <v>30</v>
      </c>
      <c r="I638" s="8">
        <v>10</v>
      </c>
      <c r="J638" s="7"/>
      <c r="K638" s="7"/>
      <c r="L638" s="6" t="s">
        <v>947</v>
      </c>
      <c r="M638" s="9" t="s">
        <v>30</v>
      </c>
      <c r="N638" s="7" t="s">
        <v>1654</v>
      </c>
      <c r="P638" t="e">
        <f>IF(N638="","",  IF(N638="Excluded", N638,  IF(N638="included in industry", N638,   _xlfn.XLOOKUP(N638, [1]unittypedata!$AD:$AD,[1]unittypedata!$D:$D)   )))</f>
        <v>#N/A</v>
      </c>
    </row>
    <row r="639" spans="1:16">
      <c r="A639" s="5" t="s">
        <v>938</v>
      </c>
      <c r="B639" s="5" t="s">
        <v>948</v>
      </c>
      <c r="C639" s="6" t="s">
        <v>29</v>
      </c>
      <c r="D639" s="7">
        <v>2015</v>
      </c>
      <c r="E639" s="6">
        <v>1</v>
      </c>
      <c r="F639" s="7" t="s">
        <v>30</v>
      </c>
      <c r="G639" s="8">
        <v>45</v>
      </c>
      <c r="H639" s="7" t="s">
        <v>30</v>
      </c>
      <c r="I639" s="8">
        <v>45</v>
      </c>
      <c r="J639" s="7"/>
      <c r="K639" s="7"/>
      <c r="L639" s="6" t="s">
        <v>31</v>
      </c>
      <c r="M639" s="9" t="s">
        <v>30</v>
      </c>
      <c r="N639" s="7" t="s">
        <v>1654</v>
      </c>
      <c r="O639" s="22" t="s">
        <v>1264</v>
      </c>
      <c r="P639" t="e">
        <f>IF(N639="","",  IF(N639="Excluded", N639,  IF(N639="included in industry", N639,   _xlfn.XLOOKUP(N639, [1]unittypedata!$AD:$AD,[1]unittypedata!$D:$D)   )))</f>
        <v>#N/A</v>
      </c>
    </row>
    <row r="640" spans="1:16">
      <c r="A640" s="11" t="s">
        <v>938</v>
      </c>
      <c r="B640" s="11" t="s">
        <v>949</v>
      </c>
      <c r="C640" s="12" t="s">
        <v>52</v>
      </c>
      <c r="D640" s="13">
        <v>1986</v>
      </c>
      <c r="E640" s="12">
        <v>1</v>
      </c>
      <c r="F640" s="13">
        <v>100</v>
      </c>
      <c r="G640" s="14" t="s">
        <v>30</v>
      </c>
      <c r="H640" s="13">
        <v>30</v>
      </c>
      <c r="I640" s="14">
        <v>130</v>
      </c>
      <c r="J640" s="13">
        <v>50</v>
      </c>
      <c r="K640" s="13"/>
      <c r="L640" s="12" t="s">
        <v>39</v>
      </c>
      <c r="M640" s="15" t="s">
        <v>30</v>
      </c>
      <c r="N640" s="7" t="s">
        <v>1656</v>
      </c>
      <c r="P640" t="e">
        <f>IF(N640="","",  IF(N640="Excluded", N640,  IF(N640="included in industry", N640,   _xlfn.XLOOKUP(N640, [1]unittypedata!$AD:$AD,[1]unittypedata!$D:$D)   )))</f>
        <v>#N/A</v>
      </c>
    </row>
    <row r="641" spans="1:16">
      <c r="A641" s="5" t="s">
        <v>950</v>
      </c>
      <c r="B641" s="5" t="s">
        <v>951</v>
      </c>
      <c r="C641" s="6" t="s">
        <v>29</v>
      </c>
      <c r="D641" s="7">
        <v>2007</v>
      </c>
      <c r="E641" s="6">
        <v>1</v>
      </c>
      <c r="F641" s="7" t="s">
        <v>30</v>
      </c>
      <c r="G641" s="8">
        <v>3</v>
      </c>
      <c r="H641" s="7" t="s">
        <v>30</v>
      </c>
      <c r="I641" s="8">
        <v>3</v>
      </c>
      <c r="J641" s="7"/>
      <c r="K641" s="7"/>
      <c r="L641" s="6" t="s">
        <v>31</v>
      </c>
      <c r="M641" s="9" t="s">
        <v>30</v>
      </c>
      <c r="N641" s="7" t="s">
        <v>1654</v>
      </c>
      <c r="P641" t="e">
        <f>IF(N641="","",  IF(N641="Excluded", N641,  IF(N641="included in industry", N641,   _xlfn.XLOOKUP(N641, [1]unittypedata!$AD:$AD,[1]unittypedata!$D:$D)   )))</f>
        <v>#N/A</v>
      </c>
    </row>
    <row r="642" spans="1:16">
      <c r="A642" s="5" t="s">
        <v>950</v>
      </c>
      <c r="B642" s="5" t="s">
        <v>952</v>
      </c>
      <c r="C642" s="6" t="s">
        <v>29</v>
      </c>
      <c r="D642" s="7">
        <v>2010</v>
      </c>
      <c r="E642" s="6">
        <v>1</v>
      </c>
      <c r="F642" s="7" t="s">
        <v>30</v>
      </c>
      <c r="G642" s="8">
        <v>3</v>
      </c>
      <c r="H642" s="7" t="s">
        <v>30</v>
      </c>
      <c r="I642" s="8">
        <v>3</v>
      </c>
      <c r="J642" s="7"/>
      <c r="K642" s="7"/>
      <c r="L642" s="6" t="s">
        <v>46</v>
      </c>
      <c r="M642" s="9" t="s">
        <v>30</v>
      </c>
      <c r="N642" s="7" t="s">
        <v>1653</v>
      </c>
      <c r="P642" t="e">
        <f>IF(N642="","",  IF(N642="Excluded", N642,  IF(N642="included in industry", N642,   _xlfn.XLOOKUP(N642, [1]unittypedata!$AD:$AD,[1]unittypedata!$D:$D)   )))</f>
        <v>#N/A</v>
      </c>
    </row>
    <row r="643" spans="1:16">
      <c r="A643" s="11" t="s">
        <v>950</v>
      </c>
      <c r="B643" s="11" t="s">
        <v>953</v>
      </c>
      <c r="C643" s="12" t="s">
        <v>29</v>
      </c>
      <c r="D643" s="13">
        <v>2015</v>
      </c>
      <c r="E643" s="12">
        <v>2</v>
      </c>
      <c r="F643" s="13" t="s">
        <v>30</v>
      </c>
      <c r="G643" s="14">
        <v>5</v>
      </c>
      <c r="H643" s="13" t="s">
        <v>30</v>
      </c>
      <c r="I643" s="14">
        <v>5</v>
      </c>
      <c r="J643" s="13"/>
      <c r="K643" s="13"/>
      <c r="L643" s="12" t="s">
        <v>44</v>
      </c>
      <c r="M643" s="15" t="s">
        <v>30</v>
      </c>
      <c r="N643" s="7" t="s">
        <v>1653</v>
      </c>
      <c r="P643" t="e">
        <f>IF(N643="","",  IF(N643="Excluded", N643,  IF(N643="included in industry", N643,   _xlfn.XLOOKUP(N643, [1]unittypedata!$AD:$AD,[1]unittypedata!$D:$D)   )))</f>
        <v>#N/A</v>
      </c>
    </row>
    <row r="644" spans="1:16">
      <c r="A644" s="5" t="s">
        <v>954</v>
      </c>
      <c r="B644" s="5" t="s">
        <v>955</v>
      </c>
      <c r="C644" s="6" t="s">
        <v>29</v>
      </c>
      <c r="D644" s="7">
        <v>1983</v>
      </c>
      <c r="E644" s="6">
        <v>1</v>
      </c>
      <c r="F644" s="7" t="s">
        <v>30</v>
      </c>
      <c r="G644" s="8">
        <v>6</v>
      </c>
      <c r="H644" s="7" t="s">
        <v>30</v>
      </c>
      <c r="I644" s="8">
        <v>6</v>
      </c>
      <c r="J644" s="7"/>
      <c r="K644" s="7"/>
      <c r="L644" s="6" t="s">
        <v>31</v>
      </c>
      <c r="M644" s="9" t="s">
        <v>30</v>
      </c>
      <c r="N644" s="7" t="s">
        <v>1654</v>
      </c>
      <c r="P644" t="e">
        <f>IF(N644="","",  IF(N644="Excluded", N644,  IF(N644="included in industry", N644,   _xlfn.XLOOKUP(N644, [1]unittypedata!$AD:$AD,[1]unittypedata!$D:$D)   )))</f>
        <v>#N/A</v>
      </c>
    </row>
    <row r="645" spans="1:16">
      <c r="A645" s="5" t="s">
        <v>954</v>
      </c>
      <c r="B645" s="5" t="s">
        <v>956</v>
      </c>
      <c r="C645" s="6" t="s">
        <v>29</v>
      </c>
      <c r="D645" s="7">
        <v>1977</v>
      </c>
      <c r="E645" s="6">
        <v>2</v>
      </c>
      <c r="F645" s="7" t="s">
        <v>30</v>
      </c>
      <c r="G645" s="8">
        <v>7.4</v>
      </c>
      <c r="H645" s="7" t="s">
        <v>30</v>
      </c>
      <c r="I645" s="8">
        <v>7.4</v>
      </c>
      <c r="J645" s="7"/>
      <c r="K645" s="7"/>
      <c r="L645" s="6" t="s">
        <v>31</v>
      </c>
      <c r="M645" s="9" t="s">
        <v>30</v>
      </c>
      <c r="N645" s="7" t="s">
        <v>1654</v>
      </c>
      <c r="P645" t="e">
        <f>IF(N645="","",  IF(N645="Excluded", N645,  IF(N645="included in industry", N645,   _xlfn.XLOOKUP(N645, [1]unittypedata!$AD:$AD,[1]unittypedata!$D:$D)   )))</f>
        <v>#N/A</v>
      </c>
    </row>
    <row r="646" spans="1:16">
      <c r="A646" s="5" t="s">
        <v>954</v>
      </c>
      <c r="B646" s="5" t="s">
        <v>957</v>
      </c>
      <c r="C646" s="6" t="s">
        <v>29</v>
      </c>
      <c r="D646" s="7">
        <v>1986</v>
      </c>
      <c r="E646" s="6">
        <v>1</v>
      </c>
      <c r="F646" s="7" t="s">
        <v>30</v>
      </c>
      <c r="G646" s="8">
        <v>8</v>
      </c>
      <c r="H646" s="7" t="s">
        <v>30</v>
      </c>
      <c r="I646" s="8">
        <v>8</v>
      </c>
      <c r="J646" s="7"/>
      <c r="K646" s="7"/>
      <c r="L646" s="6" t="s">
        <v>31</v>
      </c>
      <c r="M646" s="9" t="s">
        <v>30</v>
      </c>
      <c r="N646" s="7" t="s">
        <v>1654</v>
      </c>
      <c r="P646" t="e">
        <f>IF(N646="","",  IF(N646="Excluded", N646,  IF(N646="included in industry", N646,   _xlfn.XLOOKUP(N646, [1]unittypedata!$AD:$AD,[1]unittypedata!$D:$D)   )))</f>
        <v>#N/A</v>
      </c>
    </row>
    <row r="647" spans="1:16">
      <c r="A647" s="5" t="s">
        <v>954</v>
      </c>
      <c r="B647" s="5" t="s">
        <v>958</v>
      </c>
      <c r="C647" s="6" t="s">
        <v>29</v>
      </c>
      <c r="D647" s="7">
        <v>1994</v>
      </c>
      <c r="E647" s="6">
        <v>2</v>
      </c>
      <c r="F647" s="7" t="s">
        <v>30</v>
      </c>
      <c r="G647" s="8">
        <v>11.5</v>
      </c>
      <c r="H647" s="7">
        <v>2</v>
      </c>
      <c r="I647" s="8">
        <v>13.5</v>
      </c>
      <c r="J647" s="7"/>
      <c r="K647" s="7"/>
      <c r="L647" s="6" t="s">
        <v>253</v>
      </c>
      <c r="M647" s="9" t="s">
        <v>30</v>
      </c>
      <c r="N647" s="7" t="s">
        <v>1653</v>
      </c>
      <c r="P647" t="e">
        <f>IF(N647="","",  IF(N647="Excluded", N647,  IF(N647="included in industry", N647,   _xlfn.XLOOKUP(N647, [1]unittypedata!$AD:$AD,[1]unittypedata!$D:$D)   )))</f>
        <v>#N/A</v>
      </c>
    </row>
    <row r="648" spans="1:16">
      <c r="A648" s="11" t="s">
        <v>954</v>
      </c>
      <c r="B648" s="11" t="s">
        <v>959</v>
      </c>
      <c r="C648" s="12" t="s">
        <v>75</v>
      </c>
      <c r="D648" s="13">
        <v>1978</v>
      </c>
      <c r="E648" s="12" t="s">
        <v>30</v>
      </c>
      <c r="F648" s="13" t="s">
        <v>30</v>
      </c>
      <c r="G648" s="14" t="s">
        <v>30</v>
      </c>
      <c r="H648" s="13" t="s">
        <v>30</v>
      </c>
      <c r="I648" s="14">
        <v>5</v>
      </c>
      <c r="J648" s="13">
        <v>2</v>
      </c>
      <c r="K648" s="13"/>
      <c r="L648" s="12" t="s">
        <v>33</v>
      </c>
      <c r="M648" s="15" t="s">
        <v>30</v>
      </c>
      <c r="N648" s="7" t="s">
        <v>58</v>
      </c>
      <c r="P648" t="str">
        <f>IF(N648="","",  IF(N648="Excluded", N648,  IF(N648="included in industry", N648,   _xlfn.XLOOKUP(N648, [1]unittypedata!$AD:$AD,[1]unittypedata!$D:$D)   )))</f>
        <v>Excluded</v>
      </c>
    </row>
    <row r="649" spans="1:16">
      <c r="A649" s="5" t="s">
        <v>960</v>
      </c>
      <c r="B649" s="5" t="s">
        <v>961</v>
      </c>
      <c r="C649" s="6" t="s">
        <v>29</v>
      </c>
      <c r="D649" s="7">
        <v>2009</v>
      </c>
      <c r="E649" s="6">
        <v>1</v>
      </c>
      <c r="F649" s="7" t="s">
        <v>30</v>
      </c>
      <c r="G649" s="8">
        <v>2</v>
      </c>
      <c r="H649" s="7" t="s">
        <v>30</v>
      </c>
      <c r="I649" s="8">
        <v>2</v>
      </c>
      <c r="J649" s="7"/>
      <c r="K649" s="7"/>
      <c r="L649" s="6" t="s">
        <v>46</v>
      </c>
      <c r="M649" s="9" t="s">
        <v>30</v>
      </c>
      <c r="N649" s="7" t="s">
        <v>1653</v>
      </c>
      <c r="P649" t="e">
        <f>IF(N649="","",  IF(N649="Excluded", N649,  IF(N649="included in industry", N649,   _xlfn.XLOOKUP(N649, [1]unittypedata!$AD:$AD,[1]unittypedata!$D:$D)   )))</f>
        <v>#N/A</v>
      </c>
    </row>
    <row r="650" spans="1:16">
      <c r="A650" s="5" t="s">
        <v>960</v>
      </c>
      <c r="B650" s="5" t="s">
        <v>962</v>
      </c>
      <c r="C650" s="6" t="s">
        <v>29</v>
      </c>
      <c r="D650" s="7">
        <v>2012</v>
      </c>
      <c r="E650" s="6">
        <v>2</v>
      </c>
      <c r="F650" s="7" t="s">
        <v>30</v>
      </c>
      <c r="G650" s="8">
        <v>6.5</v>
      </c>
      <c r="H650" s="7" t="s">
        <v>30</v>
      </c>
      <c r="I650" s="8">
        <v>6.5</v>
      </c>
      <c r="J650" s="7"/>
      <c r="K650" s="7"/>
      <c r="L650" s="6" t="s">
        <v>46</v>
      </c>
      <c r="M650" s="9" t="s">
        <v>30</v>
      </c>
      <c r="N650" s="7" t="s">
        <v>1653</v>
      </c>
      <c r="P650" t="e">
        <f>IF(N650="","",  IF(N650="Excluded", N650,  IF(N650="included in industry", N650,   _xlfn.XLOOKUP(N650, [1]unittypedata!$AD:$AD,[1]unittypedata!$D:$D)   )))</f>
        <v>#N/A</v>
      </c>
    </row>
    <row r="651" spans="1:16">
      <c r="A651" s="5" t="s">
        <v>960</v>
      </c>
      <c r="B651" s="5" t="s">
        <v>963</v>
      </c>
      <c r="C651" s="6" t="s">
        <v>29</v>
      </c>
      <c r="D651" s="7">
        <v>2014</v>
      </c>
      <c r="E651" s="6">
        <v>2</v>
      </c>
      <c r="F651" s="7" t="s">
        <v>30</v>
      </c>
      <c r="G651" s="8">
        <v>11</v>
      </c>
      <c r="H651" s="7">
        <v>1</v>
      </c>
      <c r="I651" s="8">
        <v>12</v>
      </c>
      <c r="J651" s="7"/>
      <c r="K651" s="7"/>
      <c r="L651" s="6" t="s">
        <v>46</v>
      </c>
      <c r="M651" s="9" t="s">
        <v>30</v>
      </c>
      <c r="N651" s="7" t="s">
        <v>1653</v>
      </c>
      <c r="P651" t="e">
        <f>IF(N651="","",  IF(N651="Excluded", N651,  IF(N651="included in industry", N651,   _xlfn.XLOOKUP(N651, [1]unittypedata!$AD:$AD,[1]unittypedata!$D:$D)   )))</f>
        <v>#N/A</v>
      </c>
    </row>
    <row r="652" spans="1:16">
      <c r="A652" s="5" t="s">
        <v>960</v>
      </c>
      <c r="B652" s="5" t="s">
        <v>964</v>
      </c>
      <c r="C652" s="6" t="s">
        <v>29</v>
      </c>
      <c r="D652" s="7">
        <v>2014</v>
      </c>
      <c r="E652" s="6">
        <v>2</v>
      </c>
      <c r="F652" s="7" t="s">
        <v>30</v>
      </c>
      <c r="G652" s="8">
        <v>10</v>
      </c>
      <c r="H652" s="7">
        <v>1</v>
      </c>
      <c r="I652" s="8">
        <v>11</v>
      </c>
      <c r="J652" s="7"/>
      <c r="K652" s="7"/>
      <c r="L652" s="6" t="s">
        <v>46</v>
      </c>
      <c r="M652" s="9" t="s">
        <v>30</v>
      </c>
      <c r="N652" s="7" t="s">
        <v>1653</v>
      </c>
      <c r="P652" t="e">
        <f>IF(N652="","",  IF(N652="Excluded", N652,  IF(N652="included in industry", N652,   _xlfn.XLOOKUP(N652, [1]unittypedata!$AD:$AD,[1]unittypedata!$D:$D)   )))</f>
        <v>#N/A</v>
      </c>
    </row>
    <row r="653" spans="1:16">
      <c r="A653" s="23" t="s">
        <v>965</v>
      </c>
      <c r="B653" s="23" t="s">
        <v>966</v>
      </c>
      <c r="C653" s="24" t="s">
        <v>29</v>
      </c>
      <c r="D653" s="25">
        <v>2006</v>
      </c>
      <c r="E653" s="24">
        <v>1</v>
      </c>
      <c r="F653" s="25" t="s">
        <v>30</v>
      </c>
      <c r="G653" s="26">
        <v>3.5</v>
      </c>
      <c r="H653" s="25" t="s">
        <v>30</v>
      </c>
      <c r="I653" s="26">
        <v>3.5</v>
      </c>
      <c r="J653" s="25"/>
      <c r="K653" s="25"/>
      <c r="L653" s="24" t="s">
        <v>46</v>
      </c>
      <c r="M653" s="27" t="s">
        <v>30</v>
      </c>
      <c r="N653" s="7" t="s">
        <v>1653</v>
      </c>
      <c r="P653" t="e">
        <f>IF(N653="","",  IF(N653="Excluded", N653,  IF(N653="included in industry", N653,   _xlfn.XLOOKUP(N653, [1]unittypedata!$AD:$AD,[1]unittypedata!$D:$D)   )))</f>
        <v>#N/A</v>
      </c>
    </row>
    <row r="654" spans="1:16">
      <c r="A654" s="5" t="s">
        <v>967</v>
      </c>
      <c r="B654" s="5" t="s">
        <v>968</v>
      </c>
      <c r="C654" s="6" t="s">
        <v>29</v>
      </c>
      <c r="D654" s="7">
        <v>1982</v>
      </c>
      <c r="E654" s="6">
        <v>1</v>
      </c>
      <c r="F654" s="7" t="s">
        <v>30</v>
      </c>
      <c r="G654" s="8">
        <v>5.5</v>
      </c>
      <c r="H654" s="7" t="s">
        <v>30</v>
      </c>
      <c r="I654" s="8">
        <v>5.5</v>
      </c>
      <c r="J654" s="7"/>
      <c r="K654" s="7"/>
      <c r="L654" s="6" t="s">
        <v>46</v>
      </c>
      <c r="M654" s="9" t="s">
        <v>30</v>
      </c>
      <c r="N654" s="7" t="s">
        <v>1653</v>
      </c>
      <c r="P654" t="e">
        <f>IF(N654="","",  IF(N654="Excluded", N654,  IF(N654="included in industry", N654,   _xlfn.XLOOKUP(N654, [1]unittypedata!$AD:$AD,[1]unittypedata!$D:$D)   )))</f>
        <v>#N/A</v>
      </c>
    </row>
    <row r="655" spans="1:16">
      <c r="A655" s="11" t="s">
        <v>967</v>
      </c>
      <c r="B655" s="11" t="s">
        <v>969</v>
      </c>
      <c r="C655" s="12" t="s">
        <v>29</v>
      </c>
      <c r="D655" s="13">
        <v>2013</v>
      </c>
      <c r="E655" s="12">
        <v>1</v>
      </c>
      <c r="F655" s="13" t="s">
        <v>30</v>
      </c>
      <c r="G655" s="14">
        <v>8</v>
      </c>
      <c r="H655" s="13">
        <v>2</v>
      </c>
      <c r="I655" s="14">
        <v>10</v>
      </c>
      <c r="J655" s="13"/>
      <c r="K655" s="13"/>
      <c r="L655" s="12" t="s">
        <v>46</v>
      </c>
      <c r="M655" s="15" t="s">
        <v>30</v>
      </c>
      <c r="N655" s="7" t="s">
        <v>1653</v>
      </c>
      <c r="P655" t="e">
        <f>IF(N655="","",  IF(N655="Excluded", N655,  IF(N655="included in industry", N655,   _xlfn.XLOOKUP(N655, [1]unittypedata!$AD:$AD,[1]unittypedata!$D:$D)   )))</f>
        <v>#N/A</v>
      </c>
    </row>
    <row r="656" spans="1:16">
      <c r="A656" s="5" t="s">
        <v>970</v>
      </c>
      <c r="B656" s="5" t="s">
        <v>971</v>
      </c>
      <c r="C656" s="6" t="s">
        <v>29</v>
      </c>
      <c r="D656" s="7">
        <v>1983</v>
      </c>
      <c r="E656" s="6">
        <v>2</v>
      </c>
      <c r="F656" s="7" t="s">
        <v>30</v>
      </c>
      <c r="G656" s="8">
        <v>40</v>
      </c>
      <c r="H656" s="7" t="s">
        <v>30</v>
      </c>
      <c r="I656" s="8">
        <v>40</v>
      </c>
      <c r="J656" s="7"/>
      <c r="K656" s="7"/>
      <c r="L656" s="6" t="s">
        <v>46</v>
      </c>
      <c r="M656" s="9" t="s">
        <v>30</v>
      </c>
      <c r="N656" s="7" t="s">
        <v>1653</v>
      </c>
      <c r="P656" t="e">
        <f>IF(N656="","",  IF(N656="Excluded", N656,  IF(N656="included in industry", N656,   _xlfn.XLOOKUP(N656, [1]unittypedata!$AD:$AD,[1]unittypedata!$D:$D)   )))</f>
        <v>#N/A</v>
      </c>
    </row>
    <row r="657" spans="1:16">
      <c r="A657" s="5" t="s">
        <v>970</v>
      </c>
      <c r="B657" s="5" t="s">
        <v>972</v>
      </c>
      <c r="C657" s="6" t="s">
        <v>29</v>
      </c>
      <c r="D657" s="7">
        <v>1991</v>
      </c>
      <c r="E657" s="6">
        <v>1</v>
      </c>
      <c r="F657" s="7" t="s">
        <v>30</v>
      </c>
      <c r="G657" s="8">
        <v>12</v>
      </c>
      <c r="H657" s="7" t="s">
        <v>30</v>
      </c>
      <c r="I657" s="8">
        <v>12</v>
      </c>
      <c r="J657" s="7"/>
      <c r="K657" s="7"/>
      <c r="L657" s="6" t="s">
        <v>31</v>
      </c>
      <c r="M657" s="9" t="s">
        <v>30</v>
      </c>
      <c r="N657" s="7" t="s">
        <v>1654</v>
      </c>
      <c r="P657" t="e">
        <f>IF(N657="","",  IF(N657="Excluded", N657,  IF(N657="included in industry", N657,   _xlfn.XLOOKUP(N657, [1]unittypedata!$AD:$AD,[1]unittypedata!$D:$D)   )))</f>
        <v>#N/A</v>
      </c>
    </row>
    <row r="658" spans="1:16">
      <c r="A658" s="5" t="s">
        <v>970</v>
      </c>
      <c r="B658" s="5" t="s">
        <v>973</v>
      </c>
      <c r="C658" s="6" t="s">
        <v>29</v>
      </c>
      <c r="D658" s="7">
        <v>1992</v>
      </c>
      <c r="E658" s="6">
        <v>1</v>
      </c>
      <c r="F658" s="7" t="s">
        <v>30</v>
      </c>
      <c r="G658" s="8">
        <v>2</v>
      </c>
      <c r="H658" s="7" t="s">
        <v>30</v>
      </c>
      <c r="I658" s="8">
        <v>2</v>
      </c>
      <c r="J658" s="7"/>
      <c r="K658" s="7"/>
      <c r="L658" s="6" t="s">
        <v>31</v>
      </c>
      <c r="M658" s="9" t="s">
        <v>30</v>
      </c>
      <c r="N658" s="7" t="s">
        <v>1654</v>
      </c>
      <c r="P658" t="e">
        <f>IF(N658="","",  IF(N658="Excluded", N658,  IF(N658="included in industry", N658,   _xlfn.XLOOKUP(N658, [1]unittypedata!$AD:$AD,[1]unittypedata!$D:$D)   )))</f>
        <v>#N/A</v>
      </c>
    </row>
    <row r="659" spans="1:16">
      <c r="A659" s="11" t="s">
        <v>970</v>
      </c>
      <c r="B659" s="11" t="s">
        <v>974</v>
      </c>
      <c r="C659" s="12" t="s">
        <v>52</v>
      </c>
      <c r="D659" s="13">
        <v>1992</v>
      </c>
      <c r="E659" s="12">
        <v>1</v>
      </c>
      <c r="F659" s="13">
        <v>26</v>
      </c>
      <c r="G659" s="14" t="s">
        <v>30</v>
      </c>
      <c r="H659" s="13">
        <v>6.3</v>
      </c>
      <c r="I659" s="14">
        <v>32.299999999999997</v>
      </c>
      <c r="J659" s="13">
        <v>9.4</v>
      </c>
      <c r="K659" s="13"/>
      <c r="L659" s="12" t="s">
        <v>46</v>
      </c>
      <c r="M659" s="15" t="s">
        <v>30</v>
      </c>
      <c r="N659" s="7" t="s">
        <v>1656</v>
      </c>
      <c r="P659" t="e">
        <f>IF(N659="","",  IF(N659="Excluded", N659,  IF(N659="included in industry", N659,   _xlfn.XLOOKUP(N659, [1]unittypedata!$AD:$AD,[1]unittypedata!$D:$D)   )))</f>
        <v>#N/A</v>
      </c>
    </row>
    <row r="660" spans="1:16">
      <c r="A660" s="5" t="s">
        <v>975</v>
      </c>
      <c r="B660" s="5" t="s">
        <v>976</v>
      </c>
      <c r="C660" s="6" t="s">
        <v>29</v>
      </c>
      <c r="D660" s="7">
        <v>1998</v>
      </c>
      <c r="E660" s="6">
        <v>1</v>
      </c>
      <c r="F660" s="7" t="s">
        <v>30</v>
      </c>
      <c r="G660" s="8">
        <v>3</v>
      </c>
      <c r="H660" s="7">
        <v>0.6</v>
      </c>
      <c r="I660" s="8">
        <v>3.6</v>
      </c>
      <c r="J660" s="7"/>
      <c r="K660" s="7"/>
      <c r="L660" s="6" t="s">
        <v>253</v>
      </c>
      <c r="M660" s="9" t="s">
        <v>30</v>
      </c>
      <c r="N660" s="7" t="s">
        <v>1653</v>
      </c>
      <c r="P660" t="e">
        <f>IF(N660="","",  IF(N660="Excluded", N660,  IF(N660="included in industry", N660,   _xlfn.XLOOKUP(N660, [1]unittypedata!$AD:$AD,[1]unittypedata!$D:$D)   )))</f>
        <v>#N/A</v>
      </c>
    </row>
    <row r="661" spans="1:16">
      <c r="A661" s="11" t="s">
        <v>975</v>
      </c>
      <c r="B661" s="11" t="s">
        <v>977</v>
      </c>
      <c r="C661" s="12" t="s">
        <v>29</v>
      </c>
      <c r="D661" s="13">
        <v>2015</v>
      </c>
      <c r="E661" s="12">
        <v>1</v>
      </c>
      <c r="F661" s="13" t="s">
        <v>30</v>
      </c>
      <c r="G661" s="14">
        <v>4</v>
      </c>
      <c r="H661" s="13" t="s">
        <v>30</v>
      </c>
      <c r="I661" s="14">
        <v>4</v>
      </c>
      <c r="J661" s="13"/>
      <c r="K661" s="13"/>
      <c r="L661" s="12" t="s">
        <v>253</v>
      </c>
      <c r="M661" s="15" t="s">
        <v>30</v>
      </c>
      <c r="N661" s="7" t="s">
        <v>1653</v>
      </c>
      <c r="P661" t="e">
        <f>IF(N661="","",  IF(N661="Excluded", N661,  IF(N661="included in industry", N661,   _xlfn.XLOOKUP(N661, [1]unittypedata!$AD:$AD,[1]unittypedata!$D:$D)   )))</f>
        <v>#N/A</v>
      </c>
    </row>
    <row r="662" spans="1:16">
      <c r="A662" s="5" t="s">
        <v>978</v>
      </c>
      <c r="B662" s="5" t="s">
        <v>979</v>
      </c>
      <c r="C662" s="6" t="s">
        <v>29</v>
      </c>
      <c r="D662" s="7">
        <v>1980</v>
      </c>
      <c r="E662" s="6">
        <v>3</v>
      </c>
      <c r="F662" s="7" t="s">
        <v>30</v>
      </c>
      <c r="G662" s="8">
        <v>3.4</v>
      </c>
      <c r="H662" s="7" t="s">
        <v>30</v>
      </c>
      <c r="I662" s="8">
        <v>3.4</v>
      </c>
      <c r="J662" s="7"/>
      <c r="K662" s="7"/>
      <c r="L662" s="6" t="s">
        <v>31</v>
      </c>
      <c r="M662" s="9" t="s">
        <v>30</v>
      </c>
      <c r="N662" s="7" t="s">
        <v>1654</v>
      </c>
      <c r="P662" t="e">
        <f>IF(N662="","",  IF(N662="Excluded", N662,  IF(N662="included in industry", N662,   _xlfn.XLOOKUP(N662, [1]unittypedata!$AD:$AD,[1]unittypedata!$D:$D)   )))</f>
        <v>#N/A</v>
      </c>
    </row>
    <row r="663" spans="1:16">
      <c r="A663" s="11" t="s">
        <v>978</v>
      </c>
      <c r="B663" s="11" t="s">
        <v>980</v>
      </c>
      <c r="C663" s="12" t="s">
        <v>29</v>
      </c>
      <c r="D663" s="13">
        <v>2008</v>
      </c>
      <c r="E663" s="12">
        <v>1</v>
      </c>
      <c r="F663" s="13" t="s">
        <v>30</v>
      </c>
      <c r="G663" s="14">
        <v>2.5</v>
      </c>
      <c r="H663" s="13" t="s">
        <v>30</v>
      </c>
      <c r="I663" s="14">
        <v>2.5</v>
      </c>
      <c r="J663" s="13"/>
      <c r="K663" s="13"/>
      <c r="L663" s="12" t="s">
        <v>46</v>
      </c>
      <c r="M663" s="15" t="s">
        <v>30</v>
      </c>
      <c r="N663" s="7" t="s">
        <v>1653</v>
      </c>
      <c r="P663" t="e">
        <f>IF(N663="","",  IF(N663="Excluded", N663,  IF(N663="included in industry", N663,   _xlfn.XLOOKUP(N663, [1]unittypedata!$AD:$AD,[1]unittypedata!$D:$D)   )))</f>
        <v>#N/A</v>
      </c>
    </row>
    <row r="664" spans="1:16">
      <c r="A664" s="5" t="s">
        <v>981</v>
      </c>
      <c r="B664" s="5" t="s">
        <v>982</v>
      </c>
      <c r="C664" s="6" t="s">
        <v>29</v>
      </c>
      <c r="D664" s="7">
        <v>1987</v>
      </c>
      <c r="E664" s="6">
        <v>1</v>
      </c>
      <c r="F664" s="7" t="s">
        <v>30</v>
      </c>
      <c r="G664" s="8">
        <v>4.7</v>
      </c>
      <c r="H664" s="7" t="s">
        <v>30</v>
      </c>
      <c r="I664" s="8">
        <v>4.7</v>
      </c>
      <c r="J664" s="7"/>
      <c r="K664" s="7"/>
      <c r="L664" s="6" t="s">
        <v>269</v>
      </c>
      <c r="M664" s="9" t="s">
        <v>30</v>
      </c>
      <c r="N664" s="7" t="s">
        <v>1653</v>
      </c>
      <c r="P664" t="e">
        <f>IF(N664="","",  IF(N664="Excluded", N664,  IF(N664="included in industry", N664,   _xlfn.XLOOKUP(N664, [1]unittypedata!$AD:$AD,[1]unittypedata!$D:$D)   )))</f>
        <v>#N/A</v>
      </c>
    </row>
    <row r="665" spans="1:16">
      <c r="A665" s="5" t="s">
        <v>981</v>
      </c>
      <c r="B665" s="5" t="s">
        <v>983</v>
      </c>
      <c r="C665" s="6" t="s">
        <v>29</v>
      </c>
      <c r="D665" s="7">
        <v>2002</v>
      </c>
      <c r="E665" s="6">
        <v>1</v>
      </c>
      <c r="F665" s="7" t="s">
        <v>30</v>
      </c>
      <c r="G665" s="8">
        <v>10</v>
      </c>
      <c r="H665" s="7" t="s">
        <v>30</v>
      </c>
      <c r="I665" s="8">
        <v>10</v>
      </c>
      <c r="J665" s="7"/>
      <c r="K665" s="7"/>
      <c r="L665" s="6" t="s">
        <v>46</v>
      </c>
      <c r="M665" s="9" t="s">
        <v>30</v>
      </c>
      <c r="N665" s="7" t="s">
        <v>1653</v>
      </c>
      <c r="P665" t="e">
        <f>IF(N665="","",  IF(N665="Excluded", N665,  IF(N665="included in industry", N665,   _xlfn.XLOOKUP(N665, [1]unittypedata!$AD:$AD,[1]unittypedata!$D:$D)   )))</f>
        <v>#N/A</v>
      </c>
    </row>
    <row r="666" spans="1:16">
      <c r="A666" s="5" t="s">
        <v>981</v>
      </c>
      <c r="B666" s="5" t="s">
        <v>984</v>
      </c>
      <c r="C666" s="6" t="s">
        <v>29</v>
      </c>
      <c r="D666" s="7">
        <v>2007</v>
      </c>
      <c r="E666" s="6">
        <v>1</v>
      </c>
      <c r="F666" s="7" t="s">
        <v>30</v>
      </c>
      <c r="G666" s="8">
        <v>8</v>
      </c>
      <c r="H666" s="7">
        <v>2</v>
      </c>
      <c r="I666" s="8">
        <v>10</v>
      </c>
      <c r="J666" s="7"/>
      <c r="K666" s="7"/>
      <c r="L666" s="6" t="s">
        <v>253</v>
      </c>
      <c r="M666" s="9" t="s">
        <v>30</v>
      </c>
      <c r="N666" s="7" t="s">
        <v>1653</v>
      </c>
      <c r="P666" t="e">
        <f>IF(N666="","",  IF(N666="Excluded", N666,  IF(N666="included in industry", N666,   _xlfn.XLOOKUP(N666, [1]unittypedata!$AD:$AD,[1]unittypedata!$D:$D)   )))</f>
        <v>#N/A</v>
      </c>
    </row>
    <row r="667" spans="1:16">
      <c r="A667" s="11" t="s">
        <v>981</v>
      </c>
      <c r="B667" s="11" t="s">
        <v>985</v>
      </c>
      <c r="C667" s="12" t="s">
        <v>29</v>
      </c>
      <c r="D667" s="13">
        <v>2019</v>
      </c>
      <c r="E667" s="12">
        <v>1</v>
      </c>
      <c r="F667" s="13" t="s">
        <v>30</v>
      </c>
      <c r="G667" s="14">
        <v>4</v>
      </c>
      <c r="H667" s="13" t="s">
        <v>30</v>
      </c>
      <c r="I667" s="14">
        <v>4</v>
      </c>
      <c r="J667" s="13"/>
      <c r="K667" s="13"/>
      <c r="L667" s="12" t="s">
        <v>31</v>
      </c>
      <c r="M667" s="15" t="s">
        <v>30</v>
      </c>
      <c r="N667" s="7" t="s">
        <v>1654</v>
      </c>
      <c r="P667" t="e">
        <f>IF(N667="","",  IF(N667="Excluded", N667,  IF(N667="included in industry", N667,   _xlfn.XLOOKUP(N667, [1]unittypedata!$AD:$AD,[1]unittypedata!$D:$D)   )))</f>
        <v>#N/A</v>
      </c>
    </row>
    <row r="668" spans="1:16">
      <c r="A668" s="5" t="s">
        <v>986</v>
      </c>
      <c r="B668" s="5" t="s">
        <v>987</v>
      </c>
      <c r="C668" s="6" t="s">
        <v>29</v>
      </c>
      <c r="D668" s="7">
        <v>2012</v>
      </c>
      <c r="E668" s="6">
        <v>2</v>
      </c>
      <c r="F668" s="7" t="s">
        <v>30</v>
      </c>
      <c r="G668" s="8">
        <v>16</v>
      </c>
      <c r="H668" s="7">
        <v>2</v>
      </c>
      <c r="I668" s="8">
        <v>18</v>
      </c>
      <c r="J668" s="7"/>
      <c r="K668" s="7"/>
      <c r="L668" s="6" t="s">
        <v>46</v>
      </c>
      <c r="M668" s="9" t="s">
        <v>30</v>
      </c>
      <c r="N668" s="7" t="s">
        <v>1653</v>
      </c>
      <c r="P668" t="e">
        <f>IF(N668="","",  IF(N668="Excluded", N668,  IF(N668="included in industry", N668,   _xlfn.XLOOKUP(N668, [1]unittypedata!$AD:$AD,[1]unittypedata!$D:$D)   )))</f>
        <v>#N/A</v>
      </c>
    </row>
    <row r="669" spans="1:16">
      <c r="A669" s="11" t="s">
        <v>986</v>
      </c>
      <c r="B669" s="11" t="s">
        <v>988</v>
      </c>
      <c r="C669" s="12" t="s">
        <v>29</v>
      </c>
      <c r="D669" s="13">
        <v>2018</v>
      </c>
      <c r="E669" s="12">
        <v>2</v>
      </c>
      <c r="F669" s="13" t="s">
        <v>30</v>
      </c>
      <c r="G669" s="14">
        <v>10</v>
      </c>
      <c r="H669" s="13" t="s">
        <v>30</v>
      </c>
      <c r="I669" s="14">
        <v>10</v>
      </c>
      <c r="J669" s="13"/>
      <c r="K669" s="13"/>
      <c r="L669" s="12" t="s">
        <v>269</v>
      </c>
      <c r="M669" s="15" t="s">
        <v>30</v>
      </c>
      <c r="N669" s="7" t="s">
        <v>1653</v>
      </c>
      <c r="P669" t="e">
        <f>IF(N669="","",  IF(N669="Excluded", N669,  IF(N669="included in industry", N669,   _xlfn.XLOOKUP(N669, [1]unittypedata!$AD:$AD,[1]unittypedata!$D:$D)   )))</f>
        <v>#N/A</v>
      </c>
    </row>
    <row r="670" spans="1:16">
      <c r="A670" s="5" t="s">
        <v>989</v>
      </c>
      <c r="B670" s="5" t="s">
        <v>990</v>
      </c>
      <c r="C670" s="6" t="s">
        <v>29</v>
      </c>
      <c r="D670" s="7">
        <v>1996</v>
      </c>
      <c r="E670" s="6">
        <v>2</v>
      </c>
      <c r="F670" s="7" t="s">
        <v>30</v>
      </c>
      <c r="G670" s="8">
        <v>2</v>
      </c>
      <c r="H670" s="7" t="s">
        <v>30</v>
      </c>
      <c r="I670" s="8">
        <v>2</v>
      </c>
      <c r="J670" s="7"/>
      <c r="K670" s="7"/>
      <c r="L670" s="6" t="s">
        <v>46</v>
      </c>
      <c r="M670" s="9" t="s">
        <v>30</v>
      </c>
      <c r="N670" s="7" t="s">
        <v>1653</v>
      </c>
      <c r="P670" t="e">
        <f>IF(N670="","",  IF(N670="Excluded", N670,  IF(N670="included in industry", N670,   _xlfn.XLOOKUP(N670, [1]unittypedata!$AD:$AD,[1]unittypedata!$D:$D)   )))</f>
        <v>#N/A</v>
      </c>
    </row>
    <row r="671" spans="1:16">
      <c r="A671" s="11" t="s">
        <v>989</v>
      </c>
      <c r="B671" s="11" t="s">
        <v>991</v>
      </c>
      <c r="C671" s="12" t="s">
        <v>29</v>
      </c>
      <c r="D671" s="13">
        <v>2009</v>
      </c>
      <c r="E671" s="12">
        <v>1</v>
      </c>
      <c r="F671" s="13" t="s">
        <v>30</v>
      </c>
      <c r="G671" s="14">
        <v>3</v>
      </c>
      <c r="H671" s="13" t="s">
        <v>30</v>
      </c>
      <c r="I671" s="14">
        <v>3</v>
      </c>
      <c r="J671" s="13"/>
      <c r="K671" s="13"/>
      <c r="L671" s="12" t="s">
        <v>118</v>
      </c>
      <c r="M671" s="15" t="s">
        <v>30</v>
      </c>
      <c r="N671" s="7" t="s">
        <v>1653</v>
      </c>
      <c r="P671" t="e">
        <f>IF(N671="","",  IF(N671="Excluded", N671,  IF(N671="included in industry", N671,   _xlfn.XLOOKUP(N671, [1]unittypedata!$AD:$AD,[1]unittypedata!$D:$D)   )))</f>
        <v>#N/A</v>
      </c>
    </row>
    <row r="672" spans="1:16">
      <c r="A672" s="5" t="s">
        <v>992</v>
      </c>
      <c r="B672" s="5" t="s">
        <v>993</v>
      </c>
      <c r="C672" s="6" t="s">
        <v>29</v>
      </c>
      <c r="D672" s="7">
        <v>1987</v>
      </c>
      <c r="E672" s="6">
        <v>2</v>
      </c>
      <c r="F672" s="7" t="s">
        <v>30</v>
      </c>
      <c r="G672" s="8">
        <v>1.4</v>
      </c>
      <c r="H672" s="7" t="s">
        <v>30</v>
      </c>
      <c r="I672" s="8">
        <v>1.4</v>
      </c>
      <c r="J672" s="7"/>
      <c r="K672" s="7"/>
      <c r="L672" s="6" t="s">
        <v>31</v>
      </c>
      <c r="M672" s="9" t="s">
        <v>30</v>
      </c>
      <c r="N672" s="7" t="s">
        <v>1654</v>
      </c>
      <c r="P672" t="e">
        <f>IF(N672="","",  IF(N672="Excluded", N672,  IF(N672="included in industry", N672,   _xlfn.XLOOKUP(N672, [1]unittypedata!$AD:$AD,[1]unittypedata!$D:$D)   )))</f>
        <v>#N/A</v>
      </c>
    </row>
    <row r="673" spans="1:16">
      <c r="A673" s="5" t="s">
        <v>992</v>
      </c>
      <c r="B673" s="5" t="s">
        <v>994</v>
      </c>
      <c r="C673" s="6" t="s">
        <v>29</v>
      </c>
      <c r="D673" s="7">
        <v>1995</v>
      </c>
      <c r="E673" s="6">
        <v>1</v>
      </c>
      <c r="F673" s="7" t="s">
        <v>30</v>
      </c>
      <c r="G673" s="8">
        <v>7</v>
      </c>
      <c r="H673" s="7" t="s">
        <v>30</v>
      </c>
      <c r="I673" s="8">
        <v>7</v>
      </c>
      <c r="J673" s="7"/>
      <c r="K673" s="7"/>
      <c r="L673" s="6" t="s">
        <v>31</v>
      </c>
      <c r="M673" s="9" t="s">
        <v>30</v>
      </c>
      <c r="N673" s="7" t="s">
        <v>1654</v>
      </c>
      <c r="P673" t="e">
        <f>IF(N673="","",  IF(N673="Excluded", N673,  IF(N673="included in industry", N673,   _xlfn.XLOOKUP(N673, [1]unittypedata!$AD:$AD,[1]unittypedata!$D:$D)   )))</f>
        <v>#N/A</v>
      </c>
    </row>
    <row r="674" spans="1:16">
      <c r="A674" s="5" t="s">
        <v>992</v>
      </c>
      <c r="B674" s="5" t="s">
        <v>994</v>
      </c>
      <c r="C674" s="6" t="s">
        <v>29</v>
      </c>
      <c r="D674" s="7">
        <v>1998</v>
      </c>
      <c r="E674" s="6">
        <v>1</v>
      </c>
      <c r="F674" s="7" t="s">
        <v>30</v>
      </c>
      <c r="G674" s="8">
        <v>4.5</v>
      </c>
      <c r="H674" s="7">
        <v>0.9</v>
      </c>
      <c r="I674" s="8">
        <v>5.4</v>
      </c>
      <c r="J674" s="7"/>
      <c r="K674" s="7"/>
      <c r="L674" s="6" t="s">
        <v>253</v>
      </c>
      <c r="M674" s="9" t="s">
        <v>30</v>
      </c>
      <c r="N674" s="7" t="s">
        <v>1653</v>
      </c>
      <c r="P674" t="e">
        <f>IF(N674="","",  IF(N674="Excluded", N674,  IF(N674="included in industry", N674,   _xlfn.XLOOKUP(N674, [1]unittypedata!$AD:$AD,[1]unittypedata!$D:$D)   )))</f>
        <v>#N/A</v>
      </c>
    </row>
    <row r="675" spans="1:16">
      <c r="A675" s="5" t="s">
        <v>992</v>
      </c>
      <c r="B675" s="5" t="s">
        <v>995</v>
      </c>
      <c r="C675" s="6" t="s">
        <v>29</v>
      </c>
      <c r="D675" s="7">
        <v>2014</v>
      </c>
      <c r="E675" s="6">
        <v>1</v>
      </c>
      <c r="F675" s="7" t="s">
        <v>30</v>
      </c>
      <c r="G675" s="8">
        <v>7</v>
      </c>
      <c r="H675" s="7">
        <v>1.6</v>
      </c>
      <c r="I675" s="8">
        <v>8.6</v>
      </c>
      <c r="J675" s="7"/>
      <c r="K675" s="7"/>
      <c r="L675" s="6" t="s">
        <v>253</v>
      </c>
      <c r="M675" s="9" t="s">
        <v>30</v>
      </c>
      <c r="N675" s="7" t="s">
        <v>1653</v>
      </c>
      <c r="P675" t="e">
        <f>IF(N675="","",  IF(N675="Excluded", N675,  IF(N675="included in industry", N675,   _xlfn.XLOOKUP(N675, [1]unittypedata!$AD:$AD,[1]unittypedata!$D:$D)   )))</f>
        <v>#N/A</v>
      </c>
    </row>
    <row r="676" spans="1:16">
      <c r="A676" s="11" t="s">
        <v>992</v>
      </c>
      <c r="B676" s="11" t="s">
        <v>995</v>
      </c>
      <c r="C676" s="12" t="s">
        <v>29</v>
      </c>
      <c r="D676" s="13">
        <v>2014</v>
      </c>
      <c r="E676" s="12">
        <v>1</v>
      </c>
      <c r="F676" s="13" t="s">
        <v>30</v>
      </c>
      <c r="G676" s="14">
        <v>3</v>
      </c>
      <c r="H676" s="13" t="s">
        <v>30</v>
      </c>
      <c r="I676" s="14">
        <v>3</v>
      </c>
      <c r="J676" s="13"/>
      <c r="K676" s="13"/>
      <c r="L676" s="12" t="s">
        <v>31</v>
      </c>
      <c r="M676" s="15" t="s">
        <v>30</v>
      </c>
      <c r="N676" s="7" t="s">
        <v>1654</v>
      </c>
      <c r="P676" t="e">
        <f>IF(N676="","",  IF(N676="Excluded", N676,  IF(N676="included in industry", N676,   _xlfn.XLOOKUP(N676, [1]unittypedata!$AD:$AD,[1]unittypedata!$D:$D)   )))</f>
        <v>#N/A</v>
      </c>
    </row>
    <row r="677" spans="1:16">
      <c r="A677" s="5" t="s">
        <v>996</v>
      </c>
      <c r="B677" s="5" t="s">
        <v>997</v>
      </c>
      <c r="C677" s="6" t="s">
        <v>29</v>
      </c>
      <c r="D677" s="7">
        <v>2004</v>
      </c>
      <c r="E677" s="6">
        <v>2</v>
      </c>
      <c r="F677" s="7" t="s">
        <v>30</v>
      </c>
      <c r="G677" s="8">
        <v>15</v>
      </c>
      <c r="H677" s="7">
        <v>3</v>
      </c>
      <c r="I677" s="8">
        <v>18</v>
      </c>
      <c r="J677" s="7"/>
      <c r="K677" s="7"/>
      <c r="L677" s="6" t="s">
        <v>46</v>
      </c>
      <c r="M677" s="9" t="s">
        <v>30</v>
      </c>
      <c r="N677" s="7" t="s">
        <v>1653</v>
      </c>
      <c r="P677" t="e">
        <f>IF(N677="","",  IF(N677="Excluded", N677,  IF(N677="included in industry", N677,   _xlfn.XLOOKUP(N677, [1]unittypedata!$AD:$AD,[1]unittypedata!$D:$D)   )))</f>
        <v>#N/A</v>
      </c>
    </row>
    <row r="678" spans="1:16">
      <c r="A678" s="5" t="s">
        <v>996</v>
      </c>
      <c r="B678" s="5" t="s">
        <v>998</v>
      </c>
      <c r="C678" s="6" t="s">
        <v>29</v>
      </c>
      <c r="D678" s="7">
        <v>2011</v>
      </c>
      <c r="E678" s="6">
        <v>2</v>
      </c>
      <c r="F678" s="7" t="s">
        <v>30</v>
      </c>
      <c r="G678" s="8">
        <v>12</v>
      </c>
      <c r="H678" s="7" t="s">
        <v>30</v>
      </c>
      <c r="I678" s="8">
        <v>12</v>
      </c>
      <c r="J678" s="7"/>
      <c r="K678" s="7"/>
      <c r="L678" s="6" t="s">
        <v>31</v>
      </c>
      <c r="M678" s="9" t="s">
        <v>30</v>
      </c>
      <c r="N678" s="7" t="s">
        <v>1654</v>
      </c>
      <c r="P678" t="e">
        <f>IF(N678="","",  IF(N678="Excluded", N678,  IF(N678="included in industry", N678,   _xlfn.XLOOKUP(N678, [1]unittypedata!$AD:$AD,[1]unittypedata!$D:$D)   )))</f>
        <v>#N/A</v>
      </c>
    </row>
    <row r="679" spans="1:16">
      <c r="A679" s="23" t="s">
        <v>999</v>
      </c>
      <c r="B679" s="23" t="s">
        <v>1000</v>
      </c>
      <c r="C679" s="24" t="s">
        <v>29</v>
      </c>
      <c r="D679" s="25">
        <v>2021</v>
      </c>
      <c r="E679" s="24">
        <v>2</v>
      </c>
      <c r="F679" s="25" t="s">
        <v>30</v>
      </c>
      <c r="G679" s="26">
        <v>24</v>
      </c>
      <c r="H679" s="25" t="s">
        <v>30</v>
      </c>
      <c r="I679" s="26">
        <v>24</v>
      </c>
      <c r="J679" s="25"/>
      <c r="K679" s="25"/>
      <c r="L679" s="24" t="s">
        <v>36</v>
      </c>
      <c r="M679" s="27" t="s">
        <v>30</v>
      </c>
      <c r="N679" s="7" t="s">
        <v>1657</v>
      </c>
      <c r="P679" t="e">
        <f>IF(N679="","",  IF(N679="Excluded", N679,  IF(N679="included in industry", N679,   _xlfn.XLOOKUP(N679, [1]unittypedata!$AD:$AD,[1]unittypedata!$D:$D)   )))</f>
        <v>#N/A</v>
      </c>
    </row>
    <row r="680" spans="1:16">
      <c r="A680" s="23" t="s">
        <v>1001</v>
      </c>
      <c r="B680" s="23" t="s">
        <v>1002</v>
      </c>
      <c r="C680" s="24" t="s">
        <v>29</v>
      </c>
      <c r="D680" s="25">
        <v>1989</v>
      </c>
      <c r="E680" s="24">
        <v>3</v>
      </c>
      <c r="F680" s="25" t="s">
        <v>30</v>
      </c>
      <c r="G680" s="26">
        <v>12</v>
      </c>
      <c r="H680" s="25" t="s">
        <v>30</v>
      </c>
      <c r="I680" s="26">
        <v>12</v>
      </c>
      <c r="J680" s="25"/>
      <c r="K680" s="25"/>
      <c r="L680" s="24" t="s">
        <v>36</v>
      </c>
      <c r="M680" s="27" t="s">
        <v>30</v>
      </c>
      <c r="N680" s="7" t="s">
        <v>1657</v>
      </c>
      <c r="P680" t="e">
        <f>IF(N680="","",  IF(N680="Excluded", N680,  IF(N680="included in industry", N680,   _xlfn.XLOOKUP(N680, [1]unittypedata!$AD:$AD,[1]unittypedata!$D:$D)   )))</f>
        <v>#N/A</v>
      </c>
    </row>
    <row r="681" spans="1:16">
      <c r="A681" s="5" t="s">
        <v>1003</v>
      </c>
      <c r="B681" s="5" t="s">
        <v>1004</v>
      </c>
      <c r="C681" s="6" t="s">
        <v>29</v>
      </c>
      <c r="D681" s="7">
        <v>2005</v>
      </c>
      <c r="E681" s="6">
        <v>1</v>
      </c>
      <c r="F681" s="7" t="s">
        <v>30</v>
      </c>
      <c r="G681" s="8">
        <v>4</v>
      </c>
      <c r="H681" s="7" t="s">
        <v>30</v>
      </c>
      <c r="I681" s="8">
        <v>4</v>
      </c>
      <c r="J681" s="7"/>
      <c r="K681" s="7"/>
      <c r="L681" s="6" t="s">
        <v>46</v>
      </c>
      <c r="M681" s="9" t="s">
        <v>30</v>
      </c>
      <c r="N681" s="7" t="s">
        <v>1653</v>
      </c>
      <c r="P681" t="e">
        <f>IF(N681="","",  IF(N681="Excluded", N681,  IF(N681="included in industry", N681,   _xlfn.XLOOKUP(N681, [1]unittypedata!$AD:$AD,[1]unittypedata!$D:$D)   )))</f>
        <v>#N/A</v>
      </c>
    </row>
    <row r="682" spans="1:16">
      <c r="A682" s="5" t="s">
        <v>1003</v>
      </c>
      <c r="B682" s="5" t="s">
        <v>1005</v>
      </c>
      <c r="C682" s="6" t="s">
        <v>29</v>
      </c>
      <c r="D682" s="7">
        <v>2004</v>
      </c>
      <c r="E682" s="6">
        <v>1</v>
      </c>
      <c r="F682" s="7" t="s">
        <v>30</v>
      </c>
      <c r="G682" s="8">
        <v>1</v>
      </c>
      <c r="H682" s="7" t="s">
        <v>30</v>
      </c>
      <c r="I682" s="8">
        <v>1</v>
      </c>
      <c r="J682" s="7"/>
      <c r="K682" s="7"/>
      <c r="L682" s="6" t="s">
        <v>118</v>
      </c>
      <c r="M682" s="9" t="s">
        <v>30</v>
      </c>
      <c r="N682" s="7" t="s">
        <v>1653</v>
      </c>
      <c r="P682" t="e">
        <f>IF(N682="","",  IF(N682="Excluded", N682,  IF(N682="included in industry", N682,   _xlfn.XLOOKUP(N682, [1]unittypedata!$AD:$AD,[1]unittypedata!$D:$D)   )))</f>
        <v>#N/A</v>
      </c>
    </row>
    <row r="683" spans="1:16">
      <c r="A683" s="5" t="s">
        <v>1003</v>
      </c>
      <c r="B683" s="5" t="s">
        <v>1006</v>
      </c>
      <c r="C683" s="6" t="s">
        <v>29</v>
      </c>
      <c r="D683" s="7">
        <v>2016</v>
      </c>
      <c r="E683" s="6">
        <v>1</v>
      </c>
      <c r="F683" s="7" t="s">
        <v>30</v>
      </c>
      <c r="G683" s="8">
        <v>4</v>
      </c>
      <c r="H683" s="7" t="s">
        <v>30</v>
      </c>
      <c r="I683" s="8">
        <v>4</v>
      </c>
      <c r="J683" s="7"/>
      <c r="K683" s="7"/>
      <c r="L683" s="6" t="s">
        <v>31</v>
      </c>
      <c r="M683" s="9" t="s">
        <v>30</v>
      </c>
      <c r="N683" s="7" t="s">
        <v>1654</v>
      </c>
      <c r="P683" t="e">
        <f>IF(N683="","",  IF(N683="Excluded", N683,  IF(N683="included in industry", N683,   _xlfn.XLOOKUP(N683, [1]unittypedata!$AD:$AD,[1]unittypedata!$D:$D)   )))</f>
        <v>#N/A</v>
      </c>
    </row>
    <row r="684" spans="1:16">
      <c r="A684" s="5" t="s">
        <v>1003</v>
      </c>
      <c r="B684" s="5" t="s">
        <v>1007</v>
      </c>
      <c r="C684" s="6" t="s">
        <v>29</v>
      </c>
      <c r="D684" s="7">
        <v>2017</v>
      </c>
      <c r="E684" s="6">
        <v>1</v>
      </c>
      <c r="F684" s="7" t="s">
        <v>30</v>
      </c>
      <c r="G684" s="8">
        <v>3.7</v>
      </c>
      <c r="H684" s="7" t="s">
        <v>30</v>
      </c>
      <c r="I684" s="8">
        <v>3.7</v>
      </c>
      <c r="J684" s="7"/>
      <c r="K684" s="7"/>
      <c r="L684" s="6" t="s">
        <v>31</v>
      </c>
      <c r="M684" s="9" t="s">
        <v>30</v>
      </c>
      <c r="N684" s="7" t="s">
        <v>1654</v>
      </c>
      <c r="P684" t="e">
        <f>IF(N684="","",  IF(N684="Excluded", N684,  IF(N684="included in industry", N684,   _xlfn.XLOOKUP(N684, [1]unittypedata!$AD:$AD,[1]unittypedata!$D:$D)   )))</f>
        <v>#N/A</v>
      </c>
    </row>
    <row r="685" spans="1:16">
      <c r="A685" s="5" t="s">
        <v>1003</v>
      </c>
      <c r="B685" s="5" t="s">
        <v>1008</v>
      </c>
      <c r="C685" s="6" t="s">
        <v>29</v>
      </c>
      <c r="D685" s="7">
        <v>2016</v>
      </c>
      <c r="E685" s="6">
        <v>1</v>
      </c>
      <c r="F685" s="7" t="s">
        <v>30</v>
      </c>
      <c r="G685" s="8">
        <v>0.5</v>
      </c>
      <c r="H685" s="7" t="s">
        <v>30</v>
      </c>
      <c r="I685" s="8">
        <v>0.5</v>
      </c>
      <c r="J685" s="7"/>
      <c r="K685" s="7"/>
      <c r="L685" s="6" t="s">
        <v>31</v>
      </c>
      <c r="M685" s="9" t="s">
        <v>30</v>
      </c>
      <c r="N685" s="7" t="s">
        <v>1654</v>
      </c>
      <c r="P685" t="e">
        <f>IF(N685="","",  IF(N685="Excluded", N685,  IF(N685="included in industry", N685,   _xlfn.XLOOKUP(N685, [1]unittypedata!$AD:$AD,[1]unittypedata!$D:$D)   )))</f>
        <v>#N/A</v>
      </c>
    </row>
    <row r="686" spans="1:16">
      <c r="A686" s="11" t="s">
        <v>1003</v>
      </c>
      <c r="B686" s="11" t="s">
        <v>1009</v>
      </c>
      <c r="C686" s="12" t="s">
        <v>29</v>
      </c>
      <c r="D686" s="13">
        <v>2019</v>
      </c>
      <c r="E686" s="12">
        <v>1</v>
      </c>
      <c r="F686" s="13" t="s">
        <v>30</v>
      </c>
      <c r="G686" s="14">
        <v>0.2</v>
      </c>
      <c r="H686" s="13" t="s">
        <v>30</v>
      </c>
      <c r="I686" s="14">
        <v>0.2</v>
      </c>
      <c r="J686" s="13"/>
      <c r="K686" s="13"/>
      <c r="L686" s="12" t="s">
        <v>44</v>
      </c>
      <c r="M686" s="15" t="s">
        <v>30</v>
      </c>
      <c r="N686" s="7" t="s">
        <v>1653</v>
      </c>
      <c r="P686" t="e">
        <f>IF(N686="","",  IF(N686="Excluded", N686,  IF(N686="included in industry", N686,   _xlfn.XLOOKUP(N686, [1]unittypedata!$AD:$AD,[1]unittypedata!$D:$D)   )))</f>
        <v>#N/A</v>
      </c>
    </row>
    <row r="687" spans="1:16">
      <c r="A687" s="5" t="s">
        <v>1010</v>
      </c>
      <c r="B687" s="5" t="s">
        <v>330</v>
      </c>
      <c r="C687" s="6" t="s">
        <v>29</v>
      </c>
      <c r="D687" s="7">
        <v>1980</v>
      </c>
      <c r="E687" s="6">
        <v>1</v>
      </c>
      <c r="F687" s="7" t="s">
        <v>30</v>
      </c>
      <c r="G687" s="8">
        <v>2</v>
      </c>
      <c r="H687" s="7" t="s">
        <v>30</v>
      </c>
      <c r="I687" s="8">
        <v>2</v>
      </c>
      <c r="J687" s="7"/>
      <c r="K687" s="7"/>
      <c r="L687" s="6" t="s">
        <v>118</v>
      </c>
      <c r="M687" s="9" t="s">
        <v>30</v>
      </c>
      <c r="N687" s="7" t="s">
        <v>1653</v>
      </c>
      <c r="P687" t="e">
        <f>IF(N687="","",  IF(N687="Excluded", N687,  IF(N687="included in industry", N687,   _xlfn.XLOOKUP(N687, [1]unittypedata!$AD:$AD,[1]unittypedata!$D:$D)   )))</f>
        <v>#N/A</v>
      </c>
    </row>
    <row r="688" spans="1:16">
      <c r="A688" s="5" t="s">
        <v>1010</v>
      </c>
      <c r="B688" s="5" t="s">
        <v>1011</v>
      </c>
      <c r="C688" s="6" t="s">
        <v>29</v>
      </c>
      <c r="D688" s="7">
        <v>1980</v>
      </c>
      <c r="E688" s="6">
        <v>1</v>
      </c>
      <c r="F688" s="7" t="s">
        <v>30</v>
      </c>
      <c r="G688" s="8">
        <v>1</v>
      </c>
      <c r="H688" s="7" t="s">
        <v>30</v>
      </c>
      <c r="I688" s="8">
        <v>1</v>
      </c>
      <c r="J688" s="7"/>
      <c r="K688" s="7"/>
      <c r="L688" s="6" t="s">
        <v>31</v>
      </c>
      <c r="M688" s="9" t="s">
        <v>30</v>
      </c>
      <c r="N688" s="7" t="s">
        <v>1654</v>
      </c>
      <c r="P688" t="e">
        <f>IF(N688="","",  IF(N688="Excluded", N688,  IF(N688="included in industry", N688,   _xlfn.XLOOKUP(N688, [1]unittypedata!$AD:$AD,[1]unittypedata!$D:$D)   )))</f>
        <v>#N/A</v>
      </c>
    </row>
    <row r="689" spans="1:16">
      <c r="A689" s="5" t="s">
        <v>1010</v>
      </c>
      <c r="B689" s="5" t="s">
        <v>1012</v>
      </c>
      <c r="C689" s="6" t="s">
        <v>29</v>
      </c>
      <c r="D689" s="7">
        <v>1980</v>
      </c>
      <c r="E689" s="6">
        <v>1</v>
      </c>
      <c r="F689" s="7" t="s">
        <v>30</v>
      </c>
      <c r="G689" s="8">
        <v>2.5</v>
      </c>
      <c r="H689" s="7" t="s">
        <v>30</v>
      </c>
      <c r="I689" s="8">
        <v>2.5</v>
      </c>
      <c r="J689" s="7"/>
      <c r="K689" s="7"/>
      <c r="L689" s="6" t="s">
        <v>31</v>
      </c>
      <c r="M689" s="9" t="s">
        <v>30</v>
      </c>
      <c r="N689" s="7" t="s">
        <v>1654</v>
      </c>
      <c r="P689" t="e">
        <f>IF(N689="","",  IF(N689="Excluded", N689,  IF(N689="included in industry", N689,   _xlfn.XLOOKUP(N689, [1]unittypedata!$AD:$AD,[1]unittypedata!$D:$D)   )))</f>
        <v>#N/A</v>
      </c>
    </row>
    <row r="690" spans="1:16">
      <c r="A690" s="5" t="s">
        <v>1010</v>
      </c>
      <c r="B690" s="5" t="s">
        <v>1013</v>
      </c>
      <c r="C690" s="6" t="s">
        <v>29</v>
      </c>
      <c r="D690" s="7">
        <v>2002</v>
      </c>
      <c r="E690" s="6">
        <v>1</v>
      </c>
      <c r="F690" s="7" t="s">
        <v>30</v>
      </c>
      <c r="G690" s="8">
        <v>1.5</v>
      </c>
      <c r="H690" s="7" t="s">
        <v>30</v>
      </c>
      <c r="I690" s="8">
        <v>1.5</v>
      </c>
      <c r="J690" s="7"/>
      <c r="K690" s="7"/>
      <c r="L690" s="6" t="s">
        <v>31</v>
      </c>
      <c r="M690" s="9" t="s">
        <v>30</v>
      </c>
      <c r="N690" s="7" t="s">
        <v>1654</v>
      </c>
      <c r="P690" t="e">
        <f>IF(N690="","",  IF(N690="Excluded", N690,  IF(N690="included in industry", N690,   _xlfn.XLOOKUP(N690, [1]unittypedata!$AD:$AD,[1]unittypedata!$D:$D)   )))</f>
        <v>#N/A</v>
      </c>
    </row>
    <row r="691" spans="1:16">
      <c r="A691" s="11" t="s">
        <v>1010</v>
      </c>
      <c r="B691" s="11" t="s">
        <v>1014</v>
      </c>
      <c r="C691" s="12" t="s">
        <v>52</v>
      </c>
      <c r="D691" s="13">
        <v>2013</v>
      </c>
      <c r="E691" s="12">
        <v>1</v>
      </c>
      <c r="F691" s="13">
        <v>5.4</v>
      </c>
      <c r="G691" s="14">
        <v>1.6</v>
      </c>
      <c r="H691" s="13" t="s">
        <v>30</v>
      </c>
      <c r="I691" s="14">
        <v>7</v>
      </c>
      <c r="J691" s="13">
        <v>1.4</v>
      </c>
      <c r="K691" s="13"/>
      <c r="L691" s="12" t="s">
        <v>253</v>
      </c>
      <c r="M691" s="15" t="s">
        <v>30</v>
      </c>
      <c r="N691" s="7" t="s">
        <v>1656</v>
      </c>
      <c r="P691" t="e">
        <f>IF(N691="","",  IF(N691="Excluded", N691,  IF(N691="included in industry", N691,   _xlfn.XLOOKUP(N691, [1]unittypedata!$AD:$AD,[1]unittypedata!$D:$D)   )))</f>
        <v>#N/A</v>
      </c>
    </row>
    <row r="692" spans="1:16">
      <c r="A692" s="5" t="s">
        <v>1015</v>
      </c>
      <c r="B692" s="5" t="s">
        <v>1016</v>
      </c>
      <c r="C692" s="6" t="s">
        <v>29</v>
      </c>
      <c r="D692" s="7">
        <v>1991</v>
      </c>
      <c r="E692" s="6">
        <v>3</v>
      </c>
      <c r="F692" s="7" t="s">
        <v>30</v>
      </c>
      <c r="G692" s="8">
        <v>12</v>
      </c>
      <c r="H692" s="7" t="s">
        <v>30</v>
      </c>
      <c r="I692" s="8">
        <v>12</v>
      </c>
      <c r="J692" s="7"/>
      <c r="K692" s="7"/>
      <c r="L692" s="6" t="s">
        <v>31</v>
      </c>
      <c r="M692" s="9" t="s">
        <v>30</v>
      </c>
      <c r="N692" s="7" t="s">
        <v>1654</v>
      </c>
      <c r="P692" t="e">
        <f>IF(N692="","",  IF(N692="Excluded", N692,  IF(N692="included in industry", N692,   _xlfn.XLOOKUP(N692, [1]unittypedata!$AD:$AD,[1]unittypedata!$D:$D)   )))</f>
        <v>#N/A</v>
      </c>
    </row>
    <row r="693" spans="1:16">
      <c r="A693" s="5" t="s">
        <v>1015</v>
      </c>
      <c r="B693" s="5" t="s">
        <v>1017</v>
      </c>
      <c r="C693" s="6" t="s">
        <v>29</v>
      </c>
      <c r="D693" s="7">
        <v>2015</v>
      </c>
      <c r="E693" s="6">
        <v>2</v>
      </c>
      <c r="F693" s="7" t="s">
        <v>30</v>
      </c>
      <c r="G693" s="8">
        <v>20</v>
      </c>
      <c r="H693" s="7" t="s">
        <v>30</v>
      </c>
      <c r="I693" s="8">
        <v>20</v>
      </c>
      <c r="J693" s="7"/>
      <c r="K693" s="7"/>
      <c r="L693" s="6" t="s">
        <v>31</v>
      </c>
      <c r="M693" s="9" t="s">
        <v>30</v>
      </c>
      <c r="N693" s="7" t="s">
        <v>1654</v>
      </c>
      <c r="P693" t="e">
        <f>IF(N693="","",  IF(N693="Excluded", N693,  IF(N693="included in industry", N693,   _xlfn.XLOOKUP(N693, [1]unittypedata!$AD:$AD,[1]unittypedata!$D:$D)   )))</f>
        <v>#N/A</v>
      </c>
    </row>
    <row r="694" spans="1:16">
      <c r="A694" s="11" t="s">
        <v>1015</v>
      </c>
      <c r="B694" s="11" t="s">
        <v>1018</v>
      </c>
      <c r="C694" s="12" t="s">
        <v>29</v>
      </c>
      <c r="D694" s="13">
        <v>2013</v>
      </c>
      <c r="E694" s="12">
        <v>1</v>
      </c>
      <c r="F694" s="13" t="s">
        <v>30</v>
      </c>
      <c r="G694" s="14">
        <v>10</v>
      </c>
      <c r="H694" s="13" t="s">
        <v>30</v>
      </c>
      <c r="I694" s="14">
        <v>10</v>
      </c>
      <c r="J694" s="13"/>
      <c r="K694" s="13"/>
      <c r="L694" s="12" t="s">
        <v>31</v>
      </c>
      <c r="M694" s="15" t="s">
        <v>30</v>
      </c>
      <c r="N694" s="7" t="s">
        <v>1654</v>
      </c>
      <c r="P694" t="e">
        <f>IF(N694="","",  IF(N694="Excluded", N694,  IF(N694="included in industry", N694,   _xlfn.XLOOKUP(N694, [1]unittypedata!$AD:$AD,[1]unittypedata!$D:$D)   )))</f>
        <v>#N/A</v>
      </c>
    </row>
    <row r="695" spans="1:16">
      <c r="A695" s="23" t="s">
        <v>1019</v>
      </c>
      <c r="B695" s="23" t="s">
        <v>1020</v>
      </c>
      <c r="C695" s="24" t="s">
        <v>29</v>
      </c>
      <c r="D695" s="25">
        <v>2005</v>
      </c>
      <c r="E695" s="24">
        <v>2</v>
      </c>
      <c r="F695" s="25" t="s">
        <v>30</v>
      </c>
      <c r="G695" s="26">
        <v>1.7</v>
      </c>
      <c r="H695" s="25" t="s">
        <v>30</v>
      </c>
      <c r="I695" s="26">
        <v>1.7</v>
      </c>
      <c r="J695" s="25"/>
      <c r="K695" s="25"/>
      <c r="L695" s="24" t="s">
        <v>44</v>
      </c>
      <c r="M695" s="27" t="s">
        <v>30</v>
      </c>
      <c r="N695" s="7" t="s">
        <v>1653</v>
      </c>
      <c r="P695" t="e">
        <f>IF(N695="","",  IF(N695="Excluded", N695,  IF(N695="included in industry", N695,   _xlfn.XLOOKUP(N695, [1]unittypedata!$AD:$AD,[1]unittypedata!$D:$D)   )))</f>
        <v>#N/A</v>
      </c>
    </row>
    <row r="696" spans="1:16">
      <c r="A696" s="5" t="s">
        <v>1021</v>
      </c>
      <c r="B696" s="5" t="s">
        <v>1022</v>
      </c>
      <c r="C696" s="6" t="s">
        <v>29</v>
      </c>
      <c r="D696" s="7">
        <v>1974</v>
      </c>
      <c r="E696" s="6">
        <v>1</v>
      </c>
      <c r="F696" s="7" t="s">
        <v>30</v>
      </c>
      <c r="G696" s="8">
        <v>35</v>
      </c>
      <c r="H696" s="7" t="s">
        <v>30</v>
      </c>
      <c r="I696" s="8">
        <v>35</v>
      </c>
      <c r="J696" s="7"/>
      <c r="K696" s="7"/>
      <c r="L696" s="6" t="s">
        <v>31</v>
      </c>
      <c r="M696" s="9" t="s">
        <v>30</v>
      </c>
      <c r="N696" s="7" t="s">
        <v>1654</v>
      </c>
      <c r="P696" t="e">
        <f>IF(N696="","",  IF(N696="Excluded", N696,  IF(N696="included in industry", N696,   _xlfn.XLOOKUP(N696, [1]unittypedata!$AD:$AD,[1]unittypedata!$D:$D)   )))</f>
        <v>#N/A</v>
      </c>
    </row>
    <row r="697" spans="1:16">
      <c r="A697" s="5" t="s">
        <v>1021</v>
      </c>
      <c r="B697" s="5" t="s">
        <v>1023</v>
      </c>
      <c r="C697" s="6" t="s">
        <v>29</v>
      </c>
      <c r="D697" s="7">
        <v>1984</v>
      </c>
      <c r="E697" s="6">
        <v>2</v>
      </c>
      <c r="F697" s="7" t="s">
        <v>30</v>
      </c>
      <c r="G697" s="8">
        <v>80</v>
      </c>
      <c r="H697" s="7" t="s">
        <v>30</v>
      </c>
      <c r="I697" s="8">
        <v>80</v>
      </c>
      <c r="J697" s="7"/>
      <c r="K697" s="7"/>
      <c r="L697" s="6" t="s">
        <v>31</v>
      </c>
      <c r="M697" s="9" t="s">
        <v>30</v>
      </c>
      <c r="N697" s="7" t="s">
        <v>1654</v>
      </c>
      <c r="P697" t="e">
        <f>IF(N697="","",  IF(N697="Excluded", N697,  IF(N697="included in industry", N697,   _xlfn.XLOOKUP(N697, [1]unittypedata!$AD:$AD,[1]unittypedata!$D:$D)   )))</f>
        <v>#N/A</v>
      </c>
    </row>
    <row r="698" spans="1:16">
      <c r="A698" s="5" t="s">
        <v>1021</v>
      </c>
      <c r="B698" s="5" t="s">
        <v>1024</v>
      </c>
      <c r="C698" s="6" t="s">
        <v>29</v>
      </c>
      <c r="D698" s="7">
        <v>1984</v>
      </c>
      <c r="E698" s="6">
        <v>1</v>
      </c>
      <c r="F698" s="7" t="s">
        <v>30</v>
      </c>
      <c r="G698" s="8">
        <v>20</v>
      </c>
      <c r="H698" s="7" t="s">
        <v>30</v>
      </c>
      <c r="I698" s="8">
        <v>20</v>
      </c>
      <c r="J698" s="7"/>
      <c r="K698" s="7"/>
      <c r="L698" s="6" t="s">
        <v>77</v>
      </c>
      <c r="M698" s="9" t="s">
        <v>30</v>
      </c>
      <c r="N698" s="7" t="s">
        <v>1652</v>
      </c>
      <c r="P698" t="e">
        <f>IF(N698="","",  IF(N698="Excluded", N698,  IF(N698="included in industry", N698,   _xlfn.XLOOKUP(N698, [1]unittypedata!$AD:$AD,[1]unittypedata!$D:$D)   )))</f>
        <v>#N/A</v>
      </c>
    </row>
    <row r="699" spans="1:16">
      <c r="A699" s="5" t="s">
        <v>1021</v>
      </c>
      <c r="B699" s="5" t="s">
        <v>1025</v>
      </c>
      <c r="C699" s="6" t="s">
        <v>29</v>
      </c>
      <c r="D699" s="7">
        <v>1979</v>
      </c>
      <c r="E699" s="6">
        <v>2</v>
      </c>
      <c r="F699" s="7" t="s">
        <v>30</v>
      </c>
      <c r="G699" s="8">
        <v>60</v>
      </c>
      <c r="H699" s="7" t="s">
        <v>30</v>
      </c>
      <c r="I699" s="8">
        <v>60</v>
      </c>
      <c r="J699" s="7"/>
      <c r="K699" s="7"/>
      <c r="L699" s="6" t="s">
        <v>31</v>
      </c>
      <c r="M699" s="9" t="s">
        <v>30</v>
      </c>
      <c r="N699" s="7" t="s">
        <v>1654</v>
      </c>
      <c r="P699" t="e">
        <f>IF(N699="","",  IF(N699="Excluded", N699,  IF(N699="included in industry", N699,   _xlfn.XLOOKUP(N699, [1]unittypedata!$AD:$AD,[1]unittypedata!$D:$D)   )))</f>
        <v>#N/A</v>
      </c>
    </row>
    <row r="700" spans="1:16">
      <c r="A700" s="5" t="s">
        <v>1021</v>
      </c>
      <c r="B700" s="5" t="s">
        <v>1026</v>
      </c>
      <c r="C700" s="6" t="s">
        <v>29</v>
      </c>
      <c r="D700" s="7">
        <v>1991</v>
      </c>
      <c r="E700" s="6">
        <v>2</v>
      </c>
      <c r="F700" s="7" t="s">
        <v>30</v>
      </c>
      <c r="G700" s="8">
        <v>30</v>
      </c>
      <c r="H700" s="7" t="s">
        <v>30</v>
      </c>
      <c r="I700" s="8">
        <v>30</v>
      </c>
      <c r="J700" s="7"/>
      <c r="K700" s="7"/>
      <c r="L700" s="6" t="s">
        <v>31</v>
      </c>
      <c r="M700" s="9" t="s">
        <v>30</v>
      </c>
      <c r="N700" s="7" t="s">
        <v>1654</v>
      </c>
      <c r="P700" t="e">
        <f>IF(N700="","",  IF(N700="Excluded", N700,  IF(N700="included in industry", N700,   _xlfn.XLOOKUP(N700, [1]unittypedata!$AD:$AD,[1]unittypedata!$D:$D)   )))</f>
        <v>#N/A</v>
      </c>
    </row>
    <row r="701" spans="1:16">
      <c r="A701" s="5" t="s">
        <v>1021</v>
      </c>
      <c r="B701" s="5" t="s">
        <v>1027</v>
      </c>
      <c r="C701" s="6" t="s">
        <v>29</v>
      </c>
      <c r="D701" s="7">
        <v>2007</v>
      </c>
      <c r="E701" s="6">
        <v>1</v>
      </c>
      <c r="F701" s="7" t="s">
        <v>30</v>
      </c>
      <c r="G701" s="8">
        <v>10</v>
      </c>
      <c r="H701" s="7" t="s">
        <v>30</v>
      </c>
      <c r="I701" s="8">
        <v>10</v>
      </c>
      <c r="J701" s="7"/>
      <c r="K701" s="7"/>
      <c r="L701" s="6" t="s">
        <v>31</v>
      </c>
      <c r="M701" s="9" t="s">
        <v>30</v>
      </c>
      <c r="N701" s="7" t="s">
        <v>1654</v>
      </c>
      <c r="P701" t="e">
        <f>IF(N701="","",  IF(N701="Excluded", N701,  IF(N701="included in industry", N701,   _xlfn.XLOOKUP(N701, [1]unittypedata!$AD:$AD,[1]unittypedata!$D:$D)   )))</f>
        <v>#N/A</v>
      </c>
    </row>
    <row r="702" spans="1:16">
      <c r="A702" s="5" t="s">
        <v>1021</v>
      </c>
      <c r="B702" s="5" t="s">
        <v>548</v>
      </c>
      <c r="C702" s="6" t="s">
        <v>29</v>
      </c>
      <c r="D702" s="7">
        <v>2020</v>
      </c>
      <c r="E702" s="6">
        <v>1</v>
      </c>
      <c r="F702" s="7" t="s">
        <v>30</v>
      </c>
      <c r="G702" s="8">
        <v>10</v>
      </c>
      <c r="H702" s="7" t="s">
        <v>30</v>
      </c>
      <c r="I702" s="8">
        <v>10</v>
      </c>
      <c r="J702" s="7"/>
      <c r="K702" s="7"/>
      <c r="L702" s="6" t="s">
        <v>31</v>
      </c>
      <c r="M702" s="9" t="s">
        <v>30</v>
      </c>
      <c r="N702" s="7" t="s">
        <v>1654</v>
      </c>
      <c r="P702" t="e">
        <f>IF(N702="","",  IF(N702="Excluded", N702,  IF(N702="included in industry", N702,   _xlfn.XLOOKUP(N702, [1]unittypedata!$AD:$AD,[1]unittypedata!$D:$D)   )))</f>
        <v>#N/A</v>
      </c>
    </row>
    <row r="703" spans="1:16">
      <c r="A703" s="11" t="s">
        <v>1021</v>
      </c>
      <c r="B703" s="11" t="s">
        <v>1028</v>
      </c>
      <c r="C703" s="12" t="s">
        <v>48</v>
      </c>
      <c r="D703" s="13">
        <v>2023</v>
      </c>
      <c r="E703" s="12" t="s">
        <v>30</v>
      </c>
      <c r="F703" s="13" t="s">
        <v>30</v>
      </c>
      <c r="G703" s="14" t="s">
        <v>30</v>
      </c>
      <c r="H703" s="13" t="s">
        <v>30</v>
      </c>
      <c r="I703" s="14">
        <v>12</v>
      </c>
      <c r="J703" s="13"/>
      <c r="K703" s="13"/>
      <c r="L703" s="12" t="s">
        <v>30</v>
      </c>
      <c r="M703" s="15" t="s">
        <v>30</v>
      </c>
      <c r="N703" s="7" t="s">
        <v>1613</v>
      </c>
      <c r="P703" t="str">
        <f>IF(N703="","",  IF(N703="Excluded", N703,  IF(N703="included in industry", N703,   _xlfn.XLOOKUP(N703, [1]unittypedata!$AD:$AD,[1]unittypedata!$D:$D)   )))</f>
        <v>GSHP</v>
      </c>
    </row>
    <row r="704" spans="1:16">
      <c r="A704" s="5" t="s">
        <v>1029</v>
      </c>
      <c r="B704" s="5" t="s">
        <v>1030</v>
      </c>
      <c r="C704" s="6" t="s">
        <v>29</v>
      </c>
      <c r="D704" s="7">
        <v>1980</v>
      </c>
      <c r="E704" s="6">
        <v>2</v>
      </c>
      <c r="F704" s="7" t="s">
        <v>30</v>
      </c>
      <c r="G704" s="8">
        <v>8</v>
      </c>
      <c r="H704" s="7" t="s">
        <v>30</v>
      </c>
      <c r="I704" s="8">
        <v>8</v>
      </c>
      <c r="J704" s="7"/>
      <c r="K704" s="7"/>
      <c r="L704" s="6" t="s">
        <v>31</v>
      </c>
      <c r="M704" s="9" t="s">
        <v>30</v>
      </c>
      <c r="N704" s="7" t="s">
        <v>1654</v>
      </c>
      <c r="P704" t="e">
        <f>IF(N704="","",  IF(N704="Excluded", N704,  IF(N704="included in industry", N704,   _xlfn.XLOOKUP(N704, [1]unittypedata!$AD:$AD,[1]unittypedata!$D:$D)   )))</f>
        <v>#N/A</v>
      </c>
    </row>
    <row r="705" spans="1:16">
      <c r="A705" s="5" t="s">
        <v>1029</v>
      </c>
      <c r="B705" s="5" t="s">
        <v>322</v>
      </c>
      <c r="C705" s="6" t="s">
        <v>29</v>
      </c>
      <c r="D705" s="7">
        <v>1990</v>
      </c>
      <c r="E705" s="6">
        <v>2</v>
      </c>
      <c r="F705" s="7" t="s">
        <v>30</v>
      </c>
      <c r="G705" s="8">
        <v>19.100000000000001</v>
      </c>
      <c r="H705" s="7" t="s">
        <v>30</v>
      </c>
      <c r="I705" s="8">
        <v>19.100000000000001</v>
      </c>
      <c r="J705" s="7"/>
      <c r="K705" s="7"/>
      <c r="L705" s="6" t="s">
        <v>36</v>
      </c>
      <c r="M705" s="9" t="s">
        <v>30</v>
      </c>
      <c r="N705" s="7" t="s">
        <v>1657</v>
      </c>
      <c r="P705" t="e">
        <f>IF(N705="","",  IF(N705="Excluded", N705,  IF(N705="included in industry", N705,   _xlfn.XLOOKUP(N705, [1]unittypedata!$AD:$AD,[1]unittypedata!$D:$D)   )))</f>
        <v>#N/A</v>
      </c>
    </row>
    <row r="706" spans="1:16">
      <c r="A706" s="5" t="s">
        <v>1029</v>
      </c>
      <c r="B706" s="5" t="s">
        <v>1031</v>
      </c>
      <c r="C706" s="6" t="s">
        <v>29</v>
      </c>
      <c r="D706" s="7">
        <v>1991</v>
      </c>
      <c r="E706" s="6">
        <v>1</v>
      </c>
      <c r="F706" s="7" t="s">
        <v>30</v>
      </c>
      <c r="G706" s="8">
        <v>1</v>
      </c>
      <c r="H706" s="7" t="s">
        <v>30</v>
      </c>
      <c r="I706" s="8">
        <v>1</v>
      </c>
      <c r="J706" s="7"/>
      <c r="K706" s="7"/>
      <c r="L706" s="6" t="s">
        <v>31</v>
      </c>
      <c r="M706" s="9" t="s">
        <v>30</v>
      </c>
      <c r="N706" s="7" t="s">
        <v>1654</v>
      </c>
      <c r="P706" t="e">
        <f>IF(N706="","",  IF(N706="Excluded", N706,  IF(N706="included in industry", N706,   _xlfn.XLOOKUP(N706, [1]unittypedata!$AD:$AD,[1]unittypedata!$D:$D)   )))</f>
        <v>#N/A</v>
      </c>
    </row>
    <row r="707" spans="1:16">
      <c r="A707" s="5" t="s">
        <v>1029</v>
      </c>
      <c r="B707" s="5" t="s">
        <v>1032</v>
      </c>
      <c r="C707" s="6" t="s">
        <v>29</v>
      </c>
      <c r="D707" s="7">
        <v>1992</v>
      </c>
      <c r="E707" s="6">
        <v>2</v>
      </c>
      <c r="F707" s="7" t="s">
        <v>30</v>
      </c>
      <c r="G707" s="8">
        <v>7</v>
      </c>
      <c r="H707" s="7" t="s">
        <v>30</v>
      </c>
      <c r="I707" s="8">
        <v>7</v>
      </c>
      <c r="J707" s="7"/>
      <c r="K707" s="7"/>
      <c r="L707" s="6" t="s">
        <v>36</v>
      </c>
      <c r="M707" s="9" t="s">
        <v>30</v>
      </c>
      <c r="N707" s="7" t="s">
        <v>1657</v>
      </c>
      <c r="P707" t="e">
        <f>IF(N707="","",  IF(N707="Excluded", N707,  IF(N707="included in industry", N707,   _xlfn.XLOOKUP(N707, [1]unittypedata!$AD:$AD,[1]unittypedata!$D:$D)   )))</f>
        <v>#N/A</v>
      </c>
    </row>
    <row r="708" spans="1:16">
      <c r="A708" s="5" t="s">
        <v>1029</v>
      </c>
      <c r="B708" s="5" t="s">
        <v>1033</v>
      </c>
      <c r="C708" s="6" t="s">
        <v>29</v>
      </c>
      <c r="D708" s="7">
        <v>2017</v>
      </c>
      <c r="E708" s="6">
        <v>1</v>
      </c>
      <c r="F708" s="7" t="s">
        <v>30</v>
      </c>
      <c r="G708" s="8">
        <v>0.8</v>
      </c>
      <c r="H708" s="7" t="s">
        <v>30</v>
      </c>
      <c r="I708" s="8">
        <v>0.8</v>
      </c>
      <c r="J708" s="7"/>
      <c r="K708" s="7"/>
      <c r="L708" s="6" t="s">
        <v>44</v>
      </c>
      <c r="M708" s="9" t="s">
        <v>30</v>
      </c>
      <c r="N708" s="7" t="s">
        <v>1653</v>
      </c>
      <c r="P708" t="e">
        <f>IF(N708="","",  IF(N708="Excluded", N708,  IF(N708="included in industry", N708,   _xlfn.XLOOKUP(N708, [1]unittypedata!$AD:$AD,[1]unittypedata!$D:$D)   )))</f>
        <v>#N/A</v>
      </c>
    </row>
    <row r="709" spans="1:16">
      <c r="A709" s="11" t="s">
        <v>1029</v>
      </c>
      <c r="B709" s="11" t="s">
        <v>1034</v>
      </c>
      <c r="C709" s="12" t="s">
        <v>75</v>
      </c>
      <c r="D709" s="13">
        <v>1999</v>
      </c>
      <c r="E709" s="12" t="s">
        <v>30</v>
      </c>
      <c r="F709" s="13" t="s">
        <v>30</v>
      </c>
      <c r="G709" s="14" t="s">
        <v>30</v>
      </c>
      <c r="H709" s="13" t="s">
        <v>30</v>
      </c>
      <c r="I709" s="14">
        <v>13</v>
      </c>
      <c r="J709" s="13">
        <v>12</v>
      </c>
      <c r="K709" s="13"/>
      <c r="L709" s="12" t="s">
        <v>36</v>
      </c>
      <c r="M709" s="15" t="s">
        <v>30</v>
      </c>
      <c r="N709" s="7" t="s">
        <v>1658</v>
      </c>
      <c r="P709" t="e">
        <f>IF(N709="","",  IF(N709="Excluded", N709,  IF(N709="included in industry", N709,   _xlfn.XLOOKUP(N709, [1]unittypedata!$AD:$AD,[1]unittypedata!$D:$D)   )))</f>
        <v>#N/A</v>
      </c>
    </row>
    <row r="710" spans="1:16">
      <c r="A710" s="5" t="s">
        <v>1035</v>
      </c>
      <c r="B710" s="5" t="s">
        <v>1036</v>
      </c>
      <c r="C710" s="6" t="s">
        <v>29</v>
      </c>
      <c r="D710" s="7">
        <v>2010</v>
      </c>
      <c r="E710" s="6">
        <v>3</v>
      </c>
      <c r="F710" s="7" t="s">
        <v>30</v>
      </c>
      <c r="G710" s="8" t="s">
        <v>158</v>
      </c>
      <c r="H710" s="7" t="s">
        <v>158</v>
      </c>
      <c r="I710" s="8">
        <v>45</v>
      </c>
      <c r="J710" s="7"/>
      <c r="K710" s="7"/>
      <c r="L710" s="6" t="s">
        <v>36</v>
      </c>
      <c r="M710" s="9" t="s">
        <v>30</v>
      </c>
      <c r="N710" s="7" t="s">
        <v>1657</v>
      </c>
      <c r="P710" t="e">
        <f>IF(N710="","",  IF(N710="Excluded", N710,  IF(N710="included in industry", N710,   _xlfn.XLOOKUP(N710, [1]unittypedata!$AD:$AD,[1]unittypedata!$D:$D)   )))</f>
        <v>#N/A</v>
      </c>
    </row>
    <row r="711" spans="1:16">
      <c r="A711" s="5" t="s">
        <v>1035</v>
      </c>
      <c r="B711" s="5" t="s">
        <v>1037</v>
      </c>
      <c r="C711" s="6" t="s">
        <v>29</v>
      </c>
      <c r="D711" s="7">
        <v>2007</v>
      </c>
      <c r="E711" s="6">
        <v>3</v>
      </c>
      <c r="F711" s="7" t="s">
        <v>30</v>
      </c>
      <c r="G711" s="8" t="s">
        <v>158</v>
      </c>
      <c r="H711" s="7" t="s">
        <v>158</v>
      </c>
      <c r="I711" s="8">
        <v>40</v>
      </c>
      <c r="J711" s="7"/>
      <c r="K711" s="7"/>
      <c r="L711" s="6" t="s">
        <v>36</v>
      </c>
      <c r="M711" s="9" t="s">
        <v>30</v>
      </c>
      <c r="N711" s="7" t="s">
        <v>1657</v>
      </c>
      <c r="P711" t="e">
        <f>IF(N711="","",  IF(N711="Excluded", N711,  IF(N711="included in industry", N711,   _xlfn.XLOOKUP(N711, [1]unittypedata!$AD:$AD,[1]unittypedata!$D:$D)   )))</f>
        <v>#N/A</v>
      </c>
    </row>
    <row r="712" spans="1:16">
      <c r="A712" s="11" t="s">
        <v>1035</v>
      </c>
      <c r="B712" s="11" t="s">
        <v>1038</v>
      </c>
      <c r="C712" s="12" t="s">
        <v>52</v>
      </c>
      <c r="D712" s="13">
        <v>2013</v>
      </c>
      <c r="E712" s="12">
        <v>1</v>
      </c>
      <c r="F712" s="13">
        <v>45</v>
      </c>
      <c r="G712" s="14" t="s">
        <v>30</v>
      </c>
      <c r="H712" s="13" t="s">
        <v>158</v>
      </c>
      <c r="I712" s="14" t="s">
        <v>158</v>
      </c>
      <c r="J712" s="13">
        <v>22</v>
      </c>
      <c r="K712" s="13"/>
      <c r="L712" s="12" t="s">
        <v>46</v>
      </c>
      <c r="M712" s="15" t="s">
        <v>30</v>
      </c>
      <c r="N712" s="7" t="s">
        <v>1656</v>
      </c>
      <c r="P712" t="e">
        <f>IF(N712="","",  IF(N712="Excluded", N712,  IF(N712="included in industry", N712,   _xlfn.XLOOKUP(N712, [1]unittypedata!$AD:$AD,[1]unittypedata!$D:$D)   )))</f>
        <v>#N/A</v>
      </c>
    </row>
    <row r="713" spans="1:16">
      <c r="A713" s="5" t="s">
        <v>1039</v>
      </c>
      <c r="B713" s="5" t="s">
        <v>1040</v>
      </c>
      <c r="C713" s="6" t="s">
        <v>29</v>
      </c>
      <c r="D713" s="7">
        <v>1991</v>
      </c>
      <c r="E713" s="6">
        <v>1</v>
      </c>
      <c r="F713" s="7" t="s">
        <v>30</v>
      </c>
      <c r="G713" s="8" t="s">
        <v>158</v>
      </c>
      <c r="H713" s="7" t="s">
        <v>158</v>
      </c>
      <c r="I713" s="8">
        <v>15</v>
      </c>
      <c r="J713" s="7"/>
      <c r="K713" s="7"/>
      <c r="L713" s="6" t="s">
        <v>36</v>
      </c>
      <c r="M713" s="9" t="s">
        <v>30</v>
      </c>
      <c r="N713" s="7" t="s">
        <v>1657</v>
      </c>
      <c r="P713" t="e">
        <f>IF(N713="","",  IF(N713="Excluded", N713,  IF(N713="included in industry", N713,   _xlfn.XLOOKUP(N713, [1]unittypedata!$AD:$AD,[1]unittypedata!$D:$D)   )))</f>
        <v>#N/A</v>
      </c>
    </row>
    <row r="714" spans="1:16">
      <c r="A714" s="5" t="s">
        <v>1039</v>
      </c>
      <c r="B714" s="5" t="s">
        <v>1041</v>
      </c>
      <c r="C714" s="6" t="s">
        <v>29</v>
      </c>
      <c r="D714" s="7">
        <v>2003</v>
      </c>
      <c r="E714" s="6">
        <v>2</v>
      </c>
      <c r="F714" s="7" t="s">
        <v>30</v>
      </c>
      <c r="G714" s="8" t="s">
        <v>158</v>
      </c>
      <c r="H714" s="7" t="s">
        <v>158</v>
      </c>
      <c r="I714" s="8">
        <v>30</v>
      </c>
      <c r="J714" s="7"/>
      <c r="K714" s="7"/>
      <c r="L714" s="6" t="s">
        <v>36</v>
      </c>
      <c r="M714" s="9" t="s">
        <v>30</v>
      </c>
      <c r="N714" s="7" t="s">
        <v>1657</v>
      </c>
      <c r="P714" t="e">
        <f>IF(N714="","",  IF(N714="Excluded", N714,  IF(N714="included in industry", N714,   _xlfn.XLOOKUP(N714, [1]unittypedata!$AD:$AD,[1]unittypedata!$D:$D)   )))</f>
        <v>#N/A</v>
      </c>
    </row>
    <row r="715" spans="1:16">
      <c r="A715" s="5" t="s">
        <v>1039</v>
      </c>
      <c r="B715" s="5" t="s">
        <v>1042</v>
      </c>
      <c r="C715" s="6" t="s">
        <v>29</v>
      </c>
      <c r="D715" s="7">
        <v>2008</v>
      </c>
      <c r="E715" s="6">
        <v>2</v>
      </c>
      <c r="F715" s="7" t="s">
        <v>30</v>
      </c>
      <c r="G715" s="8" t="s">
        <v>158</v>
      </c>
      <c r="H715" s="7" t="s">
        <v>158</v>
      </c>
      <c r="I715" s="8">
        <v>8</v>
      </c>
      <c r="J715" s="7"/>
      <c r="K715" s="7"/>
      <c r="L715" s="6" t="s">
        <v>36</v>
      </c>
      <c r="M715" s="9" t="s">
        <v>30</v>
      </c>
      <c r="N715" s="7" t="s">
        <v>1657</v>
      </c>
      <c r="P715" t="e">
        <f>IF(N715="","",  IF(N715="Excluded", N715,  IF(N715="included in industry", N715,   _xlfn.XLOOKUP(N715, [1]unittypedata!$AD:$AD,[1]unittypedata!$D:$D)   )))</f>
        <v>#N/A</v>
      </c>
    </row>
    <row r="716" spans="1:16">
      <c r="A716" s="11" t="s">
        <v>1039</v>
      </c>
      <c r="B716" s="11" t="s">
        <v>1043</v>
      </c>
      <c r="C716" s="12" t="s">
        <v>29</v>
      </c>
      <c r="D716" s="13">
        <v>2006</v>
      </c>
      <c r="E716" s="12">
        <v>1</v>
      </c>
      <c r="F716" s="13" t="s">
        <v>30</v>
      </c>
      <c r="G716" s="14" t="s">
        <v>158</v>
      </c>
      <c r="H716" s="13" t="s">
        <v>158</v>
      </c>
      <c r="I716" s="14">
        <v>2</v>
      </c>
      <c r="J716" s="13"/>
      <c r="K716" s="13"/>
      <c r="L716" s="12" t="s">
        <v>36</v>
      </c>
      <c r="M716" s="15" t="s">
        <v>30</v>
      </c>
      <c r="N716" s="7" t="s">
        <v>1657</v>
      </c>
      <c r="P716" t="e">
        <f>IF(N716="","",  IF(N716="Excluded", N716,  IF(N716="included in industry", N716,   _xlfn.XLOOKUP(N716, [1]unittypedata!$AD:$AD,[1]unittypedata!$D:$D)   )))</f>
        <v>#N/A</v>
      </c>
    </row>
    <row r="717" spans="1:16">
      <c r="A717" s="5" t="s">
        <v>1044</v>
      </c>
      <c r="B717" s="5" t="s">
        <v>1045</v>
      </c>
      <c r="C717" s="6" t="s">
        <v>29</v>
      </c>
      <c r="D717" s="7">
        <v>1977</v>
      </c>
      <c r="E717" s="6">
        <v>3</v>
      </c>
      <c r="F717" s="7" t="s">
        <v>30</v>
      </c>
      <c r="G717" s="8">
        <v>23</v>
      </c>
      <c r="H717" s="7" t="s">
        <v>30</v>
      </c>
      <c r="I717" s="8">
        <v>23</v>
      </c>
      <c r="J717" s="7"/>
      <c r="K717" s="7"/>
      <c r="L717" s="6" t="s">
        <v>31</v>
      </c>
      <c r="M717" s="9" t="s">
        <v>30</v>
      </c>
      <c r="N717" s="7" t="s">
        <v>1654</v>
      </c>
      <c r="P717" t="e">
        <f>IF(N717="","",  IF(N717="Excluded", N717,  IF(N717="included in industry", N717,   _xlfn.XLOOKUP(N717, [1]unittypedata!$AD:$AD,[1]unittypedata!$D:$D)   )))</f>
        <v>#N/A</v>
      </c>
    </row>
    <row r="718" spans="1:16">
      <c r="A718" s="11" t="s">
        <v>1044</v>
      </c>
      <c r="B718" s="11" t="s">
        <v>1046</v>
      </c>
      <c r="C718" s="12" t="s">
        <v>29</v>
      </c>
      <c r="D718" s="13">
        <v>2011</v>
      </c>
      <c r="E718" s="12">
        <v>1</v>
      </c>
      <c r="F718" s="13" t="s">
        <v>30</v>
      </c>
      <c r="G718" s="14">
        <v>10</v>
      </c>
      <c r="H718" s="13">
        <v>2</v>
      </c>
      <c r="I718" s="14">
        <v>12</v>
      </c>
      <c r="J718" s="13"/>
      <c r="K718" s="13"/>
      <c r="L718" s="12" t="s">
        <v>46</v>
      </c>
      <c r="M718" s="15" t="s">
        <v>30</v>
      </c>
      <c r="N718" s="7" t="s">
        <v>1653</v>
      </c>
      <c r="P718" t="e">
        <f>IF(N718="","",  IF(N718="Excluded", N718,  IF(N718="included in industry", N718,   _xlfn.XLOOKUP(N718, [1]unittypedata!$AD:$AD,[1]unittypedata!$D:$D)   )))</f>
        <v>#N/A</v>
      </c>
    </row>
    <row r="719" spans="1:16">
      <c r="A719" s="5" t="s">
        <v>1047</v>
      </c>
      <c r="B719" s="5" t="s">
        <v>1048</v>
      </c>
      <c r="C719" s="6" t="s">
        <v>29</v>
      </c>
      <c r="D719" s="7">
        <v>1978</v>
      </c>
      <c r="E719" s="6">
        <v>2</v>
      </c>
      <c r="F719" s="7" t="s">
        <v>30</v>
      </c>
      <c r="G719" s="8">
        <v>4</v>
      </c>
      <c r="H719" s="7" t="s">
        <v>30</v>
      </c>
      <c r="I719" s="8">
        <v>4</v>
      </c>
      <c r="J719" s="7"/>
      <c r="K719" s="7"/>
      <c r="L719" s="6" t="s">
        <v>31</v>
      </c>
      <c r="M719" s="9" t="s">
        <v>30</v>
      </c>
      <c r="N719" s="7" t="s">
        <v>1654</v>
      </c>
      <c r="P719" t="e">
        <f>IF(N719="","",  IF(N719="Excluded", N719,  IF(N719="included in industry", N719,   _xlfn.XLOOKUP(N719, [1]unittypedata!$AD:$AD,[1]unittypedata!$D:$D)   )))</f>
        <v>#N/A</v>
      </c>
    </row>
    <row r="720" spans="1:16">
      <c r="A720" s="5" t="s">
        <v>1047</v>
      </c>
      <c r="B720" s="5" t="s">
        <v>1049</v>
      </c>
      <c r="C720" s="6" t="s">
        <v>29</v>
      </c>
      <c r="D720" s="7">
        <v>1979</v>
      </c>
      <c r="E720" s="6">
        <v>2</v>
      </c>
      <c r="F720" s="7" t="s">
        <v>30</v>
      </c>
      <c r="G720" s="8">
        <v>12</v>
      </c>
      <c r="H720" s="7" t="s">
        <v>30</v>
      </c>
      <c r="I720" s="8">
        <v>12</v>
      </c>
      <c r="J720" s="7"/>
      <c r="K720" s="7"/>
      <c r="L720" s="6" t="s">
        <v>31</v>
      </c>
      <c r="M720" s="9" t="s">
        <v>30</v>
      </c>
      <c r="N720" s="7" t="s">
        <v>1654</v>
      </c>
      <c r="P720" t="e">
        <f>IF(N720="","",  IF(N720="Excluded", N720,  IF(N720="included in industry", N720,   _xlfn.XLOOKUP(N720, [1]unittypedata!$AD:$AD,[1]unittypedata!$D:$D)   )))</f>
        <v>#N/A</v>
      </c>
    </row>
    <row r="721" spans="1:16">
      <c r="A721" s="5" t="s">
        <v>1047</v>
      </c>
      <c r="B721" s="5" t="s">
        <v>1050</v>
      </c>
      <c r="C721" s="6" t="s">
        <v>29</v>
      </c>
      <c r="D721" s="7">
        <v>1980</v>
      </c>
      <c r="E721" s="6">
        <v>2</v>
      </c>
      <c r="F721" s="7" t="s">
        <v>30</v>
      </c>
      <c r="G721" s="8">
        <v>11.7</v>
      </c>
      <c r="H721" s="7" t="s">
        <v>30</v>
      </c>
      <c r="I721" s="8">
        <v>11.7</v>
      </c>
      <c r="J721" s="7"/>
      <c r="K721" s="7"/>
      <c r="L721" s="6" t="s">
        <v>31</v>
      </c>
      <c r="M721" s="9" t="s">
        <v>30</v>
      </c>
      <c r="N721" s="7" t="s">
        <v>1654</v>
      </c>
      <c r="P721" t="e">
        <f>IF(N721="","",  IF(N721="Excluded", N721,  IF(N721="included in industry", N721,   _xlfn.XLOOKUP(N721, [1]unittypedata!$AD:$AD,[1]unittypedata!$D:$D)   )))</f>
        <v>#N/A</v>
      </c>
    </row>
    <row r="722" spans="1:16">
      <c r="A722" s="5" t="s">
        <v>1047</v>
      </c>
      <c r="B722" s="5" t="s">
        <v>1051</v>
      </c>
      <c r="C722" s="6" t="s">
        <v>29</v>
      </c>
      <c r="D722" s="7">
        <v>1989</v>
      </c>
      <c r="E722" s="6">
        <v>2</v>
      </c>
      <c r="F722" s="7" t="s">
        <v>30</v>
      </c>
      <c r="G722" s="8">
        <v>24</v>
      </c>
      <c r="H722" s="7" t="s">
        <v>30</v>
      </c>
      <c r="I722" s="8">
        <v>24</v>
      </c>
      <c r="J722" s="7"/>
      <c r="K722" s="7"/>
      <c r="L722" s="6" t="s">
        <v>33</v>
      </c>
      <c r="M722" s="9" t="s">
        <v>30</v>
      </c>
      <c r="N722" s="7" t="s">
        <v>1654</v>
      </c>
      <c r="P722" t="e">
        <f>IF(N722="","",  IF(N722="Excluded", N722,  IF(N722="included in industry", N722,   _xlfn.XLOOKUP(N722, [1]unittypedata!$AD:$AD,[1]unittypedata!$D:$D)   )))</f>
        <v>#N/A</v>
      </c>
    </row>
    <row r="723" spans="1:16">
      <c r="A723" s="11" t="s">
        <v>1047</v>
      </c>
      <c r="B723" s="11" t="s">
        <v>1052</v>
      </c>
      <c r="C723" s="12" t="s">
        <v>52</v>
      </c>
      <c r="D723" s="13">
        <v>2017</v>
      </c>
      <c r="E723" s="12">
        <v>1</v>
      </c>
      <c r="F723" s="13" t="s">
        <v>30</v>
      </c>
      <c r="G723" s="14">
        <v>3.2</v>
      </c>
      <c r="H723" s="13" t="s">
        <v>30</v>
      </c>
      <c r="I723" s="14">
        <v>3.2</v>
      </c>
      <c r="J723" s="13"/>
      <c r="K723" s="13"/>
      <c r="L723" s="12" t="s">
        <v>781</v>
      </c>
      <c r="M723" s="15" t="s">
        <v>30</v>
      </c>
      <c r="N723" s="7" t="s">
        <v>1653</v>
      </c>
      <c r="P723" t="e">
        <f>IF(N723="","",  IF(N723="Excluded", N723,  IF(N723="included in industry", N723,   _xlfn.XLOOKUP(N723, [1]unittypedata!$AD:$AD,[1]unittypedata!$D:$D)   )))</f>
        <v>#N/A</v>
      </c>
    </row>
    <row r="724" spans="1:16">
      <c r="A724" s="5" t="s">
        <v>1053</v>
      </c>
      <c r="B724" s="5" t="s">
        <v>1054</v>
      </c>
      <c r="C724" s="6" t="s">
        <v>29</v>
      </c>
      <c r="D724" s="7">
        <v>1981</v>
      </c>
      <c r="E724" s="6">
        <v>2</v>
      </c>
      <c r="F724" s="7" t="s">
        <v>30</v>
      </c>
      <c r="G724" s="8">
        <v>13</v>
      </c>
      <c r="H724" s="7" t="s">
        <v>30</v>
      </c>
      <c r="I724" s="8">
        <v>13</v>
      </c>
      <c r="J724" s="7"/>
      <c r="K724" s="7"/>
      <c r="L724" s="6" t="s">
        <v>947</v>
      </c>
      <c r="M724" s="9" t="s">
        <v>30</v>
      </c>
      <c r="N724" s="7" t="s">
        <v>1654</v>
      </c>
      <c r="P724" t="e">
        <f>IF(N724="","",  IF(N724="Excluded", N724,  IF(N724="included in industry", N724,   _xlfn.XLOOKUP(N724, [1]unittypedata!$AD:$AD,[1]unittypedata!$D:$D)   )))</f>
        <v>#N/A</v>
      </c>
    </row>
    <row r="725" spans="1:16">
      <c r="A725" s="5" t="s">
        <v>1053</v>
      </c>
      <c r="B725" s="5" t="s">
        <v>1055</v>
      </c>
      <c r="C725" s="6" t="s">
        <v>29</v>
      </c>
      <c r="D725" s="7">
        <v>1977</v>
      </c>
      <c r="E725" s="6">
        <v>1</v>
      </c>
      <c r="F725" s="7" t="s">
        <v>30</v>
      </c>
      <c r="G725" s="8">
        <v>1.2</v>
      </c>
      <c r="H725" s="7" t="s">
        <v>30</v>
      </c>
      <c r="I725" s="8">
        <v>1.2</v>
      </c>
      <c r="J725" s="7"/>
      <c r="K725" s="7"/>
      <c r="L725" s="6" t="s">
        <v>31</v>
      </c>
      <c r="M725" s="9" t="s">
        <v>30</v>
      </c>
      <c r="N725" s="7" t="s">
        <v>1654</v>
      </c>
      <c r="P725" t="e">
        <f>IF(N725="","",  IF(N725="Excluded", N725,  IF(N725="included in industry", N725,   _xlfn.XLOOKUP(N725, [1]unittypedata!$AD:$AD,[1]unittypedata!$D:$D)   )))</f>
        <v>#N/A</v>
      </c>
    </row>
    <row r="726" spans="1:16">
      <c r="A726" s="5" t="s">
        <v>1053</v>
      </c>
      <c r="B726" s="5" t="s">
        <v>451</v>
      </c>
      <c r="C726" s="6" t="s">
        <v>29</v>
      </c>
      <c r="D726" s="7">
        <v>1985</v>
      </c>
      <c r="E726" s="6">
        <v>1</v>
      </c>
      <c r="F726" s="7" t="s">
        <v>30</v>
      </c>
      <c r="G726" s="8">
        <v>8</v>
      </c>
      <c r="H726" s="7" t="s">
        <v>30</v>
      </c>
      <c r="I726" s="8">
        <v>8</v>
      </c>
      <c r="J726" s="7"/>
      <c r="K726" s="7"/>
      <c r="L726" s="6" t="s">
        <v>31</v>
      </c>
      <c r="M726" s="9" t="s">
        <v>30</v>
      </c>
      <c r="N726" s="7" t="s">
        <v>1654</v>
      </c>
      <c r="P726" t="e">
        <f>IF(N726="","",  IF(N726="Excluded", N726,  IF(N726="included in industry", N726,   _xlfn.XLOOKUP(N726, [1]unittypedata!$AD:$AD,[1]unittypedata!$D:$D)   )))</f>
        <v>#N/A</v>
      </c>
    </row>
    <row r="727" spans="1:16">
      <c r="A727" s="5" t="s">
        <v>1053</v>
      </c>
      <c r="B727" s="5" t="s">
        <v>1056</v>
      </c>
      <c r="C727" s="6" t="s">
        <v>29</v>
      </c>
      <c r="D727" s="7">
        <v>1986</v>
      </c>
      <c r="E727" s="6">
        <v>2</v>
      </c>
      <c r="F727" s="7" t="s">
        <v>30</v>
      </c>
      <c r="G727" s="8">
        <v>6</v>
      </c>
      <c r="H727" s="7" t="s">
        <v>30</v>
      </c>
      <c r="I727" s="8">
        <v>6</v>
      </c>
      <c r="J727" s="7"/>
      <c r="K727" s="7"/>
      <c r="L727" s="6" t="s">
        <v>31</v>
      </c>
      <c r="M727" s="9" t="s">
        <v>30</v>
      </c>
      <c r="N727" s="7" t="s">
        <v>1654</v>
      </c>
      <c r="P727" t="e">
        <f>IF(N727="","",  IF(N727="Excluded", N727,  IF(N727="included in industry", N727,   _xlfn.XLOOKUP(N727, [1]unittypedata!$AD:$AD,[1]unittypedata!$D:$D)   )))</f>
        <v>#N/A</v>
      </c>
    </row>
    <row r="728" spans="1:16">
      <c r="A728" s="5" t="s">
        <v>1053</v>
      </c>
      <c r="B728" s="5" t="s">
        <v>1057</v>
      </c>
      <c r="C728" s="6" t="s">
        <v>29</v>
      </c>
      <c r="D728" s="7">
        <v>1991</v>
      </c>
      <c r="E728" s="6">
        <v>1</v>
      </c>
      <c r="F728" s="7" t="s">
        <v>30</v>
      </c>
      <c r="G728" s="8">
        <v>2</v>
      </c>
      <c r="H728" s="7" t="s">
        <v>30</v>
      </c>
      <c r="I728" s="8">
        <v>2</v>
      </c>
      <c r="J728" s="7"/>
      <c r="K728" s="7"/>
      <c r="L728" s="6" t="s">
        <v>31</v>
      </c>
      <c r="M728" s="9" t="s">
        <v>30</v>
      </c>
      <c r="N728" s="7" t="s">
        <v>1654</v>
      </c>
      <c r="P728" t="e">
        <f>IF(N728="","",  IF(N728="Excluded", N728,  IF(N728="included in industry", N728,   _xlfn.XLOOKUP(N728, [1]unittypedata!$AD:$AD,[1]unittypedata!$D:$D)   )))</f>
        <v>#N/A</v>
      </c>
    </row>
    <row r="729" spans="1:16">
      <c r="A729" s="5" t="s">
        <v>1053</v>
      </c>
      <c r="B729" s="5" t="s">
        <v>1058</v>
      </c>
      <c r="C729" s="6" t="s">
        <v>29</v>
      </c>
      <c r="D729" s="7">
        <v>1991</v>
      </c>
      <c r="E729" s="6">
        <v>2</v>
      </c>
      <c r="F729" s="7" t="s">
        <v>30</v>
      </c>
      <c r="G729" s="8">
        <v>7.4</v>
      </c>
      <c r="H729" s="7" t="s">
        <v>30</v>
      </c>
      <c r="I729" s="8">
        <v>7.4</v>
      </c>
      <c r="J729" s="7"/>
      <c r="K729" s="7"/>
      <c r="L729" s="6" t="s">
        <v>31</v>
      </c>
      <c r="M729" s="9" t="s">
        <v>30</v>
      </c>
      <c r="N729" s="7" t="s">
        <v>1654</v>
      </c>
      <c r="P729" t="e">
        <f>IF(N729="","",  IF(N729="Excluded", N729,  IF(N729="included in industry", N729,   _xlfn.XLOOKUP(N729, [1]unittypedata!$AD:$AD,[1]unittypedata!$D:$D)   )))</f>
        <v>#N/A</v>
      </c>
    </row>
    <row r="730" spans="1:16">
      <c r="A730" s="5" t="s">
        <v>1053</v>
      </c>
      <c r="B730" s="5" t="s">
        <v>1059</v>
      </c>
      <c r="C730" s="6" t="s">
        <v>48</v>
      </c>
      <c r="D730" s="7">
        <v>2021</v>
      </c>
      <c r="E730" s="6" t="s">
        <v>30</v>
      </c>
      <c r="F730" s="7" t="s">
        <v>30</v>
      </c>
      <c r="G730" s="8" t="s">
        <v>30</v>
      </c>
      <c r="H730" s="7" t="s">
        <v>30</v>
      </c>
      <c r="I730" s="8">
        <v>8</v>
      </c>
      <c r="J730" s="7"/>
      <c r="K730" s="7"/>
      <c r="L730" s="6" t="s">
        <v>30</v>
      </c>
      <c r="M730" s="9">
        <v>1</v>
      </c>
      <c r="N730" s="7" t="s">
        <v>1613</v>
      </c>
      <c r="P730" t="str">
        <f>IF(N730="","",  IF(N730="Excluded", N730,  IF(N730="included in industry", N730,   _xlfn.XLOOKUP(N730, [1]unittypedata!$AD:$AD,[1]unittypedata!$D:$D)   )))</f>
        <v>GSHP</v>
      </c>
    </row>
    <row r="731" spans="1:16">
      <c r="A731" s="5" t="s">
        <v>1053</v>
      </c>
      <c r="B731" s="5" t="s">
        <v>1060</v>
      </c>
      <c r="C731" s="6" t="s">
        <v>48</v>
      </c>
      <c r="D731" s="7">
        <v>2023</v>
      </c>
      <c r="E731" s="6" t="s">
        <v>30</v>
      </c>
      <c r="F731" s="7" t="s">
        <v>30</v>
      </c>
      <c r="G731" s="8" t="s">
        <v>30</v>
      </c>
      <c r="H731" s="7" t="s">
        <v>30</v>
      </c>
      <c r="I731" s="8">
        <v>0.8</v>
      </c>
      <c r="J731" s="7"/>
      <c r="K731" s="7"/>
      <c r="L731" s="6" t="s">
        <v>30</v>
      </c>
      <c r="M731" s="9" t="s">
        <v>158</v>
      </c>
      <c r="N731" s="7" t="s">
        <v>1613</v>
      </c>
      <c r="P731" t="str">
        <f>IF(N731="","",  IF(N731="Excluded", N731,  IF(N731="included in industry", N731,   _xlfn.XLOOKUP(N731, [1]unittypedata!$AD:$AD,[1]unittypedata!$D:$D)   )))</f>
        <v>GSHP</v>
      </c>
    </row>
    <row r="732" spans="1:16">
      <c r="A732" s="11" t="s">
        <v>1053</v>
      </c>
      <c r="B732" s="11" t="s">
        <v>1061</v>
      </c>
      <c r="C732" s="12" t="s">
        <v>52</v>
      </c>
      <c r="D732" s="13">
        <v>1992</v>
      </c>
      <c r="E732" s="12">
        <v>1</v>
      </c>
      <c r="F732" s="13">
        <v>18</v>
      </c>
      <c r="G732" s="14" t="s">
        <v>30</v>
      </c>
      <c r="H732" s="13" t="s">
        <v>30</v>
      </c>
      <c r="I732" s="14">
        <v>18</v>
      </c>
      <c r="J732" s="13">
        <v>6</v>
      </c>
      <c r="K732" s="13"/>
      <c r="L732" s="12" t="s">
        <v>46</v>
      </c>
      <c r="M732" s="15" t="s">
        <v>30</v>
      </c>
      <c r="N732" s="7" t="s">
        <v>1656</v>
      </c>
      <c r="P732" t="e">
        <f>IF(N732="","",  IF(N732="Excluded", N732,  IF(N732="included in industry", N732,   _xlfn.XLOOKUP(N732, [1]unittypedata!$AD:$AD,[1]unittypedata!$D:$D)   )))</f>
        <v>#N/A</v>
      </c>
    </row>
    <row r="733" spans="1:16">
      <c r="A733" s="5" t="s">
        <v>1062</v>
      </c>
      <c r="B733" s="5" t="s">
        <v>1063</v>
      </c>
      <c r="C733" s="6" t="s">
        <v>29</v>
      </c>
      <c r="D733" s="7">
        <v>2012</v>
      </c>
      <c r="E733" s="6">
        <v>1</v>
      </c>
      <c r="F733" s="7" t="s">
        <v>30</v>
      </c>
      <c r="G733" s="8">
        <v>2.5</v>
      </c>
      <c r="H733" s="7" t="s">
        <v>30</v>
      </c>
      <c r="I733" s="8">
        <v>2.5</v>
      </c>
      <c r="J733" s="7"/>
      <c r="K733" s="7"/>
      <c r="L733" s="6" t="s">
        <v>46</v>
      </c>
      <c r="M733" s="9" t="s">
        <v>30</v>
      </c>
      <c r="N733" s="7" t="s">
        <v>1653</v>
      </c>
      <c r="P733" t="e">
        <f>IF(N733="","",  IF(N733="Excluded", N733,  IF(N733="included in industry", N733,   _xlfn.XLOOKUP(N733, [1]unittypedata!$AD:$AD,[1]unittypedata!$D:$D)   )))</f>
        <v>#N/A</v>
      </c>
    </row>
    <row r="734" spans="1:16">
      <c r="A734" s="5" t="s">
        <v>1062</v>
      </c>
      <c r="B734" s="5" t="s">
        <v>1064</v>
      </c>
      <c r="C734" s="6" t="s">
        <v>29</v>
      </c>
      <c r="D734" s="7">
        <v>2008</v>
      </c>
      <c r="E734" s="6">
        <v>1</v>
      </c>
      <c r="F734" s="7" t="s">
        <v>30</v>
      </c>
      <c r="G734" s="8">
        <v>1.5</v>
      </c>
      <c r="H734" s="7" t="s">
        <v>30</v>
      </c>
      <c r="I734" s="8">
        <v>1.5</v>
      </c>
      <c r="J734" s="7"/>
      <c r="K734" s="7"/>
      <c r="L734" s="6" t="s">
        <v>46</v>
      </c>
      <c r="M734" s="9" t="s">
        <v>30</v>
      </c>
      <c r="N734" s="7" t="s">
        <v>1653</v>
      </c>
      <c r="P734" t="e">
        <f>IF(N734="","",  IF(N734="Excluded", N734,  IF(N734="included in industry", N734,   _xlfn.XLOOKUP(N734, [1]unittypedata!$AD:$AD,[1]unittypedata!$D:$D)   )))</f>
        <v>#N/A</v>
      </c>
    </row>
    <row r="735" spans="1:16">
      <c r="A735" s="11" t="s">
        <v>1062</v>
      </c>
      <c r="B735" s="11" t="s">
        <v>1065</v>
      </c>
      <c r="C735" s="12" t="s">
        <v>29</v>
      </c>
      <c r="D735" s="13">
        <v>1984</v>
      </c>
      <c r="E735" s="12">
        <v>2</v>
      </c>
      <c r="F735" s="13" t="s">
        <v>30</v>
      </c>
      <c r="G735" s="14">
        <v>1.8</v>
      </c>
      <c r="H735" s="13" t="s">
        <v>30</v>
      </c>
      <c r="I735" s="14">
        <v>1.8</v>
      </c>
      <c r="J735" s="13"/>
      <c r="K735" s="13"/>
      <c r="L735" s="12" t="s">
        <v>31</v>
      </c>
      <c r="M735" s="15" t="s">
        <v>30</v>
      </c>
      <c r="N735" s="7" t="s">
        <v>1654</v>
      </c>
      <c r="P735" t="e">
        <f>IF(N735="","",  IF(N735="Excluded", N735,  IF(N735="included in industry", N735,   _xlfn.XLOOKUP(N735, [1]unittypedata!$AD:$AD,[1]unittypedata!$D:$D)   )))</f>
        <v>#N/A</v>
      </c>
    </row>
    <row r="736" spans="1:16">
      <c r="A736" s="5" t="s">
        <v>1066</v>
      </c>
      <c r="B736" s="5" t="s">
        <v>1067</v>
      </c>
      <c r="C736" s="6" t="s">
        <v>29</v>
      </c>
      <c r="D736" s="7">
        <v>2002</v>
      </c>
      <c r="E736" s="6">
        <v>1</v>
      </c>
      <c r="F736" s="7" t="s">
        <v>30</v>
      </c>
      <c r="G736" s="8">
        <v>2.5</v>
      </c>
      <c r="H736" s="7" t="s">
        <v>30</v>
      </c>
      <c r="I736" s="8">
        <v>2.5</v>
      </c>
      <c r="J736" s="7"/>
      <c r="K736" s="7"/>
      <c r="L736" s="6" t="s">
        <v>269</v>
      </c>
      <c r="M736" s="9" t="s">
        <v>30</v>
      </c>
      <c r="N736" s="7" t="s">
        <v>1654</v>
      </c>
      <c r="P736" t="e">
        <f>IF(N736="","",  IF(N736="Excluded", N736,  IF(N736="included in industry", N736,   _xlfn.XLOOKUP(N736, [1]unittypedata!$AD:$AD,[1]unittypedata!$D:$D)   )))</f>
        <v>#N/A</v>
      </c>
    </row>
    <row r="737" spans="1:16">
      <c r="A737" s="5" t="s">
        <v>1066</v>
      </c>
      <c r="B737" s="5" t="s">
        <v>1067</v>
      </c>
      <c r="C737" s="6" t="s">
        <v>29</v>
      </c>
      <c r="D737" s="7">
        <v>2017</v>
      </c>
      <c r="E737" s="6">
        <v>2</v>
      </c>
      <c r="F737" s="7" t="s">
        <v>30</v>
      </c>
      <c r="G737" s="8">
        <v>3.6</v>
      </c>
      <c r="H737" s="7" t="s">
        <v>30</v>
      </c>
      <c r="I737" s="8">
        <v>3.6</v>
      </c>
      <c r="J737" s="7"/>
      <c r="K737" s="7"/>
      <c r="L737" s="6" t="s">
        <v>269</v>
      </c>
      <c r="M737" s="9" t="s">
        <v>30</v>
      </c>
      <c r="N737" s="7" t="s">
        <v>1654</v>
      </c>
      <c r="P737" t="e">
        <f>IF(N737="","",  IF(N737="Excluded", N737,  IF(N737="included in industry", N737,   _xlfn.XLOOKUP(N737, [1]unittypedata!$AD:$AD,[1]unittypedata!$D:$D)   )))</f>
        <v>#N/A</v>
      </c>
    </row>
    <row r="738" spans="1:16">
      <c r="A738" s="5" t="s">
        <v>1066</v>
      </c>
      <c r="B738" s="5" t="s">
        <v>1067</v>
      </c>
      <c r="C738" s="6" t="s">
        <v>29</v>
      </c>
      <c r="D738" s="7">
        <v>2005</v>
      </c>
      <c r="E738" s="6">
        <v>1</v>
      </c>
      <c r="F738" s="7" t="s">
        <v>30</v>
      </c>
      <c r="G738" s="8">
        <v>1</v>
      </c>
      <c r="H738" s="7" t="s">
        <v>30</v>
      </c>
      <c r="I738" s="8">
        <v>1</v>
      </c>
      <c r="J738" s="7"/>
      <c r="K738" s="7"/>
      <c r="L738" s="6" t="s">
        <v>46</v>
      </c>
      <c r="M738" s="9" t="s">
        <v>30</v>
      </c>
      <c r="N738" s="7" t="s">
        <v>1653</v>
      </c>
      <c r="P738" t="e">
        <f>IF(N738="","",  IF(N738="Excluded", N738,  IF(N738="included in industry", N738,   _xlfn.XLOOKUP(N738, [1]unittypedata!$AD:$AD,[1]unittypedata!$D:$D)   )))</f>
        <v>#N/A</v>
      </c>
    </row>
    <row r="739" spans="1:16">
      <c r="A739" s="5" t="s">
        <v>1066</v>
      </c>
      <c r="B739" s="5" t="s">
        <v>1068</v>
      </c>
      <c r="C739" s="6" t="s">
        <v>48</v>
      </c>
      <c r="D739" s="7">
        <v>2021</v>
      </c>
      <c r="E739" s="6" t="s">
        <v>30</v>
      </c>
      <c r="F739" s="7" t="s">
        <v>30</v>
      </c>
      <c r="G739" s="8" t="s">
        <v>30</v>
      </c>
      <c r="H739" s="7" t="s">
        <v>30</v>
      </c>
      <c r="I739" s="8">
        <v>0.9</v>
      </c>
      <c r="J739" s="7"/>
      <c r="K739" s="7"/>
      <c r="L739" s="6" t="s">
        <v>30</v>
      </c>
      <c r="M739" s="9">
        <v>0.4</v>
      </c>
      <c r="N739" s="7" t="s">
        <v>1613</v>
      </c>
      <c r="P739" t="str">
        <f>IF(N739="","",  IF(N739="Excluded", N739,  IF(N739="included in industry", N739,   _xlfn.XLOOKUP(N739, [1]unittypedata!$AD:$AD,[1]unittypedata!$D:$D)   )))</f>
        <v>GSHP</v>
      </c>
    </row>
    <row r="740" spans="1:16">
      <c r="A740" s="5" t="s">
        <v>1066</v>
      </c>
      <c r="B740" s="5" t="s">
        <v>1069</v>
      </c>
      <c r="C740" s="6" t="s">
        <v>48</v>
      </c>
      <c r="D740" s="7">
        <v>2005</v>
      </c>
      <c r="E740" s="6" t="s">
        <v>30</v>
      </c>
      <c r="F740" s="7" t="s">
        <v>30</v>
      </c>
      <c r="G740" s="8" t="s">
        <v>30</v>
      </c>
      <c r="H740" s="7" t="s">
        <v>30</v>
      </c>
      <c r="I740" s="8">
        <v>0.9</v>
      </c>
      <c r="J740" s="7"/>
      <c r="K740" s="7"/>
      <c r="L740" s="6" t="s">
        <v>30</v>
      </c>
      <c r="M740" s="9" t="s">
        <v>30</v>
      </c>
      <c r="N740" s="7" t="s">
        <v>1613</v>
      </c>
      <c r="P740" t="str">
        <f>IF(N740="","",  IF(N740="Excluded", N740,  IF(N740="included in industry", N740,   _xlfn.XLOOKUP(N740, [1]unittypedata!$AD:$AD,[1]unittypedata!$D:$D)   )))</f>
        <v>GSHP</v>
      </c>
    </row>
    <row r="741" spans="1:16">
      <c r="A741" s="23" t="s">
        <v>1070</v>
      </c>
      <c r="B741" s="23" t="s">
        <v>1071</v>
      </c>
      <c r="C741" s="24" t="s">
        <v>29</v>
      </c>
      <c r="D741" s="25">
        <v>1980</v>
      </c>
      <c r="E741" s="24">
        <v>2</v>
      </c>
      <c r="F741" s="25" t="s">
        <v>30</v>
      </c>
      <c r="G741" s="26">
        <v>20</v>
      </c>
      <c r="H741" s="25">
        <v>4.5</v>
      </c>
      <c r="I741" s="26">
        <v>24.5</v>
      </c>
      <c r="J741" s="25"/>
      <c r="K741" s="25"/>
      <c r="L741" s="24" t="s">
        <v>253</v>
      </c>
      <c r="M741" s="27" t="s">
        <v>30</v>
      </c>
      <c r="N741" s="7" t="s">
        <v>1653</v>
      </c>
      <c r="P741" t="e">
        <f>IF(N741="","",  IF(N741="Excluded", N741,  IF(N741="included in industry", N741,   _xlfn.XLOOKUP(N741, [1]unittypedata!$AD:$AD,[1]unittypedata!$D:$D)   )))</f>
        <v>#N/A</v>
      </c>
    </row>
    <row r="742" spans="1:16">
      <c r="A742" s="5" t="s">
        <v>1072</v>
      </c>
      <c r="B742" s="5" t="s">
        <v>1073</v>
      </c>
      <c r="C742" s="6" t="s">
        <v>29</v>
      </c>
      <c r="D742" s="7">
        <v>2001</v>
      </c>
      <c r="E742" s="6">
        <v>1</v>
      </c>
      <c r="F742" s="7" t="s">
        <v>30</v>
      </c>
      <c r="G742" s="8">
        <v>2</v>
      </c>
      <c r="H742" s="7" t="s">
        <v>30</v>
      </c>
      <c r="I742" s="8">
        <v>2</v>
      </c>
      <c r="J742" s="7"/>
      <c r="K742" s="7"/>
      <c r="L742" s="6" t="s">
        <v>118</v>
      </c>
      <c r="M742" s="9" t="s">
        <v>30</v>
      </c>
      <c r="N742" s="7" t="s">
        <v>1653</v>
      </c>
      <c r="P742" t="e">
        <f>IF(N742="","",  IF(N742="Excluded", N742,  IF(N742="included in industry", N742,   _xlfn.XLOOKUP(N742, [1]unittypedata!$AD:$AD,[1]unittypedata!$D:$D)   )))</f>
        <v>#N/A</v>
      </c>
    </row>
    <row r="743" spans="1:16">
      <c r="A743" s="5" t="s">
        <v>1072</v>
      </c>
      <c r="B743" s="5" t="s">
        <v>852</v>
      </c>
      <c r="C743" s="6" t="s">
        <v>29</v>
      </c>
      <c r="D743" s="7">
        <v>2001</v>
      </c>
      <c r="E743" s="6">
        <v>1</v>
      </c>
      <c r="F743" s="7" t="s">
        <v>30</v>
      </c>
      <c r="G743" s="8">
        <v>1.7</v>
      </c>
      <c r="H743" s="7" t="s">
        <v>30</v>
      </c>
      <c r="I743" s="8">
        <v>1.7</v>
      </c>
      <c r="J743" s="7"/>
      <c r="K743" s="7"/>
      <c r="L743" s="6" t="s">
        <v>33</v>
      </c>
      <c r="M743" s="9" t="s">
        <v>30</v>
      </c>
      <c r="N743" s="7" t="s">
        <v>1654</v>
      </c>
      <c r="P743" t="e">
        <f>IF(N743="","",  IF(N743="Excluded", N743,  IF(N743="included in industry", N743,   _xlfn.XLOOKUP(N743, [1]unittypedata!$AD:$AD,[1]unittypedata!$D:$D)   )))</f>
        <v>#N/A</v>
      </c>
    </row>
    <row r="744" spans="1:16">
      <c r="A744" s="11" t="s">
        <v>1072</v>
      </c>
      <c r="B744" s="11" t="s">
        <v>1074</v>
      </c>
      <c r="C744" s="12" t="s">
        <v>29</v>
      </c>
      <c r="D744" s="13">
        <v>2009</v>
      </c>
      <c r="E744" s="12">
        <v>1</v>
      </c>
      <c r="F744" s="13" t="s">
        <v>30</v>
      </c>
      <c r="G744" s="14">
        <v>1.5</v>
      </c>
      <c r="H744" s="13" t="s">
        <v>30</v>
      </c>
      <c r="I744" s="14">
        <v>1.5</v>
      </c>
      <c r="J744" s="13"/>
      <c r="K744" s="13"/>
      <c r="L744" s="12" t="s">
        <v>33</v>
      </c>
      <c r="M744" s="15" t="s">
        <v>30</v>
      </c>
      <c r="N744" s="7" t="s">
        <v>1654</v>
      </c>
      <c r="P744" t="e">
        <f>IF(N744="","",  IF(N744="Excluded", N744,  IF(N744="included in industry", N744,   _xlfn.XLOOKUP(N744, [1]unittypedata!$AD:$AD,[1]unittypedata!$D:$D)   )))</f>
        <v>#N/A</v>
      </c>
    </row>
    <row r="745" spans="1:16">
      <c r="A745" s="5" t="s">
        <v>1075</v>
      </c>
      <c r="B745" s="5" t="s">
        <v>1076</v>
      </c>
      <c r="C745" s="6" t="s">
        <v>29</v>
      </c>
      <c r="D745" s="7">
        <v>1979</v>
      </c>
      <c r="E745" s="6">
        <v>3</v>
      </c>
      <c r="F745" s="7" t="s">
        <v>30</v>
      </c>
      <c r="G745" s="8">
        <v>12.9</v>
      </c>
      <c r="H745" s="7">
        <v>2.1</v>
      </c>
      <c r="I745" s="8">
        <v>15</v>
      </c>
      <c r="J745" s="7"/>
      <c r="K745" s="7"/>
      <c r="L745" s="6" t="s">
        <v>46</v>
      </c>
      <c r="M745" s="9" t="s">
        <v>30</v>
      </c>
      <c r="N745" s="7" t="s">
        <v>1653</v>
      </c>
      <c r="P745" t="e">
        <f>IF(N745="","",  IF(N745="Excluded", N745,  IF(N745="included in industry", N745,   _xlfn.XLOOKUP(N745, [1]unittypedata!$AD:$AD,[1]unittypedata!$D:$D)   )))</f>
        <v>#N/A</v>
      </c>
    </row>
    <row r="746" spans="1:16">
      <c r="A746" s="5" t="s">
        <v>1075</v>
      </c>
      <c r="B746" s="5" t="s">
        <v>514</v>
      </c>
      <c r="C746" s="6" t="s">
        <v>29</v>
      </c>
      <c r="D746" s="7" t="s">
        <v>158</v>
      </c>
      <c r="E746" s="6">
        <v>1</v>
      </c>
      <c r="F746" s="7" t="s">
        <v>30</v>
      </c>
      <c r="G746" s="8">
        <v>2</v>
      </c>
      <c r="H746" s="7" t="s">
        <v>30</v>
      </c>
      <c r="I746" s="8">
        <v>2</v>
      </c>
      <c r="J746" s="7"/>
      <c r="K746" s="7"/>
      <c r="L746" s="6" t="s">
        <v>31</v>
      </c>
      <c r="M746" s="9" t="s">
        <v>30</v>
      </c>
      <c r="N746" s="7" t="s">
        <v>1654</v>
      </c>
      <c r="P746" t="e">
        <f>IF(N746="","",  IF(N746="Excluded", N746,  IF(N746="included in industry", N746,   _xlfn.XLOOKUP(N746, [1]unittypedata!$AD:$AD,[1]unittypedata!$D:$D)   )))</f>
        <v>#N/A</v>
      </c>
    </row>
    <row r="747" spans="1:16">
      <c r="A747" s="11" t="s">
        <v>1075</v>
      </c>
      <c r="B747" s="11" t="s">
        <v>1077</v>
      </c>
      <c r="C747" s="12" t="s">
        <v>29</v>
      </c>
      <c r="D747" s="13" t="s">
        <v>158</v>
      </c>
      <c r="E747" s="12">
        <v>1</v>
      </c>
      <c r="F747" s="13" t="s">
        <v>30</v>
      </c>
      <c r="G747" s="14">
        <v>4</v>
      </c>
      <c r="H747" s="13" t="s">
        <v>30</v>
      </c>
      <c r="I747" s="14">
        <v>4</v>
      </c>
      <c r="J747" s="13"/>
      <c r="K747" s="13"/>
      <c r="L747" s="12" t="s">
        <v>31</v>
      </c>
      <c r="M747" s="15" t="s">
        <v>30</v>
      </c>
      <c r="N747" s="7" t="s">
        <v>1654</v>
      </c>
      <c r="P747" t="e">
        <f>IF(N747="","",  IF(N747="Excluded", N747,  IF(N747="included in industry", N747,   _xlfn.XLOOKUP(N747, [1]unittypedata!$AD:$AD,[1]unittypedata!$D:$D)   )))</f>
        <v>#N/A</v>
      </c>
    </row>
    <row r="748" spans="1:16">
      <c r="A748" s="5" t="s">
        <v>1078</v>
      </c>
      <c r="B748" s="5" t="s">
        <v>1079</v>
      </c>
      <c r="C748" s="6" t="s">
        <v>29</v>
      </c>
      <c r="D748" s="7">
        <v>1991</v>
      </c>
      <c r="E748" s="6">
        <v>2</v>
      </c>
      <c r="F748" s="7" t="s">
        <v>30</v>
      </c>
      <c r="G748" s="8">
        <v>12</v>
      </c>
      <c r="H748" s="7" t="s">
        <v>30</v>
      </c>
      <c r="I748" s="8">
        <v>12</v>
      </c>
      <c r="J748" s="7"/>
      <c r="K748" s="7"/>
      <c r="L748" s="6" t="s">
        <v>33</v>
      </c>
      <c r="M748" s="9" t="s">
        <v>30</v>
      </c>
      <c r="N748" s="7" t="s">
        <v>1654</v>
      </c>
      <c r="P748" t="e">
        <f>IF(N748="","",  IF(N748="Excluded", N748,  IF(N748="included in industry", N748,   _xlfn.XLOOKUP(N748, [1]unittypedata!$AD:$AD,[1]unittypedata!$D:$D)   )))</f>
        <v>#N/A</v>
      </c>
    </row>
    <row r="749" spans="1:16">
      <c r="A749" s="5" t="s">
        <v>1078</v>
      </c>
      <c r="B749" s="5" t="s">
        <v>98</v>
      </c>
      <c r="C749" s="6" t="s">
        <v>29</v>
      </c>
      <c r="D749" s="7">
        <v>2003</v>
      </c>
      <c r="E749" s="6">
        <v>2</v>
      </c>
      <c r="F749" s="7" t="s">
        <v>30</v>
      </c>
      <c r="G749" s="8">
        <v>10</v>
      </c>
      <c r="H749" s="7" t="s">
        <v>30</v>
      </c>
      <c r="I749" s="8">
        <v>10</v>
      </c>
      <c r="J749" s="7"/>
      <c r="K749" s="7"/>
      <c r="L749" s="6" t="s">
        <v>33</v>
      </c>
      <c r="M749" s="9" t="s">
        <v>30</v>
      </c>
      <c r="N749" s="7" t="s">
        <v>1654</v>
      </c>
      <c r="P749" t="e">
        <f>IF(N749="","",  IF(N749="Excluded", N749,  IF(N749="included in industry", N749,   _xlfn.XLOOKUP(N749, [1]unittypedata!$AD:$AD,[1]unittypedata!$D:$D)   )))</f>
        <v>#N/A</v>
      </c>
    </row>
    <row r="750" spans="1:16">
      <c r="A750" s="5" t="s">
        <v>1078</v>
      </c>
      <c r="B750" s="5" t="s">
        <v>663</v>
      </c>
      <c r="C750" s="6" t="s">
        <v>29</v>
      </c>
      <c r="D750" s="7">
        <v>2005</v>
      </c>
      <c r="E750" s="6">
        <v>2</v>
      </c>
      <c r="F750" s="7" t="s">
        <v>30</v>
      </c>
      <c r="G750" s="8">
        <v>3</v>
      </c>
      <c r="H750" s="7" t="s">
        <v>30</v>
      </c>
      <c r="I750" s="8">
        <v>3</v>
      </c>
      <c r="J750" s="7"/>
      <c r="K750" s="7"/>
      <c r="L750" s="6" t="s">
        <v>31</v>
      </c>
      <c r="M750" s="9" t="s">
        <v>30</v>
      </c>
      <c r="N750" s="7" t="s">
        <v>1654</v>
      </c>
      <c r="P750" t="e">
        <f>IF(N750="","",  IF(N750="Excluded", N750,  IF(N750="included in industry", N750,   _xlfn.XLOOKUP(N750, [1]unittypedata!$AD:$AD,[1]unittypedata!$D:$D)   )))</f>
        <v>#N/A</v>
      </c>
    </row>
    <row r="751" spans="1:16">
      <c r="A751" s="5" t="s">
        <v>1078</v>
      </c>
      <c r="B751" s="5" t="s">
        <v>1080</v>
      </c>
      <c r="C751" s="6" t="s">
        <v>29</v>
      </c>
      <c r="D751" s="7">
        <v>1968</v>
      </c>
      <c r="E751" s="6">
        <v>1</v>
      </c>
      <c r="F751" s="7" t="s">
        <v>30</v>
      </c>
      <c r="G751" s="8">
        <v>20</v>
      </c>
      <c r="H751" s="7" t="s">
        <v>30</v>
      </c>
      <c r="I751" s="8">
        <v>20</v>
      </c>
      <c r="J751" s="7"/>
      <c r="K751" s="7"/>
      <c r="L751" s="6" t="s">
        <v>33</v>
      </c>
      <c r="M751" s="9" t="s">
        <v>30</v>
      </c>
      <c r="N751" s="7" t="s">
        <v>1654</v>
      </c>
      <c r="P751" t="e">
        <f>IF(N751="","",  IF(N751="Excluded", N751,  IF(N751="included in industry", N751,   _xlfn.XLOOKUP(N751, [1]unittypedata!$AD:$AD,[1]unittypedata!$D:$D)   )))</f>
        <v>#N/A</v>
      </c>
    </row>
    <row r="752" spans="1:16">
      <c r="A752" s="5" t="s">
        <v>1078</v>
      </c>
      <c r="B752" s="5" t="s">
        <v>1081</v>
      </c>
      <c r="C752" s="6" t="s">
        <v>29</v>
      </c>
      <c r="D752" s="7">
        <v>2014</v>
      </c>
      <c r="E752" s="6">
        <v>1</v>
      </c>
      <c r="F752" s="7" t="s">
        <v>30</v>
      </c>
      <c r="G752" s="8">
        <v>1.5</v>
      </c>
      <c r="H752" s="7" t="s">
        <v>30</v>
      </c>
      <c r="I752" s="8">
        <v>1.5</v>
      </c>
      <c r="J752" s="7"/>
      <c r="K752" s="7"/>
      <c r="L752" s="6" t="s">
        <v>44</v>
      </c>
      <c r="M752" s="9" t="s">
        <v>30</v>
      </c>
      <c r="N752" s="7" t="s">
        <v>1653</v>
      </c>
      <c r="P752" t="e">
        <f>IF(N752="","",  IF(N752="Excluded", N752,  IF(N752="included in industry", N752,   _xlfn.XLOOKUP(N752, [1]unittypedata!$AD:$AD,[1]unittypedata!$D:$D)   )))</f>
        <v>#N/A</v>
      </c>
    </row>
    <row r="753" spans="1:16">
      <c r="A753" s="5" t="s">
        <v>1078</v>
      </c>
      <c r="B753" s="5" t="s">
        <v>1082</v>
      </c>
      <c r="C753" s="6" t="s">
        <v>29</v>
      </c>
      <c r="D753" s="7">
        <v>2013</v>
      </c>
      <c r="E753" s="6">
        <v>3</v>
      </c>
      <c r="F753" s="7" t="s">
        <v>30</v>
      </c>
      <c r="G753" s="8">
        <v>32</v>
      </c>
      <c r="H753" s="7" t="s">
        <v>30</v>
      </c>
      <c r="I753" s="8">
        <v>32</v>
      </c>
      <c r="J753" s="7"/>
      <c r="K753" s="7"/>
      <c r="L753" s="6" t="s">
        <v>911</v>
      </c>
      <c r="M753" s="9" t="s">
        <v>30</v>
      </c>
      <c r="N753" s="7" t="s">
        <v>1654</v>
      </c>
      <c r="P753" t="e">
        <f>IF(N753="","",  IF(N753="Excluded", N753,  IF(N753="included in industry", N753,   _xlfn.XLOOKUP(N753, [1]unittypedata!$AD:$AD,[1]unittypedata!$D:$D)   )))</f>
        <v>#N/A</v>
      </c>
    </row>
    <row r="754" spans="1:16">
      <c r="A754" s="5" t="s">
        <v>1078</v>
      </c>
      <c r="B754" s="5" t="s">
        <v>754</v>
      </c>
      <c r="C754" s="6" t="s">
        <v>29</v>
      </c>
      <c r="D754" s="7">
        <v>2015</v>
      </c>
      <c r="E754" s="6">
        <v>1</v>
      </c>
      <c r="F754" s="7" t="s">
        <v>30</v>
      </c>
      <c r="G754" s="8">
        <v>20</v>
      </c>
      <c r="H754" s="7" t="s">
        <v>30</v>
      </c>
      <c r="I754" s="8">
        <v>20</v>
      </c>
      <c r="J754" s="7"/>
      <c r="K754" s="7"/>
      <c r="L754" s="6" t="s">
        <v>46</v>
      </c>
      <c r="M754" s="9" t="s">
        <v>30</v>
      </c>
      <c r="N754" s="7" t="s">
        <v>1653</v>
      </c>
      <c r="P754" t="e">
        <f>IF(N754="","",  IF(N754="Excluded", N754,  IF(N754="included in industry", N754,   _xlfn.XLOOKUP(N754, [1]unittypedata!$AD:$AD,[1]unittypedata!$D:$D)   )))</f>
        <v>#N/A</v>
      </c>
    </row>
    <row r="755" spans="1:16">
      <c r="A755" s="5" t="s">
        <v>1078</v>
      </c>
      <c r="B755" s="5" t="s">
        <v>1083</v>
      </c>
      <c r="C755" s="6" t="s">
        <v>29</v>
      </c>
      <c r="D755" s="7">
        <v>2016</v>
      </c>
      <c r="E755" s="6">
        <v>1</v>
      </c>
      <c r="F755" s="7" t="s">
        <v>30</v>
      </c>
      <c r="G755" s="8">
        <v>2.5</v>
      </c>
      <c r="H755" s="7" t="s">
        <v>30</v>
      </c>
      <c r="I755" s="8">
        <v>2.5</v>
      </c>
      <c r="J755" s="7"/>
      <c r="K755" s="7"/>
      <c r="L755" s="6" t="s">
        <v>31</v>
      </c>
      <c r="M755" s="9" t="s">
        <v>30</v>
      </c>
      <c r="N755" s="7" t="s">
        <v>1654</v>
      </c>
      <c r="P755" t="e">
        <f>IF(N755="","",  IF(N755="Excluded", N755,  IF(N755="included in industry", N755,   _xlfn.XLOOKUP(N755, [1]unittypedata!$AD:$AD,[1]unittypedata!$D:$D)   )))</f>
        <v>#N/A</v>
      </c>
    </row>
    <row r="756" spans="1:16">
      <c r="A756" s="11" t="s">
        <v>1078</v>
      </c>
      <c r="B756" s="11" t="s">
        <v>1082</v>
      </c>
      <c r="C756" s="12" t="s">
        <v>52</v>
      </c>
      <c r="D756" s="13">
        <v>2013</v>
      </c>
      <c r="E756" s="12">
        <v>3</v>
      </c>
      <c r="F756" s="13" t="s">
        <v>30</v>
      </c>
      <c r="G756" s="14">
        <v>32</v>
      </c>
      <c r="H756" s="13" t="s">
        <v>30</v>
      </c>
      <c r="I756" s="14">
        <v>32</v>
      </c>
      <c r="J756" s="13"/>
      <c r="K756" s="13"/>
      <c r="L756" s="12" t="s">
        <v>911</v>
      </c>
      <c r="M756" s="15" t="s">
        <v>30</v>
      </c>
      <c r="N756" s="7" t="s">
        <v>1654</v>
      </c>
      <c r="P756" t="e">
        <f>IF(N756="","",  IF(N756="Excluded", N756,  IF(N756="included in industry", N756,   _xlfn.XLOOKUP(N756, [1]unittypedata!$AD:$AD,[1]unittypedata!$D:$D)   )))</f>
        <v>#N/A</v>
      </c>
    </row>
    <row r="757" spans="1:16">
      <c r="A757" s="5" t="s">
        <v>1084</v>
      </c>
      <c r="B757" s="5" t="s">
        <v>1085</v>
      </c>
      <c r="C757" s="6" t="s">
        <v>29</v>
      </c>
      <c r="D757" s="7">
        <v>2010</v>
      </c>
      <c r="E757" s="6">
        <v>3</v>
      </c>
      <c r="F757" s="7" t="s">
        <v>30</v>
      </c>
      <c r="G757" s="8">
        <v>19.100000000000001</v>
      </c>
      <c r="H757" s="7" t="s">
        <v>30</v>
      </c>
      <c r="I757" s="8">
        <v>19.100000000000001</v>
      </c>
      <c r="J757" s="7"/>
      <c r="K757" s="7"/>
      <c r="L757" s="6" t="s">
        <v>31</v>
      </c>
      <c r="M757" s="9" t="s">
        <v>30</v>
      </c>
      <c r="N757" s="7" t="s">
        <v>1654</v>
      </c>
      <c r="P757" t="e">
        <f>IF(N757="","",  IF(N757="Excluded", N757,  IF(N757="included in industry", N757,   _xlfn.XLOOKUP(N757, [1]unittypedata!$AD:$AD,[1]unittypedata!$D:$D)   )))</f>
        <v>#N/A</v>
      </c>
    </row>
    <row r="758" spans="1:16">
      <c r="A758" s="5" t="s">
        <v>1084</v>
      </c>
      <c r="B758" s="5" t="s">
        <v>1086</v>
      </c>
      <c r="C758" s="6" t="s">
        <v>29</v>
      </c>
      <c r="D758" s="7">
        <v>2011</v>
      </c>
      <c r="E758" s="6">
        <v>2</v>
      </c>
      <c r="F758" s="7" t="s">
        <v>30</v>
      </c>
      <c r="G758" s="8">
        <v>8</v>
      </c>
      <c r="H758" s="7" t="s">
        <v>30</v>
      </c>
      <c r="I758" s="8">
        <v>8</v>
      </c>
      <c r="J758" s="7"/>
      <c r="K758" s="7"/>
      <c r="L758" s="6" t="s">
        <v>31</v>
      </c>
      <c r="M758" s="9" t="s">
        <v>30</v>
      </c>
      <c r="N758" s="7" t="s">
        <v>1654</v>
      </c>
      <c r="P758" t="e">
        <f>IF(N758="","",  IF(N758="Excluded", N758,  IF(N758="included in industry", N758,   _xlfn.XLOOKUP(N758, [1]unittypedata!$AD:$AD,[1]unittypedata!$D:$D)   )))</f>
        <v>#N/A</v>
      </c>
    </row>
    <row r="759" spans="1:16">
      <c r="A759" s="5" t="s">
        <v>1084</v>
      </c>
      <c r="B759" s="5" t="s">
        <v>1087</v>
      </c>
      <c r="C759" s="6" t="s">
        <v>29</v>
      </c>
      <c r="D759" s="7">
        <v>2015</v>
      </c>
      <c r="E759" s="6">
        <v>1</v>
      </c>
      <c r="F759" s="7" t="s">
        <v>30</v>
      </c>
      <c r="G759" s="8">
        <v>9</v>
      </c>
      <c r="H759" s="7" t="s">
        <v>30</v>
      </c>
      <c r="I759" s="8">
        <v>9</v>
      </c>
      <c r="J759" s="7"/>
      <c r="K759" s="7"/>
      <c r="L759" s="6" t="s">
        <v>31</v>
      </c>
      <c r="M759" s="9" t="s">
        <v>30</v>
      </c>
      <c r="N759" s="7" t="s">
        <v>1654</v>
      </c>
      <c r="P759" t="e">
        <f>IF(N759="","",  IF(N759="Excluded", N759,  IF(N759="included in industry", N759,   _xlfn.XLOOKUP(N759, [1]unittypedata!$AD:$AD,[1]unittypedata!$D:$D)   )))</f>
        <v>#N/A</v>
      </c>
    </row>
    <row r="760" spans="1:16">
      <c r="A760" s="5" t="s">
        <v>1084</v>
      </c>
      <c r="B760" s="5" t="s">
        <v>1088</v>
      </c>
      <c r="C760" s="6" t="s">
        <v>29</v>
      </c>
      <c r="D760" s="7">
        <v>2016</v>
      </c>
      <c r="E760" s="6">
        <v>2</v>
      </c>
      <c r="F760" s="7" t="s">
        <v>30</v>
      </c>
      <c r="G760" s="8">
        <v>12</v>
      </c>
      <c r="H760" s="7" t="s">
        <v>30</v>
      </c>
      <c r="I760" s="8">
        <v>12</v>
      </c>
      <c r="J760" s="7"/>
      <c r="K760" s="7"/>
      <c r="L760" s="6" t="s">
        <v>31</v>
      </c>
      <c r="M760" s="9" t="s">
        <v>30</v>
      </c>
      <c r="N760" s="7" t="s">
        <v>1654</v>
      </c>
      <c r="P760" t="e">
        <f>IF(N760="","",  IF(N760="Excluded", N760,  IF(N760="included in industry", N760,   _xlfn.XLOOKUP(N760, [1]unittypedata!$AD:$AD,[1]unittypedata!$D:$D)   )))</f>
        <v>#N/A</v>
      </c>
    </row>
    <row r="761" spans="1:16">
      <c r="A761" s="5" t="s">
        <v>1084</v>
      </c>
      <c r="B761" s="5" t="s">
        <v>1089</v>
      </c>
      <c r="C761" s="6" t="s">
        <v>29</v>
      </c>
      <c r="D761" s="7">
        <v>2007</v>
      </c>
      <c r="E761" s="6">
        <v>2</v>
      </c>
      <c r="F761" s="7" t="s">
        <v>30</v>
      </c>
      <c r="G761" s="8">
        <v>2.4</v>
      </c>
      <c r="H761" s="7" t="s">
        <v>158</v>
      </c>
      <c r="I761" s="8">
        <v>2.4</v>
      </c>
      <c r="J761" s="7"/>
      <c r="K761" s="7"/>
      <c r="L761" s="6" t="s">
        <v>46</v>
      </c>
      <c r="M761" s="9" t="s">
        <v>30</v>
      </c>
      <c r="N761" s="7" t="s">
        <v>1653</v>
      </c>
      <c r="P761" t="e">
        <f>IF(N761="","",  IF(N761="Excluded", N761,  IF(N761="included in industry", N761,   _xlfn.XLOOKUP(N761, [1]unittypedata!$AD:$AD,[1]unittypedata!$D:$D)   )))</f>
        <v>#N/A</v>
      </c>
    </row>
    <row r="762" spans="1:16">
      <c r="A762" s="5" t="s">
        <v>1084</v>
      </c>
      <c r="B762" s="5" t="s">
        <v>1090</v>
      </c>
      <c r="C762" s="6" t="s">
        <v>29</v>
      </c>
      <c r="D762" s="7">
        <v>2007</v>
      </c>
      <c r="E762" s="6">
        <v>2</v>
      </c>
      <c r="F762" s="7" t="s">
        <v>30</v>
      </c>
      <c r="G762" s="8">
        <v>2.4</v>
      </c>
      <c r="H762" s="7" t="s">
        <v>158</v>
      </c>
      <c r="I762" s="8">
        <v>2.4</v>
      </c>
      <c r="J762" s="7"/>
      <c r="K762" s="7"/>
      <c r="L762" s="6" t="s">
        <v>46</v>
      </c>
      <c r="M762" s="9" t="s">
        <v>30</v>
      </c>
      <c r="N762" s="7" t="s">
        <v>1653</v>
      </c>
      <c r="P762" t="e">
        <f>IF(N762="","",  IF(N762="Excluded", N762,  IF(N762="included in industry", N762,   _xlfn.XLOOKUP(N762, [1]unittypedata!$AD:$AD,[1]unittypedata!$D:$D)   )))</f>
        <v>#N/A</v>
      </c>
    </row>
    <row r="763" spans="1:16">
      <c r="A763" s="29" t="s">
        <v>1091</v>
      </c>
      <c r="B763" s="29"/>
      <c r="C763" s="30"/>
      <c r="D763" s="31"/>
      <c r="E763" s="30"/>
      <c r="F763" s="31">
        <v>4266.8</v>
      </c>
      <c r="G763" s="32">
        <v>12812.099999999995</v>
      </c>
      <c r="H763" s="31">
        <v>712.2</v>
      </c>
      <c r="I763" s="32">
        <v>18925</v>
      </c>
      <c r="J763" s="31">
        <v>2866</v>
      </c>
      <c r="K763" s="31"/>
      <c r="L763" s="33"/>
      <c r="M763" s="34">
        <v>79.200000000000017</v>
      </c>
      <c r="N763" t="s">
        <v>58</v>
      </c>
      <c r="P763" t="str">
        <f>IF(N763="","",  IF(N763="Excluded", N763,  IF(N763="included in industry", N763,   _xlfn.XLOOKUP(N763, [1]unittypedata!$AD:$AD,[1]unittypedata!$D:$D)   )))</f>
        <v>Excluded</v>
      </c>
    </row>
    <row r="764" spans="1:16">
      <c r="A764" s="11" t="s">
        <v>1092</v>
      </c>
      <c r="B764" s="11" t="s">
        <v>1093</v>
      </c>
      <c r="C764" s="12" t="s">
        <v>29</v>
      </c>
      <c r="D764" s="13">
        <v>2009</v>
      </c>
      <c r="E764" s="12">
        <v>1</v>
      </c>
      <c r="F764" s="13" t="s">
        <v>30</v>
      </c>
      <c r="G764" s="14">
        <v>0.8</v>
      </c>
      <c r="H764" s="13" t="s">
        <v>30</v>
      </c>
      <c r="I764" s="14">
        <v>0.8</v>
      </c>
      <c r="J764" s="13"/>
      <c r="K764" s="13"/>
      <c r="L764" s="12" t="s">
        <v>46</v>
      </c>
      <c r="M764" s="15" t="s">
        <v>30</v>
      </c>
      <c r="N764" s="7" t="s">
        <v>1653</v>
      </c>
      <c r="P764" t="e">
        <f>IF(N764="","",  IF(N764="Excluded", N764,  IF(N764="included in industry", N764,   _xlfn.XLOOKUP(N764, [1]unittypedata!$AD:$AD,[1]unittypedata!$D:$D)   )))</f>
        <v>#N/A</v>
      </c>
    </row>
    <row r="765" spans="1:16">
      <c r="A765" s="5" t="s">
        <v>1094</v>
      </c>
      <c r="B765" s="5" t="s">
        <v>1095</v>
      </c>
      <c r="C765" s="6" t="s">
        <v>52</v>
      </c>
      <c r="D765" s="7">
        <v>1982</v>
      </c>
      <c r="E765" s="6">
        <v>1</v>
      </c>
      <c r="F765" s="7">
        <v>50</v>
      </c>
      <c r="G765" s="8" t="s">
        <v>30</v>
      </c>
      <c r="H765" s="7" t="s">
        <v>30</v>
      </c>
      <c r="I765" s="8">
        <v>50</v>
      </c>
      <c r="J765" s="7">
        <v>40</v>
      </c>
      <c r="K765" s="7"/>
      <c r="L765" s="6" t="s">
        <v>253</v>
      </c>
      <c r="M765" s="9" t="s">
        <v>30</v>
      </c>
      <c r="N765" s="7" t="s">
        <v>1656</v>
      </c>
      <c r="P765" t="e">
        <f>IF(N765="","",  IF(N765="Excluded", N765,  IF(N765="included in industry", N765,   _xlfn.XLOOKUP(N765, [1]unittypedata!$AD:$AD,[1]unittypedata!$D:$D)   )))</f>
        <v>#N/A</v>
      </c>
    </row>
    <row r="766" spans="1:16">
      <c r="A766" s="11" t="s">
        <v>1094</v>
      </c>
      <c r="B766" s="11" t="s">
        <v>1096</v>
      </c>
      <c r="C766" s="12" t="s">
        <v>52</v>
      </c>
      <c r="D766" s="13">
        <v>2002</v>
      </c>
      <c r="E766" s="12">
        <v>1</v>
      </c>
      <c r="F766" s="13">
        <v>100</v>
      </c>
      <c r="G766" s="14" t="s">
        <v>30</v>
      </c>
      <c r="H766" s="13" t="s">
        <v>30</v>
      </c>
      <c r="I766" s="14">
        <v>100</v>
      </c>
      <c r="J766" s="13">
        <v>232</v>
      </c>
      <c r="K766" s="13"/>
      <c r="L766" s="12" t="s">
        <v>118</v>
      </c>
      <c r="M766" s="15" t="s">
        <v>30</v>
      </c>
      <c r="N766" s="7" t="s">
        <v>1656</v>
      </c>
      <c r="P766" t="e">
        <f>IF(N766="","",  IF(N766="Excluded", N766,  IF(N766="included in industry", N766,   _xlfn.XLOOKUP(N766, [1]unittypedata!$AD:$AD,[1]unittypedata!$D:$D)   )))</f>
        <v>#N/A</v>
      </c>
    </row>
    <row r="767" spans="1:16">
      <c r="A767" s="16" t="s">
        <v>1097</v>
      </c>
      <c r="B767" s="16" t="s">
        <v>1097</v>
      </c>
      <c r="C767" s="17" t="s">
        <v>29</v>
      </c>
      <c r="D767" s="18" t="s">
        <v>158</v>
      </c>
      <c r="E767" s="17" t="s">
        <v>158</v>
      </c>
      <c r="F767" s="18" t="s">
        <v>30</v>
      </c>
      <c r="G767" s="19" t="s">
        <v>158</v>
      </c>
      <c r="H767" s="18" t="s">
        <v>158</v>
      </c>
      <c r="I767" s="19" t="s">
        <v>158</v>
      </c>
      <c r="J767" s="18"/>
      <c r="K767" s="18"/>
      <c r="L767" s="17" t="s">
        <v>68</v>
      </c>
      <c r="M767" s="20" t="s">
        <v>30</v>
      </c>
      <c r="N767" s="7" t="s">
        <v>58</v>
      </c>
      <c r="P767" t="str">
        <f>IF(N767="","",  IF(N767="Excluded", N767,  IF(N767="included in industry", N767,   _xlfn.XLOOKUP(N767, [1]unittypedata!$AD:$AD,[1]unittypedata!$D:$D)   )))</f>
        <v>Excluded</v>
      </c>
    </row>
    <row r="768" spans="1:16">
      <c r="A768" s="16" t="s">
        <v>1098</v>
      </c>
      <c r="B768" s="16" t="s">
        <v>1099</v>
      </c>
      <c r="C768" s="17" t="s">
        <v>29</v>
      </c>
      <c r="D768" s="18">
        <v>1983</v>
      </c>
      <c r="E768" s="17" t="s">
        <v>30</v>
      </c>
      <c r="F768" s="18" t="s">
        <v>30</v>
      </c>
      <c r="G768" s="19" t="s">
        <v>30</v>
      </c>
      <c r="H768" s="18" t="s">
        <v>158</v>
      </c>
      <c r="I768" s="19" t="s">
        <v>158</v>
      </c>
      <c r="J768" s="18"/>
      <c r="K768" s="18"/>
      <c r="L768" s="17" t="s">
        <v>1100</v>
      </c>
      <c r="M768" s="20" t="s">
        <v>30</v>
      </c>
      <c r="N768" s="7" t="s">
        <v>58</v>
      </c>
      <c r="P768" t="str">
        <f>IF(N768="","",  IF(N768="Excluded", N768,  IF(N768="included in industry", N768,   _xlfn.XLOOKUP(N768, [1]unittypedata!$AD:$AD,[1]unittypedata!$D:$D)   )))</f>
        <v>Excluded</v>
      </c>
    </row>
    <row r="769" spans="1:16">
      <c r="A769" s="16" t="s">
        <v>1101</v>
      </c>
      <c r="B769" s="16" t="s">
        <v>1102</v>
      </c>
      <c r="C769" s="17" t="s">
        <v>29</v>
      </c>
      <c r="D769" s="18">
        <v>2005</v>
      </c>
      <c r="E769" s="17" t="s">
        <v>30</v>
      </c>
      <c r="F769" s="18" t="s">
        <v>30</v>
      </c>
      <c r="G769" s="19" t="s">
        <v>30</v>
      </c>
      <c r="H769" s="18">
        <v>3</v>
      </c>
      <c r="I769" s="19">
        <v>3</v>
      </c>
      <c r="J769" s="18"/>
      <c r="K769" s="18"/>
      <c r="L769" s="17" t="s">
        <v>1100</v>
      </c>
      <c r="M769" s="20" t="s">
        <v>30</v>
      </c>
      <c r="N769" s="7" t="s">
        <v>1653</v>
      </c>
      <c r="P769" t="e">
        <f>IF(N769="","",  IF(N769="Excluded", N769,  IF(N769="included in industry", N769,   _xlfn.XLOOKUP(N769, [1]unittypedata!$AD:$AD,[1]unittypedata!$D:$D)   )))</f>
        <v>#N/A</v>
      </c>
    </row>
    <row r="770" spans="1:16">
      <c r="A770" s="16" t="s">
        <v>1103</v>
      </c>
      <c r="B770" s="16" t="s">
        <v>1103</v>
      </c>
      <c r="C770" s="17" t="s">
        <v>52</v>
      </c>
      <c r="D770" s="18">
        <v>1984</v>
      </c>
      <c r="E770" s="17">
        <v>3</v>
      </c>
      <c r="F770" s="18">
        <v>90</v>
      </c>
      <c r="G770" s="19" t="s">
        <v>30</v>
      </c>
      <c r="H770" s="18">
        <v>15</v>
      </c>
      <c r="I770" s="19">
        <v>105</v>
      </c>
      <c r="J770" s="18">
        <v>16</v>
      </c>
      <c r="K770" s="18"/>
      <c r="L770" s="17" t="s">
        <v>85</v>
      </c>
      <c r="M770" s="20" t="s">
        <v>30</v>
      </c>
      <c r="N770" s="7" t="s">
        <v>1659</v>
      </c>
      <c r="P770" t="e">
        <f>IF(N770="","",  IF(N770="Excluded", N770,  IF(N770="included in industry", N770,   _xlfn.XLOOKUP(N770, [1]unittypedata!$AD:$AD,[1]unittypedata!$D:$D)   )))</f>
        <v>#N/A</v>
      </c>
    </row>
    <row r="771" spans="1:16">
      <c r="A771" s="23" t="s">
        <v>1104</v>
      </c>
      <c r="B771" s="23" t="s">
        <v>1105</v>
      </c>
      <c r="C771" s="24" t="s">
        <v>29</v>
      </c>
      <c r="D771" s="25">
        <v>2009</v>
      </c>
      <c r="E771" s="24">
        <v>1</v>
      </c>
      <c r="F771" s="25" t="s">
        <v>30</v>
      </c>
      <c r="G771" s="26">
        <v>4</v>
      </c>
      <c r="H771" s="25" t="s">
        <v>30</v>
      </c>
      <c r="I771" s="26">
        <v>4</v>
      </c>
      <c r="J771" s="25"/>
      <c r="K771" s="25"/>
      <c r="L771" s="24" t="s">
        <v>68</v>
      </c>
      <c r="M771" s="27" t="s">
        <v>30</v>
      </c>
      <c r="N771" s="7" t="s">
        <v>1657</v>
      </c>
      <c r="P771" t="e">
        <f>IF(N771="","",  IF(N771="Excluded", N771,  IF(N771="included in industry", N771,   _xlfn.XLOOKUP(N771, [1]unittypedata!$AD:$AD,[1]unittypedata!$D:$D)   )))</f>
        <v>#N/A</v>
      </c>
    </row>
    <row r="772" spans="1:16">
      <c r="A772" s="5" t="s">
        <v>1106</v>
      </c>
      <c r="B772" s="5" t="s">
        <v>1107</v>
      </c>
      <c r="C772" s="6" t="s">
        <v>29</v>
      </c>
      <c r="D772" s="7">
        <v>2002</v>
      </c>
      <c r="E772" s="6">
        <v>1</v>
      </c>
      <c r="F772" s="7" t="s">
        <v>30</v>
      </c>
      <c r="G772" s="8">
        <v>0.7</v>
      </c>
      <c r="H772" s="7" t="s">
        <v>30</v>
      </c>
      <c r="I772" s="8">
        <v>0.7</v>
      </c>
      <c r="J772" s="7"/>
      <c r="K772" s="7"/>
      <c r="L772" s="6" t="s">
        <v>46</v>
      </c>
      <c r="M772" s="9" t="s">
        <v>30</v>
      </c>
      <c r="N772" s="7" t="s">
        <v>1653</v>
      </c>
      <c r="P772" t="e">
        <f>IF(N772="","",  IF(N772="Excluded", N772,  IF(N772="included in industry", N772,   _xlfn.XLOOKUP(N772, [1]unittypedata!$AD:$AD,[1]unittypedata!$D:$D)   )))</f>
        <v>#N/A</v>
      </c>
    </row>
    <row r="773" spans="1:16">
      <c r="A773" s="5" t="s">
        <v>1106</v>
      </c>
      <c r="B773" s="5" t="s">
        <v>1107</v>
      </c>
      <c r="C773" s="6" t="s">
        <v>29</v>
      </c>
      <c r="D773" s="7">
        <v>2002</v>
      </c>
      <c r="E773" s="6">
        <v>1</v>
      </c>
      <c r="F773" s="7" t="s">
        <v>30</v>
      </c>
      <c r="G773" s="8">
        <v>1</v>
      </c>
      <c r="H773" s="7" t="s">
        <v>30</v>
      </c>
      <c r="I773" s="8">
        <v>1</v>
      </c>
      <c r="J773" s="7"/>
      <c r="K773" s="7"/>
      <c r="L773" s="6" t="s">
        <v>31</v>
      </c>
      <c r="M773" s="9" t="s">
        <v>30</v>
      </c>
      <c r="N773" s="7" t="s">
        <v>1654</v>
      </c>
      <c r="P773" t="e">
        <f>IF(N773="","",  IF(N773="Excluded", N773,  IF(N773="included in industry", N773,   _xlfn.XLOOKUP(N773, [1]unittypedata!$AD:$AD,[1]unittypedata!$D:$D)   )))</f>
        <v>#N/A</v>
      </c>
    </row>
    <row r="774" spans="1:16">
      <c r="A774" s="16" t="s">
        <v>1108</v>
      </c>
      <c r="B774" s="16" t="s">
        <v>1109</v>
      </c>
      <c r="C774" s="17" t="s">
        <v>29</v>
      </c>
      <c r="D774" s="18">
        <v>2012</v>
      </c>
      <c r="E774" s="17">
        <v>1</v>
      </c>
      <c r="F774" s="18" t="s">
        <v>30</v>
      </c>
      <c r="G774" s="19">
        <v>8</v>
      </c>
      <c r="H774" s="18" t="s">
        <v>30</v>
      </c>
      <c r="I774" s="19">
        <v>8</v>
      </c>
      <c r="J774" s="18"/>
      <c r="K774" s="18"/>
      <c r="L774" s="17" t="s">
        <v>46</v>
      </c>
      <c r="M774" s="20" t="s">
        <v>30</v>
      </c>
      <c r="N774" s="7" t="s">
        <v>1653</v>
      </c>
      <c r="P774" t="e">
        <f>IF(N774="","",  IF(N774="Excluded", N774,  IF(N774="included in industry", N774,   _xlfn.XLOOKUP(N774, [1]unittypedata!$AD:$AD,[1]unittypedata!$D:$D)   )))</f>
        <v>#N/A</v>
      </c>
    </row>
    <row r="775" spans="1:16">
      <c r="A775" s="16" t="s">
        <v>1110</v>
      </c>
      <c r="B775" s="16" t="s">
        <v>1110</v>
      </c>
      <c r="C775" s="17" t="s">
        <v>52</v>
      </c>
      <c r="D775" s="18">
        <v>1972</v>
      </c>
      <c r="E775" s="17">
        <v>2</v>
      </c>
      <c r="F775" s="18" t="s">
        <v>30</v>
      </c>
      <c r="G775" s="19">
        <v>16</v>
      </c>
      <c r="H775" s="18" t="s">
        <v>30</v>
      </c>
      <c r="I775" s="19">
        <v>16</v>
      </c>
      <c r="J775" s="18">
        <v>16</v>
      </c>
      <c r="K775" s="18"/>
      <c r="L775" s="17" t="s">
        <v>46</v>
      </c>
      <c r="M775" s="20" t="s">
        <v>30</v>
      </c>
      <c r="N775" s="7" t="s">
        <v>1656</v>
      </c>
      <c r="P775" t="e">
        <f>IF(N775="","",  IF(N775="Excluded", N775,  IF(N775="included in industry", N775,   _xlfn.XLOOKUP(N775, [1]unittypedata!$AD:$AD,[1]unittypedata!$D:$D)   )))</f>
        <v>#N/A</v>
      </c>
    </row>
    <row r="776" spans="1:16">
      <c r="A776" s="23" t="s">
        <v>1111</v>
      </c>
      <c r="B776" s="23" t="s">
        <v>1112</v>
      </c>
      <c r="C776" s="24" t="s">
        <v>29</v>
      </c>
      <c r="D776" s="25">
        <v>2017</v>
      </c>
      <c r="E776" s="24">
        <v>1</v>
      </c>
      <c r="F776" s="25" t="s">
        <v>30</v>
      </c>
      <c r="G776" s="26">
        <v>0.5</v>
      </c>
      <c r="H776" s="25" t="s">
        <v>30</v>
      </c>
      <c r="I776" s="26">
        <v>0.5</v>
      </c>
      <c r="J776" s="25"/>
      <c r="K776" s="25"/>
      <c r="L776" s="24" t="s">
        <v>1113</v>
      </c>
      <c r="M776" s="27" t="s">
        <v>30</v>
      </c>
      <c r="N776" s="7" t="s">
        <v>1653</v>
      </c>
      <c r="P776" t="e">
        <f>IF(N776="","",  IF(N776="Excluded", N776,  IF(N776="included in industry", N776,   _xlfn.XLOOKUP(N776, [1]unittypedata!$AD:$AD,[1]unittypedata!$D:$D)   )))</f>
        <v>#N/A</v>
      </c>
    </row>
    <row r="777" spans="1:16">
      <c r="A777" s="5" t="s">
        <v>1114</v>
      </c>
      <c r="B777" s="5" t="s">
        <v>1115</v>
      </c>
      <c r="C777" s="6" t="s">
        <v>29</v>
      </c>
      <c r="D777" s="7">
        <v>2010</v>
      </c>
      <c r="E777" s="6">
        <v>1</v>
      </c>
      <c r="F777" s="7" t="s">
        <v>30</v>
      </c>
      <c r="G777" s="8">
        <v>0.7</v>
      </c>
      <c r="H777" s="7" t="s">
        <v>30</v>
      </c>
      <c r="I777" s="8">
        <v>0.7</v>
      </c>
      <c r="J777" s="7"/>
      <c r="K777" s="7"/>
      <c r="L777" s="6" t="s">
        <v>46</v>
      </c>
      <c r="M777" s="9" t="s">
        <v>30</v>
      </c>
      <c r="N777" s="7" t="s">
        <v>1653</v>
      </c>
      <c r="P777" t="e">
        <f>IF(N777="","",  IF(N777="Excluded", N777,  IF(N777="included in industry", N777,   _xlfn.XLOOKUP(N777, [1]unittypedata!$AD:$AD,[1]unittypedata!$D:$D)   )))</f>
        <v>#N/A</v>
      </c>
    </row>
    <row r="778" spans="1:16">
      <c r="A778" s="5" t="s">
        <v>1114</v>
      </c>
      <c r="B778" s="5" t="s">
        <v>860</v>
      </c>
      <c r="C778" s="6" t="s">
        <v>29</v>
      </c>
      <c r="D778" s="7">
        <v>2004</v>
      </c>
      <c r="E778" s="6">
        <v>1</v>
      </c>
      <c r="F778" s="7" t="s">
        <v>30</v>
      </c>
      <c r="G778" s="8">
        <v>0.4</v>
      </c>
      <c r="H778" s="7" t="s">
        <v>30</v>
      </c>
      <c r="I778" s="8">
        <v>0.4</v>
      </c>
      <c r="J778" s="7"/>
      <c r="K778" s="7"/>
      <c r="L778" s="6" t="s">
        <v>46</v>
      </c>
      <c r="M778" s="9" t="s">
        <v>30</v>
      </c>
      <c r="N778" s="7" t="s">
        <v>1653</v>
      </c>
      <c r="P778" t="e">
        <f>IF(N778="","",  IF(N778="Excluded", N778,  IF(N778="included in industry", N778,   _xlfn.XLOOKUP(N778, [1]unittypedata!$AD:$AD,[1]unittypedata!$D:$D)   )))</f>
        <v>#N/A</v>
      </c>
    </row>
    <row r="779" spans="1:16">
      <c r="A779" s="5" t="s">
        <v>1114</v>
      </c>
      <c r="B779" s="5" t="s">
        <v>1116</v>
      </c>
      <c r="C779" s="6" t="s">
        <v>29</v>
      </c>
      <c r="D779" s="7">
        <v>2004</v>
      </c>
      <c r="E779" s="6">
        <v>1</v>
      </c>
      <c r="F779" s="7" t="s">
        <v>30</v>
      </c>
      <c r="G779" s="8">
        <v>0.3</v>
      </c>
      <c r="H779" s="7" t="s">
        <v>30</v>
      </c>
      <c r="I779" s="8">
        <v>0.3</v>
      </c>
      <c r="J779" s="7"/>
      <c r="K779" s="7"/>
      <c r="L779" s="6" t="s">
        <v>46</v>
      </c>
      <c r="M779" s="9" t="s">
        <v>30</v>
      </c>
      <c r="N779" s="7" t="s">
        <v>1653</v>
      </c>
      <c r="P779" t="e">
        <f>IF(N779="","",  IF(N779="Excluded", N779,  IF(N779="included in industry", N779,   _xlfn.XLOOKUP(N779, [1]unittypedata!$AD:$AD,[1]unittypedata!$D:$D)   )))</f>
        <v>#N/A</v>
      </c>
    </row>
    <row r="780" spans="1:16">
      <c r="A780" s="5" t="s">
        <v>1114</v>
      </c>
      <c r="B780" s="5" t="s">
        <v>1117</v>
      </c>
      <c r="C780" s="6" t="s">
        <v>29</v>
      </c>
      <c r="D780" s="7">
        <v>2007</v>
      </c>
      <c r="E780" s="6">
        <v>1</v>
      </c>
      <c r="F780" s="7" t="s">
        <v>30</v>
      </c>
      <c r="G780" s="8">
        <v>0.3</v>
      </c>
      <c r="H780" s="7" t="s">
        <v>30</v>
      </c>
      <c r="I780" s="8">
        <v>0.3</v>
      </c>
      <c r="J780" s="7"/>
      <c r="K780" s="7"/>
      <c r="L780" s="6" t="s">
        <v>46</v>
      </c>
      <c r="M780" s="9" t="s">
        <v>30</v>
      </c>
      <c r="N780" s="7" t="s">
        <v>1653</v>
      </c>
      <c r="P780" t="e">
        <f>IF(N780="","",  IF(N780="Excluded", N780,  IF(N780="included in industry", N780,   _xlfn.XLOOKUP(N780, [1]unittypedata!$AD:$AD,[1]unittypedata!$D:$D)   )))</f>
        <v>#N/A</v>
      </c>
    </row>
    <row r="781" spans="1:16">
      <c r="A781" s="5" t="s">
        <v>1114</v>
      </c>
      <c r="B781" s="5" t="s">
        <v>1118</v>
      </c>
      <c r="C781" s="6" t="s">
        <v>29</v>
      </c>
      <c r="D781" s="7">
        <v>2005</v>
      </c>
      <c r="E781" s="6">
        <v>1</v>
      </c>
      <c r="F781" s="7" t="s">
        <v>30</v>
      </c>
      <c r="G781" s="8">
        <v>1</v>
      </c>
      <c r="H781" s="7" t="s">
        <v>30</v>
      </c>
      <c r="I781" s="8">
        <v>1</v>
      </c>
      <c r="J781" s="7"/>
      <c r="K781" s="7"/>
      <c r="L781" s="6" t="s">
        <v>46</v>
      </c>
      <c r="M781" s="9" t="s">
        <v>30</v>
      </c>
      <c r="N781" s="7" t="s">
        <v>1653</v>
      </c>
      <c r="P781" t="e">
        <f>IF(N781="","",  IF(N781="Excluded", N781,  IF(N781="included in industry", N781,   _xlfn.XLOOKUP(N781, [1]unittypedata!$AD:$AD,[1]unittypedata!$D:$D)   )))</f>
        <v>#N/A</v>
      </c>
    </row>
    <row r="782" spans="1:16">
      <c r="A782" s="5" t="s">
        <v>1114</v>
      </c>
      <c r="B782" s="5" t="s">
        <v>1119</v>
      </c>
      <c r="C782" s="6" t="s">
        <v>29</v>
      </c>
      <c r="D782" s="7">
        <v>2003</v>
      </c>
      <c r="E782" s="6">
        <v>1</v>
      </c>
      <c r="F782" s="7" t="s">
        <v>30</v>
      </c>
      <c r="G782" s="8">
        <v>1</v>
      </c>
      <c r="H782" s="7" t="s">
        <v>30</v>
      </c>
      <c r="I782" s="8">
        <v>1</v>
      </c>
      <c r="J782" s="7"/>
      <c r="K782" s="7"/>
      <c r="L782" s="6" t="s">
        <v>46</v>
      </c>
      <c r="M782" s="9" t="s">
        <v>30</v>
      </c>
      <c r="N782" s="7" t="s">
        <v>1653</v>
      </c>
      <c r="P782" t="e">
        <f>IF(N782="","",  IF(N782="Excluded", N782,  IF(N782="included in industry", N782,   _xlfn.XLOOKUP(N782, [1]unittypedata!$AD:$AD,[1]unittypedata!$D:$D)   )))</f>
        <v>#N/A</v>
      </c>
    </row>
    <row r="783" spans="1:16">
      <c r="A783" s="16" t="s">
        <v>1120</v>
      </c>
      <c r="B783" s="16" t="s">
        <v>1120</v>
      </c>
      <c r="C783" s="17" t="s">
        <v>29</v>
      </c>
      <c r="D783" s="18">
        <v>2007</v>
      </c>
      <c r="E783" s="17">
        <v>1</v>
      </c>
      <c r="F783" s="18" t="s">
        <v>30</v>
      </c>
      <c r="G783" s="19">
        <v>2</v>
      </c>
      <c r="H783" s="18" t="s">
        <v>30</v>
      </c>
      <c r="I783" s="19">
        <v>2</v>
      </c>
      <c r="J783" s="18"/>
      <c r="K783" s="18"/>
      <c r="L783" s="17" t="s">
        <v>46</v>
      </c>
      <c r="M783" s="20" t="s">
        <v>30</v>
      </c>
      <c r="N783" s="7" t="s">
        <v>1653</v>
      </c>
      <c r="P783" t="e">
        <f>IF(N783="","",  IF(N783="Excluded", N783,  IF(N783="included in industry", N783,   _xlfn.XLOOKUP(N783, [1]unittypedata!$AD:$AD,[1]unittypedata!$D:$D)   )))</f>
        <v>#N/A</v>
      </c>
    </row>
    <row r="784" spans="1:16">
      <c r="A784" s="16" t="s">
        <v>1121</v>
      </c>
      <c r="B784" s="16" t="s">
        <v>1122</v>
      </c>
      <c r="C784" s="17" t="s">
        <v>29</v>
      </c>
      <c r="D784" s="18">
        <v>2002</v>
      </c>
      <c r="E784" s="17">
        <v>3</v>
      </c>
      <c r="F784" s="18" t="s">
        <v>30</v>
      </c>
      <c r="G784" s="19">
        <v>4</v>
      </c>
      <c r="H784" s="18" t="s">
        <v>30</v>
      </c>
      <c r="I784" s="19">
        <v>4</v>
      </c>
      <c r="J784" s="18"/>
      <c r="K784" s="18"/>
      <c r="L784" s="17" t="s">
        <v>253</v>
      </c>
      <c r="M784" s="20" t="s">
        <v>30</v>
      </c>
      <c r="N784" s="7" t="s">
        <v>1653</v>
      </c>
      <c r="P784" t="e">
        <f>IF(N784="","",  IF(N784="Excluded", N784,  IF(N784="included in industry", N784,   _xlfn.XLOOKUP(N784, [1]unittypedata!$AD:$AD,[1]unittypedata!$D:$D)   )))</f>
        <v>#N/A</v>
      </c>
    </row>
    <row r="785" spans="1:16">
      <c r="A785" s="23" t="s">
        <v>1123</v>
      </c>
      <c r="B785" s="23" t="s">
        <v>1124</v>
      </c>
      <c r="C785" s="24" t="s">
        <v>52</v>
      </c>
      <c r="D785" s="25">
        <v>2003</v>
      </c>
      <c r="E785" s="24">
        <v>1</v>
      </c>
      <c r="F785" s="25">
        <v>44</v>
      </c>
      <c r="G785" s="26">
        <v>25</v>
      </c>
      <c r="H785" s="25" t="s">
        <v>30</v>
      </c>
      <c r="I785" s="26">
        <v>69</v>
      </c>
      <c r="J785" s="25">
        <v>20</v>
      </c>
      <c r="K785" s="25"/>
      <c r="L785" s="24" t="s">
        <v>253</v>
      </c>
      <c r="M785" s="27" t="s">
        <v>30</v>
      </c>
      <c r="N785" s="7" t="s">
        <v>1656</v>
      </c>
      <c r="P785" t="e">
        <f>IF(N785="","",  IF(N785="Excluded", N785,  IF(N785="included in industry", N785,   _xlfn.XLOOKUP(N785, [1]unittypedata!$AD:$AD,[1]unittypedata!$D:$D)   )))</f>
        <v>#N/A</v>
      </c>
    </row>
    <row r="786" spans="1:16">
      <c r="A786" s="5" t="s">
        <v>1125</v>
      </c>
      <c r="B786" s="5" t="s">
        <v>829</v>
      </c>
      <c r="C786" s="6" t="s">
        <v>29</v>
      </c>
      <c r="D786" s="7">
        <v>1999</v>
      </c>
      <c r="E786" s="6">
        <v>2</v>
      </c>
      <c r="F786" s="7" t="s">
        <v>30</v>
      </c>
      <c r="G786" s="8">
        <v>3.4</v>
      </c>
      <c r="H786" s="7" t="s">
        <v>30</v>
      </c>
      <c r="I786" s="8">
        <v>3.4</v>
      </c>
      <c r="J786" s="7"/>
      <c r="K786" s="7"/>
      <c r="L786" s="6" t="s">
        <v>46</v>
      </c>
      <c r="M786" s="9" t="s">
        <v>30</v>
      </c>
      <c r="N786" s="7" t="s">
        <v>1653</v>
      </c>
      <c r="P786" t="e">
        <f>IF(N786="","",  IF(N786="Excluded", N786,  IF(N786="included in industry", N786,   _xlfn.XLOOKUP(N786, [1]unittypedata!$AD:$AD,[1]unittypedata!$D:$D)   )))</f>
        <v>#N/A</v>
      </c>
    </row>
    <row r="787" spans="1:16">
      <c r="A787" s="5" t="s">
        <v>1125</v>
      </c>
      <c r="B787" s="5" t="s">
        <v>830</v>
      </c>
      <c r="C787" s="6" t="s">
        <v>29</v>
      </c>
      <c r="D787" s="7">
        <v>1970</v>
      </c>
      <c r="E787" s="6">
        <v>3</v>
      </c>
      <c r="F787" s="7" t="s">
        <v>30</v>
      </c>
      <c r="G787" s="8">
        <v>4</v>
      </c>
      <c r="H787" s="7" t="s">
        <v>30</v>
      </c>
      <c r="I787" s="8">
        <v>4</v>
      </c>
      <c r="J787" s="7"/>
      <c r="K787" s="7"/>
      <c r="L787" s="6" t="s">
        <v>31</v>
      </c>
      <c r="M787" s="9" t="s">
        <v>30</v>
      </c>
      <c r="N787" s="7" t="s">
        <v>1654</v>
      </c>
      <c r="P787" t="e">
        <f>IF(N787="","",  IF(N787="Excluded", N787,  IF(N787="included in industry", N787,   _xlfn.XLOOKUP(N787, [1]unittypedata!$AD:$AD,[1]unittypedata!$D:$D)   )))</f>
        <v>#N/A</v>
      </c>
    </row>
    <row r="788" spans="1:16">
      <c r="A788" s="11" t="s">
        <v>1125</v>
      </c>
      <c r="B788" s="11" t="s">
        <v>831</v>
      </c>
      <c r="C788" s="12" t="s">
        <v>29</v>
      </c>
      <c r="D788" s="13">
        <v>2003</v>
      </c>
      <c r="E788" s="12">
        <v>2</v>
      </c>
      <c r="F788" s="13" t="s">
        <v>30</v>
      </c>
      <c r="G788" s="14">
        <v>1.8</v>
      </c>
      <c r="H788" s="13" t="s">
        <v>30</v>
      </c>
      <c r="I788" s="14">
        <v>1.8</v>
      </c>
      <c r="J788" s="13"/>
      <c r="K788" s="13"/>
      <c r="L788" s="12" t="s">
        <v>46</v>
      </c>
      <c r="M788" s="15" t="s">
        <v>30</v>
      </c>
      <c r="N788" s="7" t="s">
        <v>1653</v>
      </c>
      <c r="P788" t="e">
        <f>IF(N788="","",  IF(N788="Excluded", N788,  IF(N788="included in industry", N788,   _xlfn.XLOOKUP(N788, [1]unittypedata!$AD:$AD,[1]unittypedata!$D:$D)   )))</f>
        <v>#N/A</v>
      </c>
    </row>
    <row r="789" spans="1:16">
      <c r="A789" s="5" t="s">
        <v>1126</v>
      </c>
      <c r="B789" s="5" t="s">
        <v>1127</v>
      </c>
      <c r="C789" s="6" t="s">
        <v>52</v>
      </c>
      <c r="D789" s="7">
        <v>1989</v>
      </c>
      <c r="E789" s="6">
        <v>1</v>
      </c>
      <c r="F789" s="7">
        <v>100</v>
      </c>
      <c r="G789" s="8">
        <v>63</v>
      </c>
      <c r="H789" s="7" t="s">
        <v>30</v>
      </c>
      <c r="I789" s="8">
        <v>163</v>
      </c>
      <c r="J789" s="7">
        <v>45</v>
      </c>
      <c r="K789" s="7"/>
      <c r="L789" s="6" t="s">
        <v>46</v>
      </c>
      <c r="M789" s="9" t="s">
        <v>30</v>
      </c>
      <c r="N789" s="7" t="s">
        <v>1656</v>
      </c>
      <c r="P789" t="e">
        <f>IF(N789="","",  IF(N789="Excluded", N789,  IF(N789="included in industry", N789,   _xlfn.XLOOKUP(N789, [1]unittypedata!$AD:$AD,[1]unittypedata!$D:$D)   )))</f>
        <v>#N/A</v>
      </c>
    </row>
    <row r="790" spans="1:16">
      <c r="A790" s="5" t="s">
        <v>1126</v>
      </c>
      <c r="B790" s="5" t="s">
        <v>1127</v>
      </c>
      <c r="C790" s="6" t="s">
        <v>52</v>
      </c>
      <c r="D790" s="7">
        <v>1999</v>
      </c>
      <c r="E790" s="6">
        <v>1</v>
      </c>
      <c r="F790" s="7" t="s">
        <v>30</v>
      </c>
      <c r="G790" s="8">
        <v>105</v>
      </c>
      <c r="H790" s="7" t="s">
        <v>30</v>
      </c>
      <c r="I790" s="8">
        <v>105</v>
      </c>
      <c r="J790" s="7" t="s">
        <v>158</v>
      </c>
      <c r="K790" s="7"/>
      <c r="L790" s="6" t="s">
        <v>36</v>
      </c>
      <c r="M790" s="9" t="s">
        <v>30</v>
      </c>
      <c r="N790" s="7" t="s">
        <v>1657</v>
      </c>
      <c r="P790" t="e">
        <f>IF(N790="","",  IF(N790="Excluded", N790,  IF(N790="included in industry", N790,   _xlfn.XLOOKUP(N790, [1]unittypedata!$AD:$AD,[1]unittypedata!$D:$D)   )))</f>
        <v>#N/A</v>
      </c>
    </row>
    <row r="791" spans="1:16">
      <c r="A791" s="16" t="s">
        <v>1128</v>
      </c>
      <c r="B791" s="16" t="s">
        <v>1129</v>
      </c>
      <c r="C791" s="17" t="s">
        <v>52</v>
      </c>
      <c r="D791" s="18">
        <v>2009</v>
      </c>
      <c r="E791" s="17">
        <v>1</v>
      </c>
      <c r="F791" s="18">
        <v>110</v>
      </c>
      <c r="G791" s="19" t="s">
        <v>30</v>
      </c>
      <c r="H791" s="18" t="s">
        <v>30</v>
      </c>
      <c r="I791" s="19">
        <v>110</v>
      </c>
      <c r="J791" s="18">
        <v>60</v>
      </c>
      <c r="K791" s="18"/>
      <c r="L791" s="17" t="s">
        <v>253</v>
      </c>
      <c r="M791" s="20" t="s">
        <v>30</v>
      </c>
      <c r="N791" s="7" t="s">
        <v>1656</v>
      </c>
      <c r="P791" t="e">
        <f>IF(N791="","",  IF(N791="Excluded", N791,  IF(N791="included in industry", N791,   _xlfn.XLOOKUP(N791, [1]unittypedata!$AD:$AD,[1]unittypedata!$D:$D)   )))</f>
        <v>#N/A</v>
      </c>
    </row>
    <row r="792" spans="1:16">
      <c r="A792" s="16" t="s">
        <v>1130</v>
      </c>
      <c r="B792" s="16" t="s">
        <v>1131</v>
      </c>
      <c r="C792" s="17" t="s">
        <v>52</v>
      </c>
      <c r="D792" s="18">
        <v>2009</v>
      </c>
      <c r="E792" s="17">
        <v>1</v>
      </c>
      <c r="F792" s="18">
        <v>50</v>
      </c>
      <c r="G792" s="19" t="s">
        <v>30</v>
      </c>
      <c r="H792" s="18">
        <v>14.2</v>
      </c>
      <c r="I792" s="19">
        <v>64.2</v>
      </c>
      <c r="J792" s="18">
        <v>20</v>
      </c>
      <c r="K792" s="18"/>
      <c r="L792" s="17" t="s">
        <v>46</v>
      </c>
      <c r="M792" s="20" t="s">
        <v>30</v>
      </c>
      <c r="N792" s="7" t="s">
        <v>1656</v>
      </c>
      <c r="P792" t="e">
        <f>IF(N792="","",  IF(N792="Excluded", N792,  IF(N792="included in industry", N792,   _xlfn.XLOOKUP(N792, [1]unittypedata!$AD:$AD,[1]unittypedata!$D:$D)   )))</f>
        <v>#N/A</v>
      </c>
    </row>
    <row r="793" spans="1:16">
      <c r="A793" s="16" t="s">
        <v>1132</v>
      </c>
      <c r="B793" s="16" t="s">
        <v>1133</v>
      </c>
      <c r="C793" s="17" t="s">
        <v>29</v>
      </c>
      <c r="D793" s="18">
        <v>2000</v>
      </c>
      <c r="E793" s="17">
        <v>1</v>
      </c>
      <c r="F793" s="18" t="s">
        <v>30</v>
      </c>
      <c r="G793" s="19">
        <v>4</v>
      </c>
      <c r="H793" s="18">
        <v>1</v>
      </c>
      <c r="I793" s="19">
        <v>5</v>
      </c>
      <c r="J793" s="18"/>
      <c r="K793" s="18"/>
      <c r="L793" s="17" t="s">
        <v>253</v>
      </c>
      <c r="M793" s="20" t="s">
        <v>30</v>
      </c>
      <c r="N793" s="7" t="s">
        <v>1653</v>
      </c>
      <c r="P793" t="e">
        <f>IF(N793="","",  IF(N793="Excluded", N793,  IF(N793="included in industry", N793,   _xlfn.XLOOKUP(N793, [1]unittypedata!$AD:$AD,[1]unittypedata!$D:$D)   )))</f>
        <v>#N/A</v>
      </c>
    </row>
    <row r="794" spans="1:16">
      <c r="A794" s="23" t="s">
        <v>1134</v>
      </c>
      <c r="B794" s="23" t="s">
        <v>1134</v>
      </c>
      <c r="C794" s="24" t="s">
        <v>29</v>
      </c>
      <c r="D794" s="25">
        <v>2018</v>
      </c>
      <c r="E794" s="24">
        <v>1</v>
      </c>
      <c r="F794" s="25" t="s">
        <v>30</v>
      </c>
      <c r="G794" s="26">
        <v>1</v>
      </c>
      <c r="H794" s="25" t="s">
        <v>30</v>
      </c>
      <c r="I794" s="26">
        <v>1</v>
      </c>
      <c r="J794" s="25"/>
      <c r="K794" s="25"/>
      <c r="L794" s="24" t="s">
        <v>253</v>
      </c>
      <c r="M794" s="27" t="s">
        <v>30</v>
      </c>
      <c r="N794" s="7" t="s">
        <v>1653</v>
      </c>
      <c r="P794" t="e">
        <f>IF(N794="","",  IF(N794="Excluded", N794,  IF(N794="included in industry", N794,   _xlfn.XLOOKUP(N794, [1]unittypedata!$AD:$AD,[1]unittypedata!$D:$D)   )))</f>
        <v>#N/A</v>
      </c>
    </row>
    <row r="795" spans="1:16">
      <c r="A795" s="5" t="s">
        <v>1135</v>
      </c>
      <c r="B795" s="5" t="s">
        <v>1136</v>
      </c>
      <c r="C795" s="6" t="s">
        <v>29</v>
      </c>
      <c r="D795" s="7">
        <v>1987</v>
      </c>
      <c r="E795" s="6">
        <v>3</v>
      </c>
      <c r="F795" s="7" t="s">
        <v>30</v>
      </c>
      <c r="G795" s="8">
        <v>48</v>
      </c>
      <c r="H795" s="7" t="s">
        <v>30</v>
      </c>
      <c r="I795" s="8">
        <v>48</v>
      </c>
      <c r="J795" s="7"/>
      <c r="K795" s="7"/>
      <c r="L795" s="6" t="s">
        <v>36</v>
      </c>
      <c r="M795" s="9" t="s">
        <v>30</v>
      </c>
      <c r="N795" s="7" t="s">
        <v>1657</v>
      </c>
      <c r="P795" t="e">
        <f>IF(N795="","",  IF(N795="Excluded", N795,  IF(N795="included in industry", N795,   _xlfn.XLOOKUP(N795, [1]unittypedata!$AD:$AD,[1]unittypedata!$D:$D)   )))</f>
        <v>#N/A</v>
      </c>
    </row>
    <row r="796" spans="1:16">
      <c r="A796" s="5" t="s">
        <v>1135</v>
      </c>
      <c r="B796" s="5" t="s">
        <v>1137</v>
      </c>
      <c r="C796" s="6" t="s">
        <v>29</v>
      </c>
      <c r="D796" s="7">
        <v>1972</v>
      </c>
      <c r="E796" s="6">
        <v>2</v>
      </c>
      <c r="F796" s="7" t="s">
        <v>30</v>
      </c>
      <c r="G796" s="8">
        <v>8.5</v>
      </c>
      <c r="H796" s="7" t="s">
        <v>30</v>
      </c>
      <c r="I796" s="8">
        <v>8.5</v>
      </c>
      <c r="J796" s="7"/>
      <c r="K796" s="7"/>
      <c r="L796" s="6" t="s">
        <v>36</v>
      </c>
      <c r="M796" s="9" t="s">
        <v>30</v>
      </c>
      <c r="N796" s="7" t="s">
        <v>1657</v>
      </c>
      <c r="P796" t="e">
        <f>IF(N796="","",  IF(N796="Excluded", N796,  IF(N796="included in industry", N796,   _xlfn.XLOOKUP(N796, [1]unittypedata!$AD:$AD,[1]unittypedata!$D:$D)   )))</f>
        <v>#N/A</v>
      </c>
    </row>
    <row r="797" spans="1:16">
      <c r="A797" s="5" t="s">
        <v>1135</v>
      </c>
      <c r="B797" s="5" t="s">
        <v>1136</v>
      </c>
      <c r="C797" s="6" t="s">
        <v>75</v>
      </c>
      <c r="D797" s="7">
        <v>1988</v>
      </c>
      <c r="E797" s="6" t="s">
        <v>30</v>
      </c>
      <c r="F797" s="7" t="s">
        <v>30</v>
      </c>
      <c r="G797" s="8" t="s">
        <v>30</v>
      </c>
      <c r="H797" s="7" t="s">
        <v>30</v>
      </c>
      <c r="I797" s="8">
        <v>70</v>
      </c>
      <c r="J797" s="7">
        <v>40</v>
      </c>
      <c r="K797" s="7"/>
      <c r="L797" s="6" t="s">
        <v>36</v>
      </c>
      <c r="M797" s="9" t="s">
        <v>30</v>
      </c>
      <c r="N797" s="7" t="s">
        <v>1658</v>
      </c>
      <c r="P797" t="e">
        <f>IF(N797="","",  IF(N797="Excluded", N797,  IF(N797="included in industry", N797,   _xlfn.XLOOKUP(N797, [1]unittypedata!$AD:$AD,[1]unittypedata!$D:$D)   )))</f>
        <v>#N/A</v>
      </c>
    </row>
    <row r="798" spans="1:16">
      <c r="A798" s="16" t="s">
        <v>1138</v>
      </c>
      <c r="B798" s="16" t="s">
        <v>1139</v>
      </c>
      <c r="C798" s="17" t="s">
        <v>52</v>
      </c>
      <c r="D798" s="18">
        <v>1991</v>
      </c>
      <c r="E798" s="17">
        <v>2</v>
      </c>
      <c r="F798" s="18">
        <v>11</v>
      </c>
      <c r="G798" s="19">
        <v>18</v>
      </c>
      <c r="H798" s="18" t="s">
        <v>30</v>
      </c>
      <c r="I798" s="19">
        <v>29</v>
      </c>
      <c r="J798" s="18">
        <v>3.7</v>
      </c>
      <c r="K798" s="18"/>
      <c r="L798" s="17" t="s">
        <v>253</v>
      </c>
      <c r="M798" s="20" t="s">
        <v>30</v>
      </c>
      <c r="N798" s="7" t="s">
        <v>1656</v>
      </c>
      <c r="P798" t="e">
        <f>IF(N798="","",  IF(N798="Excluded", N798,  IF(N798="included in industry", N798,   _xlfn.XLOOKUP(N798, [1]unittypedata!$AD:$AD,[1]unittypedata!$D:$D)   )))</f>
        <v>#N/A</v>
      </c>
    </row>
    <row r="799" spans="1:16">
      <c r="A799" s="23" t="s">
        <v>1140</v>
      </c>
      <c r="B799" s="23" t="s">
        <v>1141</v>
      </c>
      <c r="C799" s="24" t="s">
        <v>29</v>
      </c>
      <c r="D799" s="25">
        <v>2021</v>
      </c>
      <c r="E799" s="24">
        <v>2</v>
      </c>
      <c r="F799" s="25" t="s">
        <v>30</v>
      </c>
      <c r="G799" s="26">
        <v>8</v>
      </c>
      <c r="H799" s="25" t="s">
        <v>30</v>
      </c>
      <c r="I799" s="26">
        <v>8</v>
      </c>
      <c r="J799" s="25"/>
      <c r="K799" s="25"/>
      <c r="L799" s="24" t="s">
        <v>1113</v>
      </c>
      <c r="M799" s="27" t="s">
        <v>30</v>
      </c>
      <c r="N799" s="7" t="s">
        <v>1653</v>
      </c>
      <c r="P799" t="e">
        <f>IF(N799="","",  IF(N799="Excluded", N799,  IF(N799="included in industry", N799,   _xlfn.XLOOKUP(N799, [1]unittypedata!$AD:$AD,[1]unittypedata!$D:$D)   )))</f>
        <v>#N/A</v>
      </c>
    </row>
    <row r="800" spans="1:16">
      <c r="A800" s="5" t="s">
        <v>1142</v>
      </c>
      <c r="B800" s="5" t="s">
        <v>1142</v>
      </c>
      <c r="C800" s="6" t="s">
        <v>52</v>
      </c>
      <c r="D800" s="7">
        <v>2002</v>
      </c>
      <c r="E800" s="6" t="s">
        <v>158</v>
      </c>
      <c r="F800" s="7" t="s">
        <v>30</v>
      </c>
      <c r="G800" s="8">
        <v>40</v>
      </c>
      <c r="H800" s="7">
        <v>5</v>
      </c>
      <c r="I800" s="8">
        <v>45</v>
      </c>
      <c r="J800" s="7"/>
      <c r="K800" s="7"/>
      <c r="L800" s="6" t="s">
        <v>253</v>
      </c>
      <c r="M800" s="9" t="s">
        <v>30</v>
      </c>
      <c r="N800" s="7" t="s">
        <v>1653</v>
      </c>
      <c r="P800" t="e">
        <f>IF(N800="","",  IF(N800="Excluded", N800,  IF(N800="included in industry", N800,   _xlfn.XLOOKUP(N800, [1]unittypedata!$AD:$AD,[1]unittypedata!$D:$D)   )))</f>
        <v>#N/A</v>
      </c>
    </row>
    <row r="801" spans="1:16">
      <c r="A801" s="5" t="s">
        <v>1142</v>
      </c>
      <c r="B801" s="5" t="s">
        <v>1142</v>
      </c>
      <c r="C801" s="6" t="s">
        <v>52</v>
      </c>
      <c r="D801" s="7">
        <v>2002</v>
      </c>
      <c r="E801" s="6">
        <v>1</v>
      </c>
      <c r="F801" s="7">
        <v>65</v>
      </c>
      <c r="G801" s="8" t="s">
        <v>30</v>
      </c>
      <c r="H801" s="7" t="s">
        <v>30</v>
      </c>
      <c r="I801" s="8">
        <v>65</v>
      </c>
      <c r="J801" s="7">
        <v>30</v>
      </c>
      <c r="K801" s="7"/>
      <c r="L801" s="6" t="s">
        <v>253</v>
      </c>
      <c r="M801" s="9" t="s">
        <v>30</v>
      </c>
      <c r="N801" s="7" t="s">
        <v>1656</v>
      </c>
      <c r="P801" t="e">
        <f>IF(N801="","",  IF(N801="Excluded", N801,  IF(N801="included in industry", N801,   _xlfn.XLOOKUP(N801, [1]unittypedata!$AD:$AD,[1]unittypedata!$D:$D)   )))</f>
        <v>#N/A</v>
      </c>
    </row>
    <row r="802" spans="1:16">
      <c r="A802" s="23" t="s">
        <v>1143</v>
      </c>
      <c r="B802" s="23" t="s">
        <v>1144</v>
      </c>
      <c r="C802" s="24" t="s">
        <v>29</v>
      </c>
      <c r="D802" s="25">
        <v>2006</v>
      </c>
      <c r="E802" s="24">
        <v>2</v>
      </c>
      <c r="F802" s="25" t="s">
        <v>30</v>
      </c>
      <c r="G802" s="26">
        <v>2</v>
      </c>
      <c r="H802" s="25" t="s">
        <v>30</v>
      </c>
      <c r="I802" s="26">
        <v>2</v>
      </c>
      <c r="J802" s="25"/>
      <c r="K802" s="25"/>
      <c r="L802" s="24" t="s">
        <v>781</v>
      </c>
      <c r="M802" s="27" t="s">
        <v>30</v>
      </c>
      <c r="N802" s="7" t="s">
        <v>1653</v>
      </c>
      <c r="P802" t="e">
        <f>IF(N802="","",  IF(N802="Excluded", N802,  IF(N802="included in industry", N802,   _xlfn.XLOOKUP(N802, [1]unittypedata!$AD:$AD,[1]unittypedata!$D:$D)   )))</f>
        <v>#N/A</v>
      </c>
    </row>
    <row r="803" spans="1:16">
      <c r="A803" s="5" t="s">
        <v>1145</v>
      </c>
      <c r="B803" s="5" t="s">
        <v>1146</v>
      </c>
      <c r="C803" s="6" t="s">
        <v>29</v>
      </c>
      <c r="D803" s="7" t="s">
        <v>158</v>
      </c>
      <c r="E803" s="6">
        <v>2</v>
      </c>
      <c r="F803" s="7" t="s">
        <v>30</v>
      </c>
      <c r="G803" s="8">
        <v>30</v>
      </c>
      <c r="H803" s="7" t="s">
        <v>30</v>
      </c>
      <c r="I803" s="8">
        <v>30</v>
      </c>
      <c r="J803" s="7"/>
      <c r="K803" s="7"/>
      <c r="L803" s="6" t="s">
        <v>36</v>
      </c>
      <c r="M803" s="9" t="s">
        <v>30</v>
      </c>
      <c r="N803" s="7" t="s">
        <v>1657</v>
      </c>
      <c r="P803" t="e">
        <f>IF(N803="","",  IF(N803="Excluded", N803,  IF(N803="included in industry", N803,   _xlfn.XLOOKUP(N803, [1]unittypedata!$AD:$AD,[1]unittypedata!$D:$D)   )))</f>
        <v>#N/A</v>
      </c>
    </row>
    <row r="804" spans="1:16">
      <c r="A804" s="5" t="s">
        <v>1145</v>
      </c>
      <c r="B804" s="5" t="s">
        <v>1147</v>
      </c>
      <c r="C804" s="6" t="s">
        <v>29</v>
      </c>
      <c r="D804" s="7" t="s">
        <v>158</v>
      </c>
      <c r="E804" s="6">
        <v>1</v>
      </c>
      <c r="F804" s="7" t="s">
        <v>30</v>
      </c>
      <c r="G804" s="8">
        <v>40</v>
      </c>
      <c r="H804" s="7" t="s">
        <v>30</v>
      </c>
      <c r="I804" s="8">
        <v>40</v>
      </c>
      <c r="J804" s="7"/>
      <c r="K804" s="7"/>
      <c r="L804" s="6" t="s">
        <v>77</v>
      </c>
      <c r="M804" s="9" t="s">
        <v>30</v>
      </c>
      <c r="N804" s="7" t="s">
        <v>1652</v>
      </c>
      <c r="P804" t="e">
        <f>IF(N804="","",  IF(N804="Excluded", N804,  IF(N804="included in industry", N804,   _xlfn.XLOOKUP(N804, [1]unittypedata!$AD:$AD,[1]unittypedata!$D:$D)   )))</f>
        <v>#N/A</v>
      </c>
    </row>
    <row r="805" spans="1:16">
      <c r="A805" s="5" t="s">
        <v>1145</v>
      </c>
      <c r="B805" s="5" t="s">
        <v>1148</v>
      </c>
      <c r="C805" s="6" t="s">
        <v>29</v>
      </c>
      <c r="D805" s="7">
        <v>1962</v>
      </c>
      <c r="E805" s="6">
        <v>3</v>
      </c>
      <c r="F805" s="7" t="s">
        <v>30</v>
      </c>
      <c r="G805" s="8">
        <v>8.3000000000000007</v>
      </c>
      <c r="H805" s="7" t="s">
        <v>30</v>
      </c>
      <c r="I805" s="8">
        <v>8.3000000000000007</v>
      </c>
      <c r="J805" s="7"/>
      <c r="K805" s="7"/>
      <c r="L805" s="6" t="s">
        <v>36</v>
      </c>
      <c r="M805" s="9" t="s">
        <v>30</v>
      </c>
      <c r="N805" s="7" t="s">
        <v>1657</v>
      </c>
      <c r="P805" t="e">
        <f>IF(N805="","",  IF(N805="Excluded", N805,  IF(N805="included in industry", N805,   _xlfn.XLOOKUP(N805, [1]unittypedata!$AD:$AD,[1]unittypedata!$D:$D)   )))</f>
        <v>#N/A</v>
      </c>
    </row>
    <row r="806" spans="1:16">
      <c r="A806" s="5" t="s">
        <v>1145</v>
      </c>
      <c r="B806" s="5" t="s">
        <v>1149</v>
      </c>
      <c r="C806" s="6" t="s">
        <v>29</v>
      </c>
      <c r="D806" s="7">
        <v>1984</v>
      </c>
      <c r="E806" s="6">
        <v>2</v>
      </c>
      <c r="F806" s="7" t="s">
        <v>30</v>
      </c>
      <c r="G806" s="8">
        <v>1.8</v>
      </c>
      <c r="H806" s="7" t="s">
        <v>30</v>
      </c>
      <c r="I806" s="8">
        <v>1.8</v>
      </c>
      <c r="J806" s="7"/>
      <c r="K806" s="7"/>
      <c r="L806" s="6" t="s">
        <v>36</v>
      </c>
      <c r="M806" s="9" t="s">
        <v>30</v>
      </c>
      <c r="N806" s="7" t="s">
        <v>1657</v>
      </c>
      <c r="P806" t="e">
        <f>IF(N806="","",  IF(N806="Excluded", N806,  IF(N806="included in industry", N806,   _xlfn.XLOOKUP(N806, [1]unittypedata!$AD:$AD,[1]unittypedata!$D:$D)   )))</f>
        <v>#N/A</v>
      </c>
    </row>
    <row r="807" spans="1:16">
      <c r="A807" s="5" t="s">
        <v>1145</v>
      </c>
      <c r="B807" s="5" t="s">
        <v>1150</v>
      </c>
      <c r="C807" s="6" t="s">
        <v>29</v>
      </c>
      <c r="D807" s="7">
        <v>2010</v>
      </c>
      <c r="E807" s="6">
        <v>2</v>
      </c>
      <c r="F807" s="7" t="s">
        <v>30</v>
      </c>
      <c r="G807" s="8">
        <v>9</v>
      </c>
      <c r="H807" s="7" t="s">
        <v>30</v>
      </c>
      <c r="I807" s="8">
        <v>9</v>
      </c>
      <c r="J807" s="7"/>
      <c r="K807" s="7"/>
      <c r="L807" s="6" t="s">
        <v>36</v>
      </c>
      <c r="M807" s="9" t="s">
        <v>30</v>
      </c>
      <c r="N807" s="7" t="s">
        <v>1657</v>
      </c>
      <c r="P807" t="e">
        <f>IF(N807="","",  IF(N807="Excluded", N807,  IF(N807="included in industry", N807,   _xlfn.XLOOKUP(N807, [1]unittypedata!$AD:$AD,[1]unittypedata!$D:$D)   )))</f>
        <v>#N/A</v>
      </c>
    </row>
    <row r="808" spans="1:16">
      <c r="A808" s="5" t="s">
        <v>1145</v>
      </c>
      <c r="B808" s="5" t="s">
        <v>1151</v>
      </c>
      <c r="C808" s="6" t="s">
        <v>29</v>
      </c>
      <c r="D808" s="7">
        <v>1968</v>
      </c>
      <c r="E808" s="6">
        <v>1</v>
      </c>
      <c r="F808" s="7" t="s">
        <v>30</v>
      </c>
      <c r="G808" s="8">
        <v>12</v>
      </c>
      <c r="H808" s="7" t="s">
        <v>30</v>
      </c>
      <c r="I808" s="8">
        <v>12</v>
      </c>
      <c r="J808" s="7"/>
      <c r="K808" s="7"/>
      <c r="L808" s="6" t="s">
        <v>36</v>
      </c>
      <c r="M808" s="9" t="s">
        <v>30</v>
      </c>
      <c r="N808" s="7" t="s">
        <v>1657</v>
      </c>
      <c r="P808" t="e">
        <f>IF(N808="","",  IF(N808="Excluded", N808,  IF(N808="included in industry", N808,   _xlfn.XLOOKUP(N808, [1]unittypedata!$AD:$AD,[1]unittypedata!$D:$D)   )))</f>
        <v>#N/A</v>
      </c>
    </row>
    <row r="809" spans="1:16">
      <c r="A809" s="5" t="s">
        <v>1145</v>
      </c>
      <c r="B809" s="5" t="s">
        <v>1152</v>
      </c>
      <c r="C809" s="6" t="s">
        <v>29</v>
      </c>
      <c r="D809" s="7">
        <v>2020</v>
      </c>
      <c r="E809" s="6">
        <v>2</v>
      </c>
      <c r="F809" s="7" t="s">
        <v>30</v>
      </c>
      <c r="G809" s="8">
        <v>25</v>
      </c>
      <c r="H809" s="7" t="s">
        <v>30</v>
      </c>
      <c r="I809" s="8">
        <v>25</v>
      </c>
      <c r="J809" s="7"/>
      <c r="K809" s="7"/>
      <c r="L809" s="6" t="s">
        <v>36</v>
      </c>
      <c r="M809" s="9" t="s">
        <v>30</v>
      </c>
      <c r="N809" s="7" t="s">
        <v>1657</v>
      </c>
      <c r="P809" t="e">
        <f>IF(N809="","",  IF(N809="Excluded", N809,  IF(N809="included in industry", N809,   _xlfn.XLOOKUP(N809, [1]unittypedata!$AD:$AD,[1]unittypedata!$D:$D)   )))</f>
        <v>#N/A</v>
      </c>
    </row>
    <row r="810" spans="1:16">
      <c r="A810" s="5" t="s">
        <v>1145</v>
      </c>
      <c r="B810" s="5" t="s">
        <v>1153</v>
      </c>
      <c r="C810" s="6" t="s">
        <v>29</v>
      </c>
      <c r="D810" s="7">
        <v>1991</v>
      </c>
      <c r="E810" s="6">
        <v>4</v>
      </c>
      <c r="F810" s="7" t="s">
        <v>30</v>
      </c>
      <c r="G810" s="8">
        <v>44</v>
      </c>
      <c r="H810" s="7" t="s">
        <v>30</v>
      </c>
      <c r="I810" s="8">
        <v>44</v>
      </c>
      <c r="J810" s="7"/>
      <c r="K810" s="7"/>
      <c r="L810" s="6" t="s">
        <v>36</v>
      </c>
      <c r="M810" s="9" t="s">
        <v>30</v>
      </c>
      <c r="N810" s="7" t="s">
        <v>1657</v>
      </c>
      <c r="P810" t="e">
        <f>IF(N810="","",  IF(N810="Excluded", N810,  IF(N810="included in industry", N810,   _xlfn.XLOOKUP(N810, [1]unittypedata!$AD:$AD,[1]unittypedata!$D:$D)   )))</f>
        <v>#N/A</v>
      </c>
    </row>
    <row r="811" spans="1:16">
      <c r="A811" s="5" t="s">
        <v>1145</v>
      </c>
      <c r="B811" s="5" t="s">
        <v>1154</v>
      </c>
      <c r="C811" s="6" t="s">
        <v>29</v>
      </c>
      <c r="D811" s="7">
        <v>1988</v>
      </c>
      <c r="E811" s="6">
        <v>2</v>
      </c>
      <c r="F811" s="7" t="s">
        <v>30</v>
      </c>
      <c r="G811" s="8">
        <v>7.5</v>
      </c>
      <c r="H811" s="7" t="s">
        <v>30</v>
      </c>
      <c r="I811" s="8">
        <v>7.5</v>
      </c>
      <c r="J811" s="7"/>
      <c r="K811" s="7"/>
      <c r="L811" s="6" t="s">
        <v>36</v>
      </c>
      <c r="M811" s="9" t="s">
        <v>30</v>
      </c>
      <c r="N811" s="7" t="s">
        <v>1657</v>
      </c>
      <c r="P811" t="e">
        <f>IF(N811="","",  IF(N811="Excluded", N811,  IF(N811="included in industry", N811,   _xlfn.XLOOKUP(N811, [1]unittypedata!$AD:$AD,[1]unittypedata!$D:$D)   )))</f>
        <v>#N/A</v>
      </c>
    </row>
    <row r="812" spans="1:16">
      <c r="A812" s="5" t="s">
        <v>1145</v>
      </c>
      <c r="B812" s="5" t="s">
        <v>816</v>
      </c>
      <c r="C812" s="6" t="s">
        <v>29</v>
      </c>
      <c r="D812" s="7">
        <v>1997</v>
      </c>
      <c r="E812" s="6">
        <v>2</v>
      </c>
      <c r="F812" s="7" t="s">
        <v>30</v>
      </c>
      <c r="G812" s="8">
        <v>6</v>
      </c>
      <c r="H812" s="7" t="s">
        <v>30</v>
      </c>
      <c r="I812" s="8">
        <v>6</v>
      </c>
      <c r="J812" s="7"/>
      <c r="K812" s="7"/>
      <c r="L812" s="6" t="s">
        <v>36</v>
      </c>
      <c r="M812" s="9" t="s">
        <v>30</v>
      </c>
      <c r="N812" s="7" t="s">
        <v>1657</v>
      </c>
      <c r="P812" t="e">
        <f>IF(N812="","",  IF(N812="Excluded", N812,  IF(N812="included in industry", N812,   _xlfn.XLOOKUP(N812, [1]unittypedata!$AD:$AD,[1]unittypedata!$D:$D)   )))</f>
        <v>#N/A</v>
      </c>
    </row>
    <row r="813" spans="1:16">
      <c r="A813" s="5" t="s">
        <v>1145</v>
      </c>
      <c r="B813" s="5" t="s">
        <v>1155</v>
      </c>
      <c r="C813" s="6" t="s">
        <v>29</v>
      </c>
      <c r="D813" s="7">
        <v>2002</v>
      </c>
      <c r="E813" s="6">
        <v>4</v>
      </c>
      <c r="F813" s="7" t="s">
        <v>30</v>
      </c>
      <c r="G813" s="8">
        <v>60</v>
      </c>
      <c r="H813" s="7" t="s">
        <v>30</v>
      </c>
      <c r="I813" s="8">
        <v>60</v>
      </c>
      <c r="J813" s="7"/>
      <c r="K813" s="7"/>
      <c r="L813" s="6" t="s">
        <v>31</v>
      </c>
      <c r="M813" s="9" t="s">
        <v>30</v>
      </c>
      <c r="N813" s="7" t="s">
        <v>1654</v>
      </c>
      <c r="P813" t="e">
        <f>IF(N813="","",  IF(N813="Excluded", N813,  IF(N813="included in industry", N813,   _xlfn.XLOOKUP(N813, [1]unittypedata!$AD:$AD,[1]unittypedata!$D:$D)   )))</f>
        <v>#N/A</v>
      </c>
    </row>
    <row r="814" spans="1:16">
      <c r="A814" s="5" t="s">
        <v>1145</v>
      </c>
      <c r="B814" s="5" t="s">
        <v>1156</v>
      </c>
      <c r="C814" s="6" t="s">
        <v>29</v>
      </c>
      <c r="D814" s="7">
        <v>1990</v>
      </c>
      <c r="E814" s="6">
        <v>1</v>
      </c>
      <c r="F814" s="7" t="s">
        <v>30</v>
      </c>
      <c r="G814" s="8">
        <v>2.8</v>
      </c>
      <c r="H814" s="7" t="s">
        <v>30</v>
      </c>
      <c r="I814" s="8">
        <v>2.8</v>
      </c>
      <c r="J814" s="7"/>
      <c r="K814" s="7"/>
      <c r="L814" s="6" t="s">
        <v>36</v>
      </c>
      <c r="M814" s="9" t="s">
        <v>30</v>
      </c>
      <c r="N814" s="7" t="s">
        <v>1657</v>
      </c>
      <c r="P814" t="e">
        <f>IF(N814="","",  IF(N814="Excluded", N814,  IF(N814="included in industry", N814,   _xlfn.XLOOKUP(N814, [1]unittypedata!$AD:$AD,[1]unittypedata!$D:$D)   )))</f>
        <v>#N/A</v>
      </c>
    </row>
    <row r="815" spans="1:16">
      <c r="A815" s="5" t="s">
        <v>1145</v>
      </c>
      <c r="B815" s="5" t="s">
        <v>1157</v>
      </c>
      <c r="C815" s="6" t="s">
        <v>29</v>
      </c>
      <c r="D815" s="7">
        <v>2012</v>
      </c>
      <c r="E815" s="6">
        <v>2</v>
      </c>
      <c r="F815" s="7" t="s">
        <v>30</v>
      </c>
      <c r="G815" s="8">
        <v>80</v>
      </c>
      <c r="H815" s="7" t="s">
        <v>30</v>
      </c>
      <c r="I815" s="8">
        <v>80</v>
      </c>
      <c r="J815" s="7"/>
      <c r="K815" s="7"/>
      <c r="L815" s="6" t="s">
        <v>36</v>
      </c>
      <c r="M815" s="9" t="s">
        <v>30</v>
      </c>
      <c r="N815" s="7" t="s">
        <v>1657</v>
      </c>
      <c r="P815" t="e">
        <f>IF(N815="","",  IF(N815="Excluded", N815,  IF(N815="included in industry", N815,   _xlfn.XLOOKUP(N815, [1]unittypedata!$AD:$AD,[1]unittypedata!$D:$D)   )))</f>
        <v>#N/A</v>
      </c>
    </row>
    <row r="816" spans="1:16">
      <c r="A816" s="5" t="s">
        <v>1145</v>
      </c>
      <c r="B816" s="5" t="s">
        <v>1158</v>
      </c>
      <c r="C816" s="6" t="s">
        <v>29</v>
      </c>
      <c r="D816" s="7">
        <v>2020</v>
      </c>
      <c r="E816" s="6">
        <v>3</v>
      </c>
      <c r="F816" s="7" t="s">
        <v>30</v>
      </c>
      <c r="G816" s="8">
        <v>3</v>
      </c>
      <c r="H816" s="7" t="s">
        <v>30</v>
      </c>
      <c r="I816" s="8">
        <v>3</v>
      </c>
      <c r="J816" s="7"/>
      <c r="K816" s="7"/>
      <c r="L816" s="6" t="s">
        <v>44</v>
      </c>
      <c r="M816" s="9" t="s">
        <v>30</v>
      </c>
      <c r="N816" s="7" t="s">
        <v>1653</v>
      </c>
      <c r="P816" t="e">
        <f>IF(N816="","",  IF(N816="Excluded", N816,  IF(N816="included in industry", N816,   _xlfn.XLOOKUP(N816, [1]unittypedata!$AD:$AD,[1]unittypedata!$D:$D)   )))</f>
        <v>#N/A</v>
      </c>
    </row>
    <row r="817" spans="1:16">
      <c r="A817" s="23" t="s">
        <v>1159</v>
      </c>
      <c r="B817" s="23" t="s">
        <v>1160</v>
      </c>
      <c r="C817" s="24" t="s">
        <v>29</v>
      </c>
      <c r="D817" s="25">
        <v>1986</v>
      </c>
      <c r="E817" s="24">
        <v>1</v>
      </c>
      <c r="F817" s="25" t="s">
        <v>30</v>
      </c>
      <c r="G817" s="26">
        <v>2</v>
      </c>
      <c r="H817" s="25" t="s">
        <v>30</v>
      </c>
      <c r="I817" s="26">
        <v>2</v>
      </c>
      <c r="J817" s="25"/>
      <c r="K817" s="25"/>
      <c r="L817" s="24" t="s">
        <v>253</v>
      </c>
      <c r="M817" s="27" t="s">
        <v>30</v>
      </c>
      <c r="N817" s="7" t="s">
        <v>1653</v>
      </c>
      <c r="P817" t="e">
        <f>IF(N817="","",  IF(N817="Excluded", N817,  IF(N817="included in industry", N817,   _xlfn.XLOOKUP(N817, [1]unittypedata!$AD:$AD,[1]unittypedata!$D:$D)   )))</f>
        <v>#N/A</v>
      </c>
    </row>
    <row r="818" spans="1:16">
      <c r="A818" s="5" t="s">
        <v>1161</v>
      </c>
      <c r="B818" s="5" t="s">
        <v>604</v>
      </c>
      <c r="C818" s="6" t="s">
        <v>29</v>
      </c>
      <c r="D818" s="7">
        <v>2013</v>
      </c>
      <c r="E818" s="6">
        <v>1</v>
      </c>
      <c r="F818" s="7" t="s">
        <v>30</v>
      </c>
      <c r="G818" s="8">
        <v>4</v>
      </c>
      <c r="H818" s="7" t="s">
        <v>30</v>
      </c>
      <c r="I818" s="8">
        <v>4</v>
      </c>
      <c r="J818" s="7"/>
      <c r="K818" s="7"/>
      <c r="L818" s="6" t="s">
        <v>46</v>
      </c>
      <c r="M818" s="9" t="s">
        <v>30</v>
      </c>
      <c r="N818" s="7" t="s">
        <v>1653</v>
      </c>
      <c r="P818" t="e">
        <f>IF(N818="","",  IF(N818="Excluded", N818,  IF(N818="included in industry", N818,   _xlfn.XLOOKUP(N818, [1]unittypedata!$AD:$AD,[1]unittypedata!$D:$D)   )))</f>
        <v>#N/A</v>
      </c>
    </row>
    <row r="819" spans="1:16">
      <c r="A819" s="5" t="s">
        <v>1161</v>
      </c>
      <c r="B819" s="5" t="s">
        <v>1162</v>
      </c>
      <c r="C819" s="6" t="s">
        <v>29</v>
      </c>
      <c r="D819" s="7">
        <v>2018</v>
      </c>
      <c r="E819" s="6">
        <v>1</v>
      </c>
      <c r="F819" s="7" t="s">
        <v>30</v>
      </c>
      <c r="G819" s="8">
        <v>5.5</v>
      </c>
      <c r="H819" s="7">
        <v>1.5</v>
      </c>
      <c r="I819" s="8">
        <v>7</v>
      </c>
      <c r="J819" s="7"/>
      <c r="K819" s="7"/>
      <c r="L819" s="6" t="s">
        <v>46</v>
      </c>
      <c r="M819" s="9" t="s">
        <v>30</v>
      </c>
      <c r="N819" s="7" t="s">
        <v>1653</v>
      </c>
      <c r="P819" t="e">
        <f>IF(N819="","",  IF(N819="Excluded", N819,  IF(N819="included in industry", N819,   _xlfn.XLOOKUP(N819, [1]unittypedata!$AD:$AD,[1]unittypedata!$D:$D)   )))</f>
        <v>#N/A</v>
      </c>
    </row>
    <row r="820" spans="1:16">
      <c r="A820" s="16" t="s">
        <v>1163</v>
      </c>
      <c r="B820" s="16" t="s">
        <v>1163</v>
      </c>
      <c r="C820" s="17" t="s">
        <v>29</v>
      </c>
      <c r="D820" s="18">
        <v>2012</v>
      </c>
      <c r="E820" s="17">
        <v>3</v>
      </c>
      <c r="F820" s="18" t="s">
        <v>30</v>
      </c>
      <c r="G820" s="19">
        <v>23</v>
      </c>
      <c r="H820" s="18">
        <v>2.5</v>
      </c>
      <c r="I820" s="19">
        <v>25.5</v>
      </c>
      <c r="J820" s="18"/>
      <c r="K820" s="18"/>
      <c r="L820" s="17" t="s">
        <v>253</v>
      </c>
      <c r="M820" s="20" t="s">
        <v>30</v>
      </c>
      <c r="N820" s="7" t="s">
        <v>1653</v>
      </c>
      <c r="P820" t="e">
        <f>IF(N820="","",  IF(N820="Excluded", N820,  IF(N820="included in industry", N820,   _xlfn.XLOOKUP(N820, [1]unittypedata!$AD:$AD,[1]unittypedata!$D:$D)   )))</f>
        <v>#N/A</v>
      </c>
    </row>
    <row r="821" spans="1:16">
      <c r="A821" s="23" t="s">
        <v>1164</v>
      </c>
      <c r="B821" s="23" t="s">
        <v>1165</v>
      </c>
      <c r="C821" s="24" t="s">
        <v>52</v>
      </c>
      <c r="D821" s="25">
        <v>2021</v>
      </c>
      <c r="E821" s="24">
        <v>1</v>
      </c>
      <c r="F821" s="25">
        <v>30</v>
      </c>
      <c r="G821" s="26" t="s">
        <v>158</v>
      </c>
      <c r="H821" s="25">
        <v>8</v>
      </c>
      <c r="I821" s="26">
        <f>F821+H821</f>
        <v>38</v>
      </c>
      <c r="J821" s="25">
        <v>9</v>
      </c>
      <c r="K821" s="25"/>
      <c r="L821" s="24" t="s">
        <v>85</v>
      </c>
      <c r="M821" s="27" t="s">
        <v>30</v>
      </c>
      <c r="N821" s="7" t="s">
        <v>1659</v>
      </c>
      <c r="P821" t="e">
        <f>IF(N821="","",  IF(N821="Excluded", N821,  IF(N821="included in industry", N821,   _xlfn.XLOOKUP(N821, [1]unittypedata!$AD:$AD,[1]unittypedata!$D:$D)   )))</f>
        <v>#N/A</v>
      </c>
    </row>
    <row r="822" spans="1:16">
      <c r="A822" s="5" t="s">
        <v>1166</v>
      </c>
      <c r="B822" s="5" t="s">
        <v>1167</v>
      </c>
      <c r="C822" s="6" t="s">
        <v>29</v>
      </c>
      <c r="D822" s="7">
        <v>1995</v>
      </c>
      <c r="E822" s="6">
        <v>1</v>
      </c>
      <c r="F822" s="7" t="s">
        <v>30</v>
      </c>
      <c r="G822" s="8">
        <v>5</v>
      </c>
      <c r="H822" s="7">
        <v>1</v>
      </c>
      <c r="I822" s="8">
        <v>6</v>
      </c>
      <c r="J822" s="7"/>
      <c r="K822" s="7"/>
      <c r="L822" s="6" t="s">
        <v>46</v>
      </c>
      <c r="M822" s="9" t="s">
        <v>30</v>
      </c>
      <c r="N822" s="7" t="s">
        <v>1653</v>
      </c>
      <c r="P822" t="e">
        <f>IF(N822="","",  IF(N822="Excluded", N822,  IF(N822="included in industry", N822,   _xlfn.XLOOKUP(N822, [1]unittypedata!$AD:$AD,[1]unittypedata!$D:$D)   )))</f>
        <v>#N/A</v>
      </c>
    </row>
    <row r="823" spans="1:16">
      <c r="A823" s="5" t="s">
        <v>1166</v>
      </c>
      <c r="B823" s="5" t="s">
        <v>1168</v>
      </c>
      <c r="C823" s="6" t="s">
        <v>52</v>
      </c>
      <c r="D823" s="7">
        <v>2007</v>
      </c>
      <c r="E823" s="6">
        <v>1</v>
      </c>
      <c r="F823" s="7">
        <v>2</v>
      </c>
      <c r="G823" s="8">
        <v>9</v>
      </c>
      <c r="H823" s="7">
        <v>2</v>
      </c>
      <c r="I823" s="8">
        <v>13</v>
      </c>
      <c r="J823" s="7">
        <v>2.1</v>
      </c>
      <c r="K823" s="7"/>
      <c r="L823" s="6" t="s">
        <v>46</v>
      </c>
      <c r="M823" s="9" t="s">
        <v>30</v>
      </c>
      <c r="N823" s="7" t="s">
        <v>1656</v>
      </c>
      <c r="P823" t="e">
        <f>IF(N823="","",  IF(N823="Excluded", N823,  IF(N823="included in industry", N823,   _xlfn.XLOOKUP(N823, [1]unittypedata!$AD:$AD,[1]unittypedata!$D:$D)   )))</f>
        <v>#N/A</v>
      </c>
    </row>
    <row r="824" spans="1:16">
      <c r="A824" s="23" t="s">
        <v>1169</v>
      </c>
      <c r="B824" s="23" t="s">
        <v>1170</v>
      </c>
      <c r="C824" s="24" t="s">
        <v>52</v>
      </c>
      <c r="D824" s="25">
        <v>2023</v>
      </c>
      <c r="E824" s="24">
        <v>1</v>
      </c>
      <c r="F824" s="25" t="s">
        <v>158</v>
      </c>
      <c r="G824" s="26" t="s">
        <v>158</v>
      </c>
      <c r="H824" s="25">
        <v>100</v>
      </c>
      <c r="I824" s="26">
        <v>500</v>
      </c>
      <c r="J824" s="25">
        <v>250</v>
      </c>
      <c r="K824" s="25"/>
      <c r="L824" s="24" t="s">
        <v>1171</v>
      </c>
      <c r="M824" s="27" t="s">
        <v>30</v>
      </c>
      <c r="N824" s="7" t="s">
        <v>1265</v>
      </c>
      <c r="P824" t="str">
        <f>IF(N824="","",  IF(N824="Excluded", N824,  IF(N824="included in industry", N824,   _xlfn.XLOOKUP(N824, [1]unittypedata!$AD:$AD,[1]unittypedata!$D:$D)   )))</f>
        <v>Included in industry</v>
      </c>
    </row>
    <row r="825" spans="1:16">
      <c r="A825" s="5" t="s">
        <v>1172</v>
      </c>
      <c r="B825" s="5" t="s">
        <v>1173</v>
      </c>
      <c r="C825" s="6" t="s">
        <v>29</v>
      </c>
      <c r="D825" s="7">
        <v>2003</v>
      </c>
      <c r="E825" s="6">
        <v>2</v>
      </c>
      <c r="F825" s="7" t="s">
        <v>30</v>
      </c>
      <c r="G825" s="8">
        <v>18</v>
      </c>
      <c r="H825" s="7" t="s">
        <v>30</v>
      </c>
      <c r="I825" s="8">
        <v>18</v>
      </c>
      <c r="J825" s="7"/>
      <c r="K825" s="7"/>
      <c r="L825" s="6" t="s">
        <v>33</v>
      </c>
      <c r="M825" s="9" t="s">
        <v>30</v>
      </c>
      <c r="N825" s="7" t="s">
        <v>58</v>
      </c>
      <c r="P825" t="str">
        <f>IF(N825="","",  IF(N825="Excluded", N825,  IF(N825="included in industry", N825,   _xlfn.XLOOKUP(N825, [1]unittypedata!$AD:$AD,[1]unittypedata!$D:$D)   )))</f>
        <v>Excluded</v>
      </c>
    </row>
    <row r="826" spans="1:16">
      <c r="A826" s="5" t="s">
        <v>1172</v>
      </c>
      <c r="B826" s="5" t="s">
        <v>1174</v>
      </c>
      <c r="C826" s="6" t="s">
        <v>52</v>
      </c>
      <c r="D826" s="7">
        <v>2003</v>
      </c>
      <c r="E826" s="6">
        <v>2</v>
      </c>
      <c r="F826" s="7">
        <v>22</v>
      </c>
      <c r="G826" s="8">
        <v>9</v>
      </c>
      <c r="H826" s="7" t="s">
        <v>30</v>
      </c>
      <c r="I826" s="8">
        <v>31</v>
      </c>
      <c r="J826" s="7">
        <v>3.7</v>
      </c>
      <c r="K826" s="7"/>
      <c r="L826" s="6" t="s">
        <v>253</v>
      </c>
      <c r="M826" s="9" t="s">
        <v>30</v>
      </c>
      <c r="N826" s="7" t="s">
        <v>1265</v>
      </c>
      <c r="P826" t="str">
        <f>IF(N826="","",  IF(N826="Excluded", N826,  IF(N826="included in industry", N826,   _xlfn.XLOOKUP(N826, [1]unittypedata!$AD:$AD,[1]unittypedata!$D:$D)   )))</f>
        <v>Included in industry</v>
      </c>
    </row>
    <row r="827" spans="1:16">
      <c r="A827" s="16" t="s">
        <v>1175</v>
      </c>
      <c r="B827" s="16" t="s">
        <v>1175</v>
      </c>
      <c r="C827" s="17" t="s">
        <v>52</v>
      </c>
      <c r="D827" s="18">
        <v>2017</v>
      </c>
      <c r="E827" s="17">
        <v>2</v>
      </c>
      <c r="F827" s="18">
        <v>9</v>
      </c>
      <c r="G827" s="19" t="s">
        <v>30</v>
      </c>
      <c r="H827" s="18" t="s">
        <v>30</v>
      </c>
      <c r="I827" s="19">
        <v>9</v>
      </c>
      <c r="J827" s="18">
        <v>280</v>
      </c>
      <c r="K827" s="18"/>
      <c r="L827" s="17" t="s">
        <v>1171</v>
      </c>
      <c r="M827" s="20" t="s">
        <v>30</v>
      </c>
      <c r="N827" s="7" t="s">
        <v>1265</v>
      </c>
      <c r="P827" t="str">
        <f>IF(N827="","",  IF(N827="Excluded", N827,  IF(N827="included in industry", N827,   _xlfn.XLOOKUP(N827, [1]unittypedata!$AD:$AD,[1]unittypedata!$D:$D)   )))</f>
        <v>Included in industry</v>
      </c>
    </row>
    <row r="828" spans="1:16">
      <c r="A828" s="16" t="s">
        <v>1176</v>
      </c>
      <c r="B828" s="16" t="s">
        <v>1177</v>
      </c>
      <c r="C828" s="17" t="s">
        <v>52</v>
      </c>
      <c r="D828" s="18">
        <v>2002</v>
      </c>
      <c r="E828" s="17">
        <v>3</v>
      </c>
      <c r="F828" s="18" t="s">
        <v>158</v>
      </c>
      <c r="G828" s="19" t="s">
        <v>158</v>
      </c>
      <c r="H828" s="18" t="s">
        <v>158</v>
      </c>
      <c r="I828" s="19">
        <v>25</v>
      </c>
      <c r="J828" s="18">
        <v>38</v>
      </c>
      <c r="K828" s="18"/>
      <c r="L828" s="17" t="s">
        <v>253</v>
      </c>
      <c r="M828" s="20" t="s">
        <v>30</v>
      </c>
      <c r="N828" s="7" t="s">
        <v>1265</v>
      </c>
      <c r="P828" t="str">
        <f>IF(N828="","",  IF(N828="Excluded", N828,  IF(N828="included in industry", N828,   _xlfn.XLOOKUP(N828, [1]unittypedata!$AD:$AD,[1]unittypedata!$D:$D)   )))</f>
        <v>Included in industry</v>
      </c>
    </row>
    <row r="829" spans="1:16">
      <c r="A829" s="16" t="s">
        <v>1178</v>
      </c>
      <c r="B829" s="16" t="s">
        <v>1179</v>
      </c>
      <c r="C829" s="17" t="s">
        <v>52</v>
      </c>
      <c r="D829" s="18">
        <v>1950</v>
      </c>
      <c r="E829" s="17">
        <v>2</v>
      </c>
      <c r="F829" s="18">
        <v>20</v>
      </c>
      <c r="G829" s="19" t="s">
        <v>30</v>
      </c>
      <c r="H829" s="18">
        <v>4.5</v>
      </c>
      <c r="I829" s="19">
        <v>24.5</v>
      </c>
      <c r="J829" s="18">
        <v>14.2</v>
      </c>
      <c r="K829" s="18"/>
      <c r="L829" s="17" t="s">
        <v>253</v>
      </c>
      <c r="M829" s="20" t="s">
        <v>30</v>
      </c>
      <c r="N829" s="7" t="s">
        <v>1656</v>
      </c>
      <c r="P829" t="e">
        <f>IF(N829="","",  IF(N829="Excluded", N829,  IF(N829="included in industry", N829,   _xlfn.XLOOKUP(N829, [1]unittypedata!$AD:$AD,[1]unittypedata!$D:$D)   )))</f>
        <v>#N/A</v>
      </c>
    </row>
    <row r="830" spans="1:16">
      <c r="A830" s="16" t="s">
        <v>1180</v>
      </c>
      <c r="B830" s="16" t="s">
        <v>1181</v>
      </c>
      <c r="C830" s="17" t="s">
        <v>52</v>
      </c>
      <c r="D830" s="18">
        <v>2006</v>
      </c>
      <c r="E830" s="17">
        <v>1</v>
      </c>
      <c r="F830" s="18">
        <v>19.899999999999999</v>
      </c>
      <c r="G830" s="19" t="s">
        <v>30</v>
      </c>
      <c r="H830" s="18" t="s">
        <v>30</v>
      </c>
      <c r="I830" s="19">
        <v>19.899999999999999</v>
      </c>
      <c r="J830" s="18">
        <v>3.5</v>
      </c>
      <c r="K830" s="18"/>
      <c r="L830" s="17" t="s">
        <v>118</v>
      </c>
      <c r="M830" s="20" t="s">
        <v>30</v>
      </c>
      <c r="N830" s="7" t="s">
        <v>1265</v>
      </c>
      <c r="P830" t="str">
        <f>IF(N830="","",  IF(N830="Excluded", N830,  IF(N830="included in industry", N830,   _xlfn.XLOOKUP(N830, [1]unittypedata!$AD:$AD,[1]unittypedata!$D:$D)   )))</f>
        <v>Included in industry</v>
      </c>
    </row>
    <row r="831" spans="1:16">
      <c r="A831" s="16" t="s">
        <v>1182</v>
      </c>
      <c r="B831" s="16" t="s">
        <v>1183</v>
      </c>
      <c r="C831" s="17" t="s">
        <v>52</v>
      </c>
      <c r="D831" s="18" t="s">
        <v>30</v>
      </c>
      <c r="E831" s="17">
        <v>1</v>
      </c>
      <c r="F831" s="18">
        <v>29</v>
      </c>
      <c r="G831" s="19" t="s">
        <v>30</v>
      </c>
      <c r="H831" s="18">
        <v>13</v>
      </c>
      <c r="I831" s="19">
        <v>42</v>
      </c>
      <c r="J831" s="18">
        <v>27</v>
      </c>
      <c r="K831" s="18"/>
      <c r="L831" s="17" t="s">
        <v>46</v>
      </c>
      <c r="M831" s="20" t="s">
        <v>30</v>
      </c>
      <c r="N831" s="7" t="s">
        <v>1656</v>
      </c>
      <c r="P831" t="e">
        <f>IF(N831="","",  IF(N831="Excluded", N831,  IF(N831="included in industry", N831,   _xlfn.XLOOKUP(N831, [1]unittypedata!$AD:$AD,[1]unittypedata!$D:$D)   )))</f>
        <v>#N/A</v>
      </c>
    </row>
    <row r="832" spans="1:16">
      <c r="A832" s="16" t="s">
        <v>1184</v>
      </c>
      <c r="B832" s="16" t="s">
        <v>1185</v>
      </c>
      <c r="C832" s="17" t="s">
        <v>29</v>
      </c>
      <c r="D832" s="18" t="s">
        <v>158</v>
      </c>
      <c r="E832" s="17" t="s">
        <v>158</v>
      </c>
      <c r="F832" s="18" t="s">
        <v>30</v>
      </c>
      <c r="G832" s="19" t="s">
        <v>158</v>
      </c>
      <c r="H832" s="18" t="s">
        <v>158</v>
      </c>
      <c r="I832" s="19" t="s">
        <v>158</v>
      </c>
      <c r="J832" s="18"/>
      <c r="K832" s="18"/>
      <c r="L832" s="17" t="s">
        <v>1100</v>
      </c>
      <c r="M832" s="20" t="s">
        <v>30</v>
      </c>
      <c r="N832" s="7" t="s">
        <v>58</v>
      </c>
      <c r="P832" t="str">
        <f>IF(N832="","",  IF(N832="Excluded", N832,  IF(N832="included in industry", N832,   _xlfn.XLOOKUP(N832, [1]unittypedata!$AD:$AD,[1]unittypedata!$D:$D)   )))</f>
        <v>Excluded</v>
      </c>
    </row>
    <row r="833" spans="1:16">
      <c r="A833" s="16" t="s">
        <v>1186</v>
      </c>
      <c r="B833" s="16" t="s">
        <v>1187</v>
      </c>
      <c r="C833" s="17" t="s">
        <v>29</v>
      </c>
      <c r="D833" s="18">
        <v>2015</v>
      </c>
      <c r="E833" s="17" t="s">
        <v>30</v>
      </c>
      <c r="F833" s="18" t="s">
        <v>30</v>
      </c>
      <c r="G833" s="19" t="s">
        <v>30</v>
      </c>
      <c r="H833" s="18">
        <v>3.5</v>
      </c>
      <c r="I833" s="19">
        <v>3.5</v>
      </c>
      <c r="J833" s="18"/>
      <c r="K833" s="18"/>
      <c r="L833" s="17" t="s">
        <v>1100</v>
      </c>
      <c r="M833" s="20" t="s">
        <v>30</v>
      </c>
      <c r="N833" s="7" t="s">
        <v>58</v>
      </c>
      <c r="P833" t="str">
        <f>IF(N833="","",  IF(N833="Excluded", N833,  IF(N833="included in industry", N833,   _xlfn.XLOOKUP(N833, [1]unittypedata!$AD:$AD,[1]unittypedata!$D:$D)   )))</f>
        <v>Excluded</v>
      </c>
    </row>
    <row r="834" spans="1:16">
      <c r="A834" s="23" t="s">
        <v>1188</v>
      </c>
      <c r="B834" s="23" t="s">
        <v>1189</v>
      </c>
      <c r="C834" s="24" t="s">
        <v>29</v>
      </c>
      <c r="D834" s="25" t="s">
        <v>158</v>
      </c>
      <c r="E834" s="24" t="s">
        <v>30</v>
      </c>
      <c r="F834" s="25" t="s">
        <v>30</v>
      </c>
      <c r="G834" s="26" t="s">
        <v>30</v>
      </c>
      <c r="H834" s="25">
        <v>3.5</v>
      </c>
      <c r="I834" s="26">
        <v>3.5</v>
      </c>
      <c r="J834" s="25"/>
      <c r="K834" s="25"/>
      <c r="L834" s="24" t="s">
        <v>1100</v>
      </c>
      <c r="M834" s="27" t="s">
        <v>30</v>
      </c>
      <c r="N834" s="7" t="s">
        <v>58</v>
      </c>
      <c r="P834" t="str">
        <f>IF(N834="","",  IF(N834="Excluded", N834,  IF(N834="included in industry", N834,   _xlfn.XLOOKUP(N834, [1]unittypedata!$AD:$AD,[1]unittypedata!$D:$D)   )))</f>
        <v>Excluded</v>
      </c>
    </row>
    <row r="835" spans="1:16">
      <c r="A835" s="5" t="s">
        <v>1190</v>
      </c>
      <c r="B835" s="5" t="s">
        <v>1191</v>
      </c>
      <c r="C835" s="6" t="s">
        <v>29</v>
      </c>
      <c r="D835" s="7">
        <v>2010</v>
      </c>
      <c r="E835" s="6">
        <v>1</v>
      </c>
      <c r="F835" s="7" t="s">
        <v>30</v>
      </c>
      <c r="G835" s="8">
        <v>5</v>
      </c>
      <c r="H835" s="7" t="s">
        <v>30</v>
      </c>
      <c r="I835" s="8">
        <v>5</v>
      </c>
      <c r="J835" s="7"/>
      <c r="K835" s="7"/>
      <c r="L835" s="6" t="s">
        <v>46</v>
      </c>
      <c r="M835" s="9" t="s">
        <v>30</v>
      </c>
      <c r="N835" s="7" t="s">
        <v>1653</v>
      </c>
      <c r="P835" t="e">
        <f>IF(N835="","",  IF(N835="Excluded", N835,  IF(N835="included in industry", N835,   _xlfn.XLOOKUP(N835, [1]unittypedata!$AD:$AD,[1]unittypedata!$D:$D)   )))</f>
        <v>#N/A</v>
      </c>
    </row>
    <row r="836" spans="1:16">
      <c r="A836" s="5" t="s">
        <v>1190</v>
      </c>
      <c r="B836" s="5" t="s">
        <v>1192</v>
      </c>
      <c r="C836" s="6" t="s">
        <v>29</v>
      </c>
      <c r="D836" s="7">
        <v>2011</v>
      </c>
      <c r="E836" s="6">
        <v>1</v>
      </c>
      <c r="F836" s="7" t="s">
        <v>30</v>
      </c>
      <c r="G836" s="8">
        <v>7</v>
      </c>
      <c r="H836" s="7" t="s">
        <v>30</v>
      </c>
      <c r="I836" s="8">
        <v>7</v>
      </c>
      <c r="J836" s="7"/>
      <c r="K836" s="7"/>
      <c r="L836" s="6" t="s">
        <v>46</v>
      </c>
      <c r="M836" s="9" t="s">
        <v>30</v>
      </c>
      <c r="N836" s="7" t="s">
        <v>1653</v>
      </c>
      <c r="P836" t="e">
        <f>IF(N836="","",  IF(N836="Excluded", N836,  IF(N836="included in industry", N836,   _xlfn.XLOOKUP(N836, [1]unittypedata!$AD:$AD,[1]unittypedata!$D:$D)   )))</f>
        <v>#N/A</v>
      </c>
    </row>
    <row r="837" spans="1:16">
      <c r="A837" s="23" t="s">
        <v>1193</v>
      </c>
      <c r="B837" s="23" t="s">
        <v>1194</v>
      </c>
      <c r="C837" s="24" t="s">
        <v>29</v>
      </c>
      <c r="D837" s="25" t="s">
        <v>158</v>
      </c>
      <c r="E837" s="24" t="s">
        <v>158</v>
      </c>
      <c r="F837" s="25" t="s">
        <v>30</v>
      </c>
      <c r="G837" s="26" t="s">
        <v>158</v>
      </c>
      <c r="H837" s="25" t="s">
        <v>158</v>
      </c>
      <c r="I837" s="26" t="s">
        <v>158</v>
      </c>
      <c r="J837" s="25"/>
      <c r="K837" s="25"/>
      <c r="L837" s="24" t="s">
        <v>253</v>
      </c>
      <c r="M837" s="27" t="s">
        <v>30</v>
      </c>
      <c r="N837" s="7" t="s">
        <v>58</v>
      </c>
      <c r="P837" t="str">
        <f>IF(N837="","",  IF(N837="Excluded", N837,  IF(N837="included in industry", N837,   _xlfn.XLOOKUP(N837, [1]unittypedata!$AD:$AD,[1]unittypedata!$D:$D)   )))</f>
        <v>Excluded</v>
      </c>
    </row>
    <row r="838" spans="1:16">
      <c r="A838" s="5" t="s">
        <v>1195</v>
      </c>
      <c r="B838" s="5" t="s">
        <v>1196</v>
      </c>
      <c r="C838" s="6" t="s">
        <v>29</v>
      </c>
      <c r="D838" s="7">
        <v>2005</v>
      </c>
      <c r="E838" s="6">
        <v>1</v>
      </c>
      <c r="F838" s="7" t="s">
        <v>30</v>
      </c>
      <c r="G838" s="8">
        <v>10</v>
      </c>
      <c r="H838" s="7" t="s">
        <v>30</v>
      </c>
      <c r="I838" s="8">
        <v>10</v>
      </c>
      <c r="J838" s="7"/>
      <c r="K838" s="7"/>
      <c r="L838" s="6" t="s">
        <v>253</v>
      </c>
      <c r="M838" s="9" t="s">
        <v>30</v>
      </c>
      <c r="N838" s="7" t="s">
        <v>58</v>
      </c>
      <c r="P838" t="str">
        <f>IF(N838="","",  IF(N838="Excluded", N838,  IF(N838="included in industry", N838,   _xlfn.XLOOKUP(N838, [1]unittypedata!$AD:$AD,[1]unittypedata!$D:$D)   )))</f>
        <v>Excluded</v>
      </c>
    </row>
    <row r="839" spans="1:16">
      <c r="A839" s="5" t="s">
        <v>1195</v>
      </c>
      <c r="B839" s="5" t="s">
        <v>1197</v>
      </c>
      <c r="C839" s="6" t="s">
        <v>29</v>
      </c>
      <c r="D839" s="7">
        <v>1980</v>
      </c>
      <c r="E839" s="6">
        <v>2</v>
      </c>
      <c r="F839" s="7" t="s">
        <v>30</v>
      </c>
      <c r="G839" s="8">
        <v>15</v>
      </c>
      <c r="H839" s="7" t="s">
        <v>30</v>
      </c>
      <c r="I839" s="8">
        <v>15</v>
      </c>
      <c r="J839" s="7"/>
      <c r="K839" s="7"/>
      <c r="L839" s="6" t="s">
        <v>253</v>
      </c>
      <c r="M839" s="9" t="s">
        <v>30</v>
      </c>
      <c r="N839" s="7" t="s">
        <v>58</v>
      </c>
      <c r="P839" t="str">
        <f>IF(N839="","",  IF(N839="Excluded", N839,  IF(N839="included in industry", N839,   _xlfn.XLOOKUP(N839, [1]unittypedata!$AD:$AD,[1]unittypedata!$D:$D)   )))</f>
        <v>Excluded</v>
      </c>
    </row>
    <row r="840" spans="1:16">
      <c r="A840" s="5" t="s">
        <v>1195</v>
      </c>
      <c r="B840" s="5" t="s">
        <v>1198</v>
      </c>
      <c r="C840" s="6" t="s">
        <v>29</v>
      </c>
      <c r="D840" s="7">
        <v>1976</v>
      </c>
      <c r="E840" s="6">
        <v>1</v>
      </c>
      <c r="F840" s="7" t="s">
        <v>30</v>
      </c>
      <c r="G840" s="8">
        <v>8.3000000000000007</v>
      </c>
      <c r="H840" s="7" t="s">
        <v>30</v>
      </c>
      <c r="I840" s="8">
        <v>8.3000000000000007</v>
      </c>
      <c r="J840" s="7"/>
      <c r="K840" s="7"/>
      <c r="L840" s="6" t="s">
        <v>31</v>
      </c>
      <c r="M840" s="9" t="s">
        <v>30</v>
      </c>
      <c r="N840" s="7" t="s">
        <v>58</v>
      </c>
      <c r="P840" t="str">
        <f>IF(N840="","",  IF(N840="Excluded", N840,  IF(N840="included in industry", N840,   _xlfn.XLOOKUP(N840, [1]unittypedata!$AD:$AD,[1]unittypedata!$D:$D)   )))</f>
        <v>Excluded</v>
      </c>
    </row>
    <row r="841" spans="1:16">
      <c r="A841" s="11" t="s">
        <v>1195</v>
      </c>
      <c r="B841" s="11" t="s">
        <v>1199</v>
      </c>
      <c r="C841" s="12" t="s">
        <v>29</v>
      </c>
      <c r="D841" s="13">
        <v>2013</v>
      </c>
      <c r="E841" s="12">
        <v>1</v>
      </c>
      <c r="F841" s="13" t="s">
        <v>30</v>
      </c>
      <c r="G841" s="14">
        <v>4.5</v>
      </c>
      <c r="H841" s="13" t="s">
        <v>30</v>
      </c>
      <c r="I841" s="14">
        <v>4.5</v>
      </c>
      <c r="J841" s="13"/>
      <c r="K841" s="13"/>
      <c r="L841" s="12" t="s">
        <v>253</v>
      </c>
      <c r="M841" s="15" t="s">
        <v>30</v>
      </c>
      <c r="N841" s="7" t="s">
        <v>58</v>
      </c>
      <c r="P841" t="str">
        <f>IF(N841="","",  IF(N841="Excluded", N841,  IF(N841="included in industry", N841,   _xlfn.XLOOKUP(N841, [1]unittypedata!$AD:$AD,[1]unittypedata!$D:$D)   )))</f>
        <v>Excluded</v>
      </c>
    </row>
    <row r="842" spans="1:16">
      <c r="A842" s="5" t="s">
        <v>1200</v>
      </c>
      <c r="B842" s="5" t="s">
        <v>1201</v>
      </c>
      <c r="C842" s="6" t="s">
        <v>29</v>
      </c>
      <c r="D842" s="7">
        <v>1985</v>
      </c>
      <c r="E842" s="6">
        <v>3</v>
      </c>
      <c r="F842" s="7" t="s">
        <v>30</v>
      </c>
      <c r="G842" s="8" t="s">
        <v>30</v>
      </c>
      <c r="H842" s="7">
        <v>40</v>
      </c>
      <c r="I842" s="8">
        <v>40</v>
      </c>
      <c r="J842" s="7"/>
      <c r="K842" s="7"/>
      <c r="L842" s="6" t="s">
        <v>1100</v>
      </c>
      <c r="M842" s="9" t="s">
        <v>30</v>
      </c>
      <c r="N842" s="7" t="s">
        <v>58</v>
      </c>
      <c r="P842" t="str">
        <f>IF(N842="","",  IF(N842="Excluded", N842,  IF(N842="included in industry", N842,   _xlfn.XLOOKUP(N842, [1]unittypedata!$AD:$AD,[1]unittypedata!$D:$D)   )))</f>
        <v>Excluded</v>
      </c>
    </row>
    <row r="843" spans="1:16">
      <c r="A843" s="5" t="s">
        <v>1200</v>
      </c>
      <c r="B843" s="5" t="s">
        <v>1202</v>
      </c>
      <c r="C843" s="6" t="s">
        <v>52</v>
      </c>
      <c r="D843" s="7">
        <v>1990</v>
      </c>
      <c r="E843" s="6">
        <v>1</v>
      </c>
      <c r="F843" s="7">
        <v>50</v>
      </c>
      <c r="G843" s="8">
        <v>20</v>
      </c>
      <c r="H843" s="7" t="s">
        <v>30</v>
      </c>
      <c r="I843" s="8">
        <v>70</v>
      </c>
      <c r="J843" s="7">
        <v>65</v>
      </c>
      <c r="K843" s="7"/>
      <c r="L843" s="6" t="s">
        <v>39</v>
      </c>
      <c r="M843" s="9" t="s">
        <v>30</v>
      </c>
      <c r="N843" s="7" t="s">
        <v>58</v>
      </c>
      <c r="P843" t="str">
        <f>IF(N843="","",  IF(N843="Excluded", N843,  IF(N843="included in industry", N843,   _xlfn.XLOOKUP(N843, [1]unittypedata!$AD:$AD,[1]unittypedata!$D:$D)   )))</f>
        <v>Excluded</v>
      </c>
    </row>
    <row r="844" spans="1:16">
      <c r="A844" s="5" t="s">
        <v>1200</v>
      </c>
      <c r="B844" s="5" t="s">
        <v>1203</v>
      </c>
      <c r="C844" s="6" t="s">
        <v>52</v>
      </c>
      <c r="D844" s="7">
        <v>2016</v>
      </c>
      <c r="E844" s="6">
        <v>1</v>
      </c>
      <c r="F844" s="7">
        <v>40</v>
      </c>
      <c r="G844" s="8" t="s">
        <v>30</v>
      </c>
      <c r="H844" s="7" t="s">
        <v>30</v>
      </c>
      <c r="I844" s="8">
        <v>40</v>
      </c>
      <c r="J844" s="7">
        <v>110</v>
      </c>
      <c r="K844" s="7"/>
      <c r="L844" s="6" t="s">
        <v>39</v>
      </c>
      <c r="M844" s="9" t="s">
        <v>30</v>
      </c>
      <c r="N844" s="7" t="s">
        <v>58</v>
      </c>
      <c r="P844" t="str">
        <f>IF(N844="","",  IF(N844="Excluded", N844,  IF(N844="included in industry", N844,   _xlfn.XLOOKUP(N844, [1]unittypedata!$AD:$AD,[1]unittypedata!$D:$D)   )))</f>
        <v>Excluded</v>
      </c>
    </row>
    <row r="845" spans="1:16">
      <c r="A845" s="16" t="s">
        <v>1204</v>
      </c>
      <c r="B845" s="16" t="s">
        <v>1204</v>
      </c>
      <c r="C845" s="17" t="s">
        <v>52</v>
      </c>
      <c r="D845" s="18">
        <v>1962</v>
      </c>
      <c r="E845" s="17">
        <v>3</v>
      </c>
      <c r="F845" s="18">
        <v>50</v>
      </c>
      <c r="G845" s="19">
        <v>27</v>
      </c>
      <c r="H845" s="18" t="s">
        <v>30</v>
      </c>
      <c r="I845" s="19">
        <v>77</v>
      </c>
      <c r="J845" s="18">
        <v>20.8</v>
      </c>
      <c r="K845" s="18"/>
      <c r="L845" s="17" t="s">
        <v>253</v>
      </c>
      <c r="M845" s="20" t="s">
        <v>30</v>
      </c>
      <c r="N845" s="7" t="s">
        <v>1656</v>
      </c>
      <c r="P845" t="e">
        <f>IF(N845="","",  IF(N845="Excluded", N845,  IF(N845="included in industry", N845,   _xlfn.XLOOKUP(N845, [1]unittypedata!$AD:$AD,[1]unittypedata!$D:$D)   )))</f>
        <v>#N/A</v>
      </c>
    </row>
    <row r="846" spans="1:16">
      <c r="A846" s="16" t="s">
        <v>1205</v>
      </c>
      <c r="B846" s="16" t="s">
        <v>1206</v>
      </c>
      <c r="C846" s="17" t="s">
        <v>52</v>
      </c>
      <c r="D846" s="18">
        <v>2016</v>
      </c>
      <c r="E846" s="17">
        <v>1</v>
      </c>
      <c r="F846" s="18">
        <v>32</v>
      </c>
      <c r="G846" s="19">
        <v>6</v>
      </c>
      <c r="H846" s="18" t="s">
        <v>30</v>
      </c>
      <c r="I846" s="19">
        <v>38</v>
      </c>
      <c r="J846" s="18">
        <v>15.2</v>
      </c>
      <c r="K846" s="18"/>
      <c r="L846" s="17" t="s">
        <v>85</v>
      </c>
      <c r="M846" s="20" t="s">
        <v>30</v>
      </c>
      <c r="N846" s="7" t="s">
        <v>1659</v>
      </c>
      <c r="P846" t="e">
        <f>IF(N846="","",  IF(N846="Excluded", N846,  IF(N846="included in industry", N846,   _xlfn.XLOOKUP(N846, [1]unittypedata!$AD:$AD,[1]unittypedata!$D:$D)   )))</f>
        <v>#N/A</v>
      </c>
    </row>
    <row r="847" spans="1:16">
      <c r="A847" s="23" t="s">
        <v>1207</v>
      </c>
      <c r="B847" s="23" t="s">
        <v>1208</v>
      </c>
      <c r="C847" s="24" t="s">
        <v>75</v>
      </c>
      <c r="D847" s="25">
        <v>2008</v>
      </c>
      <c r="E847" s="24" t="s">
        <v>30</v>
      </c>
      <c r="F847" s="25" t="s">
        <v>30</v>
      </c>
      <c r="G847" s="26" t="s">
        <v>30</v>
      </c>
      <c r="H847" s="25" t="s">
        <v>30</v>
      </c>
      <c r="I847" s="26">
        <v>0.3</v>
      </c>
      <c r="J847" s="25">
        <v>0.1</v>
      </c>
      <c r="K847" s="25"/>
      <c r="L847" s="24" t="s">
        <v>68</v>
      </c>
      <c r="M847" s="27" t="s">
        <v>30</v>
      </c>
      <c r="N847" s="7" t="s">
        <v>58</v>
      </c>
      <c r="P847" t="str">
        <f>IF(N847="","",  IF(N847="Excluded", N847,  IF(N847="included in industry", N847,   _xlfn.XLOOKUP(N847, [1]unittypedata!$AD:$AD,[1]unittypedata!$D:$D)   )))</f>
        <v>Excluded</v>
      </c>
    </row>
    <row r="848" spans="1:16">
      <c r="A848" s="5" t="s">
        <v>1209</v>
      </c>
      <c r="B848" s="5" t="s">
        <v>1210</v>
      </c>
      <c r="C848" s="6" t="s">
        <v>29</v>
      </c>
      <c r="D848" s="7">
        <v>1982</v>
      </c>
      <c r="E848" s="6">
        <v>6</v>
      </c>
      <c r="F848" s="7" t="s">
        <v>30</v>
      </c>
      <c r="G848" s="8">
        <v>128</v>
      </c>
      <c r="H848" s="7">
        <v>15</v>
      </c>
      <c r="I848" s="8">
        <v>143</v>
      </c>
      <c r="J848" s="7"/>
      <c r="K848" s="7"/>
      <c r="L848" s="6" t="s">
        <v>46</v>
      </c>
      <c r="M848" s="9" t="s">
        <v>30</v>
      </c>
      <c r="N848" s="7" t="s">
        <v>1653</v>
      </c>
      <c r="P848" t="e">
        <f>IF(N848="","",  IF(N848="Excluded", N848,  IF(N848="included in industry", N848,   _xlfn.XLOOKUP(N848, [1]unittypedata!$AD:$AD,[1]unittypedata!$D:$D)   )))</f>
        <v>#N/A</v>
      </c>
    </row>
    <row r="849" spans="1:16">
      <c r="A849" s="5" t="s">
        <v>1209</v>
      </c>
      <c r="B849" s="5" t="s">
        <v>1211</v>
      </c>
      <c r="C849" s="6" t="s">
        <v>29</v>
      </c>
      <c r="D849" s="7">
        <v>2019</v>
      </c>
      <c r="E849" s="6">
        <v>2</v>
      </c>
      <c r="F849" s="7" t="s">
        <v>30</v>
      </c>
      <c r="G849" s="8">
        <v>120</v>
      </c>
      <c r="H849" s="7" t="s">
        <v>30</v>
      </c>
      <c r="I849" s="8">
        <v>120</v>
      </c>
      <c r="J849" s="7"/>
      <c r="K849" s="7"/>
      <c r="L849" s="6" t="s">
        <v>44</v>
      </c>
      <c r="M849" s="9" t="s">
        <v>30</v>
      </c>
      <c r="N849" s="7" t="s">
        <v>1653</v>
      </c>
      <c r="P849" t="e">
        <f>IF(N849="","",  IF(N849="Excluded", N849,  IF(N849="included in industry", N849,   _xlfn.XLOOKUP(N849, [1]unittypedata!$AD:$AD,[1]unittypedata!$D:$D)   )))</f>
        <v>#N/A</v>
      </c>
    </row>
    <row r="850" spans="1:16">
      <c r="A850" s="5" t="s">
        <v>1209</v>
      </c>
      <c r="B850" s="5" t="s">
        <v>1212</v>
      </c>
      <c r="C850" s="6" t="s">
        <v>29</v>
      </c>
      <c r="D850" s="7">
        <v>2011</v>
      </c>
      <c r="E850" s="6">
        <v>1</v>
      </c>
      <c r="F850" s="7" t="s">
        <v>30</v>
      </c>
      <c r="G850" s="8">
        <v>45</v>
      </c>
      <c r="H850" s="7" t="s">
        <v>30</v>
      </c>
      <c r="I850" s="8">
        <v>45</v>
      </c>
      <c r="J850" s="7"/>
      <c r="K850" s="7"/>
      <c r="L850" s="6" t="s">
        <v>31</v>
      </c>
      <c r="M850" s="9" t="s">
        <v>30</v>
      </c>
      <c r="N850" s="7" t="s">
        <v>1654</v>
      </c>
      <c r="P850" t="e">
        <f>IF(N850="","",  IF(N850="Excluded", N850,  IF(N850="included in industry", N850,   _xlfn.XLOOKUP(N850, [1]unittypedata!$AD:$AD,[1]unittypedata!$D:$D)   )))</f>
        <v>#N/A</v>
      </c>
    </row>
    <row r="851" spans="1:16">
      <c r="A851" s="5" t="s">
        <v>1209</v>
      </c>
      <c r="B851" s="5" t="s">
        <v>1213</v>
      </c>
      <c r="C851" s="6" t="s">
        <v>29</v>
      </c>
      <c r="D851" s="7">
        <v>2022</v>
      </c>
      <c r="E851" s="6">
        <v>1</v>
      </c>
      <c r="F851" s="7" t="s">
        <v>30</v>
      </c>
      <c r="G851" s="8">
        <v>40</v>
      </c>
      <c r="H851" s="7" t="s">
        <v>30</v>
      </c>
      <c r="I851" s="8">
        <v>40</v>
      </c>
      <c r="J851" s="7"/>
      <c r="K851" s="7"/>
      <c r="L851" s="6" t="s">
        <v>77</v>
      </c>
      <c r="M851" s="9" t="s">
        <v>30</v>
      </c>
      <c r="N851" s="7" t="s">
        <v>1652</v>
      </c>
      <c r="P851" t="e">
        <f>IF(N851="","",  IF(N851="Excluded", N851,  IF(N851="included in industry", N851,   _xlfn.XLOOKUP(N851, [1]unittypedata!$AD:$AD,[1]unittypedata!$D:$D)   )))</f>
        <v>#N/A</v>
      </c>
    </row>
    <row r="852" spans="1:16">
      <c r="A852" s="11" t="s">
        <v>1209</v>
      </c>
      <c r="B852" s="11" t="s">
        <v>1214</v>
      </c>
      <c r="C852" s="12" t="s">
        <v>52</v>
      </c>
      <c r="D852" s="13">
        <v>1990</v>
      </c>
      <c r="E852" s="12">
        <v>1</v>
      </c>
      <c r="F852" s="13">
        <v>100</v>
      </c>
      <c r="G852" s="14" t="s">
        <v>30</v>
      </c>
      <c r="H852" s="13" t="s">
        <v>30</v>
      </c>
      <c r="I852" s="14">
        <v>100</v>
      </c>
      <c r="J852" s="13">
        <v>108</v>
      </c>
      <c r="K852" s="13"/>
      <c r="L852" s="12" t="s">
        <v>118</v>
      </c>
      <c r="M852" s="15" t="s">
        <v>30</v>
      </c>
      <c r="N852" s="7" t="s">
        <v>1656</v>
      </c>
      <c r="P852" t="e">
        <f>IF(N852="","",  IF(N852="Excluded", N852,  IF(N852="included in industry", N852,   _xlfn.XLOOKUP(N852, [1]unittypedata!$AD:$AD,[1]unittypedata!$D:$D)   )))</f>
        <v>#N/A</v>
      </c>
    </row>
    <row r="853" spans="1:16">
      <c r="A853" s="5" t="s">
        <v>1215</v>
      </c>
      <c r="B853" s="5" t="s">
        <v>1216</v>
      </c>
      <c r="C853" s="6" t="s">
        <v>29</v>
      </c>
      <c r="D853" s="7">
        <v>1985</v>
      </c>
      <c r="E853" s="6">
        <v>2</v>
      </c>
      <c r="F853" s="7" t="s">
        <v>30</v>
      </c>
      <c r="G853" s="8" t="s">
        <v>30</v>
      </c>
      <c r="H853" s="7">
        <v>2</v>
      </c>
      <c r="I853" s="8">
        <v>2</v>
      </c>
      <c r="J853" s="7"/>
      <c r="K853" s="7"/>
      <c r="L853" s="6" t="s">
        <v>1100</v>
      </c>
      <c r="M853" s="9" t="s">
        <v>30</v>
      </c>
      <c r="N853" s="7" t="s">
        <v>58</v>
      </c>
      <c r="P853" t="str">
        <f>IF(N853="","",  IF(N853="Excluded", N853,  IF(N853="included in industry", N853,   _xlfn.XLOOKUP(N853, [1]unittypedata!$AD:$AD,[1]unittypedata!$D:$D)   )))</f>
        <v>Excluded</v>
      </c>
    </row>
    <row r="854" spans="1:16">
      <c r="A854" s="11" t="s">
        <v>1215</v>
      </c>
      <c r="B854" s="11" t="s">
        <v>1217</v>
      </c>
      <c r="C854" s="12" t="s">
        <v>29</v>
      </c>
      <c r="D854" s="13">
        <v>1972</v>
      </c>
      <c r="E854" s="12">
        <v>2</v>
      </c>
      <c r="F854" s="13" t="s">
        <v>30</v>
      </c>
      <c r="G854" s="14" t="s">
        <v>30</v>
      </c>
      <c r="H854" s="13">
        <v>16</v>
      </c>
      <c r="I854" s="14">
        <v>16</v>
      </c>
      <c r="J854" s="13"/>
      <c r="K854" s="13"/>
      <c r="L854" s="12" t="s">
        <v>1218</v>
      </c>
      <c r="M854" s="15" t="s">
        <v>30</v>
      </c>
      <c r="N854" s="7" t="s">
        <v>58</v>
      </c>
      <c r="P854" t="str">
        <f>IF(N854="","",  IF(N854="Excluded", N854,  IF(N854="included in industry", N854,   _xlfn.XLOOKUP(N854, [1]unittypedata!$AD:$AD,[1]unittypedata!$D:$D)   )))</f>
        <v>Excluded</v>
      </c>
    </row>
    <row r="855" spans="1:16">
      <c r="A855" s="5" t="s">
        <v>1219</v>
      </c>
      <c r="B855" s="5" t="s">
        <v>1220</v>
      </c>
      <c r="C855" s="6" t="s">
        <v>52</v>
      </c>
      <c r="D855" s="7">
        <v>1988</v>
      </c>
      <c r="E855" s="6">
        <v>1</v>
      </c>
      <c r="F855" s="7" t="s">
        <v>158</v>
      </c>
      <c r="G855" s="8" t="s">
        <v>158</v>
      </c>
      <c r="H855" s="7" t="s">
        <v>30</v>
      </c>
      <c r="I855" s="8" t="s">
        <v>158</v>
      </c>
      <c r="J855" s="7">
        <v>77</v>
      </c>
      <c r="K855" s="7"/>
      <c r="L855" s="6" t="s">
        <v>1171</v>
      </c>
      <c r="M855" s="9" t="s">
        <v>30</v>
      </c>
      <c r="N855" s="7" t="s">
        <v>1265</v>
      </c>
      <c r="P855" t="str">
        <f>IF(N855="","",  IF(N855="Excluded", N855,  IF(N855="included in industry", N855,   _xlfn.XLOOKUP(N855, [1]unittypedata!$AD:$AD,[1]unittypedata!$D:$D)   )))</f>
        <v>Included in industry</v>
      </c>
    </row>
    <row r="856" spans="1:16">
      <c r="A856" s="5" t="s">
        <v>1219</v>
      </c>
      <c r="B856" s="5" t="s">
        <v>1221</v>
      </c>
      <c r="C856" s="6" t="s">
        <v>52</v>
      </c>
      <c r="D856" s="7">
        <v>1997</v>
      </c>
      <c r="E856" s="6">
        <v>1</v>
      </c>
      <c r="F856" s="7" t="s">
        <v>30</v>
      </c>
      <c r="G856" s="8">
        <v>120</v>
      </c>
      <c r="H856" s="7" t="s">
        <v>30</v>
      </c>
      <c r="I856" s="8">
        <v>120</v>
      </c>
      <c r="J856" s="7">
        <v>30</v>
      </c>
      <c r="K856" s="7"/>
      <c r="L856" s="6" t="s">
        <v>118</v>
      </c>
      <c r="M856" s="9" t="s">
        <v>30</v>
      </c>
      <c r="N856" s="7" t="s">
        <v>1265</v>
      </c>
      <c r="P856" t="str">
        <f>IF(N856="","",  IF(N856="Excluded", N856,  IF(N856="included in industry", N856,   _xlfn.XLOOKUP(N856, [1]unittypedata!$AD:$AD,[1]unittypedata!$D:$D)   )))</f>
        <v>Included in industry</v>
      </c>
    </row>
    <row r="857" spans="1:16">
      <c r="A857" s="16" t="s">
        <v>1222</v>
      </c>
      <c r="B857" s="16" t="s">
        <v>1223</v>
      </c>
      <c r="C857" s="17" t="s">
        <v>52</v>
      </c>
      <c r="D857" s="18">
        <v>1961</v>
      </c>
      <c r="E857" s="17">
        <v>2</v>
      </c>
      <c r="F857" s="18">
        <v>40</v>
      </c>
      <c r="G857" s="19" t="s">
        <v>30</v>
      </c>
      <c r="H857" s="18" t="s">
        <v>158</v>
      </c>
      <c r="I857" s="19" t="s">
        <v>158</v>
      </c>
      <c r="J857" s="18">
        <v>17</v>
      </c>
      <c r="K857" s="18"/>
      <c r="L857" s="17" t="s">
        <v>118</v>
      </c>
      <c r="M857" s="20" t="s">
        <v>30</v>
      </c>
      <c r="N857" s="7" t="s">
        <v>1265</v>
      </c>
      <c r="P857" t="str">
        <f>IF(N857="","",  IF(N857="Excluded", N857,  IF(N857="included in industry", N857,   _xlfn.XLOOKUP(N857, [1]unittypedata!$AD:$AD,[1]unittypedata!$D:$D)   )))</f>
        <v>Included in industry</v>
      </c>
    </row>
    <row r="858" spans="1:16">
      <c r="A858" s="16" t="s">
        <v>1224</v>
      </c>
      <c r="B858" s="16" t="s">
        <v>1225</v>
      </c>
      <c r="C858" s="17" t="s">
        <v>52</v>
      </c>
      <c r="D858" s="18">
        <v>1975</v>
      </c>
      <c r="E858" s="17">
        <v>2</v>
      </c>
      <c r="F858" s="18">
        <v>60</v>
      </c>
      <c r="G858" s="19" t="s">
        <v>30</v>
      </c>
      <c r="H858" s="18" t="s">
        <v>30</v>
      </c>
      <c r="I858" s="19">
        <v>60</v>
      </c>
      <c r="J858" s="18">
        <v>10</v>
      </c>
      <c r="K858" s="18"/>
      <c r="L858" s="17" t="s">
        <v>253</v>
      </c>
      <c r="M858" s="20" t="s">
        <v>30</v>
      </c>
      <c r="N858" s="7" t="s">
        <v>1265</v>
      </c>
      <c r="P858" t="str">
        <f>IF(N858="","",  IF(N858="Excluded", N858,  IF(N858="included in industry", N858,   _xlfn.XLOOKUP(N858, [1]unittypedata!$AD:$AD,[1]unittypedata!$D:$D)   )))</f>
        <v>Included in industry</v>
      </c>
    </row>
    <row r="859" spans="1:16">
      <c r="A859" s="23" t="s">
        <v>1226</v>
      </c>
      <c r="B859" s="23" t="s">
        <v>1227</v>
      </c>
      <c r="C859" s="24" t="s">
        <v>52</v>
      </c>
      <c r="D859" s="25">
        <v>1972</v>
      </c>
      <c r="E859" s="24">
        <v>4</v>
      </c>
      <c r="F859" s="25" t="s">
        <v>158</v>
      </c>
      <c r="G859" s="26" t="s">
        <v>158</v>
      </c>
      <c r="H859" s="25" t="s">
        <v>158</v>
      </c>
      <c r="I859" s="26">
        <v>5</v>
      </c>
      <c r="J859" s="25">
        <v>168</v>
      </c>
      <c r="K859" s="25"/>
      <c r="L859" s="24" t="s">
        <v>36</v>
      </c>
      <c r="M859" s="27" t="s">
        <v>30</v>
      </c>
      <c r="N859" s="7" t="s">
        <v>1265</v>
      </c>
      <c r="P859" t="str">
        <f>IF(N859="","",  IF(N859="Excluded", N859,  IF(N859="included in industry", N859,   _xlfn.XLOOKUP(N859, [1]unittypedata!$AD:$AD,[1]unittypedata!$D:$D)   )))</f>
        <v>Included in industry</v>
      </c>
    </row>
    <row r="860" spans="1:16">
      <c r="A860" s="5" t="s">
        <v>1228</v>
      </c>
      <c r="B860" s="5" t="s">
        <v>1229</v>
      </c>
      <c r="C860" s="6" t="s">
        <v>29</v>
      </c>
      <c r="D860" s="7">
        <v>2014</v>
      </c>
      <c r="E860" s="6">
        <v>1</v>
      </c>
      <c r="F860" s="7" t="s">
        <v>30</v>
      </c>
      <c r="G860" s="8">
        <v>3</v>
      </c>
      <c r="H860" s="7" t="s">
        <v>30</v>
      </c>
      <c r="I860" s="8">
        <v>3</v>
      </c>
      <c r="J860" s="7"/>
      <c r="K860" s="7"/>
      <c r="L860" s="6" t="s">
        <v>44</v>
      </c>
      <c r="M860" s="9" t="s">
        <v>30</v>
      </c>
      <c r="N860" s="7" t="s">
        <v>58</v>
      </c>
      <c r="P860" t="str">
        <f>IF(N860="","",  IF(N860="Excluded", N860,  IF(N860="included in industry", N860,   _xlfn.XLOOKUP(N860, [1]unittypedata!$AD:$AD,[1]unittypedata!$D:$D)   )))</f>
        <v>Excluded</v>
      </c>
    </row>
    <row r="861" spans="1:16">
      <c r="A861" s="5" t="s">
        <v>1228</v>
      </c>
      <c r="B861" s="5" t="s">
        <v>1230</v>
      </c>
      <c r="C861" s="6" t="s">
        <v>29</v>
      </c>
      <c r="D861" s="7">
        <v>2018</v>
      </c>
      <c r="E861" s="6">
        <v>3</v>
      </c>
      <c r="F861" s="7" t="s">
        <v>30</v>
      </c>
      <c r="G861" s="8" t="s">
        <v>30</v>
      </c>
      <c r="H861" s="7" t="s">
        <v>158</v>
      </c>
      <c r="I861" s="8" t="s">
        <v>158</v>
      </c>
      <c r="J861" s="7"/>
      <c r="K861" s="7"/>
      <c r="L861" s="6" t="s">
        <v>285</v>
      </c>
      <c r="M861" s="9" t="s">
        <v>30</v>
      </c>
      <c r="N861" s="7" t="s">
        <v>58</v>
      </c>
      <c r="P861" t="str">
        <f>IF(N861="","",  IF(N861="Excluded", N861,  IF(N861="included in industry", N861,   _xlfn.XLOOKUP(N861, [1]unittypedata!$AD:$AD,[1]unittypedata!$D:$D)   )))</f>
        <v>Excluded</v>
      </c>
    </row>
    <row r="862" spans="1:16">
      <c r="A862" s="16" t="s">
        <v>1231</v>
      </c>
      <c r="B862" s="16" t="s">
        <v>1232</v>
      </c>
      <c r="C862" s="17" t="s">
        <v>29</v>
      </c>
      <c r="D862" s="18">
        <v>2016</v>
      </c>
      <c r="E862" s="17" t="s">
        <v>158</v>
      </c>
      <c r="F862" s="18" t="s">
        <v>30</v>
      </c>
      <c r="G862" s="19">
        <v>2</v>
      </c>
      <c r="H862" s="18" t="s">
        <v>30</v>
      </c>
      <c r="I862" s="19">
        <v>2</v>
      </c>
      <c r="J862" s="18"/>
      <c r="K862" s="18"/>
      <c r="L862" s="17" t="s">
        <v>781</v>
      </c>
      <c r="M862" s="20" t="s">
        <v>30</v>
      </c>
      <c r="N862" s="7" t="s">
        <v>58</v>
      </c>
      <c r="P862" t="str">
        <f>IF(N862="","",  IF(N862="Excluded", N862,  IF(N862="included in industry", N862,   _xlfn.XLOOKUP(N862, [1]unittypedata!$AD:$AD,[1]unittypedata!$D:$D)   )))</f>
        <v>Excluded</v>
      </c>
    </row>
    <row r="863" spans="1:16">
      <c r="A863" s="23" t="s">
        <v>1233</v>
      </c>
      <c r="B863" s="23" t="s">
        <v>1234</v>
      </c>
      <c r="C863" s="24" t="s">
        <v>29</v>
      </c>
      <c r="D863" s="25">
        <v>2022</v>
      </c>
      <c r="E863" s="24">
        <v>1</v>
      </c>
      <c r="F863" s="25" t="s">
        <v>30</v>
      </c>
      <c r="G863" s="26">
        <v>5</v>
      </c>
      <c r="H863" s="25" t="s">
        <v>30</v>
      </c>
      <c r="I863" s="26">
        <v>5</v>
      </c>
      <c r="J863" s="25"/>
      <c r="K863" s="25"/>
      <c r="L863" s="24" t="s">
        <v>253</v>
      </c>
      <c r="M863" s="27" t="s">
        <v>30</v>
      </c>
      <c r="N863" s="7" t="s">
        <v>58</v>
      </c>
      <c r="P863" t="str">
        <f>IF(N863="","",  IF(N863="Excluded", N863,  IF(N863="included in industry", N863,   _xlfn.XLOOKUP(N863, [1]unittypedata!$AD:$AD,[1]unittypedata!$D:$D)   )))</f>
        <v>Excluded</v>
      </c>
    </row>
    <row r="864" spans="1:16">
      <c r="A864" s="5" t="s">
        <v>1235</v>
      </c>
      <c r="B864" s="5" t="s">
        <v>1236</v>
      </c>
      <c r="C864" s="6" t="s">
        <v>29</v>
      </c>
      <c r="D864" s="7">
        <v>1963</v>
      </c>
      <c r="E864" s="6">
        <v>4</v>
      </c>
      <c r="F864" s="7" t="s">
        <v>30</v>
      </c>
      <c r="G864" s="8">
        <v>7</v>
      </c>
      <c r="H864" s="7">
        <v>3</v>
      </c>
      <c r="I864" s="8">
        <v>10</v>
      </c>
      <c r="J864" s="7"/>
      <c r="K864" s="7"/>
      <c r="L864" s="6" t="s">
        <v>36</v>
      </c>
      <c r="M864" s="9" t="s">
        <v>30</v>
      </c>
      <c r="N864" s="7" t="s">
        <v>58</v>
      </c>
      <c r="P864" t="str">
        <f>IF(N864="","",  IF(N864="Excluded", N864,  IF(N864="included in industry", N864,   _xlfn.XLOOKUP(N864, [1]unittypedata!$AD:$AD,[1]unittypedata!$D:$D)   )))</f>
        <v>Excluded</v>
      </c>
    </row>
    <row r="865" spans="1:16">
      <c r="A865" s="5" t="s">
        <v>1235</v>
      </c>
      <c r="B865" s="5" t="s">
        <v>1237</v>
      </c>
      <c r="C865" s="6" t="s">
        <v>48</v>
      </c>
      <c r="D865" s="7">
        <v>2017</v>
      </c>
      <c r="E865" s="6" t="s">
        <v>30</v>
      </c>
      <c r="F865" s="7" t="s">
        <v>30</v>
      </c>
      <c r="G865" s="8" t="s">
        <v>30</v>
      </c>
      <c r="H865" s="7" t="s">
        <v>30</v>
      </c>
      <c r="I865" s="8">
        <v>3.2</v>
      </c>
      <c r="J865" s="7"/>
      <c r="K865" s="7"/>
      <c r="L865" s="6" t="s">
        <v>30</v>
      </c>
      <c r="M865" s="9" t="s">
        <v>158</v>
      </c>
      <c r="N865" s="7" t="s">
        <v>58</v>
      </c>
      <c r="P865" t="str">
        <f>IF(N865="","",  IF(N865="Excluded", N865,  IF(N865="included in industry", N865,   _xlfn.XLOOKUP(N865, [1]unittypedata!$AD:$AD,[1]unittypedata!$D:$D)   )))</f>
        <v>Excluded</v>
      </c>
    </row>
    <row r="866" spans="1:16">
      <c r="A866" s="23" t="s">
        <v>1238</v>
      </c>
      <c r="B866" s="23" t="s">
        <v>1239</v>
      </c>
      <c r="C866" s="24" t="s">
        <v>29</v>
      </c>
      <c r="D866" s="25">
        <v>2004</v>
      </c>
      <c r="E866" s="24">
        <v>2</v>
      </c>
      <c r="F866" s="25" t="s">
        <v>30</v>
      </c>
      <c r="G866" s="26">
        <v>25</v>
      </c>
      <c r="H866" s="25" t="s">
        <v>30</v>
      </c>
      <c r="I866" s="26">
        <v>25</v>
      </c>
      <c r="J866" s="25"/>
      <c r="K866" s="25"/>
      <c r="L866" s="24" t="s">
        <v>46</v>
      </c>
      <c r="M866" s="27" t="s">
        <v>30</v>
      </c>
      <c r="N866" s="7" t="s">
        <v>1653</v>
      </c>
      <c r="P866" t="e">
        <f>IF(N866="","",  IF(N866="Excluded", N866,  IF(N866="included in industry", N866,   _xlfn.XLOOKUP(N866, [1]unittypedata!$AD:$AD,[1]unittypedata!$D:$D)   )))</f>
        <v>#N/A</v>
      </c>
    </row>
    <row r="867" spans="1:16">
      <c r="A867" s="16" t="s">
        <v>1240</v>
      </c>
      <c r="B867" s="16" t="s">
        <v>1241</v>
      </c>
      <c r="C867" s="17" t="s">
        <v>52</v>
      </c>
      <c r="D867" s="18">
        <v>1980</v>
      </c>
      <c r="E867" s="17" t="s">
        <v>158</v>
      </c>
      <c r="F867" s="18" t="s">
        <v>30</v>
      </c>
      <c r="G867" s="19">
        <v>80</v>
      </c>
      <c r="H867" s="18">
        <v>20</v>
      </c>
      <c r="I867" s="19">
        <v>100</v>
      </c>
      <c r="J867" s="18"/>
      <c r="K867" s="18"/>
      <c r="L867" s="17" t="s">
        <v>46</v>
      </c>
      <c r="M867" s="20" t="s">
        <v>30</v>
      </c>
      <c r="N867" s="7" t="s">
        <v>58</v>
      </c>
      <c r="P867" t="str">
        <f>IF(N867="","",  IF(N867="Excluded", N867,  IF(N867="included in industry", N867,   _xlfn.XLOOKUP(N867, [1]unittypedata!$AD:$AD,[1]unittypedata!$D:$D)   )))</f>
        <v>Excluded</v>
      </c>
    </row>
    <row r="868" spans="1:16">
      <c r="A868" s="23" t="s">
        <v>1242</v>
      </c>
      <c r="B868" s="23" t="s">
        <v>1243</v>
      </c>
      <c r="C868" s="24" t="s">
        <v>29</v>
      </c>
      <c r="D868" s="25" t="s">
        <v>158</v>
      </c>
      <c r="E868" s="24" t="s">
        <v>158</v>
      </c>
      <c r="F868" s="25" t="s">
        <v>30</v>
      </c>
      <c r="G868" s="26" t="s">
        <v>158</v>
      </c>
      <c r="H868" s="25" t="s">
        <v>158</v>
      </c>
      <c r="I868" s="26" t="s">
        <v>158</v>
      </c>
      <c r="J868" s="25"/>
      <c r="K868" s="25"/>
      <c r="L868" s="24" t="s">
        <v>1171</v>
      </c>
      <c r="M868" s="27" t="s">
        <v>30</v>
      </c>
      <c r="N868" s="7" t="s">
        <v>58</v>
      </c>
      <c r="P868" t="str">
        <f>IF(N868="","",  IF(N868="Excluded", N868,  IF(N868="included in industry", N868,   _xlfn.XLOOKUP(N868, [1]unittypedata!$AD:$AD,[1]unittypedata!$D:$D)   )))</f>
        <v>Excluded</v>
      </c>
    </row>
    <row r="869" spans="1:16">
      <c r="A869" s="5" t="s">
        <v>1244</v>
      </c>
      <c r="B869" s="5" t="s">
        <v>1245</v>
      </c>
      <c r="C869" s="6" t="s">
        <v>29</v>
      </c>
      <c r="D869" s="7">
        <v>2022</v>
      </c>
      <c r="E869" s="6">
        <v>1</v>
      </c>
      <c r="F869" s="7" t="s">
        <v>30</v>
      </c>
      <c r="G869" s="8">
        <v>40</v>
      </c>
      <c r="H869" s="7" t="s">
        <v>30</v>
      </c>
      <c r="I869" s="8">
        <v>40</v>
      </c>
      <c r="J869" s="7"/>
      <c r="K869" s="7">
        <v>40</v>
      </c>
      <c r="L869" s="6" t="s">
        <v>77</v>
      </c>
      <c r="M869" s="9" t="s">
        <v>30</v>
      </c>
      <c r="N869" s="7" t="s">
        <v>1652</v>
      </c>
      <c r="P869" t="e">
        <f>IF(N869="","",  IF(N869="Excluded", N869,  IF(N869="included in industry", N869,   _xlfn.XLOOKUP(N869, [1]unittypedata!$AD:$AD,[1]unittypedata!$D:$D)   )))</f>
        <v>#N/A</v>
      </c>
    </row>
    <row r="870" spans="1:16">
      <c r="A870" s="5" t="s">
        <v>1244</v>
      </c>
      <c r="B870" s="5" t="s">
        <v>1245</v>
      </c>
      <c r="C870" s="6" t="s">
        <v>29</v>
      </c>
      <c r="D870" s="7">
        <v>2023</v>
      </c>
      <c r="E870" s="6">
        <v>2</v>
      </c>
      <c r="F870" s="7" t="s">
        <v>30</v>
      </c>
      <c r="G870" s="8">
        <v>120</v>
      </c>
      <c r="H870" s="7" t="s">
        <v>30</v>
      </c>
      <c r="I870" s="8">
        <v>120</v>
      </c>
      <c r="J870" s="7"/>
      <c r="K870" s="7"/>
      <c r="L870" s="6" t="s">
        <v>77</v>
      </c>
      <c r="M870" s="9" t="s">
        <v>30</v>
      </c>
      <c r="N870" s="7" t="s">
        <v>1652</v>
      </c>
      <c r="P870" t="e">
        <f>IF(N870="","",  IF(N870="Excluded", N870,  IF(N870="included in industry", N870,   _xlfn.XLOOKUP(N870, [1]unittypedata!$AD:$AD,[1]unittypedata!$D:$D)   )))</f>
        <v>#N/A</v>
      </c>
    </row>
    <row r="871" spans="1:16">
      <c r="A871" s="11" t="s">
        <v>1244</v>
      </c>
      <c r="B871" s="11" t="s">
        <v>1246</v>
      </c>
      <c r="C871" s="12" t="s">
        <v>52</v>
      </c>
      <c r="D871" s="13">
        <v>1998</v>
      </c>
      <c r="E871" s="12">
        <v>1</v>
      </c>
      <c r="F871" s="13">
        <v>175</v>
      </c>
      <c r="G871" s="14" t="s">
        <v>30</v>
      </c>
      <c r="H871" s="13" t="s">
        <v>30</v>
      </c>
      <c r="I871" s="14">
        <v>175</v>
      </c>
      <c r="J871" s="13">
        <v>210</v>
      </c>
      <c r="K871" s="13"/>
      <c r="L871" s="12" t="s">
        <v>46</v>
      </c>
      <c r="M871" s="15" t="s">
        <v>30</v>
      </c>
      <c r="N871" s="7" t="s">
        <v>1656</v>
      </c>
      <c r="P871" t="e">
        <f>IF(N871="","",  IF(N871="Excluded", N871,  IF(N871="included in industry", N871,   _xlfn.XLOOKUP(N871, [1]unittypedata!$AD:$AD,[1]unittypedata!$D:$D)   )))</f>
        <v>#N/A</v>
      </c>
    </row>
    <row r="872" spans="1:16">
      <c r="A872" s="5" t="s">
        <v>1247</v>
      </c>
      <c r="B872" s="5" t="s">
        <v>1248</v>
      </c>
      <c r="C872" s="6" t="s">
        <v>29</v>
      </c>
      <c r="D872" s="7">
        <v>2002</v>
      </c>
      <c r="E872" s="6">
        <v>3</v>
      </c>
      <c r="F872" s="7" t="s">
        <v>30</v>
      </c>
      <c r="G872" s="8">
        <v>7</v>
      </c>
      <c r="H872" s="7" t="s">
        <v>30</v>
      </c>
      <c r="I872" s="8">
        <v>7</v>
      </c>
      <c r="J872" s="7"/>
      <c r="K872" s="7"/>
      <c r="L872" s="6" t="s">
        <v>46</v>
      </c>
      <c r="M872" s="9" t="s">
        <v>30</v>
      </c>
      <c r="N872" s="7" t="s">
        <v>1653</v>
      </c>
      <c r="P872" t="e">
        <f>IF(N872="","",  IF(N872="Excluded", N872,  IF(N872="included in industry", N872,   _xlfn.XLOOKUP(N872, [1]unittypedata!$AD:$AD,[1]unittypedata!$D:$D)   )))</f>
        <v>#N/A</v>
      </c>
    </row>
    <row r="873" spans="1:16">
      <c r="A873" s="5" t="s">
        <v>1247</v>
      </c>
      <c r="B873" s="5" t="s">
        <v>1249</v>
      </c>
      <c r="C873" s="6" t="s">
        <v>29</v>
      </c>
      <c r="D873" s="7">
        <v>2007</v>
      </c>
      <c r="E873" s="6">
        <v>2</v>
      </c>
      <c r="F873" s="7" t="s">
        <v>30</v>
      </c>
      <c r="G873" s="8">
        <v>1.5</v>
      </c>
      <c r="H873" s="7" t="s">
        <v>30</v>
      </c>
      <c r="I873" s="8">
        <v>1.5</v>
      </c>
      <c r="J873" s="7"/>
      <c r="K873" s="7"/>
      <c r="L873" s="6" t="s">
        <v>46</v>
      </c>
      <c r="M873" s="9" t="s">
        <v>30</v>
      </c>
      <c r="N873" s="7" t="s">
        <v>1653</v>
      </c>
      <c r="P873" t="e">
        <f>IF(N873="","",  IF(N873="Excluded", N873,  IF(N873="included in industry", N873,   _xlfn.XLOOKUP(N873, [1]unittypedata!$AD:$AD,[1]unittypedata!$D:$D)   )))</f>
        <v>#N/A</v>
      </c>
    </row>
    <row r="874" spans="1:16">
      <c r="A874" s="23" t="s">
        <v>1250</v>
      </c>
      <c r="B874" s="23" t="s">
        <v>1251</v>
      </c>
      <c r="C874" s="24" t="s">
        <v>29</v>
      </c>
      <c r="D874" s="25">
        <v>2007</v>
      </c>
      <c r="E874" s="24">
        <v>1</v>
      </c>
      <c r="F874" s="25" t="s">
        <v>30</v>
      </c>
      <c r="G874" s="26" t="s">
        <v>30</v>
      </c>
      <c r="H874" s="25">
        <v>3.8</v>
      </c>
      <c r="I874" s="26">
        <v>3.8</v>
      </c>
      <c r="J874" s="25"/>
      <c r="K874" s="25"/>
      <c r="L874" s="24" t="s">
        <v>118</v>
      </c>
      <c r="M874" s="27" t="s">
        <v>30</v>
      </c>
      <c r="N874" s="7" t="s">
        <v>58</v>
      </c>
      <c r="P874" t="str">
        <f>IF(N874="","",  IF(N874="Excluded", N874,  IF(N874="included in industry", N874,   _xlfn.XLOOKUP(N874, [1]unittypedata!$AD:$AD,[1]unittypedata!$D:$D)   )))</f>
        <v>Excluded</v>
      </c>
    </row>
    <row r="875" spans="1:16">
      <c r="A875" s="5" t="s">
        <v>1252</v>
      </c>
      <c r="B875" s="5" t="s">
        <v>1253</v>
      </c>
      <c r="C875" s="6" t="s">
        <v>29</v>
      </c>
      <c r="D875" s="7">
        <v>1991</v>
      </c>
      <c r="E875" s="6">
        <v>1</v>
      </c>
      <c r="F875" s="7" t="s">
        <v>30</v>
      </c>
      <c r="G875" s="8">
        <v>14</v>
      </c>
      <c r="H875" s="7" t="s">
        <v>30</v>
      </c>
      <c r="I875" s="8">
        <v>14</v>
      </c>
      <c r="J875" s="7"/>
      <c r="K875" s="7"/>
      <c r="L875" s="6" t="s">
        <v>253</v>
      </c>
      <c r="M875" s="9" t="s">
        <v>30</v>
      </c>
      <c r="N875" s="7" t="s">
        <v>1653</v>
      </c>
      <c r="P875" t="e">
        <f>IF(N875="","",  IF(N875="Excluded", N875,  IF(N875="included in industry", N875,   _xlfn.XLOOKUP(N875, [1]unittypedata!$AD:$AD,[1]unittypedata!$D:$D)   )))</f>
        <v>#N/A</v>
      </c>
    </row>
    <row r="876" spans="1:16">
      <c r="A876" s="5" t="s">
        <v>1252</v>
      </c>
      <c r="B876" s="5" t="s">
        <v>1254</v>
      </c>
      <c r="C876" s="6" t="s">
        <v>29</v>
      </c>
      <c r="D876" s="7">
        <v>2001</v>
      </c>
      <c r="E876" s="6">
        <v>1</v>
      </c>
      <c r="F876" s="7" t="s">
        <v>30</v>
      </c>
      <c r="G876" s="8">
        <v>10</v>
      </c>
      <c r="H876" s="7" t="s">
        <v>30</v>
      </c>
      <c r="I876" s="8">
        <v>10</v>
      </c>
      <c r="J876" s="7"/>
      <c r="K876" s="7"/>
      <c r="L876" s="6" t="s">
        <v>253</v>
      </c>
      <c r="M876" s="9" t="s">
        <v>30</v>
      </c>
      <c r="N876" s="7" t="s">
        <v>1653</v>
      </c>
      <c r="P876" t="e">
        <f>IF(N876="","",  IF(N876="Excluded", N876,  IF(N876="included in industry", N876,   _xlfn.XLOOKUP(N876, [1]unittypedata!$AD:$AD,[1]unittypedata!$D:$D)   )))</f>
        <v>#N/A</v>
      </c>
    </row>
    <row r="877" spans="1:16">
      <c r="A877" s="5" t="s">
        <v>1252</v>
      </c>
      <c r="B877" s="5" t="s">
        <v>1255</v>
      </c>
      <c r="C877" s="6" t="s">
        <v>29</v>
      </c>
      <c r="D877" s="7">
        <v>2007</v>
      </c>
      <c r="E877" s="6">
        <v>1</v>
      </c>
      <c r="F877" s="7" t="s">
        <v>30</v>
      </c>
      <c r="G877" s="8">
        <v>5</v>
      </c>
      <c r="H877" s="7" t="s">
        <v>30</v>
      </c>
      <c r="I877" s="8">
        <v>5</v>
      </c>
      <c r="J877" s="7"/>
      <c r="K877" s="7"/>
      <c r="L877" s="6" t="s">
        <v>253</v>
      </c>
      <c r="M877" s="9" t="s">
        <v>30</v>
      </c>
      <c r="N877" s="7" t="s">
        <v>1653</v>
      </c>
      <c r="P877" t="e">
        <f>IF(N877="","",  IF(N877="Excluded", N877,  IF(N877="included in industry", N877,   _xlfn.XLOOKUP(N877, [1]unittypedata!$AD:$AD,[1]unittypedata!$D:$D)   )))</f>
        <v>#N/A</v>
      </c>
    </row>
    <row r="878" spans="1:16">
      <c r="A878" s="5" t="s">
        <v>1252</v>
      </c>
      <c r="B878" s="5" t="s">
        <v>1256</v>
      </c>
      <c r="C878" s="6" t="s">
        <v>29</v>
      </c>
      <c r="D878" s="7">
        <v>1971</v>
      </c>
      <c r="E878" s="6">
        <v>1</v>
      </c>
      <c r="F878" s="7" t="s">
        <v>30</v>
      </c>
      <c r="G878" s="8">
        <v>8</v>
      </c>
      <c r="H878" s="7" t="s">
        <v>30</v>
      </c>
      <c r="I878" s="8">
        <v>8</v>
      </c>
      <c r="J878" s="7"/>
      <c r="K878" s="7"/>
      <c r="L878" s="6" t="s">
        <v>31</v>
      </c>
      <c r="M878" s="9" t="s">
        <v>30</v>
      </c>
      <c r="N878" s="7" t="s">
        <v>1654</v>
      </c>
      <c r="P878" t="e">
        <f>IF(N878="","",  IF(N878="Excluded", N878,  IF(N878="included in industry", N878,   _xlfn.XLOOKUP(N878, [1]unittypedata!$AD:$AD,[1]unittypedata!$D:$D)   )))</f>
        <v>#N/A</v>
      </c>
    </row>
    <row r="879" spans="1:16">
      <c r="A879" s="5" t="s">
        <v>1252</v>
      </c>
      <c r="B879" s="5" t="s">
        <v>1257</v>
      </c>
      <c r="C879" s="6" t="s">
        <v>29</v>
      </c>
      <c r="D879" s="7">
        <v>1969</v>
      </c>
      <c r="E879" s="6">
        <v>1</v>
      </c>
      <c r="F879" s="7" t="s">
        <v>30</v>
      </c>
      <c r="G879" s="8">
        <v>4.7</v>
      </c>
      <c r="H879" s="7" t="s">
        <v>30</v>
      </c>
      <c r="I879" s="8">
        <v>4.7</v>
      </c>
      <c r="J879" s="7"/>
      <c r="K879" s="7"/>
      <c r="L879" s="6" t="s">
        <v>31</v>
      </c>
      <c r="M879" s="9" t="s">
        <v>30</v>
      </c>
      <c r="N879" s="7" t="s">
        <v>1654</v>
      </c>
      <c r="P879" t="e">
        <f>IF(N879="","",  IF(N879="Excluded", N879,  IF(N879="included in industry", N879,   _xlfn.XLOOKUP(N879, [1]unittypedata!$AD:$AD,[1]unittypedata!$D:$D)   )))</f>
        <v>#N/A</v>
      </c>
    </row>
    <row r="880" spans="1:16">
      <c r="A880" s="16" t="s">
        <v>1258</v>
      </c>
      <c r="B880" s="16" t="s">
        <v>1259</v>
      </c>
      <c r="C880" s="17" t="s">
        <v>29</v>
      </c>
      <c r="D880" s="18">
        <v>2011</v>
      </c>
      <c r="E880" s="17">
        <v>1</v>
      </c>
      <c r="F880" s="18" t="s">
        <v>30</v>
      </c>
      <c r="G880" s="19">
        <v>2</v>
      </c>
      <c r="H880" s="18" t="s">
        <v>30</v>
      </c>
      <c r="I880" s="19">
        <v>2</v>
      </c>
      <c r="J880" s="18"/>
      <c r="K880" s="18"/>
      <c r="L880" s="17" t="s">
        <v>46</v>
      </c>
      <c r="M880" s="20" t="s">
        <v>30</v>
      </c>
      <c r="N880" s="7" t="s">
        <v>1653</v>
      </c>
      <c r="P880" t="e">
        <f>IF(N880="","",  IF(N880="Excluded", N880,  IF(N880="included in industry", N880,   _xlfn.XLOOKUP(N880, [1]unittypedata!$AD:$AD,[1]unittypedata!$D:$D)   )))</f>
        <v>#N/A</v>
      </c>
    </row>
    <row r="881" spans="1:16">
      <c r="A881" s="16" t="s">
        <v>1260</v>
      </c>
      <c r="B881" s="16" t="s">
        <v>1261</v>
      </c>
      <c r="C881" s="17" t="s">
        <v>52</v>
      </c>
      <c r="D881" s="18">
        <v>2012</v>
      </c>
      <c r="E881" s="17">
        <v>1</v>
      </c>
      <c r="F881" s="18">
        <v>42</v>
      </c>
      <c r="G881" s="19" t="s">
        <v>30</v>
      </c>
      <c r="H881" s="18">
        <v>10</v>
      </c>
      <c r="I881" s="19">
        <v>52</v>
      </c>
      <c r="J881" s="18">
        <v>15</v>
      </c>
      <c r="K881" s="18"/>
      <c r="L881" s="17" t="s">
        <v>85</v>
      </c>
      <c r="M881" s="20" t="s">
        <v>30</v>
      </c>
      <c r="N881" s="7" t="s">
        <v>1659</v>
      </c>
      <c r="P881" t="e">
        <f>IF(N881="","",  IF(N881="Excluded", N881,  IF(N881="included in industry", N881,   _xlfn.XLOOKUP(N881, [1]unittypedata!$AD:$AD,[1]unittypedata!$D:$D)   )))</f>
        <v>#N/A</v>
      </c>
    </row>
    <row r="882" spans="1:16">
      <c r="A882" s="23" t="s">
        <v>1262</v>
      </c>
      <c r="B882" s="23" t="s">
        <v>1263</v>
      </c>
      <c r="C882" s="24" t="s">
        <v>29</v>
      </c>
      <c r="D882" s="25" t="s">
        <v>158</v>
      </c>
      <c r="E882" s="24" t="s">
        <v>158</v>
      </c>
      <c r="F882" s="25" t="s">
        <v>30</v>
      </c>
      <c r="G882" s="26" t="s">
        <v>158</v>
      </c>
      <c r="H882" s="25" t="s">
        <v>158</v>
      </c>
      <c r="I882" s="26" t="s">
        <v>158</v>
      </c>
      <c r="J882" s="25"/>
      <c r="K882" s="25"/>
      <c r="L882" s="24" t="s">
        <v>1100</v>
      </c>
      <c r="M882" s="27" t="s">
        <v>30</v>
      </c>
      <c r="N882" s="7" t="s">
        <v>58</v>
      </c>
      <c r="P882" t="str">
        <f>IF(N882="","",  IF(N882="Excluded", N882,  IF(N882="included in industry", N882,   _xlfn.XLOOKUP(N882, [1]unittypedata!$AD:$AD,[1]unittypedata!$D:$D)   )))</f>
        <v>Excluded</v>
      </c>
    </row>
    <row r="883" spans="1:16">
      <c r="A883" s="2"/>
      <c r="B883" s="63"/>
      <c r="C883" s="2"/>
      <c r="D883" s="2"/>
      <c r="E883" s="2"/>
      <c r="F883" s="2"/>
      <c r="G883" s="2"/>
      <c r="H883" s="2"/>
      <c r="I883" s="63"/>
      <c r="J883" s="63"/>
      <c r="K883" s="63"/>
      <c r="L883" s="63"/>
      <c r="M883" s="63"/>
      <c r="N883" s="63"/>
      <c r="P883" t="str">
        <f>IF(N883="","",  IF(N883="Excluded", N883,  IF(N883="included in industry", N883,   _xlfn.XLOOKUP(N883, [1]unittypedata!$AD:$AD,[1]unittypedata!$D:$D)   )))</f>
        <v/>
      </c>
    </row>
    <row r="884" spans="1:16">
      <c r="A884" s="51" t="s">
        <v>168</v>
      </c>
      <c r="B884" s="63"/>
      <c r="C884" s="2"/>
      <c r="D884" s="2"/>
      <c r="E884" s="2"/>
      <c r="F884" s="2"/>
      <c r="G884" s="2"/>
      <c r="H884" s="2"/>
      <c r="I884" s="62" t="s">
        <v>56</v>
      </c>
      <c r="J884" s="62" t="s">
        <v>57</v>
      </c>
      <c r="K884" s="62" t="s">
        <v>1559</v>
      </c>
      <c r="L884" s="62"/>
      <c r="M884" s="62"/>
      <c r="N884" s="62" t="s">
        <v>1612</v>
      </c>
      <c r="P884" t="e">
        <f>IF(N884="","",  IF(N884="Excluded", N884,  IF(N884="included in industry", N884,   _xlfn.XLOOKUP(N884, [1]unittypedata!$AD:$AD,[1]unittypedata!$D:$D)   )))</f>
        <v>#N/A</v>
      </c>
    </row>
    <row r="885" spans="1:16">
      <c r="A885" s="2" t="s">
        <v>1293</v>
      </c>
      <c r="B885" s="63"/>
      <c r="C885" s="2"/>
      <c r="D885" s="2"/>
      <c r="E885" s="2"/>
      <c r="F885" s="2"/>
      <c r="G885" s="2"/>
      <c r="H885" s="2"/>
      <c r="I885" s="63">
        <v>5</v>
      </c>
      <c r="J885" s="63"/>
      <c r="K885" s="63"/>
      <c r="L885" s="63"/>
      <c r="M885" s="63"/>
      <c r="N885" s="63" t="s">
        <v>1613</v>
      </c>
      <c r="O885" s="35" t="s">
        <v>1294</v>
      </c>
      <c r="P885" t="str">
        <f>IF(N885="","",  IF(N885="Excluded", N885,  IF(N885="included in industry", N885,   _xlfn.XLOOKUP(N885, [1]unittypedata!$AD:$AD,[1]unittypedata!$D:$D)   )))</f>
        <v>GSHP</v>
      </c>
    </row>
    <row r="886" spans="1:16">
      <c r="A886" s="2" t="s">
        <v>1296</v>
      </c>
      <c r="B886" s="63"/>
      <c r="C886" s="2"/>
      <c r="D886" s="2"/>
      <c r="E886" s="2"/>
      <c r="F886" s="2"/>
      <c r="G886" s="2"/>
      <c r="H886" s="2"/>
      <c r="I886" s="63">
        <v>30</v>
      </c>
      <c r="J886" s="63"/>
      <c r="K886" s="63"/>
      <c r="L886" s="63"/>
      <c r="M886" s="63"/>
      <c r="N886" s="63" t="s">
        <v>1652</v>
      </c>
      <c r="O886" s="35" t="s">
        <v>1295</v>
      </c>
      <c r="P886" t="e">
        <f>IF(N886="","",  IF(N886="Excluded", N886,  IF(N886="included in industry", N886,   _xlfn.XLOOKUP(N886, [1]unittypedata!$AD:$AD,[1]unittypedata!$D:$D)   )))</f>
        <v>#N/A</v>
      </c>
    </row>
    <row r="887" spans="1:16">
      <c r="A887" s="2" t="s">
        <v>1297</v>
      </c>
      <c r="B887" s="63"/>
      <c r="C887" s="2"/>
      <c r="D887" s="2"/>
      <c r="E887" s="2"/>
      <c r="F887" s="2"/>
      <c r="G887" s="2"/>
      <c r="H887" s="2"/>
      <c r="I887" s="63">
        <v>10</v>
      </c>
      <c r="J887" s="63"/>
      <c r="K887" s="63"/>
      <c r="L887" s="63"/>
      <c r="M887" s="63"/>
      <c r="N887" s="63" t="s">
        <v>1613</v>
      </c>
      <c r="O887" s="35" t="s">
        <v>1298</v>
      </c>
      <c r="P887" t="str">
        <f>IF(N887="","",  IF(N887="Excluded", N887,  IF(N887="included in industry", N887,   _xlfn.XLOOKUP(N887, [1]unittypedata!$AD:$AD,[1]unittypedata!$D:$D)   )))</f>
        <v>GSHP</v>
      </c>
    </row>
    <row r="888" spans="1:16">
      <c r="A888" s="2" t="s">
        <v>1299</v>
      </c>
      <c r="B888" s="63"/>
      <c r="C888" s="2"/>
      <c r="D888" s="2"/>
      <c r="E888" s="2"/>
      <c r="F888" s="2"/>
      <c r="G888" s="2"/>
      <c r="H888" s="2"/>
      <c r="I888" s="63">
        <v>15</v>
      </c>
      <c r="J888" s="63"/>
      <c r="K888" s="63"/>
      <c r="L888" s="63"/>
      <c r="M888" s="63"/>
      <c r="N888" s="63" t="s">
        <v>1613</v>
      </c>
      <c r="O888" s="4" t="s">
        <v>1300</v>
      </c>
      <c r="P888" t="str">
        <f>IF(N888="","",  IF(N888="Excluded", N888,  IF(N888="included in industry", N888,   _xlfn.XLOOKUP(N888, [1]unittypedata!$AD:$AD,[1]unittypedata!$D:$D)   )))</f>
        <v>GSHP</v>
      </c>
    </row>
    <row r="889" spans="1:16">
      <c r="A889" s="2" t="s">
        <v>1301</v>
      </c>
      <c r="B889" s="63"/>
      <c r="C889" s="2"/>
      <c r="D889" s="2"/>
      <c r="E889" s="2"/>
      <c r="F889" s="2"/>
      <c r="G889" s="2"/>
      <c r="H889" s="2"/>
      <c r="I889" s="63">
        <v>100</v>
      </c>
      <c r="J889" s="63"/>
      <c r="K889" s="63"/>
      <c r="L889" s="63"/>
      <c r="M889" s="63"/>
      <c r="N889" s="63" t="s">
        <v>1652</v>
      </c>
      <c r="O889" s="36" t="s">
        <v>1302</v>
      </c>
      <c r="P889" t="e">
        <f>IF(N889="","",  IF(N889="Excluded", N889,  IF(N889="included in industry", N889,   _xlfn.XLOOKUP(N889, [1]unittypedata!$AD:$AD,[1]unittypedata!$D:$D)   )))</f>
        <v>#N/A</v>
      </c>
    </row>
    <row r="890" spans="1:16">
      <c r="A890" s="2" t="s">
        <v>1303</v>
      </c>
      <c r="B890" s="63"/>
      <c r="C890" s="2"/>
      <c r="D890" s="2"/>
      <c r="E890" s="2"/>
      <c r="F890" s="2"/>
      <c r="G890" s="2"/>
      <c r="H890" s="2"/>
      <c r="I890" s="63">
        <v>3</v>
      </c>
      <c r="J890" s="63"/>
      <c r="K890" s="63"/>
      <c r="L890" s="63"/>
      <c r="M890" s="63"/>
      <c r="N890" s="63" t="s">
        <v>1613</v>
      </c>
      <c r="O890" s="35" t="s">
        <v>1304</v>
      </c>
      <c r="P890" t="str">
        <f>IF(N890="","",  IF(N890="Excluded", N890,  IF(N890="included in industry", N890,   _xlfn.XLOOKUP(N890, [1]unittypedata!$AD:$AD,[1]unittypedata!$D:$D)   )))</f>
        <v>GSHP</v>
      </c>
    </row>
    <row r="891" spans="1:16">
      <c r="A891" s="2" t="s">
        <v>1305</v>
      </c>
      <c r="B891" s="63"/>
      <c r="C891" s="2"/>
      <c r="D891" s="2"/>
      <c r="E891" s="2"/>
      <c r="F891" s="2"/>
      <c r="G891" s="2"/>
      <c r="H891" s="2"/>
      <c r="I891" s="63">
        <v>10</v>
      </c>
      <c r="J891" s="63"/>
      <c r="K891" s="63"/>
      <c r="L891" s="63"/>
      <c r="M891" s="63"/>
      <c r="N891" s="63" t="s">
        <v>1613</v>
      </c>
      <c r="O891" s="35" t="s">
        <v>1306</v>
      </c>
      <c r="P891" t="str">
        <f>IF(N891="","",  IF(N891="Excluded", N891,  IF(N891="included in industry", N891,   _xlfn.XLOOKUP(N891, [1]unittypedata!$AD:$AD,[1]unittypedata!$D:$D)   )))</f>
        <v>GSHP</v>
      </c>
    </row>
    <row r="892" spans="1:16">
      <c r="A892" s="2" t="s">
        <v>1307</v>
      </c>
      <c r="B892" s="63"/>
      <c r="C892" s="2"/>
      <c r="D892" s="2"/>
      <c r="E892" s="2"/>
      <c r="F892" s="2"/>
      <c r="G892" s="2"/>
      <c r="H892" s="2"/>
      <c r="I892" s="63">
        <v>2</v>
      </c>
      <c r="J892" s="63"/>
      <c r="K892" s="63"/>
      <c r="L892" s="63"/>
      <c r="M892" s="63"/>
      <c r="N892" s="63" t="s">
        <v>1652</v>
      </c>
      <c r="O892" s="36" t="s">
        <v>1308</v>
      </c>
      <c r="P892" t="e">
        <f>IF(N892="","",  IF(N892="Excluded", N892,  IF(N892="included in industry", N892,   _xlfn.XLOOKUP(N892, [1]unittypedata!$AD:$AD,[1]unittypedata!$D:$D)   )))</f>
        <v>#N/A</v>
      </c>
    </row>
    <row r="893" spans="1:16">
      <c r="A893" s="2" t="s">
        <v>1309</v>
      </c>
      <c r="B893" s="63"/>
      <c r="C893" s="2"/>
      <c r="D893" s="2"/>
      <c r="E893" s="2"/>
      <c r="F893" s="2"/>
      <c r="G893" s="2"/>
      <c r="H893" s="2"/>
      <c r="I893" s="63">
        <v>5</v>
      </c>
      <c r="J893" s="63"/>
      <c r="K893" s="63"/>
      <c r="L893" s="63"/>
      <c r="M893" s="63"/>
      <c r="N893" s="63" t="s">
        <v>1613</v>
      </c>
      <c r="O893" s="36" t="s">
        <v>1310</v>
      </c>
      <c r="P893" t="str">
        <f>IF(N893="","",  IF(N893="Excluded", N893,  IF(N893="included in industry", N893,   _xlfn.XLOOKUP(N893, [1]unittypedata!$AD:$AD,[1]unittypedata!$D:$D)   )))</f>
        <v>GSHP</v>
      </c>
    </row>
    <row r="894" spans="1:16">
      <c r="A894" s="2" t="s">
        <v>1311</v>
      </c>
      <c r="B894" s="63"/>
      <c r="C894" s="2"/>
      <c r="D894" s="2"/>
      <c r="E894" s="2"/>
      <c r="F894" s="2"/>
      <c r="G894" s="2"/>
      <c r="H894" s="2"/>
      <c r="I894" s="63">
        <v>20</v>
      </c>
      <c r="J894" s="63"/>
      <c r="K894" s="63"/>
      <c r="L894" s="63"/>
      <c r="M894" s="63"/>
      <c r="N894" s="63" t="s">
        <v>1652</v>
      </c>
      <c r="O894" s="35" t="s">
        <v>1312</v>
      </c>
      <c r="P894" t="e">
        <f>IF(N894="","",  IF(N894="Excluded", N894,  IF(N894="included in industry", N894,   _xlfn.XLOOKUP(N894, [1]unittypedata!$AD:$AD,[1]unittypedata!$D:$D)   )))</f>
        <v>#N/A</v>
      </c>
    </row>
    <row r="895" spans="1:16">
      <c r="A895" s="2" t="s">
        <v>1313</v>
      </c>
      <c r="B895" s="63"/>
      <c r="C895" s="2"/>
      <c r="D895" s="2"/>
      <c r="E895" s="2"/>
      <c r="F895" s="2"/>
      <c r="G895" s="2"/>
      <c r="H895" s="2"/>
      <c r="I895" s="63">
        <v>1</v>
      </c>
      <c r="J895" s="63"/>
      <c r="K895" s="63"/>
      <c r="L895" s="63"/>
      <c r="M895" s="63"/>
      <c r="N895" s="63" t="s">
        <v>1613</v>
      </c>
      <c r="O895" s="35" t="s">
        <v>1314</v>
      </c>
      <c r="P895" t="str">
        <f>IF(N895="","",  IF(N895="Excluded", N895,  IF(N895="included in industry", N895,   _xlfn.XLOOKUP(N895, [1]unittypedata!$AD:$AD,[1]unittypedata!$D:$D)   )))</f>
        <v>GSHP</v>
      </c>
    </row>
    <row r="896" spans="1:16">
      <c r="A896" s="2" t="s">
        <v>1315</v>
      </c>
      <c r="B896" s="63"/>
      <c r="C896" s="2"/>
      <c r="D896" s="2"/>
      <c r="E896" s="2"/>
      <c r="F896" s="2"/>
      <c r="G896" s="2"/>
      <c r="H896" s="2"/>
      <c r="I896" s="63">
        <v>2</v>
      </c>
      <c r="J896" s="63"/>
      <c r="K896" s="63"/>
      <c r="L896" s="63"/>
      <c r="M896" s="63"/>
      <c r="N896" s="63" t="s">
        <v>1652</v>
      </c>
      <c r="O896" s="35" t="s">
        <v>1316</v>
      </c>
      <c r="P896" t="e">
        <f>IF(N896="","",  IF(N896="Excluded", N896,  IF(N896="included in industry", N896,   _xlfn.XLOOKUP(N896, [1]unittypedata!$AD:$AD,[1]unittypedata!$D:$D)   )))</f>
        <v>#N/A</v>
      </c>
    </row>
    <row r="897" spans="1:16">
      <c r="A897" s="2" t="s">
        <v>1317</v>
      </c>
      <c r="B897" s="63"/>
      <c r="C897" s="2"/>
      <c r="D897" s="2"/>
      <c r="E897" s="2"/>
      <c r="F897" s="2"/>
      <c r="G897" s="2"/>
      <c r="H897" s="2"/>
      <c r="I897" s="63">
        <v>15</v>
      </c>
      <c r="J897" s="63"/>
      <c r="K897" s="63"/>
      <c r="L897" s="63"/>
      <c r="M897" s="63"/>
      <c r="N897" s="63" t="s">
        <v>1652</v>
      </c>
      <c r="O897" s="36" t="s">
        <v>1320</v>
      </c>
      <c r="P897" t="e">
        <f>IF(N897="","",  IF(N897="Excluded", N897,  IF(N897="included in industry", N897,   _xlfn.XLOOKUP(N897, [1]unittypedata!$AD:$AD,[1]unittypedata!$D:$D)   )))</f>
        <v>#N/A</v>
      </c>
    </row>
    <row r="898" spans="1:16">
      <c r="A898" s="2" t="s">
        <v>1319</v>
      </c>
      <c r="B898" s="63"/>
      <c r="C898" s="2"/>
      <c r="D898" s="2"/>
      <c r="E898" s="2"/>
      <c r="F898" s="2"/>
      <c r="G898" s="2"/>
      <c r="H898" s="2"/>
      <c r="I898" s="63">
        <v>10</v>
      </c>
      <c r="J898" s="63"/>
      <c r="K898" s="63"/>
      <c r="L898" s="63"/>
      <c r="M898" s="63"/>
      <c r="N898" s="63" t="s">
        <v>1652</v>
      </c>
      <c r="O898" s="35" t="s">
        <v>1322</v>
      </c>
      <c r="P898" t="e">
        <f>IF(N898="","",  IF(N898="Excluded", N898,  IF(N898="included in industry", N898,   _xlfn.XLOOKUP(N898, [1]unittypedata!$AD:$AD,[1]unittypedata!$D:$D)   )))</f>
        <v>#N/A</v>
      </c>
    </row>
    <row r="899" spans="1:16">
      <c r="A899" s="2" t="s">
        <v>1325</v>
      </c>
      <c r="B899" s="63"/>
      <c r="C899" s="2"/>
      <c r="D899" s="2"/>
      <c r="E899" s="2"/>
      <c r="F899" s="2"/>
      <c r="G899" s="2"/>
      <c r="H899" s="2"/>
      <c r="I899" s="63">
        <v>120</v>
      </c>
      <c r="J899" s="63"/>
      <c r="K899" s="63"/>
      <c r="L899" s="63"/>
      <c r="M899" s="63"/>
      <c r="N899" s="63" t="s">
        <v>1652</v>
      </c>
      <c r="O899" s="35" t="s">
        <v>1326</v>
      </c>
      <c r="P899" t="e">
        <f>IF(N899="","",  IF(N899="Excluded", N899,  IF(N899="included in industry", N899,   _xlfn.XLOOKUP(N899, [1]unittypedata!$AD:$AD,[1]unittypedata!$D:$D)   )))</f>
        <v>#N/A</v>
      </c>
    </row>
    <row r="900" spans="1:16">
      <c r="A900" s="2" t="s">
        <v>1328</v>
      </c>
      <c r="B900" s="63"/>
      <c r="C900" s="2"/>
      <c r="D900" s="2"/>
      <c r="E900" s="2"/>
      <c r="F900" s="2"/>
      <c r="G900" s="2"/>
      <c r="H900" s="2"/>
      <c r="I900" s="63">
        <v>60</v>
      </c>
      <c r="J900" s="63"/>
      <c r="K900" s="63"/>
      <c r="L900" s="63"/>
      <c r="M900" s="63"/>
      <c r="N900" s="63" t="s">
        <v>1652</v>
      </c>
      <c r="O900" s="36" t="s">
        <v>1329</v>
      </c>
      <c r="P900" t="e">
        <f>IF(N900="","",  IF(N900="Excluded", N900,  IF(N900="included in industry", N900,   _xlfn.XLOOKUP(N900, [1]unittypedata!$AD:$AD,[1]unittypedata!$D:$D)   )))</f>
        <v>#N/A</v>
      </c>
    </row>
    <row r="901" spans="1:16">
      <c r="A901" s="2" t="s">
        <v>1331</v>
      </c>
      <c r="B901" s="63"/>
      <c r="C901" s="2"/>
      <c r="D901" s="2"/>
      <c r="E901" s="2"/>
      <c r="F901" s="2"/>
      <c r="G901" s="2"/>
      <c r="H901" s="2"/>
      <c r="I901" s="63">
        <v>60</v>
      </c>
      <c r="J901" s="63"/>
      <c r="K901" s="63"/>
      <c r="L901" s="63"/>
      <c r="M901" s="63"/>
      <c r="N901" s="63" t="s">
        <v>1652</v>
      </c>
      <c r="O901" s="35" t="s">
        <v>1330</v>
      </c>
      <c r="P901" t="e">
        <f>IF(N901="","",  IF(N901="Excluded", N901,  IF(N901="included in industry", N901,   _xlfn.XLOOKUP(N901, [1]unittypedata!$AD:$AD,[1]unittypedata!$D:$D)   )))</f>
        <v>#N/A</v>
      </c>
    </row>
    <row r="902" spans="1:16">
      <c r="A902" s="2" t="s">
        <v>1332</v>
      </c>
      <c r="B902" s="63"/>
      <c r="C902" s="2"/>
      <c r="D902" s="2"/>
      <c r="E902" s="2"/>
      <c r="F902" s="2"/>
      <c r="G902" s="2"/>
      <c r="H902" s="2"/>
      <c r="I902" s="63">
        <v>60</v>
      </c>
      <c r="J902" s="63"/>
      <c r="K902" s="63"/>
      <c r="L902" s="63"/>
      <c r="M902" s="63"/>
      <c r="N902" s="63" t="s">
        <v>1652</v>
      </c>
      <c r="O902" s="35" t="s">
        <v>1324</v>
      </c>
      <c r="P902" t="e">
        <f>IF(N902="","",  IF(N902="Excluded", N902,  IF(N902="included in industry", N902,   _xlfn.XLOOKUP(N902, [1]unittypedata!$AD:$AD,[1]unittypedata!$D:$D)   )))</f>
        <v>#N/A</v>
      </c>
    </row>
    <row r="903" spans="1:16">
      <c r="A903" s="2" t="s">
        <v>1335</v>
      </c>
      <c r="B903" s="63"/>
      <c r="C903" s="2"/>
      <c r="D903" s="2"/>
      <c r="E903" s="2"/>
      <c r="F903" s="2"/>
      <c r="G903" s="2"/>
      <c r="H903" s="2"/>
      <c r="I903" s="63">
        <v>3</v>
      </c>
      <c r="J903" s="63"/>
      <c r="K903" s="63"/>
      <c r="L903" s="63"/>
      <c r="M903" s="63"/>
      <c r="N903" s="63" t="s">
        <v>1613</v>
      </c>
      <c r="O903" s="35" t="s">
        <v>1336</v>
      </c>
      <c r="P903" t="str">
        <f>IF(N903="","",  IF(N903="Excluded", N903,  IF(N903="included in industry", N903,   _xlfn.XLOOKUP(N903, [1]unittypedata!$AD:$AD,[1]unittypedata!$D:$D)   )))</f>
        <v>GSHP</v>
      </c>
    </row>
    <row r="904" spans="1:16">
      <c r="A904" s="2" t="s">
        <v>1337</v>
      </c>
      <c r="B904" s="63"/>
      <c r="C904" s="2"/>
      <c r="D904" s="2"/>
      <c r="E904" s="2"/>
      <c r="F904" s="2"/>
      <c r="G904" s="2"/>
      <c r="H904" s="2"/>
      <c r="I904" s="63">
        <v>30</v>
      </c>
      <c r="J904" s="63"/>
      <c r="K904" s="63"/>
      <c r="L904" s="63"/>
      <c r="M904" s="63"/>
      <c r="N904" s="63" t="s">
        <v>1652</v>
      </c>
      <c r="O904" s="35" t="s">
        <v>1338</v>
      </c>
      <c r="P904" t="e">
        <f>IF(N904="","",  IF(N904="Excluded", N904,  IF(N904="included in industry", N904,   _xlfn.XLOOKUP(N904, [1]unittypedata!$AD:$AD,[1]unittypedata!$D:$D)   )))</f>
        <v>#N/A</v>
      </c>
    </row>
    <row r="905" spans="1:16">
      <c r="A905" s="2" t="s">
        <v>1339</v>
      </c>
      <c r="B905" s="63"/>
      <c r="C905" s="2"/>
      <c r="D905" s="2"/>
      <c r="E905" s="2"/>
      <c r="F905" s="2"/>
      <c r="G905" s="2"/>
      <c r="H905" s="2"/>
      <c r="I905" s="63">
        <v>45</v>
      </c>
      <c r="J905" s="63"/>
      <c r="K905" s="63"/>
      <c r="L905" s="63"/>
      <c r="M905" s="63"/>
      <c r="N905" s="63" t="s">
        <v>1652</v>
      </c>
      <c r="O905" s="35" t="s">
        <v>1340</v>
      </c>
      <c r="P905" t="e">
        <f>IF(N905="","",  IF(N905="Excluded", N905,  IF(N905="included in industry", N905,   _xlfn.XLOOKUP(N905, [1]unittypedata!$AD:$AD,[1]unittypedata!$D:$D)   )))</f>
        <v>#N/A</v>
      </c>
    </row>
    <row r="906" spans="1:16">
      <c r="A906" s="2" t="s">
        <v>1341</v>
      </c>
      <c r="B906" s="63"/>
      <c r="C906" s="2"/>
      <c r="D906" s="2"/>
      <c r="E906" s="2"/>
      <c r="F906" s="2"/>
      <c r="G906" s="2"/>
      <c r="H906" s="2"/>
      <c r="I906" s="63">
        <v>20</v>
      </c>
      <c r="J906" s="63"/>
      <c r="K906" s="63"/>
      <c r="L906" s="63"/>
      <c r="M906" s="63"/>
      <c r="N906" s="63" t="s">
        <v>1652</v>
      </c>
      <c r="O906" s="35" t="s">
        <v>1342</v>
      </c>
      <c r="P906" t="e">
        <f>IF(N906="","",  IF(N906="Excluded", N906,  IF(N906="included in industry", N906,   _xlfn.XLOOKUP(N906, [1]unittypedata!$AD:$AD,[1]unittypedata!$D:$D)   )))</f>
        <v>#N/A</v>
      </c>
    </row>
    <row r="907" spans="1:16">
      <c r="A907" s="2" t="s">
        <v>1343</v>
      </c>
      <c r="B907" s="63"/>
      <c r="C907" s="2"/>
      <c r="D907" s="2"/>
      <c r="E907" s="2"/>
      <c r="F907" s="2"/>
      <c r="G907" s="2"/>
      <c r="H907" s="2"/>
      <c r="I907" s="63">
        <v>40</v>
      </c>
      <c r="J907" s="63"/>
      <c r="K907" s="63"/>
      <c r="L907" s="63"/>
      <c r="M907" s="63"/>
      <c r="N907" s="63" t="s">
        <v>1652</v>
      </c>
      <c r="O907" s="35" t="s">
        <v>1344</v>
      </c>
      <c r="P907" t="e">
        <f>IF(N907="","",  IF(N907="Excluded", N907,  IF(N907="included in industry", N907,   _xlfn.XLOOKUP(N907, [1]unittypedata!$AD:$AD,[1]unittypedata!$D:$D)   )))</f>
        <v>#N/A</v>
      </c>
    </row>
    <row r="908" spans="1:16">
      <c r="A908" s="2" t="s">
        <v>1346</v>
      </c>
      <c r="B908" s="63"/>
      <c r="C908" s="2"/>
      <c r="D908" s="2"/>
      <c r="E908" s="2"/>
      <c r="F908" s="2"/>
      <c r="G908" s="2"/>
      <c r="H908" s="2"/>
      <c r="I908" s="63">
        <v>40</v>
      </c>
      <c r="J908" s="63"/>
      <c r="K908" s="63"/>
      <c r="L908" s="63"/>
      <c r="M908" s="63"/>
      <c r="N908" s="63" t="s">
        <v>1652</v>
      </c>
      <c r="O908" s="35" t="s">
        <v>1345</v>
      </c>
      <c r="P908" t="e">
        <f>IF(N908="","",  IF(N908="Excluded", N908,  IF(N908="included in industry", N908,   _xlfn.XLOOKUP(N908, [1]unittypedata!$AD:$AD,[1]unittypedata!$D:$D)   )))</f>
        <v>#N/A</v>
      </c>
    </row>
    <row r="909" spans="1:16">
      <c r="A909" s="2" t="s">
        <v>1347</v>
      </c>
      <c r="B909" s="63"/>
      <c r="C909" s="2"/>
      <c r="D909" s="2"/>
      <c r="E909" s="2"/>
      <c r="F909" s="2"/>
      <c r="G909" s="2"/>
      <c r="H909" s="2"/>
      <c r="I909" s="63">
        <v>120</v>
      </c>
      <c r="J909" s="63"/>
      <c r="K909" s="63"/>
      <c r="L909" s="63"/>
      <c r="M909" s="63"/>
      <c r="N909" s="63" t="s">
        <v>1652</v>
      </c>
      <c r="O909" s="36" t="s">
        <v>1348</v>
      </c>
      <c r="P909" t="e">
        <f>IF(N909="","",  IF(N909="Excluded", N909,  IF(N909="included in industry", N909,   _xlfn.XLOOKUP(N909, [1]unittypedata!$AD:$AD,[1]unittypedata!$D:$D)   )))</f>
        <v>#N/A</v>
      </c>
    </row>
    <row r="910" spans="1:16">
      <c r="A910" s="2" t="s">
        <v>1287</v>
      </c>
      <c r="B910" s="63"/>
      <c r="C910" s="2"/>
      <c r="D910" s="2"/>
      <c r="E910" s="2"/>
      <c r="F910" s="2"/>
      <c r="G910" s="2"/>
      <c r="H910" s="2"/>
      <c r="I910" s="63">
        <v>5</v>
      </c>
      <c r="J910" s="63"/>
      <c r="K910" s="63"/>
      <c r="L910" s="63"/>
      <c r="M910" s="63"/>
      <c r="N910" s="63" t="s">
        <v>1652</v>
      </c>
      <c r="O910" s="35" t="s">
        <v>1349</v>
      </c>
      <c r="P910" t="e">
        <f>IF(N910="","",  IF(N910="Excluded", N910,  IF(N910="included in industry", N910,   _xlfn.XLOOKUP(N910, [1]unittypedata!$AD:$AD,[1]unittypedata!$D:$D)   )))</f>
        <v>#N/A</v>
      </c>
    </row>
    <row r="911" spans="1:16">
      <c r="A911" s="2" t="s">
        <v>1351</v>
      </c>
      <c r="B911" s="63"/>
      <c r="C911" s="2"/>
      <c r="D911" s="2"/>
      <c r="E911" s="2"/>
      <c r="F911" s="2"/>
      <c r="G911" s="2"/>
      <c r="H911" s="2"/>
      <c r="I911" s="63">
        <v>2.6</v>
      </c>
      <c r="J911" s="63"/>
      <c r="K911" s="63"/>
      <c r="L911" s="63"/>
      <c r="M911" s="63"/>
      <c r="N911" s="63" t="s">
        <v>1652</v>
      </c>
      <c r="O911" s="35" t="s">
        <v>1350</v>
      </c>
      <c r="P911" t="e">
        <f>IF(N911="","",  IF(N911="Excluded", N911,  IF(N911="included in industry", N911,   _xlfn.XLOOKUP(N911, [1]unittypedata!$AD:$AD,[1]unittypedata!$D:$D)   )))</f>
        <v>#N/A</v>
      </c>
    </row>
    <row r="912" spans="1:16">
      <c r="A912" s="2" t="s">
        <v>1354</v>
      </c>
      <c r="B912" s="63"/>
      <c r="C912" s="2"/>
      <c r="D912" s="2"/>
      <c r="E912" s="2"/>
      <c r="F912" s="2"/>
      <c r="G912" s="2"/>
      <c r="H912" s="2"/>
      <c r="I912" s="63">
        <v>5</v>
      </c>
      <c r="J912" s="63"/>
      <c r="K912" s="63"/>
      <c r="L912" s="63"/>
      <c r="M912" s="63"/>
      <c r="N912" s="63" t="s">
        <v>1613</v>
      </c>
      <c r="O912" s="35" t="s">
        <v>1355</v>
      </c>
      <c r="P912" t="str">
        <f>IF(N912="","",  IF(N912="Excluded", N912,  IF(N912="included in industry", N912,   _xlfn.XLOOKUP(N912, [1]unittypedata!$AD:$AD,[1]unittypedata!$D:$D)   )))</f>
        <v>GSHP</v>
      </c>
    </row>
    <row r="913" spans="1:16">
      <c r="A913" s="2" t="s">
        <v>1356</v>
      </c>
      <c r="B913" s="63"/>
      <c r="C913" s="2"/>
      <c r="D913" s="2"/>
      <c r="E913" s="2"/>
      <c r="F913" s="2"/>
      <c r="G913" s="2"/>
      <c r="H913" s="2"/>
      <c r="I913" s="63">
        <v>20</v>
      </c>
      <c r="J913" s="63"/>
      <c r="K913" s="63"/>
      <c r="L913" s="63"/>
      <c r="M913" s="63"/>
      <c r="N913" s="63" t="s">
        <v>1653</v>
      </c>
      <c r="O913" s="36" t="s">
        <v>1357</v>
      </c>
      <c r="P913" t="e">
        <f>IF(N913="","",  IF(N913="Excluded", N913,  IF(N913="included in industry", N913,   _xlfn.XLOOKUP(N913, [1]unittypedata!$AD:$AD,[1]unittypedata!$D:$D)   )))</f>
        <v>#N/A</v>
      </c>
    </row>
    <row r="914" spans="1:16">
      <c r="A914" s="2" t="s">
        <v>1358</v>
      </c>
      <c r="B914" s="63"/>
      <c r="C914" s="2"/>
      <c r="D914" s="2"/>
      <c r="E914" s="2"/>
      <c r="F914" s="2"/>
      <c r="G914" s="2"/>
      <c r="H914" s="2"/>
      <c r="I914" s="63">
        <v>1.5</v>
      </c>
      <c r="J914" s="63"/>
      <c r="K914" s="63"/>
      <c r="L914" s="63"/>
      <c r="M914" s="63"/>
      <c r="N914" s="63" t="s">
        <v>1613</v>
      </c>
      <c r="O914" s="35" t="s">
        <v>1359</v>
      </c>
      <c r="P914" t="str">
        <f>IF(N914="","",  IF(N914="Excluded", N914,  IF(N914="included in industry", N914,   _xlfn.XLOOKUP(N914, [1]unittypedata!$AD:$AD,[1]unittypedata!$D:$D)   )))</f>
        <v>GSHP</v>
      </c>
    </row>
    <row r="915" spans="1:16">
      <c r="A915" s="2" t="s">
        <v>1360</v>
      </c>
      <c r="B915" s="63"/>
      <c r="C915" s="2"/>
      <c r="D915" s="2"/>
      <c r="E915" s="2"/>
      <c r="F915" s="2"/>
      <c r="G915" s="2"/>
      <c r="H915" s="2"/>
      <c r="I915" s="63">
        <v>2</v>
      </c>
      <c r="J915" s="63"/>
      <c r="K915" s="63"/>
      <c r="L915" s="63"/>
      <c r="M915" s="63"/>
      <c r="N915" s="63" t="s">
        <v>1613</v>
      </c>
      <c r="O915" s="35" t="s">
        <v>1361</v>
      </c>
      <c r="P915" t="str">
        <f>IF(N915="","",  IF(N915="Excluded", N915,  IF(N915="included in industry", N915,   _xlfn.XLOOKUP(N915, [1]unittypedata!$AD:$AD,[1]unittypedata!$D:$D)   )))</f>
        <v>GSHP</v>
      </c>
    </row>
    <row r="916" spans="1:16">
      <c r="A916" s="2" t="s">
        <v>1362</v>
      </c>
      <c r="B916" s="63"/>
      <c r="C916" s="2"/>
      <c r="D916" s="2"/>
      <c r="E916" s="2"/>
      <c r="F916" s="2"/>
      <c r="G916" s="2"/>
      <c r="H916" s="2"/>
      <c r="I916" s="63">
        <v>5</v>
      </c>
      <c r="J916" s="63"/>
      <c r="K916" s="63"/>
      <c r="L916" s="63"/>
      <c r="M916" s="63"/>
      <c r="N916" s="63" t="s">
        <v>1613</v>
      </c>
      <c r="O916" s="4" t="s">
        <v>1365</v>
      </c>
      <c r="P916" t="str">
        <f>IF(N916="","",  IF(N916="Excluded", N916,  IF(N916="included in industry", N916,   _xlfn.XLOOKUP(N916, [1]unittypedata!$AD:$AD,[1]unittypedata!$D:$D)   )))</f>
        <v>GSHP</v>
      </c>
    </row>
    <row r="917" spans="1:16">
      <c r="A917" s="2" t="s">
        <v>1363</v>
      </c>
      <c r="B917" s="63"/>
      <c r="C917" s="2"/>
      <c r="D917" s="2"/>
      <c r="E917" s="2"/>
      <c r="F917" s="2"/>
      <c r="G917" s="2"/>
      <c r="H917" s="2"/>
      <c r="I917" s="63">
        <v>12</v>
      </c>
      <c r="J917" s="63"/>
      <c r="K917" s="63"/>
      <c r="L917" s="63"/>
      <c r="M917" s="63"/>
      <c r="N917" s="63" t="s">
        <v>1613</v>
      </c>
      <c r="O917" s="35" t="s">
        <v>1364</v>
      </c>
      <c r="P917" t="str">
        <f>IF(N917="","",  IF(N917="Excluded", N917,  IF(N917="included in industry", N917,   _xlfn.XLOOKUP(N917, [1]unittypedata!$AD:$AD,[1]unittypedata!$D:$D)   )))</f>
        <v>GSHP</v>
      </c>
    </row>
    <row r="918" spans="1:16">
      <c r="A918" s="2" t="s">
        <v>1367</v>
      </c>
      <c r="B918" s="63"/>
      <c r="C918" s="2"/>
      <c r="D918" s="2"/>
      <c r="E918" s="2"/>
      <c r="F918" s="2"/>
      <c r="G918" s="2"/>
      <c r="H918" s="2"/>
      <c r="I918" s="63">
        <v>1</v>
      </c>
      <c r="J918" s="63"/>
      <c r="K918" s="63"/>
      <c r="L918" s="63"/>
      <c r="M918" s="63"/>
      <c r="N918" s="63" t="s">
        <v>1613</v>
      </c>
      <c r="O918" s="36" t="s">
        <v>1310</v>
      </c>
      <c r="P918" t="str">
        <f>IF(N918="","",  IF(N918="Excluded", N918,  IF(N918="included in industry", N918,   _xlfn.XLOOKUP(N918, [1]unittypedata!$AD:$AD,[1]unittypedata!$D:$D)   )))</f>
        <v>GSHP</v>
      </c>
    </row>
    <row r="919" spans="1:16">
      <c r="A919" s="2"/>
      <c r="B919" s="63"/>
      <c r="C919" s="2"/>
      <c r="D919" s="2"/>
      <c r="E919" s="2"/>
      <c r="F919" s="2"/>
      <c r="G919" s="2"/>
      <c r="H919" s="2"/>
      <c r="I919" s="63"/>
      <c r="J919" s="63"/>
      <c r="K919" s="63"/>
      <c r="L919" s="63"/>
      <c r="M919" s="63"/>
      <c r="N919" s="63"/>
      <c r="O919" s="36"/>
      <c r="P919" t="str">
        <f>IF(N919="","",  IF(N919="Excluded", N919,  IF(N919="included in industry", N919,   _xlfn.XLOOKUP(N919, [1]unittypedata!$AD:$AD,[1]unittypedata!$D:$D)   )))</f>
        <v/>
      </c>
    </row>
    <row r="920" spans="1:16">
      <c r="A920" s="51" t="s">
        <v>1368</v>
      </c>
      <c r="B920" s="63"/>
      <c r="C920" s="2"/>
      <c r="D920" s="2"/>
      <c r="E920" s="2"/>
      <c r="F920" s="2"/>
      <c r="G920" s="2"/>
      <c r="H920" s="2"/>
      <c r="I920" s="68" t="s">
        <v>56</v>
      </c>
      <c r="J920" s="62" t="s">
        <v>57</v>
      </c>
      <c r="K920" s="62"/>
      <c r="L920" s="62"/>
      <c r="M920" s="62"/>
      <c r="N920" s="62" t="s">
        <v>1612</v>
      </c>
      <c r="P920" t="e">
        <f>IF(N920="","",  IF(N920="Excluded", N920,  IF(N920="included in industry", N920,   _xlfn.XLOOKUP(N920, [1]unittypedata!$AD:$AD,[1]unittypedata!$D:$D)   )))</f>
        <v>#N/A</v>
      </c>
    </row>
    <row r="921" spans="1:16">
      <c r="A921" s="2" t="s">
        <v>1370</v>
      </c>
      <c r="B921" s="63"/>
      <c r="C921" s="2"/>
      <c r="D921" s="2"/>
      <c r="E921" s="2"/>
      <c r="F921" s="2"/>
      <c r="G921" s="2"/>
      <c r="H921" s="2"/>
      <c r="I921" s="63">
        <v>24</v>
      </c>
      <c r="J921" s="63"/>
      <c r="K921" s="63"/>
      <c r="L921" s="63"/>
      <c r="M921" s="63"/>
      <c r="N921" s="63" t="s">
        <v>1613</v>
      </c>
      <c r="O921" t="s">
        <v>1314</v>
      </c>
      <c r="P921" t="str">
        <f>IF(N921="","",  IF(N921="Excluded", N921,  IF(N921="included in industry", N921,   _xlfn.XLOOKUP(N921, [1]unittypedata!$AD:$AD,[1]unittypedata!$D:$D)   )))</f>
        <v>GSHP</v>
      </c>
    </row>
    <row r="922" spans="1:16">
      <c r="A922" s="2"/>
      <c r="B922" s="63"/>
      <c r="C922" s="2"/>
      <c r="D922" s="2"/>
      <c r="E922" s="2"/>
      <c r="F922" s="2"/>
      <c r="G922" s="2"/>
      <c r="H922" s="2"/>
      <c r="I922" s="63"/>
      <c r="J922" s="63"/>
      <c r="K922" s="63"/>
      <c r="L922" s="63"/>
      <c r="M922" s="63"/>
      <c r="N922" s="63"/>
      <c r="P922" t="str">
        <f>IF(N922="","",  IF(N922="Excluded", N922,  IF(N922="included in industry", N922,   _xlfn.XLOOKUP(N922, [1]unittypedata!$AD:$AD,[1]unittypedata!$D:$D)   )))</f>
        <v/>
      </c>
    </row>
    <row r="923" spans="1:16">
      <c r="A923" s="51" t="s">
        <v>190</v>
      </c>
      <c r="B923" s="63"/>
      <c r="C923" s="2"/>
      <c r="D923" s="2"/>
      <c r="E923" s="2"/>
      <c r="F923" s="2"/>
      <c r="G923" s="2"/>
      <c r="H923" s="2"/>
      <c r="I923" s="63"/>
      <c r="J923" s="63"/>
      <c r="K923" s="63"/>
      <c r="L923" s="63"/>
      <c r="M923" s="63"/>
      <c r="N923" s="63"/>
      <c r="P923" t="str">
        <f>IF(N923="","",  IF(N923="Excluded", N923,  IF(N923="included in industry", N923,   _xlfn.XLOOKUP(N923, [1]unittypedata!$AD:$AD,[1]unittypedata!$D:$D)   )))</f>
        <v/>
      </c>
    </row>
    <row r="924" spans="1:16">
      <c r="A924" s="2"/>
      <c r="B924" s="62" t="s">
        <v>178</v>
      </c>
      <c r="C924" s="2"/>
      <c r="D924" s="2"/>
      <c r="E924" s="2"/>
      <c r="F924" s="2"/>
      <c r="G924" s="2"/>
      <c r="H924" s="2"/>
      <c r="I924" s="62" t="s">
        <v>56</v>
      </c>
      <c r="J924" s="62" t="s">
        <v>57</v>
      </c>
      <c r="K924" s="62"/>
      <c r="L924" s="62"/>
      <c r="M924" s="62"/>
      <c r="N924" s="62" t="s">
        <v>1612</v>
      </c>
      <c r="P924" t="e">
        <f>IF(N924="","",  IF(N924="Excluded", N924,  IF(N924="included in industry", N924,   _xlfn.XLOOKUP(N924, [1]unittypedata!$AD:$AD,[1]unittypedata!$D:$D)   )))</f>
        <v>#N/A</v>
      </c>
    </row>
    <row r="925" spans="1:16">
      <c r="A925" s="2" t="s">
        <v>1281</v>
      </c>
      <c r="B925" s="63">
        <v>750</v>
      </c>
      <c r="C925" s="2"/>
      <c r="D925" s="2"/>
      <c r="E925" s="2"/>
      <c r="F925" s="2"/>
      <c r="G925" s="2"/>
      <c r="H925" s="2" t="s">
        <v>184</v>
      </c>
      <c r="I925" s="63">
        <f>B925/10</f>
        <v>75</v>
      </c>
      <c r="J925" s="63"/>
      <c r="K925" s="63"/>
      <c r="L925" s="63"/>
      <c r="M925" s="63"/>
      <c r="N925" s="63" t="s">
        <v>1648</v>
      </c>
      <c r="P925" t="e">
        <f>IF(N925="","",  IF(N925="Excluded", N925,  IF(N925="included in industry", N925,   _xlfn.XLOOKUP(N925, [1]unittypedata!$AD:$AD,[1]unittypedata!$D:$D)   )))</f>
        <v>#N/A</v>
      </c>
    </row>
    <row r="926" spans="1:16">
      <c r="A926" s="2"/>
      <c r="B926" s="63"/>
      <c r="C926" s="2"/>
      <c r="D926" s="2"/>
      <c r="E926" s="2"/>
      <c r="F926" s="2"/>
      <c r="G926" s="2"/>
      <c r="H926" s="2" t="s">
        <v>185</v>
      </c>
      <c r="I926" s="63">
        <f>I925</f>
        <v>75</v>
      </c>
      <c r="J926" s="63"/>
      <c r="K926" s="63"/>
      <c r="L926" s="63"/>
      <c r="M926" s="63"/>
      <c r="N926" s="63" t="s">
        <v>1649</v>
      </c>
      <c r="P926" t="e">
        <f>IF(N926="","",  IF(N926="Excluded", N926,  IF(N926="included in industry", N926,   _xlfn.XLOOKUP(N926, [1]unittypedata!$AD:$AD,[1]unittypedata!$D:$D)   )))</f>
        <v>#N/A</v>
      </c>
    </row>
    <row r="927" spans="1:16">
      <c r="A927" s="2" t="s">
        <v>1282</v>
      </c>
      <c r="B927" s="63">
        <v>400</v>
      </c>
      <c r="C927" s="2"/>
      <c r="D927" s="2"/>
      <c r="E927" s="2"/>
      <c r="F927" s="2"/>
      <c r="G927" s="2"/>
      <c r="H927" s="2" t="s">
        <v>184</v>
      </c>
      <c r="I927" s="63">
        <f>B927/10</f>
        <v>40</v>
      </c>
      <c r="J927" s="63"/>
      <c r="K927" s="63"/>
      <c r="L927" s="63"/>
      <c r="M927" s="63"/>
      <c r="N927" s="63" t="s">
        <v>1648</v>
      </c>
      <c r="P927" t="e">
        <f>IF(N927="","",  IF(N927="Excluded", N927,  IF(N927="included in industry", N927,   _xlfn.XLOOKUP(N927, [1]unittypedata!$AD:$AD,[1]unittypedata!$D:$D)   )))</f>
        <v>#N/A</v>
      </c>
    </row>
    <row r="928" spans="1:16">
      <c r="A928" s="2"/>
      <c r="B928" s="63"/>
      <c r="C928" s="2"/>
      <c r="D928" s="2"/>
      <c r="E928" s="2"/>
      <c r="F928" s="2"/>
      <c r="G928" s="2"/>
      <c r="H928" s="2" t="s">
        <v>185</v>
      </c>
      <c r="I928" s="63">
        <f>I927</f>
        <v>40</v>
      </c>
      <c r="J928" s="63"/>
      <c r="K928" s="63"/>
      <c r="L928" s="63"/>
      <c r="M928" s="63"/>
      <c r="N928" s="63" t="s">
        <v>1649</v>
      </c>
      <c r="P928" t="e">
        <f>IF(N928="","",  IF(N928="Excluded", N928,  IF(N928="included in industry", N928,   _xlfn.XLOOKUP(N928, [1]unittypedata!$AD:$AD,[1]unittypedata!$D:$D)   )))</f>
        <v>#N/A</v>
      </c>
    </row>
    <row r="929" spans="1:16">
      <c r="A929" s="2" t="s">
        <v>1283</v>
      </c>
      <c r="B929" s="63">
        <v>400</v>
      </c>
      <c r="C929" s="2"/>
      <c r="D929" s="2"/>
      <c r="E929" s="2"/>
      <c r="F929" s="2"/>
      <c r="G929" s="2"/>
      <c r="H929" s="2" t="s">
        <v>184</v>
      </c>
      <c r="I929" s="63">
        <f>B929/10</f>
        <v>40</v>
      </c>
      <c r="J929" s="63"/>
      <c r="K929" s="63"/>
      <c r="L929" s="63"/>
      <c r="M929" s="63"/>
      <c r="N929" s="63" t="s">
        <v>1648</v>
      </c>
      <c r="P929" t="e">
        <f>IF(N929="","",  IF(N929="Excluded", N929,  IF(N929="included in industry", N929,   _xlfn.XLOOKUP(N929, [1]unittypedata!$AD:$AD,[1]unittypedata!$D:$D)   )))</f>
        <v>#N/A</v>
      </c>
    </row>
    <row r="930" spans="1:16">
      <c r="A930" s="2"/>
      <c r="B930" s="63"/>
      <c r="C930" s="2"/>
      <c r="D930" s="2"/>
      <c r="E930" s="2"/>
      <c r="F930" s="2"/>
      <c r="G930" s="2"/>
      <c r="H930" s="2" t="s">
        <v>185</v>
      </c>
      <c r="I930" s="63">
        <f>I929</f>
        <v>40</v>
      </c>
      <c r="J930" s="63"/>
      <c r="K930" s="63"/>
      <c r="L930" s="63"/>
      <c r="M930" s="63"/>
      <c r="N930" s="63" t="s">
        <v>1649</v>
      </c>
      <c r="P930" t="e">
        <f>IF(N930="","",  IF(N930="Excluded", N930,  IF(N930="included in industry", N930,   _xlfn.XLOOKUP(N930, [1]unittypedata!$AD:$AD,[1]unittypedata!$D:$D)   )))</f>
        <v>#N/A</v>
      </c>
    </row>
    <row r="931" spans="1:16">
      <c r="A931" s="2" t="s">
        <v>1284</v>
      </c>
      <c r="B931" s="63">
        <v>80</v>
      </c>
      <c r="C931" s="2"/>
      <c r="D931" s="2"/>
      <c r="E931" s="2"/>
      <c r="F931" s="2"/>
      <c r="G931" s="2"/>
      <c r="H931" s="2" t="s">
        <v>184</v>
      </c>
      <c r="I931" s="63">
        <f>B931/10</f>
        <v>8</v>
      </c>
      <c r="J931" s="63"/>
      <c r="K931" s="63"/>
      <c r="L931" s="63"/>
      <c r="M931" s="63"/>
      <c r="N931" s="63" t="s">
        <v>1648</v>
      </c>
      <c r="P931" t="e">
        <f>IF(N931="","",  IF(N931="Excluded", N931,  IF(N931="included in industry", N931,   _xlfn.XLOOKUP(N931, [1]unittypedata!$AD:$AD,[1]unittypedata!$D:$D)   )))</f>
        <v>#N/A</v>
      </c>
    </row>
    <row r="932" spans="1:16">
      <c r="A932" s="2"/>
      <c r="B932" s="63"/>
      <c r="C932" s="2"/>
      <c r="D932" s="2"/>
      <c r="E932" s="2"/>
      <c r="F932" s="2"/>
      <c r="G932" s="2"/>
      <c r="H932" s="2" t="s">
        <v>185</v>
      </c>
      <c r="I932" s="63">
        <f>I931</f>
        <v>8</v>
      </c>
      <c r="J932" s="63"/>
      <c r="K932" s="63"/>
      <c r="L932" s="63"/>
      <c r="M932" s="63"/>
      <c r="N932" s="63" t="s">
        <v>1649</v>
      </c>
      <c r="P932" t="e">
        <f>IF(N932="","",  IF(N932="Excluded", N932,  IF(N932="included in industry", N932,   _xlfn.XLOOKUP(N932, [1]unittypedata!$AD:$AD,[1]unittypedata!$D:$D)   )))</f>
        <v>#N/A</v>
      </c>
    </row>
    <row r="933" spans="1:16">
      <c r="A933" s="2" t="s">
        <v>1285</v>
      </c>
      <c r="B933" s="63">
        <v>400</v>
      </c>
      <c r="C933" s="2"/>
      <c r="D933" s="2"/>
      <c r="E933" s="2"/>
      <c r="F933" s="2"/>
      <c r="G933" s="2"/>
      <c r="H933" s="2" t="s">
        <v>184</v>
      </c>
      <c r="I933" s="63">
        <f>B933/10</f>
        <v>40</v>
      </c>
      <c r="J933" s="63"/>
      <c r="K933" s="63"/>
      <c r="L933" s="63"/>
      <c r="M933" s="63"/>
      <c r="N933" s="63" t="s">
        <v>1648</v>
      </c>
      <c r="P933" t="e">
        <f>IF(N933="","",  IF(N933="Excluded", N933,  IF(N933="included in industry", N933,   _xlfn.XLOOKUP(N933, [1]unittypedata!$AD:$AD,[1]unittypedata!$D:$D)   )))</f>
        <v>#N/A</v>
      </c>
    </row>
    <row r="934" spans="1:16">
      <c r="A934" s="2"/>
      <c r="B934" s="63"/>
      <c r="C934" s="2"/>
      <c r="D934" s="2"/>
      <c r="E934" s="2"/>
      <c r="F934" s="2"/>
      <c r="G934" s="2"/>
      <c r="H934" s="2" t="s">
        <v>185</v>
      </c>
      <c r="I934" s="63">
        <f>I933</f>
        <v>40</v>
      </c>
      <c r="J934" s="63"/>
      <c r="K934" s="63"/>
      <c r="L934" s="63"/>
      <c r="M934" s="63"/>
      <c r="N934" s="63" t="s">
        <v>1649</v>
      </c>
      <c r="P934" t="e">
        <f>IF(N934="","",  IF(N934="Excluded", N934,  IF(N934="included in industry", N934,   _xlfn.XLOOKUP(N934, [1]unittypedata!$AD:$AD,[1]unittypedata!$D:$D)   )))</f>
        <v>#N/A</v>
      </c>
    </row>
    <row r="935" spans="1:16">
      <c r="A935" s="2" t="s">
        <v>1286</v>
      </c>
      <c r="B935" s="63">
        <v>180</v>
      </c>
      <c r="C935" s="2"/>
      <c r="D935" s="2"/>
      <c r="E935" s="2"/>
      <c r="F935" s="2"/>
      <c r="G935" s="2"/>
      <c r="H935" s="2" t="s">
        <v>184</v>
      </c>
      <c r="I935" s="63">
        <f>B935/10</f>
        <v>18</v>
      </c>
      <c r="J935" s="63"/>
      <c r="K935" s="63"/>
      <c r="L935" s="63"/>
      <c r="M935" s="63"/>
      <c r="N935" s="63" t="s">
        <v>1648</v>
      </c>
      <c r="P935" t="e">
        <f>IF(N935="","",  IF(N935="Excluded", N935,  IF(N935="included in industry", N935,   _xlfn.XLOOKUP(N935, [1]unittypedata!$AD:$AD,[1]unittypedata!$D:$D)   )))</f>
        <v>#N/A</v>
      </c>
    </row>
    <row r="936" spans="1:16">
      <c r="A936" s="2"/>
      <c r="B936" s="63"/>
      <c r="C936" s="2"/>
      <c r="D936" s="2"/>
      <c r="E936" s="2"/>
      <c r="F936" s="2"/>
      <c r="G936" s="2"/>
      <c r="H936" s="2" t="s">
        <v>185</v>
      </c>
      <c r="I936" s="63">
        <f>I935</f>
        <v>18</v>
      </c>
      <c r="J936" s="63"/>
      <c r="K936" s="63"/>
      <c r="L936" s="63"/>
      <c r="M936" s="63"/>
      <c r="N936" s="63" t="s">
        <v>1649</v>
      </c>
      <c r="P936" t="e">
        <f>IF(N936="","",  IF(N936="Excluded", N936,  IF(N936="included in industry", N936,   _xlfn.XLOOKUP(N936, [1]unittypedata!$AD:$AD,[1]unittypedata!$D:$D)   )))</f>
        <v>#N/A</v>
      </c>
    </row>
    <row r="937" spans="1:16">
      <c r="A937" s="2" t="s">
        <v>716</v>
      </c>
      <c r="B937" s="63">
        <v>400</v>
      </c>
      <c r="C937" s="2"/>
      <c r="D937" s="2"/>
      <c r="E937" s="2"/>
      <c r="F937" s="2"/>
      <c r="G937" s="2"/>
      <c r="H937" s="2" t="s">
        <v>184</v>
      </c>
      <c r="I937" s="63">
        <f>B937/10</f>
        <v>40</v>
      </c>
      <c r="J937" s="63"/>
      <c r="K937" s="63"/>
      <c r="L937" s="63"/>
      <c r="M937" s="63"/>
      <c r="N937" s="63" t="s">
        <v>1648</v>
      </c>
      <c r="P937" t="e">
        <f>IF(N937="","",  IF(N937="Excluded", N937,  IF(N937="included in industry", N937,   _xlfn.XLOOKUP(N937, [1]unittypedata!$AD:$AD,[1]unittypedata!$D:$D)   )))</f>
        <v>#N/A</v>
      </c>
    </row>
    <row r="938" spans="1:16">
      <c r="A938" s="2"/>
      <c r="B938" s="63"/>
      <c r="C938" s="2"/>
      <c r="D938" s="2"/>
      <c r="E938" s="2"/>
      <c r="F938" s="2"/>
      <c r="G938" s="2"/>
      <c r="H938" s="2" t="s">
        <v>185</v>
      </c>
      <c r="I938" s="63">
        <f>I937</f>
        <v>40</v>
      </c>
      <c r="J938" s="63"/>
      <c r="K938" s="63"/>
      <c r="L938" s="63"/>
      <c r="M938" s="63"/>
      <c r="N938" s="63" t="s">
        <v>1649</v>
      </c>
      <c r="P938" t="e">
        <f>IF(N938="","",  IF(N938="Excluded", N938,  IF(N938="included in industry", N938,   _xlfn.XLOOKUP(N938, [1]unittypedata!$AD:$AD,[1]unittypedata!$D:$D)   )))</f>
        <v>#N/A</v>
      </c>
    </row>
    <row r="939" spans="1:16">
      <c r="A939" s="2" t="s">
        <v>1287</v>
      </c>
      <c r="B939" s="63">
        <v>60</v>
      </c>
      <c r="C939" s="2"/>
      <c r="D939" s="2"/>
      <c r="E939" s="2"/>
      <c r="F939" s="2"/>
      <c r="G939" s="2"/>
      <c r="H939" s="2" t="s">
        <v>184</v>
      </c>
      <c r="I939" s="63">
        <f>B939/10</f>
        <v>6</v>
      </c>
      <c r="J939" s="63"/>
      <c r="K939" s="63"/>
      <c r="L939" s="63"/>
      <c r="M939" s="63"/>
      <c r="N939" s="63" t="s">
        <v>1648</v>
      </c>
      <c r="P939" t="e">
        <f>IF(N939="","",  IF(N939="Excluded", N939,  IF(N939="included in industry", N939,   _xlfn.XLOOKUP(N939, [1]unittypedata!$AD:$AD,[1]unittypedata!$D:$D)   )))</f>
        <v>#N/A</v>
      </c>
    </row>
    <row r="940" spans="1:16">
      <c r="A940" s="2"/>
      <c r="B940" s="63"/>
      <c r="C940" s="2"/>
      <c r="D940" s="2"/>
      <c r="E940" s="2"/>
      <c r="F940" s="2"/>
      <c r="G940" s="2"/>
      <c r="H940" s="2" t="s">
        <v>185</v>
      </c>
      <c r="I940" s="63">
        <f>I939</f>
        <v>6</v>
      </c>
      <c r="J940" s="63"/>
      <c r="K940" s="63"/>
      <c r="L940" s="63"/>
      <c r="M940" s="63"/>
      <c r="N940" s="63" t="s">
        <v>1649</v>
      </c>
      <c r="P940" t="e">
        <f>IF(N940="","",  IF(N940="Excluded", N940,  IF(N940="included in industry", N940,   _xlfn.XLOOKUP(N940, [1]unittypedata!$AD:$AD,[1]unittypedata!$D:$D)   )))</f>
        <v>#N/A</v>
      </c>
    </row>
    <row r="941" spans="1:16">
      <c r="A941" s="2" t="s">
        <v>1288</v>
      </c>
      <c r="B941" s="63">
        <v>30</v>
      </c>
      <c r="C941" s="2"/>
      <c r="D941" s="2"/>
      <c r="E941" s="2"/>
      <c r="F941" s="2"/>
      <c r="G941" s="2"/>
      <c r="H941" s="2" t="s">
        <v>184</v>
      </c>
      <c r="I941" s="63">
        <f>B941/10</f>
        <v>3</v>
      </c>
      <c r="J941" s="63"/>
      <c r="K941" s="63"/>
      <c r="L941" s="63"/>
      <c r="M941" s="63"/>
      <c r="N941" s="63" t="s">
        <v>1648</v>
      </c>
      <c r="P941" t="e">
        <f>IF(N941="","",  IF(N941="Excluded", N941,  IF(N941="included in industry", N941,   _xlfn.XLOOKUP(N941, [1]unittypedata!$AD:$AD,[1]unittypedata!$D:$D)   )))</f>
        <v>#N/A</v>
      </c>
    </row>
    <row r="942" spans="1:16">
      <c r="A942" s="2"/>
      <c r="B942" s="63"/>
      <c r="C942" s="2"/>
      <c r="D942" s="2"/>
      <c r="E942" s="2"/>
      <c r="F942" s="2"/>
      <c r="G942" s="2"/>
      <c r="H942" s="2" t="s">
        <v>185</v>
      </c>
      <c r="I942" s="63">
        <f>I941</f>
        <v>3</v>
      </c>
      <c r="J942" s="63"/>
      <c r="K942" s="63"/>
      <c r="L942" s="63"/>
      <c r="M942" s="63"/>
      <c r="N942" s="63" t="s">
        <v>1649</v>
      </c>
      <c r="P942" t="e">
        <f>IF(N942="","",  IF(N942="Excluded", N942,  IF(N942="included in industry", N942,   _xlfn.XLOOKUP(N942, [1]unittypedata!$AD:$AD,[1]unittypedata!$D:$D)   )))</f>
        <v>#N/A</v>
      </c>
    </row>
    <row r="943" spans="1:16">
      <c r="A943" s="2" t="s">
        <v>658</v>
      </c>
      <c r="B943" s="63">
        <v>400</v>
      </c>
      <c r="C943" s="2"/>
      <c r="D943" s="2"/>
      <c r="E943" s="2"/>
      <c r="F943" s="2"/>
      <c r="G943" s="2"/>
      <c r="H943" s="2" t="s">
        <v>184</v>
      </c>
      <c r="I943" s="63">
        <f>B943/10</f>
        <v>40</v>
      </c>
      <c r="J943" s="63"/>
      <c r="K943" s="63"/>
      <c r="L943" s="63"/>
      <c r="M943" s="63"/>
      <c r="N943" s="63" t="s">
        <v>1648</v>
      </c>
      <c r="P943" t="e">
        <f>IF(N943="","",  IF(N943="Excluded", N943,  IF(N943="included in industry", N943,   _xlfn.XLOOKUP(N943, [1]unittypedata!$AD:$AD,[1]unittypedata!$D:$D)   )))</f>
        <v>#N/A</v>
      </c>
    </row>
    <row r="944" spans="1:16">
      <c r="A944" s="2"/>
      <c r="B944" s="63"/>
      <c r="C944" s="2"/>
      <c r="D944" s="2"/>
      <c r="E944" s="2"/>
      <c r="F944" s="2"/>
      <c r="G944" s="2"/>
      <c r="H944" s="2" t="s">
        <v>185</v>
      </c>
      <c r="I944" s="63">
        <f>I943</f>
        <v>40</v>
      </c>
      <c r="J944" s="63"/>
      <c r="K944" s="63"/>
      <c r="L944" s="63"/>
      <c r="M944" s="63"/>
      <c r="N944" s="63" t="s">
        <v>1649</v>
      </c>
      <c r="P944" t="e">
        <f>IF(N944="","",  IF(N944="Excluded", N944,  IF(N944="included in industry", N944,   _xlfn.XLOOKUP(N944, [1]unittypedata!$AD:$AD,[1]unittypedata!$D:$D)   )))</f>
        <v>#N/A</v>
      </c>
    </row>
    <row r="945" spans="1:16">
      <c r="A945" s="2" t="s">
        <v>1244</v>
      </c>
      <c r="B945" s="63">
        <v>11000</v>
      </c>
      <c r="C945" s="2"/>
      <c r="D945" s="2"/>
      <c r="E945" s="2"/>
      <c r="F945" s="2"/>
      <c r="G945" s="2"/>
      <c r="H945" s="2" t="s">
        <v>184</v>
      </c>
      <c r="I945" s="63">
        <f>B945/100</f>
        <v>110</v>
      </c>
      <c r="J945" s="63"/>
      <c r="K945" s="63"/>
      <c r="L945" s="63"/>
      <c r="M945" s="63"/>
      <c r="N945" s="63" t="s">
        <v>1650</v>
      </c>
      <c r="P945" t="e">
        <f>IF(N945="","",  IF(N945="Excluded", N945,  IF(N945="included in industry", N945,   _xlfn.XLOOKUP(N945, [1]unittypedata!$AD:$AD,[1]unittypedata!$D:$D)   )))</f>
        <v>#N/A</v>
      </c>
    </row>
    <row r="946" spans="1:16">
      <c r="A946" s="2"/>
      <c r="B946" s="63"/>
      <c r="C946" s="2"/>
      <c r="D946" s="2"/>
      <c r="E946" s="2"/>
      <c r="F946" s="2"/>
      <c r="G946" s="2"/>
      <c r="H946" s="2" t="s">
        <v>185</v>
      </c>
      <c r="I946" s="63">
        <f>I945</f>
        <v>110</v>
      </c>
      <c r="J946" s="63"/>
      <c r="K946" s="63"/>
      <c r="L946" s="63"/>
      <c r="M946" s="63"/>
      <c r="N946" s="63" t="s">
        <v>1651</v>
      </c>
      <c r="P946" t="e">
        <f>IF(N946="","",  IF(N946="Excluded", N946,  IF(N946="included in industry", N946,   _xlfn.XLOOKUP(N946, [1]unittypedata!$AD:$AD,[1]unittypedata!$D:$D)   )))</f>
        <v>#N/A</v>
      </c>
    </row>
    <row r="947" spans="1:16">
      <c r="A947" s="2" t="s">
        <v>1126</v>
      </c>
      <c r="B947" s="63">
        <v>400</v>
      </c>
      <c r="C947" s="2"/>
      <c r="D947" s="2"/>
      <c r="E947" s="2"/>
      <c r="F947" s="2"/>
      <c r="G947" s="2"/>
      <c r="H947" s="2" t="s">
        <v>184</v>
      </c>
      <c r="I947" s="63">
        <f>B947/10</f>
        <v>40</v>
      </c>
      <c r="J947" s="63"/>
      <c r="K947" s="63"/>
      <c r="L947" s="63"/>
      <c r="M947" s="63"/>
      <c r="N947" s="63" t="s">
        <v>1648</v>
      </c>
      <c r="P947" t="e">
        <f>IF(N947="","",  IF(N947="Excluded", N947,  IF(N947="included in industry", N947,   _xlfn.XLOOKUP(N947, [1]unittypedata!$AD:$AD,[1]unittypedata!$D:$D)   )))</f>
        <v>#N/A</v>
      </c>
    </row>
    <row r="948" spans="1:16">
      <c r="A948" s="2"/>
      <c r="B948" s="63"/>
      <c r="C948" s="2"/>
      <c r="D948" s="2"/>
      <c r="E948" s="2"/>
      <c r="F948" s="2"/>
      <c r="G948" s="2"/>
      <c r="H948" s="2" t="s">
        <v>185</v>
      </c>
      <c r="I948" s="63">
        <f>I947</f>
        <v>40</v>
      </c>
      <c r="J948" s="63"/>
      <c r="K948" s="63"/>
      <c r="L948" s="63"/>
      <c r="M948" s="63"/>
      <c r="N948" s="63" t="s">
        <v>1649</v>
      </c>
      <c r="P948" t="e">
        <f>IF(N948="","",  IF(N948="Excluded", N948,  IF(N948="included in industry", N948,   _xlfn.XLOOKUP(N948, [1]unittypedata!$AD:$AD,[1]unittypedata!$D:$D)   )))</f>
        <v>#N/A</v>
      </c>
    </row>
    <row r="949" spans="1:16">
      <c r="A949" s="2" t="s">
        <v>1289</v>
      </c>
      <c r="B949" s="63">
        <v>400</v>
      </c>
      <c r="C949" s="2"/>
      <c r="D949" s="2"/>
      <c r="E949" s="2"/>
      <c r="F949" s="2"/>
      <c r="G949" s="2"/>
      <c r="H949" s="2" t="s">
        <v>184</v>
      </c>
      <c r="I949" s="63">
        <f>B949/10</f>
        <v>40</v>
      </c>
      <c r="J949" s="63"/>
      <c r="K949" s="63"/>
      <c r="L949" s="63"/>
      <c r="M949" s="63"/>
      <c r="N949" s="63" t="s">
        <v>1648</v>
      </c>
      <c r="P949" t="e">
        <f>IF(N949="","",  IF(N949="Excluded", N949,  IF(N949="included in industry", N949,   _xlfn.XLOOKUP(N949, [1]unittypedata!$AD:$AD,[1]unittypedata!$D:$D)   )))</f>
        <v>#N/A</v>
      </c>
    </row>
    <row r="950" spans="1:16">
      <c r="A950" s="2"/>
      <c r="B950" s="63"/>
      <c r="C950" s="2"/>
      <c r="D950" s="2"/>
      <c r="E950" s="2"/>
      <c r="F950" s="2"/>
      <c r="G950" s="2"/>
      <c r="H950" s="2" t="s">
        <v>185</v>
      </c>
      <c r="I950" s="63">
        <f>I949</f>
        <v>40</v>
      </c>
      <c r="J950" s="63"/>
      <c r="K950" s="63"/>
      <c r="L950" s="63"/>
      <c r="M950" s="63"/>
      <c r="N950" s="63" t="s">
        <v>1649</v>
      </c>
      <c r="P950" t="e">
        <f>IF(N950="","",  IF(N950="Excluded", N950,  IF(N950="included in industry", N950,   _xlfn.XLOOKUP(N950, [1]unittypedata!$AD:$AD,[1]unittypedata!$D:$D)   )))</f>
        <v>#N/A</v>
      </c>
    </row>
    <row r="951" spans="1:16">
      <c r="A951" s="2" t="s">
        <v>1290</v>
      </c>
      <c r="B951" s="63">
        <v>400</v>
      </c>
      <c r="C951" s="2"/>
      <c r="D951" s="2"/>
      <c r="E951" s="2"/>
      <c r="F951" s="2"/>
      <c r="G951" s="2"/>
      <c r="H951" s="2" t="s">
        <v>184</v>
      </c>
      <c r="I951" s="63">
        <f>B951/10</f>
        <v>40</v>
      </c>
      <c r="J951" s="63"/>
      <c r="K951" s="63"/>
      <c r="L951" s="63"/>
      <c r="M951" s="63"/>
      <c r="N951" s="63" t="s">
        <v>1648</v>
      </c>
      <c r="P951" t="e">
        <f>IF(N951="","",  IF(N951="Excluded", N951,  IF(N951="included in industry", N951,   _xlfn.XLOOKUP(N951, [1]unittypedata!$AD:$AD,[1]unittypedata!$D:$D)   )))</f>
        <v>#N/A</v>
      </c>
    </row>
    <row r="952" spans="1:16">
      <c r="A952" s="2"/>
      <c r="B952" s="63"/>
      <c r="C952" s="2"/>
      <c r="D952" s="2"/>
      <c r="E952" s="2"/>
      <c r="F952" s="2"/>
      <c r="G952" s="2"/>
      <c r="H952" s="2" t="s">
        <v>185</v>
      </c>
      <c r="I952" s="63">
        <f>I951</f>
        <v>40</v>
      </c>
      <c r="J952" s="63"/>
      <c r="K952" s="63"/>
      <c r="L952" s="63"/>
      <c r="M952" s="63"/>
      <c r="N952" s="63" t="s">
        <v>1649</v>
      </c>
      <c r="P952" t="e">
        <f>IF(N952="","",  IF(N952="Excluded", N952,  IF(N952="included in industry", N952,   _xlfn.XLOOKUP(N952, [1]unittypedata!$AD:$AD,[1]unittypedata!$D:$D)   )))</f>
        <v>#N/A</v>
      </c>
    </row>
    <row r="953" spans="1:16">
      <c r="A953" s="2" t="s">
        <v>1291</v>
      </c>
      <c r="B953" s="63">
        <v>100</v>
      </c>
      <c r="C953" s="2"/>
      <c r="D953" s="2"/>
      <c r="E953" s="2"/>
      <c r="F953" s="2"/>
      <c r="G953" s="2"/>
      <c r="H953" s="2" t="s">
        <v>184</v>
      </c>
      <c r="I953" s="63">
        <f>B953/10</f>
        <v>10</v>
      </c>
      <c r="J953" s="63"/>
      <c r="K953" s="63"/>
      <c r="L953" s="63"/>
      <c r="M953" s="63"/>
      <c r="N953" s="63" t="s">
        <v>1648</v>
      </c>
      <c r="P953" t="e">
        <f>IF(N953="","",  IF(N953="Excluded", N953,  IF(N953="included in industry", N953,   _xlfn.XLOOKUP(N953, [1]unittypedata!$AD:$AD,[1]unittypedata!$D:$D)   )))</f>
        <v>#N/A</v>
      </c>
    </row>
    <row r="954" spans="1:16">
      <c r="A954" s="2"/>
      <c r="B954" s="63"/>
      <c r="C954" s="2"/>
      <c r="D954" s="2"/>
      <c r="E954" s="2"/>
      <c r="F954" s="2"/>
      <c r="G954" s="2"/>
      <c r="H954" s="2" t="s">
        <v>185</v>
      </c>
      <c r="I954" s="63">
        <f>I953</f>
        <v>10</v>
      </c>
      <c r="J954" s="63"/>
      <c r="K954" s="63"/>
      <c r="L954" s="63"/>
      <c r="M954" s="63"/>
      <c r="N954" s="63" t="s">
        <v>1649</v>
      </c>
      <c r="P954" t="e">
        <f>IF(N954="","",  IF(N954="Excluded", N954,  IF(N954="included in industry", N954,   _xlfn.XLOOKUP(N954, [1]unittypedata!$AD:$AD,[1]unittypedata!$D:$D)   )))</f>
        <v>#N/A</v>
      </c>
    </row>
    <row r="955" spans="1:16">
      <c r="A955" s="2" t="s">
        <v>1161</v>
      </c>
      <c r="B955" s="63">
        <v>5</v>
      </c>
      <c r="C955" s="2"/>
      <c r="D955" s="2"/>
      <c r="E955" s="2"/>
      <c r="F955" s="2"/>
      <c r="G955" s="2"/>
      <c r="H955" s="2" t="s">
        <v>184</v>
      </c>
      <c r="I955" s="63">
        <f>B955/10</f>
        <v>0.5</v>
      </c>
      <c r="J955" s="63"/>
      <c r="K955" s="63"/>
      <c r="L955" s="63"/>
      <c r="M955" s="63"/>
      <c r="N955" s="63" t="s">
        <v>1648</v>
      </c>
      <c r="P955" t="e">
        <f>IF(N955="","",  IF(N955="Excluded", N955,  IF(N955="included in industry", N955,   _xlfn.XLOOKUP(N955, [1]unittypedata!$AD:$AD,[1]unittypedata!$D:$D)   )))</f>
        <v>#N/A</v>
      </c>
    </row>
    <row r="956" spans="1:16">
      <c r="A956" s="2"/>
      <c r="B956" s="63"/>
      <c r="C956" s="2"/>
      <c r="D956" s="2"/>
      <c r="E956" s="2"/>
      <c r="F956" s="2"/>
      <c r="G956" s="2"/>
      <c r="H956" s="2" t="s">
        <v>185</v>
      </c>
      <c r="I956" s="63">
        <f>I955</f>
        <v>0.5</v>
      </c>
      <c r="J956" s="63"/>
      <c r="K956" s="63"/>
      <c r="L956" s="63"/>
      <c r="M956" s="63"/>
      <c r="N956" s="63" t="s">
        <v>1649</v>
      </c>
      <c r="P956" t="e">
        <f>IF(N956="","",  IF(N956="Excluded", N956,  IF(N956="included in industry", N956,   _xlfn.XLOOKUP(N956, [1]unittypedata!$AD:$AD,[1]unittypedata!$D:$D)   )))</f>
        <v>#N/A</v>
      </c>
    </row>
    <row r="957" spans="1:16">
      <c r="A957" s="2"/>
      <c r="B957" s="63"/>
      <c r="C957" s="2"/>
      <c r="D957" s="2"/>
      <c r="E957" s="2"/>
      <c r="F957" s="2"/>
      <c r="G957" s="2"/>
      <c r="H957" s="2"/>
      <c r="I957" s="63"/>
      <c r="J957" s="63"/>
      <c r="K957" s="63"/>
      <c r="L957" s="63"/>
      <c r="M957" s="63"/>
      <c r="N957" s="63"/>
      <c r="P957" t="str">
        <f>IF(N957="","",  IF(N957="Excluded", N957,  IF(N957="included in industry", N957,   _xlfn.XLOOKUP(N957, [1]unittypedata!$AD:$AD,[1]unittypedata!$D:$D)   )))</f>
        <v/>
      </c>
    </row>
    <row r="958" spans="1:16">
      <c r="A958" s="51" t="s">
        <v>177</v>
      </c>
      <c r="B958" s="63"/>
      <c r="C958" s="2"/>
      <c r="D958" s="2"/>
      <c r="E958" s="2"/>
      <c r="F958" s="2"/>
      <c r="G958" s="2"/>
      <c r="H958" s="2"/>
      <c r="I958" s="63"/>
      <c r="J958" s="63"/>
      <c r="K958" s="63"/>
      <c r="L958" s="63"/>
      <c r="M958" s="63"/>
      <c r="N958" s="63"/>
      <c r="P958" t="str">
        <f>IF(N958="","",  IF(N958="Excluded", N958,  IF(N958="included in industry", N958,   _xlfn.XLOOKUP(N958, [1]unittypedata!$AD:$AD,[1]unittypedata!$D:$D)   )))</f>
        <v/>
      </c>
    </row>
    <row r="959" spans="1:16">
      <c r="A959" s="2"/>
      <c r="B959" s="62" t="s">
        <v>178</v>
      </c>
      <c r="C959" s="2"/>
      <c r="D959" s="2"/>
      <c r="E959" s="2"/>
      <c r="F959" s="2"/>
      <c r="G959" s="2"/>
      <c r="H959" s="2"/>
      <c r="I959" s="62" t="s">
        <v>56</v>
      </c>
      <c r="J959" s="62" t="s">
        <v>57</v>
      </c>
      <c r="K959" s="62"/>
      <c r="L959" s="62"/>
      <c r="M959" s="62"/>
      <c r="N959" s="62" t="s">
        <v>1612</v>
      </c>
      <c r="P959" t="e">
        <f>IF(N959="","",  IF(N959="Excluded", N959,  IF(N959="included in industry", N959,   _xlfn.XLOOKUP(N959, [1]unittypedata!$AD:$AD,[1]unittypedata!$D:$D)   )))</f>
        <v>#N/A</v>
      </c>
    </row>
    <row r="960" spans="1:16">
      <c r="A960" s="2" t="s">
        <v>1292</v>
      </c>
      <c r="B960" s="63">
        <v>400</v>
      </c>
      <c r="C960" s="2"/>
      <c r="D960" s="2"/>
      <c r="E960" s="2"/>
      <c r="F960" s="2"/>
      <c r="G960" s="2"/>
      <c r="H960" s="2" t="s">
        <v>184</v>
      </c>
      <c r="I960" s="63">
        <f>B960/10</f>
        <v>40</v>
      </c>
      <c r="J960" s="63"/>
      <c r="K960" s="63"/>
      <c r="L960" s="63"/>
      <c r="M960" s="63"/>
      <c r="N960" s="63" t="s">
        <v>1648</v>
      </c>
      <c r="O960" s="35" t="s">
        <v>1321</v>
      </c>
      <c r="P960" t="e">
        <f>IF(N960="","",  IF(N960="Excluded", N960,  IF(N960="included in industry", N960,   _xlfn.XLOOKUP(N960, [1]unittypedata!$AD:$AD,[1]unittypedata!$D:$D)   )))</f>
        <v>#N/A</v>
      </c>
    </row>
    <row r="961" spans="1:16">
      <c r="A961" s="2"/>
      <c r="B961" s="63"/>
      <c r="C961" s="2"/>
      <c r="D961" s="2"/>
      <c r="E961" s="2"/>
      <c r="F961" s="2"/>
      <c r="G961" s="2"/>
      <c r="H961" s="2" t="s">
        <v>185</v>
      </c>
      <c r="I961" s="63">
        <f>I960</f>
        <v>40</v>
      </c>
      <c r="J961" s="63"/>
      <c r="K961" s="63"/>
      <c r="L961" s="63"/>
      <c r="M961" s="63"/>
      <c r="N961" s="63" t="s">
        <v>1649</v>
      </c>
      <c r="P961" t="e">
        <f>IF(N961="","",  IF(N961="Excluded", N961,  IF(N961="included in industry", N961,   _xlfn.XLOOKUP(N961, [1]unittypedata!$AD:$AD,[1]unittypedata!$D:$D)   )))</f>
        <v>#N/A</v>
      </c>
    </row>
    <row r="962" spans="1:16">
      <c r="A962" s="2" t="s">
        <v>1318</v>
      </c>
      <c r="B962" s="63">
        <v>150</v>
      </c>
      <c r="C962" s="2"/>
      <c r="D962" s="2"/>
      <c r="E962" s="2"/>
      <c r="F962" s="2"/>
      <c r="G962" s="2"/>
      <c r="H962" s="2" t="s">
        <v>184</v>
      </c>
      <c r="I962" s="63">
        <f>B962/10</f>
        <v>15</v>
      </c>
      <c r="J962" s="63"/>
      <c r="K962" s="63"/>
      <c r="L962" s="63"/>
      <c r="M962" s="63"/>
      <c r="N962" s="63" t="s">
        <v>1648</v>
      </c>
      <c r="O962" t="s">
        <v>1320</v>
      </c>
      <c r="P962" t="e">
        <f>IF(N962="","",  IF(N962="Excluded", N962,  IF(N962="included in industry", N962,   _xlfn.XLOOKUP(N962, [1]unittypedata!$AD:$AD,[1]unittypedata!$D:$D)   )))</f>
        <v>#N/A</v>
      </c>
    </row>
    <row r="963" spans="1:16">
      <c r="A963" s="2"/>
      <c r="B963" s="63"/>
      <c r="C963" s="2"/>
      <c r="D963" s="2"/>
      <c r="E963" s="2"/>
      <c r="F963" s="2"/>
      <c r="G963" s="2"/>
      <c r="H963" s="2" t="s">
        <v>185</v>
      </c>
      <c r="I963" s="63">
        <f>I962</f>
        <v>15</v>
      </c>
      <c r="J963" s="63"/>
      <c r="K963" s="63"/>
      <c r="L963" s="63"/>
      <c r="M963" s="63"/>
      <c r="N963" s="63" t="s">
        <v>1649</v>
      </c>
      <c r="P963" t="e">
        <f>IF(N963="","",  IF(N963="Excluded", N963,  IF(N963="included in industry", N963,   _xlfn.XLOOKUP(N963, [1]unittypedata!$AD:$AD,[1]unittypedata!$D:$D)   )))</f>
        <v>#N/A</v>
      </c>
    </row>
    <row r="964" spans="1:16">
      <c r="A964" s="2" t="s">
        <v>1323</v>
      </c>
      <c r="B964" s="63">
        <v>700</v>
      </c>
      <c r="C964" s="2"/>
      <c r="D964" s="2"/>
      <c r="E964" s="2"/>
      <c r="F964" s="2"/>
      <c r="G964" s="2"/>
      <c r="H964" s="2" t="s">
        <v>184</v>
      </c>
      <c r="I964" s="63">
        <f>B964/10</f>
        <v>70</v>
      </c>
      <c r="J964" s="63"/>
      <c r="K964" s="63"/>
      <c r="L964" s="63"/>
      <c r="M964" s="63"/>
      <c r="N964" s="63" t="s">
        <v>1648</v>
      </c>
      <c r="O964" s="35" t="s">
        <v>1324</v>
      </c>
      <c r="P964" t="e">
        <f>IF(N964="","",  IF(N964="Excluded", N964,  IF(N964="included in industry", N964,   _xlfn.XLOOKUP(N964, [1]unittypedata!$AD:$AD,[1]unittypedata!$D:$D)   )))</f>
        <v>#N/A</v>
      </c>
    </row>
    <row r="965" spans="1:16">
      <c r="A965" s="2"/>
      <c r="B965" s="63"/>
      <c r="C965" s="2"/>
      <c r="D965" s="2"/>
      <c r="E965" s="2"/>
      <c r="F965" s="2"/>
      <c r="G965" s="2"/>
      <c r="H965" s="2" t="s">
        <v>185</v>
      </c>
      <c r="I965" s="63">
        <f>I964</f>
        <v>70</v>
      </c>
      <c r="J965" s="63"/>
      <c r="K965" s="63"/>
      <c r="L965" s="63"/>
      <c r="M965" s="63"/>
      <c r="N965" s="63" t="s">
        <v>1649</v>
      </c>
      <c r="P965" t="e">
        <f>IF(N965="","",  IF(N965="Excluded", N965,  IF(N965="included in industry", N965,   _xlfn.XLOOKUP(N965, [1]unittypedata!$AD:$AD,[1]unittypedata!$D:$D)   )))</f>
        <v>#N/A</v>
      </c>
    </row>
    <row r="966" spans="1:16">
      <c r="A966" s="2" t="s">
        <v>1327</v>
      </c>
      <c r="B966" s="63">
        <v>500</v>
      </c>
      <c r="C966" s="2"/>
      <c r="D966" s="2"/>
      <c r="E966" s="2"/>
      <c r="F966" s="2"/>
      <c r="G966" s="2"/>
      <c r="H966" s="2" t="s">
        <v>184</v>
      </c>
      <c r="I966" s="63">
        <f>B966/10</f>
        <v>50</v>
      </c>
      <c r="J966" s="63"/>
      <c r="K966" s="63"/>
      <c r="L966" s="63"/>
      <c r="M966" s="63"/>
      <c r="N966" s="63" t="s">
        <v>1648</v>
      </c>
      <c r="O966" s="35" t="s">
        <v>1326</v>
      </c>
      <c r="P966" t="e">
        <f>IF(N966="","",  IF(N966="Excluded", N966,  IF(N966="included in industry", N966,   _xlfn.XLOOKUP(N966, [1]unittypedata!$AD:$AD,[1]unittypedata!$D:$D)   )))</f>
        <v>#N/A</v>
      </c>
    </row>
    <row r="967" spans="1:16">
      <c r="A967" s="2"/>
      <c r="B967" s="63"/>
      <c r="C967" s="2"/>
      <c r="D967" s="2"/>
      <c r="E967" s="2"/>
      <c r="F967" s="2"/>
      <c r="G967" s="2"/>
      <c r="H967" s="2" t="s">
        <v>185</v>
      </c>
      <c r="I967" s="63">
        <f>I966</f>
        <v>50</v>
      </c>
      <c r="J967" s="63"/>
      <c r="K967" s="63"/>
      <c r="L967" s="63"/>
      <c r="M967" s="63"/>
      <c r="N967" s="63" t="s">
        <v>1649</v>
      </c>
      <c r="P967" t="e">
        <f>IF(N967="","",  IF(N967="Excluded", N967,  IF(N967="included in industry", N967,   _xlfn.XLOOKUP(N967, [1]unittypedata!$AD:$AD,[1]unittypedata!$D:$D)   )))</f>
        <v>#N/A</v>
      </c>
    </row>
    <row r="968" spans="1:16">
      <c r="A968" s="2" t="s">
        <v>1333</v>
      </c>
      <c r="B968" s="63">
        <v>100</v>
      </c>
      <c r="C968" s="2"/>
      <c r="D968" s="2"/>
      <c r="E968" s="2"/>
      <c r="F968" s="2"/>
      <c r="G968" s="2"/>
      <c r="H968" s="2" t="s">
        <v>184</v>
      </c>
      <c r="I968" s="63">
        <f>B968/10</f>
        <v>10</v>
      </c>
      <c r="J968" s="63"/>
      <c r="K968" s="63"/>
      <c r="L968" s="63"/>
      <c r="M968" s="63"/>
      <c r="N968" s="63" t="s">
        <v>1648</v>
      </c>
      <c r="O968" s="35" t="s">
        <v>1334</v>
      </c>
      <c r="P968" t="e">
        <f>IF(N968="","",  IF(N968="Excluded", N968,  IF(N968="included in industry", N968,   _xlfn.XLOOKUP(N968, [1]unittypedata!$AD:$AD,[1]unittypedata!$D:$D)   )))</f>
        <v>#N/A</v>
      </c>
    </row>
    <row r="969" spans="1:16">
      <c r="A969" s="2"/>
      <c r="B969" s="63"/>
      <c r="C969" s="2"/>
      <c r="D969" s="2"/>
      <c r="E969" s="2"/>
      <c r="F969" s="2"/>
      <c r="G969" s="2"/>
      <c r="H969" s="2" t="s">
        <v>185</v>
      </c>
      <c r="I969" s="63">
        <f>I968</f>
        <v>10</v>
      </c>
      <c r="J969" s="63"/>
      <c r="K969" s="63"/>
      <c r="L969" s="63"/>
      <c r="M969" s="63"/>
      <c r="N969" s="63" t="s">
        <v>1649</v>
      </c>
      <c r="P969" t="e">
        <f>IF(N969="","",  IF(N969="Excluded", N969,  IF(N969="included in industry", N969,   _xlfn.XLOOKUP(N969, [1]unittypedata!$AD:$AD,[1]unittypedata!$D:$D)   )))</f>
        <v>#N/A</v>
      </c>
    </row>
    <row r="970" spans="1:16">
      <c r="A970" s="2" t="s">
        <v>1352</v>
      </c>
      <c r="B970" s="63">
        <v>6000</v>
      </c>
      <c r="C970" s="2"/>
      <c r="D970" s="2"/>
      <c r="E970" s="2"/>
      <c r="F970" s="2"/>
      <c r="G970" s="2"/>
      <c r="H970" s="2" t="s">
        <v>184</v>
      </c>
      <c r="I970" s="63">
        <f>B970/100</f>
        <v>60</v>
      </c>
      <c r="J970" s="63"/>
      <c r="K970" s="63"/>
      <c r="L970" s="63"/>
      <c r="M970" s="63"/>
      <c r="N970" s="63" t="s">
        <v>1650</v>
      </c>
      <c r="O970" s="35" t="s">
        <v>1353</v>
      </c>
      <c r="P970" t="e">
        <f>IF(N970="","",  IF(N970="Excluded", N970,  IF(N970="included in industry", N970,   _xlfn.XLOOKUP(N970, [1]unittypedata!$AD:$AD,[1]unittypedata!$D:$D)   )))</f>
        <v>#N/A</v>
      </c>
    </row>
    <row r="971" spans="1:16">
      <c r="A971" s="2"/>
      <c r="B971" s="63"/>
      <c r="C971" s="2"/>
      <c r="D971" s="2"/>
      <c r="E971" s="2"/>
      <c r="F971" s="2"/>
      <c r="G971" s="2"/>
      <c r="H971" s="2" t="s">
        <v>185</v>
      </c>
      <c r="I971" s="63">
        <f>I970</f>
        <v>60</v>
      </c>
      <c r="J971" s="63"/>
      <c r="K971" s="63"/>
      <c r="L971" s="63"/>
      <c r="M971" s="63"/>
      <c r="N971" s="63" t="s">
        <v>1651</v>
      </c>
      <c r="P971" t="e">
        <f>IF(N971="","",  IF(N971="Excluded", N971,  IF(N971="included in industry", N971,   _xlfn.XLOOKUP(N971, [1]unittypedata!$AD:$AD,[1]unittypedata!$D:$D)   )))</f>
        <v>#N/A</v>
      </c>
    </row>
    <row r="972" spans="1:16">
      <c r="A972" s="2"/>
      <c r="B972" s="63"/>
      <c r="C972" s="2"/>
      <c r="D972" s="2"/>
      <c r="E972" s="2"/>
      <c r="F972" s="2"/>
      <c r="G972" s="2"/>
      <c r="H972" s="2"/>
      <c r="I972" s="63"/>
      <c r="J972" s="63"/>
      <c r="K972" s="63"/>
      <c r="L972" s="63"/>
      <c r="M972" s="63"/>
      <c r="N972" s="63"/>
    </row>
    <row r="973" spans="1:16">
      <c r="A973" s="2"/>
      <c r="B973" s="63"/>
      <c r="C973" s="2"/>
      <c r="D973" s="2"/>
      <c r="E973" s="2"/>
      <c r="F973" s="2"/>
      <c r="G973" s="2"/>
      <c r="H973" s="2"/>
      <c r="I973" s="63"/>
      <c r="J973" s="63"/>
      <c r="K973" s="63"/>
      <c r="L973" s="63"/>
      <c r="M973" s="63"/>
      <c r="N973" s="63"/>
    </row>
    <row r="974" spans="1:16">
      <c r="A974" s="2"/>
      <c r="B974" s="63"/>
      <c r="C974" s="2"/>
      <c r="D974" s="2"/>
      <c r="E974" s="2"/>
      <c r="F974" s="2"/>
      <c r="G974" s="2"/>
      <c r="H974" s="2"/>
      <c r="I974" s="63"/>
      <c r="J974" s="63"/>
      <c r="K974" s="63"/>
      <c r="L974" s="63"/>
      <c r="M974" s="63"/>
      <c r="N974" s="63"/>
    </row>
    <row r="975" spans="1:16">
      <c r="A975" s="2"/>
      <c r="B975" s="63"/>
      <c r="C975" s="2"/>
      <c r="D975" s="2"/>
      <c r="E975" s="2"/>
      <c r="F975" s="2"/>
      <c r="G975" s="2"/>
      <c r="H975" s="2"/>
      <c r="I975" s="63"/>
      <c r="J975" s="63"/>
      <c r="K975" s="63"/>
      <c r="L975" s="63"/>
      <c r="M975" s="63"/>
      <c r="N975" s="63"/>
    </row>
    <row r="976" spans="1:16">
      <c r="A976" s="2"/>
      <c r="B976" s="63"/>
      <c r="C976" s="2"/>
      <c r="D976" s="2"/>
      <c r="E976" s="2"/>
      <c r="F976" s="2"/>
      <c r="G976" s="2"/>
      <c r="H976" s="2"/>
      <c r="I976" s="63"/>
      <c r="J976" s="63"/>
      <c r="K976" s="63"/>
      <c r="L976" s="63"/>
      <c r="M976" s="63"/>
      <c r="N976" s="63"/>
    </row>
    <row r="977" spans="1:14">
      <c r="A977" s="2"/>
      <c r="B977" s="63"/>
      <c r="C977" s="2"/>
      <c r="D977" s="2"/>
      <c r="E977" s="2"/>
      <c r="F977" s="2"/>
      <c r="G977" s="2"/>
      <c r="H977" s="2"/>
      <c r="I977" s="63"/>
      <c r="J977" s="63"/>
      <c r="K977" s="63"/>
      <c r="L977" s="63"/>
      <c r="M977" s="63"/>
      <c r="N977" s="63"/>
    </row>
    <row r="978" spans="1:14">
      <c r="A978" s="2"/>
      <c r="B978" s="63"/>
      <c r="C978" s="2"/>
      <c r="D978" s="2"/>
      <c r="E978" s="2"/>
      <c r="F978" s="2"/>
      <c r="G978" s="2"/>
      <c r="H978" s="2"/>
      <c r="I978" s="63"/>
      <c r="J978" s="63"/>
      <c r="K978" s="63"/>
      <c r="L978" s="63"/>
      <c r="M978" s="63"/>
      <c r="N978" s="63"/>
    </row>
    <row r="979" spans="1:14">
      <c r="A979" s="2"/>
      <c r="B979" s="63"/>
      <c r="C979" s="2"/>
      <c r="D979" s="2"/>
      <c r="E979" s="2"/>
      <c r="F979" s="2"/>
      <c r="G979" s="2"/>
      <c r="H979" s="2"/>
      <c r="I979" s="63"/>
      <c r="J979" s="63"/>
      <c r="K979" s="63"/>
      <c r="L979" s="63"/>
      <c r="M979" s="63"/>
      <c r="N979" s="63"/>
    </row>
    <row r="980" spans="1:14">
      <c r="A980" s="2"/>
      <c r="B980" s="63"/>
      <c r="C980" s="2"/>
      <c r="D980" s="2"/>
      <c r="E980" s="2"/>
      <c r="F980" s="2"/>
      <c r="G980" s="2"/>
      <c r="H980" s="2"/>
      <c r="I980" s="63"/>
      <c r="J980" s="63"/>
      <c r="K980" s="63"/>
      <c r="L980" s="63"/>
      <c r="M980" s="63"/>
      <c r="N980" s="63"/>
    </row>
    <row r="981" spans="1:14">
      <c r="A981" s="2"/>
      <c r="B981" s="63"/>
      <c r="C981" s="2"/>
      <c r="D981" s="2"/>
      <c r="E981" s="2"/>
      <c r="F981" s="2"/>
      <c r="G981" s="2"/>
      <c r="H981" s="2"/>
      <c r="I981" s="63"/>
      <c r="J981" s="63"/>
      <c r="K981" s="63"/>
      <c r="L981" s="63"/>
      <c r="M981" s="63"/>
      <c r="N981" s="63"/>
    </row>
    <row r="982" spans="1:14">
      <c r="A982" s="2"/>
      <c r="B982" s="63"/>
      <c r="C982" s="2"/>
      <c r="D982" s="2"/>
      <c r="E982" s="2"/>
      <c r="F982" s="2"/>
      <c r="G982" s="2"/>
      <c r="H982" s="2"/>
      <c r="I982" s="63"/>
      <c r="J982" s="63"/>
      <c r="K982" s="63"/>
      <c r="L982" s="63"/>
      <c r="M982" s="63"/>
      <c r="N982" s="63"/>
    </row>
    <row r="983" spans="1:14">
      <c r="A983" s="2"/>
      <c r="B983" s="63"/>
      <c r="C983" s="2"/>
      <c r="D983" s="2"/>
      <c r="E983" s="2"/>
      <c r="F983" s="2"/>
      <c r="G983" s="2"/>
      <c r="H983" s="2"/>
      <c r="I983" s="63"/>
      <c r="J983" s="63"/>
      <c r="K983" s="63"/>
      <c r="L983" s="63"/>
      <c r="M983" s="63"/>
      <c r="N983" s="63"/>
    </row>
    <row r="984" spans="1:14">
      <c r="A984" s="2"/>
      <c r="B984" s="63"/>
      <c r="C984" s="2"/>
      <c r="D984" s="2"/>
      <c r="E984" s="2"/>
      <c r="F984" s="2"/>
      <c r="G984" s="2"/>
      <c r="H984" s="2"/>
      <c r="I984" s="63"/>
      <c r="J984" s="63"/>
      <c r="K984" s="63"/>
      <c r="L984" s="63"/>
      <c r="M984" s="63"/>
      <c r="N984" s="63"/>
    </row>
    <row r="985" spans="1:14">
      <c r="A985" s="2"/>
      <c r="B985" s="63"/>
      <c r="C985" s="2"/>
      <c r="D985" s="2"/>
      <c r="E985" s="2"/>
      <c r="F985" s="2"/>
      <c r="G985" s="2"/>
      <c r="H985" s="2"/>
      <c r="I985" s="63"/>
      <c r="J985" s="63"/>
      <c r="K985" s="63"/>
      <c r="L985" s="63"/>
      <c r="M985" s="63"/>
      <c r="N985" s="63"/>
    </row>
    <row r="986" spans="1:14">
      <c r="A986" s="2"/>
      <c r="B986" s="63"/>
      <c r="C986" s="2"/>
      <c r="D986" s="2"/>
      <c r="E986" s="2"/>
      <c r="F986" s="2"/>
      <c r="G986" s="2"/>
      <c r="H986" s="2"/>
      <c r="I986" s="63"/>
      <c r="J986" s="63"/>
      <c r="K986" s="63"/>
      <c r="L986" s="63"/>
      <c r="M986" s="63"/>
      <c r="N986" s="63"/>
    </row>
    <row r="987" spans="1:14">
      <c r="A987" s="2"/>
      <c r="B987" s="63"/>
      <c r="C987" s="2"/>
      <c r="D987" s="2"/>
      <c r="E987" s="2"/>
      <c r="F987" s="2"/>
      <c r="G987" s="2"/>
      <c r="H987" s="2"/>
      <c r="I987" s="63"/>
      <c r="J987" s="63"/>
      <c r="K987" s="63"/>
      <c r="L987" s="63"/>
      <c r="M987" s="63"/>
      <c r="N987" s="63"/>
    </row>
    <row r="988" spans="1:14">
      <c r="A988" s="2"/>
      <c r="B988" s="63"/>
      <c r="C988" s="2"/>
      <c r="D988" s="2"/>
      <c r="E988" s="2"/>
      <c r="F988" s="2"/>
      <c r="G988" s="2"/>
      <c r="H988" s="2"/>
      <c r="I988" s="63"/>
      <c r="J988" s="63"/>
      <c r="K988" s="63"/>
      <c r="L988" s="63"/>
      <c r="M988" s="63"/>
      <c r="N988" s="63"/>
    </row>
    <row r="989" spans="1:14">
      <c r="A989" s="2"/>
      <c r="B989" s="63"/>
      <c r="C989" s="2"/>
      <c r="D989" s="2"/>
      <c r="E989" s="2"/>
      <c r="F989" s="2"/>
      <c r="G989" s="2"/>
      <c r="H989" s="2"/>
      <c r="I989" s="63"/>
      <c r="J989" s="63"/>
      <c r="K989" s="63"/>
      <c r="L989" s="63"/>
      <c r="M989" s="63"/>
      <c r="N989" s="63"/>
    </row>
    <row r="990" spans="1:14">
      <c r="A990" s="2"/>
      <c r="B990" s="63"/>
      <c r="C990" s="2"/>
      <c r="D990" s="2"/>
      <c r="E990" s="2"/>
      <c r="F990" s="2"/>
      <c r="G990" s="2"/>
      <c r="H990" s="2"/>
      <c r="I990" s="63"/>
      <c r="J990" s="63"/>
      <c r="K990" s="63"/>
      <c r="L990" s="63"/>
      <c r="M990" s="63"/>
      <c r="N990" s="63"/>
    </row>
    <row r="991" spans="1:14">
      <c r="A991" s="2"/>
      <c r="B991" s="63"/>
      <c r="C991" s="2"/>
      <c r="D991" s="2"/>
      <c r="E991" s="2"/>
      <c r="F991" s="2"/>
      <c r="G991" s="2"/>
      <c r="H991" s="2"/>
      <c r="I991" s="63"/>
      <c r="J991" s="63"/>
      <c r="K991" s="63"/>
      <c r="L991" s="63"/>
      <c r="M991" s="63"/>
      <c r="N991" s="63"/>
    </row>
    <row r="992" spans="1:14">
      <c r="A992" s="2"/>
      <c r="B992" s="63"/>
      <c r="C992" s="2"/>
      <c r="D992" s="2"/>
      <c r="E992" s="2"/>
      <c r="F992" s="2"/>
      <c r="G992" s="2"/>
      <c r="H992" s="2"/>
      <c r="I992" s="63"/>
      <c r="J992" s="63"/>
      <c r="K992" s="63"/>
      <c r="L992" s="63"/>
      <c r="M992" s="63"/>
      <c r="N992" s="63"/>
    </row>
    <row r="993" spans="1:14">
      <c r="A993" s="2"/>
      <c r="B993" s="63"/>
      <c r="C993" s="2"/>
      <c r="D993" s="2"/>
      <c r="E993" s="2"/>
      <c r="F993" s="2"/>
      <c r="G993" s="2"/>
      <c r="H993" s="2"/>
      <c r="I993" s="63"/>
      <c r="J993" s="63"/>
      <c r="K993" s="63"/>
      <c r="L993" s="63"/>
      <c r="M993" s="63"/>
      <c r="N993" s="63"/>
    </row>
    <row r="994" spans="1:14">
      <c r="A994" s="2"/>
      <c r="B994" s="63"/>
      <c r="C994" s="2"/>
      <c r="D994" s="2"/>
      <c r="E994" s="2"/>
      <c r="F994" s="2"/>
      <c r="G994" s="2"/>
      <c r="H994" s="2"/>
      <c r="I994" s="63"/>
      <c r="J994" s="63"/>
      <c r="K994" s="63"/>
      <c r="L994" s="63"/>
      <c r="M994" s="63"/>
      <c r="N994" s="63"/>
    </row>
    <row r="995" spans="1:14">
      <c r="A995" s="2"/>
      <c r="B995" s="63"/>
      <c r="C995" s="2"/>
      <c r="D995" s="2"/>
      <c r="E995" s="2"/>
      <c r="F995" s="2"/>
      <c r="G995" s="2"/>
      <c r="H995" s="2"/>
      <c r="I995" s="63"/>
      <c r="J995" s="63"/>
      <c r="K995" s="63"/>
      <c r="L995" s="63"/>
      <c r="M995" s="63"/>
      <c r="N995" s="63"/>
    </row>
    <row r="996" spans="1:14">
      <c r="A996" s="2"/>
      <c r="B996" s="63"/>
      <c r="C996" s="2"/>
      <c r="D996" s="2"/>
      <c r="E996" s="2"/>
      <c r="F996" s="2"/>
      <c r="G996" s="2"/>
      <c r="H996" s="2"/>
      <c r="I996" s="63"/>
      <c r="J996" s="63"/>
      <c r="K996" s="63"/>
      <c r="L996" s="63"/>
      <c r="M996" s="63"/>
      <c r="N996" s="63"/>
    </row>
    <row r="997" spans="1:14">
      <c r="A997" s="2"/>
      <c r="B997" s="63"/>
      <c r="C997" s="2"/>
      <c r="D997" s="2"/>
      <c r="E997" s="2"/>
      <c r="F997" s="2"/>
      <c r="G997" s="2"/>
      <c r="H997" s="2"/>
      <c r="I997" s="63"/>
      <c r="J997" s="63"/>
      <c r="K997" s="63"/>
      <c r="L997" s="63"/>
      <c r="M997" s="63"/>
      <c r="N997" s="63"/>
    </row>
    <row r="998" spans="1:14">
      <c r="A998" s="2"/>
      <c r="B998" s="63"/>
      <c r="C998" s="2"/>
      <c r="D998" s="2"/>
      <c r="E998" s="2"/>
      <c r="F998" s="2"/>
      <c r="G998" s="2"/>
      <c r="H998" s="2"/>
      <c r="I998" s="63"/>
      <c r="J998" s="63"/>
      <c r="K998" s="63"/>
      <c r="L998" s="63"/>
      <c r="M998" s="63"/>
      <c r="N998" s="63"/>
    </row>
    <row r="999" spans="1:14">
      <c r="A999" s="2"/>
      <c r="B999" s="63"/>
      <c r="C999" s="2"/>
      <c r="D999" s="2"/>
      <c r="E999" s="2"/>
      <c r="F999" s="2"/>
      <c r="G999" s="2"/>
      <c r="H999" s="2"/>
      <c r="I999" s="63"/>
      <c r="J999" s="63"/>
      <c r="K999" s="63"/>
      <c r="L999" s="63"/>
      <c r="M999" s="63"/>
      <c r="N999" s="63"/>
    </row>
    <row r="1000" spans="1:14">
      <c r="A1000" s="2"/>
      <c r="B1000" s="63"/>
      <c r="C1000" s="2"/>
      <c r="D1000" s="2"/>
      <c r="E1000" s="2"/>
      <c r="F1000" s="2"/>
      <c r="G1000" s="2"/>
      <c r="H1000" s="2"/>
      <c r="I1000" s="63"/>
      <c r="J1000" s="63"/>
      <c r="K1000" s="63"/>
      <c r="L1000" s="63"/>
      <c r="M1000" s="63"/>
      <c r="N1000" s="63"/>
    </row>
  </sheetData>
  <phoneticPr fontId="8" type="noConversion"/>
  <hyperlinks>
    <hyperlink ref="O888" r:id="rId1" location=":~:text=Mets%C3%A4teollisuuden%20hukkal%C3%A4mp%C3%B6hankkeen%20toteutus%20on%20k%C3%A4ytt%C3%B6%C3%B6nottovaiheessa%20ja%20kaukol%C3%A4mm%C3%B6n%20tuotanto,Kaukop%C3%A4%C3%A4n%20tehtaan%20j%C3%A4tevesien%20hukkal%C3%A4mm%C3%B6n%20talteenotosta%20sen%20hy%C3%B6dynt%C3%A4miseksi%20kaukol%C3%A4mp%C3%B6verkossa." display="https://www.imatra.fi/hukkalampohanke-loppusuoralla-kaukolammon-tuotanto-alkanut - :~:text=Mets%C3%A4teollisuuden%20hukkal%C3%A4mp%C3%B6hankkeen%20toteutus%20on%20k%C3%A4ytt%C3%B6%C3%B6nottovaiheessa%20ja%20kaukol%C3%A4mm%C3%B6n%20tuotanto,Kaukop%C3%A4%C3%A4n%20tehtaan%20j%C3%A4tevesien%20hukkal%C3%A4mm%C3%B6n%20talteenotosta%20sen%20hy%C3%B6dynt%C3%A4miseksi%20kaukol%C3%A4mp%C3%B6verkossa." xr:uid="{67EC4A0B-A539-4A28-8CCF-4571520EAF1C}"/>
    <hyperlink ref="O916" r:id="rId2" location=":~:text=Neven%20uusi%20l%C3%A4mp%C3%B6pumppulaitos%20lis%C3%A4%C3%A4%20energiatehokkuutta%20ja%20monipuolistaa%20rovaniemel%C3%A4isten,j%C3%A4tevedenpuhdistamon%20yhteyteen%20rakennettava%20l%C3%A4mp%C3%B6pumppulaitos%20otetaan%20k%C3%A4ytt%C3%B6%C3%B6n%20vuonna%202025." display="https://neve.fi/ajankohtaista/jateveden-lampo-hyotykiertoon-ja-kustannuksia-alas-neven-uudella-lampopumppulaitoksella-toteutus-alkaa-ensi-vuonna/ - :~:text=Neven%20uusi%20l%C3%A4mp%C3%B6pumppulaitos%20lis%C3%A4%C3%A4%20energiatehokkuutta%20ja%20monipuolistaa%20rovaniemel%C3%A4isten,j%C3%A4tevedenpuhdistamon%20yhteyteen%20rakennettava%20l%C3%A4mp%C3%B6pumppulaitos%20otetaan%20k%C3%A4ytt%C3%B6%C3%B6n%20vuonna%202025." xr:uid="{2AEA02DB-E42A-4CD6-B63B-FB899D9948E9}"/>
  </hyperlinks>
  <pageMargins left="0.7" right="0.7" top="0.75" bottom="0.75" header="0.3" footer="0.3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7442-2D99-4443-A1F3-A0ECA07300D6}">
  <sheetPr codeName="Sheet14"/>
  <dimension ref="A1:H100"/>
  <sheetViews>
    <sheetView workbookViewId="0">
      <selection activeCell="A97" sqref="A97"/>
    </sheetView>
  </sheetViews>
  <sheetFormatPr defaultRowHeight="15"/>
  <cols>
    <col min="1" max="1" width="44.28515625" customWidth="1"/>
    <col min="2" max="2" width="35.28515625" customWidth="1"/>
    <col min="3" max="4" width="45.140625" customWidth="1"/>
    <col min="5" max="5" width="27.5703125" customWidth="1"/>
    <col min="6" max="6" width="40" customWidth="1"/>
    <col min="7" max="7" width="48.7109375" customWidth="1"/>
    <col min="8" max="8" width="38.85546875" customWidth="1"/>
  </cols>
  <sheetData>
    <row r="1" spans="1:8">
      <c r="A1" s="37"/>
      <c r="B1" s="45" t="s">
        <v>1371</v>
      </c>
      <c r="C1" s="45" t="s">
        <v>1558</v>
      </c>
      <c r="D1" s="45" t="s">
        <v>1573</v>
      </c>
    </row>
    <row r="2" spans="1:8">
      <c r="A2" s="38" t="s">
        <v>1645</v>
      </c>
      <c r="B2" s="46">
        <f>SUMIF($A$81:$A$101,$A2,$B$81:$B$101)</f>
        <v>2530.1000000000004</v>
      </c>
      <c r="C2" s="46">
        <f>B2*2</f>
        <v>5060.2000000000007</v>
      </c>
      <c r="D2" s="46">
        <f>(C2+B2)/0.9</f>
        <v>8433.6666666666679</v>
      </c>
    </row>
    <row r="3" spans="1:8">
      <c r="A3" s="38" t="s">
        <v>1646</v>
      </c>
      <c r="B3" s="46">
        <f>SUMIF($A$81:$A$101,$A3,$B$81:$B$101)</f>
        <v>195</v>
      </c>
      <c r="C3" s="46">
        <f t="shared" ref="C3:C4" si="0">B3*2</f>
        <v>390</v>
      </c>
      <c r="D3" s="46">
        <f t="shared" ref="D3:D6" si="1">(C3+B3)/0.9</f>
        <v>650</v>
      </c>
    </row>
    <row r="4" spans="1:8">
      <c r="A4" s="38" t="s">
        <v>1647</v>
      </c>
      <c r="B4" s="46">
        <f t="shared" ref="B4" si="2">SUMIF($A$81:$A$101,$A4,$B$81:$B$101)</f>
        <v>401</v>
      </c>
      <c r="C4" s="46">
        <f t="shared" si="0"/>
        <v>802</v>
      </c>
      <c r="D4" s="46">
        <f t="shared" si="1"/>
        <v>1336.6666666666667</v>
      </c>
    </row>
    <row r="5" spans="1:8">
      <c r="A5" s="37"/>
      <c r="B5" s="37"/>
      <c r="C5" s="37"/>
      <c r="D5" s="37">
        <f t="shared" si="1"/>
        <v>0</v>
      </c>
    </row>
    <row r="6" spans="1:8">
      <c r="A6" s="37"/>
      <c r="B6" s="37"/>
      <c r="C6" s="37"/>
      <c r="D6" s="37">
        <f t="shared" si="1"/>
        <v>0</v>
      </c>
    </row>
    <row r="7" spans="1:8" s="10" customFormat="1">
      <c r="A7" s="10" t="s">
        <v>1557</v>
      </c>
    </row>
    <row r="8" spans="1:8" s="10" customFormat="1">
      <c r="A8" s="10" t="s">
        <v>1548</v>
      </c>
      <c r="B8" s="10" t="s">
        <v>1549</v>
      </c>
      <c r="C8" s="10" t="s">
        <v>1550</v>
      </c>
      <c r="D8" s="10" t="s">
        <v>1556</v>
      </c>
      <c r="E8" s="10" t="s">
        <v>1551</v>
      </c>
      <c r="F8" s="10" t="s">
        <v>1552</v>
      </c>
      <c r="G8" s="10" t="s">
        <v>1553</v>
      </c>
      <c r="H8" s="10" t="s">
        <v>1554</v>
      </c>
    </row>
    <row r="9" spans="1:8">
      <c r="A9" t="s">
        <v>1525</v>
      </c>
      <c r="B9" t="s">
        <v>1526</v>
      </c>
      <c r="C9" t="s">
        <v>1525</v>
      </c>
      <c r="D9" t="s">
        <v>1381</v>
      </c>
      <c r="E9">
        <v>0.8</v>
      </c>
      <c r="F9" t="s">
        <v>1517</v>
      </c>
      <c r="G9" t="s">
        <v>1517</v>
      </c>
    </row>
    <row r="10" spans="1:8">
      <c r="A10" t="s">
        <v>1534</v>
      </c>
      <c r="B10" t="s">
        <v>1535</v>
      </c>
      <c r="C10" t="s">
        <v>1536</v>
      </c>
      <c r="D10" t="s">
        <v>1381</v>
      </c>
      <c r="E10">
        <v>1.4</v>
      </c>
      <c r="F10" t="s">
        <v>1517</v>
      </c>
    </row>
    <row r="11" spans="1:8">
      <c r="A11" t="s">
        <v>1539</v>
      </c>
      <c r="B11" t="s">
        <v>1540</v>
      </c>
      <c r="C11" t="s">
        <v>1541</v>
      </c>
      <c r="D11" t="s">
        <v>1381</v>
      </c>
      <c r="E11">
        <v>2.7</v>
      </c>
      <c r="F11" t="s">
        <v>1517</v>
      </c>
      <c r="G11" t="s">
        <v>1387</v>
      </c>
    </row>
    <row r="12" spans="1:8">
      <c r="A12" t="s">
        <v>1523</v>
      </c>
      <c r="B12" t="s">
        <v>1513</v>
      </c>
      <c r="C12" t="s">
        <v>1524</v>
      </c>
      <c r="D12" t="s">
        <v>1381</v>
      </c>
      <c r="E12">
        <v>1</v>
      </c>
      <c r="F12" t="s">
        <v>1415</v>
      </c>
    </row>
    <row r="13" spans="1:8">
      <c r="A13" t="s">
        <v>1406</v>
      </c>
      <c r="B13" t="s">
        <v>1404</v>
      </c>
      <c r="C13" t="s">
        <v>1405</v>
      </c>
      <c r="D13" t="s">
        <v>1381</v>
      </c>
      <c r="E13">
        <v>1.5</v>
      </c>
      <c r="F13" t="s">
        <v>1398</v>
      </c>
    </row>
    <row r="14" spans="1:8">
      <c r="A14" t="s">
        <v>1136</v>
      </c>
      <c r="B14" t="s">
        <v>1135</v>
      </c>
      <c r="C14" t="s">
        <v>1414</v>
      </c>
      <c r="D14" t="s">
        <v>1381</v>
      </c>
      <c r="E14">
        <v>45</v>
      </c>
      <c r="F14" t="s">
        <v>1398</v>
      </c>
      <c r="G14" t="s">
        <v>1387</v>
      </c>
    </row>
    <row r="15" spans="1:8">
      <c r="A15" t="s">
        <v>1421</v>
      </c>
      <c r="B15" t="s">
        <v>1422</v>
      </c>
      <c r="C15" t="s">
        <v>1423</v>
      </c>
      <c r="D15" t="s">
        <v>1381</v>
      </c>
      <c r="E15">
        <v>6</v>
      </c>
      <c r="F15" t="s">
        <v>1398</v>
      </c>
    </row>
    <row r="16" spans="1:8">
      <c r="A16" t="s">
        <v>1457</v>
      </c>
      <c r="B16" t="s">
        <v>1458</v>
      </c>
      <c r="C16" t="s">
        <v>1459</v>
      </c>
      <c r="D16" t="s">
        <v>1381</v>
      </c>
      <c r="E16">
        <v>128</v>
      </c>
      <c r="F16" t="s">
        <v>1398</v>
      </c>
      <c r="G16" t="s">
        <v>1387</v>
      </c>
    </row>
    <row r="17" spans="1:8">
      <c r="A17" t="s">
        <v>1480</v>
      </c>
      <c r="B17" t="s">
        <v>1481</v>
      </c>
      <c r="C17" t="s">
        <v>1482</v>
      </c>
      <c r="D17" t="s">
        <v>1381</v>
      </c>
      <c r="E17">
        <v>72</v>
      </c>
      <c r="F17" t="s">
        <v>1398</v>
      </c>
      <c r="G17" t="s">
        <v>1387</v>
      </c>
    </row>
    <row r="18" spans="1:8">
      <c r="A18" t="s">
        <v>1491</v>
      </c>
      <c r="B18" t="s">
        <v>1455</v>
      </c>
      <c r="C18" t="s">
        <v>1491</v>
      </c>
      <c r="D18" t="s">
        <v>1381</v>
      </c>
      <c r="E18">
        <v>48</v>
      </c>
      <c r="F18" t="s">
        <v>1398</v>
      </c>
      <c r="G18" t="s">
        <v>1387</v>
      </c>
    </row>
    <row r="19" spans="1:8">
      <c r="A19" t="s">
        <v>1492</v>
      </c>
      <c r="B19" t="s">
        <v>1455</v>
      </c>
      <c r="C19" t="s">
        <v>1492</v>
      </c>
      <c r="D19" t="s">
        <v>1381</v>
      </c>
      <c r="E19">
        <v>72.599999999999994</v>
      </c>
      <c r="F19" t="s">
        <v>1398</v>
      </c>
      <c r="G19" t="s">
        <v>1387</v>
      </c>
    </row>
    <row r="20" spans="1:8">
      <c r="A20" t="s">
        <v>1515</v>
      </c>
      <c r="B20" t="s">
        <v>1512</v>
      </c>
      <c r="C20" t="s">
        <v>1516</v>
      </c>
      <c r="D20" t="s">
        <v>1381</v>
      </c>
      <c r="E20">
        <v>16.5</v>
      </c>
      <c r="F20" t="s">
        <v>1398</v>
      </c>
      <c r="G20" t="s">
        <v>1399</v>
      </c>
    </row>
    <row r="21" spans="1:8">
      <c r="A21" t="s">
        <v>1518</v>
      </c>
      <c r="B21" t="s">
        <v>1519</v>
      </c>
      <c r="C21" t="s">
        <v>1236</v>
      </c>
      <c r="D21" t="s">
        <v>1381</v>
      </c>
      <c r="E21">
        <v>11.4</v>
      </c>
      <c r="F21" t="s">
        <v>1398</v>
      </c>
      <c r="G21" t="s">
        <v>1399</v>
      </c>
    </row>
    <row r="22" spans="1:8">
      <c r="A22" t="s">
        <v>1493</v>
      </c>
      <c r="B22" t="s">
        <v>1494</v>
      </c>
      <c r="C22" t="s">
        <v>1493</v>
      </c>
      <c r="D22" t="s">
        <v>1381</v>
      </c>
      <c r="E22">
        <v>94</v>
      </c>
      <c r="F22" t="s">
        <v>1495</v>
      </c>
      <c r="G22" t="s">
        <v>1496</v>
      </c>
      <c r="H22" t="s">
        <v>1398</v>
      </c>
    </row>
    <row r="23" spans="1:8">
      <c r="A23" t="s">
        <v>1418</v>
      </c>
      <c r="B23" t="s">
        <v>1419</v>
      </c>
      <c r="C23" t="s">
        <v>1420</v>
      </c>
      <c r="D23" t="s">
        <v>1381</v>
      </c>
      <c r="E23">
        <v>20</v>
      </c>
      <c r="F23" t="s">
        <v>1400</v>
      </c>
      <c r="G23" t="s">
        <v>1398</v>
      </c>
    </row>
    <row r="24" spans="1:8">
      <c r="A24" t="s">
        <v>1521</v>
      </c>
      <c r="B24" t="s">
        <v>1520</v>
      </c>
      <c r="C24" t="s">
        <v>1522</v>
      </c>
      <c r="D24" t="s">
        <v>1381</v>
      </c>
      <c r="E24">
        <v>25</v>
      </c>
      <c r="F24" t="s">
        <v>1400</v>
      </c>
      <c r="G24" t="s">
        <v>1383</v>
      </c>
      <c r="H24" t="s">
        <v>1398</v>
      </c>
    </row>
    <row r="25" spans="1:8">
      <c r="A25" t="s">
        <v>1425</v>
      </c>
      <c r="B25" t="s">
        <v>1428</v>
      </c>
      <c r="C25" t="s">
        <v>1425</v>
      </c>
      <c r="D25" t="s">
        <v>1381</v>
      </c>
      <c r="E25">
        <v>3.9</v>
      </c>
      <c r="F25" t="s">
        <v>1429</v>
      </c>
    </row>
    <row r="26" spans="1:8">
      <c r="A26" t="s">
        <v>1425</v>
      </c>
      <c r="B26" t="s">
        <v>1426</v>
      </c>
      <c r="C26" t="s">
        <v>1427</v>
      </c>
      <c r="D26" t="s">
        <v>1381</v>
      </c>
      <c r="E26">
        <v>85</v>
      </c>
      <c r="F26" t="s">
        <v>1413</v>
      </c>
      <c r="G26" t="s">
        <v>1398</v>
      </c>
    </row>
    <row r="27" spans="1:8">
      <c r="A27" t="s">
        <v>1440</v>
      </c>
      <c r="B27" t="s">
        <v>1426</v>
      </c>
      <c r="C27" t="s">
        <v>1441</v>
      </c>
      <c r="D27" t="s">
        <v>1381</v>
      </c>
      <c r="E27">
        <v>0</v>
      </c>
      <c r="F27" t="s">
        <v>1413</v>
      </c>
      <c r="G27" t="s">
        <v>1399</v>
      </c>
      <c r="H27" t="s">
        <v>1383</v>
      </c>
    </row>
    <row r="28" spans="1:8">
      <c r="A28" t="s">
        <v>1442</v>
      </c>
      <c r="B28" t="s">
        <v>1443</v>
      </c>
      <c r="C28" t="s">
        <v>1444</v>
      </c>
      <c r="D28" t="s">
        <v>1381</v>
      </c>
      <c r="E28">
        <v>67.3</v>
      </c>
      <c r="F28" t="s">
        <v>1413</v>
      </c>
      <c r="G28" t="s">
        <v>1398</v>
      </c>
    </row>
    <row r="29" spans="1:8">
      <c r="A29" t="s">
        <v>1445</v>
      </c>
      <c r="B29" t="s">
        <v>1446</v>
      </c>
      <c r="C29" t="s">
        <v>1445</v>
      </c>
      <c r="D29" t="s">
        <v>1381</v>
      </c>
      <c r="E29">
        <v>134</v>
      </c>
      <c r="F29" t="s">
        <v>1413</v>
      </c>
      <c r="G29" t="s">
        <v>1383</v>
      </c>
      <c r="H29" t="s">
        <v>1398</v>
      </c>
    </row>
    <row r="30" spans="1:8">
      <c r="A30" t="s">
        <v>1451</v>
      </c>
      <c r="B30" t="s">
        <v>1426</v>
      </c>
      <c r="C30" t="s">
        <v>1452</v>
      </c>
      <c r="D30" t="s">
        <v>1381</v>
      </c>
      <c r="E30">
        <v>0</v>
      </c>
      <c r="F30" t="s">
        <v>1413</v>
      </c>
      <c r="G30" t="s">
        <v>1383</v>
      </c>
      <c r="H30" t="s">
        <v>1387</v>
      </c>
    </row>
    <row r="31" spans="1:8">
      <c r="A31" t="s">
        <v>1453</v>
      </c>
      <c r="B31" t="s">
        <v>1426</v>
      </c>
      <c r="C31" t="s">
        <v>1451</v>
      </c>
      <c r="D31" t="s">
        <v>1381</v>
      </c>
      <c r="E31">
        <v>228</v>
      </c>
      <c r="F31" t="s">
        <v>1413</v>
      </c>
    </row>
    <row r="32" spans="1:8">
      <c r="A32" t="s">
        <v>1416</v>
      </c>
      <c r="B32" t="s">
        <v>1463</v>
      </c>
      <c r="C32" t="s">
        <v>1416</v>
      </c>
      <c r="D32" t="s">
        <v>1381</v>
      </c>
      <c r="E32">
        <v>72</v>
      </c>
      <c r="F32" t="s">
        <v>1413</v>
      </c>
      <c r="G32" t="s">
        <v>1398</v>
      </c>
    </row>
    <row r="33" spans="1:8">
      <c r="A33" t="s">
        <v>1470</v>
      </c>
      <c r="B33" t="s">
        <v>1471</v>
      </c>
      <c r="C33" t="s">
        <v>1472</v>
      </c>
      <c r="D33" t="s">
        <v>1381</v>
      </c>
      <c r="E33">
        <v>20.5</v>
      </c>
      <c r="F33" t="s">
        <v>1413</v>
      </c>
      <c r="G33" t="s">
        <v>1382</v>
      </c>
      <c r="H33" t="s">
        <v>1383</v>
      </c>
    </row>
    <row r="34" spans="1:8">
      <c r="A34" t="s">
        <v>1474</v>
      </c>
      <c r="B34" t="s">
        <v>1443</v>
      </c>
      <c r="C34" t="s">
        <v>1475</v>
      </c>
      <c r="D34" t="s">
        <v>1381</v>
      </c>
      <c r="E34">
        <v>87</v>
      </c>
      <c r="F34" t="s">
        <v>1413</v>
      </c>
      <c r="G34" t="s">
        <v>1398</v>
      </c>
      <c r="H34" t="s">
        <v>1387</v>
      </c>
    </row>
    <row r="35" spans="1:8">
      <c r="A35" t="s">
        <v>1395</v>
      </c>
      <c r="B35" t="s">
        <v>1483</v>
      </c>
      <c r="C35" t="s">
        <v>1395</v>
      </c>
      <c r="D35" t="s">
        <v>1381</v>
      </c>
      <c r="E35">
        <v>105</v>
      </c>
      <c r="F35" t="s">
        <v>1413</v>
      </c>
      <c r="G35" t="s">
        <v>1383</v>
      </c>
      <c r="H35" t="s">
        <v>1382</v>
      </c>
    </row>
    <row r="36" spans="1:8">
      <c r="A36" t="s">
        <v>1484</v>
      </c>
      <c r="B36" t="s">
        <v>1443</v>
      </c>
      <c r="C36" t="s">
        <v>1485</v>
      </c>
      <c r="D36" t="s">
        <v>1381</v>
      </c>
      <c r="E36">
        <v>95</v>
      </c>
      <c r="F36" t="s">
        <v>1413</v>
      </c>
      <c r="G36" t="s">
        <v>1399</v>
      </c>
      <c r="H36" t="s">
        <v>1486</v>
      </c>
    </row>
    <row r="37" spans="1:8">
      <c r="A37" t="s">
        <v>1499</v>
      </c>
      <c r="B37" t="s">
        <v>1426</v>
      </c>
      <c r="C37" t="s">
        <v>1500</v>
      </c>
      <c r="D37" t="s">
        <v>1381</v>
      </c>
      <c r="E37">
        <v>75</v>
      </c>
      <c r="F37" t="s">
        <v>1413</v>
      </c>
      <c r="G37" t="s">
        <v>1399</v>
      </c>
    </row>
    <row r="38" spans="1:8">
      <c r="A38" t="s">
        <v>1528</v>
      </c>
      <c r="B38" t="s">
        <v>1529</v>
      </c>
      <c r="C38" t="s">
        <v>1530</v>
      </c>
      <c r="D38" t="s">
        <v>1381</v>
      </c>
      <c r="E38">
        <v>105</v>
      </c>
      <c r="F38" t="s">
        <v>1413</v>
      </c>
      <c r="G38" t="s">
        <v>1383</v>
      </c>
      <c r="H38" t="s">
        <v>1387</v>
      </c>
    </row>
    <row r="39" spans="1:8">
      <c r="A39" t="s">
        <v>1533</v>
      </c>
      <c r="B39" t="s">
        <v>1446</v>
      </c>
      <c r="C39" t="s">
        <v>1504</v>
      </c>
      <c r="D39" t="s">
        <v>1381</v>
      </c>
      <c r="E39">
        <v>51.8</v>
      </c>
      <c r="F39" t="s">
        <v>1413</v>
      </c>
      <c r="G39" t="s">
        <v>1400</v>
      </c>
      <c r="H39" t="s">
        <v>1438</v>
      </c>
    </row>
    <row r="40" spans="1:8">
      <c r="A40" t="s">
        <v>1537</v>
      </c>
      <c r="B40" t="s">
        <v>1538</v>
      </c>
      <c r="C40" t="s">
        <v>1537</v>
      </c>
      <c r="D40" t="s">
        <v>1381</v>
      </c>
      <c r="E40">
        <v>25</v>
      </c>
      <c r="F40" t="s">
        <v>1413</v>
      </c>
      <c r="G40" t="s">
        <v>1383</v>
      </c>
      <c r="H40" t="s">
        <v>1382</v>
      </c>
    </row>
    <row r="41" spans="1:8">
      <c r="A41" t="s">
        <v>1546</v>
      </c>
      <c r="B41" t="s">
        <v>1547</v>
      </c>
      <c r="C41" t="s">
        <v>1546</v>
      </c>
      <c r="D41" t="s">
        <v>1381</v>
      </c>
      <c r="E41">
        <v>280</v>
      </c>
      <c r="F41" t="s">
        <v>1413</v>
      </c>
    </row>
    <row r="42" spans="1:8">
      <c r="A42" t="s">
        <v>1454</v>
      </c>
      <c r="B42" t="s">
        <v>1455</v>
      </c>
      <c r="C42" t="s">
        <v>1456</v>
      </c>
      <c r="D42" t="s">
        <v>1381</v>
      </c>
      <c r="E42">
        <v>41</v>
      </c>
      <c r="F42" t="s">
        <v>1399</v>
      </c>
      <c r="G42" t="s">
        <v>1399</v>
      </c>
      <c r="H42" t="s">
        <v>1398</v>
      </c>
    </row>
    <row r="43" spans="1:8">
      <c r="A43" t="s">
        <v>1497</v>
      </c>
      <c r="B43" t="s">
        <v>1498</v>
      </c>
      <c r="C43" t="s">
        <v>1497</v>
      </c>
      <c r="D43" t="s">
        <v>1381</v>
      </c>
      <c r="E43">
        <v>0</v>
      </c>
      <c r="F43" t="s">
        <v>1399</v>
      </c>
    </row>
    <row r="44" spans="1:8">
      <c r="A44" t="s">
        <v>1514</v>
      </c>
      <c r="B44" t="s">
        <v>1507</v>
      </c>
      <c r="C44" t="s">
        <v>1514</v>
      </c>
      <c r="D44" t="s">
        <v>1381</v>
      </c>
      <c r="E44">
        <v>8.8000000000000007</v>
      </c>
      <c r="F44" t="s">
        <v>1399</v>
      </c>
    </row>
    <row r="45" spans="1:8">
      <c r="A45" t="s">
        <v>1394</v>
      </c>
      <c r="B45" t="s">
        <v>104</v>
      </c>
      <c r="C45" t="s">
        <v>1396</v>
      </c>
      <c r="D45" t="s">
        <v>1381</v>
      </c>
      <c r="E45">
        <v>10</v>
      </c>
      <c r="F45" t="s">
        <v>1393</v>
      </c>
      <c r="G45" t="s">
        <v>1387</v>
      </c>
      <c r="H45" t="s">
        <v>1397</v>
      </c>
    </row>
    <row r="46" spans="1:8">
      <c r="A46" t="s">
        <v>376</v>
      </c>
      <c r="B46" t="s">
        <v>1436</v>
      </c>
      <c r="C46" t="s">
        <v>1437</v>
      </c>
      <c r="D46" t="s">
        <v>1381</v>
      </c>
      <c r="E46">
        <v>25</v>
      </c>
      <c r="F46" t="s">
        <v>1393</v>
      </c>
      <c r="G46" t="s">
        <v>1438</v>
      </c>
      <c r="H46" t="s">
        <v>1383</v>
      </c>
    </row>
    <row r="47" spans="1:8">
      <c r="A47" t="s">
        <v>1385</v>
      </c>
      <c r="B47" t="s">
        <v>1386</v>
      </c>
      <c r="C47" t="s">
        <v>1095</v>
      </c>
      <c r="D47" t="s">
        <v>1381</v>
      </c>
      <c r="E47">
        <v>30</v>
      </c>
      <c r="F47" t="s">
        <v>1383</v>
      </c>
      <c r="H47" t="s">
        <v>1387</v>
      </c>
    </row>
    <row r="48" spans="1:8">
      <c r="A48" t="s">
        <v>1390</v>
      </c>
      <c r="B48" t="s">
        <v>1391</v>
      </c>
      <c r="C48" t="s">
        <v>1392</v>
      </c>
      <c r="D48" t="s">
        <v>1381</v>
      </c>
      <c r="E48">
        <v>160.5</v>
      </c>
      <c r="F48" t="s">
        <v>1383</v>
      </c>
      <c r="G48" t="s">
        <v>1393</v>
      </c>
    </row>
    <row r="49" spans="1:8">
      <c r="A49" t="s">
        <v>1407</v>
      </c>
      <c r="B49" t="s">
        <v>1408</v>
      </c>
      <c r="C49" t="s">
        <v>1409</v>
      </c>
      <c r="D49" t="s">
        <v>1381</v>
      </c>
      <c r="E49">
        <v>0</v>
      </c>
      <c r="F49" t="s">
        <v>1383</v>
      </c>
      <c r="G49" t="s">
        <v>1387</v>
      </c>
      <c r="H49" t="s">
        <v>1397</v>
      </c>
    </row>
    <row r="50" spans="1:8">
      <c r="A50" t="s">
        <v>1433</v>
      </c>
      <c r="B50" t="s">
        <v>1434</v>
      </c>
      <c r="C50" t="s">
        <v>1435</v>
      </c>
      <c r="D50" t="s">
        <v>1381</v>
      </c>
      <c r="E50">
        <v>1.6</v>
      </c>
      <c r="F50" t="s">
        <v>1383</v>
      </c>
      <c r="G50" t="s">
        <v>1400</v>
      </c>
      <c r="H50" t="s">
        <v>1387</v>
      </c>
    </row>
    <row r="51" spans="1:8">
      <c r="A51" t="s">
        <v>1464</v>
      </c>
      <c r="B51" t="s">
        <v>1465</v>
      </c>
      <c r="C51" t="s">
        <v>1466</v>
      </c>
      <c r="D51" t="s">
        <v>1381</v>
      </c>
      <c r="E51">
        <v>4</v>
      </c>
      <c r="F51" t="s">
        <v>1383</v>
      </c>
      <c r="G51" t="s">
        <v>1383</v>
      </c>
      <c r="H51" t="s">
        <v>1382</v>
      </c>
    </row>
    <row r="52" spans="1:8">
      <c r="A52" t="s">
        <v>1467</v>
      </c>
      <c r="B52" t="s">
        <v>1468</v>
      </c>
      <c r="C52" t="s">
        <v>1469</v>
      </c>
      <c r="D52" t="s">
        <v>1381</v>
      </c>
      <c r="E52">
        <v>2.5</v>
      </c>
      <c r="F52" t="s">
        <v>1383</v>
      </c>
    </row>
    <row r="53" spans="1:8">
      <c r="A53" t="s">
        <v>1473</v>
      </c>
      <c r="B53" t="s">
        <v>1142</v>
      </c>
      <c r="C53" t="s">
        <v>1439</v>
      </c>
      <c r="D53" t="s">
        <v>1381</v>
      </c>
      <c r="E53">
        <v>76</v>
      </c>
      <c r="F53" t="s">
        <v>1383</v>
      </c>
      <c r="G53" t="s">
        <v>1398</v>
      </c>
      <c r="H53" t="s">
        <v>1387</v>
      </c>
    </row>
    <row r="54" spans="1:8">
      <c r="A54" t="s">
        <v>1487</v>
      </c>
      <c r="B54" t="s">
        <v>1379</v>
      </c>
      <c r="C54" t="s">
        <v>1488</v>
      </c>
      <c r="D54" t="s">
        <v>1381</v>
      </c>
      <c r="E54">
        <v>0</v>
      </c>
      <c r="F54" t="s">
        <v>1383</v>
      </c>
      <c r="G54" t="s">
        <v>1399</v>
      </c>
    </row>
    <row r="55" spans="1:8">
      <c r="A55" t="s">
        <v>1499</v>
      </c>
      <c r="B55" t="s">
        <v>1204</v>
      </c>
      <c r="C55" t="s">
        <v>1499</v>
      </c>
      <c r="D55" t="s">
        <v>1381</v>
      </c>
      <c r="E55">
        <v>71.5</v>
      </c>
      <c r="F55" t="s">
        <v>1383</v>
      </c>
      <c r="G55" t="s">
        <v>1400</v>
      </c>
      <c r="H55" t="s">
        <v>1393</v>
      </c>
    </row>
    <row r="56" spans="1:8">
      <c r="A56" t="s">
        <v>1501</v>
      </c>
      <c r="B56" t="s">
        <v>1502</v>
      </c>
      <c r="C56" t="s">
        <v>1503</v>
      </c>
      <c r="D56" t="s">
        <v>1381</v>
      </c>
      <c r="E56">
        <v>1.3</v>
      </c>
      <c r="F56" t="s">
        <v>1383</v>
      </c>
      <c r="G56" t="s">
        <v>1383</v>
      </c>
    </row>
    <row r="57" spans="1:8">
      <c r="A57" t="s">
        <v>1505</v>
      </c>
      <c r="B57" t="s">
        <v>1506</v>
      </c>
      <c r="C57" t="s">
        <v>1505</v>
      </c>
      <c r="D57" t="s">
        <v>1381</v>
      </c>
      <c r="E57">
        <v>8.5</v>
      </c>
      <c r="F57" t="s">
        <v>1383</v>
      </c>
      <c r="G57" t="s">
        <v>1399</v>
      </c>
    </row>
    <row r="58" spans="1:8">
      <c r="A58" t="s">
        <v>1511</v>
      </c>
      <c r="B58" t="s">
        <v>1512</v>
      </c>
      <c r="C58" t="s">
        <v>1511</v>
      </c>
      <c r="D58" t="s">
        <v>1381</v>
      </c>
      <c r="E58">
        <v>19.600000000000001</v>
      </c>
      <c r="F58" t="s">
        <v>1383</v>
      </c>
      <c r="G58" t="s">
        <v>1399</v>
      </c>
    </row>
    <row r="59" spans="1:8">
      <c r="A59" t="s">
        <v>1542</v>
      </c>
      <c r="B59" t="s">
        <v>1502</v>
      </c>
      <c r="C59" t="s">
        <v>1543</v>
      </c>
      <c r="D59" t="s">
        <v>1381</v>
      </c>
      <c r="E59">
        <v>2.9</v>
      </c>
      <c r="F59" t="s">
        <v>1383</v>
      </c>
      <c r="G59" t="s">
        <v>1383</v>
      </c>
    </row>
    <row r="60" spans="1:8">
      <c r="A60" t="s">
        <v>1544</v>
      </c>
      <c r="B60" t="s">
        <v>1545</v>
      </c>
      <c r="C60" t="s">
        <v>1545</v>
      </c>
      <c r="D60" t="s">
        <v>1381</v>
      </c>
      <c r="E60">
        <v>35</v>
      </c>
      <c r="F60" t="s">
        <v>1383</v>
      </c>
      <c r="G60" t="s">
        <v>1400</v>
      </c>
      <c r="H60" t="s">
        <v>1382</v>
      </c>
    </row>
    <row r="61" spans="1:8">
      <c r="A61" t="s">
        <v>1508</v>
      </c>
      <c r="B61" t="s">
        <v>1509</v>
      </c>
      <c r="C61" t="s">
        <v>284</v>
      </c>
      <c r="D61" t="s">
        <v>1381</v>
      </c>
      <c r="E61">
        <v>25.1</v>
      </c>
      <c r="F61" t="s">
        <v>1510</v>
      </c>
      <c r="G61" t="s">
        <v>1399</v>
      </c>
    </row>
    <row r="62" spans="1:8">
      <c r="A62" t="s">
        <v>1531</v>
      </c>
      <c r="B62" t="s">
        <v>1509</v>
      </c>
      <c r="C62" t="s">
        <v>1532</v>
      </c>
      <c r="D62" t="s">
        <v>1381</v>
      </c>
      <c r="E62">
        <v>14.2</v>
      </c>
      <c r="F62" t="s">
        <v>1510</v>
      </c>
      <c r="G62" t="s">
        <v>1399</v>
      </c>
    </row>
    <row r="63" spans="1:8">
      <c r="A63" t="s">
        <v>1378</v>
      </c>
      <c r="B63" t="s">
        <v>1379</v>
      </c>
      <c r="C63" t="s">
        <v>1380</v>
      </c>
      <c r="D63" t="s">
        <v>1381</v>
      </c>
      <c r="E63">
        <v>14</v>
      </c>
      <c r="F63" t="s">
        <v>1382</v>
      </c>
      <c r="G63" t="s">
        <v>1383</v>
      </c>
      <c r="H63" t="s">
        <v>1383</v>
      </c>
    </row>
    <row r="64" spans="1:8">
      <c r="A64" t="s">
        <v>1388</v>
      </c>
      <c r="B64" t="s">
        <v>1386</v>
      </c>
      <c r="C64" t="s">
        <v>1096</v>
      </c>
      <c r="D64" t="s">
        <v>1381</v>
      </c>
      <c r="E64">
        <v>240</v>
      </c>
      <c r="F64" t="s">
        <v>1382</v>
      </c>
      <c r="G64" t="s">
        <v>1389</v>
      </c>
      <c r="H64" t="s">
        <v>1383</v>
      </c>
    </row>
    <row r="65" spans="1:8">
      <c r="A65" t="s">
        <v>1401</v>
      </c>
      <c r="B65" t="s">
        <v>1402</v>
      </c>
      <c r="C65" t="s">
        <v>1403</v>
      </c>
      <c r="D65" t="s">
        <v>1381</v>
      </c>
      <c r="E65">
        <v>2.7</v>
      </c>
      <c r="F65" t="s">
        <v>1382</v>
      </c>
      <c r="G65" t="s">
        <v>1400</v>
      </c>
      <c r="H65" t="s">
        <v>1387</v>
      </c>
    </row>
    <row r="66" spans="1:8">
      <c r="A66" t="s">
        <v>1410</v>
      </c>
      <c r="B66" t="s">
        <v>1411</v>
      </c>
      <c r="C66" t="s">
        <v>1412</v>
      </c>
      <c r="D66" t="s">
        <v>1381</v>
      </c>
      <c r="E66">
        <v>19</v>
      </c>
      <c r="F66" t="s">
        <v>1382</v>
      </c>
      <c r="G66" t="s">
        <v>1383</v>
      </c>
      <c r="H66" t="s">
        <v>1413</v>
      </c>
    </row>
    <row r="67" spans="1:8">
      <c r="A67" t="s">
        <v>1181</v>
      </c>
      <c r="B67" t="s">
        <v>1402</v>
      </c>
      <c r="C67" t="s">
        <v>1424</v>
      </c>
      <c r="D67" t="s">
        <v>1381</v>
      </c>
      <c r="E67">
        <v>2.8</v>
      </c>
      <c r="F67" t="s">
        <v>1382</v>
      </c>
      <c r="G67" t="s">
        <v>1387</v>
      </c>
      <c r="H67" t="s">
        <v>1400</v>
      </c>
    </row>
    <row r="68" spans="1:8">
      <c r="A68" t="s">
        <v>1447</v>
      </c>
      <c r="B68" t="s">
        <v>1408</v>
      </c>
      <c r="C68" t="s">
        <v>1448</v>
      </c>
      <c r="D68" t="s">
        <v>1381</v>
      </c>
      <c r="E68">
        <v>19</v>
      </c>
      <c r="F68" t="s">
        <v>1382</v>
      </c>
    </row>
    <row r="69" spans="1:8">
      <c r="A69" t="s">
        <v>1449</v>
      </c>
      <c r="B69" t="s">
        <v>1450</v>
      </c>
      <c r="C69" t="s">
        <v>1449</v>
      </c>
      <c r="D69" t="s">
        <v>1381</v>
      </c>
      <c r="E69">
        <v>79.2</v>
      </c>
      <c r="F69" t="s">
        <v>1382</v>
      </c>
      <c r="G69" t="s">
        <v>1383</v>
      </c>
      <c r="H69" t="s">
        <v>1400</v>
      </c>
    </row>
    <row r="70" spans="1:8">
      <c r="A70" t="s">
        <v>729</v>
      </c>
      <c r="B70" t="s">
        <v>1402</v>
      </c>
      <c r="C70" t="s">
        <v>1403</v>
      </c>
      <c r="D70" t="s">
        <v>1381</v>
      </c>
      <c r="E70">
        <v>13.5</v>
      </c>
      <c r="F70" t="s">
        <v>1382</v>
      </c>
      <c r="G70" t="s">
        <v>1387</v>
      </c>
      <c r="H70" t="s">
        <v>1400</v>
      </c>
    </row>
    <row r="71" spans="1:8">
      <c r="A71" t="s">
        <v>1460</v>
      </c>
      <c r="B71" t="s">
        <v>1461</v>
      </c>
      <c r="C71" t="s">
        <v>1462</v>
      </c>
      <c r="D71" t="s">
        <v>1381</v>
      </c>
      <c r="E71">
        <v>27</v>
      </c>
      <c r="F71" t="s">
        <v>1382</v>
      </c>
      <c r="G71" t="s">
        <v>1400</v>
      </c>
      <c r="H71" t="s">
        <v>1383</v>
      </c>
    </row>
    <row r="72" spans="1:8">
      <c r="A72" t="s">
        <v>1476</v>
      </c>
      <c r="B72" t="s">
        <v>1402</v>
      </c>
      <c r="C72" t="s">
        <v>1477</v>
      </c>
      <c r="D72" t="s">
        <v>1381</v>
      </c>
      <c r="E72">
        <v>7</v>
      </c>
      <c r="F72" t="s">
        <v>1382</v>
      </c>
      <c r="G72" t="s">
        <v>1387</v>
      </c>
      <c r="H72" t="s">
        <v>1383</v>
      </c>
    </row>
    <row r="73" spans="1:8">
      <c r="A73" t="s">
        <v>1478</v>
      </c>
      <c r="B73" t="s">
        <v>1178</v>
      </c>
      <c r="C73" t="s">
        <v>1479</v>
      </c>
      <c r="D73" t="s">
        <v>1381</v>
      </c>
      <c r="E73">
        <v>12</v>
      </c>
      <c r="F73" t="s">
        <v>1382</v>
      </c>
      <c r="G73" t="s">
        <v>1400</v>
      </c>
      <c r="H73" t="s">
        <v>1387</v>
      </c>
    </row>
    <row r="74" spans="1:8">
      <c r="A74" t="s">
        <v>767</v>
      </c>
      <c r="B74" t="s">
        <v>1402</v>
      </c>
      <c r="C74" t="s">
        <v>767</v>
      </c>
      <c r="D74" t="s">
        <v>1381</v>
      </c>
      <c r="E74">
        <v>1.3</v>
      </c>
      <c r="F74" t="s">
        <v>1382</v>
      </c>
      <c r="G74" t="s">
        <v>1387</v>
      </c>
      <c r="H74" t="s">
        <v>1400</v>
      </c>
    </row>
    <row r="75" spans="1:8">
      <c r="A75" t="s">
        <v>1239</v>
      </c>
      <c r="B75" t="s">
        <v>1238</v>
      </c>
      <c r="C75" t="s">
        <v>1527</v>
      </c>
      <c r="D75" t="s">
        <v>1381</v>
      </c>
      <c r="E75">
        <v>39.299999999999997</v>
      </c>
      <c r="F75" t="s">
        <v>1382</v>
      </c>
      <c r="G75" t="s">
        <v>1400</v>
      </c>
      <c r="H75" t="s">
        <v>1393</v>
      </c>
    </row>
    <row r="76" spans="1:8">
      <c r="A76" t="s">
        <v>1417</v>
      </c>
      <c r="B76" t="s">
        <v>472</v>
      </c>
      <c r="C76" t="s">
        <v>1417</v>
      </c>
      <c r="D76" t="s">
        <v>1381</v>
      </c>
      <c r="E76">
        <v>7</v>
      </c>
      <c r="F76" t="s">
        <v>1593</v>
      </c>
      <c r="G76" t="s">
        <v>1398</v>
      </c>
    </row>
    <row r="77" spans="1:8">
      <c r="A77" t="s">
        <v>1430</v>
      </c>
      <c r="B77" t="s">
        <v>1431</v>
      </c>
      <c r="C77" t="s">
        <v>1432</v>
      </c>
      <c r="D77" t="s">
        <v>1381</v>
      </c>
      <c r="E77">
        <v>43</v>
      </c>
      <c r="F77" t="s">
        <v>1413</v>
      </c>
    </row>
    <row r="78" spans="1:8">
      <c r="A78" t="s">
        <v>1384</v>
      </c>
      <c r="B78" t="s">
        <v>1489</v>
      </c>
      <c r="C78" t="s">
        <v>1490</v>
      </c>
      <c r="D78" t="s">
        <v>1381</v>
      </c>
      <c r="E78">
        <v>81.400000000000006</v>
      </c>
      <c r="F78" t="s">
        <v>1400</v>
      </c>
    </row>
    <row r="81" spans="1:2">
      <c r="A81" t="s">
        <v>1517</v>
      </c>
      <c r="B81">
        <f>SUMIF(Table7[Fuel 1],$A81,Table7[Power (MW)])</f>
        <v>4.9000000000000004</v>
      </c>
    </row>
    <row r="82" spans="1:2">
      <c r="A82" t="s">
        <v>1413</v>
      </c>
      <c r="B82">
        <f>SUMIF(Table7[Fuel 1],$A82,Table7[Power (MW)])</f>
        <v>1473.6</v>
      </c>
    </row>
    <row r="83" spans="1:2">
      <c r="A83" t="s">
        <v>1383</v>
      </c>
      <c r="B83">
        <f>SUMIF(Table7[Fuel 1],$A83,Table7[Power (MW)])</f>
        <v>413.40000000000003</v>
      </c>
    </row>
    <row r="84" spans="1:2">
      <c r="A84" t="s">
        <v>1393</v>
      </c>
      <c r="B84">
        <f>SUMIF(Table7[Fuel 1],$A84,Table7[Power (MW)])</f>
        <v>35</v>
      </c>
    </row>
    <row r="85" spans="1:2">
      <c r="A85" t="s">
        <v>1400</v>
      </c>
      <c r="B85">
        <f>SUMIF(Table7[Fuel 1],$A85,Table7[Power (MW)])</f>
        <v>126.4</v>
      </c>
    </row>
    <row r="86" spans="1:2">
      <c r="A86" t="s">
        <v>1382</v>
      </c>
      <c r="B86">
        <f>SUMIF(Table7[Fuel 1],$A86,Table7[Power (MW)])</f>
        <v>476.8</v>
      </c>
    </row>
    <row r="87" spans="1:2">
      <c r="A87" s="10" t="s">
        <v>1645</v>
      </c>
      <c r="B87" s="10">
        <f>SUM(B81:B86)</f>
        <v>2530.1000000000004</v>
      </c>
    </row>
    <row r="88" spans="1:2">
      <c r="A88" t="s">
        <v>1415</v>
      </c>
      <c r="B88">
        <f>SUMIF(Table7[Fuel 1],$A88,Table7[Power (MW)])</f>
        <v>1</v>
      </c>
    </row>
    <row r="89" spans="1:2">
      <c r="A89" t="s">
        <v>1555</v>
      </c>
      <c r="B89">
        <f>SUMIF(Table7[Fuel 1],$A89,Table7[Power (MW)])</f>
        <v>0</v>
      </c>
    </row>
    <row r="90" spans="1:2">
      <c r="A90" t="s">
        <v>1399</v>
      </c>
      <c r="B90">
        <f>SUMIF(Table7[Fuel 1],$A90,Table7[Power (MW)])</f>
        <v>49.8</v>
      </c>
    </row>
    <row r="91" spans="1:2">
      <c r="A91" t="s">
        <v>1510</v>
      </c>
      <c r="B91">
        <f>SUMIF(Table7[Fuel 1],$A91,Table7[Power (MW)])</f>
        <v>39.299999999999997</v>
      </c>
    </row>
    <row r="92" spans="1:2">
      <c r="A92" t="s">
        <v>1495</v>
      </c>
      <c r="B92">
        <f>SUMIF(Table7[Fuel 1],$A92,Table7[Power (MW)])</f>
        <v>94</v>
      </c>
    </row>
    <row r="93" spans="1:2">
      <c r="A93" t="s">
        <v>1593</v>
      </c>
      <c r="B93">
        <f>SUMIF(Table7[Fuel 1],$A93,Table7[Power (MW)])</f>
        <v>7</v>
      </c>
    </row>
    <row r="94" spans="1:2">
      <c r="A94" t="s">
        <v>1429</v>
      </c>
      <c r="B94">
        <f>SUMIF(Table7[Fuel 1],$A94,Table7[Power (MW)])</f>
        <v>3.9</v>
      </c>
    </row>
    <row r="95" spans="1:2">
      <c r="A95" s="10" t="s">
        <v>1646</v>
      </c>
      <c r="B95" s="10">
        <f>SUM(B88:B94)</f>
        <v>195</v>
      </c>
    </row>
    <row r="96" spans="1:2">
      <c r="A96" t="s">
        <v>1398</v>
      </c>
      <c r="B96">
        <f>SUMIF(Table7[Fuel 1],$A96,Table7[Power (MW)])</f>
        <v>401</v>
      </c>
    </row>
    <row r="97" spans="1:2">
      <c r="A97" s="10" t="s">
        <v>1647</v>
      </c>
      <c r="B97" s="10">
        <f>SUM(B96:B96)</f>
        <v>401</v>
      </c>
    </row>
    <row r="100" spans="1:2">
      <c r="A100" t="s">
        <v>1594</v>
      </c>
      <c r="B100">
        <f>SUM(B87,B95,B97)-SUM(Table7[Power (MW)])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demanddata_FI-industry</vt:lpstr>
      <vt:lpstr>elec_gen</vt:lpstr>
      <vt:lpstr>transferdata_dheat</vt:lpstr>
      <vt:lpstr>unitdata_Finland</vt:lpstr>
      <vt:lpstr>variantdata</vt:lpstr>
      <vt:lpstr>HKI</vt:lpstr>
      <vt:lpstr>ESP</vt:lpstr>
      <vt:lpstr>VAN</vt:lpstr>
      <vt:lpstr>TRE</vt:lpstr>
      <vt:lpstr>OUL</vt:lpstr>
      <vt:lpstr>TKU</vt:lpstr>
      <vt:lpstr>JKL</vt:lpstr>
      <vt:lpstr>ROF</vt:lpstr>
      <vt:lpstr>Industry-capacity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Lindroos Tomi J</dc:creator>
  <cp:keywords/>
  <dc:description/>
  <cp:lastModifiedBy>Lindroos Tomi J</cp:lastModifiedBy>
  <cp:revision/>
  <dcterms:created xsi:type="dcterms:W3CDTF">2015-06-05T18:17:20Z</dcterms:created>
  <dcterms:modified xsi:type="dcterms:W3CDTF">2026-10-15T12:23:00Z</dcterms:modified>
  <cp:category/>
  <cp:contentStatus/>
</cp:coreProperties>
</file>