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8208D61D-DB7F-421B-A6D4-E4E897A2ED1C}" xr6:coauthVersionLast="47" xr6:coauthVersionMax="47" xr10:uidLastSave="{00000000-0000-0000-0000-000000000000}"/>
  <bookViews>
    <workbookView xWindow="-28920" yWindow="-105" windowWidth="29040" windowHeight="17520" tabRatio="799" activeTab="5" xr2:uid="{00000000-000D-0000-FFFF-FFFF00000000}"/>
  </bookViews>
  <sheets>
    <sheet name="unitdata" sheetId="8" r:id="rId1"/>
    <sheet name="demanddata" sheetId="7" r:id="rId2"/>
    <sheet name="nodedata" sheetId="10" r:id="rId3"/>
    <sheet name="Summary" sheetId="4" r:id="rId4"/>
    <sheet name="H2Heavy, capacities" sheetId="1" r:id="rId5"/>
    <sheet name="H2Heavy, demands" sheetId="2" r:id="rId6"/>
    <sheet name="TYNDP2024" sheetId="6" r:id="rId7"/>
    <sheet name="Eurostat" sheetId="5" r:id="rId8"/>
  </sheets>
  <definedNames>
    <definedName name="_xlnm._FilterDatabase" localSheetId="2" hidden="1">nodedata!$A$1:$G$1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4" l="1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I8" i="4"/>
  <c r="J8" i="4" s="1"/>
  <c r="C27" i="6"/>
  <c r="D27" i="6"/>
  <c r="C5" i="6"/>
  <c r="D5" i="6"/>
  <c r="C3" i="6"/>
  <c r="D3" i="6"/>
  <c r="C4" i="6"/>
  <c r="D4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T6" i="4" s="1"/>
  <c r="W6" i="4" s="1"/>
  <c r="Z6" i="4" s="1"/>
  <c r="D25" i="6"/>
  <c r="C26" i="6"/>
  <c r="D26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S6" i="4"/>
  <c r="V6" i="4" s="1"/>
  <c r="Y6" i="4" s="1"/>
  <c r="O6" i="4"/>
  <c r="N6" i="4"/>
  <c r="K6" i="4"/>
  <c r="J6" i="4"/>
  <c r="F6" i="8" l="1"/>
  <c r="G6" i="8" s="1"/>
  <c r="F7" i="7"/>
  <c r="F6" i="7"/>
  <c r="T8" i="4"/>
  <c r="W8" i="4" s="1"/>
  <c r="F4" i="8" s="1"/>
  <c r="E4" i="8" s="1"/>
  <c r="F29" i="8"/>
  <c r="G29" i="8" s="1"/>
  <c r="S8" i="4"/>
  <c r="V8" i="4" s="1"/>
  <c r="F26" i="8" s="1"/>
  <c r="G26" i="8" s="1"/>
  <c r="R8" i="4"/>
  <c r="U8" i="4" s="1"/>
  <c r="F28" i="8"/>
  <c r="E28" i="8" s="1"/>
  <c r="O8" i="4"/>
  <c r="C8" i="4" s="1"/>
  <c r="F7" i="8"/>
  <c r="G7" i="8" s="1"/>
  <c r="N8" i="4"/>
  <c r="K8" i="4"/>
  <c r="D6" i="4"/>
  <c r="R6" i="4"/>
  <c r="U6" i="4" s="1"/>
  <c r="X6" i="4" s="1"/>
  <c r="F2" i="8"/>
  <c r="F24" i="8"/>
  <c r="C6" i="4"/>
  <c r="L6" i="4"/>
  <c r="F2" i="7" s="1"/>
  <c r="Z8" i="4" l="1"/>
  <c r="G4" i="8"/>
  <c r="J4" i="8" s="1"/>
  <c r="Y8" i="4"/>
  <c r="X8" i="4"/>
  <c r="E26" i="8"/>
  <c r="J26" i="8" s="1"/>
  <c r="E29" i="8"/>
  <c r="J29" i="8" s="1"/>
  <c r="E6" i="8"/>
  <c r="J6" i="8" s="1"/>
  <c r="G28" i="8"/>
  <c r="J28" i="8" s="1"/>
  <c r="E7" i="8"/>
  <c r="J7" i="8" s="1"/>
  <c r="D8" i="4"/>
  <c r="F6" i="4"/>
  <c r="G24" i="8"/>
  <c r="E24" i="8"/>
  <c r="K23" i="4"/>
  <c r="K22" i="4"/>
  <c r="K21" i="4"/>
  <c r="K20" i="4"/>
  <c r="K12" i="4"/>
  <c r="K11" i="4"/>
  <c r="K10" i="4"/>
  <c r="K13" i="4"/>
  <c r="K18" i="4"/>
  <c r="K17" i="4"/>
  <c r="K15" i="4"/>
  <c r="K29" i="4"/>
  <c r="K28" i="4"/>
  <c r="K27" i="4"/>
  <c r="K26" i="4"/>
  <c r="K25" i="4"/>
  <c r="K7" i="4"/>
  <c r="K19" i="4"/>
  <c r="K24" i="4"/>
  <c r="L24" i="4" s="1"/>
  <c r="F18" i="7" s="1"/>
  <c r="K14" i="4"/>
  <c r="K30" i="4"/>
  <c r="K16" i="4"/>
  <c r="K9" i="4"/>
  <c r="Z20" i="4"/>
  <c r="Y20" i="4"/>
  <c r="X20" i="4"/>
  <c r="F20" i="4" s="1"/>
  <c r="Z12" i="4"/>
  <c r="Y12" i="4"/>
  <c r="X12" i="4"/>
  <c r="F12" i="4" s="1"/>
  <c r="Z11" i="4"/>
  <c r="Y11" i="4"/>
  <c r="X11" i="4"/>
  <c r="F11" i="4" s="1"/>
  <c r="Z10" i="4"/>
  <c r="Y10" i="4"/>
  <c r="X10" i="4"/>
  <c r="F10" i="4" s="1"/>
  <c r="Z25" i="4"/>
  <c r="Y25" i="4"/>
  <c r="X25" i="4"/>
  <c r="F25" i="4" s="1"/>
  <c r="O16" i="4"/>
  <c r="O30" i="4"/>
  <c r="O14" i="4"/>
  <c r="O24" i="4"/>
  <c r="O19" i="4"/>
  <c r="O7" i="4"/>
  <c r="O25" i="4"/>
  <c r="C25" i="4" s="1"/>
  <c r="O26" i="4"/>
  <c r="O27" i="4"/>
  <c r="O28" i="4"/>
  <c r="O29" i="4"/>
  <c r="O15" i="4"/>
  <c r="O17" i="4"/>
  <c r="O18" i="4"/>
  <c r="O13" i="4"/>
  <c r="O10" i="4"/>
  <c r="C10" i="4" s="1"/>
  <c r="O11" i="4"/>
  <c r="C11" i="4" s="1"/>
  <c r="O12" i="4"/>
  <c r="O20" i="4"/>
  <c r="C20" i="4" s="1"/>
  <c r="O21" i="4"/>
  <c r="O22" i="4"/>
  <c r="O23" i="4"/>
  <c r="D23" i="4" s="1"/>
  <c r="O9" i="4"/>
  <c r="N23" i="4"/>
  <c r="N22" i="4"/>
  <c r="N21" i="4"/>
  <c r="N20" i="4"/>
  <c r="N12" i="4"/>
  <c r="N11" i="4"/>
  <c r="N10" i="4"/>
  <c r="N13" i="4"/>
  <c r="N18" i="4"/>
  <c r="N17" i="4"/>
  <c r="N15" i="4"/>
  <c r="W29" i="4"/>
  <c r="V29" i="4"/>
  <c r="F44" i="8" s="1"/>
  <c r="N29" i="4"/>
  <c r="W28" i="4"/>
  <c r="F21" i="8" s="1"/>
  <c r="V28" i="4"/>
  <c r="F43" i="8" s="1"/>
  <c r="N28" i="4"/>
  <c r="W27" i="4"/>
  <c r="F20" i="8" s="1"/>
  <c r="V27" i="4"/>
  <c r="F42" i="8" s="1"/>
  <c r="N27" i="4"/>
  <c r="W26" i="4"/>
  <c r="F19" i="8" s="1"/>
  <c r="V26" i="4"/>
  <c r="F41" i="8" s="1"/>
  <c r="N26" i="4"/>
  <c r="N25" i="4"/>
  <c r="W7" i="4"/>
  <c r="V7" i="4"/>
  <c r="N7" i="4"/>
  <c r="W19" i="4"/>
  <c r="F14" i="8" s="1"/>
  <c r="V19" i="4"/>
  <c r="F36" i="8" s="1"/>
  <c r="N19" i="4"/>
  <c r="N24" i="4"/>
  <c r="N14" i="4"/>
  <c r="W30" i="4"/>
  <c r="F23" i="8" s="1"/>
  <c r="V30" i="4"/>
  <c r="F45" i="8" s="1"/>
  <c r="N30" i="4"/>
  <c r="N16" i="4"/>
  <c r="N9" i="4"/>
  <c r="T9" i="4"/>
  <c r="W9" i="4" s="1"/>
  <c r="T16" i="4"/>
  <c r="W16" i="4" s="1"/>
  <c r="F11" i="8" s="1"/>
  <c r="T30" i="4"/>
  <c r="T14" i="4"/>
  <c r="W14" i="4" s="1"/>
  <c r="T24" i="4"/>
  <c r="W24" i="4" s="1"/>
  <c r="F18" i="8" s="1"/>
  <c r="T19" i="4"/>
  <c r="T7" i="4"/>
  <c r="T25" i="4"/>
  <c r="T26" i="4"/>
  <c r="T27" i="4"/>
  <c r="T28" i="4"/>
  <c r="T29" i="4"/>
  <c r="T15" i="4"/>
  <c r="W15" i="4" s="1"/>
  <c r="F10" i="8" s="1"/>
  <c r="T17" i="4"/>
  <c r="T18" i="4"/>
  <c r="T13" i="4"/>
  <c r="T10" i="4"/>
  <c r="T11" i="4"/>
  <c r="T12" i="4"/>
  <c r="T20" i="4"/>
  <c r="T21" i="4"/>
  <c r="W21" i="4" s="1"/>
  <c r="T22" i="4"/>
  <c r="W22" i="4" s="1"/>
  <c r="F16" i="8" s="1"/>
  <c r="T23" i="4"/>
  <c r="W23" i="4" s="1"/>
  <c r="F17" i="8" s="1"/>
  <c r="S16" i="4"/>
  <c r="V16" i="4" s="1"/>
  <c r="F33" i="8" s="1"/>
  <c r="S30" i="4"/>
  <c r="S14" i="4"/>
  <c r="V14" i="4" s="1"/>
  <c r="F31" i="8" s="1"/>
  <c r="S24" i="4"/>
  <c r="V24" i="4" s="1"/>
  <c r="S19" i="4"/>
  <c r="S7" i="4"/>
  <c r="S25" i="4"/>
  <c r="S26" i="4"/>
  <c r="S27" i="4"/>
  <c r="S28" i="4"/>
  <c r="S29" i="4"/>
  <c r="S15" i="4"/>
  <c r="V15" i="4" s="1"/>
  <c r="F32" i="8" s="1"/>
  <c r="S17" i="4"/>
  <c r="S18" i="4"/>
  <c r="S13" i="4"/>
  <c r="S10" i="4"/>
  <c r="S11" i="4"/>
  <c r="S12" i="4"/>
  <c r="S20" i="4"/>
  <c r="S21" i="4"/>
  <c r="V21" i="4" s="1"/>
  <c r="S22" i="4"/>
  <c r="V22" i="4" s="1"/>
  <c r="S23" i="4"/>
  <c r="V23" i="4" s="1"/>
  <c r="S9" i="4"/>
  <c r="V9" i="4" s="1"/>
  <c r="Q40" i="5"/>
  <c r="P40" i="5"/>
  <c r="O40" i="5"/>
  <c r="Q38" i="5"/>
  <c r="P38" i="5"/>
  <c r="O38" i="5"/>
  <c r="Q31" i="5"/>
  <c r="P31" i="5"/>
  <c r="O31" i="5"/>
  <c r="Q60" i="5" a="1"/>
  <c r="Q60" i="5" s="1"/>
  <c r="P60" i="5"/>
  <c r="P60" i="5" a="1"/>
  <c r="O60" i="5" a="1"/>
  <c r="O60" i="5" s="1"/>
  <c r="Q59" i="5" a="1"/>
  <c r="Q59" i="5" s="1"/>
  <c r="P59" i="5" a="1"/>
  <c r="P59" i="5" s="1"/>
  <c r="O59" i="5" a="1"/>
  <c r="O59" i="5" s="1"/>
  <c r="Q58" i="5"/>
  <c r="Q58" i="5" a="1"/>
  <c r="P58" i="5"/>
  <c r="P58" i="5" a="1"/>
  <c r="O58" i="5" a="1"/>
  <c r="O58" i="5" s="1"/>
  <c r="Q57" i="5" a="1"/>
  <c r="Q57" i="5" s="1"/>
  <c r="P57" i="5" a="1"/>
  <c r="P57" i="5" s="1"/>
  <c r="O57" i="5" a="1"/>
  <c r="O57" i="5" s="1"/>
  <c r="Q56" i="5" a="1"/>
  <c r="Q56" i="5" s="1"/>
  <c r="P56" i="5"/>
  <c r="P56" i="5" a="1"/>
  <c r="O56" i="5" a="1"/>
  <c r="O56" i="5" s="1"/>
  <c r="Q55" i="5" a="1"/>
  <c r="Q55" i="5" s="1"/>
  <c r="P55" i="5" a="1"/>
  <c r="P55" i="5" s="1"/>
  <c r="O55" i="5" a="1"/>
  <c r="O55" i="5" s="1"/>
  <c r="Q54" i="5" a="1"/>
  <c r="Q54" i="5" s="1"/>
  <c r="P54" i="5"/>
  <c r="P54" i="5" a="1"/>
  <c r="O54" i="5" a="1"/>
  <c r="O54" i="5" s="1"/>
  <c r="Q53" i="5" a="1"/>
  <c r="Q53" i="5" s="1"/>
  <c r="P53" i="5" a="1"/>
  <c r="P53" i="5" s="1"/>
  <c r="O53" i="5" a="1"/>
  <c r="O53" i="5" s="1"/>
  <c r="Q52" i="5" a="1"/>
  <c r="Q52" i="5" s="1"/>
  <c r="P52" i="5"/>
  <c r="P52" i="5" a="1"/>
  <c r="O52" i="5" a="1"/>
  <c r="O52" i="5" s="1"/>
  <c r="Q51" i="5" a="1"/>
  <c r="Q51" i="5" s="1"/>
  <c r="P51" i="5" a="1"/>
  <c r="P51" i="5" s="1"/>
  <c r="O51" i="5" a="1"/>
  <c r="O51" i="5" s="1"/>
  <c r="Q50" i="5" a="1"/>
  <c r="Q50" i="5" s="1"/>
  <c r="P50" i="5"/>
  <c r="P50" i="5" a="1"/>
  <c r="O50" i="5" a="1"/>
  <c r="O50" i="5" s="1"/>
  <c r="Q49" i="5" a="1"/>
  <c r="Q49" i="5" s="1"/>
  <c r="P49" i="5" a="1"/>
  <c r="P49" i="5" s="1"/>
  <c r="O49" i="5" a="1"/>
  <c r="O49" i="5" s="1"/>
  <c r="Q48" i="5" a="1"/>
  <c r="Q48" i="5" s="1"/>
  <c r="P48" i="5"/>
  <c r="P48" i="5" a="1"/>
  <c r="O48" i="5" a="1"/>
  <c r="O48" i="5" s="1"/>
  <c r="Q47" i="5" a="1"/>
  <c r="Q47" i="5" s="1"/>
  <c r="P47" i="5" a="1"/>
  <c r="P47" i="5" s="1"/>
  <c r="O47" i="5" a="1"/>
  <c r="O47" i="5" s="1"/>
  <c r="Q46" i="5" a="1"/>
  <c r="Q46" i="5" s="1"/>
  <c r="P46" i="5"/>
  <c r="P46" i="5" a="1"/>
  <c r="O46" i="5" a="1"/>
  <c r="O46" i="5" s="1"/>
  <c r="Q45" i="5" a="1"/>
  <c r="Q45" i="5" s="1"/>
  <c r="P45" i="5" a="1"/>
  <c r="P45" i="5" s="1"/>
  <c r="O45" i="5" a="1"/>
  <c r="O45" i="5" s="1"/>
  <c r="Q44" i="5" a="1"/>
  <c r="Q44" i="5" s="1"/>
  <c r="P44" i="5"/>
  <c r="P44" i="5" a="1"/>
  <c r="O44" i="5" a="1"/>
  <c r="O44" i="5" s="1"/>
  <c r="Q43" i="5" a="1"/>
  <c r="Q43" i="5" s="1"/>
  <c r="P43" i="5" a="1"/>
  <c r="P43" i="5" s="1"/>
  <c r="O43" i="5" a="1"/>
  <c r="O43" i="5" s="1"/>
  <c r="Q42" i="5" a="1"/>
  <c r="Q42" i="5" s="1"/>
  <c r="P42" i="5"/>
  <c r="P42" i="5" a="1"/>
  <c r="O42" i="5" a="1"/>
  <c r="O42" i="5" s="1"/>
  <c r="Q41" i="5" a="1"/>
  <c r="Q41" i="5" s="1"/>
  <c r="P41" i="5" a="1"/>
  <c r="P41" i="5" s="1"/>
  <c r="O41" i="5" a="1"/>
  <c r="O41" i="5" s="1"/>
  <c r="Q39" i="5" a="1"/>
  <c r="Q39" i="5" s="1"/>
  <c r="P39" i="5" a="1"/>
  <c r="P39" i="5" s="1"/>
  <c r="O39" i="5" a="1"/>
  <c r="O39" i="5" s="1"/>
  <c r="Q37" i="5" a="1"/>
  <c r="Q37" i="5" s="1"/>
  <c r="P37" i="5" a="1"/>
  <c r="P37" i="5" s="1"/>
  <c r="O37" i="5" a="1"/>
  <c r="O37" i="5" s="1"/>
  <c r="Q36" i="5" a="1"/>
  <c r="Q36" i="5" s="1"/>
  <c r="P36" i="5"/>
  <c r="P36" i="5" a="1"/>
  <c r="O36" i="5" a="1"/>
  <c r="O36" i="5" s="1"/>
  <c r="Q35" i="5" a="1"/>
  <c r="Q35" i="5" s="1"/>
  <c r="P35" i="5" a="1"/>
  <c r="P35" i="5" s="1"/>
  <c r="O35" i="5" a="1"/>
  <c r="O35" i="5" s="1"/>
  <c r="Q34" i="5" a="1"/>
  <c r="Q34" i="5" s="1"/>
  <c r="P34" i="5"/>
  <c r="P34" i="5" a="1"/>
  <c r="O34" i="5" a="1"/>
  <c r="O34" i="5" s="1"/>
  <c r="Q33" i="5" a="1"/>
  <c r="Q33" i="5" s="1"/>
  <c r="P33" i="5" a="1"/>
  <c r="P33" i="5" s="1"/>
  <c r="O33" i="5" a="1"/>
  <c r="O33" i="5" s="1"/>
  <c r="Q32" i="5" a="1"/>
  <c r="Q32" i="5" s="1"/>
  <c r="P32" i="5"/>
  <c r="P32" i="5" a="1"/>
  <c r="O32" i="5" a="1"/>
  <c r="O32" i="5" s="1"/>
  <c r="Q30" i="5" a="1"/>
  <c r="Q30" i="5" s="1"/>
  <c r="P30" i="5"/>
  <c r="P30" i="5" a="1"/>
  <c r="O30" i="5" a="1"/>
  <c r="O30" i="5" s="1"/>
  <c r="Q29" i="5" a="1"/>
  <c r="Q29" i="5" s="1"/>
  <c r="P29" i="5" a="1"/>
  <c r="P29" i="5" s="1"/>
  <c r="O29" i="5" a="1"/>
  <c r="O29" i="5" s="1"/>
  <c r="Q28" i="5" a="1"/>
  <c r="Q28" i="5" s="1"/>
  <c r="P28" i="5"/>
  <c r="P28" i="5" a="1"/>
  <c r="O28" i="5" a="1"/>
  <c r="O28" i="5" s="1"/>
  <c r="Q27" i="5" a="1"/>
  <c r="Q27" i="5" s="1"/>
  <c r="P27" i="5" a="1"/>
  <c r="P27" i="5" s="1"/>
  <c r="O27" i="5" a="1"/>
  <c r="O27" i="5" s="1"/>
  <c r="Q26" i="5" a="1"/>
  <c r="Q26" i="5" s="1"/>
  <c r="P26" i="5"/>
  <c r="P26" i="5" a="1"/>
  <c r="O26" i="5" a="1"/>
  <c r="O26" i="5" s="1"/>
  <c r="Q25" i="5" a="1"/>
  <c r="Q25" i="5" s="1"/>
  <c r="P25" i="5" a="1"/>
  <c r="P25" i="5" s="1"/>
  <c r="O25" i="5" a="1"/>
  <c r="O25" i="5" s="1"/>
  <c r="Q24" i="5" a="1"/>
  <c r="Q24" i="5" s="1"/>
  <c r="P24" i="5"/>
  <c r="P24" i="5" a="1"/>
  <c r="O24" i="5" a="1"/>
  <c r="O24" i="5" s="1"/>
  <c r="Q23" i="5" a="1"/>
  <c r="Q23" i="5" s="1"/>
  <c r="P23" i="5" a="1"/>
  <c r="P23" i="5" s="1"/>
  <c r="O23" i="5" a="1"/>
  <c r="O23" i="5" s="1"/>
  <c r="Q22" i="5" a="1"/>
  <c r="Q22" i="5" s="1"/>
  <c r="P22" i="5"/>
  <c r="P22" i="5" a="1"/>
  <c r="O22" i="5" a="1"/>
  <c r="O22" i="5" s="1"/>
  <c r="Q21" i="5" a="1"/>
  <c r="Q21" i="5" s="1"/>
  <c r="P21" i="5" a="1"/>
  <c r="P21" i="5" s="1"/>
  <c r="O21" i="5" a="1"/>
  <c r="O21" i="5" s="1"/>
  <c r="Q20" i="5" a="1"/>
  <c r="Q20" i="5" s="1"/>
  <c r="P20" i="5"/>
  <c r="P20" i="5" a="1"/>
  <c r="O20" i="5" a="1"/>
  <c r="O20" i="5"/>
  <c r="N20" i="5" a="1"/>
  <c r="N20" i="5" s="1"/>
  <c r="N24" i="5" a="1"/>
  <c r="N24" i="5" s="1"/>
  <c r="R16" i="4"/>
  <c r="U16" i="4" s="1"/>
  <c r="X16" i="4" s="1"/>
  <c r="R30" i="4"/>
  <c r="R14" i="4"/>
  <c r="U14" i="4" s="1"/>
  <c r="X14" i="4" s="1"/>
  <c r="R24" i="4"/>
  <c r="U24" i="4" s="1"/>
  <c r="X24" i="4" s="1"/>
  <c r="R19" i="4"/>
  <c r="R7" i="4"/>
  <c r="R25" i="4"/>
  <c r="R26" i="4"/>
  <c r="R27" i="4"/>
  <c r="R28" i="4"/>
  <c r="R29" i="4"/>
  <c r="R15" i="4"/>
  <c r="U15" i="4" s="1"/>
  <c r="X15" i="4" s="1"/>
  <c r="R17" i="4"/>
  <c r="R18" i="4"/>
  <c r="R13" i="4"/>
  <c r="R10" i="4"/>
  <c r="R11" i="4"/>
  <c r="R12" i="4"/>
  <c r="R20" i="4"/>
  <c r="R21" i="4"/>
  <c r="U21" i="4" s="1"/>
  <c r="X21" i="4" s="1"/>
  <c r="R22" i="4"/>
  <c r="U22" i="4" s="1"/>
  <c r="X22" i="4" s="1"/>
  <c r="R23" i="4"/>
  <c r="U23" i="4" s="1"/>
  <c r="X23" i="4" s="1"/>
  <c r="R9" i="4"/>
  <c r="U9" i="4" s="1"/>
  <c r="X9" i="4" s="1"/>
  <c r="N60" i="5" a="1"/>
  <c r="N60" i="5" s="1"/>
  <c r="N59" i="5" a="1"/>
  <c r="N59" i="5" s="1"/>
  <c r="N58" i="5" a="1"/>
  <c r="N58" i="5" s="1"/>
  <c r="N57" i="5" a="1"/>
  <c r="N57" i="5" s="1"/>
  <c r="N56" i="5" a="1"/>
  <c r="N56" i="5" s="1"/>
  <c r="N55" i="5" a="1"/>
  <c r="N55" i="5" s="1"/>
  <c r="N54" i="5" a="1"/>
  <c r="N54" i="5" s="1"/>
  <c r="N53" i="5" a="1"/>
  <c r="N53" i="5" s="1"/>
  <c r="N52" i="5" a="1"/>
  <c r="N52" i="5" s="1"/>
  <c r="N51" i="5" a="1"/>
  <c r="N51" i="5" s="1"/>
  <c r="N50" i="5" a="1"/>
  <c r="N50" i="5" s="1"/>
  <c r="N49" i="5" a="1"/>
  <c r="N49" i="5" s="1"/>
  <c r="N48" i="5" a="1"/>
  <c r="N48" i="5" s="1"/>
  <c r="N47" i="5" a="1"/>
  <c r="N47" i="5" s="1"/>
  <c r="N46" i="5" a="1"/>
  <c r="N46" i="5" s="1"/>
  <c r="N45" i="5" a="1"/>
  <c r="N45" i="5" s="1"/>
  <c r="N44" i="5" a="1"/>
  <c r="N44" i="5" s="1"/>
  <c r="N43" i="5" a="1"/>
  <c r="N43" i="5" s="1"/>
  <c r="N42" i="5" a="1"/>
  <c r="N42" i="5" s="1"/>
  <c r="N41" i="5" a="1"/>
  <c r="N41" i="5" s="1"/>
  <c r="N40" i="5" a="1"/>
  <c r="N40" i="5" s="1"/>
  <c r="N39" i="5" a="1"/>
  <c r="N39" i="5" s="1"/>
  <c r="N38" i="5" a="1"/>
  <c r="N38" i="5" s="1"/>
  <c r="N37" i="5" a="1"/>
  <c r="N37" i="5" s="1"/>
  <c r="N36" i="5" a="1"/>
  <c r="N36" i="5" s="1"/>
  <c r="N35" i="5" a="1"/>
  <c r="N35" i="5" s="1"/>
  <c r="N34" i="5" a="1"/>
  <c r="N34" i="5" s="1"/>
  <c r="N33" i="5" a="1"/>
  <c r="N33" i="5" s="1"/>
  <c r="N32" i="5" a="1"/>
  <c r="N32" i="5" s="1"/>
  <c r="N31" i="5" a="1"/>
  <c r="N31" i="5" s="1"/>
  <c r="N30" i="5" a="1"/>
  <c r="N30" i="5" s="1"/>
  <c r="N29" i="5" a="1"/>
  <c r="N29" i="5" s="1"/>
  <c r="N28" i="5" a="1"/>
  <c r="N28" i="5" s="1"/>
  <c r="N27" i="5" a="1"/>
  <c r="N27" i="5" s="1"/>
  <c r="N26" i="5" a="1"/>
  <c r="N26" i="5" s="1"/>
  <c r="N25" i="5" a="1"/>
  <c r="N25" i="5" s="1"/>
  <c r="N23" i="5" a="1"/>
  <c r="N23" i="5" s="1"/>
  <c r="N22" i="5" a="1"/>
  <c r="N22" i="5" s="1"/>
  <c r="N21" i="5" a="1"/>
  <c r="N21" i="5" s="1"/>
  <c r="J24" i="8" l="1"/>
  <c r="D25" i="4"/>
  <c r="D20" i="4"/>
  <c r="D26" i="4"/>
  <c r="D21" i="4"/>
  <c r="D7" i="4"/>
  <c r="D12" i="4"/>
  <c r="D11" i="4"/>
  <c r="D27" i="4"/>
  <c r="D22" i="4"/>
  <c r="Y26" i="4"/>
  <c r="D28" i="4"/>
  <c r="Z26" i="4"/>
  <c r="G44" i="8"/>
  <c r="E44" i="8"/>
  <c r="G42" i="8"/>
  <c r="E42" i="8"/>
  <c r="E14" i="8"/>
  <c r="G14" i="8"/>
  <c r="D13" i="4"/>
  <c r="D19" i="4"/>
  <c r="G45" i="8"/>
  <c r="E45" i="8"/>
  <c r="G43" i="8"/>
  <c r="E43" i="8"/>
  <c r="E23" i="8"/>
  <c r="G23" i="8"/>
  <c r="G21" i="8"/>
  <c r="E21" i="8"/>
  <c r="Z29" i="4"/>
  <c r="F22" i="8"/>
  <c r="G41" i="8"/>
  <c r="E41" i="8"/>
  <c r="Y30" i="4"/>
  <c r="E36" i="8"/>
  <c r="G36" i="8"/>
  <c r="G20" i="8"/>
  <c r="E20" i="8"/>
  <c r="Y7" i="4"/>
  <c r="F25" i="8"/>
  <c r="Z7" i="4"/>
  <c r="F3" i="8"/>
  <c r="L19" i="4"/>
  <c r="F14" i="7" s="1"/>
  <c r="G19" i="8"/>
  <c r="E19" i="8"/>
  <c r="Z30" i="4"/>
  <c r="Y22" i="4"/>
  <c r="F38" i="8"/>
  <c r="Y21" i="4"/>
  <c r="F37" i="8"/>
  <c r="Y23" i="4"/>
  <c r="F39" i="8"/>
  <c r="G18" i="8"/>
  <c r="E18" i="8"/>
  <c r="Z14" i="4"/>
  <c r="F9" i="8"/>
  <c r="Z21" i="4"/>
  <c r="F15" i="8"/>
  <c r="Y24" i="4"/>
  <c r="F40" i="8"/>
  <c r="G16" i="8"/>
  <c r="E16" i="8"/>
  <c r="G31" i="8"/>
  <c r="E31" i="8"/>
  <c r="E11" i="8"/>
  <c r="G11" i="8"/>
  <c r="Y9" i="4"/>
  <c r="F27" i="8"/>
  <c r="G10" i="8"/>
  <c r="E10" i="8"/>
  <c r="Z9" i="4"/>
  <c r="F5" i="8"/>
  <c r="G33" i="8"/>
  <c r="E33" i="8"/>
  <c r="E32" i="8"/>
  <c r="G32" i="8"/>
  <c r="G17" i="8"/>
  <c r="E17" i="8"/>
  <c r="Z27" i="4"/>
  <c r="D10" i="4"/>
  <c r="Y19" i="4"/>
  <c r="Y27" i="4"/>
  <c r="Z19" i="4"/>
  <c r="D24" i="4"/>
  <c r="Y28" i="4"/>
  <c r="D29" i="4"/>
  <c r="G2" i="8"/>
  <c r="Z28" i="4"/>
  <c r="D9" i="4"/>
  <c r="D15" i="4"/>
  <c r="L15" i="4"/>
  <c r="F10" i="7" s="1"/>
  <c r="D16" i="4"/>
  <c r="D17" i="4"/>
  <c r="Y29" i="4"/>
  <c r="D30" i="4"/>
  <c r="D18" i="4"/>
  <c r="D14" i="4"/>
  <c r="Z16" i="4"/>
  <c r="Z22" i="4"/>
  <c r="Z23" i="4"/>
  <c r="Y14" i="4"/>
  <c r="Y15" i="4"/>
  <c r="Z24" i="4"/>
  <c r="Z15" i="4"/>
  <c r="Y16" i="4"/>
  <c r="F24" i="4"/>
  <c r="L14" i="4"/>
  <c r="V17" i="4"/>
  <c r="F34" i="8" s="1"/>
  <c r="U18" i="4"/>
  <c r="X18" i="4" s="1"/>
  <c r="U17" i="4"/>
  <c r="X17" i="4" s="1"/>
  <c r="U13" i="4"/>
  <c r="X13" i="4" s="1"/>
  <c r="W13" i="4"/>
  <c r="F8" i="8" s="1"/>
  <c r="V13" i="4"/>
  <c r="F30" i="8" s="1"/>
  <c r="V18" i="4"/>
  <c r="F35" i="8" s="1"/>
  <c r="W17" i="4"/>
  <c r="F12" i="8" s="1"/>
  <c r="W18" i="4"/>
  <c r="F13" i="8" s="1"/>
  <c r="L16" i="4"/>
  <c r="L21" i="4"/>
  <c r="L22" i="4"/>
  <c r="L23" i="4"/>
  <c r="U7" i="4"/>
  <c r="J16" i="4"/>
  <c r="C16" i="4" s="1"/>
  <c r="J30" i="4"/>
  <c r="J14" i="4"/>
  <c r="C14" i="4" s="1"/>
  <c r="J24" i="4"/>
  <c r="C24" i="4" s="1"/>
  <c r="J19" i="4"/>
  <c r="C19" i="4" s="1"/>
  <c r="J7" i="4"/>
  <c r="C7" i="4" s="1"/>
  <c r="J26" i="4"/>
  <c r="J27" i="4"/>
  <c r="J28" i="4"/>
  <c r="J29" i="4"/>
  <c r="J15" i="4"/>
  <c r="C15" i="4" s="1"/>
  <c r="J17" i="4"/>
  <c r="J18" i="4"/>
  <c r="J13" i="4"/>
  <c r="J12" i="4"/>
  <c r="C12" i="4" s="1"/>
  <c r="J21" i="4"/>
  <c r="C21" i="4" s="1"/>
  <c r="J22" i="4"/>
  <c r="C22" i="4" s="1"/>
  <c r="J23" i="4"/>
  <c r="C23" i="4" s="1"/>
  <c r="J9" i="4"/>
  <c r="C9" i="4" s="1"/>
  <c r="J31" i="8" l="1"/>
  <c r="J44" i="8"/>
  <c r="J45" i="8"/>
  <c r="J43" i="8"/>
  <c r="X7" i="4"/>
  <c r="J11" i="8"/>
  <c r="J21" i="8"/>
  <c r="J42" i="8"/>
  <c r="J33" i="8"/>
  <c r="J16" i="8"/>
  <c r="J20" i="8"/>
  <c r="J10" i="8"/>
  <c r="J19" i="8"/>
  <c r="J41" i="8"/>
  <c r="J32" i="8"/>
  <c r="J36" i="8"/>
  <c r="J23" i="8"/>
  <c r="J17" i="8"/>
  <c r="J18" i="8"/>
  <c r="J14" i="8"/>
  <c r="F15" i="4"/>
  <c r="G22" i="8"/>
  <c r="E22" i="8"/>
  <c r="E25" i="8"/>
  <c r="G25" i="8"/>
  <c r="G3" i="8"/>
  <c r="E3" i="8"/>
  <c r="E13" i="8"/>
  <c r="G13" i="8"/>
  <c r="E27" i="8"/>
  <c r="G27" i="8"/>
  <c r="G9" i="8"/>
  <c r="E9" i="8"/>
  <c r="G30" i="8"/>
  <c r="E30" i="8"/>
  <c r="G8" i="8"/>
  <c r="E8" i="8"/>
  <c r="E39" i="8"/>
  <c r="G39" i="8"/>
  <c r="G12" i="8"/>
  <c r="E12" i="8"/>
  <c r="G34" i="8"/>
  <c r="E34" i="8"/>
  <c r="G37" i="8"/>
  <c r="E37" i="8"/>
  <c r="E15" i="8"/>
  <c r="G15" i="8"/>
  <c r="G5" i="8"/>
  <c r="E5" i="8"/>
  <c r="E38" i="8"/>
  <c r="G38" i="8"/>
  <c r="G35" i="8"/>
  <c r="E35" i="8"/>
  <c r="E40" i="8"/>
  <c r="G40" i="8"/>
  <c r="E2" i="8"/>
  <c r="J2" i="8" s="1"/>
  <c r="L13" i="4"/>
  <c r="F8" i="7" s="1"/>
  <c r="C13" i="4"/>
  <c r="L30" i="4"/>
  <c r="C30" i="4"/>
  <c r="L18" i="4"/>
  <c r="F13" i="7" s="1"/>
  <c r="C18" i="4"/>
  <c r="L17" i="4"/>
  <c r="F12" i="7" s="1"/>
  <c r="C17" i="4"/>
  <c r="L29" i="4"/>
  <c r="F22" i="7" s="1"/>
  <c r="C29" i="4"/>
  <c r="F14" i="4"/>
  <c r="F9" i="7"/>
  <c r="L28" i="4"/>
  <c r="C28" i="4"/>
  <c r="L27" i="4"/>
  <c r="C27" i="4"/>
  <c r="F16" i="4"/>
  <c r="F11" i="7"/>
  <c r="L26" i="4"/>
  <c r="F19" i="7" s="1"/>
  <c r="C26" i="4"/>
  <c r="Y18" i="4"/>
  <c r="Y13" i="4"/>
  <c r="F22" i="4"/>
  <c r="F16" i="7"/>
  <c r="F21" i="4"/>
  <c r="F15" i="7"/>
  <c r="Z13" i="4"/>
  <c r="F23" i="4"/>
  <c r="F17" i="7"/>
  <c r="Z18" i="4"/>
  <c r="Y17" i="4"/>
  <c r="Z17" i="4"/>
  <c r="U19" i="4"/>
  <c r="X19" i="4" s="1"/>
  <c r="F19" i="4" s="1"/>
  <c r="U29" i="4"/>
  <c r="X29" i="4" s="1"/>
  <c r="U28" i="4"/>
  <c r="X28" i="4" s="1"/>
  <c r="U26" i="4"/>
  <c r="X26" i="4" s="1"/>
  <c r="L9" i="4"/>
  <c r="L7" i="4"/>
  <c r="U30" i="4"/>
  <c r="X30" i="4" s="1"/>
  <c r="U27" i="4"/>
  <c r="X27" i="4" s="1"/>
  <c r="J34" i="8" l="1"/>
  <c r="J22" i="8"/>
  <c r="J12" i="8"/>
  <c r="J30" i="8"/>
  <c r="J35" i="8"/>
  <c r="J37" i="8"/>
  <c r="L8" i="4"/>
  <c r="J9" i="8"/>
  <c r="J38" i="8"/>
  <c r="J39" i="8"/>
  <c r="J25" i="8"/>
  <c r="J15" i="8"/>
  <c r="J5" i="8"/>
  <c r="J8" i="8"/>
  <c r="J40" i="8"/>
  <c r="J13" i="8"/>
  <c r="J27" i="8"/>
  <c r="J3" i="8"/>
  <c r="F18" i="4"/>
  <c r="F13" i="4"/>
  <c r="F7" i="4"/>
  <c r="F3" i="7"/>
  <c r="F9" i="4"/>
  <c r="F5" i="7"/>
  <c r="F26" i="4"/>
  <c r="F20" i="7"/>
  <c r="F27" i="4"/>
  <c r="F23" i="7"/>
  <c r="F30" i="4"/>
  <c r="F29" i="4"/>
  <c r="F17" i="4"/>
  <c r="F21" i="7"/>
  <c r="F28" i="4"/>
  <c r="F4" i="7" l="1"/>
  <c r="F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<sst xmlns="http://schemas.openxmlformats.org/spreadsheetml/2006/main" count="1068" uniqueCount="131">
  <si>
    <t>Country</t>
  </si>
  <si>
    <t>Generator_ID</t>
  </si>
  <si>
    <t>Scenario</t>
  </si>
  <si>
    <t>Year</t>
  </si>
  <si>
    <t>capacity_input1</t>
  </si>
  <si>
    <t>capacity_output1</t>
  </si>
  <si>
    <t>node_suffix_output2</t>
  </si>
  <si>
    <t>capacity_output2</t>
  </si>
  <si>
    <t>Note</t>
  </si>
  <si>
    <t>DE00</t>
  </si>
  <si>
    <t>FR00</t>
  </si>
  <si>
    <t>UK00</t>
  </si>
  <si>
    <t>ES00</t>
  </si>
  <si>
    <t>PL00</t>
  </si>
  <si>
    <t>NL00</t>
  </si>
  <si>
    <t>BE00</t>
  </si>
  <si>
    <t>SE02</t>
  </si>
  <si>
    <t>SE03</t>
  </si>
  <si>
    <t>SE04</t>
  </si>
  <si>
    <t>DKW1</t>
  </si>
  <si>
    <t>FI00</t>
  </si>
  <si>
    <t>NOM1</t>
  </si>
  <si>
    <t>NOS0</t>
  </si>
  <si>
    <t>LT00</t>
  </si>
  <si>
    <t>LV00</t>
  </si>
  <si>
    <t>EE00</t>
  </si>
  <si>
    <t>SE01</t>
  </si>
  <si>
    <t>NON1</t>
  </si>
  <si>
    <t>industry</t>
  </si>
  <si>
    <t>Grid</t>
  </si>
  <si>
    <t>Node_suffix</t>
  </si>
  <si>
    <t>TWh/year</t>
  </si>
  <si>
    <t>Constant_share</t>
  </si>
  <si>
    <t>steam</t>
  </si>
  <si>
    <t>all</t>
  </si>
  <si>
    <t>demand (TWh)</t>
  </si>
  <si>
    <t>Capacity (MW)</t>
  </si>
  <si>
    <t>Data extracted on 21/05/2025 13:00:30 from [ESTAT]</t>
  </si>
  <si>
    <t xml:space="preserve">Dataset: </t>
  </si>
  <si>
    <t>Gross and net production of electricity and derived heat by type of plant and operator [nrg_ind_peh__custom_16800527]</t>
  </si>
  <si>
    <t xml:space="preserve">Last updated: </t>
  </si>
  <si>
    <t>24/04/2025 23:00</t>
  </si>
  <si>
    <t>Time frequency</t>
  </si>
  <si>
    <t>Annual</t>
  </si>
  <si>
    <t>Type of plant</t>
  </si>
  <si>
    <t>Total</t>
  </si>
  <si>
    <t>Operator/Trader</t>
  </si>
  <si>
    <t>Autoproducers</t>
  </si>
  <si>
    <t>Energy balance</t>
  </si>
  <si>
    <t>Net electricity production</t>
  </si>
  <si>
    <t>Standard international energy product classification (SIEC)</t>
  </si>
  <si>
    <t>Unit of measure</t>
  </si>
  <si>
    <t>Gigawatt-hour</t>
  </si>
  <si>
    <t>TIME</t>
  </si>
  <si>
    <t/>
  </si>
  <si>
    <t>GEO (Labels)</t>
  </si>
  <si>
    <t>European Union - 27 countries (from 2020)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</si>
  <si>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</si>
  <si>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</si>
  <si>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</si>
  <si>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</si>
  <si>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</si>
  <si>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</si>
  <si>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</si>
  <si>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</si>
  <si>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</si>
  <si>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</si>
  <si>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</si>
  <si>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</si>
  <si>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</si>
  <si>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</si>
  <si>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</si>
  <si>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</si>
  <si>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</si>
  <si>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</si>
  <si>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</si>
  <si>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</si>
  <si>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</si>
  <si>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</si>
  <si>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</si>
  <si>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</si>
  <si>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</si>
  <si>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</si>
  <si>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</si>
  <si>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</si>
  <si>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</si>
  <si>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:</t>
  </si>
  <si>
    <t>Liechtenstein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</si>
  <si>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</si>
  <si>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</si>
  <si>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</si>
  <si>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</si>
  <si>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</si>
  <si>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</si>
  <si>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</si>
  <si>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</si>
  <si>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</si>
  <si>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</si>
  <si>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</si>
  <si>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</si>
  <si>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https://ec.europa.eu/eurostat/databrowser/view/nrg_ind_peh__custom_16800527/default/table?lang=en</t>
  </si>
  <si>
    <t>Source:</t>
  </si>
  <si>
    <t>CZ00</t>
  </si>
  <si>
    <t>DK</t>
  </si>
  <si>
    <t>AT00</t>
  </si>
  <si>
    <t>NO</t>
  </si>
  <si>
    <t>NEBB country</t>
  </si>
  <si>
    <t>Eurostat 2030</t>
  </si>
  <si>
    <t>cf</t>
  </si>
  <si>
    <t>H2 Heavy</t>
  </si>
  <si>
    <t>DKE1</t>
  </si>
  <si>
    <t>SE</t>
  </si>
  <si>
    <t>unittype</t>
  </si>
  <si>
    <t>MW</t>
  </si>
  <si>
    <t>TYNDP2024, NT2030</t>
  </si>
  <si>
    <t>summary</t>
  </si>
  <si>
    <t>-</t>
  </si>
  <si>
    <t>Steam</t>
  </si>
  <si>
    <t>Elec</t>
  </si>
  <si>
    <t>upwardLimit</t>
  </si>
  <si>
    <t>reference</t>
  </si>
  <si>
    <t>balancePenalty</t>
  </si>
  <si>
    <t>selfDischargeLoss</t>
  </si>
  <si>
    <t>maxSpill</t>
  </si>
  <si>
    <t>National Trends</t>
  </si>
  <si>
    <t>CH00</t>
  </si>
  <si>
    <t>method</t>
  </si>
  <si>
    <t>nodeBalance</t>
  </si>
  <si>
    <t>Hard-coded names</t>
  </si>
  <si>
    <t>coalCHPIndustry</t>
  </si>
  <si>
    <t>bioCHPIndustry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</si>
</sst>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##########"/>
    <numFmt numFmtId="166" formatCode="#,##0.00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9"/>
      <color indexed="9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9" fontId="8" fillId="0" borderId="0" applyFont="0" applyFill="0" applyBorder="0" applyAlignment="0" applyProtection="0"/>
    <xf numFmtId="0" fontId="10" fillId="0" borderId="0"/>
  </cellStyleXfs>
  <cellXfs count="74">
    <xf numFmtId="0" fontId="0" fillId="0" borderId="0" xfId="0"/>
    <xf numFmtId="0" fontId="0" fillId="4" borderId="0" xfId="0" applyFill="1"/>
    <xf numFmtId="3" fontId="0" fillId="4" borderId="0" xfId="0" applyNumberFormat="1" applyFill="1"/>
    <xf numFmtId="0" fontId="0" fillId="3" borderId="0" xfId="0" applyFill="1"/>
    <xf numFmtId="3" fontId="0" fillId="3" borderId="0" xfId="0" applyNumberFormat="1" applyFill="1"/>
    <xf numFmtId="0" fontId="0" fillId="3" borderId="1" xfId="0" applyFill="1" applyBorder="1"/>
    <xf numFmtId="3" fontId="0" fillId="3" borderId="1" xfId="0" applyNumberFormat="1" applyFill="1" applyBorder="1"/>
    <xf numFmtId="0" fontId="1" fillId="4" borderId="0" xfId="0" applyFont="1" applyFill="1"/>
    <xf numFmtId="0" fontId="1" fillId="3" borderId="0" xfId="0" applyFont="1" applyFill="1"/>
    <xf numFmtId="3" fontId="2" fillId="3" borderId="0" xfId="0" applyNumberFormat="1" applyFont="1" applyFill="1"/>
    <xf numFmtId="3" fontId="1" fillId="4" borderId="0" xfId="0" applyNumberFormat="1" applyFont="1" applyFill="1"/>
    <xf numFmtId="3" fontId="1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0" fontId="3" fillId="5" borderId="0" xfId="0" applyFont="1" applyFill="1" applyAlignment="1">
      <alignment horizontal="center" vertical="top"/>
    </xf>
    <xf numFmtId="0" fontId="5" fillId="2" borderId="3" xfId="1" applyFont="1" applyFill="1" applyBorder="1" applyAlignment="1">
      <alignment horizontal="center" vertical="top"/>
    </xf>
    <xf numFmtId="3" fontId="6" fillId="2" borderId="2" xfId="1" applyNumberFormat="1" applyFont="1" applyFill="1" applyBorder="1"/>
    <xf numFmtId="0" fontId="0" fillId="4" borderId="4" xfId="0" applyFill="1" applyBorder="1"/>
    <xf numFmtId="164" fontId="0" fillId="4" borderId="0" xfId="0" applyNumberFormat="1" applyFill="1" applyAlignment="1">
      <alignment horizontal="right"/>
    </xf>
    <xf numFmtId="164" fontId="0" fillId="4" borderId="4" xfId="0" applyNumberFormat="1" applyFill="1" applyBorder="1" applyAlignment="1">
      <alignment horizontal="right"/>
    </xf>
    <xf numFmtId="164" fontId="2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0" fillId="0" borderId="0" xfId="3"/>
    <xf numFmtId="0" fontId="11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3" fillId="6" borderId="5" xfId="3" applyFont="1" applyFill="1" applyBorder="1" applyAlignment="1">
      <alignment horizontal="right" vertical="center"/>
    </xf>
    <xf numFmtId="0" fontId="11" fillId="7" borderId="5" xfId="3" applyFont="1" applyFill="1" applyBorder="1" applyAlignment="1">
      <alignment horizontal="left" vertical="center"/>
    </xf>
    <xf numFmtId="0" fontId="11" fillId="8" borderId="5" xfId="3" applyFont="1" applyFill="1" applyBorder="1" applyAlignment="1">
      <alignment horizontal="left" vertical="center"/>
    </xf>
    <xf numFmtId="0" fontId="10" fillId="9" borderId="0" xfId="3" applyFill="1"/>
    <xf numFmtId="3" fontId="12" fillId="0" borderId="0" xfId="3" applyNumberFormat="1" applyFont="1" applyAlignment="1">
      <alignment horizontal="right" vertical="center" shrinkToFit="1"/>
    </xf>
    <xf numFmtId="3" fontId="12" fillId="10" borderId="0" xfId="3" applyNumberFormat="1" applyFont="1" applyFill="1" applyAlignment="1">
      <alignment horizontal="right" vertical="center" shrinkToFit="1"/>
    </xf>
    <xf numFmtId="165" fontId="12" fillId="0" borderId="0" xfId="3" applyNumberFormat="1" applyFont="1" applyAlignment="1">
      <alignment horizontal="right" vertical="center" shrinkToFit="1"/>
    </xf>
    <xf numFmtId="165" fontId="12" fillId="10" borderId="0" xfId="3" applyNumberFormat="1" applyFont="1" applyFill="1" applyAlignment="1">
      <alignment horizontal="right" vertical="center" shrinkToFit="1"/>
    </xf>
    <xf numFmtId="166" fontId="12" fillId="0" borderId="0" xfId="3" applyNumberFormat="1" applyFont="1" applyAlignment="1">
      <alignment horizontal="right" vertical="center" shrinkToFit="1"/>
    </xf>
    <xf numFmtId="166" fontId="12" fillId="10" borderId="0" xfId="3" applyNumberFormat="1" applyFont="1" applyFill="1" applyAlignment="1">
      <alignment horizontal="right" vertical="center" shrinkToFit="1"/>
    </xf>
    <xf numFmtId="0" fontId="13" fillId="6" borderId="5" xfId="3" applyFont="1" applyFill="1" applyBorder="1" applyAlignment="1">
      <alignment horizontal="left" vertical="center"/>
    </xf>
    <xf numFmtId="0" fontId="9" fillId="0" borderId="0" xfId="0" applyFont="1"/>
    <xf numFmtId="0" fontId="14" fillId="6" borderId="6" xfId="3" applyFont="1" applyFill="1" applyBorder="1" applyAlignment="1">
      <alignment horizontal="left" vertical="center"/>
    </xf>
    <xf numFmtId="164" fontId="0" fillId="0" borderId="0" xfId="0" applyNumberFormat="1"/>
    <xf numFmtId="1" fontId="0" fillId="0" borderId="0" xfId="0" applyNumberFormat="1"/>
    <xf numFmtId="1" fontId="0" fillId="11" borderId="0" xfId="0" applyNumberFormat="1" applyFill="1"/>
    <xf numFmtId="9" fontId="0" fillId="0" borderId="0" xfId="2" applyFont="1"/>
    <xf numFmtId="0" fontId="0" fillId="12" borderId="0" xfId="0" applyFill="1"/>
    <xf numFmtId="0" fontId="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13" borderId="0" xfId="0" applyNumberFormat="1" applyFill="1"/>
    <xf numFmtId="164" fontId="0" fillId="0" borderId="0" xfId="0" applyNumberFormat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center"/>
    </xf>
    <xf numFmtId="1" fontId="0" fillId="15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9" fontId="0" fillId="0" borderId="0" xfId="2" applyFont="1" applyAlignment="1">
      <alignment horizontal="center"/>
    </xf>
    <xf numFmtId="0" fontId="3" fillId="4" borderId="0" xfId="0" applyFont="1" applyFill="1"/>
    <xf numFmtId="0" fontId="4" fillId="0" borderId="0" xfId="1"/>
    <xf numFmtId="0" fontId="4" fillId="0" borderId="0" xfId="1" applyAlignment="1">
      <alignment horizontal="center"/>
    </xf>
    <xf numFmtId="3" fontId="16" fillId="0" borderId="2" xfId="1" applyNumberFormat="1" applyFont="1" applyBorder="1"/>
    <xf numFmtId="3" fontId="5" fillId="0" borderId="0" xfId="1" applyNumberFormat="1" applyFont="1" applyAlignment="1">
      <alignment horizontal="center" vertical="top"/>
    </xf>
    <xf numFmtId="3" fontId="4" fillId="0" borderId="0" xfId="1" applyNumberFormat="1"/>
    <xf numFmtId="3" fontId="4" fillId="0" borderId="0" xfId="1" applyNumberFormat="1" applyAlignment="1">
      <alignment horizontal="center"/>
    </xf>
    <xf numFmtId="0" fontId="0" fillId="0" borderId="7" xfId="0" applyBorder="1"/>
    <xf numFmtId="0" fontId="17" fillId="0" borderId="8" xfId="0" applyFont="1" applyBorder="1" applyAlignment="1">
      <alignment horizontal="center" vertical="top"/>
    </xf>
    <xf numFmtId="0" fontId="0" fillId="16" borderId="0" xfId="0" applyFill="1"/>
    <xf numFmtId="0" fontId="5" fillId="0" borderId="0" xfId="1" applyFont="1" applyAlignment="1">
      <alignment horizontal="center" vertical="top"/>
    </xf>
    <xf numFmtId="0" fontId="2" fillId="17" borderId="0" xfId="0" applyFont="1" applyFill="1"/>
    <xf numFmtId="0" fontId="2" fillId="2" borderId="0" xfId="0" applyFont="1" applyFill="1"/>
    <xf numFmtId="0" fontId="0" fillId="18" borderId="0" xfId="0" applyFill="1"/>
    <xf numFmtId="164" fontId="0" fillId="13" borderId="0" xfId="0" applyNumberFormat="1" applyFill="1" applyAlignment="1">
      <alignment horizontal="center"/>
    </xf>
    <xf numFmtId="0" fontId="0" fillId="19" borderId="0" xfId="0" applyFill="1"/>
    <xf numFmtId="0" fontId="9" fillId="19" borderId="0" xfId="0" applyFont="1" applyFill="1"/>
  </cellXfs>
  <cellStyles count="4">
    <cellStyle name="Normal" xfId="0" builtinId="0"/>
    <cellStyle name="Normal 2" xfId="3" xr:uid="{395BE96B-F538-4A66-A9F9-9FDE06B17EEF}"/>
    <cellStyle name="Normal 3" xfId="1" xr:uid="{B922DAB1-96BE-4C47-ACB7-A4E9C8932980}"/>
    <cellStyle name="Percent" xfId="2" builtinId="5"/>
  </cellStyles>
  <dxfs count="2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AE17E-E130-454C-A23D-D1F2C5367D34}" name="Table2" displayName="Table2" ref="A1:K24" totalsRowShown="0" headerRowDxfId="25">
  <autoFilter ref="A1:K24" xr:uid="{618B6211-7040-488C-9F85-846A32BD1FFB}"/>
  <sortState xmlns:xlrd2="http://schemas.microsoft.com/office/spreadsheetml/2017/richdata2" ref="A2:K24">
    <sortCondition ref="B1:B24"/>
  </sortState>
  <tableColumns count="11">
    <tableColumn id="1" xr3:uid="{FD66C488-929A-4E40-97B9-698BE28209C7}" name="Country" dataDxfId="24"/>
    <tableColumn id="2" xr3:uid="{04387B0B-A6A1-47CC-82EB-6B34AE82821B}" name="Grid"/>
    <tableColumn id="3" xr3:uid="{57483FE3-C6A9-426F-9DF7-4926168CE122}" name="Node_suffix"/>
    <tableColumn id="4" xr3:uid="{F155858A-1910-4203-8242-FCFC753CE0F1}" name="Scenario" dataDxfId="23"/>
    <tableColumn id="5" xr3:uid="{2976D6D8-21B5-4358-9605-474352CC3FAF}" name="Year" dataDxfId="22"/>
    <tableColumn id="11" xr3:uid="{5D7C3B58-23CE-4BD9-9814-7BCAEB987C3B}" name="nodeBalance" dataDxfId="21" dataCellStyle="Normal 3"/>
    <tableColumn id="6" xr3:uid="{894F3647-7759-4FB2-B8B6-24582E443654}" name="upwardLimit" dataDxfId="20"/>
    <tableColumn id="7" xr3:uid="{622B05A3-F0D0-4BEE-B5E5-8AA1239444AE}" name="reference" dataDxfId="19"/>
    <tableColumn id="8" xr3:uid="{FB556C05-FAE9-43E0-9FC0-D26AB24EC6BC}" name="balancePenalty" dataDxfId="18"/>
    <tableColumn id="10" xr3:uid="{7EAD7D20-CDA2-446F-BC00-8EC30C32C13B}" name="selfDischargeLoss" dataDxfId="17"/>
    <tableColumn id="9" xr3:uid="{078F1241-6AF8-480F-897B-1DA7DB1520F6}" name="maxSpill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C892E-7082-4467-928B-8F4B2C671031}" name="Table1" displayName="Table1" ref="A1:I28" totalsRowShown="0" headerRowDxfId="15" dataDxfId="14" tableBorderDxfId="13">
  <autoFilter ref="A1:I28" xr:uid="{20DC892E-7082-4467-928B-8F4B2C671031}"/>
  <tableColumns count="9">
    <tableColumn id="1" xr3:uid="{90B3BA90-E856-467E-A12E-718C92D72014}" name="Country" dataDxfId="12"/>
    <tableColumn id="10" xr3:uid="{32B812CD-1C93-4CE6-9A43-B9AE59998316}" name="unittype" dataDxfId="11"/>
    <tableColumn id="3" xr3:uid="{D50F5294-47D2-4C56-800B-3E44FF430FA7}" name="Scenario" dataDxfId="10"/>
    <tableColumn id="4" xr3:uid="{649C99FE-77E1-437E-9EDE-D888843F1482}" name="Year" dataDxfId="9"/>
    <tableColumn id="5" xr3:uid="{1A49AF74-6C24-40D6-B37A-D2ADAB4DE02B}" name="capacity_input1" dataDxfId="8"/>
    <tableColumn id="6" xr3:uid="{F30D702A-E7C4-4705-81A5-A391EA397049}" name="capacity_output1" dataDxfId="7"/>
    <tableColumn id="7" xr3:uid="{B74AC38E-95FA-433D-B521-50231B26F101}" name="node_suffix_output2" dataDxfId="6"/>
    <tableColumn id="8" xr3:uid="{2E1D1700-DA32-4625-8DFD-E756415F2202}" name="capacity_output2" dataDxfId="5"/>
    <tableColumn id="9" xr3:uid="{89275BD6-4B5C-4E77-BA1F-FF40DDEF4E2A}" name="Note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7742-FCF7-461B-8DEF-CA4A5D37D8C6}">
  <sheetPr>
    <tabColor theme="7" tint="0.59999389629810485"/>
  </sheetPr>
  <dimension ref="A1:J45"/>
  <sheetViews>
    <sheetView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10.140625" style="12" customWidth="1"/>
    <col min="2" max="2" width="19.28515625" style="12" customWidth="1"/>
    <col min="3" max="3" width="9.5703125" style="12" customWidth="1"/>
    <col min="4" max="4" width="7.85546875" style="12" customWidth="1"/>
    <col min="5" max="5" width="16.7109375" style="12" customWidth="1"/>
    <col min="6" max="6" width="17.85546875" style="12" customWidth="1"/>
    <col min="7" max="7" width="16.28515625" bestFit="1" customWidth="1"/>
    <col min="8" max="8" width="21" style="12" customWidth="1"/>
    <col min="9" max="9" width="7.5703125" style="12" customWidth="1"/>
    <col min="10" max="10" width="18.140625" style="12" customWidth="1"/>
  </cols>
  <sheetData>
    <row r="1" spans="1:10" x14ac:dyDescent="0.25">
      <c r="A1" s="57" t="s">
        <v>0</v>
      </c>
      <c r="B1" s="57" t="s">
        <v>112</v>
      </c>
      <c r="C1" s="57" t="s">
        <v>2</v>
      </c>
      <c r="D1" s="57" t="s">
        <v>3</v>
      </c>
      <c r="E1" s="57" t="s">
        <v>4</v>
      </c>
      <c r="F1" s="57" t="s">
        <v>5</v>
      </c>
      <c r="G1" s="38" t="s">
        <v>7</v>
      </c>
      <c r="H1" s="57" t="s">
        <v>6</v>
      </c>
      <c r="I1" s="57" t="s">
        <v>8</v>
      </c>
      <c r="J1" s="57" t="s">
        <v>126</v>
      </c>
    </row>
    <row r="2" spans="1:10" x14ac:dyDescent="0.25">
      <c r="A2" s="12" t="s">
        <v>104</v>
      </c>
      <c r="B2" s="12" t="s">
        <v>129</v>
      </c>
      <c r="C2" s="12" t="s">
        <v>34</v>
      </c>
      <c r="D2" s="12">
        <v>1</v>
      </c>
      <c r="E2" s="12">
        <f>F2/0.4</f>
        <v>1901.5</v>
      </c>
      <c r="F2" s="68">
        <f>ROUND(SUMIFS(Summary!$W:$W,Summary!$I:$I, $A2), 1)</f>
        <v>760.6</v>
      </c>
      <c r="G2" s="12">
        <f>ROUND(F2/(0.5+0.16666), 1)</f>
        <v>1140.9000000000001</v>
      </c>
      <c r="H2" s="12" t="s">
        <v>28</v>
      </c>
      <c r="J2" s="68" t="str">
        <f>IF(SUM(E2:G2)=0, "remove", "")</f>
        <v/>
      </c>
    </row>
    <row r="3" spans="1:10" x14ac:dyDescent="0.25">
      <c r="A3" s="12" t="s">
        <v>15</v>
      </c>
      <c r="B3" s="12" t="s">
        <v>129</v>
      </c>
      <c r="C3" s="12" t="s">
        <v>34</v>
      </c>
      <c r="D3" s="12">
        <v>1</v>
      </c>
      <c r="E3" s="12">
        <f t="shared" ref="E3:E45" si="0">F3/0.4</f>
        <v>10712.75</v>
      </c>
      <c r="F3" s="68">
        <f>ROUND(SUMIFS(Summary!$W:$W,Summary!$I:$I, $A3), 1)</f>
        <v>4285.1000000000004</v>
      </c>
      <c r="G3" s="12">
        <f t="shared" ref="G3:G45" si="1">ROUND(F3/(0.5+0.16666), 1)</f>
        <v>6427.7</v>
      </c>
      <c r="H3" s="12" t="s">
        <v>28</v>
      </c>
      <c r="J3" s="68" t="str">
        <f t="shared" ref="J3:J45" si="2">IF(SUM(E3:G3)=0, "remove", "")</f>
        <v/>
      </c>
    </row>
    <row r="4" spans="1:10" x14ac:dyDescent="0.25">
      <c r="A4" s="12" t="s">
        <v>125</v>
      </c>
      <c r="B4" s="12" t="s">
        <v>129</v>
      </c>
      <c r="C4" s="12" t="s">
        <v>34</v>
      </c>
      <c r="D4" s="12">
        <v>1</v>
      </c>
      <c r="E4" s="12">
        <f t="shared" ref="E4" si="3">F4/0.4</f>
        <v>1064.7499999999998</v>
      </c>
      <c r="F4" s="68">
        <f>ROUND(SUMIFS(Summary!$W:$W,Summary!$I:$I, $A4), 1)</f>
        <v>425.9</v>
      </c>
      <c r="G4" s="12">
        <f t="shared" ref="G4" si="4">ROUND(F4/(0.5+0.16666), 1)</f>
        <v>638.9</v>
      </c>
      <c r="H4" s="12" t="s">
        <v>28</v>
      </c>
      <c r="J4" s="68" t="str">
        <f t="shared" si="2"/>
        <v/>
      </c>
    </row>
    <row r="5" spans="1:10" x14ac:dyDescent="0.25">
      <c r="A5" s="12" t="s">
        <v>9</v>
      </c>
      <c r="B5" s="12" t="s">
        <v>129</v>
      </c>
      <c r="C5" s="12" t="s">
        <v>34</v>
      </c>
      <c r="D5" s="12">
        <v>1</v>
      </c>
      <c r="E5" s="12">
        <f t="shared" si="0"/>
        <v>32669</v>
      </c>
      <c r="F5" s="68">
        <f>ROUND(SUMIFS(Summary!$W:$W,Summary!$I:$I, $A5), 1)</f>
        <v>13067.6</v>
      </c>
      <c r="G5" s="12">
        <f t="shared" si="1"/>
        <v>19601.599999999999</v>
      </c>
      <c r="H5" s="12" t="s">
        <v>28</v>
      </c>
      <c r="J5" s="68" t="str">
        <f t="shared" si="2"/>
        <v/>
      </c>
    </row>
    <row r="6" spans="1:10" x14ac:dyDescent="0.25">
      <c r="A6" s="12" t="s">
        <v>110</v>
      </c>
      <c r="B6" s="12" t="s">
        <v>129</v>
      </c>
      <c r="C6" s="12" t="s">
        <v>34</v>
      </c>
      <c r="D6" s="12">
        <v>1</v>
      </c>
      <c r="E6" s="12">
        <f t="shared" si="0"/>
        <v>0</v>
      </c>
      <c r="F6" s="68">
        <f>ROUND(SUMIFS(Summary!$W:$W,Summary!$I:$I, $A6), 1)</f>
        <v>0</v>
      </c>
      <c r="G6" s="12">
        <f t="shared" si="1"/>
        <v>0</v>
      </c>
      <c r="H6" s="12" t="s">
        <v>28</v>
      </c>
      <c r="J6" s="68" t="str">
        <f t="shared" si="2"/>
        <v>remove</v>
      </c>
    </row>
    <row r="7" spans="1:10" x14ac:dyDescent="0.25">
      <c r="A7" s="12" t="s">
        <v>19</v>
      </c>
      <c r="B7" s="12" t="s">
        <v>129</v>
      </c>
      <c r="C7" s="12" t="s">
        <v>34</v>
      </c>
      <c r="D7" s="12">
        <v>1</v>
      </c>
      <c r="E7" s="12">
        <f t="shared" si="0"/>
        <v>0</v>
      </c>
      <c r="F7" s="68">
        <f>ROUND(SUMIFS(Summary!$W:$W,Summary!$I:$I, $A7), 1)</f>
        <v>0</v>
      </c>
      <c r="G7" s="12">
        <f t="shared" si="1"/>
        <v>0</v>
      </c>
      <c r="H7" s="12" t="s">
        <v>28</v>
      </c>
      <c r="J7" s="68" t="str">
        <f t="shared" si="2"/>
        <v>remove</v>
      </c>
    </row>
    <row r="8" spans="1:10" x14ac:dyDescent="0.25">
      <c r="A8" s="12" t="s">
        <v>25</v>
      </c>
      <c r="B8" s="12" t="s">
        <v>129</v>
      </c>
      <c r="C8" s="12" t="s">
        <v>34</v>
      </c>
      <c r="D8" s="12">
        <v>1</v>
      </c>
      <c r="E8" s="12">
        <f t="shared" si="0"/>
        <v>663.25</v>
      </c>
      <c r="F8" s="68">
        <f>ROUND(SUMIFS(Summary!$W:$W,Summary!$I:$I, $A8), 1)</f>
        <v>265.3</v>
      </c>
      <c r="G8" s="12">
        <f t="shared" si="1"/>
        <v>398</v>
      </c>
      <c r="H8" s="12" t="s">
        <v>28</v>
      </c>
      <c r="J8" s="68" t="str">
        <f t="shared" si="2"/>
        <v/>
      </c>
    </row>
    <row r="9" spans="1:10" x14ac:dyDescent="0.25">
      <c r="A9" s="12" t="s">
        <v>12</v>
      </c>
      <c r="B9" s="12" t="s">
        <v>129</v>
      </c>
      <c r="C9" s="12" t="s">
        <v>34</v>
      </c>
      <c r="D9" s="12">
        <v>1</v>
      </c>
      <c r="E9" s="12">
        <f t="shared" si="0"/>
        <v>4325</v>
      </c>
      <c r="F9" s="68">
        <f>ROUND(SUMIFS(Summary!$W:$W,Summary!$I:$I, $A9), 1)</f>
        <v>1730</v>
      </c>
      <c r="G9" s="12">
        <f t="shared" si="1"/>
        <v>2595</v>
      </c>
      <c r="H9" s="12" t="s">
        <v>28</v>
      </c>
      <c r="J9" s="68" t="str">
        <f t="shared" si="2"/>
        <v/>
      </c>
    </row>
    <row r="10" spans="1:10" x14ac:dyDescent="0.25">
      <c r="A10" s="12" t="s">
        <v>20</v>
      </c>
      <c r="B10" s="12" t="s">
        <v>129</v>
      </c>
      <c r="C10" s="12" t="s">
        <v>34</v>
      </c>
      <c r="D10" s="12">
        <v>1</v>
      </c>
      <c r="E10" s="12">
        <f t="shared" si="0"/>
        <v>6562</v>
      </c>
      <c r="F10" s="68">
        <f>ROUND(SUMIFS(Summary!$W:$W,Summary!$I:$I, $A10), 1)</f>
        <v>2624.8</v>
      </c>
      <c r="G10" s="12">
        <f t="shared" si="1"/>
        <v>3937.2</v>
      </c>
      <c r="H10" s="12" t="s">
        <v>28</v>
      </c>
      <c r="J10" s="68" t="str">
        <f t="shared" si="2"/>
        <v/>
      </c>
    </row>
    <row r="11" spans="1:10" x14ac:dyDescent="0.25">
      <c r="A11" s="12" t="s">
        <v>10</v>
      </c>
      <c r="B11" s="12" t="s">
        <v>129</v>
      </c>
      <c r="C11" s="12" t="s">
        <v>34</v>
      </c>
      <c r="D11" s="12">
        <v>1</v>
      </c>
      <c r="E11" s="12">
        <f t="shared" si="0"/>
        <v>6065</v>
      </c>
      <c r="F11" s="68">
        <f>ROUND(SUMIFS(Summary!$W:$W,Summary!$I:$I, $A11), 1)</f>
        <v>2426</v>
      </c>
      <c r="G11" s="12">
        <f t="shared" si="1"/>
        <v>3639</v>
      </c>
      <c r="H11" s="12" t="s">
        <v>28</v>
      </c>
      <c r="J11" s="68" t="str">
        <f t="shared" si="2"/>
        <v/>
      </c>
    </row>
    <row r="12" spans="1:10" x14ac:dyDescent="0.25">
      <c r="A12" s="12" t="s">
        <v>23</v>
      </c>
      <c r="B12" s="12" t="s">
        <v>129</v>
      </c>
      <c r="C12" s="12" t="s">
        <v>34</v>
      </c>
      <c r="D12" s="12">
        <v>1</v>
      </c>
      <c r="E12" s="12">
        <f t="shared" si="0"/>
        <v>622</v>
      </c>
      <c r="F12" s="68">
        <f>ROUND(SUMIFS(Summary!$W:$W,Summary!$I:$I, $A12), 1)</f>
        <v>248.8</v>
      </c>
      <c r="G12" s="12">
        <f t="shared" si="1"/>
        <v>373.2</v>
      </c>
      <c r="H12" s="12" t="s">
        <v>28</v>
      </c>
      <c r="J12" s="68" t="str">
        <f t="shared" si="2"/>
        <v/>
      </c>
    </row>
    <row r="13" spans="1:10" x14ac:dyDescent="0.25">
      <c r="A13" s="12" t="s">
        <v>24</v>
      </c>
      <c r="B13" s="12" t="s">
        <v>129</v>
      </c>
      <c r="C13" s="12" t="s">
        <v>34</v>
      </c>
      <c r="D13" s="12">
        <v>1</v>
      </c>
      <c r="E13" s="12">
        <f t="shared" si="0"/>
        <v>198.75</v>
      </c>
      <c r="F13" s="68">
        <f>ROUND(SUMIFS(Summary!$W:$W,Summary!$I:$I, $A13), 1)</f>
        <v>79.5</v>
      </c>
      <c r="G13" s="12">
        <f t="shared" si="1"/>
        <v>119.3</v>
      </c>
      <c r="H13" s="12" t="s">
        <v>28</v>
      </c>
      <c r="J13" s="68" t="str">
        <f t="shared" si="2"/>
        <v/>
      </c>
    </row>
    <row r="14" spans="1:10" x14ac:dyDescent="0.25">
      <c r="A14" s="12" t="s">
        <v>14</v>
      </c>
      <c r="B14" s="12" t="s">
        <v>129</v>
      </c>
      <c r="C14" s="12" t="s">
        <v>34</v>
      </c>
      <c r="D14" s="12">
        <v>1</v>
      </c>
      <c r="E14" s="12">
        <f t="shared" si="0"/>
        <v>24624.25</v>
      </c>
      <c r="F14" s="68">
        <f>ROUND(SUMIFS(Summary!$W:$W,Summary!$I:$I, $A14), 1)</f>
        <v>9849.7000000000007</v>
      </c>
      <c r="G14" s="12">
        <f t="shared" si="1"/>
        <v>14774.7</v>
      </c>
      <c r="H14" s="12" t="s">
        <v>28</v>
      </c>
      <c r="J14" s="68" t="str">
        <f t="shared" si="2"/>
        <v/>
      </c>
    </row>
    <row r="15" spans="1:10" x14ac:dyDescent="0.25">
      <c r="A15" s="12" t="s">
        <v>21</v>
      </c>
      <c r="B15" s="12" t="s">
        <v>129</v>
      </c>
      <c r="C15" s="12" t="s">
        <v>34</v>
      </c>
      <c r="D15" s="12">
        <v>1</v>
      </c>
      <c r="E15" s="12">
        <f t="shared" si="0"/>
        <v>0</v>
      </c>
      <c r="F15" s="68">
        <f>ROUND(SUMIFS(Summary!$W:$W,Summary!$I:$I, $A15), 1)</f>
        <v>0</v>
      </c>
      <c r="G15" s="12">
        <f t="shared" si="1"/>
        <v>0</v>
      </c>
      <c r="H15" s="12" t="s">
        <v>28</v>
      </c>
      <c r="J15" s="68" t="str">
        <f t="shared" si="2"/>
        <v>remove</v>
      </c>
    </row>
    <row r="16" spans="1:10" x14ac:dyDescent="0.25">
      <c r="A16" s="12" t="s">
        <v>27</v>
      </c>
      <c r="B16" s="12" t="s">
        <v>129</v>
      </c>
      <c r="C16" s="12" t="s">
        <v>34</v>
      </c>
      <c r="D16" s="12">
        <v>1</v>
      </c>
      <c r="E16" s="12">
        <f t="shared" si="0"/>
        <v>0</v>
      </c>
      <c r="F16" s="68">
        <f>ROUND(SUMIFS(Summary!$W:$W,Summary!$I:$I, $A16), 1)</f>
        <v>0</v>
      </c>
      <c r="G16" s="12">
        <f t="shared" si="1"/>
        <v>0</v>
      </c>
      <c r="H16" s="12" t="s">
        <v>28</v>
      </c>
      <c r="J16" s="68" t="str">
        <f t="shared" si="2"/>
        <v>remove</v>
      </c>
    </row>
    <row r="17" spans="1:10" x14ac:dyDescent="0.25">
      <c r="A17" s="12" t="s">
        <v>22</v>
      </c>
      <c r="B17" s="12" t="s">
        <v>129</v>
      </c>
      <c r="C17" s="12" t="s">
        <v>34</v>
      </c>
      <c r="D17" s="12">
        <v>1</v>
      </c>
      <c r="E17" s="12">
        <f t="shared" si="0"/>
        <v>0</v>
      </c>
      <c r="F17" s="68">
        <f>ROUND(SUMIFS(Summary!$W:$W,Summary!$I:$I, $A17), 1)</f>
        <v>0</v>
      </c>
      <c r="G17" s="12">
        <f t="shared" si="1"/>
        <v>0</v>
      </c>
      <c r="H17" s="12" t="s">
        <v>28</v>
      </c>
      <c r="J17" s="68" t="str">
        <f t="shared" si="2"/>
        <v>remove</v>
      </c>
    </row>
    <row r="18" spans="1:10" x14ac:dyDescent="0.25">
      <c r="A18" s="12" t="s">
        <v>13</v>
      </c>
      <c r="B18" s="12" t="s">
        <v>129</v>
      </c>
      <c r="C18" s="12" t="s">
        <v>34</v>
      </c>
      <c r="D18" s="12">
        <v>1</v>
      </c>
      <c r="E18" s="12">
        <f t="shared" si="0"/>
        <v>5387.7499999999991</v>
      </c>
      <c r="F18" s="68">
        <f>ROUND(SUMIFS(Summary!$W:$W,Summary!$I:$I, $A18), 1)</f>
        <v>2155.1</v>
      </c>
      <c r="G18" s="12">
        <f t="shared" si="1"/>
        <v>3232.7</v>
      </c>
      <c r="H18" s="12" t="s">
        <v>28</v>
      </c>
      <c r="J18" s="68" t="str">
        <f t="shared" si="2"/>
        <v/>
      </c>
    </row>
    <row r="19" spans="1:10" x14ac:dyDescent="0.25">
      <c r="A19" s="12" t="s">
        <v>26</v>
      </c>
      <c r="B19" s="12" t="s">
        <v>129</v>
      </c>
      <c r="C19" s="12" t="s">
        <v>34</v>
      </c>
      <c r="D19" s="12">
        <v>1</v>
      </c>
      <c r="E19" s="12">
        <f t="shared" si="0"/>
        <v>0</v>
      </c>
      <c r="F19" s="68">
        <f>ROUND(SUMIFS(Summary!$W:$W,Summary!$I:$I, $A19), 1)</f>
        <v>0</v>
      </c>
      <c r="G19" s="12">
        <f t="shared" si="1"/>
        <v>0</v>
      </c>
      <c r="H19" s="12" t="s">
        <v>28</v>
      </c>
      <c r="J19" s="68" t="str">
        <f t="shared" si="2"/>
        <v>remove</v>
      </c>
    </row>
    <row r="20" spans="1:10" x14ac:dyDescent="0.25">
      <c r="A20" s="12" t="s">
        <v>16</v>
      </c>
      <c r="B20" s="12" t="s">
        <v>129</v>
      </c>
      <c r="C20" s="12" t="s">
        <v>34</v>
      </c>
      <c r="D20" s="12">
        <v>1</v>
      </c>
      <c r="E20" s="12">
        <f t="shared" si="0"/>
        <v>0</v>
      </c>
      <c r="F20" s="68">
        <f>ROUND(SUMIFS(Summary!$W:$W,Summary!$I:$I, $A20), 1)</f>
        <v>0</v>
      </c>
      <c r="G20" s="12">
        <f t="shared" si="1"/>
        <v>0</v>
      </c>
      <c r="H20" s="12" t="s">
        <v>28</v>
      </c>
      <c r="J20" s="68" t="str">
        <f t="shared" si="2"/>
        <v>remove</v>
      </c>
    </row>
    <row r="21" spans="1:10" x14ac:dyDescent="0.25">
      <c r="A21" s="12" t="s">
        <v>17</v>
      </c>
      <c r="B21" s="12" t="s">
        <v>129</v>
      </c>
      <c r="C21" s="12" t="s">
        <v>34</v>
      </c>
      <c r="D21" s="12">
        <v>1</v>
      </c>
      <c r="E21" s="12">
        <f t="shared" si="0"/>
        <v>0</v>
      </c>
      <c r="F21" s="68">
        <f>ROUND(SUMIFS(Summary!$W:$W,Summary!$I:$I, $A21), 1)</f>
        <v>0</v>
      </c>
      <c r="G21" s="12">
        <f t="shared" si="1"/>
        <v>0</v>
      </c>
      <c r="H21" s="12" t="s">
        <v>28</v>
      </c>
      <c r="J21" s="68" t="str">
        <f t="shared" si="2"/>
        <v>remove</v>
      </c>
    </row>
    <row r="22" spans="1:10" x14ac:dyDescent="0.25">
      <c r="A22" s="12" t="s">
        <v>18</v>
      </c>
      <c r="B22" s="12" t="s">
        <v>129</v>
      </c>
      <c r="C22" s="12" t="s">
        <v>34</v>
      </c>
      <c r="D22" s="12">
        <v>1</v>
      </c>
      <c r="E22" s="12">
        <f t="shared" si="0"/>
        <v>0</v>
      </c>
      <c r="F22" s="68">
        <f>ROUND(SUMIFS(Summary!$W:$W,Summary!$I:$I, $A22), 1)</f>
        <v>0</v>
      </c>
      <c r="G22" s="12">
        <f t="shared" si="1"/>
        <v>0</v>
      </c>
      <c r="H22" s="12" t="s">
        <v>28</v>
      </c>
      <c r="J22" s="68" t="str">
        <f t="shared" si="2"/>
        <v>remove</v>
      </c>
    </row>
    <row r="23" spans="1:10" x14ac:dyDescent="0.25">
      <c r="A23" s="12" t="s">
        <v>11</v>
      </c>
      <c r="B23" s="12" t="s">
        <v>129</v>
      </c>
      <c r="C23" s="12" t="s">
        <v>34</v>
      </c>
      <c r="D23" s="12">
        <v>1</v>
      </c>
      <c r="E23" s="12">
        <f t="shared" si="0"/>
        <v>116676.74999999999</v>
      </c>
      <c r="F23" s="68">
        <f>ROUND(SUMIFS(Summary!$W:$W,Summary!$I:$I, $A23), 1)</f>
        <v>46670.7</v>
      </c>
      <c r="G23" s="12">
        <f t="shared" si="1"/>
        <v>70006.8</v>
      </c>
      <c r="H23" s="12" t="s">
        <v>28</v>
      </c>
      <c r="J23" s="68" t="str">
        <f t="shared" si="2"/>
        <v/>
      </c>
    </row>
    <row r="24" spans="1:10" x14ac:dyDescent="0.25">
      <c r="A24" s="12" t="s">
        <v>104</v>
      </c>
      <c r="B24" s="12" t="s">
        <v>130</v>
      </c>
      <c r="C24" s="12" t="s">
        <v>34</v>
      </c>
      <c r="D24" s="12">
        <v>1</v>
      </c>
      <c r="E24" s="12">
        <f t="shared" si="0"/>
        <v>2113</v>
      </c>
      <c r="F24" s="69">
        <f>ROUND(SUMIFS(Summary!$V:$V,Summary!$I:$I, $A24), 1)</f>
        <v>845.2</v>
      </c>
      <c r="G24" s="12">
        <f t="shared" si="1"/>
        <v>1267.8</v>
      </c>
      <c r="H24" s="12" t="s">
        <v>28</v>
      </c>
      <c r="J24" s="68" t="str">
        <f t="shared" si="2"/>
        <v/>
      </c>
    </row>
    <row r="25" spans="1:10" x14ac:dyDescent="0.25">
      <c r="A25" s="12" t="s">
        <v>15</v>
      </c>
      <c r="B25" s="12" t="s">
        <v>130</v>
      </c>
      <c r="C25" s="12" t="s">
        <v>34</v>
      </c>
      <c r="D25" s="12">
        <v>1</v>
      </c>
      <c r="E25" s="12">
        <f t="shared" si="0"/>
        <v>4133.25</v>
      </c>
      <c r="F25" s="69">
        <f>ROUND(SUMIFS(Summary!$V:$V,Summary!$I:$I, $A25), 1)</f>
        <v>1653.3</v>
      </c>
      <c r="G25" s="12">
        <f t="shared" si="1"/>
        <v>2480</v>
      </c>
      <c r="H25" s="12" t="s">
        <v>28</v>
      </c>
      <c r="J25" s="68" t="str">
        <f t="shared" si="2"/>
        <v/>
      </c>
    </row>
    <row r="26" spans="1:10" x14ac:dyDescent="0.25">
      <c r="A26" s="12" t="s">
        <v>125</v>
      </c>
      <c r="B26" s="12" t="s">
        <v>130</v>
      </c>
      <c r="C26" s="12" t="s">
        <v>34</v>
      </c>
      <c r="D26" s="12">
        <v>1</v>
      </c>
      <c r="E26" s="12">
        <f t="shared" ref="E26" si="5">F26/0.4</f>
        <v>1416.5</v>
      </c>
      <c r="F26" s="69">
        <f>ROUND(SUMIFS(Summary!$V:$V,Summary!$I:$I, $A26), 1)</f>
        <v>566.6</v>
      </c>
      <c r="G26" s="12">
        <f t="shared" ref="G26" si="6">ROUND(F26/(0.5+0.16666), 1)</f>
        <v>849.9</v>
      </c>
      <c r="H26" s="12" t="s">
        <v>28</v>
      </c>
      <c r="J26" s="68" t="str">
        <f t="shared" si="2"/>
        <v/>
      </c>
    </row>
    <row r="27" spans="1:10" x14ac:dyDescent="0.25">
      <c r="A27" s="12" t="s">
        <v>9</v>
      </c>
      <c r="B27" s="12" t="s">
        <v>130</v>
      </c>
      <c r="C27" s="12" t="s">
        <v>34</v>
      </c>
      <c r="D27" s="12">
        <v>1</v>
      </c>
      <c r="E27" s="12">
        <f t="shared" si="0"/>
        <v>18200</v>
      </c>
      <c r="F27" s="69">
        <f>ROUND(SUMIFS(Summary!$V:$V,Summary!$I:$I, $A27), 1)</f>
        <v>7280</v>
      </c>
      <c r="G27" s="12">
        <f t="shared" si="1"/>
        <v>10920.1</v>
      </c>
      <c r="H27" s="12" t="s">
        <v>28</v>
      </c>
      <c r="J27" s="68" t="str">
        <f t="shared" si="2"/>
        <v/>
      </c>
    </row>
    <row r="28" spans="1:10" x14ac:dyDescent="0.25">
      <c r="A28" s="12" t="s">
        <v>110</v>
      </c>
      <c r="B28" s="12" t="s">
        <v>130</v>
      </c>
      <c r="C28" s="12" t="s">
        <v>34</v>
      </c>
      <c r="D28" s="12">
        <v>1</v>
      </c>
      <c r="E28" s="12">
        <f t="shared" si="0"/>
        <v>0</v>
      </c>
      <c r="F28" s="69">
        <f>ROUND(SUMIFS(Summary!$V:$V,Summary!$I:$I, $A28), 1)</f>
        <v>0</v>
      </c>
      <c r="G28" s="12">
        <f t="shared" si="1"/>
        <v>0</v>
      </c>
      <c r="H28" s="12" t="s">
        <v>28</v>
      </c>
      <c r="J28" s="68" t="str">
        <f t="shared" si="2"/>
        <v>remove</v>
      </c>
    </row>
    <row r="29" spans="1:10" x14ac:dyDescent="0.25">
      <c r="A29" s="12" t="s">
        <v>19</v>
      </c>
      <c r="B29" s="12" t="s">
        <v>130</v>
      </c>
      <c r="C29" s="12" t="s">
        <v>34</v>
      </c>
      <c r="D29" s="12">
        <v>1</v>
      </c>
      <c r="E29" s="12">
        <f t="shared" si="0"/>
        <v>0</v>
      </c>
      <c r="F29" s="69">
        <f>ROUND(SUMIFS(Summary!$V:$V,Summary!$I:$I, $A29), 1)</f>
        <v>0</v>
      </c>
      <c r="G29" s="12">
        <f t="shared" si="1"/>
        <v>0</v>
      </c>
      <c r="H29" s="12" t="s">
        <v>28</v>
      </c>
      <c r="J29" s="68" t="str">
        <f t="shared" si="2"/>
        <v>remove</v>
      </c>
    </row>
    <row r="30" spans="1:10" x14ac:dyDescent="0.25">
      <c r="A30" s="12" t="s">
        <v>25</v>
      </c>
      <c r="B30" s="12" t="s">
        <v>130</v>
      </c>
      <c r="C30" s="12" t="s">
        <v>34</v>
      </c>
      <c r="D30" s="12">
        <v>1</v>
      </c>
      <c r="E30" s="12">
        <f t="shared" si="0"/>
        <v>733.25</v>
      </c>
      <c r="F30" s="69">
        <f>ROUND(SUMIFS(Summary!$V:$V,Summary!$I:$I, $A30), 1)</f>
        <v>293.3</v>
      </c>
      <c r="G30" s="12">
        <f t="shared" si="1"/>
        <v>440</v>
      </c>
      <c r="H30" s="12" t="s">
        <v>28</v>
      </c>
      <c r="J30" s="68" t="str">
        <f t="shared" si="2"/>
        <v/>
      </c>
    </row>
    <row r="31" spans="1:10" x14ac:dyDescent="0.25">
      <c r="A31" s="12" t="s">
        <v>12</v>
      </c>
      <c r="B31" s="12" t="s">
        <v>130</v>
      </c>
      <c r="C31" s="12" t="s">
        <v>34</v>
      </c>
      <c r="D31" s="12">
        <v>1</v>
      </c>
      <c r="E31" s="12">
        <f t="shared" si="0"/>
        <v>9950</v>
      </c>
      <c r="F31" s="69">
        <f>ROUND(SUMIFS(Summary!$V:$V,Summary!$I:$I, $A31), 1)</f>
        <v>3980</v>
      </c>
      <c r="G31" s="12">
        <f t="shared" si="1"/>
        <v>5970.1</v>
      </c>
      <c r="H31" s="12" t="s">
        <v>28</v>
      </c>
      <c r="J31" s="68" t="str">
        <f t="shared" si="2"/>
        <v/>
      </c>
    </row>
    <row r="32" spans="1:10" x14ac:dyDescent="0.25">
      <c r="A32" s="12" t="s">
        <v>20</v>
      </c>
      <c r="B32" s="12" t="s">
        <v>130</v>
      </c>
      <c r="C32" s="12" t="s">
        <v>34</v>
      </c>
      <c r="D32" s="12">
        <v>1</v>
      </c>
      <c r="E32" s="12">
        <f t="shared" si="0"/>
        <v>976.25</v>
      </c>
      <c r="F32" s="69">
        <f>ROUND(SUMIFS(Summary!$V:$V,Summary!$I:$I, $A32), 1)</f>
        <v>390.5</v>
      </c>
      <c r="G32" s="12">
        <f t="shared" si="1"/>
        <v>585.79999999999995</v>
      </c>
      <c r="H32" s="12" t="s">
        <v>28</v>
      </c>
      <c r="J32" s="68" t="str">
        <f t="shared" si="2"/>
        <v/>
      </c>
    </row>
    <row r="33" spans="1:10" x14ac:dyDescent="0.25">
      <c r="A33" s="12" t="s">
        <v>10</v>
      </c>
      <c r="B33" s="12" t="s">
        <v>130</v>
      </c>
      <c r="C33" s="12" t="s">
        <v>34</v>
      </c>
      <c r="D33" s="12">
        <v>1</v>
      </c>
      <c r="E33" s="12">
        <f t="shared" si="0"/>
        <v>11000</v>
      </c>
      <c r="F33" s="69">
        <f>ROUND(SUMIFS(Summary!$V:$V,Summary!$I:$I, $A33), 1)</f>
        <v>4400</v>
      </c>
      <c r="G33" s="12">
        <f t="shared" si="1"/>
        <v>6600.1</v>
      </c>
      <c r="H33" s="12" t="s">
        <v>28</v>
      </c>
      <c r="J33" s="68" t="str">
        <f t="shared" si="2"/>
        <v/>
      </c>
    </row>
    <row r="34" spans="1:10" x14ac:dyDescent="0.25">
      <c r="A34" s="12" t="s">
        <v>23</v>
      </c>
      <c r="B34" s="12" t="s">
        <v>130</v>
      </c>
      <c r="C34" s="12" t="s">
        <v>34</v>
      </c>
      <c r="D34" s="12">
        <v>1</v>
      </c>
      <c r="E34" s="12">
        <f t="shared" si="0"/>
        <v>839.24999999999989</v>
      </c>
      <c r="F34" s="69">
        <f>ROUND(SUMIFS(Summary!$V:$V,Summary!$I:$I, $A34), 1)</f>
        <v>335.7</v>
      </c>
      <c r="G34" s="12">
        <f t="shared" si="1"/>
        <v>503.6</v>
      </c>
      <c r="H34" s="12" t="s">
        <v>28</v>
      </c>
      <c r="J34" s="68" t="str">
        <f t="shared" si="2"/>
        <v/>
      </c>
    </row>
    <row r="35" spans="1:10" x14ac:dyDescent="0.25">
      <c r="A35" s="12" t="s">
        <v>24</v>
      </c>
      <c r="B35" s="12" t="s">
        <v>130</v>
      </c>
      <c r="C35" s="12" t="s">
        <v>34</v>
      </c>
      <c r="D35" s="12">
        <v>1</v>
      </c>
      <c r="E35" s="12">
        <f t="shared" si="0"/>
        <v>534.24999999999989</v>
      </c>
      <c r="F35" s="69">
        <f>ROUND(SUMIFS(Summary!$V:$V,Summary!$I:$I, $A35), 1)</f>
        <v>213.7</v>
      </c>
      <c r="G35" s="12">
        <f t="shared" si="1"/>
        <v>320.60000000000002</v>
      </c>
      <c r="H35" s="12" t="s">
        <v>28</v>
      </c>
      <c r="J35" s="68" t="str">
        <f t="shared" si="2"/>
        <v/>
      </c>
    </row>
    <row r="36" spans="1:10" x14ac:dyDescent="0.25">
      <c r="A36" s="12" t="s">
        <v>14</v>
      </c>
      <c r="B36" s="12" t="s">
        <v>130</v>
      </c>
      <c r="C36" s="12" t="s">
        <v>34</v>
      </c>
      <c r="D36" s="12">
        <v>1</v>
      </c>
      <c r="E36" s="12">
        <f t="shared" si="0"/>
        <v>2788.9999999999995</v>
      </c>
      <c r="F36" s="69">
        <f>ROUND(SUMIFS(Summary!$V:$V,Summary!$I:$I, $A36), 1)</f>
        <v>1115.5999999999999</v>
      </c>
      <c r="G36" s="12">
        <f t="shared" si="1"/>
        <v>1673.4</v>
      </c>
      <c r="H36" s="12" t="s">
        <v>28</v>
      </c>
      <c r="J36" s="68" t="str">
        <f t="shared" si="2"/>
        <v/>
      </c>
    </row>
    <row r="37" spans="1:10" x14ac:dyDescent="0.25">
      <c r="A37" s="12" t="s">
        <v>21</v>
      </c>
      <c r="B37" s="12" t="s">
        <v>130</v>
      </c>
      <c r="C37" s="12" t="s">
        <v>34</v>
      </c>
      <c r="D37" s="12">
        <v>1</v>
      </c>
      <c r="E37" s="12">
        <f t="shared" si="0"/>
        <v>50</v>
      </c>
      <c r="F37" s="69">
        <f>ROUND(SUMIFS(Summary!$V:$V,Summary!$I:$I, $A37), 1)</f>
        <v>20</v>
      </c>
      <c r="G37" s="12">
        <f t="shared" si="1"/>
        <v>30</v>
      </c>
      <c r="H37" s="12" t="s">
        <v>28</v>
      </c>
      <c r="J37" s="68" t="str">
        <f t="shared" si="2"/>
        <v/>
      </c>
    </row>
    <row r="38" spans="1:10" x14ac:dyDescent="0.25">
      <c r="A38" s="12" t="s">
        <v>27</v>
      </c>
      <c r="B38" s="12" t="s">
        <v>130</v>
      </c>
      <c r="C38" s="12" t="s">
        <v>34</v>
      </c>
      <c r="D38" s="12">
        <v>1</v>
      </c>
      <c r="E38" s="12">
        <f t="shared" si="0"/>
        <v>487.5</v>
      </c>
      <c r="F38" s="69">
        <f>ROUND(SUMIFS(Summary!$V:$V,Summary!$I:$I, $A38), 1)</f>
        <v>195</v>
      </c>
      <c r="G38" s="12">
        <f t="shared" si="1"/>
        <v>292.5</v>
      </c>
      <c r="H38" s="12" t="s">
        <v>28</v>
      </c>
      <c r="J38" s="68" t="str">
        <f t="shared" si="2"/>
        <v/>
      </c>
    </row>
    <row r="39" spans="1:10" x14ac:dyDescent="0.25">
      <c r="A39" s="12" t="s">
        <v>22</v>
      </c>
      <c r="B39" s="12" t="s">
        <v>130</v>
      </c>
      <c r="C39" s="12" t="s">
        <v>34</v>
      </c>
      <c r="D39" s="12">
        <v>1</v>
      </c>
      <c r="E39" s="12">
        <f t="shared" si="0"/>
        <v>125</v>
      </c>
      <c r="F39" s="69">
        <f>ROUND(SUMIFS(Summary!$V:$V,Summary!$I:$I, $A39), 1)</f>
        <v>50</v>
      </c>
      <c r="G39" s="12">
        <f t="shared" si="1"/>
        <v>75</v>
      </c>
      <c r="H39" s="12" t="s">
        <v>28</v>
      </c>
      <c r="J39" s="68" t="str">
        <f t="shared" si="2"/>
        <v/>
      </c>
    </row>
    <row r="40" spans="1:10" x14ac:dyDescent="0.25">
      <c r="A40" s="12" t="s">
        <v>13</v>
      </c>
      <c r="B40" s="12" t="s">
        <v>130</v>
      </c>
      <c r="C40" s="12" t="s">
        <v>34</v>
      </c>
      <c r="D40" s="12">
        <v>1</v>
      </c>
      <c r="E40" s="12">
        <f t="shared" si="0"/>
        <v>14035.75</v>
      </c>
      <c r="F40" s="69">
        <f>ROUND(SUMIFS(Summary!$V:$V,Summary!$I:$I, $A40), 1)</f>
        <v>5614.3</v>
      </c>
      <c r="G40" s="12">
        <f t="shared" si="1"/>
        <v>8421.5</v>
      </c>
      <c r="H40" s="12" t="s">
        <v>28</v>
      </c>
      <c r="J40" s="68" t="str">
        <f t="shared" si="2"/>
        <v/>
      </c>
    </row>
    <row r="41" spans="1:10" x14ac:dyDescent="0.25">
      <c r="A41" s="12" t="s">
        <v>26</v>
      </c>
      <c r="B41" s="12" t="s">
        <v>130</v>
      </c>
      <c r="C41" s="12" t="s">
        <v>34</v>
      </c>
      <c r="D41" s="12">
        <v>1</v>
      </c>
      <c r="E41" s="12">
        <f t="shared" si="0"/>
        <v>1337.5</v>
      </c>
      <c r="F41" s="69">
        <f>ROUND(SUMIFS(Summary!$V:$V,Summary!$I:$I, $A41), 1)</f>
        <v>535</v>
      </c>
      <c r="G41" s="12">
        <f t="shared" si="1"/>
        <v>802.5</v>
      </c>
      <c r="H41" s="12" t="s">
        <v>28</v>
      </c>
      <c r="J41" s="68" t="str">
        <f t="shared" si="2"/>
        <v/>
      </c>
    </row>
    <row r="42" spans="1:10" x14ac:dyDescent="0.25">
      <c r="A42" s="12" t="s">
        <v>16</v>
      </c>
      <c r="B42" s="12" t="s">
        <v>130</v>
      </c>
      <c r="C42" s="12" t="s">
        <v>34</v>
      </c>
      <c r="D42" s="12">
        <v>1</v>
      </c>
      <c r="E42" s="12">
        <f t="shared" si="0"/>
        <v>5000.2499999999991</v>
      </c>
      <c r="F42" s="69">
        <f>ROUND(SUMIFS(Summary!$V:$V,Summary!$I:$I, $A42), 1)</f>
        <v>2000.1</v>
      </c>
      <c r="G42" s="12">
        <f t="shared" si="1"/>
        <v>3000.2</v>
      </c>
      <c r="H42" s="12" t="s">
        <v>28</v>
      </c>
      <c r="J42" s="68" t="str">
        <f t="shared" si="2"/>
        <v/>
      </c>
    </row>
    <row r="43" spans="1:10" x14ac:dyDescent="0.25">
      <c r="A43" s="12" t="s">
        <v>17</v>
      </c>
      <c r="B43" s="12" t="s">
        <v>130</v>
      </c>
      <c r="C43" s="12" t="s">
        <v>34</v>
      </c>
      <c r="D43" s="12">
        <v>1</v>
      </c>
      <c r="E43" s="12">
        <f t="shared" si="0"/>
        <v>17164.5</v>
      </c>
      <c r="F43" s="69">
        <f>ROUND(SUMIFS(Summary!$V:$V,Summary!$I:$I, $A43), 1)</f>
        <v>6865.8</v>
      </c>
      <c r="G43" s="12">
        <f t="shared" si="1"/>
        <v>10298.799999999999</v>
      </c>
      <c r="H43" s="12" t="s">
        <v>28</v>
      </c>
      <c r="J43" s="68" t="str">
        <f t="shared" si="2"/>
        <v/>
      </c>
    </row>
    <row r="44" spans="1:10" x14ac:dyDescent="0.25">
      <c r="A44" s="12" t="s">
        <v>18</v>
      </c>
      <c r="B44" s="12" t="s">
        <v>130</v>
      </c>
      <c r="C44" s="12" t="s">
        <v>34</v>
      </c>
      <c r="D44" s="12">
        <v>1</v>
      </c>
      <c r="E44" s="12">
        <f t="shared" si="0"/>
        <v>4691</v>
      </c>
      <c r="F44" s="69">
        <f>ROUND(SUMIFS(Summary!$V:$V,Summary!$I:$I, $A44), 1)</f>
        <v>1876.4</v>
      </c>
      <c r="G44" s="12">
        <f t="shared" si="1"/>
        <v>2814.6</v>
      </c>
      <c r="H44" s="12" t="s">
        <v>28</v>
      </c>
      <c r="J44" s="68" t="str">
        <f t="shared" si="2"/>
        <v/>
      </c>
    </row>
    <row r="45" spans="1:10" x14ac:dyDescent="0.25">
      <c r="A45" s="12" t="s">
        <v>11</v>
      </c>
      <c r="B45" s="12" t="s">
        <v>130</v>
      </c>
      <c r="C45" s="12" t="s">
        <v>34</v>
      </c>
      <c r="D45" s="12">
        <v>1</v>
      </c>
      <c r="E45" s="12">
        <f t="shared" si="0"/>
        <v>20518</v>
      </c>
      <c r="F45" s="69">
        <f>ROUND(SUMIFS(Summary!$V:$V,Summary!$I:$I, $A45), 1)</f>
        <v>8207.2000000000007</v>
      </c>
      <c r="G45" s="12">
        <f t="shared" si="1"/>
        <v>12310.9</v>
      </c>
      <c r="H45" s="12" t="s">
        <v>28</v>
      </c>
      <c r="J45" s="68" t="str">
        <f t="shared" si="2"/>
        <v/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678F-C143-4C5D-BE2D-2B58F02943B7}">
  <sheetPr>
    <tabColor theme="7" tint="0.59999389629810485"/>
  </sheetPr>
  <dimension ref="A1:G23"/>
  <sheetViews>
    <sheetView workbookViewId="0">
      <selection activeCell="F36" sqref="F36"/>
    </sheetView>
  </sheetViews>
  <sheetFormatPr defaultRowHeight="15" x14ac:dyDescent="0.25"/>
  <cols>
    <col min="1" max="1" width="8" style="1" bestFit="1" customWidth="1"/>
    <col min="2" max="2" width="6.140625" style="1" bestFit="1" customWidth="1"/>
    <col min="3" max="3" width="11.85546875" style="1" bestFit="1" customWidth="1"/>
    <col min="4" max="4" width="9" style="1" bestFit="1" customWidth="1"/>
    <col min="5" max="5" width="5" style="1" bestFit="1" customWidth="1"/>
    <col min="6" max="6" width="10.5703125" style="1" customWidth="1"/>
    <col min="7" max="7" width="15.140625" style="1" bestFit="1" customWidth="1"/>
  </cols>
  <sheetData>
    <row r="1" spans="1:7" x14ac:dyDescent="0.25">
      <c r="A1" s="15" t="s">
        <v>0</v>
      </c>
      <c r="B1" s="15" t="s">
        <v>29</v>
      </c>
      <c r="C1" s="15" t="s">
        <v>30</v>
      </c>
      <c r="D1" s="15" t="s">
        <v>2</v>
      </c>
      <c r="E1" s="15" t="s">
        <v>3</v>
      </c>
      <c r="F1" s="15" t="s">
        <v>31</v>
      </c>
      <c r="G1" s="16" t="s">
        <v>32</v>
      </c>
    </row>
    <row r="2" spans="1:7" x14ac:dyDescent="0.25">
      <c r="A2" s="1" t="s">
        <v>104</v>
      </c>
      <c r="B2" s="1" t="s">
        <v>33</v>
      </c>
      <c r="C2" s="1" t="s">
        <v>28</v>
      </c>
      <c r="D2" s="21" t="s">
        <v>34</v>
      </c>
      <c r="E2" s="21">
        <v>1</v>
      </c>
      <c r="F2" s="18">
        <f>SUMIFS(Summary!$L:$L,Summary!$I:$I,demanddata!A2)</f>
        <v>18.899486105113525</v>
      </c>
    </row>
    <row r="3" spans="1:7" x14ac:dyDescent="0.25">
      <c r="A3" s="1" t="s">
        <v>15</v>
      </c>
      <c r="B3" s="1" t="s">
        <v>33</v>
      </c>
      <c r="C3" s="1" t="s">
        <v>28</v>
      </c>
      <c r="D3" s="21" t="s">
        <v>34</v>
      </c>
      <c r="E3" s="21">
        <v>1</v>
      </c>
      <c r="F3" s="18">
        <f>SUMIFS(Summary!$L:$L,Summary!$I:$I,demanddata!A3)</f>
        <v>27.839204464285633</v>
      </c>
    </row>
    <row r="4" spans="1:7" x14ac:dyDescent="0.25">
      <c r="A4" s="1" t="s">
        <v>125</v>
      </c>
      <c r="B4" s="1" t="s">
        <v>33</v>
      </c>
      <c r="C4" s="1" t="s">
        <v>28</v>
      </c>
      <c r="D4" s="21" t="s">
        <v>34</v>
      </c>
      <c r="E4" s="21">
        <v>1</v>
      </c>
      <c r="F4" s="18">
        <f>SUMIFS(Summary!$L:$L,Summary!$I:$I,demanddata!A4)</f>
        <v>3.2188081127694792</v>
      </c>
    </row>
    <row r="5" spans="1:7" x14ac:dyDescent="0.25">
      <c r="A5" s="1" t="s">
        <v>9</v>
      </c>
      <c r="B5" s="1" t="s">
        <v>33</v>
      </c>
      <c r="C5" s="1" t="s">
        <v>28</v>
      </c>
      <c r="D5" s="21" t="s">
        <v>34</v>
      </c>
      <c r="E5" s="21">
        <v>1</v>
      </c>
      <c r="F5" s="18">
        <f>SUMIFS(Summary!$L:$L,Summary!$I:$I,demanddata!A5)</f>
        <v>68.400874431818181</v>
      </c>
    </row>
    <row r="6" spans="1:7" x14ac:dyDescent="0.25">
      <c r="A6" s="1" t="s">
        <v>110</v>
      </c>
      <c r="B6" s="1" t="s">
        <v>33</v>
      </c>
      <c r="C6" s="1" t="s">
        <v>28</v>
      </c>
      <c r="D6" s="21" t="s">
        <v>34</v>
      </c>
      <c r="E6" s="21">
        <v>1</v>
      </c>
      <c r="F6" s="18">
        <f>SUMIFS(Summary!$L:$L,Summary!$I:$I,demanddata!A6)</f>
        <v>0</v>
      </c>
    </row>
    <row r="7" spans="1:7" x14ac:dyDescent="0.25">
      <c r="A7" s="1" t="s">
        <v>19</v>
      </c>
      <c r="B7" s="1" t="s">
        <v>33</v>
      </c>
      <c r="C7" s="1" t="s">
        <v>28</v>
      </c>
      <c r="D7" s="21" t="s">
        <v>34</v>
      </c>
      <c r="E7" s="21">
        <v>1</v>
      </c>
      <c r="F7" s="18">
        <f>SUMIFS(Summary!$L:$L,Summary!$I:$I,demanddata!A7)</f>
        <v>0</v>
      </c>
    </row>
    <row r="8" spans="1:7" x14ac:dyDescent="0.25">
      <c r="A8" s="1" t="s">
        <v>25</v>
      </c>
      <c r="B8" s="1" t="s">
        <v>33</v>
      </c>
      <c r="C8" s="1" t="s">
        <v>28</v>
      </c>
      <c r="D8" s="21" t="s">
        <v>34</v>
      </c>
      <c r="E8" s="21">
        <v>1</v>
      </c>
      <c r="F8" s="18">
        <f>SUMIFS(Summary!$L:$L,Summary!$I:$I,demanddata!A8)</f>
        <v>0.85807817866820701</v>
      </c>
    </row>
    <row r="9" spans="1:7" x14ac:dyDescent="0.25">
      <c r="A9" s="1" t="s">
        <v>12</v>
      </c>
      <c r="B9" s="1" t="s">
        <v>33</v>
      </c>
      <c r="C9" s="1" t="s">
        <v>28</v>
      </c>
      <c r="D9" s="21" t="s">
        <v>34</v>
      </c>
      <c r="E9" s="21">
        <v>1</v>
      </c>
      <c r="F9" s="18">
        <f>SUMIFS(Summary!$L:$L,Summary!$I:$I,demanddata!A9)</f>
        <v>49.067176704545489</v>
      </c>
    </row>
    <row r="10" spans="1:7" x14ac:dyDescent="0.25">
      <c r="A10" s="1" t="s">
        <v>20</v>
      </c>
      <c r="B10" s="1" t="s">
        <v>33</v>
      </c>
      <c r="C10" s="1" t="s">
        <v>28</v>
      </c>
      <c r="D10" s="21" t="s">
        <v>34</v>
      </c>
      <c r="E10" s="21">
        <v>1</v>
      </c>
      <c r="F10" s="18">
        <f>SUMIFS(Summary!$L:$L,Summary!$I:$I,demanddata!A10)</f>
        <v>15.239273863636374</v>
      </c>
    </row>
    <row r="11" spans="1:7" x14ac:dyDescent="0.25">
      <c r="A11" s="1" t="s">
        <v>10</v>
      </c>
      <c r="B11" s="1" t="s">
        <v>33</v>
      </c>
      <c r="C11" s="1" t="s">
        <v>28</v>
      </c>
      <c r="D11" s="21" t="s">
        <v>34</v>
      </c>
      <c r="E11" s="21">
        <v>1</v>
      </c>
      <c r="F11" s="18">
        <f>SUMIFS(Summary!$L:$L,Summary!$I:$I,demanddata!A11)</f>
        <v>34.606931188636487</v>
      </c>
    </row>
    <row r="12" spans="1:7" x14ac:dyDescent="0.25">
      <c r="A12" s="1" t="s">
        <v>23</v>
      </c>
      <c r="B12" s="1" t="s">
        <v>33</v>
      </c>
      <c r="C12" s="1" t="s">
        <v>28</v>
      </c>
      <c r="D12" s="21" t="s">
        <v>34</v>
      </c>
      <c r="E12" s="21">
        <v>1</v>
      </c>
      <c r="F12" s="18">
        <f>SUMIFS(Summary!$L:$L,Summary!$I:$I,demanddata!A12)</f>
        <v>2.3796772702297733</v>
      </c>
    </row>
    <row r="13" spans="1:7" x14ac:dyDescent="0.25">
      <c r="A13" s="1" t="s">
        <v>24</v>
      </c>
      <c r="B13" s="1" t="s">
        <v>33</v>
      </c>
      <c r="C13" s="1" t="s">
        <v>28</v>
      </c>
      <c r="D13" s="21" t="s">
        <v>34</v>
      </c>
      <c r="E13" s="21">
        <v>1</v>
      </c>
      <c r="F13" s="18">
        <f>SUMIFS(Summary!$L:$L,Summary!$I:$I,demanddata!A13)</f>
        <v>1.295391806551029</v>
      </c>
    </row>
    <row r="14" spans="1:7" x14ac:dyDescent="0.25">
      <c r="A14" s="1" t="s">
        <v>14</v>
      </c>
      <c r="B14" s="1" t="s">
        <v>33</v>
      </c>
      <c r="C14" s="1" t="s">
        <v>28</v>
      </c>
      <c r="D14" s="21" t="s">
        <v>34</v>
      </c>
      <c r="E14" s="21">
        <v>1</v>
      </c>
      <c r="F14" s="18">
        <f>SUMIFS(Summary!$L:$L,Summary!$I:$I,demanddata!A14)</f>
        <v>55.370671000000002</v>
      </c>
    </row>
    <row r="15" spans="1:7" x14ac:dyDescent="0.25">
      <c r="A15" s="12" t="s">
        <v>21</v>
      </c>
      <c r="B15" s="1" t="s">
        <v>33</v>
      </c>
      <c r="C15" s="1" t="s">
        <v>28</v>
      </c>
      <c r="D15" s="21" t="s">
        <v>34</v>
      </c>
      <c r="E15" s="21">
        <v>1</v>
      </c>
      <c r="F15" s="18">
        <f>SUMIFS(Summary!$L:$L,Summary!$I:$I,demanddata!A15)</f>
        <v>0.17709937036877885</v>
      </c>
    </row>
    <row r="16" spans="1:7" x14ac:dyDescent="0.25">
      <c r="A16" s="12" t="s">
        <v>27</v>
      </c>
      <c r="B16" s="1" t="s">
        <v>33</v>
      </c>
      <c r="C16" s="1" t="s">
        <v>28</v>
      </c>
      <c r="D16" s="21" t="s">
        <v>34</v>
      </c>
      <c r="E16" s="21">
        <v>1</v>
      </c>
      <c r="F16" s="18">
        <f>SUMIFS(Summary!$L:$L,Summary!$I:$I,demanddata!A16)</f>
        <v>1.7267188610955937</v>
      </c>
    </row>
    <row r="17" spans="1:7" x14ac:dyDescent="0.25">
      <c r="A17" s="17" t="s">
        <v>22</v>
      </c>
      <c r="B17" s="1" t="s">
        <v>33</v>
      </c>
      <c r="C17" s="1" t="s">
        <v>28</v>
      </c>
      <c r="D17" s="21" t="s">
        <v>34</v>
      </c>
      <c r="E17" s="21">
        <v>1</v>
      </c>
      <c r="F17" s="18">
        <f>SUMIFS(Summary!$L:$L,Summary!$I:$I,demanddata!A17)</f>
        <v>0.44274842592194713</v>
      </c>
      <c r="G17" s="17"/>
    </row>
    <row r="18" spans="1:7" x14ac:dyDescent="0.25">
      <c r="A18" s="1" t="s">
        <v>13</v>
      </c>
      <c r="B18" s="1" t="s">
        <v>33</v>
      </c>
      <c r="C18" s="1" t="s">
        <v>28</v>
      </c>
      <c r="D18" s="21" t="s">
        <v>34</v>
      </c>
      <c r="E18" s="21">
        <v>1</v>
      </c>
      <c r="F18" s="18">
        <f>SUMIFS(Summary!$L:$L,Summary!$I:$I,demanddata!A18)</f>
        <v>32.116778500000002</v>
      </c>
    </row>
    <row r="19" spans="1:7" x14ac:dyDescent="0.25">
      <c r="A19" s="1" t="s">
        <v>26</v>
      </c>
      <c r="B19" s="1" t="s">
        <v>33</v>
      </c>
      <c r="C19" s="1" t="s">
        <v>28</v>
      </c>
      <c r="D19" s="21" t="s">
        <v>34</v>
      </c>
      <c r="E19" s="21">
        <v>1</v>
      </c>
      <c r="F19" s="18">
        <f>SUMIFS(Summary!$L:$L,Summary!$I:$I,demanddata!A19)</f>
        <v>1.1403121428571428</v>
      </c>
    </row>
    <row r="20" spans="1:7" x14ac:dyDescent="0.25">
      <c r="A20" s="1" t="s">
        <v>16</v>
      </c>
      <c r="B20" s="1" t="s">
        <v>33</v>
      </c>
      <c r="C20" s="1" t="s">
        <v>28</v>
      </c>
      <c r="D20" s="21" t="s">
        <v>34</v>
      </c>
      <c r="E20" s="21">
        <v>1</v>
      </c>
      <c r="F20" s="18">
        <f>SUMIFS(Summary!$L:$L,Summary!$I:$I,demanddata!A20)</f>
        <v>5.0979269230769226</v>
      </c>
    </row>
    <row r="21" spans="1:7" x14ac:dyDescent="0.25">
      <c r="A21" s="1" t="s">
        <v>17</v>
      </c>
      <c r="B21" s="1" t="s">
        <v>33</v>
      </c>
      <c r="C21" s="1" t="s">
        <v>28</v>
      </c>
      <c r="D21" s="21" t="s">
        <v>34</v>
      </c>
      <c r="E21" s="21">
        <v>1</v>
      </c>
      <c r="F21" s="18">
        <f>SUMIFS(Summary!$L:$L,Summary!$I:$I,demanddata!A21)</f>
        <v>22.884912390109893</v>
      </c>
    </row>
    <row r="22" spans="1:7" x14ac:dyDescent="0.25">
      <c r="A22" s="1" t="s">
        <v>18</v>
      </c>
      <c r="B22" s="1" t="s">
        <v>33</v>
      </c>
      <c r="C22" s="1" t="s">
        <v>28</v>
      </c>
      <c r="D22" s="21" t="s">
        <v>34</v>
      </c>
      <c r="E22" s="21">
        <v>1</v>
      </c>
      <c r="F22" s="18">
        <f>SUMIFS(Summary!$L:$L,Summary!$I:$I,demanddata!A22)</f>
        <v>5.2148953846153843</v>
      </c>
    </row>
    <row r="23" spans="1:7" x14ac:dyDescent="0.25">
      <c r="A23" s="1" t="s">
        <v>11</v>
      </c>
      <c r="B23" s="1" t="s">
        <v>33</v>
      </c>
      <c r="C23" s="1" t="s">
        <v>28</v>
      </c>
      <c r="D23" s="21" t="s">
        <v>34</v>
      </c>
      <c r="E23" s="21">
        <v>1</v>
      </c>
      <c r="F23" s="18">
        <f>SUMIFS(Summary!$L:$L,Summary!$I:$I,demanddata!A23)</f>
        <v>147.36625717032967</v>
      </c>
    </row>
  </sheetData>
  <conditionalFormatting sqref="A5:A17 G5:G17 B5:F23">
    <cfRule type="expression" dxfId="3" priority="2">
      <formula>MOD(ROW(),2)=0</formula>
    </cfRule>
  </conditionalFormatting>
  <conditionalFormatting sqref="A2:G4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A18FE-1243-432E-8A1A-21317EE02799}">
  <sheetPr>
    <tabColor theme="7" tint="0.59999389629810485"/>
  </sheetPr>
  <dimension ref="A1:K24"/>
  <sheetViews>
    <sheetView zoomScaleNormal="100" workbookViewId="0">
      <selection activeCell="F8" sqref="F8:F23"/>
    </sheetView>
  </sheetViews>
  <sheetFormatPr defaultColWidth="11.5703125" defaultRowHeight="12.75" x14ac:dyDescent="0.2"/>
  <cols>
    <col min="1" max="1" width="11.5703125" style="58"/>
    <col min="2" max="3" width="19.7109375" style="58" customWidth="1"/>
    <col min="4" max="4" width="16.42578125" style="59" customWidth="1"/>
    <col min="5" max="6" width="11.5703125" style="59"/>
    <col min="7" max="7" width="16.7109375" style="63" bestFit="1" customWidth="1"/>
    <col min="8" max="8" width="12" style="62" bestFit="1" customWidth="1"/>
    <col min="9" max="9" width="19.28515625" style="62" bestFit="1" customWidth="1"/>
    <col min="10" max="10" width="19.28515625" style="62" customWidth="1"/>
    <col min="11" max="11" width="13.140625" style="62" bestFit="1" customWidth="1"/>
    <col min="12" max="16384" width="11.5703125" style="62"/>
  </cols>
  <sheetData>
    <row r="1" spans="1:11" ht="15" x14ac:dyDescent="0.2">
      <c r="A1" s="67" t="s">
        <v>0</v>
      </c>
      <c r="B1" s="67" t="s">
        <v>29</v>
      </c>
      <c r="C1" s="67" t="s">
        <v>30</v>
      </c>
      <c r="D1" s="67" t="s">
        <v>2</v>
      </c>
      <c r="E1" s="67" t="s">
        <v>3</v>
      </c>
      <c r="F1" s="67" t="s">
        <v>127</v>
      </c>
      <c r="G1" s="67" t="s">
        <v>119</v>
      </c>
      <c r="H1" s="60" t="s">
        <v>120</v>
      </c>
      <c r="I1" s="61" t="s">
        <v>121</v>
      </c>
      <c r="J1" s="61" t="s">
        <v>122</v>
      </c>
      <c r="K1" s="61" t="s">
        <v>123</v>
      </c>
    </row>
    <row r="2" spans="1:11" x14ac:dyDescent="0.2">
      <c r="A2" s="62" t="s">
        <v>104</v>
      </c>
      <c r="B2" s="58" t="s">
        <v>33</v>
      </c>
      <c r="C2" s="58" t="s">
        <v>28</v>
      </c>
      <c r="D2" s="59" t="s">
        <v>34</v>
      </c>
      <c r="E2" s="59">
        <v>1</v>
      </c>
      <c r="F2" s="59">
        <v>1</v>
      </c>
      <c r="H2" s="63"/>
      <c r="I2" s="63">
        <v>4000</v>
      </c>
      <c r="J2" s="63"/>
      <c r="K2" s="63"/>
    </row>
    <row r="3" spans="1:11" x14ac:dyDescent="0.2">
      <c r="A3" s="62" t="s">
        <v>15</v>
      </c>
      <c r="B3" s="58" t="s">
        <v>33</v>
      </c>
      <c r="C3" s="58" t="s">
        <v>28</v>
      </c>
      <c r="D3" s="59" t="s">
        <v>34</v>
      </c>
      <c r="E3" s="59">
        <v>1</v>
      </c>
      <c r="F3" s="59">
        <v>1</v>
      </c>
      <c r="H3" s="63"/>
      <c r="I3" s="63">
        <v>4000</v>
      </c>
      <c r="J3" s="63"/>
      <c r="K3" s="63"/>
    </row>
    <row r="4" spans="1:11" x14ac:dyDescent="0.2">
      <c r="A4" s="62" t="s">
        <v>125</v>
      </c>
      <c r="B4" s="58" t="s">
        <v>33</v>
      </c>
      <c r="C4" s="58" t="s">
        <v>28</v>
      </c>
      <c r="D4" s="59" t="s">
        <v>34</v>
      </c>
      <c r="E4" s="59">
        <v>1</v>
      </c>
      <c r="F4" s="59">
        <v>1</v>
      </c>
      <c r="H4" s="63"/>
      <c r="I4" s="63">
        <v>4000</v>
      </c>
      <c r="J4" s="63"/>
      <c r="K4" s="63"/>
    </row>
    <row r="5" spans="1:11" x14ac:dyDescent="0.2">
      <c r="A5" s="62" t="s">
        <v>9</v>
      </c>
      <c r="B5" s="58" t="s">
        <v>33</v>
      </c>
      <c r="C5" s="58" t="s">
        <v>28</v>
      </c>
      <c r="D5" s="59" t="s">
        <v>34</v>
      </c>
      <c r="E5" s="59">
        <v>1</v>
      </c>
      <c r="F5" s="59">
        <v>1</v>
      </c>
      <c r="H5" s="63"/>
      <c r="I5" s="63">
        <v>4000</v>
      </c>
      <c r="J5" s="63"/>
      <c r="K5" s="63"/>
    </row>
    <row r="6" spans="1:11" x14ac:dyDescent="0.2">
      <c r="A6" s="62" t="s">
        <v>110</v>
      </c>
      <c r="B6" s="58" t="s">
        <v>33</v>
      </c>
      <c r="C6" s="58" t="s">
        <v>28</v>
      </c>
      <c r="D6" s="59" t="s">
        <v>34</v>
      </c>
      <c r="E6" s="59">
        <v>1</v>
      </c>
      <c r="F6" s="59">
        <v>1</v>
      </c>
      <c r="H6" s="63"/>
      <c r="I6" s="63">
        <v>4000</v>
      </c>
      <c r="J6" s="63"/>
      <c r="K6" s="63"/>
    </row>
    <row r="7" spans="1:11" x14ac:dyDescent="0.2">
      <c r="A7" s="62" t="s">
        <v>19</v>
      </c>
      <c r="B7" s="58" t="s">
        <v>33</v>
      </c>
      <c r="C7" s="58" t="s">
        <v>28</v>
      </c>
      <c r="D7" s="59" t="s">
        <v>34</v>
      </c>
      <c r="E7" s="59">
        <v>1</v>
      </c>
      <c r="F7" s="59">
        <v>1</v>
      </c>
      <c r="H7" s="63"/>
      <c r="I7" s="63">
        <v>4000</v>
      </c>
      <c r="J7" s="63"/>
      <c r="K7" s="63"/>
    </row>
    <row r="8" spans="1:11" x14ac:dyDescent="0.2">
      <c r="A8" s="62" t="s">
        <v>25</v>
      </c>
      <c r="B8" s="58" t="s">
        <v>33</v>
      </c>
      <c r="C8" s="58" t="s">
        <v>28</v>
      </c>
      <c r="D8" s="59" t="s">
        <v>34</v>
      </c>
      <c r="E8" s="59">
        <v>1</v>
      </c>
      <c r="F8" s="59">
        <v>1</v>
      </c>
      <c r="H8" s="63"/>
      <c r="I8" s="63">
        <v>4000</v>
      </c>
      <c r="J8" s="63"/>
      <c r="K8" s="63"/>
    </row>
    <row r="9" spans="1:11" x14ac:dyDescent="0.2">
      <c r="A9" s="62" t="s">
        <v>12</v>
      </c>
      <c r="B9" s="58" t="s">
        <v>33</v>
      </c>
      <c r="C9" s="58" t="s">
        <v>28</v>
      </c>
      <c r="D9" s="59" t="s">
        <v>34</v>
      </c>
      <c r="E9" s="59">
        <v>1</v>
      </c>
      <c r="F9" s="59">
        <v>1</v>
      </c>
      <c r="H9" s="63"/>
      <c r="I9" s="63">
        <v>4000</v>
      </c>
      <c r="J9" s="63"/>
      <c r="K9" s="63"/>
    </row>
    <row r="10" spans="1:11" x14ac:dyDescent="0.2">
      <c r="A10" s="62" t="s">
        <v>20</v>
      </c>
      <c r="B10" s="58" t="s">
        <v>33</v>
      </c>
      <c r="C10" s="58" t="s">
        <v>28</v>
      </c>
      <c r="D10" s="59" t="s">
        <v>34</v>
      </c>
      <c r="E10" s="59">
        <v>1</v>
      </c>
      <c r="F10" s="59">
        <v>1</v>
      </c>
      <c r="H10" s="63"/>
      <c r="I10" s="63">
        <v>4000</v>
      </c>
      <c r="J10" s="63"/>
      <c r="K10" s="63"/>
    </row>
    <row r="11" spans="1:11" x14ac:dyDescent="0.2">
      <c r="A11" s="62" t="s">
        <v>10</v>
      </c>
      <c r="B11" s="58" t="s">
        <v>33</v>
      </c>
      <c r="C11" s="58" t="s">
        <v>28</v>
      </c>
      <c r="D11" s="59" t="s">
        <v>34</v>
      </c>
      <c r="E11" s="59">
        <v>1</v>
      </c>
      <c r="F11" s="59">
        <v>1</v>
      </c>
      <c r="H11" s="63"/>
      <c r="I11" s="63">
        <v>4000</v>
      </c>
      <c r="J11" s="63"/>
      <c r="K11" s="63"/>
    </row>
    <row r="12" spans="1:11" x14ac:dyDescent="0.2">
      <c r="A12" s="62" t="s">
        <v>23</v>
      </c>
      <c r="B12" s="58" t="s">
        <v>33</v>
      </c>
      <c r="C12" s="58" t="s">
        <v>28</v>
      </c>
      <c r="D12" s="59" t="s">
        <v>34</v>
      </c>
      <c r="E12" s="59">
        <v>1</v>
      </c>
      <c r="F12" s="59">
        <v>1</v>
      </c>
      <c r="H12" s="63"/>
      <c r="I12" s="63">
        <v>4000</v>
      </c>
      <c r="J12" s="63"/>
      <c r="K12" s="63"/>
    </row>
    <row r="13" spans="1:11" x14ac:dyDescent="0.2">
      <c r="A13" s="62" t="s">
        <v>24</v>
      </c>
      <c r="B13" s="58" t="s">
        <v>33</v>
      </c>
      <c r="C13" s="58" t="s">
        <v>28</v>
      </c>
      <c r="D13" s="59" t="s">
        <v>34</v>
      </c>
      <c r="E13" s="59">
        <v>1</v>
      </c>
      <c r="F13" s="59">
        <v>1</v>
      </c>
      <c r="H13" s="63"/>
      <c r="I13" s="63">
        <v>4000</v>
      </c>
      <c r="J13" s="63"/>
      <c r="K13" s="63"/>
    </row>
    <row r="14" spans="1:11" x14ac:dyDescent="0.2">
      <c r="A14" s="62" t="s">
        <v>14</v>
      </c>
      <c r="B14" s="58" t="s">
        <v>33</v>
      </c>
      <c r="C14" s="58" t="s">
        <v>28</v>
      </c>
      <c r="D14" s="59" t="s">
        <v>34</v>
      </c>
      <c r="E14" s="59">
        <v>1</v>
      </c>
      <c r="F14" s="59">
        <v>1</v>
      </c>
      <c r="H14" s="63"/>
      <c r="I14" s="63">
        <v>4000</v>
      </c>
      <c r="J14" s="63"/>
      <c r="K14" s="63"/>
    </row>
    <row r="15" spans="1:11" x14ac:dyDescent="0.2">
      <c r="A15" s="62" t="s">
        <v>21</v>
      </c>
      <c r="B15" s="58" t="s">
        <v>33</v>
      </c>
      <c r="C15" s="58" t="s">
        <v>28</v>
      </c>
      <c r="D15" s="59" t="s">
        <v>34</v>
      </c>
      <c r="E15" s="59">
        <v>1</v>
      </c>
      <c r="F15" s="59">
        <v>1</v>
      </c>
      <c r="H15" s="63"/>
      <c r="I15" s="63">
        <v>4000</v>
      </c>
      <c r="J15" s="63"/>
      <c r="K15" s="63"/>
    </row>
    <row r="16" spans="1:11" x14ac:dyDescent="0.2">
      <c r="A16" s="62" t="s">
        <v>27</v>
      </c>
      <c r="B16" s="58" t="s">
        <v>33</v>
      </c>
      <c r="C16" s="58" t="s">
        <v>28</v>
      </c>
      <c r="D16" s="59" t="s">
        <v>34</v>
      </c>
      <c r="E16" s="59">
        <v>1</v>
      </c>
      <c r="F16" s="59">
        <v>1</v>
      </c>
      <c r="H16" s="63"/>
      <c r="I16" s="63">
        <v>4000</v>
      </c>
      <c r="J16" s="63"/>
      <c r="K16" s="63"/>
    </row>
    <row r="17" spans="1:11" x14ac:dyDescent="0.2">
      <c r="A17" s="62" t="s">
        <v>22</v>
      </c>
      <c r="B17" s="58" t="s">
        <v>33</v>
      </c>
      <c r="C17" s="58" t="s">
        <v>28</v>
      </c>
      <c r="D17" s="59" t="s">
        <v>34</v>
      </c>
      <c r="E17" s="59">
        <v>1</v>
      </c>
      <c r="F17" s="59">
        <v>1</v>
      </c>
      <c r="H17" s="63"/>
      <c r="I17" s="63">
        <v>4000</v>
      </c>
      <c r="J17" s="63"/>
      <c r="K17" s="63"/>
    </row>
    <row r="18" spans="1:11" x14ac:dyDescent="0.2">
      <c r="A18" s="62" t="s">
        <v>13</v>
      </c>
      <c r="B18" s="58" t="s">
        <v>33</v>
      </c>
      <c r="C18" s="58" t="s">
        <v>28</v>
      </c>
      <c r="D18" s="59" t="s">
        <v>34</v>
      </c>
      <c r="E18" s="59">
        <v>1</v>
      </c>
      <c r="F18" s="59">
        <v>1</v>
      </c>
      <c r="H18" s="63"/>
      <c r="I18" s="63">
        <v>4000</v>
      </c>
      <c r="J18" s="63"/>
      <c r="K18" s="63"/>
    </row>
    <row r="19" spans="1:11" x14ac:dyDescent="0.2">
      <c r="A19" s="62" t="s">
        <v>26</v>
      </c>
      <c r="B19" s="58" t="s">
        <v>33</v>
      </c>
      <c r="C19" s="58" t="s">
        <v>28</v>
      </c>
      <c r="D19" s="59" t="s">
        <v>34</v>
      </c>
      <c r="E19" s="59">
        <v>1</v>
      </c>
      <c r="F19" s="59">
        <v>1</v>
      </c>
      <c r="H19" s="63"/>
      <c r="I19" s="63">
        <v>4000</v>
      </c>
      <c r="J19" s="63"/>
      <c r="K19" s="63"/>
    </row>
    <row r="20" spans="1:11" x14ac:dyDescent="0.2">
      <c r="A20" s="62" t="s">
        <v>16</v>
      </c>
      <c r="B20" s="58" t="s">
        <v>33</v>
      </c>
      <c r="C20" s="58" t="s">
        <v>28</v>
      </c>
      <c r="D20" s="59" t="s">
        <v>34</v>
      </c>
      <c r="E20" s="59">
        <v>1</v>
      </c>
      <c r="F20" s="59">
        <v>1</v>
      </c>
      <c r="H20" s="63"/>
      <c r="I20" s="63">
        <v>4000</v>
      </c>
      <c r="J20" s="63"/>
      <c r="K20" s="63"/>
    </row>
    <row r="21" spans="1:11" x14ac:dyDescent="0.2">
      <c r="A21" s="62" t="s">
        <v>17</v>
      </c>
      <c r="B21" s="58" t="s">
        <v>33</v>
      </c>
      <c r="C21" s="58" t="s">
        <v>28</v>
      </c>
      <c r="D21" s="59" t="s">
        <v>34</v>
      </c>
      <c r="E21" s="59">
        <v>1</v>
      </c>
      <c r="F21" s="59">
        <v>1</v>
      </c>
      <c r="H21" s="63"/>
      <c r="I21" s="63">
        <v>4000</v>
      </c>
      <c r="J21" s="63"/>
      <c r="K21" s="63"/>
    </row>
    <row r="22" spans="1:11" x14ac:dyDescent="0.2">
      <c r="A22" s="62" t="s">
        <v>18</v>
      </c>
      <c r="B22" s="58" t="s">
        <v>33</v>
      </c>
      <c r="C22" s="58" t="s">
        <v>28</v>
      </c>
      <c r="D22" s="59" t="s">
        <v>34</v>
      </c>
      <c r="E22" s="59">
        <v>1</v>
      </c>
      <c r="F22" s="59">
        <v>1</v>
      </c>
      <c r="H22" s="63"/>
      <c r="I22" s="63">
        <v>4000</v>
      </c>
      <c r="J22" s="63"/>
      <c r="K22" s="63"/>
    </row>
    <row r="23" spans="1:11" x14ac:dyDescent="0.2">
      <c r="A23" s="62" t="s">
        <v>11</v>
      </c>
      <c r="B23" s="58" t="s">
        <v>33</v>
      </c>
      <c r="C23" s="58" t="s">
        <v>28</v>
      </c>
      <c r="D23" s="59" t="s">
        <v>34</v>
      </c>
      <c r="E23" s="59">
        <v>1</v>
      </c>
      <c r="F23" s="59">
        <v>1</v>
      </c>
      <c r="H23" s="63"/>
      <c r="I23" s="63">
        <v>4000</v>
      </c>
      <c r="J23" s="63"/>
      <c r="K23" s="63"/>
    </row>
    <row r="24" spans="1:11" x14ac:dyDescent="0.2">
      <c r="A24" s="62"/>
      <c r="H24" s="63"/>
      <c r="I24" s="63"/>
      <c r="J24" s="63"/>
      <c r="K24" s="6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5AC9-3C1B-4FDD-828A-AC7EBE9C8D91}">
  <sheetPr>
    <tabColor theme="7" tint="0.79998168889431442"/>
  </sheetPr>
  <dimension ref="B2:Z31"/>
  <sheetViews>
    <sheetView workbookViewId="0">
      <selection activeCell="P4" sqref="P4:Q4"/>
    </sheetView>
  </sheetViews>
  <sheetFormatPr defaultRowHeight="15" x14ac:dyDescent="0.25"/>
  <cols>
    <col min="10" max="10" width="16.28515625" style="47" customWidth="1"/>
    <col min="11" max="11" width="12.7109375" style="47" bestFit="1" customWidth="1"/>
    <col min="12" max="12" width="12.7109375" style="47" customWidth="1"/>
    <col min="13" max="13" width="12.7109375" customWidth="1"/>
    <col min="14" max="14" width="14" bestFit="1" customWidth="1"/>
    <col min="15" max="15" width="14" customWidth="1"/>
    <col min="16" max="17" width="24.28515625" customWidth="1"/>
    <col min="18" max="24" width="14" customWidth="1"/>
    <col min="26" max="26" width="12.7109375" bestFit="1" customWidth="1"/>
    <col min="27" max="27" width="18.7109375" bestFit="1" customWidth="1"/>
  </cols>
  <sheetData>
    <row r="2" spans="2:26" x14ac:dyDescent="0.25">
      <c r="P2" s="73" t="s">
        <v>128</v>
      </c>
      <c r="Q2" s="73" t="s">
        <v>128</v>
      </c>
      <c r="S2" s="73" t="s">
        <v>128</v>
      </c>
      <c r="T2" s="73" t="s">
        <v>128</v>
      </c>
      <c r="V2" s="73" t="s">
        <v>128</v>
      </c>
      <c r="W2" s="73" t="s">
        <v>128</v>
      </c>
      <c r="Y2" s="73" t="s">
        <v>128</v>
      </c>
      <c r="Z2" s="73" t="s">
        <v>128</v>
      </c>
    </row>
    <row r="3" spans="2:26" x14ac:dyDescent="0.25">
      <c r="C3" s="38" t="s">
        <v>109</v>
      </c>
      <c r="D3" s="38" t="s">
        <v>107</v>
      </c>
      <c r="E3" s="38"/>
      <c r="F3" s="38" t="s">
        <v>115</v>
      </c>
      <c r="J3" s="45" t="s">
        <v>109</v>
      </c>
      <c r="K3" s="45" t="s">
        <v>107</v>
      </c>
      <c r="L3" s="45" t="s">
        <v>115</v>
      </c>
      <c r="N3" s="38" t="s">
        <v>109</v>
      </c>
      <c r="O3" s="38"/>
      <c r="R3" s="38" t="s">
        <v>114</v>
      </c>
      <c r="S3" s="38"/>
      <c r="T3" s="38"/>
      <c r="U3" s="38" t="s">
        <v>115</v>
      </c>
    </row>
    <row r="4" spans="2:26" x14ac:dyDescent="0.25">
      <c r="C4" s="38" t="s">
        <v>109</v>
      </c>
      <c r="D4" s="38" t="s">
        <v>109</v>
      </c>
      <c r="E4" s="38"/>
      <c r="F4" s="38" t="s">
        <v>115</v>
      </c>
      <c r="J4" s="47" t="s">
        <v>35</v>
      </c>
      <c r="K4" s="47" t="s">
        <v>35</v>
      </c>
      <c r="L4" s="47" t="s">
        <v>35</v>
      </c>
      <c r="N4" t="s">
        <v>36</v>
      </c>
      <c r="O4" t="s">
        <v>36</v>
      </c>
      <c r="P4" s="72" t="s">
        <v>129</v>
      </c>
      <c r="Q4" s="72" t="s">
        <v>130</v>
      </c>
      <c r="R4" t="s">
        <v>36</v>
      </c>
      <c r="S4" s="72" t="s">
        <v>129</v>
      </c>
      <c r="T4" s="72" t="s">
        <v>130</v>
      </c>
      <c r="U4" t="s">
        <v>36</v>
      </c>
      <c r="V4" s="72" t="s">
        <v>129</v>
      </c>
      <c r="W4" s="72" t="s">
        <v>130</v>
      </c>
      <c r="X4" t="s">
        <v>36</v>
      </c>
      <c r="Y4" s="72" t="s">
        <v>129</v>
      </c>
      <c r="Z4" s="72" t="s">
        <v>130</v>
      </c>
    </row>
    <row r="5" spans="2:26" x14ac:dyDescent="0.25">
      <c r="C5" s="47" t="s">
        <v>108</v>
      </c>
      <c r="D5" s="47" t="s">
        <v>108</v>
      </c>
      <c r="E5" s="47"/>
      <c r="F5" s="47" t="s">
        <v>108</v>
      </c>
      <c r="J5" s="47" t="s">
        <v>117</v>
      </c>
      <c r="K5" s="47" t="s">
        <v>117</v>
      </c>
      <c r="L5" s="47" t="s">
        <v>117</v>
      </c>
      <c r="N5" s="47" t="s">
        <v>118</v>
      </c>
      <c r="O5" s="47" t="s">
        <v>117</v>
      </c>
      <c r="P5" s="47" t="s">
        <v>118</v>
      </c>
      <c r="Q5" s="47" t="s">
        <v>118</v>
      </c>
      <c r="R5" s="47" t="s">
        <v>118</v>
      </c>
      <c r="S5" s="47" t="s">
        <v>118</v>
      </c>
      <c r="T5" s="47" t="s">
        <v>118</v>
      </c>
      <c r="U5" s="45" t="s">
        <v>118</v>
      </c>
      <c r="V5" s="45" t="s">
        <v>118</v>
      </c>
      <c r="W5" s="45" t="s">
        <v>118</v>
      </c>
      <c r="X5" s="45" t="s">
        <v>117</v>
      </c>
      <c r="Y5" s="45" t="s">
        <v>117</v>
      </c>
      <c r="Z5" s="45" t="s">
        <v>117</v>
      </c>
    </row>
    <row r="6" spans="2:26" x14ac:dyDescent="0.25">
      <c r="B6" t="s">
        <v>104</v>
      </c>
      <c r="C6" s="56" t="e">
        <f t="shared" ref="C6:C15" si="0">J6*10^6/$O6 / 8760</f>
        <v>#DIV/0!</v>
      </c>
      <c r="D6" s="56" t="e">
        <f t="shared" ref="D6:D15" si="1">K6*10^6/$O6 / 8760</f>
        <v>#DIV/0!</v>
      </c>
      <c r="E6" s="56"/>
      <c r="F6" s="56">
        <f t="shared" ref="F6:F15" si="2">IFERROR(L6*10^6/$X6 / 8760, "-")</f>
        <v>0.8956448761979382</v>
      </c>
      <c r="I6" t="s">
        <v>104</v>
      </c>
      <c r="J6" s="49">
        <f>SUMIFS('H2Heavy, demands'!$F$2:$F$15,'H2Heavy, demands'!$A$2:$A$15,Summary!$I6)</f>
        <v>0</v>
      </c>
      <c r="K6" s="49">
        <f>SUMIFS(Eurostat!$P:$P,Eurostat!$M:$M,Summary!$I6) / 10^3 * 1.5</f>
        <v>18.899486105113525</v>
      </c>
      <c r="L6" s="50">
        <f>K6</f>
        <v>18.899486105113525</v>
      </c>
      <c r="M6" s="40"/>
      <c r="N6" s="46">
        <f>SUMIFS('H2Heavy, capacities'!$E:$E,'H2Heavy, capacities'!$A:$A,Summary!$I6)</f>
        <v>0</v>
      </c>
      <c r="O6" s="46">
        <f>SUMIFS('H2Heavy, capacities'!$H:$H,'H2Heavy, capacities'!$A:$A,Summary!$I6)</f>
        <v>0</v>
      </c>
      <c r="P6" s="46">
        <f>SUMIFS('H2Heavy, capacities'!$E:$E,'H2Heavy, capacities'!$A:$A,Summary!$I6,     'H2Heavy, capacities'!$B:$B, P$4)</f>
        <v>0</v>
      </c>
      <c r="Q6" s="46">
        <f>SUMIFS('H2Heavy, capacities'!$E:$E,'H2Heavy, capacities'!$A:$A,Summary!$I6,     'H2Heavy, capacities'!$B:$B, Q$4)</f>
        <v>0</v>
      </c>
      <c r="R6" s="46">
        <f>SUMIFS(TYNDP2024!$C:$C,TYNDP2024!$A:$A,Summary!$I6)</f>
        <v>1605.885</v>
      </c>
      <c r="S6" s="46">
        <f>SUMIFS(TYNDP2024!$C:$C,TYNDP2024!$A:$A,Summary!$I6,  TYNDP2024!$B:$B,S$4)</f>
        <v>845.24</v>
      </c>
      <c r="T6" s="46">
        <f>SUMIFS(TYNDP2024!$C:$C,TYNDP2024!$A:$A,Summary!$I6,  TYNDP2024!$B:$B,T$4)</f>
        <v>760.64499999999998</v>
      </c>
      <c r="U6" s="53">
        <f>R6</f>
        <v>1605.885</v>
      </c>
      <c r="V6" s="53">
        <f t="shared" ref="V6" si="3">S6</f>
        <v>845.24</v>
      </c>
      <c r="W6" s="53">
        <f t="shared" ref="W6" si="4">T6</f>
        <v>760.64499999999998</v>
      </c>
      <c r="X6" s="46">
        <f t="shared" ref="X6:X15" si="5">IF(ISNUMBER(U6), U6/(0.5+0.16666), "-")</f>
        <v>2408.8515885158849</v>
      </c>
      <c r="Y6" s="46">
        <f t="shared" ref="Y6" si="6">IF(ISNUMBER(V6), V6/(0.5+0.16666), "-")</f>
        <v>1267.8726787267872</v>
      </c>
      <c r="Z6" s="46">
        <f t="shared" ref="Z6" si="7">IF(ISNUMBER(W6), W6/(0.5+0.16666), "-")</f>
        <v>1140.9789097890978</v>
      </c>
    </row>
    <row r="7" spans="2:26" x14ac:dyDescent="0.25">
      <c r="B7" t="s">
        <v>15</v>
      </c>
      <c r="C7" s="56">
        <f t="shared" si="0"/>
        <v>0.30345104317550092</v>
      </c>
      <c r="D7" s="56">
        <f t="shared" si="1"/>
        <v>0.89194094961654002</v>
      </c>
      <c r="E7" s="56"/>
      <c r="F7" s="56">
        <f t="shared" si="2"/>
        <v>0.35677281208281764</v>
      </c>
      <c r="I7" t="s">
        <v>15</v>
      </c>
      <c r="J7" s="49">
        <f>SUMIFS('H2Heavy, demands'!$F$2:$F$15,'H2Heavy, demands'!$A$2:$A$15,Summary!$I7)</f>
        <v>9.4712947527472533</v>
      </c>
      <c r="K7" s="49">
        <f>SUMIFS(Eurostat!$P:$P,Eurostat!$M:$M,Summary!$I7) / 10^3 * 1.5</f>
        <v>27.839204464285633</v>
      </c>
      <c r="L7" s="50">
        <f>K7</f>
        <v>27.839204464285633</v>
      </c>
      <c r="M7" s="40"/>
      <c r="N7" s="46">
        <f>SUMIFS('H2Heavy, capacities'!$E:$E,'H2Heavy, capacities'!$A:$A,Summary!$I7)</f>
        <v>5938.3441220105924</v>
      </c>
      <c r="O7" s="46">
        <f>SUMIFS('H2Heavy, capacities'!$H:$H,'H2Heavy, capacities'!$A:$A,Summary!$I7)</f>
        <v>3563.0064732063561</v>
      </c>
      <c r="P7" s="46">
        <f>SUMIFS('H2Heavy, capacities'!$E:$E,'H2Heavy, capacities'!$A:$A,Summary!$I7,     'H2Heavy, capacities'!$B:$B, P$4)</f>
        <v>1653.2737143669149</v>
      </c>
      <c r="Q7" s="46">
        <f>SUMIFS('H2Heavy, capacities'!$E:$E,'H2Heavy, capacities'!$A:$A,Summary!$I7,     'H2Heavy, capacities'!$B:$B, Q$4)</f>
        <v>4285.0704076436778</v>
      </c>
      <c r="R7" s="46">
        <f>SUMIFS(TYNDP2024!$C:$C,TYNDP2024!$A:$A,Summary!$I7)</f>
        <v>2208.625</v>
      </c>
      <c r="S7" s="46">
        <f>SUMIFS(TYNDP2024!$C:$C,TYNDP2024!$A:$A,Summary!$I7,  TYNDP2024!$B:$B,S$4)</f>
        <v>1594</v>
      </c>
      <c r="T7" s="46">
        <f>SUMIFS(TYNDP2024!$C:$C,TYNDP2024!$A:$A,Summary!$I7,  TYNDP2024!$B:$B,T$4)</f>
        <v>614.625</v>
      </c>
      <c r="U7" s="54">
        <f t="shared" ref="U7" si="8">N7</f>
        <v>5938.3441220105924</v>
      </c>
      <c r="V7" s="54">
        <f t="shared" ref="V7" si="9">P7</f>
        <v>1653.2737143669149</v>
      </c>
      <c r="W7" s="54">
        <f t="shared" ref="W7" si="10">Q7</f>
        <v>4285.0704076436778</v>
      </c>
      <c r="X7" s="46">
        <f t="shared" si="5"/>
        <v>8907.6052590684794</v>
      </c>
      <c r="Y7" s="46">
        <f>IF(ISNUMBER(V7), V7/(0.5+0.16666), "-")</f>
        <v>2479.9353709040811</v>
      </c>
      <c r="Z7" s="46">
        <f>IF(ISNUMBER(W7), W7/(0.5+0.16666), "-")</f>
        <v>6427.6698881643979</v>
      </c>
    </row>
    <row r="8" spans="2:26" x14ac:dyDescent="0.25">
      <c r="B8" t="s">
        <v>125</v>
      </c>
      <c r="C8" s="56" t="e">
        <f t="shared" si="0"/>
        <v>#DIV/0!</v>
      </c>
      <c r="D8" s="56" t="e">
        <f t="shared" si="1"/>
        <v>#DIV/0!</v>
      </c>
      <c r="E8" s="56"/>
      <c r="F8" s="56">
        <f t="shared" si="2"/>
        <v>0.24681418418572429</v>
      </c>
      <c r="I8" t="str">
        <f>B8</f>
        <v>CH00</v>
      </c>
      <c r="J8" s="49">
        <f>SUMIFS('H2Heavy, demands'!$F$2:$F$15,'H2Heavy, demands'!$A$2:$A$15,Summary!$I8)</f>
        <v>0</v>
      </c>
      <c r="K8" s="49">
        <f>SUMIFS(Eurostat!$P:$P,Eurostat!$M:$M,Summary!$I8) / 10^3 * 1.5</f>
        <v>0</v>
      </c>
      <c r="L8" s="71">
        <f>SUM(L6:L7,L13:L30)/SUM(U6:U7,U9:U30)*U8</f>
        <v>3.2188081127694792</v>
      </c>
      <c r="M8" s="40"/>
      <c r="N8" s="46">
        <f>SUMIFS('H2Heavy, capacities'!$E:$E,'H2Heavy, capacities'!$A:$A,Summary!$I8)</f>
        <v>0</v>
      </c>
      <c r="O8" s="46">
        <f>SUMIFS('H2Heavy, capacities'!$H:$H,'H2Heavy, capacities'!$A:$A,Summary!$I8)</f>
        <v>0</v>
      </c>
      <c r="P8" s="46">
        <f>SUMIFS('H2Heavy, capacities'!$E:$E,'H2Heavy, capacities'!$A:$A,Summary!$I8,     'H2Heavy, capacities'!$B:$B, P$4)</f>
        <v>0</v>
      </c>
      <c r="Q8" s="46">
        <f>SUMIFS('H2Heavy, capacities'!$E:$E,'H2Heavy, capacities'!$A:$A,Summary!$I8,     'H2Heavy, capacities'!$B:$B, Q$4)</f>
        <v>0</v>
      </c>
      <c r="R8" s="46">
        <f>SUMIFS(TYNDP2024!$C:$C,TYNDP2024!$A:$A,Summary!$I8)</f>
        <v>992.48800000000006</v>
      </c>
      <c r="S8" s="46">
        <f>SUMIFS(TYNDP2024!$C:$C,TYNDP2024!$A:$A,Summary!$I8,  TYNDP2024!$B:$B,S$4)</f>
        <v>566.59900000000005</v>
      </c>
      <c r="T8" s="46">
        <f>SUMIFS(TYNDP2024!$C:$C,TYNDP2024!$A:$A,Summary!$I8,  TYNDP2024!$B:$B,T$4)</f>
        <v>425.88900000000001</v>
      </c>
      <c r="U8" s="53">
        <f>R8</f>
        <v>992.48800000000006</v>
      </c>
      <c r="V8" s="53">
        <f t="shared" ref="V8" si="11">S8</f>
        <v>566.59900000000005</v>
      </c>
      <c r="W8" s="53">
        <f t="shared" ref="W8" si="12">T8</f>
        <v>425.88900000000001</v>
      </c>
      <c r="X8" s="46">
        <f t="shared" si="5"/>
        <v>1488.7468874688748</v>
      </c>
      <c r="Y8" s="46">
        <f>IF(ISNUMBER(V8), V8/(0.5+0.16666), "-")</f>
        <v>849.90699906999077</v>
      </c>
      <c r="Z8" s="46">
        <f>IF(ISNUMBER(W8), W8/(0.5+0.16666), "-")</f>
        <v>638.839888398884</v>
      </c>
    </row>
    <row r="9" spans="2:26" x14ac:dyDescent="0.25">
      <c r="B9" t="s">
        <v>9</v>
      </c>
      <c r="C9" s="56">
        <f t="shared" si="0"/>
        <v>0.47251825447560958</v>
      </c>
      <c r="D9" s="56">
        <f t="shared" si="1"/>
        <v>0.36156677080105204</v>
      </c>
      <c r="E9" s="56"/>
      <c r="F9" s="56">
        <f t="shared" si="2"/>
        <v>0.25582832417323897</v>
      </c>
      <c r="I9" t="s">
        <v>9</v>
      </c>
      <c r="J9" s="49">
        <f>SUMIFS('H2Heavy, demands'!$F$2:$F$15,'H2Heavy, demands'!$A$2:$A$15,Summary!$I9)</f>
        <v>89.390575686813193</v>
      </c>
      <c r="K9" s="49">
        <f>SUMIFS(Eurostat!$P:$P,Eurostat!$M:$M,Summary!$I9) / 10^3 * 1.5</f>
        <v>68.400874431818181</v>
      </c>
      <c r="L9" s="50">
        <f>K9</f>
        <v>68.400874431818181</v>
      </c>
      <c r="M9" s="40"/>
      <c r="N9" s="46">
        <f>SUMIFS('H2Heavy, capacities'!$E:$E,'H2Heavy, capacities'!$A:$A,Summary!$I9)</f>
        <v>35992.978474241667</v>
      </c>
      <c r="O9" s="46">
        <f>SUMIFS('H2Heavy, capacities'!$H:$H,'H2Heavy, capacities'!$A:$A,Summary!$I9)</f>
        <v>21595.787084545002</v>
      </c>
      <c r="P9" s="46">
        <f>SUMIFS('H2Heavy, capacities'!$E:$E,'H2Heavy, capacities'!$A:$A,Summary!$I9,     'H2Heavy, capacities'!$B:$B, P$4)</f>
        <v>23022.172503802049</v>
      </c>
      <c r="Q9" s="46">
        <f>SUMIFS('H2Heavy, capacities'!$E:$E,'H2Heavy, capacities'!$A:$A,Summary!$I9,     'H2Heavy, capacities'!$B:$B, Q$4)</f>
        <v>12970.805970439615</v>
      </c>
      <c r="R9" s="46">
        <f>SUMIFS(TYNDP2024!$C:$C,TYNDP2024!$A:$A,Summary!$I9)</f>
        <v>20347.606</v>
      </c>
      <c r="S9" s="46">
        <f>SUMIFS(TYNDP2024!$C:$C,TYNDP2024!$A:$A,Summary!$I9,  TYNDP2024!$B:$B,S$4)</f>
        <v>7280.02</v>
      </c>
      <c r="T9" s="46">
        <f>SUMIFS(TYNDP2024!$C:$C,TYNDP2024!$A:$A,Summary!$I9,  TYNDP2024!$B:$B,T$4)</f>
        <v>13067.585999999999</v>
      </c>
      <c r="U9" s="53">
        <f>R9</f>
        <v>20347.606</v>
      </c>
      <c r="V9" s="53">
        <f t="shared" ref="V9:V16" si="13">S9</f>
        <v>7280.02</v>
      </c>
      <c r="W9" s="53">
        <f t="shared" ref="W9:W16" si="14">T9</f>
        <v>13067.585999999999</v>
      </c>
      <c r="X9" s="46">
        <f t="shared" si="5"/>
        <v>30521.714217142169</v>
      </c>
      <c r="Y9" s="46">
        <f t="shared" ref="Y9:Y29" si="15">IF(ISNUMBER(V9), V9/(0.5+0.16666), "-")</f>
        <v>10920.139201392014</v>
      </c>
      <c r="Z9" s="46">
        <f t="shared" ref="Z9:Z29" si="16">IF(ISNUMBER(W9), W9/(0.5+0.16666), "-")</f>
        <v>19601.575015750157</v>
      </c>
    </row>
    <row r="10" spans="2:26" x14ac:dyDescent="0.25">
      <c r="B10" s="70" t="s">
        <v>103</v>
      </c>
      <c r="C10" s="56" t="e">
        <f t="shared" si="0"/>
        <v>#DIV/0!</v>
      </c>
      <c r="D10" s="56" t="e">
        <f t="shared" si="1"/>
        <v>#DIV/0!</v>
      </c>
      <c r="E10" s="56"/>
      <c r="F10" s="56" t="str">
        <f t="shared" si="2"/>
        <v>-</v>
      </c>
      <c r="I10" s="44" t="s">
        <v>103</v>
      </c>
      <c r="J10" s="49"/>
      <c r="K10" s="49">
        <f>SUMIFS(Eurostat!$P:$P,Eurostat!$M:$M,Summary!$I10) / 10^3 * 1.5</f>
        <v>7.9047771613635849</v>
      </c>
      <c r="L10" s="49"/>
      <c r="M10" s="40"/>
      <c r="N10" s="46">
        <f>SUMIFS('H2Heavy, capacities'!$E:$E,'H2Heavy, capacities'!$A:$A,Summary!$I10)</f>
        <v>0</v>
      </c>
      <c r="O10" s="46">
        <f>SUMIFS('H2Heavy, capacities'!$H:$H,'H2Heavy, capacities'!$A:$A,Summary!$I10)</f>
        <v>0</v>
      </c>
      <c r="P10" s="46">
        <f>SUMIFS('H2Heavy, capacities'!$E:$E,'H2Heavy, capacities'!$A:$A,Summary!$I10,     'H2Heavy, capacities'!$B:$B, P$4)</f>
        <v>0</v>
      </c>
      <c r="Q10" s="46">
        <f>SUMIFS('H2Heavy, capacities'!$E:$E,'H2Heavy, capacities'!$A:$A,Summary!$I10,     'H2Heavy, capacities'!$B:$B, Q$4)</f>
        <v>0</v>
      </c>
      <c r="R10" s="46">
        <f>SUMIFS(TYNDP2024!$C:$C,TYNDP2024!$A:$A,Summary!$I10)</f>
        <v>0</v>
      </c>
      <c r="S10" s="46">
        <f>SUMIFS(TYNDP2024!$C:$C,TYNDP2024!$A:$A,Summary!$I10,  TYNDP2024!$B:$B,S$4)</f>
        <v>0</v>
      </c>
      <c r="T10" s="46">
        <f>SUMIFS(TYNDP2024!$C:$C,TYNDP2024!$A:$A,Summary!$I10,  TYNDP2024!$B:$B,T$4)</f>
        <v>0</v>
      </c>
      <c r="U10" s="46"/>
      <c r="V10" s="46"/>
      <c r="W10" s="46"/>
      <c r="X10" s="46" t="str">
        <f t="shared" si="5"/>
        <v>-</v>
      </c>
      <c r="Y10" s="46" t="str">
        <f t="shared" ref="Y10:Z15" si="17">IF(ISNUMBER(V10), V10/(0.5+0.16666), "-")</f>
        <v>-</v>
      </c>
      <c r="Z10" s="46" t="str">
        <f t="shared" si="17"/>
        <v>-</v>
      </c>
    </row>
    <row r="11" spans="2:26" x14ac:dyDescent="0.25">
      <c r="B11" s="44" t="s">
        <v>110</v>
      </c>
      <c r="C11" s="56" t="e">
        <f t="shared" si="0"/>
        <v>#DIV/0!</v>
      </c>
      <c r="D11" s="56" t="e">
        <f t="shared" si="1"/>
        <v>#DIV/0!</v>
      </c>
      <c r="E11" s="56"/>
      <c r="F11" s="56" t="str">
        <f t="shared" si="2"/>
        <v>-</v>
      </c>
      <c r="I11" t="s">
        <v>110</v>
      </c>
      <c r="J11" s="49"/>
      <c r="K11" s="49">
        <f>SUMIFS(Eurostat!$P:$P,Eurostat!$M:$M,Summary!$I11) / 10^3 * 1.5</f>
        <v>0</v>
      </c>
      <c r="L11" s="49" t="s">
        <v>116</v>
      </c>
      <c r="M11" s="40"/>
      <c r="N11" s="46">
        <f>SUMIFS('H2Heavy, capacities'!$E:$E,'H2Heavy, capacities'!$A:$A,Summary!$I11)</f>
        <v>0</v>
      </c>
      <c r="O11" s="46">
        <f>SUMIFS('H2Heavy, capacities'!$H:$H,'H2Heavy, capacities'!$A:$A,Summary!$I11)</f>
        <v>0</v>
      </c>
      <c r="P11" s="46">
        <f>SUMIFS('H2Heavy, capacities'!$E:$E,'H2Heavy, capacities'!$A:$A,Summary!$I11,     'H2Heavy, capacities'!$B:$B, P$4)</f>
        <v>0</v>
      </c>
      <c r="Q11" s="46">
        <f>SUMIFS('H2Heavy, capacities'!$E:$E,'H2Heavy, capacities'!$A:$A,Summary!$I11,     'H2Heavy, capacities'!$B:$B, Q$4)</f>
        <v>0</v>
      </c>
      <c r="R11" s="46">
        <f>SUMIFS(TYNDP2024!$C:$C,TYNDP2024!$A:$A,Summary!$I11)</f>
        <v>0</v>
      </c>
      <c r="S11" s="46">
        <f>SUMIFS(TYNDP2024!$C:$C,TYNDP2024!$A:$A,Summary!$I11,  TYNDP2024!$B:$B,S$4)</f>
        <v>0</v>
      </c>
      <c r="T11" s="46">
        <f>SUMIFS(TYNDP2024!$C:$C,TYNDP2024!$A:$A,Summary!$I11,  TYNDP2024!$B:$B,T$4)</f>
        <v>0</v>
      </c>
      <c r="U11" s="46" t="s">
        <v>116</v>
      </c>
      <c r="V11" s="46" t="s">
        <v>116</v>
      </c>
      <c r="W11" s="46" t="s">
        <v>116</v>
      </c>
      <c r="X11" s="46" t="str">
        <f t="shared" si="5"/>
        <v>-</v>
      </c>
      <c r="Y11" s="46" t="str">
        <f t="shared" si="17"/>
        <v>-</v>
      </c>
      <c r="Z11" s="46" t="str">
        <f t="shared" si="17"/>
        <v>-</v>
      </c>
    </row>
    <row r="12" spans="2:26" x14ac:dyDescent="0.25">
      <c r="B12" s="44" t="s">
        <v>19</v>
      </c>
      <c r="C12" s="56">
        <f t="shared" si="0"/>
        <v>0</v>
      </c>
      <c r="D12" s="56">
        <f t="shared" si="1"/>
        <v>0</v>
      </c>
      <c r="E12" s="56"/>
      <c r="F12" s="56" t="str">
        <f t="shared" si="2"/>
        <v>-</v>
      </c>
      <c r="I12" t="s">
        <v>19</v>
      </c>
      <c r="J12" s="49">
        <f>SUMIFS('H2Heavy, demands'!$F$2:$F$15,'H2Heavy, demands'!$A$2:$A$15,Summary!$I12)</f>
        <v>0</v>
      </c>
      <c r="K12" s="49">
        <f>SUMIFS(Eurostat!$P:$P,Eurostat!$M:$M,Summary!$I12) / 10^3 * 1.5</f>
        <v>0</v>
      </c>
      <c r="L12" s="49" t="s">
        <v>116</v>
      </c>
      <c r="M12" s="40"/>
      <c r="N12" s="46">
        <f>SUMIFS('H2Heavy, capacities'!$E:$E,'H2Heavy, capacities'!$A:$A,Summary!$I12)</f>
        <v>18.817749594420167</v>
      </c>
      <c r="O12" s="46">
        <f>SUMIFS('H2Heavy, capacities'!$H:$H,'H2Heavy, capacities'!$A:$A,Summary!$I12)</f>
        <v>11.290649756652103</v>
      </c>
      <c r="P12" s="46">
        <f>SUMIFS('H2Heavy, capacities'!$E:$E,'H2Heavy, capacities'!$A:$A,Summary!$I12,     'H2Heavy, capacities'!$B:$B, P$4)</f>
        <v>18.817749594420167</v>
      </c>
      <c r="Q12" s="46">
        <f>SUMIFS('H2Heavy, capacities'!$E:$E,'H2Heavy, capacities'!$A:$A,Summary!$I12,     'H2Heavy, capacities'!$B:$B, Q$4)</f>
        <v>0</v>
      </c>
      <c r="R12" s="46">
        <f>SUMIFS(TYNDP2024!$C:$C,TYNDP2024!$A:$A,Summary!$I12)</f>
        <v>7.26</v>
      </c>
      <c r="S12" s="46">
        <f>SUMIFS(TYNDP2024!$C:$C,TYNDP2024!$A:$A,Summary!$I12,  TYNDP2024!$B:$B,S$4)</f>
        <v>0</v>
      </c>
      <c r="T12" s="46">
        <f>SUMIFS(TYNDP2024!$C:$C,TYNDP2024!$A:$A,Summary!$I12,  TYNDP2024!$B:$B,T$4)</f>
        <v>7.26</v>
      </c>
      <c r="U12" s="46" t="s">
        <v>116</v>
      </c>
      <c r="V12" s="46" t="s">
        <v>116</v>
      </c>
      <c r="W12" s="46" t="s">
        <v>116</v>
      </c>
      <c r="X12" s="46" t="str">
        <f t="shared" si="5"/>
        <v>-</v>
      </c>
      <c r="Y12" s="46" t="str">
        <f t="shared" si="17"/>
        <v>-</v>
      </c>
      <c r="Z12" s="46" t="str">
        <f t="shared" si="17"/>
        <v>-</v>
      </c>
    </row>
    <row r="13" spans="2:26" x14ac:dyDescent="0.25">
      <c r="B13" t="s">
        <v>25</v>
      </c>
      <c r="C13" s="56">
        <f t="shared" si="0"/>
        <v>0.35857572588601622</v>
      </c>
      <c r="D13" s="56">
        <f t="shared" si="1"/>
        <v>4.2281044644683491E-2</v>
      </c>
      <c r="E13" s="56"/>
      <c r="F13" s="56">
        <f t="shared" si="2"/>
        <v>0.11690924866426063</v>
      </c>
      <c r="I13" t="s">
        <v>25</v>
      </c>
      <c r="J13" s="49">
        <f>SUMIFS('H2Heavy, demands'!$F$2:$F$15,'H2Heavy, demands'!$A$2:$A$15,Summary!$I13)</f>
        <v>1.5351418681318685</v>
      </c>
      <c r="K13" s="49">
        <f>SUMIFS(Eurostat!$P:$P,Eurostat!$M:$M,Summary!$I13) / 10^3 * 1.5</f>
        <v>0.18101448920454549</v>
      </c>
      <c r="L13" s="52">
        <f>AVERAGE(J13:K13)</f>
        <v>0.85807817866820701</v>
      </c>
      <c r="M13" s="40"/>
      <c r="N13" s="46">
        <f>SUMIFS('H2Heavy, capacities'!$E:$E,'H2Heavy, capacities'!$A:$A,Summary!$I13)</f>
        <v>814.53973244418739</v>
      </c>
      <c r="O13" s="46">
        <f>SUMIFS('H2Heavy, capacities'!$H:$H,'H2Heavy, capacities'!$A:$A,Summary!$I13)</f>
        <v>488.7238394665124</v>
      </c>
      <c r="P13" s="46">
        <f>SUMIFS('H2Heavy, capacities'!$E:$E,'H2Heavy, capacities'!$A:$A,Summary!$I13,     'H2Heavy, capacities'!$B:$B, P$4)</f>
        <v>451.62599026608405</v>
      </c>
      <c r="Q13" s="46">
        <f>SUMIFS('H2Heavy, capacities'!$E:$E,'H2Heavy, capacities'!$A:$A,Summary!$I13,     'H2Heavy, capacities'!$B:$B, Q$4)</f>
        <v>362.91374217810329</v>
      </c>
      <c r="R13" s="46">
        <f>SUMIFS(TYNDP2024!$C:$C,TYNDP2024!$A:$A,Summary!$I13)</f>
        <v>302.60199999999998</v>
      </c>
      <c r="S13" s="46">
        <f>SUMIFS(TYNDP2024!$C:$C,TYNDP2024!$A:$A,Summary!$I13,  TYNDP2024!$B:$B,S$4)</f>
        <v>134.952</v>
      </c>
      <c r="T13" s="46">
        <f>SUMIFS(TYNDP2024!$C:$C,TYNDP2024!$A:$A,Summary!$I13,  TYNDP2024!$B:$B,T$4)</f>
        <v>167.65</v>
      </c>
      <c r="U13" s="55">
        <f>AVERAGE(N13,R13)</f>
        <v>558.57086622209363</v>
      </c>
      <c r="V13" s="55">
        <f t="shared" ref="V13:W13" si="18">AVERAGE(P13,S13)</f>
        <v>293.28899513304202</v>
      </c>
      <c r="W13" s="55">
        <f t="shared" si="18"/>
        <v>265.28187108905166</v>
      </c>
      <c r="X13" s="46">
        <f t="shared" si="5"/>
        <v>837.8646779799202</v>
      </c>
      <c r="Y13" s="46">
        <f t="shared" si="17"/>
        <v>439.9378920784838</v>
      </c>
      <c r="Z13" s="46">
        <f t="shared" si="17"/>
        <v>397.92678590143652</v>
      </c>
    </row>
    <row r="14" spans="2:26" x14ac:dyDescent="0.25">
      <c r="B14" t="s">
        <v>12</v>
      </c>
      <c r="C14" s="56">
        <f t="shared" si="0"/>
        <v>0.19047085455806767</v>
      </c>
      <c r="D14" s="56">
        <f t="shared" si="1"/>
        <v>0.60817695483820611</v>
      </c>
      <c r="E14" s="56"/>
      <c r="F14" s="56">
        <f t="shared" si="2"/>
        <v>0.65396486588852809</v>
      </c>
      <c r="I14" t="s">
        <v>12</v>
      </c>
      <c r="J14" s="49">
        <f>SUMIFS('H2Heavy, demands'!$F$2:$F$15,'H2Heavy, demands'!$A$2:$A$15,Summary!$I14)</f>
        <v>15.367019423076924</v>
      </c>
      <c r="K14" s="49">
        <f>SUMIFS(Eurostat!$P:$P,Eurostat!$M:$M,Summary!$I14) / 10^3 * 1.5</f>
        <v>49.067176704545489</v>
      </c>
      <c r="L14" s="50">
        <f>K14</f>
        <v>49.067176704545489</v>
      </c>
      <c r="M14" s="40"/>
      <c r="N14" s="46">
        <f>SUMIFS('H2Heavy, capacities'!$E:$E,'H2Heavy, capacities'!$A:$A,Summary!$I14)</f>
        <v>15349.907169162736</v>
      </c>
      <c r="O14" s="46">
        <f>SUMIFS('H2Heavy, capacities'!$H:$H,'H2Heavy, capacities'!$A:$A,Summary!$I14)</f>
        <v>9209.9443014976423</v>
      </c>
      <c r="P14" s="46">
        <f>SUMIFS('H2Heavy, capacities'!$E:$E,'H2Heavy, capacities'!$A:$A,Summary!$I14,     'H2Heavy, capacities'!$B:$B, P$4)</f>
        <v>4650.6723997638419</v>
      </c>
      <c r="Q14" s="46">
        <f>SUMIFS('H2Heavy, capacities'!$E:$E,'H2Heavy, capacities'!$A:$A,Summary!$I14,     'H2Heavy, capacities'!$B:$B, Q$4)</f>
        <v>10699.234769398894</v>
      </c>
      <c r="R14" s="46">
        <f>SUMIFS(TYNDP2024!$C:$C,TYNDP2024!$A:$A,Summary!$I14)</f>
        <v>5710.0110000000004</v>
      </c>
      <c r="S14" s="46">
        <f>SUMIFS(TYNDP2024!$C:$C,TYNDP2024!$A:$A,Summary!$I14,  TYNDP2024!$B:$B,S$4)</f>
        <v>3980.011</v>
      </c>
      <c r="T14" s="46">
        <f>SUMIFS(TYNDP2024!$C:$C,TYNDP2024!$A:$A,Summary!$I14,  TYNDP2024!$B:$B,T$4)</f>
        <v>1730</v>
      </c>
      <c r="U14" s="53">
        <f>R14</f>
        <v>5710.0110000000004</v>
      </c>
      <c r="V14" s="53">
        <f>S14</f>
        <v>3980.011</v>
      </c>
      <c r="W14" s="53">
        <f>T14</f>
        <v>1730</v>
      </c>
      <c r="X14" s="46">
        <f t="shared" si="5"/>
        <v>8565.1021510215105</v>
      </c>
      <c r="Y14" s="46">
        <f t="shared" si="17"/>
        <v>5970.0762007620069</v>
      </c>
      <c r="Z14" s="46">
        <f t="shared" si="17"/>
        <v>2595.0259502595027</v>
      </c>
    </row>
    <row r="15" spans="2:26" x14ac:dyDescent="0.25">
      <c r="B15" t="s">
        <v>20</v>
      </c>
      <c r="C15" s="56" t="e">
        <f t="shared" si="0"/>
        <v>#DIV/0!</v>
      </c>
      <c r="D15" s="56" t="e">
        <f t="shared" si="1"/>
        <v>#DIV/0!</v>
      </c>
      <c r="E15" s="56"/>
      <c r="F15" s="56">
        <f t="shared" si="2"/>
        <v>0.3846193745466388</v>
      </c>
      <c r="I15" t="s">
        <v>20</v>
      </c>
      <c r="J15" s="49">
        <f>SUMIFS('H2Heavy, demands'!$F$2:$F$15,'H2Heavy, demands'!$A$2:$A$15,Summary!$I15)</f>
        <v>0</v>
      </c>
      <c r="K15" s="49">
        <f>SUMIFS(Eurostat!$P:$P,Eurostat!$M:$M,Summary!$I15) / 10^3 * 1.5</f>
        <v>15.239273863636374</v>
      </c>
      <c r="L15" s="50">
        <f>K15</f>
        <v>15.239273863636374</v>
      </c>
      <c r="M15" s="40"/>
      <c r="N15" s="46">
        <f>SUMIFS('H2Heavy, capacities'!$E:$E,'H2Heavy, capacities'!$A:$A,Summary!$I15)</f>
        <v>0</v>
      </c>
      <c r="O15" s="46">
        <f>SUMIFS('H2Heavy, capacities'!$H:$H,'H2Heavy, capacities'!$A:$A,Summary!$I15)</f>
        <v>0</v>
      </c>
      <c r="P15" s="46">
        <f>SUMIFS('H2Heavy, capacities'!$E:$E,'H2Heavy, capacities'!$A:$A,Summary!$I15,     'H2Heavy, capacities'!$B:$B, P$4)</f>
        <v>0</v>
      </c>
      <c r="Q15" s="46">
        <f>SUMIFS('H2Heavy, capacities'!$E:$E,'H2Heavy, capacities'!$A:$A,Summary!$I15,     'H2Heavy, capacities'!$B:$B, Q$4)</f>
        <v>0</v>
      </c>
      <c r="R15" s="46">
        <f>SUMIFS(TYNDP2024!$C:$C,TYNDP2024!$A:$A,Summary!$I15)</f>
        <v>3015.32</v>
      </c>
      <c r="S15" s="46">
        <f>SUMIFS(TYNDP2024!$C:$C,TYNDP2024!$A:$A,Summary!$I15,  TYNDP2024!$B:$B,S$4)</f>
        <v>390.5</v>
      </c>
      <c r="T15" s="46">
        <f>SUMIFS(TYNDP2024!$C:$C,TYNDP2024!$A:$A,Summary!$I15,  TYNDP2024!$B:$B,T$4)</f>
        <v>2624.82</v>
      </c>
      <c r="U15" s="53">
        <f>R15</f>
        <v>3015.32</v>
      </c>
      <c r="V15" s="53">
        <f t="shared" ref="V15" si="19">S15</f>
        <v>390.5</v>
      </c>
      <c r="W15" s="53">
        <f t="shared" ref="W15" si="20">T15</f>
        <v>2624.82</v>
      </c>
      <c r="X15" s="46">
        <f t="shared" si="5"/>
        <v>4523.0252302523022</v>
      </c>
      <c r="Y15" s="46">
        <f t="shared" si="17"/>
        <v>585.7558575585756</v>
      </c>
      <c r="Z15" s="46">
        <f t="shared" si="17"/>
        <v>3937.2693726937268</v>
      </c>
    </row>
    <row r="16" spans="2:26" x14ac:dyDescent="0.25">
      <c r="B16" t="s">
        <v>10</v>
      </c>
      <c r="C16" s="56">
        <f t="shared" ref="C16:C29" si="21">J16*10^6/$O16 / 8760</f>
        <v>0.3880596618755609</v>
      </c>
      <c r="D16" s="56">
        <f t="shared" ref="D16:D29" si="22">K16*10^6/$O16 / 8760</f>
        <v>0.48839043565220397</v>
      </c>
      <c r="E16" s="56"/>
      <c r="F16" s="56">
        <f t="shared" ref="F16:F29" si="23">IFERROR(L16*10^6/$X16 / 8760, "-")</f>
        <v>0.38583098109659286</v>
      </c>
      <c r="I16" t="s">
        <v>10</v>
      </c>
      <c r="J16" s="49">
        <f>SUMIFS('H2Heavy, demands'!$F$2:$F$15,'H2Heavy, demands'!$A$2:$A$15,Summary!$I16)</f>
        <v>27.49757782967033</v>
      </c>
      <c r="K16" s="49">
        <f>SUMIFS(Eurostat!$P:$P,Eurostat!$M:$M,Summary!$I16) / 10^3 * 1.5</f>
        <v>34.606931188636487</v>
      </c>
      <c r="L16" s="50">
        <f>K16</f>
        <v>34.606931188636487</v>
      </c>
      <c r="M16" s="40"/>
      <c r="N16" s="46">
        <f>SUMIFS('H2Heavy, capacities'!$E:$E,'H2Heavy, capacities'!$A:$A,Summary!$I16)</f>
        <v>13481.57345943102</v>
      </c>
      <c r="O16" s="46">
        <f>SUMIFS('H2Heavy, capacities'!$H:$H,'H2Heavy, capacities'!$A:$A,Summary!$I16)</f>
        <v>8088.9440756586137</v>
      </c>
      <c r="P16" s="46">
        <f>SUMIFS('H2Heavy, capacities'!$E:$E,'H2Heavy, capacities'!$A:$A,Summary!$I16,     'H2Heavy, capacities'!$B:$B, P$4)</f>
        <v>6492.1236100749575</v>
      </c>
      <c r="Q16" s="46">
        <f>SUMIFS('H2Heavy, capacities'!$E:$E,'H2Heavy, capacities'!$A:$A,Summary!$I16,     'H2Heavy, capacities'!$B:$B, Q$4)</f>
        <v>6989.4498493560623</v>
      </c>
      <c r="R16" s="46">
        <f>SUMIFS(TYNDP2024!$C:$C,TYNDP2024!$A:$A,Summary!$I16)</f>
        <v>6826</v>
      </c>
      <c r="S16" s="46">
        <f>SUMIFS(TYNDP2024!$C:$C,TYNDP2024!$A:$A,Summary!$I16,  TYNDP2024!$B:$B,S$4)</f>
        <v>4400</v>
      </c>
      <c r="T16" s="46">
        <f>SUMIFS(TYNDP2024!$C:$C,TYNDP2024!$A:$A,Summary!$I16,  TYNDP2024!$B:$B,T$4)</f>
        <v>2426</v>
      </c>
      <c r="U16" s="53">
        <f>R16</f>
        <v>6826</v>
      </c>
      <c r="V16" s="53">
        <f t="shared" si="13"/>
        <v>4400</v>
      </c>
      <c r="W16" s="53">
        <f t="shared" si="14"/>
        <v>2426</v>
      </c>
      <c r="X16" s="46">
        <f t="shared" ref="X16:X29" si="24">IF(ISNUMBER(U16), U16/(0.5+0.16666), "-")</f>
        <v>10239.102391023909</v>
      </c>
      <c r="Y16" s="46">
        <f t="shared" si="15"/>
        <v>6600.0660006600065</v>
      </c>
      <c r="Z16" s="46">
        <f t="shared" si="16"/>
        <v>3639.0363903639036</v>
      </c>
    </row>
    <row r="17" spans="2:26" x14ac:dyDescent="0.25">
      <c r="B17" t="s">
        <v>23</v>
      </c>
      <c r="C17" s="56">
        <f t="shared" ref="C17:D23" si="25">J17*10^6/$O17 / 8760</f>
        <v>0.88110409050344607</v>
      </c>
      <c r="D17" s="56">
        <f t="shared" si="25"/>
        <v>0.18148118669889057</v>
      </c>
      <c r="E17" s="56"/>
      <c r="F17" s="56">
        <f t="shared" ref="F17:F23" si="26">IFERROR(L17*10^6/$X17 / 8760, "-")</f>
        <v>0.30984926544234476</v>
      </c>
      <c r="I17" t="s">
        <v>23</v>
      </c>
      <c r="J17" s="49">
        <f>SUMIFS('H2Heavy, demands'!$F$2:$F$15,'H2Heavy, demands'!$A$2:$A$15,Summary!$I17)</f>
        <v>3.9464943131868133</v>
      </c>
      <c r="K17" s="49">
        <f>SUMIFS(Eurostat!$P:$P,Eurostat!$M:$M,Summary!$I17) / 10^3 * 1.5</f>
        <v>0.8128602272727331</v>
      </c>
      <c r="L17" s="52">
        <f>AVERAGE(J17:K17)</f>
        <v>2.3796772702297733</v>
      </c>
      <c r="M17" s="40"/>
      <c r="N17" s="46">
        <f>SUMIFS('H2Heavy, capacities'!$E:$E,'H2Heavy, capacities'!$A:$A,Summary!$I17)</f>
        <v>852.17523163302758</v>
      </c>
      <c r="O17" s="46">
        <f>SUMIFS('H2Heavy, capacities'!$H:$H,'H2Heavy, capacities'!$A:$A,Summary!$I17)</f>
        <v>511.30513897981666</v>
      </c>
      <c r="P17" s="46">
        <f>SUMIFS('H2Heavy, capacities'!$E:$E,'H2Heavy, capacities'!$A:$A,Summary!$I17,     'H2Heavy, capacities'!$B:$B, P$4)</f>
        <v>564.53248783260506</v>
      </c>
      <c r="Q17" s="46">
        <f>SUMIFS('H2Heavy, capacities'!$E:$E,'H2Heavy, capacities'!$A:$A,Summary!$I17,     'H2Heavy, capacities'!$B:$B, Q$4)</f>
        <v>287.64274380042252</v>
      </c>
      <c r="R17" s="46">
        <f>SUMIFS(TYNDP2024!$C:$C,TYNDP2024!$A:$A,Summary!$I17)</f>
        <v>316.77999999999997</v>
      </c>
      <c r="S17" s="46">
        <f>SUMIFS(TYNDP2024!$C:$C,TYNDP2024!$A:$A,Summary!$I17,  TYNDP2024!$B:$B,S$4)</f>
        <v>106.89</v>
      </c>
      <c r="T17" s="46">
        <f>SUMIFS(TYNDP2024!$C:$C,TYNDP2024!$A:$A,Summary!$I17,  TYNDP2024!$B:$B,T$4)</f>
        <v>209.89</v>
      </c>
      <c r="U17" s="55">
        <f>AVERAGE(N17,R17)</f>
        <v>584.47761581651378</v>
      </c>
      <c r="V17" s="55">
        <f>AVERAGE(P17,S17)</f>
        <v>335.71124391630252</v>
      </c>
      <c r="W17" s="55">
        <f>AVERAGE(Q17,T17)</f>
        <v>248.76637190021125</v>
      </c>
      <c r="X17" s="46">
        <f t="shared" ref="X17:Z23" si="27">IF(ISNUMBER(U17), U17/(0.5+0.16666), "-")</f>
        <v>876.72519097668044</v>
      </c>
      <c r="Y17" s="46">
        <f t="shared" si="27"/>
        <v>503.5719015934697</v>
      </c>
      <c r="Z17" s="46">
        <f t="shared" si="27"/>
        <v>373.15328938321068</v>
      </c>
    </row>
    <row r="18" spans="2:26" x14ac:dyDescent="0.25">
      <c r="B18" t="s">
        <v>24</v>
      </c>
      <c r="C18" s="56">
        <f t="shared" si="25"/>
        <v>0.99610074192525844</v>
      </c>
      <c r="D18" s="56">
        <f t="shared" si="25"/>
        <v>0.15711089315422613</v>
      </c>
      <c r="E18" s="56"/>
      <c r="F18" s="56">
        <f t="shared" si="26"/>
        <v>0.33620226471511228</v>
      </c>
      <c r="I18" t="s">
        <v>24</v>
      </c>
      <c r="J18" s="49">
        <f>SUMIFS('H2Heavy, demands'!$F$2:$F$15,'H2Heavy, demands'!$A$2:$A$15,Summary!$I18)</f>
        <v>2.2378212295793301</v>
      </c>
      <c r="K18" s="49">
        <f>SUMIFS(Eurostat!$P:$P,Eurostat!$M:$M,Summary!$I18) / 10^3 * 1.5</f>
        <v>0.35296238352272813</v>
      </c>
      <c r="L18" s="52">
        <f>AVERAGE(J18:K18)</f>
        <v>1.295391806551029</v>
      </c>
      <c r="M18" s="40"/>
      <c r="N18" s="46">
        <f>SUMIFS('H2Heavy, capacities'!$E:$E,'H2Heavy, capacities'!$A:$A,Summary!$I18)</f>
        <v>427.43174078754384</v>
      </c>
      <c r="O18" s="46">
        <f>SUMIFS('H2Heavy, capacities'!$H:$H,'H2Heavy, capacities'!$A:$A,Summary!$I18)</f>
        <v>256.45904447252627</v>
      </c>
      <c r="P18" s="46">
        <f>SUMIFS('H2Heavy, capacities'!$E:$E,'H2Heavy, capacities'!$A:$A,Summary!$I18,     'H2Heavy, capacities'!$B:$B, P$4)</f>
        <v>427.43174078754384</v>
      </c>
      <c r="Q18" s="46">
        <f>SUMIFS('H2Heavy, capacities'!$E:$E,'H2Heavy, capacities'!$A:$A,Summary!$I18,     'H2Heavy, capacities'!$B:$B, Q$4)</f>
        <v>0</v>
      </c>
      <c r="R18" s="46">
        <f>SUMIFS(TYNDP2024!$C:$C,TYNDP2024!$A:$A,Summary!$I18)</f>
        <v>159.018</v>
      </c>
      <c r="S18" s="46">
        <f>SUMIFS(TYNDP2024!$C:$C,TYNDP2024!$A:$A,Summary!$I18,  TYNDP2024!$B:$B,S$4)</f>
        <v>0</v>
      </c>
      <c r="T18" s="46">
        <f>SUMIFS(TYNDP2024!$C:$C,TYNDP2024!$A:$A,Summary!$I18,  TYNDP2024!$B:$B,T$4)</f>
        <v>159.018</v>
      </c>
      <c r="U18" s="55">
        <f>AVERAGE(N18,R18)</f>
        <v>293.22487039377194</v>
      </c>
      <c r="V18" s="55">
        <f>AVERAGE(P18,S18)</f>
        <v>213.71587039377192</v>
      </c>
      <c r="W18" s="55">
        <f>AVERAGE(Q18,T18)</f>
        <v>79.509</v>
      </c>
      <c r="X18" s="46">
        <f t="shared" si="27"/>
        <v>439.84170400769796</v>
      </c>
      <c r="Y18" s="46">
        <f t="shared" si="27"/>
        <v>320.57701136077145</v>
      </c>
      <c r="Z18" s="46">
        <f t="shared" si="27"/>
        <v>119.26469264692646</v>
      </c>
    </row>
    <row r="19" spans="2:26" x14ac:dyDescent="0.25">
      <c r="B19" t="s">
        <v>14</v>
      </c>
      <c r="C19" s="56">
        <f t="shared" si="25"/>
        <v>0.20980758645537587</v>
      </c>
      <c r="D19" s="56">
        <f t="shared" si="25"/>
        <v>0.96072939647712852</v>
      </c>
      <c r="E19" s="56"/>
      <c r="F19" s="56">
        <f t="shared" si="26"/>
        <v>0.38428791567326565</v>
      </c>
      <c r="I19" t="s">
        <v>14</v>
      </c>
      <c r="J19" s="49">
        <f>SUMIFS('H2Heavy, demands'!$F$2:$F$15,'H2Heavy, demands'!$A$2:$A$15,Summary!$I19)</f>
        <v>12.092048901098902</v>
      </c>
      <c r="K19" s="49">
        <f>SUMIFS(Eurostat!$P:$P,Eurostat!$M:$M,Summary!$I19) / 10^3 * 1.5</f>
        <v>55.370671000000002</v>
      </c>
      <c r="L19" s="50">
        <f>K19</f>
        <v>55.370671000000002</v>
      </c>
      <c r="M19" s="40"/>
      <c r="N19" s="46">
        <f>SUMIFS('H2Heavy, capacities'!$E:$E,'H2Heavy, capacities'!$A:$A,Summary!$I19)</f>
        <v>10965.371513662838</v>
      </c>
      <c r="O19" s="46">
        <f>SUMIFS('H2Heavy, capacities'!$H:$H,'H2Heavy, capacities'!$A:$A,Summary!$I19)</f>
        <v>6579.2229081977039</v>
      </c>
      <c r="P19" s="46">
        <f>SUMIFS('H2Heavy, capacities'!$E:$E,'H2Heavy, capacities'!$A:$A,Summary!$I19,     'H2Heavy, capacities'!$B:$B, P$4)</f>
        <v>1115.62372595491</v>
      </c>
      <c r="Q19" s="46">
        <f>SUMIFS('H2Heavy, capacities'!$E:$E,'H2Heavy, capacities'!$A:$A,Summary!$I19,     'H2Heavy, capacities'!$B:$B, Q$4)</f>
        <v>9849.7477877079273</v>
      </c>
      <c r="R19" s="46">
        <f>SUMIFS(TYNDP2024!$C:$C,TYNDP2024!$A:$A,Summary!$I19)</f>
        <v>4796.5</v>
      </c>
      <c r="S19" s="46">
        <f>SUMIFS(TYNDP2024!$C:$C,TYNDP2024!$A:$A,Summary!$I19,  TYNDP2024!$B:$B,S$4)</f>
        <v>4381.5</v>
      </c>
      <c r="T19" s="46">
        <f>SUMIFS(TYNDP2024!$C:$C,TYNDP2024!$A:$A,Summary!$I19,  TYNDP2024!$B:$B,T$4)</f>
        <v>415</v>
      </c>
      <c r="U19" s="54">
        <f t="shared" ref="U19" si="28">N19</f>
        <v>10965.371513662838</v>
      </c>
      <c r="V19" s="54">
        <f t="shared" ref="V19" si="29">P19</f>
        <v>1115.62372595491</v>
      </c>
      <c r="W19" s="54">
        <f t="shared" ref="W19" si="30">Q19</f>
        <v>9849.7477877079273</v>
      </c>
      <c r="X19" s="46">
        <f t="shared" si="27"/>
        <v>16448.221752711783</v>
      </c>
      <c r="Y19" s="46">
        <f t="shared" si="27"/>
        <v>1673.4523234555995</v>
      </c>
      <c r="Z19" s="46">
        <f t="shared" si="27"/>
        <v>14774.769429256183</v>
      </c>
    </row>
    <row r="20" spans="2:26" x14ac:dyDescent="0.25">
      <c r="B20" s="70" t="s">
        <v>105</v>
      </c>
      <c r="C20" s="56" t="e">
        <f t="shared" si="25"/>
        <v>#DIV/0!</v>
      </c>
      <c r="D20" s="56" t="e">
        <f t="shared" si="25"/>
        <v>#DIV/0!</v>
      </c>
      <c r="E20" s="56"/>
      <c r="F20" s="56" t="str">
        <f t="shared" si="26"/>
        <v>-</v>
      </c>
      <c r="I20" s="44" t="s">
        <v>105</v>
      </c>
      <c r="J20" s="49"/>
      <c r="K20" s="49">
        <f>SUMIFS(Eurostat!$P:$P,Eurostat!$M:$M,Summary!$I20) / 10^3 * 1.5</f>
        <v>2.3465666573863198</v>
      </c>
      <c r="L20" s="49"/>
      <c r="M20" s="40"/>
      <c r="N20" s="46">
        <f>SUMIFS('H2Heavy, capacities'!$E:$E,'H2Heavy, capacities'!$A:$A,Summary!$I20)</f>
        <v>0</v>
      </c>
      <c r="O20" s="46">
        <f>SUMIFS('H2Heavy, capacities'!$H:$H,'H2Heavy, capacities'!$A:$A,Summary!$I20)</f>
        <v>0</v>
      </c>
      <c r="P20" s="46">
        <f>SUMIFS('H2Heavy, capacities'!$E:$E,'H2Heavy, capacities'!$A:$A,Summary!$I20,     'H2Heavy, capacities'!$B:$B, P$4)</f>
        <v>0</v>
      </c>
      <c r="Q20" s="46">
        <f>SUMIFS('H2Heavy, capacities'!$E:$E,'H2Heavy, capacities'!$A:$A,Summary!$I20,     'H2Heavy, capacities'!$B:$B, Q$4)</f>
        <v>0</v>
      </c>
      <c r="R20" s="46">
        <f>SUMIFS(TYNDP2024!$C:$C,TYNDP2024!$A:$A,Summary!$I20)</f>
        <v>0</v>
      </c>
      <c r="S20" s="46">
        <f>SUMIFS(TYNDP2024!$C:$C,TYNDP2024!$A:$A,Summary!$I20,  TYNDP2024!$B:$B,S$4)</f>
        <v>0</v>
      </c>
      <c r="T20" s="46">
        <f>SUMIFS(TYNDP2024!$C:$C,TYNDP2024!$A:$A,Summary!$I20,  TYNDP2024!$B:$B,T$4)</f>
        <v>0</v>
      </c>
      <c r="U20" s="46"/>
      <c r="V20" s="46"/>
      <c r="W20" s="46"/>
      <c r="X20" s="46" t="str">
        <f t="shared" si="27"/>
        <v>-</v>
      </c>
      <c r="Y20" s="46" t="str">
        <f t="shared" si="27"/>
        <v>-</v>
      </c>
      <c r="Z20" s="46" t="str">
        <f t="shared" si="27"/>
        <v>-</v>
      </c>
    </row>
    <row r="21" spans="2:26" x14ac:dyDescent="0.25">
      <c r="B21" s="44" t="s">
        <v>21</v>
      </c>
      <c r="C21" s="56">
        <f t="shared" si="25"/>
        <v>0</v>
      </c>
      <c r="D21" s="56">
        <f t="shared" si="25"/>
        <v>0</v>
      </c>
      <c r="E21" s="56"/>
      <c r="F21" s="56">
        <f t="shared" si="26"/>
        <v>0.67388736444092534</v>
      </c>
      <c r="I21" t="s">
        <v>21</v>
      </c>
      <c r="J21" s="49">
        <f>SUMIFS('H2Heavy, demands'!$F$2:$F$15,'H2Heavy, demands'!$A$2:$A$15,Summary!$I21)</f>
        <v>0</v>
      </c>
      <c r="K21" s="49">
        <f>SUMIFS(Eurostat!$P:$P,Eurostat!$M:$M,Summary!$I21) / 10^3 * 1.5</f>
        <v>0</v>
      </c>
      <c r="L21" s="49">
        <f>$K$20/SUM($R$21:$R$23)*R21</f>
        <v>0.17709937036877885</v>
      </c>
      <c r="M21" s="40"/>
      <c r="N21" s="46">
        <f>SUMIFS('H2Heavy, capacities'!$E:$E,'H2Heavy, capacities'!$A:$A,Summary!$I21)</f>
        <v>53.76499884120048</v>
      </c>
      <c r="O21" s="46">
        <f>SUMIFS('H2Heavy, capacities'!$H:$H,'H2Heavy, capacities'!$A:$A,Summary!$I21)</f>
        <v>32.258999304720291</v>
      </c>
      <c r="P21" s="46">
        <f>SUMIFS('H2Heavy, capacities'!$E:$E,'H2Heavy, capacities'!$A:$A,Summary!$I21,     'H2Heavy, capacities'!$B:$B, P$4)</f>
        <v>0</v>
      </c>
      <c r="Q21" s="46">
        <f>SUMIFS('H2Heavy, capacities'!$E:$E,'H2Heavy, capacities'!$A:$A,Summary!$I21,     'H2Heavy, capacities'!$B:$B, Q$4)</f>
        <v>53.76499884120048</v>
      </c>
      <c r="R21" s="46">
        <f>SUMIFS(TYNDP2024!$C:$C,TYNDP2024!$A:$A,Summary!$I21)</f>
        <v>20</v>
      </c>
      <c r="S21" s="46">
        <f>SUMIFS(TYNDP2024!$C:$C,TYNDP2024!$A:$A,Summary!$I21,  TYNDP2024!$B:$B,S$4)</f>
        <v>20</v>
      </c>
      <c r="T21" s="46">
        <f>SUMIFS(TYNDP2024!$C:$C,TYNDP2024!$A:$A,Summary!$I21,  TYNDP2024!$B:$B,T$4)</f>
        <v>0</v>
      </c>
      <c r="U21" s="53">
        <f t="shared" ref="U21:W23" si="31">R21</f>
        <v>20</v>
      </c>
      <c r="V21" s="53">
        <f t="shared" si="31"/>
        <v>20</v>
      </c>
      <c r="W21" s="53">
        <f t="shared" si="31"/>
        <v>0</v>
      </c>
      <c r="X21" s="46">
        <f t="shared" si="27"/>
        <v>30.000300003000028</v>
      </c>
      <c r="Y21" s="46">
        <f t="shared" si="27"/>
        <v>30.000300003000028</v>
      </c>
      <c r="Z21" s="46">
        <f t="shared" si="27"/>
        <v>0</v>
      </c>
    </row>
    <row r="22" spans="2:26" x14ac:dyDescent="0.25">
      <c r="B22" s="44" t="s">
        <v>27</v>
      </c>
      <c r="C22" s="56">
        <f t="shared" si="25"/>
        <v>0</v>
      </c>
      <c r="D22" s="56">
        <f t="shared" si="25"/>
        <v>0</v>
      </c>
      <c r="E22" s="56"/>
      <c r="F22" s="56">
        <f t="shared" si="26"/>
        <v>0.67388736444092534</v>
      </c>
      <c r="I22" t="s">
        <v>27</v>
      </c>
      <c r="J22" s="49">
        <f>SUMIFS('H2Heavy, demands'!$F$2:$F$15,'H2Heavy, demands'!$A$2:$A$15,Summary!$I22)</f>
        <v>0</v>
      </c>
      <c r="K22" s="49">
        <f>SUMIFS(Eurostat!$P:$P,Eurostat!$M:$M,Summary!$I22) / 10^3 * 1.5</f>
        <v>0</v>
      </c>
      <c r="L22" s="49">
        <f>$K$20/SUM($R$21:$R$23)*R22</f>
        <v>1.7267188610955937</v>
      </c>
      <c r="M22" s="40"/>
      <c r="N22" s="46">
        <f>SUMIFS('H2Heavy, capacities'!$E:$E,'H2Heavy, capacities'!$A:$A,Summary!$I22)</f>
        <v>524.20873870170476</v>
      </c>
      <c r="O22" s="46">
        <f>SUMIFS('H2Heavy, capacities'!$H:$H,'H2Heavy, capacities'!$A:$A,Summary!$I22)</f>
        <v>314.52524322102283</v>
      </c>
      <c r="P22" s="46">
        <f>SUMIFS('H2Heavy, capacities'!$E:$E,'H2Heavy, capacities'!$A:$A,Summary!$I22,     'H2Heavy, capacities'!$B:$B, P$4)</f>
        <v>0</v>
      </c>
      <c r="Q22" s="46">
        <f>SUMIFS('H2Heavy, capacities'!$E:$E,'H2Heavy, capacities'!$A:$A,Summary!$I22,     'H2Heavy, capacities'!$B:$B, Q$4)</f>
        <v>524.20873870170476</v>
      </c>
      <c r="R22" s="46">
        <f>SUMIFS(TYNDP2024!$C:$C,TYNDP2024!$A:$A,Summary!$I22)</f>
        <v>195</v>
      </c>
      <c r="S22" s="46">
        <f>SUMIFS(TYNDP2024!$C:$C,TYNDP2024!$A:$A,Summary!$I22,  TYNDP2024!$B:$B,S$4)</f>
        <v>195</v>
      </c>
      <c r="T22" s="46">
        <f>SUMIFS(TYNDP2024!$C:$C,TYNDP2024!$A:$A,Summary!$I22,  TYNDP2024!$B:$B,T$4)</f>
        <v>0</v>
      </c>
      <c r="U22" s="53">
        <f t="shared" si="31"/>
        <v>195</v>
      </c>
      <c r="V22" s="53">
        <f t="shared" si="31"/>
        <v>195</v>
      </c>
      <c r="W22" s="53">
        <f t="shared" si="31"/>
        <v>0</v>
      </c>
      <c r="X22" s="46">
        <f t="shared" si="27"/>
        <v>292.50292502925026</v>
      </c>
      <c r="Y22" s="46">
        <f t="shared" si="27"/>
        <v>292.50292502925026</v>
      </c>
      <c r="Z22" s="46">
        <f t="shared" si="27"/>
        <v>0</v>
      </c>
    </row>
    <row r="23" spans="2:26" x14ac:dyDescent="0.25">
      <c r="B23" s="44" t="s">
        <v>22</v>
      </c>
      <c r="C23" s="56">
        <f t="shared" si="25"/>
        <v>0</v>
      </c>
      <c r="D23" s="56">
        <f t="shared" si="25"/>
        <v>0</v>
      </c>
      <c r="E23" s="56"/>
      <c r="F23" s="56">
        <f t="shared" si="26"/>
        <v>0.67388736444092534</v>
      </c>
      <c r="I23" t="s">
        <v>22</v>
      </c>
      <c r="J23" s="49">
        <f>SUMIFS('H2Heavy, demands'!$F$2:$F$15,'H2Heavy, demands'!$A$2:$A$15,Summary!$I23)</f>
        <v>0</v>
      </c>
      <c r="K23" s="49">
        <f>SUMIFS(Eurostat!$P:$P,Eurostat!$M:$M,Summary!$I23) / 10^3 * 1.5</f>
        <v>0</v>
      </c>
      <c r="L23" s="49">
        <f>$K$20/SUM($R$21:$R$23)*R23</f>
        <v>0.44274842592194713</v>
      </c>
      <c r="M23" s="40"/>
      <c r="N23" s="46">
        <f>SUMIFS('H2Heavy, capacities'!$E:$E,'H2Heavy, capacities'!$A:$A,Summary!$I23)</f>
        <v>134.41249710300121</v>
      </c>
      <c r="O23" s="46">
        <f>SUMIFS('H2Heavy, capacities'!$H:$H,'H2Heavy, capacities'!$A:$A,Summary!$I23)</f>
        <v>80.64749826180072</v>
      </c>
      <c r="P23" s="46">
        <f>SUMIFS('H2Heavy, capacities'!$E:$E,'H2Heavy, capacities'!$A:$A,Summary!$I23,     'H2Heavy, capacities'!$B:$B, P$4)</f>
        <v>0</v>
      </c>
      <c r="Q23" s="46">
        <f>SUMIFS('H2Heavy, capacities'!$E:$E,'H2Heavy, capacities'!$A:$A,Summary!$I23,     'H2Heavy, capacities'!$B:$B, Q$4)</f>
        <v>134.41249710300121</v>
      </c>
      <c r="R23" s="46">
        <f>SUMIFS(TYNDP2024!$C:$C,TYNDP2024!$A:$A,Summary!$I23)</f>
        <v>50</v>
      </c>
      <c r="S23" s="46">
        <f>SUMIFS(TYNDP2024!$C:$C,TYNDP2024!$A:$A,Summary!$I23,  TYNDP2024!$B:$B,S$4)</f>
        <v>50</v>
      </c>
      <c r="T23" s="46">
        <f>SUMIFS(TYNDP2024!$C:$C,TYNDP2024!$A:$A,Summary!$I23,  TYNDP2024!$B:$B,T$4)</f>
        <v>0</v>
      </c>
      <c r="U23" s="53">
        <f t="shared" si="31"/>
        <v>50</v>
      </c>
      <c r="V23" s="53">
        <f t="shared" si="31"/>
        <v>50</v>
      </c>
      <c r="W23" s="53">
        <f t="shared" si="31"/>
        <v>0</v>
      </c>
      <c r="X23" s="46">
        <f t="shared" si="27"/>
        <v>75.000750007500073</v>
      </c>
      <c r="Y23" s="46">
        <f t="shared" si="27"/>
        <v>75.000750007500073</v>
      </c>
      <c r="Z23" s="46">
        <f t="shared" si="27"/>
        <v>0</v>
      </c>
    </row>
    <row r="24" spans="2:26" x14ac:dyDescent="0.25">
      <c r="B24" t="s">
        <v>13</v>
      </c>
      <c r="C24" s="56">
        <f t="shared" si="21"/>
        <v>0.25966534561024712</v>
      </c>
      <c r="D24" s="56">
        <f t="shared" si="22"/>
        <v>0.33129856558426174</v>
      </c>
      <c r="E24" s="56"/>
      <c r="F24" s="56">
        <f t="shared" si="23"/>
        <v>0.31459092076569517</v>
      </c>
      <c r="I24" t="s">
        <v>13</v>
      </c>
      <c r="J24" s="49">
        <f>SUMIFS('H2Heavy, demands'!$F$2:$F$15,'H2Heavy, demands'!$A$2:$A$15,Summary!$I24)</f>
        <v>25.172503763736266</v>
      </c>
      <c r="K24" s="49">
        <f>SUMIFS(Eurostat!$P:$P,Eurostat!$M:$M,Summary!$I24) / 10^3 * 1.5</f>
        <v>32.116778500000002</v>
      </c>
      <c r="L24" s="50">
        <f>K24</f>
        <v>32.116778500000002</v>
      </c>
      <c r="M24" s="40"/>
      <c r="N24" s="46">
        <f>SUMIFS('H2Heavy, capacities'!$E:$E,'H2Heavy, capacities'!$A:$A,Summary!$I24)</f>
        <v>18444.082852473824</v>
      </c>
      <c r="O24" s="46">
        <f>SUMIFS('H2Heavy, capacities'!$H:$H,'H2Heavy, capacities'!$A:$A,Summary!$I24)</f>
        <v>11066.449711484296</v>
      </c>
      <c r="P24" s="46">
        <f>SUMIFS('H2Heavy, capacities'!$E:$E,'H2Heavy, capacities'!$A:$A,Summary!$I24,     'H2Heavy, capacities'!$B:$B, P$4)</f>
        <v>5868.4496235170318</v>
      </c>
      <c r="Q24" s="46">
        <f>SUMIFS('H2Heavy, capacities'!$E:$E,'H2Heavy, capacities'!$A:$A,Summary!$I24,     'H2Heavy, capacities'!$B:$B, Q$4)</f>
        <v>12575.633228956791</v>
      </c>
      <c r="R24" s="46">
        <f>SUMIFS(TYNDP2024!$C:$C,TYNDP2024!$A:$A,Summary!$I24)</f>
        <v>7769.375</v>
      </c>
      <c r="S24" s="46">
        <f>SUMIFS(TYNDP2024!$C:$C,TYNDP2024!$A:$A,Summary!$I24,  TYNDP2024!$B:$B,S$4)</f>
        <v>5614.3209999999999</v>
      </c>
      <c r="T24" s="46">
        <f>SUMIFS(TYNDP2024!$C:$C,TYNDP2024!$A:$A,Summary!$I24,  TYNDP2024!$B:$B,T$4)</f>
        <v>2155.0540000000001</v>
      </c>
      <c r="U24" s="53">
        <f>R24</f>
        <v>7769.375</v>
      </c>
      <c r="V24" s="53">
        <f t="shared" ref="V24" si="32">S24</f>
        <v>5614.3209999999999</v>
      </c>
      <c r="W24" s="53">
        <f t="shared" ref="W24" si="33">T24</f>
        <v>2155.0540000000001</v>
      </c>
      <c r="X24" s="46">
        <f t="shared" si="24"/>
        <v>11654.179041790418</v>
      </c>
      <c r="Y24" s="46">
        <f t="shared" si="15"/>
        <v>8421.565715657156</v>
      </c>
      <c r="Z24" s="46">
        <f t="shared" si="16"/>
        <v>3232.6133261332611</v>
      </c>
    </row>
    <row r="25" spans="2:26" x14ac:dyDescent="0.25">
      <c r="B25" s="70" t="s">
        <v>111</v>
      </c>
      <c r="C25" s="56" t="e">
        <f t="shared" si="21"/>
        <v>#DIV/0!</v>
      </c>
      <c r="D25" s="56" t="e">
        <f t="shared" si="22"/>
        <v>#DIV/0!</v>
      </c>
      <c r="E25" s="56"/>
      <c r="F25" s="56" t="str">
        <f t="shared" si="23"/>
        <v>-</v>
      </c>
      <c r="I25" s="44" t="s">
        <v>111</v>
      </c>
      <c r="J25" s="49"/>
      <c r="K25" s="49">
        <f>SUMIFS(Eurostat!$P:$P,Eurostat!$M:$M,Summary!$I25) / 10^3 * 1.5</f>
        <v>12.243905113636341</v>
      </c>
      <c r="L25" s="49"/>
      <c r="M25" s="40"/>
      <c r="N25" s="46">
        <f>SUMIFS('H2Heavy, capacities'!$E:$E,'H2Heavy, capacities'!$A:$A,Summary!$I25)</f>
        <v>0</v>
      </c>
      <c r="O25" s="46">
        <f>SUMIFS('H2Heavy, capacities'!$H:$H,'H2Heavy, capacities'!$A:$A,Summary!$I25)</f>
        <v>0</v>
      </c>
      <c r="P25" s="46">
        <f>SUMIFS('H2Heavy, capacities'!$E:$E,'H2Heavy, capacities'!$A:$A,Summary!$I25,     'H2Heavy, capacities'!$B:$B, P$4)</f>
        <v>0</v>
      </c>
      <c r="Q25" s="46">
        <f>SUMIFS('H2Heavy, capacities'!$E:$E,'H2Heavy, capacities'!$A:$A,Summary!$I25,     'H2Heavy, capacities'!$B:$B, Q$4)</f>
        <v>0</v>
      </c>
      <c r="R25" s="46">
        <f>SUMIFS(TYNDP2024!$C:$C,TYNDP2024!$A:$A,Summary!$I25)</f>
        <v>0</v>
      </c>
      <c r="S25" s="46">
        <f>SUMIFS(TYNDP2024!$C:$C,TYNDP2024!$A:$A,Summary!$I25,  TYNDP2024!$B:$B,S$4)</f>
        <v>0</v>
      </c>
      <c r="T25" s="46">
        <f>SUMIFS(TYNDP2024!$C:$C,TYNDP2024!$A:$A,Summary!$I25,  TYNDP2024!$B:$B,T$4)</f>
        <v>0</v>
      </c>
      <c r="U25" s="46"/>
      <c r="V25" s="46"/>
      <c r="W25" s="46"/>
      <c r="X25" s="46" t="str">
        <f t="shared" si="24"/>
        <v>-</v>
      </c>
      <c r="Y25" s="46" t="str">
        <f t="shared" si="15"/>
        <v>-</v>
      </c>
      <c r="Z25" s="46" t="str">
        <f t="shared" si="16"/>
        <v>-</v>
      </c>
    </row>
    <row r="26" spans="2:26" x14ac:dyDescent="0.25">
      <c r="B26" s="44" t="s">
        <v>26</v>
      </c>
      <c r="C26" s="56">
        <f t="shared" si="21"/>
        <v>0.40555118147305402</v>
      </c>
      <c r="D26" s="56">
        <f t="shared" si="22"/>
        <v>0</v>
      </c>
      <c r="E26" s="56"/>
      <c r="F26" s="56">
        <f t="shared" si="23"/>
        <v>0.16221885038449577</v>
      </c>
      <c r="I26" t="s">
        <v>26</v>
      </c>
      <c r="J26" s="49">
        <f>SUMIFS('H2Heavy, demands'!$F$2:$F$15,'H2Heavy, demands'!$A$2:$A$15,Summary!$I26)</f>
        <v>1.1403121428571428</v>
      </c>
      <c r="K26" s="49">
        <f>SUMIFS(Eurostat!$P:$P,Eurostat!$M:$M,Summary!$I26) / 10^3 * 1.5</f>
        <v>0</v>
      </c>
      <c r="L26" s="51">
        <f t="shared" ref="L26:L29" si="34">J26</f>
        <v>1.1403121428571428</v>
      </c>
      <c r="M26" s="40"/>
      <c r="N26" s="46">
        <f>SUMIFS('H2Heavy, capacities'!$E:$E,'H2Heavy, capacities'!$A:$A,Summary!$I26)</f>
        <v>534.96173846994475</v>
      </c>
      <c r="O26" s="46">
        <f>SUMIFS('H2Heavy, capacities'!$H:$H,'H2Heavy, capacities'!$A:$A,Summary!$I26)</f>
        <v>320.97704308196688</v>
      </c>
      <c r="P26" s="46">
        <f>SUMIFS('H2Heavy, capacities'!$E:$E,'H2Heavy, capacities'!$A:$A,Summary!$I26,     'H2Heavy, capacities'!$B:$B, P$4)</f>
        <v>534.96173846994475</v>
      </c>
      <c r="Q26" s="46">
        <f>SUMIFS('H2Heavy, capacities'!$E:$E,'H2Heavy, capacities'!$A:$A,Summary!$I26,     'H2Heavy, capacities'!$B:$B, Q$4)</f>
        <v>0</v>
      </c>
      <c r="R26" s="46">
        <f>SUMIFS(TYNDP2024!$C:$C,TYNDP2024!$A:$A,Summary!$I26)</f>
        <v>198.7</v>
      </c>
      <c r="S26" s="46">
        <f>SUMIFS(TYNDP2024!$C:$C,TYNDP2024!$A:$A,Summary!$I26,  TYNDP2024!$B:$B,S$4)</f>
        <v>0</v>
      </c>
      <c r="T26" s="46">
        <f>SUMIFS(TYNDP2024!$C:$C,TYNDP2024!$A:$A,Summary!$I26,  TYNDP2024!$B:$B,T$4)</f>
        <v>198.7</v>
      </c>
      <c r="U26" s="54">
        <f t="shared" ref="U26:U29" si="35">N26</f>
        <v>534.96173846994475</v>
      </c>
      <c r="V26" s="54">
        <f t="shared" ref="V26:V29" si="36">P26</f>
        <v>534.96173846994475</v>
      </c>
      <c r="W26" s="54">
        <f t="shared" ref="W26:W29" si="37">Q26</f>
        <v>0</v>
      </c>
      <c r="X26" s="46">
        <f t="shared" si="24"/>
        <v>802.45063221123917</v>
      </c>
      <c r="Y26" s="46">
        <f t="shared" si="15"/>
        <v>802.45063221123917</v>
      </c>
      <c r="Z26" s="46">
        <f t="shared" si="16"/>
        <v>0</v>
      </c>
    </row>
    <row r="27" spans="2:26" x14ac:dyDescent="0.25">
      <c r="B27" s="44" t="s">
        <v>16</v>
      </c>
      <c r="C27" s="56">
        <f t="shared" si="21"/>
        <v>0.48494855378196877</v>
      </c>
      <c r="D27" s="56">
        <f t="shared" si="22"/>
        <v>0</v>
      </c>
      <c r="E27" s="56"/>
      <c r="F27" s="56">
        <f t="shared" si="23"/>
        <v>0.1939774817185724</v>
      </c>
      <c r="I27" t="s">
        <v>16</v>
      </c>
      <c r="J27" s="49">
        <f>SUMIFS('H2Heavy, demands'!$F$2:$F$15,'H2Heavy, demands'!$A$2:$A$15,Summary!$I27)</f>
        <v>5.0979269230769226</v>
      </c>
      <c r="K27" s="49">
        <f>SUMIFS(Eurostat!$P:$P,Eurostat!$M:$M,Summary!$I27) / 10^3 * 1.5</f>
        <v>0</v>
      </c>
      <c r="L27" s="51">
        <f t="shared" si="34"/>
        <v>5.0979269230769226</v>
      </c>
      <c r="M27" s="40"/>
      <c r="N27" s="46">
        <f>SUMIFS('H2Heavy, capacities'!$E:$E,'H2Heavy, capacities'!$A:$A,Summary!$I27)</f>
        <v>2000.0579568926578</v>
      </c>
      <c r="O27" s="46">
        <f>SUMIFS('H2Heavy, capacities'!$H:$H,'H2Heavy, capacities'!$A:$A,Summary!$I27)</f>
        <v>1200.0347741355947</v>
      </c>
      <c r="P27" s="46">
        <f>SUMIFS('H2Heavy, capacities'!$E:$E,'H2Heavy, capacities'!$A:$A,Summary!$I27,     'H2Heavy, capacities'!$B:$B, P$4)</f>
        <v>2000.0579568926578</v>
      </c>
      <c r="Q27" s="46">
        <f>SUMIFS('H2Heavy, capacities'!$E:$E,'H2Heavy, capacities'!$A:$A,Summary!$I27,     'H2Heavy, capacities'!$B:$B, Q$4)</f>
        <v>0</v>
      </c>
      <c r="R27" s="46">
        <f>SUMIFS(TYNDP2024!$C:$C,TYNDP2024!$A:$A,Summary!$I27)</f>
        <v>743.57</v>
      </c>
      <c r="S27" s="46">
        <f>SUMIFS(TYNDP2024!$C:$C,TYNDP2024!$A:$A,Summary!$I27,  TYNDP2024!$B:$B,S$4)</f>
        <v>0</v>
      </c>
      <c r="T27" s="46">
        <f>SUMIFS(TYNDP2024!$C:$C,TYNDP2024!$A:$A,Summary!$I27,  TYNDP2024!$B:$B,T$4)</f>
        <v>743.57</v>
      </c>
      <c r="U27" s="54">
        <f t="shared" si="35"/>
        <v>2000.0579568926578</v>
      </c>
      <c r="V27" s="54">
        <f t="shared" si="36"/>
        <v>2000.0579568926578</v>
      </c>
      <c r="W27" s="54">
        <f t="shared" si="37"/>
        <v>0</v>
      </c>
      <c r="X27" s="46">
        <f t="shared" si="24"/>
        <v>3000.1169365083515</v>
      </c>
      <c r="Y27" s="46">
        <f t="shared" si="15"/>
        <v>3000.1169365083515</v>
      </c>
      <c r="Z27" s="46">
        <f t="shared" si="16"/>
        <v>0</v>
      </c>
    </row>
    <row r="28" spans="2:26" x14ac:dyDescent="0.25">
      <c r="B28" s="44" t="s">
        <v>17</v>
      </c>
      <c r="C28" s="56">
        <f t="shared" si="21"/>
        <v>0.63416659197298786</v>
      </c>
      <c r="D28" s="56">
        <f t="shared" si="22"/>
        <v>0</v>
      </c>
      <c r="E28" s="56"/>
      <c r="F28" s="56">
        <f t="shared" si="23"/>
        <v>0.25366410012282725</v>
      </c>
      <c r="I28" t="s">
        <v>17</v>
      </c>
      <c r="J28" s="49">
        <f>SUMIFS('H2Heavy, demands'!$F$2:$F$15,'H2Heavy, demands'!$A$2:$A$15,Summary!$I28)</f>
        <v>22.884912390109893</v>
      </c>
      <c r="K28" s="49">
        <f>SUMIFS(Eurostat!$P:$P,Eurostat!$M:$M,Summary!$I28) / 10^3 * 1.5</f>
        <v>0</v>
      </c>
      <c r="L28" s="51">
        <f t="shared" si="34"/>
        <v>22.884912390109893</v>
      </c>
      <c r="M28" s="40"/>
      <c r="N28" s="46">
        <f>SUMIFS('H2Heavy, capacities'!$E:$E,'H2Heavy, capacities'!$A:$A,Summary!$I28)</f>
        <v>6865.7903520213013</v>
      </c>
      <c r="O28" s="46">
        <f>SUMIFS('H2Heavy, capacities'!$H:$H,'H2Heavy, capacities'!$A:$A,Summary!$I28)</f>
        <v>4119.4742112127806</v>
      </c>
      <c r="P28" s="46">
        <f>SUMIFS('H2Heavy, capacities'!$E:$E,'H2Heavy, capacities'!$A:$A,Summary!$I28,     'H2Heavy, capacities'!$B:$B, P$4)</f>
        <v>6865.7903520213013</v>
      </c>
      <c r="Q28" s="46">
        <f>SUMIFS('H2Heavy, capacities'!$E:$E,'H2Heavy, capacities'!$A:$A,Summary!$I28,     'H2Heavy, capacities'!$B:$B, Q$4)</f>
        <v>0</v>
      </c>
      <c r="R28" s="46">
        <f>SUMIFS(TYNDP2024!$C:$C,TYNDP2024!$A:$A,Summary!$I28)</f>
        <v>2818.0549999999998</v>
      </c>
      <c r="S28" s="46">
        <f>SUMIFS(TYNDP2024!$C:$C,TYNDP2024!$A:$A,Summary!$I28,  TYNDP2024!$B:$B,S$4)</f>
        <v>0</v>
      </c>
      <c r="T28" s="46">
        <f>SUMIFS(TYNDP2024!$C:$C,TYNDP2024!$A:$A,Summary!$I28,  TYNDP2024!$B:$B,T$4)</f>
        <v>2818.0549999999998</v>
      </c>
      <c r="U28" s="54">
        <f t="shared" si="35"/>
        <v>6865.7903520213013</v>
      </c>
      <c r="V28" s="54">
        <f t="shared" si="36"/>
        <v>6865.7903520213013</v>
      </c>
      <c r="W28" s="54">
        <f t="shared" si="37"/>
        <v>0</v>
      </c>
      <c r="X28" s="46">
        <f t="shared" si="24"/>
        <v>10298.788515917111</v>
      </c>
      <c r="Y28" s="46">
        <f t="shared" si="15"/>
        <v>10298.788515917111</v>
      </c>
      <c r="Z28" s="46">
        <f t="shared" si="16"/>
        <v>0</v>
      </c>
    </row>
    <row r="29" spans="2:26" x14ac:dyDescent="0.25">
      <c r="B29" s="44" t="s">
        <v>18</v>
      </c>
      <c r="C29" s="56">
        <f t="shared" si="21"/>
        <v>0.52876801413131469</v>
      </c>
      <c r="D29" s="56">
        <f t="shared" si="22"/>
        <v>0</v>
      </c>
      <c r="E29" s="56"/>
      <c r="F29" s="56">
        <f t="shared" si="23"/>
        <v>0.21150509058046937</v>
      </c>
      <c r="I29" t="s">
        <v>18</v>
      </c>
      <c r="J29" s="49">
        <f>SUMIFS('H2Heavy, demands'!$F$2:$F$15,'H2Heavy, demands'!$A$2:$A$15,Summary!$I29)</f>
        <v>5.2148953846153843</v>
      </c>
      <c r="K29" s="49">
        <f>SUMIFS(Eurostat!$P:$P,Eurostat!$M:$M,Summary!$I29) / 10^3 * 1.5</f>
        <v>0</v>
      </c>
      <c r="L29" s="51">
        <f t="shared" si="34"/>
        <v>5.2148953846153843</v>
      </c>
      <c r="M29" s="40"/>
      <c r="N29" s="46">
        <f>SUMIFS('H2Heavy, capacities'!$E:$E,'H2Heavy, capacities'!$A:$A,Summary!$I29)</f>
        <v>1876.3984595578968</v>
      </c>
      <c r="O29" s="46">
        <f>SUMIFS('H2Heavy, capacities'!$H:$H,'H2Heavy, capacities'!$A:$A,Summary!$I29)</f>
        <v>1125.8390757347381</v>
      </c>
      <c r="P29" s="46">
        <f>SUMIFS('H2Heavy, capacities'!$E:$E,'H2Heavy, capacities'!$A:$A,Summary!$I29,     'H2Heavy, capacities'!$B:$B, P$4)</f>
        <v>1876.3984595578968</v>
      </c>
      <c r="Q29" s="46">
        <f>SUMIFS('H2Heavy, capacities'!$E:$E,'H2Heavy, capacities'!$A:$A,Summary!$I29,     'H2Heavy, capacities'!$B:$B, Q$4)</f>
        <v>0</v>
      </c>
      <c r="R29" s="46">
        <f>SUMIFS(TYNDP2024!$C:$C,TYNDP2024!$A:$A,Summary!$I29)</f>
        <v>698.09</v>
      </c>
      <c r="S29" s="46">
        <f>SUMIFS(TYNDP2024!$C:$C,TYNDP2024!$A:$A,Summary!$I29,  TYNDP2024!$B:$B,S$4)</f>
        <v>0</v>
      </c>
      <c r="T29" s="46">
        <f>SUMIFS(TYNDP2024!$C:$C,TYNDP2024!$A:$A,Summary!$I29,  TYNDP2024!$B:$B,T$4)</f>
        <v>698.09</v>
      </c>
      <c r="U29" s="54">
        <f t="shared" si="35"/>
        <v>1876.3984595578968</v>
      </c>
      <c r="V29" s="54">
        <f t="shared" si="36"/>
        <v>1876.3984595578968</v>
      </c>
      <c r="W29" s="54">
        <f t="shared" si="37"/>
        <v>0</v>
      </c>
      <c r="X29" s="46">
        <f t="shared" si="24"/>
        <v>2814.6258355952009</v>
      </c>
      <c r="Y29" s="46">
        <f t="shared" si="15"/>
        <v>2814.6258355952009</v>
      </c>
      <c r="Z29" s="46">
        <f t="shared" si="16"/>
        <v>0</v>
      </c>
    </row>
    <row r="30" spans="2:26" x14ac:dyDescent="0.25">
      <c r="B30" t="s">
        <v>11</v>
      </c>
      <c r="C30" s="56">
        <f>J30*10^6/$O30 / 8760</f>
        <v>0.51091063303722406</v>
      </c>
      <c r="D30" s="56">
        <f>K30*10^6/$O30 / 8760</f>
        <v>0</v>
      </c>
      <c r="E30" s="56"/>
      <c r="F30" s="56">
        <f>IFERROR(L30*10^6/$X30 / 8760, "-")</f>
        <v>0.20436220957235743</v>
      </c>
      <c r="I30" t="s">
        <v>11</v>
      </c>
      <c r="J30" s="49">
        <f>SUMIFS('H2Heavy, demands'!$F$2:$F$15,'H2Heavy, demands'!$A$2:$A$15,Summary!$I30)</f>
        <v>147.36625717032967</v>
      </c>
      <c r="K30" s="49">
        <f>SUMIFS(Eurostat!$P:$P,Eurostat!$M:$M,Summary!$I30) / 10^3 * 1.5</f>
        <v>0</v>
      </c>
      <c r="L30" s="51">
        <f t="shared" ref="L30" si="38">J30</f>
        <v>147.36625717032967</v>
      </c>
      <c r="M30" s="40"/>
      <c r="N30" s="46">
        <f>SUMIFS('H2Heavy, capacities'!$E:$E,'H2Heavy, capacities'!$A:$A,Summary!$I30)</f>
        <v>54877.934317213338</v>
      </c>
      <c r="O30" s="46">
        <f>SUMIFS('H2Heavy, capacities'!$H:$H,'H2Heavy, capacities'!$A:$A,Summary!$I30)</f>
        <v>32926.760590327998</v>
      </c>
      <c r="P30" s="46">
        <f>SUMIFS('H2Heavy, capacities'!$E:$E,'H2Heavy, capacities'!$A:$A,Summary!$I30,     'H2Heavy, capacities'!$B:$B, P$4)</f>
        <v>8207.2270731092522</v>
      </c>
      <c r="Q30" s="46">
        <f>SUMIFS('H2Heavy, capacities'!$E:$E,'H2Heavy, capacities'!$A:$A,Summary!$I30,     'H2Heavy, capacities'!$B:$B, Q$4)</f>
        <v>46670.707244104087</v>
      </c>
      <c r="R30" s="46">
        <f>SUMIFS(TYNDP2024!$C:$C,TYNDP2024!$A:$A,Summary!$I30)</f>
        <v>11563.359</v>
      </c>
      <c r="S30" s="46">
        <f>SUMIFS(TYNDP2024!$C:$C,TYNDP2024!$A:$A,Summary!$I30,  TYNDP2024!$B:$B,S$4)</f>
        <v>8657.1929999999993</v>
      </c>
      <c r="T30" s="46">
        <f>SUMIFS(TYNDP2024!$C:$C,TYNDP2024!$A:$A,Summary!$I30,  TYNDP2024!$B:$B,T$4)</f>
        <v>2906.1660000000002</v>
      </c>
      <c r="U30" s="54">
        <f t="shared" ref="U30" si="39">N30</f>
        <v>54877.934317213338</v>
      </c>
      <c r="V30" s="54">
        <f t="shared" ref="V30" si="40">P30</f>
        <v>8207.2270731092522</v>
      </c>
      <c r="W30" s="54">
        <f t="shared" ref="W30" si="41">Q30</f>
        <v>46670.707244104087</v>
      </c>
      <c r="X30" s="46">
        <f>IF(ISNUMBER(U30), U30/(0.5+0.16666), "-")</f>
        <v>82317.724653066529</v>
      </c>
      <c r="Y30" s="46">
        <f>IF(ISNUMBER(V30), V30/(0.5+0.16666), "-")</f>
        <v>12310.963719301071</v>
      </c>
      <c r="Z30" s="46">
        <f>IF(ISNUMBER(W30), W30/(0.5+0.16666), "-")</f>
        <v>70006.760933765472</v>
      </c>
    </row>
    <row r="31" spans="2:26" x14ac:dyDescent="0.25">
      <c r="Y31" s="43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>
      <selection activeCell="B15" sqref="B2:B15"/>
    </sheetView>
  </sheetViews>
  <sheetFormatPr defaultRowHeight="15" x14ac:dyDescent="0.25"/>
  <cols>
    <col min="1" max="1" width="10.140625" style="12" customWidth="1"/>
    <col min="2" max="2" width="36.42578125" style="12" customWidth="1"/>
    <col min="3" max="3" width="10.7109375" style="12" customWidth="1"/>
    <col min="4" max="4" width="12" style="12" customWidth="1"/>
    <col min="5" max="5" width="17" style="12" customWidth="1"/>
    <col min="6" max="6" width="18.28515625" style="12" customWidth="1"/>
    <col min="7" max="8" width="21.7109375" style="12" customWidth="1"/>
    <col min="9" max="9" width="14.42578125" style="12" customWidth="1"/>
  </cols>
  <sheetData>
    <row r="1" spans="1:9" x14ac:dyDescent="0.25">
      <c r="A1" s="14" t="s">
        <v>0</v>
      </c>
      <c r="B1" s="14" t="s">
        <v>112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25">
      <c r="A2" s="5" t="s">
        <v>9</v>
      </c>
      <c r="B2" s="5" t="s">
        <v>129</v>
      </c>
      <c r="C2" s="5" t="s">
        <v>34</v>
      </c>
      <c r="D2" s="5">
        <v>1</v>
      </c>
      <c r="E2" s="6">
        <v>23022.172503802049</v>
      </c>
      <c r="F2" s="6">
        <v>9208.8690015208194</v>
      </c>
      <c r="G2" s="6" t="s">
        <v>28</v>
      </c>
      <c r="H2" s="6">
        <v>13813.303502281229</v>
      </c>
      <c r="I2" s="5"/>
    </row>
    <row r="3" spans="1:9" x14ac:dyDescent="0.25">
      <c r="A3" s="1" t="s">
        <v>10</v>
      </c>
      <c r="B3" s="3" t="s">
        <v>129</v>
      </c>
      <c r="C3" s="1" t="s">
        <v>34</v>
      </c>
      <c r="D3" s="1">
        <v>1</v>
      </c>
      <c r="E3" s="2">
        <v>6492.1236100749575</v>
      </c>
      <c r="F3" s="2">
        <v>2596.8494440299833</v>
      </c>
      <c r="G3" s="4" t="s">
        <v>28</v>
      </c>
      <c r="H3" s="2">
        <v>3895.2741660449751</v>
      </c>
      <c r="I3" s="1"/>
    </row>
    <row r="4" spans="1:9" x14ac:dyDescent="0.25">
      <c r="A4" s="3" t="s">
        <v>11</v>
      </c>
      <c r="B4" s="3" t="s">
        <v>129</v>
      </c>
      <c r="C4" s="3" t="s">
        <v>34</v>
      </c>
      <c r="D4" s="3">
        <v>1</v>
      </c>
      <c r="E4" s="4">
        <v>8207.2270731092522</v>
      </c>
      <c r="F4" s="4">
        <v>3282.8908292437013</v>
      </c>
      <c r="G4" s="4" t="s">
        <v>28</v>
      </c>
      <c r="H4" s="4">
        <v>4924.3362438655522</v>
      </c>
      <c r="I4" s="3"/>
    </row>
    <row r="5" spans="1:9" x14ac:dyDescent="0.25">
      <c r="A5" s="1" t="s">
        <v>12</v>
      </c>
      <c r="B5" s="3" t="s">
        <v>129</v>
      </c>
      <c r="C5" s="1" t="s">
        <v>34</v>
      </c>
      <c r="D5" s="1">
        <v>1</v>
      </c>
      <c r="E5" s="2">
        <v>4650.6723997638419</v>
      </c>
      <c r="F5" s="2">
        <v>1860.2689599055368</v>
      </c>
      <c r="G5" s="4" t="s">
        <v>28</v>
      </c>
      <c r="H5" s="2">
        <v>2790.4034398583053</v>
      </c>
      <c r="I5" s="1"/>
    </row>
    <row r="6" spans="1:9" x14ac:dyDescent="0.25">
      <c r="A6" s="3" t="s">
        <v>13</v>
      </c>
      <c r="B6" s="3" t="s">
        <v>129</v>
      </c>
      <c r="C6" s="3" t="s">
        <v>34</v>
      </c>
      <c r="D6" s="3">
        <v>1</v>
      </c>
      <c r="E6" s="4">
        <v>5868.4496235170318</v>
      </c>
      <c r="F6" s="4">
        <v>2347.3798494068128</v>
      </c>
      <c r="G6" s="4" t="s">
        <v>28</v>
      </c>
      <c r="H6" s="4">
        <v>3521.0697741102194</v>
      </c>
      <c r="I6" s="3"/>
    </row>
    <row r="7" spans="1:9" x14ac:dyDescent="0.25">
      <c r="A7" s="1" t="s">
        <v>14</v>
      </c>
      <c r="B7" s="3" t="s">
        <v>129</v>
      </c>
      <c r="C7" s="1" t="s">
        <v>34</v>
      </c>
      <c r="D7" s="1">
        <v>1</v>
      </c>
      <c r="E7" s="2">
        <v>1115.62372595491</v>
      </c>
      <c r="F7" s="2">
        <v>446.24949038196399</v>
      </c>
      <c r="G7" s="4" t="s">
        <v>28</v>
      </c>
      <c r="H7" s="2">
        <v>669.37423557294608</v>
      </c>
      <c r="I7" s="1"/>
    </row>
    <row r="8" spans="1:9" x14ac:dyDescent="0.25">
      <c r="A8" s="3" t="s">
        <v>15</v>
      </c>
      <c r="B8" s="3" t="s">
        <v>129</v>
      </c>
      <c r="C8" s="3" t="s">
        <v>34</v>
      </c>
      <c r="D8" s="3">
        <v>1</v>
      </c>
      <c r="E8" s="4">
        <v>1653.2737143669149</v>
      </c>
      <c r="F8" s="4">
        <v>661.30948574676597</v>
      </c>
      <c r="G8" s="4" t="s">
        <v>28</v>
      </c>
      <c r="H8" s="4">
        <v>991.9642286201489</v>
      </c>
      <c r="I8" s="3"/>
    </row>
    <row r="9" spans="1:9" x14ac:dyDescent="0.25">
      <c r="A9" s="1" t="s">
        <v>26</v>
      </c>
      <c r="B9" s="3" t="s">
        <v>129</v>
      </c>
      <c r="C9" s="1" t="s">
        <v>34</v>
      </c>
      <c r="D9" s="1">
        <v>1</v>
      </c>
      <c r="E9" s="2">
        <v>534.96173846994475</v>
      </c>
      <c r="F9" s="2">
        <v>213.98469538797792</v>
      </c>
      <c r="G9" s="4" t="s">
        <v>28</v>
      </c>
      <c r="H9" s="2">
        <v>320.97704308196688</v>
      </c>
      <c r="I9" s="1"/>
    </row>
    <row r="10" spans="1:9" x14ac:dyDescent="0.25">
      <c r="A10" s="3" t="s">
        <v>16</v>
      </c>
      <c r="B10" s="3" t="s">
        <v>129</v>
      </c>
      <c r="C10" s="3" t="s">
        <v>34</v>
      </c>
      <c r="D10" s="3">
        <v>1</v>
      </c>
      <c r="E10" s="4">
        <v>2000.0579568926578</v>
      </c>
      <c r="F10" s="4">
        <v>800.02318275706318</v>
      </c>
      <c r="G10" s="4" t="s">
        <v>28</v>
      </c>
      <c r="H10" s="4">
        <v>1200.0347741355947</v>
      </c>
      <c r="I10" s="3"/>
    </row>
    <row r="11" spans="1:9" x14ac:dyDescent="0.25">
      <c r="A11" s="1" t="s">
        <v>17</v>
      </c>
      <c r="B11" s="3" t="s">
        <v>129</v>
      </c>
      <c r="C11" s="1" t="s">
        <v>34</v>
      </c>
      <c r="D11" s="1">
        <v>1</v>
      </c>
      <c r="E11" s="2">
        <v>6865.7903520213013</v>
      </c>
      <c r="F11" s="2">
        <v>2746.3161408085207</v>
      </c>
      <c r="G11" s="4" t="s">
        <v>28</v>
      </c>
      <c r="H11" s="2">
        <v>4119.4742112127806</v>
      </c>
      <c r="I11" s="1"/>
    </row>
    <row r="12" spans="1:9" x14ac:dyDescent="0.25">
      <c r="A12" s="3" t="s">
        <v>18</v>
      </c>
      <c r="B12" s="3" t="s">
        <v>129</v>
      </c>
      <c r="C12" s="3" t="s">
        <v>34</v>
      </c>
      <c r="D12" s="3">
        <v>1</v>
      </c>
      <c r="E12" s="4">
        <v>1876.3984595578968</v>
      </c>
      <c r="F12" s="4">
        <v>750.55938382315878</v>
      </c>
      <c r="G12" s="4" t="s">
        <v>28</v>
      </c>
      <c r="H12" s="4">
        <v>1125.8390757347381</v>
      </c>
      <c r="I12" s="3"/>
    </row>
    <row r="13" spans="1:9" x14ac:dyDescent="0.25">
      <c r="A13" s="1" t="s">
        <v>19</v>
      </c>
      <c r="B13" s="3" t="s">
        <v>129</v>
      </c>
      <c r="C13" s="1" t="s">
        <v>34</v>
      </c>
      <c r="D13" s="1">
        <v>1</v>
      </c>
      <c r="E13" s="2">
        <v>18.817749594420167</v>
      </c>
      <c r="F13" s="2">
        <v>7.527099837768068</v>
      </c>
      <c r="G13" s="4" t="s">
        <v>28</v>
      </c>
      <c r="H13" s="2">
        <v>11.290649756652103</v>
      </c>
      <c r="I13" s="1"/>
    </row>
    <row r="14" spans="1:9" x14ac:dyDescent="0.25">
      <c r="A14" s="7" t="s">
        <v>23</v>
      </c>
      <c r="B14" s="3" t="s">
        <v>129</v>
      </c>
      <c r="C14" s="1" t="s">
        <v>34</v>
      </c>
      <c r="D14" s="1">
        <v>1</v>
      </c>
      <c r="E14" s="2">
        <v>564.53248783260506</v>
      </c>
      <c r="F14" s="2">
        <v>225.81299513304202</v>
      </c>
      <c r="G14" s="9" t="s">
        <v>28</v>
      </c>
      <c r="H14" s="10">
        <v>338.71949269956309</v>
      </c>
      <c r="I14" s="1"/>
    </row>
    <row r="15" spans="1:9" x14ac:dyDescent="0.25">
      <c r="A15" s="8" t="s">
        <v>24</v>
      </c>
      <c r="B15" s="3" t="s">
        <v>129</v>
      </c>
      <c r="C15" s="3" t="s">
        <v>34</v>
      </c>
      <c r="D15" s="3">
        <v>1</v>
      </c>
      <c r="E15" s="4">
        <v>427.43174078754384</v>
      </c>
      <c r="F15" s="4">
        <v>170.97269631501754</v>
      </c>
      <c r="G15" s="9" t="s">
        <v>28</v>
      </c>
      <c r="H15" s="11">
        <v>256.45904447252627</v>
      </c>
      <c r="I15" s="3"/>
    </row>
    <row r="16" spans="1:9" x14ac:dyDescent="0.25">
      <c r="A16" s="1" t="s">
        <v>25</v>
      </c>
      <c r="B16" s="3" t="s">
        <v>129</v>
      </c>
      <c r="C16" s="1" t="s">
        <v>34</v>
      </c>
      <c r="D16" s="1">
        <v>1</v>
      </c>
      <c r="E16" s="2">
        <v>451.62599026608405</v>
      </c>
      <c r="F16" s="2">
        <v>180.65039610643362</v>
      </c>
      <c r="G16" s="4" t="s">
        <v>28</v>
      </c>
      <c r="H16" s="2">
        <v>270.97559415965043</v>
      </c>
      <c r="I16" s="1"/>
    </row>
    <row r="17" spans="1:9" x14ac:dyDescent="0.25">
      <c r="A17" s="3" t="s">
        <v>9</v>
      </c>
      <c r="B17" s="3" t="s">
        <v>130</v>
      </c>
      <c r="C17" s="3" t="s">
        <v>34</v>
      </c>
      <c r="D17" s="3">
        <v>1</v>
      </c>
      <c r="E17" s="4">
        <v>12970.805970439615</v>
      </c>
      <c r="F17" s="4">
        <v>5188.3223881758458</v>
      </c>
      <c r="G17" s="4" t="s">
        <v>28</v>
      </c>
      <c r="H17" s="4">
        <v>7782.4835822637706</v>
      </c>
      <c r="I17" s="3"/>
    </row>
    <row r="18" spans="1:9" x14ac:dyDescent="0.25">
      <c r="A18" s="1" t="s">
        <v>10</v>
      </c>
      <c r="B18" s="3" t="s">
        <v>130</v>
      </c>
      <c r="C18" s="1" t="s">
        <v>34</v>
      </c>
      <c r="D18" s="1">
        <v>1</v>
      </c>
      <c r="E18" s="2">
        <v>6989.4498493560623</v>
      </c>
      <c r="F18" s="2">
        <v>2795.7799397424251</v>
      </c>
      <c r="G18" s="4" t="s">
        <v>28</v>
      </c>
      <c r="H18" s="2">
        <v>4193.6699096136381</v>
      </c>
      <c r="I18" s="1"/>
    </row>
    <row r="19" spans="1:9" x14ac:dyDescent="0.25">
      <c r="A19" s="3" t="s">
        <v>11</v>
      </c>
      <c r="B19" s="3" t="s">
        <v>130</v>
      </c>
      <c r="C19" s="3" t="s">
        <v>34</v>
      </c>
      <c r="D19" s="3">
        <v>1</v>
      </c>
      <c r="E19" s="4">
        <v>46670.707244104087</v>
      </c>
      <c r="F19" s="4">
        <v>18668.282897641635</v>
      </c>
      <c r="G19" s="4" t="s">
        <v>28</v>
      </c>
      <c r="H19" s="4">
        <v>28002.424346462449</v>
      </c>
      <c r="I19" s="3"/>
    </row>
    <row r="20" spans="1:9" x14ac:dyDescent="0.25">
      <c r="A20" s="1" t="s">
        <v>12</v>
      </c>
      <c r="B20" s="3" t="s">
        <v>130</v>
      </c>
      <c r="C20" s="1" t="s">
        <v>34</v>
      </c>
      <c r="D20" s="1">
        <v>1</v>
      </c>
      <c r="E20" s="2">
        <v>10699.234769398894</v>
      </c>
      <c r="F20" s="2">
        <v>4279.693907759558</v>
      </c>
      <c r="G20" s="4" t="s">
        <v>28</v>
      </c>
      <c r="H20" s="2">
        <v>6419.5408616393379</v>
      </c>
      <c r="I20" s="1"/>
    </row>
    <row r="21" spans="1:9" x14ac:dyDescent="0.25">
      <c r="A21" s="3" t="s">
        <v>13</v>
      </c>
      <c r="B21" s="3" t="s">
        <v>130</v>
      </c>
      <c r="C21" s="3" t="s">
        <v>34</v>
      </c>
      <c r="D21" s="3">
        <v>1</v>
      </c>
      <c r="E21" s="4">
        <v>12575.633228956791</v>
      </c>
      <c r="F21" s="4">
        <v>5030.2532915827169</v>
      </c>
      <c r="G21" s="4" t="s">
        <v>28</v>
      </c>
      <c r="H21" s="4">
        <v>7545.3799373740767</v>
      </c>
      <c r="I21" s="3"/>
    </row>
    <row r="22" spans="1:9" x14ac:dyDescent="0.25">
      <c r="A22" s="1" t="s">
        <v>14</v>
      </c>
      <c r="B22" s="3" t="s">
        <v>130</v>
      </c>
      <c r="C22" s="1" t="s">
        <v>34</v>
      </c>
      <c r="D22" s="1">
        <v>1</v>
      </c>
      <c r="E22" s="2">
        <v>9849.7477877079273</v>
      </c>
      <c r="F22" s="2">
        <v>3939.8991150831712</v>
      </c>
      <c r="G22" s="4" t="s">
        <v>28</v>
      </c>
      <c r="H22" s="2">
        <v>5909.8486726247575</v>
      </c>
      <c r="I22" s="1"/>
    </row>
    <row r="23" spans="1:9" x14ac:dyDescent="0.25">
      <c r="A23" s="3" t="s">
        <v>15</v>
      </c>
      <c r="B23" s="3" t="s">
        <v>130</v>
      </c>
      <c r="C23" s="3" t="s">
        <v>34</v>
      </c>
      <c r="D23" s="3">
        <v>1</v>
      </c>
      <c r="E23" s="4">
        <v>4285.0704076436778</v>
      </c>
      <c r="F23" s="4">
        <v>1714.0281630574714</v>
      </c>
      <c r="G23" s="4" t="s">
        <v>28</v>
      </c>
      <c r="H23" s="4">
        <v>2571.0422445862073</v>
      </c>
      <c r="I23" s="3"/>
    </row>
    <row r="24" spans="1:9" x14ac:dyDescent="0.25">
      <c r="A24" s="3" t="s">
        <v>21</v>
      </c>
      <c r="B24" s="3" t="s">
        <v>130</v>
      </c>
      <c r="C24" s="3" t="s">
        <v>34</v>
      </c>
      <c r="D24" s="3">
        <v>1</v>
      </c>
      <c r="E24" s="4">
        <v>53.76499884120048</v>
      </c>
      <c r="F24" s="4">
        <v>21.505999536480193</v>
      </c>
      <c r="G24" s="4" t="s">
        <v>28</v>
      </c>
      <c r="H24" s="4">
        <v>32.258999304720291</v>
      </c>
      <c r="I24" s="3"/>
    </row>
    <row r="25" spans="1:9" x14ac:dyDescent="0.25">
      <c r="A25" s="1" t="s">
        <v>27</v>
      </c>
      <c r="B25" s="3" t="s">
        <v>130</v>
      </c>
      <c r="C25" s="1" t="s">
        <v>34</v>
      </c>
      <c r="D25" s="1">
        <v>1</v>
      </c>
      <c r="E25" s="2">
        <v>524.20873870170476</v>
      </c>
      <c r="F25" s="2">
        <v>209.6834954806819</v>
      </c>
      <c r="G25" s="4" t="s">
        <v>28</v>
      </c>
      <c r="H25" s="2">
        <v>314.52524322102283</v>
      </c>
      <c r="I25" s="1"/>
    </row>
    <row r="26" spans="1:9" x14ac:dyDescent="0.25">
      <c r="A26" s="3" t="s">
        <v>22</v>
      </c>
      <c r="B26" s="3" t="s">
        <v>130</v>
      </c>
      <c r="C26" s="3" t="s">
        <v>34</v>
      </c>
      <c r="D26" s="3">
        <v>1</v>
      </c>
      <c r="E26" s="4">
        <v>134.41249710300121</v>
      </c>
      <c r="F26" s="4">
        <v>53.764998841200487</v>
      </c>
      <c r="G26" s="4" t="s">
        <v>28</v>
      </c>
      <c r="H26" s="4">
        <v>80.64749826180072</v>
      </c>
      <c r="I26" s="3"/>
    </row>
    <row r="27" spans="1:9" x14ac:dyDescent="0.25">
      <c r="A27" s="7" t="s">
        <v>23</v>
      </c>
      <c r="B27" s="3" t="s">
        <v>130</v>
      </c>
      <c r="C27" s="1" t="s">
        <v>34</v>
      </c>
      <c r="D27" s="1">
        <v>1</v>
      </c>
      <c r="E27" s="2">
        <v>287.64274380042252</v>
      </c>
      <c r="F27" s="2">
        <v>115.05709752016902</v>
      </c>
      <c r="G27" s="4" t="s">
        <v>28</v>
      </c>
      <c r="H27" s="10">
        <v>172.58564628025354</v>
      </c>
      <c r="I27" s="1"/>
    </row>
    <row r="28" spans="1:9" x14ac:dyDescent="0.25">
      <c r="A28" s="3" t="s">
        <v>25</v>
      </c>
      <c r="B28" s="3" t="s">
        <v>130</v>
      </c>
      <c r="C28" s="3" t="s">
        <v>34</v>
      </c>
      <c r="D28" s="3">
        <v>1</v>
      </c>
      <c r="E28" s="4">
        <v>362.91374217810329</v>
      </c>
      <c r="F28" s="4">
        <v>145.16549687124132</v>
      </c>
      <c r="G28" s="4" t="s">
        <v>28</v>
      </c>
      <c r="H28" s="4">
        <v>217.74824530686197</v>
      </c>
      <c r="I28" s="3"/>
    </row>
    <row r="29" spans="1:9" x14ac:dyDescent="0.25">
      <c r="F29" s="13"/>
      <c r="G29" s="13"/>
    </row>
  </sheetData>
  <conditionalFormatting sqref="A2:I28">
    <cfRule type="expression" dxfId="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8DD7-3640-46A5-BBAB-0B6256890B28}">
  <dimension ref="A1:G15"/>
  <sheetViews>
    <sheetView tabSelected="1" workbookViewId="0">
      <selection activeCell="R25" sqref="R25"/>
    </sheetView>
  </sheetViews>
  <sheetFormatPr defaultRowHeight="15" x14ac:dyDescent="0.25"/>
  <cols>
    <col min="1" max="1" width="8" style="1" bestFit="1" customWidth="1"/>
    <col min="2" max="2" width="6.140625" style="1" bestFit="1" customWidth="1"/>
    <col min="3" max="3" width="11.85546875" style="1" bestFit="1" customWidth="1"/>
    <col min="4" max="4" width="9" style="1" bestFit="1" customWidth="1"/>
    <col min="5" max="5" width="5" style="1" bestFit="1" customWidth="1"/>
    <col min="6" max="6" width="10.5703125" style="1" customWidth="1"/>
    <col min="7" max="7" width="15.140625" style="1" bestFit="1" customWidth="1"/>
  </cols>
  <sheetData>
    <row r="1" spans="1:7" x14ac:dyDescent="0.25">
      <c r="A1" s="15" t="s">
        <v>0</v>
      </c>
      <c r="B1" s="15" t="s">
        <v>29</v>
      </c>
      <c r="C1" s="15" t="s">
        <v>30</v>
      </c>
      <c r="D1" s="15" t="s">
        <v>2</v>
      </c>
      <c r="E1" s="15" t="s">
        <v>3</v>
      </c>
      <c r="F1" s="15" t="s">
        <v>31</v>
      </c>
      <c r="G1" s="16" t="s">
        <v>32</v>
      </c>
    </row>
    <row r="2" spans="1:7" x14ac:dyDescent="0.25">
      <c r="A2" s="1" t="s">
        <v>9</v>
      </c>
      <c r="B2" s="1" t="s">
        <v>33</v>
      </c>
      <c r="C2" s="1" t="s">
        <v>28</v>
      </c>
      <c r="D2" s="21" t="s">
        <v>34</v>
      </c>
      <c r="E2" s="21">
        <v>1</v>
      </c>
      <c r="F2" s="18">
        <v>89.390575686813193</v>
      </c>
    </row>
    <row r="3" spans="1:7" x14ac:dyDescent="0.25">
      <c r="A3" s="1" t="s">
        <v>10</v>
      </c>
      <c r="B3" s="1" t="s">
        <v>33</v>
      </c>
      <c r="C3" s="1" t="s">
        <v>28</v>
      </c>
      <c r="D3" s="21" t="s">
        <v>34</v>
      </c>
      <c r="E3" s="21">
        <v>1</v>
      </c>
      <c r="F3" s="18">
        <v>27.49757782967033</v>
      </c>
    </row>
    <row r="4" spans="1:7" x14ac:dyDescent="0.25">
      <c r="A4" s="1" t="s">
        <v>11</v>
      </c>
      <c r="B4" s="1" t="s">
        <v>33</v>
      </c>
      <c r="C4" s="1" t="s">
        <v>28</v>
      </c>
      <c r="D4" s="21" t="s">
        <v>34</v>
      </c>
      <c r="E4" s="21">
        <v>1</v>
      </c>
      <c r="F4" s="18">
        <v>147.36625717032967</v>
      </c>
    </row>
    <row r="5" spans="1:7" x14ac:dyDescent="0.25">
      <c r="A5" s="1" t="s">
        <v>12</v>
      </c>
      <c r="B5" s="1" t="s">
        <v>33</v>
      </c>
      <c r="C5" s="1" t="s">
        <v>28</v>
      </c>
      <c r="D5" s="21" t="s">
        <v>34</v>
      </c>
      <c r="E5" s="21">
        <v>1</v>
      </c>
      <c r="F5" s="18">
        <v>15.367019423076924</v>
      </c>
    </row>
    <row r="6" spans="1:7" x14ac:dyDescent="0.25">
      <c r="A6" s="1" t="s">
        <v>13</v>
      </c>
      <c r="B6" s="1" t="s">
        <v>33</v>
      </c>
      <c r="C6" s="1" t="s">
        <v>28</v>
      </c>
      <c r="D6" s="21" t="s">
        <v>34</v>
      </c>
      <c r="E6" s="21">
        <v>1</v>
      </c>
      <c r="F6" s="18">
        <v>25.172503763736266</v>
      </c>
    </row>
    <row r="7" spans="1:7" x14ac:dyDescent="0.25">
      <c r="A7" s="1" t="s">
        <v>14</v>
      </c>
      <c r="B7" s="1" t="s">
        <v>33</v>
      </c>
      <c r="C7" s="1" t="s">
        <v>28</v>
      </c>
      <c r="D7" s="21" t="s">
        <v>34</v>
      </c>
      <c r="E7" s="21">
        <v>1</v>
      </c>
      <c r="F7" s="18">
        <v>12.092048901098902</v>
      </c>
    </row>
    <row r="8" spans="1:7" x14ac:dyDescent="0.25">
      <c r="A8" s="1" t="s">
        <v>15</v>
      </c>
      <c r="B8" s="1" t="s">
        <v>33</v>
      </c>
      <c r="C8" s="1" t="s">
        <v>28</v>
      </c>
      <c r="D8" s="21" t="s">
        <v>34</v>
      </c>
      <c r="E8" s="21">
        <v>1</v>
      </c>
      <c r="F8" s="18">
        <v>9.4712947527472533</v>
      </c>
    </row>
    <row r="9" spans="1:7" x14ac:dyDescent="0.25">
      <c r="A9" s="1" t="s">
        <v>26</v>
      </c>
      <c r="B9" s="1" t="s">
        <v>33</v>
      </c>
      <c r="C9" s="1" t="s">
        <v>28</v>
      </c>
      <c r="D9" s="21" t="s">
        <v>34</v>
      </c>
      <c r="E9" s="21">
        <v>1</v>
      </c>
      <c r="F9" s="18">
        <v>1.1403121428571428</v>
      </c>
    </row>
    <row r="10" spans="1:7" x14ac:dyDescent="0.25">
      <c r="A10" s="1" t="s">
        <v>16</v>
      </c>
      <c r="B10" s="1" t="s">
        <v>33</v>
      </c>
      <c r="C10" s="1" t="s">
        <v>28</v>
      </c>
      <c r="D10" s="21" t="s">
        <v>34</v>
      </c>
      <c r="E10" s="21">
        <v>1</v>
      </c>
      <c r="F10" s="18">
        <v>5.0979269230769226</v>
      </c>
    </row>
    <row r="11" spans="1:7" x14ac:dyDescent="0.25">
      <c r="A11" s="1" t="s">
        <v>17</v>
      </c>
      <c r="B11" s="1" t="s">
        <v>33</v>
      </c>
      <c r="C11" s="1" t="s">
        <v>28</v>
      </c>
      <c r="D11" s="21" t="s">
        <v>34</v>
      </c>
      <c r="E11" s="21">
        <v>1</v>
      </c>
      <c r="F11" s="18">
        <v>22.884912390109893</v>
      </c>
    </row>
    <row r="12" spans="1:7" x14ac:dyDescent="0.25">
      <c r="A12" s="1" t="s">
        <v>18</v>
      </c>
      <c r="B12" s="1" t="s">
        <v>33</v>
      </c>
      <c r="C12" s="1" t="s">
        <v>28</v>
      </c>
      <c r="D12" s="21" t="s">
        <v>34</v>
      </c>
      <c r="E12" s="21">
        <v>1</v>
      </c>
      <c r="F12" s="18">
        <v>5.2148953846153843</v>
      </c>
    </row>
    <row r="13" spans="1:7" x14ac:dyDescent="0.25">
      <c r="A13" s="12" t="s">
        <v>23</v>
      </c>
      <c r="B13" s="12" t="s">
        <v>33</v>
      </c>
      <c r="C13" s="12" t="s">
        <v>28</v>
      </c>
      <c r="D13" s="22" t="s">
        <v>34</v>
      </c>
      <c r="E13" s="22">
        <v>1</v>
      </c>
      <c r="F13" s="20">
        <v>3.9464943131868133</v>
      </c>
    </row>
    <row r="14" spans="1:7" x14ac:dyDescent="0.25">
      <c r="A14" s="12" t="s">
        <v>24</v>
      </c>
      <c r="B14" s="12" t="s">
        <v>33</v>
      </c>
      <c r="C14" s="12" t="s">
        <v>28</v>
      </c>
      <c r="D14" s="22" t="s">
        <v>34</v>
      </c>
      <c r="E14" s="22">
        <v>1</v>
      </c>
      <c r="F14" s="20">
        <v>2.2378212295793301</v>
      </c>
    </row>
    <row r="15" spans="1:7" x14ac:dyDescent="0.25">
      <c r="A15" s="17" t="s">
        <v>25</v>
      </c>
      <c r="B15" s="17" t="s">
        <v>33</v>
      </c>
      <c r="C15" s="17" t="s">
        <v>28</v>
      </c>
      <c r="D15" s="23" t="s">
        <v>34</v>
      </c>
      <c r="E15" s="23">
        <v>1</v>
      </c>
      <c r="F15" s="19">
        <v>1.5351418681318685</v>
      </c>
      <c r="G15" s="17"/>
    </row>
  </sheetData>
  <conditionalFormatting sqref="A2:G15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0AE7-C1DE-45D2-B734-1504B0A55513}">
  <dimension ref="A1:N69"/>
  <sheetViews>
    <sheetView workbookViewId="0">
      <selection activeCell="R9" sqref="R9"/>
    </sheetView>
  </sheetViews>
  <sheetFormatPr defaultRowHeight="15" x14ac:dyDescent="0.25"/>
  <cols>
    <col min="1" max="1" width="10.140625" customWidth="1"/>
    <col min="2" max="2" width="27" bestFit="1" customWidth="1"/>
    <col min="3" max="4" width="9.140625" style="47"/>
    <col min="11" max="11" width="39.85546875" customWidth="1"/>
    <col min="14" max="14" width="16.28515625" bestFit="1" customWidth="1"/>
  </cols>
  <sheetData>
    <row r="1" spans="1:14" x14ac:dyDescent="0.25">
      <c r="A1" s="38" t="s">
        <v>0</v>
      </c>
      <c r="B1" s="38" t="s">
        <v>112</v>
      </c>
      <c r="C1" s="45">
        <v>2030</v>
      </c>
      <c r="D1" s="45">
        <v>2040</v>
      </c>
    </row>
    <row r="2" spans="1:14" x14ac:dyDescent="0.25">
      <c r="A2" s="38"/>
      <c r="B2" s="38"/>
      <c r="C2" s="45" t="s">
        <v>113</v>
      </c>
      <c r="D2" s="45" t="s">
        <v>113</v>
      </c>
    </row>
    <row r="3" spans="1:14" x14ac:dyDescent="0.25">
      <c r="A3" t="s">
        <v>104</v>
      </c>
      <c r="B3" t="s">
        <v>129</v>
      </c>
      <c r="C3" s="46">
        <f>SUMIFS($N:$N,$J:$J,$A3,$K:$K,$B3,$M:$M,C$1)</f>
        <v>845.24</v>
      </c>
      <c r="D3" s="46">
        <f t="shared" ref="D3:D46" si="0">SUMIFS($N:$N,$J:$J,$A3,$K:$K,$B3,$M:$M,D$1)</f>
        <v>845.24</v>
      </c>
      <c r="J3" s="65" t="s">
        <v>0</v>
      </c>
      <c r="K3" s="65" t="s">
        <v>1</v>
      </c>
      <c r="L3" s="65" t="s">
        <v>2</v>
      </c>
      <c r="M3" s="65" t="s">
        <v>3</v>
      </c>
      <c r="N3" s="65" t="s">
        <v>5</v>
      </c>
    </row>
    <row r="4" spans="1:14" x14ac:dyDescent="0.25">
      <c r="A4" t="s">
        <v>15</v>
      </c>
      <c r="B4" t="s">
        <v>129</v>
      </c>
      <c r="C4" s="46">
        <f t="shared" ref="C4:C24" si="1">SUMIFS($N:$N,$J:$J,$A4,$K:$K,$B4,$M:$M,C$1)</f>
        <v>1594</v>
      </c>
      <c r="D4" s="46">
        <f t="shared" si="0"/>
        <v>1594</v>
      </c>
      <c r="J4" s="66" t="s">
        <v>104</v>
      </c>
      <c r="K4" s="66" t="s">
        <v>129</v>
      </c>
      <c r="L4" s="66" t="s">
        <v>124</v>
      </c>
      <c r="M4" s="66">
        <v>2030</v>
      </c>
      <c r="N4" s="66">
        <v>845.24</v>
      </c>
    </row>
    <row r="5" spans="1:14" x14ac:dyDescent="0.25">
      <c r="A5" t="s">
        <v>125</v>
      </c>
      <c r="B5" t="s">
        <v>129</v>
      </c>
      <c r="C5" s="46">
        <f t="shared" si="1"/>
        <v>566.59900000000005</v>
      </c>
      <c r="D5" s="46">
        <f t="shared" si="0"/>
        <v>440.44200000000001</v>
      </c>
      <c r="J5" t="s">
        <v>104</v>
      </c>
      <c r="K5" t="s">
        <v>130</v>
      </c>
      <c r="L5" t="s">
        <v>124</v>
      </c>
      <c r="M5">
        <v>2030</v>
      </c>
      <c r="N5">
        <v>760.64499999999998</v>
      </c>
    </row>
    <row r="6" spans="1:14" x14ac:dyDescent="0.25">
      <c r="A6" t="s">
        <v>9</v>
      </c>
      <c r="B6" t="s">
        <v>129</v>
      </c>
      <c r="C6" s="46">
        <f t="shared" si="1"/>
        <v>7280.02</v>
      </c>
      <c r="D6" s="46">
        <f t="shared" si="0"/>
        <v>2340.1</v>
      </c>
      <c r="J6" s="66" t="s">
        <v>15</v>
      </c>
      <c r="K6" s="66" t="s">
        <v>129</v>
      </c>
      <c r="L6" s="66" t="s">
        <v>124</v>
      </c>
      <c r="M6" s="66">
        <v>2030</v>
      </c>
      <c r="N6" s="66">
        <v>1594</v>
      </c>
    </row>
    <row r="7" spans="1:14" x14ac:dyDescent="0.25">
      <c r="A7" t="s">
        <v>110</v>
      </c>
      <c r="B7" t="s">
        <v>129</v>
      </c>
      <c r="C7" s="46">
        <f t="shared" si="1"/>
        <v>0</v>
      </c>
      <c r="D7" s="46">
        <f t="shared" si="0"/>
        <v>0</v>
      </c>
      <c r="J7" t="s">
        <v>15</v>
      </c>
      <c r="K7" t="s">
        <v>130</v>
      </c>
      <c r="L7" t="s">
        <v>124</v>
      </c>
      <c r="M7">
        <v>2030</v>
      </c>
      <c r="N7">
        <v>614.625</v>
      </c>
    </row>
    <row r="8" spans="1:14" x14ac:dyDescent="0.25">
      <c r="A8" t="s">
        <v>19</v>
      </c>
      <c r="B8" t="s">
        <v>129</v>
      </c>
      <c r="C8" s="46">
        <f t="shared" si="1"/>
        <v>0</v>
      </c>
      <c r="D8" s="46">
        <f t="shared" si="0"/>
        <v>0</v>
      </c>
      <c r="J8" s="66" t="s">
        <v>125</v>
      </c>
      <c r="K8" s="66" t="s">
        <v>129</v>
      </c>
      <c r="L8" s="66" t="s">
        <v>124</v>
      </c>
      <c r="M8" s="66">
        <v>2030</v>
      </c>
      <c r="N8" s="66">
        <v>566.59900000000005</v>
      </c>
    </row>
    <row r="9" spans="1:14" x14ac:dyDescent="0.25">
      <c r="A9" t="s">
        <v>25</v>
      </c>
      <c r="B9" t="s">
        <v>129</v>
      </c>
      <c r="C9" s="46">
        <f t="shared" si="1"/>
        <v>134.952</v>
      </c>
      <c r="D9" s="46">
        <f t="shared" si="0"/>
        <v>134.952</v>
      </c>
      <c r="J9" t="s">
        <v>125</v>
      </c>
      <c r="K9" t="s">
        <v>130</v>
      </c>
      <c r="L9" t="s">
        <v>124</v>
      </c>
      <c r="M9">
        <v>2030</v>
      </c>
      <c r="N9">
        <v>425.88900000000001</v>
      </c>
    </row>
    <row r="10" spans="1:14" x14ac:dyDescent="0.25">
      <c r="A10" t="s">
        <v>12</v>
      </c>
      <c r="B10" t="s">
        <v>129</v>
      </c>
      <c r="C10" s="46">
        <f t="shared" si="1"/>
        <v>3980.011</v>
      </c>
      <c r="D10" s="46">
        <f t="shared" si="0"/>
        <v>3980.011</v>
      </c>
      <c r="J10" s="66" t="s">
        <v>9</v>
      </c>
      <c r="K10" s="66" t="s">
        <v>129</v>
      </c>
      <c r="L10" s="66" t="s">
        <v>124</v>
      </c>
      <c r="M10" s="66">
        <v>2030</v>
      </c>
      <c r="N10" s="66">
        <v>7280.02</v>
      </c>
    </row>
    <row r="11" spans="1:14" x14ac:dyDescent="0.25">
      <c r="A11" t="s">
        <v>20</v>
      </c>
      <c r="B11" t="s">
        <v>129</v>
      </c>
      <c r="C11" s="46">
        <f t="shared" si="1"/>
        <v>390.5</v>
      </c>
      <c r="D11" s="46">
        <f t="shared" si="0"/>
        <v>133</v>
      </c>
      <c r="J11" t="s">
        <v>9</v>
      </c>
      <c r="K11" t="s">
        <v>130</v>
      </c>
      <c r="L11" t="s">
        <v>124</v>
      </c>
      <c r="M11">
        <v>2030</v>
      </c>
      <c r="N11">
        <v>13067.585999999999</v>
      </c>
    </row>
    <row r="12" spans="1:14" x14ac:dyDescent="0.25">
      <c r="A12" t="s">
        <v>10</v>
      </c>
      <c r="B12" t="s">
        <v>129</v>
      </c>
      <c r="C12" s="46">
        <f t="shared" si="1"/>
        <v>4400</v>
      </c>
      <c r="D12" s="46">
        <f t="shared" si="0"/>
        <v>600.04</v>
      </c>
      <c r="J12" s="66" t="s">
        <v>19</v>
      </c>
      <c r="K12" s="66" t="s">
        <v>130</v>
      </c>
      <c r="L12" s="66" t="s">
        <v>124</v>
      </c>
      <c r="M12" s="66">
        <v>2030</v>
      </c>
      <c r="N12" s="66">
        <v>7.26</v>
      </c>
    </row>
    <row r="13" spans="1:14" x14ac:dyDescent="0.25">
      <c r="A13" t="s">
        <v>23</v>
      </c>
      <c r="B13" t="s">
        <v>129</v>
      </c>
      <c r="C13" s="46">
        <f t="shared" si="1"/>
        <v>106.89</v>
      </c>
      <c r="D13" s="46">
        <f t="shared" si="0"/>
        <v>106.89</v>
      </c>
      <c r="J13" t="s">
        <v>25</v>
      </c>
      <c r="K13" t="s">
        <v>129</v>
      </c>
      <c r="L13" t="s">
        <v>124</v>
      </c>
      <c r="M13">
        <v>2030</v>
      </c>
      <c r="N13">
        <v>134.952</v>
      </c>
    </row>
    <row r="14" spans="1:14" x14ac:dyDescent="0.25">
      <c r="A14" t="s">
        <v>24</v>
      </c>
      <c r="B14" t="s">
        <v>129</v>
      </c>
      <c r="C14" s="46">
        <f t="shared" si="1"/>
        <v>0</v>
      </c>
      <c r="D14" s="46">
        <f t="shared" si="0"/>
        <v>0</v>
      </c>
      <c r="J14" s="66" t="s">
        <v>25</v>
      </c>
      <c r="K14" s="66" t="s">
        <v>130</v>
      </c>
      <c r="L14" s="66" t="s">
        <v>124</v>
      </c>
      <c r="M14" s="66">
        <v>2030</v>
      </c>
      <c r="N14" s="66">
        <v>167.65</v>
      </c>
    </row>
    <row r="15" spans="1:14" x14ac:dyDescent="0.25">
      <c r="A15" t="s">
        <v>14</v>
      </c>
      <c r="B15" t="s">
        <v>129</v>
      </c>
      <c r="C15" s="46">
        <f t="shared" si="1"/>
        <v>4381.5</v>
      </c>
      <c r="D15" s="46">
        <f t="shared" si="0"/>
        <v>1722.5</v>
      </c>
      <c r="J15" t="s">
        <v>12</v>
      </c>
      <c r="K15" t="s">
        <v>129</v>
      </c>
      <c r="L15" t="s">
        <v>124</v>
      </c>
      <c r="M15">
        <v>2030</v>
      </c>
      <c r="N15">
        <v>3980.011</v>
      </c>
    </row>
    <row r="16" spans="1:14" x14ac:dyDescent="0.25">
      <c r="A16" t="s">
        <v>21</v>
      </c>
      <c r="B16" t="s">
        <v>129</v>
      </c>
      <c r="C16" s="46">
        <f t="shared" si="1"/>
        <v>20</v>
      </c>
      <c r="D16" s="46">
        <f t="shared" si="0"/>
        <v>20</v>
      </c>
      <c r="J16" s="66" t="s">
        <v>12</v>
      </c>
      <c r="K16" s="66" t="s">
        <v>130</v>
      </c>
      <c r="L16" s="66" t="s">
        <v>124</v>
      </c>
      <c r="M16" s="66">
        <v>2030</v>
      </c>
      <c r="N16" s="66">
        <v>1730</v>
      </c>
    </row>
    <row r="17" spans="1:14" x14ac:dyDescent="0.25">
      <c r="A17" t="s">
        <v>27</v>
      </c>
      <c r="B17" t="s">
        <v>129</v>
      </c>
      <c r="C17" s="46">
        <f t="shared" si="1"/>
        <v>195</v>
      </c>
      <c r="D17" s="46">
        <f t="shared" si="0"/>
        <v>195</v>
      </c>
      <c r="J17" t="s">
        <v>20</v>
      </c>
      <c r="K17" t="s">
        <v>129</v>
      </c>
      <c r="L17" t="s">
        <v>124</v>
      </c>
      <c r="M17">
        <v>2030</v>
      </c>
      <c r="N17">
        <v>390.5</v>
      </c>
    </row>
    <row r="18" spans="1:14" x14ac:dyDescent="0.25">
      <c r="A18" t="s">
        <v>22</v>
      </c>
      <c r="B18" t="s">
        <v>129</v>
      </c>
      <c r="C18" s="46">
        <f t="shared" si="1"/>
        <v>50</v>
      </c>
      <c r="D18" s="46">
        <f t="shared" si="0"/>
        <v>50</v>
      </c>
      <c r="J18" s="66" t="s">
        <v>20</v>
      </c>
      <c r="K18" s="66" t="s">
        <v>130</v>
      </c>
      <c r="L18" s="66" t="s">
        <v>124</v>
      </c>
      <c r="M18" s="66">
        <v>2030</v>
      </c>
      <c r="N18" s="66">
        <v>2624.82</v>
      </c>
    </row>
    <row r="19" spans="1:14" x14ac:dyDescent="0.25">
      <c r="A19" t="s">
        <v>13</v>
      </c>
      <c r="B19" t="s">
        <v>129</v>
      </c>
      <c r="C19" s="46">
        <f t="shared" si="1"/>
        <v>5614.3209999999999</v>
      </c>
      <c r="D19" s="46">
        <f t="shared" si="0"/>
        <v>4402.0529999999999</v>
      </c>
      <c r="J19" t="s">
        <v>10</v>
      </c>
      <c r="K19" t="s">
        <v>129</v>
      </c>
      <c r="L19" t="s">
        <v>124</v>
      </c>
      <c r="M19">
        <v>2030</v>
      </c>
      <c r="N19">
        <v>4400</v>
      </c>
    </row>
    <row r="20" spans="1:14" x14ac:dyDescent="0.25">
      <c r="A20" t="s">
        <v>26</v>
      </c>
      <c r="B20" t="s">
        <v>129</v>
      </c>
      <c r="C20" s="46">
        <f t="shared" si="1"/>
        <v>0</v>
      </c>
      <c r="D20" s="46">
        <f t="shared" si="0"/>
        <v>0</v>
      </c>
      <c r="J20" s="66" t="s">
        <v>10</v>
      </c>
      <c r="K20" s="66" t="s">
        <v>130</v>
      </c>
      <c r="L20" s="66" t="s">
        <v>124</v>
      </c>
      <c r="M20" s="66">
        <v>2030</v>
      </c>
      <c r="N20" s="66">
        <v>2426</v>
      </c>
    </row>
    <row r="21" spans="1:14" x14ac:dyDescent="0.25">
      <c r="A21" t="s">
        <v>16</v>
      </c>
      <c r="B21" t="s">
        <v>129</v>
      </c>
      <c r="C21" s="46">
        <f t="shared" si="1"/>
        <v>0</v>
      </c>
      <c r="D21" s="46">
        <f t="shared" si="0"/>
        <v>0</v>
      </c>
      <c r="J21" t="s">
        <v>23</v>
      </c>
      <c r="K21" t="s">
        <v>129</v>
      </c>
      <c r="L21" t="s">
        <v>124</v>
      </c>
      <c r="M21">
        <v>2030</v>
      </c>
      <c r="N21">
        <v>106.89</v>
      </c>
    </row>
    <row r="22" spans="1:14" x14ac:dyDescent="0.25">
      <c r="A22" t="s">
        <v>17</v>
      </c>
      <c r="B22" t="s">
        <v>129</v>
      </c>
      <c r="C22" s="46">
        <f t="shared" si="1"/>
        <v>0</v>
      </c>
      <c r="D22" s="46">
        <f t="shared" si="0"/>
        <v>0</v>
      </c>
      <c r="J22" s="66" t="s">
        <v>23</v>
      </c>
      <c r="K22" s="66" t="s">
        <v>130</v>
      </c>
      <c r="L22" s="66" t="s">
        <v>124</v>
      </c>
      <c r="M22" s="66">
        <v>2030</v>
      </c>
      <c r="N22" s="66">
        <v>209.89</v>
      </c>
    </row>
    <row r="23" spans="1:14" x14ac:dyDescent="0.25">
      <c r="A23" t="s">
        <v>18</v>
      </c>
      <c r="B23" t="s">
        <v>129</v>
      </c>
      <c r="C23" s="46">
        <f t="shared" si="1"/>
        <v>0</v>
      </c>
      <c r="D23" s="46">
        <f t="shared" si="0"/>
        <v>0</v>
      </c>
      <c r="J23" t="s">
        <v>24</v>
      </c>
      <c r="K23" t="s">
        <v>130</v>
      </c>
      <c r="L23" t="s">
        <v>124</v>
      </c>
      <c r="M23">
        <v>2030</v>
      </c>
      <c r="N23">
        <v>159.018</v>
      </c>
    </row>
    <row r="24" spans="1:14" x14ac:dyDescent="0.25">
      <c r="A24" t="s">
        <v>11</v>
      </c>
      <c r="B24" t="s">
        <v>129</v>
      </c>
      <c r="C24" s="46">
        <f t="shared" si="1"/>
        <v>8657.1929999999993</v>
      </c>
      <c r="D24" s="46">
        <f t="shared" si="0"/>
        <v>26148.173999999999</v>
      </c>
      <c r="J24" s="66" t="s">
        <v>14</v>
      </c>
      <c r="K24" s="66" t="s">
        <v>129</v>
      </c>
      <c r="L24" s="66" t="s">
        <v>124</v>
      </c>
      <c r="M24" s="66">
        <v>2030</v>
      </c>
      <c r="N24" s="66">
        <v>4381.5</v>
      </c>
    </row>
    <row r="25" spans="1:14" x14ac:dyDescent="0.25">
      <c r="A25" t="s">
        <v>104</v>
      </c>
      <c r="B25" t="s">
        <v>130</v>
      </c>
      <c r="C25" s="46">
        <f t="shared" ref="C25:C46" si="2">SUMIFS($N:$N,$J:$J,$A25,$K:$K,$B25,$M:$M,C$1)</f>
        <v>760.64499999999998</v>
      </c>
      <c r="D25" s="46">
        <f t="shared" si="0"/>
        <v>760.64499999999998</v>
      </c>
      <c r="J25" t="s">
        <v>14</v>
      </c>
      <c r="K25" t="s">
        <v>130</v>
      </c>
      <c r="L25" t="s">
        <v>124</v>
      </c>
      <c r="M25">
        <v>2030</v>
      </c>
      <c r="N25">
        <v>415</v>
      </c>
    </row>
    <row r="26" spans="1:14" x14ac:dyDescent="0.25">
      <c r="A26" t="s">
        <v>15</v>
      </c>
      <c r="B26" t="s">
        <v>130</v>
      </c>
      <c r="C26" s="46">
        <f t="shared" si="2"/>
        <v>614.625</v>
      </c>
      <c r="D26" s="46">
        <f t="shared" si="0"/>
        <v>614.625</v>
      </c>
      <c r="J26" s="66" t="s">
        <v>21</v>
      </c>
      <c r="K26" s="66" t="s">
        <v>129</v>
      </c>
      <c r="L26" s="66" t="s">
        <v>124</v>
      </c>
      <c r="M26" s="66">
        <v>2030</v>
      </c>
      <c r="N26" s="66">
        <v>20</v>
      </c>
    </row>
    <row r="27" spans="1:14" x14ac:dyDescent="0.25">
      <c r="A27" t="s">
        <v>125</v>
      </c>
      <c r="B27" t="s">
        <v>130</v>
      </c>
      <c r="C27" s="46">
        <f t="shared" si="2"/>
        <v>425.88900000000001</v>
      </c>
      <c r="D27" s="46">
        <f t="shared" si="0"/>
        <v>621.351</v>
      </c>
      <c r="J27" t="s">
        <v>27</v>
      </c>
      <c r="K27" t="s">
        <v>129</v>
      </c>
      <c r="L27" t="s">
        <v>124</v>
      </c>
      <c r="M27">
        <v>2030</v>
      </c>
      <c r="N27">
        <v>195</v>
      </c>
    </row>
    <row r="28" spans="1:14" x14ac:dyDescent="0.25">
      <c r="A28" t="s">
        <v>9</v>
      </c>
      <c r="B28" t="s">
        <v>130</v>
      </c>
      <c r="C28" s="46">
        <f t="shared" si="2"/>
        <v>13067.585999999999</v>
      </c>
      <c r="D28" s="46">
        <f t="shared" si="0"/>
        <v>5835.1959999999999</v>
      </c>
      <c r="J28" s="66" t="s">
        <v>22</v>
      </c>
      <c r="K28" s="66" t="s">
        <v>129</v>
      </c>
      <c r="L28" s="66" t="s">
        <v>124</v>
      </c>
      <c r="M28" s="66">
        <v>2030</v>
      </c>
      <c r="N28" s="66">
        <v>50</v>
      </c>
    </row>
    <row r="29" spans="1:14" x14ac:dyDescent="0.25">
      <c r="A29" t="s">
        <v>110</v>
      </c>
      <c r="B29" t="s">
        <v>130</v>
      </c>
      <c r="C29" s="46">
        <f t="shared" si="2"/>
        <v>0</v>
      </c>
      <c r="D29" s="46">
        <f t="shared" si="0"/>
        <v>0</v>
      </c>
      <c r="J29" t="s">
        <v>13</v>
      </c>
      <c r="K29" t="s">
        <v>129</v>
      </c>
      <c r="L29" t="s">
        <v>124</v>
      </c>
      <c r="M29">
        <v>2030</v>
      </c>
      <c r="N29">
        <v>5614.3209999999999</v>
      </c>
    </row>
    <row r="30" spans="1:14" x14ac:dyDescent="0.25">
      <c r="A30" t="s">
        <v>19</v>
      </c>
      <c r="B30" t="s">
        <v>130</v>
      </c>
      <c r="C30" s="46">
        <f t="shared" si="2"/>
        <v>7.26</v>
      </c>
      <c r="D30" s="46">
        <f t="shared" si="0"/>
        <v>7.26</v>
      </c>
      <c r="J30" s="66" t="s">
        <v>13</v>
      </c>
      <c r="K30" s="66" t="s">
        <v>130</v>
      </c>
      <c r="L30" s="66" t="s">
        <v>124</v>
      </c>
      <c r="M30" s="66">
        <v>2030</v>
      </c>
      <c r="N30" s="66">
        <v>2155.0540000000001</v>
      </c>
    </row>
    <row r="31" spans="1:14" x14ac:dyDescent="0.25">
      <c r="A31" t="s">
        <v>25</v>
      </c>
      <c r="B31" t="s">
        <v>130</v>
      </c>
      <c r="C31" s="46">
        <f t="shared" si="2"/>
        <v>167.65</v>
      </c>
      <c r="D31" s="46">
        <f t="shared" si="0"/>
        <v>134.65</v>
      </c>
      <c r="J31" t="s">
        <v>26</v>
      </c>
      <c r="K31" t="s">
        <v>130</v>
      </c>
      <c r="L31" t="s">
        <v>124</v>
      </c>
      <c r="M31">
        <v>2030</v>
      </c>
      <c r="N31">
        <v>198.7</v>
      </c>
    </row>
    <row r="32" spans="1:14" x14ac:dyDescent="0.25">
      <c r="A32" t="s">
        <v>12</v>
      </c>
      <c r="B32" t="s">
        <v>130</v>
      </c>
      <c r="C32" s="46">
        <f t="shared" si="2"/>
        <v>1730</v>
      </c>
      <c r="D32" s="46">
        <f t="shared" si="0"/>
        <v>1730</v>
      </c>
      <c r="J32" s="66" t="s">
        <v>16</v>
      </c>
      <c r="K32" s="66" t="s">
        <v>130</v>
      </c>
      <c r="L32" s="66" t="s">
        <v>124</v>
      </c>
      <c r="M32" s="66">
        <v>2030</v>
      </c>
      <c r="N32" s="66">
        <v>743.57</v>
      </c>
    </row>
    <row r="33" spans="1:14" x14ac:dyDescent="0.25">
      <c r="A33" t="s">
        <v>20</v>
      </c>
      <c r="B33" t="s">
        <v>130</v>
      </c>
      <c r="C33" s="46">
        <f t="shared" si="2"/>
        <v>2624.82</v>
      </c>
      <c r="D33" s="46">
        <f t="shared" si="0"/>
        <v>2624.82</v>
      </c>
      <c r="J33" t="s">
        <v>17</v>
      </c>
      <c r="K33" t="s">
        <v>130</v>
      </c>
      <c r="L33" t="s">
        <v>124</v>
      </c>
      <c r="M33">
        <v>2030</v>
      </c>
      <c r="N33">
        <v>2818.0549999999998</v>
      </c>
    </row>
    <row r="34" spans="1:14" x14ac:dyDescent="0.25">
      <c r="A34" t="s">
        <v>10</v>
      </c>
      <c r="B34" t="s">
        <v>130</v>
      </c>
      <c r="C34" s="46">
        <f t="shared" si="2"/>
        <v>2426</v>
      </c>
      <c r="D34" s="46">
        <f t="shared" si="0"/>
        <v>2451.06</v>
      </c>
      <c r="J34" s="66" t="s">
        <v>18</v>
      </c>
      <c r="K34" s="66" t="s">
        <v>130</v>
      </c>
      <c r="L34" s="66" t="s">
        <v>124</v>
      </c>
      <c r="M34" s="66">
        <v>2030</v>
      </c>
      <c r="N34" s="66">
        <v>698.09</v>
      </c>
    </row>
    <row r="35" spans="1:14" x14ac:dyDescent="0.25">
      <c r="A35" t="s">
        <v>23</v>
      </c>
      <c r="B35" t="s">
        <v>130</v>
      </c>
      <c r="C35" s="46">
        <f t="shared" si="2"/>
        <v>209.89</v>
      </c>
      <c r="D35" s="46">
        <f t="shared" si="0"/>
        <v>209.89</v>
      </c>
      <c r="J35" t="s">
        <v>11</v>
      </c>
      <c r="K35" t="s">
        <v>129</v>
      </c>
      <c r="L35" t="s">
        <v>124</v>
      </c>
      <c r="M35">
        <v>2030</v>
      </c>
      <c r="N35">
        <v>8657.1929999999993</v>
      </c>
    </row>
    <row r="36" spans="1:14" x14ac:dyDescent="0.25">
      <c r="A36" t="s">
        <v>24</v>
      </c>
      <c r="B36" t="s">
        <v>130</v>
      </c>
      <c r="C36" s="46">
        <f t="shared" si="2"/>
        <v>159.018</v>
      </c>
      <c r="D36" s="46">
        <f t="shared" si="0"/>
        <v>299.92700000000002</v>
      </c>
      <c r="J36" s="66" t="s">
        <v>11</v>
      </c>
      <c r="K36" s="66" t="s">
        <v>130</v>
      </c>
      <c r="L36" s="66" t="s">
        <v>124</v>
      </c>
      <c r="M36" s="66">
        <v>2030</v>
      </c>
      <c r="N36" s="66">
        <v>2906.1660000000002</v>
      </c>
    </row>
    <row r="37" spans="1:14" x14ac:dyDescent="0.25">
      <c r="A37" t="s">
        <v>14</v>
      </c>
      <c r="B37" t="s">
        <v>130</v>
      </c>
      <c r="C37" s="46">
        <f t="shared" si="2"/>
        <v>415</v>
      </c>
      <c r="D37" s="46">
        <f t="shared" si="0"/>
        <v>208.6</v>
      </c>
      <c r="J37" t="s">
        <v>104</v>
      </c>
      <c r="K37" t="s">
        <v>129</v>
      </c>
      <c r="L37" t="s">
        <v>124</v>
      </c>
      <c r="M37">
        <v>2040</v>
      </c>
      <c r="N37">
        <v>845.24</v>
      </c>
    </row>
    <row r="38" spans="1:14" x14ac:dyDescent="0.25">
      <c r="A38" t="s">
        <v>21</v>
      </c>
      <c r="B38" t="s">
        <v>130</v>
      </c>
      <c r="C38" s="46">
        <f t="shared" si="2"/>
        <v>0</v>
      </c>
      <c r="D38" s="46">
        <f t="shared" si="0"/>
        <v>0</v>
      </c>
      <c r="J38" s="66" t="s">
        <v>104</v>
      </c>
      <c r="K38" s="66" t="s">
        <v>130</v>
      </c>
      <c r="L38" s="66" t="s">
        <v>124</v>
      </c>
      <c r="M38" s="66">
        <v>2040</v>
      </c>
      <c r="N38" s="66">
        <v>760.64499999999998</v>
      </c>
    </row>
    <row r="39" spans="1:14" x14ac:dyDescent="0.25">
      <c r="A39" t="s">
        <v>27</v>
      </c>
      <c r="B39" t="s">
        <v>130</v>
      </c>
      <c r="C39" s="46">
        <f t="shared" si="2"/>
        <v>0</v>
      </c>
      <c r="D39" s="46">
        <f t="shared" si="0"/>
        <v>0</v>
      </c>
      <c r="J39" t="s">
        <v>15</v>
      </c>
      <c r="K39" t="s">
        <v>129</v>
      </c>
      <c r="L39" t="s">
        <v>124</v>
      </c>
      <c r="M39">
        <v>2040</v>
      </c>
      <c r="N39">
        <v>1594</v>
      </c>
    </row>
    <row r="40" spans="1:14" x14ac:dyDescent="0.25">
      <c r="A40" t="s">
        <v>22</v>
      </c>
      <c r="B40" t="s">
        <v>130</v>
      </c>
      <c r="C40" s="46">
        <f t="shared" si="2"/>
        <v>0</v>
      </c>
      <c r="D40" s="46">
        <f t="shared" si="0"/>
        <v>0</v>
      </c>
      <c r="J40" s="66" t="s">
        <v>15</v>
      </c>
      <c r="K40" s="66" t="s">
        <v>130</v>
      </c>
      <c r="L40" s="66" t="s">
        <v>124</v>
      </c>
      <c r="M40" s="66">
        <v>2040</v>
      </c>
      <c r="N40" s="66">
        <v>614.625</v>
      </c>
    </row>
    <row r="41" spans="1:14" x14ac:dyDescent="0.25">
      <c r="A41" t="s">
        <v>13</v>
      </c>
      <c r="B41" t="s">
        <v>130</v>
      </c>
      <c r="C41" s="46">
        <f t="shared" si="2"/>
        <v>2155.0540000000001</v>
      </c>
      <c r="D41" s="46">
        <f t="shared" si="0"/>
        <v>1969.3689999999999</v>
      </c>
      <c r="J41" t="s">
        <v>125</v>
      </c>
      <c r="K41" t="s">
        <v>129</v>
      </c>
      <c r="L41" t="s">
        <v>124</v>
      </c>
      <c r="M41">
        <v>2040</v>
      </c>
      <c r="N41">
        <v>440.44200000000001</v>
      </c>
    </row>
    <row r="42" spans="1:14" x14ac:dyDescent="0.25">
      <c r="A42" t="s">
        <v>26</v>
      </c>
      <c r="B42" t="s">
        <v>130</v>
      </c>
      <c r="C42" s="46">
        <f t="shared" si="2"/>
        <v>198.7</v>
      </c>
      <c r="D42" s="46">
        <f t="shared" si="0"/>
        <v>198.7</v>
      </c>
      <c r="J42" s="66" t="s">
        <v>125</v>
      </c>
      <c r="K42" s="66" t="s">
        <v>130</v>
      </c>
      <c r="L42" s="66" t="s">
        <v>124</v>
      </c>
      <c r="M42" s="66">
        <v>2040</v>
      </c>
      <c r="N42" s="66">
        <v>621.351</v>
      </c>
    </row>
    <row r="43" spans="1:14" x14ac:dyDescent="0.25">
      <c r="A43" t="s">
        <v>16</v>
      </c>
      <c r="B43" t="s">
        <v>130</v>
      </c>
      <c r="C43" s="46">
        <f t="shared" si="2"/>
        <v>743.57</v>
      </c>
      <c r="D43" s="46">
        <f t="shared" si="0"/>
        <v>743.57</v>
      </c>
      <c r="J43" t="s">
        <v>9</v>
      </c>
      <c r="K43" t="s">
        <v>129</v>
      </c>
      <c r="L43" t="s">
        <v>124</v>
      </c>
      <c r="M43">
        <v>2040</v>
      </c>
      <c r="N43">
        <v>2340.1</v>
      </c>
    </row>
    <row r="44" spans="1:14" x14ac:dyDescent="0.25">
      <c r="A44" t="s">
        <v>17</v>
      </c>
      <c r="B44" t="s">
        <v>130</v>
      </c>
      <c r="C44" s="46">
        <f t="shared" si="2"/>
        <v>2818.0549999999998</v>
      </c>
      <c r="D44" s="46">
        <f t="shared" si="0"/>
        <v>2554.0549999999998</v>
      </c>
      <c r="J44" s="66" t="s">
        <v>9</v>
      </c>
      <c r="K44" s="66" t="s">
        <v>130</v>
      </c>
      <c r="L44" s="66" t="s">
        <v>124</v>
      </c>
      <c r="M44" s="66">
        <v>2040</v>
      </c>
      <c r="N44" s="66">
        <v>5835.1959999999999</v>
      </c>
    </row>
    <row r="45" spans="1:14" x14ac:dyDescent="0.25">
      <c r="A45" t="s">
        <v>18</v>
      </c>
      <c r="B45" t="s">
        <v>130</v>
      </c>
      <c r="C45" s="46">
        <f t="shared" si="2"/>
        <v>698.09</v>
      </c>
      <c r="D45" s="46">
        <f t="shared" si="0"/>
        <v>698.09</v>
      </c>
      <c r="J45" t="s">
        <v>19</v>
      </c>
      <c r="K45" t="s">
        <v>130</v>
      </c>
      <c r="L45" t="s">
        <v>124</v>
      </c>
      <c r="M45">
        <v>2040</v>
      </c>
      <c r="N45">
        <v>7.26</v>
      </c>
    </row>
    <row r="46" spans="1:14" x14ac:dyDescent="0.25">
      <c r="A46" t="s">
        <v>11</v>
      </c>
      <c r="B46" t="s">
        <v>130</v>
      </c>
      <c r="C46" s="46">
        <f t="shared" si="2"/>
        <v>2906.1660000000002</v>
      </c>
      <c r="D46" s="46">
        <f t="shared" si="0"/>
        <v>8155.7269999999999</v>
      </c>
      <c r="J46" s="66" t="s">
        <v>25</v>
      </c>
      <c r="K46" s="66" t="s">
        <v>129</v>
      </c>
      <c r="L46" s="66" t="s">
        <v>124</v>
      </c>
      <c r="M46" s="66">
        <v>2040</v>
      </c>
      <c r="N46" s="66">
        <v>134.952</v>
      </c>
    </row>
    <row r="47" spans="1:14" x14ac:dyDescent="0.25">
      <c r="J47" t="s">
        <v>25</v>
      </c>
      <c r="K47" t="s">
        <v>130</v>
      </c>
      <c r="L47" t="s">
        <v>124</v>
      </c>
      <c r="M47">
        <v>2040</v>
      </c>
      <c r="N47">
        <v>134.65</v>
      </c>
    </row>
    <row r="48" spans="1:14" x14ac:dyDescent="0.25">
      <c r="J48" s="66" t="s">
        <v>12</v>
      </c>
      <c r="K48" s="66" t="s">
        <v>129</v>
      </c>
      <c r="L48" s="66" t="s">
        <v>124</v>
      </c>
      <c r="M48" s="66">
        <v>2040</v>
      </c>
      <c r="N48" s="66">
        <v>3980.011</v>
      </c>
    </row>
    <row r="49" spans="10:14" x14ac:dyDescent="0.25">
      <c r="J49" t="s">
        <v>12</v>
      </c>
      <c r="K49" t="s">
        <v>130</v>
      </c>
      <c r="L49" t="s">
        <v>124</v>
      </c>
      <c r="M49">
        <v>2040</v>
      </c>
      <c r="N49">
        <v>1730</v>
      </c>
    </row>
    <row r="50" spans="10:14" x14ac:dyDescent="0.25">
      <c r="J50" s="66" t="s">
        <v>20</v>
      </c>
      <c r="K50" s="66" t="s">
        <v>129</v>
      </c>
      <c r="L50" s="66" t="s">
        <v>124</v>
      </c>
      <c r="M50" s="66">
        <v>2040</v>
      </c>
      <c r="N50" s="66">
        <v>133</v>
      </c>
    </row>
    <row r="51" spans="10:14" x14ac:dyDescent="0.25">
      <c r="J51" t="s">
        <v>20</v>
      </c>
      <c r="K51" t="s">
        <v>130</v>
      </c>
      <c r="L51" t="s">
        <v>124</v>
      </c>
      <c r="M51">
        <v>2040</v>
      </c>
      <c r="N51">
        <v>2624.82</v>
      </c>
    </row>
    <row r="52" spans="10:14" x14ac:dyDescent="0.25">
      <c r="J52" s="66" t="s">
        <v>10</v>
      </c>
      <c r="K52" s="66" t="s">
        <v>129</v>
      </c>
      <c r="L52" s="66" t="s">
        <v>124</v>
      </c>
      <c r="M52" s="66">
        <v>2040</v>
      </c>
      <c r="N52" s="66">
        <v>600.04</v>
      </c>
    </row>
    <row r="53" spans="10:14" x14ac:dyDescent="0.25">
      <c r="J53" t="s">
        <v>10</v>
      </c>
      <c r="K53" t="s">
        <v>130</v>
      </c>
      <c r="L53" t="s">
        <v>124</v>
      </c>
      <c r="M53">
        <v>2040</v>
      </c>
      <c r="N53">
        <v>2451.06</v>
      </c>
    </row>
    <row r="54" spans="10:14" x14ac:dyDescent="0.25">
      <c r="J54" s="66" t="s">
        <v>23</v>
      </c>
      <c r="K54" s="66" t="s">
        <v>129</v>
      </c>
      <c r="L54" s="66" t="s">
        <v>124</v>
      </c>
      <c r="M54" s="66">
        <v>2040</v>
      </c>
      <c r="N54" s="66">
        <v>106.89</v>
      </c>
    </row>
    <row r="55" spans="10:14" x14ac:dyDescent="0.25">
      <c r="J55" t="s">
        <v>23</v>
      </c>
      <c r="K55" t="s">
        <v>130</v>
      </c>
      <c r="L55" t="s">
        <v>124</v>
      </c>
      <c r="M55">
        <v>2040</v>
      </c>
      <c r="N55">
        <v>209.89</v>
      </c>
    </row>
    <row r="56" spans="10:14" x14ac:dyDescent="0.25">
      <c r="J56" s="66" t="s">
        <v>24</v>
      </c>
      <c r="K56" s="66" t="s">
        <v>130</v>
      </c>
      <c r="L56" s="66" t="s">
        <v>124</v>
      </c>
      <c r="M56" s="66">
        <v>2040</v>
      </c>
      <c r="N56" s="66">
        <v>299.92700000000002</v>
      </c>
    </row>
    <row r="57" spans="10:14" x14ac:dyDescent="0.25">
      <c r="J57" t="s">
        <v>14</v>
      </c>
      <c r="K57" t="s">
        <v>129</v>
      </c>
      <c r="L57" t="s">
        <v>124</v>
      </c>
      <c r="M57">
        <v>2040</v>
      </c>
      <c r="N57">
        <v>1722.5</v>
      </c>
    </row>
    <row r="58" spans="10:14" x14ac:dyDescent="0.25">
      <c r="J58" s="66" t="s">
        <v>14</v>
      </c>
      <c r="K58" s="66" t="s">
        <v>130</v>
      </c>
      <c r="L58" s="66" t="s">
        <v>124</v>
      </c>
      <c r="M58" s="66">
        <v>2040</v>
      </c>
      <c r="N58" s="66">
        <v>208.6</v>
      </c>
    </row>
    <row r="59" spans="10:14" x14ac:dyDescent="0.25">
      <c r="J59" t="s">
        <v>21</v>
      </c>
      <c r="K59" t="s">
        <v>129</v>
      </c>
      <c r="L59" t="s">
        <v>124</v>
      </c>
      <c r="M59">
        <v>2040</v>
      </c>
      <c r="N59">
        <v>20</v>
      </c>
    </row>
    <row r="60" spans="10:14" x14ac:dyDescent="0.25">
      <c r="J60" s="66" t="s">
        <v>27</v>
      </c>
      <c r="K60" s="66" t="s">
        <v>129</v>
      </c>
      <c r="L60" s="66" t="s">
        <v>124</v>
      </c>
      <c r="M60" s="66">
        <v>2040</v>
      </c>
      <c r="N60" s="66">
        <v>195</v>
      </c>
    </row>
    <row r="61" spans="10:14" x14ac:dyDescent="0.25">
      <c r="J61" t="s">
        <v>22</v>
      </c>
      <c r="K61" t="s">
        <v>129</v>
      </c>
      <c r="L61" t="s">
        <v>124</v>
      </c>
      <c r="M61">
        <v>2040</v>
      </c>
      <c r="N61">
        <v>50</v>
      </c>
    </row>
    <row r="62" spans="10:14" x14ac:dyDescent="0.25">
      <c r="J62" s="66" t="s">
        <v>13</v>
      </c>
      <c r="K62" s="66" t="s">
        <v>129</v>
      </c>
      <c r="L62" s="66" t="s">
        <v>124</v>
      </c>
      <c r="M62" s="66">
        <v>2040</v>
      </c>
      <c r="N62" s="66">
        <v>4402.0529999999999</v>
      </c>
    </row>
    <row r="63" spans="10:14" x14ac:dyDescent="0.25">
      <c r="J63" t="s">
        <v>13</v>
      </c>
      <c r="K63" t="s">
        <v>130</v>
      </c>
      <c r="L63" t="s">
        <v>124</v>
      </c>
      <c r="M63">
        <v>2040</v>
      </c>
      <c r="N63">
        <v>1969.3689999999999</v>
      </c>
    </row>
    <row r="64" spans="10:14" x14ac:dyDescent="0.25">
      <c r="J64" s="66" t="s">
        <v>26</v>
      </c>
      <c r="K64" s="66" t="s">
        <v>130</v>
      </c>
      <c r="L64" s="66" t="s">
        <v>124</v>
      </c>
      <c r="M64" s="66">
        <v>2040</v>
      </c>
      <c r="N64" s="66">
        <v>198.7</v>
      </c>
    </row>
    <row r="65" spans="10:14" x14ac:dyDescent="0.25">
      <c r="J65" t="s">
        <v>16</v>
      </c>
      <c r="K65" t="s">
        <v>130</v>
      </c>
      <c r="L65" t="s">
        <v>124</v>
      </c>
      <c r="M65">
        <v>2040</v>
      </c>
      <c r="N65">
        <v>743.57</v>
      </c>
    </row>
    <row r="66" spans="10:14" x14ac:dyDescent="0.25">
      <c r="J66" s="66" t="s">
        <v>17</v>
      </c>
      <c r="K66" s="66" t="s">
        <v>130</v>
      </c>
      <c r="L66" s="66" t="s">
        <v>124</v>
      </c>
      <c r="M66" s="66">
        <v>2040</v>
      </c>
      <c r="N66" s="66">
        <v>2554.0549999999998</v>
      </c>
    </row>
    <row r="67" spans="10:14" x14ac:dyDescent="0.25">
      <c r="J67" t="s">
        <v>18</v>
      </c>
      <c r="K67" t="s">
        <v>130</v>
      </c>
      <c r="L67" t="s">
        <v>124</v>
      </c>
      <c r="M67">
        <v>2040</v>
      </c>
      <c r="N67">
        <v>698.09</v>
      </c>
    </row>
    <row r="68" spans="10:14" x14ac:dyDescent="0.25">
      <c r="J68" s="66" t="s">
        <v>11</v>
      </c>
      <c r="K68" s="66" t="s">
        <v>129</v>
      </c>
      <c r="L68" s="66" t="s">
        <v>124</v>
      </c>
      <c r="M68" s="66">
        <v>2040</v>
      </c>
      <c r="N68" s="66">
        <v>26148.173999999999</v>
      </c>
    </row>
    <row r="69" spans="10:14" x14ac:dyDescent="0.25">
      <c r="J69" s="64" t="s">
        <v>11</v>
      </c>
      <c r="K69" s="64" t="s">
        <v>130</v>
      </c>
      <c r="L69" s="64" t="s">
        <v>124</v>
      </c>
      <c r="M69" s="64">
        <v>2040</v>
      </c>
      <c r="N69" s="64">
        <v>8155.7269999999999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E2CA-F2CE-4C62-89A9-2315CD87B914}">
  <dimension ref="A2:Q60"/>
  <sheetViews>
    <sheetView topLeftCell="A16" workbookViewId="0">
      <selection activeCell="E37" sqref="E37"/>
    </sheetView>
  </sheetViews>
  <sheetFormatPr defaultRowHeight="15" x14ac:dyDescent="0.25"/>
  <cols>
    <col min="1" max="1" width="21" customWidth="1"/>
    <col min="13" max="13" width="12.85546875" bestFit="1" customWidth="1"/>
    <col min="14" max="14" width="12.85546875" customWidth="1"/>
    <col min="15" max="15" width="16.42578125" bestFit="1" customWidth="1"/>
    <col min="16" max="17" width="10.5703125" bestFit="1" customWidth="1"/>
  </cols>
  <sheetData>
    <row r="2" spans="1:17" x14ac:dyDescent="0.25">
      <c r="A2" s="38" t="s">
        <v>101</v>
      </c>
    </row>
    <row r="3" spans="1:17" x14ac:dyDescent="0.25">
      <c r="A3" t="s">
        <v>100</v>
      </c>
    </row>
    <row r="5" spans="1:17" x14ac:dyDescent="0.25">
      <c r="A5" s="26" t="s">
        <v>37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7" x14ac:dyDescent="0.25">
      <c r="A6" s="26" t="s">
        <v>38</v>
      </c>
      <c r="B6" s="25" t="s">
        <v>39</v>
      </c>
      <c r="C6" s="24"/>
      <c r="D6" s="24"/>
      <c r="E6" s="24"/>
      <c r="F6" s="24"/>
      <c r="G6" s="24"/>
      <c r="H6" s="24"/>
      <c r="I6" s="24"/>
      <c r="J6" s="24"/>
      <c r="K6" s="24"/>
    </row>
    <row r="7" spans="1:17" x14ac:dyDescent="0.25">
      <c r="A7" s="26" t="s">
        <v>40</v>
      </c>
      <c r="B7" s="26" t="s">
        <v>41</v>
      </c>
      <c r="C7" s="24"/>
      <c r="D7" s="24"/>
      <c r="E7" s="24"/>
      <c r="F7" s="24"/>
      <c r="G7" s="24"/>
      <c r="H7" s="24"/>
      <c r="I7" s="24"/>
      <c r="J7" s="24"/>
      <c r="K7" s="24"/>
    </row>
    <row r="8" spans="1:17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7" x14ac:dyDescent="0.25">
      <c r="A9" s="25" t="s">
        <v>42</v>
      </c>
      <c r="B9" s="24"/>
      <c r="C9" s="26" t="s">
        <v>43</v>
      </c>
      <c r="D9" s="24"/>
      <c r="E9" s="24"/>
      <c r="F9" s="24"/>
      <c r="G9" s="24"/>
      <c r="H9" s="24"/>
      <c r="I9" s="24"/>
      <c r="J9" s="24"/>
      <c r="K9" s="24"/>
    </row>
    <row r="10" spans="1:17" x14ac:dyDescent="0.25">
      <c r="A10" s="25" t="s">
        <v>44</v>
      </c>
      <c r="B10" s="24"/>
      <c r="C10" s="26" t="s">
        <v>45</v>
      </c>
      <c r="D10" s="24"/>
      <c r="E10" s="24"/>
      <c r="F10" s="24"/>
      <c r="G10" s="24"/>
      <c r="H10" s="24"/>
      <c r="I10" s="24"/>
      <c r="J10" s="24"/>
      <c r="K10" s="24"/>
    </row>
    <row r="11" spans="1:17" x14ac:dyDescent="0.25">
      <c r="A11" s="25" t="s">
        <v>46</v>
      </c>
      <c r="B11" s="24"/>
      <c r="C11" s="26" t="s">
        <v>47</v>
      </c>
      <c r="D11" s="24"/>
      <c r="E11" s="24"/>
      <c r="F11" s="24"/>
      <c r="G11" s="24"/>
      <c r="H11" s="24"/>
      <c r="I11" s="24"/>
      <c r="J11" s="24"/>
      <c r="K11" s="24"/>
    </row>
    <row r="12" spans="1:17" x14ac:dyDescent="0.25">
      <c r="A12" s="25" t="s">
        <v>48</v>
      </c>
      <c r="B12" s="24"/>
      <c r="C12" s="26" t="s">
        <v>49</v>
      </c>
      <c r="D12" s="24"/>
      <c r="E12" s="24"/>
      <c r="F12" s="24"/>
      <c r="G12" s="24"/>
      <c r="H12" s="24"/>
      <c r="I12" s="24"/>
      <c r="J12" s="24"/>
      <c r="K12" s="24"/>
    </row>
    <row r="13" spans="1:17" x14ac:dyDescent="0.25">
      <c r="A13" s="25" t="s">
        <v>50</v>
      </c>
      <c r="B13" s="24"/>
      <c r="C13" s="26" t="s">
        <v>45</v>
      </c>
      <c r="D13" s="24"/>
      <c r="E13" s="24"/>
      <c r="F13" s="24"/>
      <c r="G13" s="24"/>
      <c r="H13" s="24"/>
      <c r="I13" s="24"/>
      <c r="J13" s="24"/>
      <c r="K13" s="24"/>
    </row>
    <row r="14" spans="1:17" x14ac:dyDescent="0.25">
      <c r="A14" s="25" t="s">
        <v>51</v>
      </c>
      <c r="B14" s="24"/>
      <c r="C14" s="26" t="s">
        <v>52</v>
      </c>
      <c r="D14" s="24"/>
      <c r="E14" s="24"/>
      <c r="F14" s="24"/>
      <c r="G14" s="24"/>
      <c r="H14" s="24"/>
      <c r="I14" s="24"/>
      <c r="J14" s="24"/>
      <c r="K14" s="24"/>
    </row>
    <row r="15" spans="1:17" x14ac:dyDescent="0.25">
      <c r="A15" s="24"/>
    </row>
    <row r="16" spans="1:17" x14ac:dyDescent="0.25">
      <c r="A16" s="27" t="s">
        <v>53</v>
      </c>
      <c r="B16" s="37">
        <v>2014</v>
      </c>
      <c r="C16" s="37">
        <v>2015</v>
      </c>
      <c r="D16" s="37">
        <v>2016</v>
      </c>
      <c r="E16" s="37">
        <v>2017</v>
      </c>
      <c r="F16" s="37">
        <v>2018</v>
      </c>
      <c r="G16" s="37">
        <v>2019</v>
      </c>
      <c r="H16" s="37">
        <v>2020</v>
      </c>
      <c r="I16" s="37">
        <v>2021</v>
      </c>
      <c r="J16" s="37">
        <v>2022</v>
      </c>
      <c r="K16" s="37">
        <v>2023</v>
      </c>
      <c r="M16" t="s">
        <v>106</v>
      </c>
      <c r="N16" s="39">
        <v>2023</v>
      </c>
      <c r="O16" s="39">
        <v>2025</v>
      </c>
      <c r="P16" s="39">
        <v>2030</v>
      </c>
      <c r="Q16" s="39">
        <v>2035</v>
      </c>
    </row>
    <row r="17" spans="1:17" x14ac:dyDescent="0.25">
      <c r="A17" s="28" t="s">
        <v>55</v>
      </c>
      <c r="B17" s="30" t="s">
        <v>54</v>
      </c>
      <c r="C17" s="30" t="s">
        <v>54</v>
      </c>
      <c r="D17" s="30" t="s">
        <v>54</v>
      </c>
      <c r="E17" s="30" t="s">
        <v>54</v>
      </c>
      <c r="F17" s="30" t="s">
        <v>54</v>
      </c>
      <c r="G17" s="30" t="s">
        <v>54</v>
      </c>
      <c r="H17" s="30" t="s">
        <v>54</v>
      </c>
      <c r="I17" s="30" t="s">
        <v>54</v>
      </c>
      <c r="J17" s="30" t="s">
        <v>54</v>
      </c>
      <c r="K17" s="30" t="s">
        <v>54</v>
      </c>
    </row>
    <row r="18" spans="1:17" x14ac:dyDescent="0.25">
      <c r="A18" s="29" t="s">
        <v>56</v>
      </c>
      <c r="B18" s="34">
        <v>199505.277</v>
      </c>
      <c r="C18" s="34">
        <v>213682.07399999999</v>
      </c>
      <c r="D18" s="36">
        <v>218359.9</v>
      </c>
      <c r="E18" s="34">
        <v>229663.603</v>
      </c>
      <c r="F18" s="34">
        <v>242427.19200000001</v>
      </c>
      <c r="G18" s="34">
        <v>249629.636</v>
      </c>
      <c r="H18" s="34">
        <v>253090.353</v>
      </c>
      <c r="I18" s="34">
        <v>293507.50900000002</v>
      </c>
      <c r="J18" s="34">
        <v>291387.13500000001</v>
      </c>
      <c r="K18" s="34">
        <v>301611.93699999998</v>
      </c>
    </row>
    <row r="19" spans="1:17" x14ac:dyDescent="0.25">
      <c r="A19" s="29" t="s">
        <v>57</v>
      </c>
      <c r="B19" s="33">
        <v>168075.02799999999</v>
      </c>
      <c r="C19" s="33">
        <v>179857.747</v>
      </c>
      <c r="D19" s="33">
        <v>183518.111</v>
      </c>
      <c r="E19" s="33">
        <v>193147.693</v>
      </c>
      <c r="F19" s="33">
        <v>202222.389</v>
      </c>
      <c r="G19" s="33">
        <v>206643.76800000001</v>
      </c>
      <c r="H19" s="33">
        <v>207127.15900000001</v>
      </c>
      <c r="I19" s="33">
        <v>245409.022</v>
      </c>
      <c r="J19" s="33">
        <v>239814.32800000001</v>
      </c>
      <c r="K19" s="33">
        <v>244794.16800000001</v>
      </c>
    </row>
    <row r="20" spans="1:17" x14ac:dyDescent="0.25">
      <c r="A20" s="29" t="s">
        <v>58</v>
      </c>
      <c r="B20" s="36">
        <v>9510.5</v>
      </c>
      <c r="C20" s="36">
        <v>9745.2999999999993</v>
      </c>
      <c r="D20" s="36">
        <v>10199</v>
      </c>
      <c r="E20" s="36">
        <v>11154.1</v>
      </c>
      <c r="F20" s="36">
        <v>11837.9</v>
      </c>
      <c r="G20" s="36">
        <v>13541.8</v>
      </c>
      <c r="H20" s="36">
        <v>14746.6</v>
      </c>
      <c r="I20" s="36">
        <v>15238.4</v>
      </c>
      <c r="J20" s="36">
        <v>15683.4</v>
      </c>
      <c r="K20" s="36">
        <v>16723.900000000001</v>
      </c>
      <c r="M20" t="s">
        <v>15</v>
      </c>
      <c r="N20" s="41" cm="1">
        <f t="array" ref="N20">TREND($E20:$K20,$E$16:$K$16,N$16)</f>
        <v>16928.40714285709</v>
      </c>
      <c r="O20" s="42" cm="1">
        <f t="array" ref="O20">(TREND($E20:$K20,$E$16:$K$16,O$16) - TREND($E20:$K20,$E$16:$K$16,$N$16))/4 + $N20</f>
        <v>17394.424999999988</v>
      </c>
      <c r="P20" s="42" cm="1">
        <f t="array" ref="P20">(TREND($E20:$K20,$E$16:$K$16,P$16) - TREND($E20:$K20,$E$16:$K$16,$N$16))/4 + $N20</f>
        <v>18559.46964285709</v>
      </c>
      <c r="Q20" s="42" cm="1">
        <f t="array" ref="Q20">(TREND($E20:$K20,$E$16:$K$16,Q$16) - TREND($E20:$K20,$E$16:$K$16,$N$16))/4 + $N20</f>
        <v>19724.514285714249</v>
      </c>
    </row>
    <row r="21" spans="1:17" x14ac:dyDescent="0.25">
      <c r="A21" s="29" t="s">
        <v>59</v>
      </c>
      <c r="B21" s="35">
        <v>244</v>
      </c>
      <c r="C21" s="35">
        <v>353</v>
      </c>
      <c r="D21" s="35">
        <v>432</v>
      </c>
      <c r="E21" s="33">
        <v>585.84900000000005</v>
      </c>
      <c r="F21" s="33">
        <v>579.40700000000004</v>
      </c>
      <c r="G21" s="33">
        <v>602.75199999999995</v>
      </c>
      <c r="H21" s="35">
        <v>643.23</v>
      </c>
      <c r="I21" s="33">
        <v>797.81299999999999</v>
      </c>
      <c r="J21" s="33">
        <v>787.51300000000003</v>
      </c>
      <c r="K21" s="35">
        <v>821.72</v>
      </c>
      <c r="N21" s="41" cm="1">
        <f t="array" ref="N21">TREND($B21:$K21,$B$16:$K$16,N$16)</f>
        <v>864.69996363636164</v>
      </c>
      <c r="O21" s="42" cm="1">
        <f t="array" ref="O21">(TREND($E21:$K21,$E$16:$K$16,O$16) - TREND($E21:$K21,$E$16:$K$16,$N$16))/4 + $N21</f>
        <v>888.25149935064837</v>
      </c>
      <c r="P21" s="42" cm="1">
        <f t="array" ref="P21">(TREND($E21:$K21,$E$16:$K$16,P$16) - TREND($E21:$K21,$E$16:$K$16,$N$16))/4 + $N21</f>
        <v>947.1303386363652</v>
      </c>
      <c r="Q21" s="42" cm="1">
        <f t="array" ref="Q21">(TREND($E21:$K21,$E$16:$K$16,Q$16) - TREND($E21:$K21,$E$16:$K$16,$N$16))/4 + $N21</f>
        <v>1006.0091779220784</v>
      </c>
    </row>
    <row r="22" spans="1:17" x14ac:dyDescent="0.25">
      <c r="A22" s="29" t="s">
        <v>60</v>
      </c>
      <c r="B22" s="36">
        <v>8267</v>
      </c>
      <c r="C22" s="36">
        <v>8398</v>
      </c>
      <c r="D22" s="36">
        <v>8513</v>
      </c>
      <c r="E22" s="34">
        <v>8154.5420000000004</v>
      </c>
      <c r="F22" s="34">
        <v>7886.8559999999998</v>
      </c>
      <c r="G22" s="34">
        <v>7833.0550000000003</v>
      </c>
      <c r="H22" s="34">
        <v>8084.0309999999999</v>
      </c>
      <c r="I22" s="34">
        <v>8414.3790000000008</v>
      </c>
      <c r="J22" s="34">
        <v>6609.8590000000004</v>
      </c>
      <c r="K22" s="34">
        <v>7211.7110000000002</v>
      </c>
      <c r="M22" t="s">
        <v>102</v>
      </c>
      <c r="N22" s="41" cm="1">
        <f t="array" ref="N22">TREND($B22:$K22,$B$16:$K$16,N$16)</f>
        <v>7316.1607454544865</v>
      </c>
      <c r="O22" s="42" cm="1">
        <f t="array" ref="O22">(TREND($E22:$K22,$E$16:$K$16,O$16) - TREND($E22:$K22,$E$16:$K$16,$N$16))/4 + $N22</f>
        <v>7230.4256918830506</v>
      </c>
      <c r="P22" s="42" cm="1">
        <f t="array" ref="P22">(TREND($E22:$K22,$E$16:$K$16,P$16) - TREND($E22:$K22,$E$16:$K$16,$N$16))/4 + $N22</f>
        <v>7016.0880579544755</v>
      </c>
      <c r="Q22" s="42" cm="1">
        <f t="array" ref="Q22">(TREND($E22:$K22,$E$16:$K$16,Q$16) - TREND($E22:$K22,$E$16:$K$16,$N$16))/4 + $N22</f>
        <v>6801.750424025915</v>
      </c>
    </row>
    <row r="23" spans="1:17" x14ac:dyDescent="0.25">
      <c r="A23" s="29" t="s">
        <v>61</v>
      </c>
      <c r="B23" s="33">
        <v>2602.2489999999998</v>
      </c>
      <c r="C23" s="33">
        <v>2793.3270000000002</v>
      </c>
      <c r="D23" s="33">
        <v>2777.7890000000002</v>
      </c>
      <c r="E23" s="33">
        <v>2830.8220000000001</v>
      </c>
      <c r="F23" s="33">
        <v>3097.1559999999999</v>
      </c>
      <c r="G23" s="33">
        <v>3202.2240000000002</v>
      </c>
      <c r="H23" s="33">
        <v>3418.779</v>
      </c>
      <c r="I23" s="33">
        <v>3563.5830000000001</v>
      </c>
      <c r="J23" s="33">
        <v>4469.0259999999998</v>
      </c>
      <c r="K23" s="33">
        <v>5425.9210000000003</v>
      </c>
      <c r="M23" t="s">
        <v>103</v>
      </c>
      <c r="N23" s="41" cm="1">
        <f t="array" ref="N23">TREND($B23:$K23,$B$16:$K$16,N$16)</f>
        <v>4589.2016909090453</v>
      </c>
      <c r="O23" s="42" cm="1">
        <f t="array" ref="O23">(TREND($E23:$K23,$E$16:$K$16,O$16) - TREND($E23:$K23,$E$16:$K$16,$N$16))/4 + $N23</f>
        <v>4783.6730480519182</v>
      </c>
      <c r="P23" s="42" cm="1">
        <f t="array" ref="P23">(TREND($E23:$K23,$E$16:$K$16,P$16) - TREND($E23:$K23,$E$16:$K$16,$N$16))/4 + $N23</f>
        <v>5269.8514409090567</v>
      </c>
      <c r="Q23" s="42" cm="1">
        <f t="array" ref="Q23">(TREND($E23:$K23,$E$16:$K$16,Q$16) - TREND($E23:$K23,$E$16:$K$16,$N$16))/4 + $N23</f>
        <v>5756.0298337661952</v>
      </c>
    </row>
    <row r="24" spans="1:17" x14ac:dyDescent="0.25">
      <c r="A24" s="29" t="s">
        <v>62</v>
      </c>
      <c r="B24" s="36">
        <v>42176</v>
      </c>
      <c r="C24" s="36">
        <v>46716</v>
      </c>
      <c r="D24" s="36">
        <v>50899</v>
      </c>
      <c r="E24" s="36">
        <v>52778</v>
      </c>
      <c r="F24" s="36">
        <v>50942</v>
      </c>
      <c r="G24" s="36">
        <v>49358</v>
      </c>
      <c r="H24" s="36">
        <v>49107</v>
      </c>
      <c r="I24" s="36">
        <v>50465</v>
      </c>
      <c r="J24" s="36">
        <v>45456</v>
      </c>
      <c r="K24" s="36">
        <v>43754</v>
      </c>
      <c r="M24" t="s">
        <v>9</v>
      </c>
      <c r="N24" s="41" cm="1">
        <f t="array" ref="N24">TREND($B24:$K24,$B$16:$K$16,N$16)</f>
        <v>47909.145454545462</v>
      </c>
      <c r="O24" s="42" cm="1">
        <f t="array" ref="O24">(TREND($E24:$K24,$E$16:$K$16,O$16) - TREND($E24:$K24,$E$16:$K$16,$N$16))/4 + $N24</f>
        <v>47249.556168831259</v>
      </c>
      <c r="P24" s="42" cm="1">
        <f t="array" ref="P24">(TREND($E24:$K24,$E$16:$K$16,P$16) - TREND($E24:$K24,$E$16:$K$16,$N$16))/4 + $N24</f>
        <v>45600.582954545462</v>
      </c>
      <c r="Q24" s="42" cm="1">
        <f t="array" ref="Q24">(TREND($E24:$K24,$E$16:$K$16,Q$16) - TREND($E24:$K24,$E$16:$K$16,$N$16))/4 + $N24</f>
        <v>43951.609740259781</v>
      </c>
    </row>
    <row r="25" spans="1:17" x14ac:dyDescent="0.25">
      <c r="A25" s="29" t="s">
        <v>63</v>
      </c>
      <c r="B25" s="35">
        <v>52</v>
      </c>
      <c r="C25" s="35">
        <v>138</v>
      </c>
      <c r="D25" s="35">
        <v>136</v>
      </c>
      <c r="E25" s="35">
        <v>101</v>
      </c>
      <c r="F25" s="35">
        <v>105</v>
      </c>
      <c r="G25" s="35">
        <v>80.599999999999994</v>
      </c>
      <c r="H25" s="33">
        <v>158.518</v>
      </c>
      <c r="I25" s="33">
        <v>154.65799999999999</v>
      </c>
      <c r="J25" s="33">
        <v>152.66200000000001</v>
      </c>
      <c r="K25" s="33">
        <v>46.088999999999999</v>
      </c>
      <c r="M25" t="s">
        <v>25</v>
      </c>
      <c r="N25" s="41" cm="1">
        <f t="array" ref="N25">TREND($B25:$K25,$B$16:$K$16,N$16)</f>
        <v>120.38576363636366</v>
      </c>
      <c r="O25" s="42" cm="1">
        <f t="array" ref="O25">(TREND($E25:$K25,$E$16:$K$16,O$16) - TREND($E25:$K25,$E$16:$K$16,$N$16))/4 + $N25</f>
        <v>120.46878149350653</v>
      </c>
      <c r="P25" s="42" cm="1">
        <f t="array" ref="P25">(TREND($E25:$K25,$E$16:$K$16,P$16) - TREND($E25:$K25,$E$16:$K$16,$N$16))/4 + $N25</f>
        <v>120.67632613636367</v>
      </c>
      <c r="Q25" s="42" cm="1">
        <f t="array" ref="Q25">(TREND($E25:$K25,$E$16:$K$16,Q$16) - TREND($E25:$K25,$E$16:$K$16,$N$16))/4 + $N25</f>
        <v>120.88387077922081</v>
      </c>
    </row>
    <row r="26" spans="1:17" x14ac:dyDescent="0.25">
      <c r="A26" s="29" t="s">
        <v>64</v>
      </c>
      <c r="B26" s="34">
        <v>2037.1969999999999</v>
      </c>
      <c r="C26" s="34">
        <v>2134.069</v>
      </c>
      <c r="D26" s="34">
        <v>2172.4340000000002</v>
      </c>
      <c r="E26" s="34">
        <v>2175.4690000000001</v>
      </c>
      <c r="F26" s="34">
        <v>2148.2919999999999</v>
      </c>
      <c r="G26" s="34">
        <v>2112.973</v>
      </c>
      <c r="H26" s="34">
        <v>2139.6480000000001</v>
      </c>
      <c r="I26" s="34">
        <v>2155.4319999999998</v>
      </c>
      <c r="J26" s="34">
        <v>2205.8229999999999</v>
      </c>
      <c r="K26" s="34">
        <v>2150.654</v>
      </c>
      <c r="N26" s="41" cm="1">
        <f t="array" ref="N26">TREND($B26:$K26,$B$16:$K$16,N$16)</f>
        <v>2178.5336181818166</v>
      </c>
      <c r="O26" s="42" cm="1">
        <f t="array" ref="O26">(TREND($E26:$K26,$E$16:$K$16,O$16) - TREND($E26:$K26,$E$16:$K$16,$N$16))/4 + $N26</f>
        <v>2180.0171181818164</v>
      </c>
      <c r="P26" s="42" cm="1">
        <f t="array" ref="P26">(TREND($E26:$K26,$E$16:$K$16,P$16) - TREND($E26:$K26,$E$16:$K$16,$N$16))/4 + $N26</f>
        <v>2183.7258681818166</v>
      </c>
      <c r="Q26" s="42" cm="1">
        <f t="array" ref="Q26">(TREND($E26:$K26,$E$16:$K$16,Q$16) - TREND($E26:$K26,$E$16:$K$16,$N$16))/4 + $N26</f>
        <v>2187.4346181818164</v>
      </c>
    </row>
    <row r="27" spans="1:17" x14ac:dyDescent="0.25">
      <c r="A27" s="29" t="s">
        <v>65</v>
      </c>
      <c r="B27" s="35">
        <v>1680</v>
      </c>
      <c r="C27" s="35">
        <v>2124</v>
      </c>
      <c r="D27" s="35">
        <v>1767</v>
      </c>
      <c r="E27" s="33">
        <v>1677.751</v>
      </c>
      <c r="F27" s="33">
        <v>2122.6039999999998</v>
      </c>
      <c r="G27" s="33">
        <v>2282.1779999999999</v>
      </c>
      <c r="H27" s="33">
        <v>1944.982</v>
      </c>
      <c r="I27" s="33">
        <v>2014.3889999999999</v>
      </c>
      <c r="J27" s="35">
        <v>2280.46</v>
      </c>
      <c r="K27" s="35">
        <v>2727.4</v>
      </c>
      <c r="N27" s="41" cm="1">
        <f t="array" ref="N27">TREND($B27:$K27,$B$16:$K$16,N$16)</f>
        <v>2408.9863636363298</v>
      </c>
      <c r="O27" s="42" cm="1">
        <f t="array" ref="O27">(TREND($E27:$K27,$E$16:$K$16,O$16) - TREND($E27:$K27,$E$16:$K$16,$N$16))/4 + $N27</f>
        <v>2466.073327922044</v>
      </c>
      <c r="P27" s="42" cm="1">
        <f t="array" ref="P27">(TREND($E27:$K27,$E$16:$K$16,P$16) - TREND($E27:$K27,$E$16:$K$16,$N$16))/4 + $N27</f>
        <v>2608.7907386363295</v>
      </c>
      <c r="Q27" s="42" cm="1">
        <f t="array" ref="Q27">(TREND($E27:$K27,$E$16:$K$16,Q$16) - TREND($E27:$K27,$E$16:$K$16,$N$16))/4 + $N27</f>
        <v>2751.508149350615</v>
      </c>
    </row>
    <row r="28" spans="1:17" x14ac:dyDescent="0.25">
      <c r="A28" s="29" t="s">
        <v>66</v>
      </c>
      <c r="B28" s="36">
        <v>30870</v>
      </c>
      <c r="C28" s="36">
        <v>32280</v>
      </c>
      <c r="D28" s="36">
        <v>32913</v>
      </c>
      <c r="E28" s="36">
        <v>34958</v>
      </c>
      <c r="F28" s="36">
        <v>36162</v>
      </c>
      <c r="G28" s="36">
        <v>36899</v>
      </c>
      <c r="H28" s="36">
        <v>34345</v>
      </c>
      <c r="I28" s="36">
        <v>36402</v>
      </c>
      <c r="J28" s="36">
        <v>29643</v>
      </c>
      <c r="K28" s="36">
        <v>32460</v>
      </c>
      <c r="M28" t="s">
        <v>12</v>
      </c>
      <c r="N28" s="41" cm="1">
        <f t="array" ref="N28">TREND($B28:$K28,$B$16:$K$16,N$16)</f>
        <v>34025.763636363656</v>
      </c>
      <c r="O28" s="42" cm="1">
        <f t="array" ref="O28">(TREND($E28:$K28,$E$16:$K$16,O$16) - TREND($E28:$K28,$E$16:$K$16,$N$16))/4 + $N28</f>
        <v>33650.245779220757</v>
      </c>
      <c r="P28" s="42" cm="1">
        <f t="array" ref="P28">(TREND($E28:$K28,$E$16:$K$16,P$16) - TREND($E28:$K28,$E$16:$K$16,$N$16))/4 + $N28</f>
        <v>32711.451136363656</v>
      </c>
      <c r="Q28" s="42" cm="1">
        <f t="array" ref="Q28">(TREND($E28:$K28,$E$16:$K$16,Q$16) - TREND($E28:$K28,$E$16:$K$16,$N$16))/4 + $N28</f>
        <v>31772.656493506496</v>
      </c>
    </row>
    <row r="29" spans="1:17" x14ac:dyDescent="0.25">
      <c r="A29" s="29" t="s">
        <v>67</v>
      </c>
      <c r="B29" s="33">
        <v>15474.468999999999</v>
      </c>
      <c r="C29" s="35">
        <v>16119.91</v>
      </c>
      <c r="D29" s="33">
        <v>15693.455</v>
      </c>
      <c r="E29" s="33">
        <v>16301.897000000001</v>
      </c>
      <c r="F29" s="33">
        <v>19749.308000000001</v>
      </c>
      <c r="G29" s="35">
        <v>21210.55</v>
      </c>
      <c r="H29" s="33">
        <v>20523.791000000001</v>
      </c>
      <c r="I29" s="33">
        <v>20166.674999999999</v>
      </c>
      <c r="J29" s="33">
        <v>21775.627</v>
      </c>
      <c r="K29" s="35">
        <v>20567.54</v>
      </c>
      <c r="M29" t="s">
        <v>10</v>
      </c>
      <c r="N29" s="41" cm="1">
        <f t="array" ref="N29">TREND($B29:$K29,$B$16:$K$16,N$16)</f>
        <v>22083.431709090946</v>
      </c>
      <c r="O29" s="42" cm="1">
        <f t="array" ref="O29">(TREND($E29:$K29,$E$16:$K$16,O$16) - TREND($E29:$K29,$E$16:$K$16,$N$16))/4 + $N29</f>
        <v>22365.676209090976</v>
      </c>
      <c r="P29" s="42" cm="1">
        <f t="array" ref="P29">(TREND($E29:$K29,$E$16:$K$16,P$16) - TREND($E29:$K29,$E$16:$K$16,$N$16))/4 + $N29</f>
        <v>23071.287459090992</v>
      </c>
      <c r="Q29" s="42" cm="1">
        <f t="array" ref="Q29">(TREND($E29:$K29,$E$16:$K$16,Q$16) - TREND($E29:$K29,$E$16:$K$16,$N$16))/4 + $N29</f>
        <v>23776.89870909095</v>
      </c>
    </row>
    <row r="30" spans="1:17" x14ac:dyDescent="0.25">
      <c r="A30" s="29" t="s">
        <v>68</v>
      </c>
      <c r="B30" s="36">
        <v>326</v>
      </c>
      <c r="C30" s="36">
        <v>300</v>
      </c>
      <c r="D30" s="36">
        <v>321</v>
      </c>
      <c r="E30" s="36">
        <v>399</v>
      </c>
      <c r="F30" s="36">
        <v>354</v>
      </c>
      <c r="G30" s="36">
        <v>356.6</v>
      </c>
      <c r="H30" s="36">
        <v>384.5</v>
      </c>
      <c r="I30" s="36">
        <v>328.5</v>
      </c>
      <c r="J30" s="36">
        <v>269.3</v>
      </c>
      <c r="K30" s="36">
        <v>262.8</v>
      </c>
      <c r="N30" s="41" cm="1">
        <f t="array" ref="N30">TREND($B30:$K30,$B$16:$K$16,N$16)</f>
        <v>308.70363636363618</v>
      </c>
      <c r="O30" s="42" cm="1">
        <f t="array" ref="O30">(TREND($E30:$K30,$E$16:$K$16,O$16) - TREND($E30:$K30,$E$16:$K$16,$N$16))/4 + $N30</f>
        <v>297.88042207792023</v>
      </c>
      <c r="P30" s="42" cm="1">
        <f t="array" ref="P30">(TREND($E30:$K30,$E$16:$K$16,P$16) - TREND($E30:$K30,$E$16:$K$16,$N$16))/4 + $N30</f>
        <v>270.82238636363581</v>
      </c>
      <c r="Q30" s="42" cm="1">
        <f t="array" ref="Q30">(TREND($E30:$K30,$E$16:$K$16,Q$16) - TREND($E30:$K30,$E$16:$K$16,$N$16))/4 + $N30</f>
        <v>243.76435064934958</v>
      </c>
    </row>
    <row r="31" spans="1:17" x14ac:dyDescent="0.25">
      <c r="A31" s="29" t="s">
        <v>69</v>
      </c>
      <c r="B31" s="33">
        <v>15143.832</v>
      </c>
      <c r="C31" s="33">
        <v>18342.052</v>
      </c>
      <c r="D31" s="33">
        <v>17877.681</v>
      </c>
      <c r="E31" s="33">
        <v>19141.136999999999</v>
      </c>
      <c r="F31" s="33">
        <v>22024.171999999999</v>
      </c>
      <c r="G31" s="35">
        <v>21609.1</v>
      </c>
      <c r="H31" s="35">
        <v>19670.68</v>
      </c>
      <c r="I31" s="33">
        <v>48597.186999999998</v>
      </c>
      <c r="J31" s="35">
        <v>52269.82</v>
      </c>
      <c r="K31" s="33">
        <v>51662.156999999999</v>
      </c>
      <c r="N31" s="41" cm="1">
        <f t="array" ref="N31">TREND($B31:$K31,$B$16:$K$16,N$16)</f>
        <v>48295.519654545933</v>
      </c>
      <c r="O31" s="48">
        <f>AVERAGE($I31:$K31)</f>
        <v>50843.054666666663</v>
      </c>
      <c r="P31" s="48">
        <f t="shared" ref="P31:Q31" si="0">AVERAGE($I31:$K31)</f>
        <v>50843.054666666663</v>
      </c>
      <c r="Q31" s="48">
        <f t="shared" si="0"/>
        <v>50843.054666666663</v>
      </c>
    </row>
    <row r="32" spans="1:17" x14ac:dyDescent="0.25">
      <c r="A32" s="29" t="s">
        <v>70</v>
      </c>
      <c r="B32" s="34">
        <v>78.233000000000004</v>
      </c>
      <c r="C32" s="34">
        <v>86.727000000000004</v>
      </c>
      <c r="D32" s="36">
        <v>97.96</v>
      </c>
      <c r="E32" s="34">
        <v>107.961</v>
      </c>
      <c r="F32" s="34">
        <v>122.161</v>
      </c>
      <c r="G32" s="34">
        <v>138.03299999999999</v>
      </c>
      <c r="H32" s="34">
        <v>149.87100000000001</v>
      </c>
      <c r="I32" s="34">
        <v>225.36699999999999</v>
      </c>
      <c r="J32" s="34">
        <v>291.95699999999999</v>
      </c>
      <c r="K32" s="34">
        <v>417.66399999999999</v>
      </c>
      <c r="N32" s="41" cm="1">
        <f t="array" ref="N32">TREND($B32:$K32,$B$16:$K$16,N$16)</f>
        <v>315.32410909090686</v>
      </c>
      <c r="O32" s="42" cm="1">
        <f t="array" ref="O32">(TREND($E32:$K32,$E$16:$K$16,O$16) - TREND($E32:$K32,$E$16:$K$16,$N$16))/4 + $N32</f>
        <v>339.53901980519367</v>
      </c>
      <c r="P32" s="42" cm="1">
        <f t="array" ref="P32">(TREND($E32:$K32,$E$16:$K$16,P$16) - TREND($E32:$K32,$E$16:$K$16,$N$16))/4 + $N32</f>
        <v>400.0762965909089</v>
      </c>
      <c r="Q32" s="42" cm="1">
        <f t="array" ref="Q32">(TREND($E32:$K32,$E$16:$K$16,Q$16) - TREND($E32:$K32,$E$16:$K$16,$N$16))/4 + $N32</f>
        <v>460.61357337662048</v>
      </c>
    </row>
    <row r="33" spans="1:17" x14ac:dyDescent="0.25">
      <c r="A33" s="29" t="s">
        <v>71</v>
      </c>
      <c r="B33" s="35">
        <v>244</v>
      </c>
      <c r="C33" s="35">
        <v>241</v>
      </c>
      <c r="D33" s="35">
        <v>192.82</v>
      </c>
      <c r="E33" s="33">
        <v>185.66900000000001</v>
      </c>
      <c r="F33" s="33">
        <v>177.71199999999999</v>
      </c>
      <c r="G33" s="33">
        <v>174.87700000000001</v>
      </c>
      <c r="H33" s="33">
        <v>169.49700000000001</v>
      </c>
      <c r="I33" s="33">
        <v>156.99299999999999</v>
      </c>
      <c r="J33" s="33">
        <v>199.38200000000001</v>
      </c>
      <c r="K33" s="33">
        <v>316.08199999999999</v>
      </c>
      <c r="M33" t="s">
        <v>24</v>
      </c>
      <c r="N33" s="41" cm="1">
        <f t="array" ref="N33">TREND($B33:$K33,$B$16:$K$16,N$16)</f>
        <v>209.26481818181833</v>
      </c>
      <c r="O33" s="42" cm="1">
        <f t="array" ref="O33">(TREND($E33:$K33,$E$16:$K$16,O$16) - TREND($E33:$K33,$E$16:$K$16,$N$16))/4 + $N33</f>
        <v>216.70580032467547</v>
      </c>
      <c r="P33" s="42" cm="1">
        <f t="array" ref="P33">(TREND($E33:$K33,$E$16:$K$16,P$16) - TREND($E33:$K33,$E$16:$K$16,$N$16))/4 + $N33</f>
        <v>235.30825568181876</v>
      </c>
      <c r="Q33" s="42" cm="1">
        <f t="array" ref="Q33">(TREND($E33:$K33,$E$16:$K$16,Q$16) - TREND($E33:$K33,$E$16:$K$16,$N$16))/4 + $N33</f>
        <v>253.91071103896115</v>
      </c>
    </row>
    <row r="34" spans="1:17" x14ac:dyDescent="0.25">
      <c r="A34" s="29" t="s">
        <v>72</v>
      </c>
      <c r="B34" s="36">
        <v>690</v>
      </c>
      <c r="C34" s="36">
        <v>875</v>
      </c>
      <c r="D34" s="36">
        <v>837</v>
      </c>
      <c r="E34" s="36">
        <v>781.6</v>
      </c>
      <c r="F34" s="36">
        <v>601.6</v>
      </c>
      <c r="G34" s="36">
        <v>769</v>
      </c>
      <c r="H34" s="36">
        <v>753.1</v>
      </c>
      <c r="I34" s="36">
        <v>642.6</v>
      </c>
      <c r="J34" s="36">
        <v>667.7</v>
      </c>
      <c r="K34" s="36">
        <v>487</v>
      </c>
      <c r="M34" t="s">
        <v>23</v>
      </c>
      <c r="N34" s="41" cm="1">
        <f t="array" ref="N34">TREND($B34:$K34,$B$16:$K$16,N$16)</f>
        <v>596.78181818182202</v>
      </c>
      <c r="O34" s="42" cm="1">
        <f t="array" ref="O34">(TREND($E34:$K34,$E$16:$K$16,O$16) - TREND($E34:$K34,$E$16:$K$16,$N$16))/4 + $N34</f>
        <v>581.10324675324955</v>
      </c>
      <c r="P34" s="42" cm="1">
        <f t="array" ref="P34">(TREND($E34:$K34,$E$16:$K$16,P$16) - TREND($E34:$K34,$E$16:$K$16,$N$16))/4 + $N34</f>
        <v>541.90681818182202</v>
      </c>
      <c r="Q34" s="42" cm="1">
        <f t="array" ref="Q34">(TREND($E34:$K34,$E$16:$K$16,Q$16) - TREND($E34:$K34,$E$16:$K$16,$N$16))/4 + $N34</f>
        <v>502.71038961039267</v>
      </c>
    </row>
    <row r="35" spans="1:17" x14ac:dyDescent="0.25">
      <c r="A35" s="29" t="s">
        <v>73</v>
      </c>
      <c r="B35" s="33">
        <v>269.36399999999998</v>
      </c>
      <c r="C35" s="33">
        <v>274.20100000000002</v>
      </c>
      <c r="D35" s="33">
        <v>285.12299999999999</v>
      </c>
      <c r="E35" s="33">
        <v>278.26900000000001</v>
      </c>
      <c r="F35" s="33">
        <v>282.10700000000003</v>
      </c>
      <c r="G35" s="33">
        <v>284.98099999999999</v>
      </c>
      <c r="H35" s="33">
        <v>308.51799999999997</v>
      </c>
      <c r="I35" s="33">
        <v>312.351</v>
      </c>
      <c r="J35" s="33">
        <v>387.077</v>
      </c>
      <c r="K35" s="33">
        <v>388.80900000000003</v>
      </c>
      <c r="N35" s="41" cm="1">
        <f t="array" ref="N35">TREND($B35:$K35,$B$16:$K$16,N$16)</f>
        <v>364.21358181818505</v>
      </c>
      <c r="O35" s="42" cm="1">
        <f t="array" ref="O35">(TREND($E35:$K35,$E$16:$K$16,O$16) - TREND($E35:$K35,$E$16:$K$16,$N$16))/4 + $N35</f>
        <v>374.37304610389947</v>
      </c>
      <c r="P35" s="42" cm="1">
        <f t="array" ref="P35">(TREND($E35:$K35,$E$16:$K$16,P$16) - TREND($E35:$K35,$E$16:$K$16,$N$16))/4 + $N35</f>
        <v>399.77170681818643</v>
      </c>
      <c r="Q35" s="42" cm="1">
        <f t="array" ref="Q35">(TREND($E35:$K35,$E$16:$K$16,Q$16) - TREND($E35:$K35,$E$16:$K$16,$N$16))/4 + $N35</f>
        <v>425.17036753247157</v>
      </c>
    </row>
    <row r="36" spans="1:17" x14ac:dyDescent="0.25">
      <c r="A36" s="29" t="s">
        <v>74</v>
      </c>
      <c r="B36" s="36">
        <v>592</v>
      </c>
      <c r="C36" s="36">
        <v>740</v>
      </c>
      <c r="D36" s="36">
        <v>929</v>
      </c>
      <c r="E36" s="36">
        <v>1215</v>
      </c>
      <c r="F36" s="36">
        <v>1479</v>
      </c>
      <c r="G36" s="36">
        <v>1880</v>
      </c>
      <c r="H36" s="36">
        <v>2262</v>
      </c>
      <c r="I36" s="36">
        <v>2763</v>
      </c>
      <c r="J36" s="36">
        <v>3112</v>
      </c>
      <c r="K36" s="36">
        <v>3974</v>
      </c>
      <c r="N36" s="41" cm="1">
        <f t="array" ref="N36">TREND($B36:$K36,$B$16:$K$16,N$16)</f>
        <v>3524.2545454545179</v>
      </c>
      <c r="O36" s="42" cm="1">
        <f t="array" ref="O36">(TREND($E36:$K36,$E$16:$K$16,O$16) - TREND($E36:$K36,$E$16:$K$16,$N$16))/4 + $N36</f>
        <v>3746.1474025973585</v>
      </c>
      <c r="P36" s="42" cm="1">
        <f t="array" ref="P36">(TREND($E36:$K36,$E$16:$K$16,P$16) - TREND($E36:$K36,$E$16:$K$16,$N$16))/4 + $N36</f>
        <v>4300.8795454545179</v>
      </c>
      <c r="Q36" s="42" cm="1">
        <f t="array" ref="Q36">(TREND($E36:$K36,$E$16:$K$16,Q$16) - TREND($E36:$K36,$E$16:$K$16,$N$16))/4 + $N36</f>
        <v>4855.6116883116483</v>
      </c>
    </row>
    <row r="37" spans="1:17" x14ac:dyDescent="0.25">
      <c r="A37" s="29" t="s">
        <v>75</v>
      </c>
      <c r="B37" s="35">
        <v>75</v>
      </c>
      <c r="C37" s="35">
        <v>101.99</v>
      </c>
      <c r="D37" s="35">
        <v>136.25</v>
      </c>
      <c r="E37" s="33">
        <v>172.05699999999999</v>
      </c>
      <c r="F37" s="33">
        <v>198.995</v>
      </c>
      <c r="G37" s="33">
        <v>201.845</v>
      </c>
      <c r="H37" s="33">
        <v>242.81399999999999</v>
      </c>
      <c r="I37" s="33">
        <v>263.04500000000002</v>
      </c>
      <c r="J37" s="33">
        <v>296.84300000000002</v>
      </c>
      <c r="K37" s="33">
        <v>318.60700000000003</v>
      </c>
      <c r="N37" s="41" cm="1">
        <f t="array" ref="N37">TREND($B37:$K37,$B$16:$K$16,N$16)</f>
        <v>320.89541818181169</v>
      </c>
      <c r="O37" s="42" cm="1">
        <f t="array" ref="O37">(TREND($E37:$K37,$E$16:$K$16,O$16) - TREND($E37:$K37,$E$16:$K$16,$N$16))/4 + $N37</f>
        <v>333.3337396103816</v>
      </c>
      <c r="P37" s="42" cm="1">
        <f t="array" ref="P37">(TREND($E37:$K37,$E$16:$K$16,P$16) - TREND($E37:$K37,$E$16:$K$16,$N$16))/4 + $N37</f>
        <v>364.42954318181</v>
      </c>
      <c r="Q37" s="42" cm="1">
        <f t="array" ref="Q37">(TREND($E37:$K37,$E$16:$K$16,Q$16) - TREND($E37:$K37,$E$16:$K$16,$N$16))/4 + $N37</f>
        <v>395.52534675324023</v>
      </c>
    </row>
    <row r="38" spans="1:17" x14ac:dyDescent="0.25">
      <c r="A38" s="29" t="s">
        <v>76</v>
      </c>
      <c r="B38" s="34">
        <v>20698.989000000001</v>
      </c>
      <c r="C38" s="34">
        <v>21801.194</v>
      </c>
      <c r="D38" s="34">
        <v>21876.407999999999</v>
      </c>
      <c r="E38" s="34">
        <v>23989.177</v>
      </c>
      <c r="F38" s="34">
        <v>25627.960999999999</v>
      </c>
      <c r="G38" s="34">
        <v>27694.495999999999</v>
      </c>
      <c r="H38" s="34">
        <v>33159.784</v>
      </c>
      <c r="I38" s="34">
        <v>35776.171000000002</v>
      </c>
      <c r="J38" s="36">
        <v>36094.300000000003</v>
      </c>
      <c r="K38" s="34">
        <v>38870.870999999999</v>
      </c>
      <c r="M38" t="s">
        <v>14</v>
      </c>
      <c r="N38" s="41" cm="1">
        <f t="array" ref="N38">TREND($B38:$K38,$B$16:$K$16,N$16)</f>
        <v>38450.094672727399</v>
      </c>
      <c r="O38" s="48">
        <f>AVERAGE($I38:$K38)</f>
        <v>36913.780666666666</v>
      </c>
      <c r="P38" s="48">
        <f t="shared" ref="P38:Q38" si="1">AVERAGE($I38:$K38)</f>
        <v>36913.780666666666</v>
      </c>
      <c r="Q38" s="48">
        <f t="shared" si="1"/>
        <v>36913.780666666666</v>
      </c>
    </row>
    <row r="39" spans="1:17" x14ac:dyDescent="0.25">
      <c r="A39" s="29" t="s">
        <v>77</v>
      </c>
      <c r="B39" s="33">
        <v>7321.277</v>
      </c>
      <c r="C39" s="33">
        <v>7439.4570000000003</v>
      </c>
      <c r="D39" s="33">
        <v>7493.0469999999996</v>
      </c>
      <c r="E39" s="33">
        <v>7838.866</v>
      </c>
      <c r="F39" s="35">
        <v>7610.56</v>
      </c>
      <c r="G39" s="33">
        <v>7630.116</v>
      </c>
      <c r="H39" s="33">
        <v>7516.6660000000002</v>
      </c>
      <c r="I39" s="35">
        <v>10332.469999999999</v>
      </c>
      <c r="J39" s="35">
        <v>10749.78</v>
      </c>
      <c r="K39" s="33">
        <v>12981.643</v>
      </c>
      <c r="M39" t="s">
        <v>104</v>
      </c>
      <c r="N39" s="41" cm="1">
        <f t="array" ref="N39">TREND($B39:$K39,$B$16:$K$16,N$16)</f>
        <v>11074.087090909015</v>
      </c>
      <c r="O39" s="42" cm="1">
        <f t="array" ref="O39">(TREND($E39:$K39,$E$16:$K$16,O$16) - TREND($E39:$K39,$E$16:$K$16,$N$16))/4 + $N39</f>
        <v>11509.964323051914</v>
      </c>
      <c r="P39" s="42" cm="1">
        <f t="array" ref="P39">(TREND($E39:$K39,$E$16:$K$16,P$16) - TREND($E39:$K39,$E$16:$K$16,$N$16))/4 + $N39</f>
        <v>12599.657403409015</v>
      </c>
      <c r="Q39" s="42" cm="1">
        <f t="array" ref="Q39">(TREND($E39:$K39,$E$16:$K$16,Q$16) - TREND($E39:$K39,$E$16:$K$16,$N$16))/4 + $N39</f>
        <v>13689.350483766175</v>
      </c>
    </row>
    <row r="40" spans="1:17" x14ac:dyDescent="0.25">
      <c r="A40" s="29" t="s">
        <v>78</v>
      </c>
      <c r="B40" s="36">
        <v>8383</v>
      </c>
      <c r="C40" s="36">
        <v>8878</v>
      </c>
      <c r="D40" s="36">
        <v>9857</v>
      </c>
      <c r="E40" s="34">
        <v>11015.105</v>
      </c>
      <c r="F40" s="34">
        <v>14106.135</v>
      </c>
      <c r="G40" s="34">
        <v>16565.266</v>
      </c>
      <c r="H40" s="34">
        <v>18155.371999999999</v>
      </c>
      <c r="I40" s="34">
        <v>18411.476999999999</v>
      </c>
      <c r="J40" s="36">
        <v>21480.59</v>
      </c>
      <c r="K40" s="36">
        <v>24341.49</v>
      </c>
      <c r="M40" t="s">
        <v>13</v>
      </c>
      <c r="N40" s="41" cm="1">
        <f t="array" ref="N40">TREND($B40:$K40,$B$16:$K$16,N$16)</f>
        <v>23260.166872727219</v>
      </c>
      <c r="O40" s="48">
        <f>AVERAGE($I40:$K40)</f>
        <v>21411.185666666668</v>
      </c>
      <c r="P40" s="48">
        <f t="shared" ref="P40:Q40" si="2">AVERAGE($I40:$K40)</f>
        <v>21411.185666666668</v>
      </c>
      <c r="Q40" s="48">
        <f t="shared" si="2"/>
        <v>21411.185666666668</v>
      </c>
    </row>
    <row r="41" spans="1:17" x14ac:dyDescent="0.25">
      <c r="A41" s="29" t="s">
        <v>79</v>
      </c>
      <c r="B41" s="33">
        <v>8435.1669999999995</v>
      </c>
      <c r="C41" s="33">
        <v>8293.8469999999998</v>
      </c>
      <c r="D41" s="33">
        <v>8205.9330000000009</v>
      </c>
      <c r="E41" s="33">
        <v>8435.9830000000002</v>
      </c>
      <c r="F41" s="33">
        <v>8323.6219999999994</v>
      </c>
      <c r="G41" s="33">
        <v>8677.5139999999992</v>
      </c>
      <c r="H41" s="33">
        <v>8877.4629999999997</v>
      </c>
      <c r="I41" s="33">
        <v>8494.5159999999996</v>
      </c>
      <c r="J41" s="33">
        <v>7674.9639999999999</v>
      </c>
      <c r="K41" s="33">
        <v>7135.567</v>
      </c>
      <c r="N41" s="41" cm="1">
        <f t="array" ref="N41">TREND($B41:$K41,$B$16:$K$16,N$16)</f>
        <v>7903.4394000000029</v>
      </c>
      <c r="O41" s="42" cm="1">
        <f t="array" ref="O41">(TREND($E41:$K41,$E$16:$K$16,O$16) - TREND($E41:$K41,$E$16:$K$16,$N$16))/4 + $N41</f>
        <v>7807.340078571433</v>
      </c>
      <c r="P41" s="42" cm="1">
        <f t="array" ref="P41">(TREND($E41:$K41,$E$16:$K$16,P$16) - TREND($E41:$K41,$E$16:$K$16,$N$16))/4 + $N41</f>
        <v>7567.0917750000081</v>
      </c>
      <c r="Q41" s="42" cm="1">
        <f t="array" ref="Q41">(TREND($E41:$K41,$E$16:$K$16,Q$16) - TREND($E41:$K41,$E$16:$K$16,$N$16))/4 + $N41</f>
        <v>7326.8434714285831</v>
      </c>
    </row>
    <row r="42" spans="1:17" x14ac:dyDescent="0.25">
      <c r="A42" s="29" t="s">
        <v>80</v>
      </c>
      <c r="B42" s="36">
        <v>5747</v>
      </c>
      <c r="C42" s="36">
        <v>7038</v>
      </c>
      <c r="D42" s="36">
        <v>6795</v>
      </c>
      <c r="E42" s="34">
        <v>6717.5919999999996</v>
      </c>
      <c r="F42" s="34">
        <v>7132.2489999999998</v>
      </c>
      <c r="G42" s="34">
        <v>6181.5709999999999</v>
      </c>
      <c r="H42" s="34">
        <v>7021.7820000000002</v>
      </c>
      <c r="I42" s="34">
        <v>7495.2349999999997</v>
      </c>
      <c r="J42" s="34">
        <v>7339.8190000000004</v>
      </c>
      <c r="K42" s="34">
        <v>7166.9269999999997</v>
      </c>
      <c r="N42" s="41" cm="1">
        <f t="array" ref="N42">TREND($B42:$K42,$B$16:$K$16,N$16)</f>
        <v>7364.1123090908804</v>
      </c>
      <c r="O42" s="42" cm="1">
        <f t="array" ref="O42">(TREND($E42:$K42,$E$16:$K$16,O$16) - TREND($E42:$K42,$E$16:$K$16,$N$16))/4 + $N42</f>
        <v>7419.0553269480224</v>
      </c>
      <c r="P42" s="42" cm="1">
        <f t="array" ref="P42">(TREND($E42:$K42,$E$16:$K$16,P$16) - TREND($E42:$K42,$E$16:$K$16,$N$16))/4 + $N42</f>
        <v>7556.412871590881</v>
      </c>
      <c r="Q42" s="42" cm="1">
        <f t="array" ref="Q42">(TREND($E42:$K42,$E$16:$K$16,Q$16) - TREND($E42:$K42,$E$16:$K$16,$N$16))/4 + $N42</f>
        <v>7693.7704162337395</v>
      </c>
    </row>
    <row r="43" spans="1:17" x14ac:dyDescent="0.25">
      <c r="A43" s="29" t="s">
        <v>81</v>
      </c>
      <c r="B43" s="35">
        <v>720</v>
      </c>
      <c r="C43" s="35">
        <v>659</v>
      </c>
      <c r="D43" s="35">
        <v>727</v>
      </c>
      <c r="E43" s="33">
        <v>703.75699999999995</v>
      </c>
      <c r="F43" s="33">
        <v>695.39499999999998</v>
      </c>
      <c r="G43" s="33">
        <v>741.10500000000002</v>
      </c>
      <c r="H43" s="33">
        <v>824.72699999999998</v>
      </c>
      <c r="I43" s="33">
        <v>901.26800000000003</v>
      </c>
      <c r="J43" s="33">
        <v>999.23299999999995</v>
      </c>
      <c r="K43" s="33">
        <v>1384.385</v>
      </c>
      <c r="N43" s="41" cm="1">
        <f t="array" ref="N43">TREND($B43:$K43,$B$16:$K$16,N$16)</f>
        <v>1098.5248909090878</v>
      </c>
      <c r="O43" s="42" cm="1">
        <f t="array" ref="O43">(TREND($E43:$K43,$E$16:$K$16,O$16) - TREND($E43:$K43,$E$16:$K$16,$N$16))/4 + $N43</f>
        <v>1148.6985159090837</v>
      </c>
      <c r="P43" s="42" cm="1">
        <f t="array" ref="P43">(TREND($E43:$K43,$E$16:$K$16,P$16) - TREND($E43:$K43,$E$16:$K$16,$N$16))/4 + $N43</f>
        <v>1274.1325784090877</v>
      </c>
      <c r="Q43" s="42" cm="1">
        <f t="array" ref="Q43">(TREND($E43:$K43,$E$16:$K$16,Q$16) - TREND($E43:$K43,$E$16:$K$16,$N$16))/4 + $N43</f>
        <v>1399.5666409090845</v>
      </c>
    </row>
    <row r="44" spans="1:17" x14ac:dyDescent="0.25">
      <c r="A44" s="29" t="s">
        <v>82</v>
      </c>
      <c r="B44" s="36">
        <v>2623</v>
      </c>
      <c r="C44" s="36">
        <v>2611</v>
      </c>
      <c r="D44" s="36">
        <v>2610</v>
      </c>
      <c r="E44" s="36">
        <v>2613</v>
      </c>
      <c r="F44" s="36">
        <v>2992</v>
      </c>
      <c r="G44" s="36">
        <v>2635</v>
      </c>
      <c r="H44" s="36">
        <v>2549</v>
      </c>
      <c r="I44" s="36">
        <v>2727</v>
      </c>
      <c r="J44" s="36">
        <v>2511</v>
      </c>
      <c r="K44" s="36">
        <v>2331</v>
      </c>
      <c r="N44" s="41" cm="1">
        <f t="array" ref="N44">TREND($B44:$K44,$B$16:$K$16,N$16)</f>
        <v>2530.4181818181823</v>
      </c>
      <c r="O44" s="42" cm="1">
        <f t="array" ref="O44">(TREND($E44:$K44,$E$16:$K$16,O$16) - TREND($E44:$K44,$E$16:$K$16,$N$16))/4 + $N44</f>
        <v>2499.7753246753273</v>
      </c>
      <c r="P44" s="42" cm="1">
        <f t="array" ref="P44">(TREND($E44:$K44,$E$16:$K$16,P$16) - TREND($E44:$K44,$E$16:$K$16,$N$16))/4 + $N44</f>
        <v>2423.1681818181823</v>
      </c>
      <c r="Q44" s="42" cm="1">
        <f t="array" ref="Q44">(TREND($E44:$K44,$E$16:$K$16,Q$16) - TREND($E44:$K44,$E$16:$K$16,$N$16))/4 + $N44</f>
        <v>2346.561038961041</v>
      </c>
    </row>
    <row r="45" spans="1:17" x14ac:dyDescent="0.25">
      <c r="A45" s="29" t="s">
        <v>83</v>
      </c>
      <c r="B45" s="35">
        <v>9650</v>
      </c>
      <c r="C45" s="35">
        <v>9575</v>
      </c>
      <c r="D45" s="35">
        <v>9078</v>
      </c>
      <c r="E45" s="35">
        <v>9355</v>
      </c>
      <c r="F45" s="35">
        <v>10145</v>
      </c>
      <c r="G45" s="35">
        <v>10246</v>
      </c>
      <c r="H45" s="35">
        <v>9555</v>
      </c>
      <c r="I45" s="35">
        <v>10055</v>
      </c>
      <c r="J45" s="35">
        <v>10206</v>
      </c>
      <c r="K45" s="35">
        <v>9808</v>
      </c>
      <c r="M45" t="s">
        <v>20</v>
      </c>
      <c r="N45" s="41" cm="1">
        <f t="array" ref="N45">TREND($B45:$K45,$B$16:$K$16,N$16)</f>
        <v>10078.890909090915</v>
      </c>
      <c r="O45" s="42" cm="1">
        <f t="array" ref="O45">(TREND($E45:$K45,$E$16:$K$16,O$16) - TREND($E45:$K45,$E$16:$K$16,$N$16))/4 + $N45</f>
        <v>10101.926623376628</v>
      </c>
      <c r="P45" s="42" cm="1">
        <f t="array" ref="P45">(TREND($E45:$K45,$E$16:$K$16,P$16) - TREND($E45:$K45,$E$16:$K$16,$N$16))/4 + $N45</f>
        <v>10159.515909090915</v>
      </c>
      <c r="Q45" s="42" cm="1">
        <f t="array" ref="Q45">(TREND($E45:$K45,$E$16:$K$16,Q$16) - TREND($E45:$K45,$E$16:$K$16,$N$16))/4 + $N45</f>
        <v>10217.105194805201</v>
      </c>
    </row>
    <row r="46" spans="1:17" x14ac:dyDescent="0.25">
      <c r="A46" s="29" t="s">
        <v>84</v>
      </c>
      <c r="B46" s="36">
        <v>5595</v>
      </c>
      <c r="C46" s="36">
        <v>5624</v>
      </c>
      <c r="D46" s="36">
        <v>5538</v>
      </c>
      <c r="E46" s="36">
        <v>5997</v>
      </c>
      <c r="F46" s="36">
        <v>5924</v>
      </c>
      <c r="G46" s="36">
        <v>6721</v>
      </c>
      <c r="H46" s="36">
        <v>6378</v>
      </c>
      <c r="I46" s="36">
        <v>6653</v>
      </c>
      <c r="J46" s="36">
        <v>7774</v>
      </c>
      <c r="K46" s="36">
        <v>7876</v>
      </c>
      <c r="M46" t="s">
        <v>111</v>
      </c>
      <c r="N46" s="41" cm="1">
        <f t="array" ref="N46">TREND($B46:$K46,$B$16:$K$16,N$16)</f>
        <v>7583.2909090908943</v>
      </c>
      <c r="O46" s="42" cm="1">
        <f t="array" ref="O46">(TREND($E46:$K46,$E$16:$K$16,O$16) - TREND($E46:$K46,$E$16:$K$16,$N$16))/4 + $N46</f>
        <v>7748.8087662337348</v>
      </c>
      <c r="P46" s="42" cm="1">
        <f t="array" ref="P46">(TREND($E46:$K46,$E$16:$K$16,P$16) - TREND($E46:$K46,$E$16:$K$16,$N$16))/4 + $N46</f>
        <v>8162.6034090908943</v>
      </c>
      <c r="Q46" s="42" cm="1">
        <f t="array" ref="Q46">(TREND($E46:$K46,$E$16:$K$16,Q$16) - TREND($E46:$K46,$E$16:$K$16,$N$16))/4 + $N46</f>
        <v>8576.3980519480247</v>
      </c>
    </row>
    <row r="47" spans="1:17" x14ac:dyDescent="0.25">
      <c r="A47" s="29" t="s">
        <v>85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1" t="s">
        <v>86</v>
      </c>
      <c r="K47" s="31" t="s">
        <v>86</v>
      </c>
      <c r="N47" s="41" t="e" cm="1">
        <f t="array" ref="N47">TREND($B47:$K47,$B$16:$K$16,N$16)</f>
        <v>#VALUE!</v>
      </c>
      <c r="O47" s="42" t="e" cm="1">
        <f t="array" ref="O47">(TREND($E47:$K47,$E$16:$K$16,O$16) - TREND($E47:$K47,$E$16:$K$16,$N$16))/4 + $N47</f>
        <v>#VALUE!</v>
      </c>
      <c r="P47" s="42" t="e" cm="1">
        <f t="array" ref="P47">(TREND($E47:$K47,$E$16:$K$16,P$16) - TREND($E47:$K47,$E$16:$K$16,$N$16))/4 + $N47</f>
        <v>#VALUE!</v>
      </c>
      <c r="Q47" s="42" t="e" cm="1">
        <f t="array" ref="Q47">(TREND($E47:$K47,$E$16:$K$16,Q$16) - TREND($E47:$K47,$E$16:$K$16,$N$16))/4 + $N47</f>
        <v>#VALUE!</v>
      </c>
    </row>
    <row r="48" spans="1:17" x14ac:dyDescent="0.25">
      <c r="A48" s="29" t="s">
        <v>87</v>
      </c>
      <c r="B48" s="36">
        <v>0</v>
      </c>
      <c r="C48" s="36">
        <v>0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N48" s="41" cm="1">
        <f t="array" ref="N48">TREND($B48:$K48,$B$16:$K$16,N$16)</f>
        <v>0</v>
      </c>
      <c r="O48" s="42" cm="1">
        <f t="array" ref="O48">(TREND($E48:$K48,$E$16:$K$16,O$16) - TREND($E48:$K48,$E$16:$K$16,$N$16))/4 + $N48</f>
        <v>0</v>
      </c>
      <c r="P48" s="42" cm="1">
        <f t="array" ref="P48">(TREND($E48:$K48,$E$16:$K$16,P$16) - TREND($E48:$K48,$E$16:$K$16,$N$16))/4 + $N48</f>
        <v>0</v>
      </c>
      <c r="Q48" s="42" cm="1">
        <f t="array" ref="Q48">(TREND($E48:$K48,$E$16:$K$16,Q$16) - TREND($E48:$K48,$E$16:$K$16,$N$16))/4 + $N48</f>
        <v>0</v>
      </c>
    </row>
    <row r="49" spans="1:17" x14ac:dyDescent="0.25">
      <c r="A49" s="29" t="s">
        <v>88</v>
      </c>
      <c r="B49" s="35">
        <v>2900</v>
      </c>
      <c r="C49" s="35">
        <v>2930</v>
      </c>
      <c r="D49" s="35">
        <v>2906</v>
      </c>
      <c r="E49" s="35">
        <v>2845</v>
      </c>
      <c r="F49" s="33">
        <v>2922.3829999999998</v>
      </c>
      <c r="G49" s="33">
        <v>2721.2719999999999</v>
      </c>
      <c r="H49" s="33">
        <v>2177.2469999999998</v>
      </c>
      <c r="I49" s="35">
        <v>1183.43</v>
      </c>
      <c r="J49" s="33">
        <v>1961.855</v>
      </c>
      <c r="K49" s="33">
        <v>2347.1770000000001</v>
      </c>
      <c r="M49" t="s">
        <v>105</v>
      </c>
      <c r="N49" s="41" cm="1">
        <f t="array" ref="N49">TREND($B49:$K49,$B$16:$K$16,N$16)</f>
        <v>1873.9007090908708</v>
      </c>
      <c r="O49" s="42" cm="1">
        <f t="array" ref="O49">(TREND($E49:$K49,$E$16:$K$16,O$16) - TREND($E49:$K49,$E$16:$K$16,$N$16))/4 + $N49</f>
        <v>1785.4655840908817</v>
      </c>
      <c r="P49" s="42" cm="1">
        <f t="array" ref="P49">(TREND($E49:$K49,$E$16:$K$16,P$16) - TREND($E49:$K49,$E$16:$K$16,$N$16))/4 + $N49</f>
        <v>1564.37777159088</v>
      </c>
      <c r="Q49" s="42" cm="1">
        <f t="array" ref="Q49">(TREND($E49:$K49,$E$16:$K$16,Q$16) - TREND($E49:$K49,$E$16:$K$16,$N$16))/4 + $N49</f>
        <v>1343.2899590908783</v>
      </c>
    </row>
    <row r="50" spans="1:17" x14ac:dyDescent="0.25">
      <c r="A50" s="29" t="s">
        <v>89</v>
      </c>
      <c r="B50" s="36">
        <v>39057</v>
      </c>
      <c r="C50" s="34">
        <v>45274.472999999998</v>
      </c>
      <c r="D50" s="34">
        <v>48960.201000000001</v>
      </c>
      <c r="E50" s="34">
        <v>51703.673000000003</v>
      </c>
      <c r="F50" s="34">
        <v>53014.637000000002</v>
      </c>
      <c r="G50" s="34">
        <v>58189.074999999997</v>
      </c>
      <c r="H50" s="32" t="s">
        <v>86</v>
      </c>
      <c r="I50" s="32" t="s">
        <v>86</v>
      </c>
      <c r="J50" s="32" t="s">
        <v>86</v>
      </c>
      <c r="K50" s="32" t="s">
        <v>86</v>
      </c>
      <c r="N50" s="41" t="e" cm="1">
        <f t="array" ref="N50">TREND($B50:$K50,$B$16:$K$16,N$16)</f>
        <v>#VALUE!</v>
      </c>
      <c r="O50" s="42" t="e" cm="1">
        <f t="array" ref="O50">(TREND($E50:$K50,$E$16:$K$16,O$16) - TREND($E50:$K50,$E$16:$K$16,$N$16))/4 + $N50</f>
        <v>#VALUE!</v>
      </c>
      <c r="P50" s="42" t="e" cm="1">
        <f t="array" ref="P50">(TREND($E50:$K50,$E$16:$K$16,P$16) - TREND($E50:$K50,$E$16:$K$16,$N$16))/4 + $N50</f>
        <v>#VALUE!</v>
      </c>
      <c r="Q50" s="42" t="e" cm="1">
        <f t="array" ref="Q50">(TREND($E50:$K50,$E$16:$K$16,Q$16) - TREND($E50:$K50,$E$16:$K$16,$N$16))/4 + $N50</f>
        <v>#VALUE!</v>
      </c>
    </row>
    <row r="51" spans="1:17" x14ac:dyDescent="0.25">
      <c r="A51" s="29" t="s">
        <v>90</v>
      </c>
      <c r="B51" s="35">
        <v>343</v>
      </c>
      <c r="C51" s="35">
        <v>409</v>
      </c>
      <c r="D51" s="35">
        <v>363</v>
      </c>
      <c r="E51" s="35">
        <v>345</v>
      </c>
      <c r="F51" s="35">
        <v>342</v>
      </c>
      <c r="G51" s="35">
        <v>349</v>
      </c>
      <c r="H51" s="35">
        <v>250</v>
      </c>
      <c r="I51" s="35">
        <v>351</v>
      </c>
      <c r="J51" s="35">
        <v>379</v>
      </c>
      <c r="K51" s="35">
        <v>363</v>
      </c>
      <c r="N51" s="41" cm="1">
        <f t="array" ref="N51">TREND($B51:$K51,$B$16:$K$16,N$16)</f>
        <v>339.36363636363603</v>
      </c>
      <c r="O51" s="42" cm="1">
        <f t="array" ref="O51">(TREND($E51:$K51,$E$16:$K$16,O$16) - TREND($E51:$K51,$E$16:$K$16,$N$16))/4 + $N51</f>
        <v>341.68506493506493</v>
      </c>
      <c r="P51" s="42" cm="1">
        <f t="array" ref="P51">(TREND($E51:$K51,$E$16:$K$16,P$16) - TREND($E51:$K51,$E$16:$K$16,$N$16))/4 + $N51</f>
        <v>347.48863636363603</v>
      </c>
      <c r="Q51" s="42" cm="1">
        <f t="array" ref="Q51">(TREND($E51:$K51,$E$16:$K$16,Q$16) - TREND($E51:$K51,$E$16:$K$16,$N$16))/4 + $N51</f>
        <v>353.29220779220759</v>
      </c>
    </row>
    <row r="52" spans="1:17" x14ac:dyDescent="0.25">
      <c r="A52" s="29" t="s">
        <v>91</v>
      </c>
      <c r="B52" s="36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N52" s="41" cm="1">
        <f t="array" ref="N52">TREND($B52:$K52,$B$16:$K$16,N$16)</f>
        <v>0</v>
      </c>
      <c r="O52" s="42" cm="1">
        <f t="array" ref="O52">(TREND($E52:$K52,$E$16:$K$16,O$16) - TREND($E52:$K52,$E$16:$K$16,$N$16))/4 + $N52</f>
        <v>0</v>
      </c>
      <c r="P52" s="42" cm="1">
        <f t="array" ref="P52">(TREND($E52:$K52,$E$16:$K$16,P$16) - TREND($E52:$K52,$E$16:$K$16,$N$16))/4 + $N52</f>
        <v>0</v>
      </c>
      <c r="Q52" s="42" cm="1">
        <f t="array" ref="Q52">(TREND($E52:$K52,$E$16:$K$16,Q$16) - TREND($E52:$K52,$E$16:$K$16,$N$16))/4 + $N52</f>
        <v>0</v>
      </c>
    </row>
    <row r="53" spans="1:17" x14ac:dyDescent="0.25">
      <c r="A53" s="29" t="s">
        <v>92</v>
      </c>
      <c r="B53" s="35">
        <v>66</v>
      </c>
      <c r="C53" s="35">
        <v>37</v>
      </c>
      <c r="D53" s="35">
        <v>38</v>
      </c>
      <c r="E53" s="35">
        <v>41</v>
      </c>
      <c r="F53" s="35">
        <v>64</v>
      </c>
      <c r="G53" s="35">
        <v>75</v>
      </c>
      <c r="H53" s="35">
        <v>67</v>
      </c>
      <c r="I53" s="35">
        <v>105</v>
      </c>
      <c r="J53" s="35">
        <v>162.4</v>
      </c>
      <c r="K53" s="35">
        <v>227.9</v>
      </c>
      <c r="N53" s="41" cm="1">
        <f t="array" ref="N53">TREND($B53:$K53,$B$16:$K$16,N$16)</f>
        <v>163.57272727273084</v>
      </c>
      <c r="O53" s="42" cm="1">
        <f t="array" ref="O53">(TREND($E53:$K53,$E$16:$K$16,O$16) - TREND($E53:$K53,$E$16:$K$16,$N$16))/4 + $N53</f>
        <v>177.63522727273084</v>
      </c>
      <c r="P53" s="42" cm="1">
        <f t="array" ref="P53">(TREND($E53:$K53,$E$16:$K$16,P$16) - TREND($E53:$K53,$E$16:$K$16,$N$16))/4 + $N53</f>
        <v>212.79147727273084</v>
      </c>
      <c r="Q53" s="42" cm="1">
        <f t="array" ref="Q53">(TREND($E53:$K53,$E$16:$K$16,Q$16) - TREND($E53:$K53,$E$16:$K$16,$N$16))/4 + $N53</f>
        <v>247.94772727273084</v>
      </c>
    </row>
    <row r="54" spans="1:17" x14ac:dyDescent="0.25">
      <c r="A54" s="29" t="s">
        <v>93</v>
      </c>
      <c r="B54" s="36">
        <v>1</v>
      </c>
      <c r="C54" s="36">
        <v>0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4">
        <v>23.050999999999998</v>
      </c>
      <c r="K54" s="34">
        <v>100.749</v>
      </c>
      <c r="N54" s="41" cm="1">
        <f t="array" ref="N54">TREND($B54:$K54,$B$16:$K$16,N$16)</f>
        <v>41.364490909089</v>
      </c>
      <c r="O54" s="42" cm="1">
        <f t="array" ref="O54">(TREND($E54:$K54,$E$16:$K$16,O$16) - TREND($E54:$K54,$E$16:$K$16,$N$16))/4 + $N54</f>
        <v>47.585008766232022</v>
      </c>
      <c r="P54" s="42" cm="1">
        <f t="array" ref="P54">(TREND($E54:$K54,$E$16:$K$16,P$16) - TREND($E54:$K54,$E$16:$K$16,$N$16))/4 + $N54</f>
        <v>63.136303409089123</v>
      </c>
      <c r="Q54" s="42" cm="1">
        <f t="array" ref="Q54">(TREND($E54:$K54,$E$16:$K$16,Q$16) - TREND($E54:$K54,$E$16:$K$16,$N$16))/4 + $N54</f>
        <v>78.687598051946225</v>
      </c>
    </row>
    <row r="55" spans="1:17" x14ac:dyDescent="0.25">
      <c r="A55" s="29" t="s">
        <v>94</v>
      </c>
      <c r="B55" s="35">
        <v>0</v>
      </c>
      <c r="C55" s="35">
        <v>0</v>
      </c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N55" s="41" cm="1">
        <f t="array" ref="N55">TREND($B55:$K55,$B$16:$K$16,N$16)</f>
        <v>0</v>
      </c>
      <c r="O55" s="42" cm="1">
        <f t="array" ref="O55">(TREND($E55:$K55,$E$16:$K$16,O$16) - TREND($E55:$K55,$E$16:$K$16,$N$16))/4 + $N55</f>
        <v>0</v>
      </c>
      <c r="P55" s="42" cm="1">
        <f t="array" ref="P55">(TREND($E55:$K55,$E$16:$K$16,P$16) - TREND($E55:$K55,$E$16:$K$16,$N$16))/4 + $N55</f>
        <v>0</v>
      </c>
      <c r="Q55" s="42" cm="1">
        <f t="array" ref="Q55">(TREND($E55:$K55,$E$16:$K$16,Q$16) - TREND($E55:$K55,$E$16:$K$16,$N$16))/4 + $N55</f>
        <v>0</v>
      </c>
    </row>
    <row r="56" spans="1:17" x14ac:dyDescent="0.25">
      <c r="A56" s="29" t="s">
        <v>95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N56" s="41" cm="1">
        <f t="array" ref="N56">TREND($B56:$K56,$B$16:$K$16,N$16)</f>
        <v>0</v>
      </c>
      <c r="O56" s="42" cm="1">
        <f t="array" ref="O56">(TREND($E56:$K56,$E$16:$K$16,O$16) - TREND($E56:$K56,$E$16:$K$16,$N$16))/4 + $N56</f>
        <v>0</v>
      </c>
      <c r="P56" s="42" cm="1">
        <f t="array" ref="P56">(TREND($E56:$K56,$E$16:$K$16,P$16) - TREND($E56:$K56,$E$16:$K$16,$N$16))/4 + $N56</f>
        <v>0</v>
      </c>
      <c r="Q56" s="42" cm="1">
        <f t="array" ref="Q56">(TREND($E56:$K56,$E$16:$K$16,Q$16) - TREND($E56:$K56,$E$16:$K$16,$N$16))/4 + $N56</f>
        <v>0</v>
      </c>
    </row>
    <row r="57" spans="1:17" x14ac:dyDescent="0.25">
      <c r="A57" s="29" t="s">
        <v>96</v>
      </c>
      <c r="B57" s="35">
        <v>257</v>
      </c>
      <c r="C57" s="35">
        <v>292</v>
      </c>
      <c r="D57" s="35">
        <v>420</v>
      </c>
      <c r="E57" s="33">
        <v>489.18400000000003</v>
      </c>
      <c r="F57" s="33">
        <v>503.02300000000002</v>
      </c>
      <c r="G57" s="33">
        <v>439.74200000000002</v>
      </c>
      <c r="H57" s="33">
        <v>434.58199999999999</v>
      </c>
      <c r="I57" s="33">
        <v>492.08800000000002</v>
      </c>
      <c r="J57" s="33">
        <v>449.25900000000001</v>
      </c>
      <c r="K57" s="31" t="s">
        <v>86</v>
      </c>
      <c r="N57" s="41" t="e" cm="1">
        <f t="array" ref="N57">TREND($B57:$K57,$B$16:$K$16,N$16)</f>
        <v>#VALUE!</v>
      </c>
      <c r="O57" s="42" t="e" cm="1">
        <f t="array" ref="O57">(TREND($E57:$K57,$E$16:$K$16,O$16) - TREND($E57:$K57,$E$16:$K$16,$N$16))/4 + $N57</f>
        <v>#VALUE!</v>
      </c>
      <c r="P57" s="42" t="e" cm="1">
        <f t="array" ref="P57">(TREND($E57:$K57,$E$16:$K$16,P$16) - TREND($E57:$K57,$E$16:$K$16,$N$16))/4 + $N57</f>
        <v>#VALUE!</v>
      </c>
      <c r="Q57" s="42" t="e" cm="1">
        <f t="array" ref="Q57">(TREND($E57:$K57,$E$16:$K$16,Q$16) - TREND($E57:$K57,$E$16:$K$16,$N$16))/4 + $N57</f>
        <v>#VALUE!</v>
      </c>
    </row>
    <row r="58" spans="1:17" x14ac:dyDescent="0.25">
      <c r="A58" s="29" t="s">
        <v>97</v>
      </c>
      <c r="B58" s="36">
        <v>17174</v>
      </c>
      <c r="C58" s="36">
        <v>17618</v>
      </c>
      <c r="D58" s="36">
        <v>19403</v>
      </c>
      <c r="E58" s="34">
        <v>19038.249</v>
      </c>
      <c r="F58" s="34">
        <v>18654.598000000002</v>
      </c>
      <c r="G58" s="34">
        <v>21550.154999999999</v>
      </c>
      <c r="H58" s="34">
        <v>24228.607</v>
      </c>
      <c r="I58" s="34">
        <v>28481.107</v>
      </c>
      <c r="J58" s="34">
        <v>24208.881000000001</v>
      </c>
      <c r="K58" s="34">
        <v>28996.830999999998</v>
      </c>
      <c r="N58" s="41" cm="1">
        <f t="array" ref="N58">TREND($B58:$K58,$B$16:$K$16,N$16)</f>
        <v>27837.128581818659</v>
      </c>
      <c r="O58" s="42" cm="1">
        <f t="array" ref="O58">(TREND($E58:$K58,$E$16:$K$16,O$16) - TREND($E58:$K58,$E$16:$K$16,$N$16))/4 + $N58</f>
        <v>28692.758296104381</v>
      </c>
      <c r="P58" s="42" cm="1">
        <f t="array" ref="P58">(TREND($E58:$K58,$E$16:$K$16,P$16) - TREND($E58:$K58,$E$16:$K$16,$N$16))/4 + $N58</f>
        <v>30831.832581818686</v>
      </c>
      <c r="Q58" s="42" cm="1">
        <f t="array" ref="Q58">(TREND($E58:$K58,$E$16:$K$16,Q$16) - TREND($E58:$K58,$E$16:$K$16,$N$16))/4 + $N58</f>
        <v>32970.906867532874</v>
      </c>
    </row>
    <row r="59" spans="1:17" x14ac:dyDescent="0.25">
      <c r="A59" s="29" t="s">
        <v>98</v>
      </c>
      <c r="B59" s="35">
        <v>2194</v>
      </c>
      <c r="C59" s="35">
        <v>1633</v>
      </c>
      <c r="D59" s="35">
        <v>4368</v>
      </c>
      <c r="E59" s="35">
        <v>3042.5</v>
      </c>
      <c r="F59" s="35">
        <v>1548</v>
      </c>
      <c r="G59" s="35">
        <v>1995.7</v>
      </c>
      <c r="H59" s="35">
        <v>2460.1999999999998</v>
      </c>
      <c r="I59" s="31" t="s">
        <v>86</v>
      </c>
      <c r="J59" s="31" t="s">
        <v>86</v>
      </c>
      <c r="K59" s="31" t="s">
        <v>86</v>
      </c>
      <c r="N59" s="41" t="e" cm="1">
        <f t="array" ref="N59">TREND($B59:$K59,$B$16:$K$16,N$16)</f>
        <v>#VALUE!</v>
      </c>
      <c r="O59" s="42" t="e" cm="1">
        <f t="array" ref="O59">(TREND($E59:$K59,$E$16:$K$16,O$16) - TREND($E59:$K59,$E$16:$K$16,$N$16))/4 + $N59</f>
        <v>#VALUE!</v>
      </c>
      <c r="P59" s="42" t="e" cm="1">
        <f t="array" ref="P59">(TREND($E59:$K59,$E$16:$K$16,P$16) - TREND($E59:$K59,$E$16:$K$16,$N$16))/4 + $N59</f>
        <v>#VALUE!</v>
      </c>
      <c r="Q59" s="42" t="e" cm="1">
        <f t="array" ref="Q59">(TREND($E59:$K59,$E$16:$K$16,Q$16) - TREND($E59:$K59,$E$16:$K$16,$N$16))/4 + $N59</f>
        <v>#VALUE!</v>
      </c>
    </row>
    <row r="60" spans="1:17" x14ac:dyDescent="0.25">
      <c r="A60" s="29" t="s">
        <v>99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2" t="s">
        <v>86</v>
      </c>
      <c r="K60" s="36">
        <v>0</v>
      </c>
      <c r="N60" s="41" t="e" cm="1">
        <f t="array" ref="N60">TREND($B60:$K60,$B$16:$K$16,N$16)</f>
        <v>#VALUE!</v>
      </c>
      <c r="O60" s="42" t="e" cm="1">
        <f t="array" ref="O60">(TREND($E60:$K60,$E$16:$K$16,O$16) - TREND($E60:$K60,$E$16:$K$16,$N$16))/4 + $N60</f>
        <v>#VALUE!</v>
      </c>
      <c r="P60" s="42" t="e" cm="1">
        <f t="array" ref="P60">(TREND($E60:$K60,$E$16:$K$16,P$16) - TREND($E60:$K60,$E$16:$K$16,$N$16))/4 + $N60</f>
        <v>#VALUE!</v>
      </c>
      <c r="Q60" s="42" t="e" cm="1">
        <f t="array" ref="Q60">(TREND($E60:$K60,$E$16:$K$16,Q$16) - TREND($E60:$K60,$E$16:$K$16,$N$16))/4 + $N60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unitdata</vt:lpstr>
      <vt:lpstr>demanddata</vt:lpstr>
      <vt:lpstr>nodedata</vt:lpstr>
      <vt:lpstr>Summary</vt:lpstr>
      <vt:lpstr>H2Heavy, capacities</vt:lpstr>
      <vt:lpstr>H2Heavy, demands</vt:lpstr>
      <vt:lpstr>TYNDP2024</vt:lpstr>
      <vt:lpstr>Eurostat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Lindroos Tomi J</dc:creator>
  <cp:lastModifiedBy>Lindroos Tomi J</cp:lastModifiedBy>
  <dcterms:created xsi:type="dcterms:W3CDTF">2015-06-05T18:17:20Z</dcterms:created>
  <dcterms:modified xsi:type="dcterms:W3CDTF">2026-09-08T09:59:32Z</dcterms:modified>
</cp:coreProperties>
</file>