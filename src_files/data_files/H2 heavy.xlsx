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xl/threadedComments/threadedComment4.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E381DB2F-1D4E-429F-BC29-71ED353FEB6E}" xr6:coauthVersionLast="47" xr6:coauthVersionMax="47" xr10:uidLastSave="{00000000-0000-0000-0000-000000000000}"/>
  <bookViews>
    <workbookView xWindow="-23148" yWindow="-72" windowWidth="23256" windowHeight="13896" tabRatio="868" activeTab="5" xr2:uid="{00000000-000D-0000-FFFF-FFFF00000000}"/>
  </bookViews>
  <sheets>
    <sheet name="Overview" sheetId="22" r:id="rId1"/>
    <sheet name="unittypedata" sheetId="29" r:id="rId2"/>
    <sheet name="demanddata" sheetId="25" r:id="rId3"/>
    <sheet name="transferdata" sheetId="26" r:id="rId4"/>
    <sheet name="unitdata" sheetId="27" r:id="rId5"/>
    <sheet name="unitdata_Heat" sheetId="32" r:id="rId6"/>
    <sheet name="nodedata" sheetId="28" r:id="rId7"/>
    <sheet name="Demand" sheetId="31" r:id="rId8"/>
    <sheet name="Production" sheetId="16" r:id="rId9"/>
    <sheet name="H2" sheetId="18" r:id="rId10"/>
    <sheet name="Flexibility" sheetId="12" r:id="rId11"/>
    <sheet name="Powerlines" sheetId="13" r:id="rId12"/>
    <sheet name="H2 pipelines" sheetId="20" r:id="rId13"/>
    <sheet name="Other (non)RES" sheetId="24" r:id="rId14"/>
    <sheet name="Heat" sheetId="21" r:id="rId15"/>
    <sheet name="Demand (old)" sheetId="1" r:id="rId16"/>
    <sheet name="Summary" sheetId="14" r:id="rId17"/>
  </sheets>
  <definedNames>
    <definedName name="_xlnm._FilterDatabase" localSheetId="6" hidden="1">nodedata!$A$1:$K$99</definedName>
    <definedName name="_xlnm._FilterDatabase" localSheetId="11" hidden="1">Powerlines!$V$77:$AA$118</definedName>
    <definedName name="_xlnm._FilterDatabase" localSheetId="8" hidden="1">'Other (non)RES'!$A$16:$V$27</definedName>
    <definedName name="_xlnm._FilterDatabase" localSheetId="4" hidden="1">unitdata!$A$1:$F$99</definedName>
    <definedName name="_xlnm._FilterDatabase" localSheetId="5" hidden="1">unitdata_Heat!$A$1:$Q$143</definedName>
    <definedName name="_xlnm._FilterDatabase" localSheetId="1" hidden="1">unittypedata!$A$1:$AA$49</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32" l="1"/>
  <c r="Q5" i="32"/>
  <c r="Q6" i="32"/>
  <c r="Q3" i="32"/>
  <c r="K36" i="18"/>
  <c r="G183" i="27"/>
  <c r="G4" i="27"/>
  <c r="G5" i="27"/>
  <c r="G6" i="27"/>
  <c r="G7" i="27"/>
  <c r="G8" i="27"/>
  <c r="G9" i="27"/>
  <c r="G10" i="27"/>
  <c r="G11" i="27"/>
  <c r="G12" i="27"/>
  <c r="G13" i="27"/>
  <c r="G14" i="27"/>
  <c r="G15" i="27"/>
  <c r="G16" i="27"/>
  <c r="G17" i="27"/>
  <c r="G18" i="27"/>
  <c r="G19" i="27"/>
  <c r="G20" i="27"/>
  <c r="G21" i="27"/>
  <c r="G22" i="27"/>
  <c r="G23" i="27"/>
  <c r="G24" i="27"/>
  <c r="G25" i="27"/>
  <c r="G26" i="27"/>
  <c r="G27" i="27"/>
  <c r="G28" i="27"/>
  <c r="G29" i="27"/>
  <c r="G30" i="27"/>
  <c r="G31" i="27"/>
  <c r="G32" i="27"/>
  <c r="G33" i="27"/>
  <c r="G34" i="27"/>
  <c r="G35" i="27"/>
  <c r="G36" i="27"/>
  <c r="G37" i="27"/>
  <c r="G38" i="27"/>
  <c r="G39" i="27"/>
  <c r="G40" i="27"/>
  <c r="G41" i="27"/>
  <c r="G42" i="27"/>
  <c r="G43" i="27"/>
  <c r="G44" i="27"/>
  <c r="G45" i="27"/>
  <c r="G46" i="27"/>
  <c r="G47" i="27"/>
  <c r="G48" i="27"/>
  <c r="G49" i="27"/>
  <c r="G50" i="27"/>
  <c r="G51" i="27"/>
  <c r="G52" i="27"/>
  <c r="G53" i="27"/>
  <c r="G54" i="27"/>
  <c r="G55" i="27"/>
  <c r="G56" i="27"/>
  <c r="G57" i="27"/>
  <c r="G59" i="27"/>
  <c r="G60" i="27"/>
  <c r="G61" i="27"/>
  <c r="G62" i="27"/>
  <c r="G63" i="27"/>
  <c r="G64" i="27"/>
  <c r="G65" i="27"/>
  <c r="G66" i="27"/>
  <c r="G67" i="27"/>
  <c r="G68" i="27"/>
  <c r="G69" i="27"/>
  <c r="G70" i="27"/>
  <c r="G71" i="27"/>
  <c r="G72" i="27"/>
  <c r="G73" i="27"/>
  <c r="G74" i="27"/>
  <c r="G75" i="27"/>
  <c r="G76" i="27"/>
  <c r="G77" i="27"/>
  <c r="G78" i="27"/>
  <c r="G79" i="27"/>
  <c r="G80" i="27"/>
  <c r="G81" i="27"/>
  <c r="G82" i="27"/>
  <c r="G83" i="27"/>
  <c r="G84" i="27"/>
  <c r="G85" i="27"/>
  <c r="G86" i="27"/>
  <c r="G87" i="27"/>
  <c r="G88" i="27"/>
  <c r="G89" i="27"/>
  <c r="G90" i="27"/>
  <c r="G91" i="27"/>
  <c r="G92" i="27"/>
  <c r="G93" i="27"/>
  <c r="G94" i="27"/>
  <c r="G95" i="27"/>
  <c r="G96" i="27"/>
  <c r="G97" i="27"/>
  <c r="G98" i="27"/>
  <c r="G99" i="27"/>
  <c r="G101" i="27"/>
  <c r="G102" i="27"/>
  <c r="G103" i="27"/>
  <c r="G104" i="27"/>
  <c r="G105" i="27"/>
  <c r="G106" i="27"/>
  <c r="G107" i="27"/>
  <c r="G108" i="27"/>
  <c r="G109" i="27"/>
  <c r="G110" i="27"/>
  <c r="G111" i="27"/>
  <c r="G112" i="27"/>
  <c r="G113" i="27"/>
  <c r="G114" i="27"/>
  <c r="G115" i="27"/>
  <c r="G116" i="27"/>
  <c r="G117" i="27"/>
  <c r="G118" i="27"/>
  <c r="G119" i="27"/>
  <c r="G120" i="27"/>
  <c r="G121" i="27"/>
  <c r="G122" i="27"/>
  <c r="G123" i="27"/>
  <c r="G124" i="27"/>
  <c r="G125" i="27"/>
  <c r="G126" i="27"/>
  <c r="G127" i="27"/>
  <c r="G128" i="27"/>
  <c r="G129" i="27"/>
  <c r="G130" i="27"/>
  <c r="G131" i="27"/>
  <c r="G132" i="27"/>
  <c r="G133" i="27"/>
  <c r="G134" i="27"/>
  <c r="G135" i="27"/>
  <c r="G136" i="27"/>
  <c r="G137" i="27"/>
  <c r="G138" i="27"/>
  <c r="G139" i="27"/>
  <c r="G140" i="27"/>
  <c r="G141" i="27"/>
  <c r="G142" i="27"/>
  <c r="G144" i="27"/>
  <c r="G145" i="27"/>
  <c r="G146" i="27"/>
  <c r="G147" i="27"/>
  <c r="G148" i="27"/>
  <c r="G149" i="27"/>
  <c r="G150" i="27"/>
  <c r="G151" i="27"/>
  <c r="G152" i="27"/>
  <c r="G153" i="27"/>
  <c r="G154" i="27"/>
  <c r="G155" i="27"/>
  <c r="G156" i="27"/>
  <c r="G157" i="27"/>
  <c r="G158" i="27"/>
  <c r="G159" i="27"/>
  <c r="G160" i="27"/>
  <c r="G161" i="27"/>
  <c r="G162" i="27"/>
  <c r="G163" i="27"/>
  <c r="G164" i="27"/>
  <c r="G165" i="27"/>
  <c r="G166" i="27"/>
  <c r="G167" i="27"/>
  <c r="G168" i="27"/>
  <c r="G169" i="27"/>
  <c r="G170" i="27"/>
  <c r="G171" i="27"/>
  <c r="G172" i="27"/>
  <c r="G173" i="27"/>
  <c r="G174" i="27"/>
  <c r="G175" i="27"/>
  <c r="G176" i="27"/>
  <c r="G177" i="27"/>
  <c r="G178" i="27"/>
  <c r="G179" i="27"/>
  <c r="G180" i="27"/>
  <c r="G181" i="27"/>
  <c r="G184" i="27"/>
  <c r="G185" i="27"/>
  <c r="G186" i="27"/>
  <c r="G187" i="27"/>
  <c r="G188" i="27"/>
  <c r="G189" i="27"/>
  <c r="G190" i="27"/>
  <c r="G191" i="27"/>
  <c r="G192" i="27"/>
  <c r="G193" i="27"/>
  <c r="G194" i="27"/>
  <c r="G195" i="27"/>
  <c r="G196" i="27"/>
  <c r="G197" i="27"/>
  <c r="G198" i="27"/>
  <c r="G199" i="27"/>
  <c r="G200" i="27"/>
  <c r="G201" i="27"/>
  <c r="G202" i="27"/>
  <c r="G203" i="27"/>
  <c r="G204" i="27"/>
  <c r="G205" i="27"/>
  <c r="G206" i="27"/>
  <c r="G207" i="27"/>
  <c r="G208" i="27"/>
  <c r="G209" i="27"/>
  <c r="G210" i="27"/>
  <c r="G211" i="27"/>
  <c r="G212" i="27"/>
  <c r="G213" i="27"/>
  <c r="G214" i="27"/>
  <c r="G215" i="27"/>
  <c r="G216" i="27"/>
  <c r="G217" i="27"/>
  <c r="G218" i="27"/>
  <c r="G219" i="27"/>
  <c r="G220" i="27"/>
  <c r="G221" i="27"/>
  <c r="G222" i="27"/>
  <c r="G223" i="27"/>
  <c r="G224" i="27"/>
  <c r="G225" i="27"/>
  <c r="G226" i="27"/>
  <c r="G227" i="27"/>
  <c r="G228" i="27"/>
  <c r="G229" i="27"/>
  <c r="G230" i="27"/>
  <c r="G231" i="27"/>
  <c r="G232" i="27"/>
  <c r="G233" i="27"/>
  <c r="G234" i="27"/>
  <c r="G235" i="27"/>
  <c r="G236" i="27"/>
  <c r="G237" i="27"/>
  <c r="G238" i="27"/>
  <c r="G239" i="27"/>
  <c r="G240" i="27"/>
  <c r="G241" i="27"/>
  <c r="G242" i="27"/>
  <c r="G243" i="27"/>
  <c r="G244" i="27"/>
  <c r="G245" i="27"/>
  <c r="G246" i="27"/>
  <c r="G247" i="27"/>
  <c r="G248" i="27"/>
  <c r="G249" i="27"/>
  <c r="G250" i="27"/>
  <c r="G3" i="27"/>
  <c r="Q108" i="32"/>
  <c r="F144" i="27" a="1"/>
  <c r="F165" i="27" a="1"/>
  <c r="F165" i="27"/>
  <c r="E183" i="27" a="1"/>
  <c r="F200" i="27" a="1"/>
  <c r="F200" i="27" s="1"/>
  <c r="E217" i="27" a="1"/>
  <c r="E217" i="27" s="1"/>
  <c r="F234" i="27" a="1"/>
  <c r="F234" i="27" s="1"/>
  <c r="Q143" i="32"/>
  <c r="F144" i="27" l="1"/>
  <c r="E183" i="27"/>
  <c r="C231" i="16"/>
  <c r="D231" i="16"/>
  <c r="E231" i="16"/>
  <c r="F231" i="16"/>
  <c r="G231" i="16"/>
  <c r="H231" i="16"/>
  <c r="I231" i="16"/>
  <c r="J231" i="16"/>
  <c r="K231" i="16"/>
  <c r="L231" i="16"/>
  <c r="M231" i="16"/>
  <c r="N231" i="16"/>
  <c r="O231" i="16"/>
  <c r="P231" i="16"/>
  <c r="Q231" i="16"/>
  <c r="R231" i="16"/>
  <c r="S231" i="16"/>
  <c r="T231" i="16"/>
  <c r="U231" i="16"/>
  <c r="Q18" i="32" l="1"/>
  <c r="Q19" i="32"/>
  <c r="Q20" i="32"/>
  <c r="Q21" i="32"/>
  <c r="Q22" i="32"/>
  <c r="Q28" i="32"/>
  <c r="Q29" i="32"/>
  <c r="Q9" i="32"/>
  <c r="Q10" i="32"/>
  <c r="Q11" i="32"/>
  <c r="Q12" i="32"/>
  <c r="Q34" i="32"/>
  <c r="Q35" i="32"/>
  <c r="Q36" i="32"/>
  <c r="Q37" i="32"/>
  <c r="Q38" i="32"/>
  <c r="Q39" i="32"/>
  <c r="Q40" i="32"/>
  <c r="Q41" i="32"/>
  <c r="Q42" i="32"/>
  <c r="Q43" i="32"/>
  <c r="Q13" i="32"/>
  <c r="Q14" i="32"/>
  <c r="Q45"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9" i="32"/>
  <c r="Q110" i="32"/>
  <c r="Q111" i="32"/>
  <c r="Q112" i="32"/>
  <c r="Q113" i="32"/>
  <c r="Q114" i="32"/>
  <c r="Q115" i="32"/>
  <c r="Q116" i="32"/>
  <c r="Q117" i="32"/>
  <c r="Q118" i="32"/>
  <c r="Q119" i="32"/>
  <c r="Q121" i="32"/>
  <c r="Q122" i="32"/>
  <c r="Q124" i="32"/>
  <c r="Q125" i="32"/>
  <c r="Q126" i="32"/>
  <c r="Q127" i="32"/>
  <c r="Q128" i="32"/>
  <c r="Q129" i="32"/>
  <c r="Q130" i="32"/>
  <c r="Q131" i="32"/>
  <c r="Q132" i="32"/>
  <c r="Q133" i="32"/>
  <c r="Q134" i="32"/>
  <c r="Q135" i="32"/>
  <c r="Q136" i="32"/>
  <c r="Q137" i="32"/>
  <c r="Q138" i="32"/>
  <c r="Q139" i="32"/>
  <c r="Q140" i="32"/>
  <c r="Q141" i="32"/>
  <c r="Q142" i="32"/>
  <c r="I18" i="28"/>
  <c r="D24" i="18"/>
  <c r="D25" i="18"/>
  <c r="Z52" i="29"/>
  <c r="D49" i="18"/>
  <c r="D50" i="18"/>
  <c r="V40" i="16"/>
  <c r="W44" i="16" l="1"/>
  <c r="D112" i="14"/>
  <c r="Q11" i="31"/>
  <c r="C111" i="14" l="1"/>
  <c r="X44" i="18"/>
  <c r="X45" i="18"/>
  <c r="Q9" i="31" l="1"/>
  <c r="J238" i="13"/>
  <c r="K216" i="13"/>
  <c r="J216" i="13"/>
  <c r="K238" i="13"/>
  <c r="F46" i="26"/>
  <c r="F47" i="26"/>
  <c r="F52" i="26"/>
  <c r="F53" i="26"/>
  <c r="F54" i="26"/>
  <c r="F58" i="26"/>
  <c r="F59" i="26"/>
  <c r="F64" i="26"/>
  <c r="F65" i="26"/>
  <c r="F66" i="26"/>
  <c r="F71" i="26"/>
  <c r="F72" i="26"/>
  <c r="F73" i="26"/>
  <c r="F77" i="26"/>
  <c r="F78" i="26"/>
  <c r="F83" i="26"/>
  <c r="F85" i="26"/>
  <c r="F86" i="26"/>
  <c r="F87" i="26"/>
  <c r="F88" i="26"/>
  <c r="F89" i="26"/>
  <c r="F90" i="26"/>
  <c r="F91" i="26"/>
  <c r="F92" i="26"/>
  <c r="F93" i="26"/>
  <c r="F94" i="26"/>
  <c r="F95" i="26"/>
  <c r="F96" i="26"/>
  <c r="F97" i="26"/>
  <c r="F98" i="26"/>
  <c r="F99" i="26"/>
  <c r="F100" i="26"/>
  <c r="F101" i="26"/>
  <c r="F102" i="26"/>
  <c r="F103" i="26"/>
  <c r="F104" i="26"/>
  <c r="F106" i="26"/>
  <c r="F107" i="26"/>
  <c r="F108" i="26"/>
  <c r="F109" i="26"/>
  <c r="F110" i="26"/>
  <c r="F111" i="26"/>
  <c r="F112" i="26"/>
  <c r="F113" i="26"/>
  <c r="F114" i="26"/>
  <c r="F115" i="26"/>
  <c r="F116" i="26"/>
  <c r="F117" i="26"/>
  <c r="F118" i="26"/>
  <c r="F119" i="26"/>
  <c r="F120" i="26"/>
  <c r="F121" i="26"/>
  <c r="F122" i="26"/>
  <c r="F123" i="26"/>
  <c r="F124" i="26"/>
  <c r="F125" i="26"/>
  <c r="F44" i="26"/>
  <c r="F5" i="26"/>
  <c r="F11" i="26"/>
  <c r="F12" i="26"/>
  <c r="F13" i="26"/>
  <c r="F14" i="26"/>
  <c r="F15" i="26"/>
  <c r="F17" i="26"/>
  <c r="F23" i="26"/>
  <c r="F24" i="26"/>
  <c r="F25" i="26"/>
  <c r="F27" i="26"/>
  <c r="F28" i="26"/>
  <c r="F29" i="26"/>
  <c r="F36" i="26"/>
  <c r="F37" i="26"/>
  <c r="F38" i="26"/>
  <c r="F39" i="26"/>
  <c r="F40" i="26"/>
  <c r="F41" i="26"/>
  <c r="U237" i="13"/>
  <c r="T237" i="13"/>
  <c r="F42" i="26" s="1"/>
  <c r="T235" i="13"/>
  <c r="U235" i="13"/>
  <c r="F81" i="26" s="1"/>
  <c r="U234" i="13"/>
  <c r="F80" i="26" s="1"/>
  <c r="T234" i="13"/>
  <c r="U221" i="13"/>
  <c r="F67" i="26" s="1"/>
  <c r="T221" i="13"/>
  <c r="F26" i="26" s="1"/>
  <c r="T199" i="13"/>
  <c r="F4" i="26" s="1"/>
  <c r="U199" i="13"/>
  <c r="F45" i="26" s="1"/>
  <c r="T200" i="13"/>
  <c r="U200" i="13"/>
  <c r="T201" i="13"/>
  <c r="F6" i="26" s="1"/>
  <c r="U201" i="13"/>
  <c r="T202" i="13"/>
  <c r="F7" i="26" s="1"/>
  <c r="U202" i="13"/>
  <c r="F48" i="26" s="1"/>
  <c r="T203" i="13"/>
  <c r="F8" i="26" s="1"/>
  <c r="U203" i="13"/>
  <c r="F49" i="26" s="1"/>
  <c r="T205" i="13"/>
  <c r="F10" i="26" s="1"/>
  <c r="U205" i="13"/>
  <c r="F51" i="26" s="1"/>
  <c r="T206" i="13"/>
  <c r="U206" i="13"/>
  <c r="T207" i="13"/>
  <c r="U207" i="13"/>
  <c r="T208" i="13"/>
  <c r="U208" i="13"/>
  <c r="T209" i="13"/>
  <c r="U209" i="13"/>
  <c r="F55" i="26" s="1"/>
  <c r="T210" i="13"/>
  <c r="U210" i="13"/>
  <c r="F56" i="26" s="1"/>
  <c r="T211" i="13"/>
  <c r="F16" i="26" s="1"/>
  <c r="U211" i="13"/>
  <c r="F57" i="26" s="1"/>
  <c r="T212" i="13"/>
  <c r="U212" i="13"/>
  <c r="T213" i="13"/>
  <c r="F18" i="26" s="1"/>
  <c r="U213" i="13"/>
  <c r="T214" i="13"/>
  <c r="F19" i="26" s="1"/>
  <c r="U214" i="13"/>
  <c r="F60" i="26" s="1"/>
  <c r="T215" i="13"/>
  <c r="F20" i="26" s="1"/>
  <c r="U215" i="13"/>
  <c r="F61" i="26" s="1"/>
  <c r="T216" i="13"/>
  <c r="F21" i="26" s="1"/>
  <c r="U216" i="13"/>
  <c r="F62" i="26" s="1"/>
  <c r="T217" i="13"/>
  <c r="F22" i="26" s="1"/>
  <c r="U217" i="13"/>
  <c r="F63" i="26" s="1"/>
  <c r="T218" i="13"/>
  <c r="U218" i="13"/>
  <c r="T219" i="13"/>
  <c r="U219" i="13"/>
  <c r="T220" i="13"/>
  <c r="U220" i="13"/>
  <c r="T222" i="13"/>
  <c r="U222" i="13"/>
  <c r="F68" i="26" s="1"/>
  <c r="T223" i="13"/>
  <c r="U223" i="13"/>
  <c r="F69" i="26" s="1"/>
  <c r="T224" i="13"/>
  <c r="U224" i="13"/>
  <c r="F70" i="26" s="1"/>
  <c r="T225" i="13"/>
  <c r="F30" i="26" s="1"/>
  <c r="U225" i="13"/>
  <c r="T226" i="13"/>
  <c r="F31" i="26" s="1"/>
  <c r="U226" i="13"/>
  <c r="T227" i="13"/>
  <c r="F32" i="26" s="1"/>
  <c r="U227" i="13"/>
  <c r="T228" i="13"/>
  <c r="F33" i="26" s="1"/>
  <c r="U228" i="13"/>
  <c r="F74" i="26" s="1"/>
  <c r="T229" i="13"/>
  <c r="F34" i="26" s="1"/>
  <c r="U229" i="13"/>
  <c r="F75" i="26" s="1"/>
  <c r="T230" i="13"/>
  <c r="F35" i="26" s="1"/>
  <c r="U230" i="13"/>
  <c r="F76" i="26" s="1"/>
  <c r="T231" i="13"/>
  <c r="U231" i="13"/>
  <c r="T232" i="13"/>
  <c r="U232" i="13"/>
  <c r="T233" i="13"/>
  <c r="U233" i="13"/>
  <c r="F79" i="26" s="1"/>
  <c r="T236" i="13"/>
  <c r="U236" i="13"/>
  <c r="F82" i="26" s="1"/>
  <c r="U198" i="13"/>
  <c r="T198" i="13"/>
  <c r="F3"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D45" i="18" l="1"/>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B214" i="16"/>
  <c r="F160" i="27" s="1" a="1"/>
  <c r="F160" i="27" s="1"/>
  <c r="B231" i="16" l="1"/>
  <c r="V231" i="16" s="1"/>
  <c r="V214" i="16"/>
  <c r="N159" i="14"/>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L87" i="14"/>
  <c r="P102" i="14"/>
  <c r="G84" i="14" s="1"/>
  <c r="P101" i="14"/>
  <c r="G83" i="14" s="1"/>
  <c r="P100" i="14"/>
  <c r="G82" i="14" s="1"/>
  <c r="D109" i="14" l="1"/>
  <c r="C116" i="14"/>
  <c r="E72" i="14" l="1"/>
  <c r="C103" i="1" l="1"/>
  <c r="N19" i="20" l="1"/>
  <c r="U19" i="20"/>
  <c r="N15" i="20"/>
  <c r="U15" i="20"/>
  <c r="F44" i="25" l="1" a="1"/>
  <c r="F44" i="25" s="1"/>
  <c r="C47" i="24" l="1"/>
  <c r="J25" i="31"/>
  <c r="C26" i="31"/>
  <c r="C27" i="31" s="1"/>
  <c r="H192" i="16" l="1"/>
  <c r="H223" i="16" s="1"/>
  <c r="I9" i="28"/>
  <c r="I10" i="28"/>
  <c r="I11" i="28"/>
  <c r="I12" i="28"/>
  <c r="I13" i="28"/>
  <c r="I14" i="28"/>
  <c r="I15" i="28"/>
  <c r="I16" i="28"/>
  <c r="I17" i="28"/>
  <c r="I19" i="28"/>
  <c r="I20" i="28"/>
  <c r="I21" i="28"/>
  <c r="I8" i="28"/>
  <c r="E142" i="27" l="1"/>
  <c r="E141" i="27"/>
  <c r="F140" i="27"/>
  <c r="F133" i="27" a="1"/>
  <c r="D23" i="18"/>
  <c r="F133" i="27" l="1"/>
  <c r="C29" i="3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212" i="16"/>
  <c r="B229" i="16" l="1"/>
  <c r="O47" i="24"/>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U66" i="24" l="1"/>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H31" i="12" l="1"/>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B230" i="16" l="1"/>
  <c r="Y56" i="2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50" i="26" s="1"/>
  <c r="L26" i="13"/>
  <c r="K26" i="13"/>
  <c r="M20" i="13"/>
  <c r="T204" i="13" s="1"/>
  <c r="F9" i="26" s="1"/>
  <c r="D27" i="20"/>
  <c r="C27" i="20"/>
  <c r="R20" i="13" l="1"/>
  <c r="W20" i="13" s="1"/>
  <c r="S20" i="13"/>
  <c r="X20" i="13" s="1"/>
  <c r="M54" i="13"/>
  <c r="N54" i="13"/>
  <c r="R54" i="13" l="1"/>
  <c r="Z84" i="13"/>
  <c r="Z118" i="13" s="1"/>
  <c r="S54" i="13"/>
  <c r="AA84" i="13"/>
  <c r="AA118" i="13" s="1"/>
  <c r="C213" i="16"/>
  <c r="D213" i="16"/>
  <c r="D230" i="16" s="1"/>
  <c r="E213" i="16"/>
  <c r="E230" i="16" s="1"/>
  <c r="F213" i="16"/>
  <c r="F230" i="16" s="1"/>
  <c r="G213" i="16"/>
  <c r="G230" i="16" s="1"/>
  <c r="H213" i="16"/>
  <c r="H230" i="16" s="1"/>
  <c r="I213" i="16"/>
  <c r="I230" i="16" s="1"/>
  <c r="J213" i="16"/>
  <c r="J230" i="16" s="1"/>
  <c r="K213" i="16"/>
  <c r="K230" i="16" s="1"/>
  <c r="L213" i="16"/>
  <c r="L230" i="16" s="1"/>
  <c r="M213" i="16"/>
  <c r="M230" i="16" s="1"/>
  <c r="N213" i="16"/>
  <c r="N230" i="16" s="1"/>
  <c r="O213" i="16"/>
  <c r="O230" i="16" s="1"/>
  <c r="P213" i="16"/>
  <c r="P230" i="16" s="1"/>
  <c r="Q213" i="16"/>
  <c r="Q230" i="16" s="1"/>
  <c r="R213" i="16"/>
  <c r="R230" i="16" s="1"/>
  <c r="S213" i="16"/>
  <c r="S230" i="16" s="1"/>
  <c r="T213" i="16"/>
  <c r="T230" i="16" s="1"/>
  <c r="U213" i="16"/>
  <c r="U230" i="16" s="1"/>
  <c r="C212" i="16"/>
  <c r="D212" i="16"/>
  <c r="D229" i="16" s="1"/>
  <c r="E212" i="16"/>
  <c r="E229" i="16" s="1"/>
  <c r="F212" i="16"/>
  <c r="F229" i="16" s="1"/>
  <c r="G212" i="16"/>
  <c r="G229" i="16" s="1"/>
  <c r="H212" i="16"/>
  <c r="H229" i="16" s="1"/>
  <c r="I212" i="16"/>
  <c r="I229" i="16" s="1"/>
  <c r="J212" i="16"/>
  <c r="J229" i="16" s="1"/>
  <c r="K212" i="16"/>
  <c r="K229" i="16" s="1"/>
  <c r="L212" i="16"/>
  <c r="L229" i="16" s="1"/>
  <c r="M212" i="16"/>
  <c r="M229" i="16" s="1"/>
  <c r="N212" i="16"/>
  <c r="O212" i="16"/>
  <c r="O229" i="16" s="1"/>
  <c r="P212" i="16"/>
  <c r="P229" i="16" s="1"/>
  <c r="Q212" i="16"/>
  <c r="Q229" i="16" s="1"/>
  <c r="R212" i="16"/>
  <c r="R229" i="16" s="1"/>
  <c r="S212" i="16"/>
  <c r="S229" i="16" s="1"/>
  <c r="T212" i="16"/>
  <c r="T229" i="16" s="1"/>
  <c r="U212" i="16"/>
  <c r="U229" i="16" s="1"/>
  <c r="C229" i="16" l="1"/>
  <c r="V229" i="16" s="1"/>
  <c r="V212" i="16"/>
  <c r="C230" i="16"/>
  <c r="V230" i="16" s="1"/>
  <c r="V213" i="16"/>
  <c r="B175" i="16"/>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210" i="16"/>
  <c r="C210" i="16"/>
  <c r="C228" i="16" s="1"/>
  <c r="D210" i="16"/>
  <c r="D228" i="16" s="1"/>
  <c r="E210" i="16"/>
  <c r="E228" i="16" s="1"/>
  <c r="F210" i="16"/>
  <c r="F228" i="16" s="1"/>
  <c r="G210" i="16"/>
  <c r="G228" i="16" s="1"/>
  <c r="H210" i="16"/>
  <c r="H228" i="16" s="1"/>
  <c r="I210" i="16"/>
  <c r="I228" i="16" s="1"/>
  <c r="J210" i="16"/>
  <c r="J228" i="16" s="1"/>
  <c r="K210" i="16"/>
  <c r="K228" i="16" s="1"/>
  <c r="L210" i="16"/>
  <c r="L228" i="16" s="1"/>
  <c r="M210" i="16"/>
  <c r="M228" i="16" s="1"/>
  <c r="N210" i="16"/>
  <c r="N228" i="16" s="1"/>
  <c r="O210" i="16"/>
  <c r="O228" i="16" s="1"/>
  <c r="P210" i="16"/>
  <c r="P228" i="16" s="1"/>
  <c r="Q210" i="16"/>
  <c r="Q228" i="16" s="1"/>
  <c r="R210" i="16"/>
  <c r="R228" i="16" s="1"/>
  <c r="S210" i="16"/>
  <c r="S228" i="16" s="1"/>
  <c r="T210" i="16"/>
  <c r="T228" i="16" s="1"/>
  <c r="U210" i="16"/>
  <c r="U211" i="16"/>
  <c r="B192" i="16"/>
  <c r="C192" i="16"/>
  <c r="C223" i="16" s="1"/>
  <c r="D192" i="16"/>
  <c r="D223" i="16" s="1"/>
  <c r="E192" i="16"/>
  <c r="E223" i="16" s="1"/>
  <c r="F192" i="16"/>
  <c r="F223" i="16" s="1"/>
  <c r="G192" i="16"/>
  <c r="G223" i="16" s="1"/>
  <c r="I192" i="16"/>
  <c r="I223" i="16" s="1"/>
  <c r="J192" i="16"/>
  <c r="J223" i="16" s="1"/>
  <c r="K192" i="16"/>
  <c r="K223" i="16" s="1"/>
  <c r="L192" i="16"/>
  <c r="L223" i="16" s="1"/>
  <c r="M192" i="16"/>
  <c r="M223" i="16" s="1"/>
  <c r="N192" i="16"/>
  <c r="N223" i="16" s="1"/>
  <c r="O192" i="16"/>
  <c r="O223" i="16" s="1"/>
  <c r="P192" i="16"/>
  <c r="P223" i="16" s="1"/>
  <c r="Q192" i="16"/>
  <c r="Q223" i="16" s="1"/>
  <c r="R192" i="16"/>
  <c r="R223" i="16" s="1"/>
  <c r="S192" i="16"/>
  <c r="S223" i="16" s="1"/>
  <c r="T192" i="16"/>
  <c r="T223" i="16" s="1"/>
  <c r="U192" i="16"/>
  <c r="U223" i="16" s="1"/>
  <c r="B193" i="16"/>
  <c r="C193" i="16"/>
  <c r="D193" i="16"/>
  <c r="E193" i="16"/>
  <c r="F193" i="16"/>
  <c r="G193" i="16"/>
  <c r="H193" i="16"/>
  <c r="I193" i="16"/>
  <c r="J193" i="16"/>
  <c r="K193" i="16"/>
  <c r="L193" i="16"/>
  <c r="M193" i="16"/>
  <c r="N193" i="16"/>
  <c r="O193" i="16"/>
  <c r="P193" i="16"/>
  <c r="Q193" i="16"/>
  <c r="R193" i="16"/>
  <c r="S193" i="16"/>
  <c r="T193" i="16"/>
  <c r="U193" i="16"/>
  <c r="B194" i="16"/>
  <c r="C194" i="16"/>
  <c r="D194" i="16"/>
  <c r="E194" i="16"/>
  <c r="F194" i="16"/>
  <c r="G194" i="16"/>
  <c r="H194" i="16"/>
  <c r="I194" i="16"/>
  <c r="J194" i="16"/>
  <c r="K194" i="16"/>
  <c r="L194" i="16"/>
  <c r="M194" i="16"/>
  <c r="N194" i="16"/>
  <c r="O194" i="16"/>
  <c r="P194" i="16"/>
  <c r="Q194" i="16"/>
  <c r="R194" i="16"/>
  <c r="S194" i="16"/>
  <c r="T194" i="16"/>
  <c r="U194" i="16"/>
  <c r="B195" i="16"/>
  <c r="C195" i="16"/>
  <c r="D195" i="16"/>
  <c r="E195" i="16"/>
  <c r="F195" i="16"/>
  <c r="G195" i="16"/>
  <c r="H195" i="16"/>
  <c r="I195" i="16"/>
  <c r="J195" i="16"/>
  <c r="K195" i="16"/>
  <c r="L195" i="16"/>
  <c r="M195" i="16"/>
  <c r="N195" i="16"/>
  <c r="O195" i="16"/>
  <c r="P195" i="16"/>
  <c r="Q195" i="16"/>
  <c r="R195" i="16"/>
  <c r="S195" i="16"/>
  <c r="T195" i="16"/>
  <c r="U195" i="16"/>
  <c r="B196" i="16"/>
  <c r="C196" i="16"/>
  <c r="D196" i="16"/>
  <c r="E196" i="16"/>
  <c r="F196" i="16"/>
  <c r="G196" i="16"/>
  <c r="H196" i="16"/>
  <c r="I196" i="16"/>
  <c r="J196" i="16"/>
  <c r="K196" i="16"/>
  <c r="L196" i="16"/>
  <c r="M196" i="16"/>
  <c r="N196" i="16"/>
  <c r="O196" i="16"/>
  <c r="P196" i="16"/>
  <c r="Q196" i="16"/>
  <c r="R196" i="16"/>
  <c r="S196" i="16"/>
  <c r="T196" i="16"/>
  <c r="U196" i="16"/>
  <c r="B197" i="16"/>
  <c r="C197" i="16"/>
  <c r="D197" i="16"/>
  <c r="E197" i="16"/>
  <c r="F197" i="16"/>
  <c r="G197" i="16"/>
  <c r="H197" i="16"/>
  <c r="I197" i="16"/>
  <c r="J197" i="16"/>
  <c r="K197" i="16"/>
  <c r="L197" i="16"/>
  <c r="M197" i="16"/>
  <c r="N197" i="16"/>
  <c r="O197" i="16"/>
  <c r="P197" i="16"/>
  <c r="Q197" i="16"/>
  <c r="R197" i="16"/>
  <c r="S197" i="16"/>
  <c r="T197" i="16"/>
  <c r="U197" i="16"/>
  <c r="B198" i="16"/>
  <c r="C198" i="16"/>
  <c r="D198" i="16"/>
  <c r="E198" i="16"/>
  <c r="F198" i="16"/>
  <c r="G198" i="16"/>
  <c r="G225" i="16" s="1"/>
  <c r="H198" i="16"/>
  <c r="I198" i="16"/>
  <c r="J198" i="16"/>
  <c r="K198" i="16"/>
  <c r="L198" i="16"/>
  <c r="M198" i="16"/>
  <c r="N198" i="16"/>
  <c r="O198" i="16"/>
  <c r="P198" i="16"/>
  <c r="Q198" i="16"/>
  <c r="R198" i="16"/>
  <c r="S198" i="16"/>
  <c r="S225" i="16" s="1"/>
  <c r="T198" i="16"/>
  <c r="U198" i="16"/>
  <c r="B199" i="16"/>
  <c r="C199" i="16"/>
  <c r="D199" i="16"/>
  <c r="E199" i="16"/>
  <c r="F199" i="16"/>
  <c r="G199" i="16"/>
  <c r="H199" i="16"/>
  <c r="I199" i="16"/>
  <c r="J199" i="16"/>
  <c r="K199" i="16"/>
  <c r="L199" i="16"/>
  <c r="M199" i="16"/>
  <c r="N199" i="16"/>
  <c r="O199" i="16"/>
  <c r="P199" i="16"/>
  <c r="Q199" i="16"/>
  <c r="R199" i="16"/>
  <c r="S199" i="16"/>
  <c r="T199" i="16"/>
  <c r="U199" i="16"/>
  <c r="B200" i="16"/>
  <c r="C200" i="16"/>
  <c r="D200" i="16"/>
  <c r="E200" i="16"/>
  <c r="F200" i="16"/>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3" i="16"/>
  <c r="C203" i="16"/>
  <c r="D203" i="16"/>
  <c r="E203" i="16"/>
  <c r="F203" i="16"/>
  <c r="G203" i="16"/>
  <c r="H203" i="16"/>
  <c r="I203" i="16"/>
  <c r="J203" i="16"/>
  <c r="K203" i="16"/>
  <c r="L203" i="16"/>
  <c r="M203" i="16"/>
  <c r="N203" i="16"/>
  <c r="O203" i="16"/>
  <c r="P203" i="16"/>
  <c r="Q203" i="16"/>
  <c r="R203" i="16"/>
  <c r="S203" i="16"/>
  <c r="T203" i="16"/>
  <c r="U203" i="16"/>
  <c r="V134" i="16"/>
  <c r="V130" i="16"/>
  <c r="B209" i="16"/>
  <c r="C209" i="16"/>
  <c r="D209" i="16"/>
  <c r="E209" i="16"/>
  <c r="F209" i="16"/>
  <c r="G209" i="16"/>
  <c r="H209" i="16"/>
  <c r="I209" i="16"/>
  <c r="J209" i="16"/>
  <c r="K209" i="16"/>
  <c r="L209" i="16"/>
  <c r="M209" i="16"/>
  <c r="N209" i="16"/>
  <c r="O209" i="16"/>
  <c r="P209" i="16"/>
  <c r="Q209" i="16"/>
  <c r="R209" i="16"/>
  <c r="S209" i="16"/>
  <c r="T209" i="16"/>
  <c r="U209" i="16"/>
  <c r="B208" i="16"/>
  <c r="C208" i="16"/>
  <c r="D208" i="16"/>
  <c r="E208" i="16"/>
  <c r="F208" i="16"/>
  <c r="G208" i="16"/>
  <c r="H208" i="16"/>
  <c r="I208" i="16"/>
  <c r="J208" i="16"/>
  <c r="K208" i="16"/>
  <c r="L208" i="16"/>
  <c r="M208" i="16"/>
  <c r="N208" i="16"/>
  <c r="O208" i="16"/>
  <c r="P208" i="16"/>
  <c r="Q208" i="16"/>
  <c r="R208" i="16"/>
  <c r="S208" i="16"/>
  <c r="T208" i="16"/>
  <c r="U208" i="16"/>
  <c r="I227" i="16" l="1"/>
  <c r="J227" i="16"/>
  <c r="O227" i="16"/>
  <c r="R225" i="16"/>
  <c r="F225" i="16"/>
  <c r="L227" i="16"/>
  <c r="H227" i="16"/>
  <c r="G227" i="16"/>
  <c r="O226" i="16"/>
  <c r="C226" i="16"/>
  <c r="N227" i="16"/>
  <c r="B227" i="16"/>
  <c r="N226" i="16"/>
  <c r="B226" i="16"/>
  <c r="M227" i="16"/>
  <c r="M226" i="16"/>
  <c r="Q225" i="16"/>
  <c r="E225" i="16"/>
  <c r="K227" i="16"/>
  <c r="U227" i="16"/>
  <c r="T227" i="16"/>
  <c r="S227" i="16"/>
  <c r="R227" i="16"/>
  <c r="F227" i="16"/>
  <c r="Q227" i="16"/>
  <c r="E227" i="16"/>
  <c r="P227" i="16"/>
  <c r="C227" i="16"/>
  <c r="D227" i="16"/>
  <c r="P225" i="16"/>
  <c r="D225" i="16"/>
  <c r="P226" i="16"/>
  <c r="D226" i="16"/>
  <c r="L226" i="16"/>
  <c r="K226" i="16"/>
  <c r="J226" i="16"/>
  <c r="U226" i="16"/>
  <c r="I226" i="16"/>
  <c r="T226" i="16"/>
  <c r="H226" i="16"/>
  <c r="L225" i="16"/>
  <c r="S226" i="16"/>
  <c r="G226" i="16"/>
  <c r="R226" i="16"/>
  <c r="F226" i="16"/>
  <c r="Q226" i="16"/>
  <c r="E226" i="16"/>
  <c r="O225" i="16"/>
  <c r="C225" i="16"/>
  <c r="V192" i="16"/>
  <c r="N225" i="16"/>
  <c r="M225" i="16"/>
  <c r="V207" i="16"/>
  <c r="V204" i="16"/>
  <c r="V197" i="16"/>
  <c r="V194" i="16"/>
  <c r="B228" i="16"/>
  <c r="V210" i="16"/>
  <c r="I224" i="16"/>
  <c r="T224" i="16"/>
  <c r="V211" i="16"/>
  <c r="Q224" i="16"/>
  <c r="D224" i="16"/>
  <c r="K225" i="16"/>
  <c r="O224" i="16"/>
  <c r="C224" i="16"/>
  <c r="K224" i="16"/>
  <c r="H224" i="16"/>
  <c r="S224" i="16"/>
  <c r="B223" i="16"/>
  <c r="V223" i="16" s="1"/>
  <c r="V205" i="16"/>
  <c r="R224" i="16"/>
  <c r="E224" i="16"/>
  <c r="P224" i="16"/>
  <c r="V206" i="16"/>
  <c r="V202" i="16"/>
  <c r="V199" i="16"/>
  <c r="J225" i="16"/>
  <c r="V196" i="16"/>
  <c r="N224" i="16"/>
  <c r="B224" i="16"/>
  <c r="V193" i="16"/>
  <c r="V200" i="16"/>
  <c r="J224" i="16"/>
  <c r="V203" i="16"/>
  <c r="B225" i="16"/>
  <c r="V198" i="16"/>
  <c r="F224" i="16"/>
  <c r="F72" i="27" s="1"/>
  <c r="U225" i="16"/>
  <c r="I225" i="16"/>
  <c r="M224" i="16"/>
  <c r="U224" i="16"/>
  <c r="G224" i="16"/>
  <c r="V201" i="16"/>
  <c r="V195" i="16"/>
  <c r="U228" i="16"/>
  <c r="V209" i="16"/>
  <c r="V208" i="16"/>
  <c r="T225" i="16"/>
  <c r="H225" i="16"/>
  <c r="L224" i="16"/>
  <c r="F59" i="27" a="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46" i="16"/>
  <c r="L84" i="14" s="1"/>
  <c r="F66" i="27" l="1" a="1"/>
  <c r="F66" i="27"/>
  <c r="F78" i="27" a="1"/>
  <c r="F88" i="27" a="1"/>
  <c r="F73" i="27" a="1"/>
  <c r="V228" i="16"/>
  <c r="V225" i="16"/>
  <c r="W214" i="16"/>
  <c r="W215" i="16" s="1"/>
  <c r="V226" i="16"/>
  <c r="V227" i="16"/>
  <c r="V224" i="16"/>
  <c r="F59" i="27"/>
  <c r="D108" i="14"/>
  <c r="C108" i="14"/>
  <c r="C113" i="14"/>
  <c r="V166" i="16"/>
  <c r="V178" i="16" s="1"/>
  <c r="Q158" i="16"/>
  <c r="N158" i="16"/>
  <c r="F73" i="27" l="1"/>
  <c r="F88" i="27"/>
  <c r="F78" i="27"/>
  <c r="C114" i="14"/>
  <c r="V34" i="16"/>
  <c r="S24" i="16" l="1"/>
  <c r="B189" i="16" s="1"/>
  <c r="B220" i="16" l="1"/>
  <c r="D26" i="18"/>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101" i="27" a="1"/>
  <c r="F117" i="27" a="1"/>
  <c r="R91" i="12"/>
  <c r="R95" i="12" s="1"/>
  <c r="R88" i="12"/>
  <c r="F117" i="27" l="1"/>
  <c r="E101" i="27"/>
  <c r="B84" i="12"/>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S222" i="16" s="1"/>
  <c r="AK26" i="16"/>
  <c r="T191" i="16" s="1"/>
  <c r="T222" i="16" s="1"/>
  <c r="AL26" i="16"/>
  <c r="U191" i="16" s="1"/>
  <c r="U222" i="16" s="1"/>
  <c r="AK25" i="16"/>
  <c r="T190" i="16" s="1"/>
  <c r="T221" i="16" s="1"/>
  <c r="AL25" i="16"/>
  <c r="U190" i="16" s="1"/>
  <c r="U221" i="16" s="1"/>
  <c r="AJ25" i="16"/>
  <c r="S190" i="16" s="1"/>
  <c r="S221" i="16" s="1"/>
  <c r="AK24" i="16"/>
  <c r="T189" i="16" s="1"/>
  <c r="T220" i="16" s="1"/>
  <c r="AL24" i="16"/>
  <c r="U189" i="16" s="1"/>
  <c r="U220" i="16" s="1"/>
  <c r="AJ24" i="16"/>
  <c r="S189" i="16" s="1"/>
  <c r="S220" i="16" s="1"/>
  <c r="AF26" i="16"/>
  <c r="O191" i="16" s="1"/>
  <c r="O222" i="16" s="1"/>
  <c r="AF25" i="16"/>
  <c r="O190" i="16" s="1"/>
  <c r="O221" i="16" s="1"/>
  <c r="AF24" i="16"/>
  <c r="O189" i="16" s="1"/>
  <c r="O220" i="16" s="1"/>
  <c r="S26" i="16"/>
  <c r="B191" i="16" s="1"/>
  <c r="T26" i="16"/>
  <c r="C191" i="16" s="1"/>
  <c r="C222" i="16" s="1"/>
  <c r="U26" i="16"/>
  <c r="D191" i="16" s="1"/>
  <c r="D222" i="16" s="1"/>
  <c r="V26" i="16"/>
  <c r="E191" i="16" s="1"/>
  <c r="E222" i="16" s="1"/>
  <c r="W26" i="16"/>
  <c r="F191" i="16" s="1"/>
  <c r="F222" i="16" s="1"/>
  <c r="X26" i="16"/>
  <c r="G191" i="16" s="1"/>
  <c r="G222" i="16" s="1"/>
  <c r="Y26" i="16"/>
  <c r="H191" i="16" s="1"/>
  <c r="H222" i="16" s="1"/>
  <c r="T25" i="16"/>
  <c r="C190" i="16" s="1"/>
  <c r="C221" i="16" s="1"/>
  <c r="U25" i="16"/>
  <c r="D190" i="16" s="1"/>
  <c r="D221" i="16" s="1"/>
  <c r="V25" i="16"/>
  <c r="E190" i="16" s="1"/>
  <c r="E221" i="16" s="1"/>
  <c r="W25" i="16"/>
  <c r="F190" i="16" s="1"/>
  <c r="F221" i="16" s="1"/>
  <c r="X25" i="16"/>
  <c r="G190" i="16" s="1"/>
  <c r="G221" i="16" s="1"/>
  <c r="Y25" i="16"/>
  <c r="H190" i="16" s="1"/>
  <c r="H221" i="16" s="1"/>
  <c r="S25" i="16"/>
  <c r="B190" i="16" s="1"/>
  <c r="T24" i="16"/>
  <c r="C189" i="16" s="1"/>
  <c r="U24" i="16"/>
  <c r="D189" i="16" s="1"/>
  <c r="D220" i="16" s="1"/>
  <c r="V24" i="16"/>
  <c r="E189" i="16" s="1"/>
  <c r="E220" i="16" s="1"/>
  <c r="W24" i="16"/>
  <c r="F189" i="16" s="1"/>
  <c r="F220" i="16" s="1"/>
  <c r="X24" i="16"/>
  <c r="G189" i="16" s="1"/>
  <c r="G220" i="16" s="1"/>
  <c r="Y24" i="16"/>
  <c r="H189" i="16" s="1"/>
  <c r="H220" i="16" s="1"/>
  <c r="B221" i="16" l="1"/>
  <c r="B222" i="16"/>
  <c r="C220" i="16"/>
  <c r="X23" i="18"/>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M222" i="16" s="1"/>
  <c r="AF17" i="16"/>
  <c r="AH25" i="16" s="1"/>
  <c r="Q190" i="16" s="1"/>
  <c r="Q221" i="16" s="1"/>
  <c r="AB17" i="16"/>
  <c r="AE25" i="16" s="1"/>
  <c r="N190" i="16" s="1"/>
  <c r="N221" i="16" s="1"/>
  <c r="AF14" i="16"/>
  <c r="AG24" i="16" s="1"/>
  <c r="P189" i="16" s="1"/>
  <c r="P220" i="16" s="1"/>
  <c r="Y17" i="16"/>
  <c r="AC25" i="16" s="1"/>
  <c r="L190" i="16" s="1"/>
  <c r="L221" i="16" s="1"/>
  <c r="AH26" i="16"/>
  <c r="Q191" i="16" s="1"/>
  <c r="Q222" i="16" s="1"/>
  <c r="AI26" i="16"/>
  <c r="R191" i="16" s="1"/>
  <c r="R222" i="16" s="1"/>
  <c r="AG26" i="16"/>
  <c r="P191" i="16" s="1"/>
  <c r="P222" i="16" s="1"/>
  <c r="AA26" i="16"/>
  <c r="J191" i="16" s="1"/>
  <c r="J222" i="16" s="1"/>
  <c r="AB26" i="16"/>
  <c r="K191" i="16" s="1"/>
  <c r="K222" i="16" s="1"/>
  <c r="AC26" i="16"/>
  <c r="L191" i="16" s="1"/>
  <c r="L222" i="16" s="1"/>
  <c r="Z26" i="16"/>
  <c r="I191" i="16" s="1"/>
  <c r="AB14" i="16"/>
  <c r="AE24" i="16" s="1"/>
  <c r="N189" i="16" s="1"/>
  <c r="N220" i="16" s="1"/>
  <c r="Y14" i="16"/>
  <c r="AA24" i="16" s="1"/>
  <c r="J189" i="16" s="1"/>
  <c r="J220" i="16" s="1"/>
  <c r="I222" i="16" l="1"/>
  <c r="AI25" i="16"/>
  <c r="R190" i="16" s="1"/>
  <c r="R221" i="16" s="1"/>
  <c r="AE26" i="16"/>
  <c r="N191" i="16" s="1"/>
  <c r="Z25" i="16"/>
  <c r="I190" i="16" s="1"/>
  <c r="AG25" i="16"/>
  <c r="P190" i="16" s="1"/>
  <c r="P221" i="16" s="1"/>
  <c r="Z24" i="16"/>
  <c r="I189" i="16" s="1"/>
  <c r="AH24" i="16"/>
  <c r="Q189" i="16" s="1"/>
  <c r="Q220" i="16" s="1"/>
  <c r="AD25" i="16"/>
  <c r="M190" i="16" s="1"/>
  <c r="M221" i="16" s="1"/>
  <c r="AC24" i="16"/>
  <c r="L189" i="16" s="1"/>
  <c r="L220" i="16" s="1"/>
  <c r="AB25" i="16"/>
  <c r="K190" i="16" s="1"/>
  <c r="K221" i="16" s="1"/>
  <c r="AI24" i="16"/>
  <c r="R189" i="16" s="1"/>
  <c r="R220" i="16" s="1"/>
  <c r="AA25" i="16"/>
  <c r="J190" i="16" s="1"/>
  <c r="J221" i="16" s="1"/>
  <c r="AD24" i="16"/>
  <c r="M189" i="16" s="1"/>
  <c r="M220" i="16" s="1"/>
  <c r="AB24" i="16"/>
  <c r="K189" i="16" s="1"/>
  <c r="K220" i="16" s="1"/>
  <c r="P7" i="16"/>
  <c r="I220" i="16" l="1"/>
  <c r="V220" i="16" s="1"/>
  <c r="V189" i="16"/>
  <c r="I221" i="16"/>
  <c r="V221" i="16" s="1"/>
  <c r="V190" i="16"/>
  <c r="F41" i="27" a="1"/>
  <c r="N222" i="16"/>
  <c r="V222" i="16" s="1"/>
  <c r="V191" i="16"/>
  <c r="F3" i="27" a="1"/>
  <c r="F21" i="27" a="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F41" i="27" l="1"/>
  <c r="V215" i="16"/>
  <c r="W191" i="16"/>
  <c r="V232" i="16"/>
  <c r="F21" i="27"/>
  <c r="F3" i="27"/>
  <c r="U21" i="18"/>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tc={E666B4BD-3885-40F1-B618-93C89EFF3640}</author>
    <author>tc={54AA0C83-8071-467E-899E-8DFC113C3890}</author>
  </authors>
  <commentList>
    <comment ref="F71" authorId="0" shapeId="0" xr:uid="{E666B4BD-3885-40F1-B618-93C89EFF3640}">
      <text>
        <t>[Threaded comment]
Your version of Excel allows you to read this threaded comment; however, any edits to it will get removed if the file is opened in a newer version of Excel. Learn more: https://go.microsoft.com/fwlink/?linkid=870924
Comment:
    According to balticData.xlsx this unit should be removed</t>
      </text>
    </comment>
    <comment ref="F133" authorId="1" shapeId="0" xr:uid="{54AA0C83-8071-467E-899E-8DFC113C3890}">
      <text>
        <t>[Threaded comment]
Your version of Excel allows you to read this threaded comment; however, any edits to it will get removed if the file is opened in a newer version of Excel. Learn more: https://go.microsoft.com/fwlink/?linkid=870924
Comment:
    DR values are moved from additional-units-conventional.xlsx</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tc={0167B50E-DC83-4AD3-8497-7DC30F2D9686}</author>
  </authors>
  <commentList>
    <comment ref="Q123" authorId="0" shapeId="0" xr:uid="{0167B50E-DC83-4AD3-8497-7DC30F2D9686}">
      <text>
        <t>[Threaded comment]
Your version of Excel allows you to read this threaded comment; however, any edits to it will get removed if the file is opened in a newer version of Excel. Learn more: https://go.microsoft.com/fwlink/?linkid=870924
Comment:
    Remove manually as one output is smaller than 10MW.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tc={F2408BFD-CBD3-48FB-8213-844E8BFC397E}</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 ref="N229" authorId="9" shapeId="0" xr:uid="{F2408BFD-CBD3-48FB-8213-844E8BFC397E}">
      <text>
        <t>[Threaded comment]
Your version of Excel allows you to read this threaded comment; however, any edits to it will get removed if the file is opened in a newer version of Excel. Learn more: https://go.microsoft.com/fwlink/?linkid=870924
Comment:
    Unit bellow 10MW removed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<sst xmlns="http://schemas.openxmlformats.org/spreadsheetml/2006/main" count="6984" uniqueCount="986">
  <si>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</si>
  <si>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</si>
  <si>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</si>
  <si>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</si>
  <si>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</si>
  <si>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</si>
  <si>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</si>
  <si>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</si>
  <si>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</si>
  <si>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</si>
  <si>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</si>
  <si>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</si>
  <si>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</si>
  <si>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</si>
  <si>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</si>
  <si>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</si>
  <si>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</si>
  <si>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</si>
  <si>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</si>
  <si>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</si>
  <si>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</si>
  <si>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</si>
  <si>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</si>
  <si>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</si>
  <si>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</si>
  <si>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</si>
  <si>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</si>
  <si>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</si>
  <si>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</si>
  <si>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</si>
  <si>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</si>
  <si>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</si>
  <si>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</si>
  <si>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</si>
  <si>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</si>
  <si>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</si>
  <si>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</si>
  <si>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</si>
  <si>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</si>
  <si>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</si>
  <si>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</si>
  <si>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</si>
  <si>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</si>
  <si>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</si>
  <si>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</si>
  <si>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</si>
  <si>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</si>
  <si>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</si>
  <si>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</si>
  <si>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</si>
  <si>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</si>
  <si>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</si>
  <si>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</si>
  <si>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</si>
  <si>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</si>
  <si>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</si>
  <si>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</si>
  <si>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</si>
  <si>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</si>
  <si>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</si>
  <si>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</si>
  <si>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</si>
  <si>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</si>
  <si>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</si>
  <si>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</si>
  <si>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</si>
  <si>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</si>
  <si>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</si>
  <si>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</si>
  <si>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</si>
  <si>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</si>
  <si>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</si>
  <si>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</si>
  <si>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</si>
  <si>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</si>
  <si>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</si>
  <si>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</si>
  <si>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</si>
  <si>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</si>
  <si>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</si>
  <si>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</si>
  <si>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</si>
  <si>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</si>
  <si>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</si>
  <si>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</si>
  <si>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</si>
  <si>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</si>
  <si>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</si>
  <si>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</si>
  <si>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</si>
  <si>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</si>
  <si>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</si>
  <si>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</si>
  <si>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</si>
  <si>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</si>
  <si>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</si>
  <si>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</si>
  <si>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</si>
  <si>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</si>
  <si>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</si>
  <si>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</si>
  <si>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</si>
  <si>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</si>
  <si>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</si>
  <si>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</si>
  <si>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</si>
  <si>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</si>
  <si>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</si>
  <si>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</si>
  <si>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</si>
  <si>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</si>
  <si>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</si>
  <si>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</si>
  <si>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</si>
  <si>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</si>
  <si>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</si>
  <si>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</si>
  <si>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</si>
  <si>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</si>
  <si>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</si>
  <si>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</si>
  <si>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</si>
  <si>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</si>
  <si>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</si>
  <si>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</si>
  <si>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</si>
  <si>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</si>
  <si>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</si>
  <si>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</si>
  <si>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</si>
  <si>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</si>
  <si>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</si>
  <si>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</si>
  <si>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</si>
  <si>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</si>
  <si>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</si>
  <si>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</si>
  <si>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</si>
  <si>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</si>
  <si>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</si>
  <si>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</si>
  <si>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</si>
  <si>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</si>
  <si>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</si>
  <si>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</si>
  <si>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</si>
  <si>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</si>
  <si>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</si>
  <si>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</si>
  <si>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</si>
  <si>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</si>
  <si>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</si>
  <si>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</si>
  <si>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</si>
  <si>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</si>
  <si>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</si>
  <si>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</si>
  <si>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</si>
  <si>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</si>
  <si>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</si>
  <si>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</si>
  <si>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</si>
  <si>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</si>
  <si>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</si>
  <si>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</si>
  <si>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</si>
  <si>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</si>
  <si>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</si>
  <si>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</si>
  <si>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</si>
  <si>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</si>
  <si>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</si>
  <si>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</si>
  <si>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</si>
  <si>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</si>
  <si>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</si>
  <si>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</si>
  <si>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</si>
  <si>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</si>
  <si>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</si>
  <si>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</si>
  <si>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</si>
  <si>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</si>
  <si>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</si>
  <si>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</si>
  <si>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</si>
  <si>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</si>
  <si>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</si>
  <si>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</si>
  <si>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</si>
  <si>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</si>
  <si>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</si>
  <si>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</si>
  <si>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</si>
  <si>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</si>
  <si>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</si>
  <si>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</si>
  <si>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</si>
  <si>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</si>
  <si>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</si>
  <si>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</si>
  <si>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</si>
  <si>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</si>
  <si>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</si>
  <si>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</si>
  <si>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</si>
  <si>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</si>
  <si>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</si>
  <si>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</si>
  <si>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</si>
  <si>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</si>
  <si>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</si>
  <si>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</si>
  <si>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</si>
  <si>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</si>
  <si>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</si>
  <si>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</si>
  <si>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</si>
  <si>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</si>
  <si>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</si>
  <si>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</si>
  <si>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</si>
  <si>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</si>
  <si>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</si>
  <si>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</si>
  <si>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</si>
  <si>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</si>
  <si>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</si>
  <si>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</si>
  <si>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</si>
  <si>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</si>
  <si>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</si>
  <si>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</si>
  <si>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</si>
  <si>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</si>
  <si>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</si>
  <si>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</si>
  <si>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</si>
  <si>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</si>
  <si>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</si>
  <si>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</si>
  <si>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</si>
  <si>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</si>
  <si>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</si>
  <si>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</si>
  <si>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</si>
  <si>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</si>
  <si>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</si>
  <si>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</si>
  <si>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</si>
  <si>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</si>
  <si>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</si>
  <si>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</si>
  <si>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</si>
  <si>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</si>
  <si>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</si>
  <si>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</si>
  <si>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</si>
  <si>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</si>
  <si>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</si>
  <si>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</si>
  <si>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</si>
  <si>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</si>
  <si>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</si>
  <si>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</si>
  <si>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</si>
  <si>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</si>
  <si>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</si>
  <si>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</si>
  <si>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</si>
  <si>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</si>
  <si>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</si>
  <si>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</si>
  <si>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</si>
  <si>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</si>
  <si>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</si>
  <si>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</si>
  <si>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</si>
  <si>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</si>
  <si>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</si>
  <si>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</si>
  <si>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</si>
  <si>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</si>
  <si>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</si>
  <si>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</si>
  <si>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</si>
  <si>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</si>
  <si>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</si>
  <si>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</si>
  <si>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</si>
  <si>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</si>
  <si>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</si>
  <si>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</si>
  <si>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</si>
  <si>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</si>
  <si>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</si>
  <si>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</si>
  <si>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</si>
  <si>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</si>
  <si>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</si>
  <si>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</si>
  <si>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</si>
  <si>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</si>
  <si>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</si>
  <si>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</si>
  <si>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</si>
  <si>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</si>
  <si>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</si>
  <si>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</si>
  <si>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</si>
  <si>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</si>
  <si>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</si>
  <si>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</si>
  <si>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</si>
  <si>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</si>
  <si>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</si>
  <si>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</si>
  <si>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</si>
  <si>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</si>
  <si>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</si>
  <si>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</si>
  <si>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</si>
  <si>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</si>
  <si>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</si>
  <si>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</si>
  <si>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</si>
  <si>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</si>
  <si>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</si>
  <si>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</si>
  <si>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</si>
  <si>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</si>
  <si>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</si>
  <si>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</si>
  <si>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</si>
  <si>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</si>
  <si>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</si>
  <si>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</si>
  <si>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</si>
  <si>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</si>
  <si>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</si>
  <si>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</si>
  <si>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</si>
  <si>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</si>
  <si>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</si>
  <si>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</si>
  <si>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</si>
  <si>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</si>
  <si>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</si>
  <si>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</si>
  <si>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</si>
  <si>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</si>
  <si>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</si>
  <si>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</si>
  <si>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</si>
  <si>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</si>
  <si>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</si>
  <si>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</si>
  <si>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</si>
  <si>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</si>
  <si>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</si>
  <si>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</si>
  <si>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</si>
  <si>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</si>
  <si>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</si>
  <si>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</si>
  <si>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</si>
  <si>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</si>
  <si>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</si>
  <si>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</si>
  <si>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</si>
  <si>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</si>
  <si>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</si>
  <si>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</si>
  <si>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</si>
  <si>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</si>
  <si>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</si>
  <si>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</si>
  <si>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</si>
  <si>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</si>
  <si>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</si>
  <si>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</si>
  <si>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</si>
  <si>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</si>
  <si>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</si>
  <si>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</si>
  <si>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</si>
  <si>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</si>
  <si>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</si>
  <si>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</si>
  <si>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</si>
  <si>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</si>
  <si>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</si>
  <si>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</si>
  <si>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</si>
  <si>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</si>
  <si>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</si>
  <si>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</si>
  <si>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</si>
  <si>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</si>
  <si>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</si>
  <si>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</si>
  <si>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</si>
  <si>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</si>
  <si>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</si>
  <si>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</si>
  <si>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</si>
  <si>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</si>
  <si>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</si>
  <si>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</si>
  <si>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</si>
  <si>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</si>
  <si>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</si>
  <si>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</si>
  <si>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</si>
  <si>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</si>
  <si>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</si>
  <si>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</si>
  <si>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</si>
  <si>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</si>
  <si>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</si>
  <si>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</si>
  <si>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</si>
  <si>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</si>
  <si>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</si>
  <si>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</si>
  <si>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</si>
  <si>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</si>
  <si>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</si>
  <si>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</si>
  <si>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</si>
  <si>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</si>
  <si>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</si>
  <si>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</si>
  <si>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</si>
  <si>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</si>
  <si>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</si>
  <si>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</si>
  <si>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</si>
  <si>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</si>
  <si>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</si>
  <si>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</si>
  <si>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</si>
  <si>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</si>
  <si>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</si>
  <si>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</si>
  <si>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</si>
  <si>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</si>
  <si>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</si>
  <si>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</si>
  <si>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</si>
  <si>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</si>
  <si>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</si>
  <si>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</si>
  <si>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</si>
  <si>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</si>
  <si>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</si>
  <si>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</si>
  <si>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</si>
  <si>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</si>
  <si>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</si>
  <si>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</si>
  <si>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</si>
  <si>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</si>
  <si>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</si>
  <si>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</si>
  <si>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</si>
  <si>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</si>
  <si>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</si>
  <si>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</si>
  <si>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</si>
  <si>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</si>
  <si>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</si>
  <si>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</si>
  <si>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</si>
  <si>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</si>
  <si>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</si>
  <si>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</si>
  <si>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</si>
  <si>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</si>
  <si>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</si>
  <si>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</si>
  <si>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</si>
  <si>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</si>
  <si>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</si>
  <si>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</si>
  <si>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</si>
  <si>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</si>
  <si>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</si>
  <si>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</si>
  <si>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</si>
  <si>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</si>
  <si>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</si>
  <si>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</si>
  <si>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</si>
  <si>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</si>
  <si>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</si>
  <si>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</si>
  <si>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</si>
  <si>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</si>
  <si>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</si>
  <si>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</si>
  <si>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</si>
  <si>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</si>
  <si>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</si>
  <si>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</si>
  <si>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</si>
  <si>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</si>
  <si>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</si>
  <si>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</si>
  <si>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</si>
  <si>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</si>
  <si>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</si>
  <si>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</si>
  <si>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</si>
  <si>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</si>
  <si>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</si>
  <si>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</si>
  <si>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</si>
  <si>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</si>
  <si>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</si>
  <si>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</si>
  <si>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</si>
  <si>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</si>
  <si>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</si>
  <si>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</si>
  <si>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</si>
  <si>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</si>
  <si>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</si>
  <si>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</si>
  <si>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</si>
  <si>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</si>
  <si>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</si>
  <si>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</si>
  <si>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</si>
  <si>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</si>
  <si>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</si>
  <si>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</si>
  <si>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</si>
  <si>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</si>
  <si>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</si>
  <si>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</si>
  <si>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</si>
  <si>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</si>
  <si>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</si>
  <si>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</si>
  <si>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</si>
  <si>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</si>
  <si>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</si>
  <si>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</si>
  <si>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</si>
  <si>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</si>
  <si>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</si>
  <si>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</si>
  <si>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</si>
  <si>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</si>
  <si>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</si>
  <si>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</si>
  <si>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</si>
  <si>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</si>
  <si>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</si>
  <si>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</si>
  <si>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</si>
  <si>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</si>
  <si>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</si>
  <si>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</si>
  <si>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</si>
  <si>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</si>
  <si>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</si>
  <si>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</si>
  <si>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</si>
  <si>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</si>
  <si>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</si>
  <si>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</si>
  <si>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</si>
  <si>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</si>
  <si>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</si>
  <si>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</si>
  <si>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</si>
  <si>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</si>
  <si>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</si>
  <si>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</si>
  <si>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</si>
  <si>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</si>
  <si>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</si>
  <si>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</si>
  <si>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</si>
  <si>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</si>
  <si>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</si>
  <si>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</si>
  <si>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</si>
  <si>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</si>
  <si>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</si>
  <si>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</si>
  <si>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</si>
  <si>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</si>
  <si>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</si>
  <si>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</si>
  <si>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</si>
  <si>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</si>
  <si>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</si>
  <si>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</si>
  <si>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</si>
  <si>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</si>
  <si>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</si>
  <si>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</si>
  <si>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</si>
  <si>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</si>
  <si>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</si>
  <si>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</si>
  <si>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</si>
  <si>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</si>
  <si>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</si>
  <si>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</si>
  <si>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</si>
  <si>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</si>
  <si>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</si>
  <si>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</si>
  <si>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</si>
  <si>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</si>
  <si>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</si>
  <si>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</si>
  <si>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</si>
  <si>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</si>
  <si>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</si>
  <si>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</si>
  <si>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</si>
  <si>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</si>
  <si>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</si>
  <si>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</si>
  <si>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</si>
  <si>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</si>
  <si>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</si>
  <si>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</si>
  <si>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</si>
  <si>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</si>
  <si>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</si>
  <si>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</si>
  <si>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</si>
  <si>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</si>
  <si>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</si>
  <si>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</si>
  <si>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</si>
  <si>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</si>
  <si>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</si>
  <si>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</si>
  <si>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</si>
  <si>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</si>
  <si>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</si>
  <si>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</si>
  <si>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</si>
  <si>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</si>
  <si>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</si>
  <si>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</si>
  <si>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</si>
  <si>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</si>
  <si>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</si>
  <si>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</si>
  <si>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</si>
  <si>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</si>
  <si>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</si>
  <si>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</si>
  <si>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</si>
  <si>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</si>
  <si>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</si>
  <si>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</si>
  <si>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</si>
  <si>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</si>
  <si>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</si>
  <si>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</si>
  <si>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</si>
  <si>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</si>
  <si>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</si>
  <si>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</si>
  <si>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</si>
  <si>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</si>
  <si>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</si>
  <si>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</si>
  <si>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</si>
  <si>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</si>
  <si>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</si>
  <si>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</si>
  <si>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</si>
  <si>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</si>
  <si>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</si>
  <si>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</si>
  <si>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</si>
  <si>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</si>
  <si>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</si>
  <si>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</si>
  <si>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</si>
  <si>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</si>
  <si>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</si>
  <si>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</si>
  <si>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</si>
  <si>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</si>
  <si>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</si>
  <si>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</si>
  <si>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</si>
  <si>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</si>
  <si>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</si>
  <si>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</si>
  <si>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</si>
  <si>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</si>
  <si>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</si>
  <si>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</si>
  <si>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</si>
  <si>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</si>
  <si>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</si>
  <si>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</si>
  <si>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</si>
  <si>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</si>
  <si>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</si>
  <si>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</si>
  <si>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</si>
  <si>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</si>
  <si>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</si>
  <si>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</si>
  <si>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</si>
  <si>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</si>
  <si>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</si>
  <si>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</si>
  <si>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</si>
  <si>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</si>
  <si>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</si>
  <si>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</si>
  <si>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</si>
  <si>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</si>
  <si>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</si>
  <si>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</si>
  <si>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</si>
  <si>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</si>
  <si>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</si>
  <si>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</si>
  <si>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</si>
  <si>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</si>
  <si>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</si>
  <si>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</si>
  <si>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</si>
  <si>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</si>
  <si>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</si>
  <si>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</si>
  <si>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</si>
  <si>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</si>
  <si>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</si>
  <si>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</si>
  <si>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</si>
  <si>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</si>
  <si>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</si>
  <si>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</si>
  <si>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</si>
  <si>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</si>
  <si>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</si>
  <si>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</si>
  <si>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</si>
  <si>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</si>
  <si>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</si>
  <si>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</si>
  <si>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</si>
  <si>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</si>
  <si>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</si>
  <si>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</si>
  <si>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</si>
  <si>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</si>
  <si>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</si>
  <si>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</si>
  <si>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</si>
  <si>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</si>
  <si>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</si>
  <si>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</si>
  <si>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</si>
  <si>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</si>
  <si>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</si>
  <si>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Biomass</t>
  </si>
  <si>
    <t>othernonRES</t>
  </si>
  <si>
    <t>CHPcoal</t>
  </si>
  <si>
    <t>CCGTCHPgas</t>
  </si>
  <si>
    <t>OCGTCHPgas</t>
  </si>
  <si>
    <t>HOBgas</t>
  </si>
  <si>
    <t>Oil shale</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</si>
  <si>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</si>
  <si>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</si>
  <si>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</si>
  <si>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</si>
  <si>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</si>
  <si>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</si>
  <si>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</si>
  <si>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</si>
  <si>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</si>
  <si>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</si>
  <si>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</si>
  <si>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</si>
  <si>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</si>
  <si>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</si>
  <si>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</si>
  <si>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</si>
  <si>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</si>
  <si>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</si>
  <si>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</si>
  <si>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</si>
  <si>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</si>
  <si>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</si>
  <si>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</si>
  <si>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</si>
  <si>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</si>
  <si>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</si>
  <si>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</si>
  <si>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</si>
  <si>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</si>
  <si>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</si>
  <si>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</si>
  <si>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</si>
  <si>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</si>
  <si>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</si>
  <si>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</si>
  <si>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</si>
  <si>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</si>
  <si>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</si>
  <si>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</si>
  <si>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</si>
  <si>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</si>
  <si>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</si>
  <si>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</si>
  <si>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</si>
  <si>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</si>
  <si>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</si>
  <si>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</si>
  <si>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</si>
  <si>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</si>
  <si>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</si>
  <si>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</si>
  <si>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</si>
  <si>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</si>
  <si>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</si>
  <si>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</si>
  <si>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</si>
  <si>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</si>
  <si>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</si>
  <si>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</si>
  <si>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</si>
  <si>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</si>
  <si>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</si>
  <si>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</si>
  <si>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</si>
  <si>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</si>
  <si>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</si>
  <si>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</si>
  <si>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</si>
  <si>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</si>
  <si>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</si>
  <si>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</si>
  <si>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</si>
  <si>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</si>
  <si>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</si>
  <si>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</si>
  <si>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</si>
  <si>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</si>
  <si>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</si>
  <si>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</si>
  <si>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</si>
  <si>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</si>
  <si>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</si>
  <si>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</si>
  <si>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</si>
  <si>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</si>
  <si>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</si>
  <si>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</si>
  <si>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</si>
  <si>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</si>
  <si>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</si>
  <si>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</si>
  <si>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</si>
  <si>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</si>
  <si>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</si>
  <si>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</si>
  <si>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</si>
  <si>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</si>
  <si>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</si>
  <si>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</si>
  <si>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</si>
  <si>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</si>
  <si>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</si>
  <si>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</si>
  <si>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</si>
  <si>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</si>
  <si>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</si>
  <si>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</si>
  <si>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</si>
  <si>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</si>
  <si>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</si>
  <si>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</si>
  <si>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</si>
  <si>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</si>
  <si>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</si>
  <si>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</si>
  <si>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</si>
  <si>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</si>
  <si>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</si>
  <si>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</si>
  <si>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</si>
  <si>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</si>
  <si>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</si>
  <si>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</si>
  <si>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</si>
  <si>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</si>
  <si>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</si>
  <si>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</si>
  <si>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</si>
  <si>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</si>
  <si>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</si>
  <si>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</si>
  <si>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</si>
  <si>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</si>
  <si>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</si>
  <si>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</si>
  <si>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</si>
  <si>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</si>
  <si>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</si>
  <si>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</si>
  <si>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</si>
  <si>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</si>
  <si>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</si>
  <si>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</si>
  <si>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</si>
  <si>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</si>
  <si>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</si>
  <si>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</si>
  <si>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</si>
  <si>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</si>
  <si>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</si>
  <si>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</si>
  <si>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</si>
  <si>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</si>
  <si>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</si>
  <si>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</si>
  <si>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</si>
  <si>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</si>
  <si>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</si>
  <si>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</si>
  <si>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</si>
  <si>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</si>
  <si>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</si>
  <si>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</si>
  <si>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</si>
  <si>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</si>
  <si>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</si>
  <si>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</si>
  <si>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</si>
  <si>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</si>
  <si>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</si>
  <si>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</si>
  <si>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</si>
  <si>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</si>
  <si>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</si>
  <si>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</si>
  <si>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</si>
  <si>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</si>
  <si>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</si>
  <si>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</si>
  <si>
    <t># Hydrogen</t>
  </si>
  <si>
    <t># CHP</t>
  </si>
  <si>
    <t># Heat-only</t>
  </si>
  <si>
    <t>3. Values used</t>
  </si>
  <si>
    <t>4. Aggregation of unit sub-types</t>
  </si>
  <si>
    <t>Coal</t>
  </si>
  <si>
    <t>Oil</t>
  </si>
  <si>
    <t>coal</t>
  </si>
  <si>
    <t>oil</t>
  </si>
  <si>
    <t>gasOCGT</t>
  </si>
  <si>
    <t>gasCCGT</t>
  </si>
  <si>
    <t xml:space="preserve"># Electricity-only </t>
  </si>
  <si>
    <t># Weather dependent</t>
  </si>
  <si>
    <t># VRE</t>
  </si>
  <si>
    <t># Flexibility</t>
  </si>
  <si>
    <t># Thermal</t>
  </si>
  <si>
    <t># Industrial CHP</t>
  </si>
  <si>
    <t># H2 converters</t>
  </si>
  <si>
    <t># H2 storages</t>
  </si>
  <si>
    <t># Europe</t>
  </si>
  <si>
    <t># Finland</t>
  </si>
  <si>
    <t># Baltics</t>
  </si>
  <si>
    <t>Remove</t>
  </si>
  <si>
    <t># Electricity A-B</t>
  </si>
  <si>
    <t># Electricity B-A</t>
  </si>
  <si>
    <t># Hydrogen A-B</t>
  </si>
  <si>
    <t># Hydrogen B-A</t>
  </si>
  <si>
    <t># Fuels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</si>
</sst>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93">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
      <b/>
      <sz val="10"/>
      <color rgb="FF000000"/>
      <name val="Arial"/>
      <family val="2"/>
    </font>
    <font>
      <b/>
      <sz val="11"/>
      <name val="Calibri"/>
      <family val="2"/>
    </font>
    <font>
      <sz val="9"/>
      <color indexed="81"/>
      <name val="Tahoma"/>
      <charset val="1"/>
    </font>
    <font>
      <sz val="9"/>
      <color indexed="81"/>
      <name val="Tahoma"/>
      <family val="2"/>
    </font>
  </fonts>
  <fills count="18">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
      <patternFill patternType="solid">
        <fgColor theme="0" tint="-4.9989318521683403E-2"/>
        <bgColor theme="0" tint="-0.14999847407452621"/>
      </patternFill>
    </fill>
    <fill>
      <patternFill patternType="solid">
        <fgColor theme="0" tint="-4.9989318521683403E-2"/>
        <bgColor rgb="FFFF99CC"/>
      </patternFill>
    </fill>
    <fill>
      <patternFill patternType="solid">
        <fgColor theme="0"/>
        <bgColor rgb="FFFF99CC"/>
      </patternFill>
    </fill>
  </fills>
  <borders count="51">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249977111117893"/>
      </top>
      <bottom/>
      <diagonal/>
    </border>
    <border>
      <left/>
      <right style="thin">
        <color theme="0" tint="-0.249977111117893"/>
      </right>
      <top/>
      <bottom style="thin">
        <color theme="0" tint="-0.249977111117893"/>
      </bottom>
      <diagonal/>
    </border>
    <border>
      <left/>
      <right style="thin">
        <color theme="0" tint="-0.249977111117893"/>
      </right>
      <top/>
      <bottom/>
      <diagonal/>
    </border>
    <border>
      <left/>
      <right style="thin">
        <color theme="0" tint="-0.249977111117893"/>
      </right>
      <top style="thin">
        <color theme="1"/>
      </top>
      <bottom/>
      <diagonal/>
    </border>
    <border>
      <left/>
      <right style="thin">
        <color theme="0" tint="-0.249977111117893"/>
      </right>
      <top/>
      <bottom style="thin">
        <color indexed="64"/>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863">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70" fillId="6" borderId="0" xfId="11" applyFont="1" applyFill="1" applyAlignment="1">
      <alignment horizontal="left"/>
    </xf>
    <xf numFmtId="0" fontId="70" fillId="6" borderId="0" xfId="11" applyFont="1" applyFill="1"/>
    <xf numFmtId="0" fontId="85" fillId="6" borderId="0" xfId="11" applyFont="1" applyFill="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0" fontId="0" fillId="3" borderId="0" xfId="0" applyFill="1" applyAlignment="1">
      <alignment horizontal="center"/>
    </xf>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0" fillId="3" borderId="0" xfId="0" applyNumberFormat="1" applyFill="1" applyAlignment="1">
      <alignment horizontal="left" vertical="center"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2" borderId="0" xfId="0" applyNumberFormat="1" applyFill="1" applyAlignment="1">
      <alignment horizontal="center"/>
    </xf>
    <xf numFmtId="0" fontId="0" fillId="2" borderId="0" xfId="0"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3" fillId="5" borderId="0" xfId="0" applyFont="1" applyFill="1" applyAlignment="1">
      <alignment horizontal="left" vertic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64" fillId="5" borderId="0" xfId="0" applyFont="1" applyFill="1" applyAlignment="1">
      <alignment horizontal="left" vertical="center"/>
    </xf>
    <xf numFmtId="0" fontId="9" fillId="6" borderId="0" xfId="0" applyFont="1" applyFill="1" applyAlignment="1">
      <alignment horizontal="center"/>
    </xf>
    <xf numFmtId="166" fontId="0" fillId="3" borderId="0" xfId="0" applyNumberFormat="1" applyFill="1" applyAlignment="1">
      <alignment horizontal="center"/>
    </xf>
    <xf numFmtId="166" fontId="1" fillId="2" borderId="0" xfId="0" applyNumberFormat="1" applyFont="1" applyFill="1" applyAlignment="1">
      <alignment horizontal="left"/>
    </xf>
    <xf numFmtId="37" fontId="0" fillId="3" borderId="0" xfId="0" applyNumberFormat="1" applyFill="1" applyAlignment="1">
      <alignment horizontal="center"/>
    </xf>
    <xf numFmtId="0" fontId="0" fillId="6" borderId="0" xfId="0" applyFill="1" applyAlignment="1">
      <alignment horizontal="center" vertical="center"/>
    </xf>
    <xf numFmtId="166" fontId="0" fillId="6" borderId="0" xfId="0" applyNumberFormat="1" applyFill="1" applyBorder="1" applyAlignment="1">
      <alignment horizontal="left" vertical="center"/>
    </xf>
    <xf numFmtId="3" fontId="52" fillId="6" borderId="0" xfId="0" applyNumberFormat="1" applyFont="1" applyFill="1" applyBorder="1"/>
    <xf numFmtId="3" fontId="25" fillId="6" borderId="0" xfId="0" applyNumberFormat="1" applyFont="1" applyFill="1" applyBorder="1"/>
    <xf numFmtId="3" fontId="32" fillId="6" borderId="0" xfId="0" applyNumberFormat="1" applyFont="1" applyFill="1" applyBorder="1"/>
    <xf numFmtId="166" fontId="0" fillId="6" borderId="0" xfId="0" applyNumberFormat="1" applyFill="1" applyBorder="1"/>
    <xf numFmtId="166" fontId="52" fillId="6" borderId="0" xfId="0" applyNumberFormat="1" applyFont="1" applyFill="1" applyBorder="1"/>
    <xf numFmtId="0" fontId="40" fillId="6" borderId="0" xfId="4" applyFont="1" applyFill="1" applyBorder="1"/>
    <xf numFmtId="3" fontId="27" fillId="6" borderId="0" xfId="0" applyNumberFormat="1" applyFont="1" applyFill="1" applyBorder="1"/>
    <xf numFmtId="0" fontId="0" fillId="6" borderId="19" xfId="0" applyFill="1" applyBorder="1" applyAlignment="1">
      <alignment horizontal="left"/>
    </xf>
    <xf numFmtId="0" fontId="0" fillId="6" borderId="0" xfId="0" applyFill="1" applyBorder="1" applyAlignment="1">
      <alignment horizontal="left"/>
    </xf>
    <xf numFmtId="0" fontId="0" fillId="10" borderId="0" xfId="0" applyFill="1" applyBorder="1"/>
    <xf numFmtId="0" fontId="9" fillId="6" borderId="0" xfId="0" applyFont="1" applyFill="1" applyBorder="1"/>
    <xf numFmtId="0" fontId="9" fillId="10" borderId="0" xfId="0" applyFont="1" applyFill="1" applyBorder="1"/>
    <xf numFmtId="3" fontId="0" fillId="10" borderId="0" xfId="0" applyNumberFormat="1" applyFill="1" applyBorder="1"/>
    <xf numFmtId="3" fontId="52" fillId="10" borderId="0" xfId="0" applyNumberFormat="1" applyFont="1" applyFill="1" applyBorder="1"/>
    <xf numFmtId="0" fontId="0" fillId="10" borderId="46" xfId="0" applyFill="1" applyBorder="1"/>
    <xf numFmtId="0" fontId="9" fillId="10" borderId="46" xfId="0" applyFont="1" applyFill="1" applyBorder="1"/>
    <xf numFmtId="3" fontId="52" fillId="10" borderId="46" xfId="0" applyNumberFormat="1" applyFont="1" applyFill="1" applyBorder="1"/>
    <xf numFmtId="0" fontId="0" fillId="6" borderId="0" xfId="0" applyFill="1" applyBorder="1"/>
    <xf numFmtId="3" fontId="0" fillId="6" borderId="0"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52" fillId="6" borderId="46" xfId="0" applyNumberFormat="1" applyFont="1" applyFill="1" applyBorder="1"/>
    <xf numFmtId="0" fontId="90" fillId="3" borderId="0" xfId="11" applyFont="1" applyFill="1" applyAlignment="1">
      <alignment horizontal="left"/>
    </xf>
    <xf numFmtId="0" fontId="81" fillId="3" borderId="0" xfId="11" applyFont="1" applyFill="1" applyAlignment="1">
      <alignment horizontal="left"/>
    </xf>
    <xf numFmtId="0" fontId="81" fillId="3" borderId="0" xfId="11" applyFont="1" applyFill="1"/>
    <xf numFmtId="2" fontId="81" fillId="3" borderId="0" xfId="0" applyNumberFormat="1" applyFont="1" applyFill="1"/>
    <xf numFmtId="0" fontId="89" fillId="16" borderId="0" xfId="10" applyFont="1" applyFill="1"/>
    <xf numFmtId="0" fontId="77" fillId="16" borderId="0" xfId="10" applyFont="1" applyFill="1"/>
    <xf numFmtId="0" fontId="77" fillId="16" borderId="0" xfId="10" applyFont="1" applyFill="1" applyAlignment="1">
      <alignment wrapText="1"/>
    </xf>
    <xf numFmtId="0" fontId="77" fillId="16" borderId="0" xfId="10" applyFont="1" applyFill="1" applyAlignment="1">
      <alignment textRotation="90" wrapText="1"/>
    </xf>
    <xf numFmtId="0" fontId="74" fillId="3" borderId="0" xfId="11" applyFont="1" applyFill="1"/>
    <xf numFmtId="0" fontId="76" fillId="3" borderId="0" xfId="11" applyFill="1"/>
    <xf numFmtId="0" fontId="90" fillId="3" borderId="0" xfId="11" applyFont="1" applyFill="1"/>
    <xf numFmtId="0" fontId="79" fillId="3" borderId="0" xfId="11" applyFont="1" applyFill="1"/>
    <xf numFmtId="0" fontId="77" fillId="17" borderId="0" xfId="10" applyFont="1" applyFill="1" applyAlignment="1">
      <alignment textRotation="90" wrapText="1"/>
    </xf>
    <xf numFmtId="0" fontId="1" fillId="3" borderId="44" xfId="0" applyFont="1" applyFill="1" applyBorder="1" applyAlignment="1">
      <alignment horizontal="center" vertical="top"/>
    </xf>
    <xf numFmtId="0" fontId="1" fillId="3" borderId="44" xfId="0" applyFont="1" applyFill="1" applyBorder="1" applyAlignment="1">
      <alignment horizontal="left" vertical="top"/>
    </xf>
    <xf numFmtId="0" fontId="0" fillId="15" borderId="0" xfId="0" applyFill="1" applyBorder="1"/>
    <xf numFmtId="0" fontId="9" fillId="3" borderId="0" xfId="0" applyFont="1" applyFill="1" applyBorder="1"/>
    <xf numFmtId="0" fontId="9" fillId="15" borderId="0" xfId="0" applyFont="1" applyFill="1" applyBorder="1"/>
    <xf numFmtId="3" fontId="0" fillId="15" borderId="0" xfId="0" applyNumberFormat="1" applyFill="1" applyBorder="1"/>
    <xf numFmtId="3" fontId="52" fillId="15" borderId="0" xfId="0" applyNumberFormat="1" applyFont="1" applyFill="1" applyBorder="1"/>
    <xf numFmtId="0" fontId="1" fillId="3" borderId="0" xfId="0" applyFont="1" applyFill="1" applyBorder="1"/>
    <xf numFmtId="0" fontId="0" fillId="3" borderId="0" xfId="0" applyFill="1" applyBorder="1"/>
    <xf numFmtId="0" fontId="1" fillId="15" borderId="0" xfId="0" applyFont="1" applyFill="1" applyBorder="1"/>
    <xf numFmtId="3" fontId="32" fillId="10" borderId="0" xfId="0" applyNumberFormat="1" applyFont="1" applyFill="1" applyBorder="1"/>
    <xf numFmtId="0" fontId="1" fillId="3" borderId="0" xfId="0" applyFont="1" applyFill="1" applyBorder="1" applyAlignment="1">
      <alignment horizontal="left" vertical="top"/>
    </xf>
    <xf numFmtId="0" fontId="1" fillId="3" borderId="0" xfId="0" applyFont="1" applyFill="1" applyBorder="1" applyAlignment="1">
      <alignment horizontal="center" vertical="top"/>
    </xf>
    <xf numFmtId="3" fontId="0" fillId="3" borderId="0" xfId="0" applyNumberFormat="1" applyFill="1" applyBorder="1"/>
    <xf numFmtId="3" fontId="32" fillId="3" borderId="0" xfId="0" applyNumberFormat="1" applyFont="1" applyFill="1" applyBorder="1"/>
    <xf numFmtId="0" fontId="72" fillId="3" borderId="0" xfId="0" applyFont="1" applyFill="1" applyBorder="1" applyAlignment="1">
      <alignment horizontal="center" vertical="top" wrapText="1"/>
    </xf>
    <xf numFmtId="2" fontId="0" fillId="6" borderId="0" xfId="0" applyNumberFormat="1" applyFill="1" applyBorder="1"/>
    <xf numFmtId="0" fontId="0" fillId="3" borderId="0" xfId="0" applyFill="1" applyBorder="1" applyAlignment="1">
      <alignment horizontal="center"/>
    </xf>
    <xf numFmtId="2" fontId="0" fillId="3" borderId="0" xfId="0" applyNumberFormat="1" applyFill="1" applyBorder="1"/>
    <xf numFmtId="0" fontId="0" fillId="6" borderId="24" xfId="0" applyFill="1" applyBorder="1" applyAlignment="1">
      <alignment horizontal="center"/>
    </xf>
    <xf numFmtId="2" fontId="0" fillId="6" borderId="24" xfId="0" applyNumberFormat="1" applyFill="1" applyBorder="1"/>
    <xf numFmtId="0" fontId="0" fillId="6" borderId="48" xfId="0" applyFill="1" applyBorder="1"/>
    <xf numFmtId="0" fontId="1" fillId="2" borderId="49" xfId="0" applyFont="1" applyFill="1" applyBorder="1" applyAlignment="1">
      <alignment horizontal="center" vertical="top"/>
    </xf>
    <xf numFmtId="0" fontId="1" fillId="3" borderId="48" xfId="0" applyFont="1" applyFill="1" applyBorder="1" applyAlignment="1">
      <alignment horizontal="center" vertical="top"/>
    </xf>
    <xf numFmtId="0" fontId="9" fillId="6" borderId="48" xfId="0" applyFont="1" applyFill="1" applyBorder="1"/>
    <xf numFmtId="0" fontId="9" fillId="6" borderId="47" xfId="0" applyFont="1" applyFill="1" applyBorder="1"/>
    <xf numFmtId="0" fontId="9" fillId="3" borderId="48" xfId="0" applyFont="1" applyFill="1" applyBorder="1"/>
    <xf numFmtId="0" fontId="72" fillId="2" borderId="50" xfId="0" applyFont="1" applyFill="1" applyBorder="1" applyAlignment="1">
      <alignment horizontal="center" vertical="top" wrapText="1"/>
    </xf>
    <xf numFmtId="0" fontId="72" fillId="3" borderId="48" xfId="0" applyFont="1" applyFill="1" applyBorder="1" applyAlignment="1">
      <alignment horizontal="center" vertical="top" wrapText="1"/>
    </xf>
    <xf numFmtId="0" fontId="0" fillId="6" borderId="48" xfId="0" applyFill="1" applyBorder="1" applyAlignment="1">
      <alignment horizontal="center"/>
    </xf>
    <xf numFmtId="0" fontId="0" fillId="3" borderId="48" xfId="0" applyFill="1" applyBorder="1" applyAlignment="1">
      <alignment horizontal="center"/>
    </xf>
    <xf numFmtId="0" fontId="1" fillId="2" borderId="0" xfId="0" applyFont="1" applyFill="1" applyBorder="1"/>
    <xf numFmtId="0" fontId="0" fillId="3" borderId="48" xfId="0" applyFill="1" applyBorder="1"/>
    <xf numFmtId="2" fontId="0" fillId="3" borderId="0" xfId="0" applyNumberFormat="1" applyFill="1"/>
    <xf numFmtId="0" fontId="9" fillId="10" borderId="48" xfId="0" applyFont="1" applyFill="1" applyBorder="1"/>
    <xf numFmtId="3" fontId="32" fillId="10" borderId="48" xfId="0" applyNumberFormat="1" applyFont="1" applyFill="1" applyBorder="1"/>
    <xf numFmtId="3" fontId="32" fillId="6" borderId="48" xfId="0" applyNumberFormat="1" applyFont="1" applyFill="1" applyBorder="1"/>
    <xf numFmtId="3" fontId="32" fillId="6" borderId="47" xfId="0" applyNumberFormat="1" applyFont="1" applyFill="1" applyBorder="1"/>
    <xf numFmtId="3" fontId="0" fillId="6" borderId="48" xfId="0" applyNumberFormat="1" applyFill="1" applyBorder="1"/>
    <xf numFmtId="3" fontId="0" fillId="10" borderId="48" xfId="0" applyNumberFormat="1" applyFill="1" applyBorder="1"/>
    <xf numFmtId="0" fontId="52" fillId="6" borderId="48" xfId="0" applyFont="1" applyFill="1" applyBorder="1" applyAlignment="1">
      <alignment horizontal="center"/>
    </xf>
    <xf numFmtId="0" fontId="52" fillId="6" borderId="0" xfId="0" applyFont="1" applyFill="1" applyAlignment="1">
      <alignment horizontal="center"/>
    </xf>
    <xf numFmtId="2" fontId="52" fillId="6" borderId="0" xfId="0" applyNumberFormat="1" applyFont="1" applyFill="1" applyBorder="1"/>
    <xf numFmtId="0" fontId="52" fillId="6" borderId="48" xfId="0" applyFont="1" applyFill="1" applyBorder="1"/>
    <xf numFmtId="0" fontId="52" fillId="6" borderId="0" xfId="0" applyFont="1" applyFill="1" applyBorder="1" applyAlignment="1">
      <alignment horizontal="center"/>
    </xf>
    <xf numFmtId="0" fontId="52" fillId="6" borderId="47" xfId="0" applyFont="1" applyFill="1" applyBorder="1" applyAlignment="1">
      <alignment horizontal="center"/>
    </xf>
    <xf numFmtId="0" fontId="52" fillId="6" borderId="24" xfId="0" applyFont="1" applyFill="1" applyBorder="1" applyAlignment="1">
      <alignment horizontal="center"/>
    </xf>
    <xf numFmtId="2" fontId="52" fillId="6" borderId="24" xfId="0" applyNumberFormat="1" applyFont="1" applyFill="1" applyBorder="1"/>
    <xf numFmtId="0" fontId="52" fillId="6" borderId="47" xfId="0" applyFont="1" applyFill="1" applyBorder="1"/>
    <xf numFmtId="3" fontId="52" fillId="6" borderId="48" xfId="0" applyNumberFormat="1" applyFont="1" applyFill="1" applyBorder="1" applyAlignment="1">
      <alignment horizontal="center"/>
    </xf>
    <xf numFmtId="3" fontId="52" fillId="3" borderId="0" xfId="0" applyNumberFormat="1" applyFont="1" applyFill="1" applyBorder="1"/>
    <xf numFmtId="0" fontId="52" fillId="3" borderId="48" xfId="0" applyFont="1" applyFill="1" applyBorder="1" applyAlignment="1">
      <alignment horizontal="center"/>
    </xf>
    <xf numFmtId="0" fontId="52" fillId="3" borderId="0" xfId="0" applyFont="1" applyFill="1" applyBorder="1" applyAlignment="1">
      <alignment horizontal="center"/>
    </xf>
    <xf numFmtId="2" fontId="52" fillId="3" borderId="0" xfId="0" applyNumberFormat="1" applyFont="1" applyFill="1" applyBorder="1"/>
    <xf numFmtId="0" fontId="52" fillId="3" borderId="48" xfId="0" applyFont="1" applyFill="1" applyBorder="1"/>
    <xf numFmtId="3" fontId="32" fillId="10" borderId="47" xfId="0" applyNumberFormat="1" applyFont="1" applyFill="1" applyBorder="1"/>
    <xf numFmtId="0" fontId="10" fillId="3" borderId="0" xfId="0" applyFont="1" applyFill="1" applyBorder="1"/>
    <xf numFmtId="0" fontId="74" fillId="3" borderId="0" xfId="0" applyFont="1" applyFill="1" applyBorder="1"/>
    <xf numFmtId="0" fontId="74" fillId="3" borderId="0" xfId="0" applyFont="1" applyFill="1" applyBorder="1" applyAlignment="1">
      <alignment horizontal="center"/>
    </xf>
    <xf numFmtId="0" fontId="80" fillId="6" borderId="0" xfId="0" applyFont="1" applyFill="1" applyBorder="1"/>
    <xf numFmtId="0" fontId="7" fillId="6" borderId="0" xfId="0" applyFont="1" applyFill="1" applyBorder="1"/>
    <xf numFmtId="0" fontId="52" fillId="6" borderId="0" xfId="0" applyFont="1" applyFill="1" applyBorder="1"/>
    <xf numFmtId="0" fontId="7" fillId="3" borderId="0" xfId="0" applyFont="1" applyFill="1" applyBorder="1"/>
    <xf numFmtId="0" fontId="80" fillId="3" borderId="0" xfId="0" applyFont="1" applyFill="1" applyBorder="1"/>
    <xf numFmtId="0" fontId="52" fillId="3" borderId="0" xfId="0" applyFont="1" applyFill="1" applyBorder="1"/>
    <xf numFmtId="0" fontId="52" fillId="6" borderId="46" xfId="0" applyFont="1" applyFill="1" applyBorder="1"/>
    <xf numFmtId="0" fontId="10" fillId="2" borderId="44" xfId="0" applyFont="1" applyFill="1" applyBorder="1" applyAlignment="1">
      <alignment horizontal="center" vertical="top"/>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4">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en-US" sz="1100" b="0" i="1">
                            <a:solidFill>
                              <a:schemeClr val="bg1">
                                <a:lumMod val="50000"/>
                              </a:schemeClr>
                            </a:solidFill>
                            <a:effectLst/>
                            <a:latin typeface="Cambria Math" panose="02040503050406030204" pitchFamily="18" charset="0"/>
                            <a:ea typeface="+mn-ea"/>
                            <a:cs typeface="+mn-cs"/>
                          </a:rPr>
                        </m:ctrlPr>
                      </m:dPr>
                      <m:e>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71" dT="2026-09-18T14:02:11.40" personId="{6E8249B2-D156-40FE-BEF0-A30F94D33501}" id="{E666B4BD-3885-40F1-B618-93C89EFF3640}">
    <text>According to balticData.xlsx this unit should be removed</text>
  </threadedComment>
  <threadedComment ref="F133" dT="2026-09-18T14:02:40.71" personId="{6E8249B2-D156-40FE-BEF0-A30F94D33501}" id="{54AA0C83-8071-467E-899E-8DFC113C3890}">
    <text>DR values are moved from additional-units-conventional.xlsx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Q123" dT="2026-09-18T15:05:46.37" personId="{6E8249B2-D156-40FE-BEF0-A30F94D33501}" id="{0167B50E-DC83-4AD3-8497-7DC30F2D9686}">
    <text>Remove manually as one output is smaller than 10MW.</text>
  </threadedComment>
</ThreadedComments>
</file>

<file path=xl/threadedComments/threadedComment3.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 ref="N229" dT="2026-09-18T14:34:06.84" personId="{6E8249B2-D156-40FE-BEF0-A30F94D33501}" id="{F2408BFD-CBD3-48FB-8213-844E8BFC397E}">
    <text>Unit bellow 10MW removed</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 Id="rId4" Type="http://schemas.microsoft.com/office/2017/10/relationships/threadedComment" Target="../threadedComments/threadedComment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C16" sqref="C1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536</v>
      </c>
      <c r="B1" s="649" t="s">
        <v>836</v>
      </c>
      <c r="C1" s="649"/>
      <c r="D1" s="649"/>
      <c r="E1" s="649"/>
      <c r="F1" s="649"/>
      <c r="G1" s="649"/>
      <c r="H1" s="649"/>
      <c r="I1" s="649"/>
      <c r="J1" s="649"/>
      <c r="K1" s="649"/>
      <c r="L1" s="649"/>
      <c r="M1" s="649"/>
      <c r="N1" s="649"/>
      <c r="O1" s="649"/>
      <c r="P1" s="649"/>
    </row>
    <row r="2" spans="1:16">
      <c r="A2" s="437"/>
      <c r="B2" s="647" t="s">
        <v>596</v>
      </c>
      <c r="C2" s="647"/>
      <c r="D2" s="647"/>
      <c r="E2" s="647"/>
      <c r="F2" s="647"/>
      <c r="G2" s="647"/>
      <c r="H2" s="647"/>
      <c r="I2" s="647"/>
      <c r="J2" s="647"/>
      <c r="K2" s="647"/>
      <c r="L2" s="647"/>
      <c r="M2" s="647"/>
      <c r="N2" s="647"/>
      <c r="O2" s="647"/>
      <c r="P2" s="647"/>
    </row>
    <row r="3" spans="1:16">
      <c r="A3" s="437"/>
      <c r="B3" s="647" t="s">
        <v>659</v>
      </c>
      <c r="C3" s="647"/>
      <c r="D3" s="647"/>
      <c r="E3" s="647"/>
      <c r="F3" s="647"/>
      <c r="G3" s="647"/>
      <c r="H3" s="647"/>
      <c r="I3" s="647"/>
      <c r="J3" s="647"/>
      <c r="K3" s="647"/>
      <c r="L3" s="647"/>
      <c r="M3" s="647"/>
      <c r="N3" s="647"/>
      <c r="O3" s="647"/>
      <c r="P3" s="647"/>
    </row>
    <row r="4" spans="1:16">
      <c r="A4" s="660" t="s">
        <v>837</v>
      </c>
      <c r="B4" s="661" t="s">
        <v>838</v>
      </c>
      <c r="C4" s="40"/>
      <c r="D4" s="40"/>
      <c r="E4" s="40"/>
      <c r="F4" s="40"/>
      <c r="G4" s="40"/>
      <c r="H4" s="40"/>
      <c r="I4" s="40"/>
      <c r="J4" s="40"/>
      <c r="K4" s="40"/>
      <c r="L4" s="40"/>
      <c r="M4" s="40"/>
      <c r="N4" s="40"/>
      <c r="O4" s="40"/>
      <c r="P4" s="40"/>
    </row>
    <row r="5" spans="1:16">
      <c r="A5" s="660" t="s">
        <v>537</v>
      </c>
      <c r="B5" s="661" t="s">
        <v>538</v>
      </c>
      <c r="C5" s="40"/>
      <c r="D5" s="40"/>
      <c r="E5" s="40"/>
      <c r="F5" s="40"/>
      <c r="G5" s="40"/>
      <c r="H5" s="40"/>
      <c r="I5" s="40"/>
      <c r="J5" s="40"/>
      <c r="K5" s="40"/>
      <c r="L5" s="40"/>
      <c r="M5" s="40"/>
      <c r="N5" s="40"/>
      <c r="O5" s="40"/>
      <c r="P5" s="40"/>
    </row>
    <row r="6" spans="1:16">
      <c r="A6" s="660" t="s">
        <v>658</v>
      </c>
      <c r="B6" s="662">
        <v>45820</v>
      </c>
      <c r="C6" s="40"/>
      <c r="D6" s="40"/>
      <c r="E6" s="40"/>
      <c r="F6" s="40"/>
      <c r="G6" s="40"/>
      <c r="H6" s="40"/>
      <c r="I6" s="40"/>
      <c r="J6" s="40"/>
      <c r="K6" s="40"/>
      <c r="L6" s="40"/>
      <c r="M6" s="40"/>
      <c r="N6" s="40"/>
      <c r="O6" s="40"/>
      <c r="P6" s="40"/>
    </row>
    <row r="8" spans="1:16">
      <c r="A8" s="665" t="s">
        <v>846</v>
      </c>
      <c r="B8" s="648"/>
      <c r="C8" s="648"/>
      <c r="D8" s="648"/>
      <c r="E8" s="648"/>
      <c r="F8" s="648"/>
      <c r="G8" s="648"/>
      <c r="H8" s="648"/>
      <c r="I8" s="648"/>
      <c r="J8" s="648"/>
      <c r="K8" s="648"/>
      <c r="L8" s="648"/>
      <c r="M8" s="648"/>
      <c r="N8" s="648"/>
      <c r="O8" s="648"/>
      <c r="P8" s="648"/>
    </row>
    <row r="9" spans="1:16">
      <c r="A9" s="648" t="s">
        <v>844</v>
      </c>
      <c r="B9" s="648" t="s">
        <v>845</v>
      </c>
      <c r="C9" s="648"/>
      <c r="D9" s="648"/>
      <c r="E9" s="648"/>
      <c r="F9" s="648"/>
      <c r="G9" s="648"/>
      <c r="H9" s="648"/>
      <c r="I9" s="648"/>
      <c r="J9" s="648"/>
      <c r="K9" s="648"/>
      <c r="L9" s="648"/>
      <c r="M9" s="648"/>
      <c r="N9" s="648"/>
      <c r="O9" s="648"/>
      <c r="P9" s="648"/>
    </row>
    <row r="10" spans="1:16">
      <c r="A10" s="648" t="s">
        <v>166</v>
      </c>
      <c r="B10" s="648" t="s">
        <v>848</v>
      </c>
      <c r="C10" s="648"/>
      <c r="D10" s="648"/>
      <c r="E10" s="648"/>
      <c r="F10" s="648"/>
      <c r="G10" s="648"/>
      <c r="H10" s="648"/>
      <c r="I10" s="648"/>
      <c r="J10" s="648"/>
      <c r="K10" s="648"/>
      <c r="L10" s="648"/>
      <c r="M10" s="648"/>
      <c r="N10" s="648"/>
      <c r="O10" s="648"/>
      <c r="P10" s="648"/>
    </row>
    <row r="11" spans="1:16">
      <c r="A11" s="648"/>
      <c r="B11" s="648" t="s">
        <v>849</v>
      </c>
      <c r="C11" s="648"/>
      <c r="D11" s="648"/>
      <c r="E11" s="648"/>
      <c r="F11" s="648"/>
      <c r="G11" s="648"/>
      <c r="H11" s="648"/>
      <c r="I11" s="648"/>
      <c r="J11" s="648"/>
      <c r="K11" s="648"/>
      <c r="L11" s="648"/>
      <c r="M11" s="648"/>
      <c r="N11" s="648"/>
      <c r="O11" s="648"/>
      <c r="P11" s="648"/>
    </row>
    <row r="12" spans="1:16">
      <c r="A12" s="648" t="s">
        <v>847</v>
      </c>
      <c r="B12" s="648"/>
      <c r="C12" s="648"/>
      <c r="D12" s="648"/>
      <c r="E12" s="648"/>
      <c r="F12" s="648"/>
      <c r="G12" s="648"/>
      <c r="H12" s="648"/>
      <c r="I12" s="648"/>
      <c r="J12" s="648"/>
      <c r="K12" s="648"/>
      <c r="L12" s="648"/>
      <c r="M12" s="648"/>
      <c r="N12" s="648"/>
      <c r="O12" s="648"/>
      <c r="P12" s="648"/>
    </row>
    <row r="13" spans="1:16">
      <c r="A13" s="648"/>
      <c r="B13" s="648" t="s">
        <v>850</v>
      </c>
      <c r="C13" s="648" t="s">
        <v>885</v>
      </c>
      <c r="D13" s="648"/>
      <c r="E13" s="648"/>
      <c r="F13" s="648"/>
      <c r="G13" s="648"/>
      <c r="H13" s="648"/>
      <c r="I13" s="648"/>
      <c r="J13" s="648"/>
      <c r="K13" s="648"/>
      <c r="L13" s="648"/>
      <c r="M13" s="648"/>
      <c r="N13" s="648"/>
      <c r="O13" s="648"/>
      <c r="P13" s="648"/>
    </row>
    <row r="14" spans="1:16">
      <c r="A14" s="648"/>
      <c r="B14" s="648" t="s">
        <v>851</v>
      </c>
      <c r="C14" s="648" t="s">
        <v>884</v>
      </c>
      <c r="D14" s="648"/>
      <c r="E14" s="648"/>
      <c r="F14" s="648"/>
      <c r="G14" s="648"/>
      <c r="H14" s="648"/>
      <c r="I14" s="648"/>
      <c r="J14" s="648"/>
      <c r="K14" s="648"/>
      <c r="L14" s="648"/>
      <c r="M14" s="648"/>
      <c r="N14" s="648"/>
      <c r="O14" s="648"/>
      <c r="P14" s="648"/>
    </row>
    <row r="15" spans="1:16">
      <c r="A15" s="648"/>
      <c r="B15" s="648" t="s">
        <v>883</v>
      </c>
      <c r="C15" s="648" t="s">
        <v>888</v>
      </c>
      <c r="D15" s="648"/>
      <c r="E15" s="648"/>
      <c r="F15" s="648"/>
      <c r="G15" s="648"/>
      <c r="H15" s="648"/>
      <c r="I15" s="648"/>
      <c r="J15" s="648"/>
      <c r="K15" s="648"/>
      <c r="L15" s="648"/>
      <c r="M15" s="648"/>
      <c r="N15" s="648"/>
      <c r="O15" s="648"/>
      <c r="P15" s="648"/>
    </row>
    <row r="16" spans="1:16">
      <c r="A16" s="648"/>
      <c r="B16" s="648" t="s">
        <v>887</v>
      </c>
      <c r="C16" s="648" t="s">
        <v>886</v>
      </c>
      <c r="D16" s="648"/>
      <c r="E16" s="648"/>
      <c r="F16" s="648"/>
      <c r="G16" s="648"/>
      <c r="H16" s="648"/>
      <c r="I16" s="648"/>
      <c r="J16" s="648"/>
      <c r="K16" s="648"/>
      <c r="L16" s="648"/>
      <c r="M16" s="648"/>
      <c r="N16" s="648"/>
      <c r="O16" s="648"/>
      <c r="P16" s="648"/>
    </row>
    <row r="17" spans="1:16">
      <c r="A17" s="672" t="s">
        <v>541</v>
      </c>
      <c r="B17" s="648" t="s">
        <v>870</v>
      </c>
      <c r="C17" s="648"/>
      <c r="D17" s="648"/>
      <c r="E17" s="648"/>
      <c r="F17" s="648"/>
      <c r="G17" s="648"/>
      <c r="H17" s="648"/>
      <c r="I17" s="648"/>
      <c r="J17" s="648"/>
      <c r="K17" s="648"/>
      <c r="L17" s="648"/>
      <c r="M17" s="648"/>
      <c r="N17" s="648"/>
      <c r="O17" s="648"/>
      <c r="P17" s="648"/>
    </row>
    <row r="18" spans="1:16">
      <c r="A18" s="648"/>
      <c r="B18" s="648" t="s">
        <v>871</v>
      </c>
      <c r="C18" s="648"/>
      <c r="D18" s="648"/>
      <c r="E18" s="648"/>
      <c r="F18" s="648"/>
      <c r="G18" s="648"/>
      <c r="H18" s="648"/>
      <c r="I18" s="648"/>
      <c r="J18" s="648"/>
      <c r="K18" s="648"/>
      <c r="L18" s="648"/>
      <c r="M18" s="648"/>
      <c r="N18" s="648"/>
      <c r="O18" s="648"/>
      <c r="P18" s="648"/>
    </row>
    <row r="19" spans="1:16">
      <c r="A19" s="648"/>
      <c r="B19" s="648" t="s">
        <v>872</v>
      </c>
      <c r="C19" s="648"/>
      <c r="D19" s="648"/>
      <c r="E19" s="648"/>
      <c r="F19" s="648"/>
      <c r="G19" s="648"/>
      <c r="H19" s="648"/>
      <c r="I19" s="648"/>
      <c r="J19" s="648"/>
      <c r="K19" s="648"/>
      <c r="L19" s="648"/>
      <c r="M19" s="648"/>
      <c r="N19" s="648"/>
      <c r="O19" s="648"/>
      <c r="P19" s="648"/>
    </row>
    <row r="20" spans="1:16">
      <c r="A20" s="648"/>
      <c r="B20" s="648" t="s">
        <v>873</v>
      </c>
      <c r="C20" s="648"/>
      <c r="D20" s="648"/>
      <c r="E20" s="648"/>
      <c r="F20" s="648"/>
      <c r="G20" s="648"/>
      <c r="H20" s="648"/>
      <c r="I20" s="648"/>
      <c r="J20" s="648"/>
      <c r="K20" s="648"/>
      <c r="L20" s="648"/>
      <c r="M20" s="648"/>
      <c r="N20" s="648"/>
      <c r="O20" s="648"/>
      <c r="P20" s="648"/>
    </row>
    <row r="21" spans="1:16">
      <c r="A21" s="648"/>
      <c r="B21" s="648" t="s">
        <v>874</v>
      </c>
      <c r="C21" s="648"/>
      <c r="D21" s="648"/>
      <c r="E21" s="648"/>
      <c r="F21" s="648"/>
      <c r="G21" s="648"/>
      <c r="H21" s="648"/>
      <c r="I21" s="648"/>
      <c r="J21" s="648"/>
      <c r="K21" s="648"/>
      <c r="L21" s="648"/>
      <c r="M21" s="648"/>
      <c r="N21" s="648"/>
      <c r="O21" s="648"/>
      <c r="P21" s="648"/>
    </row>
    <row r="23" spans="1:16">
      <c r="A23" s="652" t="s">
        <v>608</v>
      </c>
      <c r="B23" s="647"/>
      <c r="C23" s="647"/>
      <c r="D23" s="647"/>
      <c r="E23" s="647"/>
      <c r="F23" s="647"/>
      <c r="G23" s="647"/>
      <c r="H23" s="647"/>
      <c r="I23" s="647"/>
      <c r="J23" s="647"/>
      <c r="K23" s="647"/>
      <c r="L23" s="647"/>
      <c r="M23" s="647"/>
      <c r="N23" s="647"/>
      <c r="O23" s="647"/>
      <c r="P23" s="647"/>
    </row>
    <row r="24" spans="1:16" ht="15" customHeight="1">
      <c r="A24" s="647"/>
      <c r="B24" s="647" t="s">
        <v>540</v>
      </c>
      <c r="C24" s="653" t="s">
        <v>539</v>
      </c>
      <c r="D24" s="647"/>
      <c r="E24" s="647"/>
      <c r="F24" s="647"/>
      <c r="G24" s="647"/>
      <c r="H24" s="647"/>
      <c r="I24" s="647"/>
      <c r="J24" s="647"/>
      <c r="K24" s="647"/>
      <c r="L24" s="647"/>
      <c r="M24" s="647"/>
      <c r="N24" s="647"/>
      <c r="O24" s="647"/>
      <c r="P24" s="647"/>
    </row>
    <row r="25" spans="1:16">
      <c r="A25" s="654"/>
      <c r="B25" s="647"/>
      <c r="C25" s="653" t="s">
        <v>571</v>
      </c>
      <c r="D25" s="647"/>
      <c r="E25" s="647"/>
      <c r="F25" s="647"/>
      <c r="G25" s="647"/>
      <c r="H25" s="647"/>
      <c r="I25" s="647"/>
      <c r="J25" s="647"/>
      <c r="K25" s="647"/>
      <c r="L25" s="647"/>
      <c r="M25" s="647"/>
      <c r="N25" s="647"/>
      <c r="O25" s="647"/>
      <c r="P25" s="647"/>
    </row>
    <row r="26" spans="1:16">
      <c r="A26" s="654"/>
      <c r="B26" s="647"/>
      <c r="C26" s="653" t="s">
        <v>559</v>
      </c>
      <c r="D26" s="647"/>
      <c r="E26" s="647"/>
      <c r="F26" s="647"/>
      <c r="G26" s="647"/>
      <c r="H26" s="647"/>
      <c r="I26" s="647"/>
      <c r="J26" s="647"/>
      <c r="K26" s="647"/>
      <c r="L26" s="647"/>
      <c r="M26" s="647"/>
      <c r="N26" s="647"/>
      <c r="O26" s="647"/>
      <c r="P26" s="647"/>
    </row>
    <row r="27" spans="1:16">
      <c r="A27" s="654"/>
      <c r="B27" s="647" t="s">
        <v>541</v>
      </c>
      <c r="C27" s="653" t="s">
        <v>560</v>
      </c>
      <c r="D27" s="647"/>
      <c r="E27" s="647"/>
      <c r="F27" s="647"/>
      <c r="G27" s="647"/>
      <c r="H27" s="647"/>
      <c r="I27" s="647"/>
      <c r="J27" s="647"/>
      <c r="K27" s="647"/>
      <c r="L27" s="647"/>
      <c r="M27" s="647"/>
      <c r="N27" s="647"/>
      <c r="O27" s="647"/>
      <c r="P27" s="647"/>
    </row>
    <row r="28" spans="1:16">
      <c r="A28" s="647" t="s">
        <v>546</v>
      </c>
      <c r="B28" s="647"/>
      <c r="C28" s="647"/>
      <c r="D28" s="647"/>
      <c r="E28" s="647"/>
      <c r="F28" s="647"/>
      <c r="G28" s="647"/>
      <c r="H28" s="647"/>
      <c r="I28" s="647"/>
      <c r="J28" s="647"/>
      <c r="K28" s="647"/>
      <c r="L28" s="647"/>
      <c r="M28" s="647"/>
      <c r="N28" s="647"/>
      <c r="O28" s="647"/>
      <c r="P28" s="647"/>
    </row>
    <row r="29" spans="1:16">
      <c r="A29" s="647"/>
      <c r="B29" s="647" t="s">
        <v>653</v>
      </c>
      <c r="C29" s="655" t="s">
        <v>652</v>
      </c>
      <c r="D29" s="647"/>
      <c r="E29" s="647"/>
      <c r="F29" s="647"/>
      <c r="G29" s="647"/>
      <c r="H29" s="647"/>
      <c r="I29" s="647"/>
      <c r="J29" s="647"/>
      <c r="K29" s="647"/>
      <c r="L29" s="647"/>
      <c r="M29" s="647"/>
      <c r="N29" s="647"/>
      <c r="O29" s="647"/>
      <c r="P29" s="647"/>
    </row>
    <row r="30" spans="1:16">
      <c r="A30" s="647"/>
      <c r="B30" s="647"/>
      <c r="C30" s="656" t="s">
        <v>852</v>
      </c>
      <c r="D30" s="647"/>
      <c r="E30" s="647"/>
      <c r="F30" s="647"/>
      <c r="G30" s="647"/>
      <c r="H30" s="647"/>
      <c r="I30" s="647"/>
      <c r="J30" s="647"/>
      <c r="K30" s="647"/>
      <c r="L30" s="647"/>
      <c r="M30" s="647"/>
      <c r="N30" s="647"/>
      <c r="O30" s="647"/>
      <c r="P30" s="647"/>
    </row>
    <row r="31" spans="1:16">
      <c r="A31" s="647"/>
      <c r="B31" s="647" t="s">
        <v>542</v>
      </c>
      <c r="C31" s="653" t="s">
        <v>853</v>
      </c>
      <c r="D31" s="647"/>
      <c r="E31" s="647"/>
      <c r="F31" s="647"/>
      <c r="G31" s="647"/>
      <c r="H31" s="647"/>
      <c r="I31" s="647"/>
      <c r="J31" s="647"/>
      <c r="K31" s="647"/>
      <c r="L31" s="647"/>
      <c r="M31" s="647"/>
      <c r="N31" s="647"/>
      <c r="O31" s="647"/>
      <c r="P31" s="647"/>
    </row>
    <row r="32" spans="1:16">
      <c r="A32" s="647"/>
      <c r="B32" s="647" t="s">
        <v>579</v>
      </c>
      <c r="C32" s="653" t="s">
        <v>592</v>
      </c>
      <c r="D32" s="647"/>
      <c r="E32" s="647"/>
      <c r="F32" s="647"/>
      <c r="G32" s="647"/>
      <c r="H32" s="647"/>
      <c r="I32" s="647"/>
      <c r="J32" s="647"/>
      <c r="K32" s="647"/>
      <c r="L32" s="647"/>
      <c r="M32" s="647"/>
      <c r="N32" s="647"/>
      <c r="O32" s="647"/>
      <c r="P32" s="647"/>
    </row>
    <row r="33" spans="1:16">
      <c r="A33" s="647"/>
      <c r="B33" s="657" t="s">
        <v>580</v>
      </c>
      <c r="C33" s="653" t="s">
        <v>654</v>
      </c>
      <c r="D33" s="647"/>
      <c r="E33" s="647"/>
      <c r="F33" s="647"/>
      <c r="G33" s="647"/>
      <c r="H33" s="647"/>
      <c r="I33" s="647"/>
      <c r="J33" s="647"/>
      <c r="K33" s="647"/>
      <c r="L33" s="647"/>
      <c r="M33" s="647"/>
      <c r="N33" s="647"/>
      <c r="O33" s="647"/>
      <c r="P33" s="647"/>
    </row>
    <row r="34" spans="1:16">
      <c r="A34" s="658" t="s">
        <v>281</v>
      </c>
      <c r="B34" s="657" t="s">
        <v>573</v>
      </c>
      <c r="C34" s="653" t="s">
        <v>570</v>
      </c>
      <c r="D34" s="647"/>
      <c r="E34" s="647"/>
      <c r="F34" s="647"/>
      <c r="G34" s="647"/>
      <c r="H34" s="647"/>
      <c r="I34" s="647"/>
      <c r="J34" s="647"/>
      <c r="K34" s="647"/>
      <c r="L34" s="647"/>
      <c r="M34" s="647"/>
      <c r="N34" s="647"/>
      <c r="O34" s="647"/>
      <c r="P34" s="647"/>
    </row>
    <row r="35" spans="1:16">
      <c r="A35" s="658"/>
      <c r="B35" s="657" t="s">
        <v>574</v>
      </c>
      <c r="C35" s="653" t="s">
        <v>572</v>
      </c>
      <c r="D35" s="647"/>
      <c r="E35" s="647"/>
      <c r="F35" s="647"/>
      <c r="G35" s="647"/>
      <c r="H35" s="647"/>
      <c r="I35" s="647"/>
      <c r="J35" s="647"/>
      <c r="K35" s="647"/>
      <c r="L35" s="647"/>
      <c r="M35" s="647"/>
      <c r="N35" s="647"/>
      <c r="O35" s="647"/>
      <c r="P35" s="647"/>
    </row>
    <row r="37" spans="1:16">
      <c r="A37" s="647" t="s">
        <v>547</v>
      </c>
      <c r="B37" s="647"/>
      <c r="C37" s="647"/>
      <c r="D37" s="647"/>
      <c r="E37" s="647"/>
      <c r="F37" s="647"/>
      <c r="G37" s="647"/>
      <c r="H37" s="647"/>
      <c r="I37" s="647"/>
      <c r="J37" s="647"/>
      <c r="K37" s="647"/>
      <c r="L37" s="647"/>
      <c r="M37" s="647"/>
      <c r="N37" s="647"/>
      <c r="O37" s="647"/>
      <c r="P37" s="647"/>
    </row>
    <row r="38" spans="1:16">
      <c r="A38" s="647" t="s">
        <v>548</v>
      </c>
      <c r="B38" s="647" t="s">
        <v>549</v>
      </c>
      <c r="C38" s="647"/>
      <c r="D38" s="647"/>
      <c r="E38" s="647"/>
      <c r="F38" s="647"/>
      <c r="G38" s="647"/>
      <c r="H38" s="647"/>
      <c r="I38" s="647"/>
      <c r="J38" s="647"/>
      <c r="K38" s="647"/>
      <c r="L38" s="647"/>
      <c r="M38" s="647"/>
      <c r="N38" s="647"/>
      <c r="O38" s="647"/>
      <c r="P38" s="647"/>
    </row>
    <row r="39" spans="1:16">
      <c r="A39" s="647" t="s">
        <v>550</v>
      </c>
      <c r="B39" s="647"/>
      <c r="C39" s="647"/>
      <c r="D39" s="647"/>
      <c r="E39" s="647"/>
      <c r="F39" s="647"/>
      <c r="G39" s="647"/>
      <c r="H39" s="647"/>
      <c r="I39" s="647"/>
      <c r="J39" s="647"/>
      <c r="K39" s="647"/>
      <c r="L39" s="647"/>
      <c r="M39" s="647"/>
      <c r="N39" s="647"/>
      <c r="O39" s="647"/>
      <c r="P39" s="647"/>
    </row>
    <row r="40" spans="1:16">
      <c r="A40" s="647"/>
      <c r="B40" s="647" t="s">
        <v>551</v>
      </c>
      <c r="C40" s="647" t="s">
        <v>834</v>
      </c>
      <c r="D40" s="647"/>
      <c r="E40" s="647"/>
      <c r="F40" s="647"/>
      <c r="G40" s="647"/>
      <c r="H40" s="647"/>
      <c r="I40" s="647"/>
      <c r="J40" s="647"/>
      <c r="K40" s="647"/>
      <c r="L40" s="647"/>
      <c r="M40" s="647"/>
      <c r="N40" s="647"/>
      <c r="O40" s="647"/>
      <c r="P40" s="647"/>
    </row>
    <row r="41" spans="1:16">
      <c r="A41" s="647"/>
      <c r="B41" s="647" t="s">
        <v>552</v>
      </c>
      <c r="C41" s="647" t="s">
        <v>556</v>
      </c>
      <c r="D41" s="647"/>
      <c r="E41" s="647"/>
      <c r="F41" s="647"/>
      <c r="G41" s="647"/>
      <c r="H41" s="647"/>
      <c r="I41" s="647"/>
      <c r="J41" s="647"/>
      <c r="K41" s="647"/>
      <c r="L41" s="647"/>
      <c r="M41" s="647"/>
      <c r="N41" s="647"/>
      <c r="O41" s="647"/>
      <c r="P41" s="647"/>
    </row>
    <row r="42" spans="1:16">
      <c r="A42" s="647"/>
      <c r="B42" s="647" t="s">
        <v>553</v>
      </c>
      <c r="C42" s="647" t="s">
        <v>557</v>
      </c>
      <c r="D42" s="647"/>
      <c r="E42" s="647"/>
      <c r="F42" s="647"/>
      <c r="G42" s="647"/>
      <c r="H42" s="647"/>
      <c r="I42" s="647"/>
      <c r="J42" s="647"/>
      <c r="K42" s="647"/>
      <c r="L42" s="647"/>
      <c r="M42" s="647"/>
      <c r="N42" s="647"/>
      <c r="O42" s="647"/>
      <c r="P42" s="647"/>
    </row>
    <row r="43" spans="1:16">
      <c r="A43" s="647"/>
      <c r="B43" s="647" t="s">
        <v>558</v>
      </c>
      <c r="C43" s="647"/>
      <c r="D43" s="647"/>
      <c r="E43" s="647"/>
      <c r="F43" s="647"/>
      <c r="G43" s="647"/>
      <c r="H43" s="647"/>
      <c r="I43" s="647"/>
      <c r="J43" s="647"/>
      <c r="K43" s="647"/>
      <c r="L43" s="647"/>
      <c r="M43" s="647"/>
      <c r="N43" s="647"/>
      <c r="O43" s="647"/>
      <c r="P43" s="647"/>
    </row>
    <row r="44" spans="1:16">
      <c r="A44" s="647" t="s">
        <v>554</v>
      </c>
      <c r="B44" s="647"/>
      <c r="C44" s="647"/>
      <c r="D44" s="647"/>
      <c r="E44" s="647"/>
      <c r="F44" s="647"/>
      <c r="G44" s="647"/>
      <c r="H44" s="647"/>
      <c r="I44" s="647"/>
      <c r="J44" s="647"/>
      <c r="K44" s="647"/>
      <c r="L44" s="647"/>
      <c r="M44" s="647"/>
      <c r="N44" s="647"/>
      <c r="O44" s="647"/>
      <c r="P44" s="647"/>
    </row>
    <row r="45" spans="1:16">
      <c r="A45" s="647"/>
      <c r="B45" s="647" t="s">
        <v>551</v>
      </c>
      <c r="C45" s="647" t="s">
        <v>555</v>
      </c>
      <c r="D45" s="647"/>
      <c r="E45" s="647"/>
      <c r="F45" s="647"/>
      <c r="G45" s="647"/>
      <c r="H45" s="647"/>
      <c r="I45" s="647"/>
      <c r="J45" s="647"/>
      <c r="K45" s="647"/>
      <c r="L45" s="647"/>
      <c r="M45" s="647"/>
      <c r="N45" s="647"/>
      <c r="O45" s="647"/>
      <c r="P45" s="647"/>
    </row>
    <row r="46" spans="1:16">
      <c r="A46" s="647"/>
      <c r="B46" s="647" t="s">
        <v>553</v>
      </c>
      <c r="C46" s="708" t="s">
        <v>561</v>
      </c>
      <c r="D46" s="708"/>
      <c r="E46" s="708"/>
      <c r="F46" s="708"/>
      <c r="G46" s="708"/>
      <c r="H46" s="708"/>
      <c r="I46" s="708"/>
      <c r="J46" s="708"/>
      <c r="K46" s="708"/>
      <c r="L46" s="708"/>
      <c r="M46" s="708"/>
      <c r="N46" s="708"/>
      <c r="O46" s="708"/>
      <c r="P46" s="708"/>
    </row>
    <row r="47" spans="1:16">
      <c r="A47" s="647"/>
      <c r="B47" s="647"/>
      <c r="C47" s="708"/>
      <c r="D47" s="708"/>
      <c r="E47" s="708"/>
      <c r="F47" s="708"/>
      <c r="G47" s="708"/>
      <c r="H47" s="708"/>
      <c r="I47" s="708"/>
      <c r="J47" s="708"/>
      <c r="K47" s="708"/>
      <c r="L47" s="708"/>
      <c r="M47" s="708"/>
      <c r="N47" s="708"/>
      <c r="O47" s="708"/>
      <c r="P47" s="708"/>
    </row>
    <row r="48" spans="1:16">
      <c r="A48" s="647"/>
      <c r="B48" s="647"/>
      <c r="C48" s="708"/>
      <c r="D48" s="708"/>
      <c r="E48" s="708"/>
      <c r="F48" s="708"/>
      <c r="G48" s="708"/>
      <c r="H48" s="708"/>
      <c r="I48" s="708"/>
      <c r="J48" s="708"/>
      <c r="K48" s="708"/>
      <c r="L48" s="708"/>
      <c r="M48" s="708"/>
      <c r="N48" s="708"/>
      <c r="O48" s="708"/>
      <c r="P48" s="708"/>
    </row>
    <row r="49" spans="1:16">
      <c r="A49" s="647" t="s">
        <v>562</v>
      </c>
      <c r="B49" s="647"/>
      <c r="C49" s="659"/>
      <c r="D49" s="659"/>
      <c r="E49" s="659"/>
      <c r="F49" s="659"/>
      <c r="G49" s="659"/>
      <c r="H49" s="659"/>
      <c r="I49" s="659"/>
      <c r="J49" s="659"/>
      <c r="K49" s="659"/>
      <c r="L49" s="659"/>
      <c r="M49" s="659"/>
      <c r="N49" s="659"/>
      <c r="O49" s="659"/>
      <c r="P49" s="659"/>
    </row>
    <row r="50" spans="1:16">
      <c r="A50" s="647"/>
      <c r="B50" s="647" t="s">
        <v>428</v>
      </c>
      <c r="C50" s="659"/>
      <c r="D50" s="659"/>
      <c r="E50" s="659"/>
      <c r="F50" s="659"/>
      <c r="G50" s="659"/>
      <c r="H50" s="659"/>
      <c r="I50" s="659"/>
      <c r="J50" s="659"/>
      <c r="K50" s="659"/>
      <c r="L50" s="659"/>
      <c r="M50" s="659"/>
      <c r="N50" s="659"/>
      <c r="O50" s="659"/>
      <c r="P50" s="659"/>
    </row>
    <row r="51" spans="1:16">
      <c r="A51" s="647" t="s">
        <v>563</v>
      </c>
      <c r="B51" s="647" t="s">
        <v>564</v>
      </c>
      <c r="C51" s="659"/>
      <c r="D51" s="659"/>
      <c r="E51" s="659"/>
      <c r="F51" s="659"/>
      <c r="G51" s="659"/>
      <c r="H51" s="659"/>
      <c r="I51" s="659"/>
      <c r="J51" s="659"/>
      <c r="K51" s="659"/>
      <c r="L51" s="659"/>
      <c r="M51" s="659"/>
      <c r="N51" s="659"/>
      <c r="O51" s="659"/>
      <c r="P51" s="659"/>
    </row>
    <row r="52" spans="1:16">
      <c r="C52" s="309"/>
      <c r="D52" s="309"/>
      <c r="E52" s="309"/>
      <c r="F52" s="309"/>
      <c r="G52" s="309"/>
      <c r="H52" s="309"/>
      <c r="I52" s="309"/>
      <c r="J52" s="309"/>
      <c r="K52" s="309"/>
      <c r="L52" s="309"/>
      <c r="M52" s="309"/>
      <c r="N52" s="309"/>
      <c r="O52" s="309"/>
      <c r="P52" s="309"/>
    </row>
    <row r="53" spans="1:16">
      <c r="A53" s="647" t="s">
        <v>565</v>
      </c>
      <c r="B53" s="647"/>
      <c r="C53" s="659"/>
      <c r="D53" s="659"/>
      <c r="E53" s="659"/>
      <c r="F53" s="659"/>
      <c r="G53" s="659"/>
      <c r="H53" s="659"/>
      <c r="I53" s="659"/>
      <c r="J53" s="659"/>
      <c r="K53" s="659"/>
      <c r="L53" s="659"/>
      <c r="M53" s="659"/>
      <c r="N53" s="659"/>
      <c r="O53" s="659"/>
      <c r="P53" s="659"/>
    </row>
    <row r="54" spans="1:16">
      <c r="A54" s="647" t="s">
        <v>566</v>
      </c>
      <c r="B54" s="647"/>
      <c r="C54" s="659"/>
      <c r="D54" s="659"/>
      <c r="E54" s="659"/>
      <c r="F54" s="659"/>
      <c r="G54" s="659"/>
      <c r="H54" s="659"/>
      <c r="I54" s="659"/>
      <c r="J54" s="659"/>
      <c r="K54" s="659"/>
      <c r="L54" s="659"/>
      <c r="M54" s="659"/>
      <c r="N54" s="659"/>
      <c r="O54" s="659"/>
      <c r="P54" s="659"/>
    </row>
    <row r="55" spans="1:16">
      <c r="A55" s="647" t="s">
        <v>854</v>
      </c>
      <c r="B55" s="647"/>
      <c r="C55" s="659"/>
      <c r="D55" s="659"/>
      <c r="E55" s="659"/>
      <c r="F55" s="659"/>
      <c r="G55" s="659"/>
      <c r="H55" s="659"/>
      <c r="I55" s="659"/>
      <c r="J55" s="659"/>
      <c r="K55" s="659"/>
      <c r="L55" s="659"/>
      <c r="M55" s="659"/>
      <c r="N55" s="659"/>
      <c r="O55" s="659"/>
      <c r="P55" s="659"/>
    </row>
    <row r="56" spans="1:16">
      <c r="A56" s="647" t="s">
        <v>567</v>
      </c>
      <c r="B56" s="647"/>
      <c r="C56" s="659"/>
      <c r="D56" s="659"/>
      <c r="E56" s="659"/>
      <c r="F56" s="659"/>
      <c r="G56" s="659"/>
      <c r="H56" s="659"/>
      <c r="I56" s="659"/>
      <c r="J56" s="659"/>
      <c r="K56" s="659"/>
      <c r="L56" s="659"/>
      <c r="M56" s="659"/>
      <c r="N56" s="659"/>
      <c r="O56" s="659"/>
      <c r="P56" s="659"/>
    </row>
    <row r="57" spans="1:16">
      <c r="A57" s="647" t="s">
        <v>568</v>
      </c>
      <c r="B57" s="647"/>
      <c r="C57" s="659"/>
      <c r="D57" s="659"/>
      <c r="E57" s="659"/>
      <c r="F57" s="659"/>
      <c r="G57" s="659"/>
      <c r="H57" s="659"/>
      <c r="I57" s="659"/>
      <c r="J57" s="659"/>
      <c r="K57" s="659"/>
      <c r="L57" s="659"/>
      <c r="M57" s="659"/>
      <c r="N57" s="659"/>
      <c r="O57" s="659"/>
      <c r="P57" s="659"/>
    </row>
    <row r="58" spans="1:16">
      <c r="A58" s="647" t="s">
        <v>569</v>
      </c>
      <c r="B58" s="647"/>
      <c r="C58" s="659"/>
      <c r="D58" s="659"/>
      <c r="E58" s="659"/>
      <c r="F58" s="659"/>
      <c r="G58" s="659"/>
      <c r="H58" s="659"/>
      <c r="I58" s="659"/>
      <c r="J58" s="659"/>
      <c r="K58" s="659"/>
      <c r="L58" s="659"/>
      <c r="M58" s="659"/>
      <c r="N58" s="659"/>
      <c r="O58" s="659"/>
      <c r="P58" s="659"/>
    </row>
    <row r="59" spans="1:16">
      <c r="A59" s="647" t="s">
        <v>875</v>
      </c>
      <c r="B59" s="647"/>
      <c r="C59" s="659"/>
      <c r="D59" s="659"/>
      <c r="E59" s="659"/>
      <c r="F59" s="659"/>
      <c r="G59" s="659"/>
      <c r="H59" s="659"/>
      <c r="I59" s="659"/>
      <c r="J59" s="659"/>
      <c r="K59" s="659"/>
      <c r="L59" s="659"/>
      <c r="M59" s="659"/>
      <c r="N59" s="659"/>
      <c r="O59" s="659"/>
      <c r="P59" s="659"/>
    </row>
    <row r="60" spans="1:16">
      <c r="C60" s="309"/>
      <c r="D60" s="309"/>
      <c r="E60" s="309"/>
      <c r="F60" s="309"/>
      <c r="G60" s="309"/>
      <c r="H60" s="309"/>
      <c r="I60" s="309"/>
      <c r="J60" s="309"/>
      <c r="K60" s="309"/>
      <c r="L60" s="309"/>
      <c r="M60" s="309"/>
      <c r="N60" s="309"/>
      <c r="O60" s="309"/>
      <c r="P60" s="309"/>
    </row>
    <row r="61" spans="1:16">
      <c r="A61" s="663" t="s">
        <v>544</v>
      </c>
      <c r="B61" s="647"/>
      <c r="C61" s="664" t="s">
        <v>543</v>
      </c>
      <c r="D61" s="647"/>
      <c r="E61" s="647"/>
      <c r="F61" s="647"/>
      <c r="G61" s="647"/>
      <c r="H61" s="647"/>
      <c r="I61" s="647"/>
      <c r="J61" s="647"/>
      <c r="K61" s="647"/>
      <c r="L61" s="647"/>
      <c r="M61" s="647"/>
      <c r="N61" s="647"/>
      <c r="O61" s="647"/>
      <c r="P61" s="647"/>
    </row>
    <row r="62" spans="1:16">
      <c r="A62" s="707" t="s">
        <v>545</v>
      </c>
      <c r="B62" s="707"/>
      <c r="C62" s="707"/>
      <c r="D62" s="707"/>
      <c r="E62" s="707"/>
      <c r="F62" s="707"/>
      <c r="G62" s="707"/>
      <c r="H62" s="707"/>
      <c r="I62" s="707"/>
      <c r="J62" s="707"/>
      <c r="K62" s="707"/>
      <c r="L62" s="707"/>
      <c r="M62" s="707"/>
      <c r="N62" s="707"/>
      <c r="O62" s="707"/>
      <c r="P62" s="707"/>
    </row>
    <row r="63" spans="1:16">
      <c r="A63" s="707"/>
      <c r="B63" s="707"/>
      <c r="C63" s="707"/>
      <c r="D63" s="707"/>
      <c r="E63" s="707"/>
      <c r="F63" s="707"/>
      <c r="G63" s="707"/>
      <c r="H63" s="707"/>
      <c r="I63" s="707"/>
      <c r="J63" s="707"/>
      <c r="K63" s="707"/>
      <c r="L63" s="707"/>
      <c r="M63" s="707"/>
      <c r="N63" s="707"/>
      <c r="O63" s="707"/>
      <c r="P63" s="707"/>
    </row>
    <row r="64" spans="1:16">
      <c r="A64" s="707"/>
      <c r="B64" s="707"/>
      <c r="C64" s="707"/>
      <c r="D64" s="707"/>
      <c r="E64" s="707"/>
      <c r="F64" s="707"/>
      <c r="G64" s="707"/>
      <c r="H64" s="707"/>
      <c r="I64" s="707"/>
      <c r="J64" s="707"/>
      <c r="K64" s="707"/>
      <c r="L64" s="707"/>
      <c r="M64" s="707"/>
      <c r="N64" s="707"/>
      <c r="O64" s="707"/>
      <c r="P64" s="707"/>
    </row>
    <row r="65" spans="1:16">
      <c r="A65" s="707"/>
      <c r="B65" s="707"/>
      <c r="C65" s="707"/>
      <c r="D65" s="707"/>
      <c r="E65" s="707"/>
      <c r="F65" s="707"/>
      <c r="G65" s="707"/>
      <c r="H65" s="707"/>
      <c r="I65" s="707"/>
      <c r="J65" s="707"/>
      <c r="K65" s="707"/>
      <c r="L65" s="707"/>
      <c r="M65" s="707"/>
      <c r="N65" s="707"/>
      <c r="O65" s="707"/>
      <c r="P65" s="707"/>
    </row>
    <row r="66" spans="1:16">
      <c r="A66" s="707"/>
      <c r="B66" s="707"/>
      <c r="C66" s="707"/>
      <c r="D66" s="707"/>
      <c r="E66" s="707"/>
      <c r="F66" s="707"/>
      <c r="G66" s="707"/>
      <c r="H66" s="707"/>
      <c r="I66" s="707"/>
      <c r="J66" s="707"/>
      <c r="K66" s="707"/>
      <c r="L66" s="707"/>
      <c r="M66" s="707"/>
      <c r="N66" s="707"/>
      <c r="O66" s="707"/>
      <c r="P66" s="707"/>
    </row>
    <row r="67" spans="1:16">
      <c r="A67" s="647" t="s">
        <v>868</v>
      </c>
      <c r="B67" s="647"/>
      <c r="C67" s="647"/>
      <c r="D67" s="647"/>
      <c r="E67" s="647"/>
      <c r="F67" s="647"/>
      <c r="G67" s="647"/>
      <c r="H67" s="647"/>
      <c r="I67" s="647"/>
      <c r="J67" s="647"/>
      <c r="K67" s="647"/>
      <c r="L67" s="647"/>
      <c r="M67" s="647"/>
      <c r="N67" s="647"/>
      <c r="O67" s="647"/>
      <c r="P67" s="647"/>
    </row>
    <row r="68" spans="1:16" ht="15" customHeight="1">
      <c r="A68" s="707" t="s">
        <v>869</v>
      </c>
      <c r="B68" s="707"/>
      <c r="C68" s="707"/>
      <c r="D68" s="707"/>
      <c r="E68" s="707"/>
      <c r="F68" s="707"/>
      <c r="G68" s="707"/>
      <c r="H68" s="707"/>
      <c r="I68" s="707"/>
      <c r="J68" s="707"/>
      <c r="K68" s="707"/>
      <c r="L68" s="707"/>
      <c r="M68" s="707"/>
      <c r="N68" s="707"/>
      <c r="O68" s="707"/>
      <c r="P68" s="707"/>
    </row>
    <row r="69" spans="1:16">
      <c r="A69" s="707"/>
      <c r="B69" s="707"/>
      <c r="C69" s="707"/>
      <c r="D69" s="707"/>
      <c r="E69" s="707"/>
      <c r="F69" s="707"/>
      <c r="G69" s="707"/>
      <c r="H69" s="707"/>
      <c r="I69" s="707"/>
      <c r="J69" s="707"/>
      <c r="K69" s="707"/>
      <c r="L69" s="707"/>
      <c r="M69" s="707"/>
      <c r="N69" s="707"/>
      <c r="O69" s="707"/>
      <c r="P69" s="707"/>
    </row>
    <row r="70" spans="1:16">
      <c r="A70" s="707"/>
      <c r="B70" s="707"/>
      <c r="C70" s="707"/>
      <c r="D70" s="707"/>
      <c r="E70" s="707"/>
      <c r="F70" s="707"/>
      <c r="G70" s="707"/>
      <c r="H70" s="707"/>
      <c r="I70" s="707"/>
      <c r="J70" s="707"/>
      <c r="K70" s="707"/>
      <c r="L70" s="707"/>
      <c r="M70" s="707"/>
      <c r="N70" s="707"/>
      <c r="O70" s="707"/>
      <c r="P70" s="707"/>
    </row>
    <row r="95" spans="1:16">
      <c r="A95" s="17" t="s">
        <v>876</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95"/>
  <sheetViews>
    <sheetView zoomScale="90" zoomScaleNormal="90" workbookViewId="0">
      <pane xSplit="4" ySplit="1" topLeftCell="E35" activePane="bottomRight" state="frozen"/>
      <selection activeCell="J63" sqref="J63"/>
      <selection pane="topRight" activeCell="J63" sqref="J63"/>
      <selection pane="bottomLeft" activeCell="J63" sqref="J63"/>
      <selection pane="bottomRight" activeCell="F43" sqref="F43"/>
    </sheetView>
  </sheetViews>
  <sheetFormatPr defaultColWidth="8.44140625" defaultRowHeight="14.4"/>
  <cols>
    <col min="1" max="1" width="3.44140625" style="588" bestFit="1" customWidth="1"/>
    <col min="2" max="2" width="3.33203125" style="588" bestFit="1" customWidth="1"/>
    <col min="3" max="3" width="33.88671875" style="588" bestFit="1" customWidth="1"/>
    <col min="4" max="4" width="21.88671875" style="588" bestFit="1" customWidth="1"/>
    <col min="5" max="6" width="5.6640625" style="588" customWidth="1"/>
    <col min="7" max="7" width="8.5546875" style="588" customWidth="1"/>
    <col min="8" max="8" width="8" style="588" bestFit="1" customWidth="1"/>
    <col min="9" max="9" width="14.33203125" style="588" bestFit="1" customWidth="1"/>
    <col min="10" max="10" width="8.5546875" style="588" customWidth="1"/>
    <col min="11" max="19" width="5.6640625" style="588" customWidth="1"/>
    <col min="20" max="23" width="8.44140625" style="588"/>
    <col min="24" max="24" width="9.21875" style="588" bestFit="1" customWidth="1"/>
    <col min="25" max="1010" width="8.44140625" style="588"/>
    <col min="1011" max="1011" width="9.109375" style="588" customWidth="1"/>
    <col min="1012" max="16384" width="8.44140625" style="588"/>
  </cols>
  <sheetData>
    <row r="1" spans="1:26" ht="111.75" customHeight="1">
      <c r="A1" s="597" t="s">
        <v>674</v>
      </c>
      <c r="B1" s="597" t="s">
        <v>748</v>
      </c>
      <c r="C1" s="596" t="s">
        <v>679</v>
      </c>
      <c r="D1" s="596" t="s">
        <v>749</v>
      </c>
      <c r="E1" s="597" t="s">
        <v>750</v>
      </c>
      <c r="F1" s="597" t="s">
        <v>751</v>
      </c>
      <c r="G1" s="597" t="s">
        <v>752</v>
      </c>
      <c r="H1" s="598" t="s">
        <v>753</v>
      </c>
      <c r="I1" s="597" t="s">
        <v>754</v>
      </c>
      <c r="J1" s="597" t="s">
        <v>755</v>
      </c>
      <c r="K1" s="597" t="s">
        <v>756</v>
      </c>
      <c r="L1" s="597" t="s">
        <v>757</v>
      </c>
      <c r="M1" s="597" t="s">
        <v>758</v>
      </c>
      <c r="N1" s="598" t="s">
        <v>759</v>
      </c>
      <c r="O1" s="598" t="s">
        <v>760</v>
      </c>
      <c r="P1" s="599" t="s">
        <v>761</v>
      </c>
      <c r="Q1" s="599" t="s">
        <v>762</v>
      </c>
      <c r="R1" s="598" t="s">
        <v>763</v>
      </c>
      <c r="S1" s="598" t="s">
        <v>764</v>
      </c>
      <c r="T1" s="599" t="s">
        <v>765</v>
      </c>
      <c r="U1" s="599" t="s">
        <v>766</v>
      </c>
      <c r="V1" s="599" t="s">
        <v>767</v>
      </c>
      <c r="W1" s="599" t="s">
        <v>686</v>
      </c>
      <c r="X1" s="599" t="s">
        <v>687</v>
      </c>
      <c r="Y1" s="598" t="s">
        <v>768</v>
      </c>
      <c r="Z1" s="599" t="s">
        <v>769</v>
      </c>
    </row>
    <row r="2" spans="1:26">
      <c r="A2" s="783" t="s">
        <v>970</v>
      </c>
      <c r="B2" s="784"/>
      <c r="C2" s="785"/>
      <c r="D2" s="785"/>
      <c r="E2" s="785"/>
      <c r="F2" s="785"/>
      <c r="G2" s="785"/>
      <c r="H2" s="785"/>
      <c r="I2" s="785"/>
      <c r="J2" s="785"/>
      <c r="K2" s="785"/>
      <c r="L2" s="785"/>
      <c r="M2" s="785"/>
      <c r="N2" s="785"/>
      <c r="O2" s="785"/>
      <c r="P2" s="785"/>
      <c r="Q2" s="785"/>
      <c r="R2" s="785"/>
      <c r="S2" s="785"/>
      <c r="T2" s="785"/>
      <c r="U2" s="785"/>
      <c r="V2" s="785"/>
      <c r="W2" s="785"/>
      <c r="X2" s="786"/>
      <c r="Y2" s="785"/>
      <c r="Z2" s="785"/>
    </row>
    <row r="3" spans="1:26">
      <c r="A3" s="621" t="s">
        <v>770</v>
      </c>
      <c r="B3" s="621">
        <v>1</v>
      </c>
      <c r="C3" s="622" t="s">
        <v>402</v>
      </c>
      <c r="D3" s="622" t="s">
        <v>786</v>
      </c>
      <c r="E3" s="622"/>
      <c r="F3" s="622"/>
      <c r="G3" s="622" t="s">
        <v>787</v>
      </c>
      <c r="H3" s="622"/>
      <c r="I3" s="622" t="s">
        <v>788</v>
      </c>
      <c r="J3" s="622" t="s">
        <v>665</v>
      </c>
      <c r="K3" s="622"/>
      <c r="L3" s="622"/>
      <c r="M3" s="622"/>
      <c r="N3" s="622">
        <v>1</v>
      </c>
      <c r="O3" s="622">
        <v>1</v>
      </c>
      <c r="P3" s="622">
        <v>0</v>
      </c>
      <c r="Q3" s="622">
        <v>1</v>
      </c>
      <c r="R3" s="622">
        <v>2</v>
      </c>
      <c r="S3" s="622"/>
      <c r="T3" s="622"/>
      <c r="U3" s="622"/>
      <c r="V3" s="622"/>
      <c r="W3" s="622"/>
      <c r="X3" s="622"/>
      <c r="Y3" s="622">
        <v>0</v>
      </c>
      <c r="Z3" s="622"/>
    </row>
    <row r="4" spans="1:26">
      <c r="A4" s="621" t="s">
        <v>770</v>
      </c>
      <c r="B4" s="621">
        <v>1</v>
      </c>
      <c r="C4" s="622" t="s">
        <v>403</v>
      </c>
      <c r="D4" s="622" t="s">
        <v>789</v>
      </c>
      <c r="E4" s="622"/>
      <c r="F4" s="622"/>
      <c r="G4" s="622" t="s">
        <v>790</v>
      </c>
      <c r="H4" s="622"/>
      <c r="I4" s="622" t="s">
        <v>788</v>
      </c>
      <c r="J4" s="622" t="s">
        <v>665</v>
      </c>
      <c r="K4" s="622"/>
      <c r="L4" s="622"/>
      <c r="M4" s="622"/>
      <c r="N4" s="622">
        <v>1</v>
      </c>
      <c r="O4" s="622">
        <v>1</v>
      </c>
      <c r="P4" s="622">
        <v>0</v>
      </c>
      <c r="Q4" s="622">
        <v>1</v>
      </c>
      <c r="R4" s="622">
        <v>2.5</v>
      </c>
      <c r="S4" s="622"/>
      <c r="T4" s="622"/>
      <c r="U4" s="622"/>
      <c r="V4" s="622"/>
      <c r="W4" s="622"/>
      <c r="X4" s="622"/>
      <c r="Y4" s="622">
        <v>0</v>
      </c>
      <c r="Z4" s="622"/>
    </row>
    <row r="5" spans="1:26">
      <c r="A5" s="621" t="s">
        <v>770</v>
      </c>
      <c r="B5" s="621">
        <v>1</v>
      </c>
      <c r="C5" s="622" t="s">
        <v>233</v>
      </c>
      <c r="D5" s="622" t="s">
        <v>791</v>
      </c>
      <c r="E5" s="622"/>
      <c r="F5" s="622"/>
      <c r="G5" s="622" t="s">
        <v>791</v>
      </c>
      <c r="H5" s="622"/>
      <c r="I5" s="622" t="s">
        <v>788</v>
      </c>
      <c r="J5" s="622" t="s">
        <v>665</v>
      </c>
      <c r="K5" s="622"/>
      <c r="L5" s="622"/>
      <c r="M5" s="622"/>
      <c r="N5" s="622">
        <v>1</v>
      </c>
      <c r="O5" s="622">
        <v>1</v>
      </c>
      <c r="P5" s="622">
        <v>0</v>
      </c>
      <c r="Q5" s="622">
        <v>1</v>
      </c>
      <c r="R5" s="622">
        <v>1</v>
      </c>
      <c r="S5" s="622"/>
      <c r="T5" s="622"/>
      <c r="U5" s="622"/>
      <c r="V5" s="622"/>
      <c r="W5" s="622"/>
      <c r="X5" s="622"/>
      <c r="Y5" s="622">
        <v>0</v>
      </c>
      <c r="Z5" s="622"/>
    </row>
    <row r="6" spans="1:26">
      <c r="A6" s="621" t="s">
        <v>770</v>
      </c>
      <c r="B6" s="621">
        <v>1</v>
      </c>
      <c r="C6" s="622" t="s">
        <v>371</v>
      </c>
      <c r="D6" s="622" t="s">
        <v>792</v>
      </c>
      <c r="E6" s="622"/>
      <c r="F6" s="622"/>
      <c r="G6" s="622"/>
      <c r="H6" s="622"/>
      <c r="I6" s="622" t="s">
        <v>793</v>
      </c>
      <c r="J6" s="622" t="s">
        <v>665</v>
      </c>
      <c r="K6" s="622"/>
      <c r="L6" s="622"/>
      <c r="M6" s="622"/>
      <c r="N6" s="622">
        <v>0.99</v>
      </c>
      <c r="O6" s="622">
        <v>0.99</v>
      </c>
      <c r="P6" s="622">
        <v>0</v>
      </c>
      <c r="Q6" s="622">
        <v>1</v>
      </c>
      <c r="R6" s="622">
        <v>2</v>
      </c>
      <c r="S6" s="622"/>
      <c r="T6" s="622"/>
      <c r="U6" s="622"/>
      <c r="V6" s="622"/>
      <c r="W6" s="622"/>
      <c r="X6" s="622"/>
      <c r="Y6" s="622">
        <v>0</v>
      </c>
      <c r="Z6" s="622"/>
    </row>
    <row r="7" spans="1:26">
      <c r="A7" s="621" t="s">
        <v>770</v>
      </c>
      <c r="B7" s="621">
        <v>1</v>
      </c>
      <c r="C7" s="622" t="s">
        <v>373</v>
      </c>
      <c r="D7" s="622" t="s">
        <v>794</v>
      </c>
      <c r="E7" s="622"/>
      <c r="F7" s="622"/>
      <c r="G7" s="622"/>
      <c r="H7" s="622"/>
      <c r="I7" s="622" t="s">
        <v>795</v>
      </c>
      <c r="J7" s="622" t="s">
        <v>665</v>
      </c>
      <c r="K7" s="622"/>
      <c r="L7" s="622"/>
      <c r="M7" s="622"/>
      <c r="N7" s="622">
        <v>0.99</v>
      </c>
      <c r="O7" s="622">
        <v>0.99</v>
      </c>
      <c r="P7" s="622">
        <v>0</v>
      </c>
      <c r="Q7" s="622">
        <v>1</v>
      </c>
      <c r="R7" s="622">
        <v>2</v>
      </c>
      <c r="S7" s="622"/>
      <c r="T7" s="622"/>
      <c r="U7" s="622"/>
      <c r="V7" s="622"/>
      <c r="W7" s="622"/>
      <c r="X7" s="622"/>
      <c r="Y7" s="622">
        <v>0</v>
      </c>
      <c r="Z7" s="622"/>
    </row>
    <row r="8" spans="1:26">
      <c r="A8" s="589" t="s">
        <v>770</v>
      </c>
      <c r="B8" s="589">
        <v>1</v>
      </c>
      <c r="C8" s="590" t="s">
        <v>801</v>
      </c>
      <c r="D8" s="590" t="s">
        <v>802</v>
      </c>
      <c r="E8" s="590"/>
      <c r="F8" s="590"/>
      <c r="G8" s="590"/>
      <c r="H8" s="590"/>
      <c r="I8" s="590" t="s">
        <v>803</v>
      </c>
      <c r="J8" s="590" t="s">
        <v>665</v>
      </c>
      <c r="K8" s="590"/>
      <c r="L8" s="590"/>
      <c r="M8" s="590"/>
      <c r="N8" s="590">
        <v>1</v>
      </c>
      <c r="O8" s="590">
        <v>1</v>
      </c>
      <c r="P8" s="590">
        <v>0</v>
      </c>
      <c r="Q8" s="590">
        <v>1</v>
      </c>
      <c r="R8" s="617">
        <v>1.1000000000000001</v>
      </c>
      <c r="S8" s="590"/>
      <c r="T8" s="590"/>
      <c r="U8" s="590"/>
      <c r="V8" s="590"/>
      <c r="W8" s="590"/>
      <c r="X8" s="590"/>
      <c r="Y8" s="590">
        <v>0</v>
      </c>
      <c r="Z8" s="590"/>
    </row>
    <row r="9" spans="1:26">
      <c r="A9" s="589" t="s">
        <v>770</v>
      </c>
      <c r="B9" s="589">
        <v>1</v>
      </c>
      <c r="C9" s="590" t="s">
        <v>804</v>
      </c>
      <c r="D9" s="590" t="s">
        <v>805</v>
      </c>
      <c r="E9" s="590"/>
      <c r="F9" s="590"/>
      <c r="G9" s="590"/>
      <c r="H9" s="590"/>
      <c r="I9" s="590" t="s">
        <v>665</v>
      </c>
      <c r="J9" s="590" t="s">
        <v>803</v>
      </c>
      <c r="K9" s="590"/>
      <c r="L9" s="590"/>
      <c r="M9" s="590"/>
      <c r="N9" s="590">
        <v>0.8</v>
      </c>
      <c r="O9" s="590">
        <v>0.8</v>
      </c>
      <c r="P9" s="590">
        <v>0</v>
      </c>
      <c r="Q9" s="590">
        <v>1</v>
      </c>
      <c r="R9" s="617">
        <v>1</v>
      </c>
      <c r="S9" s="590"/>
      <c r="T9" s="590"/>
      <c r="U9" s="590"/>
      <c r="V9" s="590"/>
      <c r="W9" s="590"/>
      <c r="X9" s="590"/>
      <c r="Y9" s="590">
        <v>0</v>
      </c>
      <c r="Z9" s="590"/>
    </row>
    <row r="10" spans="1:26">
      <c r="A10" s="616" t="s">
        <v>770</v>
      </c>
      <c r="B10" s="616">
        <v>1</v>
      </c>
      <c r="C10" s="617" t="s">
        <v>442</v>
      </c>
      <c r="D10" s="617" t="s">
        <v>806</v>
      </c>
      <c r="E10" s="617"/>
      <c r="F10" s="617"/>
      <c r="G10" s="617"/>
      <c r="H10" s="617"/>
      <c r="I10" s="617" t="s">
        <v>807</v>
      </c>
      <c r="J10" s="617" t="s">
        <v>665</v>
      </c>
      <c r="K10" s="617"/>
      <c r="L10" s="617"/>
      <c r="M10" s="617"/>
      <c r="N10" s="617">
        <v>1</v>
      </c>
      <c r="O10" s="617">
        <v>1</v>
      </c>
      <c r="P10" s="617">
        <v>0</v>
      </c>
      <c r="Q10" s="617">
        <v>1</v>
      </c>
      <c r="R10" s="617">
        <v>0.9</v>
      </c>
      <c r="S10" s="617"/>
      <c r="T10" s="617"/>
      <c r="U10" s="617"/>
      <c r="V10" s="617"/>
      <c r="W10" s="617"/>
      <c r="X10" s="617"/>
      <c r="Y10" s="617">
        <v>0</v>
      </c>
      <c r="Z10" s="617"/>
    </row>
    <row r="11" spans="1:26">
      <c r="A11" s="616" t="s">
        <v>770</v>
      </c>
      <c r="B11" s="616">
        <v>1</v>
      </c>
      <c r="C11" s="617" t="s">
        <v>443</v>
      </c>
      <c r="D11" s="617" t="s">
        <v>808</v>
      </c>
      <c r="E11" s="617"/>
      <c r="F11" s="617"/>
      <c r="G11" s="617"/>
      <c r="H11" s="617"/>
      <c r="I11" s="617" t="s">
        <v>665</v>
      </c>
      <c r="J11" s="617" t="s">
        <v>807</v>
      </c>
      <c r="K11" s="617"/>
      <c r="L11" s="617"/>
      <c r="M11" s="617"/>
      <c r="N11" s="617">
        <v>0.8</v>
      </c>
      <c r="O11" s="617">
        <v>0.8</v>
      </c>
      <c r="P11" s="617">
        <v>0</v>
      </c>
      <c r="Q11" s="617">
        <v>1</v>
      </c>
      <c r="R11" s="617">
        <v>0.9</v>
      </c>
      <c r="S11" s="617"/>
      <c r="T11" s="617"/>
      <c r="U11" s="617"/>
      <c r="V11" s="617"/>
      <c r="W11" s="617"/>
      <c r="X11" s="617"/>
      <c r="Y11" s="617">
        <v>0</v>
      </c>
      <c r="Z11" s="617"/>
    </row>
    <row r="12" spans="1:26">
      <c r="A12" s="787" t="s">
        <v>969</v>
      </c>
      <c r="B12" s="788"/>
      <c r="C12" s="788"/>
      <c r="D12" s="789"/>
      <c r="E12" s="790"/>
      <c r="F12" s="790"/>
      <c r="G12" s="790"/>
      <c r="H12" s="790"/>
      <c r="I12" s="790"/>
      <c r="J12" s="790"/>
      <c r="K12" s="790"/>
      <c r="L12" s="790"/>
      <c r="M12" s="790"/>
      <c r="N12" s="790"/>
      <c r="O12" s="790"/>
      <c r="P12" s="790"/>
      <c r="Q12" s="790"/>
      <c r="R12" s="790"/>
      <c r="S12" s="790"/>
      <c r="T12" s="790"/>
      <c r="U12" s="790"/>
      <c r="V12" s="790"/>
      <c r="W12" s="790"/>
      <c r="X12" s="790"/>
      <c r="Y12" s="790"/>
      <c r="Z12" s="790"/>
    </row>
    <row r="13" spans="1:26">
      <c r="A13" s="589" t="s">
        <v>770</v>
      </c>
      <c r="B13" s="589">
        <v>1</v>
      </c>
      <c r="C13" s="590" t="s">
        <v>142</v>
      </c>
      <c r="D13" s="590" t="s">
        <v>771</v>
      </c>
      <c r="E13" s="590"/>
      <c r="F13" s="590"/>
      <c r="G13" s="590"/>
      <c r="H13" s="590"/>
      <c r="I13" s="590" t="s">
        <v>142</v>
      </c>
      <c r="J13" s="590" t="s">
        <v>665</v>
      </c>
      <c r="K13" s="590"/>
      <c r="L13" s="590"/>
      <c r="M13" s="590"/>
      <c r="N13" s="590">
        <v>0.33</v>
      </c>
      <c r="O13" s="590">
        <v>0.33</v>
      </c>
      <c r="P13" s="590">
        <v>0.95</v>
      </c>
      <c r="Q13" s="590">
        <v>1</v>
      </c>
      <c r="R13" s="620">
        <v>1</v>
      </c>
      <c r="S13" s="620"/>
      <c r="T13" s="590">
        <v>0.05</v>
      </c>
      <c r="U13" s="590">
        <v>0.05</v>
      </c>
      <c r="V13" s="590"/>
      <c r="W13" s="590"/>
      <c r="X13" s="590"/>
      <c r="Y13" s="617">
        <v>2000</v>
      </c>
      <c r="Z13" s="795"/>
    </row>
    <row r="14" spans="1:26">
      <c r="A14" s="616" t="s">
        <v>770</v>
      </c>
      <c r="B14" s="616">
        <v>1</v>
      </c>
      <c r="C14" s="617" t="s">
        <v>832</v>
      </c>
      <c r="D14" s="617" t="s">
        <v>833</v>
      </c>
      <c r="E14" s="617"/>
      <c r="F14" s="617"/>
      <c r="G14" s="617"/>
      <c r="H14" s="617"/>
      <c r="I14" s="617" t="s">
        <v>142</v>
      </c>
      <c r="J14" s="617" t="s">
        <v>665</v>
      </c>
      <c r="K14" s="617"/>
      <c r="L14" s="617"/>
      <c r="M14" s="617"/>
      <c r="N14" s="617">
        <v>0.33</v>
      </c>
      <c r="O14" s="617">
        <v>0.33</v>
      </c>
      <c r="P14" s="617">
        <v>0.95</v>
      </c>
      <c r="Q14" s="617">
        <v>1</v>
      </c>
      <c r="R14" s="650">
        <v>1</v>
      </c>
      <c r="S14" s="650"/>
      <c r="T14" s="617">
        <v>0.05</v>
      </c>
      <c r="U14" s="617">
        <v>0.05</v>
      </c>
      <c r="V14" s="617"/>
      <c r="W14" s="617"/>
      <c r="X14" s="617"/>
      <c r="Y14" s="617">
        <v>1000</v>
      </c>
      <c r="Z14" s="795"/>
    </row>
    <row r="15" spans="1:26">
      <c r="A15" s="669" t="s">
        <v>770</v>
      </c>
      <c r="B15" s="669">
        <v>1</v>
      </c>
      <c r="C15" s="670" t="s">
        <v>963</v>
      </c>
      <c r="D15" s="670" t="s">
        <v>965</v>
      </c>
      <c r="E15" s="670"/>
      <c r="F15" s="670"/>
      <c r="G15" s="670"/>
      <c r="H15" s="670" t="s">
        <v>907</v>
      </c>
      <c r="I15" s="670" t="s">
        <v>245</v>
      </c>
      <c r="J15" s="670" t="s">
        <v>665</v>
      </c>
      <c r="K15" s="670"/>
      <c r="L15" s="670"/>
      <c r="M15" s="670"/>
      <c r="N15" s="670">
        <v>0.4</v>
      </c>
      <c r="O15" s="670">
        <v>0.4</v>
      </c>
      <c r="P15" s="670">
        <v>0.5</v>
      </c>
      <c r="Q15" s="670">
        <v>1</v>
      </c>
      <c r="R15" s="670">
        <v>3.3</v>
      </c>
      <c r="S15" s="670"/>
      <c r="T15" s="670">
        <v>0.02</v>
      </c>
      <c r="U15" s="670">
        <v>0.05</v>
      </c>
      <c r="V15" s="670"/>
      <c r="W15" s="670"/>
      <c r="X15" s="670"/>
      <c r="Y15" s="670">
        <v>80</v>
      </c>
      <c r="Z15" s="590"/>
    </row>
    <row r="16" spans="1:26">
      <c r="A16" s="669" t="s">
        <v>770</v>
      </c>
      <c r="B16" s="669">
        <v>1</v>
      </c>
      <c r="C16" s="670" t="s">
        <v>964</v>
      </c>
      <c r="D16" s="670" t="s">
        <v>966</v>
      </c>
      <c r="E16" s="670"/>
      <c r="F16" s="670"/>
      <c r="G16" s="670"/>
      <c r="H16" s="670" t="s">
        <v>907</v>
      </c>
      <c r="I16" s="670" t="s">
        <v>248</v>
      </c>
      <c r="J16" s="670" t="s">
        <v>665</v>
      </c>
      <c r="K16" s="670"/>
      <c r="L16" s="670"/>
      <c r="M16" s="670"/>
      <c r="N16" s="670">
        <v>0.35</v>
      </c>
      <c r="O16" s="670">
        <v>0.35</v>
      </c>
      <c r="P16" s="670">
        <v>0.5</v>
      </c>
      <c r="Q16" s="670">
        <v>1</v>
      </c>
      <c r="R16" s="670">
        <v>1.1000000000000001</v>
      </c>
      <c r="S16" s="670"/>
      <c r="T16" s="670">
        <v>0.08</v>
      </c>
      <c r="U16" s="670">
        <v>0.08</v>
      </c>
      <c r="V16" s="670"/>
      <c r="W16" s="670"/>
      <c r="X16" s="670"/>
      <c r="Y16" s="670">
        <v>38.4</v>
      </c>
      <c r="Z16" s="622"/>
    </row>
    <row r="17" spans="1:27">
      <c r="A17" s="669" t="s">
        <v>770</v>
      </c>
      <c r="B17" s="669">
        <v>1</v>
      </c>
      <c r="C17" s="670" t="s">
        <v>242</v>
      </c>
      <c r="D17" s="670" t="s">
        <v>967</v>
      </c>
      <c r="E17" s="670"/>
      <c r="F17" s="670"/>
      <c r="G17" s="670"/>
      <c r="H17" s="670" t="s">
        <v>907</v>
      </c>
      <c r="I17" s="670" t="s">
        <v>145</v>
      </c>
      <c r="J17" s="670" t="s">
        <v>665</v>
      </c>
      <c r="K17" s="670"/>
      <c r="L17" s="670"/>
      <c r="M17" s="670"/>
      <c r="N17" s="670">
        <v>0.41</v>
      </c>
      <c r="O17" s="670">
        <v>0.41</v>
      </c>
      <c r="P17" s="670">
        <v>0.4</v>
      </c>
      <c r="Q17" s="670">
        <v>1</v>
      </c>
      <c r="R17" s="670">
        <v>1.6</v>
      </c>
      <c r="S17" s="670"/>
      <c r="T17" s="670">
        <v>0.12</v>
      </c>
      <c r="U17" s="670">
        <v>0.12</v>
      </c>
      <c r="V17" s="670"/>
      <c r="W17" s="670"/>
      <c r="X17" s="670"/>
      <c r="Y17" s="670">
        <v>50</v>
      </c>
      <c r="Z17" s="622"/>
    </row>
    <row r="18" spans="1:27">
      <c r="A18" s="669" t="s">
        <v>770</v>
      </c>
      <c r="B18" s="669">
        <v>1</v>
      </c>
      <c r="C18" s="670" t="s">
        <v>239</v>
      </c>
      <c r="D18" s="670" t="s">
        <v>968</v>
      </c>
      <c r="E18" s="670"/>
      <c r="F18" s="670"/>
      <c r="G18" s="670"/>
      <c r="H18" s="670" t="s">
        <v>907</v>
      </c>
      <c r="I18" s="670" t="s">
        <v>145</v>
      </c>
      <c r="J18" s="670" t="s">
        <v>665</v>
      </c>
      <c r="K18" s="670"/>
      <c r="L18" s="670"/>
      <c r="M18" s="670"/>
      <c r="N18" s="670">
        <v>0.57999999999999996</v>
      </c>
      <c r="O18" s="670">
        <v>0.57999999999999996</v>
      </c>
      <c r="P18" s="670">
        <v>0.4</v>
      </c>
      <c r="Q18" s="670">
        <v>1</v>
      </c>
      <c r="R18" s="670">
        <v>1.6</v>
      </c>
      <c r="S18" s="670"/>
      <c r="T18" s="670">
        <v>0.04</v>
      </c>
      <c r="U18" s="670">
        <v>0.05</v>
      </c>
      <c r="V18" s="670"/>
      <c r="W18" s="670"/>
      <c r="X18" s="670"/>
      <c r="Y18" s="670">
        <v>36.020000000000003</v>
      </c>
      <c r="Z18" s="670"/>
    </row>
    <row r="19" spans="1:27">
      <c r="A19" s="616" t="s">
        <v>770</v>
      </c>
      <c r="B19" s="616">
        <v>1</v>
      </c>
      <c r="C19" s="617" t="s">
        <v>895</v>
      </c>
      <c r="D19" s="617" t="s">
        <v>895</v>
      </c>
      <c r="E19" s="617"/>
      <c r="F19" s="617"/>
      <c r="G19" s="617"/>
      <c r="H19" s="617"/>
      <c r="I19" s="617" t="s">
        <v>772</v>
      </c>
      <c r="J19" s="617" t="s">
        <v>665</v>
      </c>
      <c r="K19" s="617"/>
      <c r="L19" s="617"/>
      <c r="M19" s="617"/>
      <c r="N19" s="617">
        <v>0.46</v>
      </c>
      <c r="O19" s="617">
        <v>0.46</v>
      </c>
      <c r="P19" s="617">
        <v>0.25</v>
      </c>
      <c r="Q19" s="617">
        <v>1</v>
      </c>
      <c r="R19" s="617">
        <v>3.3</v>
      </c>
      <c r="S19" s="617"/>
      <c r="T19" s="617">
        <v>0.04</v>
      </c>
      <c r="U19" s="617">
        <v>0.05</v>
      </c>
      <c r="V19" s="617"/>
      <c r="W19" s="617"/>
      <c r="X19" s="617"/>
      <c r="Y19" s="617">
        <v>57.17</v>
      </c>
      <c r="Z19" s="617"/>
    </row>
    <row r="20" spans="1:27">
      <c r="A20" s="669" t="s">
        <v>770</v>
      </c>
      <c r="B20" s="669">
        <v>1</v>
      </c>
      <c r="C20" s="670" t="s">
        <v>243</v>
      </c>
      <c r="D20" s="670" t="s">
        <v>922</v>
      </c>
      <c r="E20" s="670"/>
      <c r="F20" s="670"/>
      <c r="G20" s="670"/>
      <c r="H20" s="670"/>
      <c r="I20" s="670" t="s">
        <v>697</v>
      </c>
      <c r="J20" s="670" t="s">
        <v>665</v>
      </c>
      <c r="K20" s="670"/>
      <c r="L20" s="670"/>
      <c r="M20" s="670"/>
      <c r="N20" s="670">
        <v>0.6</v>
      </c>
      <c r="O20" s="670">
        <v>0.6</v>
      </c>
      <c r="P20" s="670">
        <v>0.4</v>
      </c>
      <c r="Q20" s="670">
        <v>1</v>
      </c>
      <c r="R20" s="670">
        <v>1.6</v>
      </c>
      <c r="S20" s="670"/>
      <c r="T20" s="670">
        <v>0.04</v>
      </c>
      <c r="U20" s="670">
        <v>0.05</v>
      </c>
      <c r="V20" s="670"/>
      <c r="W20" s="670"/>
      <c r="X20" s="670"/>
      <c r="Y20" s="670">
        <v>36.020000000000003</v>
      </c>
      <c r="Z20" s="670"/>
    </row>
    <row r="21" spans="1:27">
      <c r="A21" s="616" t="s">
        <v>770</v>
      </c>
      <c r="B21" s="616">
        <v>1</v>
      </c>
      <c r="C21" s="617" t="s">
        <v>696</v>
      </c>
      <c r="D21" s="617" t="s">
        <v>799</v>
      </c>
      <c r="E21" s="617"/>
      <c r="F21" s="617"/>
      <c r="G21" s="617"/>
      <c r="H21" s="617"/>
      <c r="I21" s="617" t="s">
        <v>798</v>
      </c>
      <c r="J21" s="617" t="s">
        <v>665</v>
      </c>
      <c r="K21" s="617"/>
      <c r="L21" s="617"/>
      <c r="M21" s="617"/>
      <c r="N21" s="617">
        <v>0.95</v>
      </c>
      <c r="O21" s="617">
        <v>0.95</v>
      </c>
      <c r="P21" s="617">
        <v>0</v>
      </c>
      <c r="Q21" s="617">
        <v>1</v>
      </c>
      <c r="R21" s="617">
        <v>0.95</v>
      </c>
      <c r="S21" s="617"/>
      <c r="T21" s="617"/>
      <c r="U21" s="617"/>
      <c r="V21" s="617"/>
      <c r="W21" s="617"/>
      <c r="X21" s="617"/>
      <c r="Y21" s="617">
        <v>0</v>
      </c>
      <c r="Z21" s="617">
        <v>4</v>
      </c>
    </row>
    <row r="22" spans="1:27">
      <c r="A22" s="616" t="s">
        <v>770</v>
      </c>
      <c r="B22" s="616">
        <v>1</v>
      </c>
      <c r="C22" s="617" t="s">
        <v>695</v>
      </c>
      <c r="D22" s="617" t="s">
        <v>800</v>
      </c>
      <c r="E22" s="617"/>
      <c r="F22" s="617"/>
      <c r="G22" s="617"/>
      <c r="H22" s="617"/>
      <c r="I22" s="617" t="s">
        <v>665</v>
      </c>
      <c r="J22" s="617" t="s">
        <v>798</v>
      </c>
      <c r="K22" s="617"/>
      <c r="L22" s="617"/>
      <c r="M22" s="617"/>
      <c r="N22" s="617">
        <v>0.95</v>
      </c>
      <c r="O22" s="617">
        <v>0.95</v>
      </c>
      <c r="P22" s="617">
        <v>0</v>
      </c>
      <c r="Q22" s="617">
        <v>1</v>
      </c>
      <c r="R22" s="617">
        <v>0.95</v>
      </c>
      <c r="S22" s="617"/>
      <c r="T22" s="617"/>
      <c r="U22" s="617"/>
      <c r="V22" s="617"/>
      <c r="W22" s="617"/>
      <c r="X22" s="617"/>
      <c r="Y22" s="617">
        <v>0</v>
      </c>
      <c r="Z22" s="617"/>
    </row>
    <row r="23" spans="1:27">
      <c r="A23" s="589" t="s">
        <v>770</v>
      </c>
      <c r="B23" s="589">
        <v>1</v>
      </c>
      <c r="C23" s="590" t="s">
        <v>432</v>
      </c>
      <c r="D23" s="590" t="s">
        <v>816</v>
      </c>
      <c r="E23" s="590" t="b">
        <v>1</v>
      </c>
      <c r="F23" s="590"/>
      <c r="G23" s="590"/>
      <c r="H23" s="590"/>
      <c r="I23" s="590" t="s">
        <v>788</v>
      </c>
      <c r="J23" s="590" t="s">
        <v>665</v>
      </c>
      <c r="K23" s="590"/>
      <c r="L23" s="590"/>
      <c r="M23" s="590"/>
      <c r="N23" s="590">
        <v>1</v>
      </c>
      <c r="O23" s="590">
        <v>1</v>
      </c>
      <c r="P23" s="590">
        <v>0</v>
      </c>
      <c r="Q23" s="590">
        <v>1</v>
      </c>
      <c r="R23" s="590">
        <v>500</v>
      </c>
      <c r="S23" s="590"/>
      <c r="T23" s="590"/>
      <c r="U23" s="590"/>
      <c r="V23" s="590"/>
      <c r="W23" s="590"/>
      <c r="X23" s="590"/>
      <c r="Y23" s="590">
        <v>0</v>
      </c>
      <c r="Z23" s="590"/>
    </row>
    <row r="24" spans="1:27">
      <c r="A24" s="589" t="s">
        <v>770</v>
      </c>
      <c r="B24" s="589">
        <v>1</v>
      </c>
      <c r="C24" s="590" t="s">
        <v>433</v>
      </c>
      <c r="D24" s="590" t="s">
        <v>817</v>
      </c>
      <c r="E24" s="590" t="b">
        <v>1</v>
      </c>
      <c r="F24" s="590"/>
      <c r="G24" s="590"/>
      <c r="H24" s="590"/>
      <c r="I24" s="590" t="s">
        <v>788</v>
      </c>
      <c r="J24" s="590" t="s">
        <v>665</v>
      </c>
      <c r="K24" s="590"/>
      <c r="L24" s="590"/>
      <c r="M24" s="590"/>
      <c r="N24" s="590">
        <v>1</v>
      </c>
      <c r="O24" s="590">
        <v>1</v>
      </c>
      <c r="P24" s="590">
        <v>0</v>
      </c>
      <c r="Q24" s="590">
        <v>1</v>
      </c>
      <c r="R24" s="590">
        <v>1000</v>
      </c>
      <c r="S24" s="590"/>
      <c r="T24" s="590"/>
      <c r="U24" s="590"/>
      <c r="V24" s="590"/>
      <c r="W24" s="590"/>
      <c r="X24" s="590"/>
      <c r="Y24" s="590">
        <v>0</v>
      </c>
      <c r="Z24" s="590"/>
    </row>
    <row r="25" spans="1:27">
      <c r="A25" s="589" t="s">
        <v>770</v>
      </c>
      <c r="B25" s="589">
        <v>1</v>
      </c>
      <c r="C25" s="590" t="s">
        <v>434</v>
      </c>
      <c r="D25" s="590" t="s">
        <v>818</v>
      </c>
      <c r="E25" s="590"/>
      <c r="F25" s="590" t="b">
        <v>1</v>
      </c>
      <c r="G25" s="590"/>
      <c r="H25" s="590"/>
      <c r="I25" s="590" t="s">
        <v>665</v>
      </c>
      <c r="J25" s="590" t="s">
        <v>788</v>
      </c>
      <c r="K25" s="590"/>
      <c r="L25" s="590"/>
      <c r="M25" s="590"/>
      <c r="N25" s="590">
        <v>1</v>
      </c>
      <c r="O25" s="590">
        <v>1</v>
      </c>
      <c r="P25" s="590">
        <v>0</v>
      </c>
      <c r="Q25" s="590">
        <v>1</v>
      </c>
      <c r="R25" s="590"/>
      <c r="S25" s="590">
        <v>20</v>
      </c>
      <c r="T25" s="590"/>
      <c r="U25" s="590"/>
      <c r="V25" s="590"/>
      <c r="W25" s="590"/>
      <c r="X25" s="590"/>
      <c r="Y25" s="590">
        <v>0</v>
      </c>
      <c r="Z25" s="590"/>
    </row>
    <row r="26" spans="1:27">
      <c r="A26" s="589" t="s">
        <v>770</v>
      </c>
      <c r="B26" s="589">
        <v>1</v>
      </c>
      <c r="C26" s="590" t="s">
        <v>435</v>
      </c>
      <c r="D26" s="590" t="s">
        <v>819</v>
      </c>
      <c r="E26" s="590"/>
      <c r="F26" s="590" t="b">
        <v>1</v>
      </c>
      <c r="G26" s="590"/>
      <c r="H26" s="590"/>
      <c r="I26" s="590" t="s">
        <v>665</v>
      </c>
      <c r="J26" s="590" t="s">
        <v>788</v>
      </c>
      <c r="K26" s="590"/>
      <c r="L26" s="590"/>
      <c r="M26" s="590"/>
      <c r="N26" s="590">
        <v>1</v>
      </c>
      <c r="O26" s="590">
        <v>1</v>
      </c>
      <c r="P26" s="590">
        <v>0</v>
      </c>
      <c r="Q26" s="590">
        <v>1</v>
      </c>
      <c r="R26" s="590"/>
      <c r="S26" s="590">
        <v>10</v>
      </c>
      <c r="T26" s="590"/>
      <c r="U26" s="590"/>
      <c r="V26" s="590"/>
      <c r="W26" s="590"/>
      <c r="X26" s="590"/>
      <c r="Y26" s="590">
        <v>0</v>
      </c>
      <c r="Z26" s="590"/>
    </row>
    <row r="27" spans="1:27">
      <c r="A27" s="791" t="s">
        <v>959</v>
      </c>
      <c r="B27" s="792"/>
      <c r="C27" s="792"/>
      <c r="D27" s="792"/>
      <c r="E27" s="792"/>
      <c r="F27" s="792"/>
      <c r="G27" s="792"/>
      <c r="H27" s="792"/>
      <c r="I27" s="792"/>
      <c r="J27" s="792"/>
      <c r="K27" s="792"/>
      <c r="L27" s="792"/>
      <c r="M27" s="792"/>
      <c r="N27" s="792"/>
      <c r="O27" s="792"/>
      <c r="P27" s="792"/>
      <c r="Q27" s="792"/>
      <c r="R27" s="792"/>
      <c r="S27" s="792"/>
      <c r="T27" s="792"/>
      <c r="U27" s="792"/>
      <c r="V27" s="792"/>
      <c r="W27" s="792"/>
      <c r="X27" s="792"/>
      <c r="Y27" s="792"/>
      <c r="Z27" s="792"/>
    </row>
    <row r="28" spans="1:27">
      <c r="A28" s="616" t="s">
        <v>770</v>
      </c>
      <c r="B28" s="616">
        <v>1</v>
      </c>
      <c r="C28" s="617" t="s">
        <v>445</v>
      </c>
      <c r="D28" s="617" t="s">
        <v>773</v>
      </c>
      <c r="E28" s="617"/>
      <c r="F28" s="617"/>
      <c r="G28" s="617"/>
      <c r="H28" s="617" t="s">
        <v>907</v>
      </c>
      <c r="I28" s="617" t="s">
        <v>245</v>
      </c>
      <c r="J28" s="617" t="s">
        <v>665</v>
      </c>
      <c r="K28" s="617" t="s">
        <v>670</v>
      </c>
      <c r="L28" s="617"/>
      <c r="M28" s="617"/>
      <c r="N28" s="617">
        <v>0.9</v>
      </c>
      <c r="O28" s="617">
        <v>0.9</v>
      </c>
      <c r="P28" s="617">
        <v>0.4</v>
      </c>
      <c r="Q28" s="617">
        <v>1</v>
      </c>
      <c r="R28" s="617">
        <v>2</v>
      </c>
      <c r="S28" s="617"/>
      <c r="T28" s="617">
        <v>0.05</v>
      </c>
      <c r="U28" s="617">
        <v>0.05</v>
      </c>
      <c r="V28" s="617"/>
      <c r="W28" s="617">
        <v>0.5</v>
      </c>
      <c r="X28" s="618">
        <v>-0.16700000000000001</v>
      </c>
      <c r="Y28" s="617">
        <v>150</v>
      </c>
      <c r="Z28" s="617"/>
    </row>
    <row r="29" spans="1:27">
      <c r="A29" s="616" t="s">
        <v>770</v>
      </c>
      <c r="B29" s="616">
        <v>1</v>
      </c>
      <c r="C29" s="617" t="s">
        <v>444</v>
      </c>
      <c r="D29" s="617" t="s">
        <v>785</v>
      </c>
      <c r="E29" s="617"/>
      <c r="F29" s="617"/>
      <c r="G29" s="617"/>
      <c r="H29" s="617"/>
      <c r="I29" s="617" t="s">
        <v>772</v>
      </c>
      <c r="J29" s="617" t="s">
        <v>665</v>
      </c>
      <c r="K29" s="617" t="s">
        <v>670</v>
      </c>
      <c r="L29" s="617"/>
      <c r="M29" s="617"/>
      <c r="N29" s="617">
        <v>0.9</v>
      </c>
      <c r="O29" s="617">
        <v>0.9</v>
      </c>
      <c r="P29" s="617">
        <v>0.4</v>
      </c>
      <c r="Q29" s="617">
        <v>1</v>
      </c>
      <c r="R29" s="617">
        <v>2</v>
      </c>
      <c r="S29" s="617"/>
      <c r="T29" s="617">
        <v>0.05</v>
      </c>
      <c r="U29" s="617">
        <v>0.05</v>
      </c>
      <c r="V29" s="617"/>
      <c r="W29" s="617">
        <v>0.5</v>
      </c>
      <c r="X29" s="618">
        <v>-0.16666666666666666</v>
      </c>
      <c r="Y29" s="617">
        <v>90</v>
      </c>
      <c r="Z29" s="617"/>
    </row>
    <row r="30" spans="1:27" s="591" customFormat="1">
      <c r="A30" s="621" t="s">
        <v>770</v>
      </c>
      <c r="B30" s="621">
        <v>1</v>
      </c>
      <c r="C30" s="622" t="s">
        <v>516</v>
      </c>
      <c r="D30" s="622" t="s">
        <v>774</v>
      </c>
      <c r="E30" s="622"/>
      <c r="F30" s="622"/>
      <c r="G30" s="622"/>
      <c r="H30" s="622" t="s">
        <v>907</v>
      </c>
      <c r="I30" s="622" t="s">
        <v>245</v>
      </c>
      <c r="J30" s="622" t="s">
        <v>665</v>
      </c>
      <c r="K30" s="622" t="s">
        <v>668</v>
      </c>
      <c r="L30" s="622"/>
      <c r="M30" s="622"/>
      <c r="N30" s="622">
        <v>0.89</v>
      </c>
      <c r="O30" s="622">
        <v>0.89</v>
      </c>
      <c r="P30" s="622">
        <v>0.4</v>
      </c>
      <c r="Q30" s="622">
        <v>1</v>
      </c>
      <c r="R30" s="622">
        <v>2</v>
      </c>
      <c r="S30" s="622"/>
      <c r="T30" s="622">
        <v>0.05</v>
      </c>
      <c r="U30" s="622">
        <v>0.05</v>
      </c>
      <c r="V30" s="622"/>
      <c r="W30" s="622">
        <v>0.45</v>
      </c>
      <c r="X30" s="622"/>
      <c r="Y30" s="622">
        <v>150</v>
      </c>
      <c r="Z30" s="622"/>
      <c r="AA30" s="588"/>
    </row>
    <row r="31" spans="1:27" s="591" customFormat="1">
      <c r="A31" s="669" t="s">
        <v>770</v>
      </c>
      <c r="B31" s="669">
        <v>1</v>
      </c>
      <c r="C31" s="670" t="s">
        <v>880</v>
      </c>
      <c r="D31" s="670" t="s">
        <v>881</v>
      </c>
      <c r="E31" s="670"/>
      <c r="F31" s="670"/>
      <c r="G31" s="670"/>
      <c r="H31" s="670" t="s">
        <v>907</v>
      </c>
      <c r="I31" s="670" t="s">
        <v>778</v>
      </c>
      <c r="J31" s="670" t="s">
        <v>665</v>
      </c>
      <c r="K31" s="670" t="s">
        <v>668</v>
      </c>
      <c r="L31" s="670"/>
      <c r="M31" s="670"/>
      <c r="N31" s="670">
        <v>0.55000000000000004</v>
      </c>
      <c r="O31" s="670">
        <v>0.55000000000000004</v>
      </c>
      <c r="P31" s="670">
        <v>0.5</v>
      </c>
      <c r="Q31" s="670">
        <v>1</v>
      </c>
      <c r="R31" s="670">
        <v>3.3</v>
      </c>
      <c r="S31" s="670"/>
      <c r="T31" s="670">
        <v>0.08</v>
      </c>
      <c r="U31" s="670">
        <v>0.08</v>
      </c>
      <c r="V31" s="670">
        <v>0</v>
      </c>
      <c r="W31" s="670">
        <v>0.87</v>
      </c>
      <c r="X31" s="670"/>
      <c r="Y31" s="670">
        <v>57.17</v>
      </c>
      <c r="Z31" s="670"/>
      <c r="AA31" s="671" t="s">
        <v>882</v>
      </c>
    </row>
    <row r="32" spans="1:27" s="591" customFormat="1">
      <c r="A32" s="621" t="s">
        <v>770</v>
      </c>
      <c r="B32" s="621">
        <v>1</v>
      </c>
      <c r="C32" s="622" t="s">
        <v>509</v>
      </c>
      <c r="D32" s="622" t="s">
        <v>775</v>
      </c>
      <c r="E32" s="622"/>
      <c r="F32" s="622"/>
      <c r="G32" s="622"/>
      <c r="H32" s="622" t="s">
        <v>907</v>
      </c>
      <c r="I32" s="622" t="s">
        <v>145</v>
      </c>
      <c r="J32" s="622" t="s">
        <v>665</v>
      </c>
      <c r="K32" s="622" t="s">
        <v>668</v>
      </c>
      <c r="L32" s="622"/>
      <c r="M32" s="622"/>
      <c r="N32" s="622">
        <v>0.9</v>
      </c>
      <c r="O32" s="622">
        <v>0.9</v>
      </c>
      <c r="P32" s="622">
        <v>0.4</v>
      </c>
      <c r="Q32" s="622">
        <v>1</v>
      </c>
      <c r="R32" s="622">
        <v>1.6</v>
      </c>
      <c r="S32" s="622"/>
      <c r="T32" s="622">
        <v>0.04</v>
      </c>
      <c r="U32" s="622">
        <v>0.05</v>
      </c>
      <c r="V32" s="622"/>
      <c r="W32" s="622">
        <v>1</v>
      </c>
      <c r="X32" s="622"/>
      <c r="Y32" s="622">
        <v>36.020000000000003</v>
      </c>
      <c r="Z32" s="622"/>
      <c r="AA32" s="588"/>
    </row>
    <row r="33" spans="1:27" s="593" customFormat="1">
      <c r="A33" s="621" t="s">
        <v>770</v>
      </c>
      <c r="B33" s="621">
        <v>1</v>
      </c>
      <c r="C33" s="622" t="s">
        <v>532</v>
      </c>
      <c r="D33" s="622" t="s">
        <v>776</v>
      </c>
      <c r="E33" s="622"/>
      <c r="F33" s="622"/>
      <c r="G33" s="622"/>
      <c r="H33" s="622" t="s">
        <v>907</v>
      </c>
      <c r="I33" s="622" t="s">
        <v>145</v>
      </c>
      <c r="J33" s="622" t="s">
        <v>665</v>
      </c>
      <c r="K33" s="622" t="s">
        <v>668</v>
      </c>
      <c r="L33" s="622"/>
      <c r="M33" s="622"/>
      <c r="N33" s="622">
        <v>0.9</v>
      </c>
      <c r="O33" s="622">
        <v>0.9</v>
      </c>
      <c r="P33" s="622">
        <v>0.4</v>
      </c>
      <c r="Q33" s="622">
        <v>1</v>
      </c>
      <c r="R33" s="622">
        <v>1.6</v>
      </c>
      <c r="S33" s="622"/>
      <c r="T33" s="622">
        <v>0.12</v>
      </c>
      <c r="U33" s="622">
        <v>0.12</v>
      </c>
      <c r="V33" s="622"/>
      <c r="W33" s="622">
        <v>0.6</v>
      </c>
      <c r="X33" s="622"/>
      <c r="Y33" s="622">
        <v>24.28</v>
      </c>
      <c r="Z33" s="622"/>
      <c r="AA33" s="588"/>
    </row>
    <row r="34" spans="1:27" s="591" customFormat="1">
      <c r="A34" s="621" t="s">
        <v>770</v>
      </c>
      <c r="B34" s="621">
        <v>1</v>
      </c>
      <c r="C34" s="622" t="s">
        <v>519</v>
      </c>
      <c r="D34" s="622" t="s">
        <v>780</v>
      </c>
      <c r="E34" s="622"/>
      <c r="F34" s="622"/>
      <c r="G34" s="622"/>
      <c r="H34" s="622" t="s">
        <v>907</v>
      </c>
      <c r="I34" s="622" t="s">
        <v>781</v>
      </c>
      <c r="J34" s="622" t="s">
        <v>665</v>
      </c>
      <c r="K34" s="622" t="s">
        <v>668</v>
      </c>
      <c r="L34" s="622"/>
      <c r="M34" s="622"/>
      <c r="N34" s="622">
        <v>0.89</v>
      </c>
      <c r="O34" s="622">
        <v>0.89</v>
      </c>
      <c r="P34" s="622">
        <v>0.5</v>
      </c>
      <c r="Q34" s="622">
        <v>1</v>
      </c>
      <c r="R34" s="622">
        <v>2</v>
      </c>
      <c r="S34" s="622"/>
      <c r="T34" s="622">
        <v>0.05</v>
      </c>
      <c r="U34" s="622">
        <v>0.05</v>
      </c>
      <c r="V34" s="622"/>
      <c r="W34" s="622">
        <v>0.4</v>
      </c>
      <c r="X34" s="622"/>
      <c r="Y34" s="622">
        <v>150</v>
      </c>
      <c r="Z34" s="622"/>
      <c r="AA34" s="588"/>
    </row>
    <row r="35" spans="1:27" s="590" customFormat="1">
      <c r="A35" s="621" t="s">
        <v>770</v>
      </c>
      <c r="B35" s="621">
        <v>1</v>
      </c>
      <c r="C35" s="622" t="s">
        <v>515</v>
      </c>
      <c r="D35" s="622" t="s">
        <v>784</v>
      </c>
      <c r="E35" s="622"/>
      <c r="F35" s="622"/>
      <c r="G35" s="622"/>
      <c r="H35" s="622"/>
      <c r="I35" s="622" t="s">
        <v>772</v>
      </c>
      <c r="J35" s="622" t="s">
        <v>665</v>
      </c>
      <c r="K35" s="622" t="s">
        <v>668</v>
      </c>
      <c r="L35" s="622"/>
      <c r="M35" s="622"/>
      <c r="N35" s="622">
        <v>0.89</v>
      </c>
      <c r="O35" s="622">
        <v>0.89</v>
      </c>
      <c r="P35" s="622">
        <v>0.4</v>
      </c>
      <c r="Q35" s="622">
        <v>1</v>
      </c>
      <c r="R35" s="622">
        <v>2</v>
      </c>
      <c r="S35" s="622"/>
      <c r="T35" s="622">
        <v>0.05</v>
      </c>
      <c r="U35" s="622">
        <v>0.05</v>
      </c>
      <c r="V35" s="622"/>
      <c r="W35" s="622">
        <v>0.5</v>
      </c>
      <c r="X35" s="622"/>
      <c r="Y35" s="622">
        <v>90</v>
      </c>
      <c r="Z35" s="622"/>
      <c r="AA35" s="588"/>
    </row>
    <row r="36" spans="1:27">
      <c r="A36" s="793" t="s">
        <v>960</v>
      </c>
      <c r="B36" s="794"/>
      <c r="C36" s="794"/>
      <c r="D36" s="794"/>
      <c r="E36" s="794"/>
      <c r="F36" s="794"/>
      <c r="G36" s="794"/>
      <c r="H36" s="794"/>
      <c r="I36" s="794"/>
      <c r="J36" s="794"/>
      <c r="K36" s="794"/>
      <c r="L36" s="794"/>
      <c r="M36" s="794"/>
      <c r="N36" s="794"/>
      <c r="O36" s="794"/>
      <c r="P36" s="794"/>
      <c r="Q36" s="794"/>
      <c r="R36" s="794"/>
      <c r="S36" s="794"/>
      <c r="T36" s="794"/>
      <c r="U36" s="794"/>
      <c r="V36" s="794"/>
      <c r="W36" s="794"/>
      <c r="X36" s="794"/>
      <c r="Y36" s="794"/>
      <c r="Z36" s="794"/>
    </row>
    <row r="37" spans="1:27">
      <c r="A37" s="621" t="s">
        <v>770</v>
      </c>
      <c r="B37" s="621">
        <v>1</v>
      </c>
      <c r="C37" s="622" t="s">
        <v>511</v>
      </c>
      <c r="D37" s="622" t="s">
        <v>777</v>
      </c>
      <c r="E37" s="622"/>
      <c r="F37" s="622"/>
      <c r="G37" s="622"/>
      <c r="H37" s="622" t="s">
        <v>907</v>
      </c>
      <c r="I37" s="622" t="s">
        <v>145</v>
      </c>
      <c r="J37" s="622" t="s">
        <v>668</v>
      </c>
      <c r="K37" s="622"/>
      <c r="L37" s="622"/>
      <c r="M37" s="622"/>
      <c r="N37" s="622">
        <v>0.9</v>
      </c>
      <c r="O37" s="622">
        <v>0.9</v>
      </c>
      <c r="P37" s="622">
        <v>0</v>
      </c>
      <c r="Q37" s="622">
        <v>1</v>
      </c>
      <c r="R37" s="622">
        <v>2</v>
      </c>
      <c r="S37" s="622"/>
      <c r="T37" s="622">
        <v>0.05</v>
      </c>
      <c r="U37" s="622">
        <v>0.05</v>
      </c>
      <c r="V37" s="622"/>
      <c r="W37" s="622"/>
      <c r="X37" s="622"/>
      <c r="Y37" s="622"/>
      <c r="Z37" s="622"/>
    </row>
    <row r="38" spans="1:27">
      <c r="A38" s="621" t="s">
        <v>770</v>
      </c>
      <c r="B38" s="621">
        <v>1</v>
      </c>
      <c r="C38" s="622" t="s">
        <v>510</v>
      </c>
      <c r="D38" s="622" t="s">
        <v>779</v>
      </c>
      <c r="E38" s="622"/>
      <c r="F38" s="622"/>
      <c r="G38" s="622"/>
      <c r="H38" s="622" t="s">
        <v>907</v>
      </c>
      <c r="I38" s="622" t="s">
        <v>247</v>
      </c>
      <c r="J38" s="622" t="s">
        <v>668</v>
      </c>
      <c r="K38" s="622"/>
      <c r="L38" s="622"/>
      <c r="M38" s="622"/>
      <c r="N38" s="622">
        <v>0.9</v>
      </c>
      <c r="O38" s="622">
        <v>0.9</v>
      </c>
      <c r="P38" s="622">
        <v>0</v>
      </c>
      <c r="Q38" s="622">
        <v>1</v>
      </c>
      <c r="R38" s="622">
        <v>2</v>
      </c>
      <c r="S38" s="622"/>
      <c r="T38" s="622">
        <v>0.05</v>
      </c>
      <c r="U38" s="622">
        <v>0.05</v>
      </c>
      <c r="V38" s="622"/>
      <c r="W38" s="622"/>
      <c r="X38" s="622"/>
      <c r="Y38" s="622"/>
      <c r="Z38" s="622"/>
    </row>
    <row r="39" spans="1:27">
      <c r="A39" s="621" t="s">
        <v>770</v>
      </c>
      <c r="B39" s="621">
        <v>1</v>
      </c>
      <c r="C39" s="622" t="s">
        <v>535</v>
      </c>
      <c r="D39" s="622" t="s">
        <v>782</v>
      </c>
      <c r="E39" s="622"/>
      <c r="F39" s="622"/>
      <c r="G39" s="622"/>
      <c r="H39" s="622" t="s">
        <v>907</v>
      </c>
      <c r="I39" s="622" t="s">
        <v>781</v>
      </c>
      <c r="J39" s="622" t="s">
        <v>668</v>
      </c>
      <c r="K39" s="622"/>
      <c r="L39" s="622"/>
      <c r="M39" s="622"/>
      <c r="N39" s="622">
        <v>0.9</v>
      </c>
      <c r="O39" s="622">
        <v>0.9</v>
      </c>
      <c r="P39" s="622">
        <v>0</v>
      </c>
      <c r="Q39" s="622">
        <v>1</v>
      </c>
      <c r="R39" s="622">
        <v>2</v>
      </c>
      <c r="S39" s="622"/>
      <c r="T39" s="622">
        <v>0.05</v>
      </c>
      <c r="U39" s="622">
        <v>0.05</v>
      </c>
      <c r="V39" s="622"/>
      <c r="W39" s="622"/>
      <c r="X39" s="622"/>
      <c r="Y39" s="622"/>
      <c r="Z39" s="622"/>
    </row>
    <row r="40" spans="1:27">
      <c r="A40" s="621" t="s">
        <v>770</v>
      </c>
      <c r="B40" s="621">
        <v>1</v>
      </c>
      <c r="C40" s="622" t="s">
        <v>512</v>
      </c>
      <c r="D40" s="622" t="s">
        <v>783</v>
      </c>
      <c r="E40" s="622"/>
      <c r="F40" s="622"/>
      <c r="G40" s="622"/>
      <c r="H40" s="622"/>
      <c r="I40" s="622" t="s">
        <v>772</v>
      </c>
      <c r="J40" s="622" t="s">
        <v>668</v>
      </c>
      <c r="K40" s="622"/>
      <c r="L40" s="622"/>
      <c r="M40" s="622"/>
      <c r="N40" s="622">
        <v>0.9</v>
      </c>
      <c r="O40" s="622">
        <v>0.9</v>
      </c>
      <c r="P40" s="622">
        <v>0</v>
      </c>
      <c r="Q40" s="622">
        <v>1</v>
      </c>
      <c r="R40" s="622">
        <v>2</v>
      </c>
      <c r="S40" s="622"/>
      <c r="T40" s="622">
        <v>0.05</v>
      </c>
      <c r="U40" s="622">
        <v>0.05</v>
      </c>
      <c r="V40" s="622"/>
      <c r="W40" s="622"/>
      <c r="X40" s="622"/>
      <c r="Y40" s="622"/>
      <c r="Z40" s="622"/>
    </row>
    <row r="41" spans="1:27">
      <c r="A41" s="621" t="s">
        <v>770</v>
      </c>
      <c r="B41" s="621">
        <v>1</v>
      </c>
      <c r="C41" s="622" t="s">
        <v>514</v>
      </c>
      <c r="D41" s="622" t="s">
        <v>797</v>
      </c>
      <c r="E41" s="622"/>
      <c r="F41" s="622"/>
      <c r="G41" s="622"/>
      <c r="H41" s="622"/>
      <c r="I41" s="622" t="s">
        <v>665</v>
      </c>
      <c r="J41" s="622" t="s">
        <v>668</v>
      </c>
      <c r="K41" s="622"/>
      <c r="L41" s="622"/>
      <c r="M41" s="622"/>
      <c r="N41" s="622">
        <v>0.98</v>
      </c>
      <c r="O41" s="622">
        <v>0.98</v>
      </c>
      <c r="P41" s="622">
        <v>0</v>
      </c>
      <c r="Q41" s="622">
        <v>1</v>
      </c>
      <c r="R41" s="622">
        <v>13</v>
      </c>
      <c r="S41" s="622"/>
      <c r="T41" s="622"/>
      <c r="U41" s="622"/>
      <c r="V41" s="622"/>
      <c r="W41" s="622"/>
      <c r="X41" s="622"/>
      <c r="Y41" s="622">
        <v>0</v>
      </c>
      <c r="Z41" s="622"/>
    </row>
    <row r="42" spans="1:27">
      <c r="A42" s="621" t="s">
        <v>770</v>
      </c>
      <c r="B42" s="621">
        <v>1</v>
      </c>
      <c r="C42" s="622" t="s">
        <v>513</v>
      </c>
      <c r="D42" s="622" t="s">
        <v>796</v>
      </c>
      <c r="E42" s="622"/>
      <c r="F42" s="622"/>
      <c r="G42" s="622"/>
      <c r="H42" s="622"/>
      <c r="I42" s="622" t="s">
        <v>665</v>
      </c>
      <c r="J42" s="622" t="s">
        <v>668</v>
      </c>
      <c r="K42" s="622"/>
      <c r="L42" s="622"/>
      <c r="M42" s="622"/>
      <c r="N42" s="622">
        <v>2.8</v>
      </c>
      <c r="O42" s="622">
        <v>2.8</v>
      </c>
      <c r="P42" s="622">
        <v>0</v>
      </c>
      <c r="Q42" s="622">
        <v>1</v>
      </c>
      <c r="R42" s="622">
        <v>6</v>
      </c>
      <c r="S42" s="622"/>
      <c r="T42" s="622"/>
      <c r="U42" s="622"/>
      <c r="V42" s="622"/>
      <c r="W42" s="622"/>
      <c r="X42" s="622"/>
      <c r="Y42" s="622">
        <v>0</v>
      </c>
      <c r="Z42" s="622"/>
    </row>
    <row r="43" spans="1:27">
      <c r="A43" s="589" t="s">
        <v>770</v>
      </c>
      <c r="B43" s="589">
        <v>1</v>
      </c>
      <c r="C43" s="590" t="s">
        <v>531</v>
      </c>
      <c r="D43" s="590" t="s">
        <v>820</v>
      </c>
      <c r="E43" s="590"/>
      <c r="F43" s="590"/>
      <c r="G43" s="590"/>
      <c r="H43" s="590"/>
      <c r="I43" s="590" t="s">
        <v>821</v>
      </c>
      <c r="J43" s="590" t="s">
        <v>668</v>
      </c>
      <c r="K43" s="590"/>
      <c r="L43" s="590"/>
      <c r="M43" s="590"/>
      <c r="N43" s="590">
        <v>0.99</v>
      </c>
      <c r="O43" s="590">
        <v>0.99</v>
      </c>
      <c r="P43" s="590">
        <v>0</v>
      </c>
      <c r="Q43" s="590">
        <v>1</v>
      </c>
      <c r="R43" s="590">
        <v>1</v>
      </c>
      <c r="S43" s="590"/>
      <c r="T43" s="590"/>
      <c r="U43" s="590"/>
      <c r="V43" s="590"/>
      <c r="W43" s="590"/>
      <c r="X43" s="590"/>
      <c r="Y43" s="590">
        <v>0</v>
      </c>
      <c r="Z43" s="590">
        <v>10</v>
      </c>
    </row>
    <row r="44" spans="1:27">
      <c r="A44" s="589" t="s">
        <v>770</v>
      </c>
      <c r="B44" s="589">
        <v>1</v>
      </c>
      <c r="C44" s="590" t="s">
        <v>822</v>
      </c>
      <c r="D44" s="590" t="s">
        <v>823</v>
      </c>
      <c r="E44" s="590"/>
      <c r="F44" s="590"/>
      <c r="G44" s="590"/>
      <c r="H44" s="590"/>
      <c r="I44" s="590" t="s">
        <v>668</v>
      </c>
      <c r="J44" s="590" t="s">
        <v>821</v>
      </c>
      <c r="K44" s="590"/>
      <c r="L44" s="590"/>
      <c r="M44" s="590"/>
      <c r="N44" s="590">
        <v>0.99</v>
      </c>
      <c r="O44" s="590">
        <v>0.99</v>
      </c>
      <c r="P44" s="590">
        <v>0</v>
      </c>
      <c r="Q44" s="590">
        <v>1</v>
      </c>
      <c r="R44" s="590">
        <v>1</v>
      </c>
      <c r="S44" s="590"/>
      <c r="T44" s="590"/>
      <c r="U44" s="590"/>
      <c r="V44" s="590"/>
      <c r="W44" s="590"/>
      <c r="X44" s="590"/>
      <c r="Y44" s="590">
        <v>0</v>
      </c>
      <c r="Z44" s="590"/>
    </row>
    <row r="45" spans="1:27">
      <c r="A45" s="589" t="s">
        <v>770</v>
      </c>
      <c r="B45" s="589">
        <v>1</v>
      </c>
      <c r="C45" s="590" t="s">
        <v>533</v>
      </c>
      <c r="D45" s="590" t="s">
        <v>824</v>
      </c>
      <c r="E45" s="590"/>
      <c r="F45" s="590"/>
      <c r="G45" s="590"/>
      <c r="H45" s="590"/>
      <c r="I45" s="590" t="s">
        <v>825</v>
      </c>
      <c r="J45" s="590" t="s">
        <v>668</v>
      </c>
      <c r="K45" s="590"/>
      <c r="L45" s="590"/>
      <c r="M45" s="590"/>
      <c r="N45" s="590">
        <v>0.99</v>
      </c>
      <c r="O45" s="590">
        <v>0.99</v>
      </c>
      <c r="P45" s="590">
        <v>0</v>
      </c>
      <c r="Q45" s="590">
        <v>1</v>
      </c>
      <c r="R45" s="590">
        <v>1</v>
      </c>
      <c r="S45" s="590"/>
      <c r="T45" s="590"/>
      <c r="U45" s="590"/>
      <c r="V45" s="590"/>
      <c r="W45" s="590"/>
      <c r="X45" s="590"/>
      <c r="Y45" s="590">
        <v>0</v>
      </c>
      <c r="Z45" s="590">
        <v>100</v>
      </c>
    </row>
    <row r="46" spans="1:27" s="590" customFormat="1">
      <c r="A46" s="589" t="s">
        <v>770</v>
      </c>
      <c r="B46" s="589">
        <v>1</v>
      </c>
      <c r="C46" s="590" t="s">
        <v>826</v>
      </c>
      <c r="D46" s="590" t="s">
        <v>827</v>
      </c>
      <c r="I46" s="590" t="s">
        <v>668</v>
      </c>
      <c r="J46" s="590" t="s">
        <v>825</v>
      </c>
      <c r="N46" s="590">
        <v>0.99</v>
      </c>
      <c r="O46" s="590">
        <v>0.99</v>
      </c>
      <c r="P46" s="590">
        <v>0</v>
      </c>
      <c r="Q46" s="590">
        <v>1</v>
      </c>
      <c r="R46" s="590">
        <v>1</v>
      </c>
      <c r="Y46" s="590">
        <v>0</v>
      </c>
      <c r="AA46" s="588"/>
    </row>
    <row r="47" spans="1:27" s="590" customFormat="1">
      <c r="A47" s="589" t="s">
        <v>770</v>
      </c>
      <c r="B47" s="589">
        <v>1</v>
      </c>
      <c r="C47" s="590" t="s">
        <v>534</v>
      </c>
      <c r="D47" s="590" t="s">
        <v>828</v>
      </c>
      <c r="I47" s="590" t="s">
        <v>829</v>
      </c>
      <c r="J47" s="590" t="s">
        <v>668</v>
      </c>
      <c r="N47" s="590">
        <v>0.99</v>
      </c>
      <c r="O47" s="590">
        <v>0.99</v>
      </c>
      <c r="P47" s="590">
        <v>0</v>
      </c>
      <c r="Q47" s="590">
        <v>1</v>
      </c>
      <c r="R47" s="590">
        <v>1</v>
      </c>
      <c r="Y47" s="590">
        <v>0</v>
      </c>
      <c r="Z47" s="691">
        <v>450</v>
      </c>
      <c r="AA47" s="588"/>
    </row>
    <row r="48" spans="1:27">
      <c r="A48" s="589" t="s">
        <v>770</v>
      </c>
      <c r="B48" s="589">
        <v>1</v>
      </c>
      <c r="C48" s="590" t="s">
        <v>830</v>
      </c>
      <c r="D48" s="590" t="s">
        <v>831</v>
      </c>
      <c r="E48" s="590"/>
      <c r="F48" s="590"/>
      <c r="G48" s="590"/>
      <c r="H48" s="590"/>
      <c r="I48" s="590" t="s">
        <v>668</v>
      </c>
      <c r="J48" s="590" t="s">
        <v>829</v>
      </c>
      <c r="K48" s="590"/>
      <c r="L48" s="590"/>
      <c r="M48" s="590"/>
      <c r="N48" s="590">
        <v>0.99</v>
      </c>
      <c r="O48" s="590">
        <v>0.99</v>
      </c>
      <c r="P48" s="590">
        <v>0</v>
      </c>
      <c r="Q48" s="590">
        <v>1</v>
      </c>
      <c r="R48" s="590">
        <v>1</v>
      </c>
      <c r="S48" s="590"/>
      <c r="T48" s="590"/>
      <c r="U48" s="590"/>
      <c r="V48" s="590"/>
      <c r="W48" s="590"/>
      <c r="X48" s="590"/>
      <c r="Y48" s="590">
        <v>0</v>
      </c>
      <c r="Z48" s="590"/>
    </row>
    <row r="49" spans="1:26" s="617" customFormat="1">
      <c r="A49" s="791" t="s">
        <v>958</v>
      </c>
      <c r="B49" s="792"/>
      <c r="C49" s="792"/>
      <c r="D49" s="792"/>
      <c r="E49" s="792"/>
      <c r="F49" s="792"/>
      <c r="G49" s="792"/>
      <c r="H49" s="792"/>
      <c r="I49" s="792"/>
      <c r="J49" s="792"/>
      <c r="K49" s="792"/>
      <c r="L49" s="792"/>
      <c r="M49" s="792"/>
      <c r="N49" s="792"/>
      <c r="O49" s="792"/>
      <c r="P49" s="792"/>
      <c r="Q49" s="792"/>
      <c r="R49" s="792"/>
      <c r="S49" s="792"/>
      <c r="T49" s="792"/>
      <c r="U49" s="792"/>
      <c r="V49" s="792"/>
      <c r="W49" s="792"/>
      <c r="X49" s="792"/>
      <c r="Y49" s="792"/>
      <c r="Z49" s="792"/>
    </row>
    <row r="50" spans="1:26">
      <c r="A50" s="616" t="s">
        <v>770</v>
      </c>
      <c r="B50" s="616">
        <v>1</v>
      </c>
      <c r="C50" s="617" t="s">
        <v>225</v>
      </c>
      <c r="D50" s="617" t="s">
        <v>809</v>
      </c>
      <c r="E50" s="617"/>
      <c r="F50" s="617"/>
      <c r="G50" s="617"/>
      <c r="H50" s="617"/>
      <c r="I50" s="617" t="s">
        <v>665</v>
      </c>
      <c r="J50" s="617" t="s">
        <v>697</v>
      </c>
      <c r="K50" s="617"/>
      <c r="L50" s="617"/>
      <c r="M50" s="617"/>
      <c r="N50" s="617">
        <v>0.7</v>
      </c>
      <c r="O50" s="617">
        <v>0.7</v>
      </c>
      <c r="P50" s="617">
        <v>0</v>
      </c>
      <c r="Q50" s="617">
        <v>1</v>
      </c>
      <c r="R50" s="617">
        <v>9</v>
      </c>
      <c r="S50" s="617"/>
      <c r="T50" s="617"/>
      <c r="U50" s="617"/>
      <c r="V50" s="617"/>
      <c r="W50" s="617"/>
      <c r="X50" s="617"/>
      <c r="Y50" s="617">
        <v>0</v>
      </c>
      <c r="Z50" s="617"/>
    </row>
    <row r="51" spans="1:26">
      <c r="A51" s="616" t="s">
        <v>770</v>
      </c>
      <c r="B51" s="616">
        <v>1</v>
      </c>
      <c r="C51" s="617" t="s">
        <v>683</v>
      </c>
      <c r="D51" s="617" t="s">
        <v>810</v>
      </c>
      <c r="E51" s="617"/>
      <c r="F51" s="617"/>
      <c r="G51" s="617"/>
      <c r="H51" s="617"/>
      <c r="I51" s="617" t="s">
        <v>697</v>
      </c>
      <c r="J51" s="617" t="s">
        <v>811</v>
      </c>
      <c r="K51" s="617"/>
      <c r="L51" s="617"/>
      <c r="M51" s="617"/>
      <c r="N51" s="617">
        <v>0.99</v>
      </c>
      <c r="O51" s="617">
        <v>0.99</v>
      </c>
      <c r="P51" s="617">
        <v>0</v>
      </c>
      <c r="Q51" s="617">
        <v>1</v>
      </c>
      <c r="R51" s="617">
        <v>0.85</v>
      </c>
      <c r="S51" s="617"/>
      <c r="T51" s="617"/>
      <c r="U51" s="617"/>
      <c r="V51" s="617"/>
      <c r="W51" s="617"/>
      <c r="X51" s="617"/>
      <c r="Y51" s="617">
        <v>0</v>
      </c>
      <c r="Z51" s="619"/>
    </row>
    <row r="52" spans="1:26">
      <c r="A52" s="616" t="s">
        <v>770</v>
      </c>
      <c r="B52" s="616">
        <v>1</v>
      </c>
      <c r="C52" s="617" t="s">
        <v>684</v>
      </c>
      <c r="D52" s="617" t="s">
        <v>812</v>
      </c>
      <c r="E52" s="617"/>
      <c r="F52" s="617"/>
      <c r="G52" s="617"/>
      <c r="H52" s="617"/>
      <c r="I52" s="617" t="s">
        <v>811</v>
      </c>
      <c r="J52" s="617" t="s">
        <v>697</v>
      </c>
      <c r="K52" s="617"/>
      <c r="L52" s="617"/>
      <c r="M52" s="617"/>
      <c r="N52" s="617">
        <v>1</v>
      </c>
      <c r="O52" s="617">
        <v>1</v>
      </c>
      <c r="P52" s="617">
        <v>0</v>
      </c>
      <c r="Q52" s="617">
        <v>1</v>
      </c>
      <c r="R52" s="617">
        <v>0.85</v>
      </c>
      <c r="S52" s="617"/>
      <c r="T52" s="617"/>
      <c r="U52" s="617"/>
      <c r="V52" s="617"/>
      <c r="W52" s="617"/>
      <c r="X52" s="617"/>
      <c r="Y52" s="617">
        <v>0</v>
      </c>
      <c r="Z52" s="619">
        <f>ROUND('H2'!D50*24,0)</f>
        <v>924</v>
      </c>
    </row>
    <row r="53" spans="1:26">
      <c r="A53" s="616" t="s">
        <v>770</v>
      </c>
      <c r="B53" s="616">
        <v>1</v>
      </c>
      <c r="C53" s="617" t="s">
        <v>693</v>
      </c>
      <c r="D53" s="617" t="s">
        <v>813</v>
      </c>
      <c r="E53" s="617"/>
      <c r="F53" s="617"/>
      <c r="G53" s="617"/>
      <c r="H53" s="617"/>
      <c r="I53" s="617" t="s">
        <v>697</v>
      </c>
      <c r="J53" s="617" t="s">
        <v>814</v>
      </c>
      <c r="K53" s="617"/>
      <c r="L53" s="617"/>
      <c r="M53" s="617"/>
      <c r="N53" s="617">
        <v>0.99</v>
      </c>
      <c r="O53" s="617">
        <v>0.99</v>
      </c>
      <c r="P53" s="617">
        <v>0</v>
      </c>
      <c r="Q53" s="617">
        <v>1</v>
      </c>
      <c r="R53" s="617">
        <v>0.8</v>
      </c>
      <c r="S53" s="617"/>
      <c r="T53" s="617"/>
      <c r="U53" s="617"/>
      <c r="V53" s="617"/>
      <c r="W53" s="617"/>
      <c r="X53" s="617"/>
      <c r="Y53" s="617">
        <v>0</v>
      </c>
      <c r="Z53" s="619"/>
    </row>
    <row r="54" spans="1:26">
      <c r="A54" s="616" t="s">
        <v>770</v>
      </c>
      <c r="B54" s="616">
        <v>1</v>
      </c>
      <c r="C54" s="617" t="s">
        <v>694</v>
      </c>
      <c r="D54" s="617" t="s">
        <v>815</v>
      </c>
      <c r="E54" s="617"/>
      <c r="F54" s="617"/>
      <c r="G54" s="617"/>
      <c r="H54" s="617"/>
      <c r="I54" s="617" t="s">
        <v>814</v>
      </c>
      <c r="J54" s="617" t="s">
        <v>697</v>
      </c>
      <c r="K54" s="617"/>
      <c r="L54" s="617"/>
      <c r="M54" s="617"/>
      <c r="N54" s="617">
        <v>1</v>
      </c>
      <c r="O54" s="617">
        <v>1</v>
      </c>
      <c r="P54" s="617">
        <v>0</v>
      </c>
      <c r="Q54" s="617">
        <v>1</v>
      </c>
      <c r="R54" s="617">
        <v>0.8</v>
      </c>
      <c r="S54" s="617"/>
      <c r="T54" s="617"/>
      <c r="U54" s="617"/>
      <c r="V54" s="617"/>
      <c r="W54" s="617"/>
      <c r="X54" s="617"/>
      <c r="Y54" s="617">
        <v>0</v>
      </c>
      <c r="Z54" s="619">
        <v>24</v>
      </c>
    </row>
    <row r="55" spans="1:26">
      <c r="A55" s="617" t="s">
        <v>770</v>
      </c>
      <c r="B55" s="616">
        <v>1</v>
      </c>
      <c r="C55" s="617" t="s">
        <v>924</v>
      </c>
      <c r="D55" s="617" t="s">
        <v>925</v>
      </c>
      <c r="E55" s="617"/>
      <c r="F55" s="617"/>
      <c r="G55" s="617"/>
      <c r="H55" s="617"/>
      <c r="I55" s="617" t="s">
        <v>697</v>
      </c>
      <c r="J55" s="617" t="s">
        <v>923</v>
      </c>
      <c r="K55" s="617"/>
      <c r="L55" s="617"/>
      <c r="M55" s="617"/>
      <c r="N55" s="617">
        <v>1</v>
      </c>
      <c r="O55" s="617">
        <v>1</v>
      </c>
      <c r="P55" s="617">
        <v>0</v>
      </c>
      <c r="Q55" s="617">
        <v>1</v>
      </c>
      <c r="R55" s="617">
        <v>1</v>
      </c>
      <c r="S55" s="617">
        <v>0</v>
      </c>
      <c r="T55" s="617"/>
      <c r="U55" s="617"/>
      <c r="V55" s="617"/>
      <c r="W55" s="617"/>
      <c r="X55" s="617"/>
      <c r="Y55" s="617">
        <v>0</v>
      </c>
      <c r="Z55" s="617"/>
    </row>
    <row r="68" spans="27:27">
      <c r="AA68" s="590"/>
    </row>
    <row r="69" spans="27:27">
      <c r="AA69" s="591"/>
    </row>
    <row r="83" spans="27:27">
      <c r="AA83" s="592"/>
    </row>
    <row r="84" spans="27:27">
      <c r="AA84" s="592"/>
    </row>
    <row r="85" spans="27:27">
      <c r="AA85" s="591"/>
    </row>
    <row r="90" spans="27:27">
      <c r="AA90" s="591"/>
    </row>
    <row r="91" spans="27:27">
      <c r="AA91" s="591"/>
    </row>
    <row r="92" spans="27:27">
      <c r="AA92" s="593"/>
    </row>
    <row r="93" spans="27:27">
      <c r="AA93" s="591"/>
    </row>
    <row r="94" spans="27:27">
      <c r="AA94" s="591"/>
    </row>
    <row r="95" spans="27:27">
      <c r="AA95" s="590"/>
    </row>
  </sheetData>
  <autoFilter ref="A1:AA49" xr:uid="{CECCC304-3B15-43F6-BD0F-F80ECEE8388E}"/>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67" workbookViewId="0">
      <selection activeCell="H14" sqref="H1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0" t="s">
        <v>660</v>
      </c>
      <c r="B1" s="600" t="s">
        <v>661</v>
      </c>
      <c r="C1" s="600" t="s">
        <v>662</v>
      </c>
      <c r="D1" s="600" t="s">
        <v>281</v>
      </c>
      <c r="E1" s="600" t="s">
        <v>177</v>
      </c>
      <c r="F1" s="600" t="s">
        <v>663</v>
      </c>
      <c r="G1" s="601" t="s">
        <v>664</v>
      </c>
    </row>
    <row r="2" spans="1:7">
      <c r="A2" s="22" t="s">
        <v>107</v>
      </c>
      <c r="B2" s="558" t="s">
        <v>665</v>
      </c>
      <c r="C2" s="558"/>
      <c r="D2" s="560" t="s">
        <v>921</v>
      </c>
      <c r="E2" s="576">
        <v>2035</v>
      </c>
      <c r="F2" s="695" cm="1">
        <f t="array" ref="F2:F21">TRANSPOSE(Demand!C26:V26)</f>
        <v>800.62</v>
      </c>
      <c r="G2" s="559"/>
    </row>
    <row r="3" spans="1:7">
      <c r="A3" s="22" t="s">
        <v>109</v>
      </c>
      <c r="B3" s="573" t="s">
        <v>665</v>
      </c>
      <c r="C3" s="573"/>
      <c r="D3" s="560" t="s">
        <v>921</v>
      </c>
      <c r="E3" s="574">
        <f>E2</f>
        <v>2035</v>
      </c>
      <c r="F3" s="695">
        <v>518.01</v>
      </c>
      <c r="G3" s="575"/>
    </row>
    <row r="4" spans="1:7">
      <c r="A4" s="22" t="s">
        <v>110</v>
      </c>
      <c r="B4" s="558" t="s">
        <v>665</v>
      </c>
      <c r="C4" s="558"/>
      <c r="D4" s="560" t="s">
        <v>921</v>
      </c>
      <c r="E4" s="561">
        <f t="shared" ref="E4:E20" si="0">E3</f>
        <v>2035</v>
      </c>
      <c r="F4" s="695">
        <v>457.26</v>
      </c>
      <c r="G4" s="559"/>
    </row>
    <row r="5" spans="1:7">
      <c r="A5" s="22" t="s">
        <v>112</v>
      </c>
      <c r="B5" s="573" t="s">
        <v>665</v>
      </c>
      <c r="C5" s="573"/>
      <c r="D5" s="560" t="s">
        <v>921</v>
      </c>
      <c r="E5" s="574">
        <f t="shared" si="0"/>
        <v>2035</v>
      </c>
      <c r="F5" s="695">
        <v>296.72000000000003</v>
      </c>
      <c r="G5" s="575"/>
    </row>
    <row r="6" spans="1:7">
      <c r="A6" s="22" t="s">
        <v>113</v>
      </c>
      <c r="B6" s="558" t="s">
        <v>665</v>
      </c>
      <c r="C6" s="558"/>
      <c r="D6" s="560" t="s">
        <v>921</v>
      </c>
      <c r="E6" s="561">
        <f t="shared" si="0"/>
        <v>2035</v>
      </c>
      <c r="F6" s="695">
        <v>196.3</v>
      </c>
      <c r="G6" s="559"/>
    </row>
    <row r="7" spans="1:7">
      <c r="A7" s="22" t="s">
        <v>114</v>
      </c>
      <c r="B7" s="573" t="s">
        <v>665</v>
      </c>
      <c r="C7" s="573"/>
      <c r="D7" s="560" t="s">
        <v>921</v>
      </c>
      <c r="E7" s="574">
        <f t="shared" si="0"/>
        <v>2035</v>
      </c>
      <c r="F7" s="695">
        <v>187.15</v>
      </c>
      <c r="G7" s="575"/>
    </row>
    <row r="8" spans="1:7">
      <c r="A8" s="22" t="s">
        <v>115</v>
      </c>
      <c r="B8" s="558" t="s">
        <v>665</v>
      </c>
      <c r="C8" s="558"/>
      <c r="D8" s="560" t="s">
        <v>921</v>
      </c>
      <c r="E8" s="561">
        <f t="shared" si="0"/>
        <v>2035</v>
      </c>
      <c r="F8" s="695">
        <v>118.61</v>
      </c>
      <c r="G8" s="559"/>
    </row>
    <row r="9" spans="1:7">
      <c r="A9" s="22" t="s">
        <v>103</v>
      </c>
      <c r="B9" s="573" t="s">
        <v>665</v>
      </c>
      <c r="C9" s="573"/>
      <c r="D9" s="560" t="s">
        <v>921</v>
      </c>
      <c r="E9" s="574">
        <f t="shared" si="0"/>
        <v>2035</v>
      </c>
      <c r="F9" s="696">
        <v>12.967072978740296</v>
      </c>
      <c r="G9" s="575"/>
    </row>
    <row r="10" spans="1:7">
      <c r="A10" s="22" t="s">
        <v>104</v>
      </c>
      <c r="B10" s="558" t="s">
        <v>665</v>
      </c>
      <c r="C10" s="558"/>
      <c r="D10" s="560" t="s">
        <v>921</v>
      </c>
      <c r="E10" s="561">
        <f t="shared" si="0"/>
        <v>2035</v>
      </c>
      <c r="F10" s="696">
        <v>21.728125463340639</v>
      </c>
      <c r="G10" s="559"/>
    </row>
    <row r="11" spans="1:7">
      <c r="A11" s="22" t="s">
        <v>105</v>
      </c>
      <c r="B11" s="573" t="s">
        <v>665</v>
      </c>
      <c r="C11" s="573"/>
      <c r="D11" s="560" t="s">
        <v>921</v>
      </c>
      <c r="E11" s="574">
        <f t="shared" si="0"/>
        <v>2035</v>
      </c>
      <c r="F11" s="696">
        <v>114.1937077037112</v>
      </c>
      <c r="G11" s="575"/>
    </row>
    <row r="12" spans="1:7">
      <c r="A12" s="22" t="s">
        <v>106</v>
      </c>
      <c r="B12" s="558" t="s">
        <v>665</v>
      </c>
      <c r="C12" s="558"/>
      <c r="D12" s="560" t="s">
        <v>921</v>
      </c>
      <c r="E12" s="561">
        <f t="shared" si="0"/>
        <v>2035</v>
      </c>
      <c r="F12" s="696">
        <v>31.841093854207834</v>
      </c>
      <c r="G12" s="559"/>
    </row>
    <row r="13" spans="1:7">
      <c r="A13" s="22" t="s">
        <v>99</v>
      </c>
      <c r="B13" s="573" t="s">
        <v>665</v>
      </c>
      <c r="C13" s="573"/>
      <c r="D13" s="560" t="s">
        <v>921</v>
      </c>
      <c r="E13" s="574">
        <f t="shared" si="0"/>
        <v>2035</v>
      </c>
      <c r="F13" s="696">
        <v>26.445184474742199</v>
      </c>
      <c r="G13" s="575"/>
    </row>
    <row r="14" spans="1:7">
      <c r="A14" s="22" t="s">
        <v>101</v>
      </c>
      <c r="B14" s="558" t="s">
        <v>665</v>
      </c>
      <c r="C14" s="558"/>
      <c r="D14" s="560" t="s">
        <v>921</v>
      </c>
      <c r="E14" s="561">
        <f t="shared" si="0"/>
        <v>2035</v>
      </c>
      <c r="F14" s="696">
        <v>17.454815525257803</v>
      </c>
      <c r="G14" s="559"/>
    </row>
    <row r="15" spans="1:7">
      <c r="A15" s="22" t="s">
        <v>117</v>
      </c>
      <c r="B15" s="573" t="s">
        <v>665</v>
      </c>
      <c r="C15" s="573"/>
      <c r="D15" s="560" t="s">
        <v>921</v>
      </c>
      <c r="E15" s="574">
        <f t="shared" si="0"/>
        <v>2035</v>
      </c>
      <c r="F15" s="695">
        <v>132.86000000000001</v>
      </c>
      <c r="G15" s="575"/>
    </row>
    <row r="16" spans="1:7">
      <c r="A16" s="22" t="s">
        <v>118</v>
      </c>
      <c r="B16" s="558" t="s">
        <v>665</v>
      </c>
      <c r="C16" s="558"/>
      <c r="D16" s="560" t="s">
        <v>921</v>
      </c>
      <c r="E16" s="561">
        <f>E15</f>
        <v>2035</v>
      </c>
      <c r="F16" s="696">
        <v>25.593086707506874</v>
      </c>
      <c r="G16" s="559"/>
    </row>
    <row r="17" spans="1:8">
      <c r="A17" s="22" t="s">
        <v>119</v>
      </c>
      <c r="B17" s="573" t="s">
        <v>665</v>
      </c>
      <c r="C17" s="573"/>
      <c r="D17" s="560" t="s">
        <v>921</v>
      </c>
      <c r="E17" s="574">
        <f t="shared" si="0"/>
        <v>2035</v>
      </c>
      <c r="F17" s="696">
        <v>33.964667009424517</v>
      </c>
      <c r="G17" s="575"/>
    </row>
    <row r="18" spans="1:8">
      <c r="A18" s="22" t="s">
        <v>120</v>
      </c>
      <c r="B18" s="558" t="s">
        <v>665</v>
      </c>
      <c r="C18" s="558"/>
      <c r="D18" s="560" t="s">
        <v>921</v>
      </c>
      <c r="E18" s="561">
        <f t="shared" si="0"/>
        <v>2035</v>
      </c>
      <c r="F18" s="696">
        <v>117.87224628306862</v>
      </c>
      <c r="G18" s="559"/>
    </row>
    <row r="19" spans="1:8">
      <c r="A19" s="22" t="s">
        <v>121</v>
      </c>
      <c r="B19" s="573" t="s">
        <v>665</v>
      </c>
      <c r="C19" s="573"/>
      <c r="D19" s="560" t="s">
        <v>921</v>
      </c>
      <c r="E19" s="574">
        <f t="shared" si="0"/>
        <v>2035</v>
      </c>
      <c r="F19" s="695">
        <v>15.35</v>
      </c>
      <c r="G19" s="575"/>
    </row>
    <row r="20" spans="1:8">
      <c r="A20" s="22" t="s">
        <v>122</v>
      </c>
      <c r="B20" s="558" t="s">
        <v>665</v>
      </c>
      <c r="C20" s="558"/>
      <c r="D20" s="560" t="s">
        <v>921</v>
      </c>
      <c r="E20" s="561">
        <f t="shared" si="0"/>
        <v>2035</v>
      </c>
      <c r="F20" s="695">
        <v>8.94</v>
      </c>
      <c r="G20" s="559"/>
    </row>
    <row r="21" spans="1:8">
      <c r="A21" s="372" t="s">
        <v>123</v>
      </c>
      <c r="B21" s="602" t="s">
        <v>665</v>
      </c>
      <c r="C21" s="602"/>
      <c r="D21" s="675" t="s">
        <v>921</v>
      </c>
      <c r="E21" s="603">
        <f>E20</f>
        <v>2035</v>
      </c>
      <c r="F21" s="697">
        <v>10.199999999999999</v>
      </c>
      <c r="G21" s="604"/>
    </row>
    <row r="22" spans="1:8">
      <c r="A22" s="22" t="s">
        <v>117</v>
      </c>
      <c r="B22" s="22" t="s">
        <v>668</v>
      </c>
      <c r="C22" s="22" t="s">
        <v>698</v>
      </c>
      <c r="D22" s="560" t="s">
        <v>921</v>
      </c>
      <c r="E22" s="86">
        <v>2035</v>
      </c>
      <c r="F22" s="609">
        <v>6.5466201846226699</v>
      </c>
      <c r="G22" s="609">
        <v>0.3</v>
      </c>
      <c r="H22" s="32"/>
    </row>
    <row r="23" spans="1:8">
      <c r="A23" s="22" t="s">
        <v>117</v>
      </c>
      <c r="B23" s="22" t="s">
        <v>668</v>
      </c>
      <c r="C23" s="22" t="s">
        <v>699</v>
      </c>
      <c r="D23" s="560" t="s">
        <v>921</v>
      </c>
      <c r="E23" s="86">
        <v>2035</v>
      </c>
      <c r="F23" s="609">
        <v>2.2342092575747032</v>
      </c>
      <c r="G23" s="609">
        <v>0.3</v>
      </c>
      <c r="H23" s="32"/>
    </row>
    <row r="24" spans="1:8">
      <c r="A24" s="22" t="s">
        <v>117</v>
      </c>
      <c r="B24" s="22" t="s">
        <v>668</v>
      </c>
      <c r="C24" s="22" t="s">
        <v>700</v>
      </c>
      <c r="D24" s="560" t="s">
        <v>921</v>
      </c>
      <c r="E24" s="86">
        <v>2035</v>
      </c>
      <c r="F24" s="609">
        <v>1.8913769365150044</v>
      </c>
      <c r="G24" s="609">
        <v>0.3</v>
      </c>
      <c r="H24" s="32"/>
    </row>
    <row r="25" spans="1:8">
      <c r="A25" s="22" t="s">
        <v>117</v>
      </c>
      <c r="B25" s="22" t="s">
        <v>668</v>
      </c>
      <c r="C25" s="22" t="s">
        <v>701</v>
      </c>
      <c r="D25" s="560" t="s">
        <v>921</v>
      </c>
      <c r="E25" s="86">
        <v>2035</v>
      </c>
      <c r="F25" s="609">
        <v>1.9891835577382728</v>
      </c>
      <c r="G25" s="609">
        <v>0.3</v>
      </c>
      <c r="H25" s="32"/>
    </row>
    <row r="26" spans="1:8">
      <c r="A26" s="22" t="s">
        <v>117</v>
      </c>
      <c r="B26" s="22" t="s">
        <v>668</v>
      </c>
      <c r="C26" s="22" t="s">
        <v>702</v>
      </c>
      <c r="D26" s="560" t="s">
        <v>921</v>
      </c>
      <c r="E26" s="86">
        <v>2035</v>
      </c>
      <c r="F26" s="609">
        <v>2.1785868062160931</v>
      </c>
      <c r="G26" s="609">
        <v>0.3</v>
      </c>
      <c r="H26" s="32"/>
    </row>
    <row r="27" spans="1:8">
      <c r="A27" s="22" t="s">
        <v>117</v>
      </c>
      <c r="B27" s="22" t="s">
        <v>668</v>
      </c>
      <c r="C27" s="22" t="s">
        <v>703</v>
      </c>
      <c r="D27" s="560" t="s">
        <v>921</v>
      </c>
      <c r="E27" s="86">
        <v>2035</v>
      </c>
      <c r="F27" s="609">
        <v>1.9651785616096522</v>
      </c>
      <c r="G27" s="609">
        <v>0.3</v>
      </c>
      <c r="H27" s="32"/>
    </row>
    <row r="28" spans="1:8">
      <c r="A28" s="22" t="s">
        <v>117</v>
      </c>
      <c r="B28" s="22" t="s">
        <v>668</v>
      </c>
      <c r="C28" s="22" t="s">
        <v>704</v>
      </c>
      <c r="D28" s="560" t="s">
        <v>921</v>
      </c>
      <c r="E28" s="86">
        <v>2035</v>
      </c>
      <c r="F28" s="609">
        <v>1.2152905512460432</v>
      </c>
      <c r="G28" s="609">
        <v>0.3</v>
      </c>
      <c r="H28" s="32"/>
    </row>
    <row r="29" spans="1:8">
      <c r="A29" s="22" t="s">
        <v>117</v>
      </c>
      <c r="B29" s="22" t="s">
        <v>668</v>
      </c>
      <c r="C29" s="22" t="s">
        <v>705</v>
      </c>
      <c r="D29" s="560" t="s">
        <v>921</v>
      </c>
      <c r="E29" s="86">
        <v>2035</v>
      </c>
      <c r="F29" s="609">
        <v>20.381214206217507</v>
      </c>
      <c r="G29" s="609">
        <v>0.3</v>
      </c>
      <c r="H29" s="32"/>
    </row>
    <row r="30" spans="1:8">
      <c r="A30" s="22" t="s">
        <v>120</v>
      </c>
      <c r="B30" s="22" t="s">
        <v>668</v>
      </c>
      <c r="C30" s="22" t="s">
        <v>669</v>
      </c>
      <c r="D30" s="560" t="s">
        <v>921</v>
      </c>
      <c r="E30" s="86">
        <v>2035</v>
      </c>
      <c r="F30" s="609">
        <v>6.6925556853387214</v>
      </c>
      <c r="G30" s="609">
        <v>0.3</v>
      </c>
      <c r="H30" s="32"/>
    </row>
    <row r="31" spans="1:8">
      <c r="A31" s="22" t="s">
        <v>118</v>
      </c>
      <c r="B31" s="22" t="s">
        <v>668</v>
      </c>
      <c r="C31" s="22" t="s">
        <v>669</v>
      </c>
      <c r="D31" s="560" t="s">
        <v>921</v>
      </c>
      <c r="E31" s="86">
        <v>2035</v>
      </c>
      <c r="F31" s="609">
        <v>0.96453199987084148</v>
      </c>
      <c r="G31" s="609">
        <v>0.3</v>
      </c>
      <c r="H31" s="32"/>
    </row>
    <row r="32" spans="1:8">
      <c r="A32" s="22" t="s">
        <v>119</v>
      </c>
      <c r="B32" s="22" t="s">
        <v>668</v>
      </c>
      <c r="C32" s="22" t="s">
        <v>669</v>
      </c>
      <c r="D32" s="560" t="s">
        <v>921</v>
      </c>
      <c r="E32" s="86">
        <v>2035</v>
      </c>
      <c r="F32" s="609">
        <v>1.0179981480803744</v>
      </c>
      <c r="G32" s="609">
        <v>0.3</v>
      </c>
      <c r="H32" s="32"/>
    </row>
    <row r="33" spans="1:9">
      <c r="A33" s="22" t="s">
        <v>103</v>
      </c>
      <c r="B33" s="22" t="s">
        <v>668</v>
      </c>
      <c r="C33" s="22" t="s">
        <v>669</v>
      </c>
      <c r="D33" s="560" t="s">
        <v>921</v>
      </c>
      <c r="E33" s="86">
        <v>2035</v>
      </c>
      <c r="F33" s="609">
        <v>1.2655567079150138</v>
      </c>
      <c r="G33" s="609">
        <v>0.3</v>
      </c>
      <c r="H33" s="32"/>
    </row>
    <row r="34" spans="1:9">
      <c r="A34" s="22" t="s">
        <v>104</v>
      </c>
      <c r="B34" s="22" t="s">
        <v>668</v>
      </c>
      <c r="C34" s="22" t="s">
        <v>669</v>
      </c>
      <c r="D34" s="560" t="s">
        <v>921</v>
      </c>
      <c r="E34" s="86">
        <v>2035</v>
      </c>
      <c r="F34" s="609">
        <v>4.9535854099056431</v>
      </c>
      <c r="G34" s="609">
        <v>0.3</v>
      </c>
      <c r="H34" s="32"/>
    </row>
    <row r="35" spans="1:9">
      <c r="A35" s="22" t="s">
        <v>105</v>
      </c>
      <c r="B35" s="22" t="s">
        <v>668</v>
      </c>
      <c r="C35" s="22" t="s">
        <v>669</v>
      </c>
      <c r="D35" s="560" t="s">
        <v>921</v>
      </c>
      <c r="E35" s="86">
        <v>2035</v>
      </c>
      <c r="F35" s="609">
        <v>40.939638927269975</v>
      </c>
      <c r="G35" s="609">
        <v>0.3</v>
      </c>
      <c r="H35" s="32"/>
    </row>
    <row r="36" spans="1:9">
      <c r="A36" s="22" t="s">
        <v>106</v>
      </c>
      <c r="B36" s="22" t="s">
        <v>668</v>
      </c>
      <c r="C36" s="22" t="s">
        <v>669</v>
      </c>
      <c r="D36" s="560" t="s">
        <v>921</v>
      </c>
      <c r="E36" s="86">
        <v>2035</v>
      </c>
      <c r="F36" s="609">
        <v>12.022024897575387</v>
      </c>
      <c r="G36" s="609">
        <v>0.3</v>
      </c>
      <c r="H36" s="32"/>
    </row>
    <row r="37" spans="1:9">
      <c r="A37" s="22" t="s">
        <v>101</v>
      </c>
      <c r="B37" s="22" t="s">
        <v>668</v>
      </c>
      <c r="C37" s="22" t="s">
        <v>669</v>
      </c>
      <c r="D37" s="560" t="s">
        <v>921</v>
      </c>
      <c r="E37" s="86">
        <v>2035</v>
      </c>
      <c r="F37" s="609">
        <v>19.664441809025575</v>
      </c>
      <c r="G37" s="609">
        <v>0.3</v>
      </c>
      <c r="H37" s="32"/>
    </row>
    <row r="38" spans="1:9">
      <c r="A38" s="22" t="s">
        <v>99</v>
      </c>
      <c r="B38" s="22" t="s">
        <v>668</v>
      </c>
      <c r="C38" s="22" t="s">
        <v>669</v>
      </c>
      <c r="D38" s="560" t="s">
        <v>921</v>
      </c>
      <c r="E38" s="86">
        <v>2035</v>
      </c>
      <c r="F38" s="609">
        <v>17.427812122454487</v>
      </c>
      <c r="G38" s="609">
        <v>0.3</v>
      </c>
      <c r="H38" s="32"/>
    </row>
    <row r="39" spans="1:9">
      <c r="A39" s="22" t="s">
        <v>123</v>
      </c>
      <c r="B39" s="22" t="s">
        <v>668</v>
      </c>
      <c r="C39" s="22" t="s">
        <v>669</v>
      </c>
      <c r="D39" s="560" t="s">
        <v>921</v>
      </c>
      <c r="E39" s="86">
        <v>2035</v>
      </c>
      <c r="F39" s="609">
        <v>4.8726943250713131</v>
      </c>
      <c r="G39" s="609">
        <v>0.3</v>
      </c>
      <c r="H39" s="32"/>
    </row>
    <row r="40" spans="1:9">
      <c r="A40" s="22" t="s">
        <v>122</v>
      </c>
      <c r="B40" s="22" t="s">
        <v>668</v>
      </c>
      <c r="C40" s="22" t="s">
        <v>669</v>
      </c>
      <c r="D40" s="560" t="s">
        <v>921</v>
      </c>
      <c r="E40" s="86">
        <v>2035</v>
      </c>
      <c r="F40" s="609">
        <v>9.6027728287678915</v>
      </c>
      <c r="G40" s="609">
        <v>0.3</v>
      </c>
      <c r="H40" s="32"/>
    </row>
    <row r="41" spans="1:9">
      <c r="A41" s="22" t="s">
        <v>121</v>
      </c>
      <c r="B41" s="22" t="s">
        <v>668</v>
      </c>
      <c r="C41" s="22" t="s">
        <v>669</v>
      </c>
      <c r="D41" s="560" t="s">
        <v>921</v>
      </c>
      <c r="E41" s="86">
        <v>2035</v>
      </c>
      <c r="F41" s="609">
        <v>7.990793821888591</v>
      </c>
      <c r="G41" s="609">
        <v>0.3</v>
      </c>
      <c r="H41" s="32"/>
      <c r="I41" s="32"/>
    </row>
    <row r="42" spans="1:9">
      <c r="A42" s="22" t="s">
        <v>107</v>
      </c>
      <c r="B42" s="22" t="s">
        <v>668</v>
      </c>
      <c r="C42" s="22" t="s">
        <v>669</v>
      </c>
      <c r="D42" s="560" t="s">
        <v>921</v>
      </c>
      <c r="E42" s="86">
        <v>2035</v>
      </c>
      <c r="F42" s="609">
        <v>92.710133259800728</v>
      </c>
      <c r="G42" s="609">
        <v>0.3</v>
      </c>
      <c r="H42" s="32"/>
      <c r="I42" s="32"/>
    </row>
    <row r="43" spans="1:9">
      <c r="A43" s="372" t="s">
        <v>113</v>
      </c>
      <c r="B43" s="372" t="s">
        <v>668</v>
      </c>
      <c r="C43" s="372" t="s">
        <v>669</v>
      </c>
      <c r="D43" s="675" t="s">
        <v>921</v>
      </c>
      <c r="E43" s="577">
        <v>2035</v>
      </c>
      <c r="F43" s="610">
        <v>101.35437969412678</v>
      </c>
      <c r="G43" s="610">
        <v>0.3</v>
      </c>
      <c r="H43" s="32"/>
      <c r="I43" s="32"/>
    </row>
    <row r="44" spans="1:9">
      <c r="A44" s="22" t="s">
        <v>107</v>
      </c>
      <c r="B44" s="22" t="s">
        <v>670</v>
      </c>
      <c r="C44" s="22" t="s">
        <v>671</v>
      </c>
      <c r="D44" s="560" t="s">
        <v>921</v>
      </c>
      <c r="E44" s="86">
        <v>2035</v>
      </c>
      <c r="F44" s="606" cm="1">
        <f t="array" ref="F44:F58">TRANSPOSE('Other (non)RES'!C47:Q47)</f>
        <v>89.390575686813193</v>
      </c>
    </row>
    <row r="45" spans="1:9">
      <c r="A45" s="22" t="s">
        <v>109</v>
      </c>
      <c r="B45" s="22" t="s">
        <v>670</v>
      </c>
      <c r="C45" s="22" t="s">
        <v>671</v>
      </c>
      <c r="D45" s="560" t="s">
        <v>921</v>
      </c>
      <c r="E45" s="86">
        <v>2035</v>
      </c>
      <c r="F45" s="606">
        <v>27.49757782967033</v>
      </c>
    </row>
    <row r="46" spans="1:9">
      <c r="A46" s="22" t="s">
        <v>110</v>
      </c>
      <c r="B46" s="22" t="s">
        <v>670</v>
      </c>
      <c r="C46" s="22" t="s">
        <v>671</v>
      </c>
      <c r="D46" s="560" t="s">
        <v>921</v>
      </c>
      <c r="E46" s="86">
        <v>2035</v>
      </c>
      <c r="F46" s="606">
        <v>147.36625717032967</v>
      </c>
    </row>
    <row r="47" spans="1:9">
      <c r="A47" s="22" t="s">
        <v>112</v>
      </c>
      <c r="B47" s="22" t="s">
        <v>670</v>
      </c>
      <c r="C47" s="22" t="s">
        <v>671</v>
      </c>
      <c r="D47" s="560" t="s">
        <v>921</v>
      </c>
      <c r="E47" s="86">
        <v>2035</v>
      </c>
      <c r="F47" s="606">
        <v>15.367019423076924</v>
      </c>
    </row>
    <row r="48" spans="1:9">
      <c r="A48" s="22" t="s">
        <v>113</v>
      </c>
      <c r="B48" s="22" t="s">
        <v>670</v>
      </c>
      <c r="C48" s="22" t="s">
        <v>671</v>
      </c>
      <c r="D48" s="560" t="s">
        <v>921</v>
      </c>
      <c r="E48" s="86">
        <v>2035</v>
      </c>
      <c r="F48" s="606">
        <v>25.172503763736266</v>
      </c>
    </row>
    <row r="49" spans="1:8">
      <c r="A49" s="22" t="s">
        <v>114</v>
      </c>
      <c r="B49" s="22" t="s">
        <v>670</v>
      </c>
      <c r="C49" s="22" t="s">
        <v>671</v>
      </c>
      <c r="D49" s="560" t="s">
        <v>921</v>
      </c>
      <c r="E49" s="86">
        <v>2035</v>
      </c>
      <c r="F49" s="606">
        <v>12.092048901098902</v>
      </c>
    </row>
    <row r="50" spans="1:8">
      <c r="A50" s="22" t="s">
        <v>115</v>
      </c>
      <c r="B50" s="22" t="s">
        <v>670</v>
      </c>
      <c r="C50" s="22" t="s">
        <v>671</v>
      </c>
      <c r="D50" s="560" t="s">
        <v>921</v>
      </c>
      <c r="E50" s="86">
        <v>2035</v>
      </c>
      <c r="F50" s="606">
        <v>9.4712947527472533</v>
      </c>
    </row>
    <row r="51" spans="1:8">
      <c r="A51" s="22" t="s">
        <v>103</v>
      </c>
      <c r="B51" s="22" t="s">
        <v>670</v>
      </c>
      <c r="C51" s="22" t="s">
        <v>671</v>
      </c>
      <c r="D51" s="560" t="s">
        <v>921</v>
      </c>
      <c r="E51" s="86">
        <v>2035</v>
      </c>
      <c r="F51" s="606">
        <v>1.1403121428571428</v>
      </c>
    </row>
    <row r="52" spans="1:8">
      <c r="A52" s="22" t="s">
        <v>104</v>
      </c>
      <c r="B52" s="22" t="s">
        <v>670</v>
      </c>
      <c r="C52" s="22" t="s">
        <v>671</v>
      </c>
      <c r="D52" s="560" t="s">
        <v>921</v>
      </c>
      <c r="E52" s="86">
        <v>2035</v>
      </c>
      <c r="F52" s="606">
        <v>5.0979269230769226</v>
      </c>
    </row>
    <row r="53" spans="1:8">
      <c r="A53" s="22" t="s">
        <v>105</v>
      </c>
      <c r="B53" s="22" t="s">
        <v>670</v>
      </c>
      <c r="C53" s="22" t="s">
        <v>671</v>
      </c>
      <c r="D53" s="560" t="s">
        <v>921</v>
      </c>
      <c r="E53" s="86">
        <v>2035</v>
      </c>
      <c r="F53" s="606">
        <v>22.884912390109893</v>
      </c>
    </row>
    <row r="54" spans="1:8">
      <c r="A54" s="22" t="s">
        <v>106</v>
      </c>
      <c r="B54" s="22" t="s">
        <v>670</v>
      </c>
      <c r="C54" s="22" t="s">
        <v>671</v>
      </c>
      <c r="D54" s="560" t="s">
        <v>921</v>
      </c>
      <c r="E54" s="86">
        <v>2035</v>
      </c>
      <c r="F54" s="606">
        <v>5.2148953846153843</v>
      </c>
    </row>
    <row r="55" spans="1:8">
      <c r="A55" s="38" t="s">
        <v>117</v>
      </c>
      <c r="B55" s="38" t="s">
        <v>670</v>
      </c>
      <c r="C55" s="38" t="s">
        <v>671</v>
      </c>
      <c r="D55" s="560" t="s">
        <v>921</v>
      </c>
      <c r="E55" s="86">
        <v>2035</v>
      </c>
      <c r="F55" s="606">
        <v>20.740078131868135</v>
      </c>
      <c r="H55" s="580"/>
    </row>
    <row r="56" spans="1:8">
      <c r="A56" s="38" t="s">
        <v>121</v>
      </c>
      <c r="B56" s="38" t="s">
        <v>670</v>
      </c>
      <c r="C56" s="38" t="s">
        <v>671</v>
      </c>
      <c r="D56" s="560" t="s">
        <v>921</v>
      </c>
      <c r="E56" s="86">
        <v>2035</v>
      </c>
      <c r="F56" s="606">
        <v>3.9464943131868133</v>
      </c>
      <c r="H56" s="580"/>
    </row>
    <row r="57" spans="1:8">
      <c r="A57" s="38" t="s">
        <v>122</v>
      </c>
      <c r="B57" s="38" t="s">
        <v>670</v>
      </c>
      <c r="C57" s="38" t="s">
        <v>671</v>
      </c>
      <c r="D57" s="560" t="s">
        <v>921</v>
      </c>
      <c r="E57" s="86">
        <v>2035</v>
      </c>
      <c r="F57" s="606">
        <v>2.2378212295793301</v>
      </c>
      <c r="H57" s="580"/>
    </row>
    <row r="58" spans="1:8">
      <c r="A58" s="372" t="s">
        <v>123</v>
      </c>
      <c r="B58" s="372" t="s">
        <v>670</v>
      </c>
      <c r="C58" s="372" t="s">
        <v>671</v>
      </c>
      <c r="D58" s="675" t="s">
        <v>921</v>
      </c>
      <c r="E58" s="577">
        <v>2035</v>
      </c>
      <c r="F58" s="607">
        <v>1.5351418681318685</v>
      </c>
      <c r="G58" s="372"/>
      <c r="H58" s="32"/>
    </row>
    <row r="59" spans="1:8">
      <c r="A59" s="22" t="s">
        <v>107</v>
      </c>
      <c r="B59" s="558" t="s">
        <v>923</v>
      </c>
      <c r="C59" s="558"/>
      <c r="D59" s="560" t="s">
        <v>921</v>
      </c>
      <c r="E59" s="576">
        <v>2035</v>
      </c>
      <c r="F59" s="623" cm="1">
        <f t="array" ref="F59:F72">TRANSPOSE('H2'!D25:Q25)</f>
        <v>150.80881990854729</v>
      </c>
      <c r="G59" s="559"/>
    </row>
    <row r="60" spans="1:8">
      <c r="A60" s="22" t="s">
        <v>109</v>
      </c>
      <c r="B60" s="558" t="s">
        <v>923</v>
      </c>
      <c r="C60" s="573"/>
      <c r="D60" s="560" t="s">
        <v>921</v>
      </c>
      <c r="E60" s="574">
        <f>E59</f>
        <v>2035</v>
      </c>
      <c r="F60" s="623">
        <v>39.206709461836084</v>
      </c>
      <c r="G60" s="575"/>
    </row>
    <row r="61" spans="1:8">
      <c r="A61" s="22" t="s">
        <v>110</v>
      </c>
      <c r="B61" s="558" t="s">
        <v>923</v>
      </c>
      <c r="C61" s="573"/>
      <c r="D61" s="560" t="s">
        <v>921</v>
      </c>
      <c r="E61" s="561">
        <f t="shared" ref="E61:E71" si="1">E60</f>
        <v>2035</v>
      </c>
      <c r="F61" s="623">
        <v>36.916628561378829</v>
      </c>
      <c r="G61" s="559"/>
    </row>
    <row r="62" spans="1:8">
      <c r="A62" s="22" t="s">
        <v>112</v>
      </c>
      <c r="B62" s="558" t="s">
        <v>923</v>
      </c>
      <c r="C62" s="573"/>
      <c r="D62" s="560" t="s">
        <v>921</v>
      </c>
      <c r="E62" s="574">
        <f t="shared" si="1"/>
        <v>2035</v>
      </c>
      <c r="F62" s="623">
        <v>47.772660921561737</v>
      </c>
      <c r="G62" s="575"/>
    </row>
    <row r="63" spans="1:8">
      <c r="A63" s="22" t="s">
        <v>113</v>
      </c>
      <c r="B63" s="558" t="s">
        <v>923</v>
      </c>
      <c r="C63" s="573"/>
      <c r="D63" s="560" t="s">
        <v>921</v>
      </c>
      <c r="E63" s="561">
        <f t="shared" si="1"/>
        <v>2035</v>
      </c>
      <c r="F63" s="623">
        <v>26.67244987689061</v>
      </c>
      <c r="G63" s="559"/>
    </row>
    <row r="64" spans="1:8">
      <c r="A64" s="22" t="s">
        <v>114</v>
      </c>
      <c r="B64" s="558" t="s">
        <v>923</v>
      </c>
      <c r="C64" s="573"/>
      <c r="D64" s="560" t="s">
        <v>921</v>
      </c>
      <c r="E64" s="574">
        <f t="shared" si="1"/>
        <v>2035</v>
      </c>
      <c r="F64" s="623">
        <v>35.024252550123109</v>
      </c>
      <c r="G64" s="575"/>
    </row>
    <row r="65" spans="1:8">
      <c r="A65" s="22" t="s">
        <v>115</v>
      </c>
      <c r="B65" s="558" t="s">
        <v>923</v>
      </c>
      <c r="C65" s="573"/>
      <c r="D65" s="560" t="s">
        <v>921</v>
      </c>
      <c r="E65" s="561">
        <f t="shared" si="1"/>
        <v>2035</v>
      </c>
      <c r="F65" s="623">
        <v>21.209470629616607</v>
      </c>
      <c r="G65" s="559"/>
    </row>
    <row r="66" spans="1:8">
      <c r="A66" s="22" t="s">
        <v>103</v>
      </c>
      <c r="B66" s="558" t="s">
        <v>923</v>
      </c>
      <c r="C66" s="573"/>
      <c r="D66" s="560" t="s">
        <v>921</v>
      </c>
      <c r="E66" s="574">
        <f t="shared" si="1"/>
        <v>2035</v>
      </c>
      <c r="F66" s="623">
        <v>0.98366170208288395</v>
      </c>
      <c r="G66" s="575"/>
    </row>
    <row r="67" spans="1:8">
      <c r="A67" s="22" t="s">
        <v>104</v>
      </c>
      <c r="B67" s="558" t="s">
        <v>923</v>
      </c>
      <c r="C67" s="573"/>
      <c r="D67" s="560" t="s">
        <v>921</v>
      </c>
      <c r="E67" s="561">
        <f t="shared" si="1"/>
        <v>2035</v>
      </c>
      <c r="F67" s="623">
        <v>1.6482613239997685</v>
      </c>
      <c r="G67" s="559"/>
    </row>
    <row r="68" spans="1:8">
      <c r="A68" s="22" t="s">
        <v>105</v>
      </c>
      <c r="B68" s="558" t="s">
        <v>923</v>
      </c>
      <c r="C68" s="573"/>
      <c r="D68" s="560" t="s">
        <v>921</v>
      </c>
      <c r="E68" s="574">
        <f t="shared" si="1"/>
        <v>2035</v>
      </c>
      <c r="F68" s="623">
        <v>8.6625545388038798</v>
      </c>
      <c r="G68" s="575"/>
    </row>
    <row r="69" spans="1:8">
      <c r="A69" s="22" t="s">
        <v>106</v>
      </c>
      <c r="B69" s="558" t="s">
        <v>923</v>
      </c>
      <c r="C69" s="573"/>
      <c r="D69" s="560" t="s">
        <v>921</v>
      </c>
      <c r="E69" s="561">
        <f t="shared" si="1"/>
        <v>2035</v>
      </c>
      <c r="F69" s="623">
        <v>2.4154151540723143</v>
      </c>
      <c r="G69" s="559"/>
    </row>
    <row r="70" spans="1:8">
      <c r="A70" s="22" t="s">
        <v>99</v>
      </c>
      <c r="B70" s="558" t="s">
        <v>923</v>
      </c>
      <c r="C70" s="573"/>
      <c r="D70" s="560" t="s">
        <v>921</v>
      </c>
      <c r="E70" s="574">
        <f t="shared" si="1"/>
        <v>2035</v>
      </c>
      <c r="F70" s="623">
        <v>5.9499053555429544</v>
      </c>
      <c r="G70" s="575"/>
    </row>
    <row r="71" spans="1:8">
      <c r="A71" s="22" t="s">
        <v>101</v>
      </c>
      <c r="B71" s="558" t="s">
        <v>923</v>
      </c>
      <c r="C71" s="573"/>
      <c r="D71" s="560" t="s">
        <v>921</v>
      </c>
      <c r="E71" s="561">
        <f t="shared" si="1"/>
        <v>2035</v>
      </c>
      <c r="F71" s="623">
        <v>3.92716112352845</v>
      </c>
      <c r="G71" s="559"/>
    </row>
    <row r="72" spans="1:8">
      <c r="A72" s="22" t="s">
        <v>117</v>
      </c>
      <c r="B72" s="558" t="s">
        <v>923</v>
      </c>
      <c r="C72" s="573"/>
      <c r="D72" s="560" t="s">
        <v>921</v>
      </c>
      <c r="E72" s="574">
        <f>E71</f>
        <v>2035</v>
      </c>
      <c r="F72" s="623">
        <v>10.467068237776997</v>
      </c>
      <c r="G72" s="575"/>
    </row>
    <row r="73" spans="1:8">
      <c r="A73" s="22" t="s">
        <v>121</v>
      </c>
      <c r="B73" s="558" t="s">
        <v>923</v>
      </c>
      <c r="C73" s="573"/>
      <c r="D73" s="560" t="s">
        <v>921</v>
      </c>
      <c r="E73" s="574">
        <f t="shared" ref="E73:E75" si="2">E72</f>
        <v>2035</v>
      </c>
      <c r="F73" s="623" cm="1">
        <f t="array" ref="F73:F75">TRANSPOSE('H2'!U25:W25)</f>
        <v>3.9508265916285619</v>
      </c>
      <c r="G73" s="575"/>
    </row>
    <row r="74" spans="1:8">
      <c r="A74" s="22" t="s">
        <v>122</v>
      </c>
      <c r="B74" s="558" t="s">
        <v>923</v>
      </c>
      <c r="C74" s="573"/>
      <c r="D74" s="560" t="s">
        <v>921</v>
      </c>
      <c r="E74" s="574">
        <f t="shared" si="2"/>
        <v>2035</v>
      </c>
      <c r="F74" s="623">
        <v>1.1362996834329935</v>
      </c>
      <c r="G74" s="559"/>
    </row>
    <row r="75" spans="1:8">
      <c r="A75" s="372" t="s">
        <v>123</v>
      </c>
      <c r="B75" s="605" t="s">
        <v>923</v>
      </c>
      <c r="C75" s="602"/>
      <c r="D75" s="675" t="s">
        <v>921</v>
      </c>
      <c r="E75" s="603">
        <f t="shared" si="2"/>
        <v>2035</v>
      </c>
      <c r="F75" s="624">
        <v>0.84785437917692585</v>
      </c>
      <c r="G75" s="604"/>
      <c r="H75" s="3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G127"/>
  <sheetViews>
    <sheetView workbookViewId="0">
      <pane ySplit="1" topLeftCell="A2" activePane="bottomLeft" state="frozen"/>
      <selection pane="bottomLeft" activeCell="G8" sqref="G8"/>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16384" width="9.109375" style="22"/>
  </cols>
  <sheetData>
    <row r="1" spans="1:7">
      <c r="A1" s="594" t="s">
        <v>930</v>
      </c>
      <c r="B1" s="594" t="s">
        <v>931</v>
      </c>
      <c r="C1" s="563" t="s">
        <v>673</v>
      </c>
      <c r="D1" s="563" t="s">
        <v>674</v>
      </c>
      <c r="E1" s="564" t="s">
        <v>177</v>
      </c>
      <c r="F1" s="564" t="s">
        <v>932</v>
      </c>
      <c r="G1" s="564" t="s">
        <v>926</v>
      </c>
    </row>
    <row r="2" spans="1:7">
      <c r="A2" s="852" t="s">
        <v>981</v>
      </c>
      <c r="B2" s="852"/>
      <c r="C2" s="853"/>
      <c r="D2" s="853"/>
      <c r="E2" s="854"/>
      <c r="F2" s="854"/>
      <c r="G2" s="854"/>
    </row>
    <row r="3" spans="1:7">
      <c r="A3" s="595" t="s">
        <v>107</v>
      </c>
      <c r="B3" s="38" t="s">
        <v>109</v>
      </c>
      <c r="C3" s="22" t="s">
        <v>665</v>
      </c>
      <c r="D3" s="86" t="s">
        <v>921</v>
      </c>
      <c r="E3" s="86">
        <v>2035</v>
      </c>
      <c r="F3" s="215">
        <f>Powerlines!T198</f>
        <v>4800</v>
      </c>
      <c r="G3" s="608">
        <v>1.5</v>
      </c>
    </row>
    <row r="4" spans="1:7">
      <c r="A4" s="595" t="s">
        <v>107</v>
      </c>
      <c r="B4" s="38" t="s">
        <v>110</v>
      </c>
      <c r="C4" s="22" t="s">
        <v>665</v>
      </c>
      <c r="D4" s="86" t="s">
        <v>921</v>
      </c>
      <c r="E4" s="86">
        <v>2035</v>
      </c>
      <c r="F4" s="215">
        <f>Powerlines!T199</f>
        <v>2800</v>
      </c>
      <c r="G4" s="608">
        <v>1.5</v>
      </c>
    </row>
    <row r="5" spans="1:7">
      <c r="A5" s="595" t="s">
        <v>107</v>
      </c>
      <c r="B5" s="38" t="s">
        <v>113</v>
      </c>
      <c r="C5" s="22" t="s">
        <v>665</v>
      </c>
      <c r="D5" s="86" t="s">
        <v>921</v>
      </c>
      <c r="E5" s="86">
        <v>2035</v>
      </c>
      <c r="F5" s="215">
        <f>Powerlines!T200</f>
        <v>2000</v>
      </c>
      <c r="G5" s="608">
        <v>1.5</v>
      </c>
    </row>
    <row r="6" spans="1:7">
      <c r="A6" s="595" t="s">
        <v>107</v>
      </c>
      <c r="B6" s="38" t="s">
        <v>114</v>
      </c>
      <c r="C6" s="22" t="s">
        <v>665</v>
      </c>
      <c r="D6" s="86" t="s">
        <v>921</v>
      </c>
      <c r="E6" s="86">
        <v>2035</v>
      </c>
      <c r="F6" s="215">
        <f>Powerlines!T201</f>
        <v>6000</v>
      </c>
      <c r="G6" s="608">
        <v>1.5</v>
      </c>
    </row>
    <row r="7" spans="1:7">
      <c r="A7" s="595" t="s">
        <v>107</v>
      </c>
      <c r="B7" s="38" t="s">
        <v>115</v>
      </c>
      <c r="C7" s="22" t="s">
        <v>665</v>
      </c>
      <c r="D7" s="86" t="s">
        <v>921</v>
      </c>
      <c r="E7" s="86">
        <v>2035</v>
      </c>
      <c r="F7" s="215">
        <f>Powerlines!T202</f>
        <v>1000</v>
      </c>
      <c r="G7" s="608">
        <v>1.5</v>
      </c>
    </row>
    <row r="8" spans="1:7">
      <c r="A8" s="595" t="s">
        <v>107</v>
      </c>
      <c r="B8" s="38" t="s">
        <v>106</v>
      </c>
      <c r="C8" s="22" t="s">
        <v>665</v>
      </c>
      <c r="D8" s="86" t="s">
        <v>921</v>
      </c>
      <c r="E8" s="86">
        <v>2035</v>
      </c>
      <c r="F8" s="215">
        <f>Powerlines!T203</f>
        <v>2015</v>
      </c>
      <c r="G8" s="608">
        <v>1.5</v>
      </c>
    </row>
    <row r="9" spans="1:7">
      <c r="A9" s="595" t="s">
        <v>107</v>
      </c>
      <c r="B9" s="38" t="s">
        <v>99</v>
      </c>
      <c r="C9" s="22" t="s">
        <v>665</v>
      </c>
      <c r="D9" s="86" t="s">
        <v>921</v>
      </c>
      <c r="E9" s="86">
        <v>2035</v>
      </c>
      <c r="F9" s="215">
        <f>Powerlines!T204</f>
        <v>1500</v>
      </c>
      <c r="G9" s="608">
        <v>1.5</v>
      </c>
    </row>
    <row r="10" spans="1:7">
      <c r="A10" s="595" t="s">
        <v>107</v>
      </c>
      <c r="B10" s="38" t="s">
        <v>101</v>
      </c>
      <c r="C10" s="22" t="s">
        <v>665</v>
      </c>
      <c r="D10" s="86" t="s">
        <v>921</v>
      </c>
      <c r="E10" s="86">
        <v>2035</v>
      </c>
      <c r="F10" s="215">
        <f>Powerlines!T205</f>
        <v>5500</v>
      </c>
      <c r="G10" s="608">
        <v>1.5</v>
      </c>
    </row>
    <row r="11" spans="1:7">
      <c r="A11" s="625" t="s">
        <v>107</v>
      </c>
      <c r="B11" s="626" t="s">
        <v>120</v>
      </c>
      <c r="C11" s="176" t="s">
        <v>665</v>
      </c>
      <c r="D11" s="134" t="s">
        <v>921</v>
      </c>
      <c r="E11" s="134">
        <v>2035</v>
      </c>
      <c r="F11" s="318">
        <f>Powerlines!T206</f>
        <v>3400</v>
      </c>
      <c r="G11" s="682">
        <v>1.5</v>
      </c>
    </row>
    <row r="12" spans="1:7">
      <c r="A12" s="595" t="s">
        <v>109</v>
      </c>
      <c r="B12" s="38" t="s">
        <v>110</v>
      </c>
      <c r="C12" s="22" t="s">
        <v>665</v>
      </c>
      <c r="D12" s="86" t="s">
        <v>921</v>
      </c>
      <c r="E12" s="86">
        <v>2035</v>
      </c>
      <c r="F12" s="215">
        <f>Powerlines!T207</f>
        <v>9450</v>
      </c>
      <c r="G12" s="608">
        <v>1.5</v>
      </c>
    </row>
    <row r="13" spans="1:7">
      <c r="A13" s="595" t="s">
        <v>109</v>
      </c>
      <c r="B13" s="38" t="s">
        <v>112</v>
      </c>
      <c r="C13" s="22" t="s">
        <v>665</v>
      </c>
      <c r="D13" s="86" t="s">
        <v>921</v>
      </c>
      <c r="E13" s="86">
        <v>2035</v>
      </c>
      <c r="F13" s="215">
        <f>Powerlines!T208</f>
        <v>8000</v>
      </c>
      <c r="G13" s="608">
        <v>1.5</v>
      </c>
    </row>
    <row r="14" spans="1:7">
      <c r="A14" s="625" t="s">
        <v>109</v>
      </c>
      <c r="B14" s="626" t="s">
        <v>115</v>
      </c>
      <c r="C14" s="176" t="s">
        <v>665</v>
      </c>
      <c r="D14" s="134" t="s">
        <v>921</v>
      </c>
      <c r="E14" s="134">
        <v>2035</v>
      </c>
      <c r="F14" s="318">
        <f>Powerlines!T209</f>
        <v>5300</v>
      </c>
      <c r="G14" s="682">
        <v>1.5</v>
      </c>
    </row>
    <row r="15" spans="1:7">
      <c r="A15" s="595" t="s">
        <v>110</v>
      </c>
      <c r="B15" s="38" t="s">
        <v>114</v>
      </c>
      <c r="C15" s="22" t="s">
        <v>665</v>
      </c>
      <c r="D15" s="86" t="s">
        <v>921</v>
      </c>
      <c r="E15" s="86">
        <v>2035</v>
      </c>
      <c r="F15" s="215">
        <f>Powerlines!T210</f>
        <v>3000</v>
      </c>
      <c r="G15" s="608">
        <v>1.5</v>
      </c>
    </row>
    <row r="16" spans="1:7">
      <c r="A16" s="595" t="s">
        <v>110</v>
      </c>
      <c r="B16" s="38" t="s">
        <v>115</v>
      </c>
      <c r="C16" s="22" t="s">
        <v>665</v>
      </c>
      <c r="D16" s="86" t="s">
        <v>921</v>
      </c>
      <c r="E16" s="86">
        <v>2035</v>
      </c>
      <c r="F16" s="215">
        <f>Powerlines!T211</f>
        <v>4400</v>
      </c>
      <c r="G16" s="608">
        <v>1.5</v>
      </c>
    </row>
    <row r="17" spans="1:7">
      <c r="A17" s="595" t="s">
        <v>110</v>
      </c>
      <c r="B17" s="38" t="s">
        <v>101</v>
      </c>
      <c r="C17" s="22" t="s">
        <v>665</v>
      </c>
      <c r="D17" s="86" t="s">
        <v>921</v>
      </c>
      <c r="E17" s="86">
        <v>2035</v>
      </c>
      <c r="F17" s="215">
        <f>Powerlines!T212</f>
        <v>2800</v>
      </c>
      <c r="G17" s="608">
        <v>1.5</v>
      </c>
    </row>
    <row r="18" spans="1:7">
      <c r="A18" s="625" t="s">
        <v>110</v>
      </c>
      <c r="B18" s="626" t="s">
        <v>120</v>
      </c>
      <c r="C18" s="176" t="s">
        <v>665</v>
      </c>
      <c r="D18" s="134" t="s">
        <v>921</v>
      </c>
      <c r="E18" s="134">
        <v>2035</v>
      </c>
      <c r="F18" s="318">
        <f>Powerlines!T213</f>
        <v>3400</v>
      </c>
      <c r="G18" s="682">
        <v>1.5</v>
      </c>
    </row>
    <row r="19" spans="1:7">
      <c r="A19" s="595" t="s">
        <v>113</v>
      </c>
      <c r="B19" s="38" t="s">
        <v>106</v>
      </c>
      <c r="C19" s="22" t="s">
        <v>665</v>
      </c>
      <c r="D19" s="86" t="s">
        <v>921</v>
      </c>
      <c r="E19" s="86">
        <v>2035</v>
      </c>
      <c r="F19" s="215">
        <f>Powerlines!T214</f>
        <v>600</v>
      </c>
      <c r="G19" s="608">
        <v>1.5</v>
      </c>
    </row>
    <row r="20" spans="1:7">
      <c r="A20" s="625" t="s">
        <v>113</v>
      </c>
      <c r="B20" s="626" t="s">
        <v>121</v>
      </c>
      <c r="C20" s="176" t="s">
        <v>665</v>
      </c>
      <c r="D20" s="134" t="s">
        <v>921</v>
      </c>
      <c r="E20" s="134">
        <v>2035</v>
      </c>
      <c r="F20" s="318">
        <f>Powerlines!T215</f>
        <v>700</v>
      </c>
      <c r="G20" s="682">
        <v>1.5</v>
      </c>
    </row>
    <row r="21" spans="1:7">
      <c r="A21" s="595" t="s">
        <v>114</v>
      </c>
      <c r="B21" s="38" t="s">
        <v>115</v>
      </c>
      <c r="C21" s="22" t="s">
        <v>665</v>
      </c>
      <c r="D21" s="86" t="s">
        <v>921</v>
      </c>
      <c r="E21" s="86">
        <v>2035</v>
      </c>
      <c r="F21" s="215">
        <f>Powerlines!T216</f>
        <v>4400</v>
      </c>
      <c r="G21" s="608">
        <v>1.5</v>
      </c>
    </row>
    <row r="22" spans="1:7">
      <c r="A22" s="595" t="s">
        <v>114</v>
      </c>
      <c r="B22" s="38" t="s">
        <v>101</v>
      </c>
      <c r="C22" s="22" t="s">
        <v>665</v>
      </c>
      <c r="D22" s="86" t="s">
        <v>921</v>
      </c>
      <c r="E22" s="86">
        <v>2035</v>
      </c>
      <c r="F22" s="215">
        <f>Powerlines!T217</f>
        <v>700</v>
      </c>
      <c r="G22" s="608">
        <v>1.5</v>
      </c>
    </row>
    <row r="23" spans="1:7">
      <c r="A23" s="625" t="s">
        <v>114</v>
      </c>
      <c r="B23" s="626" t="s">
        <v>120</v>
      </c>
      <c r="C23" s="176" t="s">
        <v>665</v>
      </c>
      <c r="D23" s="134" t="s">
        <v>921</v>
      </c>
      <c r="E23" s="134">
        <v>2035</v>
      </c>
      <c r="F23" s="318">
        <f>Powerlines!T218</f>
        <v>2700</v>
      </c>
      <c r="G23" s="682">
        <v>1.5</v>
      </c>
    </row>
    <row r="24" spans="1:7">
      <c r="A24" s="595" t="s">
        <v>103</v>
      </c>
      <c r="B24" s="38" t="s">
        <v>104</v>
      </c>
      <c r="C24" s="22" t="s">
        <v>665</v>
      </c>
      <c r="D24" s="86" t="s">
        <v>921</v>
      </c>
      <c r="E24" s="86">
        <v>2035</v>
      </c>
      <c r="F24" s="215">
        <f>Powerlines!T219</f>
        <v>3300</v>
      </c>
      <c r="G24" s="608">
        <v>1.5</v>
      </c>
    </row>
    <row r="25" spans="1:7">
      <c r="A25" s="595" t="s">
        <v>104</v>
      </c>
      <c r="B25" s="38" t="s">
        <v>105</v>
      </c>
      <c r="C25" s="22" t="s">
        <v>665</v>
      </c>
      <c r="D25" s="86" t="s">
        <v>921</v>
      </c>
      <c r="E25" s="86">
        <v>2035</v>
      </c>
      <c r="F25" s="215">
        <f>Powerlines!T220</f>
        <v>9300</v>
      </c>
      <c r="G25" s="608">
        <v>1.5</v>
      </c>
    </row>
    <row r="26" spans="1:7">
      <c r="A26" s="595" t="s">
        <v>105</v>
      </c>
      <c r="B26" s="38" t="s">
        <v>106</v>
      </c>
      <c r="C26" s="22" t="s">
        <v>665</v>
      </c>
      <c r="D26" s="86" t="s">
        <v>921</v>
      </c>
      <c r="E26" s="86">
        <v>2035</v>
      </c>
      <c r="F26" s="215">
        <f>Powerlines!T221</f>
        <v>7200</v>
      </c>
      <c r="G26" s="608">
        <v>1.5</v>
      </c>
    </row>
    <row r="27" spans="1:7">
      <c r="A27" s="595" t="s">
        <v>106</v>
      </c>
      <c r="B27" s="38" t="s">
        <v>99</v>
      </c>
      <c r="C27" s="22" t="s">
        <v>665</v>
      </c>
      <c r="D27" s="86" t="s">
        <v>921</v>
      </c>
      <c r="E27" s="86">
        <v>2035</v>
      </c>
      <c r="F27" s="215">
        <f>Powerlines!T222</f>
        <v>1800</v>
      </c>
      <c r="G27" s="608">
        <v>1.5</v>
      </c>
    </row>
    <row r="28" spans="1:7">
      <c r="A28" s="595" t="s">
        <v>105</v>
      </c>
      <c r="B28" s="38" t="s">
        <v>101</v>
      </c>
      <c r="C28" s="22" t="s">
        <v>665</v>
      </c>
      <c r="D28" s="86" t="s">
        <v>921</v>
      </c>
      <c r="E28" s="86">
        <v>2035</v>
      </c>
      <c r="F28" s="215">
        <f>Powerlines!T223</f>
        <v>1415</v>
      </c>
      <c r="G28" s="608">
        <v>1.5</v>
      </c>
    </row>
    <row r="29" spans="1:7">
      <c r="A29" s="595" t="s">
        <v>103</v>
      </c>
      <c r="B29" s="38" t="s">
        <v>117</v>
      </c>
      <c r="C29" s="22" t="s">
        <v>665</v>
      </c>
      <c r="D29" s="86" t="s">
        <v>921</v>
      </c>
      <c r="E29" s="86">
        <v>2035</v>
      </c>
      <c r="F29" s="215">
        <f>Powerlines!T224</f>
        <v>4500</v>
      </c>
      <c r="G29" s="608">
        <v>1.5</v>
      </c>
    </row>
    <row r="30" spans="1:7">
      <c r="A30" s="595" t="s">
        <v>105</v>
      </c>
      <c r="B30" s="38" t="s">
        <v>117</v>
      </c>
      <c r="C30" s="22" t="s">
        <v>665</v>
      </c>
      <c r="D30" s="86" t="s">
        <v>921</v>
      </c>
      <c r="E30" s="86">
        <v>2035</v>
      </c>
      <c r="F30" s="215">
        <f>Powerlines!T225</f>
        <v>1700</v>
      </c>
      <c r="G30" s="608">
        <v>1.5</v>
      </c>
    </row>
    <row r="31" spans="1:7">
      <c r="A31" s="595" t="s">
        <v>103</v>
      </c>
      <c r="B31" s="38" t="s">
        <v>119</v>
      </c>
      <c r="C31" s="22" t="s">
        <v>665</v>
      </c>
      <c r="D31" s="86" t="s">
        <v>921</v>
      </c>
      <c r="E31" s="86">
        <v>2035</v>
      </c>
      <c r="F31" s="215">
        <f>Powerlines!T226</f>
        <v>600</v>
      </c>
      <c r="G31" s="608">
        <v>1.5</v>
      </c>
    </row>
    <row r="32" spans="1:7">
      <c r="A32" s="595" t="s">
        <v>104</v>
      </c>
      <c r="B32" s="38" t="s">
        <v>119</v>
      </c>
      <c r="C32" s="22" t="s">
        <v>665</v>
      </c>
      <c r="D32" s="86" t="s">
        <v>921</v>
      </c>
      <c r="E32" s="86">
        <v>2035</v>
      </c>
      <c r="F32" s="215">
        <f>Powerlines!T227</f>
        <v>300</v>
      </c>
      <c r="G32" s="608">
        <v>1.5</v>
      </c>
    </row>
    <row r="33" spans="1:7">
      <c r="A33" s="595" t="s">
        <v>104</v>
      </c>
      <c r="B33" s="38" t="s">
        <v>118</v>
      </c>
      <c r="C33" s="22" t="s">
        <v>665</v>
      </c>
      <c r="D33" s="86" t="s">
        <v>921</v>
      </c>
      <c r="E33" s="86">
        <v>2035</v>
      </c>
      <c r="F33" s="215">
        <f>Powerlines!T228</f>
        <v>1000</v>
      </c>
      <c r="G33" s="608">
        <v>1.5</v>
      </c>
    </row>
    <row r="34" spans="1:7">
      <c r="A34" s="595" t="s">
        <v>105</v>
      </c>
      <c r="B34" s="38" t="s">
        <v>120</v>
      </c>
      <c r="C34" s="22" t="s">
        <v>665</v>
      </c>
      <c r="D34" s="86" t="s">
        <v>921</v>
      </c>
      <c r="E34" s="86">
        <v>2035</v>
      </c>
      <c r="F34" s="215">
        <f>Powerlines!T229</f>
        <v>2095</v>
      </c>
      <c r="G34" s="608">
        <v>1.5</v>
      </c>
    </row>
    <row r="35" spans="1:7">
      <c r="A35" s="625" t="s">
        <v>106</v>
      </c>
      <c r="B35" s="626" t="s">
        <v>121</v>
      </c>
      <c r="C35" s="176" t="s">
        <v>665</v>
      </c>
      <c r="D35" s="134" t="s">
        <v>921</v>
      </c>
      <c r="E35" s="134">
        <v>2035</v>
      </c>
      <c r="F35" s="318">
        <f>Powerlines!T230</f>
        <v>1300</v>
      </c>
      <c r="G35" s="682">
        <v>1.5</v>
      </c>
    </row>
    <row r="36" spans="1:7">
      <c r="A36" s="595" t="s">
        <v>99</v>
      </c>
      <c r="B36" s="38" t="s">
        <v>101</v>
      </c>
      <c r="C36" s="22" t="s">
        <v>665</v>
      </c>
      <c r="D36" s="86" t="s">
        <v>921</v>
      </c>
      <c r="E36" s="86">
        <v>2035</v>
      </c>
      <c r="F36" s="215">
        <f>Powerlines!T231</f>
        <v>600</v>
      </c>
      <c r="G36" s="608">
        <v>1.5</v>
      </c>
    </row>
    <row r="37" spans="1:7">
      <c r="A37" s="625" t="s">
        <v>101</v>
      </c>
      <c r="B37" s="626" t="s">
        <v>120</v>
      </c>
      <c r="C37" s="176" t="s">
        <v>665</v>
      </c>
      <c r="D37" s="134" t="s">
        <v>921</v>
      </c>
      <c r="E37" s="134">
        <v>2035</v>
      </c>
      <c r="F37" s="318">
        <f>Powerlines!T232</f>
        <v>3632</v>
      </c>
      <c r="G37" s="682">
        <v>1.5</v>
      </c>
    </row>
    <row r="38" spans="1:7">
      <c r="A38" s="625" t="s">
        <v>117</v>
      </c>
      <c r="B38" s="626" t="s">
        <v>123</v>
      </c>
      <c r="C38" s="176" t="s">
        <v>665</v>
      </c>
      <c r="D38" s="134" t="s">
        <v>921</v>
      </c>
      <c r="E38" s="134">
        <v>2035</v>
      </c>
      <c r="F38" s="313">
        <f>Powerlines!T233</f>
        <v>1716</v>
      </c>
      <c r="G38" s="682">
        <v>1.5</v>
      </c>
    </row>
    <row r="39" spans="1:7">
      <c r="A39" s="595" t="s">
        <v>118</v>
      </c>
      <c r="B39" s="38" t="s">
        <v>119</v>
      </c>
      <c r="C39" s="22" t="s">
        <v>665</v>
      </c>
      <c r="D39" s="86" t="s">
        <v>921</v>
      </c>
      <c r="E39" s="86">
        <v>2035</v>
      </c>
      <c r="F39" s="215">
        <f>Powerlines!T234</f>
        <v>1300</v>
      </c>
      <c r="G39" s="608">
        <v>1.5</v>
      </c>
    </row>
    <row r="40" spans="1:7">
      <c r="A40" s="625" t="s">
        <v>118</v>
      </c>
      <c r="B40" s="626" t="s">
        <v>120</v>
      </c>
      <c r="C40" s="176" t="s">
        <v>665</v>
      </c>
      <c r="D40" s="134" t="s">
        <v>921</v>
      </c>
      <c r="E40" s="134">
        <v>2035</v>
      </c>
      <c r="F40" s="318">
        <f>Powerlines!T235</f>
        <v>1400</v>
      </c>
      <c r="G40" s="682">
        <v>1.5</v>
      </c>
    </row>
    <row r="41" spans="1:7">
      <c r="A41" s="628" t="s">
        <v>121</v>
      </c>
      <c r="B41" s="629" t="s">
        <v>122</v>
      </c>
      <c r="C41" s="136" t="s">
        <v>665</v>
      </c>
      <c r="D41" s="190" t="s">
        <v>921</v>
      </c>
      <c r="E41" s="190">
        <v>2035</v>
      </c>
      <c r="F41" s="313">
        <f>Powerlines!T236</f>
        <v>950</v>
      </c>
      <c r="G41" s="682">
        <v>1.5</v>
      </c>
    </row>
    <row r="42" spans="1:7">
      <c r="A42" s="855" t="s">
        <v>122</v>
      </c>
      <c r="B42" s="856" t="s">
        <v>123</v>
      </c>
      <c r="C42" s="777" t="s">
        <v>665</v>
      </c>
      <c r="D42" s="780" t="s">
        <v>921</v>
      </c>
      <c r="E42" s="770">
        <v>2035</v>
      </c>
      <c r="F42" s="760">
        <f>Powerlines!T237</f>
        <v>900</v>
      </c>
      <c r="G42" s="857">
        <v>1.5</v>
      </c>
    </row>
    <row r="43" spans="1:7">
      <c r="A43" s="852" t="s">
        <v>982</v>
      </c>
      <c r="B43" s="858"/>
      <c r="C43" s="804"/>
      <c r="D43" s="799"/>
      <c r="E43" s="799"/>
      <c r="F43" s="846"/>
      <c r="G43" s="860"/>
    </row>
    <row r="44" spans="1:7">
      <c r="A44" s="38" t="s">
        <v>109</v>
      </c>
      <c r="B44" s="595" t="s">
        <v>107</v>
      </c>
      <c r="C44" s="22" t="s">
        <v>665</v>
      </c>
      <c r="D44" s="86" t="s">
        <v>921</v>
      </c>
      <c r="E44" s="86">
        <v>2035</v>
      </c>
      <c r="F44" s="215">
        <f>Powerlines!U198</f>
        <v>4800</v>
      </c>
      <c r="G44" s="608">
        <v>1.5</v>
      </c>
    </row>
    <row r="45" spans="1:7">
      <c r="A45" s="38" t="s">
        <v>110</v>
      </c>
      <c r="B45" s="595" t="s">
        <v>107</v>
      </c>
      <c r="C45" s="22" t="s">
        <v>665</v>
      </c>
      <c r="D45" s="86" t="s">
        <v>921</v>
      </c>
      <c r="E45" s="86">
        <v>2035</v>
      </c>
      <c r="F45" s="215">
        <f>Powerlines!U199</f>
        <v>2800</v>
      </c>
      <c r="G45" s="608">
        <v>1.5</v>
      </c>
    </row>
    <row r="46" spans="1:7">
      <c r="A46" s="38" t="s">
        <v>113</v>
      </c>
      <c r="B46" s="595" t="s">
        <v>107</v>
      </c>
      <c r="C46" s="22" t="s">
        <v>665</v>
      </c>
      <c r="D46" s="86" t="s">
        <v>921</v>
      </c>
      <c r="E46" s="86">
        <v>2035</v>
      </c>
      <c r="F46" s="215">
        <f>Powerlines!U200</f>
        <v>3000</v>
      </c>
      <c r="G46" s="608">
        <v>1.5</v>
      </c>
    </row>
    <row r="47" spans="1:7">
      <c r="A47" s="38" t="s">
        <v>114</v>
      </c>
      <c r="B47" s="595" t="s">
        <v>107</v>
      </c>
      <c r="C47" s="22" t="s">
        <v>665</v>
      </c>
      <c r="D47" s="86" t="s">
        <v>921</v>
      </c>
      <c r="E47" s="86">
        <v>2035</v>
      </c>
      <c r="F47" s="215">
        <f>Powerlines!U201</f>
        <v>6000</v>
      </c>
      <c r="G47" s="608">
        <v>1.5</v>
      </c>
    </row>
    <row r="48" spans="1:7">
      <c r="A48" s="38" t="s">
        <v>115</v>
      </c>
      <c r="B48" s="595" t="s">
        <v>107</v>
      </c>
      <c r="C48" s="22" t="s">
        <v>665</v>
      </c>
      <c r="D48" s="86" t="s">
        <v>921</v>
      </c>
      <c r="E48" s="86">
        <v>2035</v>
      </c>
      <c r="F48" s="215">
        <f>Powerlines!U202</f>
        <v>1000</v>
      </c>
      <c r="G48" s="608">
        <v>1.5</v>
      </c>
    </row>
    <row r="49" spans="1:7">
      <c r="A49" s="38" t="s">
        <v>106</v>
      </c>
      <c r="B49" s="595" t="s">
        <v>107</v>
      </c>
      <c r="C49" s="22" t="s">
        <v>665</v>
      </c>
      <c r="D49" s="86" t="s">
        <v>921</v>
      </c>
      <c r="E49" s="86">
        <v>2035</v>
      </c>
      <c r="F49" s="215">
        <f>Powerlines!U203</f>
        <v>2015</v>
      </c>
      <c r="G49" s="608">
        <v>1.5</v>
      </c>
    </row>
    <row r="50" spans="1:7">
      <c r="A50" s="38" t="s">
        <v>99</v>
      </c>
      <c r="B50" s="595" t="s">
        <v>107</v>
      </c>
      <c r="C50" s="22" t="s">
        <v>665</v>
      </c>
      <c r="D50" s="86" t="s">
        <v>921</v>
      </c>
      <c r="E50" s="86">
        <v>2035</v>
      </c>
      <c r="F50" s="215">
        <f>Powerlines!U204</f>
        <v>1500</v>
      </c>
      <c r="G50" s="608">
        <v>1.5</v>
      </c>
    </row>
    <row r="51" spans="1:7">
      <c r="A51" s="38" t="s">
        <v>101</v>
      </c>
      <c r="B51" s="595" t="s">
        <v>107</v>
      </c>
      <c r="C51" s="22" t="s">
        <v>665</v>
      </c>
      <c r="D51" s="86" t="s">
        <v>921</v>
      </c>
      <c r="E51" s="86">
        <v>2035</v>
      </c>
      <c r="F51" s="215">
        <f>Powerlines!U205</f>
        <v>5500</v>
      </c>
      <c r="G51" s="608">
        <v>1.5</v>
      </c>
    </row>
    <row r="52" spans="1:7">
      <c r="A52" s="626" t="s">
        <v>120</v>
      </c>
      <c r="B52" s="625" t="s">
        <v>107</v>
      </c>
      <c r="C52" s="176" t="s">
        <v>665</v>
      </c>
      <c r="D52" s="134" t="s">
        <v>921</v>
      </c>
      <c r="E52" s="134">
        <v>2035</v>
      </c>
      <c r="F52" s="318">
        <f>Powerlines!U206</f>
        <v>3400</v>
      </c>
      <c r="G52" s="682">
        <v>1.5</v>
      </c>
    </row>
    <row r="53" spans="1:7">
      <c r="A53" s="38" t="s">
        <v>110</v>
      </c>
      <c r="B53" s="595" t="s">
        <v>109</v>
      </c>
      <c r="C53" s="22" t="s">
        <v>665</v>
      </c>
      <c r="D53" s="86" t="s">
        <v>921</v>
      </c>
      <c r="E53" s="86">
        <v>2035</v>
      </c>
      <c r="F53" s="215">
        <f>Powerlines!U207</f>
        <v>9450</v>
      </c>
      <c r="G53" s="608">
        <v>1.5</v>
      </c>
    </row>
    <row r="54" spans="1:7">
      <c r="A54" s="38" t="s">
        <v>112</v>
      </c>
      <c r="B54" s="595" t="s">
        <v>109</v>
      </c>
      <c r="C54" s="22" t="s">
        <v>665</v>
      </c>
      <c r="D54" s="86" t="s">
        <v>921</v>
      </c>
      <c r="E54" s="86">
        <v>2035</v>
      </c>
      <c r="F54" s="215">
        <f>Powerlines!U208</f>
        <v>8000</v>
      </c>
      <c r="G54" s="608">
        <v>1.5</v>
      </c>
    </row>
    <row r="55" spans="1:7">
      <c r="A55" s="626" t="s">
        <v>115</v>
      </c>
      <c r="B55" s="625" t="s">
        <v>109</v>
      </c>
      <c r="C55" s="176" t="s">
        <v>665</v>
      </c>
      <c r="D55" s="134" t="s">
        <v>921</v>
      </c>
      <c r="E55" s="134">
        <v>2035</v>
      </c>
      <c r="F55" s="318">
        <f>Powerlines!U209</f>
        <v>3800</v>
      </c>
      <c r="G55" s="682">
        <v>1.5</v>
      </c>
    </row>
    <row r="56" spans="1:7">
      <c r="A56" s="38" t="s">
        <v>114</v>
      </c>
      <c r="B56" s="595" t="s">
        <v>110</v>
      </c>
      <c r="C56" s="22" t="s">
        <v>665</v>
      </c>
      <c r="D56" s="86" t="s">
        <v>921</v>
      </c>
      <c r="E56" s="86">
        <v>2035</v>
      </c>
      <c r="F56" s="215">
        <f>Powerlines!U210</f>
        <v>3000</v>
      </c>
      <c r="G56" s="608">
        <v>1.5</v>
      </c>
    </row>
    <row r="57" spans="1:7">
      <c r="A57" s="38" t="s">
        <v>115</v>
      </c>
      <c r="B57" s="595" t="s">
        <v>110</v>
      </c>
      <c r="C57" s="22" t="s">
        <v>665</v>
      </c>
      <c r="D57" s="86" t="s">
        <v>921</v>
      </c>
      <c r="E57" s="86">
        <v>2035</v>
      </c>
      <c r="F57" s="215">
        <f>Powerlines!U211</f>
        <v>4400</v>
      </c>
      <c r="G57" s="608">
        <v>1.5</v>
      </c>
    </row>
    <row r="58" spans="1:7">
      <c r="A58" s="38" t="s">
        <v>101</v>
      </c>
      <c r="B58" s="595" t="s">
        <v>110</v>
      </c>
      <c r="C58" s="22" t="s">
        <v>665</v>
      </c>
      <c r="D58" s="86" t="s">
        <v>921</v>
      </c>
      <c r="E58" s="86">
        <v>2035</v>
      </c>
      <c r="F58" s="215">
        <f>Powerlines!U212</f>
        <v>2800</v>
      </c>
      <c r="G58" s="608">
        <v>1.5</v>
      </c>
    </row>
    <row r="59" spans="1:7">
      <c r="A59" s="626" t="s">
        <v>120</v>
      </c>
      <c r="B59" s="625" t="s">
        <v>110</v>
      </c>
      <c r="C59" s="176" t="s">
        <v>665</v>
      </c>
      <c r="D59" s="134" t="s">
        <v>921</v>
      </c>
      <c r="E59" s="134">
        <v>2035</v>
      </c>
      <c r="F59" s="318">
        <f>Powerlines!U213</f>
        <v>3400</v>
      </c>
      <c r="G59" s="682">
        <v>1.5</v>
      </c>
    </row>
    <row r="60" spans="1:7">
      <c r="A60" s="38" t="s">
        <v>106</v>
      </c>
      <c r="B60" s="595" t="s">
        <v>113</v>
      </c>
      <c r="C60" s="22" t="s">
        <v>665</v>
      </c>
      <c r="D60" s="86" t="s">
        <v>921</v>
      </c>
      <c r="E60" s="86">
        <v>2035</v>
      </c>
      <c r="F60" s="215">
        <f>Powerlines!U214</f>
        <v>600</v>
      </c>
      <c r="G60" s="608">
        <v>1.5</v>
      </c>
    </row>
    <row r="61" spans="1:7">
      <c r="A61" s="626" t="s">
        <v>121</v>
      </c>
      <c r="B61" s="625" t="s">
        <v>113</v>
      </c>
      <c r="C61" s="176" t="s">
        <v>665</v>
      </c>
      <c r="D61" s="134" t="s">
        <v>921</v>
      </c>
      <c r="E61" s="134">
        <v>2035</v>
      </c>
      <c r="F61" s="318">
        <f>Powerlines!U215</f>
        <v>700</v>
      </c>
      <c r="G61" s="682">
        <v>1.5</v>
      </c>
    </row>
    <row r="62" spans="1:7">
      <c r="A62" s="38" t="s">
        <v>115</v>
      </c>
      <c r="B62" s="595" t="s">
        <v>114</v>
      </c>
      <c r="C62" s="22" t="s">
        <v>665</v>
      </c>
      <c r="D62" s="86" t="s">
        <v>921</v>
      </c>
      <c r="E62" s="86">
        <v>2035</v>
      </c>
      <c r="F62" s="215">
        <f>Powerlines!U216</f>
        <v>4400</v>
      </c>
      <c r="G62" s="608">
        <v>1.5</v>
      </c>
    </row>
    <row r="63" spans="1:7">
      <c r="A63" s="38" t="s">
        <v>101</v>
      </c>
      <c r="B63" s="595" t="s">
        <v>114</v>
      </c>
      <c r="C63" s="22" t="s">
        <v>665</v>
      </c>
      <c r="D63" s="86" t="s">
        <v>921</v>
      </c>
      <c r="E63" s="86">
        <v>2035</v>
      </c>
      <c r="F63" s="215">
        <f>Powerlines!U217</f>
        <v>700</v>
      </c>
      <c r="G63" s="608">
        <v>1.5</v>
      </c>
    </row>
    <row r="64" spans="1:7">
      <c r="A64" s="626" t="s">
        <v>120</v>
      </c>
      <c r="B64" s="625" t="s">
        <v>114</v>
      </c>
      <c r="C64" s="176" t="s">
        <v>665</v>
      </c>
      <c r="D64" s="134" t="s">
        <v>921</v>
      </c>
      <c r="E64" s="134">
        <v>2035</v>
      </c>
      <c r="F64" s="318">
        <f>Powerlines!U218</f>
        <v>2700</v>
      </c>
      <c r="G64" s="682">
        <v>1.5</v>
      </c>
    </row>
    <row r="65" spans="1:7">
      <c r="A65" s="38" t="s">
        <v>104</v>
      </c>
      <c r="B65" s="595" t="s">
        <v>103</v>
      </c>
      <c r="C65" s="22" t="s">
        <v>665</v>
      </c>
      <c r="D65" s="86" t="s">
        <v>921</v>
      </c>
      <c r="E65" s="86">
        <v>2035</v>
      </c>
      <c r="F65" s="215">
        <f>Powerlines!U219</f>
        <v>3300</v>
      </c>
      <c r="G65" s="608">
        <v>1.5</v>
      </c>
    </row>
    <row r="66" spans="1:7">
      <c r="A66" s="38" t="s">
        <v>105</v>
      </c>
      <c r="B66" s="595" t="s">
        <v>104</v>
      </c>
      <c r="C66" s="22" t="s">
        <v>665</v>
      </c>
      <c r="D66" s="86" t="s">
        <v>921</v>
      </c>
      <c r="E66" s="86">
        <v>2035</v>
      </c>
      <c r="F66" s="215">
        <f>Powerlines!U220</f>
        <v>9300</v>
      </c>
      <c r="G66" s="608">
        <v>1.5</v>
      </c>
    </row>
    <row r="67" spans="1:7">
      <c r="A67" s="38" t="s">
        <v>106</v>
      </c>
      <c r="B67" s="595" t="s">
        <v>105</v>
      </c>
      <c r="C67" s="22" t="s">
        <v>665</v>
      </c>
      <c r="D67" s="86" t="s">
        <v>921</v>
      </c>
      <c r="E67" s="86">
        <v>2035</v>
      </c>
      <c r="F67" s="215">
        <f>Powerlines!U221</f>
        <v>3600</v>
      </c>
      <c r="G67" s="608">
        <v>1.5</v>
      </c>
    </row>
    <row r="68" spans="1:7">
      <c r="A68" s="38" t="s">
        <v>99</v>
      </c>
      <c r="B68" s="595" t="s">
        <v>106</v>
      </c>
      <c r="C68" s="22" t="s">
        <v>665</v>
      </c>
      <c r="D68" s="86" t="s">
        <v>921</v>
      </c>
      <c r="E68" s="86">
        <v>2035</v>
      </c>
      <c r="F68" s="215">
        <f>Powerlines!U222</f>
        <v>2200</v>
      </c>
      <c r="G68" s="608">
        <v>1.5</v>
      </c>
    </row>
    <row r="69" spans="1:7">
      <c r="A69" s="38" t="s">
        <v>101</v>
      </c>
      <c r="B69" s="595" t="s">
        <v>105</v>
      </c>
      <c r="C69" s="22" t="s">
        <v>665</v>
      </c>
      <c r="D69" s="86" t="s">
        <v>921</v>
      </c>
      <c r="E69" s="86">
        <v>2035</v>
      </c>
      <c r="F69" s="215">
        <f>Powerlines!U223</f>
        <v>1415</v>
      </c>
      <c r="G69" s="608">
        <v>1.5</v>
      </c>
    </row>
    <row r="70" spans="1:7">
      <c r="A70" s="38" t="s">
        <v>117</v>
      </c>
      <c r="B70" s="595" t="s">
        <v>103</v>
      </c>
      <c r="C70" s="22" t="s">
        <v>665</v>
      </c>
      <c r="D70" s="86" t="s">
        <v>921</v>
      </c>
      <c r="E70" s="86">
        <v>2035</v>
      </c>
      <c r="F70" s="215">
        <f>Powerlines!U224</f>
        <v>4400</v>
      </c>
      <c r="G70" s="608">
        <v>1.5</v>
      </c>
    </row>
    <row r="71" spans="1:7">
      <c r="A71" s="38" t="s">
        <v>117</v>
      </c>
      <c r="B71" s="595" t="s">
        <v>105</v>
      </c>
      <c r="C71" s="22" t="s">
        <v>665</v>
      </c>
      <c r="D71" s="86" t="s">
        <v>921</v>
      </c>
      <c r="E71" s="86">
        <v>2035</v>
      </c>
      <c r="F71" s="215">
        <f>Powerlines!U225</f>
        <v>1700</v>
      </c>
      <c r="G71" s="608">
        <v>1.5</v>
      </c>
    </row>
    <row r="72" spans="1:7">
      <c r="A72" s="38" t="s">
        <v>119</v>
      </c>
      <c r="B72" s="595" t="s">
        <v>103</v>
      </c>
      <c r="C72" s="22" t="s">
        <v>665</v>
      </c>
      <c r="D72" s="86" t="s">
        <v>921</v>
      </c>
      <c r="E72" s="86">
        <v>2035</v>
      </c>
      <c r="F72" s="215">
        <f>Powerlines!U226</f>
        <v>700</v>
      </c>
      <c r="G72" s="608">
        <v>1.5</v>
      </c>
    </row>
    <row r="73" spans="1:7">
      <c r="A73" s="38" t="s">
        <v>119</v>
      </c>
      <c r="B73" s="595" t="s">
        <v>104</v>
      </c>
      <c r="C73" s="22" t="s">
        <v>665</v>
      </c>
      <c r="D73" s="86" t="s">
        <v>921</v>
      </c>
      <c r="E73" s="86">
        <v>2035</v>
      </c>
      <c r="F73" s="215">
        <f>Powerlines!U227</f>
        <v>250</v>
      </c>
      <c r="G73" s="608">
        <v>1.5</v>
      </c>
    </row>
    <row r="74" spans="1:7">
      <c r="A74" s="38" t="s">
        <v>118</v>
      </c>
      <c r="B74" s="595" t="s">
        <v>104</v>
      </c>
      <c r="C74" s="22" t="s">
        <v>665</v>
      </c>
      <c r="D74" s="86" t="s">
        <v>921</v>
      </c>
      <c r="E74" s="86">
        <v>2035</v>
      </c>
      <c r="F74" s="215">
        <f>Powerlines!U228</f>
        <v>600</v>
      </c>
      <c r="G74" s="608">
        <v>1.5</v>
      </c>
    </row>
    <row r="75" spans="1:7">
      <c r="A75" s="38" t="s">
        <v>120</v>
      </c>
      <c r="B75" s="595" t="s">
        <v>105</v>
      </c>
      <c r="C75" s="22" t="s">
        <v>665</v>
      </c>
      <c r="D75" s="86" t="s">
        <v>921</v>
      </c>
      <c r="E75" s="86">
        <v>2035</v>
      </c>
      <c r="F75" s="215">
        <f>Powerlines!U229</f>
        <v>2145</v>
      </c>
      <c r="G75" s="608">
        <v>1.5</v>
      </c>
    </row>
    <row r="76" spans="1:7">
      <c r="A76" s="626" t="s">
        <v>121</v>
      </c>
      <c r="B76" s="625" t="s">
        <v>106</v>
      </c>
      <c r="C76" s="176" t="s">
        <v>665</v>
      </c>
      <c r="D76" s="134" t="s">
        <v>921</v>
      </c>
      <c r="E76" s="134">
        <v>2035</v>
      </c>
      <c r="F76" s="318">
        <f>Powerlines!U230</f>
        <v>1300</v>
      </c>
      <c r="G76" s="682">
        <v>1.5</v>
      </c>
    </row>
    <row r="77" spans="1:7">
      <c r="A77" s="38" t="s">
        <v>101</v>
      </c>
      <c r="B77" s="595" t="s">
        <v>99</v>
      </c>
      <c r="C77" s="22" t="s">
        <v>665</v>
      </c>
      <c r="D77" s="86" t="s">
        <v>921</v>
      </c>
      <c r="E77" s="86">
        <v>2035</v>
      </c>
      <c r="F77" s="215">
        <f>Powerlines!U231</f>
        <v>590</v>
      </c>
      <c r="G77" s="608">
        <v>1.5</v>
      </c>
    </row>
    <row r="78" spans="1:7">
      <c r="A78" s="626" t="s">
        <v>120</v>
      </c>
      <c r="B78" s="625" t="s">
        <v>101</v>
      </c>
      <c r="C78" s="176" t="s">
        <v>665</v>
      </c>
      <c r="D78" s="134" t="s">
        <v>921</v>
      </c>
      <c r="E78" s="134">
        <v>2035</v>
      </c>
      <c r="F78" s="318">
        <f>Powerlines!U232</f>
        <v>3632</v>
      </c>
      <c r="G78" s="682">
        <v>1.5</v>
      </c>
    </row>
    <row r="79" spans="1:7">
      <c r="A79" s="626" t="s">
        <v>123</v>
      </c>
      <c r="B79" s="625" t="s">
        <v>117</v>
      </c>
      <c r="C79" s="176" t="s">
        <v>665</v>
      </c>
      <c r="D79" s="134" t="s">
        <v>921</v>
      </c>
      <c r="E79" s="134">
        <v>2035</v>
      </c>
      <c r="F79" s="313">
        <f>Powerlines!U233</f>
        <v>1716</v>
      </c>
      <c r="G79" s="682">
        <v>1.5</v>
      </c>
    </row>
    <row r="80" spans="1:7">
      <c r="A80" s="38" t="s">
        <v>119</v>
      </c>
      <c r="B80" s="595" t="s">
        <v>118</v>
      </c>
      <c r="C80" s="22" t="s">
        <v>665</v>
      </c>
      <c r="D80" s="86" t="s">
        <v>921</v>
      </c>
      <c r="E80" s="86">
        <v>2035</v>
      </c>
      <c r="F80" s="215">
        <f>Powerlines!U234</f>
        <v>1300</v>
      </c>
      <c r="G80" s="608">
        <v>1.5</v>
      </c>
    </row>
    <row r="81" spans="1:7">
      <c r="A81" s="626" t="s">
        <v>120</v>
      </c>
      <c r="B81" s="625" t="s">
        <v>118</v>
      </c>
      <c r="C81" s="176" t="s">
        <v>665</v>
      </c>
      <c r="D81" s="134" t="s">
        <v>921</v>
      </c>
      <c r="E81" s="134">
        <v>2035</v>
      </c>
      <c r="F81" s="318">
        <f>Powerlines!U235</f>
        <v>1400</v>
      </c>
      <c r="G81" s="682">
        <v>1.5</v>
      </c>
    </row>
    <row r="82" spans="1:7">
      <c r="A82" s="629" t="s">
        <v>122</v>
      </c>
      <c r="B82" s="628" t="s">
        <v>121</v>
      </c>
      <c r="C82" s="136" t="s">
        <v>665</v>
      </c>
      <c r="D82" s="190" t="s">
        <v>921</v>
      </c>
      <c r="E82" s="190">
        <v>2035</v>
      </c>
      <c r="F82" s="313">
        <f>Powerlines!U236</f>
        <v>950</v>
      </c>
      <c r="G82" s="682">
        <v>1.5</v>
      </c>
    </row>
    <row r="83" spans="1:7">
      <c r="A83" s="856" t="s">
        <v>123</v>
      </c>
      <c r="B83" s="855" t="s">
        <v>122</v>
      </c>
      <c r="C83" s="777" t="s">
        <v>665</v>
      </c>
      <c r="D83" s="780" t="s">
        <v>921</v>
      </c>
      <c r="E83" s="770">
        <v>2035</v>
      </c>
      <c r="F83" s="760">
        <f>Powerlines!U237</f>
        <v>1100</v>
      </c>
      <c r="G83" s="857">
        <v>1.5</v>
      </c>
    </row>
    <row r="84" spans="1:7">
      <c r="A84" s="852" t="s">
        <v>983</v>
      </c>
      <c r="B84" s="859"/>
      <c r="C84" s="804"/>
      <c r="D84" s="799"/>
      <c r="E84" s="799"/>
      <c r="F84" s="846"/>
      <c r="G84" s="860"/>
    </row>
    <row r="85" spans="1:7">
      <c r="A85" s="595" t="s">
        <v>107</v>
      </c>
      <c r="B85" s="38" t="s">
        <v>109</v>
      </c>
      <c r="C85" s="22" t="s">
        <v>697</v>
      </c>
      <c r="D85" s="86" t="s">
        <v>921</v>
      </c>
      <c r="E85" s="86">
        <v>2035</v>
      </c>
      <c r="F85" s="215">
        <f>'H2 pipelines'!U11</f>
        <v>8000</v>
      </c>
      <c r="G85" s="608">
        <v>1.5</v>
      </c>
    </row>
    <row r="86" spans="1:7">
      <c r="A86" s="595" t="s">
        <v>107</v>
      </c>
      <c r="B86" s="38" t="s">
        <v>113</v>
      </c>
      <c r="C86" s="22" t="s">
        <v>697</v>
      </c>
      <c r="D86" s="86" t="s">
        <v>921</v>
      </c>
      <c r="E86" s="86">
        <v>2035</v>
      </c>
      <c r="F86" s="215">
        <f>'H2 pipelines'!U12</f>
        <v>4170</v>
      </c>
      <c r="G86" s="608">
        <v>1.5</v>
      </c>
    </row>
    <row r="87" spans="1:7">
      <c r="A87" s="595" t="s">
        <v>107</v>
      </c>
      <c r="B87" s="38" t="s">
        <v>114</v>
      </c>
      <c r="C87" s="22" t="s">
        <v>697</v>
      </c>
      <c r="D87" s="86" t="s">
        <v>921</v>
      </c>
      <c r="E87" s="86">
        <v>2035</v>
      </c>
      <c r="F87" s="215">
        <f>'H2 pipelines'!U13</f>
        <v>500</v>
      </c>
      <c r="G87" s="608">
        <v>1.5</v>
      </c>
    </row>
    <row r="88" spans="1:7">
      <c r="A88" s="595" t="s">
        <v>107</v>
      </c>
      <c r="B88" s="38" t="s">
        <v>115</v>
      </c>
      <c r="C88" s="22" t="s">
        <v>697</v>
      </c>
      <c r="D88" s="86" t="s">
        <v>921</v>
      </c>
      <c r="E88" s="86">
        <v>2035</v>
      </c>
      <c r="F88" s="215">
        <f>'H2 pipelines'!U14</f>
        <v>3790</v>
      </c>
      <c r="G88" s="608">
        <v>1.5</v>
      </c>
    </row>
    <row r="89" spans="1:7">
      <c r="A89" s="595" t="s">
        <v>107</v>
      </c>
      <c r="B89" s="38" t="s">
        <v>101</v>
      </c>
      <c r="C89" s="22" t="s">
        <v>697</v>
      </c>
      <c r="D89" s="86" t="s">
        <v>921</v>
      </c>
      <c r="E89" s="86">
        <v>2035</v>
      </c>
      <c r="F89" s="215">
        <f>'H2 pipelines'!U15</f>
        <v>7892</v>
      </c>
      <c r="G89" s="608">
        <v>1.5</v>
      </c>
    </row>
    <row r="90" spans="1:7">
      <c r="A90" s="625" t="s">
        <v>107</v>
      </c>
      <c r="B90" s="626" t="s">
        <v>187</v>
      </c>
      <c r="C90" s="176" t="s">
        <v>697</v>
      </c>
      <c r="D90" s="134" t="s">
        <v>921</v>
      </c>
      <c r="E90" s="134">
        <v>2035</v>
      </c>
      <c r="F90" s="318">
        <f>'H2 pipelines'!U16</f>
        <v>21000</v>
      </c>
      <c r="G90" s="682">
        <v>1.5</v>
      </c>
    </row>
    <row r="91" spans="1:7">
      <c r="A91" s="595" t="s">
        <v>109</v>
      </c>
      <c r="B91" s="38" t="s">
        <v>112</v>
      </c>
      <c r="C91" s="22" t="s">
        <v>697</v>
      </c>
      <c r="D91" s="86" t="s">
        <v>921</v>
      </c>
      <c r="E91" s="86">
        <v>2035</v>
      </c>
      <c r="F91" s="215">
        <f>'H2 pipelines'!U17</f>
        <v>9000</v>
      </c>
      <c r="G91" s="608">
        <v>1.5</v>
      </c>
    </row>
    <row r="92" spans="1:7">
      <c r="A92" s="625" t="s">
        <v>109</v>
      </c>
      <c r="B92" s="626" t="s">
        <v>115</v>
      </c>
      <c r="C92" s="176" t="s">
        <v>697</v>
      </c>
      <c r="D92" s="134" t="s">
        <v>921</v>
      </c>
      <c r="E92" s="134">
        <v>2035</v>
      </c>
      <c r="F92" s="318">
        <f>'H2 pipelines'!U18</f>
        <v>4500</v>
      </c>
      <c r="G92" s="682">
        <v>1.5</v>
      </c>
    </row>
    <row r="93" spans="1:7">
      <c r="A93" s="628" t="s">
        <v>110</v>
      </c>
      <c r="B93" s="629" t="s">
        <v>115</v>
      </c>
      <c r="C93" s="136" t="s">
        <v>697</v>
      </c>
      <c r="D93" s="190" t="s">
        <v>921</v>
      </c>
      <c r="E93" s="190">
        <v>2035</v>
      </c>
      <c r="F93" s="313">
        <f>'H2 pipelines'!U19</f>
        <v>8333</v>
      </c>
      <c r="G93" s="683">
        <v>1.5</v>
      </c>
    </row>
    <row r="94" spans="1:7">
      <c r="A94" s="628" t="s">
        <v>113</v>
      </c>
      <c r="B94" s="629" t="s">
        <v>121</v>
      </c>
      <c r="C94" s="136" t="s">
        <v>697</v>
      </c>
      <c r="D94" s="134" t="s">
        <v>921</v>
      </c>
      <c r="E94" s="190">
        <v>2035</v>
      </c>
      <c r="F94" s="318">
        <f>'H2 pipelines'!U20</f>
        <v>4170</v>
      </c>
      <c r="G94" s="682">
        <v>1.5</v>
      </c>
    </row>
    <row r="95" spans="1:7">
      <c r="A95" s="628" t="s">
        <v>114</v>
      </c>
      <c r="B95" s="629" t="s">
        <v>115</v>
      </c>
      <c r="C95" s="136" t="s">
        <v>697</v>
      </c>
      <c r="D95" s="190" t="s">
        <v>921</v>
      </c>
      <c r="E95" s="190">
        <v>2035</v>
      </c>
      <c r="F95" s="313">
        <f>'H2 pipelines'!U21</f>
        <v>8000</v>
      </c>
      <c r="G95" s="683">
        <v>1.5</v>
      </c>
    </row>
    <row r="96" spans="1:7">
      <c r="A96" s="595" t="s">
        <v>103</v>
      </c>
      <c r="B96" s="38" t="s">
        <v>104</v>
      </c>
      <c r="C96" s="22" t="s">
        <v>697</v>
      </c>
      <c r="D96" s="86" t="s">
        <v>921</v>
      </c>
      <c r="E96" s="86">
        <v>2035</v>
      </c>
      <c r="F96" s="215">
        <f>'H2 pipelines'!U22</f>
        <v>7546</v>
      </c>
      <c r="G96" s="608">
        <v>1.5</v>
      </c>
    </row>
    <row r="97" spans="1:7">
      <c r="A97" s="595" t="s">
        <v>105</v>
      </c>
      <c r="B97" s="38" t="s">
        <v>106</v>
      </c>
      <c r="C97" s="22" t="s">
        <v>697</v>
      </c>
      <c r="D97" s="86" t="s">
        <v>921</v>
      </c>
      <c r="E97" s="86">
        <v>2035</v>
      </c>
      <c r="F97" s="215">
        <f>'H2 pipelines'!U23</f>
        <v>7546</v>
      </c>
      <c r="G97" s="608">
        <v>1.5</v>
      </c>
    </row>
    <row r="98" spans="1:7">
      <c r="A98" s="595" t="s">
        <v>103</v>
      </c>
      <c r="B98" s="38" t="s">
        <v>117</v>
      </c>
      <c r="C98" s="22" t="s">
        <v>697</v>
      </c>
      <c r="D98" s="86" t="s">
        <v>921</v>
      </c>
      <c r="E98" s="86">
        <v>2035</v>
      </c>
      <c r="F98" s="215">
        <f>'H2 pipelines'!U24</f>
        <v>7546</v>
      </c>
      <c r="G98" s="608">
        <v>1.5</v>
      </c>
    </row>
    <row r="99" spans="1:7">
      <c r="A99" s="625" t="s">
        <v>105</v>
      </c>
      <c r="B99" s="626" t="s">
        <v>187</v>
      </c>
      <c r="C99" s="176" t="s">
        <v>697</v>
      </c>
      <c r="D99" s="134" t="s">
        <v>921</v>
      </c>
      <c r="E99" s="134">
        <v>2035</v>
      </c>
      <c r="F99" s="318">
        <f>'H2 pipelines'!U25</f>
        <v>21000</v>
      </c>
      <c r="G99" s="682">
        <v>1.5</v>
      </c>
    </row>
    <row r="100" spans="1:7">
      <c r="A100" s="628" t="s">
        <v>101</v>
      </c>
      <c r="B100" s="629" t="s">
        <v>99</v>
      </c>
      <c r="C100" s="136" t="s">
        <v>697</v>
      </c>
      <c r="D100" s="190" t="s">
        <v>921</v>
      </c>
      <c r="E100" s="190">
        <v>2035</v>
      </c>
      <c r="F100" s="313">
        <f>'H2 pipelines'!U26</f>
        <v>7892</v>
      </c>
      <c r="G100" s="683">
        <v>1.5</v>
      </c>
    </row>
    <row r="101" spans="1:7">
      <c r="A101" s="595" t="s">
        <v>117</v>
      </c>
      <c r="B101" s="38" t="s">
        <v>187</v>
      </c>
      <c r="C101" s="22" t="s">
        <v>697</v>
      </c>
      <c r="D101" s="86" t="s">
        <v>921</v>
      </c>
      <c r="E101" s="86">
        <v>2035</v>
      </c>
      <c r="F101" s="215">
        <f>'H2 pipelines'!U27</f>
        <v>21000</v>
      </c>
      <c r="G101" s="608">
        <v>1.5</v>
      </c>
    </row>
    <row r="102" spans="1:7">
      <c r="A102" s="625" t="s">
        <v>117</v>
      </c>
      <c r="B102" s="626" t="s">
        <v>123</v>
      </c>
      <c r="C102" s="176" t="s">
        <v>697</v>
      </c>
      <c r="D102" s="134" t="s">
        <v>921</v>
      </c>
      <c r="E102" s="134">
        <v>2035</v>
      </c>
      <c r="F102" s="318">
        <f>'H2 pipelines'!U28</f>
        <v>8330</v>
      </c>
      <c r="G102" s="682">
        <v>1.5</v>
      </c>
    </row>
    <row r="103" spans="1:7">
      <c r="A103" s="628" t="s">
        <v>121</v>
      </c>
      <c r="B103" s="629" t="s">
        <v>122</v>
      </c>
      <c r="C103" s="136" t="s">
        <v>697</v>
      </c>
      <c r="D103" s="190" t="s">
        <v>921</v>
      </c>
      <c r="E103" s="190">
        <v>2035</v>
      </c>
      <c r="F103" s="313">
        <f>'H2 pipelines'!U29</f>
        <v>4170</v>
      </c>
      <c r="G103" s="683">
        <v>1.5</v>
      </c>
    </row>
    <row r="104" spans="1:7">
      <c r="A104" s="855" t="s">
        <v>122</v>
      </c>
      <c r="B104" s="856" t="s">
        <v>123</v>
      </c>
      <c r="C104" s="777" t="s">
        <v>697</v>
      </c>
      <c r="D104" s="780" t="s">
        <v>921</v>
      </c>
      <c r="E104" s="780">
        <v>2035</v>
      </c>
      <c r="F104" s="760">
        <f>'H2 pipelines'!U30</f>
        <v>4170</v>
      </c>
      <c r="G104" s="861">
        <v>1.5</v>
      </c>
    </row>
    <row r="105" spans="1:7">
      <c r="A105" s="852" t="s">
        <v>984</v>
      </c>
      <c r="B105" s="858"/>
      <c r="C105" s="804"/>
      <c r="D105" s="799"/>
      <c r="E105" s="799"/>
      <c r="F105" s="846"/>
      <c r="G105" s="860"/>
    </row>
    <row r="106" spans="1:7">
      <c r="A106" s="38" t="s">
        <v>109</v>
      </c>
      <c r="B106" s="595" t="s">
        <v>107</v>
      </c>
      <c r="C106" s="22" t="s">
        <v>697</v>
      </c>
      <c r="D106" s="86" t="s">
        <v>921</v>
      </c>
      <c r="E106" s="86">
        <v>2035</v>
      </c>
      <c r="F106" s="215">
        <f>'H2 pipelines'!V11</f>
        <v>8500</v>
      </c>
      <c r="G106" s="608">
        <v>1.5</v>
      </c>
    </row>
    <row r="107" spans="1:7">
      <c r="A107" s="38" t="s">
        <v>113</v>
      </c>
      <c r="B107" s="595" t="s">
        <v>107</v>
      </c>
      <c r="C107" s="22" t="s">
        <v>697</v>
      </c>
      <c r="D107" s="86" t="s">
        <v>921</v>
      </c>
      <c r="E107" s="86">
        <v>2035</v>
      </c>
      <c r="F107" s="215">
        <f>'H2 pipelines'!V12</f>
        <v>8330</v>
      </c>
      <c r="G107" s="608">
        <v>1.5</v>
      </c>
    </row>
    <row r="108" spans="1:7">
      <c r="A108" s="38" t="s">
        <v>114</v>
      </c>
      <c r="B108" s="595" t="s">
        <v>107</v>
      </c>
      <c r="C108" s="22" t="s">
        <v>697</v>
      </c>
      <c r="D108" s="86" t="s">
        <v>921</v>
      </c>
      <c r="E108" s="86">
        <v>2035</v>
      </c>
      <c r="F108" s="215">
        <f>'H2 pipelines'!V13</f>
        <v>15630</v>
      </c>
      <c r="G108" s="608">
        <v>1.5</v>
      </c>
    </row>
    <row r="109" spans="1:7">
      <c r="A109" s="38" t="s">
        <v>115</v>
      </c>
      <c r="B109" s="595" t="s">
        <v>107</v>
      </c>
      <c r="C109" s="22" t="s">
        <v>697</v>
      </c>
      <c r="D109" s="86" t="s">
        <v>921</v>
      </c>
      <c r="E109" s="86">
        <v>2035</v>
      </c>
      <c r="F109" s="215">
        <f>'H2 pipelines'!V14</f>
        <v>3790</v>
      </c>
      <c r="G109" s="608">
        <v>1.5</v>
      </c>
    </row>
    <row r="110" spans="1:7">
      <c r="A110" s="38" t="s">
        <v>101</v>
      </c>
      <c r="B110" s="595" t="s">
        <v>107</v>
      </c>
      <c r="C110" s="22" t="s">
        <v>697</v>
      </c>
      <c r="D110" s="86" t="s">
        <v>921</v>
      </c>
      <c r="E110" s="86">
        <v>2035</v>
      </c>
      <c r="F110" s="215">
        <f>'H2 pipelines'!V15</f>
        <v>7892</v>
      </c>
      <c r="G110" s="608">
        <v>1.5</v>
      </c>
    </row>
    <row r="111" spans="1:7">
      <c r="A111" s="626" t="s">
        <v>187</v>
      </c>
      <c r="B111" s="625" t="s">
        <v>107</v>
      </c>
      <c r="C111" s="176" t="s">
        <v>697</v>
      </c>
      <c r="D111" s="134" t="s">
        <v>921</v>
      </c>
      <c r="E111" s="134">
        <v>2035</v>
      </c>
      <c r="F111" s="318">
        <f>'H2 pipelines'!V16</f>
        <v>21000</v>
      </c>
      <c r="G111" s="682">
        <v>1.5</v>
      </c>
    </row>
    <row r="112" spans="1:7">
      <c r="A112" s="38" t="s">
        <v>112</v>
      </c>
      <c r="B112" s="595" t="s">
        <v>109</v>
      </c>
      <c r="C112" s="22" t="s">
        <v>697</v>
      </c>
      <c r="D112" s="86" t="s">
        <v>921</v>
      </c>
      <c r="E112" s="86">
        <v>2035</v>
      </c>
      <c r="F112" s="215">
        <f>'H2 pipelines'!V17</f>
        <v>9000</v>
      </c>
      <c r="G112" s="608">
        <v>1.5</v>
      </c>
    </row>
    <row r="113" spans="1:7">
      <c r="A113" s="626" t="s">
        <v>115</v>
      </c>
      <c r="B113" s="625" t="s">
        <v>109</v>
      </c>
      <c r="C113" s="176" t="s">
        <v>697</v>
      </c>
      <c r="D113" s="134" t="s">
        <v>921</v>
      </c>
      <c r="E113" s="134">
        <v>2035</v>
      </c>
      <c r="F113" s="318">
        <f>'H2 pipelines'!V18</f>
        <v>4500</v>
      </c>
      <c r="G113" s="682">
        <v>1.5</v>
      </c>
    </row>
    <row r="114" spans="1:7">
      <c r="A114" s="629" t="s">
        <v>115</v>
      </c>
      <c r="B114" s="628" t="s">
        <v>110</v>
      </c>
      <c r="C114" s="136" t="s">
        <v>697</v>
      </c>
      <c r="D114" s="190" t="s">
        <v>921</v>
      </c>
      <c r="E114" s="190">
        <v>2035</v>
      </c>
      <c r="F114" s="313">
        <f>'H2 pipelines'!V19</f>
        <v>8333</v>
      </c>
      <c r="G114" s="683">
        <v>1.5</v>
      </c>
    </row>
    <row r="115" spans="1:7">
      <c r="A115" s="629" t="s">
        <v>121</v>
      </c>
      <c r="B115" s="628" t="s">
        <v>113</v>
      </c>
      <c r="C115" s="136" t="s">
        <v>697</v>
      </c>
      <c r="D115" s="134" t="s">
        <v>921</v>
      </c>
      <c r="E115" s="190">
        <v>2035</v>
      </c>
      <c r="F115" s="318">
        <f>'H2 pipelines'!V20</f>
        <v>8330</v>
      </c>
      <c r="G115" s="682">
        <v>1.5</v>
      </c>
    </row>
    <row r="116" spans="1:7">
      <c r="A116" s="629" t="s">
        <v>115</v>
      </c>
      <c r="B116" s="628" t="s">
        <v>114</v>
      </c>
      <c r="C116" s="136" t="s">
        <v>697</v>
      </c>
      <c r="D116" s="190" t="s">
        <v>921</v>
      </c>
      <c r="E116" s="190">
        <v>2035</v>
      </c>
      <c r="F116" s="313">
        <f>'H2 pipelines'!V21</f>
        <v>8000</v>
      </c>
      <c r="G116" s="683">
        <v>1.5</v>
      </c>
    </row>
    <row r="117" spans="1:7">
      <c r="A117" s="38" t="s">
        <v>104</v>
      </c>
      <c r="B117" s="595" t="s">
        <v>103</v>
      </c>
      <c r="C117" s="22" t="s">
        <v>697</v>
      </c>
      <c r="D117" s="86" t="s">
        <v>921</v>
      </c>
      <c r="E117" s="86">
        <v>2035</v>
      </c>
      <c r="F117" s="215">
        <f>'H2 pipelines'!V22</f>
        <v>7899</v>
      </c>
      <c r="G117" s="608">
        <v>1.5</v>
      </c>
    </row>
    <row r="118" spans="1:7">
      <c r="A118" s="38" t="s">
        <v>106</v>
      </c>
      <c r="B118" s="595" t="s">
        <v>105</v>
      </c>
      <c r="C118" s="22" t="s">
        <v>697</v>
      </c>
      <c r="D118" s="86" t="s">
        <v>921</v>
      </c>
      <c r="E118" s="86">
        <v>2035</v>
      </c>
      <c r="F118" s="215">
        <f>'H2 pipelines'!V23</f>
        <v>7899</v>
      </c>
      <c r="G118" s="608">
        <v>1.5</v>
      </c>
    </row>
    <row r="119" spans="1:7">
      <c r="A119" s="38" t="s">
        <v>117</v>
      </c>
      <c r="B119" s="595" t="s">
        <v>103</v>
      </c>
      <c r="C119" s="22" t="s">
        <v>697</v>
      </c>
      <c r="D119" s="86" t="s">
        <v>921</v>
      </c>
      <c r="E119" s="86">
        <v>2035</v>
      </c>
      <c r="F119" s="215">
        <f>'H2 pipelines'!V24</f>
        <v>7899</v>
      </c>
      <c r="G119" s="608">
        <v>1.5</v>
      </c>
    </row>
    <row r="120" spans="1:7">
      <c r="A120" s="626" t="s">
        <v>187</v>
      </c>
      <c r="B120" s="625" t="s">
        <v>105</v>
      </c>
      <c r="C120" s="176" t="s">
        <v>697</v>
      </c>
      <c r="D120" s="134" t="s">
        <v>921</v>
      </c>
      <c r="E120" s="134">
        <v>2035</v>
      </c>
      <c r="F120" s="318">
        <f>'H2 pipelines'!V25</f>
        <v>21000</v>
      </c>
      <c r="G120" s="682">
        <v>1.5</v>
      </c>
    </row>
    <row r="121" spans="1:7">
      <c r="A121" s="629" t="s">
        <v>99</v>
      </c>
      <c r="B121" s="628" t="s">
        <v>101</v>
      </c>
      <c r="C121" s="136" t="s">
        <v>697</v>
      </c>
      <c r="D121" s="190" t="s">
        <v>921</v>
      </c>
      <c r="E121" s="190">
        <v>2035</v>
      </c>
      <c r="F121" s="313">
        <f>'H2 pipelines'!V26</f>
        <v>7892</v>
      </c>
      <c r="G121" s="683">
        <v>1.5</v>
      </c>
    </row>
    <row r="122" spans="1:7">
      <c r="A122" s="38" t="s">
        <v>187</v>
      </c>
      <c r="B122" s="595" t="s">
        <v>117</v>
      </c>
      <c r="C122" s="22" t="s">
        <v>697</v>
      </c>
      <c r="D122" s="86" t="s">
        <v>921</v>
      </c>
      <c r="E122" s="86">
        <v>2035</v>
      </c>
      <c r="F122" s="215">
        <f>'H2 pipelines'!V27</f>
        <v>21000</v>
      </c>
      <c r="G122" s="608">
        <v>1.5</v>
      </c>
    </row>
    <row r="123" spans="1:7">
      <c r="A123" s="626" t="s">
        <v>123</v>
      </c>
      <c r="B123" s="625" t="s">
        <v>117</v>
      </c>
      <c r="C123" s="176" t="s">
        <v>697</v>
      </c>
      <c r="D123" s="134" t="s">
        <v>921</v>
      </c>
      <c r="E123" s="134">
        <v>2035</v>
      </c>
      <c r="F123" s="318">
        <f>'H2 pipelines'!V28</f>
        <v>4205</v>
      </c>
      <c r="G123" s="682">
        <v>1.5</v>
      </c>
    </row>
    <row r="124" spans="1:7">
      <c r="A124" s="629" t="s">
        <v>122</v>
      </c>
      <c r="B124" s="628" t="s">
        <v>121</v>
      </c>
      <c r="C124" s="136" t="s">
        <v>697</v>
      </c>
      <c r="D124" s="190" t="s">
        <v>921</v>
      </c>
      <c r="E124" s="190">
        <v>2035</v>
      </c>
      <c r="F124" s="313">
        <f>'H2 pipelines'!V29</f>
        <v>8330</v>
      </c>
      <c r="G124" s="683">
        <v>1.5</v>
      </c>
    </row>
    <row r="125" spans="1:7">
      <c r="A125" s="856" t="s">
        <v>123</v>
      </c>
      <c r="B125" s="855" t="s">
        <v>122</v>
      </c>
      <c r="C125" s="777" t="s">
        <v>697</v>
      </c>
      <c r="D125" s="780" t="s">
        <v>921</v>
      </c>
      <c r="E125" s="780">
        <v>2035</v>
      </c>
      <c r="F125" s="760">
        <f>'H2 pipelines'!V30</f>
        <v>8330</v>
      </c>
      <c r="G125" s="861">
        <v>1.5</v>
      </c>
    </row>
    <row r="126" spans="1:7">
      <c r="A126" s="856"/>
      <c r="B126" s="856"/>
      <c r="C126" s="777"/>
      <c r="D126" s="777"/>
      <c r="E126" s="777"/>
      <c r="F126" s="777"/>
      <c r="G126" s="777"/>
    </row>
    <row r="127" spans="1:7">
      <c r="A127" s="856"/>
      <c r="B127" s="856"/>
      <c r="C127" s="777"/>
      <c r="D127" s="777"/>
      <c r="E127" s="777"/>
      <c r="F127" s="777"/>
      <c r="G127" s="777"/>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G251"/>
  <sheetViews>
    <sheetView zoomScale="90" zoomScaleNormal="90" workbookViewId="0">
      <pane xSplit="1" ySplit="1" topLeftCell="B2" activePane="bottomRight" state="frozen"/>
      <selection pane="topRight" activeCell="B1" sqref="B1"/>
      <selection pane="bottomLeft" activeCell="A2" sqref="A2"/>
      <selection pane="bottomRight" activeCell="H25" sqref="H25"/>
    </sheetView>
  </sheetViews>
  <sheetFormatPr defaultColWidth="9.109375" defaultRowHeight="14.4"/>
  <cols>
    <col min="1" max="1" width="10.109375" style="22" customWidth="1"/>
    <col min="2" max="2" width="33.88671875" style="22" bestFit="1" customWidth="1"/>
    <col min="3" max="3" width="8.44140625" style="22" bestFit="1" customWidth="1"/>
    <col min="4" max="4" width="5.44140625" style="22" customWidth="1"/>
    <col min="5" max="5" width="14.5546875" style="22" bestFit="1" customWidth="1"/>
    <col min="6" max="6" width="15.88671875" style="22" bestFit="1" customWidth="1"/>
    <col min="7" max="16384" width="9.109375" style="22"/>
  </cols>
  <sheetData>
    <row r="1" spans="1:7">
      <c r="A1" s="567" t="s">
        <v>660</v>
      </c>
      <c r="B1" s="567" t="s">
        <v>679</v>
      </c>
      <c r="C1" s="862" t="s">
        <v>281</v>
      </c>
      <c r="D1" s="862" t="s">
        <v>177</v>
      </c>
      <c r="E1" s="567" t="s">
        <v>682</v>
      </c>
      <c r="F1" s="567" t="s">
        <v>681</v>
      </c>
      <c r="G1" s="437" t="s">
        <v>957</v>
      </c>
    </row>
    <row r="2" spans="1:7">
      <c r="A2" s="797" t="s">
        <v>971</v>
      </c>
      <c r="B2" s="796"/>
      <c r="C2" s="796"/>
      <c r="D2" s="796"/>
      <c r="E2" s="796"/>
      <c r="F2" s="796"/>
    </row>
    <row r="3" spans="1:7">
      <c r="A3" s="769" t="s">
        <v>107</v>
      </c>
      <c r="B3" s="769" t="s">
        <v>233</v>
      </c>
      <c r="C3" s="771" t="s">
        <v>921</v>
      </c>
      <c r="D3" s="771">
        <v>2035</v>
      </c>
      <c r="E3" s="772"/>
      <c r="F3" s="773" cm="1">
        <f t="array" ref="F3:F20">TRANSPOSE(_xlfn._xlws.FILTER(Production!B189:U189,Production!B189:U189&lt;&gt;0))</f>
        <v>299470</v>
      </c>
      <c r="G3" s="22" t="str">
        <f>IF(E3+F3&lt;20,"Remove","")</f>
        <v/>
      </c>
    </row>
    <row r="4" spans="1:7">
      <c r="A4" s="777" t="s">
        <v>109</v>
      </c>
      <c r="B4" s="777" t="s">
        <v>233</v>
      </c>
      <c r="C4" s="770" t="s">
        <v>921</v>
      </c>
      <c r="D4" s="770">
        <v>2035</v>
      </c>
      <c r="E4" s="778"/>
      <c r="F4" s="760">
        <v>100400</v>
      </c>
      <c r="G4" s="22" t="str">
        <f t="shared" ref="G4:G67" si="0">IF(E4+F4&lt;20,"Remove","")</f>
        <v/>
      </c>
    </row>
    <row r="5" spans="1:7">
      <c r="A5" s="570" t="s">
        <v>110</v>
      </c>
      <c r="B5" s="570" t="s">
        <v>233</v>
      </c>
      <c r="C5" s="86" t="s">
        <v>921</v>
      </c>
      <c r="D5" s="612">
        <v>2035</v>
      </c>
      <c r="E5" s="571"/>
      <c r="F5" s="632">
        <v>54790</v>
      </c>
      <c r="G5" s="22" t="str">
        <f t="shared" si="0"/>
        <v/>
      </c>
    </row>
    <row r="6" spans="1:7">
      <c r="A6" s="22" t="s">
        <v>112</v>
      </c>
      <c r="B6" s="22" t="s">
        <v>233</v>
      </c>
      <c r="C6" s="86" t="s">
        <v>921</v>
      </c>
      <c r="D6" s="86">
        <v>2035</v>
      </c>
      <c r="E6" s="37"/>
      <c r="F6" s="215">
        <v>128949.99999999999</v>
      </c>
      <c r="G6" s="22" t="str">
        <f t="shared" si="0"/>
        <v/>
      </c>
    </row>
    <row r="7" spans="1:7">
      <c r="A7" s="570" t="s">
        <v>113</v>
      </c>
      <c r="B7" s="570" t="s">
        <v>233</v>
      </c>
      <c r="C7" s="86" t="s">
        <v>921</v>
      </c>
      <c r="D7" s="612">
        <v>2035</v>
      </c>
      <c r="E7" s="571"/>
      <c r="F7" s="632">
        <v>36740</v>
      </c>
      <c r="G7" s="22" t="str">
        <f t="shared" si="0"/>
        <v/>
      </c>
    </row>
    <row r="8" spans="1:7">
      <c r="A8" s="22" t="s">
        <v>114</v>
      </c>
      <c r="B8" s="22" t="s">
        <v>233</v>
      </c>
      <c r="C8" s="86" t="s">
        <v>921</v>
      </c>
      <c r="D8" s="86">
        <v>2035</v>
      </c>
      <c r="E8" s="37"/>
      <c r="F8" s="215">
        <v>59320</v>
      </c>
      <c r="G8" s="22" t="str">
        <f t="shared" si="0"/>
        <v/>
      </c>
    </row>
    <row r="9" spans="1:7">
      <c r="A9" s="570" t="s">
        <v>115</v>
      </c>
      <c r="B9" s="570" t="s">
        <v>233</v>
      </c>
      <c r="C9" s="86" t="s">
        <v>921</v>
      </c>
      <c r="D9" s="612">
        <v>2035</v>
      </c>
      <c r="E9" s="571"/>
      <c r="F9" s="632">
        <v>23300</v>
      </c>
      <c r="G9" s="22" t="str">
        <f t="shared" si="0"/>
        <v/>
      </c>
    </row>
    <row r="10" spans="1:7">
      <c r="A10" s="22" t="s">
        <v>104</v>
      </c>
      <c r="B10" s="22" t="s">
        <v>233</v>
      </c>
      <c r="C10" s="86" t="s">
        <v>921</v>
      </c>
      <c r="D10" s="86">
        <v>2035</v>
      </c>
      <c r="E10" s="37"/>
      <c r="F10" s="303">
        <v>1208.1011915693161</v>
      </c>
      <c r="G10" s="22" t="str">
        <f t="shared" si="0"/>
        <v/>
      </c>
    </row>
    <row r="11" spans="1:7">
      <c r="A11" s="570" t="s">
        <v>105</v>
      </c>
      <c r="B11" s="570" t="s">
        <v>233</v>
      </c>
      <c r="C11" s="86" t="s">
        <v>921</v>
      </c>
      <c r="D11" s="612">
        <v>2035</v>
      </c>
      <c r="E11" s="571"/>
      <c r="F11" s="633">
        <v>17554.88799595719</v>
      </c>
      <c r="G11" s="22" t="str">
        <f t="shared" si="0"/>
        <v/>
      </c>
    </row>
    <row r="12" spans="1:7">
      <c r="A12" s="22" t="s">
        <v>106</v>
      </c>
      <c r="B12" s="22" t="s">
        <v>233</v>
      </c>
      <c r="C12" s="86" t="s">
        <v>921</v>
      </c>
      <c r="D12" s="86">
        <v>2035</v>
      </c>
      <c r="E12" s="37"/>
      <c r="F12" s="303">
        <v>7657.0108124734952</v>
      </c>
      <c r="G12" s="22" t="str">
        <f t="shared" si="0"/>
        <v/>
      </c>
    </row>
    <row r="13" spans="1:7">
      <c r="A13" s="570" t="s">
        <v>99</v>
      </c>
      <c r="B13" s="570" t="s">
        <v>233</v>
      </c>
      <c r="C13" s="86" t="s">
        <v>921</v>
      </c>
      <c r="D13" s="612">
        <v>2035</v>
      </c>
      <c r="E13" s="571"/>
      <c r="F13" s="633">
        <v>6195.4816941224781</v>
      </c>
      <c r="G13" s="22" t="str">
        <f t="shared" si="0"/>
        <v/>
      </c>
    </row>
    <row r="14" spans="1:7">
      <c r="A14" s="22" t="s">
        <v>101</v>
      </c>
      <c r="B14" s="22" t="s">
        <v>233</v>
      </c>
      <c r="C14" s="86" t="s">
        <v>921</v>
      </c>
      <c r="D14" s="86">
        <v>2035</v>
      </c>
      <c r="E14" s="37"/>
      <c r="F14" s="303">
        <v>15514.518305877522</v>
      </c>
      <c r="G14" s="22" t="str">
        <f t="shared" si="0"/>
        <v/>
      </c>
    </row>
    <row r="15" spans="1:7">
      <c r="A15" s="570" t="s">
        <v>117</v>
      </c>
      <c r="B15" s="570" t="s">
        <v>233</v>
      </c>
      <c r="C15" s="86" t="s">
        <v>921</v>
      </c>
      <c r="D15" s="612">
        <v>2035</v>
      </c>
      <c r="E15" s="571"/>
      <c r="F15" s="632">
        <v>21270</v>
      </c>
      <c r="G15" s="22" t="str">
        <f t="shared" si="0"/>
        <v/>
      </c>
    </row>
    <row r="16" spans="1:7">
      <c r="A16" s="22" t="s">
        <v>118</v>
      </c>
      <c r="B16" s="22" t="s">
        <v>233</v>
      </c>
      <c r="C16" s="86" t="s">
        <v>921</v>
      </c>
      <c r="D16" s="86">
        <v>2035</v>
      </c>
      <c r="E16" s="37"/>
      <c r="F16" s="303">
        <v>1562.5</v>
      </c>
      <c r="G16" s="22" t="str">
        <f t="shared" si="0"/>
        <v/>
      </c>
    </row>
    <row r="17" spans="1:7">
      <c r="A17" s="570" t="s">
        <v>120</v>
      </c>
      <c r="B17" s="570" t="s">
        <v>233</v>
      </c>
      <c r="C17" s="86" t="s">
        <v>921</v>
      </c>
      <c r="D17" s="612">
        <v>2035</v>
      </c>
      <c r="E17" s="571"/>
      <c r="F17" s="633">
        <v>4687.5</v>
      </c>
      <c r="G17" s="22" t="str">
        <f t="shared" si="0"/>
        <v/>
      </c>
    </row>
    <row r="18" spans="1:7">
      <c r="A18" s="22" t="s">
        <v>121</v>
      </c>
      <c r="B18" s="22" t="s">
        <v>233</v>
      </c>
      <c r="C18" s="86" t="s">
        <v>921</v>
      </c>
      <c r="D18" s="86">
        <v>2035</v>
      </c>
      <c r="E18" s="37"/>
      <c r="F18" s="215">
        <v>6540</v>
      </c>
      <c r="G18" s="22" t="str">
        <f t="shared" si="0"/>
        <v/>
      </c>
    </row>
    <row r="19" spans="1:7">
      <c r="A19" s="570" t="s">
        <v>122</v>
      </c>
      <c r="B19" s="570" t="s">
        <v>233</v>
      </c>
      <c r="C19" s="86" t="s">
        <v>921</v>
      </c>
      <c r="D19" s="612">
        <v>2035</v>
      </c>
      <c r="E19" s="571"/>
      <c r="F19" s="632">
        <v>800</v>
      </c>
      <c r="G19" s="22" t="str">
        <f t="shared" si="0"/>
        <v/>
      </c>
    </row>
    <row r="20" spans="1:7">
      <c r="A20" s="176" t="s">
        <v>123</v>
      </c>
      <c r="B20" s="176" t="s">
        <v>233</v>
      </c>
      <c r="C20" s="134" t="s">
        <v>921</v>
      </c>
      <c r="D20" s="134">
        <v>2035</v>
      </c>
      <c r="E20" s="642"/>
      <c r="F20" s="318">
        <v>2400</v>
      </c>
      <c r="G20" s="22" t="str">
        <f t="shared" si="0"/>
        <v/>
      </c>
    </row>
    <row r="21" spans="1:7">
      <c r="A21" s="570" t="s">
        <v>107</v>
      </c>
      <c r="B21" s="570" t="s">
        <v>402</v>
      </c>
      <c r="C21" s="86" t="s">
        <v>921</v>
      </c>
      <c r="D21" s="612">
        <v>2035</v>
      </c>
      <c r="E21" s="571"/>
      <c r="F21" s="632" cm="1">
        <f t="array" ref="F21:F40">TRANSPOSE(_xlfn._xlws.FILTER(Production!B190:U190,Production!B190:U190&lt;&gt;0))</f>
        <v>142000</v>
      </c>
      <c r="G21" s="22" t="str">
        <f t="shared" si="0"/>
        <v/>
      </c>
    </row>
    <row r="22" spans="1:7">
      <c r="A22" s="22" t="s">
        <v>109</v>
      </c>
      <c r="B22" s="22" t="s">
        <v>402</v>
      </c>
      <c r="C22" s="86" t="s">
        <v>921</v>
      </c>
      <c r="D22" s="86">
        <v>2035</v>
      </c>
      <c r="E22" s="37"/>
      <c r="F22" s="215">
        <v>50000</v>
      </c>
      <c r="G22" s="22" t="str">
        <f t="shared" si="0"/>
        <v/>
      </c>
    </row>
    <row r="23" spans="1:7">
      <c r="A23" s="570" t="s">
        <v>110</v>
      </c>
      <c r="B23" s="570" t="s">
        <v>402</v>
      </c>
      <c r="C23" s="86" t="s">
        <v>921</v>
      </c>
      <c r="D23" s="612">
        <v>2035</v>
      </c>
      <c r="E23" s="571"/>
      <c r="F23" s="632">
        <v>43480</v>
      </c>
      <c r="G23" s="22" t="str">
        <f t="shared" si="0"/>
        <v/>
      </c>
    </row>
    <row r="24" spans="1:7">
      <c r="A24" s="22" t="s">
        <v>112</v>
      </c>
      <c r="B24" s="22" t="s">
        <v>402</v>
      </c>
      <c r="C24" s="86" t="s">
        <v>921</v>
      </c>
      <c r="D24" s="86">
        <v>2035</v>
      </c>
      <c r="E24" s="37"/>
      <c r="F24" s="215">
        <v>75050</v>
      </c>
      <c r="G24" s="22" t="str">
        <f t="shared" si="0"/>
        <v/>
      </c>
    </row>
    <row r="25" spans="1:7">
      <c r="A25" s="570" t="s">
        <v>113</v>
      </c>
      <c r="B25" s="570" t="s">
        <v>402</v>
      </c>
      <c r="C25" s="86" t="s">
        <v>921</v>
      </c>
      <c r="D25" s="612">
        <v>2035</v>
      </c>
      <c r="E25" s="571"/>
      <c r="F25" s="632">
        <v>29500</v>
      </c>
      <c r="G25" s="22" t="str">
        <f t="shared" si="0"/>
        <v/>
      </c>
    </row>
    <row r="26" spans="1:7">
      <c r="A26" s="22" t="s">
        <v>114</v>
      </c>
      <c r="B26" s="22" t="s">
        <v>402</v>
      </c>
      <c r="C26" s="86" t="s">
        <v>921</v>
      </c>
      <c r="D26" s="86">
        <v>2035</v>
      </c>
      <c r="E26" s="37"/>
      <c r="F26" s="215">
        <v>12700</v>
      </c>
      <c r="G26" s="22" t="str">
        <f t="shared" si="0"/>
        <v/>
      </c>
    </row>
    <row r="27" spans="1:7">
      <c r="A27" s="570" t="s">
        <v>115</v>
      </c>
      <c r="B27" s="570" t="s">
        <v>402</v>
      </c>
      <c r="C27" s="86" t="s">
        <v>921</v>
      </c>
      <c r="D27" s="612">
        <v>2035</v>
      </c>
      <c r="E27" s="571"/>
      <c r="F27" s="632">
        <v>8900</v>
      </c>
      <c r="G27" s="22" t="str">
        <f t="shared" si="0"/>
        <v/>
      </c>
    </row>
    <row r="28" spans="1:7">
      <c r="A28" s="22" t="s">
        <v>103</v>
      </c>
      <c r="B28" s="22" t="s">
        <v>402</v>
      </c>
      <c r="C28" s="86" t="s">
        <v>921</v>
      </c>
      <c r="D28" s="86">
        <v>2035</v>
      </c>
      <c r="E28" s="37"/>
      <c r="F28" s="303">
        <v>7018.4769305581794</v>
      </c>
      <c r="G28" s="22" t="str">
        <f t="shared" si="0"/>
        <v/>
      </c>
    </row>
    <row r="29" spans="1:7">
      <c r="A29" s="570" t="s">
        <v>104</v>
      </c>
      <c r="B29" s="570" t="s">
        <v>402</v>
      </c>
      <c r="C29" s="86" t="s">
        <v>921</v>
      </c>
      <c r="D29" s="612">
        <v>2035</v>
      </c>
      <c r="E29" s="571"/>
      <c r="F29" s="633">
        <v>12727.578281810482</v>
      </c>
      <c r="G29" s="22" t="str">
        <f t="shared" si="0"/>
        <v/>
      </c>
    </row>
    <row r="30" spans="1:7">
      <c r="A30" s="22" t="s">
        <v>105</v>
      </c>
      <c r="B30" s="22" t="s">
        <v>402</v>
      </c>
      <c r="C30" s="86" t="s">
        <v>921</v>
      </c>
      <c r="D30" s="86">
        <v>2035</v>
      </c>
      <c r="E30" s="37"/>
      <c r="F30" s="303">
        <v>5408.5475171000035</v>
      </c>
      <c r="G30" s="22" t="str">
        <f t="shared" si="0"/>
        <v/>
      </c>
    </row>
    <row r="31" spans="1:7">
      <c r="A31" s="570" t="s">
        <v>106</v>
      </c>
      <c r="B31" s="570" t="s">
        <v>402</v>
      </c>
      <c r="C31" s="86" t="s">
        <v>921</v>
      </c>
      <c r="D31" s="612">
        <v>2035</v>
      </c>
      <c r="E31" s="571"/>
      <c r="F31" s="633">
        <v>3095.3972705313349</v>
      </c>
      <c r="G31" s="22" t="str">
        <f t="shared" si="0"/>
        <v/>
      </c>
    </row>
    <row r="32" spans="1:7">
      <c r="A32" s="22" t="s">
        <v>99</v>
      </c>
      <c r="B32" s="22" t="s">
        <v>402</v>
      </c>
      <c r="C32" s="86" t="s">
        <v>921</v>
      </c>
      <c r="D32" s="86">
        <v>2035</v>
      </c>
      <c r="E32" s="37"/>
      <c r="F32" s="303">
        <v>4639.3817913564608</v>
      </c>
      <c r="G32" s="22" t="str">
        <f t="shared" si="0"/>
        <v/>
      </c>
    </row>
    <row r="33" spans="1:7">
      <c r="A33" s="570" t="s">
        <v>101</v>
      </c>
      <c r="B33" s="570" t="s">
        <v>402</v>
      </c>
      <c r="C33" s="86" t="s">
        <v>921</v>
      </c>
      <c r="D33" s="612">
        <v>2035</v>
      </c>
      <c r="E33" s="571"/>
      <c r="F33" s="633">
        <v>23610.61820864354</v>
      </c>
      <c r="G33" s="22" t="str">
        <f t="shared" si="0"/>
        <v/>
      </c>
    </row>
    <row r="34" spans="1:7">
      <c r="A34" s="22" t="s">
        <v>117</v>
      </c>
      <c r="B34" s="22" t="s">
        <v>402</v>
      </c>
      <c r="C34" s="86" t="s">
        <v>921</v>
      </c>
      <c r="D34" s="86">
        <v>2035</v>
      </c>
      <c r="E34" s="37"/>
      <c r="F34" s="215">
        <v>46000</v>
      </c>
      <c r="G34" s="22" t="str">
        <f t="shared" si="0"/>
        <v/>
      </c>
    </row>
    <row r="35" spans="1:7">
      <c r="A35" s="570" t="s">
        <v>118</v>
      </c>
      <c r="B35" s="570" t="s">
        <v>402</v>
      </c>
      <c r="C35" s="86" t="s">
        <v>921</v>
      </c>
      <c r="D35" s="612">
        <v>2035</v>
      </c>
      <c r="E35" s="571"/>
      <c r="F35" s="633">
        <v>2429.0722209751543</v>
      </c>
      <c r="G35" s="22" t="str">
        <f t="shared" si="0"/>
        <v/>
      </c>
    </row>
    <row r="36" spans="1:7">
      <c r="A36" s="22" t="s">
        <v>119</v>
      </c>
      <c r="B36" s="22" t="s">
        <v>402</v>
      </c>
      <c r="C36" s="86" t="s">
        <v>921</v>
      </c>
      <c r="D36" s="86">
        <v>2035</v>
      </c>
      <c r="E36" s="37"/>
      <c r="F36" s="303">
        <v>1485.8409082853868</v>
      </c>
      <c r="G36" s="22" t="str">
        <f t="shared" si="0"/>
        <v/>
      </c>
    </row>
    <row r="37" spans="1:7">
      <c r="A37" s="570" t="s">
        <v>120</v>
      </c>
      <c r="B37" s="570" t="s">
        <v>402</v>
      </c>
      <c r="C37" s="86" t="s">
        <v>921</v>
      </c>
      <c r="D37" s="612">
        <v>2035</v>
      </c>
      <c r="E37" s="571"/>
      <c r="F37" s="633">
        <v>2445.0868707394588</v>
      </c>
      <c r="G37" s="22" t="str">
        <f t="shared" si="0"/>
        <v/>
      </c>
    </row>
    <row r="38" spans="1:7">
      <c r="A38" s="22" t="s">
        <v>121</v>
      </c>
      <c r="B38" s="22" t="s">
        <v>402</v>
      </c>
      <c r="C38" s="86" t="s">
        <v>921</v>
      </c>
      <c r="D38" s="86">
        <v>2035</v>
      </c>
      <c r="E38" s="37"/>
      <c r="F38" s="215">
        <v>5210</v>
      </c>
      <c r="G38" s="22" t="str">
        <f t="shared" si="0"/>
        <v/>
      </c>
    </row>
    <row r="39" spans="1:7">
      <c r="A39" s="570" t="s">
        <v>122</v>
      </c>
      <c r="B39" s="570" t="s">
        <v>402</v>
      </c>
      <c r="C39" s="86" t="s">
        <v>921</v>
      </c>
      <c r="D39" s="612">
        <v>2035</v>
      </c>
      <c r="E39" s="571"/>
      <c r="F39" s="632">
        <v>290</v>
      </c>
      <c r="G39" s="22" t="str">
        <f t="shared" si="0"/>
        <v/>
      </c>
    </row>
    <row r="40" spans="1:7">
      <c r="A40" s="176" t="s">
        <v>123</v>
      </c>
      <c r="B40" s="176" t="s">
        <v>402</v>
      </c>
      <c r="C40" s="134" t="s">
        <v>921</v>
      </c>
      <c r="D40" s="134">
        <v>2035</v>
      </c>
      <c r="E40" s="642"/>
      <c r="F40" s="318">
        <v>860</v>
      </c>
      <c r="G40" s="22" t="str">
        <f t="shared" si="0"/>
        <v/>
      </c>
    </row>
    <row r="41" spans="1:7">
      <c r="A41" s="570" t="s">
        <v>107</v>
      </c>
      <c r="B41" s="570" t="s">
        <v>403</v>
      </c>
      <c r="C41" s="86" t="s">
        <v>921</v>
      </c>
      <c r="D41" s="612">
        <v>2035</v>
      </c>
      <c r="E41" s="571"/>
      <c r="F41" s="632" cm="1">
        <f t="array" ref="F41:F57">TRANSPOSE(_xlfn._xlws.FILTER(Production!B191:U191,Production!B191:U191&lt;&gt;0))</f>
        <v>50520</v>
      </c>
      <c r="G41" s="22" t="str">
        <f t="shared" si="0"/>
        <v/>
      </c>
    </row>
    <row r="42" spans="1:7">
      <c r="A42" s="22" t="s">
        <v>109</v>
      </c>
      <c r="B42" s="22" t="s">
        <v>403</v>
      </c>
      <c r="C42" s="86" t="s">
        <v>921</v>
      </c>
      <c r="D42" s="86">
        <v>2035</v>
      </c>
      <c r="E42" s="37"/>
      <c r="F42" s="215">
        <v>17980</v>
      </c>
      <c r="G42" s="22" t="str">
        <f t="shared" si="0"/>
        <v/>
      </c>
    </row>
    <row r="43" spans="1:7">
      <c r="A43" s="570" t="s">
        <v>110</v>
      </c>
      <c r="B43" s="570" t="s">
        <v>403</v>
      </c>
      <c r="C43" s="86" t="s">
        <v>921</v>
      </c>
      <c r="D43" s="612">
        <v>2035</v>
      </c>
      <c r="E43" s="571"/>
      <c r="F43" s="632">
        <v>75030</v>
      </c>
      <c r="G43" s="22" t="str">
        <f t="shared" si="0"/>
        <v/>
      </c>
    </row>
    <row r="44" spans="1:7">
      <c r="A44" s="22" t="s">
        <v>112</v>
      </c>
      <c r="B44" s="22" t="s">
        <v>403</v>
      </c>
      <c r="C44" s="86" t="s">
        <v>921</v>
      </c>
      <c r="D44" s="86">
        <v>2035</v>
      </c>
      <c r="E44" s="37"/>
      <c r="F44" s="215">
        <v>5040</v>
      </c>
      <c r="G44" s="22" t="str">
        <f t="shared" si="0"/>
        <v/>
      </c>
    </row>
    <row r="45" spans="1:7">
      <c r="A45" s="570" t="s">
        <v>113</v>
      </c>
      <c r="B45" s="570" t="s">
        <v>403</v>
      </c>
      <c r="C45" s="86" t="s">
        <v>921</v>
      </c>
      <c r="D45" s="612">
        <v>2035</v>
      </c>
      <c r="E45" s="571"/>
      <c r="F45" s="632">
        <v>10900</v>
      </c>
      <c r="G45" s="22" t="str">
        <f t="shared" si="0"/>
        <v/>
      </c>
    </row>
    <row r="46" spans="1:7">
      <c r="A46" s="22" t="s">
        <v>114</v>
      </c>
      <c r="B46" s="22" t="s">
        <v>403</v>
      </c>
      <c r="C46" s="86" t="s">
        <v>921</v>
      </c>
      <c r="D46" s="86">
        <v>2035</v>
      </c>
      <c r="E46" s="37"/>
      <c r="F46" s="215">
        <v>33300</v>
      </c>
      <c r="G46" s="22" t="str">
        <f t="shared" si="0"/>
        <v/>
      </c>
    </row>
    <row r="47" spans="1:7">
      <c r="A47" s="570" t="s">
        <v>115</v>
      </c>
      <c r="B47" s="570" t="s">
        <v>403</v>
      </c>
      <c r="C47" s="86" t="s">
        <v>921</v>
      </c>
      <c r="D47" s="612">
        <v>2035</v>
      </c>
      <c r="E47" s="571"/>
      <c r="F47" s="632">
        <v>6860</v>
      </c>
      <c r="G47" s="22" t="str">
        <f t="shared" si="0"/>
        <v/>
      </c>
    </row>
    <row r="48" spans="1:7">
      <c r="A48" s="22" t="s">
        <v>104</v>
      </c>
      <c r="B48" s="22" t="s">
        <v>403</v>
      </c>
      <c r="C48" s="86" t="s">
        <v>921</v>
      </c>
      <c r="D48" s="86">
        <v>2035</v>
      </c>
      <c r="E48" s="37"/>
      <c r="F48" s="303">
        <v>1000</v>
      </c>
      <c r="G48" s="22" t="str">
        <f t="shared" si="0"/>
        <v/>
      </c>
    </row>
    <row r="49" spans="1:7">
      <c r="A49" s="570" t="s">
        <v>105</v>
      </c>
      <c r="B49" s="570" t="s">
        <v>403</v>
      </c>
      <c r="C49" s="86" t="s">
        <v>921</v>
      </c>
      <c r="D49" s="612">
        <v>2035</v>
      </c>
      <c r="E49" s="571"/>
      <c r="F49" s="633">
        <v>1400</v>
      </c>
      <c r="G49" s="22" t="str">
        <f t="shared" si="0"/>
        <v/>
      </c>
    </row>
    <row r="50" spans="1:7">
      <c r="A50" s="22" t="s">
        <v>106</v>
      </c>
      <c r="B50" s="22" t="s">
        <v>403</v>
      </c>
      <c r="C50" s="86" t="s">
        <v>921</v>
      </c>
      <c r="D50" s="86">
        <v>2035</v>
      </c>
      <c r="E50" s="37"/>
      <c r="F50" s="303">
        <v>4200</v>
      </c>
      <c r="G50" s="22" t="str">
        <f t="shared" si="0"/>
        <v/>
      </c>
    </row>
    <row r="51" spans="1:7">
      <c r="A51" s="570" t="s">
        <v>99</v>
      </c>
      <c r="B51" s="570" t="s">
        <v>403</v>
      </c>
      <c r="C51" s="86" t="s">
        <v>921</v>
      </c>
      <c r="D51" s="612">
        <v>2035</v>
      </c>
      <c r="E51" s="571"/>
      <c r="F51" s="633">
        <v>6847.153565820272</v>
      </c>
      <c r="G51" s="22" t="str">
        <f t="shared" si="0"/>
        <v/>
      </c>
    </row>
    <row r="52" spans="1:7">
      <c r="A52" s="22" t="s">
        <v>101</v>
      </c>
      <c r="B52" s="22" t="s">
        <v>403</v>
      </c>
      <c r="C52" s="86" t="s">
        <v>921</v>
      </c>
      <c r="D52" s="86">
        <v>2035</v>
      </c>
      <c r="E52" s="37"/>
      <c r="F52" s="303">
        <v>14392.846434179728</v>
      </c>
      <c r="G52" s="22" t="str">
        <f t="shared" si="0"/>
        <v/>
      </c>
    </row>
    <row r="53" spans="1:7">
      <c r="A53" s="570" t="s">
        <v>117</v>
      </c>
      <c r="B53" s="570" t="s">
        <v>403</v>
      </c>
      <c r="C53" s="86" t="s">
        <v>921</v>
      </c>
      <c r="D53" s="612">
        <v>2035</v>
      </c>
      <c r="E53" s="571"/>
      <c r="F53" s="632">
        <v>3600</v>
      </c>
      <c r="G53" s="22" t="str">
        <f t="shared" si="0"/>
        <v/>
      </c>
    </row>
    <row r="54" spans="1:7">
      <c r="A54" s="22" t="s">
        <v>120</v>
      </c>
      <c r="B54" s="22" t="s">
        <v>403</v>
      </c>
      <c r="C54" s="86" t="s">
        <v>921</v>
      </c>
      <c r="D54" s="86">
        <v>2035</v>
      </c>
      <c r="E54" s="37"/>
      <c r="F54" s="303">
        <v>6000</v>
      </c>
      <c r="G54" s="22" t="str">
        <f t="shared" si="0"/>
        <v/>
      </c>
    </row>
    <row r="55" spans="1:7">
      <c r="A55" s="570" t="s">
        <v>121</v>
      </c>
      <c r="B55" s="570" t="s">
        <v>403</v>
      </c>
      <c r="C55" s="86" t="s">
        <v>921</v>
      </c>
      <c r="D55" s="612">
        <v>2035</v>
      </c>
      <c r="E55" s="571"/>
      <c r="F55" s="632">
        <v>2100</v>
      </c>
      <c r="G55" s="22" t="str">
        <f t="shared" si="0"/>
        <v/>
      </c>
    </row>
    <row r="56" spans="1:7">
      <c r="A56" s="22" t="s">
        <v>122</v>
      </c>
      <c r="B56" s="22" t="s">
        <v>403</v>
      </c>
      <c r="C56" s="86" t="s">
        <v>921</v>
      </c>
      <c r="D56" s="86">
        <v>2035</v>
      </c>
      <c r="E56" s="37"/>
      <c r="F56" s="215">
        <v>500</v>
      </c>
      <c r="G56" s="22" t="str">
        <f t="shared" si="0"/>
        <v/>
      </c>
    </row>
    <row r="57" spans="1:7">
      <c r="A57" s="769" t="s">
        <v>123</v>
      </c>
      <c r="B57" s="769" t="s">
        <v>403</v>
      </c>
      <c r="C57" s="770" t="s">
        <v>921</v>
      </c>
      <c r="D57" s="771">
        <v>2035</v>
      </c>
      <c r="E57" s="772"/>
      <c r="F57" s="773">
        <v>1000</v>
      </c>
      <c r="G57" s="22" t="str">
        <f t="shared" si="0"/>
        <v/>
      </c>
    </row>
    <row r="58" spans="1:7">
      <c r="A58" s="805" t="s">
        <v>973</v>
      </c>
      <c r="B58" s="798"/>
      <c r="C58" s="799"/>
      <c r="D58" s="800"/>
      <c r="E58" s="801"/>
      <c r="F58" s="802"/>
    </row>
    <row r="59" spans="1:7">
      <c r="A59" s="176" t="s">
        <v>109</v>
      </c>
      <c r="B59" s="176" t="s">
        <v>832</v>
      </c>
      <c r="C59" s="134" t="s">
        <v>921</v>
      </c>
      <c r="D59" s="134">
        <v>2035</v>
      </c>
      <c r="E59" s="642"/>
      <c r="F59" s="318" cm="1">
        <f t="array" ref="F59:F65">TRANSPOSE(_xlfn._xlws.FILTER(Production!B192:U192,Production!B192:U192&lt;&gt;0))</f>
        <v>54700</v>
      </c>
      <c r="G59" s="22" t="str">
        <f t="shared" si="0"/>
        <v/>
      </c>
    </row>
    <row r="60" spans="1:7">
      <c r="A60" s="570" t="s">
        <v>110</v>
      </c>
      <c r="B60" s="570" t="s">
        <v>142</v>
      </c>
      <c r="C60" s="86" t="s">
        <v>921</v>
      </c>
      <c r="D60" s="612">
        <v>2035</v>
      </c>
      <c r="E60" s="571"/>
      <c r="F60" s="632">
        <v>4500</v>
      </c>
      <c r="G60" s="22" t="str">
        <f t="shared" si="0"/>
        <v/>
      </c>
    </row>
    <row r="61" spans="1:7">
      <c r="A61" s="22" t="s">
        <v>113</v>
      </c>
      <c r="B61" s="22" t="s">
        <v>142</v>
      </c>
      <c r="C61" s="86" t="s">
        <v>921</v>
      </c>
      <c r="D61" s="86">
        <v>2035</v>
      </c>
      <c r="E61" s="37"/>
      <c r="F61" s="215">
        <v>2220</v>
      </c>
      <c r="G61" s="22" t="str">
        <f t="shared" si="0"/>
        <v/>
      </c>
    </row>
    <row r="62" spans="1:7">
      <c r="A62" s="570" t="s">
        <v>114</v>
      </c>
      <c r="B62" s="570" t="s">
        <v>142</v>
      </c>
      <c r="C62" s="86" t="s">
        <v>921</v>
      </c>
      <c r="D62" s="612">
        <v>2035</v>
      </c>
      <c r="E62" s="571"/>
      <c r="F62" s="632">
        <v>243</v>
      </c>
      <c r="G62" s="22" t="str">
        <f t="shared" si="0"/>
        <v/>
      </c>
    </row>
    <row r="63" spans="1:7">
      <c r="A63" s="22" t="s">
        <v>115</v>
      </c>
      <c r="B63" s="22" t="s">
        <v>142</v>
      </c>
      <c r="C63" s="86" t="s">
        <v>921</v>
      </c>
      <c r="D63" s="86">
        <v>2035</v>
      </c>
      <c r="E63" s="37"/>
      <c r="F63" s="215">
        <v>1038</v>
      </c>
      <c r="G63" s="22" t="str">
        <f t="shared" si="0"/>
        <v/>
      </c>
    </row>
    <row r="64" spans="1:7">
      <c r="A64" s="570" t="s">
        <v>105</v>
      </c>
      <c r="B64" s="570" t="s">
        <v>142</v>
      </c>
      <c r="C64" s="86" t="s">
        <v>921</v>
      </c>
      <c r="D64" s="612">
        <v>2035</v>
      </c>
      <c r="E64" s="571"/>
      <c r="F64" s="632">
        <v>4800</v>
      </c>
      <c r="G64" s="22" t="str">
        <f t="shared" si="0"/>
        <v/>
      </c>
    </row>
    <row r="65" spans="1:7">
      <c r="A65" s="176" t="s">
        <v>117</v>
      </c>
      <c r="B65" s="176" t="s">
        <v>142</v>
      </c>
      <c r="C65" s="134" t="s">
        <v>921</v>
      </c>
      <c r="D65" s="134">
        <v>2035</v>
      </c>
      <c r="E65" s="642"/>
      <c r="F65" s="318">
        <v>3250</v>
      </c>
      <c r="G65" s="22" t="str">
        <f t="shared" si="0"/>
        <v/>
      </c>
    </row>
    <row r="66" spans="1:7">
      <c r="A66" s="570" t="s">
        <v>113</v>
      </c>
      <c r="B66" s="570" t="s">
        <v>895</v>
      </c>
      <c r="C66" s="86" t="s">
        <v>921</v>
      </c>
      <c r="D66" s="612">
        <v>2035</v>
      </c>
      <c r="E66" s="571"/>
      <c r="F66" s="632" cm="1">
        <f t="array" ref="F66:F71">TRANSPOSE(_xlfn._xlws.FILTER(Production!B228:U228,Production!B228:U228&lt;&gt;0))</f>
        <v>3213</v>
      </c>
      <c r="G66" s="22" t="str">
        <f t="shared" si="0"/>
        <v/>
      </c>
    </row>
    <row r="67" spans="1:7">
      <c r="A67" s="22" t="s">
        <v>115</v>
      </c>
      <c r="B67" s="22" t="s">
        <v>895</v>
      </c>
      <c r="C67" s="86" t="s">
        <v>921</v>
      </c>
      <c r="D67" s="86">
        <v>2035</v>
      </c>
      <c r="E67" s="37"/>
      <c r="F67" s="215">
        <v>354</v>
      </c>
      <c r="G67" s="22" t="str">
        <f t="shared" si="0"/>
        <v/>
      </c>
    </row>
    <row r="68" spans="1:7">
      <c r="A68" s="570" t="s">
        <v>99</v>
      </c>
      <c r="B68" s="570" t="s">
        <v>895</v>
      </c>
      <c r="C68" s="86" t="s">
        <v>921</v>
      </c>
      <c r="D68" s="612">
        <v>2035</v>
      </c>
      <c r="E68" s="571"/>
      <c r="F68" s="632">
        <v>831</v>
      </c>
      <c r="G68" s="22" t="str">
        <f t="shared" ref="G68:G131" si="1">IF(E68+F68&lt;20,"Remove","")</f>
        <v/>
      </c>
    </row>
    <row r="69" spans="1:7">
      <c r="A69" s="22" t="s">
        <v>101</v>
      </c>
      <c r="B69" s="22" t="s">
        <v>895</v>
      </c>
      <c r="C69" s="86" t="s">
        <v>921</v>
      </c>
      <c r="D69" s="86">
        <v>2035</v>
      </c>
      <c r="E69" s="37"/>
      <c r="F69" s="215">
        <v>411</v>
      </c>
      <c r="G69" s="22" t="str">
        <f t="shared" si="1"/>
        <v/>
      </c>
    </row>
    <row r="70" spans="1:7">
      <c r="A70" s="769" t="s">
        <v>117</v>
      </c>
      <c r="B70" s="769" t="s">
        <v>895</v>
      </c>
      <c r="C70" s="770" t="s">
        <v>921</v>
      </c>
      <c r="D70" s="771">
        <v>2035</v>
      </c>
      <c r="E70" s="772"/>
      <c r="F70" s="773">
        <v>928</v>
      </c>
      <c r="G70" s="22" t="str">
        <f t="shared" si="1"/>
        <v/>
      </c>
    </row>
    <row r="71" spans="1:7">
      <c r="A71" s="176" t="s">
        <v>123</v>
      </c>
      <c r="B71" s="176" t="s">
        <v>895</v>
      </c>
      <c r="C71" s="134" t="s">
        <v>921</v>
      </c>
      <c r="D71" s="134">
        <v>2035</v>
      </c>
      <c r="E71" s="642"/>
      <c r="F71" s="318">
        <v>464</v>
      </c>
      <c r="G71" s="22" t="str">
        <f t="shared" si="1"/>
        <v/>
      </c>
    </row>
    <row r="72" spans="1:7">
      <c r="A72" s="639" t="s">
        <v>113</v>
      </c>
      <c r="B72" s="639" t="s">
        <v>963</v>
      </c>
      <c r="C72" s="190" t="s">
        <v>921</v>
      </c>
      <c r="D72" s="640">
        <v>2035</v>
      </c>
      <c r="E72" s="641"/>
      <c r="F72" s="644">
        <f>Production!F224</f>
        <v>10810</v>
      </c>
      <c r="G72" s="22" t="str">
        <f t="shared" si="1"/>
        <v/>
      </c>
    </row>
    <row r="73" spans="1:7">
      <c r="A73" s="777" t="s">
        <v>107</v>
      </c>
      <c r="B73" s="777" t="s">
        <v>964</v>
      </c>
      <c r="C73" s="770" t="s">
        <v>921</v>
      </c>
      <c r="D73" s="770">
        <v>2035</v>
      </c>
      <c r="E73" s="778"/>
      <c r="F73" s="760" cm="1">
        <f t="array" ref="F73:F77">TRANSPOSE(_xlfn._xlws.FILTER(Production!B225:U225,Production!B225:U225&lt;&gt;0))</f>
        <v>745</v>
      </c>
      <c r="G73" s="22" t="str">
        <f t="shared" si="1"/>
        <v/>
      </c>
    </row>
    <row r="74" spans="1:7">
      <c r="A74" s="769" t="s">
        <v>110</v>
      </c>
      <c r="B74" s="769" t="s">
        <v>964</v>
      </c>
      <c r="C74" s="770" t="s">
        <v>921</v>
      </c>
      <c r="D74" s="771">
        <v>2035</v>
      </c>
      <c r="E74" s="772"/>
      <c r="F74" s="773">
        <v>389</v>
      </c>
      <c r="G74" s="22" t="str">
        <f t="shared" si="1"/>
        <v/>
      </c>
    </row>
    <row r="75" spans="1:7">
      <c r="A75" s="22" t="s">
        <v>115</v>
      </c>
      <c r="B75" s="769" t="s">
        <v>964</v>
      </c>
      <c r="C75" s="770" t="s">
        <v>921</v>
      </c>
      <c r="D75" s="770">
        <v>2035</v>
      </c>
      <c r="E75" s="778"/>
      <c r="F75" s="760">
        <v>140</v>
      </c>
      <c r="G75" s="22" t="str">
        <f t="shared" si="1"/>
        <v/>
      </c>
    </row>
    <row r="76" spans="1:7">
      <c r="A76" s="777" t="s">
        <v>99</v>
      </c>
      <c r="B76" s="769" t="s">
        <v>964</v>
      </c>
      <c r="C76" s="770" t="s">
        <v>921</v>
      </c>
      <c r="D76" s="771">
        <v>2035</v>
      </c>
      <c r="E76" s="772"/>
      <c r="F76" s="773">
        <v>596</v>
      </c>
      <c r="G76" s="22" t="str">
        <f t="shared" si="1"/>
        <v/>
      </c>
    </row>
    <row r="77" spans="1:7">
      <c r="A77" s="769" t="s">
        <v>101</v>
      </c>
      <c r="B77" s="769" t="s">
        <v>964</v>
      </c>
      <c r="C77" s="134" t="s">
        <v>921</v>
      </c>
      <c r="D77" s="86">
        <v>2035</v>
      </c>
      <c r="E77" s="37"/>
      <c r="F77" s="215">
        <v>152</v>
      </c>
      <c r="G77" s="22" t="str">
        <f t="shared" si="1"/>
        <v/>
      </c>
    </row>
    <row r="78" spans="1:7">
      <c r="A78" s="779" t="s">
        <v>107</v>
      </c>
      <c r="B78" s="779" t="s">
        <v>242</v>
      </c>
      <c r="C78" s="770" t="s">
        <v>921</v>
      </c>
      <c r="D78" s="780">
        <v>2035</v>
      </c>
      <c r="E78" s="781"/>
      <c r="F78" s="782" cm="1">
        <f t="array" ref="F78:F87">TRANSPOSE(_xlfn._xlws.FILTER(Production!B226:U226,Production!B226:U226&lt;&gt;0))</f>
        <v>1639</v>
      </c>
      <c r="G78" s="22" t="str">
        <f t="shared" si="1"/>
        <v/>
      </c>
    </row>
    <row r="79" spans="1:7">
      <c r="A79" s="769" t="s">
        <v>109</v>
      </c>
      <c r="B79" s="777" t="s">
        <v>242</v>
      </c>
      <c r="C79" s="770" t="s">
        <v>921</v>
      </c>
      <c r="D79" s="771">
        <v>2035</v>
      </c>
      <c r="E79" s="772"/>
      <c r="F79" s="773">
        <v>368</v>
      </c>
      <c r="G79" s="22" t="str">
        <f t="shared" si="1"/>
        <v/>
      </c>
    </row>
    <row r="80" spans="1:7">
      <c r="A80" s="777" t="s">
        <v>110</v>
      </c>
      <c r="B80" s="777" t="s">
        <v>242</v>
      </c>
      <c r="C80" s="770" t="s">
        <v>921</v>
      </c>
      <c r="D80" s="770">
        <v>2035</v>
      </c>
      <c r="E80" s="778"/>
      <c r="F80" s="760">
        <v>4901</v>
      </c>
      <c r="G80" s="22" t="str">
        <f t="shared" si="1"/>
        <v/>
      </c>
    </row>
    <row r="81" spans="1:7">
      <c r="A81" s="769" t="s">
        <v>114</v>
      </c>
      <c r="B81" s="777" t="s">
        <v>242</v>
      </c>
      <c r="C81" s="770" t="s">
        <v>921</v>
      </c>
      <c r="D81" s="771">
        <v>2035</v>
      </c>
      <c r="E81" s="772"/>
      <c r="F81" s="773">
        <v>397</v>
      </c>
      <c r="G81" s="22" t="str">
        <f t="shared" si="1"/>
        <v/>
      </c>
    </row>
    <row r="82" spans="1:7">
      <c r="A82" s="777" t="s">
        <v>115</v>
      </c>
      <c r="B82" s="777" t="s">
        <v>242</v>
      </c>
      <c r="C82" s="770" t="s">
        <v>921</v>
      </c>
      <c r="D82" s="770">
        <v>2035</v>
      </c>
      <c r="E82" s="778"/>
      <c r="F82" s="760">
        <v>1072</v>
      </c>
      <c r="G82" s="22" t="str">
        <f t="shared" si="1"/>
        <v/>
      </c>
    </row>
    <row r="83" spans="1:7">
      <c r="A83" s="570" t="s">
        <v>103</v>
      </c>
      <c r="B83" s="777" t="s">
        <v>242</v>
      </c>
      <c r="C83" s="86" t="s">
        <v>921</v>
      </c>
      <c r="D83" s="612">
        <v>2035</v>
      </c>
      <c r="E83" s="571"/>
      <c r="F83" s="632">
        <v>97</v>
      </c>
      <c r="G83" s="22" t="str">
        <f t="shared" si="1"/>
        <v/>
      </c>
    </row>
    <row r="84" spans="1:7">
      <c r="A84" s="22" t="s">
        <v>99</v>
      </c>
      <c r="B84" s="777" t="s">
        <v>242</v>
      </c>
      <c r="C84" s="86" t="s">
        <v>921</v>
      </c>
      <c r="D84" s="86">
        <v>2035</v>
      </c>
      <c r="E84" s="37"/>
      <c r="F84" s="215">
        <v>218</v>
      </c>
      <c r="G84" s="22" t="str">
        <f t="shared" si="1"/>
        <v/>
      </c>
    </row>
    <row r="85" spans="1:7">
      <c r="A85" s="570" t="s">
        <v>101</v>
      </c>
      <c r="B85" s="777" t="s">
        <v>242</v>
      </c>
      <c r="C85" s="86" t="s">
        <v>921</v>
      </c>
      <c r="D85" s="612">
        <v>2035</v>
      </c>
      <c r="E85" s="571"/>
      <c r="F85" s="632">
        <v>474</v>
      </c>
      <c r="G85" s="22" t="str">
        <f t="shared" si="1"/>
        <v/>
      </c>
    </row>
    <row r="86" spans="1:7">
      <c r="A86" s="22" t="s">
        <v>117</v>
      </c>
      <c r="B86" s="777" t="s">
        <v>242</v>
      </c>
      <c r="C86" s="86" t="s">
        <v>921</v>
      </c>
      <c r="D86" s="86">
        <v>2035</v>
      </c>
      <c r="E86" s="37"/>
      <c r="F86" s="215">
        <v>125</v>
      </c>
      <c r="G86" s="22" t="str">
        <f t="shared" si="1"/>
        <v/>
      </c>
    </row>
    <row r="87" spans="1:7">
      <c r="A87" s="635" t="s">
        <v>121</v>
      </c>
      <c r="B87" s="176" t="s">
        <v>242</v>
      </c>
      <c r="C87" s="134" t="s">
        <v>921</v>
      </c>
      <c r="D87" s="636">
        <v>2035</v>
      </c>
      <c r="E87" s="637"/>
      <c r="F87" s="638">
        <v>110</v>
      </c>
      <c r="G87" s="22" t="str">
        <f t="shared" si="1"/>
        <v/>
      </c>
    </row>
    <row r="88" spans="1:7">
      <c r="A88" s="22" t="s">
        <v>107</v>
      </c>
      <c r="B88" s="22" t="s">
        <v>239</v>
      </c>
      <c r="C88" s="86" t="s">
        <v>921</v>
      </c>
      <c r="D88" s="86">
        <v>2035</v>
      </c>
      <c r="E88" s="37"/>
      <c r="F88" s="215" cm="1">
        <f t="array" ref="F88:F99">TRANSPOSE(_xlfn._xlws.FILTER(Production!B227:U227,Production!B227:U227&lt;&gt;0))</f>
        <v>14776</v>
      </c>
      <c r="G88" s="22" t="str">
        <f t="shared" si="1"/>
        <v/>
      </c>
    </row>
    <row r="89" spans="1:7">
      <c r="A89" s="570" t="s">
        <v>109</v>
      </c>
      <c r="B89" s="570" t="s">
        <v>239</v>
      </c>
      <c r="C89" s="86" t="s">
        <v>921</v>
      </c>
      <c r="D89" s="612">
        <v>2035</v>
      </c>
      <c r="E89" s="571"/>
      <c r="F89" s="632">
        <v>6139</v>
      </c>
      <c r="G89" s="22" t="str">
        <f t="shared" si="1"/>
        <v/>
      </c>
    </row>
    <row r="90" spans="1:7">
      <c r="A90" s="777" t="s">
        <v>110</v>
      </c>
      <c r="B90" s="570" t="s">
        <v>239</v>
      </c>
      <c r="C90" s="770" t="s">
        <v>921</v>
      </c>
      <c r="D90" s="770">
        <v>2035</v>
      </c>
      <c r="E90" s="778"/>
      <c r="F90" s="760">
        <v>18364</v>
      </c>
      <c r="G90" s="22" t="str">
        <f t="shared" si="1"/>
        <v/>
      </c>
    </row>
    <row r="91" spans="1:7">
      <c r="A91" s="769" t="s">
        <v>112</v>
      </c>
      <c r="B91" s="570" t="s">
        <v>239</v>
      </c>
      <c r="C91" s="770" t="s">
        <v>921</v>
      </c>
      <c r="D91" s="771">
        <v>2035</v>
      </c>
      <c r="E91" s="772"/>
      <c r="F91" s="773">
        <v>20518</v>
      </c>
      <c r="G91" s="22" t="str">
        <f t="shared" si="1"/>
        <v/>
      </c>
    </row>
    <row r="92" spans="1:7">
      <c r="A92" s="777" t="s">
        <v>113</v>
      </c>
      <c r="B92" s="570" t="s">
        <v>239</v>
      </c>
      <c r="C92" s="770" t="s">
        <v>921</v>
      </c>
      <c r="D92" s="770">
        <v>2035</v>
      </c>
      <c r="E92" s="778"/>
      <c r="F92" s="760">
        <v>9642</v>
      </c>
      <c r="G92" s="22" t="str">
        <f t="shared" si="1"/>
        <v/>
      </c>
    </row>
    <row r="93" spans="1:7">
      <c r="A93" s="769" t="s">
        <v>114</v>
      </c>
      <c r="B93" s="570" t="s">
        <v>239</v>
      </c>
      <c r="C93" s="770" t="s">
        <v>921</v>
      </c>
      <c r="D93" s="771">
        <v>2035</v>
      </c>
      <c r="E93" s="772"/>
      <c r="F93" s="773">
        <v>5997</v>
      </c>
      <c r="G93" s="22" t="str">
        <f t="shared" si="1"/>
        <v/>
      </c>
    </row>
    <row r="94" spans="1:7">
      <c r="A94" s="777" t="s">
        <v>115</v>
      </c>
      <c r="B94" s="570" t="s">
        <v>239</v>
      </c>
      <c r="C94" s="770" t="s">
        <v>921</v>
      </c>
      <c r="D94" s="770">
        <v>2035</v>
      </c>
      <c r="E94" s="778"/>
      <c r="F94" s="760">
        <v>4100</v>
      </c>
      <c r="G94" s="22" t="str">
        <f t="shared" si="1"/>
        <v/>
      </c>
    </row>
    <row r="95" spans="1:7">
      <c r="A95" s="769" t="s">
        <v>99</v>
      </c>
      <c r="B95" s="570" t="s">
        <v>239</v>
      </c>
      <c r="C95" s="770" t="s">
        <v>921</v>
      </c>
      <c r="D95" s="771">
        <v>2035</v>
      </c>
      <c r="E95" s="772"/>
      <c r="F95" s="773">
        <v>38</v>
      </c>
      <c r="G95" s="22" t="str">
        <f t="shared" si="1"/>
        <v/>
      </c>
    </row>
    <row r="96" spans="1:7">
      <c r="A96" s="777" t="s">
        <v>101</v>
      </c>
      <c r="B96" s="570" t="s">
        <v>239</v>
      </c>
      <c r="C96" s="770" t="s">
        <v>921</v>
      </c>
      <c r="D96" s="770">
        <v>2035</v>
      </c>
      <c r="E96" s="778"/>
      <c r="F96" s="760">
        <v>101</v>
      </c>
      <c r="G96" s="22" t="str">
        <f t="shared" si="1"/>
        <v/>
      </c>
    </row>
    <row r="97" spans="1:7">
      <c r="A97" s="769" t="s">
        <v>117</v>
      </c>
      <c r="B97" s="570" t="s">
        <v>239</v>
      </c>
      <c r="C97" s="770" t="s">
        <v>921</v>
      </c>
      <c r="D97" s="771">
        <v>2035</v>
      </c>
      <c r="E97" s="772"/>
      <c r="F97" s="773">
        <v>874</v>
      </c>
      <c r="G97" s="22" t="str">
        <f t="shared" si="1"/>
        <v/>
      </c>
    </row>
    <row r="98" spans="1:7">
      <c r="A98" s="777" t="s">
        <v>121</v>
      </c>
      <c r="B98" s="570" t="s">
        <v>239</v>
      </c>
      <c r="C98" s="770" t="s">
        <v>921</v>
      </c>
      <c r="D98" s="770">
        <v>2035</v>
      </c>
      <c r="E98" s="778"/>
      <c r="F98" s="760">
        <v>403</v>
      </c>
      <c r="G98" s="22" t="str">
        <f t="shared" si="1"/>
        <v/>
      </c>
    </row>
    <row r="99" spans="1:7">
      <c r="A99" s="769" t="s">
        <v>122</v>
      </c>
      <c r="B99" s="769" t="s">
        <v>239</v>
      </c>
      <c r="C99" s="770" t="s">
        <v>921</v>
      </c>
      <c r="D99" s="771">
        <v>2035</v>
      </c>
      <c r="E99" s="772"/>
      <c r="F99" s="773">
        <v>1077</v>
      </c>
      <c r="G99" s="22" t="str">
        <f t="shared" si="1"/>
        <v/>
      </c>
    </row>
    <row r="100" spans="1:7">
      <c r="A100" s="803" t="s">
        <v>972</v>
      </c>
      <c r="B100" s="804"/>
      <c r="C100" s="804"/>
      <c r="D100" s="804"/>
      <c r="E100" s="804"/>
      <c r="F100" s="804"/>
    </row>
    <row r="101" spans="1:7">
      <c r="A101" s="570" t="s">
        <v>107</v>
      </c>
      <c r="B101" s="570" t="s">
        <v>695</v>
      </c>
      <c r="C101" s="86" t="s">
        <v>921</v>
      </c>
      <c r="D101" s="612">
        <v>2035</v>
      </c>
      <c r="E101" s="632" cm="1">
        <f t="array" ref="E101:E116">_xlfn._xlws.FILTER(Flexibility!W80:W99,Flexibility!W80:W99&lt;&gt;0)</f>
        <v>75895.78</v>
      </c>
      <c r="F101" s="632"/>
      <c r="G101" s="22" t="str">
        <f t="shared" si="1"/>
        <v/>
      </c>
    </row>
    <row r="102" spans="1:7">
      <c r="A102" s="22" t="s">
        <v>109</v>
      </c>
      <c r="B102" s="22" t="s">
        <v>695</v>
      </c>
      <c r="C102" s="86" t="s">
        <v>921</v>
      </c>
      <c r="D102" s="86">
        <v>2035</v>
      </c>
      <c r="E102" s="303">
        <v>10777</v>
      </c>
      <c r="F102" s="215"/>
      <c r="G102" s="22" t="str">
        <f t="shared" si="1"/>
        <v/>
      </c>
    </row>
    <row r="103" spans="1:7">
      <c r="A103" s="570" t="s">
        <v>110</v>
      </c>
      <c r="B103" s="570" t="s">
        <v>695</v>
      </c>
      <c r="C103" s="86" t="s">
        <v>921</v>
      </c>
      <c r="D103" s="612">
        <v>2035</v>
      </c>
      <c r="E103" s="632">
        <v>26940.16</v>
      </c>
      <c r="F103" s="632"/>
      <c r="G103" s="22" t="str">
        <f t="shared" si="1"/>
        <v/>
      </c>
    </row>
    <row r="104" spans="1:7">
      <c r="A104" s="22" t="s">
        <v>112</v>
      </c>
      <c r="B104" s="22" t="s">
        <v>695</v>
      </c>
      <c r="C104" s="86" t="s">
        <v>921</v>
      </c>
      <c r="D104" s="86">
        <v>2035</v>
      </c>
      <c r="E104" s="215">
        <v>17187.52</v>
      </c>
      <c r="F104" s="215"/>
      <c r="G104" s="22" t="str">
        <f t="shared" si="1"/>
        <v/>
      </c>
    </row>
    <row r="105" spans="1:7">
      <c r="A105" s="570" t="s">
        <v>113</v>
      </c>
      <c r="B105" s="570" t="s">
        <v>695</v>
      </c>
      <c r="C105" s="86" t="s">
        <v>921</v>
      </c>
      <c r="D105" s="612">
        <v>2035</v>
      </c>
      <c r="E105" s="632">
        <v>6110</v>
      </c>
      <c r="F105" s="632"/>
      <c r="G105" s="22" t="str">
        <f t="shared" si="1"/>
        <v/>
      </c>
    </row>
    <row r="106" spans="1:7">
      <c r="A106" s="570" t="s">
        <v>114</v>
      </c>
      <c r="B106" s="22" t="s">
        <v>695</v>
      </c>
      <c r="C106" s="86" t="s">
        <v>921</v>
      </c>
      <c r="D106" s="86">
        <v>2035</v>
      </c>
      <c r="E106" s="215">
        <v>21744</v>
      </c>
      <c r="F106" s="215"/>
      <c r="G106" s="22" t="str">
        <f t="shared" si="1"/>
        <v/>
      </c>
    </row>
    <row r="107" spans="1:7">
      <c r="A107" s="22" t="s">
        <v>115</v>
      </c>
      <c r="B107" s="570" t="s">
        <v>695</v>
      </c>
      <c r="C107" s="86" t="s">
        <v>921</v>
      </c>
      <c r="D107" s="612">
        <v>2035</v>
      </c>
      <c r="E107" s="633">
        <v>3851</v>
      </c>
      <c r="F107" s="632"/>
      <c r="G107" s="22" t="str">
        <f t="shared" si="1"/>
        <v/>
      </c>
    </row>
    <row r="108" spans="1:7">
      <c r="A108" s="22" t="s">
        <v>104</v>
      </c>
      <c r="B108" s="22" t="s">
        <v>695</v>
      </c>
      <c r="C108" s="86" t="s">
        <v>921</v>
      </c>
      <c r="D108" s="86">
        <v>2035</v>
      </c>
      <c r="E108" s="303">
        <v>66.8</v>
      </c>
      <c r="F108" s="215"/>
      <c r="G108" s="22" t="str">
        <f t="shared" si="1"/>
        <v/>
      </c>
    </row>
    <row r="109" spans="1:7">
      <c r="A109" s="570" t="s">
        <v>105</v>
      </c>
      <c r="B109" s="570" t="s">
        <v>695</v>
      </c>
      <c r="C109" s="86" t="s">
        <v>921</v>
      </c>
      <c r="D109" s="612">
        <v>2035</v>
      </c>
      <c r="E109" s="633">
        <v>970.35</v>
      </c>
      <c r="F109" s="632"/>
      <c r="G109" s="22" t="str">
        <f t="shared" si="1"/>
        <v/>
      </c>
    </row>
    <row r="110" spans="1:7">
      <c r="A110" s="22" t="s">
        <v>106</v>
      </c>
      <c r="B110" s="22" t="s">
        <v>695</v>
      </c>
      <c r="C110" s="86" t="s">
        <v>921</v>
      </c>
      <c r="D110" s="86">
        <v>2035</v>
      </c>
      <c r="E110" s="303">
        <v>423.25</v>
      </c>
      <c r="F110" s="215"/>
      <c r="G110" s="22" t="str">
        <f t="shared" si="1"/>
        <v/>
      </c>
    </row>
    <row r="111" spans="1:7">
      <c r="A111" s="570" t="s">
        <v>99</v>
      </c>
      <c r="B111" s="570" t="s">
        <v>695</v>
      </c>
      <c r="C111" s="86" t="s">
        <v>921</v>
      </c>
      <c r="D111" s="612">
        <v>2035</v>
      </c>
      <c r="E111" s="632">
        <v>293.68</v>
      </c>
      <c r="F111" s="632"/>
      <c r="G111" s="22" t="str">
        <f t="shared" si="1"/>
        <v/>
      </c>
    </row>
    <row r="112" spans="1:7">
      <c r="A112" s="22" t="s">
        <v>101</v>
      </c>
      <c r="B112" s="22" t="s">
        <v>695</v>
      </c>
      <c r="C112" s="86" t="s">
        <v>921</v>
      </c>
      <c r="D112" s="86">
        <v>2035</v>
      </c>
      <c r="E112" s="215">
        <v>625.30999999999995</v>
      </c>
      <c r="F112" s="215"/>
      <c r="G112" s="22" t="str">
        <f t="shared" si="1"/>
        <v/>
      </c>
    </row>
    <row r="113" spans="1:7">
      <c r="A113" s="570" t="s">
        <v>117</v>
      </c>
      <c r="B113" s="570" t="s">
        <v>695</v>
      </c>
      <c r="C113" s="86" t="s">
        <v>921</v>
      </c>
      <c r="D113" s="612">
        <v>2035</v>
      </c>
      <c r="E113" s="632">
        <v>4711.1000000000004</v>
      </c>
      <c r="F113" s="632"/>
      <c r="G113" s="22" t="str">
        <f t="shared" si="1"/>
        <v/>
      </c>
    </row>
    <row r="114" spans="1:7">
      <c r="A114" s="22" t="s">
        <v>121</v>
      </c>
      <c r="B114" s="22" t="s">
        <v>695</v>
      </c>
      <c r="C114" s="86" t="s">
        <v>921</v>
      </c>
      <c r="D114" s="86">
        <v>2035</v>
      </c>
      <c r="E114" s="215">
        <v>1810</v>
      </c>
      <c r="F114" s="215"/>
      <c r="G114" s="22" t="str">
        <f t="shared" si="1"/>
        <v/>
      </c>
    </row>
    <row r="115" spans="1:7">
      <c r="A115" s="570" t="s">
        <v>122</v>
      </c>
      <c r="B115" s="570" t="s">
        <v>695</v>
      </c>
      <c r="C115" s="86" t="s">
        <v>921</v>
      </c>
      <c r="D115" s="612">
        <v>2035</v>
      </c>
      <c r="E115" s="632">
        <v>420</v>
      </c>
      <c r="F115" s="632"/>
      <c r="G115" s="22" t="str">
        <f t="shared" si="1"/>
        <v/>
      </c>
    </row>
    <row r="116" spans="1:7">
      <c r="A116" s="635" t="s">
        <v>123</v>
      </c>
      <c r="B116" s="635" t="s">
        <v>695</v>
      </c>
      <c r="C116" s="134" t="s">
        <v>921</v>
      </c>
      <c r="D116" s="636">
        <v>2035</v>
      </c>
      <c r="E116" s="638">
        <v>1500</v>
      </c>
      <c r="F116" s="638"/>
      <c r="G116" s="22" t="str">
        <f t="shared" si="1"/>
        <v/>
      </c>
    </row>
    <row r="117" spans="1:7">
      <c r="A117" s="570" t="s">
        <v>107</v>
      </c>
      <c r="B117" s="22" t="s">
        <v>696</v>
      </c>
      <c r="C117" s="86" t="s">
        <v>921</v>
      </c>
      <c r="D117" s="86">
        <v>2035</v>
      </c>
      <c r="E117" s="215"/>
      <c r="F117" s="215" cm="1">
        <f t="array" ref="F117:F132">_xlfn._xlws.FILTER(Flexibility!W80:W99,Flexibility!W80:W99&lt;&gt;0)</f>
        <v>75895.78</v>
      </c>
      <c r="G117" s="22" t="str">
        <f t="shared" si="1"/>
        <v/>
      </c>
    </row>
    <row r="118" spans="1:7">
      <c r="A118" s="22" t="s">
        <v>109</v>
      </c>
      <c r="B118" s="570" t="s">
        <v>696</v>
      </c>
      <c r="C118" s="86" t="s">
        <v>921</v>
      </c>
      <c r="D118" s="612">
        <v>2035</v>
      </c>
      <c r="E118" s="632"/>
      <c r="F118" s="633">
        <v>10777</v>
      </c>
      <c r="G118" s="22" t="str">
        <f t="shared" si="1"/>
        <v/>
      </c>
    </row>
    <row r="119" spans="1:7">
      <c r="A119" s="570" t="s">
        <v>110</v>
      </c>
      <c r="B119" s="22" t="s">
        <v>696</v>
      </c>
      <c r="C119" s="86" t="s">
        <v>921</v>
      </c>
      <c r="D119" s="86">
        <v>2035</v>
      </c>
      <c r="E119" s="215"/>
      <c r="F119" s="215">
        <v>26940.16</v>
      </c>
      <c r="G119" s="22" t="str">
        <f t="shared" si="1"/>
        <v/>
      </c>
    </row>
    <row r="120" spans="1:7">
      <c r="A120" s="22" t="s">
        <v>112</v>
      </c>
      <c r="B120" s="570" t="s">
        <v>696</v>
      </c>
      <c r="C120" s="86" t="s">
        <v>921</v>
      </c>
      <c r="D120" s="612">
        <v>2035</v>
      </c>
      <c r="E120" s="632"/>
      <c r="F120" s="632">
        <v>17187.52</v>
      </c>
      <c r="G120" s="22" t="str">
        <f t="shared" si="1"/>
        <v/>
      </c>
    </row>
    <row r="121" spans="1:7">
      <c r="A121" s="570" t="s">
        <v>113</v>
      </c>
      <c r="B121" s="22" t="s">
        <v>696</v>
      </c>
      <c r="C121" s="86" t="s">
        <v>921</v>
      </c>
      <c r="D121" s="86">
        <v>2035</v>
      </c>
      <c r="E121" s="215"/>
      <c r="F121" s="215">
        <v>6110</v>
      </c>
      <c r="G121" s="22" t="str">
        <f t="shared" si="1"/>
        <v/>
      </c>
    </row>
    <row r="122" spans="1:7">
      <c r="A122" s="570" t="s">
        <v>114</v>
      </c>
      <c r="B122" s="570" t="s">
        <v>696</v>
      </c>
      <c r="C122" s="86" t="s">
        <v>921</v>
      </c>
      <c r="D122" s="612">
        <v>2035</v>
      </c>
      <c r="E122" s="632"/>
      <c r="F122" s="632">
        <v>21744</v>
      </c>
      <c r="G122" s="22" t="str">
        <f t="shared" si="1"/>
        <v/>
      </c>
    </row>
    <row r="123" spans="1:7">
      <c r="A123" s="22" t="s">
        <v>115</v>
      </c>
      <c r="B123" s="22" t="s">
        <v>696</v>
      </c>
      <c r="C123" s="86" t="s">
        <v>921</v>
      </c>
      <c r="D123" s="86">
        <v>2035</v>
      </c>
      <c r="E123" s="215"/>
      <c r="F123" s="303">
        <v>3851</v>
      </c>
      <c r="G123" s="22" t="str">
        <f t="shared" si="1"/>
        <v/>
      </c>
    </row>
    <row r="124" spans="1:7">
      <c r="A124" s="22" t="s">
        <v>104</v>
      </c>
      <c r="B124" s="570" t="s">
        <v>696</v>
      </c>
      <c r="C124" s="86" t="s">
        <v>921</v>
      </c>
      <c r="D124" s="612">
        <v>2035</v>
      </c>
      <c r="E124" s="632"/>
      <c r="F124" s="633">
        <v>66.8</v>
      </c>
      <c r="G124" s="22" t="str">
        <f t="shared" si="1"/>
        <v/>
      </c>
    </row>
    <row r="125" spans="1:7">
      <c r="A125" s="570" t="s">
        <v>105</v>
      </c>
      <c r="B125" s="22" t="s">
        <v>696</v>
      </c>
      <c r="C125" s="86" t="s">
        <v>921</v>
      </c>
      <c r="D125" s="86">
        <v>2035</v>
      </c>
      <c r="E125" s="215"/>
      <c r="F125" s="303">
        <v>970.35</v>
      </c>
      <c r="G125" s="22" t="str">
        <f t="shared" si="1"/>
        <v/>
      </c>
    </row>
    <row r="126" spans="1:7">
      <c r="A126" s="22" t="s">
        <v>106</v>
      </c>
      <c r="B126" s="570" t="s">
        <v>696</v>
      </c>
      <c r="C126" s="86" t="s">
        <v>921</v>
      </c>
      <c r="D126" s="612">
        <v>2035</v>
      </c>
      <c r="E126" s="632"/>
      <c r="F126" s="633">
        <v>423.25</v>
      </c>
      <c r="G126" s="22" t="str">
        <f t="shared" si="1"/>
        <v/>
      </c>
    </row>
    <row r="127" spans="1:7">
      <c r="A127" s="570" t="s">
        <v>99</v>
      </c>
      <c r="B127" s="22" t="s">
        <v>696</v>
      </c>
      <c r="C127" s="86" t="s">
        <v>921</v>
      </c>
      <c r="D127" s="86">
        <v>2035</v>
      </c>
      <c r="E127" s="215"/>
      <c r="F127" s="215">
        <v>293.68</v>
      </c>
      <c r="G127" s="22" t="str">
        <f t="shared" si="1"/>
        <v/>
      </c>
    </row>
    <row r="128" spans="1:7">
      <c r="A128" s="22" t="s">
        <v>101</v>
      </c>
      <c r="B128" s="570" t="s">
        <v>696</v>
      </c>
      <c r="C128" s="86" t="s">
        <v>921</v>
      </c>
      <c r="D128" s="612">
        <v>2035</v>
      </c>
      <c r="E128" s="632"/>
      <c r="F128" s="632">
        <v>625.30999999999995</v>
      </c>
      <c r="G128" s="22" t="str">
        <f t="shared" si="1"/>
        <v/>
      </c>
    </row>
    <row r="129" spans="1:7">
      <c r="A129" s="570" t="s">
        <v>117</v>
      </c>
      <c r="B129" s="22" t="s">
        <v>696</v>
      </c>
      <c r="C129" s="86" t="s">
        <v>921</v>
      </c>
      <c r="D129" s="86">
        <v>2035</v>
      </c>
      <c r="E129" s="215"/>
      <c r="F129" s="215">
        <v>4711.1000000000004</v>
      </c>
      <c r="G129" s="22" t="str">
        <f t="shared" si="1"/>
        <v/>
      </c>
    </row>
    <row r="130" spans="1:7">
      <c r="A130" s="22" t="s">
        <v>121</v>
      </c>
      <c r="B130" s="570" t="s">
        <v>696</v>
      </c>
      <c r="C130" s="86" t="s">
        <v>921</v>
      </c>
      <c r="D130" s="612">
        <v>2035</v>
      </c>
      <c r="E130" s="632"/>
      <c r="F130" s="632">
        <v>1810</v>
      </c>
      <c r="G130" s="22" t="str">
        <f t="shared" si="1"/>
        <v/>
      </c>
    </row>
    <row r="131" spans="1:7">
      <c r="A131" s="570" t="s">
        <v>122</v>
      </c>
      <c r="B131" s="22" t="s">
        <v>696</v>
      </c>
      <c r="C131" s="86" t="s">
        <v>921</v>
      </c>
      <c r="D131" s="86">
        <v>2035</v>
      </c>
      <c r="E131" s="215"/>
      <c r="F131" s="215">
        <v>420</v>
      </c>
      <c r="G131" s="22" t="str">
        <f t="shared" si="1"/>
        <v/>
      </c>
    </row>
    <row r="132" spans="1:7">
      <c r="A132" s="635" t="s">
        <v>123</v>
      </c>
      <c r="B132" s="176" t="s">
        <v>696</v>
      </c>
      <c r="C132" s="134" t="s">
        <v>921</v>
      </c>
      <c r="D132" s="134">
        <v>2035</v>
      </c>
      <c r="E132" s="318"/>
      <c r="F132" s="318">
        <v>1500</v>
      </c>
      <c r="G132" s="22" t="str">
        <f t="shared" ref="G132:G195" si="2">IF(E132+F132&lt;20,"Remove","")</f>
        <v/>
      </c>
    </row>
    <row r="133" spans="1:7">
      <c r="A133" s="570" t="s">
        <v>107</v>
      </c>
      <c r="B133" s="570" t="s">
        <v>432</v>
      </c>
      <c r="C133" s="86" t="s">
        <v>921</v>
      </c>
      <c r="D133" s="612">
        <v>2035</v>
      </c>
      <c r="E133" s="571"/>
      <c r="F133" s="632" cm="1">
        <f t="array" ref="F133:F139">TRANSPOSE(_xlfn._xlws.FILTER(Production!B131:U131,Production!B131:U131&lt;&gt;0))</f>
        <v>1500</v>
      </c>
      <c r="G133" s="22" t="str">
        <f t="shared" si="2"/>
        <v/>
      </c>
    </row>
    <row r="134" spans="1:7">
      <c r="A134" s="22" t="s">
        <v>109</v>
      </c>
      <c r="B134" s="22" t="s">
        <v>432</v>
      </c>
      <c r="C134" s="86" t="s">
        <v>921</v>
      </c>
      <c r="D134" s="86">
        <v>2035</v>
      </c>
      <c r="E134" s="37"/>
      <c r="F134" s="215">
        <v>1500</v>
      </c>
      <c r="G134" s="22" t="str">
        <f t="shared" si="2"/>
        <v/>
      </c>
    </row>
    <row r="135" spans="1:7">
      <c r="A135" s="570" t="s">
        <v>110</v>
      </c>
      <c r="B135" s="570" t="s">
        <v>432</v>
      </c>
      <c r="C135" s="86" t="s">
        <v>921</v>
      </c>
      <c r="D135" s="612">
        <v>2035</v>
      </c>
      <c r="E135" s="571"/>
      <c r="F135" s="632">
        <v>800</v>
      </c>
      <c r="G135" s="22" t="str">
        <f t="shared" si="2"/>
        <v/>
      </c>
    </row>
    <row r="136" spans="1:7">
      <c r="A136" s="22" t="s">
        <v>105</v>
      </c>
      <c r="B136" s="22" t="s">
        <v>432</v>
      </c>
      <c r="C136" s="86" t="s">
        <v>921</v>
      </c>
      <c r="D136" s="86">
        <v>2035</v>
      </c>
      <c r="E136" s="37"/>
      <c r="F136" s="215">
        <v>400</v>
      </c>
      <c r="G136" s="22" t="str">
        <f t="shared" si="2"/>
        <v/>
      </c>
    </row>
    <row r="137" spans="1:7">
      <c r="A137" s="22" t="s">
        <v>117</v>
      </c>
      <c r="B137" s="22" t="s">
        <v>432</v>
      </c>
      <c r="C137" s="86" t="s">
        <v>921</v>
      </c>
      <c r="D137" s="86">
        <v>2035</v>
      </c>
      <c r="E137" s="37"/>
      <c r="F137" s="215">
        <v>300</v>
      </c>
      <c r="G137" s="22" t="str">
        <f t="shared" si="2"/>
        <v/>
      </c>
    </row>
    <row r="138" spans="1:7">
      <c r="A138" s="22" t="s">
        <v>119</v>
      </c>
      <c r="B138" s="22" t="s">
        <v>432</v>
      </c>
      <c r="C138" s="86" t="s">
        <v>921</v>
      </c>
      <c r="D138" s="86">
        <v>2035</v>
      </c>
      <c r="E138" s="37"/>
      <c r="F138" s="215">
        <v>100</v>
      </c>
      <c r="G138" s="22" t="str">
        <f t="shared" si="2"/>
        <v/>
      </c>
    </row>
    <row r="139" spans="1:7">
      <c r="A139" s="635" t="s">
        <v>120</v>
      </c>
      <c r="B139" s="635" t="s">
        <v>432</v>
      </c>
      <c r="C139" s="134" t="s">
        <v>921</v>
      </c>
      <c r="D139" s="636">
        <v>2035</v>
      </c>
      <c r="E139" s="637"/>
      <c r="F139" s="638">
        <v>400</v>
      </c>
      <c r="G139" s="22" t="str">
        <f t="shared" si="2"/>
        <v/>
      </c>
    </row>
    <row r="140" spans="1:7">
      <c r="A140" s="635" t="s">
        <v>117</v>
      </c>
      <c r="B140" s="635" t="s">
        <v>433</v>
      </c>
      <c r="C140" s="134" t="s">
        <v>921</v>
      </c>
      <c r="D140" s="636">
        <v>2035</v>
      </c>
      <c r="E140" s="638"/>
      <c r="F140" s="638">
        <f>Production!O132</f>
        <v>300</v>
      </c>
      <c r="G140" s="22" t="str">
        <f t="shared" si="2"/>
        <v/>
      </c>
    </row>
    <row r="141" spans="1:7">
      <c r="A141" s="136" t="s">
        <v>117</v>
      </c>
      <c r="B141" s="136" t="s">
        <v>434</v>
      </c>
      <c r="C141" s="134" t="s">
        <v>921</v>
      </c>
      <c r="D141" s="190">
        <v>2035</v>
      </c>
      <c r="E141" s="313">
        <f>Production!O133</f>
        <v>100</v>
      </c>
      <c r="F141" s="313"/>
      <c r="G141" s="22" t="str">
        <f t="shared" si="2"/>
        <v/>
      </c>
    </row>
    <row r="142" spans="1:7">
      <c r="A142" s="774" t="s">
        <v>117</v>
      </c>
      <c r="B142" s="774" t="s">
        <v>435</v>
      </c>
      <c r="C142" s="770" t="s">
        <v>921</v>
      </c>
      <c r="D142" s="775">
        <v>2035</v>
      </c>
      <c r="E142" s="782">
        <f>Production!O134</f>
        <v>100</v>
      </c>
      <c r="F142" s="776"/>
      <c r="G142" s="22" t="str">
        <f t="shared" si="2"/>
        <v/>
      </c>
    </row>
    <row r="143" spans="1:7">
      <c r="A143" s="807" t="s">
        <v>975</v>
      </c>
      <c r="B143" s="808"/>
      <c r="C143" s="808"/>
      <c r="D143" s="808"/>
      <c r="E143" s="808"/>
      <c r="F143" s="808"/>
    </row>
    <row r="144" spans="1:7">
      <c r="A144" s="570" t="s">
        <v>107</v>
      </c>
      <c r="B144" s="570" t="s">
        <v>225</v>
      </c>
      <c r="C144" s="86" t="s">
        <v>921</v>
      </c>
      <c r="D144" s="612">
        <v>2035</v>
      </c>
      <c r="E144" s="571"/>
      <c r="F144" s="633" cm="1">
        <f t="array" ref="F144:F159">TRANSPOSE(_xlfn._xlws.FILTER('H2'!D23:W23,'H2'!D23:W23&lt;&gt;0))</f>
        <v>21030</v>
      </c>
      <c r="G144" s="22" t="str">
        <f t="shared" si="2"/>
        <v/>
      </c>
    </row>
    <row r="145" spans="1:7">
      <c r="A145" s="22" t="s">
        <v>109</v>
      </c>
      <c r="B145" s="22" t="s">
        <v>225</v>
      </c>
      <c r="C145" s="86" t="s">
        <v>921</v>
      </c>
      <c r="D145" s="86">
        <v>2035</v>
      </c>
      <c r="E145" s="37"/>
      <c r="F145" s="303">
        <v>4180</v>
      </c>
      <c r="G145" s="22" t="str">
        <f t="shared" si="2"/>
        <v/>
      </c>
    </row>
    <row r="146" spans="1:7">
      <c r="A146" s="570" t="s">
        <v>110</v>
      </c>
      <c r="B146" s="570" t="s">
        <v>225</v>
      </c>
      <c r="C146" s="86" t="s">
        <v>921</v>
      </c>
      <c r="D146" s="612">
        <v>2035</v>
      </c>
      <c r="E146" s="571"/>
      <c r="F146" s="633">
        <v>19070</v>
      </c>
      <c r="G146" s="22" t="str">
        <f t="shared" si="2"/>
        <v/>
      </c>
    </row>
    <row r="147" spans="1:7">
      <c r="A147" s="22" t="s">
        <v>112</v>
      </c>
      <c r="B147" s="22" t="s">
        <v>225</v>
      </c>
      <c r="C147" s="86" t="s">
        <v>921</v>
      </c>
      <c r="D147" s="86">
        <v>2035</v>
      </c>
      <c r="E147" s="37"/>
      <c r="F147" s="303">
        <v>48000</v>
      </c>
      <c r="G147" s="22" t="str">
        <f t="shared" si="2"/>
        <v/>
      </c>
    </row>
    <row r="148" spans="1:7">
      <c r="A148" s="570" t="s">
        <v>113</v>
      </c>
      <c r="B148" s="570" t="s">
        <v>225</v>
      </c>
      <c r="C148" s="86" t="s">
        <v>921</v>
      </c>
      <c r="D148" s="612">
        <v>2035</v>
      </c>
      <c r="E148" s="571"/>
      <c r="F148" s="633">
        <v>5240</v>
      </c>
      <c r="G148" s="22" t="str">
        <f t="shared" si="2"/>
        <v/>
      </c>
    </row>
    <row r="149" spans="1:7">
      <c r="A149" s="22" t="s">
        <v>114</v>
      </c>
      <c r="B149" s="22" t="s">
        <v>225</v>
      </c>
      <c r="C149" s="86" t="s">
        <v>921</v>
      </c>
      <c r="D149" s="86">
        <v>2035</v>
      </c>
      <c r="E149" s="37"/>
      <c r="F149" s="303">
        <v>8230</v>
      </c>
      <c r="G149" s="22" t="str">
        <f t="shared" si="2"/>
        <v/>
      </c>
    </row>
    <row r="150" spans="1:7">
      <c r="A150" s="570" t="s">
        <v>115</v>
      </c>
      <c r="B150" s="570" t="s">
        <v>225</v>
      </c>
      <c r="C150" s="86" t="s">
        <v>921</v>
      </c>
      <c r="D150" s="612">
        <v>2035</v>
      </c>
      <c r="E150" s="571"/>
      <c r="F150" s="633">
        <v>370</v>
      </c>
      <c r="G150" s="22" t="str">
        <f t="shared" si="2"/>
        <v/>
      </c>
    </row>
    <row r="151" spans="1:7">
      <c r="A151" s="22" t="s">
        <v>103</v>
      </c>
      <c r="B151" s="22" t="s">
        <v>225</v>
      </c>
      <c r="C151" s="86" t="s">
        <v>921</v>
      </c>
      <c r="D151" s="86">
        <v>2035</v>
      </c>
      <c r="E151" s="37"/>
      <c r="F151" s="303">
        <v>670.84674570476272</v>
      </c>
      <c r="G151" s="22" t="str">
        <f t="shared" si="2"/>
        <v/>
      </c>
    </row>
    <row r="152" spans="1:7">
      <c r="A152" s="570" t="s">
        <v>104</v>
      </c>
      <c r="B152" s="570" t="s">
        <v>225</v>
      </c>
      <c r="C152" s="86" t="s">
        <v>921</v>
      </c>
      <c r="D152" s="612">
        <v>2035</v>
      </c>
      <c r="E152" s="571"/>
      <c r="F152" s="633">
        <v>1124.0965699232831</v>
      </c>
      <c r="G152" s="22" t="str">
        <f t="shared" si="2"/>
        <v/>
      </c>
    </row>
    <row r="153" spans="1:7">
      <c r="A153" s="22" t="s">
        <v>105</v>
      </c>
      <c r="B153" s="22" t="s">
        <v>225</v>
      </c>
      <c r="C153" s="86" t="s">
        <v>921</v>
      </c>
      <c r="D153" s="86">
        <v>2035</v>
      </c>
      <c r="E153" s="37"/>
      <c r="F153" s="303">
        <v>5907.7694186338722</v>
      </c>
      <c r="G153" s="22" t="str">
        <f t="shared" si="2"/>
        <v/>
      </c>
    </row>
    <row r="154" spans="1:7">
      <c r="A154" s="570" t="s">
        <v>106</v>
      </c>
      <c r="B154" s="570" t="s">
        <v>225</v>
      </c>
      <c r="C154" s="86" t="s">
        <v>921</v>
      </c>
      <c r="D154" s="612">
        <v>2035</v>
      </c>
      <c r="E154" s="571"/>
      <c r="F154" s="633">
        <v>1647.2872657380804</v>
      </c>
      <c r="G154" s="22" t="str">
        <f t="shared" si="2"/>
        <v/>
      </c>
    </row>
    <row r="155" spans="1:7">
      <c r="A155" s="22" t="s">
        <v>101</v>
      </c>
      <c r="B155" s="22" t="s">
        <v>225</v>
      </c>
      <c r="C155" s="86" t="s">
        <v>921</v>
      </c>
      <c r="D155" s="86">
        <v>2035</v>
      </c>
      <c r="E155" s="37"/>
      <c r="F155" s="303">
        <v>7288.9916206009257</v>
      </c>
      <c r="G155" s="22" t="str">
        <f t="shared" si="2"/>
        <v/>
      </c>
    </row>
    <row r="156" spans="1:7">
      <c r="A156" s="570" t="s">
        <v>99</v>
      </c>
      <c r="B156" s="570" t="s">
        <v>225</v>
      </c>
      <c r="C156" s="86" t="s">
        <v>921</v>
      </c>
      <c r="D156" s="612">
        <v>2035</v>
      </c>
      <c r="E156" s="571"/>
      <c r="F156" s="633">
        <v>4811.0083793990752</v>
      </c>
      <c r="G156" s="22" t="str">
        <f t="shared" si="2"/>
        <v/>
      </c>
    </row>
    <row r="157" spans="1:7">
      <c r="A157" s="22" t="s">
        <v>117</v>
      </c>
      <c r="B157" s="22" t="s">
        <v>225</v>
      </c>
      <c r="C157" s="86" t="s">
        <v>921</v>
      </c>
      <c r="D157" s="86">
        <v>2035</v>
      </c>
      <c r="E157" s="37"/>
      <c r="F157" s="303">
        <v>15300</v>
      </c>
      <c r="G157" s="22" t="str">
        <f t="shared" si="2"/>
        <v/>
      </c>
    </row>
    <row r="158" spans="1:7">
      <c r="A158" s="570" t="s">
        <v>121</v>
      </c>
      <c r="B158" s="570" t="s">
        <v>225</v>
      </c>
      <c r="C158" s="86" t="s">
        <v>921</v>
      </c>
      <c r="D158" s="612">
        <v>2035</v>
      </c>
      <c r="E158" s="571"/>
      <c r="F158" s="633">
        <v>2280</v>
      </c>
      <c r="G158" s="22" t="str">
        <f t="shared" si="2"/>
        <v/>
      </c>
    </row>
    <row r="159" spans="1:7">
      <c r="A159" s="176" t="s">
        <v>122</v>
      </c>
      <c r="B159" s="176" t="s">
        <v>225</v>
      </c>
      <c r="C159" s="134" t="s">
        <v>921</v>
      </c>
      <c r="D159" s="134">
        <v>2035</v>
      </c>
      <c r="E159" s="642"/>
      <c r="F159" s="627">
        <v>1450</v>
      </c>
      <c r="G159" s="22" t="str">
        <f t="shared" si="2"/>
        <v/>
      </c>
    </row>
    <row r="160" spans="1:7">
      <c r="A160" s="22" t="s">
        <v>107</v>
      </c>
      <c r="B160" s="22" t="s">
        <v>243</v>
      </c>
      <c r="C160" s="86" t="s">
        <v>921</v>
      </c>
      <c r="D160" s="86">
        <v>2035</v>
      </c>
      <c r="F160" s="608" cm="1">
        <f t="array" ref="F160:F164">TRANSPOSE(_xlfn._xlws.FILTER(Production!B214:U214,Production!B214:U214&lt;&gt;0))</f>
        <v>17134</v>
      </c>
      <c r="G160" s="22" t="str">
        <f t="shared" si="2"/>
        <v/>
      </c>
    </row>
    <row r="161" spans="1:7">
      <c r="A161" s="22" t="s">
        <v>109</v>
      </c>
      <c r="B161" s="22" t="s">
        <v>243</v>
      </c>
      <c r="C161" s="86" t="s">
        <v>921</v>
      </c>
      <c r="D161" s="86">
        <v>2035</v>
      </c>
      <c r="F161" s="608">
        <v>784</v>
      </c>
      <c r="G161" s="22" t="str">
        <f t="shared" si="2"/>
        <v/>
      </c>
    </row>
    <row r="162" spans="1:7">
      <c r="A162" s="22" t="s">
        <v>113</v>
      </c>
      <c r="B162" s="22" t="s">
        <v>243</v>
      </c>
      <c r="C162" s="86" t="s">
        <v>921</v>
      </c>
      <c r="D162" s="86">
        <v>2035</v>
      </c>
      <c r="F162" s="608">
        <v>450</v>
      </c>
      <c r="G162" s="22" t="str">
        <f t="shared" si="2"/>
        <v/>
      </c>
    </row>
    <row r="163" spans="1:7">
      <c r="A163" s="22" t="s">
        <v>114</v>
      </c>
      <c r="B163" s="22" t="s">
        <v>243</v>
      </c>
      <c r="C163" s="86" t="s">
        <v>921</v>
      </c>
      <c r="D163" s="86">
        <v>2035</v>
      </c>
      <c r="F163" s="608">
        <v>5795</v>
      </c>
      <c r="G163" s="22" t="str">
        <f t="shared" si="2"/>
        <v/>
      </c>
    </row>
    <row r="164" spans="1:7">
      <c r="A164" s="176" t="s">
        <v>115</v>
      </c>
      <c r="B164" s="176" t="s">
        <v>243</v>
      </c>
      <c r="C164" s="134" t="s">
        <v>921</v>
      </c>
      <c r="D164" s="134">
        <v>2035</v>
      </c>
      <c r="E164" s="176"/>
      <c r="F164" s="682">
        <v>1695</v>
      </c>
      <c r="G164" s="22" t="str">
        <f t="shared" si="2"/>
        <v/>
      </c>
    </row>
    <row r="165" spans="1:7">
      <c r="A165" s="22" t="s">
        <v>107</v>
      </c>
      <c r="B165" s="22" t="s">
        <v>924</v>
      </c>
      <c r="C165" s="86" t="s">
        <v>921</v>
      </c>
      <c r="D165" s="86">
        <v>2035</v>
      </c>
      <c r="F165" s="215" cm="1">
        <f t="array" ref="F165:F181">TRANSPOSE(_xlfn._xlws.FILTER('H2'!D24:W24,'H2'!D24:W24&lt;&gt;0))*1.01</f>
        <v>17387.774898131593</v>
      </c>
      <c r="G165" s="22" t="str">
        <f t="shared" si="2"/>
        <v/>
      </c>
    </row>
    <row r="166" spans="1:7">
      <c r="A166" s="22" t="s">
        <v>109</v>
      </c>
      <c r="B166" s="22" t="s">
        <v>924</v>
      </c>
      <c r="C166" s="86" t="s">
        <v>921</v>
      </c>
      <c r="D166" s="86">
        <v>2035</v>
      </c>
      <c r="F166" s="215">
        <v>4520.4082827002785</v>
      </c>
      <c r="G166" s="22" t="str">
        <f t="shared" si="2"/>
        <v/>
      </c>
    </row>
    <row r="167" spans="1:7">
      <c r="A167" s="22" t="s">
        <v>110</v>
      </c>
      <c r="B167" s="22" t="s">
        <v>924</v>
      </c>
      <c r="C167" s="86" t="s">
        <v>921</v>
      </c>
      <c r="D167" s="86">
        <v>2035</v>
      </c>
      <c r="F167" s="215">
        <v>4256.3692747708465</v>
      </c>
      <c r="G167" s="22" t="str">
        <f t="shared" si="2"/>
        <v/>
      </c>
    </row>
    <row r="168" spans="1:7">
      <c r="A168" s="22" t="s">
        <v>112</v>
      </c>
      <c r="B168" s="22" t="s">
        <v>924</v>
      </c>
      <c r="C168" s="86" t="s">
        <v>921</v>
      </c>
      <c r="D168" s="86">
        <v>2035</v>
      </c>
      <c r="F168" s="215">
        <v>5508.0351062531226</v>
      </c>
      <c r="G168" s="22" t="str">
        <f t="shared" si="2"/>
        <v/>
      </c>
    </row>
    <row r="169" spans="1:7">
      <c r="A169" s="22" t="s">
        <v>113</v>
      </c>
      <c r="B169" s="22" t="s">
        <v>924</v>
      </c>
      <c r="C169" s="86" t="s">
        <v>921</v>
      </c>
      <c r="D169" s="86">
        <v>2035</v>
      </c>
      <c r="F169" s="215">
        <v>3075.2482163994882</v>
      </c>
      <c r="G169" s="22" t="str">
        <f t="shared" si="2"/>
        <v/>
      </c>
    </row>
    <row r="170" spans="1:7">
      <c r="A170" s="22" t="s">
        <v>114</v>
      </c>
      <c r="B170" s="22" t="s">
        <v>924</v>
      </c>
      <c r="C170" s="86" t="s">
        <v>921</v>
      </c>
      <c r="D170" s="86">
        <v>2035</v>
      </c>
      <c r="F170" s="215">
        <v>4038.1843693635092</v>
      </c>
      <c r="G170" s="22" t="str">
        <f t="shared" si="2"/>
        <v/>
      </c>
    </row>
    <row r="171" spans="1:7">
      <c r="A171" s="22" t="s">
        <v>115</v>
      </c>
      <c r="B171" s="22" t="s">
        <v>924</v>
      </c>
      <c r="C171" s="86" t="s">
        <v>921</v>
      </c>
      <c r="D171" s="86">
        <v>2035</v>
      </c>
      <c r="F171" s="215">
        <v>2445.3841707662982</v>
      </c>
      <c r="G171" s="22" t="str">
        <f t="shared" si="2"/>
        <v/>
      </c>
    </row>
    <row r="172" spans="1:7">
      <c r="A172" s="22" t="s">
        <v>103</v>
      </c>
      <c r="B172" s="22" t="s">
        <v>924</v>
      </c>
      <c r="C172" s="86" t="s">
        <v>921</v>
      </c>
      <c r="D172" s="86">
        <v>2035</v>
      </c>
      <c r="F172" s="215">
        <v>113.4130501259946</v>
      </c>
      <c r="G172" s="22" t="str">
        <f t="shared" si="2"/>
        <v/>
      </c>
    </row>
    <row r="173" spans="1:7">
      <c r="A173" s="22" t="s">
        <v>104</v>
      </c>
      <c r="B173" s="22" t="s">
        <v>924</v>
      </c>
      <c r="C173" s="86" t="s">
        <v>921</v>
      </c>
      <c r="D173" s="86">
        <v>2035</v>
      </c>
      <c r="F173" s="215">
        <v>190.03926224198244</v>
      </c>
      <c r="G173" s="22" t="str">
        <f t="shared" si="2"/>
        <v/>
      </c>
    </row>
    <row r="174" spans="1:7">
      <c r="A174" s="22" t="s">
        <v>105</v>
      </c>
      <c r="B174" s="22" t="s">
        <v>924</v>
      </c>
      <c r="C174" s="86" t="s">
        <v>921</v>
      </c>
      <c r="D174" s="86">
        <v>2035</v>
      </c>
      <c r="F174" s="215">
        <v>998.76484979359793</v>
      </c>
      <c r="G174" s="22" t="str">
        <f t="shared" si="2"/>
        <v/>
      </c>
    </row>
    <row r="175" spans="1:7">
      <c r="A175" s="22" t="s">
        <v>106</v>
      </c>
      <c r="B175" s="22" t="s">
        <v>924</v>
      </c>
      <c r="C175" s="86" t="s">
        <v>921</v>
      </c>
      <c r="D175" s="86">
        <v>2035</v>
      </c>
      <c r="F175" s="215">
        <v>278.48964675947911</v>
      </c>
      <c r="G175" s="22" t="str">
        <f t="shared" si="2"/>
        <v/>
      </c>
    </row>
    <row r="176" spans="1:7">
      <c r="A176" s="22" t="s">
        <v>99</v>
      </c>
      <c r="B176" s="22" t="s">
        <v>924</v>
      </c>
      <c r="C176" s="86" t="s">
        <v>921</v>
      </c>
      <c r="D176" s="86">
        <v>2035</v>
      </c>
      <c r="F176" s="215">
        <v>686.00506953177887</v>
      </c>
      <c r="G176" s="22" t="str">
        <f t="shared" si="2"/>
        <v/>
      </c>
    </row>
    <row r="177" spans="1:7">
      <c r="A177" s="22" t="s">
        <v>101</v>
      </c>
      <c r="B177" s="22" t="s">
        <v>924</v>
      </c>
      <c r="C177" s="86" t="s">
        <v>921</v>
      </c>
      <c r="D177" s="86">
        <v>2035</v>
      </c>
      <c r="F177" s="215">
        <v>452.78912497302906</v>
      </c>
      <c r="G177" s="22" t="str">
        <f t="shared" si="2"/>
        <v/>
      </c>
    </row>
    <row r="178" spans="1:7">
      <c r="A178" s="22" t="s">
        <v>117</v>
      </c>
      <c r="B178" s="22" t="s">
        <v>924</v>
      </c>
      <c r="C178" s="86" t="s">
        <v>921</v>
      </c>
      <c r="D178" s="86">
        <v>2035</v>
      </c>
      <c r="F178" s="215">
        <v>1206.8195114331927</v>
      </c>
      <c r="G178" s="22" t="str">
        <f t="shared" si="2"/>
        <v/>
      </c>
    </row>
    <row r="179" spans="1:7">
      <c r="A179" s="22" t="s">
        <v>121</v>
      </c>
      <c r="B179" s="22" t="s">
        <v>924</v>
      </c>
      <c r="C179" s="86" t="s">
        <v>921</v>
      </c>
      <c r="D179" s="86">
        <v>2035</v>
      </c>
      <c r="F179" s="215">
        <v>455.51767780192324</v>
      </c>
      <c r="G179" s="22" t="str">
        <f t="shared" si="2"/>
        <v/>
      </c>
    </row>
    <row r="180" spans="1:7">
      <c r="A180" s="22" t="s">
        <v>122</v>
      </c>
      <c r="B180" s="22" t="s">
        <v>924</v>
      </c>
      <c r="C180" s="86" t="s">
        <v>921</v>
      </c>
      <c r="D180" s="86">
        <v>2035</v>
      </c>
      <c r="F180" s="215">
        <v>131.01172149170358</v>
      </c>
      <c r="G180" s="22" t="str">
        <f t="shared" si="2"/>
        <v/>
      </c>
    </row>
    <row r="181" spans="1:7">
      <c r="A181" s="777" t="s">
        <v>123</v>
      </c>
      <c r="B181" s="777" t="s">
        <v>924</v>
      </c>
      <c r="C181" s="770" t="s">
        <v>921</v>
      </c>
      <c r="D181" s="770">
        <v>2035</v>
      </c>
      <c r="E181" s="777"/>
      <c r="F181" s="760">
        <v>97.754899882271133</v>
      </c>
      <c r="G181" s="22" t="str">
        <f t="shared" si="2"/>
        <v/>
      </c>
    </row>
    <row r="182" spans="1:7">
      <c r="A182" s="803" t="s">
        <v>976</v>
      </c>
      <c r="B182" s="804"/>
      <c r="C182" s="799"/>
      <c r="D182" s="799"/>
      <c r="E182" s="809"/>
      <c r="F182" s="810"/>
    </row>
    <row r="183" spans="1:7">
      <c r="A183" s="570" t="s">
        <v>107</v>
      </c>
      <c r="B183" s="570" t="s">
        <v>683</v>
      </c>
      <c r="C183" s="86" t="s">
        <v>921</v>
      </c>
      <c r="D183" s="612">
        <v>2035</v>
      </c>
      <c r="E183" s="633" cm="1">
        <f t="array" ref="E183:E199">TRANSPOSE(_xlfn._xlws.FILTER('H2'!D44:W44,'H2'!D44:W44&lt;&gt;0))</f>
        <v>28390.792188318661</v>
      </c>
      <c r="F183" s="571"/>
      <c r="G183" s="22" t="str">
        <f t="shared" si="2"/>
        <v/>
      </c>
    </row>
    <row r="184" spans="1:7">
      <c r="A184" s="22" t="s">
        <v>109</v>
      </c>
      <c r="B184" s="22" t="s">
        <v>683</v>
      </c>
      <c r="C184" s="86" t="s">
        <v>921</v>
      </c>
      <c r="D184" s="86">
        <v>2035</v>
      </c>
      <c r="E184" s="303">
        <v>4725.4045737913757</v>
      </c>
      <c r="F184" s="37"/>
      <c r="G184" s="22" t="str">
        <f t="shared" si="2"/>
        <v/>
      </c>
    </row>
    <row r="185" spans="1:7">
      <c r="A185" s="570" t="s">
        <v>110</v>
      </c>
      <c r="B185" s="570" t="s">
        <v>683</v>
      </c>
      <c r="C185" s="86" t="s">
        <v>921</v>
      </c>
      <c r="D185" s="612">
        <v>2035</v>
      </c>
      <c r="E185" s="633">
        <v>3230.6801236517526</v>
      </c>
      <c r="F185" s="571"/>
      <c r="G185" s="22" t="str">
        <f t="shared" si="2"/>
        <v/>
      </c>
    </row>
    <row r="186" spans="1:7">
      <c r="A186" s="22" t="s">
        <v>112</v>
      </c>
      <c r="B186" s="22" t="s">
        <v>683</v>
      </c>
      <c r="C186" s="86" t="s">
        <v>921</v>
      </c>
      <c r="D186" s="86">
        <v>2035</v>
      </c>
      <c r="E186" s="303">
        <v>1173.3418751012168</v>
      </c>
      <c r="F186" s="37"/>
      <c r="G186" s="22" t="str">
        <f t="shared" si="2"/>
        <v/>
      </c>
    </row>
    <row r="187" spans="1:7">
      <c r="A187" s="570" t="s">
        <v>113</v>
      </c>
      <c r="B187" s="570" t="s">
        <v>683</v>
      </c>
      <c r="C187" s="86" t="s">
        <v>921</v>
      </c>
      <c r="D187" s="612">
        <v>2035</v>
      </c>
      <c r="E187" s="633">
        <v>129.57775490248221</v>
      </c>
      <c r="F187" s="571"/>
      <c r="G187" s="22" t="str">
        <f t="shared" si="2"/>
        <v/>
      </c>
    </row>
    <row r="188" spans="1:7">
      <c r="A188" s="22" t="s">
        <v>114</v>
      </c>
      <c r="B188" s="22" t="s">
        <v>683</v>
      </c>
      <c r="C188" s="86" t="s">
        <v>921</v>
      </c>
      <c r="D188" s="86">
        <v>2035</v>
      </c>
      <c r="E188" s="303">
        <v>1275.3716033708879</v>
      </c>
      <c r="F188" s="37"/>
      <c r="G188" s="22" t="str">
        <f t="shared" si="2"/>
        <v/>
      </c>
    </row>
    <row r="189" spans="1:7">
      <c r="A189" s="570" t="s">
        <v>115</v>
      </c>
      <c r="B189" s="570" t="s">
        <v>683</v>
      </c>
      <c r="C189" s="86" t="s">
        <v>921</v>
      </c>
      <c r="D189" s="612">
        <v>2035</v>
      </c>
      <c r="E189" s="633">
        <v>8830.8767243598359</v>
      </c>
      <c r="F189" s="571"/>
      <c r="G189" s="22" t="str">
        <f t="shared" si="2"/>
        <v/>
      </c>
    </row>
    <row r="190" spans="1:7">
      <c r="A190" s="22" t="s">
        <v>103</v>
      </c>
      <c r="B190" s="22" t="s">
        <v>683</v>
      </c>
      <c r="C190" s="86" t="s">
        <v>921</v>
      </c>
      <c r="D190" s="86">
        <v>2035</v>
      </c>
      <c r="E190" s="303">
        <v>41.134284032026898</v>
      </c>
      <c r="F190" s="37"/>
      <c r="G190" s="22" t="str">
        <f t="shared" si="2"/>
        <v/>
      </c>
    </row>
    <row r="191" spans="1:7">
      <c r="A191" s="570" t="s">
        <v>104</v>
      </c>
      <c r="B191" s="570" t="s">
        <v>683</v>
      </c>
      <c r="C191" s="86" t="s">
        <v>921</v>
      </c>
      <c r="D191" s="612">
        <v>2035</v>
      </c>
      <c r="E191" s="633">
        <v>68.926186021928018</v>
      </c>
      <c r="F191" s="571"/>
      <c r="G191" s="22" t="str">
        <f t="shared" si="2"/>
        <v/>
      </c>
    </row>
    <row r="192" spans="1:7">
      <c r="A192" s="22" t="s">
        <v>105</v>
      </c>
      <c r="B192" s="22" t="s">
        <v>683</v>
      </c>
      <c r="C192" s="86" t="s">
        <v>921</v>
      </c>
      <c r="D192" s="86">
        <v>2035</v>
      </c>
      <c r="E192" s="303">
        <v>362.24646958152908</v>
      </c>
      <c r="F192" s="37"/>
      <c r="G192" s="22" t="str">
        <f t="shared" si="2"/>
        <v/>
      </c>
    </row>
    <row r="193" spans="1:7">
      <c r="A193" s="570" t="s">
        <v>106</v>
      </c>
      <c r="B193" s="570" t="s">
        <v>683</v>
      </c>
      <c r="C193" s="86" t="s">
        <v>921</v>
      </c>
      <c r="D193" s="612">
        <v>2035</v>
      </c>
      <c r="E193" s="633">
        <v>101.00664973790019</v>
      </c>
      <c r="F193" s="571"/>
      <c r="G193" s="22" t="str">
        <f t="shared" si="2"/>
        <v/>
      </c>
    </row>
    <row r="194" spans="1:7">
      <c r="A194" s="22" t="s">
        <v>101</v>
      </c>
      <c r="B194" s="22" t="s">
        <v>683</v>
      </c>
      <c r="C194" s="86" t="s">
        <v>921</v>
      </c>
      <c r="D194" s="86">
        <v>2035</v>
      </c>
      <c r="E194" s="303">
        <v>282.72658167646108</v>
      </c>
      <c r="F194" s="37"/>
      <c r="G194" s="22" t="str">
        <f t="shared" si="2"/>
        <v/>
      </c>
    </row>
    <row r="195" spans="1:7">
      <c r="A195" s="570" t="s">
        <v>99</v>
      </c>
      <c r="B195" s="570" t="s">
        <v>683</v>
      </c>
      <c r="C195" s="86" t="s">
        <v>921</v>
      </c>
      <c r="D195" s="612">
        <v>2035</v>
      </c>
      <c r="E195" s="633">
        <v>186.61016836402572</v>
      </c>
      <c r="F195" s="571"/>
      <c r="G195" s="22" t="str">
        <f t="shared" si="2"/>
        <v/>
      </c>
    </row>
    <row r="196" spans="1:7">
      <c r="A196" s="22" t="s">
        <v>117</v>
      </c>
      <c r="B196" s="22" t="s">
        <v>683</v>
      </c>
      <c r="C196" s="86" t="s">
        <v>921</v>
      </c>
      <c r="D196" s="86">
        <v>2035</v>
      </c>
      <c r="E196" s="303">
        <v>3129.4252076910802</v>
      </c>
      <c r="F196" s="37"/>
      <c r="G196" s="22" t="str">
        <f t="shared" ref="G196:G250" si="3">IF(E196+F196&lt;20,"Remove","")</f>
        <v/>
      </c>
    </row>
    <row r="197" spans="1:7">
      <c r="A197" s="570" t="s">
        <v>121</v>
      </c>
      <c r="B197" s="570" t="s">
        <v>683</v>
      </c>
      <c r="C197" s="86" t="s">
        <v>921</v>
      </c>
      <c r="D197" s="612">
        <v>2035</v>
      </c>
      <c r="E197" s="633">
        <v>814.94518534364931</v>
      </c>
      <c r="F197" s="571"/>
      <c r="G197" s="22" t="str">
        <f t="shared" si="3"/>
        <v/>
      </c>
    </row>
    <row r="198" spans="1:7">
      <c r="A198" s="22" t="s">
        <v>122</v>
      </c>
      <c r="B198" s="22" t="s">
        <v>683</v>
      </c>
      <c r="C198" s="86" t="s">
        <v>921</v>
      </c>
      <c r="D198" s="86">
        <v>2035</v>
      </c>
      <c r="E198" s="303">
        <v>2949.0425271769418</v>
      </c>
      <c r="F198" s="37"/>
      <c r="G198" s="22" t="str">
        <f t="shared" si="3"/>
        <v/>
      </c>
    </row>
    <row r="199" spans="1:7">
      <c r="A199" s="635" t="s">
        <v>123</v>
      </c>
      <c r="B199" s="635" t="s">
        <v>683</v>
      </c>
      <c r="C199" s="134" t="s">
        <v>921</v>
      </c>
      <c r="D199" s="636">
        <v>2035</v>
      </c>
      <c r="E199" s="643">
        <v>668.87010521155617</v>
      </c>
      <c r="F199" s="637"/>
      <c r="G199" s="22" t="str">
        <f t="shared" si="3"/>
        <v/>
      </c>
    </row>
    <row r="200" spans="1:7">
      <c r="A200" s="22" t="s">
        <v>107</v>
      </c>
      <c r="B200" s="22" t="s">
        <v>684</v>
      </c>
      <c r="C200" s="86" t="s">
        <v>921</v>
      </c>
      <c r="D200" s="86">
        <v>2035</v>
      </c>
      <c r="E200" s="37"/>
      <c r="F200" s="303" cm="1">
        <f t="array" ref="F200:F216">TRANSPOSE(_xlfn._xlws.FILTER('H2'!D45:W45,'H2'!D45:W45&lt;&gt;0))</f>
        <v>15051.084470969081</v>
      </c>
      <c r="G200" s="22" t="str">
        <f t="shared" si="3"/>
        <v/>
      </c>
    </row>
    <row r="201" spans="1:7">
      <c r="A201" s="570" t="s">
        <v>109</v>
      </c>
      <c r="B201" s="570" t="s">
        <v>684</v>
      </c>
      <c r="C201" s="86" t="s">
        <v>921</v>
      </c>
      <c r="D201" s="612">
        <v>2035</v>
      </c>
      <c r="E201" s="571"/>
      <c r="F201" s="633">
        <v>2505.1242997333784</v>
      </c>
      <c r="G201" s="22" t="str">
        <f t="shared" si="3"/>
        <v/>
      </c>
    </row>
    <row r="202" spans="1:7">
      <c r="A202" s="22" t="s">
        <v>110</v>
      </c>
      <c r="B202" s="22" t="s">
        <v>684</v>
      </c>
      <c r="C202" s="86" t="s">
        <v>921</v>
      </c>
      <c r="D202" s="86">
        <v>2035</v>
      </c>
      <c r="E202" s="37"/>
      <c r="F202" s="303">
        <v>1712.7116114699375</v>
      </c>
      <c r="G202" s="22" t="str">
        <f t="shared" si="3"/>
        <v/>
      </c>
    </row>
    <row r="203" spans="1:7">
      <c r="A203" s="570" t="s">
        <v>112</v>
      </c>
      <c r="B203" s="570" t="s">
        <v>684</v>
      </c>
      <c r="C203" s="86" t="s">
        <v>921</v>
      </c>
      <c r="D203" s="612">
        <v>2035</v>
      </c>
      <c r="E203" s="571"/>
      <c r="F203" s="633">
        <v>622.03504426128245</v>
      </c>
      <c r="G203" s="22" t="str">
        <f t="shared" si="3"/>
        <v/>
      </c>
    </row>
    <row r="204" spans="1:7">
      <c r="A204" s="22" t="s">
        <v>113</v>
      </c>
      <c r="B204" s="22" t="s">
        <v>684</v>
      </c>
      <c r="C204" s="86" t="s">
        <v>921</v>
      </c>
      <c r="D204" s="86">
        <v>2035</v>
      </c>
      <c r="E204" s="37"/>
      <c r="F204" s="303">
        <v>68.694304887985098</v>
      </c>
      <c r="G204" s="22" t="str">
        <f t="shared" si="3"/>
        <v/>
      </c>
    </row>
    <row r="205" spans="1:7">
      <c r="A205" s="570" t="s">
        <v>114</v>
      </c>
      <c r="B205" s="570" t="s">
        <v>684</v>
      </c>
      <c r="C205" s="86" t="s">
        <v>921</v>
      </c>
      <c r="D205" s="612">
        <v>2035</v>
      </c>
      <c r="E205" s="571"/>
      <c r="F205" s="633">
        <v>676.12504811008955</v>
      </c>
      <c r="G205" s="22" t="str">
        <f t="shared" si="3"/>
        <v/>
      </c>
    </row>
    <row r="206" spans="1:7">
      <c r="A206" s="22" t="s">
        <v>115</v>
      </c>
      <c r="B206" s="22" t="s">
        <v>684</v>
      </c>
      <c r="C206" s="86" t="s">
        <v>921</v>
      </c>
      <c r="D206" s="86">
        <v>2035</v>
      </c>
      <c r="E206" s="37"/>
      <c r="F206" s="303">
        <v>4681.597845154246</v>
      </c>
      <c r="G206" s="22" t="str">
        <f t="shared" si="3"/>
        <v/>
      </c>
    </row>
    <row r="207" spans="1:7">
      <c r="A207" s="570" t="s">
        <v>103</v>
      </c>
      <c r="B207" s="570" t="s">
        <v>684</v>
      </c>
      <c r="C207" s="86" t="s">
        <v>921</v>
      </c>
      <c r="D207" s="612">
        <v>2035</v>
      </c>
      <c r="E207" s="571"/>
      <c r="F207" s="633">
        <v>21.806914703620194</v>
      </c>
      <c r="G207" s="22" t="str">
        <f t="shared" si="3"/>
        <v/>
      </c>
    </row>
    <row r="208" spans="1:7">
      <c r="A208" s="22" t="s">
        <v>104</v>
      </c>
      <c r="B208" s="22" t="s">
        <v>684</v>
      </c>
      <c r="C208" s="86" t="s">
        <v>921</v>
      </c>
      <c r="D208" s="86">
        <v>2035</v>
      </c>
      <c r="E208" s="37"/>
      <c r="F208" s="303">
        <v>36.540503737849519</v>
      </c>
      <c r="G208" s="22" t="str">
        <f t="shared" si="3"/>
        <v/>
      </c>
    </row>
    <row r="209" spans="1:7">
      <c r="A209" s="570" t="s">
        <v>105</v>
      </c>
      <c r="B209" s="570" t="s">
        <v>684</v>
      </c>
      <c r="C209" s="86" t="s">
        <v>921</v>
      </c>
      <c r="D209" s="612">
        <v>2035</v>
      </c>
      <c r="E209" s="571"/>
      <c r="F209" s="633">
        <v>192.04121451831926</v>
      </c>
      <c r="G209" s="22" t="str">
        <f t="shared" si="3"/>
        <v/>
      </c>
    </row>
    <row r="210" spans="1:7">
      <c r="A210" s="22" t="s">
        <v>106</v>
      </c>
      <c r="B210" s="22" t="s">
        <v>684</v>
      </c>
      <c r="C210" s="86" t="s">
        <v>921</v>
      </c>
      <c r="D210" s="86">
        <v>2035</v>
      </c>
      <c r="E210" s="37"/>
      <c r="F210" s="303">
        <v>53.547629359924343</v>
      </c>
      <c r="G210" s="22" t="str">
        <f t="shared" si="3"/>
        <v/>
      </c>
    </row>
    <row r="211" spans="1:7">
      <c r="A211" s="570" t="s">
        <v>101</v>
      </c>
      <c r="B211" s="570" t="s">
        <v>684</v>
      </c>
      <c r="C211" s="86" t="s">
        <v>921</v>
      </c>
      <c r="D211" s="612">
        <v>2035</v>
      </c>
      <c r="E211" s="571"/>
      <c r="F211" s="633">
        <v>149.88456943274755</v>
      </c>
      <c r="G211" s="22" t="str">
        <f t="shared" si="3"/>
        <v/>
      </c>
    </row>
    <row r="212" spans="1:7">
      <c r="A212" s="22" t="s">
        <v>99</v>
      </c>
      <c r="B212" s="22" t="s">
        <v>684</v>
      </c>
      <c r="C212" s="86" t="s">
        <v>921</v>
      </c>
      <c r="D212" s="86">
        <v>2035</v>
      </c>
      <c r="E212" s="37"/>
      <c r="F212" s="303">
        <v>98.929448271765438</v>
      </c>
      <c r="G212" s="22" t="str">
        <f t="shared" si="3"/>
        <v/>
      </c>
    </row>
    <row r="213" spans="1:7">
      <c r="A213" s="570" t="s">
        <v>117</v>
      </c>
      <c r="B213" s="570" t="s">
        <v>684</v>
      </c>
      <c r="C213" s="86" t="s">
        <v>921</v>
      </c>
      <c r="D213" s="612">
        <v>2035</v>
      </c>
      <c r="E213" s="571"/>
      <c r="F213" s="633">
        <v>1659.0323663429911</v>
      </c>
      <c r="G213" s="22" t="str">
        <f t="shared" si="3"/>
        <v/>
      </c>
    </row>
    <row r="214" spans="1:7">
      <c r="A214" s="22" t="s">
        <v>121</v>
      </c>
      <c r="B214" s="22" t="s">
        <v>684</v>
      </c>
      <c r="C214" s="86" t="s">
        <v>921</v>
      </c>
      <c r="D214" s="86">
        <v>2035</v>
      </c>
      <c r="E214" s="37"/>
      <c r="F214" s="303">
        <v>432.03475064931666</v>
      </c>
      <c r="G214" s="22" t="str">
        <f t="shared" si="3"/>
        <v/>
      </c>
    </row>
    <row r="215" spans="1:7">
      <c r="A215" s="570" t="s">
        <v>122</v>
      </c>
      <c r="B215" s="570" t="s">
        <v>684</v>
      </c>
      <c r="C215" s="86" t="s">
        <v>921</v>
      </c>
      <c r="D215" s="612">
        <v>2035</v>
      </c>
      <c r="E215" s="571"/>
      <c r="F215" s="633">
        <v>1563.4043562645968</v>
      </c>
      <c r="G215" s="22" t="str">
        <f t="shared" si="3"/>
        <v/>
      </c>
    </row>
    <row r="216" spans="1:7">
      <c r="A216" s="176" t="s">
        <v>123</v>
      </c>
      <c r="B216" s="176" t="s">
        <v>684</v>
      </c>
      <c r="C216" s="134" t="s">
        <v>921</v>
      </c>
      <c r="D216" s="134">
        <v>2035</v>
      </c>
      <c r="E216" s="642"/>
      <c r="F216" s="627">
        <v>354.59455963286746</v>
      </c>
      <c r="G216" s="22" t="str">
        <f t="shared" si="3"/>
        <v/>
      </c>
    </row>
    <row r="217" spans="1:7">
      <c r="A217" s="570" t="s">
        <v>107</v>
      </c>
      <c r="B217" s="570" t="s">
        <v>693</v>
      </c>
      <c r="C217" s="86" t="s">
        <v>921</v>
      </c>
      <c r="D217" s="612">
        <v>2035</v>
      </c>
      <c r="E217" s="632" cm="1">
        <f t="array" ref="E217:E233">TRANSPOSE(_xlfn._xlws.FILTER('H2'!D36:W36,'H2'!D36:W36&lt;&gt;0))</f>
        <v>3248.4079999999999</v>
      </c>
      <c r="F217" s="632"/>
      <c r="G217" s="22" t="str">
        <f t="shared" si="3"/>
        <v/>
      </c>
    </row>
    <row r="218" spans="1:7">
      <c r="A218" s="22" t="s">
        <v>109</v>
      </c>
      <c r="B218" s="22" t="s">
        <v>693</v>
      </c>
      <c r="C218" s="86" t="s">
        <v>921</v>
      </c>
      <c r="D218" s="86">
        <v>2035</v>
      </c>
      <c r="E218" s="215">
        <v>553.66970000000003</v>
      </c>
      <c r="F218" s="215"/>
      <c r="G218" s="22" t="str">
        <f t="shared" si="3"/>
        <v/>
      </c>
    </row>
    <row r="219" spans="1:7">
      <c r="A219" s="570" t="s">
        <v>110</v>
      </c>
      <c r="B219" s="570" t="s">
        <v>693</v>
      </c>
      <c r="C219" s="86" t="s">
        <v>921</v>
      </c>
      <c r="D219" s="612">
        <v>2035</v>
      </c>
      <c r="E219" s="632">
        <v>528.56510000000003</v>
      </c>
      <c r="F219" s="632"/>
      <c r="G219" s="22" t="str">
        <f t="shared" si="3"/>
        <v/>
      </c>
    </row>
    <row r="220" spans="1:7">
      <c r="A220" s="22" t="s">
        <v>112</v>
      </c>
      <c r="B220" s="22" t="s">
        <v>693</v>
      </c>
      <c r="C220" s="86" t="s">
        <v>921</v>
      </c>
      <c r="D220" s="86">
        <v>2035</v>
      </c>
      <c r="E220" s="215">
        <v>707.21609999999998</v>
      </c>
      <c r="F220" s="215"/>
      <c r="G220" s="22" t="str">
        <f t="shared" si="3"/>
        <v/>
      </c>
    </row>
    <row r="221" spans="1:7">
      <c r="A221" s="570" t="s">
        <v>113</v>
      </c>
      <c r="B221" s="570" t="s">
        <v>693</v>
      </c>
      <c r="C221" s="86" t="s">
        <v>921</v>
      </c>
      <c r="D221" s="612">
        <v>2035</v>
      </c>
      <c r="E221" s="632">
        <v>837.1952</v>
      </c>
      <c r="F221" s="632"/>
      <c r="G221" s="22" t="str">
        <f t="shared" si="3"/>
        <v/>
      </c>
    </row>
    <row r="222" spans="1:7">
      <c r="A222" s="22" t="s">
        <v>114</v>
      </c>
      <c r="B222" s="22" t="s">
        <v>693</v>
      </c>
      <c r="C222" s="86" t="s">
        <v>921</v>
      </c>
      <c r="D222" s="86">
        <v>2035</v>
      </c>
      <c r="E222" s="215">
        <v>868.20870000000002</v>
      </c>
      <c r="F222" s="215"/>
      <c r="G222" s="22" t="str">
        <f t="shared" si="3"/>
        <v/>
      </c>
    </row>
    <row r="223" spans="1:7">
      <c r="A223" s="570" t="s">
        <v>115</v>
      </c>
      <c r="B223" s="570" t="s">
        <v>693</v>
      </c>
      <c r="C223" s="86" t="s">
        <v>921</v>
      </c>
      <c r="D223" s="612">
        <v>2035</v>
      </c>
      <c r="E223" s="632">
        <v>596.67349999999999</v>
      </c>
      <c r="F223" s="632"/>
      <c r="G223" s="22" t="str">
        <f t="shared" si="3"/>
        <v/>
      </c>
    </row>
    <row r="224" spans="1:7">
      <c r="A224" s="22" t="s">
        <v>103</v>
      </c>
      <c r="B224" s="22" t="s">
        <v>693</v>
      </c>
      <c r="C224" s="86" t="s">
        <v>921</v>
      </c>
      <c r="D224" s="86">
        <v>2035</v>
      </c>
      <c r="E224" s="303">
        <v>14.056879660508569</v>
      </c>
      <c r="F224" s="215"/>
      <c r="G224" s="22" t="str">
        <f t="shared" si="3"/>
        <v>Remove</v>
      </c>
    </row>
    <row r="225" spans="1:7">
      <c r="A225" s="570" t="s">
        <v>104</v>
      </c>
      <c r="B225" s="570" t="s">
        <v>693</v>
      </c>
      <c r="C225" s="86" t="s">
        <v>921</v>
      </c>
      <c r="D225" s="612">
        <v>2035</v>
      </c>
      <c r="E225" s="633">
        <v>23.554247391633229</v>
      </c>
      <c r="F225" s="632"/>
      <c r="G225" s="22" t="str">
        <f t="shared" si="3"/>
        <v/>
      </c>
    </row>
    <row r="226" spans="1:7">
      <c r="A226" s="22" t="s">
        <v>105</v>
      </c>
      <c r="B226" s="22" t="s">
        <v>693</v>
      </c>
      <c r="C226" s="86" t="s">
        <v>921</v>
      </c>
      <c r="D226" s="86">
        <v>2035</v>
      </c>
      <c r="E226" s="303">
        <v>123.79102128985618</v>
      </c>
      <c r="F226" s="215"/>
      <c r="G226" s="22" t="str">
        <f t="shared" si="3"/>
        <v/>
      </c>
    </row>
    <row r="227" spans="1:7">
      <c r="A227" s="570" t="s">
        <v>106</v>
      </c>
      <c r="B227" s="570" t="s">
        <v>693</v>
      </c>
      <c r="C227" s="86" t="s">
        <v>921</v>
      </c>
      <c r="D227" s="612">
        <v>2035</v>
      </c>
      <c r="E227" s="633">
        <v>34.517151658002</v>
      </c>
      <c r="F227" s="632"/>
      <c r="G227" s="22" t="str">
        <f t="shared" si="3"/>
        <v/>
      </c>
    </row>
    <row r="228" spans="1:7">
      <c r="A228" s="22" t="s">
        <v>101</v>
      </c>
      <c r="B228" s="22" t="s">
        <v>693</v>
      </c>
      <c r="C228" s="86" t="s">
        <v>921</v>
      </c>
      <c r="D228" s="86">
        <v>2035</v>
      </c>
      <c r="E228" s="303">
        <v>24.455217474797944</v>
      </c>
      <c r="F228" s="215"/>
      <c r="G228" s="22" t="str">
        <f t="shared" si="3"/>
        <v/>
      </c>
    </row>
    <row r="229" spans="1:7">
      <c r="A229" s="570" t="s">
        <v>99</v>
      </c>
      <c r="B229" s="570" t="s">
        <v>693</v>
      </c>
      <c r="C229" s="86" t="s">
        <v>921</v>
      </c>
      <c r="D229" s="612">
        <v>2035</v>
      </c>
      <c r="E229" s="633">
        <v>16.141362525202059</v>
      </c>
      <c r="F229" s="632"/>
      <c r="G229" s="22" t="str">
        <f t="shared" si="3"/>
        <v>Remove</v>
      </c>
    </row>
    <row r="230" spans="1:7">
      <c r="A230" s="22" t="s">
        <v>117</v>
      </c>
      <c r="B230" s="22" t="s">
        <v>693</v>
      </c>
      <c r="C230" s="86" t="s">
        <v>921</v>
      </c>
      <c r="D230" s="86">
        <v>2035</v>
      </c>
      <c r="E230" s="215">
        <v>266.71679999999998</v>
      </c>
      <c r="F230" s="215"/>
      <c r="G230" s="22" t="str">
        <f t="shared" si="3"/>
        <v/>
      </c>
    </row>
    <row r="231" spans="1:7">
      <c r="A231" s="570" t="s">
        <v>121</v>
      </c>
      <c r="B231" s="570" t="s">
        <v>693</v>
      </c>
      <c r="C231" s="86" t="s">
        <v>921</v>
      </c>
      <c r="D231" s="612">
        <v>2035</v>
      </c>
      <c r="E231" s="632">
        <v>168.0712</v>
      </c>
      <c r="F231" s="632"/>
      <c r="G231" s="22" t="str">
        <f t="shared" si="3"/>
        <v/>
      </c>
    </row>
    <row r="232" spans="1:7">
      <c r="A232" s="22" t="s">
        <v>122</v>
      </c>
      <c r="B232" s="22" t="s">
        <v>693</v>
      </c>
      <c r="C232" s="86" t="s">
        <v>921</v>
      </c>
      <c r="D232" s="86">
        <v>2035</v>
      </c>
      <c r="E232" s="215">
        <v>22.078420000000001</v>
      </c>
      <c r="F232" s="215"/>
      <c r="G232" s="22" t="str">
        <f t="shared" si="3"/>
        <v/>
      </c>
    </row>
    <row r="233" spans="1:7">
      <c r="A233" s="635" t="s">
        <v>123</v>
      </c>
      <c r="B233" s="635" t="s">
        <v>693</v>
      </c>
      <c r="C233" s="134" t="s">
        <v>921</v>
      </c>
      <c r="D233" s="636">
        <v>2035</v>
      </c>
      <c r="E233" s="638">
        <v>15.23509</v>
      </c>
      <c r="F233" s="638"/>
      <c r="G233" s="22" t="str">
        <f t="shared" si="3"/>
        <v>Remove</v>
      </c>
    </row>
    <row r="234" spans="1:7">
      <c r="A234" s="22" t="s">
        <v>107</v>
      </c>
      <c r="B234" s="22" t="s">
        <v>694</v>
      </c>
      <c r="C234" s="86" t="s">
        <v>921</v>
      </c>
      <c r="D234" s="86">
        <v>2035</v>
      </c>
      <c r="E234" s="215"/>
      <c r="F234" s="215" cm="1">
        <f t="array" ref="F234:F250">TRANSPOSE(_xlfn._xlws.FILTER('H2'!D36:W36,'H2'!D36:W36&lt;&gt;0))</f>
        <v>3248.4079999999999</v>
      </c>
      <c r="G234" s="22" t="str">
        <f t="shared" si="3"/>
        <v/>
      </c>
    </row>
    <row r="235" spans="1:7">
      <c r="A235" s="570" t="s">
        <v>109</v>
      </c>
      <c r="B235" s="570" t="s">
        <v>694</v>
      </c>
      <c r="C235" s="86" t="s">
        <v>921</v>
      </c>
      <c r="D235" s="612">
        <v>2035</v>
      </c>
      <c r="E235" s="632"/>
      <c r="F235" s="632">
        <v>553.66970000000003</v>
      </c>
      <c r="G235" s="22" t="str">
        <f t="shared" si="3"/>
        <v/>
      </c>
    </row>
    <row r="236" spans="1:7">
      <c r="A236" s="22" t="s">
        <v>110</v>
      </c>
      <c r="B236" s="22" t="s">
        <v>694</v>
      </c>
      <c r="C236" s="86" t="s">
        <v>921</v>
      </c>
      <c r="D236" s="86">
        <v>2035</v>
      </c>
      <c r="E236" s="215"/>
      <c r="F236" s="215">
        <v>528.56510000000003</v>
      </c>
      <c r="G236" s="22" t="str">
        <f t="shared" si="3"/>
        <v/>
      </c>
    </row>
    <row r="237" spans="1:7">
      <c r="A237" s="570" t="s">
        <v>112</v>
      </c>
      <c r="B237" s="570" t="s">
        <v>694</v>
      </c>
      <c r="C237" s="86" t="s">
        <v>921</v>
      </c>
      <c r="D237" s="612">
        <v>2035</v>
      </c>
      <c r="E237" s="632"/>
      <c r="F237" s="632">
        <v>707.21609999999998</v>
      </c>
      <c r="G237" s="22" t="str">
        <f t="shared" si="3"/>
        <v/>
      </c>
    </row>
    <row r="238" spans="1:7">
      <c r="A238" s="22" t="s">
        <v>113</v>
      </c>
      <c r="B238" s="22" t="s">
        <v>694</v>
      </c>
      <c r="C238" s="86" t="s">
        <v>921</v>
      </c>
      <c r="D238" s="86">
        <v>2035</v>
      </c>
      <c r="E238" s="215"/>
      <c r="F238" s="215">
        <v>837.1952</v>
      </c>
      <c r="G238" s="22" t="str">
        <f t="shared" si="3"/>
        <v/>
      </c>
    </row>
    <row r="239" spans="1:7">
      <c r="A239" s="570" t="s">
        <v>114</v>
      </c>
      <c r="B239" s="570" t="s">
        <v>694</v>
      </c>
      <c r="C239" s="86" t="s">
        <v>921</v>
      </c>
      <c r="D239" s="612">
        <v>2035</v>
      </c>
      <c r="E239" s="632"/>
      <c r="F239" s="632">
        <v>868.20870000000002</v>
      </c>
      <c r="G239" s="22" t="str">
        <f t="shared" si="3"/>
        <v/>
      </c>
    </row>
    <row r="240" spans="1:7">
      <c r="A240" s="22" t="s">
        <v>115</v>
      </c>
      <c r="B240" s="22" t="s">
        <v>694</v>
      </c>
      <c r="C240" s="86" t="s">
        <v>921</v>
      </c>
      <c r="D240" s="86">
        <v>2035</v>
      </c>
      <c r="E240" s="215"/>
      <c r="F240" s="215">
        <v>596.67349999999999</v>
      </c>
      <c r="G240" s="22" t="str">
        <f t="shared" si="3"/>
        <v/>
      </c>
    </row>
    <row r="241" spans="1:7">
      <c r="A241" s="570" t="s">
        <v>103</v>
      </c>
      <c r="B241" s="570" t="s">
        <v>694</v>
      </c>
      <c r="C241" s="86" t="s">
        <v>921</v>
      </c>
      <c r="D241" s="612">
        <v>2035</v>
      </c>
      <c r="E241" s="632"/>
      <c r="F241" s="633">
        <v>14.056879660508569</v>
      </c>
      <c r="G241" s="22" t="str">
        <f t="shared" si="3"/>
        <v>Remove</v>
      </c>
    </row>
    <row r="242" spans="1:7">
      <c r="A242" s="22" t="s">
        <v>104</v>
      </c>
      <c r="B242" s="22" t="s">
        <v>694</v>
      </c>
      <c r="C242" s="86" t="s">
        <v>921</v>
      </c>
      <c r="D242" s="86">
        <v>2035</v>
      </c>
      <c r="E242" s="215"/>
      <c r="F242" s="303">
        <v>23.554247391633229</v>
      </c>
      <c r="G242" s="22" t="str">
        <f t="shared" si="3"/>
        <v/>
      </c>
    </row>
    <row r="243" spans="1:7">
      <c r="A243" s="570" t="s">
        <v>105</v>
      </c>
      <c r="B243" s="570" t="s">
        <v>694</v>
      </c>
      <c r="C243" s="86" t="s">
        <v>921</v>
      </c>
      <c r="D243" s="612">
        <v>2035</v>
      </c>
      <c r="E243" s="632"/>
      <c r="F243" s="633">
        <v>123.79102128985618</v>
      </c>
      <c r="G243" s="22" t="str">
        <f t="shared" si="3"/>
        <v/>
      </c>
    </row>
    <row r="244" spans="1:7">
      <c r="A244" s="22" t="s">
        <v>106</v>
      </c>
      <c r="B244" s="22" t="s">
        <v>694</v>
      </c>
      <c r="C244" s="86" t="s">
        <v>921</v>
      </c>
      <c r="D244" s="86">
        <v>2035</v>
      </c>
      <c r="E244" s="215"/>
      <c r="F244" s="303">
        <v>34.517151658002</v>
      </c>
      <c r="G244" s="22" t="str">
        <f t="shared" si="3"/>
        <v/>
      </c>
    </row>
    <row r="245" spans="1:7">
      <c r="A245" s="570" t="s">
        <v>101</v>
      </c>
      <c r="B245" s="570" t="s">
        <v>694</v>
      </c>
      <c r="C245" s="86" t="s">
        <v>921</v>
      </c>
      <c r="D245" s="612">
        <v>2035</v>
      </c>
      <c r="E245" s="632"/>
      <c r="F245" s="633">
        <v>24.455217474797944</v>
      </c>
      <c r="G245" s="22" t="str">
        <f t="shared" si="3"/>
        <v/>
      </c>
    </row>
    <row r="246" spans="1:7">
      <c r="A246" s="22" t="s">
        <v>99</v>
      </c>
      <c r="B246" s="22" t="s">
        <v>694</v>
      </c>
      <c r="C246" s="86" t="s">
        <v>921</v>
      </c>
      <c r="D246" s="86">
        <v>2035</v>
      </c>
      <c r="E246" s="215"/>
      <c r="F246" s="303">
        <v>16.141362525202059</v>
      </c>
      <c r="G246" s="22" t="str">
        <f t="shared" si="3"/>
        <v>Remove</v>
      </c>
    </row>
    <row r="247" spans="1:7">
      <c r="A247" s="570" t="s">
        <v>117</v>
      </c>
      <c r="B247" s="570" t="s">
        <v>694</v>
      </c>
      <c r="C247" s="86" t="s">
        <v>921</v>
      </c>
      <c r="D247" s="612">
        <v>2035</v>
      </c>
      <c r="E247" s="632"/>
      <c r="F247" s="632">
        <v>266.71679999999998</v>
      </c>
      <c r="G247" s="22" t="str">
        <f t="shared" si="3"/>
        <v/>
      </c>
    </row>
    <row r="248" spans="1:7">
      <c r="A248" s="22" t="s">
        <v>121</v>
      </c>
      <c r="B248" s="22" t="s">
        <v>694</v>
      </c>
      <c r="C248" s="86" t="s">
        <v>921</v>
      </c>
      <c r="D248" s="86">
        <v>2035</v>
      </c>
      <c r="E248" s="215"/>
      <c r="F248" s="215">
        <v>168.0712</v>
      </c>
      <c r="G248" s="22" t="str">
        <f t="shared" si="3"/>
        <v/>
      </c>
    </row>
    <row r="249" spans="1:7">
      <c r="A249" s="570" t="s">
        <v>122</v>
      </c>
      <c r="B249" s="570" t="s">
        <v>694</v>
      </c>
      <c r="C249" s="86" t="s">
        <v>921</v>
      </c>
      <c r="D249" s="612">
        <v>2035</v>
      </c>
      <c r="E249" s="632"/>
      <c r="F249" s="632">
        <v>22.078420000000001</v>
      </c>
      <c r="G249" s="22" t="str">
        <f t="shared" si="3"/>
        <v/>
      </c>
    </row>
    <row r="250" spans="1:7">
      <c r="A250" s="777" t="s">
        <v>123</v>
      </c>
      <c r="B250" s="777" t="s">
        <v>694</v>
      </c>
      <c r="C250" s="770" t="s">
        <v>921</v>
      </c>
      <c r="D250" s="770">
        <v>2035</v>
      </c>
      <c r="E250" s="760"/>
      <c r="F250" s="760">
        <v>15.23509</v>
      </c>
      <c r="G250" s="22" t="str">
        <f t="shared" si="3"/>
        <v>Remove</v>
      </c>
    </row>
    <row r="251" spans="1:7">
      <c r="F251" s="3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R184"/>
  <sheetViews>
    <sheetView tabSelected="1" zoomScale="90" zoomScaleNormal="90" workbookViewId="0">
      <pane xSplit="1" ySplit="1" topLeftCell="G106" activePane="bottomRight" state="frozen"/>
      <selection pane="topRight" activeCell="B1" sqref="B1"/>
      <selection pane="bottomLeft" activeCell="A2" sqref="A2"/>
      <selection pane="bottomRight" activeCell="R132" sqref="R132"/>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33203125" style="817" customWidth="1"/>
    <col min="6" max="6" width="14.5546875" style="778" bestFit="1" customWidth="1"/>
    <col min="7" max="7" width="18.44140625" style="825" customWidth="1"/>
    <col min="8" max="8" width="15.88671875" style="778" bestFit="1" customWidth="1"/>
    <col min="9" max="9" width="18.88671875" style="666" bestFit="1" customWidth="1"/>
    <col min="10" max="10" width="15.88671875" style="37" bestFit="1" customWidth="1"/>
    <col min="11" max="11" width="18.88671875" style="825" bestFit="1" customWidth="1"/>
    <col min="12" max="12" width="7.77734375" style="812" customWidth="1"/>
    <col min="13" max="15" width="7.77734375" style="508" customWidth="1"/>
    <col min="16" max="16" width="7.77734375" style="817" customWidth="1"/>
    <col min="17" max="17" width="9.109375" style="777"/>
    <col min="18" max="16384" width="9.109375" style="22"/>
  </cols>
  <sheetData>
    <row r="1" spans="1:18" ht="15" customHeight="1">
      <c r="A1" s="567" t="s">
        <v>660</v>
      </c>
      <c r="B1" s="567" t="s">
        <v>679</v>
      </c>
      <c r="C1" s="667" t="s">
        <v>878</v>
      </c>
      <c r="D1" s="567" t="s">
        <v>281</v>
      </c>
      <c r="E1" s="818" t="s">
        <v>177</v>
      </c>
      <c r="F1" s="567" t="s">
        <v>682</v>
      </c>
      <c r="G1" s="823" t="s">
        <v>877</v>
      </c>
      <c r="H1" s="567" t="s">
        <v>681</v>
      </c>
      <c r="I1" s="667" t="s">
        <v>879</v>
      </c>
      <c r="J1" s="567" t="s">
        <v>685</v>
      </c>
      <c r="K1" s="818" t="s">
        <v>706</v>
      </c>
      <c r="L1" s="667" t="s">
        <v>686</v>
      </c>
      <c r="M1" s="667" t="s">
        <v>687</v>
      </c>
      <c r="N1" s="667" t="s">
        <v>759</v>
      </c>
      <c r="O1" s="667" t="s">
        <v>760</v>
      </c>
      <c r="P1" s="818" t="s">
        <v>680</v>
      </c>
      <c r="Q1" s="827" t="s">
        <v>957</v>
      </c>
    </row>
    <row r="2" spans="1:18" ht="15" customHeight="1">
      <c r="A2" s="808" t="s">
        <v>977</v>
      </c>
      <c r="B2" s="808"/>
      <c r="C2" s="811"/>
      <c r="D2" s="808"/>
      <c r="E2" s="819"/>
      <c r="F2" s="808"/>
      <c r="G2" s="824"/>
      <c r="H2" s="808"/>
      <c r="I2" s="811"/>
      <c r="J2" s="808"/>
      <c r="K2" s="819"/>
      <c r="L2" s="811"/>
      <c r="M2" s="811"/>
      <c r="N2" s="811"/>
      <c r="O2" s="811"/>
      <c r="P2" s="819"/>
      <c r="Q2" s="803"/>
    </row>
    <row r="3" spans="1:18">
      <c r="A3" s="22" t="s">
        <v>107</v>
      </c>
      <c r="B3" s="22" t="s">
        <v>509</v>
      </c>
      <c r="D3" s="86" t="s">
        <v>921</v>
      </c>
      <c r="E3" s="820">
        <v>2035</v>
      </c>
      <c r="F3" s="760"/>
      <c r="G3" s="836"/>
      <c r="H3" s="760">
        <v>7929</v>
      </c>
      <c r="I3" s="837"/>
      <c r="J3" s="215">
        <v>7929</v>
      </c>
      <c r="K3" s="836"/>
      <c r="L3" s="838"/>
      <c r="M3" s="695"/>
      <c r="N3" s="695"/>
      <c r="O3" s="695"/>
      <c r="P3" s="839"/>
      <c r="Q3" s="777" t="str">
        <f>IF(AND(H3&gt;=10,J3&gt;=10),"","Remove")</f>
        <v/>
      </c>
      <c r="R3" s="37"/>
    </row>
    <row r="4" spans="1:18">
      <c r="A4" s="22" t="s">
        <v>107</v>
      </c>
      <c r="B4" s="22" t="s">
        <v>516</v>
      </c>
      <c r="D4" s="86" t="s">
        <v>921</v>
      </c>
      <c r="E4" s="820">
        <v>2035</v>
      </c>
      <c r="F4" s="760"/>
      <c r="G4" s="836"/>
      <c r="H4" s="760">
        <v>3750</v>
      </c>
      <c r="I4" s="837"/>
      <c r="J4" s="215">
        <v>7512</v>
      </c>
      <c r="K4" s="836"/>
      <c r="L4" s="838"/>
      <c r="M4" s="695"/>
      <c r="N4" s="695"/>
      <c r="O4" s="695"/>
      <c r="P4" s="839"/>
      <c r="Q4" s="777" t="str">
        <f t="shared" ref="Q4:Q68" si="0">IF(H4+J4&gt;=20,"","Remove")</f>
        <v/>
      </c>
    </row>
    <row r="5" spans="1:18">
      <c r="A5" s="22" t="s">
        <v>107</v>
      </c>
      <c r="B5" s="22" t="s">
        <v>519</v>
      </c>
      <c r="D5" s="86" t="s">
        <v>921</v>
      </c>
      <c r="E5" s="820">
        <v>2035</v>
      </c>
      <c r="F5" s="760"/>
      <c r="G5" s="836"/>
      <c r="H5" s="760">
        <v>300</v>
      </c>
      <c r="I5" s="837"/>
      <c r="J5" s="215">
        <v>900</v>
      </c>
      <c r="K5" s="836"/>
      <c r="L5" s="838"/>
      <c r="M5" s="695"/>
      <c r="N5" s="695"/>
      <c r="O5" s="695"/>
      <c r="P5" s="839"/>
      <c r="Q5" s="777" t="str">
        <f t="shared" si="0"/>
        <v/>
      </c>
    </row>
    <row r="6" spans="1:18">
      <c r="A6" s="777" t="s">
        <v>107</v>
      </c>
      <c r="B6" s="777" t="s">
        <v>511</v>
      </c>
      <c r="C6" s="777"/>
      <c r="D6" s="770" t="s">
        <v>921</v>
      </c>
      <c r="E6" s="820">
        <v>2035</v>
      </c>
      <c r="F6" s="760"/>
      <c r="G6" s="836"/>
      <c r="H6" s="760">
        <v>23300</v>
      </c>
      <c r="I6" s="840"/>
      <c r="J6" s="760"/>
      <c r="K6" s="836"/>
      <c r="L6" s="838"/>
      <c r="M6" s="838"/>
      <c r="N6" s="838"/>
      <c r="O6" s="838"/>
      <c r="P6" s="839"/>
      <c r="Q6" s="777" t="str">
        <f t="shared" si="0"/>
        <v/>
      </c>
    </row>
    <row r="7" spans="1:18">
      <c r="A7" s="22" t="s">
        <v>107</v>
      </c>
      <c r="B7" s="22" t="s">
        <v>531</v>
      </c>
      <c r="D7" s="86" t="s">
        <v>921</v>
      </c>
      <c r="E7" s="820">
        <v>2035</v>
      </c>
      <c r="F7" s="760"/>
      <c r="G7" s="836"/>
      <c r="H7" s="760">
        <v>1998</v>
      </c>
      <c r="I7" s="837"/>
      <c r="J7" s="215"/>
      <c r="K7" s="836"/>
      <c r="L7" s="838"/>
      <c r="M7" s="695"/>
      <c r="N7" s="695"/>
      <c r="O7" s="695"/>
      <c r="P7" s="839"/>
    </row>
    <row r="8" spans="1:18">
      <c r="A8" s="176" t="s">
        <v>107</v>
      </c>
      <c r="B8" s="176" t="s">
        <v>822</v>
      </c>
      <c r="C8" s="176"/>
      <c r="D8" s="134" t="s">
        <v>921</v>
      </c>
      <c r="E8" s="821">
        <v>2035</v>
      </c>
      <c r="F8" s="318"/>
      <c r="G8" s="841"/>
      <c r="H8" s="318">
        <v>1998</v>
      </c>
      <c r="I8" s="842"/>
      <c r="J8" s="318"/>
      <c r="K8" s="841"/>
      <c r="L8" s="843"/>
      <c r="M8" s="843"/>
      <c r="N8" s="843"/>
      <c r="O8" s="843"/>
      <c r="P8" s="844"/>
    </row>
    <row r="9" spans="1:18">
      <c r="A9" s="22" t="s">
        <v>113</v>
      </c>
      <c r="B9" s="22" t="s">
        <v>509</v>
      </c>
      <c r="D9" s="86" t="s">
        <v>921</v>
      </c>
      <c r="E9" s="820">
        <v>2035</v>
      </c>
      <c r="F9" s="760"/>
      <c r="G9" s="836"/>
      <c r="H9" s="760">
        <v>960</v>
      </c>
      <c r="I9" s="837"/>
      <c r="J9" s="215">
        <v>960</v>
      </c>
      <c r="K9" s="836"/>
      <c r="L9" s="838"/>
      <c r="M9" s="695"/>
      <c r="N9" s="695"/>
      <c r="O9" s="695"/>
      <c r="P9" s="839"/>
      <c r="Q9" s="777" t="str">
        <f>IF(H9+J9&gt;=20,"","Remove")</f>
        <v/>
      </c>
    </row>
    <row r="10" spans="1:18">
      <c r="A10" s="22" t="s">
        <v>113</v>
      </c>
      <c r="B10" s="22" t="s">
        <v>516</v>
      </c>
      <c r="D10" s="86" t="s">
        <v>921</v>
      </c>
      <c r="E10" s="820">
        <v>2035</v>
      </c>
      <c r="F10" s="760"/>
      <c r="G10" s="836"/>
      <c r="H10" s="760">
        <v>5300</v>
      </c>
      <c r="I10" s="837"/>
      <c r="J10" s="215">
        <v>10650</v>
      </c>
      <c r="K10" s="836"/>
      <c r="L10" s="838"/>
      <c r="M10" s="695"/>
      <c r="N10" s="695"/>
      <c r="O10" s="695"/>
      <c r="P10" s="839"/>
      <c r="Q10" s="777" t="str">
        <f>IF(H10+J10&gt;=20,"","Remove")</f>
        <v/>
      </c>
    </row>
    <row r="11" spans="1:18">
      <c r="A11" s="22" t="s">
        <v>113</v>
      </c>
      <c r="B11" s="22" t="s">
        <v>511</v>
      </c>
      <c r="D11" s="86" t="s">
        <v>921</v>
      </c>
      <c r="E11" s="820">
        <v>2035</v>
      </c>
      <c r="F11" s="760"/>
      <c r="G11" s="836"/>
      <c r="H11" s="760">
        <v>11000</v>
      </c>
      <c r="I11" s="837"/>
      <c r="J11" s="215"/>
      <c r="K11" s="836"/>
      <c r="L11" s="838"/>
      <c r="M11" s="695"/>
      <c r="N11" s="695"/>
      <c r="O11" s="695"/>
      <c r="P11" s="839"/>
      <c r="Q11" s="777" t="str">
        <f>IF(H11+J11&gt;=20,"","Remove")</f>
        <v/>
      </c>
    </row>
    <row r="12" spans="1:18">
      <c r="A12" s="777" t="s">
        <v>113</v>
      </c>
      <c r="B12" s="777" t="s">
        <v>510</v>
      </c>
      <c r="C12" s="777"/>
      <c r="D12" s="770" t="s">
        <v>921</v>
      </c>
      <c r="E12" s="820">
        <v>2035</v>
      </c>
      <c r="F12" s="760"/>
      <c r="G12" s="836"/>
      <c r="H12" s="760">
        <v>22000</v>
      </c>
      <c r="I12" s="840"/>
      <c r="J12" s="760"/>
      <c r="K12" s="836"/>
      <c r="L12" s="838"/>
      <c r="M12" s="838"/>
      <c r="N12" s="838"/>
      <c r="O12" s="838"/>
      <c r="P12" s="839"/>
      <c r="Q12" s="777" t="str">
        <f>IF(H12+J12&gt;=20,"","Remove")</f>
        <v/>
      </c>
    </row>
    <row r="13" spans="1:18">
      <c r="A13" s="777" t="s">
        <v>113</v>
      </c>
      <c r="B13" s="777" t="s">
        <v>531</v>
      </c>
      <c r="C13" s="777"/>
      <c r="D13" s="770" t="s">
        <v>921</v>
      </c>
      <c r="E13" s="820">
        <v>2035</v>
      </c>
      <c r="F13" s="760"/>
      <c r="G13" s="836"/>
      <c r="H13" s="760">
        <v>2120</v>
      </c>
      <c r="I13" s="840"/>
      <c r="J13" s="760"/>
      <c r="K13" s="836"/>
      <c r="L13" s="838"/>
      <c r="M13" s="838"/>
      <c r="N13" s="838"/>
      <c r="O13" s="838"/>
      <c r="P13" s="839"/>
      <c r="Q13" s="777" t="str">
        <f>IF(H13+J13&gt;=20,"","Remove")</f>
        <v/>
      </c>
    </row>
    <row r="14" spans="1:18">
      <c r="A14" s="176" t="s">
        <v>113</v>
      </c>
      <c r="B14" s="176" t="s">
        <v>822</v>
      </c>
      <c r="C14" s="176"/>
      <c r="D14" s="134" t="s">
        <v>921</v>
      </c>
      <c r="E14" s="821">
        <v>2035</v>
      </c>
      <c r="F14" s="318"/>
      <c r="G14" s="841"/>
      <c r="H14" s="318">
        <v>2120</v>
      </c>
      <c r="I14" s="842"/>
      <c r="J14" s="318"/>
      <c r="K14" s="841"/>
      <c r="L14" s="843"/>
      <c r="M14" s="843"/>
      <c r="N14" s="843"/>
      <c r="O14" s="843"/>
      <c r="P14" s="844"/>
      <c r="Q14" s="777" t="str">
        <f>IF(H14+J14&gt;=20,"","Remove")</f>
        <v/>
      </c>
    </row>
    <row r="15" spans="1:18">
      <c r="A15" s="22" t="s">
        <v>104</v>
      </c>
      <c r="B15" s="22" t="s">
        <v>519</v>
      </c>
      <c r="D15" s="86" t="s">
        <v>921</v>
      </c>
      <c r="E15" s="820">
        <v>2035</v>
      </c>
      <c r="F15" s="760"/>
      <c r="G15" s="836"/>
      <c r="H15" s="760">
        <v>70</v>
      </c>
      <c r="I15" s="837"/>
      <c r="J15" s="215">
        <v>140</v>
      </c>
      <c r="K15" s="836"/>
      <c r="L15" s="838"/>
      <c r="M15" s="695"/>
      <c r="N15" s="695"/>
      <c r="O15" s="695"/>
      <c r="P15" s="839"/>
    </row>
    <row r="16" spans="1:18">
      <c r="A16" s="22" t="s">
        <v>104</v>
      </c>
      <c r="B16" s="22" t="s">
        <v>515</v>
      </c>
      <c r="D16" s="86" t="s">
        <v>921</v>
      </c>
      <c r="E16" s="820">
        <v>2035</v>
      </c>
      <c r="F16" s="760"/>
      <c r="G16" s="836"/>
      <c r="H16" s="760">
        <v>135</v>
      </c>
      <c r="I16" s="837"/>
      <c r="J16" s="215">
        <v>270</v>
      </c>
      <c r="K16" s="836"/>
      <c r="L16" s="838"/>
      <c r="M16" s="695"/>
      <c r="N16" s="695"/>
      <c r="O16" s="695"/>
      <c r="P16" s="839"/>
    </row>
    <row r="17" spans="1:17">
      <c r="A17" s="22" t="s">
        <v>104</v>
      </c>
      <c r="B17" s="22" t="s">
        <v>512</v>
      </c>
      <c r="D17" s="86" t="s">
        <v>921</v>
      </c>
      <c r="E17" s="820">
        <v>2035</v>
      </c>
      <c r="F17" s="760"/>
      <c r="G17" s="836"/>
      <c r="H17" s="760">
        <v>550</v>
      </c>
      <c r="I17" s="837"/>
      <c r="J17" s="215"/>
      <c r="K17" s="836"/>
      <c r="L17" s="838"/>
      <c r="M17" s="695"/>
      <c r="N17" s="695"/>
      <c r="O17" s="695"/>
      <c r="P17" s="839"/>
    </row>
    <row r="18" spans="1:17">
      <c r="A18" s="777" t="s">
        <v>104</v>
      </c>
      <c r="B18" s="777" t="s">
        <v>510</v>
      </c>
      <c r="C18" s="777"/>
      <c r="D18" s="770" t="s">
        <v>921</v>
      </c>
      <c r="E18" s="820">
        <v>2035</v>
      </c>
      <c r="F18" s="760"/>
      <c r="G18" s="836"/>
      <c r="H18" s="760">
        <v>1200</v>
      </c>
      <c r="I18" s="840"/>
      <c r="J18" s="760"/>
      <c r="K18" s="836"/>
      <c r="L18" s="838"/>
      <c r="M18" s="838"/>
      <c r="N18" s="838"/>
      <c r="O18" s="838"/>
      <c r="P18" s="839"/>
      <c r="Q18" s="777" t="str">
        <f>IF(H35+J35&gt;=20,"","Remove")</f>
        <v/>
      </c>
    </row>
    <row r="19" spans="1:17">
      <c r="A19" s="22" t="s">
        <v>104</v>
      </c>
      <c r="B19" s="22" t="s">
        <v>531</v>
      </c>
      <c r="D19" s="86" t="s">
        <v>921</v>
      </c>
      <c r="E19" s="820">
        <v>2035</v>
      </c>
      <c r="F19" s="760"/>
      <c r="G19" s="836"/>
      <c r="H19" s="760">
        <v>98</v>
      </c>
      <c r="I19" s="837"/>
      <c r="J19" s="215"/>
      <c r="K19" s="836"/>
      <c r="L19" s="838"/>
      <c r="M19" s="695"/>
      <c r="N19" s="695"/>
      <c r="O19" s="695"/>
      <c r="P19" s="839"/>
      <c r="Q19" s="777" t="str">
        <f>IF(H36+J36&gt;=20,"","Remove")</f>
        <v/>
      </c>
    </row>
    <row r="20" spans="1:17">
      <c r="A20" s="176" t="s">
        <v>104</v>
      </c>
      <c r="B20" s="176" t="s">
        <v>822</v>
      </c>
      <c r="C20" s="176"/>
      <c r="D20" s="134" t="s">
        <v>921</v>
      </c>
      <c r="E20" s="821">
        <v>2035</v>
      </c>
      <c r="F20" s="318"/>
      <c r="G20" s="841"/>
      <c r="H20" s="318">
        <v>98</v>
      </c>
      <c r="I20" s="842"/>
      <c r="J20" s="318"/>
      <c r="K20" s="841"/>
      <c r="L20" s="843"/>
      <c r="M20" s="843"/>
      <c r="N20" s="843"/>
      <c r="O20" s="843"/>
      <c r="P20" s="844"/>
      <c r="Q20" s="777" t="str">
        <f>IF(H37+J37&gt;=20,"","Remove")</f>
        <v/>
      </c>
    </row>
    <row r="21" spans="1:17">
      <c r="A21" s="22" t="s">
        <v>105</v>
      </c>
      <c r="B21" s="22" t="s">
        <v>513</v>
      </c>
      <c r="D21" s="86" t="s">
        <v>921</v>
      </c>
      <c r="E21" s="820">
        <v>2035</v>
      </c>
      <c r="F21" s="760"/>
      <c r="G21" s="836"/>
      <c r="H21" s="760">
        <v>700</v>
      </c>
      <c r="I21" s="837"/>
      <c r="J21" s="215"/>
      <c r="K21" s="836"/>
      <c r="L21" s="838"/>
      <c r="M21" s="695"/>
      <c r="N21" s="695"/>
      <c r="O21" s="695"/>
      <c r="P21" s="839"/>
      <c r="Q21" s="777" t="str">
        <f>IF(H38+J38&gt;=20,"","Remove")</f>
        <v/>
      </c>
    </row>
    <row r="22" spans="1:17">
      <c r="A22" s="22" t="s">
        <v>105</v>
      </c>
      <c r="B22" s="22" t="s">
        <v>519</v>
      </c>
      <c r="D22" s="86" t="s">
        <v>921</v>
      </c>
      <c r="E22" s="820">
        <v>2035</v>
      </c>
      <c r="F22" s="760"/>
      <c r="G22" s="836"/>
      <c r="H22" s="760">
        <v>200</v>
      </c>
      <c r="I22" s="837"/>
      <c r="J22" s="215">
        <v>400</v>
      </c>
      <c r="K22" s="836"/>
      <c r="L22" s="838"/>
      <c r="M22" s="695"/>
      <c r="N22" s="695"/>
      <c r="O22" s="695"/>
      <c r="P22" s="839"/>
      <c r="Q22" s="777" t="str">
        <f>IF(H39+J39&gt;=20,"","Remove")</f>
        <v/>
      </c>
    </row>
    <row r="23" spans="1:17">
      <c r="A23" s="22" t="s">
        <v>105</v>
      </c>
      <c r="B23" s="22" t="s">
        <v>515</v>
      </c>
      <c r="D23" s="86" t="s">
        <v>921</v>
      </c>
      <c r="E23" s="820">
        <v>2035</v>
      </c>
      <c r="F23" s="760"/>
      <c r="G23" s="836"/>
      <c r="H23" s="760">
        <v>1020</v>
      </c>
      <c r="I23" s="837"/>
      <c r="J23" s="215">
        <v>2045</v>
      </c>
      <c r="K23" s="836"/>
      <c r="L23" s="838"/>
      <c r="M23" s="695"/>
      <c r="N23" s="695"/>
      <c r="O23" s="695"/>
      <c r="P23" s="839"/>
    </row>
    <row r="24" spans="1:17">
      <c r="A24" s="22" t="s">
        <v>105</v>
      </c>
      <c r="B24" s="22" t="s">
        <v>516</v>
      </c>
      <c r="D24" s="86" t="s">
        <v>921</v>
      </c>
      <c r="E24" s="820">
        <v>2035</v>
      </c>
      <c r="F24" s="760"/>
      <c r="G24" s="836"/>
      <c r="H24" s="760">
        <v>289</v>
      </c>
      <c r="I24" s="837"/>
      <c r="J24" s="215">
        <v>578</v>
      </c>
      <c r="K24" s="836"/>
      <c r="L24" s="838"/>
      <c r="M24" s="695"/>
      <c r="N24" s="695"/>
      <c r="O24" s="695"/>
      <c r="P24" s="839"/>
    </row>
    <row r="25" spans="1:17">
      <c r="A25" s="22" t="s">
        <v>105</v>
      </c>
      <c r="B25" s="22" t="s">
        <v>512</v>
      </c>
      <c r="D25" s="86" t="s">
        <v>921</v>
      </c>
      <c r="E25" s="820">
        <v>2035</v>
      </c>
      <c r="F25" s="760"/>
      <c r="G25" s="836"/>
      <c r="H25" s="760">
        <v>4158</v>
      </c>
      <c r="I25" s="837"/>
      <c r="J25" s="215"/>
      <c r="K25" s="836"/>
      <c r="L25" s="838"/>
      <c r="M25" s="695"/>
      <c r="N25" s="695"/>
      <c r="O25" s="695"/>
      <c r="P25" s="839"/>
    </row>
    <row r="26" spans="1:17">
      <c r="A26" s="777" t="s">
        <v>105</v>
      </c>
      <c r="B26" s="777" t="s">
        <v>510</v>
      </c>
      <c r="C26" s="777"/>
      <c r="D26" s="770" t="s">
        <v>921</v>
      </c>
      <c r="E26" s="820">
        <v>2035</v>
      </c>
      <c r="F26" s="760"/>
      <c r="G26" s="836"/>
      <c r="H26" s="760">
        <v>12000</v>
      </c>
      <c r="I26" s="840"/>
      <c r="J26" s="760"/>
      <c r="K26" s="836"/>
      <c r="L26" s="838"/>
      <c r="M26" s="838"/>
      <c r="N26" s="838"/>
      <c r="O26" s="838"/>
      <c r="P26" s="839"/>
    </row>
    <row r="27" spans="1:17">
      <c r="A27" s="22" t="s">
        <v>105</v>
      </c>
      <c r="B27" s="22" t="s">
        <v>531</v>
      </c>
      <c r="D27" s="86" t="s">
        <v>921</v>
      </c>
      <c r="E27" s="820">
        <v>2035</v>
      </c>
      <c r="F27" s="760"/>
      <c r="G27" s="836"/>
      <c r="H27" s="760">
        <v>760</v>
      </c>
      <c r="I27" s="837"/>
      <c r="J27" s="215"/>
      <c r="K27" s="836"/>
      <c r="L27" s="838"/>
      <c r="M27" s="695"/>
      <c r="N27" s="695"/>
      <c r="O27" s="695"/>
      <c r="P27" s="839"/>
    </row>
    <row r="28" spans="1:17">
      <c r="A28" s="176" t="s">
        <v>105</v>
      </c>
      <c r="B28" s="176" t="s">
        <v>822</v>
      </c>
      <c r="C28" s="176"/>
      <c r="D28" s="134" t="s">
        <v>921</v>
      </c>
      <c r="E28" s="821">
        <v>2035</v>
      </c>
      <c r="F28" s="318"/>
      <c r="G28" s="841"/>
      <c r="H28" s="318">
        <v>760</v>
      </c>
      <c r="I28" s="842"/>
      <c r="J28" s="318"/>
      <c r="K28" s="841"/>
      <c r="L28" s="843"/>
      <c r="M28" s="843"/>
      <c r="N28" s="843"/>
      <c r="O28" s="843"/>
      <c r="P28" s="844"/>
      <c r="Q28" s="777" t="str">
        <f>IF(H40+J40&gt;=20,"","Remove")</f>
        <v/>
      </c>
    </row>
    <row r="29" spans="1:17">
      <c r="A29" s="22" t="s">
        <v>106</v>
      </c>
      <c r="B29" s="22" t="s">
        <v>519</v>
      </c>
      <c r="D29" s="86" t="s">
        <v>921</v>
      </c>
      <c r="E29" s="820">
        <v>2035</v>
      </c>
      <c r="F29" s="760"/>
      <c r="G29" s="836"/>
      <c r="H29" s="760">
        <v>80</v>
      </c>
      <c r="I29" s="837"/>
      <c r="J29" s="215">
        <v>160</v>
      </c>
      <c r="K29" s="836"/>
      <c r="L29" s="838"/>
      <c r="M29" s="695"/>
      <c r="N29" s="695"/>
      <c r="O29" s="695"/>
      <c r="P29" s="839"/>
      <c r="Q29" s="777" t="str">
        <f>IF(H41+J41&gt;=20,"","Remove")</f>
        <v/>
      </c>
    </row>
    <row r="30" spans="1:17">
      <c r="A30" s="22" t="s">
        <v>106</v>
      </c>
      <c r="B30" s="22" t="s">
        <v>515</v>
      </c>
      <c r="D30" s="86" t="s">
        <v>921</v>
      </c>
      <c r="E30" s="820">
        <v>2035</v>
      </c>
      <c r="F30" s="760"/>
      <c r="G30" s="836"/>
      <c r="H30" s="760">
        <v>360</v>
      </c>
      <c r="I30" s="837"/>
      <c r="J30" s="215">
        <v>720</v>
      </c>
      <c r="K30" s="836"/>
      <c r="L30" s="838"/>
      <c r="M30" s="695"/>
      <c r="N30" s="695"/>
      <c r="O30" s="695"/>
      <c r="P30" s="839"/>
      <c r="Q30" s="22"/>
    </row>
    <row r="31" spans="1:17">
      <c r="A31" s="22" t="s">
        <v>106</v>
      </c>
      <c r="B31" s="22" t="s">
        <v>512</v>
      </c>
      <c r="D31" s="86" t="s">
        <v>921</v>
      </c>
      <c r="E31" s="820">
        <v>2035</v>
      </c>
      <c r="F31" s="760"/>
      <c r="G31" s="836"/>
      <c r="H31" s="760">
        <v>1200</v>
      </c>
      <c r="I31" s="837"/>
      <c r="J31" s="215"/>
      <c r="K31" s="836"/>
      <c r="L31" s="838"/>
      <c r="M31" s="695"/>
      <c r="N31" s="695"/>
      <c r="O31" s="695"/>
      <c r="P31" s="839"/>
      <c r="Q31" s="22"/>
    </row>
    <row r="32" spans="1:17">
      <c r="A32" s="777" t="s">
        <v>106</v>
      </c>
      <c r="B32" s="777" t="s">
        <v>510</v>
      </c>
      <c r="C32" s="777"/>
      <c r="D32" s="770" t="s">
        <v>921</v>
      </c>
      <c r="E32" s="820">
        <v>2035</v>
      </c>
      <c r="F32" s="760"/>
      <c r="G32" s="836"/>
      <c r="H32" s="760">
        <v>2500</v>
      </c>
      <c r="I32" s="840"/>
      <c r="J32" s="760"/>
      <c r="K32" s="836"/>
      <c r="L32" s="838"/>
      <c r="M32" s="838"/>
      <c r="N32" s="838"/>
      <c r="O32" s="838"/>
      <c r="P32" s="839"/>
      <c r="Q32" s="22"/>
    </row>
    <row r="33" spans="1:17">
      <c r="A33" s="22" t="s">
        <v>106</v>
      </c>
      <c r="B33" s="22" t="s">
        <v>531</v>
      </c>
      <c r="D33" s="86" t="s">
        <v>921</v>
      </c>
      <c r="E33" s="820">
        <v>2035</v>
      </c>
      <c r="F33" s="760"/>
      <c r="G33" s="836"/>
      <c r="H33" s="760">
        <v>224</v>
      </c>
      <c r="I33" s="837"/>
      <c r="J33" s="215"/>
      <c r="K33" s="836"/>
      <c r="L33" s="838"/>
      <c r="M33" s="695"/>
      <c r="N33" s="695"/>
      <c r="O33" s="695"/>
      <c r="P33" s="839"/>
      <c r="Q33" s="22"/>
    </row>
    <row r="34" spans="1:17">
      <c r="A34" s="176" t="s">
        <v>106</v>
      </c>
      <c r="B34" s="176" t="s">
        <v>822</v>
      </c>
      <c r="C34" s="176"/>
      <c r="D34" s="134" t="s">
        <v>921</v>
      </c>
      <c r="E34" s="821">
        <v>2035</v>
      </c>
      <c r="F34" s="318"/>
      <c r="G34" s="841"/>
      <c r="H34" s="318">
        <v>224</v>
      </c>
      <c r="I34" s="842"/>
      <c r="J34" s="318"/>
      <c r="K34" s="841"/>
      <c r="L34" s="843"/>
      <c r="M34" s="843"/>
      <c r="N34" s="843"/>
      <c r="O34" s="843"/>
      <c r="P34" s="844"/>
      <c r="Q34" s="777" t="str">
        <f>IF(H15+J15&gt;=20,"","Remove")</f>
        <v/>
      </c>
    </row>
    <row r="35" spans="1:17">
      <c r="A35" s="22" t="s">
        <v>99</v>
      </c>
      <c r="B35" s="22" t="s">
        <v>509</v>
      </c>
      <c r="D35" s="86" t="s">
        <v>921</v>
      </c>
      <c r="E35" s="820">
        <v>2035</v>
      </c>
      <c r="F35" s="760"/>
      <c r="G35" s="836"/>
      <c r="H35" s="760">
        <v>967</v>
      </c>
      <c r="I35" s="837"/>
      <c r="J35" s="215">
        <v>967</v>
      </c>
      <c r="K35" s="836"/>
      <c r="L35" s="838"/>
      <c r="M35" s="695"/>
      <c r="N35" s="695"/>
      <c r="O35" s="695"/>
      <c r="P35" s="839"/>
      <c r="Q35" s="777" t="str">
        <f>IF(H16+J16&gt;=20,"","Remove")</f>
        <v/>
      </c>
    </row>
    <row r="36" spans="1:17">
      <c r="A36" s="22" t="s">
        <v>99</v>
      </c>
      <c r="B36" s="22" t="s">
        <v>516</v>
      </c>
      <c r="D36" s="86" t="s">
        <v>921</v>
      </c>
      <c r="E36" s="820">
        <v>2035</v>
      </c>
      <c r="F36" s="760"/>
      <c r="G36" s="845"/>
      <c r="H36" s="760">
        <v>600</v>
      </c>
      <c r="I36" s="837"/>
      <c r="J36" s="215">
        <v>1166</v>
      </c>
      <c r="K36" s="836"/>
      <c r="L36" s="838"/>
      <c r="M36" s="695"/>
      <c r="N36" s="695"/>
      <c r="O36" s="695"/>
      <c r="P36" s="839"/>
      <c r="Q36" s="777" t="str">
        <f>IF(H17+J17&gt;=20,"","Remove")</f>
        <v/>
      </c>
    </row>
    <row r="37" spans="1:17">
      <c r="A37" s="22" t="s">
        <v>99</v>
      </c>
      <c r="B37" s="22" t="s">
        <v>515</v>
      </c>
      <c r="D37" s="86" t="s">
        <v>921</v>
      </c>
      <c r="E37" s="820">
        <v>2035</v>
      </c>
      <c r="F37" s="760"/>
      <c r="G37" s="836"/>
      <c r="H37" s="760">
        <v>900</v>
      </c>
      <c r="I37" s="837"/>
      <c r="J37" s="215">
        <v>1800</v>
      </c>
      <c r="K37" s="836"/>
      <c r="L37" s="838"/>
      <c r="M37" s="695"/>
      <c r="N37" s="695"/>
      <c r="O37" s="695"/>
      <c r="P37" s="839"/>
      <c r="Q37" s="777" t="str">
        <f>IF(H18+J18&gt;=20,"","Remove")</f>
        <v/>
      </c>
    </row>
    <row r="38" spans="1:17">
      <c r="A38" s="22" t="s">
        <v>99</v>
      </c>
      <c r="B38" s="22" t="s">
        <v>519</v>
      </c>
      <c r="D38" s="86" t="s">
        <v>921</v>
      </c>
      <c r="E38" s="820">
        <v>2035</v>
      </c>
      <c r="F38" s="760"/>
      <c r="G38" s="836"/>
      <c r="H38" s="760">
        <v>300</v>
      </c>
      <c r="I38" s="837"/>
      <c r="J38" s="215">
        <v>600</v>
      </c>
      <c r="K38" s="836"/>
      <c r="L38" s="838"/>
      <c r="M38" s="695"/>
      <c r="N38" s="695"/>
      <c r="O38" s="695"/>
      <c r="P38" s="839"/>
      <c r="Q38" s="777" t="str">
        <f>IF(H21+J21&gt;=20,"","Remove")</f>
        <v/>
      </c>
    </row>
    <row r="39" spans="1:17">
      <c r="A39" s="22" t="s">
        <v>99</v>
      </c>
      <c r="B39" s="22" t="s">
        <v>511</v>
      </c>
      <c r="D39" s="86" t="s">
        <v>921</v>
      </c>
      <c r="E39" s="820">
        <v>2035</v>
      </c>
      <c r="F39" s="760"/>
      <c r="G39" s="836"/>
      <c r="H39" s="760">
        <v>2600</v>
      </c>
      <c r="I39" s="837"/>
      <c r="J39" s="215"/>
      <c r="K39" s="836"/>
      <c r="L39" s="838"/>
      <c r="M39" s="695"/>
      <c r="N39" s="695"/>
      <c r="O39" s="695"/>
      <c r="P39" s="839"/>
      <c r="Q39" s="777" t="str">
        <f>IF(H22+J22&gt;=20,"","Remove")</f>
        <v/>
      </c>
    </row>
    <row r="40" spans="1:17">
      <c r="A40" s="22" t="s">
        <v>99</v>
      </c>
      <c r="B40" s="22" t="s">
        <v>510</v>
      </c>
      <c r="D40" s="86" t="s">
        <v>921</v>
      </c>
      <c r="E40" s="820">
        <v>2035</v>
      </c>
      <c r="F40" s="760"/>
      <c r="G40" s="836"/>
      <c r="H40" s="760">
        <v>1300</v>
      </c>
      <c r="I40" s="837"/>
      <c r="J40" s="215"/>
      <c r="K40" s="836"/>
      <c r="L40" s="838"/>
      <c r="M40" s="695"/>
      <c r="N40" s="695"/>
      <c r="O40" s="695"/>
      <c r="P40" s="839"/>
      <c r="Q40" s="777" t="str">
        <f>IF(H23+J23&gt;=20,"","Remove")</f>
        <v/>
      </c>
    </row>
    <row r="41" spans="1:17">
      <c r="A41" s="777" t="s">
        <v>99</v>
      </c>
      <c r="B41" s="777" t="s">
        <v>512</v>
      </c>
      <c r="C41" s="777"/>
      <c r="D41" s="770" t="s">
        <v>921</v>
      </c>
      <c r="E41" s="820">
        <v>2035</v>
      </c>
      <c r="F41" s="760"/>
      <c r="G41" s="836"/>
      <c r="H41" s="760">
        <v>820</v>
      </c>
      <c r="I41" s="840"/>
      <c r="J41" s="760"/>
      <c r="K41" s="836"/>
      <c r="L41" s="838"/>
      <c r="M41" s="838"/>
      <c r="N41" s="838"/>
      <c r="O41" s="838"/>
      <c r="P41" s="839"/>
      <c r="Q41" s="777" t="str">
        <f>IF(H24+J24&gt;=20,"","Remove")</f>
        <v/>
      </c>
    </row>
    <row r="42" spans="1:17">
      <c r="A42" s="777" t="s">
        <v>99</v>
      </c>
      <c r="B42" s="777" t="s">
        <v>531</v>
      </c>
      <c r="C42" s="777"/>
      <c r="D42" s="770" t="s">
        <v>921</v>
      </c>
      <c r="E42" s="820">
        <v>2035</v>
      </c>
      <c r="F42" s="760"/>
      <c r="G42" s="836"/>
      <c r="H42" s="760">
        <v>374</v>
      </c>
      <c r="I42" s="840"/>
      <c r="J42" s="760"/>
      <c r="K42" s="836"/>
      <c r="L42" s="838"/>
      <c r="M42" s="838"/>
      <c r="N42" s="838"/>
      <c r="O42" s="838"/>
      <c r="P42" s="839"/>
      <c r="Q42" s="777" t="str">
        <f>IF(H25+J25&gt;=20,"","Remove")</f>
        <v/>
      </c>
    </row>
    <row r="43" spans="1:17">
      <c r="A43" s="777" t="s">
        <v>99</v>
      </c>
      <c r="B43" s="777" t="s">
        <v>822</v>
      </c>
      <c r="C43" s="777"/>
      <c r="D43" s="770" t="s">
        <v>921</v>
      </c>
      <c r="E43" s="820">
        <v>2035</v>
      </c>
      <c r="F43" s="760"/>
      <c r="G43" s="836"/>
      <c r="H43" s="760">
        <v>374</v>
      </c>
      <c r="I43" s="840"/>
      <c r="J43" s="760"/>
      <c r="K43" s="836"/>
      <c r="L43" s="838"/>
      <c r="M43" s="838"/>
      <c r="N43" s="838"/>
      <c r="O43" s="838"/>
      <c r="P43" s="839"/>
      <c r="Q43" s="777" t="str">
        <f>IF(H26+J26&gt;=20,"","Remove")</f>
        <v/>
      </c>
    </row>
    <row r="44" spans="1:17">
      <c r="A44" s="803" t="s">
        <v>978</v>
      </c>
      <c r="B44" s="804"/>
      <c r="C44" s="804"/>
      <c r="D44" s="799"/>
      <c r="E44" s="822"/>
      <c r="F44" s="809"/>
      <c r="G44" s="826"/>
      <c r="H44" s="809"/>
      <c r="I44" s="813"/>
      <c r="J44" s="809"/>
      <c r="K44" s="826"/>
      <c r="L44" s="814"/>
      <c r="M44" s="814"/>
      <c r="N44" s="814"/>
      <c r="O44" s="814"/>
      <c r="P44" s="828"/>
    </row>
    <row r="45" spans="1:17">
      <c r="A45" s="22" t="s">
        <v>117</v>
      </c>
      <c r="B45" s="22" t="s">
        <v>510</v>
      </c>
      <c r="C45" s="22" t="s">
        <v>698</v>
      </c>
      <c r="D45" s="86" t="s">
        <v>921</v>
      </c>
      <c r="E45" s="820">
        <v>2035</v>
      </c>
      <c r="F45" s="760" t="s">
        <v>669</v>
      </c>
      <c r="G45" s="836" t="s">
        <v>669</v>
      </c>
      <c r="H45" s="760">
        <v>671</v>
      </c>
      <c r="I45" s="837" t="s">
        <v>698</v>
      </c>
      <c r="J45" s="215">
        <v>0</v>
      </c>
      <c r="K45" s="836" t="s">
        <v>669</v>
      </c>
      <c r="L45" s="838" t="s">
        <v>669</v>
      </c>
      <c r="M45" s="695"/>
      <c r="N45" s="695" t="s">
        <v>669</v>
      </c>
      <c r="O45" s="695" t="s">
        <v>669</v>
      </c>
      <c r="P45" s="839"/>
      <c r="Q45" s="777" t="str">
        <f t="shared" si="0"/>
        <v/>
      </c>
    </row>
    <row r="46" spans="1:17">
      <c r="A46" s="22" t="s">
        <v>117</v>
      </c>
      <c r="B46" s="22" t="s">
        <v>511</v>
      </c>
      <c r="C46" s="22" t="s">
        <v>698</v>
      </c>
      <c r="D46" s="86" t="s">
        <v>921</v>
      </c>
      <c r="E46" s="820">
        <v>2035</v>
      </c>
      <c r="F46" s="760" t="s">
        <v>669</v>
      </c>
      <c r="G46" s="836" t="s">
        <v>669</v>
      </c>
      <c r="H46" s="760">
        <v>912</v>
      </c>
      <c r="I46" s="837" t="s">
        <v>698</v>
      </c>
      <c r="J46" s="215">
        <v>0</v>
      </c>
      <c r="K46" s="836" t="s">
        <v>669</v>
      </c>
      <c r="L46" s="838" t="s">
        <v>669</v>
      </c>
      <c r="M46" s="695"/>
      <c r="N46" s="695" t="s">
        <v>669</v>
      </c>
      <c r="O46" s="695" t="s">
        <v>669</v>
      </c>
      <c r="P46" s="839"/>
      <c r="Q46" s="777" t="str">
        <f t="shared" si="0"/>
        <v/>
      </c>
    </row>
    <row r="47" spans="1:17">
      <c r="A47" s="22" t="s">
        <v>117</v>
      </c>
      <c r="B47" s="22" t="s">
        <v>512</v>
      </c>
      <c r="C47" s="22" t="s">
        <v>698</v>
      </c>
      <c r="D47" s="86" t="s">
        <v>921</v>
      </c>
      <c r="E47" s="820">
        <v>2035</v>
      </c>
      <c r="F47" s="760" t="s">
        <v>669</v>
      </c>
      <c r="G47" s="836" t="s">
        <v>669</v>
      </c>
      <c r="H47" s="760">
        <v>527</v>
      </c>
      <c r="I47" s="837" t="s">
        <v>698</v>
      </c>
      <c r="J47" s="215">
        <v>0</v>
      </c>
      <c r="K47" s="836" t="s">
        <v>669</v>
      </c>
      <c r="L47" s="838" t="s">
        <v>669</v>
      </c>
      <c r="M47" s="695"/>
      <c r="N47" s="695" t="s">
        <v>669</v>
      </c>
      <c r="O47" s="695" t="s">
        <v>669</v>
      </c>
      <c r="P47" s="839"/>
      <c r="Q47" s="777" t="str">
        <f t="shared" si="0"/>
        <v/>
      </c>
    </row>
    <row r="48" spans="1:17">
      <c r="A48" s="22" t="s">
        <v>117</v>
      </c>
      <c r="B48" s="22" t="s">
        <v>513</v>
      </c>
      <c r="C48" s="22" t="s">
        <v>698</v>
      </c>
      <c r="D48" s="86" t="s">
        <v>921</v>
      </c>
      <c r="E48" s="820">
        <v>2035</v>
      </c>
      <c r="F48" s="760" t="s">
        <v>669</v>
      </c>
      <c r="G48" s="836" t="s">
        <v>669</v>
      </c>
      <c r="H48" s="760">
        <v>343.2</v>
      </c>
      <c r="I48" s="837" t="s">
        <v>698</v>
      </c>
      <c r="J48" s="215">
        <v>0</v>
      </c>
      <c r="K48" s="836" t="s">
        <v>669</v>
      </c>
      <c r="L48" s="838" t="s">
        <v>669</v>
      </c>
      <c r="M48" s="695"/>
      <c r="N48" s="695" t="s">
        <v>669</v>
      </c>
      <c r="O48" s="695" t="s">
        <v>669</v>
      </c>
      <c r="P48" s="839"/>
      <c r="Q48" s="777" t="str">
        <f t="shared" si="0"/>
        <v/>
      </c>
    </row>
    <row r="49" spans="1:17">
      <c r="A49" s="22" t="s">
        <v>117</v>
      </c>
      <c r="B49" s="22" t="s">
        <v>509</v>
      </c>
      <c r="C49" s="22" t="s">
        <v>698</v>
      </c>
      <c r="D49" s="86" t="s">
        <v>921</v>
      </c>
      <c r="E49" s="820">
        <v>2035</v>
      </c>
      <c r="F49" s="760">
        <v>1343</v>
      </c>
      <c r="G49" s="836" t="s">
        <v>669</v>
      </c>
      <c r="H49" s="760">
        <v>630</v>
      </c>
      <c r="I49" s="837" t="s">
        <v>669</v>
      </c>
      <c r="J49" s="215">
        <v>587</v>
      </c>
      <c r="K49" s="836" t="s">
        <v>698</v>
      </c>
      <c r="L49" s="838">
        <v>1.0732538330494037</v>
      </c>
      <c r="M49" s="695"/>
      <c r="N49" s="695">
        <v>0.90618019359642588</v>
      </c>
      <c r="O49" s="695">
        <v>0.90618019359642588</v>
      </c>
      <c r="P49" s="839"/>
      <c r="Q49" s="777" t="str">
        <f t="shared" si="0"/>
        <v/>
      </c>
    </row>
    <row r="50" spans="1:17">
      <c r="A50" s="22" t="s">
        <v>117</v>
      </c>
      <c r="B50" s="22" t="s">
        <v>514</v>
      </c>
      <c r="C50" s="22" t="s">
        <v>698</v>
      </c>
      <c r="D50" s="86" t="s">
        <v>921</v>
      </c>
      <c r="E50" s="820">
        <v>2035</v>
      </c>
      <c r="F50" s="760" t="s">
        <v>669</v>
      </c>
      <c r="G50" s="836" t="s">
        <v>669</v>
      </c>
      <c r="H50" s="760">
        <v>540</v>
      </c>
      <c r="I50" s="837" t="s">
        <v>698</v>
      </c>
      <c r="J50" s="215">
        <v>0</v>
      </c>
      <c r="K50" s="836" t="s">
        <v>669</v>
      </c>
      <c r="L50" s="838" t="s">
        <v>669</v>
      </c>
      <c r="M50" s="695"/>
      <c r="N50" s="695" t="s">
        <v>669</v>
      </c>
      <c r="O50" s="695" t="s">
        <v>669</v>
      </c>
      <c r="P50" s="839"/>
      <c r="Q50" s="777" t="str">
        <f t="shared" si="0"/>
        <v/>
      </c>
    </row>
    <row r="51" spans="1:17">
      <c r="A51" s="22" t="s">
        <v>117</v>
      </c>
      <c r="B51" s="22" t="s">
        <v>822</v>
      </c>
      <c r="C51" s="22" t="s">
        <v>698</v>
      </c>
      <c r="D51" s="86" t="s">
        <v>921</v>
      </c>
      <c r="E51" s="820">
        <v>2035</v>
      </c>
      <c r="F51" s="760" t="s">
        <v>669</v>
      </c>
      <c r="G51" s="836" t="s">
        <v>698</v>
      </c>
      <c r="H51" s="760">
        <v>340</v>
      </c>
      <c r="I51" s="837" t="s">
        <v>698</v>
      </c>
      <c r="J51" s="215">
        <v>0</v>
      </c>
      <c r="K51" s="836" t="s">
        <v>669</v>
      </c>
      <c r="L51" s="838" t="s">
        <v>669</v>
      </c>
      <c r="M51" s="695"/>
      <c r="N51" s="695" t="s">
        <v>669</v>
      </c>
      <c r="O51" s="695" t="s">
        <v>669</v>
      </c>
      <c r="P51" s="839"/>
      <c r="Q51" s="777" t="str">
        <f t="shared" si="0"/>
        <v/>
      </c>
    </row>
    <row r="52" spans="1:17">
      <c r="A52" s="22" t="s">
        <v>117</v>
      </c>
      <c r="B52" s="22" t="s">
        <v>531</v>
      </c>
      <c r="C52" s="22" t="s">
        <v>698</v>
      </c>
      <c r="D52" s="86" t="s">
        <v>921</v>
      </c>
      <c r="E52" s="820">
        <v>2035</v>
      </c>
      <c r="F52" s="760" t="s">
        <v>669</v>
      </c>
      <c r="G52" s="836" t="s">
        <v>698</v>
      </c>
      <c r="H52" s="760">
        <v>340</v>
      </c>
      <c r="I52" s="837" t="s">
        <v>698</v>
      </c>
      <c r="J52" s="215">
        <v>0</v>
      </c>
      <c r="K52" s="836" t="s">
        <v>669</v>
      </c>
      <c r="L52" s="838" t="s">
        <v>669</v>
      </c>
      <c r="M52" s="695"/>
      <c r="N52" s="695" t="s">
        <v>669</v>
      </c>
      <c r="O52" s="695" t="s">
        <v>669</v>
      </c>
      <c r="P52" s="839"/>
      <c r="Q52" s="777" t="str">
        <f t="shared" si="0"/>
        <v/>
      </c>
    </row>
    <row r="53" spans="1:17">
      <c r="A53" s="22" t="s">
        <v>117</v>
      </c>
      <c r="B53" s="22" t="s">
        <v>826</v>
      </c>
      <c r="C53" s="22" t="s">
        <v>698</v>
      </c>
      <c r="D53" s="86" t="s">
        <v>921</v>
      </c>
      <c r="E53" s="820">
        <v>2035</v>
      </c>
      <c r="F53" s="760" t="s">
        <v>669</v>
      </c>
      <c r="G53" s="836" t="s">
        <v>698</v>
      </c>
      <c r="H53" s="760">
        <v>120</v>
      </c>
      <c r="I53" s="837" t="s">
        <v>698</v>
      </c>
      <c r="J53" s="215">
        <v>0</v>
      </c>
      <c r="K53" s="836" t="s">
        <v>669</v>
      </c>
      <c r="L53" s="838" t="s">
        <v>669</v>
      </c>
      <c r="M53" s="695"/>
      <c r="N53" s="695" t="s">
        <v>669</v>
      </c>
      <c r="O53" s="695" t="s">
        <v>669</v>
      </c>
      <c r="P53" s="839"/>
      <c r="Q53" s="777" t="str">
        <f t="shared" si="0"/>
        <v/>
      </c>
    </row>
    <row r="54" spans="1:17">
      <c r="A54" s="176" t="s">
        <v>117</v>
      </c>
      <c r="B54" s="176" t="s">
        <v>533</v>
      </c>
      <c r="C54" s="176" t="s">
        <v>698</v>
      </c>
      <c r="D54" s="134" t="s">
        <v>921</v>
      </c>
      <c r="E54" s="821">
        <v>2035</v>
      </c>
      <c r="F54" s="318" t="s">
        <v>669</v>
      </c>
      <c r="G54" s="841" t="s">
        <v>698</v>
      </c>
      <c r="H54" s="318">
        <v>120</v>
      </c>
      <c r="I54" s="842" t="s">
        <v>698</v>
      </c>
      <c r="J54" s="318">
        <v>0</v>
      </c>
      <c r="K54" s="841" t="s">
        <v>669</v>
      </c>
      <c r="L54" s="843" t="s">
        <v>669</v>
      </c>
      <c r="M54" s="843"/>
      <c r="N54" s="843" t="s">
        <v>669</v>
      </c>
      <c r="O54" s="843" t="s">
        <v>669</v>
      </c>
      <c r="P54" s="844"/>
      <c r="Q54" s="777" t="str">
        <f t="shared" si="0"/>
        <v/>
      </c>
    </row>
    <row r="55" spans="1:17">
      <c r="A55" s="22" t="s">
        <v>117</v>
      </c>
      <c r="B55" s="22" t="s">
        <v>512</v>
      </c>
      <c r="C55" s="22" t="s">
        <v>699</v>
      </c>
      <c r="D55" s="86" t="s">
        <v>921</v>
      </c>
      <c r="E55" s="820">
        <v>2035</v>
      </c>
      <c r="F55" s="760" t="s">
        <v>669</v>
      </c>
      <c r="G55" s="836" t="s">
        <v>669</v>
      </c>
      <c r="H55" s="760">
        <v>139</v>
      </c>
      <c r="I55" s="837" t="s">
        <v>699</v>
      </c>
      <c r="J55" s="215">
        <v>0</v>
      </c>
      <c r="K55" s="836" t="s">
        <v>669</v>
      </c>
      <c r="L55" s="838" t="s">
        <v>669</v>
      </c>
      <c r="M55" s="695"/>
      <c r="N55" s="695" t="s">
        <v>669</v>
      </c>
      <c r="O55" s="695" t="s">
        <v>669</v>
      </c>
      <c r="P55" s="839"/>
      <c r="Q55" s="777" t="str">
        <f t="shared" si="0"/>
        <v/>
      </c>
    </row>
    <row r="56" spans="1:17">
      <c r="A56" s="22" t="s">
        <v>117</v>
      </c>
      <c r="B56" s="22" t="s">
        <v>511</v>
      </c>
      <c r="C56" s="22" t="s">
        <v>699</v>
      </c>
      <c r="D56" s="86" t="s">
        <v>921</v>
      </c>
      <c r="E56" s="820">
        <v>2035</v>
      </c>
      <c r="F56" s="760" t="s">
        <v>669</v>
      </c>
      <c r="G56" s="836" t="s">
        <v>669</v>
      </c>
      <c r="H56" s="760">
        <v>757.4</v>
      </c>
      <c r="I56" s="837" t="s">
        <v>699</v>
      </c>
      <c r="J56" s="215">
        <v>0</v>
      </c>
      <c r="K56" s="836" t="s">
        <v>669</v>
      </c>
      <c r="L56" s="838" t="s">
        <v>669</v>
      </c>
      <c r="M56" s="695"/>
      <c r="N56" s="695" t="s">
        <v>669</v>
      </c>
      <c r="O56" s="695" t="s">
        <v>669</v>
      </c>
      <c r="P56" s="839"/>
      <c r="Q56" s="777" t="str">
        <f t="shared" si="0"/>
        <v/>
      </c>
    </row>
    <row r="57" spans="1:17">
      <c r="A57" s="22" t="s">
        <v>117</v>
      </c>
      <c r="B57" s="22" t="s">
        <v>510</v>
      </c>
      <c r="C57" s="22" t="s">
        <v>699</v>
      </c>
      <c r="D57" s="86" t="s">
        <v>921</v>
      </c>
      <c r="E57" s="820">
        <v>2035</v>
      </c>
      <c r="F57" s="760" t="s">
        <v>669</v>
      </c>
      <c r="G57" s="836" t="s">
        <v>669</v>
      </c>
      <c r="H57" s="760">
        <v>88</v>
      </c>
      <c r="I57" s="837" t="s">
        <v>699</v>
      </c>
      <c r="J57" s="215">
        <v>0</v>
      </c>
      <c r="K57" s="836" t="s">
        <v>669</v>
      </c>
      <c r="L57" s="838" t="s">
        <v>669</v>
      </c>
      <c r="M57" s="695"/>
      <c r="N57" s="695" t="s">
        <v>669</v>
      </c>
      <c r="O57" s="695" t="s">
        <v>669</v>
      </c>
      <c r="P57" s="839"/>
      <c r="Q57" s="777" t="str">
        <f t="shared" si="0"/>
        <v/>
      </c>
    </row>
    <row r="58" spans="1:17">
      <c r="A58" s="22" t="s">
        <v>117</v>
      </c>
      <c r="B58" s="22" t="s">
        <v>513</v>
      </c>
      <c r="C58" s="22" t="s">
        <v>699</v>
      </c>
      <c r="D58" s="86" t="s">
        <v>921</v>
      </c>
      <c r="E58" s="820">
        <v>2035</v>
      </c>
      <c r="F58" s="760" t="s">
        <v>669</v>
      </c>
      <c r="G58" s="836" t="s">
        <v>669</v>
      </c>
      <c r="H58" s="760">
        <v>295</v>
      </c>
      <c r="I58" s="837" t="s">
        <v>699</v>
      </c>
      <c r="J58" s="215">
        <v>0</v>
      </c>
      <c r="K58" s="836" t="s">
        <v>669</v>
      </c>
      <c r="L58" s="838" t="s">
        <v>669</v>
      </c>
      <c r="M58" s="695"/>
      <c r="N58" s="695" t="s">
        <v>669</v>
      </c>
      <c r="O58" s="695" t="s">
        <v>669</v>
      </c>
      <c r="P58" s="839"/>
      <c r="Q58" s="777" t="str">
        <f t="shared" si="0"/>
        <v/>
      </c>
    </row>
    <row r="59" spans="1:17">
      <c r="A59" s="22" t="s">
        <v>117</v>
      </c>
      <c r="B59" s="22" t="s">
        <v>509</v>
      </c>
      <c r="C59" s="22" t="s">
        <v>699</v>
      </c>
      <c r="D59" s="86" t="s">
        <v>921</v>
      </c>
      <c r="E59" s="820">
        <v>2035</v>
      </c>
      <c r="F59" s="760">
        <v>498</v>
      </c>
      <c r="G59" s="836" t="s">
        <v>669</v>
      </c>
      <c r="H59" s="760">
        <v>234</v>
      </c>
      <c r="I59" s="837" t="s">
        <v>669</v>
      </c>
      <c r="J59" s="215">
        <v>213</v>
      </c>
      <c r="K59" s="836" t="s">
        <v>699</v>
      </c>
      <c r="L59" s="838">
        <v>1.0985915492957747</v>
      </c>
      <c r="M59" s="695"/>
      <c r="N59" s="695">
        <v>0.89759036144578308</v>
      </c>
      <c r="O59" s="695">
        <v>0.89759036144578308</v>
      </c>
      <c r="P59" s="839"/>
      <c r="Q59" s="777" t="str">
        <f t="shared" si="0"/>
        <v/>
      </c>
    </row>
    <row r="60" spans="1:17">
      <c r="A60" s="22" t="s">
        <v>117</v>
      </c>
      <c r="B60" s="22" t="s">
        <v>532</v>
      </c>
      <c r="C60" s="22" t="s">
        <v>699</v>
      </c>
      <c r="D60" s="86" t="s">
        <v>921</v>
      </c>
      <c r="E60" s="820">
        <v>2035</v>
      </c>
      <c r="F60" s="760">
        <v>132</v>
      </c>
      <c r="G60" s="836" t="s">
        <v>669</v>
      </c>
      <c r="H60" s="760">
        <v>49</v>
      </c>
      <c r="I60" s="837" t="s">
        <v>669</v>
      </c>
      <c r="J60" s="215">
        <v>80</v>
      </c>
      <c r="K60" s="836" t="s">
        <v>699</v>
      </c>
      <c r="L60" s="838">
        <v>0.61250000000000004</v>
      </c>
      <c r="M60" s="695"/>
      <c r="N60" s="695">
        <v>0.97727272727272729</v>
      </c>
      <c r="O60" s="695">
        <v>0.97727272727272729</v>
      </c>
      <c r="P60" s="839"/>
      <c r="Q60" s="777" t="str">
        <f t="shared" si="0"/>
        <v/>
      </c>
    </row>
    <row r="61" spans="1:17">
      <c r="A61" s="22" t="s">
        <v>117</v>
      </c>
      <c r="B61" s="22" t="s">
        <v>514</v>
      </c>
      <c r="C61" s="22" t="s">
        <v>699</v>
      </c>
      <c r="D61" s="86" t="s">
        <v>921</v>
      </c>
      <c r="E61" s="820">
        <v>2035</v>
      </c>
      <c r="F61" s="760" t="s">
        <v>669</v>
      </c>
      <c r="G61" s="836" t="s">
        <v>669</v>
      </c>
      <c r="H61" s="760">
        <v>150</v>
      </c>
      <c r="I61" s="837" t="s">
        <v>699</v>
      </c>
      <c r="J61" s="215">
        <v>0</v>
      </c>
      <c r="K61" s="836" t="s">
        <v>669</v>
      </c>
      <c r="L61" s="838" t="s">
        <v>669</v>
      </c>
      <c r="M61" s="695"/>
      <c r="N61" s="695" t="s">
        <v>669</v>
      </c>
      <c r="O61" s="695" t="s">
        <v>669</v>
      </c>
      <c r="P61" s="839"/>
      <c r="Q61" s="777" t="str">
        <f t="shared" si="0"/>
        <v/>
      </c>
    </row>
    <row r="62" spans="1:17">
      <c r="A62" s="22" t="s">
        <v>117</v>
      </c>
      <c r="B62" s="22" t="s">
        <v>822</v>
      </c>
      <c r="C62" s="22" t="s">
        <v>699</v>
      </c>
      <c r="D62" s="86" t="s">
        <v>921</v>
      </c>
      <c r="E62" s="820">
        <v>2035</v>
      </c>
      <c r="F62" s="760" t="s">
        <v>669</v>
      </c>
      <c r="G62" s="836" t="s">
        <v>699</v>
      </c>
      <c r="H62" s="760">
        <v>280</v>
      </c>
      <c r="I62" s="837" t="s">
        <v>699</v>
      </c>
      <c r="J62" s="215">
        <v>0</v>
      </c>
      <c r="K62" s="836" t="s">
        <v>669</v>
      </c>
      <c r="L62" s="838" t="s">
        <v>669</v>
      </c>
      <c r="M62" s="695"/>
      <c r="N62" s="695" t="s">
        <v>669</v>
      </c>
      <c r="O62" s="695" t="s">
        <v>669</v>
      </c>
      <c r="P62" s="839"/>
      <c r="Q62" s="777" t="str">
        <f t="shared" si="0"/>
        <v/>
      </c>
    </row>
    <row r="63" spans="1:17">
      <c r="A63" s="176" t="s">
        <v>117</v>
      </c>
      <c r="B63" s="176" t="s">
        <v>531</v>
      </c>
      <c r="C63" s="176" t="s">
        <v>699</v>
      </c>
      <c r="D63" s="134" t="s">
        <v>921</v>
      </c>
      <c r="E63" s="821">
        <v>2035</v>
      </c>
      <c r="F63" s="318" t="s">
        <v>669</v>
      </c>
      <c r="G63" s="841" t="s">
        <v>699</v>
      </c>
      <c r="H63" s="318">
        <v>280</v>
      </c>
      <c r="I63" s="842" t="s">
        <v>699</v>
      </c>
      <c r="J63" s="318">
        <v>0</v>
      </c>
      <c r="K63" s="841" t="s">
        <v>669</v>
      </c>
      <c r="L63" s="843" t="s">
        <v>669</v>
      </c>
      <c r="M63" s="843"/>
      <c r="N63" s="843" t="s">
        <v>669</v>
      </c>
      <c r="O63" s="843" t="s">
        <v>669</v>
      </c>
      <c r="P63" s="844"/>
      <c r="Q63" s="777" t="str">
        <f t="shared" si="0"/>
        <v/>
      </c>
    </row>
    <row r="64" spans="1:17">
      <c r="A64" s="22" t="s">
        <v>117</v>
      </c>
      <c r="B64" s="22" t="s">
        <v>511</v>
      </c>
      <c r="C64" s="22" t="s">
        <v>700</v>
      </c>
      <c r="D64" s="86" t="s">
        <v>921</v>
      </c>
      <c r="E64" s="820">
        <v>2035</v>
      </c>
      <c r="F64" s="760" t="s">
        <v>669</v>
      </c>
      <c r="G64" s="836" t="s">
        <v>669</v>
      </c>
      <c r="H64" s="760">
        <v>427</v>
      </c>
      <c r="I64" s="837" t="s">
        <v>700</v>
      </c>
      <c r="J64" s="215">
        <v>0</v>
      </c>
      <c r="K64" s="836" t="s">
        <v>669</v>
      </c>
      <c r="L64" s="838" t="s">
        <v>669</v>
      </c>
      <c r="M64" s="695"/>
      <c r="N64" s="695" t="s">
        <v>669</v>
      </c>
      <c r="O64" s="695" t="s">
        <v>669</v>
      </c>
      <c r="P64" s="839"/>
      <c r="Q64" s="777" t="str">
        <f t="shared" si="0"/>
        <v/>
      </c>
    </row>
    <row r="65" spans="1:17">
      <c r="A65" s="22" t="s">
        <v>117</v>
      </c>
      <c r="B65" s="22" t="s">
        <v>510</v>
      </c>
      <c r="C65" s="22" t="s">
        <v>700</v>
      </c>
      <c r="D65" s="86" t="s">
        <v>921</v>
      </c>
      <c r="E65" s="820">
        <v>2035</v>
      </c>
      <c r="F65" s="760" t="s">
        <v>669</v>
      </c>
      <c r="G65" s="836" t="s">
        <v>669</v>
      </c>
      <c r="H65" s="760">
        <v>92</v>
      </c>
      <c r="I65" s="837" t="s">
        <v>700</v>
      </c>
      <c r="J65" s="215">
        <v>0</v>
      </c>
      <c r="K65" s="836" t="s">
        <v>669</v>
      </c>
      <c r="L65" s="838" t="s">
        <v>669</v>
      </c>
      <c r="M65" s="695"/>
      <c r="N65" s="695" t="s">
        <v>669</v>
      </c>
      <c r="O65" s="695" t="s">
        <v>669</v>
      </c>
      <c r="P65" s="839"/>
      <c r="Q65" s="777" t="str">
        <f t="shared" si="0"/>
        <v/>
      </c>
    </row>
    <row r="66" spans="1:17">
      <c r="A66" s="22" t="s">
        <v>117</v>
      </c>
      <c r="B66" s="22" t="s">
        <v>535</v>
      </c>
      <c r="C66" s="22" t="s">
        <v>700</v>
      </c>
      <c r="D66" s="86" t="s">
        <v>921</v>
      </c>
      <c r="E66" s="820">
        <v>2035</v>
      </c>
      <c r="F66" s="760" t="s">
        <v>669</v>
      </c>
      <c r="G66" s="836" t="s">
        <v>669</v>
      </c>
      <c r="H66" s="760">
        <v>80</v>
      </c>
      <c r="I66" s="837" t="s">
        <v>700</v>
      </c>
      <c r="J66" s="215">
        <v>0</v>
      </c>
      <c r="K66" s="836" t="s">
        <v>669</v>
      </c>
      <c r="L66" s="838" t="s">
        <v>669</v>
      </c>
      <c r="M66" s="695"/>
      <c r="N66" s="695" t="s">
        <v>669</v>
      </c>
      <c r="O66" s="695" t="s">
        <v>669</v>
      </c>
      <c r="P66" s="839"/>
      <c r="Q66" s="777" t="str">
        <f t="shared" si="0"/>
        <v/>
      </c>
    </row>
    <row r="67" spans="1:17">
      <c r="A67" s="22" t="s">
        <v>117</v>
      </c>
      <c r="B67" s="22" t="s">
        <v>509</v>
      </c>
      <c r="C67" s="22" t="s">
        <v>700</v>
      </c>
      <c r="D67" s="86" t="s">
        <v>921</v>
      </c>
      <c r="E67" s="820">
        <v>2035</v>
      </c>
      <c r="F67" s="760">
        <v>220</v>
      </c>
      <c r="G67" s="836" t="s">
        <v>669</v>
      </c>
      <c r="H67" s="760">
        <v>88</v>
      </c>
      <c r="I67" s="837" t="s">
        <v>669</v>
      </c>
      <c r="J67" s="215">
        <v>90</v>
      </c>
      <c r="K67" s="836" t="s">
        <v>700</v>
      </c>
      <c r="L67" s="838">
        <v>0.97777777777777775</v>
      </c>
      <c r="M67" s="695"/>
      <c r="N67" s="695">
        <v>0.80909090909090908</v>
      </c>
      <c r="O67" s="695">
        <v>0.80909090909090908</v>
      </c>
      <c r="P67" s="839"/>
      <c r="Q67" s="777" t="str">
        <f t="shared" si="0"/>
        <v/>
      </c>
    </row>
    <row r="68" spans="1:17">
      <c r="A68" s="22" t="s">
        <v>117</v>
      </c>
      <c r="B68" s="22" t="s">
        <v>515</v>
      </c>
      <c r="C68" s="22" t="s">
        <v>700</v>
      </c>
      <c r="D68" s="86" t="s">
        <v>921</v>
      </c>
      <c r="E68" s="820">
        <v>2035</v>
      </c>
      <c r="F68" s="760">
        <v>120</v>
      </c>
      <c r="G68" s="836" t="s">
        <v>669</v>
      </c>
      <c r="H68" s="760">
        <v>28</v>
      </c>
      <c r="I68" s="837" t="s">
        <v>669</v>
      </c>
      <c r="J68" s="215">
        <v>105</v>
      </c>
      <c r="K68" s="836" t="s">
        <v>700</v>
      </c>
      <c r="L68" s="838">
        <v>0.26666666666666666</v>
      </c>
      <c r="M68" s="695"/>
      <c r="N68" s="695">
        <v>1.1083333333333334</v>
      </c>
      <c r="O68" s="695">
        <v>1.1083333333333334</v>
      </c>
      <c r="P68" s="839"/>
      <c r="Q68" s="777" t="str">
        <f t="shared" si="0"/>
        <v/>
      </c>
    </row>
    <row r="69" spans="1:17">
      <c r="A69" s="22" t="s">
        <v>117</v>
      </c>
      <c r="B69" s="22" t="s">
        <v>519</v>
      </c>
      <c r="C69" s="22" t="s">
        <v>700</v>
      </c>
      <c r="D69" s="86" t="s">
        <v>921</v>
      </c>
      <c r="E69" s="820">
        <v>2035</v>
      </c>
      <c r="F69" s="760">
        <v>202</v>
      </c>
      <c r="G69" s="836" t="s">
        <v>669</v>
      </c>
      <c r="H69" s="760">
        <v>76.400000000000006</v>
      </c>
      <c r="I69" s="837" t="s">
        <v>669</v>
      </c>
      <c r="J69" s="215">
        <v>147</v>
      </c>
      <c r="K69" s="836" t="s">
        <v>700</v>
      </c>
      <c r="L69" s="838">
        <v>0.51972789115646267</v>
      </c>
      <c r="M69" s="695"/>
      <c r="N69" s="695">
        <v>1.105940594059406</v>
      </c>
      <c r="O69" s="695">
        <v>1.105940594059406</v>
      </c>
      <c r="P69" s="839"/>
      <c r="Q69" s="777" t="str">
        <f t="shared" ref="Q69:Q130" si="1">IF(H69+J69&gt;=20,"","Remove")</f>
        <v/>
      </c>
    </row>
    <row r="70" spans="1:17">
      <c r="A70" s="22" t="s">
        <v>117</v>
      </c>
      <c r="B70" s="22" t="s">
        <v>514</v>
      </c>
      <c r="C70" s="22" t="s">
        <v>700</v>
      </c>
      <c r="D70" s="86" t="s">
        <v>921</v>
      </c>
      <c r="E70" s="820">
        <v>2035</v>
      </c>
      <c r="F70" s="760" t="s">
        <v>669</v>
      </c>
      <c r="G70" s="836" t="s">
        <v>669</v>
      </c>
      <c r="H70" s="760">
        <v>180</v>
      </c>
      <c r="I70" s="837" t="s">
        <v>700</v>
      </c>
      <c r="J70" s="215">
        <v>0</v>
      </c>
      <c r="K70" s="836" t="s">
        <v>669</v>
      </c>
      <c r="L70" s="838" t="s">
        <v>669</v>
      </c>
      <c r="M70" s="695"/>
      <c r="N70" s="695" t="s">
        <v>669</v>
      </c>
      <c r="O70" s="695" t="s">
        <v>669</v>
      </c>
      <c r="P70" s="839"/>
      <c r="Q70" s="777" t="str">
        <f t="shared" si="1"/>
        <v/>
      </c>
    </row>
    <row r="71" spans="1:17">
      <c r="A71" s="22" t="s">
        <v>117</v>
      </c>
      <c r="B71" s="22" t="s">
        <v>513</v>
      </c>
      <c r="C71" s="22" t="s">
        <v>700</v>
      </c>
      <c r="D71" s="86" t="s">
        <v>921</v>
      </c>
      <c r="E71" s="820">
        <v>2035</v>
      </c>
      <c r="F71" s="760" t="s">
        <v>669</v>
      </c>
      <c r="G71" s="836" t="s">
        <v>669</v>
      </c>
      <c r="H71" s="760">
        <v>35</v>
      </c>
      <c r="I71" s="837" t="s">
        <v>700</v>
      </c>
      <c r="J71" s="215">
        <v>0</v>
      </c>
      <c r="K71" s="836" t="s">
        <v>669</v>
      </c>
      <c r="L71" s="838" t="s">
        <v>669</v>
      </c>
      <c r="M71" s="695"/>
      <c r="N71" s="695" t="s">
        <v>669</v>
      </c>
      <c r="O71" s="695" t="s">
        <v>669</v>
      </c>
      <c r="P71" s="839"/>
      <c r="Q71" s="777" t="str">
        <f t="shared" si="1"/>
        <v/>
      </c>
    </row>
    <row r="72" spans="1:17">
      <c r="A72" s="22" t="s">
        <v>117</v>
      </c>
      <c r="B72" s="22" t="s">
        <v>512</v>
      </c>
      <c r="C72" s="22" t="s">
        <v>700</v>
      </c>
      <c r="D72" s="86" t="s">
        <v>921</v>
      </c>
      <c r="E72" s="820">
        <v>2035</v>
      </c>
      <c r="F72" s="760" t="s">
        <v>669</v>
      </c>
      <c r="G72" s="836" t="s">
        <v>669</v>
      </c>
      <c r="H72" s="760">
        <v>23</v>
      </c>
      <c r="I72" s="837" t="s">
        <v>700</v>
      </c>
      <c r="J72" s="215">
        <v>0</v>
      </c>
      <c r="K72" s="836" t="s">
        <v>669</v>
      </c>
      <c r="L72" s="838" t="s">
        <v>669</v>
      </c>
      <c r="M72" s="695"/>
      <c r="N72" s="695" t="s">
        <v>669</v>
      </c>
      <c r="O72" s="695" t="s">
        <v>669</v>
      </c>
      <c r="P72" s="839"/>
      <c r="Q72" s="777" t="str">
        <f t="shared" si="1"/>
        <v/>
      </c>
    </row>
    <row r="73" spans="1:17">
      <c r="A73" s="22" t="s">
        <v>117</v>
      </c>
      <c r="B73" s="22" t="s">
        <v>822</v>
      </c>
      <c r="C73" s="22" t="s">
        <v>700</v>
      </c>
      <c r="D73" s="86" t="s">
        <v>921</v>
      </c>
      <c r="E73" s="820">
        <v>2035</v>
      </c>
      <c r="F73" s="760" t="s">
        <v>669</v>
      </c>
      <c r="G73" s="836" t="s">
        <v>700</v>
      </c>
      <c r="H73" s="760">
        <v>180</v>
      </c>
      <c r="I73" s="837" t="s">
        <v>700</v>
      </c>
      <c r="J73" s="215">
        <v>0</v>
      </c>
      <c r="K73" s="836" t="s">
        <v>669</v>
      </c>
      <c r="L73" s="838" t="s">
        <v>669</v>
      </c>
      <c r="M73" s="695"/>
      <c r="N73" s="695" t="s">
        <v>669</v>
      </c>
      <c r="O73" s="695" t="s">
        <v>669</v>
      </c>
      <c r="P73" s="839"/>
      <c r="Q73" s="777" t="str">
        <f t="shared" si="1"/>
        <v/>
      </c>
    </row>
    <row r="74" spans="1:17">
      <c r="A74" s="22" t="s">
        <v>117</v>
      </c>
      <c r="B74" s="22" t="s">
        <v>531</v>
      </c>
      <c r="C74" s="22" t="s">
        <v>700</v>
      </c>
      <c r="D74" s="86" t="s">
        <v>921</v>
      </c>
      <c r="E74" s="820">
        <v>2035</v>
      </c>
      <c r="F74" s="760" t="s">
        <v>669</v>
      </c>
      <c r="G74" s="836" t="s">
        <v>700</v>
      </c>
      <c r="H74" s="760">
        <v>180</v>
      </c>
      <c r="I74" s="837" t="s">
        <v>700</v>
      </c>
      <c r="J74" s="215">
        <v>0</v>
      </c>
      <c r="K74" s="836" t="s">
        <v>669</v>
      </c>
      <c r="L74" s="838" t="s">
        <v>669</v>
      </c>
      <c r="M74" s="695"/>
      <c r="N74" s="695" t="s">
        <v>669</v>
      </c>
      <c r="O74" s="695" t="s">
        <v>669</v>
      </c>
      <c r="P74" s="839"/>
      <c r="Q74" s="777" t="str">
        <f t="shared" si="1"/>
        <v/>
      </c>
    </row>
    <row r="75" spans="1:17">
      <c r="A75" s="22" t="s">
        <v>117</v>
      </c>
      <c r="B75" s="22" t="s">
        <v>830</v>
      </c>
      <c r="C75" s="22" t="s">
        <v>700</v>
      </c>
      <c r="D75" s="86" t="s">
        <v>921</v>
      </c>
      <c r="E75" s="820">
        <v>2035</v>
      </c>
      <c r="F75" s="760" t="s">
        <v>669</v>
      </c>
      <c r="G75" s="836" t="s">
        <v>700</v>
      </c>
      <c r="H75" s="760">
        <v>200</v>
      </c>
      <c r="I75" s="837" t="s">
        <v>700</v>
      </c>
      <c r="J75" s="215">
        <v>0</v>
      </c>
      <c r="K75" s="836" t="s">
        <v>669</v>
      </c>
      <c r="L75" s="838" t="s">
        <v>669</v>
      </c>
      <c r="M75" s="695"/>
      <c r="N75" s="695" t="s">
        <v>669</v>
      </c>
      <c r="O75" s="695" t="s">
        <v>669</v>
      </c>
      <c r="P75" s="839"/>
      <c r="Q75" s="777" t="str">
        <f t="shared" si="1"/>
        <v/>
      </c>
    </row>
    <row r="76" spans="1:17">
      <c r="A76" s="176" t="s">
        <v>117</v>
      </c>
      <c r="B76" s="176" t="s">
        <v>534</v>
      </c>
      <c r="C76" s="176" t="s">
        <v>700</v>
      </c>
      <c r="D76" s="134" t="s">
        <v>921</v>
      </c>
      <c r="E76" s="821">
        <v>2035</v>
      </c>
      <c r="F76" s="318" t="s">
        <v>669</v>
      </c>
      <c r="G76" s="841" t="s">
        <v>700</v>
      </c>
      <c r="H76" s="318">
        <v>200</v>
      </c>
      <c r="I76" s="842" t="s">
        <v>700</v>
      </c>
      <c r="J76" s="318">
        <v>0</v>
      </c>
      <c r="K76" s="841" t="s">
        <v>669</v>
      </c>
      <c r="L76" s="843" t="s">
        <v>669</v>
      </c>
      <c r="M76" s="843"/>
      <c r="N76" s="843" t="s">
        <v>669</v>
      </c>
      <c r="O76" s="843" t="s">
        <v>669</v>
      </c>
      <c r="P76" s="844"/>
      <c r="Q76" s="777" t="str">
        <f t="shared" si="1"/>
        <v/>
      </c>
    </row>
    <row r="77" spans="1:17">
      <c r="A77" s="22" t="s">
        <v>117</v>
      </c>
      <c r="B77" s="22" t="s">
        <v>511</v>
      </c>
      <c r="C77" s="22" t="s">
        <v>702</v>
      </c>
      <c r="D77" s="86" t="s">
        <v>921</v>
      </c>
      <c r="E77" s="820">
        <v>2035</v>
      </c>
      <c r="F77" s="760" t="s">
        <v>669</v>
      </c>
      <c r="G77" s="836" t="s">
        <v>669</v>
      </c>
      <c r="H77" s="760">
        <v>235</v>
      </c>
      <c r="I77" s="837" t="s">
        <v>702</v>
      </c>
      <c r="J77" s="215">
        <v>0</v>
      </c>
      <c r="K77" s="836" t="s">
        <v>669</v>
      </c>
      <c r="L77" s="838" t="s">
        <v>669</v>
      </c>
      <c r="M77" s="695"/>
      <c r="N77" s="695" t="s">
        <v>669</v>
      </c>
      <c r="O77" s="695" t="s">
        <v>669</v>
      </c>
      <c r="P77" s="839"/>
      <c r="Q77" s="777" t="str">
        <f t="shared" si="1"/>
        <v/>
      </c>
    </row>
    <row r="78" spans="1:17">
      <c r="A78" s="22" t="s">
        <v>117</v>
      </c>
      <c r="B78" s="22" t="s">
        <v>510</v>
      </c>
      <c r="C78" s="22" t="s">
        <v>702</v>
      </c>
      <c r="D78" s="86" t="s">
        <v>921</v>
      </c>
      <c r="E78" s="820">
        <v>2035</v>
      </c>
      <c r="F78" s="760" t="s">
        <v>669</v>
      </c>
      <c r="G78" s="836" t="s">
        <v>669</v>
      </c>
      <c r="H78" s="760">
        <v>305</v>
      </c>
      <c r="I78" s="837" t="s">
        <v>702</v>
      </c>
      <c r="J78" s="215">
        <v>0</v>
      </c>
      <c r="K78" s="836" t="s">
        <v>669</v>
      </c>
      <c r="L78" s="838" t="s">
        <v>669</v>
      </c>
      <c r="M78" s="695"/>
      <c r="N78" s="695" t="s">
        <v>669</v>
      </c>
      <c r="O78" s="695" t="s">
        <v>669</v>
      </c>
      <c r="P78" s="839"/>
      <c r="Q78" s="777" t="str">
        <f t="shared" si="1"/>
        <v/>
      </c>
    </row>
    <row r="79" spans="1:17">
      <c r="A79" s="22" t="s">
        <v>117</v>
      </c>
      <c r="B79" s="22" t="s">
        <v>512</v>
      </c>
      <c r="C79" s="22" t="s">
        <v>702</v>
      </c>
      <c r="D79" s="86" t="s">
        <v>921</v>
      </c>
      <c r="E79" s="820">
        <v>2035</v>
      </c>
      <c r="F79" s="760" t="s">
        <v>669</v>
      </c>
      <c r="G79" s="836" t="s">
        <v>669</v>
      </c>
      <c r="H79" s="760">
        <v>92</v>
      </c>
      <c r="I79" s="837" t="s">
        <v>702</v>
      </c>
      <c r="J79" s="215">
        <v>0</v>
      </c>
      <c r="K79" s="836" t="s">
        <v>669</v>
      </c>
      <c r="L79" s="838" t="s">
        <v>669</v>
      </c>
      <c r="M79" s="695"/>
      <c r="N79" s="695" t="s">
        <v>669</v>
      </c>
      <c r="O79" s="695" t="s">
        <v>669</v>
      </c>
      <c r="P79" s="839"/>
      <c r="Q79" s="777" t="str">
        <f t="shared" si="1"/>
        <v/>
      </c>
    </row>
    <row r="80" spans="1:17">
      <c r="A80" s="22" t="s">
        <v>117</v>
      </c>
      <c r="B80" s="22" t="s">
        <v>514</v>
      </c>
      <c r="C80" s="22" t="s">
        <v>702</v>
      </c>
      <c r="D80" s="86" t="s">
        <v>921</v>
      </c>
      <c r="E80" s="820">
        <v>2035</v>
      </c>
      <c r="F80" s="760" t="s">
        <v>669</v>
      </c>
      <c r="G80" s="836" t="s">
        <v>669</v>
      </c>
      <c r="H80" s="760">
        <v>145</v>
      </c>
      <c r="I80" s="837" t="s">
        <v>702</v>
      </c>
      <c r="J80" s="215">
        <v>0</v>
      </c>
      <c r="K80" s="836" t="s">
        <v>669</v>
      </c>
      <c r="L80" s="838" t="s">
        <v>669</v>
      </c>
      <c r="M80" s="695"/>
      <c r="N80" s="695" t="s">
        <v>669</v>
      </c>
      <c r="O80" s="695" t="s">
        <v>669</v>
      </c>
      <c r="P80" s="839"/>
      <c r="Q80" s="777" t="str">
        <f t="shared" si="1"/>
        <v/>
      </c>
    </row>
    <row r="81" spans="1:17">
      <c r="A81" s="22" t="s">
        <v>117</v>
      </c>
      <c r="B81" s="22" t="s">
        <v>515</v>
      </c>
      <c r="C81" s="22" t="s">
        <v>702</v>
      </c>
      <c r="D81" s="86" t="s">
        <v>921</v>
      </c>
      <c r="E81" s="820">
        <v>2035</v>
      </c>
      <c r="F81" s="760">
        <v>210</v>
      </c>
      <c r="G81" s="836" t="s">
        <v>669</v>
      </c>
      <c r="H81" s="760">
        <v>55</v>
      </c>
      <c r="I81" s="837" t="s">
        <v>669</v>
      </c>
      <c r="J81" s="215">
        <v>160</v>
      </c>
      <c r="K81" s="836" t="s">
        <v>702</v>
      </c>
      <c r="L81" s="838">
        <v>0.34375</v>
      </c>
      <c r="M81" s="695"/>
      <c r="N81" s="695">
        <v>1.0238095238095237</v>
      </c>
      <c r="O81" s="695">
        <v>1.0238095238095237</v>
      </c>
      <c r="P81" s="839"/>
      <c r="Q81" s="777" t="str">
        <f t="shared" si="1"/>
        <v/>
      </c>
    </row>
    <row r="82" spans="1:17">
      <c r="A82" s="22" t="s">
        <v>117</v>
      </c>
      <c r="B82" s="22" t="s">
        <v>509</v>
      </c>
      <c r="C82" s="22" t="s">
        <v>702</v>
      </c>
      <c r="D82" s="86" t="s">
        <v>921</v>
      </c>
      <c r="E82" s="820">
        <v>2035</v>
      </c>
      <c r="F82" s="760">
        <v>336</v>
      </c>
      <c r="G82" s="836" t="s">
        <v>669</v>
      </c>
      <c r="H82" s="760">
        <v>147</v>
      </c>
      <c r="I82" s="837" t="s">
        <v>669</v>
      </c>
      <c r="J82" s="215">
        <v>170</v>
      </c>
      <c r="K82" s="836" t="s">
        <v>702</v>
      </c>
      <c r="L82" s="838">
        <v>0.86470588235294121</v>
      </c>
      <c r="M82" s="695"/>
      <c r="N82" s="695">
        <v>0.94345238095238093</v>
      </c>
      <c r="O82" s="695">
        <v>0.94345238095238093</v>
      </c>
      <c r="P82" s="839"/>
      <c r="Q82" s="777" t="str">
        <f t="shared" si="1"/>
        <v/>
      </c>
    </row>
    <row r="83" spans="1:17">
      <c r="A83" s="22" t="s">
        <v>117</v>
      </c>
      <c r="B83" s="22" t="s">
        <v>519</v>
      </c>
      <c r="C83" s="22" t="s">
        <v>702</v>
      </c>
      <c r="D83" s="86" t="s">
        <v>921</v>
      </c>
      <c r="E83" s="820">
        <v>2035</v>
      </c>
      <c r="F83" s="760">
        <v>66</v>
      </c>
      <c r="G83" s="836" t="s">
        <v>669</v>
      </c>
      <c r="H83" s="760">
        <v>12</v>
      </c>
      <c r="I83" s="837" t="s">
        <v>669</v>
      </c>
      <c r="J83" s="215">
        <v>46</v>
      </c>
      <c r="K83" s="836" t="s">
        <v>702</v>
      </c>
      <c r="L83" s="838">
        <v>0.2608695652173913</v>
      </c>
      <c r="M83" s="695"/>
      <c r="N83" s="695">
        <v>0.87878787878787878</v>
      </c>
      <c r="O83" s="695">
        <v>0.87878787878787878</v>
      </c>
      <c r="P83" s="839"/>
      <c r="Q83" s="777" t="str">
        <f t="shared" si="1"/>
        <v/>
      </c>
    </row>
    <row r="84" spans="1:17">
      <c r="A84" s="22" t="s">
        <v>117</v>
      </c>
      <c r="B84" s="22" t="s">
        <v>822</v>
      </c>
      <c r="C84" s="22" t="s">
        <v>702</v>
      </c>
      <c r="D84" s="86" t="s">
        <v>921</v>
      </c>
      <c r="E84" s="820">
        <v>2035</v>
      </c>
      <c r="F84" s="760" t="s">
        <v>669</v>
      </c>
      <c r="G84" s="836" t="s">
        <v>702</v>
      </c>
      <c r="H84" s="760">
        <v>100</v>
      </c>
      <c r="I84" s="837" t="s">
        <v>702</v>
      </c>
      <c r="J84" s="215">
        <v>0</v>
      </c>
      <c r="K84" s="836" t="s">
        <v>669</v>
      </c>
      <c r="L84" s="838" t="s">
        <v>669</v>
      </c>
      <c r="M84" s="695"/>
      <c r="N84" s="695" t="s">
        <v>669</v>
      </c>
      <c r="O84" s="695" t="s">
        <v>669</v>
      </c>
      <c r="P84" s="839"/>
      <c r="Q84" s="777" t="str">
        <f t="shared" si="1"/>
        <v/>
      </c>
    </row>
    <row r="85" spans="1:17">
      <c r="A85" s="176" t="s">
        <v>117</v>
      </c>
      <c r="B85" s="176" t="s">
        <v>531</v>
      </c>
      <c r="C85" s="176" t="s">
        <v>702</v>
      </c>
      <c r="D85" s="134" t="s">
        <v>921</v>
      </c>
      <c r="E85" s="821">
        <v>2035</v>
      </c>
      <c r="F85" s="318" t="s">
        <v>669</v>
      </c>
      <c r="G85" s="841" t="s">
        <v>702</v>
      </c>
      <c r="H85" s="318">
        <v>100</v>
      </c>
      <c r="I85" s="842" t="s">
        <v>702</v>
      </c>
      <c r="J85" s="318">
        <v>0</v>
      </c>
      <c r="K85" s="841" t="s">
        <v>669</v>
      </c>
      <c r="L85" s="843" t="s">
        <v>669</v>
      </c>
      <c r="M85" s="843"/>
      <c r="N85" s="843" t="s">
        <v>669</v>
      </c>
      <c r="O85" s="843" t="s">
        <v>669</v>
      </c>
      <c r="P85" s="844"/>
      <c r="Q85" s="777" t="str">
        <f t="shared" si="1"/>
        <v/>
      </c>
    </row>
    <row r="86" spans="1:17">
      <c r="A86" s="22" t="s">
        <v>117</v>
      </c>
      <c r="B86" s="22" t="s">
        <v>510</v>
      </c>
      <c r="C86" s="22" t="s">
        <v>703</v>
      </c>
      <c r="D86" s="86" t="s">
        <v>921</v>
      </c>
      <c r="E86" s="820">
        <v>2035</v>
      </c>
      <c r="F86" s="760" t="s">
        <v>669</v>
      </c>
      <c r="G86" s="836" t="s">
        <v>669</v>
      </c>
      <c r="H86" s="760">
        <v>348</v>
      </c>
      <c r="I86" s="837" t="s">
        <v>703</v>
      </c>
      <c r="J86" s="215">
        <v>0</v>
      </c>
      <c r="K86" s="836" t="s">
        <v>669</v>
      </c>
      <c r="L86" s="838" t="s">
        <v>669</v>
      </c>
      <c r="M86" s="695"/>
      <c r="N86" s="695" t="s">
        <v>669</v>
      </c>
      <c r="O86" s="695" t="s">
        <v>669</v>
      </c>
      <c r="P86" s="839"/>
      <c r="Q86" s="777" t="str">
        <f t="shared" si="1"/>
        <v/>
      </c>
    </row>
    <row r="87" spans="1:17">
      <c r="A87" s="22" t="s">
        <v>117</v>
      </c>
      <c r="B87" s="22" t="s">
        <v>514</v>
      </c>
      <c r="C87" s="22" t="s">
        <v>703</v>
      </c>
      <c r="D87" s="86" t="s">
        <v>921</v>
      </c>
      <c r="E87" s="820">
        <v>2035</v>
      </c>
      <c r="F87" s="760" t="s">
        <v>669</v>
      </c>
      <c r="G87" s="836" t="s">
        <v>669</v>
      </c>
      <c r="H87" s="760">
        <v>140</v>
      </c>
      <c r="I87" s="837" t="s">
        <v>703</v>
      </c>
      <c r="J87" s="215">
        <v>0</v>
      </c>
      <c r="K87" s="836" t="s">
        <v>669</v>
      </c>
      <c r="L87" s="838" t="s">
        <v>669</v>
      </c>
      <c r="M87" s="695"/>
      <c r="N87" s="695" t="s">
        <v>669</v>
      </c>
      <c r="O87" s="695" t="s">
        <v>669</v>
      </c>
      <c r="P87" s="839"/>
      <c r="Q87" s="777" t="str">
        <f t="shared" si="1"/>
        <v/>
      </c>
    </row>
    <row r="88" spans="1:17">
      <c r="A88" s="22" t="s">
        <v>117</v>
      </c>
      <c r="B88" s="22" t="s">
        <v>515</v>
      </c>
      <c r="C88" s="22" t="s">
        <v>703</v>
      </c>
      <c r="D88" s="86" t="s">
        <v>921</v>
      </c>
      <c r="E88" s="820">
        <v>2035</v>
      </c>
      <c r="F88" s="760">
        <v>530</v>
      </c>
      <c r="G88" s="836" t="s">
        <v>669</v>
      </c>
      <c r="H88" s="760">
        <v>152</v>
      </c>
      <c r="I88" s="837" t="s">
        <v>669</v>
      </c>
      <c r="J88" s="215">
        <v>395</v>
      </c>
      <c r="K88" s="836" t="s">
        <v>703</v>
      </c>
      <c r="L88" s="838">
        <v>0.38481012658227848</v>
      </c>
      <c r="M88" s="695"/>
      <c r="N88" s="695">
        <v>1.0320754716981133</v>
      </c>
      <c r="O88" s="695">
        <v>1.0320754716981133</v>
      </c>
      <c r="P88" s="839"/>
      <c r="Q88" s="777" t="str">
        <f t="shared" si="1"/>
        <v/>
      </c>
    </row>
    <row r="89" spans="1:17">
      <c r="A89" s="22" t="s">
        <v>117</v>
      </c>
      <c r="B89" s="22" t="s">
        <v>826</v>
      </c>
      <c r="C89" s="22" t="s">
        <v>703</v>
      </c>
      <c r="D89" s="86" t="s">
        <v>921</v>
      </c>
      <c r="E89" s="820">
        <v>2035</v>
      </c>
      <c r="F89" s="760" t="s">
        <v>669</v>
      </c>
      <c r="G89" s="836" t="s">
        <v>703</v>
      </c>
      <c r="H89" s="760">
        <v>80</v>
      </c>
      <c r="I89" s="837" t="s">
        <v>703</v>
      </c>
      <c r="J89" s="215">
        <v>0</v>
      </c>
      <c r="K89" s="836" t="s">
        <v>669</v>
      </c>
      <c r="L89" s="838" t="s">
        <v>669</v>
      </c>
      <c r="M89" s="695"/>
      <c r="N89" s="695" t="s">
        <v>669</v>
      </c>
      <c r="O89" s="695" t="s">
        <v>669</v>
      </c>
      <c r="P89" s="839"/>
      <c r="Q89" s="777" t="str">
        <f t="shared" si="1"/>
        <v/>
      </c>
    </row>
    <row r="90" spans="1:17">
      <c r="A90" s="22" t="s">
        <v>117</v>
      </c>
      <c r="B90" s="22" t="s">
        <v>533</v>
      </c>
      <c r="C90" s="22" t="s">
        <v>703</v>
      </c>
      <c r="D90" s="86" t="s">
        <v>921</v>
      </c>
      <c r="E90" s="820">
        <v>2035</v>
      </c>
      <c r="F90" s="760" t="s">
        <v>669</v>
      </c>
      <c r="G90" s="836" t="s">
        <v>703</v>
      </c>
      <c r="H90" s="760">
        <v>80</v>
      </c>
      <c r="I90" s="837" t="s">
        <v>703</v>
      </c>
      <c r="J90" s="215">
        <v>0</v>
      </c>
      <c r="K90" s="836" t="s">
        <v>669</v>
      </c>
      <c r="L90" s="838" t="s">
        <v>669</v>
      </c>
      <c r="M90" s="695"/>
      <c r="N90" s="695" t="s">
        <v>669</v>
      </c>
      <c r="O90" s="695" t="s">
        <v>669</v>
      </c>
      <c r="P90" s="839"/>
      <c r="Q90" s="777" t="str">
        <f t="shared" si="1"/>
        <v/>
      </c>
    </row>
    <row r="91" spans="1:17">
      <c r="A91" s="22" t="s">
        <v>117</v>
      </c>
      <c r="B91" s="22" t="s">
        <v>822</v>
      </c>
      <c r="C91" s="22" t="s">
        <v>703</v>
      </c>
      <c r="D91" s="86" t="s">
        <v>921</v>
      </c>
      <c r="E91" s="820">
        <v>2035</v>
      </c>
      <c r="F91" s="760" t="s">
        <v>669</v>
      </c>
      <c r="G91" s="836" t="s">
        <v>703</v>
      </c>
      <c r="H91" s="760">
        <v>55</v>
      </c>
      <c r="I91" s="837" t="s">
        <v>703</v>
      </c>
      <c r="J91" s="215">
        <v>0</v>
      </c>
      <c r="K91" s="836" t="s">
        <v>669</v>
      </c>
      <c r="L91" s="838" t="s">
        <v>669</v>
      </c>
      <c r="M91" s="695"/>
      <c r="N91" s="695" t="s">
        <v>669</v>
      </c>
      <c r="O91" s="695" t="s">
        <v>669</v>
      </c>
      <c r="P91" s="839"/>
      <c r="Q91" s="777" t="str">
        <f t="shared" si="1"/>
        <v/>
      </c>
    </row>
    <row r="92" spans="1:17">
      <c r="A92" s="176" t="s">
        <v>117</v>
      </c>
      <c r="B92" s="176" t="s">
        <v>531</v>
      </c>
      <c r="C92" s="176" t="s">
        <v>703</v>
      </c>
      <c r="D92" s="134" t="s">
        <v>921</v>
      </c>
      <c r="E92" s="821">
        <v>2035</v>
      </c>
      <c r="F92" s="318" t="s">
        <v>669</v>
      </c>
      <c r="G92" s="841" t="s">
        <v>703</v>
      </c>
      <c r="H92" s="318">
        <v>55</v>
      </c>
      <c r="I92" s="842" t="s">
        <v>703</v>
      </c>
      <c r="J92" s="318">
        <v>0</v>
      </c>
      <c r="K92" s="841" t="s">
        <v>669</v>
      </c>
      <c r="L92" s="843" t="s">
        <v>669</v>
      </c>
      <c r="M92" s="843"/>
      <c r="N92" s="843" t="s">
        <v>669</v>
      </c>
      <c r="O92" s="843" t="s">
        <v>669</v>
      </c>
      <c r="P92" s="844"/>
      <c r="Q92" s="777" t="str">
        <f t="shared" si="1"/>
        <v/>
      </c>
    </row>
    <row r="93" spans="1:17">
      <c r="A93" s="22" t="s">
        <v>117</v>
      </c>
      <c r="B93" s="22" t="s">
        <v>510</v>
      </c>
      <c r="C93" s="22" t="s">
        <v>701</v>
      </c>
      <c r="D93" s="86" t="s">
        <v>921</v>
      </c>
      <c r="E93" s="820">
        <v>2035</v>
      </c>
      <c r="F93" s="760" t="s">
        <v>669</v>
      </c>
      <c r="G93" s="836" t="s">
        <v>669</v>
      </c>
      <c r="H93" s="760">
        <v>624</v>
      </c>
      <c r="I93" s="837" t="s">
        <v>701</v>
      </c>
      <c r="J93" s="215">
        <v>0</v>
      </c>
      <c r="K93" s="836" t="s">
        <v>669</v>
      </c>
      <c r="L93" s="838" t="s">
        <v>669</v>
      </c>
      <c r="M93" s="695"/>
      <c r="N93" s="695" t="s">
        <v>669</v>
      </c>
      <c r="O93" s="695" t="s">
        <v>669</v>
      </c>
      <c r="P93" s="839"/>
      <c r="Q93" s="777" t="str">
        <f t="shared" si="1"/>
        <v/>
      </c>
    </row>
    <row r="94" spans="1:17">
      <c r="A94" s="22" t="s">
        <v>117</v>
      </c>
      <c r="B94" s="22" t="s">
        <v>513</v>
      </c>
      <c r="C94" s="22" t="s">
        <v>701</v>
      </c>
      <c r="D94" s="86" t="s">
        <v>921</v>
      </c>
      <c r="E94" s="820">
        <v>2035</v>
      </c>
      <c r="F94" s="760" t="s">
        <v>669</v>
      </c>
      <c r="G94" s="836" t="s">
        <v>669</v>
      </c>
      <c r="H94" s="760">
        <v>64.400000000000006</v>
      </c>
      <c r="I94" s="837" t="s">
        <v>701</v>
      </c>
      <c r="J94" s="215">
        <v>0</v>
      </c>
      <c r="K94" s="836" t="s">
        <v>669</v>
      </c>
      <c r="L94" s="838" t="s">
        <v>669</v>
      </c>
      <c r="M94" s="695"/>
      <c r="N94" s="695" t="s">
        <v>669</v>
      </c>
      <c r="O94" s="695" t="s">
        <v>669</v>
      </c>
      <c r="P94" s="839"/>
      <c r="Q94" s="777" t="str">
        <f t="shared" si="1"/>
        <v/>
      </c>
    </row>
    <row r="95" spans="1:17">
      <c r="A95" s="22" t="s">
        <v>117</v>
      </c>
      <c r="B95" s="22" t="s">
        <v>512</v>
      </c>
      <c r="C95" s="22" t="s">
        <v>701</v>
      </c>
      <c r="D95" s="86" t="s">
        <v>921</v>
      </c>
      <c r="E95" s="820">
        <v>2035</v>
      </c>
      <c r="F95" s="760" t="s">
        <v>669</v>
      </c>
      <c r="G95" s="836" t="s">
        <v>669</v>
      </c>
      <c r="H95" s="760">
        <v>106.8</v>
      </c>
      <c r="I95" s="837" t="s">
        <v>701</v>
      </c>
      <c r="J95" s="215">
        <v>0</v>
      </c>
      <c r="K95" s="836" t="s">
        <v>669</v>
      </c>
      <c r="L95" s="838" t="s">
        <v>669</v>
      </c>
      <c r="M95" s="695"/>
      <c r="N95" s="695" t="s">
        <v>669</v>
      </c>
      <c r="O95" s="695" t="s">
        <v>669</v>
      </c>
      <c r="P95" s="839"/>
      <c r="Q95" s="777" t="str">
        <f t="shared" si="1"/>
        <v/>
      </c>
    </row>
    <row r="96" spans="1:17">
      <c r="A96" s="22" t="s">
        <v>117</v>
      </c>
      <c r="B96" s="22" t="s">
        <v>515</v>
      </c>
      <c r="C96" s="22" t="s">
        <v>701</v>
      </c>
      <c r="D96" s="86" t="s">
        <v>921</v>
      </c>
      <c r="E96" s="820">
        <v>2035</v>
      </c>
      <c r="F96" s="760">
        <v>424</v>
      </c>
      <c r="G96" s="836" t="s">
        <v>669</v>
      </c>
      <c r="H96" s="760">
        <v>160</v>
      </c>
      <c r="I96" s="837" t="s">
        <v>669</v>
      </c>
      <c r="J96" s="215">
        <v>260</v>
      </c>
      <c r="K96" s="836" t="s">
        <v>701</v>
      </c>
      <c r="L96" s="838">
        <v>0.61538461538461542</v>
      </c>
      <c r="M96" s="695"/>
      <c r="N96" s="695">
        <v>0.99056603773584906</v>
      </c>
      <c r="O96" s="695">
        <v>0.99056603773584906</v>
      </c>
      <c r="P96" s="839"/>
      <c r="Q96" s="777" t="str">
        <f t="shared" si="1"/>
        <v/>
      </c>
    </row>
    <row r="97" spans="1:17">
      <c r="A97" s="22" t="s">
        <v>117</v>
      </c>
      <c r="B97" s="22" t="s">
        <v>514</v>
      </c>
      <c r="C97" s="22" t="s">
        <v>701</v>
      </c>
      <c r="D97" s="86" t="s">
        <v>921</v>
      </c>
      <c r="E97" s="820">
        <v>2035</v>
      </c>
      <c r="F97" s="760" t="s">
        <v>669</v>
      </c>
      <c r="G97" s="836" t="s">
        <v>669</v>
      </c>
      <c r="H97" s="760">
        <v>50</v>
      </c>
      <c r="I97" s="837" t="s">
        <v>701</v>
      </c>
      <c r="J97" s="215">
        <v>0</v>
      </c>
      <c r="K97" s="836" t="s">
        <v>669</v>
      </c>
      <c r="L97" s="838" t="s">
        <v>669</v>
      </c>
      <c r="M97" s="695"/>
      <c r="N97" s="695" t="s">
        <v>669</v>
      </c>
      <c r="O97" s="695" t="s">
        <v>669</v>
      </c>
      <c r="P97" s="839"/>
      <c r="Q97" s="777" t="str">
        <f t="shared" si="1"/>
        <v/>
      </c>
    </row>
    <row r="98" spans="1:17">
      <c r="A98" s="22" t="s">
        <v>117</v>
      </c>
      <c r="B98" s="22" t="s">
        <v>822</v>
      </c>
      <c r="C98" s="22" t="s">
        <v>701</v>
      </c>
      <c r="D98" s="86" t="s">
        <v>921</v>
      </c>
      <c r="E98" s="820">
        <v>2035</v>
      </c>
      <c r="F98" s="760" t="s">
        <v>669</v>
      </c>
      <c r="G98" s="836" t="s">
        <v>701</v>
      </c>
      <c r="H98" s="760">
        <v>75</v>
      </c>
      <c r="I98" s="837" t="s">
        <v>701</v>
      </c>
      <c r="J98" s="215">
        <v>0</v>
      </c>
      <c r="K98" s="836" t="s">
        <v>669</v>
      </c>
      <c r="L98" s="838" t="s">
        <v>669</v>
      </c>
      <c r="M98" s="695"/>
      <c r="N98" s="695" t="s">
        <v>669</v>
      </c>
      <c r="O98" s="695" t="s">
        <v>669</v>
      </c>
      <c r="P98" s="839"/>
      <c r="Q98" s="777" t="str">
        <f t="shared" si="1"/>
        <v/>
      </c>
    </row>
    <row r="99" spans="1:17">
      <c r="A99" s="176" t="s">
        <v>117</v>
      </c>
      <c r="B99" s="176" t="s">
        <v>531</v>
      </c>
      <c r="C99" s="176" t="s">
        <v>701</v>
      </c>
      <c r="D99" s="134" t="s">
        <v>921</v>
      </c>
      <c r="E99" s="821">
        <v>2035</v>
      </c>
      <c r="F99" s="318" t="s">
        <v>669</v>
      </c>
      <c r="G99" s="841" t="s">
        <v>701</v>
      </c>
      <c r="H99" s="318">
        <v>75</v>
      </c>
      <c r="I99" s="842" t="s">
        <v>701</v>
      </c>
      <c r="J99" s="318">
        <v>0</v>
      </c>
      <c r="K99" s="841" t="s">
        <v>669</v>
      </c>
      <c r="L99" s="843" t="s">
        <v>669</v>
      </c>
      <c r="M99" s="843"/>
      <c r="N99" s="843" t="s">
        <v>669</v>
      </c>
      <c r="O99" s="843" t="s">
        <v>669</v>
      </c>
      <c r="P99" s="844"/>
      <c r="Q99" s="777" t="str">
        <f t="shared" si="1"/>
        <v/>
      </c>
    </row>
    <row r="100" spans="1:17">
      <c r="A100" s="22" t="s">
        <v>117</v>
      </c>
      <c r="B100" s="22" t="s">
        <v>512</v>
      </c>
      <c r="C100" s="22" t="s">
        <v>704</v>
      </c>
      <c r="D100" s="86" t="s">
        <v>921</v>
      </c>
      <c r="E100" s="820">
        <v>2035</v>
      </c>
      <c r="F100" s="760" t="s">
        <v>669</v>
      </c>
      <c r="G100" s="836" t="s">
        <v>669</v>
      </c>
      <c r="H100" s="760">
        <v>26.8</v>
      </c>
      <c r="I100" s="837" t="s">
        <v>704</v>
      </c>
      <c r="J100" s="215">
        <v>0</v>
      </c>
      <c r="K100" s="836" t="s">
        <v>669</v>
      </c>
      <c r="L100" s="838" t="s">
        <v>669</v>
      </c>
      <c r="M100" s="695"/>
      <c r="N100" s="695" t="s">
        <v>669</v>
      </c>
      <c r="O100" s="695" t="s">
        <v>669</v>
      </c>
      <c r="P100" s="839"/>
      <c r="Q100" s="777" t="str">
        <f t="shared" si="1"/>
        <v/>
      </c>
    </row>
    <row r="101" spans="1:17">
      <c r="A101" s="22" t="s">
        <v>117</v>
      </c>
      <c r="B101" s="22" t="s">
        <v>510</v>
      </c>
      <c r="C101" s="22" t="s">
        <v>704</v>
      </c>
      <c r="D101" s="86" t="s">
        <v>921</v>
      </c>
      <c r="E101" s="820">
        <v>2035</v>
      </c>
      <c r="F101" s="760" t="s">
        <v>669</v>
      </c>
      <c r="G101" s="836" t="s">
        <v>669</v>
      </c>
      <c r="H101" s="760">
        <v>200</v>
      </c>
      <c r="I101" s="837" t="s">
        <v>704</v>
      </c>
      <c r="J101" s="215">
        <v>0</v>
      </c>
      <c r="K101" s="836" t="s">
        <v>669</v>
      </c>
      <c r="L101" s="838" t="s">
        <v>669</v>
      </c>
      <c r="M101" s="695"/>
      <c r="N101" s="695" t="s">
        <v>669</v>
      </c>
      <c r="O101" s="695" t="s">
        <v>669</v>
      </c>
      <c r="P101" s="839"/>
      <c r="Q101" s="777" t="str">
        <f t="shared" si="1"/>
        <v/>
      </c>
    </row>
    <row r="102" spans="1:17">
      <c r="A102" s="22" t="s">
        <v>117</v>
      </c>
      <c r="B102" s="22" t="s">
        <v>515</v>
      </c>
      <c r="C102" s="22" t="s">
        <v>704</v>
      </c>
      <c r="D102" s="86" t="s">
        <v>921</v>
      </c>
      <c r="E102" s="820">
        <v>2035</v>
      </c>
      <c r="F102" s="760">
        <v>790</v>
      </c>
      <c r="G102" s="836" t="s">
        <v>669</v>
      </c>
      <c r="H102" s="760">
        <v>250</v>
      </c>
      <c r="I102" s="837" t="s">
        <v>669</v>
      </c>
      <c r="J102" s="215">
        <v>435</v>
      </c>
      <c r="K102" s="836" t="s">
        <v>704</v>
      </c>
      <c r="L102" s="838">
        <v>0.57471264367816088</v>
      </c>
      <c r="M102" s="695"/>
      <c r="N102" s="695">
        <v>0.86708860759493667</v>
      </c>
      <c r="O102" s="695">
        <v>0.86708860759493667</v>
      </c>
      <c r="P102" s="839"/>
      <c r="Q102" s="777" t="str">
        <f t="shared" si="1"/>
        <v/>
      </c>
    </row>
    <row r="103" spans="1:17">
      <c r="A103" s="22" t="s">
        <v>117</v>
      </c>
      <c r="B103" s="22" t="s">
        <v>513</v>
      </c>
      <c r="C103" s="22" t="s">
        <v>704</v>
      </c>
      <c r="D103" s="86" t="s">
        <v>921</v>
      </c>
      <c r="E103" s="820">
        <v>2035</v>
      </c>
      <c r="F103" s="760" t="s">
        <v>669</v>
      </c>
      <c r="G103" s="836" t="s">
        <v>669</v>
      </c>
      <c r="H103" s="760">
        <v>45</v>
      </c>
      <c r="I103" s="837" t="s">
        <v>704</v>
      </c>
      <c r="J103" s="215">
        <v>0</v>
      </c>
      <c r="K103" s="836" t="s">
        <v>669</v>
      </c>
      <c r="L103" s="838" t="s">
        <v>669</v>
      </c>
      <c r="M103" s="695"/>
      <c r="N103" s="695" t="s">
        <v>669</v>
      </c>
      <c r="O103" s="695" t="s">
        <v>669</v>
      </c>
      <c r="P103" s="839"/>
      <c r="Q103" s="777" t="str">
        <f t="shared" si="1"/>
        <v/>
      </c>
    </row>
    <row r="104" spans="1:17">
      <c r="A104" s="22" t="s">
        <v>117</v>
      </c>
      <c r="B104" s="22" t="s">
        <v>514</v>
      </c>
      <c r="C104" s="22" t="s">
        <v>704</v>
      </c>
      <c r="D104" s="86" t="s">
        <v>921</v>
      </c>
      <c r="E104" s="820">
        <v>2035</v>
      </c>
      <c r="F104" s="760" t="s">
        <v>669</v>
      </c>
      <c r="G104" s="836" t="s">
        <v>669</v>
      </c>
      <c r="H104" s="760">
        <v>120</v>
      </c>
      <c r="I104" s="837" t="s">
        <v>704</v>
      </c>
      <c r="J104" s="215">
        <v>0</v>
      </c>
      <c r="K104" s="836" t="s">
        <v>669</v>
      </c>
      <c r="L104" s="838" t="s">
        <v>669</v>
      </c>
      <c r="M104" s="695"/>
      <c r="N104" s="695" t="s">
        <v>669</v>
      </c>
      <c r="O104" s="695" t="s">
        <v>669</v>
      </c>
      <c r="P104" s="839"/>
      <c r="Q104" s="777" t="str">
        <f t="shared" si="1"/>
        <v/>
      </c>
    </row>
    <row r="105" spans="1:17">
      <c r="A105" s="22" t="s">
        <v>117</v>
      </c>
      <c r="B105" s="22" t="s">
        <v>822</v>
      </c>
      <c r="C105" s="22" t="s">
        <v>704</v>
      </c>
      <c r="D105" s="86" t="s">
        <v>921</v>
      </c>
      <c r="E105" s="820">
        <v>2035</v>
      </c>
      <c r="F105" s="760" t="s">
        <v>669</v>
      </c>
      <c r="G105" s="836" t="s">
        <v>704</v>
      </c>
      <c r="H105" s="760">
        <v>80</v>
      </c>
      <c r="I105" s="837" t="s">
        <v>704</v>
      </c>
      <c r="J105" s="215">
        <v>0</v>
      </c>
      <c r="K105" s="836" t="s">
        <v>669</v>
      </c>
      <c r="L105" s="838" t="s">
        <v>669</v>
      </c>
      <c r="M105" s="695"/>
      <c r="N105" s="695" t="s">
        <v>669</v>
      </c>
      <c r="O105" s="695" t="s">
        <v>669</v>
      </c>
      <c r="P105" s="839"/>
      <c r="Q105" s="777" t="str">
        <f t="shared" si="1"/>
        <v/>
      </c>
    </row>
    <row r="106" spans="1:17">
      <c r="A106" s="176" t="s">
        <v>117</v>
      </c>
      <c r="B106" s="176" t="s">
        <v>531</v>
      </c>
      <c r="C106" s="176" t="s">
        <v>704</v>
      </c>
      <c r="D106" s="134" t="s">
        <v>921</v>
      </c>
      <c r="E106" s="821">
        <v>2035</v>
      </c>
      <c r="F106" s="318" t="s">
        <v>669</v>
      </c>
      <c r="G106" s="841" t="s">
        <v>704</v>
      </c>
      <c r="H106" s="318">
        <v>80</v>
      </c>
      <c r="I106" s="842" t="s">
        <v>704</v>
      </c>
      <c r="J106" s="318">
        <v>0</v>
      </c>
      <c r="K106" s="841" t="s">
        <v>669</v>
      </c>
      <c r="L106" s="843" t="s">
        <v>669</v>
      </c>
      <c r="M106" s="843"/>
      <c r="N106" s="843" t="s">
        <v>669</v>
      </c>
      <c r="O106" s="843" t="s">
        <v>669</v>
      </c>
      <c r="P106" s="844"/>
      <c r="Q106" s="777" t="str">
        <f t="shared" si="1"/>
        <v/>
      </c>
    </row>
    <row r="107" spans="1:17">
      <c r="A107" s="22" t="s">
        <v>117</v>
      </c>
      <c r="B107" s="22" t="s">
        <v>510</v>
      </c>
      <c r="C107" s="22" t="s">
        <v>705</v>
      </c>
      <c r="D107" s="86" t="s">
        <v>921</v>
      </c>
      <c r="E107" s="820">
        <v>2035</v>
      </c>
      <c r="F107" s="760" t="s">
        <v>669</v>
      </c>
      <c r="G107" s="836" t="s">
        <v>669</v>
      </c>
      <c r="H107" s="760">
        <v>3520.3000000000006</v>
      </c>
      <c r="I107" s="837" t="s">
        <v>705</v>
      </c>
      <c r="J107" s="215">
        <v>0</v>
      </c>
      <c r="K107" s="836" t="s">
        <v>669</v>
      </c>
      <c r="L107" s="838" t="s">
        <v>669</v>
      </c>
      <c r="M107" s="695"/>
      <c r="N107" s="695" t="s">
        <v>669</v>
      </c>
      <c r="O107" s="695" t="s">
        <v>669</v>
      </c>
      <c r="P107" s="839"/>
      <c r="Q107" s="777" t="str">
        <f t="shared" si="1"/>
        <v/>
      </c>
    </row>
    <row r="108" spans="1:17">
      <c r="A108" s="22" t="s">
        <v>117</v>
      </c>
      <c r="B108" s="22" t="s">
        <v>535</v>
      </c>
      <c r="C108" s="22" t="s">
        <v>705</v>
      </c>
      <c r="D108" s="86" t="s">
        <v>921</v>
      </c>
      <c r="E108" s="820">
        <v>2035</v>
      </c>
      <c r="F108" s="760" t="s">
        <v>669</v>
      </c>
      <c r="G108" s="836" t="s">
        <v>669</v>
      </c>
      <c r="H108" s="760">
        <v>10</v>
      </c>
      <c r="I108" s="837" t="s">
        <v>705</v>
      </c>
      <c r="J108" s="215">
        <v>0</v>
      </c>
      <c r="K108" s="836" t="s">
        <v>669</v>
      </c>
      <c r="L108" s="838" t="s">
        <v>669</v>
      </c>
      <c r="M108" s="695"/>
      <c r="N108" s="695" t="s">
        <v>669</v>
      </c>
      <c r="O108" s="695" t="s">
        <v>669</v>
      </c>
      <c r="P108" s="839"/>
      <c r="Q108" s="777" t="str">
        <f t="shared" si="1"/>
        <v>Remove</v>
      </c>
    </row>
    <row r="109" spans="1:17">
      <c r="A109" s="22" t="s">
        <v>117</v>
      </c>
      <c r="B109" s="22" t="s">
        <v>512</v>
      </c>
      <c r="C109" s="22" t="s">
        <v>705</v>
      </c>
      <c r="D109" s="86" t="s">
        <v>921</v>
      </c>
      <c r="E109" s="820">
        <v>2035</v>
      </c>
      <c r="F109" s="760" t="s">
        <v>669</v>
      </c>
      <c r="G109" s="836" t="s">
        <v>669</v>
      </c>
      <c r="H109" s="760">
        <v>2701.9000000000005</v>
      </c>
      <c r="I109" s="837" t="s">
        <v>705</v>
      </c>
      <c r="J109" s="215">
        <v>0</v>
      </c>
      <c r="K109" s="836" t="s">
        <v>669</v>
      </c>
      <c r="L109" s="838" t="s">
        <v>669</v>
      </c>
      <c r="M109" s="695"/>
      <c r="N109" s="695" t="s">
        <v>669</v>
      </c>
      <c r="O109" s="695" t="s">
        <v>669</v>
      </c>
      <c r="P109" s="839"/>
      <c r="Q109" s="777" t="str">
        <f t="shared" si="1"/>
        <v/>
      </c>
    </row>
    <row r="110" spans="1:17">
      <c r="A110" s="22" t="s">
        <v>117</v>
      </c>
      <c r="B110" s="22" t="s">
        <v>515</v>
      </c>
      <c r="C110" s="22" t="s">
        <v>705</v>
      </c>
      <c r="D110" s="86" t="s">
        <v>921</v>
      </c>
      <c r="E110" s="820">
        <v>2035</v>
      </c>
      <c r="F110" s="760" t="s">
        <v>669</v>
      </c>
      <c r="G110" s="836" t="s">
        <v>669</v>
      </c>
      <c r="H110" s="760">
        <v>1426.6</v>
      </c>
      <c r="I110" s="837" t="s">
        <v>669</v>
      </c>
      <c r="J110" s="215">
        <v>3099.2999999999997</v>
      </c>
      <c r="K110" s="836" t="s">
        <v>705</v>
      </c>
      <c r="L110" s="838">
        <v>0.46029748652921626</v>
      </c>
      <c r="M110" s="695"/>
      <c r="N110" s="695" t="s">
        <v>669</v>
      </c>
      <c r="O110" s="695" t="s">
        <v>669</v>
      </c>
      <c r="P110" s="839"/>
      <c r="Q110" s="777" t="str">
        <f t="shared" si="1"/>
        <v/>
      </c>
    </row>
    <row r="111" spans="1:17">
      <c r="A111" s="22" t="s">
        <v>117</v>
      </c>
      <c r="B111" s="22" t="s">
        <v>511</v>
      </c>
      <c r="C111" s="22" t="s">
        <v>705</v>
      </c>
      <c r="D111" s="86" t="s">
        <v>921</v>
      </c>
      <c r="E111" s="820">
        <v>2035</v>
      </c>
      <c r="F111" s="760" t="s">
        <v>669</v>
      </c>
      <c r="G111" s="836" t="s">
        <v>669</v>
      </c>
      <c r="H111" s="760">
        <v>1849.9999999999998</v>
      </c>
      <c r="I111" s="837" t="s">
        <v>705</v>
      </c>
      <c r="J111" s="215">
        <v>0</v>
      </c>
      <c r="K111" s="836" t="s">
        <v>669</v>
      </c>
      <c r="L111" s="838" t="s">
        <v>669</v>
      </c>
      <c r="M111" s="695"/>
      <c r="N111" s="695" t="s">
        <v>669</v>
      </c>
      <c r="O111" s="695" t="s">
        <v>669</v>
      </c>
      <c r="P111" s="839"/>
      <c r="Q111" s="777" t="str">
        <f t="shared" si="1"/>
        <v/>
      </c>
    </row>
    <row r="112" spans="1:17">
      <c r="A112" s="22" t="s">
        <v>117</v>
      </c>
      <c r="B112" s="22" t="s">
        <v>513</v>
      </c>
      <c r="C112" s="22" t="s">
        <v>705</v>
      </c>
      <c r="D112" s="86" t="s">
        <v>921</v>
      </c>
      <c r="E112" s="820">
        <v>2035</v>
      </c>
      <c r="F112" s="760" t="s">
        <v>669</v>
      </c>
      <c r="G112" s="836" t="s">
        <v>669</v>
      </c>
      <c r="H112" s="760">
        <v>148.80000000000001</v>
      </c>
      <c r="I112" s="837" t="s">
        <v>705</v>
      </c>
      <c r="J112" s="215">
        <v>0</v>
      </c>
      <c r="K112" s="836" t="s">
        <v>669</v>
      </c>
      <c r="L112" s="838" t="s">
        <v>669</v>
      </c>
      <c r="M112" s="695"/>
      <c r="N112" s="695" t="s">
        <v>669</v>
      </c>
      <c r="O112" s="695" t="s">
        <v>669</v>
      </c>
      <c r="P112" s="839"/>
      <c r="Q112" s="777" t="str">
        <f t="shared" si="1"/>
        <v/>
      </c>
    </row>
    <row r="113" spans="1:17">
      <c r="A113" s="22" t="s">
        <v>117</v>
      </c>
      <c r="B113" s="22" t="s">
        <v>509</v>
      </c>
      <c r="C113" s="22" t="s">
        <v>705</v>
      </c>
      <c r="D113" s="86" t="s">
        <v>921</v>
      </c>
      <c r="E113" s="820">
        <v>2035</v>
      </c>
      <c r="F113" s="760" t="s">
        <v>669</v>
      </c>
      <c r="G113" s="836" t="s">
        <v>669</v>
      </c>
      <c r="H113" s="760">
        <v>211.3</v>
      </c>
      <c r="I113" s="837" t="s">
        <v>669</v>
      </c>
      <c r="J113" s="215">
        <v>356.6</v>
      </c>
      <c r="K113" s="836" t="s">
        <v>705</v>
      </c>
      <c r="L113" s="838">
        <v>0.592540661805945</v>
      </c>
      <c r="M113" s="695"/>
      <c r="N113" s="695" t="s">
        <v>669</v>
      </c>
      <c r="O113" s="695" t="s">
        <v>669</v>
      </c>
      <c r="P113" s="839"/>
      <c r="Q113" s="777" t="str">
        <f t="shared" si="1"/>
        <v/>
      </c>
    </row>
    <row r="114" spans="1:17">
      <c r="A114" s="22" t="s">
        <v>117</v>
      </c>
      <c r="B114" s="22" t="s">
        <v>519</v>
      </c>
      <c r="C114" s="22" t="s">
        <v>705</v>
      </c>
      <c r="D114" s="86" t="s">
        <v>921</v>
      </c>
      <c r="E114" s="820">
        <v>2035</v>
      </c>
      <c r="F114" s="760" t="s">
        <v>669</v>
      </c>
      <c r="G114" s="836" t="s">
        <v>669</v>
      </c>
      <c r="H114" s="760">
        <v>113.2</v>
      </c>
      <c r="I114" s="837" t="s">
        <v>669</v>
      </c>
      <c r="J114" s="215">
        <v>345</v>
      </c>
      <c r="K114" s="836" t="s">
        <v>705</v>
      </c>
      <c r="L114" s="838">
        <v>0.32811594202898553</v>
      </c>
      <c r="M114" s="695"/>
      <c r="N114" s="695" t="s">
        <v>669</v>
      </c>
      <c r="O114" s="695" t="s">
        <v>669</v>
      </c>
      <c r="P114" s="839"/>
      <c r="Q114" s="777" t="str">
        <f t="shared" si="1"/>
        <v/>
      </c>
    </row>
    <row r="115" spans="1:17">
      <c r="A115" s="22" t="s">
        <v>117</v>
      </c>
      <c r="B115" s="22" t="s">
        <v>514</v>
      </c>
      <c r="C115" s="22" t="s">
        <v>705</v>
      </c>
      <c r="D115" s="86" t="s">
        <v>921</v>
      </c>
      <c r="E115" s="820">
        <v>2035</v>
      </c>
      <c r="F115" s="760" t="s">
        <v>669</v>
      </c>
      <c r="G115" s="836" t="s">
        <v>669</v>
      </c>
      <c r="H115" s="760">
        <v>1042.8999999999999</v>
      </c>
      <c r="I115" s="837" t="s">
        <v>705</v>
      </c>
      <c r="J115" s="215">
        <v>0</v>
      </c>
      <c r="K115" s="836" t="s">
        <v>669</v>
      </c>
      <c r="L115" s="838" t="s">
        <v>669</v>
      </c>
      <c r="M115" s="695"/>
      <c r="N115" s="695" t="s">
        <v>669</v>
      </c>
      <c r="O115" s="695" t="s">
        <v>669</v>
      </c>
      <c r="P115" s="839"/>
      <c r="Q115" s="777" t="str">
        <f t="shared" si="1"/>
        <v/>
      </c>
    </row>
    <row r="116" spans="1:17">
      <c r="A116" s="22" t="s">
        <v>117</v>
      </c>
      <c r="B116" s="22" t="s">
        <v>822</v>
      </c>
      <c r="C116" s="22" t="s">
        <v>705</v>
      </c>
      <c r="D116" s="86" t="s">
        <v>921</v>
      </c>
      <c r="E116" s="820">
        <v>2035</v>
      </c>
      <c r="F116" s="760" t="s">
        <v>669</v>
      </c>
      <c r="G116" s="836" t="s">
        <v>705</v>
      </c>
      <c r="H116" s="760">
        <v>625.5</v>
      </c>
      <c r="I116" s="837" t="s">
        <v>705</v>
      </c>
      <c r="J116" s="215">
        <v>0</v>
      </c>
      <c r="K116" s="836" t="s">
        <v>669</v>
      </c>
      <c r="L116" s="838" t="s">
        <v>669</v>
      </c>
      <c r="M116" s="695"/>
      <c r="N116" s="695" t="s">
        <v>669</v>
      </c>
      <c r="O116" s="695" t="s">
        <v>669</v>
      </c>
      <c r="P116" s="839"/>
      <c r="Q116" s="777" t="str">
        <f t="shared" si="1"/>
        <v/>
      </c>
    </row>
    <row r="117" spans="1:17">
      <c r="A117" s="22" t="s">
        <v>117</v>
      </c>
      <c r="B117" s="22" t="s">
        <v>531</v>
      </c>
      <c r="C117" s="22" t="s">
        <v>705</v>
      </c>
      <c r="D117" s="86" t="s">
        <v>921</v>
      </c>
      <c r="E117" s="820">
        <v>2035</v>
      </c>
      <c r="F117" s="760" t="s">
        <v>669</v>
      </c>
      <c r="G117" s="836" t="s">
        <v>705</v>
      </c>
      <c r="H117" s="760">
        <v>625.5</v>
      </c>
      <c r="I117" s="837" t="s">
        <v>705</v>
      </c>
      <c r="J117" s="215">
        <v>0</v>
      </c>
      <c r="K117" s="836" t="s">
        <v>669</v>
      </c>
      <c r="L117" s="838" t="s">
        <v>669</v>
      </c>
      <c r="M117" s="695"/>
      <c r="N117" s="695" t="s">
        <v>669</v>
      </c>
      <c r="O117" s="695" t="s">
        <v>669</v>
      </c>
      <c r="P117" s="839"/>
      <c r="Q117" s="777" t="str">
        <f t="shared" si="1"/>
        <v/>
      </c>
    </row>
    <row r="118" spans="1:17">
      <c r="A118" s="22" t="s">
        <v>117</v>
      </c>
      <c r="B118" s="22" t="s">
        <v>826</v>
      </c>
      <c r="C118" s="22" t="s">
        <v>705</v>
      </c>
      <c r="D118" s="86" t="s">
        <v>921</v>
      </c>
      <c r="E118" s="820">
        <v>2035</v>
      </c>
      <c r="F118" s="760" t="s">
        <v>669</v>
      </c>
      <c r="G118" s="836" t="s">
        <v>705</v>
      </c>
      <c r="H118" s="760">
        <v>170</v>
      </c>
      <c r="I118" s="837" t="s">
        <v>705</v>
      </c>
      <c r="J118" s="215">
        <v>0</v>
      </c>
      <c r="K118" s="836" t="s">
        <v>669</v>
      </c>
      <c r="L118" s="838" t="s">
        <v>669</v>
      </c>
      <c r="M118" s="695"/>
      <c r="N118" s="695" t="s">
        <v>669</v>
      </c>
      <c r="O118" s="695" t="s">
        <v>669</v>
      </c>
      <c r="P118" s="839"/>
      <c r="Q118" s="777" t="str">
        <f t="shared" si="1"/>
        <v/>
      </c>
    </row>
    <row r="119" spans="1:17">
      <c r="A119" s="777" t="s">
        <v>117</v>
      </c>
      <c r="B119" s="777" t="s">
        <v>533</v>
      </c>
      <c r="C119" s="777" t="s">
        <v>705</v>
      </c>
      <c r="D119" s="770" t="s">
        <v>921</v>
      </c>
      <c r="E119" s="820">
        <v>2035</v>
      </c>
      <c r="F119" s="760" t="s">
        <v>669</v>
      </c>
      <c r="G119" s="836" t="s">
        <v>705</v>
      </c>
      <c r="H119" s="760">
        <v>170</v>
      </c>
      <c r="I119" s="840" t="s">
        <v>705</v>
      </c>
      <c r="J119" s="760">
        <v>0</v>
      </c>
      <c r="K119" s="836" t="s">
        <v>669</v>
      </c>
      <c r="L119" s="838" t="s">
        <v>669</v>
      </c>
      <c r="M119" s="838"/>
      <c r="N119" s="838" t="s">
        <v>669</v>
      </c>
      <c r="O119" s="838" t="s">
        <v>669</v>
      </c>
      <c r="P119" s="839"/>
      <c r="Q119" s="777" t="str">
        <f t="shared" si="1"/>
        <v/>
      </c>
    </row>
    <row r="120" spans="1:17">
      <c r="A120" s="803" t="s">
        <v>979</v>
      </c>
      <c r="B120" s="804"/>
      <c r="C120" s="804"/>
      <c r="D120" s="799"/>
      <c r="E120" s="822"/>
      <c r="F120" s="846"/>
      <c r="G120" s="847"/>
      <c r="H120" s="846"/>
      <c r="I120" s="848"/>
      <c r="J120" s="846"/>
      <c r="K120" s="847"/>
      <c r="L120" s="849"/>
      <c r="M120" s="849"/>
      <c r="N120" s="849"/>
      <c r="O120" s="849"/>
      <c r="P120" s="850"/>
      <c r="Q120" s="804"/>
    </row>
    <row r="121" spans="1:17">
      <c r="A121" s="22" t="s">
        <v>122</v>
      </c>
      <c r="B121" s="22" t="s">
        <v>515</v>
      </c>
      <c r="D121" s="86" t="s">
        <v>921</v>
      </c>
      <c r="E121" s="820">
        <v>2035</v>
      </c>
      <c r="F121" s="760"/>
      <c r="G121" s="836"/>
      <c r="H121" s="760">
        <v>136</v>
      </c>
      <c r="I121" s="837"/>
      <c r="J121" s="215">
        <v>907.1</v>
      </c>
      <c r="K121" s="836"/>
      <c r="L121" s="838">
        <v>0.14992834307132621</v>
      </c>
      <c r="M121" s="695"/>
      <c r="N121" s="695"/>
      <c r="O121" s="695"/>
      <c r="P121" s="839"/>
      <c r="Q121" s="777" t="str">
        <f t="shared" si="1"/>
        <v/>
      </c>
    </row>
    <row r="122" spans="1:17">
      <c r="A122" s="22" t="s">
        <v>122</v>
      </c>
      <c r="B122" s="22" t="s">
        <v>509</v>
      </c>
      <c r="D122" s="86" t="s">
        <v>921</v>
      </c>
      <c r="E122" s="820">
        <v>2035</v>
      </c>
      <c r="F122" s="760"/>
      <c r="G122" s="836"/>
      <c r="H122" s="760">
        <v>1185.5</v>
      </c>
      <c r="I122" s="837"/>
      <c r="J122" s="215">
        <v>1055.8000000000002</v>
      </c>
      <c r="K122" s="836"/>
      <c r="L122" s="838">
        <v>1.1228452358401211</v>
      </c>
      <c r="M122" s="695"/>
      <c r="N122" s="695"/>
      <c r="O122" s="695"/>
      <c r="P122" s="839"/>
      <c r="Q122" s="777" t="str">
        <f t="shared" si="1"/>
        <v/>
      </c>
    </row>
    <row r="123" spans="1:17">
      <c r="A123" s="22" t="s">
        <v>122</v>
      </c>
      <c r="B123" s="22" t="s">
        <v>519</v>
      </c>
      <c r="D123" s="86" t="s">
        <v>921</v>
      </c>
      <c r="E123" s="820">
        <v>2035</v>
      </c>
      <c r="F123" s="760"/>
      <c r="G123" s="836"/>
      <c r="H123" s="760">
        <v>7</v>
      </c>
      <c r="I123" s="837"/>
      <c r="J123" s="215">
        <v>28</v>
      </c>
      <c r="K123" s="836"/>
      <c r="L123" s="838">
        <v>0.25</v>
      </c>
      <c r="M123" s="695"/>
      <c r="N123" s="695"/>
      <c r="O123" s="695"/>
      <c r="P123" s="839"/>
      <c r="Q123" s="777" t="s">
        <v>980</v>
      </c>
    </row>
    <row r="124" spans="1:17">
      <c r="A124" s="22" t="s">
        <v>122</v>
      </c>
      <c r="B124" s="22" t="s">
        <v>512</v>
      </c>
      <c r="D124" s="86" t="s">
        <v>921</v>
      </c>
      <c r="E124" s="820">
        <v>2035</v>
      </c>
      <c r="F124" s="760"/>
      <c r="G124" s="836"/>
      <c r="H124" s="760">
        <v>1279.8</v>
      </c>
      <c r="I124" s="837"/>
      <c r="J124" s="215">
        <v>0</v>
      </c>
      <c r="K124" s="836"/>
      <c r="L124" s="838"/>
      <c r="M124" s="695"/>
      <c r="N124" s="695"/>
      <c r="O124" s="695"/>
      <c r="P124" s="839"/>
      <c r="Q124" s="777" t="str">
        <f t="shared" si="1"/>
        <v/>
      </c>
    </row>
    <row r="125" spans="1:17">
      <c r="A125" s="22" t="s">
        <v>122</v>
      </c>
      <c r="B125" s="22" t="s">
        <v>511</v>
      </c>
      <c r="D125" s="86" t="s">
        <v>921</v>
      </c>
      <c r="E125" s="820">
        <v>2035</v>
      </c>
      <c r="F125" s="760"/>
      <c r="G125" s="836"/>
      <c r="H125" s="760">
        <v>1925.9</v>
      </c>
      <c r="I125" s="837"/>
      <c r="J125" s="215">
        <v>0</v>
      </c>
      <c r="K125" s="836"/>
      <c r="L125" s="838"/>
      <c r="M125" s="695"/>
      <c r="N125" s="695"/>
      <c r="O125" s="695"/>
      <c r="P125" s="839"/>
      <c r="Q125" s="777" t="str">
        <f t="shared" si="1"/>
        <v/>
      </c>
    </row>
    <row r="126" spans="1:17">
      <c r="A126" s="22" t="s">
        <v>122</v>
      </c>
      <c r="B126" s="22" t="s">
        <v>531</v>
      </c>
      <c r="D126" s="86" t="s">
        <v>921</v>
      </c>
      <c r="E126" s="820">
        <v>2035</v>
      </c>
      <c r="F126" s="760"/>
      <c r="G126" s="836"/>
      <c r="H126" s="760">
        <v>210</v>
      </c>
      <c r="I126" s="837"/>
      <c r="J126" s="215">
        <v>0</v>
      </c>
      <c r="K126" s="836"/>
      <c r="L126" s="838"/>
      <c r="M126" s="695"/>
      <c r="N126" s="695"/>
      <c r="O126" s="695"/>
      <c r="P126" s="839"/>
      <c r="Q126" s="777" t="str">
        <f t="shared" si="1"/>
        <v/>
      </c>
    </row>
    <row r="127" spans="1:17">
      <c r="A127" s="176" t="s">
        <v>122</v>
      </c>
      <c r="B127" s="176" t="s">
        <v>822</v>
      </c>
      <c r="C127" s="176"/>
      <c r="D127" s="134" t="s">
        <v>921</v>
      </c>
      <c r="E127" s="821">
        <v>2035</v>
      </c>
      <c r="F127" s="318"/>
      <c r="G127" s="841"/>
      <c r="H127" s="318">
        <v>210</v>
      </c>
      <c r="I127" s="842"/>
      <c r="J127" s="318">
        <v>0</v>
      </c>
      <c r="K127" s="841"/>
      <c r="L127" s="843"/>
      <c r="M127" s="843"/>
      <c r="N127" s="843"/>
      <c r="O127" s="843"/>
      <c r="P127" s="844"/>
      <c r="Q127" s="777" t="str">
        <f t="shared" si="1"/>
        <v/>
      </c>
    </row>
    <row r="128" spans="1:17">
      <c r="A128" s="22" t="s">
        <v>121</v>
      </c>
      <c r="B128" s="22" t="s">
        <v>515</v>
      </c>
      <c r="D128" s="86" t="s">
        <v>921</v>
      </c>
      <c r="E128" s="820">
        <v>2035</v>
      </c>
      <c r="F128" s="760"/>
      <c r="G128" s="836"/>
      <c r="H128" s="760">
        <v>134.32920000000001</v>
      </c>
      <c r="I128" s="837"/>
      <c r="J128" s="215">
        <v>495.18453914767099</v>
      </c>
      <c r="K128" s="836"/>
      <c r="L128" s="838">
        <v>0.27127098966218161</v>
      </c>
      <c r="M128" s="695"/>
      <c r="N128" s="695"/>
      <c r="O128" s="695"/>
      <c r="P128" s="839"/>
      <c r="Q128" s="777" t="str">
        <f t="shared" si="1"/>
        <v/>
      </c>
    </row>
    <row r="129" spans="1:17">
      <c r="A129" s="22" t="s">
        <v>121</v>
      </c>
      <c r="B129" s="22" t="s">
        <v>509</v>
      </c>
      <c r="D129" s="86" t="s">
        <v>921</v>
      </c>
      <c r="E129" s="820">
        <v>2035</v>
      </c>
      <c r="F129" s="760"/>
      <c r="G129" s="836"/>
      <c r="H129" s="760">
        <v>680.12760000000003</v>
      </c>
      <c r="I129" s="837"/>
      <c r="J129" s="215">
        <v>1046.5999999999999</v>
      </c>
      <c r="K129" s="836"/>
      <c r="L129" s="838">
        <v>0.64984483088094791</v>
      </c>
      <c r="M129" s="695"/>
      <c r="N129" s="695"/>
      <c r="O129" s="695"/>
      <c r="P129" s="839"/>
      <c r="Q129" s="777" t="str">
        <f t="shared" si="1"/>
        <v/>
      </c>
    </row>
    <row r="130" spans="1:17">
      <c r="A130" s="22" t="s">
        <v>121</v>
      </c>
      <c r="B130" s="22" t="s">
        <v>519</v>
      </c>
      <c r="D130" s="86" t="s">
        <v>921</v>
      </c>
      <c r="E130" s="820">
        <v>2035</v>
      </c>
      <c r="F130" s="760"/>
      <c r="G130" s="836"/>
      <c r="H130" s="760">
        <v>62.13</v>
      </c>
      <c r="I130" s="837"/>
      <c r="J130" s="215">
        <v>184.61546085232902</v>
      </c>
      <c r="K130" s="836"/>
      <c r="L130" s="838">
        <v>0.33653736102685788</v>
      </c>
      <c r="M130" s="695"/>
      <c r="N130" s="695"/>
      <c r="O130" s="695"/>
      <c r="P130" s="839"/>
      <c r="Q130" s="777" t="str">
        <f t="shared" si="1"/>
        <v/>
      </c>
    </row>
    <row r="131" spans="1:17">
      <c r="A131" s="22" t="s">
        <v>121</v>
      </c>
      <c r="B131" s="22" t="s">
        <v>512</v>
      </c>
      <c r="D131" s="86" t="s">
        <v>921</v>
      </c>
      <c r="E131" s="820">
        <v>2035</v>
      </c>
      <c r="F131" s="760"/>
      <c r="G131" s="836"/>
      <c r="H131" s="760">
        <v>1559</v>
      </c>
      <c r="I131" s="837"/>
      <c r="J131" s="215">
        <v>0</v>
      </c>
      <c r="K131" s="836"/>
      <c r="L131" s="838"/>
      <c r="M131" s="695"/>
      <c r="N131" s="695"/>
      <c r="O131" s="695"/>
      <c r="P131" s="839"/>
      <c r="Q131" s="777" t="str">
        <f t="shared" ref="Q131:Q143" si="2">IF(H131+J131&gt;=20,"","Remove")</f>
        <v/>
      </c>
    </row>
    <row r="132" spans="1:17">
      <c r="A132" s="22" t="s">
        <v>121</v>
      </c>
      <c r="B132" s="22" t="s">
        <v>511</v>
      </c>
      <c r="D132" s="86" t="s">
        <v>921</v>
      </c>
      <c r="E132" s="820">
        <v>2035</v>
      </c>
      <c r="F132" s="760"/>
      <c r="G132" s="836"/>
      <c r="H132" s="760">
        <v>6437</v>
      </c>
      <c r="I132" s="837"/>
      <c r="J132" s="215">
        <v>0</v>
      </c>
      <c r="K132" s="836"/>
      <c r="L132" s="838"/>
      <c r="M132" s="695"/>
      <c r="N132" s="695"/>
      <c r="O132" s="695"/>
      <c r="P132" s="839"/>
      <c r="Q132" s="777" t="str">
        <f t="shared" si="2"/>
        <v/>
      </c>
    </row>
    <row r="133" spans="1:17">
      <c r="A133" s="22" t="s">
        <v>121</v>
      </c>
      <c r="B133" s="22" t="s">
        <v>531</v>
      </c>
      <c r="D133" s="86" t="s">
        <v>921</v>
      </c>
      <c r="E133" s="820">
        <v>2035</v>
      </c>
      <c r="F133" s="760"/>
      <c r="G133" s="836"/>
      <c r="H133" s="760">
        <v>156</v>
      </c>
      <c r="I133" s="837"/>
      <c r="J133" s="215">
        <v>0</v>
      </c>
      <c r="K133" s="836"/>
      <c r="L133" s="838"/>
      <c r="M133" s="695"/>
      <c r="N133" s="695"/>
      <c r="O133" s="695"/>
      <c r="P133" s="839"/>
      <c r="Q133" s="777" t="str">
        <f t="shared" si="2"/>
        <v/>
      </c>
    </row>
    <row r="134" spans="1:17">
      <c r="A134" s="176" t="s">
        <v>121</v>
      </c>
      <c r="B134" s="176" t="s">
        <v>822</v>
      </c>
      <c r="C134" s="176"/>
      <c r="D134" s="134" t="s">
        <v>921</v>
      </c>
      <c r="E134" s="821">
        <v>2035</v>
      </c>
      <c r="F134" s="318"/>
      <c r="G134" s="841"/>
      <c r="H134" s="318">
        <v>156</v>
      </c>
      <c r="I134" s="842"/>
      <c r="J134" s="318">
        <v>0</v>
      </c>
      <c r="K134" s="841"/>
      <c r="L134" s="843"/>
      <c r="M134" s="843"/>
      <c r="N134" s="843"/>
      <c r="O134" s="843"/>
      <c r="P134" s="844"/>
      <c r="Q134" s="777" t="str">
        <f t="shared" si="2"/>
        <v/>
      </c>
    </row>
    <row r="135" spans="1:17">
      <c r="A135" s="22" t="s">
        <v>123</v>
      </c>
      <c r="B135" s="22" t="s">
        <v>515</v>
      </c>
      <c r="D135" s="86" t="s">
        <v>921</v>
      </c>
      <c r="E135" s="820">
        <v>2035</v>
      </c>
      <c r="F135" s="760"/>
      <c r="G135" s="836"/>
      <c r="H135" s="760">
        <v>127.3</v>
      </c>
      <c r="I135" s="837"/>
      <c r="J135" s="215">
        <v>400.5</v>
      </c>
      <c r="K135" s="836"/>
      <c r="L135" s="838">
        <v>0.31785268414481899</v>
      </c>
      <c r="M135" s="695"/>
      <c r="N135" s="695"/>
      <c r="O135" s="695"/>
      <c r="P135" s="839"/>
      <c r="Q135" s="777" t="str">
        <f t="shared" si="2"/>
        <v/>
      </c>
    </row>
    <row r="136" spans="1:17">
      <c r="A136" s="22" t="s">
        <v>123</v>
      </c>
      <c r="B136" s="22" t="s">
        <v>509</v>
      </c>
      <c r="D136" s="86" t="s">
        <v>921</v>
      </c>
      <c r="E136" s="820">
        <v>2035</v>
      </c>
      <c r="F136" s="760"/>
      <c r="G136" s="836"/>
      <c r="H136" s="760">
        <v>116</v>
      </c>
      <c r="I136" s="837"/>
      <c r="J136" s="215">
        <v>408</v>
      </c>
      <c r="K136" s="836"/>
      <c r="L136" s="838">
        <v>0.28431372549019607</v>
      </c>
      <c r="M136" s="695"/>
      <c r="N136" s="695"/>
      <c r="O136" s="695"/>
      <c r="P136" s="839"/>
      <c r="Q136" s="777" t="str">
        <f t="shared" si="2"/>
        <v/>
      </c>
    </row>
    <row r="137" spans="1:17">
      <c r="A137" s="22" t="s">
        <v>123</v>
      </c>
      <c r="B137" s="22" t="s">
        <v>880</v>
      </c>
      <c r="D137" s="86" t="s">
        <v>921</v>
      </c>
      <c r="E137" s="820">
        <v>2035</v>
      </c>
      <c r="F137" s="760"/>
      <c r="G137" s="836"/>
      <c r="H137" s="760">
        <v>215</v>
      </c>
      <c r="I137" s="837"/>
      <c r="J137" s="215">
        <v>160</v>
      </c>
      <c r="K137" s="836"/>
      <c r="L137" s="838">
        <v>1.34375</v>
      </c>
      <c r="M137" s="695"/>
      <c r="N137" s="695"/>
      <c r="O137" s="695"/>
      <c r="P137" s="839"/>
      <c r="Q137" s="777" t="str">
        <f t="shared" si="2"/>
        <v/>
      </c>
    </row>
    <row r="138" spans="1:17">
      <c r="A138" s="22" t="s">
        <v>123</v>
      </c>
      <c r="B138" s="22" t="s">
        <v>519</v>
      </c>
      <c r="D138" s="86" t="s">
        <v>921</v>
      </c>
      <c r="E138" s="820">
        <v>2035</v>
      </c>
      <c r="F138" s="760"/>
      <c r="G138" s="836"/>
      <c r="H138" s="760">
        <v>19.3</v>
      </c>
      <c r="I138" s="837"/>
      <c r="J138" s="215">
        <v>80</v>
      </c>
      <c r="K138" s="836"/>
      <c r="L138" s="838">
        <v>0.24125000000000002</v>
      </c>
      <c r="M138" s="695"/>
      <c r="N138" s="695"/>
      <c r="O138" s="695"/>
      <c r="P138" s="839"/>
      <c r="Q138" s="777" t="str">
        <f t="shared" si="2"/>
        <v/>
      </c>
    </row>
    <row r="139" spans="1:17">
      <c r="A139" s="22" t="s">
        <v>123</v>
      </c>
      <c r="B139" s="22" t="s">
        <v>512</v>
      </c>
      <c r="D139" s="86" t="s">
        <v>921</v>
      </c>
      <c r="E139" s="820">
        <v>2035</v>
      </c>
      <c r="F139" s="760"/>
      <c r="G139" s="836"/>
      <c r="H139" s="760">
        <v>1190.2089999999998</v>
      </c>
      <c r="I139" s="837"/>
      <c r="J139" s="215">
        <v>0</v>
      </c>
      <c r="K139" s="836"/>
      <c r="L139" s="838"/>
      <c r="M139" s="695"/>
      <c r="N139" s="695"/>
      <c r="O139" s="695"/>
      <c r="P139" s="839"/>
      <c r="Q139" s="777" t="str">
        <f t="shared" si="2"/>
        <v/>
      </c>
    </row>
    <row r="140" spans="1:17">
      <c r="A140" s="22" t="s">
        <v>123</v>
      </c>
      <c r="B140" s="22" t="s">
        <v>511</v>
      </c>
      <c r="D140" s="86" t="s">
        <v>921</v>
      </c>
      <c r="E140" s="820">
        <v>2035</v>
      </c>
      <c r="F140" s="760"/>
      <c r="G140" s="836"/>
      <c r="H140" s="760">
        <v>742.90499999999997</v>
      </c>
      <c r="I140" s="837"/>
      <c r="J140" s="215">
        <v>0</v>
      </c>
      <c r="K140" s="836"/>
      <c r="L140" s="838"/>
      <c r="M140" s="695"/>
      <c r="N140" s="695"/>
      <c r="O140" s="695"/>
      <c r="P140" s="839"/>
      <c r="Q140" s="777" t="str">
        <f t="shared" si="2"/>
        <v/>
      </c>
    </row>
    <row r="141" spans="1:17">
      <c r="A141" s="22" t="s">
        <v>123</v>
      </c>
      <c r="B141" s="22" t="s">
        <v>510</v>
      </c>
      <c r="D141" s="86" t="s">
        <v>921</v>
      </c>
      <c r="E141" s="820">
        <v>2035</v>
      </c>
      <c r="F141" s="760"/>
      <c r="G141" s="836"/>
      <c r="H141" s="760">
        <v>1092</v>
      </c>
      <c r="I141" s="837"/>
      <c r="J141" s="215">
        <v>0</v>
      </c>
      <c r="K141" s="836"/>
      <c r="L141" s="838"/>
      <c r="M141" s="695"/>
      <c r="N141" s="695"/>
      <c r="O141" s="695"/>
      <c r="P141" s="839"/>
      <c r="Q141" s="777" t="str">
        <f t="shared" si="2"/>
        <v/>
      </c>
    </row>
    <row r="142" spans="1:17">
      <c r="A142" s="22" t="s">
        <v>123</v>
      </c>
      <c r="B142" s="22" t="s">
        <v>531</v>
      </c>
      <c r="D142" s="86" t="s">
        <v>921</v>
      </c>
      <c r="E142" s="820">
        <v>2035</v>
      </c>
      <c r="F142" s="760"/>
      <c r="G142" s="836"/>
      <c r="H142" s="760">
        <v>96</v>
      </c>
      <c r="I142" s="837"/>
      <c r="J142" s="215">
        <v>0</v>
      </c>
      <c r="K142" s="836"/>
      <c r="L142" s="838"/>
      <c r="M142" s="695"/>
      <c r="N142" s="695"/>
      <c r="O142" s="695"/>
      <c r="P142" s="839"/>
      <c r="Q142" s="777" t="str">
        <f t="shared" si="2"/>
        <v/>
      </c>
    </row>
    <row r="143" spans="1:17">
      <c r="A143" s="777" t="s">
        <v>123</v>
      </c>
      <c r="B143" s="777" t="s">
        <v>822</v>
      </c>
      <c r="C143" s="777"/>
      <c r="D143" s="770" t="s">
        <v>921</v>
      </c>
      <c r="E143" s="820">
        <v>2035</v>
      </c>
      <c r="F143" s="760"/>
      <c r="G143" s="836"/>
      <c r="H143" s="760">
        <v>96</v>
      </c>
      <c r="I143" s="840"/>
      <c r="J143" s="760">
        <v>0</v>
      </c>
      <c r="K143" s="836"/>
      <c r="L143" s="838"/>
      <c r="M143" s="838"/>
      <c r="N143" s="838"/>
      <c r="O143" s="838"/>
      <c r="P143" s="839"/>
      <c r="Q143" s="777" t="str">
        <f t="shared" si="2"/>
        <v/>
      </c>
    </row>
    <row r="144" spans="1:17">
      <c r="A144" s="5" t="s">
        <v>974</v>
      </c>
      <c r="B144" s="3"/>
      <c r="C144" s="3"/>
      <c r="D144" s="3"/>
      <c r="E144" s="828"/>
      <c r="F144" s="3"/>
      <c r="G144" s="828"/>
      <c r="H144" s="3"/>
      <c r="I144" s="8"/>
      <c r="J144" s="3"/>
      <c r="K144" s="828"/>
      <c r="L144" s="814"/>
      <c r="M144" s="829"/>
      <c r="N144" s="829"/>
      <c r="O144" s="829"/>
      <c r="P144" s="828"/>
      <c r="Q144" s="3" t="s">
        <v>669</v>
      </c>
    </row>
    <row r="145" spans="1:17">
      <c r="A145" s="22" t="s">
        <v>107</v>
      </c>
      <c r="B145" s="570" t="s">
        <v>444</v>
      </c>
      <c r="D145" s="86" t="s">
        <v>921</v>
      </c>
      <c r="E145" s="830">
        <v>2035</v>
      </c>
      <c r="F145" s="633">
        <v>23022.172503802049</v>
      </c>
      <c r="G145" s="831"/>
      <c r="H145" s="633">
        <v>9208.8690015208194</v>
      </c>
      <c r="J145" s="633">
        <v>13813.303502281229</v>
      </c>
      <c r="K145" s="831" t="s">
        <v>671</v>
      </c>
      <c r="P145" s="830"/>
      <c r="Q145" s="22" t="s">
        <v>669</v>
      </c>
    </row>
    <row r="146" spans="1:17">
      <c r="A146" s="22" t="s">
        <v>109</v>
      </c>
      <c r="B146" s="570" t="s">
        <v>444</v>
      </c>
      <c r="D146" s="86" t="s">
        <v>921</v>
      </c>
      <c r="E146" s="820">
        <v>2035</v>
      </c>
      <c r="F146" s="303">
        <v>6492.1236100749575</v>
      </c>
      <c r="G146" s="832"/>
      <c r="H146" s="303">
        <v>2596.8494440299833</v>
      </c>
      <c r="J146" s="303">
        <v>3895.2741660449751</v>
      </c>
      <c r="K146" s="831" t="s">
        <v>671</v>
      </c>
      <c r="P146" s="820"/>
      <c r="Q146" s="22" t="s">
        <v>669</v>
      </c>
    </row>
    <row r="147" spans="1:17">
      <c r="A147" s="22" t="s">
        <v>110</v>
      </c>
      <c r="B147" s="570" t="s">
        <v>444</v>
      </c>
      <c r="D147" s="86" t="s">
        <v>921</v>
      </c>
      <c r="E147" s="830">
        <v>2035</v>
      </c>
      <c r="F147" s="633">
        <v>8207.2270731092522</v>
      </c>
      <c r="G147" s="831"/>
      <c r="H147" s="633">
        <v>3282.8908292437013</v>
      </c>
      <c r="J147" s="633">
        <v>4924.3362438655522</v>
      </c>
      <c r="K147" s="831" t="s">
        <v>671</v>
      </c>
      <c r="P147" s="830"/>
      <c r="Q147" s="22" t="s">
        <v>669</v>
      </c>
    </row>
    <row r="148" spans="1:17">
      <c r="A148" s="22" t="s">
        <v>112</v>
      </c>
      <c r="B148" s="570" t="s">
        <v>444</v>
      </c>
      <c r="D148" s="86" t="s">
        <v>921</v>
      </c>
      <c r="E148" s="820">
        <v>2035</v>
      </c>
      <c r="F148" s="303">
        <v>4650.6723997638419</v>
      </c>
      <c r="G148" s="832"/>
      <c r="H148" s="303">
        <v>1860.2689599055368</v>
      </c>
      <c r="J148" s="303">
        <v>2790.4034398583053</v>
      </c>
      <c r="K148" s="831" t="s">
        <v>671</v>
      </c>
      <c r="P148" s="820"/>
      <c r="Q148" s="22" t="s">
        <v>669</v>
      </c>
    </row>
    <row r="149" spans="1:17">
      <c r="A149" s="22" t="s">
        <v>113</v>
      </c>
      <c r="B149" s="570" t="s">
        <v>444</v>
      </c>
      <c r="D149" s="86" t="s">
        <v>921</v>
      </c>
      <c r="E149" s="830">
        <v>2035</v>
      </c>
      <c r="F149" s="633">
        <v>5868.4496235170318</v>
      </c>
      <c r="G149" s="831"/>
      <c r="H149" s="633">
        <v>2347.3798494068128</v>
      </c>
      <c r="J149" s="633">
        <v>3521.0697741102194</v>
      </c>
      <c r="K149" s="831" t="s">
        <v>671</v>
      </c>
      <c r="P149" s="830"/>
      <c r="Q149" s="22" t="s">
        <v>669</v>
      </c>
    </row>
    <row r="150" spans="1:17">
      <c r="A150" s="22" t="s">
        <v>114</v>
      </c>
      <c r="B150" s="570" t="s">
        <v>444</v>
      </c>
      <c r="D150" s="86" t="s">
        <v>921</v>
      </c>
      <c r="E150" s="820">
        <v>2035</v>
      </c>
      <c r="F150" s="303">
        <v>1115.62372595491</v>
      </c>
      <c r="G150" s="832"/>
      <c r="H150" s="303">
        <v>446.24949038196399</v>
      </c>
      <c r="J150" s="303">
        <v>669.37423557294608</v>
      </c>
      <c r="K150" s="831" t="s">
        <v>671</v>
      </c>
      <c r="P150" s="820"/>
      <c r="Q150" s="22" t="s">
        <v>669</v>
      </c>
    </row>
    <row r="151" spans="1:17">
      <c r="A151" s="22" t="s">
        <v>115</v>
      </c>
      <c r="B151" s="570" t="s">
        <v>444</v>
      </c>
      <c r="D151" s="86" t="s">
        <v>921</v>
      </c>
      <c r="E151" s="830">
        <v>2035</v>
      </c>
      <c r="F151" s="633">
        <v>1653.2737143669149</v>
      </c>
      <c r="G151" s="831"/>
      <c r="H151" s="633">
        <v>661.30948574676597</v>
      </c>
      <c r="J151" s="633">
        <v>991.9642286201489</v>
      </c>
      <c r="K151" s="831" t="s">
        <v>671</v>
      </c>
      <c r="P151" s="830"/>
      <c r="Q151" s="22" t="s">
        <v>669</v>
      </c>
    </row>
    <row r="152" spans="1:17">
      <c r="A152" s="22" t="s">
        <v>103</v>
      </c>
      <c r="B152" s="570" t="s">
        <v>444</v>
      </c>
      <c r="D152" s="86" t="s">
        <v>921</v>
      </c>
      <c r="E152" s="820">
        <v>2035</v>
      </c>
      <c r="F152" s="303">
        <v>534.96173846994475</v>
      </c>
      <c r="G152" s="832"/>
      <c r="H152" s="303">
        <v>213.98469538797792</v>
      </c>
      <c r="J152" s="303">
        <v>320.97704308196688</v>
      </c>
      <c r="K152" s="831" t="s">
        <v>671</v>
      </c>
      <c r="P152" s="820"/>
      <c r="Q152" s="22" t="s">
        <v>669</v>
      </c>
    </row>
    <row r="153" spans="1:17">
      <c r="A153" s="22" t="s">
        <v>104</v>
      </c>
      <c r="B153" s="570" t="s">
        <v>444</v>
      </c>
      <c r="D153" s="86" t="s">
        <v>921</v>
      </c>
      <c r="E153" s="830">
        <v>2035</v>
      </c>
      <c r="F153" s="633">
        <v>2000.0579568926578</v>
      </c>
      <c r="G153" s="831"/>
      <c r="H153" s="633">
        <v>800.02318275706318</v>
      </c>
      <c r="J153" s="633">
        <v>1200.0347741355947</v>
      </c>
      <c r="K153" s="831" t="s">
        <v>671</v>
      </c>
      <c r="P153" s="830"/>
      <c r="Q153" s="22" t="s">
        <v>669</v>
      </c>
    </row>
    <row r="154" spans="1:17">
      <c r="A154" s="22" t="s">
        <v>105</v>
      </c>
      <c r="B154" s="570" t="s">
        <v>444</v>
      </c>
      <c r="D154" s="86" t="s">
        <v>921</v>
      </c>
      <c r="E154" s="820">
        <v>2035</v>
      </c>
      <c r="F154" s="303">
        <v>6865.7903520213013</v>
      </c>
      <c r="G154" s="832"/>
      <c r="H154" s="303">
        <v>2746.3161408085207</v>
      </c>
      <c r="J154" s="303">
        <v>4119.4742112127806</v>
      </c>
      <c r="K154" s="831" t="s">
        <v>671</v>
      </c>
      <c r="P154" s="820"/>
      <c r="Q154" s="22" t="s">
        <v>669</v>
      </c>
    </row>
    <row r="155" spans="1:17">
      <c r="A155" s="22" t="s">
        <v>106</v>
      </c>
      <c r="B155" s="570" t="s">
        <v>444</v>
      </c>
      <c r="D155" s="86" t="s">
        <v>921</v>
      </c>
      <c r="E155" s="830">
        <v>2035</v>
      </c>
      <c r="F155" s="633">
        <v>1876.3984595578968</v>
      </c>
      <c r="G155" s="831"/>
      <c r="H155" s="633">
        <v>750.55938382315878</v>
      </c>
      <c r="J155" s="633">
        <v>1125.8390757347381</v>
      </c>
      <c r="K155" s="831" t="s">
        <v>671</v>
      </c>
      <c r="P155" s="830"/>
      <c r="Q155" s="22" t="s">
        <v>669</v>
      </c>
    </row>
    <row r="156" spans="1:17">
      <c r="A156" s="22" t="s">
        <v>117</v>
      </c>
      <c r="B156" s="570" t="s">
        <v>444</v>
      </c>
      <c r="D156" s="86" t="s">
        <v>921</v>
      </c>
      <c r="E156" s="830">
        <v>2035</v>
      </c>
      <c r="F156" s="633">
        <v>7056.656097907563</v>
      </c>
      <c r="G156" s="831"/>
      <c r="H156" s="633">
        <v>2822.6624391630253</v>
      </c>
      <c r="J156" s="633">
        <v>4233.9936587445382</v>
      </c>
      <c r="K156" s="831" t="s">
        <v>671</v>
      </c>
      <c r="P156" s="830"/>
      <c r="Q156" s="22" t="s">
        <v>669</v>
      </c>
    </row>
    <row r="157" spans="1:17">
      <c r="A157" s="22" t="s">
        <v>121</v>
      </c>
      <c r="B157" s="570" t="s">
        <v>444</v>
      </c>
      <c r="D157" s="86" t="s">
        <v>921</v>
      </c>
      <c r="E157" s="820">
        <v>2035</v>
      </c>
      <c r="F157" s="303">
        <v>564.53248783260506</v>
      </c>
      <c r="G157" s="832"/>
      <c r="H157" s="303">
        <v>225.81299513304202</v>
      </c>
      <c r="J157" s="303">
        <v>338.71949269956309</v>
      </c>
      <c r="K157" s="831" t="s">
        <v>671</v>
      </c>
      <c r="P157" s="820"/>
      <c r="Q157" s="22" t="s">
        <v>669</v>
      </c>
    </row>
    <row r="158" spans="1:17">
      <c r="A158" s="22" t="s">
        <v>122</v>
      </c>
      <c r="B158" s="570" t="s">
        <v>444</v>
      </c>
      <c r="D158" s="86" t="s">
        <v>921</v>
      </c>
      <c r="E158" s="830">
        <v>2035</v>
      </c>
      <c r="F158" s="633">
        <v>427.43174078754384</v>
      </c>
      <c r="G158" s="831"/>
      <c r="H158" s="633">
        <v>170.97269631501754</v>
      </c>
      <c r="J158" s="633">
        <v>256.45904447252627</v>
      </c>
      <c r="K158" s="831" t="s">
        <v>671</v>
      </c>
      <c r="P158" s="830"/>
      <c r="Q158" s="22" t="s">
        <v>669</v>
      </c>
    </row>
    <row r="159" spans="1:17">
      <c r="A159" s="176" t="s">
        <v>123</v>
      </c>
      <c r="B159" s="635" t="s">
        <v>444</v>
      </c>
      <c r="C159" s="176"/>
      <c r="D159" s="134" t="s">
        <v>921</v>
      </c>
      <c r="E159" s="821">
        <v>2035</v>
      </c>
      <c r="F159" s="627">
        <v>451.62599026608405</v>
      </c>
      <c r="G159" s="833"/>
      <c r="H159" s="627">
        <v>180.65039610643362</v>
      </c>
      <c r="I159" s="815"/>
      <c r="J159" s="627">
        <v>270.97559415965043</v>
      </c>
      <c r="K159" s="851" t="s">
        <v>671</v>
      </c>
      <c r="L159" s="816"/>
      <c r="M159" s="816"/>
      <c r="N159" s="816"/>
      <c r="O159" s="816"/>
      <c r="P159" s="821"/>
      <c r="Q159" s="22" t="s">
        <v>669</v>
      </c>
    </row>
    <row r="160" spans="1:17">
      <c r="A160" s="22" t="s">
        <v>107</v>
      </c>
      <c r="B160" s="570" t="s">
        <v>445</v>
      </c>
      <c r="D160" s="86" t="s">
        <v>921</v>
      </c>
      <c r="E160" s="830">
        <v>2035</v>
      </c>
      <c r="F160" s="633">
        <v>12970.805970439615</v>
      </c>
      <c r="G160" s="831"/>
      <c r="H160" s="633">
        <v>5188.3223881758458</v>
      </c>
      <c r="J160" s="633">
        <v>7782.4835822637706</v>
      </c>
      <c r="K160" s="831" t="s">
        <v>671</v>
      </c>
      <c r="P160" s="830"/>
      <c r="Q160" s="22" t="s">
        <v>669</v>
      </c>
    </row>
    <row r="161" spans="1:17">
      <c r="A161" s="22" t="s">
        <v>109</v>
      </c>
      <c r="B161" s="570" t="s">
        <v>445</v>
      </c>
      <c r="D161" s="86" t="s">
        <v>921</v>
      </c>
      <c r="E161" s="820">
        <v>2035</v>
      </c>
      <c r="F161" s="303">
        <v>6989.4498493560623</v>
      </c>
      <c r="G161" s="832"/>
      <c r="H161" s="303">
        <v>2795.7799397424251</v>
      </c>
      <c r="J161" s="303">
        <v>4193.6699096136381</v>
      </c>
      <c r="K161" s="831" t="s">
        <v>671</v>
      </c>
      <c r="P161" s="820"/>
      <c r="Q161" s="22" t="s">
        <v>669</v>
      </c>
    </row>
    <row r="162" spans="1:17">
      <c r="A162" s="22" t="s">
        <v>110</v>
      </c>
      <c r="B162" s="570" t="s">
        <v>445</v>
      </c>
      <c r="D162" s="86" t="s">
        <v>921</v>
      </c>
      <c r="E162" s="830">
        <v>2035</v>
      </c>
      <c r="F162" s="633">
        <v>46670.707244104087</v>
      </c>
      <c r="G162" s="831"/>
      <c r="H162" s="633">
        <v>18668.282897641635</v>
      </c>
      <c r="J162" s="633">
        <v>28002.424346462449</v>
      </c>
      <c r="K162" s="831" t="s">
        <v>671</v>
      </c>
      <c r="P162" s="830"/>
      <c r="Q162" s="22" t="s">
        <v>669</v>
      </c>
    </row>
    <row r="163" spans="1:17">
      <c r="A163" s="22" t="s">
        <v>112</v>
      </c>
      <c r="B163" s="570" t="s">
        <v>445</v>
      </c>
      <c r="D163" s="86" t="s">
        <v>921</v>
      </c>
      <c r="E163" s="820">
        <v>2035</v>
      </c>
      <c r="F163" s="303">
        <v>10699.234769398894</v>
      </c>
      <c r="G163" s="832"/>
      <c r="H163" s="303">
        <v>4279.693907759558</v>
      </c>
      <c r="J163" s="303">
        <v>6419.5408616393379</v>
      </c>
      <c r="K163" s="831" t="s">
        <v>671</v>
      </c>
      <c r="P163" s="820"/>
      <c r="Q163" s="22" t="s">
        <v>669</v>
      </c>
    </row>
    <row r="164" spans="1:17">
      <c r="A164" s="22" t="s">
        <v>113</v>
      </c>
      <c r="B164" s="570" t="s">
        <v>445</v>
      </c>
      <c r="D164" s="86" t="s">
        <v>921</v>
      </c>
      <c r="E164" s="830">
        <v>2035</v>
      </c>
      <c r="F164" s="633">
        <v>12575.633228956791</v>
      </c>
      <c r="G164" s="831"/>
      <c r="H164" s="633">
        <v>5030.2532915827169</v>
      </c>
      <c r="J164" s="633">
        <v>7545.3799373740767</v>
      </c>
      <c r="K164" s="831" t="s">
        <v>671</v>
      </c>
      <c r="P164" s="830"/>
      <c r="Q164" s="22" t="s">
        <v>669</v>
      </c>
    </row>
    <row r="165" spans="1:17">
      <c r="A165" s="22" t="s">
        <v>114</v>
      </c>
      <c r="B165" s="570" t="s">
        <v>445</v>
      </c>
      <c r="D165" s="86" t="s">
        <v>921</v>
      </c>
      <c r="E165" s="820">
        <v>2035</v>
      </c>
      <c r="F165" s="303">
        <v>9849.7477877079273</v>
      </c>
      <c r="G165" s="832"/>
      <c r="H165" s="303">
        <v>3939.8991150831712</v>
      </c>
      <c r="J165" s="303">
        <v>5909.8486726247575</v>
      </c>
      <c r="K165" s="831" t="s">
        <v>671</v>
      </c>
      <c r="P165" s="820"/>
      <c r="Q165" s="22" t="s">
        <v>669</v>
      </c>
    </row>
    <row r="166" spans="1:17">
      <c r="A166" s="22" t="s">
        <v>115</v>
      </c>
      <c r="B166" s="570" t="s">
        <v>445</v>
      </c>
      <c r="D166" s="86" t="s">
        <v>921</v>
      </c>
      <c r="E166" s="830">
        <v>2035</v>
      </c>
      <c r="F166" s="633">
        <v>4285.0704076436778</v>
      </c>
      <c r="G166" s="831"/>
      <c r="H166" s="633">
        <v>1714.0281630574714</v>
      </c>
      <c r="J166" s="633">
        <v>2571.0422445862073</v>
      </c>
      <c r="K166" s="831" t="s">
        <v>671</v>
      </c>
      <c r="P166" s="830"/>
      <c r="Q166" s="22" t="s">
        <v>669</v>
      </c>
    </row>
    <row r="167" spans="1:17">
      <c r="A167" s="22" t="s">
        <v>117</v>
      </c>
      <c r="B167" s="570" t="s">
        <v>445</v>
      </c>
      <c r="D167" s="86" t="s">
        <v>921</v>
      </c>
      <c r="E167" s="820">
        <v>2035</v>
      </c>
      <c r="F167" s="303">
        <v>357.53724229398318</v>
      </c>
      <c r="G167" s="832"/>
      <c r="H167" s="303">
        <v>143.01489691759329</v>
      </c>
      <c r="J167" s="303">
        <v>214.52234537638995</v>
      </c>
      <c r="K167" s="831" t="s">
        <v>671</v>
      </c>
      <c r="P167" s="820"/>
      <c r="Q167" s="22" t="s">
        <v>669</v>
      </c>
    </row>
    <row r="168" spans="1:17">
      <c r="A168" s="22" t="s">
        <v>118</v>
      </c>
      <c r="B168" s="570" t="s">
        <v>445</v>
      </c>
      <c r="D168" s="86" t="s">
        <v>921</v>
      </c>
      <c r="E168" s="830">
        <v>2035</v>
      </c>
      <c r="F168" s="633">
        <v>53.76499884120048</v>
      </c>
      <c r="G168" s="831"/>
      <c r="H168" s="633">
        <v>21.505999536480193</v>
      </c>
      <c r="J168" s="633">
        <v>32.258999304720291</v>
      </c>
      <c r="K168" s="831" t="s">
        <v>671</v>
      </c>
      <c r="P168" s="830"/>
      <c r="Q168" s="22" t="s">
        <v>669</v>
      </c>
    </row>
    <row r="169" spans="1:17">
      <c r="A169" s="22" t="s">
        <v>119</v>
      </c>
      <c r="B169" s="570" t="s">
        <v>445</v>
      </c>
      <c r="D169" s="86" t="s">
        <v>921</v>
      </c>
      <c r="E169" s="820">
        <v>2035</v>
      </c>
      <c r="F169" s="303">
        <v>524.20873870170476</v>
      </c>
      <c r="G169" s="832"/>
      <c r="H169" s="303">
        <v>209.6834954806819</v>
      </c>
      <c r="J169" s="303">
        <v>314.52524322102283</v>
      </c>
      <c r="K169" s="831" t="s">
        <v>671</v>
      </c>
      <c r="P169" s="820"/>
      <c r="Q169" s="22" t="s">
        <v>669</v>
      </c>
    </row>
    <row r="170" spans="1:17">
      <c r="A170" s="22" t="s">
        <v>120</v>
      </c>
      <c r="B170" s="570" t="s">
        <v>445</v>
      </c>
      <c r="D170" s="86" t="s">
        <v>921</v>
      </c>
      <c r="E170" s="830">
        <v>2035</v>
      </c>
      <c r="F170" s="633">
        <v>134.41249710300121</v>
      </c>
      <c r="G170" s="831"/>
      <c r="H170" s="633">
        <v>53.764998841200487</v>
      </c>
      <c r="J170" s="633">
        <v>80.64749826180072</v>
      </c>
      <c r="K170" s="831" t="s">
        <v>671</v>
      </c>
      <c r="P170" s="830"/>
      <c r="Q170" s="22" t="s">
        <v>669</v>
      </c>
    </row>
    <row r="171" spans="1:17">
      <c r="A171" s="22" t="s">
        <v>121</v>
      </c>
      <c r="B171" s="570" t="s">
        <v>445</v>
      </c>
      <c r="D171" s="86" t="s">
        <v>921</v>
      </c>
      <c r="E171" s="820">
        <v>2035</v>
      </c>
      <c r="F171" s="303">
        <v>287.64274380042252</v>
      </c>
      <c r="G171" s="832"/>
      <c r="H171" s="303">
        <v>115.05709752016902</v>
      </c>
      <c r="J171" s="303">
        <v>172.58564628025354</v>
      </c>
      <c r="K171" s="831" t="s">
        <v>671</v>
      </c>
      <c r="P171" s="820"/>
      <c r="Q171" s="22" t="s">
        <v>669</v>
      </c>
    </row>
    <row r="172" spans="1:17">
      <c r="A172" s="777" t="s">
        <v>123</v>
      </c>
      <c r="B172" s="769" t="s">
        <v>445</v>
      </c>
      <c r="D172" s="770" t="s">
        <v>921</v>
      </c>
      <c r="E172" s="830">
        <v>2035</v>
      </c>
      <c r="F172" s="806">
        <v>362.91374217810329</v>
      </c>
      <c r="G172" s="831"/>
      <c r="H172" s="806">
        <v>145.16549687124132</v>
      </c>
      <c r="J172" s="806">
        <v>217.74824530686197</v>
      </c>
      <c r="K172" s="831" t="s">
        <v>671</v>
      </c>
      <c r="P172" s="830"/>
      <c r="Q172" s="22" t="s">
        <v>669</v>
      </c>
    </row>
    <row r="173" spans="1:17">
      <c r="D173" s="86"/>
      <c r="E173" s="820"/>
      <c r="F173" s="37"/>
      <c r="G173" s="834"/>
      <c r="H173" s="215"/>
      <c r="K173" s="834"/>
      <c r="P173" s="820"/>
      <c r="Q173" s="22"/>
    </row>
    <row r="174" spans="1:17">
      <c r="A174" s="570"/>
      <c r="B174" s="570"/>
      <c r="D174" s="86"/>
      <c r="E174" s="830"/>
      <c r="F174" s="571"/>
      <c r="G174" s="835"/>
      <c r="H174" s="632"/>
      <c r="J174" s="571"/>
      <c r="K174" s="835"/>
      <c r="P174" s="830"/>
      <c r="Q174" s="22"/>
    </row>
    <row r="175" spans="1:17">
      <c r="A175" s="777"/>
      <c r="B175" s="570"/>
      <c r="D175" s="770"/>
      <c r="E175" s="820"/>
      <c r="G175" s="834"/>
      <c r="H175" s="760"/>
      <c r="J175" s="778"/>
      <c r="K175" s="834"/>
      <c r="P175" s="820"/>
      <c r="Q175" s="22"/>
    </row>
    <row r="176" spans="1:17">
      <c r="A176" s="769"/>
      <c r="B176" s="570"/>
      <c r="D176" s="770"/>
      <c r="E176" s="830"/>
      <c r="F176" s="772"/>
      <c r="G176" s="835"/>
      <c r="H176" s="773"/>
      <c r="J176" s="772"/>
      <c r="K176" s="835"/>
      <c r="P176" s="830"/>
      <c r="Q176" s="22"/>
    </row>
    <row r="177" spans="1:17">
      <c r="A177" s="777"/>
      <c r="B177" s="570"/>
      <c r="D177" s="770"/>
      <c r="E177" s="820"/>
      <c r="G177" s="834"/>
      <c r="H177" s="760"/>
      <c r="J177" s="778"/>
      <c r="K177" s="834"/>
      <c r="P177" s="820"/>
      <c r="Q177" s="22"/>
    </row>
    <row r="178" spans="1:17">
      <c r="A178" s="769"/>
      <c r="B178" s="570"/>
      <c r="D178" s="770"/>
      <c r="E178" s="830"/>
      <c r="F178" s="772"/>
      <c r="G178" s="835"/>
      <c r="H178" s="773"/>
      <c r="J178" s="772"/>
      <c r="K178" s="835"/>
      <c r="P178" s="830"/>
      <c r="Q178" s="22"/>
    </row>
    <row r="179" spans="1:17">
      <c r="A179" s="777"/>
      <c r="B179" s="570"/>
      <c r="D179" s="770"/>
      <c r="E179" s="820"/>
      <c r="G179" s="834"/>
      <c r="H179" s="760"/>
      <c r="J179" s="778"/>
      <c r="K179" s="834"/>
      <c r="P179" s="820"/>
      <c r="Q179" s="22"/>
    </row>
    <row r="180" spans="1:17">
      <c r="A180" s="769"/>
      <c r="B180" s="570"/>
      <c r="D180" s="770"/>
      <c r="E180" s="830"/>
      <c r="F180" s="772"/>
      <c r="G180" s="835"/>
      <c r="H180" s="773"/>
      <c r="J180" s="772"/>
      <c r="K180" s="835"/>
      <c r="P180" s="830"/>
      <c r="Q180" s="22"/>
    </row>
    <row r="181" spans="1:17">
      <c r="A181" s="777"/>
      <c r="B181" s="570"/>
      <c r="D181" s="770"/>
      <c r="E181" s="820"/>
      <c r="G181" s="834"/>
      <c r="H181" s="760"/>
      <c r="J181" s="778"/>
      <c r="K181" s="834"/>
      <c r="P181" s="820"/>
      <c r="Q181" s="22"/>
    </row>
    <row r="182" spans="1:17">
      <c r="A182" s="769"/>
      <c r="B182" s="570"/>
      <c r="D182" s="770"/>
      <c r="E182" s="830"/>
      <c r="F182" s="772"/>
      <c r="G182" s="835"/>
      <c r="H182" s="773"/>
      <c r="J182" s="772"/>
      <c r="K182" s="835"/>
      <c r="P182" s="830"/>
      <c r="Q182" s="22"/>
    </row>
    <row r="183" spans="1:17">
      <c r="A183" s="777"/>
      <c r="B183" s="570"/>
      <c r="D183" s="770"/>
      <c r="E183" s="820"/>
      <c r="G183" s="834"/>
      <c r="H183" s="760"/>
      <c r="J183" s="778"/>
      <c r="K183" s="834"/>
      <c r="P183" s="820"/>
      <c r="Q183" s="22"/>
    </row>
    <row r="184" spans="1:17">
      <c r="A184" s="769"/>
      <c r="B184" s="769"/>
      <c r="D184" s="770"/>
      <c r="E184" s="830"/>
      <c r="F184" s="772"/>
      <c r="G184" s="835"/>
      <c r="H184" s="773"/>
      <c r="J184" s="772"/>
      <c r="K184" s="835"/>
      <c r="P184" s="830"/>
      <c r="Q184" s="22"/>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9"/>
  <sheetViews>
    <sheetView workbookViewId="0">
      <pane ySplit="1" topLeftCell="A44" activePane="bottomLeft" state="frozen"/>
      <selection activeCell="J63" sqref="J63"/>
      <selection pane="bottomLeft" activeCell="F85" sqref="F85"/>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660</v>
      </c>
      <c r="B1" s="572" t="s">
        <v>661</v>
      </c>
      <c r="C1" s="572" t="s">
        <v>662</v>
      </c>
      <c r="D1" s="572" t="s">
        <v>281</v>
      </c>
      <c r="E1" s="572" t="s">
        <v>177</v>
      </c>
      <c r="F1" s="572" t="s">
        <v>933</v>
      </c>
      <c r="G1" s="572" t="s">
        <v>688</v>
      </c>
      <c r="H1" s="572" t="s">
        <v>689</v>
      </c>
      <c r="I1" s="572" t="s">
        <v>690</v>
      </c>
      <c r="J1" s="572" t="s">
        <v>691</v>
      </c>
      <c r="K1" s="572" t="s">
        <v>692</v>
      </c>
      <c r="L1" s="437" t="s">
        <v>935</v>
      </c>
      <c r="M1" s="437" t="s">
        <v>936</v>
      </c>
    </row>
    <row r="2" spans="1:13">
      <c r="A2" s="568" t="s">
        <v>107</v>
      </c>
      <c r="B2" s="568" t="s">
        <v>665</v>
      </c>
      <c r="C2" s="568"/>
      <c r="D2" s="611" t="s">
        <v>921</v>
      </c>
      <c r="E2" s="611">
        <v>1</v>
      </c>
      <c r="F2" s="611"/>
      <c r="G2" s="569"/>
      <c r="H2" s="569"/>
      <c r="I2" s="631">
        <v>3000</v>
      </c>
      <c r="J2" s="569"/>
      <c r="K2" s="569"/>
      <c r="L2" s="569"/>
      <c r="M2" s="569"/>
    </row>
    <row r="3" spans="1:13">
      <c r="A3" s="22" t="s">
        <v>109</v>
      </c>
      <c r="B3" s="22" t="s">
        <v>665</v>
      </c>
      <c r="D3" s="86" t="s">
        <v>921</v>
      </c>
      <c r="E3" s="86">
        <v>1</v>
      </c>
      <c r="F3" s="86"/>
      <c r="G3" s="37"/>
      <c r="H3" s="37"/>
      <c r="I3" s="215">
        <v>3000</v>
      </c>
      <c r="J3" s="37"/>
      <c r="K3" s="37"/>
      <c r="L3" s="37"/>
      <c r="M3" s="37"/>
    </row>
    <row r="4" spans="1:13">
      <c r="A4" s="570" t="s">
        <v>110</v>
      </c>
      <c r="B4" s="570" t="s">
        <v>665</v>
      </c>
      <c r="C4" s="570"/>
      <c r="D4" s="612" t="s">
        <v>921</v>
      </c>
      <c r="E4" s="612">
        <v>1</v>
      </c>
      <c r="F4" s="612"/>
      <c r="G4" s="571"/>
      <c r="H4" s="571"/>
      <c r="I4" s="632">
        <v>3000</v>
      </c>
      <c r="J4" s="571"/>
      <c r="K4" s="571"/>
      <c r="L4" s="571"/>
      <c r="M4" s="571"/>
    </row>
    <row r="5" spans="1:13">
      <c r="A5" s="22" t="s">
        <v>112</v>
      </c>
      <c r="B5" s="22" t="s">
        <v>665</v>
      </c>
      <c r="D5" s="86" t="s">
        <v>921</v>
      </c>
      <c r="E5" s="86">
        <v>1</v>
      </c>
      <c r="F5" s="86"/>
      <c r="G5" s="37"/>
      <c r="H5" s="37"/>
      <c r="I5" s="215">
        <v>3000</v>
      </c>
      <c r="J5" s="37"/>
      <c r="K5" s="37"/>
      <c r="L5" s="37"/>
      <c r="M5" s="37"/>
    </row>
    <row r="6" spans="1:13">
      <c r="A6" s="570" t="s">
        <v>113</v>
      </c>
      <c r="B6" s="570" t="s">
        <v>665</v>
      </c>
      <c r="C6" s="570"/>
      <c r="D6" s="612" t="s">
        <v>921</v>
      </c>
      <c r="E6" s="612">
        <v>1</v>
      </c>
      <c r="F6" s="612"/>
      <c r="G6" s="571"/>
      <c r="H6" s="571"/>
      <c r="I6" s="632">
        <v>3000</v>
      </c>
      <c r="J6" s="571"/>
      <c r="K6" s="571"/>
      <c r="L6" s="571"/>
      <c r="M6" s="571"/>
    </row>
    <row r="7" spans="1:13">
      <c r="A7" s="22" t="s">
        <v>114</v>
      </c>
      <c r="B7" s="22" t="s">
        <v>665</v>
      </c>
      <c r="D7" s="86" t="s">
        <v>921</v>
      </c>
      <c r="E7" s="86">
        <v>1</v>
      </c>
      <c r="F7" s="86"/>
      <c r="G7" s="37"/>
      <c r="H7" s="37"/>
      <c r="I7" s="215">
        <v>3000</v>
      </c>
      <c r="J7" s="37"/>
      <c r="K7" s="37"/>
      <c r="L7" s="37"/>
      <c r="M7" s="37"/>
    </row>
    <row r="8" spans="1:13">
      <c r="A8" s="570" t="s">
        <v>115</v>
      </c>
      <c r="B8" s="570" t="s">
        <v>665</v>
      </c>
      <c r="C8" s="570"/>
      <c r="D8" s="612" t="s">
        <v>921</v>
      </c>
      <c r="E8" s="612">
        <v>1</v>
      </c>
      <c r="F8" s="612"/>
      <c r="G8" s="571"/>
      <c r="H8" s="571"/>
      <c r="I8" s="632">
        <f>Demand!$B$32</f>
        <v>3000</v>
      </c>
      <c r="J8" s="571"/>
      <c r="K8" s="571"/>
      <c r="L8" s="571"/>
      <c r="M8" s="571"/>
    </row>
    <row r="9" spans="1:13">
      <c r="A9" s="22" t="s">
        <v>103</v>
      </c>
      <c r="B9" s="22" t="s">
        <v>665</v>
      </c>
      <c r="D9" s="86" t="s">
        <v>921</v>
      </c>
      <c r="E9" s="86">
        <v>1</v>
      </c>
      <c r="F9" s="86"/>
      <c r="G9" s="37"/>
      <c r="H9" s="37"/>
      <c r="I9" s="632">
        <f>Demand!$B$32</f>
        <v>3000</v>
      </c>
      <c r="J9" s="37"/>
      <c r="K9" s="37"/>
      <c r="L9" s="37"/>
      <c r="M9" s="37"/>
    </row>
    <row r="10" spans="1:13">
      <c r="A10" s="570" t="s">
        <v>104</v>
      </c>
      <c r="B10" s="570" t="s">
        <v>665</v>
      </c>
      <c r="C10" s="570"/>
      <c r="D10" s="612" t="s">
        <v>921</v>
      </c>
      <c r="E10" s="612">
        <v>1</v>
      </c>
      <c r="F10" s="612"/>
      <c r="G10" s="571"/>
      <c r="H10" s="571"/>
      <c r="I10" s="632">
        <f>Demand!$B$32</f>
        <v>3000</v>
      </c>
      <c r="J10" s="571"/>
      <c r="K10" s="571"/>
      <c r="L10" s="571"/>
      <c r="M10" s="571"/>
    </row>
    <row r="11" spans="1:13">
      <c r="A11" s="22" t="s">
        <v>105</v>
      </c>
      <c r="B11" s="22" t="s">
        <v>665</v>
      </c>
      <c r="D11" s="86" t="s">
        <v>921</v>
      </c>
      <c r="E11" s="86">
        <v>1</v>
      </c>
      <c r="F11" s="86"/>
      <c r="G11" s="37"/>
      <c r="H11" s="37"/>
      <c r="I11" s="632">
        <f>Demand!$B$32</f>
        <v>3000</v>
      </c>
      <c r="J11" s="37"/>
      <c r="K11" s="37"/>
      <c r="L11" s="37"/>
      <c r="M11" s="37"/>
    </row>
    <row r="12" spans="1:13">
      <c r="A12" s="570" t="s">
        <v>106</v>
      </c>
      <c r="B12" s="570" t="s">
        <v>665</v>
      </c>
      <c r="C12" s="570"/>
      <c r="D12" s="612" t="s">
        <v>921</v>
      </c>
      <c r="E12" s="612">
        <v>1</v>
      </c>
      <c r="F12" s="612"/>
      <c r="G12" s="571"/>
      <c r="H12" s="571"/>
      <c r="I12" s="632">
        <f>Demand!$B$32</f>
        <v>3000</v>
      </c>
      <c r="J12" s="571"/>
      <c r="K12" s="571"/>
      <c r="L12" s="571"/>
      <c r="M12" s="571"/>
    </row>
    <row r="13" spans="1:13">
      <c r="A13" s="22" t="s">
        <v>119</v>
      </c>
      <c r="B13" s="22" t="s">
        <v>665</v>
      </c>
      <c r="D13" s="86" t="s">
        <v>921</v>
      </c>
      <c r="E13" s="86">
        <v>1</v>
      </c>
      <c r="F13" s="86"/>
      <c r="G13" s="37"/>
      <c r="H13" s="37"/>
      <c r="I13" s="632">
        <f>Demand!$B$32</f>
        <v>3000</v>
      </c>
      <c r="J13" s="37"/>
      <c r="K13" s="37"/>
      <c r="L13" s="37"/>
      <c r="M13" s="37"/>
    </row>
    <row r="14" spans="1:13">
      <c r="A14" s="570" t="s">
        <v>118</v>
      </c>
      <c r="B14" s="570" t="s">
        <v>665</v>
      </c>
      <c r="C14" s="570"/>
      <c r="D14" s="612" t="s">
        <v>921</v>
      </c>
      <c r="E14" s="612">
        <v>1</v>
      </c>
      <c r="F14" s="612"/>
      <c r="G14" s="571"/>
      <c r="H14" s="571"/>
      <c r="I14" s="632">
        <f>Demand!$B$32</f>
        <v>3000</v>
      </c>
      <c r="J14" s="571"/>
      <c r="K14" s="571"/>
      <c r="L14" s="571"/>
      <c r="M14" s="571"/>
    </row>
    <row r="15" spans="1:13">
      <c r="A15" s="22" t="s">
        <v>120</v>
      </c>
      <c r="B15" s="22" t="s">
        <v>665</v>
      </c>
      <c r="D15" s="86" t="s">
        <v>921</v>
      </c>
      <c r="E15" s="86">
        <v>1</v>
      </c>
      <c r="F15" s="86"/>
      <c r="G15" s="37"/>
      <c r="H15" s="37"/>
      <c r="I15" s="632">
        <f>Demand!$B$32</f>
        <v>3000</v>
      </c>
      <c r="J15" s="37"/>
      <c r="K15" s="37"/>
      <c r="L15" s="37"/>
      <c r="M15" s="37"/>
    </row>
    <row r="16" spans="1:13">
      <c r="A16" s="570" t="s">
        <v>101</v>
      </c>
      <c r="B16" s="570" t="s">
        <v>665</v>
      </c>
      <c r="C16" s="570"/>
      <c r="D16" s="612" t="s">
        <v>921</v>
      </c>
      <c r="E16" s="612">
        <v>1</v>
      </c>
      <c r="F16" s="612"/>
      <c r="G16" s="571"/>
      <c r="H16" s="571"/>
      <c r="I16" s="632">
        <f>Demand!$B$32</f>
        <v>3000</v>
      </c>
      <c r="J16" s="571"/>
      <c r="K16" s="571"/>
      <c r="L16" s="571"/>
      <c r="M16" s="571"/>
    </row>
    <row r="17" spans="1:13">
      <c r="A17" s="22" t="s">
        <v>99</v>
      </c>
      <c r="B17" s="22" t="s">
        <v>665</v>
      </c>
      <c r="D17" s="86" t="s">
        <v>921</v>
      </c>
      <c r="E17" s="86">
        <v>1</v>
      </c>
      <c r="F17" s="86"/>
      <c r="G17" s="37"/>
      <c r="H17" s="37"/>
      <c r="I17" s="632">
        <f>Demand!$B$32</f>
        <v>3000</v>
      </c>
      <c r="J17" s="37"/>
      <c r="K17" s="37"/>
      <c r="L17" s="37"/>
      <c r="M17" s="37"/>
    </row>
    <row r="18" spans="1:13">
      <c r="A18" s="570" t="s">
        <v>117</v>
      </c>
      <c r="B18" s="22" t="s">
        <v>665</v>
      </c>
      <c r="C18" s="570"/>
      <c r="D18" s="612" t="s">
        <v>921</v>
      </c>
      <c r="E18" s="612">
        <v>1</v>
      </c>
      <c r="F18" s="612"/>
      <c r="G18" s="571"/>
      <c r="H18" s="571"/>
      <c r="I18" s="632">
        <f>Demand!$B$32</f>
        <v>3000</v>
      </c>
      <c r="J18" s="37"/>
      <c r="K18" s="37"/>
      <c r="L18" s="37"/>
      <c r="M18" s="37"/>
    </row>
    <row r="19" spans="1:13">
      <c r="A19" s="570" t="s">
        <v>121</v>
      </c>
      <c r="B19" s="570" t="s">
        <v>665</v>
      </c>
      <c r="C19" s="570"/>
      <c r="D19" s="612" t="s">
        <v>921</v>
      </c>
      <c r="E19" s="612">
        <v>1</v>
      </c>
      <c r="F19" s="612"/>
      <c r="G19" s="571"/>
      <c r="H19" s="571"/>
      <c r="I19" s="632">
        <f>Demand!$B$32</f>
        <v>3000</v>
      </c>
      <c r="J19" s="571"/>
      <c r="K19" s="571"/>
      <c r="L19" s="571"/>
      <c r="M19" s="571"/>
    </row>
    <row r="20" spans="1:13">
      <c r="A20" s="22" t="s">
        <v>122</v>
      </c>
      <c r="B20" s="22" t="s">
        <v>665</v>
      </c>
      <c r="D20" s="86" t="s">
        <v>921</v>
      </c>
      <c r="E20" s="86">
        <v>1</v>
      </c>
      <c r="F20" s="86"/>
      <c r="G20" s="37"/>
      <c r="H20" s="37"/>
      <c r="I20" s="632">
        <f>Demand!$B$32</f>
        <v>3000</v>
      </c>
      <c r="J20" s="37"/>
      <c r="K20" s="37"/>
      <c r="L20" s="37"/>
      <c r="M20" s="37"/>
    </row>
    <row r="21" spans="1:13">
      <c r="A21" s="613" t="s">
        <v>123</v>
      </c>
      <c r="B21" s="613" t="s">
        <v>665</v>
      </c>
      <c r="C21" s="613"/>
      <c r="D21" s="614" t="s">
        <v>921</v>
      </c>
      <c r="E21" s="614">
        <v>1</v>
      </c>
      <c r="F21" s="614"/>
      <c r="G21" s="615"/>
      <c r="H21" s="615"/>
      <c r="I21" s="634">
        <f>Demand!$B$32</f>
        <v>3000</v>
      </c>
      <c r="J21" s="615"/>
      <c r="K21" s="615"/>
      <c r="L21" s="615"/>
      <c r="M21" s="615"/>
    </row>
    <row r="22" spans="1:13">
      <c r="A22" s="22" t="s">
        <v>107</v>
      </c>
      <c r="B22" s="22" t="s">
        <v>923</v>
      </c>
      <c r="D22" s="86" t="s">
        <v>921</v>
      </c>
      <c r="E22" s="86">
        <v>1</v>
      </c>
      <c r="F22" s="86"/>
      <c r="G22" s="37"/>
      <c r="H22" s="37"/>
      <c r="I22" s="215">
        <v>240</v>
      </c>
      <c r="J22" s="37"/>
      <c r="K22" s="37"/>
      <c r="L22" s="571"/>
      <c r="M22" s="571"/>
    </row>
    <row r="23" spans="1:13">
      <c r="A23" s="570" t="s">
        <v>109</v>
      </c>
      <c r="B23" s="22" t="s">
        <v>923</v>
      </c>
      <c r="C23" s="570"/>
      <c r="D23" s="612" t="s">
        <v>921</v>
      </c>
      <c r="E23" s="612">
        <v>1</v>
      </c>
      <c r="F23" s="612"/>
      <c r="G23" s="571"/>
      <c r="H23" s="571"/>
      <c r="I23" s="215">
        <v>240</v>
      </c>
      <c r="J23" s="571"/>
      <c r="K23" s="571"/>
      <c r="L23" s="37"/>
      <c r="M23" s="37"/>
    </row>
    <row r="24" spans="1:13">
      <c r="A24" s="22" t="s">
        <v>110</v>
      </c>
      <c r="B24" s="22" t="s">
        <v>923</v>
      </c>
      <c r="C24" s="570"/>
      <c r="D24" s="86" t="s">
        <v>921</v>
      </c>
      <c r="E24" s="86">
        <v>1</v>
      </c>
      <c r="F24" s="86"/>
      <c r="G24" s="37"/>
      <c r="H24" s="37"/>
      <c r="I24" s="215">
        <v>240</v>
      </c>
      <c r="J24" s="37"/>
      <c r="K24" s="37"/>
      <c r="L24" s="571"/>
      <c r="M24" s="571"/>
    </row>
    <row r="25" spans="1:13">
      <c r="A25" s="570" t="s">
        <v>112</v>
      </c>
      <c r="B25" s="22" t="s">
        <v>923</v>
      </c>
      <c r="C25" s="570"/>
      <c r="D25" s="612" t="s">
        <v>921</v>
      </c>
      <c r="E25" s="612">
        <v>1</v>
      </c>
      <c r="F25" s="612"/>
      <c r="G25" s="571"/>
      <c r="H25" s="571"/>
      <c r="I25" s="215">
        <v>240</v>
      </c>
      <c r="J25" s="571"/>
      <c r="K25" s="571"/>
      <c r="L25" s="571"/>
      <c r="M25" s="571"/>
    </row>
    <row r="26" spans="1:13">
      <c r="A26" s="22" t="s">
        <v>113</v>
      </c>
      <c r="B26" s="22" t="s">
        <v>923</v>
      </c>
      <c r="C26" s="570"/>
      <c r="D26" s="86" t="s">
        <v>921</v>
      </c>
      <c r="E26" s="86">
        <v>1</v>
      </c>
      <c r="F26" s="86"/>
      <c r="G26" s="37"/>
      <c r="H26" s="37"/>
      <c r="I26" s="215">
        <v>240</v>
      </c>
      <c r="J26" s="37"/>
      <c r="K26" s="37"/>
      <c r="L26" s="37"/>
      <c r="M26" s="37"/>
    </row>
    <row r="27" spans="1:13">
      <c r="A27" s="570" t="s">
        <v>114</v>
      </c>
      <c r="B27" s="22" t="s">
        <v>923</v>
      </c>
      <c r="C27" s="570"/>
      <c r="D27" s="612" t="s">
        <v>921</v>
      </c>
      <c r="E27" s="612">
        <v>1</v>
      </c>
      <c r="F27" s="612"/>
      <c r="G27" s="571"/>
      <c r="H27" s="571"/>
      <c r="I27" s="215">
        <v>240</v>
      </c>
      <c r="J27" s="571"/>
      <c r="K27" s="571"/>
      <c r="L27" s="571"/>
      <c r="M27" s="571"/>
    </row>
    <row r="28" spans="1:13">
      <c r="A28" s="22" t="s">
        <v>115</v>
      </c>
      <c r="B28" s="22" t="s">
        <v>923</v>
      </c>
      <c r="C28" s="570"/>
      <c r="D28" s="86" t="s">
        <v>921</v>
      </c>
      <c r="E28" s="86">
        <v>1</v>
      </c>
      <c r="F28" s="86"/>
      <c r="G28" s="37"/>
      <c r="H28" s="37"/>
      <c r="I28" s="215">
        <v>240</v>
      </c>
      <c r="J28" s="37"/>
      <c r="K28" s="37"/>
      <c r="L28" s="571"/>
      <c r="M28" s="571"/>
    </row>
    <row r="29" spans="1:13">
      <c r="A29" s="570" t="s">
        <v>103</v>
      </c>
      <c r="B29" s="22" t="s">
        <v>923</v>
      </c>
      <c r="C29" s="570"/>
      <c r="D29" s="612" t="s">
        <v>921</v>
      </c>
      <c r="E29" s="612">
        <v>1</v>
      </c>
      <c r="F29" s="612"/>
      <c r="G29" s="571"/>
      <c r="H29" s="571"/>
      <c r="I29" s="215">
        <v>240</v>
      </c>
      <c r="J29" s="571"/>
      <c r="K29" s="571"/>
      <c r="L29" s="37"/>
      <c r="M29" s="37"/>
    </row>
    <row r="30" spans="1:13">
      <c r="A30" s="22" t="s">
        <v>104</v>
      </c>
      <c r="B30" s="22" t="s">
        <v>923</v>
      </c>
      <c r="C30" s="570"/>
      <c r="D30" s="86" t="s">
        <v>921</v>
      </c>
      <c r="E30" s="86">
        <v>1</v>
      </c>
      <c r="F30" s="86"/>
      <c r="G30" s="37"/>
      <c r="H30" s="37"/>
      <c r="I30" s="215">
        <v>240</v>
      </c>
      <c r="J30" s="37"/>
      <c r="K30" s="37"/>
      <c r="L30" s="571"/>
      <c r="M30" s="571"/>
    </row>
    <row r="31" spans="1:13">
      <c r="A31" s="570" t="s">
        <v>105</v>
      </c>
      <c r="B31" s="22" t="s">
        <v>923</v>
      </c>
      <c r="C31" s="570"/>
      <c r="D31" s="612" t="s">
        <v>921</v>
      </c>
      <c r="E31" s="612">
        <v>1</v>
      </c>
      <c r="F31" s="612"/>
      <c r="G31" s="571"/>
      <c r="H31" s="571"/>
      <c r="I31" s="215">
        <v>240</v>
      </c>
      <c r="J31" s="571"/>
      <c r="K31" s="571"/>
      <c r="L31" s="571"/>
      <c r="M31" s="571"/>
    </row>
    <row r="32" spans="1:13">
      <c r="A32" s="22" t="s">
        <v>106</v>
      </c>
      <c r="B32" s="22" t="s">
        <v>923</v>
      </c>
      <c r="C32" s="570"/>
      <c r="D32" s="86" t="s">
        <v>921</v>
      </c>
      <c r="E32" s="86">
        <v>1</v>
      </c>
      <c r="F32" s="86"/>
      <c r="G32" s="37"/>
      <c r="H32" s="37"/>
      <c r="I32" s="215">
        <v>240</v>
      </c>
      <c r="J32" s="37"/>
      <c r="K32" s="37"/>
      <c r="L32" s="37"/>
      <c r="M32" s="37"/>
    </row>
    <row r="33" spans="1:13">
      <c r="A33" s="570" t="s">
        <v>101</v>
      </c>
      <c r="B33" s="22" t="s">
        <v>923</v>
      </c>
      <c r="C33" s="570"/>
      <c r="D33" s="612" t="s">
        <v>921</v>
      </c>
      <c r="E33" s="612">
        <v>1</v>
      </c>
      <c r="F33" s="612"/>
      <c r="G33" s="571"/>
      <c r="H33" s="571"/>
      <c r="I33" s="215">
        <v>240</v>
      </c>
      <c r="J33" s="571"/>
      <c r="K33" s="571"/>
      <c r="L33" s="571"/>
      <c r="M33" s="571"/>
    </row>
    <row r="34" spans="1:13">
      <c r="A34" s="22" t="s">
        <v>99</v>
      </c>
      <c r="B34" s="22" t="s">
        <v>923</v>
      </c>
      <c r="C34" s="570"/>
      <c r="D34" s="86" t="s">
        <v>921</v>
      </c>
      <c r="E34" s="86">
        <v>1</v>
      </c>
      <c r="F34" s="86"/>
      <c r="G34" s="37"/>
      <c r="H34" s="37"/>
      <c r="I34" s="215">
        <v>240</v>
      </c>
      <c r="J34" s="37"/>
      <c r="K34" s="37"/>
      <c r="L34" s="571"/>
      <c r="M34" s="571"/>
    </row>
    <row r="35" spans="1:13">
      <c r="A35" s="570" t="s">
        <v>117</v>
      </c>
      <c r="B35" s="22" t="s">
        <v>923</v>
      </c>
      <c r="C35" s="570"/>
      <c r="D35" s="612" t="s">
        <v>921</v>
      </c>
      <c r="E35" s="612">
        <v>1</v>
      </c>
      <c r="F35" s="612"/>
      <c r="G35" s="571"/>
      <c r="H35" s="571"/>
      <c r="I35" s="215">
        <v>240</v>
      </c>
      <c r="J35" s="571"/>
      <c r="K35" s="571"/>
      <c r="L35" s="37"/>
      <c r="M35" s="37"/>
    </row>
    <row r="36" spans="1:13">
      <c r="A36" s="22" t="s">
        <v>121</v>
      </c>
      <c r="B36" s="22" t="s">
        <v>923</v>
      </c>
      <c r="C36" s="570"/>
      <c r="D36" s="86" t="s">
        <v>921</v>
      </c>
      <c r="E36" s="86">
        <v>1</v>
      </c>
      <c r="F36" s="86"/>
      <c r="G36" s="37"/>
      <c r="H36" s="37"/>
      <c r="I36" s="215">
        <v>240</v>
      </c>
      <c r="J36" s="37"/>
      <c r="K36" s="37"/>
      <c r="L36" s="571"/>
      <c r="M36" s="571"/>
    </row>
    <row r="37" spans="1:13">
      <c r="A37" s="570" t="s">
        <v>122</v>
      </c>
      <c r="B37" s="22" t="s">
        <v>923</v>
      </c>
      <c r="C37" s="570"/>
      <c r="D37" s="612" t="s">
        <v>921</v>
      </c>
      <c r="E37" s="612">
        <v>1</v>
      </c>
      <c r="F37" s="612"/>
      <c r="G37" s="571"/>
      <c r="H37" s="571"/>
      <c r="I37" s="215">
        <v>240</v>
      </c>
      <c r="J37" s="571"/>
      <c r="K37" s="571"/>
      <c r="L37" s="571"/>
      <c r="M37" s="571"/>
    </row>
    <row r="38" spans="1:13">
      <c r="A38" s="372" t="s">
        <v>123</v>
      </c>
      <c r="B38" s="372" t="s">
        <v>923</v>
      </c>
      <c r="C38" s="372"/>
      <c r="D38" s="577" t="s">
        <v>921</v>
      </c>
      <c r="E38" s="577">
        <v>1</v>
      </c>
      <c r="F38" s="577"/>
      <c r="G38" s="225"/>
      <c r="H38" s="225"/>
      <c r="I38" s="554">
        <v>240</v>
      </c>
      <c r="J38" s="225"/>
      <c r="K38" s="225"/>
      <c r="L38" s="225"/>
      <c r="M38" s="225"/>
    </row>
    <row r="39" spans="1:13">
      <c r="A39" s="22" t="s">
        <v>107</v>
      </c>
      <c r="B39" s="22" t="s">
        <v>697</v>
      </c>
      <c r="D39" s="86" t="s">
        <v>921</v>
      </c>
      <c r="E39" s="86">
        <v>1</v>
      </c>
      <c r="F39" s="86">
        <v>1</v>
      </c>
      <c r="G39" s="37"/>
      <c r="H39" s="37"/>
      <c r="I39" s="215">
        <v>2250</v>
      </c>
      <c r="J39" s="37"/>
      <c r="K39" s="37"/>
      <c r="L39" s="571"/>
      <c r="M39" s="571"/>
    </row>
    <row r="40" spans="1:13">
      <c r="A40" s="570" t="s">
        <v>109</v>
      </c>
      <c r="B40" s="22" t="s">
        <v>697</v>
      </c>
      <c r="C40" s="570"/>
      <c r="D40" s="612" t="s">
        <v>921</v>
      </c>
      <c r="E40" s="612">
        <v>1</v>
      </c>
      <c r="F40" s="612">
        <v>1</v>
      </c>
      <c r="G40" s="571"/>
      <c r="H40" s="571"/>
      <c r="I40" s="215">
        <v>2250</v>
      </c>
      <c r="J40" s="571"/>
      <c r="K40" s="571"/>
      <c r="L40" s="571"/>
      <c r="M40" s="571"/>
    </row>
    <row r="41" spans="1:13">
      <c r="A41" s="22" t="s">
        <v>110</v>
      </c>
      <c r="B41" s="22" t="s">
        <v>697</v>
      </c>
      <c r="D41" s="86" t="s">
        <v>921</v>
      </c>
      <c r="E41" s="86">
        <v>1</v>
      </c>
      <c r="F41" s="86">
        <v>1</v>
      </c>
      <c r="G41" s="37"/>
      <c r="H41" s="37"/>
      <c r="I41" s="215">
        <v>2250</v>
      </c>
      <c r="J41" s="37"/>
      <c r="K41" s="37"/>
      <c r="L41" s="37"/>
      <c r="M41" s="37"/>
    </row>
    <row r="42" spans="1:13">
      <c r="A42" s="570" t="s">
        <v>112</v>
      </c>
      <c r="B42" s="22" t="s">
        <v>697</v>
      </c>
      <c r="C42" s="570"/>
      <c r="D42" s="612" t="s">
        <v>921</v>
      </c>
      <c r="E42" s="612">
        <v>1</v>
      </c>
      <c r="F42" s="612">
        <v>1</v>
      </c>
      <c r="G42" s="571"/>
      <c r="H42" s="571"/>
      <c r="I42" s="215">
        <v>2250</v>
      </c>
      <c r="J42" s="571"/>
      <c r="K42" s="571"/>
      <c r="L42" s="571"/>
      <c r="M42" s="571"/>
    </row>
    <row r="43" spans="1:13">
      <c r="A43" s="22" t="s">
        <v>113</v>
      </c>
      <c r="B43" s="22" t="s">
        <v>697</v>
      </c>
      <c r="D43" s="86" t="s">
        <v>921</v>
      </c>
      <c r="E43" s="86">
        <v>1</v>
      </c>
      <c r="F43" s="86">
        <v>1</v>
      </c>
      <c r="G43" s="37"/>
      <c r="H43" s="37"/>
      <c r="I43" s="215">
        <v>2250</v>
      </c>
      <c r="J43" s="37"/>
      <c r="K43" s="37"/>
      <c r="L43" s="571"/>
      <c r="M43" s="571"/>
    </row>
    <row r="44" spans="1:13">
      <c r="A44" s="570" t="s">
        <v>114</v>
      </c>
      <c r="B44" s="22" t="s">
        <v>697</v>
      </c>
      <c r="C44" s="570"/>
      <c r="D44" s="612" t="s">
        <v>921</v>
      </c>
      <c r="E44" s="612">
        <v>1</v>
      </c>
      <c r="F44" s="612">
        <v>1</v>
      </c>
      <c r="G44" s="571"/>
      <c r="H44" s="571"/>
      <c r="I44" s="215">
        <v>2250</v>
      </c>
      <c r="J44" s="571"/>
      <c r="K44" s="571"/>
      <c r="L44" s="37"/>
      <c r="M44" s="37"/>
    </row>
    <row r="45" spans="1:13">
      <c r="A45" s="22" t="s">
        <v>115</v>
      </c>
      <c r="B45" s="22" t="s">
        <v>697</v>
      </c>
      <c r="D45" s="86" t="s">
        <v>921</v>
      </c>
      <c r="E45" s="86">
        <v>1</v>
      </c>
      <c r="F45" s="86">
        <v>1</v>
      </c>
      <c r="G45" s="37"/>
      <c r="H45" s="37"/>
      <c r="I45" s="215">
        <v>2250</v>
      </c>
      <c r="J45" s="37"/>
      <c r="K45" s="37"/>
      <c r="L45" s="571"/>
      <c r="M45" s="571"/>
    </row>
    <row r="46" spans="1:13">
      <c r="A46" s="570" t="s">
        <v>103</v>
      </c>
      <c r="B46" s="22" t="s">
        <v>697</v>
      </c>
      <c r="C46" s="570"/>
      <c r="D46" s="612" t="s">
        <v>921</v>
      </c>
      <c r="E46" s="612">
        <v>1</v>
      </c>
      <c r="F46" s="612">
        <v>1</v>
      </c>
      <c r="G46" s="571"/>
      <c r="H46" s="571"/>
      <c r="I46" s="215">
        <v>2250</v>
      </c>
      <c r="J46" s="571"/>
      <c r="K46" s="571"/>
      <c r="L46" s="571"/>
      <c r="M46" s="571"/>
    </row>
    <row r="47" spans="1:13">
      <c r="A47" s="22" t="s">
        <v>104</v>
      </c>
      <c r="B47" s="22" t="s">
        <v>697</v>
      </c>
      <c r="D47" s="86" t="s">
        <v>921</v>
      </c>
      <c r="E47" s="86">
        <v>1</v>
      </c>
      <c r="F47" s="86">
        <v>1</v>
      </c>
      <c r="G47" s="37"/>
      <c r="H47" s="37"/>
      <c r="I47" s="215">
        <v>2250</v>
      </c>
      <c r="J47" s="37"/>
      <c r="K47" s="37"/>
      <c r="L47" s="37"/>
      <c r="M47" s="37"/>
    </row>
    <row r="48" spans="1:13">
      <c r="A48" s="570" t="s">
        <v>105</v>
      </c>
      <c r="B48" s="22" t="s">
        <v>697</v>
      </c>
      <c r="C48" s="570"/>
      <c r="D48" s="612" t="s">
        <v>921</v>
      </c>
      <c r="E48" s="612">
        <v>1</v>
      </c>
      <c r="F48" s="612">
        <v>1</v>
      </c>
      <c r="G48" s="571"/>
      <c r="H48" s="571"/>
      <c r="I48" s="215">
        <v>2250</v>
      </c>
      <c r="J48" s="571"/>
      <c r="K48" s="571"/>
      <c r="L48" s="571"/>
      <c r="M48" s="571"/>
    </row>
    <row r="49" spans="1:13">
      <c r="A49" s="22" t="s">
        <v>106</v>
      </c>
      <c r="B49" s="22" t="s">
        <v>697</v>
      </c>
      <c r="D49" s="86" t="s">
        <v>921</v>
      </c>
      <c r="E49" s="86">
        <v>1</v>
      </c>
      <c r="F49" s="86">
        <v>1</v>
      </c>
      <c r="G49" s="37"/>
      <c r="H49" s="37"/>
      <c r="I49" s="215">
        <v>2250</v>
      </c>
      <c r="J49" s="37"/>
      <c r="K49" s="37"/>
      <c r="L49" s="571"/>
      <c r="M49" s="571"/>
    </row>
    <row r="50" spans="1:13">
      <c r="A50" s="570" t="s">
        <v>101</v>
      </c>
      <c r="B50" s="22" t="s">
        <v>697</v>
      </c>
      <c r="C50" s="570"/>
      <c r="D50" s="612" t="s">
        <v>921</v>
      </c>
      <c r="E50" s="612">
        <v>1</v>
      </c>
      <c r="F50" s="612">
        <v>1</v>
      </c>
      <c r="G50" s="571"/>
      <c r="H50" s="571"/>
      <c r="I50" s="215">
        <v>2250</v>
      </c>
      <c r="J50" s="571"/>
      <c r="K50" s="571"/>
      <c r="L50" s="37"/>
      <c r="M50" s="37"/>
    </row>
    <row r="51" spans="1:13">
      <c r="A51" s="22" t="s">
        <v>99</v>
      </c>
      <c r="B51" s="22" t="s">
        <v>697</v>
      </c>
      <c r="D51" s="86" t="s">
        <v>921</v>
      </c>
      <c r="E51" s="86">
        <v>1</v>
      </c>
      <c r="F51" s="86">
        <v>1</v>
      </c>
      <c r="G51" s="37"/>
      <c r="H51" s="37"/>
      <c r="I51" s="215">
        <v>2250</v>
      </c>
      <c r="J51" s="37"/>
      <c r="K51" s="37"/>
      <c r="L51" s="571"/>
      <c r="M51" s="571"/>
    </row>
    <row r="52" spans="1:13">
      <c r="A52" s="570" t="s">
        <v>117</v>
      </c>
      <c r="B52" s="22" t="s">
        <v>697</v>
      </c>
      <c r="C52" s="570"/>
      <c r="D52" s="612" t="s">
        <v>921</v>
      </c>
      <c r="E52" s="612">
        <v>1</v>
      </c>
      <c r="F52" s="612">
        <v>1</v>
      </c>
      <c r="G52" s="571"/>
      <c r="H52" s="571"/>
      <c r="I52" s="215">
        <v>2250</v>
      </c>
      <c r="J52" s="571"/>
      <c r="K52" s="571"/>
      <c r="L52" s="571"/>
      <c r="M52" s="571"/>
    </row>
    <row r="53" spans="1:13">
      <c r="A53" s="22" t="s">
        <v>121</v>
      </c>
      <c r="B53" s="22" t="s">
        <v>697</v>
      </c>
      <c r="D53" s="86" t="s">
        <v>921</v>
      </c>
      <c r="E53" s="86">
        <v>1</v>
      </c>
      <c r="F53" s="86">
        <v>1</v>
      </c>
      <c r="G53" s="37"/>
      <c r="H53" s="37"/>
      <c r="I53" s="215">
        <v>2250</v>
      </c>
      <c r="J53" s="37"/>
      <c r="K53" s="37"/>
      <c r="L53" s="37"/>
      <c r="M53" s="37"/>
    </row>
    <row r="54" spans="1:13">
      <c r="A54" s="570" t="s">
        <v>122</v>
      </c>
      <c r="B54" s="22" t="s">
        <v>697</v>
      </c>
      <c r="C54" s="570"/>
      <c r="D54" s="612" t="s">
        <v>921</v>
      </c>
      <c r="E54" s="612">
        <v>1</v>
      </c>
      <c r="F54" s="612">
        <v>1</v>
      </c>
      <c r="G54" s="571"/>
      <c r="H54" s="571"/>
      <c r="I54" s="215">
        <v>2250</v>
      </c>
      <c r="J54" s="571"/>
      <c r="K54" s="571"/>
      <c r="L54" s="571"/>
      <c r="M54" s="571"/>
    </row>
    <row r="55" spans="1:13">
      <c r="A55" s="372" t="s">
        <v>123</v>
      </c>
      <c r="B55" s="372" t="s">
        <v>697</v>
      </c>
      <c r="C55" s="372"/>
      <c r="D55" s="577" t="s">
        <v>921</v>
      </c>
      <c r="E55" s="577">
        <v>1</v>
      </c>
      <c r="F55" s="577">
        <v>1</v>
      </c>
      <c r="G55" s="225"/>
      <c r="H55" s="225"/>
      <c r="I55" s="554">
        <v>2250</v>
      </c>
      <c r="J55" s="225"/>
      <c r="K55" s="225"/>
      <c r="L55" s="615"/>
      <c r="M55" s="615"/>
    </row>
    <row r="56" spans="1:13">
      <c r="A56" s="22" t="s">
        <v>107</v>
      </c>
      <c r="B56" s="22" t="s">
        <v>668</v>
      </c>
      <c r="D56" s="86" t="s">
        <v>770</v>
      </c>
      <c r="E56" s="86">
        <v>1</v>
      </c>
      <c r="F56" s="86"/>
      <c r="G56" s="215">
        <v>0</v>
      </c>
      <c r="H56" s="215">
        <v>0</v>
      </c>
      <c r="I56" s="215">
        <v>2200</v>
      </c>
      <c r="J56" s="215"/>
      <c r="K56" s="215">
        <v>1634</v>
      </c>
      <c r="L56" s="37"/>
      <c r="M56" s="37"/>
    </row>
    <row r="57" spans="1:13">
      <c r="A57" s="38" t="s">
        <v>113</v>
      </c>
      <c r="B57" s="38" t="s">
        <v>668</v>
      </c>
      <c r="D57" s="86" t="s">
        <v>770</v>
      </c>
      <c r="E57" s="86">
        <v>1</v>
      </c>
      <c r="F57" s="86"/>
      <c r="G57" s="215">
        <v>0</v>
      </c>
      <c r="H57" s="215">
        <v>0</v>
      </c>
      <c r="I57" s="215">
        <v>2200</v>
      </c>
      <c r="J57" s="215"/>
      <c r="K57" s="215">
        <v>1162</v>
      </c>
      <c r="L57" s="571"/>
      <c r="M57" s="571"/>
    </row>
    <row r="58" spans="1:13">
      <c r="A58" s="22" t="s">
        <v>99</v>
      </c>
      <c r="B58" s="22" t="s">
        <v>668</v>
      </c>
      <c r="D58" s="86" t="s">
        <v>770</v>
      </c>
      <c r="E58" s="86">
        <v>1</v>
      </c>
      <c r="F58" s="86"/>
      <c r="G58" s="215">
        <v>0</v>
      </c>
      <c r="H58" s="215">
        <v>0</v>
      </c>
      <c r="I58" s="215">
        <v>2200</v>
      </c>
      <c r="J58" s="215"/>
      <c r="K58" s="215">
        <v>453</v>
      </c>
      <c r="L58" s="571"/>
      <c r="M58" s="571"/>
    </row>
    <row r="59" spans="1:13">
      <c r="A59" s="22" t="s">
        <v>117</v>
      </c>
      <c r="B59" s="22" t="s">
        <v>668</v>
      </c>
      <c r="C59" s="22" t="s">
        <v>699</v>
      </c>
      <c r="D59" s="86" t="s">
        <v>770</v>
      </c>
      <c r="E59" s="86">
        <v>1</v>
      </c>
      <c r="F59" s="86"/>
      <c r="G59" s="215">
        <v>0</v>
      </c>
      <c r="H59" s="215">
        <v>0</v>
      </c>
      <c r="I59" s="215">
        <v>2200</v>
      </c>
      <c r="J59" s="215"/>
      <c r="K59" s="215">
        <v>29</v>
      </c>
      <c r="L59" s="37"/>
      <c r="M59" s="37"/>
    </row>
    <row r="60" spans="1:13">
      <c r="A60" s="22" t="s">
        <v>117</v>
      </c>
      <c r="B60" s="22" t="s">
        <v>668</v>
      </c>
      <c r="C60" s="22" t="s">
        <v>705</v>
      </c>
      <c r="D60" s="86" t="s">
        <v>770</v>
      </c>
      <c r="E60" s="86">
        <v>1</v>
      </c>
      <c r="F60" s="86"/>
      <c r="G60" s="215">
        <v>0</v>
      </c>
      <c r="H60" s="215">
        <v>0</v>
      </c>
      <c r="I60" s="215">
        <v>2200</v>
      </c>
      <c r="J60" s="215"/>
      <c r="K60" s="215">
        <v>389</v>
      </c>
      <c r="L60" s="571"/>
      <c r="M60" s="571"/>
    </row>
    <row r="61" spans="1:13">
      <c r="A61" s="22" t="s">
        <v>117</v>
      </c>
      <c r="B61" s="22" t="s">
        <v>668</v>
      </c>
      <c r="C61" s="22" t="s">
        <v>698</v>
      </c>
      <c r="D61" s="86" t="s">
        <v>770</v>
      </c>
      <c r="E61" s="86">
        <v>1</v>
      </c>
      <c r="F61" s="86"/>
      <c r="G61" s="215">
        <v>0</v>
      </c>
      <c r="H61" s="215">
        <v>0</v>
      </c>
      <c r="I61" s="215">
        <v>2200</v>
      </c>
      <c r="J61" s="215"/>
      <c r="K61" s="215">
        <v>59</v>
      </c>
      <c r="L61" s="571"/>
      <c r="M61" s="571"/>
    </row>
    <row r="62" spans="1:13">
      <c r="A62" s="22" t="s">
        <v>117</v>
      </c>
      <c r="B62" s="22" t="s">
        <v>668</v>
      </c>
      <c r="C62" s="22" t="s">
        <v>704</v>
      </c>
      <c r="D62" s="86" t="s">
        <v>770</v>
      </c>
      <c r="E62" s="86">
        <v>1</v>
      </c>
      <c r="F62" s="86"/>
      <c r="G62" s="215">
        <v>0</v>
      </c>
      <c r="H62" s="215">
        <v>0</v>
      </c>
      <c r="I62" s="215">
        <v>2200</v>
      </c>
      <c r="J62" s="215"/>
      <c r="K62" s="215">
        <v>44</v>
      </c>
      <c r="L62" s="37"/>
      <c r="M62" s="37"/>
    </row>
    <row r="63" spans="1:13">
      <c r="A63" s="22" t="s">
        <v>117</v>
      </c>
      <c r="B63" s="22" t="s">
        <v>668</v>
      </c>
      <c r="C63" s="22" t="s">
        <v>703</v>
      </c>
      <c r="D63" s="86" t="s">
        <v>770</v>
      </c>
      <c r="E63" s="86">
        <v>1</v>
      </c>
      <c r="F63" s="86"/>
      <c r="G63" s="215">
        <v>0</v>
      </c>
      <c r="H63" s="215">
        <v>0</v>
      </c>
      <c r="I63" s="215">
        <v>2200</v>
      </c>
      <c r="J63" s="215"/>
      <c r="K63" s="215">
        <v>35</v>
      </c>
      <c r="L63" s="571"/>
      <c r="M63" s="571"/>
    </row>
    <row r="64" spans="1:13">
      <c r="A64" s="22" t="s">
        <v>104</v>
      </c>
      <c r="B64" s="22" t="s">
        <v>668</v>
      </c>
      <c r="D64" s="86" t="s">
        <v>770</v>
      </c>
      <c r="E64" s="86">
        <v>1</v>
      </c>
      <c r="F64" s="86"/>
      <c r="G64" s="215">
        <v>0</v>
      </c>
      <c r="H64" s="215">
        <v>0</v>
      </c>
      <c r="I64" s="215">
        <v>2200</v>
      </c>
      <c r="J64" s="215"/>
      <c r="K64" s="215">
        <v>41</v>
      </c>
      <c r="L64" s="571"/>
      <c r="M64" s="571"/>
    </row>
    <row r="65" spans="1:13">
      <c r="A65" s="22" t="s">
        <v>105</v>
      </c>
      <c r="B65" s="22" t="s">
        <v>668</v>
      </c>
      <c r="D65" s="86" t="s">
        <v>770</v>
      </c>
      <c r="E65" s="86">
        <v>1</v>
      </c>
      <c r="F65" s="86"/>
      <c r="G65" s="215">
        <v>0</v>
      </c>
      <c r="H65" s="215">
        <v>0</v>
      </c>
      <c r="I65" s="215">
        <v>2200</v>
      </c>
      <c r="J65" s="215"/>
      <c r="K65" s="215">
        <v>302</v>
      </c>
      <c r="L65" s="37"/>
      <c r="M65" s="37"/>
    </row>
    <row r="66" spans="1:13">
      <c r="A66" s="22" t="s">
        <v>106</v>
      </c>
      <c r="B66" s="22" t="s">
        <v>668</v>
      </c>
      <c r="D66" s="86" t="s">
        <v>770</v>
      </c>
      <c r="E66" s="86">
        <v>1</v>
      </c>
      <c r="F66" s="86"/>
      <c r="G66" s="215">
        <v>0</v>
      </c>
      <c r="H66" s="215">
        <v>0</v>
      </c>
      <c r="I66" s="215">
        <v>2200</v>
      </c>
      <c r="J66" s="215"/>
      <c r="K66" s="215">
        <v>88</v>
      </c>
      <c r="L66" s="571"/>
      <c r="M66" s="571"/>
    </row>
    <row r="67" spans="1:13">
      <c r="A67" s="22" t="s">
        <v>117</v>
      </c>
      <c r="B67" s="22" t="s">
        <v>668</v>
      </c>
      <c r="C67" s="22" t="s">
        <v>702</v>
      </c>
      <c r="D67" s="86" t="s">
        <v>770</v>
      </c>
      <c r="E67" s="86">
        <v>1</v>
      </c>
      <c r="F67" s="86"/>
      <c r="G67" s="215">
        <v>0</v>
      </c>
      <c r="H67" s="215">
        <v>0</v>
      </c>
      <c r="I67" s="215">
        <v>2200</v>
      </c>
      <c r="J67" s="215"/>
      <c r="K67" s="215">
        <v>32</v>
      </c>
      <c r="L67" s="571"/>
      <c r="M67" s="571"/>
    </row>
    <row r="68" spans="1:13">
      <c r="A68" s="22" t="s">
        <v>117</v>
      </c>
      <c r="B68" s="22" t="s">
        <v>668</v>
      </c>
      <c r="C68" s="22" t="s">
        <v>701</v>
      </c>
      <c r="D68" s="86" t="s">
        <v>770</v>
      </c>
      <c r="E68" s="86">
        <v>1</v>
      </c>
      <c r="F68" s="86"/>
      <c r="G68" s="215">
        <v>0</v>
      </c>
      <c r="H68" s="215">
        <v>0</v>
      </c>
      <c r="I68" s="215">
        <v>2200</v>
      </c>
      <c r="J68" s="215"/>
      <c r="K68" s="215">
        <v>43</v>
      </c>
      <c r="L68" s="37"/>
      <c r="M68" s="37"/>
    </row>
    <row r="69" spans="1:13">
      <c r="A69" s="372" t="s">
        <v>117</v>
      </c>
      <c r="B69" s="372" t="s">
        <v>668</v>
      </c>
      <c r="C69" s="372" t="s">
        <v>700</v>
      </c>
      <c r="D69" s="577" t="s">
        <v>770</v>
      </c>
      <c r="E69" s="577">
        <v>1</v>
      </c>
      <c r="F69" s="577"/>
      <c r="G69" s="554">
        <v>0</v>
      </c>
      <c r="H69" s="554">
        <v>0</v>
      </c>
      <c r="I69" s="554">
        <v>2200</v>
      </c>
      <c r="J69" s="554"/>
      <c r="K69" s="554">
        <v>34</v>
      </c>
      <c r="L69" s="615"/>
      <c r="M69" s="615"/>
    </row>
    <row r="70" spans="1:13">
      <c r="A70" s="22" t="s">
        <v>115</v>
      </c>
      <c r="B70" s="22" t="s">
        <v>670</v>
      </c>
      <c r="C70" s="22" t="s">
        <v>671</v>
      </c>
      <c r="D70" s="86" t="s">
        <v>770</v>
      </c>
      <c r="E70" s="86">
        <v>1</v>
      </c>
      <c r="F70" s="86"/>
      <c r="G70" s="608"/>
      <c r="H70" s="608"/>
      <c r="I70" s="215">
        <v>2100</v>
      </c>
      <c r="J70" s="608"/>
      <c r="K70" s="608"/>
      <c r="L70" s="571"/>
      <c r="M70" s="571"/>
    </row>
    <row r="71" spans="1:13">
      <c r="A71" s="22" t="s">
        <v>107</v>
      </c>
      <c r="B71" s="22" t="s">
        <v>670</v>
      </c>
      <c r="C71" s="22" t="s">
        <v>671</v>
      </c>
      <c r="D71" s="86" t="s">
        <v>770</v>
      </c>
      <c r="E71" s="86">
        <v>1</v>
      </c>
      <c r="F71" s="86"/>
      <c r="G71" s="608"/>
      <c r="H71" s="608"/>
      <c r="I71" s="215">
        <v>2100</v>
      </c>
      <c r="J71" s="608"/>
      <c r="K71" s="608"/>
      <c r="L71" s="37"/>
      <c r="M71" s="37"/>
    </row>
    <row r="72" spans="1:13">
      <c r="A72" s="22" t="s">
        <v>101</v>
      </c>
      <c r="B72" s="22" t="s">
        <v>670</v>
      </c>
      <c r="C72" s="22" t="s">
        <v>671</v>
      </c>
      <c r="D72" s="86" t="s">
        <v>770</v>
      </c>
      <c r="E72" s="86">
        <v>1</v>
      </c>
      <c r="F72" s="86">
        <v>1</v>
      </c>
      <c r="G72" s="608"/>
      <c r="H72" s="608"/>
      <c r="I72" s="215">
        <v>2100</v>
      </c>
      <c r="J72" s="608"/>
      <c r="K72" s="608"/>
      <c r="L72" s="571"/>
      <c r="M72" s="571"/>
    </row>
    <row r="73" spans="1:13">
      <c r="A73" s="22" t="s">
        <v>123</v>
      </c>
      <c r="B73" s="22" t="s">
        <v>670</v>
      </c>
      <c r="C73" s="22" t="s">
        <v>671</v>
      </c>
      <c r="D73" s="86" t="s">
        <v>770</v>
      </c>
      <c r="E73" s="86">
        <v>1</v>
      </c>
      <c r="F73" s="86"/>
      <c r="G73" s="608"/>
      <c r="H73" s="608"/>
      <c r="I73" s="215">
        <v>2100</v>
      </c>
      <c r="J73" s="608"/>
      <c r="K73" s="608"/>
      <c r="L73" s="571"/>
      <c r="M73" s="571"/>
    </row>
    <row r="74" spans="1:13">
      <c r="A74" s="22" t="s">
        <v>112</v>
      </c>
      <c r="B74" s="22" t="s">
        <v>670</v>
      </c>
      <c r="C74" s="22" t="s">
        <v>671</v>
      </c>
      <c r="D74" s="86" t="s">
        <v>770</v>
      </c>
      <c r="E74" s="86">
        <v>1</v>
      </c>
      <c r="F74" s="86"/>
      <c r="G74" s="608"/>
      <c r="H74" s="608"/>
      <c r="I74" s="215">
        <v>2100</v>
      </c>
      <c r="J74" s="608"/>
      <c r="K74" s="608"/>
      <c r="L74" s="37"/>
      <c r="M74" s="37"/>
    </row>
    <row r="75" spans="1:13">
      <c r="A75" s="22" t="s">
        <v>117</v>
      </c>
      <c r="B75" s="22" t="s">
        <v>670</v>
      </c>
      <c r="C75" s="22" t="s">
        <v>671</v>
      </c>
      <c r="D75" s="86" t="s">
        <v>770</v>
      </c>
      <c r="E75" s="86">
        <v>1</v>
      </c>
      <c r="F75" s="86"/>
      <c r="G75" s="608"/>
      <c r="H75" s="608"/>
      <c r="I75" s="215">
        <v>2100</v>
      </c>
      <c r="J75" s="608"/>
      <c r="K75" s="608"/>
      <c r="L75" s="571"/>
      <c r="M75" s="571"/>
    </row>
    <row r="76" spans="1:13">
      <c r="A76" s="22" t="s">
        <v>109</v>
      </c>
      <c r="B76" s="22" t="s">
        <v>670</v>
      </c>
      <c r="C76" s="22" t="s">
        <v>671</v>
      </c>
      <c r="D76" s="86" t="s">
        <v>770</v>
      </c>
      <c r="E76" s="86">
        <v>1</v>
      </c>
      <c r="F76" s="86"/>
      <c r="G76" s="608"/>
      <c r="H76" s="608"/>
      <c r="I76" s="215">
        <v>2100</v>
      </c>
      <c r="J76" s="608"/>
      <c r="K76" s="608"/>
      <c r="L76" s="571"/>
      <c r="M76" s="571"/>
    </row>
    <row r="77" spans="1:13">
      <c r="A77" s="22" t="s">
        <v>121</v>
      </c>
      <c r="B77" s="22" t="s">
        <v>670</v>
      </c>
      <c r="C77" s="22" t="s">
        <v>671</v>
      </c>
      <c r="D77" s="86" t="s">
        <v>770</v>
      </c>
      <c r="E77" s="86">
        <v>1</v>
      </c>
      <c r="F77" s="86"/>
      <c r="G77" s="608"/>
      <c r="H77" s="608"/>
      <c r="I77" s="215">
        <v>2100</v>
      </c>
      <c r="J77" s="608"/>
      <c r="K77" s="608"/>
      <c r="L77" s="37"/>
      <c r="M77" s="37"/>
    </row>
    <row r="78" spans="1:13">
      <c r="A78" s="22" t="s">
        <v>122</v>
      </c>
      <c r="B78" s="22" t="s">
        <v>670</v>
      </c>
      <c r="C78" s="22" t="s">
        <v>671</v>
      </c>
      <c r="D78" s="86" t="s">
        <v>770</v>
      </c>
      <c r="E78" s="86">
        <v>1</v>
      </c>
      <c r="F78" s="86"/>
      <c r="G78" s="608"/>
      <c r="H78" s="608"/>
      <c r="I78" s="215">
        <v>2100</v>
      </c>
      <c r="J78" s="608"/>
      <c r="K78" s="608"/>
      <c r="L78" s="571"/>
      <c r="M78" s="571"/>
    </row>
    <row r="79" spans="1:13">
      <c r="A79" s="22" t="s">
        <v>114</v>
      </c>
      <c r="B79" s="22" t="s">
        <v>670</v>
      </c>
      <c r="C79" s="22" t="s">
        <v>671</v>
      </c>
      <c r="D79" s="86" t="s">
        <v>770</v>
      </c>
      <c r="E79" s="86">
        <v>1</v>
      </c>
      <c r="F79" s="86"/>
      <c r="G79" s="608"/>
      <c r="H79" s="608"/>
      <c r="I79" s="215">
        <v>2100</v>
      </c>
      <c r="J79" s="608"/>
      <c r="K79" s="608"/>
      <c r="L79" s="571"/>
      <c r="M79" s="571"/>
    </row>
    <row r="80" spans="1:13">
      <c r="A80" s="22" t="s">
        <v>118</v>
      </c>
      <c r="B80" s="22" t="s">
        <v>670</v>
      </c>
      <c r="C80" s="22" t="s">
        <v>671</v>
      </c>
      <c r="D80" s="86" t="s">
        <v>770</v>
      </c>
      <c r="E80" s="86">
        <v>1</v>
      </c>
      <c r="F80" s="86">
        <v>1</v>
      </c>
      <c r="G80" s="608"/>
      <c r="H80" s="608"/>
      <c r="I80" s="215">
        <v>2100</v>
      </c>
      <c r="J80" s="608"/>
      <c r="K80" s="608"/>
      <c r="L80" s="37"/>
      <c r="M80" s="37"/>
    </row>
    <row r="81" spans="1:13">
      <c r="A81" s="22" t="s">
        <v>119</v>
      </c>
      <c r="B81" s="22" t="s">
        <v>670</v>
      </c>
      <c r="C81" s="22" t="s">
        <v>671</v>
      </c>
      <c r="D81" s="86" t="s">
        <v>770</v>
      </c>
      <c r="E81" s="86">
        <v>1</v>
      </c>
      <c r="F81" s="86">
        <v>1</v>
      </c>
      <c r="G81" s="608"/>
      <c r="H81" s="608"/>
      <c r="I81" s="215">
        <v>2100</v>
      </c>
      <c r="J81" s="608"/>
      <c r="K81" s="608"/>
      <c r="L81" s="571"/>
      <c r="M81" s="571"/>
    </row>
    <row r="82" spans="1:13">
      <c r="A82" s="22" t="s">
        <v>120</v>
      </c>
      <c r="B82" s="22" t="s">
        <v>670</v>
      </c>
      <c r="C82" s="22" t="s">
        <v>671</v>
      </c>
      <c r="D82" s="86" t="s">
        <v>770</v>
      </c>
      <c r="E82" s="86">
        <v>1</v>
      </c>
      <c r="F82" s="86">
        <v>1</v>
      </c>
      <c r="G82" s="608"/>
      <c r="H82" s="608"/>
      <c r="I82" s="215">
        <v>2100</v>
      </c>
      <c r="J82" s="608"/>
      <c r="K82" s="608"/>
      <c r="L82" s="571"/>
      <c r="M82" s="571"/>
    </row>
    <row r="83" spans="1:13">
      <c r="A83" s="22" t="s">
        <v>113</v>
      </c>
      <c r="B83" s="22" t="s">
        <v>670</v>
      </c>
      <c r="C83" s="22" t="s">
        <v>671</v>
      </c>
      <c r="D83" s="86" t="s">
        <v>770</v>
      </c>
      <c r="E83" s="86">
        <v>1</v>
      </c>
      <c r="F83" s="86"/>
      <c r="G83" s="608"/>
      <c r="H83" s="608"/>
      <c r="I83" s="215">
        <v>2100</v>
      </c>
      <c r="J83" s="608"/>
      <c r="K83" s="608"/>
      <c r="L83" s="37"/>
      <c r="M83" s="37"/>
    </row>
    <row r="84" spans="1:13">
      <c r="A84" s="22" t="s">
        <v>103</v>
      </c>
      <c r="B84" s="22" t="s">
        <v>670</v>
      </c>
      <c r="C84" s="22" t="s">
        <v>671</v>
      </c>
      <c r="D84" s="86" t="s">
        <v>770</v>
      </c>
      <c r="E84" s="86">
        <v>1</v>
      </c>
      <c r="F84" s="86"/>
      <c r="G84" s="608"/>
      <c r="H84" s="608"/>
      <c r="I84" s="215">
        <v>2100</v>
      </c>
      <c r="J84" s="608"/>
      <c r="K84" s="608"/>
      <c r="L84" s="571"/>
      <c r="M84" s="571"/>
    </row>
    <row r="85" spans="1:13">
      <c r="A85" s="22" t="s">
        <v>104</v>
      </c>
      <c r="B85" s="22" t="s">
        <v>670</v>
      </c>
      <c r="C85" s="22" t="s">
        <v>671</v>
      </c>
      <c r="D85" s="86" t="s">
        <v>770</v>
      </c>
      <c r="E85" s="86">
        <v>1</v>
      </c>
      <c r="F85" s="86"/>
      <c r="G85" s="608"/>
      <c r="H85" s="608"/>
      <c r="I85" s="215">
        <v>2100</v>
      </c>
      <c r="J85" s="608"/>
      <c r="K85" s="608"/>
      <c r="L85" s="571"/>
      <c r="M85" s="571"/>
    </row>
    <row r="86" spans="1:13">
      <c r="A86" s="22" t="s">
        <v>105</v>
      </c>
      <c r="B86" s="22" t="s">
        <v>670</v>
      </c>
      <c r="C86" s="22" t="s">
        <v>671</v>
      </c>
      <c r="D86" s="86" t="s">
        <v>770</v>
      </c>
      <c r="E86" s="86">
        <v>1</v>
      </c>
      <c r="F86" s="86"/>
      <c r="G86" s="608"/>
      <c r="H86" s="608"/>
      <c r="I86" s="215">
        <v>2100</v>
      </c>
      <c r="J86" s="608"/>
      <c r="K86" s="608"/>
      <c r="L86" s="37"/>
      <c r="M86" s="37"/>
    </row>
    <row r="87" spans="1:13">
      <c r="A87" s="22" t="s">
        <v>106</v>
      </c>
      <c r="B87" s="22" t="s">
        <v>670</v>
      </c>
      <c r="C87" s="22" t="s">
        <v>671</v>
      </c>
      <c r="D87" s="86" t="s">
        <v>770</v>
      </c>
      <c r="E87" s="86">
        <v>1</v>
      </c>
      <c r="F87" s="86"/>
      <c r="G87" s="608"/>
      <c r="H87" s="608"/>
      <c r="I87" s="215">
        <v>2100</v>
      </c>
      <c r="J87" s="608"/>
      <c r="K87" s="608"/>
      <c r="L87" s="571"/>
      <c r="M87" s="571"/>
    </row>
    <row r="88" spans="1:13">
      <c r="A88" s="777" t="s">
        <v>110</v>
      </c>
      <c r="B88" s="777" t="s">
        <v>670</v>
      </c>
      <c r="C88" s="777" t="s">
        <v>671</v>
      </c>
      <c r="D88" s="770" t="s">
        <v>770</v>
      </c>
      <c r="E88" s="770">
        <v>1</v>
      </c>
      <c r="F88" s="770"/>
      <c r="G88" s="857"/>
      <c r="H88" s="857"/>
      <c r="I88" s="760">
        <v>2100</v>
      </c>
      <c r="J88" s="857"/>
      <c r="K88" s="857"/>
      <c r="L88" s="772"/>
      <c r="M88" s="772"/>
    </row>
    <row r="89" spans="1:13">
      <c r="A89" s="803" t="s">
        <v>985</v>
      </c>
      <c r="B89" s="804"/>
      <c r="C89" s="804"/>
      <c r="D89" s="799"/>
      <c r="E89" s="799"/>
      <c r="F89" s="799"/>
      <c r="G89" s="860"/>
      <c r="H89" s="860"/>
      <c r="I89" s="846"/>
      <c r="J89" s="860"/>
      <c r="K89" s="860"/>
      <c r="L89" s="801"/>
      <c r="M89" s="801"/>
    </row>
    <row r="90" spans="1:13">
      <c r="A90" s="37" t="s">
        <v>770</v>
      </c>
      <c r="B90" s="37" t="s">
        <v>245</v>
      </c>
      <c r="C90" s="37"/>
      <c r="D90" s="246" t="s">
        <v>921</v>
      </c>
      <c r="E90" s="246">
        <v>2035</v>
      </c>
      <c r="F90" s="37"/>
      <c r="G90" s="37"/>
      <c r="H90" s="37"/>
      <c r="I90" s="37"/>
      <c r="J90" s="37"/>
      <c r="K90" s="37"/>
      <c r="L90" s="215">
        <v>27</v>
      </c>
      <c r="M90" s="689">
        <v>0.34200000000000003</v>
      </c>
    </row>
    <row r="91" spans="1:13">
      <c r="A91" s="571" t="s">
        <v>770</v>
      </c>
      <c r="B91" s="571" t="s">
        <v>142</v>
      </c>
      <c r="C91" s="571"/>
      <c r="D91" s="687" t="s">
        <v>921</v>
      </c>
      <c r="E91" s="687">
        <v>2035</v>
      </c>
      <c r="F91" s="571"/>
      <c r="G91" s="571"/>
      <c r="H91" s="571"/>
      <c r="I91" s="571"/>
      <c r="J91" s="571"/>
      <c r="K91" s="571"/>
      <c r="L91" s="688">
        <v>2.5</v>
      </c>
      <c r="M91" s="632">
        <v>0</v>
      </c>
    </row>
    <row r="92" spans="1:13">
      <c r="A92" s="571" t="s">
        <v>770</v>
      </c>
      <c r="B92" s="571" t="s">
        <v>145</v>
      </c>
      <c r="C92" s="571"/>
      <c r="D92" s="687" t="s">
        <v>921</v>
      </c>
      <c r="E92" s="687">
        <v>2035</v>
      </c>
      <c r="F92" s="571"/>
      <c r="G92" s="571"/>
      <c r="H92" s="571"/>
      <c r="I92" s="571"/>
      <c r="J92" s="571"/>
      <c r="K92" s="571"/>
      <c r="L92" s="632">
        <v>55</v>
      </c>
      <c r="M92" s="690">
        <v>0.19800000000000001</v>
      </c>
    </row>
    <row r="93" spans="1:13">
      <c r="A93" s="37" t="s">
        <v>770</v>
      </c>
      <c r="B93" s="37" t="s">
        <v>247</v>
      </c>
      <c r="C93" s="37"/>
      <c r="D93" s="246" t="s">
        <v>921</v>
      </c>
      <c r="E93" s="246">
        <v>2035</v>
      </c>
      <c r="F93" s="37"/>
      <c r="G93" s="37"/>
      <c r="H93" s="37"/>
      <c r="I93" s="37"/>
      <c r="J93" s="37"/>
      <c r="K93" s="37"/>
      <c r="L93" s="215">
        <v>46</v>
      </c>
      <c r="M93" s="689">
        <v>0.28079999999999999</v>
      </c>
    </row>
    <row r="94" spans="1:13">
      <c r="A94" s="571" t="s">
        <v>770</v>
      </c>
      <c r="B94" s="571" t="s">
        <v>248</v>
      </c>
      <c r="C94" s="571"/>
      <c r="D94" s="687" t="s">
        <v>921</v>
      </c>
      <c r="E94" s="687">
        <v>2035</v>
      </c>
      <c r="F94" s="571"/>
      <c r="G94" s="571"/>
      <c r="H94" s="571"/>
      <c r="I94" s="571"/>
      <c r="J94" s="571"/>
      <c r="K94" s="571"/>
      <c r="L94" s="632">
        <v>65</v>
      </c>
      <c r="M94" s="690">
        <v>0.25559999999999999</v>
      </c>
    </row>
    <row r="95" spans="1:13">
      <c r="A95" s="571" t="s">
        <v>770</v>
      </c>
      <c r="B95" s="571" t="s">
        <v>249</v>
      </c>
      <c r="C95" s="571"/>
      <c r="D95" s="687" t="s">
        <v>921</v>
      </c>
      <c r="E95" s="687">
        <v>2035</v>
      </c>
      <c r="F95" s="571"/>
      <c r="G95" s="571"/>
      <c r="H95" s="571"/>
      <c r="I95" s="571"/>
      <c r="J95" s="571"/>
      <c r="K95" s="571"/>
      <c r="L95" s="632">
        <v>8</v>
      </c>
      <c r="M95" s="690">
        <v>0.37080000000000002</v>
      </c>
    </row>
    <row r="96" spans="1:13">
      <c r="A96" s="37" t="s">
        <v>770</v>
      </c>
      <c r="B96" s="37" t="s">
        <v>772</v>
      </c>
      <c r="C96" s="37"/>
      <c r="D96" s="246" t="s">
        <v>921</v>
      </c>
      <c r="E96" s="246">
        <v>2035</v>
      </c>
      <c r="F96" s="37"/>
      <c r="G96" s="37"/>
      <c r="H96" s="37"/>
      <c r="I96" s="37"/>
      <c r="J96" s="37"/>
      <c r="K96" s="37"/>
      <c r="L96" s="215">
        <v>26</v>
      </c>
      <c r="M96" s="215">
        <v>0</v>
      </c>
    </row>
    <row r="97" spans="1:13">
      <c r="A97" s="571" t="s">
        <v>770</v>
      </c>
      <c r="B97" s="571" t="s">
        <v>934</v>
      </c>
      <c r="C97" s="571"/>
      <c r="D97" s="687" t="s">
        <v>921</v>
      </c>
      <c r="E97" s="687">
        <v>2035</v>
      </c>
      <c r="F97" s="571"/>
      <c r="G97" s="571"/>
      <c r="H97" s="571"/>
      <c r="I97" s="571"/>
      <c r="J97" s="571"/>
      <c r="K97" s="571"/>
      <c r="L97" s="632">
        <v>1</v>
      </c>
      <c r="M97" s="632">
        <v>0</v>
      </c>
    </row>
    <row r="98" spans="1:13">
      <c r="A98" s="571" t="s">
        <v>770</v>
      </c>
      <c r="B98" s="571" t="s">
        <v>781</v>
      </c>
      <c r="C98" s="571"/>
      <c r="D98" s="687" t="s">
        <v>921</v>
      </c>
      <c r="E98" s="687">
        <v>2035</v>
      </c>
      <c r="F98" s="571"/>
      <c r="G98" s="571"/>
      <c r="H98" s="571"/>
      <c r="I98" s="571"/>
      <c r="J98" s="571"/>
      <c r="K98" s="571"/>
      <c r="L98" s="632">
        <v>1</v>
      </c>
      <c r="M98" s="690">
        <v>0.14399999999999999</v>
      </c>
    </row>
    <row r="99" spans="1:13">
      <c r="A99" s="22" t="s">
        <v>770</v>
      </c>
      <c r="B99" s="22" t="s">
        <v>778</v>
      </c>
      <c r="D99" s="86" t="s">
        <v>921</v>
      </c>
      <c r="E99" s="86">
        <v>2035</v>
      </c>
      <c r="L99" s="215">
        <v>10</v>
      </c>
      <c r="M99" s="689">
        <v>0.41399999999999998</v>
      </c>
    </row>
  </sheetData>
  <autoFilter ref="A1:K99" xr:uid="{C9447F8C-F0A7-4569-9018-1CF87BA2C116}"/>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topLeftCell="A4" workbookViewId="0">
      <selection activeCell="G35" sqref="G35"/>
    </sheetView>
  </sheetViews>
  <sheetFormatPr defaultColWidth="9.109375" defaultRowHeight="14.4"/>
  <cols>
    <col min="1" max="1" width="20.33203125" style="22" customWidth="1"/>
    <col min="2" max="16384" width="9.109375" style="22"/>
  </cols>
  <sheetData>
    <row r="1" spans="1:22">
      <c r="A1" s="19" t="s">
        <v>503</v>
      </c>
      <c r="B1" s="19" t="s">
        <v>614</v>
      </c>
      <c r="C1" s="19"/>
      <c r="D1" s="19"/>
      <c r="E1" s="19"/>
      <c r="F1" s="19"/>
      <c r="G1" s="19"/>
      <c r="H1" s="19"/>
      <c r="I1" s="19"/>
      <c r="J1" s="19"/>
      <c r="K1" s="19"/>
      <c r="L1" s="19"/>
      <c r="M1" s="19"/>
      <c r="N1" s="19"/>
      <c r="O1" s="19"/>
      <c r="P1" s="19"/>
      <c r="Q1" s="19"/>
      <c r="R1" s="19"/>
      <c r="S1" s="19"/>
      <c r="T1" s="19"/>
      <c r="U1" s="19"/>
      <c r="V1" s="19"/>
    </row>
    <row r="2" spans="1:22">
      <c r="A2" s="19"/>
      <c r="B2" s="511" t="s">
        <v>615</v>
      </c>
      <c r="C2" s="19"/>
      <c r="D2" s="19"/>
      <c r="E2" s="19"/>
      <c r="F2" s="19"/>
      <c r="G2" s="19"/>
      <c r="H2" s="19"/>
      <c r="I2" s="19"/>
      <c r="J2" s="19"/>
      <c r="K2" s="19"/>
      <c r="L2" s="19"/>
      <c r="M2" s="19"/>
      <c r="N2" s="19"/>
      <c r="O2" s="19"/>
      <c r="P2" s="19"/>
      <c r="Q2" s="19"/>
      <c r="R2" s="19"/>
      <c r="S2" s="19"/>
      <c r="T2" s="19"/>
      <c r="U2" s="19"/>
      <c r="V2" s="19"/>
    </row>
    <row r="3" spans="1:22">
      <c r="A3" s="19"/>
      <c r="B3" s="19" t="s">
        <v>863</v>
      </c>
      <c r="C3" s="19"/>
      <c r="D3" s="19"/>
      <c r="E3" s="19"/>
      <c r="F3" s="19"/>
      <c r="G3" s="19"/>
      <c r="H3" s="19"/>
      <c r="I3" s="19"/>
      <c r="J3" s="19"/>
      <c r="K3" s="19"/>
      <c r="L3" s="19"/>
      <c r="M3" s="19"/>
      <c r="N3" s="19"/>
      <c r="O3" s="19"/>
      <c r="P3" s="19"/>
      <c r="Q3" s="19"/>
      <c r="R3" s="19"/>
      <c r="S3" s="19"/>
      <c r="T3" s="19"/>
      <c r="U3" s="19"/>
      <c r="V3" s="19"/>
    </row>
    <row r="4" spans="1:22">
      <c r="A4" s="19"/>
      <c r="B4" s="19" t="s">
        <v>858</v>
      </c>
      <c r="C4" s="19"/>
      <c r="D4" s="19"/>
      <c r="E4" s="19"/>
      <c r="F4" s="19"/>
      <c r="G4" s="19"/>
      <c r="H4" s="19"/>
      <c r="I4" s="19"/>
      <c r="J4" s="19"/>
      <c r="K4" s="19"/>
      <c r="L4" s="19"/>
      <c r="M4" s="19"/>
      <c r="N4" s="19"/>
      <c r="O4" s="19"/>
      <c r="P4" s="19"/>
      <c r="Q4" s="19"/>
      <c r="R4" s="19"/>
      <c r="S4" s="19"/>
      <c r="T4" s="19"/>
      <c r="U4" s="19"/>
      <c r="V4" s="19"/>
    </row>
    <row r="5" spans="1:22">
      <c r="A5" s="19"/>
      <c r="B5" s="19" t="s">
        <v>859</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613</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835</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611</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612</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666</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667</v>
      </c>
      <c r="T23" s="8" t="s">
        <v>135</v>
      </c>
      <c r="U23" s="8" t="s">
        <v>136</v>
      </c>
      <c r="V23" s="8" t="s">
        <v>137</v>
      </c>
    </row>
    <row r="24" spans="1:23">
      <c r="A24" s="22" t="s">
        <v>616</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610</v>
      </c>
      <c r="B25" s="22" t="s">
        <v>609</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856</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857</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30"/>
    </row>
    <row r="29" spans="1:23">
      <c r="A29" s="246" t="s">
        <v>855</v>
      </c>
      <c r="B29" s="246" t="s">
        <v>609</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30"/>
    </row>
    <row r="31" spans="1:23">
      <c r="A31" s="40" t="s">
        <v>860</v>
      </c>
      <c r="B31" s="40" t="s">
        <v>861</v>
      </c>
    </row>
    <row r="32" spans="1:23">
      <c r="A32" s="22" t="s">
        <v>530</v>
      </c>
      <c r="B32" s="651">
        <v>3000</v>
      </c>
    </row>
    <row r="33" spans="1:2">
      <c r="A33" s="22" t="s">
        <v>843</v>
      </c>
      <c r="B33" s="651">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34"/>
  <sheetViews>
    <sheetView showZeros="0" topLeftCell="A204" zoomScale="90" zoomScaleNormal="90" workbookViewId="0">
      <pane xSplit="1" topLeftCell="B1" activePane="topRight" state="frozen"/>
      <selection activeCell="L41" sqref="L41"/>
      <selection pane="topRight" activeCell="I231" sqref="I231"/>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575</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578</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576</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577</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680">
        <v>17134</v>
      </c>
      <c r="C70" s="680">
        <v>784</v>
      </c>
      <c r="D70" s="680">
        <v>0</v>
      </c>
      <c r="E70" s="680">
        <v>0</v>
      </c>
      <c r="F70" s="680">
        <v>450</v>
      </c>
      <c r="G70" s="680">
        <v>5795</v>
      </c>
      <c r="H70" s="680">
        <v>1695</v>
      </c>
      <c r="I70" s="680">
        <v>0</v>
      </c>
      <c r="J70" s="680">
        <v>0</v>
      </c>
      <c r="K70" s="680">
        <v>0</v>
      </c>
      <c r="L70" s="680">
        <v>0</v>
      </c>
      <c r="M70" s="680">
        <v>0</v>
      </c>
      <c r="N70" s="680">
        <v>0</v>
      </c>
      <c r="O70" s="680">
        <v>0</v>
      </c>
      <c r="P70" s="680">
        <v>0</v>
      </c>
      <c r="Q70" s="680">
        <v>0</v>
      </c>
      <c r="R70" s="680">
        <v>0</v>
      </c>
      <c r="S70" s="680">
        <v>0</v>
      </c>
      <c r="T70" s="680">
        <v>0</v>
      </c>
      <c r="U70" s="680">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862</v>
      </c>
      <c r="C77" s="54"/>
      <c r="D77" s="54"/>
      <c r="E77" s="54"/>
      <c r="F77" s="54"/>
      <c r="G77" s="54"/>
      <c r="H77" s="54"/>
      <c r="I77" s="54"/>
      <c r="J77" s="54"/>
      <c r="K77" s="54"/>
      <c r="L77" s="54"/>
      <c r="M77" s="54"/>
      <c r="N77" s="54"/>
      <c r="O77" s="54"/>
      <c r="P77" s="54"/>
      <c r="Q77" s="54"/>
      <c r="R77" s="54"/>
      <c r="S77" s="54"/>
      <c r="T77" s="54"/>
      <c r="U77" s="54"/>
    </row>
    <row r="78" spans="1:23">
      <c r="A78" s="55"/>
      <c r="B78" s="57" t="s">
        <v>436</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864</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432</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433</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434</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435</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09">
        <v>2020</v>
      </c>
      <c r="C138" s="709"/>
      <c r="D138" s="709"/>
      <c r="E138" s="709" t="s">
        <v>419</v>
      </c>
      <c r="F138" s="709"/>
      <c r="G138" s="709"/>
      <c r="H138" s="710" t="s">
        <v>420</v>
      </c>
      <c r="I138" s="710"/>
      <c r="J138" s="710"/>
      <c r="K138" s="55"/>
      <c r="L138" s="709">
        <v>2020</v>
      </c>
      <c r="M138" s="709"/>
      <c r="N138" s="709"/>
      <c r="O138" s="709" t="s">
        <v>419</v>
      </c>
      <c r="P138" s="709"/>
      <c r="Q138" s="709"/>
      <c r="R138" s="710" t="s">
        <v>420</v>
      </c>
      <c r="S138" s="710"/>
      <c r="T138" s="710"/>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2" t="s">
        <v>238</v>
      </c>
      <c r="C147" s="583"/>
      <c r="D147" s="584">
        <v>26620.833756299999</v>
      </c>
      <c r="E147" s="582" t="s">
        <v>377</v>
      </c>
      <c r="F147" s="582"/>
      <c r="G147" s="584">
        <v>26339</v>
      </c>
      <c r="H147" s="585" t="s">
        <v>238</v>
      </c>
      <c r="I147" s="582"/>
      <c r="J147" s="584">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6">
        <v>28756.73978493</v>
      </c>
      <c r="O150" s="175" t="s">
        <v>393</v>
      </c>
      <c r="P150" s="175"/>
      <c r="Q150" s="586">
        <v>39342</v>
      </c>
      <c r="R150" s="587"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438</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440</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441</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437</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439</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440</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441</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961</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427</v>
      </c>
      <c r="B182" s="57" t="s">
        <v>429</v>
      </c>
      <c r="C182" s="57"/>
      <c r="D182" s="57"/>
      <c r="E182" s="57"/>
      <c r="F182" s="57"/>
      <c r="G182" s="57"/>
      <c r="H182" s="57"/>
      <c r="I182" s="57"/>
      <c r="J182" s="57"/>
      <c r="K182" s="57"/>
      <c r="L182" s="57"/>
      <c r="M182" s="57"/>
      <c r="N182" s="57"/>
      <c r="O182" s="57"/>
      <c r="P182" s="57"/>
      <c r="Q182" s="57"/>
      <c r="R182" s="57"/>
      <c r="S182" s="57"/>
      <c r="T182" s="57"/>
      <c r="U182" s="57"/>
    </row>
    <row r="183" spans="1:23">
      <c r="A183" s="57" t="s">
        <v>428</v>
      </c>
      <c r="B183" s="57" t="s">
        <v>908</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431</v>
      </c>
      <c r="B184" s="57" t="s">
        <v>430</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425</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426</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215">
        <f t="shared" ref="B189:K191" si="14">S24</f>
        <v>299470</v>
      </c>
      <c r="C189" s="215">
        <f t="shared" si="14"/>
        <v>100400</v>
      </c>
      <c r="D189" s="215">
        <f t="shared" si="14"/>
        <v>54790</v>
      </c>
      <c r="E189" s="215">
        <f t="shared" si="14"/>
        <v>128949.99999999999</v>
      </c>
      <c r="F189" s="215">
        <f t="shared" si="14"/>
        <v>36740</v>
      </c>
      <c r="G189" s="215">
        <f t="shared" si="14"/>
        <v>59320</v>
      </c>
      <c r="H189" s="215">
        <f t="shared" si="14"/>
        <v>23300</v>
      </c>
      <c r="I189" s="111">
        <f t="shared" si="14"/>
        <v>0</v>
      </c>
      <c r="J189" s="111">
        <f t="shared" si="14"/>
        <v>1208.1011915693161</v>
      </c>
      <c r="K189" s="111">
        <f t="shared" si="14"/>
        <v>17554.88799595719</v>
      </c>
      <c r="L189" s="111">
        <f t="shared" ref="L189:U191" si="15">AC24</f>
        <v>7657.0108124734952</v>
      </c>
      <c r="M189" s="111">
        <f t="shared" si="15"/>
        <v>6195.4816941224781</v>
      </c>
      <c r="N189" s="111">
        <f t="shared" si="15"/>
        <v>15514.518305877522</v>
      </c>
      <c r="O189" s="215">
        <f t="shared" si="15"/>
        <v>21270</v>
      </c>
      <c r="P189" s="111">
        <f t="shared" si="15"/>
        <v>1562.5</v>
      </c>
      <c r="Q189" s="111">
        <f t="shared" si="15"/>
        <v>0</v>
      </c>
      <c r="R189" s="303">
        <f t="shared" si="15"/>
        <v>4687.5</v>
      </c>
      <c r="S189" s="215">
        <f t="shared" si="15"/>
        <v>6540</v>
      </c>
      <c r="T189" s="215">
        <f t="shared" si="15"/>
        <v>800</v>
      </c>
      <c r="U189" s="215">
        <f t="shared" si="15"/>
        <v>2400</v>
      </c>
      <c r="V189" s="70">
        <f>SUM(B189:U189)</f>
        <v>788360</v>
      </c>
      <c r="W189" s="70"/>
    </row>
    <row r="190" spans="1:23">
      <c r="A190" s="112" t="s">
        <v>140</v>
      </c>
      <c r="B190" s="215">
        <f t="shared" si="14"/>
        <v>142000</v>
      </c>
      <c r="C190" s="215">
        <f t="shared" si="14"/>
        <v>50000</v>
      </c>
      <c r="D190" s="215">
        <f t="shared" si="14"/>
        <v>43480</v>
      </c>
      <c r="E190" s="215">
        <f t="shared" si="14"/>
        <v>75050</v>
      </c>
      <c r="F190" s="215">
        <f t="shared" si="14"/>
        <v>29500</v>
      </c>
      <c r="G190" s="215">
        <f t="shared" si="14"/>
        <v>12700</v>
      </c>
      <c r="H190" s="215">
        <f t="shared" si="14"/>
        <v>8900</v>
      </c>
      <c r="I190" s="111">
        <f t="shared" si="14"/>
        <v>7018.4769305581794</v>
      </c>
      <c r="J190" s="111">
        <f t="shared" si="14"/>
        <v>12727.578281810482</v>
      </c>
      <c r="K190" s="111">
        <f t="shared" si="14"/>
        <v>5408.5475171000035</v>
      </c>
      <c r="L190" s="111">
        <f t="shared" si="15"/>
        <v>3095.3972705313349</v>
      </c>
      <c r="M190" s="111">
        <f t="shared" si="15"/>
        <v>4639.3817913564608</v>
      </c>
      <c r="N190" s="111">
        <f t="shared" si="15"/>
        <v>23610.61820864354</v>
      </c>
      <c r="O190" s="215">
        <f t="shared" si="15"/>
        <v>46000</v>
      </c>
      <c r="P190" s="111">
        <f t="shared" si="15"/>
        <v>2429.0722209751543</v>
      </c>
      <c r="Q190" s="111">
        <f t="shared" si="15"/>
        <v>1485.8409082853868</v>
      </c>
      <c r="R190" s="303">
        <f t="shared" si="15"/>
        <v>2445.0868707394588</v>
      </c>
      <c r="S190" s="215">
        <f t="shared" si="15"/>
        <v>5210</v>
      </c>
      <c r="T190" s="215">
        <f t="shared" si="15"/>
        <v>290</v>
      </c>
      <c r="U190" s="215">
        <f t="shared" si="15"/>
        <v>860</v>
      </c>
      <c r="V190" s="70">
        <f t="shared" ref="V190:V191" si="16">SUM(B190:U190)</f>
        <v>476850</v>
      </c>
      <c r="W190" s="70"/>
    </row>
    <row r="191" spans="1:23">
      <c r="A191" s="759" t="s">
        <v>141</v>
      </c>
      <c r="B191" s="760">
        <f t="shared" si="14"/>
        <v>50520</v>
      </c>
      <c r="C191" s="760">
        <f t="shared" si="14"/>
        <v>17980</v>
      </c>
      <c r="D191" s="760">
        <f t="shared" si="14"/>
        <v>75030</v>
      </c>
      <c r="E191" s="760">
        <f t="shared" si="14"/>
        <v>5040</v>
      </c>
      <c r="F191" s="760">
        <f t="shared" si="14"/>
        <v>10900</v>
      </c>
      <c r="G191" s="760">
        <f t="shared" si="14"/>
        <v>33300</v>
      </c>
      <c r="H191" s="760">
        <f t="shared" si="14"/>
        <v>6860</v>
      </c>
      <c r="I191" s="761">
        <f t="shared" si="14"/>
        <v>0</v>
      </c>
      <c r="J191" s="761">
        <f t="shared" si="14"/>
        <v>1000</v>
      </c>
      <c r="K191" s="761">
        <f t="shared" si="14"/>
        <v>1400</v>
      </c>
      <c r="L191" s="761">
        <f t="shared" si="15"/>
        <v>4200</v>
      </c>
      <c r="M191" s="761">
        <f t="shared" si="15"/>
        <v>6847.153565820272</v>
      </c>
      <c r="N191" s="761">
        <f t="shared" si="15"/>
        <v>14392.846434179728</v>
      </c>
      <c r="O191" s="760">
        <f t="shared" si="15"/>
        <v>3600</v>
      </c>
      <c r="P191" s="761">
        <f t="shared" si="15"/>
        <v>0</v>
      </c>
      <c r="Q191" s="761">
        <f t="shared" si="15"/>
        <v>0</v>
      </c>
      <c r="R191" s="762">
        <f t="shared" si="15"/>
        <v>6000</v>
      </c>
      <c r="S191" s="760">
        <f t="shared" si="15"/>
        <v>2100</v>
      </c>
      <c r="T191" s="760">
        <f t="shared" si="15"/>
        <v>500</v>
      </c>
      <c r="U191" s="760">
        <f t="shared" si="15"/>
        <v>1000</v>
      </c>
      <c r="V191" s="70">
        <f t="shared" si="16"/>
        <v>240670</v>
      </c>
      <c r="W191" s="70">
        <f>SUM(V189:V191)</f>
        <v>1505880</v>
      </c>
    </row>
    <row r="192" spans="1:23">
      <c r="A192" s="212" t="s">
        <v>142</v>
      </c>
      <c r="B192" s="319">
        <f>B50</f>
        <v>0</v>
      </c>
      <c r="C192" s="319">
        <f>C50</f>
        <v>54700</v>
      </c>
      <c r="D192" s="319">
        <f>D50</f>
        <v>4500</v>
      </c>
      <c r="E192" s="319">
        <f>E50</f>
        <v>0</v>
      </c>
      <c r="F192" s="319">
        <f>F50</f>
        <v>2220</v>
      </c>
      <c r="G192" s="319">
        <f>G50</f>
        <v>243</v>
      </c>
      <c r="H192" s="319">
        <f>H50</f>
        <v>1038</v>
      </c>
      <c r="I192" s="319">
        <f>I50</f>
        <v>0</v>
      </c>
      <c r="J192" s="319">
        <f>J50</f>
        <v>0</v>
      </c>
      <c r="K192" s="319">
        <f>K50</f>
        <v>4800</v>
      </c>
      <c r="L192" s="319">
        <f>L50</f>
        <v>0</v>
      </c>
      <c r="M192" s="319">
        <f>M50</f>
        <v>0</v>
      </c>
      <c r="N192" s="319">
        <f>N50</f>
        <v>0</v>
      </c>
      <c r="O192" s="319">
        <f>O50</f>
        <v>3250</v>
      </c>
      <c r="P192" s="319">
        <f>P50</f>
        <v>0</v>
      </c>
      <c r="Q192" s="319">
        <f>Q50</f>
        <v>0</v>
      </c>
      <c r="R192" s="319">
        <f>R50</f>
        <v>0</v>
      </c>
      <c r="S192" s="319">
        <f>S50</f>
        <v>0</v>
      </c>
      <c r="T192" s="319">
        <f>T50</f>
        <v>0</v>
      </c>
      <c r="U192" s="319">
        <f>U50</f>
        <v>0</v>
      </c>
      <c r="V192" s="70">
        <f>SUM(B192:U192)</f>
        <v>70751</v>
      </c>
      <c r="W192" s="70"/>
    </row>
    <row r="193" spans="1:23">
      <c r="A193" s="20" t="s">
        <v>378</v>
      </c>
      <c r="B193" s="310">
        <f>B51</f>
        <v>0</v>
      </c>
      <c r="C193" s="310">
        <f>C51</f>
        <v>0</v>
      </c>
      <c r="D193" s="310">
        <f>D51</f>
        <v>0</v>
      </c>
      <c r="E193" s="310">
        <f>E51</f>
        <v>0</v>
      </c>
      <c r="F193" s="215">
        <f>F51</f>
        <v>1873</v>
      </c>
      <c r="G193" s="310">
        <f>G51</f>
        <v>0</v>
      </c>
      <c r="H193" s="310">
        <f>H51</f>
        <v>0</v>
      </c>
      <c r="I193" s="310">
        <f>I51</f>
        <v>0</v>
      </c>
      <c r="J193" s="310">
        <f>J51</f>
        <v>0</v>
      </c>
      <c r="K193" s="310">
        <f>K51</f>
        <v>0</v>
      </c>
      <c r="L193" s="310">
        <f>L51</f>
        <v>0</v>
      </c>
      <c r="M193" s="310">
        <f>M51</f>
        <v>0</v>
      </c>
      <c r="N193" s="310">
        <f>N51</f>
        <v>0</v>
      </c>
      <c r="O193" s="310">
        <f>O51</f>
        <v>0</v>
      </c>
      <c r="P193" s="310">
        <f>P51</f>
        <v>0</v>
      </c>
      <c r="Q193" s="310">
        <f>Q51</f>
        <v>0</v>
      </c>
      <c r="R193" s="310">
        <f>R51</f>
        <v>0</v>
      </c>
      <c r="S193" s="310">
        <f>S51</f>
        <v>0</v>
      </c>
      <c r="T193" s="310">
        <f>T51</f>
        <v>0</v>
      </c>
      <c r="U193" s="310">
        <f>U51</f>
        <v>0</v>
      </c>
      <c r="V193" s="70">
        <f>SUM(B193:U193)</f>
        <v>1873</v>
      </c>
      <c r="W193" s="70"/>
    </row>
    <row r="194" spans="1:23">
      <c r="A194" s="763" t="s">
        <v>379</v>
      </c>
      <c r="B194" s="764">
        <f>B52</f>
        <v>0</v>
      </c>
      <c r="C194" s="764">
        <f>C52</f>
        <v>0</v>
      </c>
      <c r="D194" s="764">
        <f>D52</f>
        <v>0</v>
      </c>
      <c r="E194" s="764">
        <f>E52</f>
        <v>0</v>
      </c>
      <c r="F194" s="760">
        <f>F52</f>
        <v>1464</v>
      </c>
      <c r="G194" s="764">
        <f>G52</f>
        <v>0</v>
      </c>
      <c r="H194" s="764">
        <f>H52</f>
        <v>0</v>
      </c>
      <c r="I194" s="764">
        <f>I52</f>
        <v>0</v>
      </c>
      <c r="J194" s="764">
        <f>J52</f>
        <v>0</v>
      </c>
      <c r="K194" s="764">
        <f>K52</f>
        <v>0</v>
      </c>
      <c r="L194" s="764">
        <f>L52</f>
        <v>0</v>
      </c>
      <c r="M194" s="764">
        <f>M52</f>
        <v>0</v>
      </c>
      <c r="N194" s="764">
        <f>N52</f>
        <v>0</v>
      </c>
      <c r="O194" s="764">
        <f>O52</f>
        <v>0</v>
      </c>
      <c r="P194" s="764">
        <f>P52</f>
        <v>0</v>
      </c>
      <c r="Q194" s="764">
        <f>Q52</f>
        <v>0</v>
      </c>
      <c r="R194" s="764">
        <f>R52</f>
        <v>0</v>
      </c>
      <c r="S194" s="764">
        <f>S52</f>
        <v>0</v>
      </c>
      <c r="T194" s="764">
        <f>T52</f>
        <v>0</v>
      </c>
      <c r="U194" s="764">
        <f>U52</f>
        <v>0</v>
      </c>
      <c r="V194" s="70">
        <f>SUM(B194:U194)</f>
        <v>1464</v>
      </c>
      <c r="W194" s="70"/>
    </row>
    <row r="195" spans="1:23">
      <c r="A195" s="765" t="s">
        <v>380</v>
      </c>
      <c r="B195" s="760">
        <f>B53</f>
        <v>0</v>
      </c>
      <c r="C195" s="760">
        <f>C53</f>
        <v>0</v>
      </c>
      <c r="D195" s="760">
        <f>D53</f>
        <v>0</v>
      </c>
      <c r="E195" s="760">
        <f>E53</f>
        <v>0</v>
      </c>
      <c r="F195" s="760">
        <f>F53</f>
        <v>3213</v>
      </c>
      <c r="G195" s="760">
        <f>G53</f>
        <v>0</v>
      </c>
      <c r="H195" s="760">
        <f>H53</f>
        <v>0</v>
      </c>
      <c r="I195" s="760">
        <f>I53</f>
        <v>0</v>
      </c>
      <c r="J195" s="760">
        <f>J53</f>
        <v>0</v>
      </c>
      <c r="K195" s="760">
        <f>K53</f>
        <v>0</v>
      </c>
      <c r="L195" s="760">
        <f>L53</f>
        <v>0</v>
      </c>
      <c r="M195" s="760">
        <f>M53</f>
        <v>0</v>
      </c>
      <c r="N195" s="760">
        <f>N53</f>
        <v>0</v>
      </c>
      <c r="O195" s="760">
        <f>O53</f>
        <v>0</v>
      </c>
      <c r="P195" s="760">
        <f>P53</f>
        <v>0</v>
      </c>
      <c r="Q195" s="760">
        <f>Q53</f>
        <v>0</v>
      </c>
      <c r="R195" s="760">
        <f>R53</f>
        <v>0</v>
      </c>
      <c r="S195" s="760">
        <f>S53</f>
        <v>0</v>
      </c>
      <c r="T195" s="760">
        <f>T53</f>
        <v>0</v>
      </c>
      <c r="U195" s="760">
        <f>U53</f>
        <v>0</v>
      </c>
      <c r="V195" s="766">
        <f>SUM(B195:U195)</f>
        <v>3213</v>
      </c>
      <c r="W195" s="70"/>
    </row>
    <row r="196" spans="1:23">
      <c r="A196" s="114" t="s">
        <v>381</v>
      </c>
      <c r="B196" s="215">
        <f>B54</f>
        <v>0</v>
      </c>
      <c r="C196" s="215">
        <f>C54</f>
        <v>0</v>
      </c>
      <c r="D196" s="215">
        <f>D54</f>
        <v>0</v>
      </c>
      <c r="E196" s="215">
        <f>E54</f>
        <v>0</v>
      </c>
      <c r="F196" s="215">
        <f>F54</f>
        <v>2597</v>
      </c>
      <c r="G196" s="215">
        <f>G54</f>
        <v>0</v>
      </c>
      <c r="H196" s="215">
        <f>H54</f>
        <v>0</v>
      </c>
      <c r="I196" s="215">
        <f>I54</f>
        <v>0</v>
      </c>
      <c r="J196" s="215">
        <f>J54</f>
        <v>0</v>
      </c>
      <c r="K196" s="215">
        <f>K54</f>
        <v>0</v>
      </c>
      <c r="L196" s="215">
        <f>L54</f>
        <v>0</v>
      </c>
      <c r="M196" s="215">
        <f>M54</f>
        <v>0</v>
      </c>
      <c r="N196" s="215">
        <f>N54</f>
        <v>0</v>
      </c>
      <c r="O196" s="215">
        <f>O54</f>
        <v>0</v>
      </c>
      <c r="P196" s="215">
        <f>P54</f>
        <v>0</v>
      </c>
      <c r="Q196" s="215">
        <f>Q54</f>
        <v>0</v>
      </c>
      <c r="R196" s="215">
        <f>R54</f>
        <v>0</v>
      </c>
      <c r="S196" s="215">
        <f>S54</f>
        <v>0</v>
      </c>
      <c r="T196" s="215">
        <f>T54</f>
        <v>0</v>
      </c>
      <c r="U196" s="215">
        <f>U54</f>
        <v>0</v>
      </c>
      <c r="V196" s="70">
        <f>SUM(B196:U196)</f>
        <v>2597</v>
      </c>
      <c r="W196" s="70"/>
    </row>
    <row r="197" spans="1:23">
      <c r="A197" s="120" t="s">
        <v>382</v>
      </c>
      <c r="B197" s="318">
        <f>B55</f>
        <v>0</v>
      </c>
      <c r="C197" s="318">
        <f>C55</f>
        <v>0</v>
      </c>
      <c r="D197" s="318">
        <f>D55</f>
        <v>0</v>
      </c>
      <c r="E197" s="318">
        <f>E55</f>
        <v>0</v>
      </c>
      <c r="F197" s="318">
        <f>F55</f>
        <v>1663</v>
      </c>
      <c r="G197" s="318">
        <f>G55</f>
        <v>0</v>
      </c>
      <c r="H197" s="318">
        <f>H55</f>
        <v>0</v>
      </c>
      <c r="I197" s="318">
        <f>I55</f>
        <v>0</v>
      </c>
      <c r="J197" s="318">
        <f>J55</f>
        <v>0</v>
      </c>
      <c r="K197" s="318">
        <f>K55</f>
        <v>0</v>
      </c>
      <c r="L197" s="318">
        <f>L55</f>
        <v>0</v>
      </c>
      <c r="M197" s="318">
        <f>M55</f>
        <v>0</v>
      </c>
      <c r="N197" s="318">
        <f>N55</f>
        <v>0</v>
      </c>
      <c r="O197" s="318">
        <f>O55</f>
        <v>0</v>
      </c>
      <c r="P197" s="318">
        <f>P55</f>
        <v>0</v>
      </c>
      <c r="Q197" s="318">
        <f>Q55</f>
        <v>0</v>
      </c>
      <c r="R197" s="318">
        <f>R55</f>
        <v>0</v>
      </c>
      <c r="S197" s="318">
        <f>S55</f>
        <v>0</v>
      </c>
      <c r="T197" s="318">
        <f>T55</f>
        <v>0</v>
      </c>
      <c r="U197" s="318">
        <f>U55</f>
        <v>0</v>
      </c>
      <c r="V197" s="70">
        <f>SUM(B197:U197)</f>
        <v>1663</v>
      </c>
      <c r="W197" s="70"/>
    </row>
    <row r="198" spans="1:23">
      <c r="A198" s="114" t="s">
        <v>248</v>
      </c>
      <c r="B198" s="215">
        <f>B56</f>
        <v>745</v>
      </c>
      <c r="C198" s="215">
        <f>C56</f>
        <v>0</v>
      </c>
      <c r="D198" s="215">
        <f>D56</f>
        <v>389</v>
      </c>
      <c r="E198" s="215">
        <f>E56</f>
        <v>0</v>
      </c>
      <c r="F198" s="215">
        <f>F56</f>
        <v>0</v>
      </c>
      <c r="G198" s="215">
        <f>G56</f>
        <v>0</v>
      </c>
      <c r="H198" s="215">
        <f>H56</f>
        <v>0</v>
      </c>
      <c r="I198" s="215">
        <f>I56</f>
        <v>0</v>
      </c>
      <c r="J198" s="215">
        <f>J56</f>
        <v>0</v>
      </c>
      <c r="K198" s="215">
        <f>K56</f>
        <v>0</v>
      </c>
      <c r="L198" s="215">
        <f>L56</f>
        <v>0</v>
      </c>
      <c r="M198" s="215">
        <f>M56</f>
        <v>531</v>
      </c>
      <c r="N198" s="215">
        <f>N56</f>
        <v>152</v>
      </c>
      <c r="O198" s="215">
        <f>O56</f>
        <v>0</v>
      </c>
      <c r="P198" s="215">
        <f>P56</f>
        <v>0</v>
      </c>
      <c r="Q198" s="215">
        <f>Q56</f>
        <v>0</v>
      </c>
      <c r="R198" s="215">
        <f>R56</f>
        <v>0</v>
      </c>
      <c r="S198" s="215">
        <f>S56</f>
        <v>0</v>
      </c>
      <c r="T198" s="215">
        <f>T56</f>
        <v>0</v>
      </c>
      <c r="U198" s="215">
        <f>U56</f>
        <v>0</v>
      </c>
      <c r="V198" s="70">
        <f>SUM(B198:U198)</f>
        <v>1817</v>
      </c>
      <c r="W198" s="68"/>
    </row>
    <row r="199" spans="1:23">
      <c r="A199" s="120" t="s">
        <v>383</v>
      </c>
      <c r="B199" s="318">
        <f>B57</f>
        <v>0</v>
      </c>
      <c r="C199" s="318">
        <f>C57</f>
        <v>0</v>
      </c>
      <c r="D199" s="318">
        <f>D57</f>
        <v>0</v>
      </c>
      <c r="E199" s="318">
        <f>E57</f>
        <v>0</v>
      </c>
      <c r="F199" s="318">
        <f>F57</f>
        <v>0</v>
      </c>
      <c r="G199" s="318">
        <f>G57</f>
        <v>0</v>
      </c>
      <c r="H199" s="318">
        <f>H57</f>
        <v>140</v>
      </c>
      <c r="I199" s="318">
        <f>I57</f>
        <v>0</v>
      </c>
      <c r="J199" s="318">
        <f>J57</f>
        <v>0</v>
      </c>
      <c r="K199" s="318">
        <f>K57</f>
        <v>0</v>
      </c>
      <c r="L199" s="318">
        <f>L57</f>
        <v>0</v>
      </c>
      <c r="M199" s="318">
        <f>M57</f>
        <v>65</v>
      </c>
      <c r="N199" s="318">
        <f>N57</f>
        <v>0</v>
      </c>
      <c r="O199" s="318">
        <f>O57</f>
        <v>0</v>
      </c>
      <c r="P199" s="318">
        <f>P57</f>
        <v>0</v>
      </c>
      <c r="Q199" s="318">
        <f>Q57</f>
        <v>0</v>
      </c>
      <c r="R199" s="318">
        <f>R57</f>
        <v>0</v>
      </c>
      <c r="S199" s="318">
        <f>S57</f>
        <v>0</v>
      </c>
      <c r="T199" s="318">
        <f>T57</f>
        <v>0</v>
      </c>
      <c r="U199" s="318">
        <f>U57</f>
        <v>0</v>
      </c>
      <c r="V199" s="70">
        <f>SUM(B199:U199)</f>
        <v>205</v>
      </c>
      <c r="W199" s="68"/>
    </row>
    <row r="200" spans="1:23">
      <c r="A200" s="20" t="s">
        <v>384</v>
      </c>
      <c r="B200" s="215">
        <f>B58</f>
        <v>0</v>
      </c>
      <c r="C200" s="215">
        <f>C58</f>
        <v>0</v>
      </c>
      <c r="D200" s="215">
        <f>D58</f>
        <v>1234</v>
      </c>
      <c r="E200" s="215">
        <f>E58</f>
        <v>0</v>
      </c>
      <c r="F200" s="215">
        <f>F58</f>
        <v>0</v>
      </c>
      <c r="G200" s="215">
        <f>G58</f>
        <v>0</v>
      </c>
      <c r="H200" s="215">
        <f>H58</f>
        <v>0</v>
      </c>
      <c r="I200" s="215">
        <f>I58</f>
        <v>0</v>
      </c>
      <c r="J200" s="215">
        <f>J58</f>
        <v>0</v>
      </c>
      <c r="K200" s="215">
        <f>K58</f>
        <v>0</v>
      </c>
      <c r="L200" s="215">
        <f>L58</f>
        <v>0</v>
      </c>
      <c r="M200" s="215">
        <f>M58</f>
        <v>0</v>
      </c>
      <c r="N200" s="215">
        <f>N58</f>
        <v>0</v>
      </c>
      <c r="O200" s="215">
        <f>O58</f>
        <v>0</v>
      </c>
      <c r="P200" s="215">
        <f>P58</f>
        <v>0</v>
      </c>
      <c r="Q200" s="215">
        <f>Q58</f>
        <v>0</v>
      </c>
      <c r="R200" s="215">
        <f>R58</f>
        <v>0</v>
      </c>
      <c r="S200" s="215">
        <f>S58</f>
        <v>0</v>
      </c>
      <c r="T200" s="215">
        <f>T58</f>
        <v>0</v>
      </c>
      <c r="U200" s="215">
        <f>U58</f>
        <v>0</v>
      </c>
      <c r="V200" s="70">
        <f>SUM(B200:U200)</f>
        <v>1234</v>
      </c>
      <c r="W200" s="68"/>
    </row>
    <row r="201" spans="1:23">
      <c r="A201" s="20" t="s">
        <v>385</v>
      </c>
      <c r="B201" s="215">
        <f>B59</f>
        <v>149</v>
      </c>
      <c r="C201" s="215">
        <f>C59</f>
        <v>0</v>
      </c>
      <c r="D201" s="215">
        <f>D59</f>
        <v>2458</v>
      </c>
      <c r="E201" s="215">
        <f>E59</f>
        <v>0</v>
      </c>
      <c r="F201" s="215">
        <f>F59</f>
        <v>0</v>
      </c>
      <c r="G201" s="215">
        <f>G59</f>
        <v>0</v>
      </c>
      <c r="H201" s="215">
        <f>H59</f>
        <v>828</v>
      </c>
      <c r="I201" s="215">
        <f>I59</f>
        <v>0</v>
      </c>
      <c r="J201" s="215">
        <f>J59</f>
        <v>0</v>
      </c>
      <c r="K201" s="215">
        <f>K59</f>
        <v>0</v>
      </c>
      <c r="L201" s="215">
        <f>L59</f>
        <v>0</v>
      </c>
      <c r="M201" s="215">
        <f>M59</f>
        <v>0</v>
      </c>
      <c r="N201" s="215">
        <f>N59</f>
        <v>0</v>
      </c>
      <c r="O201" s="215">
        <f>O59</f>
        <v>0</v>
      </c>
      <c r="P201" s="215">
        <f>P59</f>
        <v>0</v>
      </c>
      <c r="Q201" s="215">
        <f>Q59</f>
        <v>0</v>
      </c>
      <c r="R201" s="215">
        <f>R59</f>
        <v>0</v>
      </c>
      <c r="S201" s="215">
        <f>S59</f>
        <v>110</v>
      </c>
      <c r="T201" s="215">
        <f>T59</f>
        <v>0</v>
      </c>
      <c r="U201" s="215">
        <f>U59</f>
        <v>0</v>
      </c>
      <c r="V201" s="70">
        <f>SUM(B201:U201)</f>
        <v>3545</v>
      </c>
      <c r="W201" s="68"/>
    </row>
    <row r="202" spans="1:23">
      <c r="A202" s="20" t="s">
        <v>389</v>
      </c>
      <c r="B202" s="215">
        <f>B60</f>
        <v>23</v>
      </c>
      <c r="C202" s="215">
        <f>C60</f>
        <v>0</v>
      </c>
      <c r="D202" s="215">
        <f>D60</f>
        <v>1209</v>
      </c>
      <c r="E202" s="215">
        <f>E60</f>
        <v>0</v>
      </c>
      <c r="F202" s="215">
        <f>F60</f>
        <v>0</v>
      </c>
      <c r="G202" s="215">
        <f>G60</f>
        <v>165</v>
      </c>
      <c r="H202" s="215">
        <f>H60</f>
        <v>0</v>
      </c>
      <c r="I202" s="215">
        <f>I60</f>
        <v>97</v>
      </c>
      <c r="J202" s="215">
        <f>J60</f>
        <v>0</v>
      </c>
      <c r="K202" s="215">
        <f>K60</f>
        <v>0</v>
      </c>
      <c r="L202" s="215">
        <f>L60</f>
        <v>0</v>
      </c>
      <c r="M202" s="215">
        <f>M60</f>
        <v>128</v>
      </c>
      <c r="N202" s="215">
        <f>N60</f>
        <v>420</v>
      </c>
      <c r="O202" s="215">
        <f>O60</f>
        <v>38</v>
      </c>
      <c r="P202" s="215">
        <f>P60</f>
        <v>0</v>
      </c>
      <c r="Q202" s="215">
        <f>Q60</f>
        <v>0</v>
      </c>
      <c r="R202" s="215">
        <f>R60</f>
        <v>0</v>
      </c>
      <c r="S202" s="215">
        <f>S60</f>
        <v>0</v>
      </c>
      <c r="T202" s="215">
        <f>T60</f>
        <v>0</v>
      </c>
      <c r="U202" s="215">
        <f>U60</f>
        <v>0</v>
      </c>
      <c r="V202" s="70">
        <f>SUM(B202:U202)</f>
        <v>2080</v>
      </c>
      <c r="W202" s="68"/>
    </row>
    <row r="203" spans="1:23">
      <c r="A203" s="131" t="s">
        <v>390</v>
      </c>
      <c r="B203" s="318">
        <f>B65</f>
        <v>1467</v>
      </c>
      <c r="C203" s="318">
        <f>C65</f>
        <v>368</v>
      </c>
      <c r="D203" s="318">
        <f>D65</f>
        <v>0</v>
      </c>
      <c r="E203" s="318">
        <f>E65</f>
        <v>0</v>
      </c>
      <c r="F203" s="318">
        <f>F65</f>
        <v>0</v>
      </c>
      <c r="G203" s="318">
        <f>G65</f>
        <v>232</v>
      </c>
      <c r="H203" s="318">
        <f>H65</f>
        <v>244</v>
      </c>
      <c r="I203" s="318">
        <f>I65</f>
        <v>0</v>
      </c>
      <c r="J203" s="318">
        <f>J65</f>
        <v>0</v>
      </c>
      <c r="K203" s="318">
        <f>K65</f>
        <v>0</v>
      </c>
      <c r="L203" s="318">
        <f>L65</f>
        <v>0</v>
      </c>
      <c r="M203" s="318">
        <f>M65</f>
        <v>90</v>
      </c>
      <c r="N203" s="318">
        <f>N65</f>
        <v>54</v>
      </c>
      <c r="O203" s="318">
        <f>O65</f>
        <v>87</v>
      </c>
      <c r="P203" s="318">
        <f>P65</f>
        <v>0</v>
      </c>
      <c r="Q203" s="318">
        <f>Q65</f>
        <v>0</v>
      </c>
      <c r="R203" s="318">
        <f>R65</f>
        <v>0</v>
      </c>
      <c r="S203" s="318">
        <f>S65</f>
        <v>0</v>
      </c>
      <c r="T203" s="318">
        <f>T65</f>
        <v>0</v>
      </c>
      <c r="U203" s="318">
        <f>U65</f>
        <v>0</v>
      </c>
      <c r="V203" s="766">
        <f>SUM(B203:U203)</f>
        <v>2542</v>
      </c>
      <c r="W203" s="68"/>
    </row>
    <row r="204" spans="1:23">
      <c r="A204" s="110" t="s">
        <v>386</v>
      </c>
      <c r="B204" s="215">
        <f>B61</f>
        <v>54</v>
      </c>
      <c r="C204" s="215">
        <f>C61</f>
        <v>0</v>
      </c>
      <c r="D204" s="215">
        <f>D61</f>
        <v>0</v>
      </c>
      <c r="E204" s="215">
        <f>E61</f>
        <v>0</v>
      </c>
      <c r="F204" s="215">
        <f>F61</f>
        <v>0</v>
      </c>
      <c r="G204" s="215">
        <f>G61</f>
        <v>0</v>
      </c>
      <c r="H204" s="215">
        <f>H61</f>
        <v>0</v>
      </c>
      <c r="I204" s="215">
        <f>I61</f>
        <v>0</v>
      </c>
      <c r="J204" s="215">
        <f>J61</f>
        <v>0</v>
      </c>
      <c r="K204" s="215">
        <f>K61</f>
        <v>0</v>
      </c>
      <c r="L204" s="215">
        <f>L61</f>
        <v>0</v>
      </c>
      <c r="M204" s="215">
        <f>M61</f>
        <v>38</v>
      </c>
      <c r="N204" s="215">
        <f>N61</f>
        <v>47</v>
      </c>
      <c r="O204" s="215">
        <f>O61</f>
        <v>0</v>
      </c>
      <c r="P204" s="215">
        <f>P61</f>
        <v>0</v>
      </c>
      <c r="Q204" s="215">
        <f>Q61</f>
        <v>0</v>
      </c>
      <c r="R204" s="215">
        <f>R61</f>
        <v>0</v>
      </c>
      <c r="S204" s="215">
        <f>S61</f>
        <v>0</v>
      </c>
      <c r="T204" s="215">
        <f>T61</f>
        <v>0</v>
      </c>
      <c r="U204" s="215">
        <f>U61</f>
        <v>0</v>
      </c>
      <c r="V204" s="766">
        <f>SUM(B204:U204)</f>
        <v>139</v>
      </c>
      <c r="W204" s="68"/>
    </row>
    <row r="205" spans="1:23">
      <c r="A205" s="110" t="s">
        <v>387</v>
      </c>
      <c r="B205" s="215">
        <f>B62</f>
        <v>274</v>
      </c>
      <c r="C205" s="215">
        <f>C62</f>
        <v>0</v>
      </c>
      <c r="D205" s="215">
        <f>D62</f>
        <v>539</v>
      </c>
      <c r="E205" s="215">
        <f>E62</f>
        <v>0</v>
      </c>
      <c r="F205" s="215">
        <f>F62</f>
        <v>0</v>
      </c>
      <c r="G205" s="215">
        <f>G62</f>
        <v>2073</v>
      </c>
      <c r="H205" s="215">
        <f>H62</f>
        <v>0</v>
      </c>
      <c r="I205" s="215">
        <f>I62</f>
        <v>0</v>
      </c>
      <c r="J205" s="215">
        <f>J62</f>
        <v>0</v>
      </c>
      <c r="K205" s="215">
        <f>K62</f>
        <v>0</v>
      </c>
      <c r="L205" s="215">
        <f>L62</f>
        <v>0</v>
      </c>
      <c r="M205" s="215">
        <f>M62</f>
        <v>0</v>
      </c>
      <c r="N205" s="215">
        <f>N62</f>
        <v>54</v>
      </c>
      <c r="O205" s="215">
        <f>O62</f>
        <v>640</v>
      </c>
      <c r="P205" s="215">
        <f>P62</f>
        <v>0</v>
      </c>
      <c r="Q205" s="215">
        <f>Q62</f>
        <v>0</v>
      </c>
      <c r="R205" s="215">
        <f>R62</f>
        <v>0</v>
      </c>
      <c r="S205" s="215">
        <f>S62</f>
        <v>0</v>
      </c>
      <c r="T205" s="215">
        <f>T62</f>
        <v>0</v>
      </c>
      <c r="U205" s="215">
        <f>U62</f>
        <v>0</v>
      </c>
      <c r="V205" s="766">
        <f>SUM(B205:U205)</f>
        <v>3580</v>
      </c>
      <c r="W205" s="68"/>
    </row>
    <row r="206" spans="1:23">
      <c r="A206" s="110" t="s">
        <v>391</v>
      </c>
      <c r="B206" s="215">
        <f>B63</f>
        <v>869</v>
      </c>
      <c r="C206" s="215">
        <f>C63</f>
        <v>792</v>
      </c>
      <c r="D206" s="215">
        <f>D63</f>
        <v>13117</v>
      </c>
      <c r="E206" s="215">
        <f>E63</f>
        <v>20518</v>
      </c>
      <c r="F206" s="215">
        <f>F63</f>
        <v>0</v>
      </c>
      <c r="G206" s="215">
        <f>G63</f>
        <v>0</v>
      </c>
      <c r="H206" s="215">
        <f>H63</f>
        <v>0</v>
      </c>
      <c r="I206" s="215">
        <f>I63</f>
        <v>0</v>
      </c>
      <c r="J206" s="215">
        <f>J63</f>
        <v>0</v>
      </c>
      <c r="K206" s="215">
        <f>K63</f>
        <v>0</v>
      </c>
      <c r="L206" s="215">
        <f>L63</f>
        <v>0</v>
      </c>
      <c r="M206" s="215">
        <f>M63</f>
        <v>0</v>
      </c>
      <c r="N206" s="215">
        <f>N63</f>
        <v>0</v>
      </c>
      <c r="O206" s="215">
        <f>O63</f>
        <v>234</v>
      </c>
      <c r="P206" s="215">
        <f>P63</f>
        <v>0</v>
      </c>
      <c r="Q206" s="215">
        <f>Q63</f>
        <v>0</v>
      </c>
      <c r="R206" s="215">
        <f>R63</f>
        <v>0</v>
      </c>
      <c r="S206" s="215">
        <f>S63</f>
        <v>0</v>
      </c>
      <c r="T206" s="215">
        <f>T63</f>
        <v>73</v>
      </c>
      <c r="U206" s="215">
        <f>U63</f>
        <v>0</v>
      </c>
      <c r="V206" s="766">
        <f>SUM(B206:U206)</f>
        <v>35603</v>
      </c>
      <c r="W206" s="68"/>
    </row>
    <row r="207" spans="1:23">
      <c r="A207" s="110" t="s">
        <v>392</v>
      </c>
      <c r="B207" s="215">
        <f>B64</f>
        <v>12072</v>
      </c>
      <c r="C207" s="215">
        <f>C64</f>
        <v>5347</v>
      </c>
      <c r="D207" s="215">
        <f>D64</f>
        <v>408</v>
      </c>
      <c r="E207" s="215">
        <f>E64</f>
        <v>0</v>
      </c>
      <c r="F207" s="215">
        <f>F64</f>
        <v>0</v>
      </c>
      <c r="G207" s="215">
        <f>G64</f>
        <v>3924</v>
      </c>
      <c r="H207" s="215">
        <f>H64</f>
        <v>1732</v>
      </c>
      <c r="I207" s="215">
        <f>I64</f>
        <v>0</v>
      </c>
      <c r="J207" s="215">
        <f>J64</f>
        <v>0</v>
      </c>
      <c r="K207" s="215">
        <f>K64</f>
        <v>0</v>
      </c>
      <c r="L207" s="215">
        <f>L64</f>
        <v>0</v>
      </c>
      <c r="M207" s="215">
        <f>M64</f>
        <v>0</v>
      </c>
      <c r="N207" s="215">
        <f>N64</f>
        <v>0</v>
      </c>
      <c r="O207" s="215">
        <f>O64</f>
        <v>0</v>
      </c>
      <c r="P207" s="215">
        <f>P64</f>
        <v>0</v>
      </c>
      <c r="Q207" s="215">
        <f>Q64</f>
        <v>0</v>
      </c>
      <c r="R207" s="215">
        <f>R64</f>
        <v>0</v>
      </c>
      <c r="S207" s="215">
        <f>S64</f>
        <v>403</v>
      </c>
      <c r="T207" s="215">
        <f>T64</f>
        <v>0</v>
      </c>
      <c r="U207" s="215">
        <f>U64</f>
        <v>0</v>
      </c>
      <c r="V207" s="766">
        <f>SUM(B207:U207)</f>
        <v>23886</v>
      </c>
      <c r="W207" s="68"/>
    </row>
    <row r="208" spans="1:23">
      <c r="A208" s="125" t="s">
        <v>388</v>
      </c>
      <c r="B208" s="318">
        <f>B66</f>
        <v>1507</v>
      </c>
      <c r="C208" s="318">
        <f>C66</f>
        <v>0</v>
      </c>
      <c r="D208" s="318">
        <f>D66</f>
        <v>1030</v>
      </c>
      <c r="E208" s="318">
        <f>E66</f>
        <v>0</v>
      </c>
      <c r="F208" s="318">
        <f>F66</f>
        <v>9642</v>
      </c>
      <c r="G208" s="318">
        <f>G66</f>
        <v>0</v>
      </c>
      <c r="H208" s="318">
        <f>H66</f>
        <v>2368</v>
      </c>
      <c r="I208" s="318">
        <f>I66</f>
        <v>0</v>
      </c>
      <c r="J208" s="318">
        <f>J66</f>
        <v>0</v>
      </c>
      <c r="K208" s="318">
        <f>K66</f>
        <v>0</v>
      </c>
      <c r="L208" s="318">
        <f>L66</f>
        <v>0</v>
      </c>
      <c r="M208" s="318">
        <f>M66</f>
        <v>0</v>
      </c>
      <c r="N208" s="318">
        <f>N66</f>
        <v>0</v>
      </c>
      <c r="O208" s="318">
        <f>O66</f>
        <v>0</v>
      </c>
      <c r="P208" s="318">
        <f>P66</f>
        <v>0</v>
      </c>
      <c r="Q208" s="318">
        <f>Q66</f>
        <v>0</v>
      </c>
      <c r="R208" s="318">
        <f>R66</f>
        <v>0</v>
      </c>
      <c r="S208" s="318">
        <f>S66</f>
        <v>0</v>
      </c>
      <c r="T208" s="318">
        <f>T66</f>
        <v>1004</v>
      </c>
      <c r="U208" s="318">
        <f>U66</f>
        <v>0</v>
      </c>
      <c r="V208" s="766">
        <f>SUM(B208:U208)</f>
        <v>15551</v>
      </c>
      <c r="W208" s="68"/>
    </row>
    <row r="209" spans="1:23">
      <c r="A209" s="135" t="s">
        <v>240</v>
      </c>
      <c r="B209" s="313">
        <f>B67</f>
        <v>0</v>
      </c>
      <c r="C209" s="313">
        <f>C67</f>
        <v>0</v>
      </c>
      <c r="D209" s="313">
        <f>D67</f>
        <v>3270</v>
      </c>
      <c r="E209" s="313">
        <f>E67</f>
        <v>0</v>
      </c>
      <c r="F209" s="313">
        <f>F67</f>
        <v>0</v>
      </c>
      <c r="G209" s="313">
        <f>G67</f>
        <v>0</v>
      </c>
      <c r="H209" s="313">
        <f>H67</f>
        <v>0</v>
      </c>
      <c r="I209" s="313">
        <f>I67</f>
        <v>0</v>
      </c>
      <c r="J209" s="313">
        <f>J67</f>
        <v>0</v>
      </c>
      <c r="K209" s="313">
        <f>K67</f>
        <v>0</v>
      </c>
      <c r="L209" s="313">
        <f>L67</f>
        <v>0</v>
      </c>
      <c r="M209" s="313">
        <f>M67</f>
        <v>0</v>
      </c>
      <c r="N209" s="313">
        <f>N67</f>
        <v>0</v>
      </c>
      <c r="O209" s="313">
        <f>O67</f>
        <v>0</v>
      </c>
      <c r="P209" s="313">
        <f>P67</f>
        <v>0</v>
      </c>
      <c r="Q209" s="313">
        <f>Q67</f>
        <v>0</v>
      </c>
      <c r="R209" s="313">
        <f>R67</f>
        <v>0</v>
      </c>
      <c r="S209" s="313">
        <f>S67</f>
        <v>0</v>
      </c>
      <c r="T209" s="313">
        <f>T67</f>
        <v>0</v>
      </c>
      <c r="U209" s="313">
        <f>U67</f>
        <v>0</v>
      </c>
      <c r="V209" s="70">
        <f>SUM(B209:U209)</f>
        <v>3270</v>
      </c>
      <c r="W209" s="68"/>
    </row>
    <row r="210" spans="1:23">
      <c r="A210" s="31" t="s">
        <v>406</v>
      </c>
      <c r="B210" s="215">
        <f>B46</f>
        <v>0</v>
      </c>
      <c r="C210" s="215">
        <f>C46</f>
        <v>0</v>
      </c>
      <c r="D210" s="215">
        <f>D46</f>
        <v>0</v>
      </c>
      <c r="E210" s="215">
        <f>E46</f>
        <v>0</v>
      </c>
      <c r="F210" s="215">
        <f>F46</f>
        <v>3213</v>
      </c>
      <c r="G210" s="215">
        <f>G46</f>
        <v>0</v>
      </c>
      <c r="H210" s="215">
        <f>H46</f>
        <v>354</v>
      </c>
      <c r="I210" s="215">
        <f>I46</f>
        <v>0</v>
      </c>
      <c r="J210" s="215">
        <f>J46</f>
        <v>0</v>
      </c>
      <c r="K210" s="215">
        <f>K46</f>
        <v>0</v>
      </c>
      <c r="L210" s="215">
        <f>L46</f>
        <v>0</v>
      </c>
      <c r="M210" s="215">
        <f>M46</f>
        <v>831</v>
      </c>
      <c r="N210" s="215">
        <f>N46</f>
        <v>411</v>
      </c>
      <c r="O210" s="215">
        <f>O46</f>
        <v>928</v>
      </c>
      <c r="P210" s="215">
        <f>P46</f>
        <v>0</v>
      </c>
      <c r="Q210" s="215">
        <f>Q46</f>
        <v>0</v>
      </c>
      <c r="R210" s="215">
        <f>R46</f>
        <v>0</v>
      </c>
      <c r="S210" s="215">
        <f>S46</f>
        <v>0</v>
      </c>
      <c r="T210" s="215">
        <f>T46</f>
        <v>0</v>
      </c>
      <c r="U210" s="215">
        <f>U46</f>
        <v>0</v>
      </c>
      <c r="V210" s="70">
        <f>SUM(B210:U210)</f>
        <v>5737</v>
      </c>
      <c r="W210" s="68"/>
    </row>
    <row r="211" spans="1:23">
      <c r="A211" s="767" t="s">
        <v>411</v>
      </c>
      <c r="B211" s="492"/>
      <c r="C211" s="492"/>
      <c r="D211" s="492"/>
      <c r="E211" s="492"/>
      <c r="F211" s="492"/>
      <c r="G211" s="492"/>
      <c r="H211" s="492"/>
      <c r="I211" s="492"/>
      <c r="J211" s="492"/>
      <c r="K211" s="492"/>
      <c r="L211" s="492"/>
      <c r="M211" s="492"/>
      <c r="N211" s="492"/>
      <c r="O211" s="492"/>
      <c r="P211" s="492"/>
      <c r="Q211" s="492"/>
      <c r="R211" s="492"/>
      <c r="S211" s="492"/>
      <c r="T211" s="492"/>
      <c r="U211" s="319">
        <f>U47</f>
        <v>464</v>
      </c>
      <c r="V211" s="70">
        <f>SUM(B211:U211)</f>
        <v>464</v>
      </c>
      <c r="W211" s="68"/>
    </row>
    <row r="212" spans="1:23">
      <c r="A212" s="768" t="s">
        <v>444</v>
      </c>
      <c r="B212" s="760">
        <f>B49</f>
        <v>8564</v>
      </c>
      <c r="C212" s="760">
        <f>C49</f>
        <v>2415</v>
      </c>
      <c r="D212" s="760">
        <f>D49</f>
        <v>3053</v>
      </c>
      <c r="E212" s="760">
        <f>E49</f>
        <v>1730</v>
      </c>
      <c r="F212" s="760">
        <f>F49</f>
        <v>2183</v>
      </c>
      <c r="G212" s="760">
        <f>G49</f>
        <v>415</v>
      </c>
      <c r="H212" s="760">
        <f>H49</f>
        <v>615</v>
      </c>
      <c r="I212" s="760">
        <f>I49</f>
        <v>199</v>
      </c>
      <c r="J212" s="760">
        <f>J49</f>
        <v>744</v>
      </c>
      <c r="K212" s="760">
        <f>K49</f>
        <v>2554</v>
      </c>
      <c r="L212" s="760">
        <f>L49</f>
        <v>698</v>
      </c>
      <c r="M212" s="760">
        <f>M49</f>
        <v>0</v>
      </c>
      <c r="N212" s="760">
        <f>N49</f>
        <v>7</v>
      </c>
      <c r="O212" s="760">
        <f>O49</f>
        <v>2625</v>
      </c>
      <c r="P212" s="760">
        <f>P49</f>
        <v>0</v>
      </c>
      <c r="Q212" s="760">
        <f>Q49</f>
        <v>0</v>
      </c>
      <c r="R212" s="760">
        <f>R49</f>
        <v>0</v>
      </c>
      <c r="S212" s="760">
        <f>S49</f>
        <v>210</v>
      </c>
      <c r="T212" s="760">
        <f>T49</f>
        <v>159</v>
      </c>
      <c r="U212" s="760">
        <f>U49</f>
        <v>168</v>
      </c>
      <c r="V212" s="70">
        <f>SUM(B212:U212)</f>
        <v>26339</v>
      </c>
      <c r="W212" s="68"/>
    </row>
    <row r="213" spans="1:23">
      <c r="A213" s="763" t="s">
        <v>445</v>
      </c>
      <c r="B213" s="760">
        <f>B68</f>
        <v>4825</v>
      </c>
      <c r="C213" s="760">
        <f>C68</f>
        <v>2600</v>
      </c>
      <c r="D213" s="760">
        <f>D68</f>
        <v>17361</v>
      </c>
      <c r="E213" s="760">
        <f>E68</f>
        <v>3980</v>
      </c>
      <c r="F213" s="760">
        <f>F68</f>
        <v>4678</v>
      </c>
      <c r="G213" s="760">
        <f>G68</f>
        <v>3664</v>
      </c>
      <c r="H213" s="760">
        <f>H68</f>
        <v>1594</v>
      </c>
      <c r="I213" s="760">
        <f>I68</f>
        <v>0</v>
      </c>
      <c r="J213" s="760">
        <f>J68</f>
        <v>0</v>
      </c>
      <c r="K213" s="760">
        <f>K68</f>
        <v>0</v>
      </c>
      <c r="L213" s="760">
        <f>L68</f>
        <v>0</v>
      </c>
      <c r="M213" s="760">
        <f>M68</f>
        <v>0</v>
      </c>
      <c r="N213" s="760">
        <f>N68</f>
        <v>0</v>
      </c>
      <c r="O213" s="760">
        <f>O68</f>
        <v>133</v>
      </c>
      <c r="P213" s="760">
        <f>P68</f>
        <v>20</v>
      </c>
      <c r="Q213" s="760">
        <f>Q68</f>
        <v>195</v>
      </c>
      <c r="R213" s="760">
        <f>R68</f>
        <v>50</v>
      </c>
      <c r="S213" s="760">
        <f>S68</f>
        <v>107</v>
      </c>
      <c r="T213" s="760">
        <f>T68</f>
        <v>0</v>
      </c>
      <c r="U213" s="760">
        <f>U68</f>
        <v>135</v>
      </c>
      <c r="V213" s="70">
        <f>SUM(B213:U213)</f>
        <v>39342</v>
      </c>
      <c r="W213" s="68"/>
    </row>
    <row r="214" spans="1:23">
      <c r="A214" s="145" t="s">
        <v>243</v>
      </c>
      <c r="B214" s="319">
        <f>B70</f>
        <v>17134</v>
      </c>
      <c r="C214" s="319">
        <v>784</v>
      </c>
      <c r="D214" s="319">
        <v>0</v>
      </c>
      <c r="E214" s="319">
        <v>0</v>
      </c>
      <c r="F214" s="319">
        <v>450</v>
      </c>
      <c r="G214" s="319">
        <v>5795</v>
      </c>
      <c r="H214" s="319">
        <v>1695</v>
      </c>
      <c r="I214" s="319">
        <v>0</v>
      </c>
      <c r="J214" s="319">
        <v>0</v>
      </c>
      <c r="K214" s="319">
        <v>0</v>
      </c>
      <c r="L214" s="319">
        <v>0</v>
      </c>
      <c r="M214" s="319">
        <v>0</v>
      </c>
      <c r="N214" s="319">
        <v>0</v>
      </c>
      <c r="O214" s="319">
        <v>0</v>
      </c>
      <c r="P214" s="319">
        <v>0</v>
      </c>
      <c r="Q214" s="319">
        <v>0</v>
      </c>
      <c r="R214" s="319">
        <v>0</v>
      </c>
      <c r="S214" s="319">
        <v>0</v>
      </c>
      <c r="T214" s="319">
        <v>0</v>
      </c>
      <c r="U214" s="319">
        <v>0</v>
      </c>
      <c r="V214" s="70">
        <f>SUM(B214:U214)</f>
        <v>25858</v>
      </c>
      <c r="W214" s="70">
        <f>SUM(V203:V213)</f>
        <v>156453</v>
      </c>
    </row>
    <row r="215" spans="1:23">
      <c r="V215" s="70">
        <f>SUM(V189:V214)</f>
        <v>1778633</v>
      </c>
      <c r="W215" s="70">
        <f>W214+W44</f>
        <v>286318</v>
      </c>
    </row>
    <row r="217" spans="1:23">
      <c r="A217" s="681" t="s">
        <v>962</v>
      </c>
      <c r="B217" s="483"/>
      <c r="C217" s="483"/>
      <c r="D217" s="483"/>
      <c r="E217" s="483"/>
      <c r="F217" s="483"/>
      <c r="G217" s="483"/>
      <c r="H217" s="483"/>
      <c r="I217" s="483"/>
      <c r="J217" s="483"/>
      <c r="K217" s="483"/>
      <c r="L217" s="483"/>
      <c r="M217" s="483"/>
      <c r="N217" s="483"/>
      <c r="O217" s="483"/>
      <c r="P217" s="483"/>
      <c r="Q217" s="483"/>
      <c r="R217" s="483"/>
      <c r="S217" s="483"/>
      <c r="T217" s="483"/>
      <c r="U217" s="483"/>
    </row>
    <row r="219" spans="1:23">
      <c r="A219" s="153" t="s">
        <v>262</v>
      </c>
      <c r="B219" s="153" t="s">
        <v>26</v>
      </c>
      <c r="C219" s="153" t="s">
        <v>126</v>
      </c>
      <c r="D219" s="153" t="s">
        <v>75</v>
      </c>
      <c r="E219" s="153" t="s">
        <v>127</v>
      </c>
      <c r="F219" s="153" t="s">
        <v>128</v>
      </c>
      <c r="G219" s="153" t="s">
        <v>129</v>
      </c>
      <c r="H219" s="153" t="s">
        <v>130</v>
      </c>
      <c r="I219" s="153" t="s">
        <v>103</v>
      </c>
      <c r="J219" s="153" t="s">
        <v>104</v>
      </c>
      <c r="K219" s="153" t="s">
        <v>105</v>
      </c>
      <c r="L219" s="153" t="s">
        <v>106</v>
      </c>
      <c r="M219" s="153" t="s">
        <v>99</v>
      </c>
      <c r="N219" s="153" t="s">
        <v>101</v>
      </c>
      <c r="O219" s="153" t="s">
        <v>133</v>
      </c>
      <c r="P219" s="153" t="s">
        <v>118</v>
      </c>
      <c r="Q219" s="153" t="s">
        <v>119</v>
      </c>
      <c r="R219" s="153" t="s">
        <v>120</v>
      </c>
      <c r="S219" s="153" t="s">
        <v>135</v>
      </c>
      <c r="T219" s="153" t="s">
        <v>136</v>
      </c>
      <c r="U219" s="153" t="s">
        <v>137</v>
      </c>
    </row>
    <row r="220" spans="1:23">
      <c r="A220" s="112" t="s">
        <v>139</v>
      </c>
      <c r="B220" s="527">
        <f>B189</f>
        <v>299470</v>
      </c>
      <c r="C220" s="527">
        <f t="shared" ref="C220:U220" si="17">C189</f>
        <v>100400</v>
      </c>
      <c r="D220" s="527">
        <f t="shared" si="17"/>
        <v>54790</v>
      </c>
      <c r="E220" s="527">
        <f t="shared" si="17"/>
        <v>128949.99999999999</v>
      </c>
      <c r="F220" s="527">
        <f t="shared" si="17"/>
        <v>36740</v>
      </c>
      <c r="G220" s="527">
        <f t="shared" si="17"/>
        <v>59320</v>
      </c>
      <c r="H220" s="527">
        <f t="shared" si="17"/>
        <v>23300</v>
      </c>
      <c r="I220" s="526">
        <f t="shared" si="17"/>
        <v>0</v>
      </c>
      <c r="J220" s="526">
        <f t="shared" si="17"/>
        <v>1208.1011915693161</v>
      </c>
      <c r="K220" s="526">
        <f t="shared" si="17"/>
        <v>17554.88799595719</v>
      </c>
      <c r="L220" s="526">
        <f t="shared" si="17"/>
        <v>7657.0108124734952</v>
      </c>
      <c r="M220" s="526">
        <f t="shared" si="17"/>
        <v>6195.4816941224781</v>
      </c>
      <c r="N220" s="526">
        <f t="shared" si="17"/>
        <v>15514.518305877522</v>
      </c>
      <c r="O220" s="527">
        <f t="shared" si="17"/>
        <v>21270</v>
      </c>
      <c r="P220" s="526">
        <f t="shared" si="17"/>
        <v>1562.5</v>
      </c>
      <c r="Q220" s="526">
        <f t="shared" si="17"/>
        <v>0</v>
      </c>
      <c r="R220" s="526">
        <f t="shared" si="17"/>
        <v>4687.5</v>
      </c>
      <c r="S220" s="527">
        <f t="shared" si="17"/>
        <v>6540</v>
      </c>
      <c r="T220" s="527">
        <f t="shared" si="17"/>
        <v>800</v>
      </c>
      <c r="U220" s="527">
        <f t="shared" si="17"/>
        <v>2400</v>
      </c>
      <c r="V220" s="70">
        <f>SUM(B220:U220)</f>
        <v>788360</v>
      </c>
    </row>
    <row r="221" spans="1:23">
      <c r="A221" s="112" t="s">
        <v>140</v>
      </c>
      <c r="B221" s="527">
        <f t="shared" ref="B221:U221" si="18">B190</f>
        <v>142000</v>
      </c>
      <c r="C221" s="527">
        <f t="shared" si="18"/>
        <v>50000</v>
      </c>
      <c r="D221" s="527">
        <f t="shared" si="18"/>
        <v>43480</v>
      </c>
      <c r="E221" s="527">
        <f t="shared" si="18"/>
        <v>75050</v>
      </c>
      <c r="F221" s="527">
        <f t="shared" si="18"/>
        <v>29500</v>
      </c>
      <c r="G221" s="527">
        <f t="shared" si="18"/>
        <v>12700</v>
      </c>
      <c r="H221" s="527">
        <f t="shared" si="18"/>
        <v>8900</v>
      </c>
      <c r="I221" s="526">
        <f t="shared" si="18"/>
        <v>7018.4769305581794</v>
      </c>
      <c r="J221" s="526">
        <f t="shared" si="18"/>
        <v>12727.578281810482</v>
      </c>
      <c r="K221" s="526">
        <f t="shared" si="18"/>
        <v>5408.5475171000035</v>
      </c>
      <c r="L221" s="526">
        <f t="shared" si="18"/>
        <v>3095.3972705313349</v>
      </c>
      <c r="M221" s="526">
        <f t="shared" si="18"/>
        <v>4639.3817913564608</v>
      </c>
      <c r="N221" s="526">
        <f t="shared" si="18"/>
        <v>23610.61820864354</v>
      </c>
      <c r="O221" s="527">
        <f t="shared" si="18"/>
        <v>46000</v>
      </c>
      <c r="P221" s="526">
        <f t="shared" si="18"/>
        <v>2429.0722209751543</v>
      </c>
      <c r="Q221" s="526">
        <f t="shared" si="18"/>
        <v>1485.8409082853868</v>
      </c>
      <c r="R221" s="526">
        <f t="shared" si="18"/>
        <v>2445.0868707394588</v>
      </c>
      <c r="S221" s="527">
        <f t="shared" si="18"/>
        <v>5210</v>
      </c>
      <c r="T221" s="527">
        <f t="shared" si="18"/>
        <v>290</v>
      </c>
      <c r="U221" s="527">
        <f t="shared" si="18"/>
        <v>860</v>
      </c>
      <c r="V221" s="70">
        <f t="shared" ref="V221:V231" si="19">SUM(B221:U221)</f>
        <v>476850</v>
      </c>
    </row>
    <row r="222" spans="1:23">
      <c r="A222" s="759" t="s">
        <v>141</v>
      </c>
      <c r="B222" s="527">
        <f t="shared" ref="B222:U222" si="20">B191</f>
        <v>50520</v>
      </c>
      <c r="C222" s="527">
        <f t="shared" si="20"/>
        <v>17980</v>
      </c>
      <c r="D222" s="527">
        <f t="shared" si="20"/>
        <v>75030</v>
      </c>
      <c r="E222" s="527">
        <f t="shared" si="20"/>
        <v>5040</v>
      </c>
      <c r="F222" s="527">
        <f t="shared" si="20"/>
        <v>10900</v>
      </c>
      <c r="G222" s="527">
        <f t="shared" si="20"/>
        <v>33300</v>
      </c>
      <c r="H222" s="527">
        <f t="shared" si="20"/>
        <v>6860</v>
      </c>
      <c r="I222" s="526">
        <f t="shared" si="20"/>
        <v>0</v>
      </c>
      <c r="J222" s="526">
        <f t="shared" si="20"/>
        <v>1000</v>
      </c>
      <c r="K222" s="526">
        <f t="shared" si="20"/>
        <v>1400</v>
      </c>
      <c r="L222" s="526">
        <f t="shared" si="20"/>
        <v>4200</v>
      </c>
      <c r="M222" s="526">
        <f t="shared" si="20"/>
        <v>6847.153565820272</v>
      </c>
      <c r="N222" s="526">
        <f t="shared" si="20"/>
        <v>14392.846434179728</v>
      </c>
      <c r="O222" s="527">
        <f t="shared" si="20"/>
        <v>3600</v>
      </c>
      <c r="P222" s="526">
        <f t="shared" si="20"/>
        <v>0</v>
      </c>
      <c r="Q222" s="526">
        <f t="shared" si="20"/>
        <v>0</v>
      </c>
      <c r="R222" s="526">
        <f t="shared" si="20"/>
        <v>6000</v>
      </c>
      <c r="S222" s="527">
        <f t="shared" si="20"/>
        <v>2100</v>
      </c>
      <c r="T222" s="527">
        <f t="shared" si="20"/>
        <v>500</v>
      </c>
      <c r="U222" s="527">
        <f t="shared" si="20"/>
        <v>1000</v>
      </c>
      <c r="V222" s="70">
        <f t="shared" si="19"/>
        <v>240670</v>
      </c>
    </row>
    <row r="223" spans="1:23">
      <c r="A223" s="145" t="s">
        <v>142</v>
      </c>
      <c r="B223" s="528">
        <f>B192</f>
        <v>0</v>
      </c>
      <c r="C223" s="528">
        <f>C192</f>
        <v>54700</v>
      </c>
      <c r="D223" s="528">
        <f>D192</f>
        <v>4500</v>
      </c>
      <c r="E223" s="528">
        <f>E192</f>
        <v>0</v>
      </c>
      <c r="F223" s="528">
        <f>F192</f>
        <v>2220</v>
      </c>
      <c r="G223" s="528">
        <f>G192</f>
        <v>243</v>
      </c>
      <c r="H223" s="528">
        <f>H192</f>
        <v>1038</v>
      </c>
      <c r="I223" s="528">
        <f>I192</f>
        <v>0</v>
      </c>
      <c r="J223" s="528">
        <f>J192</f>
        <v>0</v>
      </c>
      <c r="K223" s="528">
        <f>K192</f>
        <v>4800</v>
      </c>
      <c r="L223" s="528">
        <f>L192</f>
        <v>0</v>
      </c>
      <c r="M223" s="528">
        <f>M192</f>
        <v>0</v>
      </c>
      <c r="N223" s="528">
        <f>N192</f>
        <v>0</v>
      </c>
      <c r="O223" s="528">
        <f>O192</f>
        <v>3250</v>
      </c>
      <c r="P223" s="528">
        <f>P192</f>
        <v>0</v>
      </c>
      <c r="Q223" s="528">
        <f>Q192</f>
        <v>0</v>
      </c>
      <c r="R223" s="528">
        <f>R192</f>
        <v>0</v>
      </c>
      <c r="S223" s="528">
        <f>S192</f>
        <v>0</v>
      </c>
      <c r="T223" s="528">
        <f>T192</f>
        <v>0</v>
      </c>
      <c r="U223" s="528">
        <f>U192</f>
        <v>0</v>
      </c>
      <c r="V223" s="70">
        <f t="shared" si="19"/>
        <v>70751</v>
      </c>
    </row>
    <row r="224" spans="1:23">
      <c r="A224" s="20" t="s">
        <v>963</v>
      </c>
      <c r="B224" s="526">
        <f>SUM(B193:B197)</f>
        <v>0</v>
      </c>
      <c r="C224" s="526">
        <f>SUM(C193:C197)</f>
        <v>0</v>
      </c>
      <c r="D224" s="526">
        <f>SUM(D193:D197)</f>
        <v>0</v>
      </c>
      <c r="E224" s="526">
        <f>SUM(E193:E197)</f>
        <v>0</v>
      </c>
      <c r="F224" s="526">
        <f>SUM(F193:F197)</f>
        <v>10810</v>
      </c>
      <c r="G224" s="526">
        <f>SUM(G193:G197)</f>
        <v>0</v>
      </c>
      <c r="H224" s="526">
        <f>SUM(H193:H197)</f>
        <v>0</v>
      </c>
      <c r="I224" s="526">
        <f>SUM(I193:I197)</f>
        <v>0</v>
      </c>
      <c r="J224" s="526">
        <f>SUM(J193:J197)</f>
        <v>0</v>
      </c>
      <c r="K224" s="526">
        <f>SUM(K193:K197)</f>
        <v>0</v>
      </c>
      <c r="L224" s="526">
        <f>SUM(L193:L197)</f>
        <v>0</v>
      </c>
      <c r="M224" s="526">
        <f>SUM(M193:M197)</f>
        <v>0</v>
      </c>
      <c r="N224" s="526">
        <f>SUM(N193:N197)</f>
        <v>0</v>
      </c>
      <c r="O224" s="526">
        <f>SUM(O193:O197)</f>
        <v>0</v>
      </c>
      <c r="P224" s="526">
        <f>SUM(P193:P197)</f>
        <v>0</v>
      </c>
      <c r="Q224" s="526">
        <f>SUM(Q193:Q197)</f>
        <v>0</v>
      </c>
      <c r="R224" s="526">
        <f>SUM(R193:R197)</f>
        <v>0</v>
      </c>
      <c r="S224" s="526">
        <f>SUM(S193:S197)</f>
        <v>0</v>
      </c>
      <c r="T224" s="526">
        <f>SUM(T193:T197)</f>
        <v>0</v>
      </c>
      <c r="U224" s="526">
        <f>SUM(U193:U197)</f>
        <v>0</v>
      </c>
      <c r="V224" s="70">
        <f t="shared" si="19"/>
        <v>10810</v>
      </c>
    </row>
    <row r="225" spans="1:22">
      <c r="A225" s="20" t="s">
        <v>964</v>
      </c>
      <c r="B225" s="527">
        <f>B198+B199</f>
        <v>745</v>
      </c>
      <c r="C225" s="527">
        <f>C198+C199</f>
        <v>0</v>
      </c>
      <c r="D225" s="527">
        <f>D198+D199</f>
        <v>389</v>
      </c>
      <c r="E225" s="527">
        <f>E198+E199</f>
        <v>0</v>
      </c>
      <c r="F225" s="527">
        <f>F198+F199</f>
        <v>0</v>
      </c>
      <c r="G225" s="527">
        <f>G198+G199</f>
        <v>0</v>
      </c>
      <c r="H225" s="527">
        <f>H198+H199</f>
        <v>140</v>
      </c>
      <c r="I225" s="527">
        <f>I198+I199</f>
        <v>0</v>
      </c>
      <c r="J225" s="527">
        <f>J198+J199</f>
        <v>0</v>
      </c>
      <c r="K225" s="527">
        <f>K198+K199</f>
        <v>0</v>
      </c>
      <c r="L225" s="527">
        <f>L198+L199</f>
        <v>0</v>
      </c>
      <c r="M225" s="526">
        <f>M198+M199</f>
        <v>596</v>
      </c>
      <c r="N225" s="527">
        <f>N198+N199</f>
        <v>152</v>
      </c>
      <c r="O225" s="527">
        <f>O198+O199</f>
        <v>0</v>
      </c>
      <c r="P225" s="527">
        <f>P198+P199</f>
        <v>0</v>
      </c>
      <c r="Q225" s="527">
        <f>Q198+Q199</f>
        <v>0</v>
      </c>
      <c r="R225" s="527">
        <f>R198+R199</f>
        <v>0</v>
      </c>
      <c r="S225" s="527">
        <f>S198+S199</f>
        <v>0</v>
      </c>
      <c r="T225" s="527">
        <f>T198+T199</f>
        <v>0</v>
      </c>
      <c r="U225" s="527">
        <f>U198+U199</f>
        <v>0</v>
      </c>
      <c r="V225" s="70">
        <f t="shared" si="19"/>
        <v>2022</v>
      </c>
    </row>
    <row r="226" spans="1:22">
      <c r="A226" s="20" t="s">
        <v>242</v>
      </c>
      <c r="B226" s="526">
        <f>SUM(B200:B203)</f>
        <v>1639</v>
      </c>
      <c r="C226" s="527">
        <f t="shared" ref="C226:U226" si="21">SUM(C200:C203)</f>
        <v>368</v>
      </c>
      <c r="D226" s="526">
        <f t="shared" si="21"/>
        <v>4901</v>
      </c>
      <c r="E226" s="526">
        <f t="shared" si="21"/>
        <v>0</v>
      </c>
      <c r="F226" s="526">
        <f t="shared" si="21"/>
        <v>0</v>
      </c>
      <c r="G226" s="526">
        <f t="shared" si="21"/>
        <v>397</v>
      </c>
      <c r="H226" s="526">
        <f t="shared" si="21"/>
        <v>1072</v>
      </c>
      <c r="I226" s="527">
        <f t="shared" si="21"/>
        <v>97</v>
      </c>
      <c r="J226" s="526">
        <f t="shared" si="21"/>
        <v>0</v>
      </c>
      <c r="K226" s="526">
        <f t="shared" si="21"/>
        <v>0</v>
      </c>
      <c r="L226" s="526">
        <f t="shared" si="21"/>
        <v>0</v>
      </c>
      <c r="M226" s="526">
        <f t="shared" si="21"/>
        <v>218</v>
      </c>
      <c r="N226" s="526">
        <f t="shared" si="21"/>
        <v>474</v>
      </c>
      <c r="O226" s="526">
        <f t="shared" si="21"/>
        <v>125</v>
      </c>
      <c r="P226" s="526">
        <f t="shared" si="21"/>
        <v>0</v>
      </c>
      <c r="Q226" s="526">
        <f t="shared" si="21"/>
        <v>0</v>
      </c>
      <c r="R226" s="526">
        <f t="shared" si="21"/>
        <v>0</v>
      </c>
      <c r="S226" s="527">
        <f t="shared" si="21"/>
        <v>110</v>
      </c>
      <c r="T226" s="526">
        <f t="shared" si="21"/>
        <v>0</v>
      </c>
      <c r="U226" s="526">
        <f t="shared" si="21"/>
        <v>0</v>
      </c>
      <c r="V226" s="70">
        <f t="shared" si="19"/>
        <v>9401</v>
      </c>
    </row>
    <row r="227" spans="1:22">
      <c r="A227" s="20" t="s">
        <v>239</v>
      </c>
      <c r="B227" s="526">
        <f>SUM(B204:B209)</f>
        <v>14776</v>
      </c>
      <c r="C227" s="526">
        <f t="shared" ref="C227:D227" si="22">SUM(C204:C209)</f>
        <v>6139</v>
      </c>
      <c r="D227" s="526">
        <f t="shared" si="22"/>
        <v>18364</v>
      </c>
      <c r="E227" s="527">
        <f>SUM(E204:E209)</f>
        <v>20518</v>
      </c>
      <c r="F227" s="527">
        <f>SUM(F204:F209)</f>
        <v>9642</v>
      </c>
      <c r="G227" s="526">
        <f>SUM(G204:G209)</f>
        <v>5997</v>
      </c>
      <c r="H227" s="526">
        <f>SUM(H204:H209)</f>
        <v>4100</v>
      </c>
      <c r="I227" s="526">
        <f t="shared" ref="I227:U227" si="23">SUM(I204:I209)</f>
        <v>0</v>
      </c>
      <c r="J227" s="526">
        <f t="shared" si="23"/>
        <v>0</v>
      </c>
      <c r="K227" s="526">
        <f t="shared" si="23"/>
        <v>0</v>
      </c>
      <c r="L227" s="526">
        <f t="shared" si="23"/>
        <v>0</v>
      </c>
      <c r="M227" s="527">
        <f t="shared" si="23"/>
        <v>38</v>
      </c>
      <c r="N227" s="526">
        <f t="shared" si="23"/>
        <v>101</v>
      </c>
      <c r="O227" s="526">
        <f t="shared" si="23"/>
        <v>874</v>
      </c>
      <c r="P227" s="526">
        <f t="shared" si="23"/>
        <v>0</v>
      </c>
      <c r="Q227" s="526">
        <f t="shared" si="23"/>
        <v>0</v>
      </c>
      <c r="R227" s="526">
        <f t="shared" si="23"/>
        <v>0</v>
      </c>
      <c r="S227" s="527">
        <f t="shared" si="23"/>
        <v>403</v>
      </c>
      <c r="T227" s="526">
        <f t="shared" si="23"/>
        <v>1077</v>
      </c>
      <c r="U227" s="526">
        <f t="shared" si="23"/>
        <v>0</v>
      </c>
      <c r="V227" s="70">
        <f t="shared" si="19"/>
        <v>82029</v>
      </c>
    </row>
    <row r="228" spans="1:22">
      <c r="A228" s="145" t="s">
        <v>895</v>
      </c>
      <c r="B228" s="528">
        <f>B210+B211</f>
        <v>0</v>
      </c>
      <c r="C228" s="528">
        <f>C210+C211</f>
        <v>0</v>
      </c>
      <c r="D228" s="528">
        <f>D210+D211</f>
        <v>0</v>
      </c>
      <c r="E228" s="528">
        <f>E210+E211</f>
        <v>0</v>
      </c>
      <c r="F228" s="528">
        <f>F210+F211</f>
        <v>3213</v>
      </c>
      <c r="G228" s="528">
        <f>G210+G211</f>
        <v>0</v>
      </c>
      <c r="H228" s="528">
        <f>H210+H211</f>
        <v>354</v>
      </c>
      <c r="I228" s="528">
        <f>I210+I211</f>
        <v>0</v>
      </c>
      <c r="J228" s="528">
        <f>J210+J211</f>
        <v>0</v>
      </c>
      <c r="K228" s="528">
        <f>K210+K211</f>
        <v>0</v>
      </c>
      <c r="L228" s="528">
        <f>L210+L211</f>
        <v>0</v>
      </c>
      <c r="M228" s="528">
        <f>M210+M211</f>
        <v>831</v>
      </c>
      <c r="N228" s="528">
        <f>N210+N211</f>
        <v>411</v>
      </c>
      <c r="O228" s="528">
        <f>O210+O211</f>
        <v>928</v>
      </c>
      <c r="P228" s="528">
        <f>P210+P211</f>
        <v>0</v>
      </c>
      <c r="Q228" s="528">
        <f>Q210+Q211</f>
        <v>0</v>
      </c>
      <c r="R228" s="528">
        <f>R210+R211</f>
        <v>0</v>
      </c>
      <c r="S228" s="528">
        <f>S210+S211</f>
        <v>0</v>
      </c>
      <c r="T228" s="528">
        <f>T210+T211</f>
        <v>0</v>
      </c>
      <c r="U228" s="528">
        <f>U210+U211</f>
        <v>464</v>
      </c>
      <c r="V228" s="70">
        <f t="shared" si="19"/>
        <v>6201</v>
      </c>
    </row>
    <row r="229" spans="1:22">
      <c r="A229" s="20" t="s">
        <v>444</v>
      </c>
      <c r="B229" s="527">
        <f>B212</f>
        <v>8564</v>
      </c>
      <c r="C229" s="527">
        <f>C212</f>
        <v>2415</v>
      </c>
      <c r="D229" s="527">
        <f>D212</f>
        <v>3053</v>
      </c>
      <c r="E229" s="527">
        <f>E212</f>
        <v>1730</v>
      </c>
      <c r="F229" s="527">
        <f>F212</f>
        <v>2183</v>
      </c>
      <c r="G229" s="527">
        <f>G212</f>
        <v>415</v>
      </c>
      <c r="H229" s="527">
        <f>H212</f>
        <v>615</v>
      </c>
      <c r="I229" s="527">
        <f>I212</f>
        <v>199</v>
      </c>
      <c r="J229" s="527">
        <f>J212</f>
        <v>744</v>
      </c>
      <c r="K229" s="527">
        <f>K212</f>
        <v>2554</v>
      </c>
      <c r="L229" s="527">
        <f>L212</f>
        <v>698</v>
      </c>
      <c r="M229" s="527">
        <f>M212</f>
        <v>0</v>
      </c>
      <c r="N229" s="527"/>
      <c r="O229" s="527">
        <f>O212</f>
        <v>2625</v>
      </c>
      <c r="P229" s="527">
        <f>P212</f>
        <v>0</v>
      </c>
      <c r="Q229" s="527">
        <f>Q212</f>
        <v>0</v>
      </c>
      <c r="R229" s="527">
        <f>R212</f>
        <v>0</v>
      </c>
      <c r="S229" s="527">
        <f>S212</f>
        <v>210</v>
      </c>
      <c r="T229" s="527">
        <f>T212</f>
        <v>159</v>
      </c>
      <c r="U229" s="527">
        <f>U212</f>
        <v>168</v>
      </c>
      <c r="V229" s="70">
        <f t="shared" si="19"/>
        <v>26332</v>
      </c>
    </row>
    <row r="230" spans="1:22">
      <c r="A230" s="20" t="s">
        <v>445</v>
      </c>
      <c r="B230" s="527">
        <f>B213</f>
        <v>4825</v>
      </c>
      <c r="C230" s="527">
        <f>C213</f>
        <v>2600</v>
      </c>
      <c r="D230" s="527">
        <f>D213</f>
        <v>17361</v>
      </c>
      <c r="E230" s="527">
        <f>E213</f>
        <v>3980</v>
      </c>
      <c r="F230" s="527">
        <f>F213</f>
        <v>4678</v>
      </c>
      <c r="G230" s="527">
        <f>G213</f>
        <v>3664</v>
      </c>
      <c r="H230" s="527">
        <f>H213</f>
        <v>1594</v>
      </c>
      <c r="I230" s="527">
        <f>I213</f>
        <v>0</v>
      </c>
      <c r="J230" s="527">
        <f>J213</f>
        <v>0</v>
      </c>
      <c r="K230" s="527">
        <f>K213</f>
        <v>0</v>
      </c>
      <c r="L230" s="527">
        <f>L213</f>
        <v>0</v>
      </c>
      <c r="M230" s="527">
        <f>M213</f>
        <v>0</v>
      </c>
      <c r="N230" s="527">
        <f>N213</f>
        <v>0</v>
      </c>
      <c r="O230" s="527">
        <f>O213</f>
        <v>133</v>
      </c>
      <c r="P230" s="527">
        <f>P213</f>
        <v>20</v>
      </c>
      <c r="Q230" s="527">
        <f>Q213</f>
        <v>195</v>
      </c>
      <c r="R230" s="527">
        <f>R213</f>
        <v>50</v>
      </c>
      <c r="S230" s="527">
        <f>S213</f>
        <v>107</v>
      </c>
      <c r="T230" s="527">
        <f>T213</f>
        <v>0</v>
      </c>
      <c r="U230" s="527">
        <f>U213</f>
        <v>135</v>
      </c>
      <c r="V230" s="70">
        <f t="shared" si="19"/>
        <v>39342</v>
      </c>
    </row>
    <row r="231" spans="1:22">
      <c r="A231" s="145" t="s">
        <v>243</v>
      </c>
      <c r="B231" s="528">
        <f>B214</f>
        <v>17134</v>
      </c>
      <c r="C231" s="528">
        <f>C214</f>
        <v>784</v>
      </c>
      <c r="D231" s="528">
        <f>D214</f>
        <v>0</v>
      </c>
      <c r="E231" s="528">
        <f>E214</f>
        <v>0</v>
      </c>
      <c r="F231" s="528">
        <f>F214</f>
        <v>450</v>
      </c>
      <c r="G231" s="528">
        <f>G214</f>
        <v>5795</v>
      </c>
      <c r="H231" s="528">
        <f>H214</f>
        <v>1695</v>
      </c>
      <c r="I231" s="528">
        <f>I214</f>
        <v>0</v>
      </c>
      <c r="J231" s="528">
        <f>J214</f>
        <v>0</v>
      </c>
      <c r="K231" s="528">
        <f>K214</f>
        <v>0</v>
      </c>
      <c r="L231" s="528">
        <f>L214</f>
        <v>0</v>
      </c>
      <c r="M231" s="528">
        <f>M214</f>
        <v>0</v>
      </c>
      <c r="N231" s="528">
        <f>N214</f>
        <v>0</v>
      </c>
      <c r="O231" s="528">
        <f>O214</f>
        <v>0</v>
      </c>
      <c r="P231" s="528">
        <f>P214</f>
        <v>0</v>
      </c>
      <c r="Q231" s="528">
        <f>Q214</f>
        <v>0</v>
      </c>
      <c r="R231" s="528">
        <f>R214</f>
        <v>0</v>
      </c>
      <c r="S231" s="528">
        <f>S214</f>
        <v>0</v>
      </c>
      <c r="T231" s="528">
        <f>T214</f>
        <v>0</v>
      </c>
      <c r="U231" s="528">
        <f>U214</f>
        <v>0</v>
      </c>
      <c r="V231" s="70">
        <f t="shared" si="19"/>
        <v>25858</v>
      </c>
    </row>
    <row r="232" spans="1:22">
      <c r="B232" s="215"/>
      <c r="C232" s="215"/>
      <c r="D232" s="215"/>
      <c r="E232" s="215"/>
      <c r="F232" s="215"/>
      <c r="G232" s="215"/>
      <c r="H232" s="215"/>
      <c r="I232" s="215"/>
      <c r="J232" s="215"/>
      <c r="K232" s="215"/>
      <c r="L232" s="215"/>
      <c r="M232" s="215"/>
      <c r="N232" s="215"/>
      <c r="O232" s="215"/>
      <c r="P232" s="215"/>
      <c r="Q232" s="215"/>
      <c r="R232" s="215"/>
      <c r="S232" s="215"/>
      <c r="T232" s="215"/>
      <c r="U232" s="215"/>
      <c r="V232" s="70">
        <f>SUM(V220:V231)</f>
        <v>1778626</v>
      </c>
    </row>
    <row r="233" spans="1:22">
      <c r="B233" s="215"/>
      <c r="C233" s="215"/>
      <c r="D233" s="215"/>
      <c r="E233" s="215"/>
      <c r="F233" s="215"/>
      <c r="G233" s="215"/>
      <c r="H233" s="215"/>
      <c r="I233" s="215"/>
      <c r="J233" s="215"/>
      <c r="K233" s="215"/>
      <c r="L233" s="215"/>
      <c r="M233" s="215"/>
      <c r="N233" s="215"/>
      <c r="O233" s="215"/>
      <c r="P233" s="215"/>
      <c r="Q233" s="215"/>
      <c r="R233" s="215"/>
      <c r="S233" s="215"/>
      <c r="T233" s="215"/>
      <c r="U233" s="215"/>
    </row>
    <row r="234" spans="1:22">
      <c r="B234" s="215"/>
      <c r="C234" s="215"/>
      <c r="D234" s="215"/>
      <c r="E234" s="215"/>
      <c r="F234" s="215"/>
      <c r="G234" s="215"/>
      <c r="H234" s="215"/>
      <c r="I234" s="215"/>
      <c r="J234" s="215"/>
      <c r="K234" s="215"/>
      <c r="L234" s="215"/>
      <c r="M234" s="215"/>
      <c r="N234" s="215"/>
      <c r="O234" s="215"/>
      <c r="P234" s="215"/>
      <c r="Q234" s="215"/>
      <c r="R234" s="215"/>
      <c r="S234" s="215"/>
      <c r="T234" s="215"/>
      <c r="U234" s="215"/>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opLeftCell="B18" zoomScaleNormal="100" workbookViewId="0">
      <selection activeCell="L36" sqref="L36"/>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12"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12"/>
      <c r="B2" s="60" t="s">
        <v>617</v>
      </c>
      <c r="C2" s="54"/>
      <c r="D2" s="54"/>
      <c r="E2" s="54"/>
      <c r="F2" s="54"/>
      <c r="G2" s="54"/>
      <c r="H2" s="54"/>
      <c r="I2" s="54"/>
      <c r="J2" s="54"/>
      <c r="K2" s="54"/>
      <c r="L2" s="54"/>
      <c r="M2" s="54"/>
      <c r="N2" s="54"/>
      <c r="O2" s="54"/>
      <c r="P2" s="54"/>
      <c r="Q2" s="54"/>
      <c r="R2" s="54"/>
      <c r="S2" s="54"/>
      <c r="T2" s="54"/>
      <c r="U2" s="54"/>
      <c r="V2" s="54"/>
      <c r="W2" s="54"/>
    </row>
    <row r="3" spans="1:28" s="20" customFormat="1" ht="16.2">
      <c r="A3" s="712"/>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12"/>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15" t="s">
        <v>217</v>
      </c>
      <c r="B6" s="337" t="s">
        <v>225</v>
      </c>
      <c r="C6" s="724"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11"/>
      <c r="B7" s="20" t="s">
        <v>71</v>
      </c>
      <c r="C7" s="725"/>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16"/>
      <c r="B8" s="339" t="s">
        <v>268</v>
      </c>
      <c r="C8" s="726"/>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15" t="s">
        <v>322</v>
      </c>
      <c r="B9" s="20" t="s">
        <v>225</v>
      </c>
      <c r="C9" s="724"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11"/>
      <c r="B10" s="110" t="s">
        <v>71</v>
      </c>
      <c r="C10" s="725"/>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11"/>
      <c r="B11" s="110" t="s">
        <v>268</v>
      </c>
      <c r="C11" s="725"/>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11"/>
      <c r="B12" s="53" t="s">
        <v>35</v>
      </c>
      <c r="C12" s="725"/>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16"/>
      <c r="B13" s="341" t="s">
        <v>270</v>
      </c>
      <c r="C13" s="726"/>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11" t="s">
        <v>216</v>
      </c>
      <c r="B14" s="53" t="s">
        <v>271</v>
      </c>
      <c r="C14" s="721"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11"/>
      <c r="B15" s="53" t="s">
        <v>272</v>
      </c>
      <c r="C15" s="722"/>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11"/>
      <c r="B16" s="53" t="s">
        <v>273</v>
      </c>
      <c r="C16" s="722"/>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11"/>
      <c r="B17" s="53" t="s">
        <v>274</v>
      </c>
      <c r="C17" s="722"/>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11"/>
      <c r="B18" s="53" t="s">
        <v>224</v>
      </c>
      <c r="C18" s="722"/>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11"/>
      <c r="B19" s="53" t="s">
        <v>275</v>
      </c>
      <c r="C19" s="722"/>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11"/>
      <c r="B20" s="53" t="s">
        <v>35</v>
      </c>
      <c r="C20" s="722"/>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11"/>
      <c r="B21" s="53" t="s">
        <v>276</v>
      </c>
      <c r="C21" s="722"/>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723"/>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17"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718"/>
      <c r="B24" s="725"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718"/>
      <c r="B25" s="725"/>
      <c r="C25" s="579" t="s">
        <v>321</v>
      </c>
      <c r="D25" s="539">
        <f>D20*$X$9/$X$20</f>
        <v>150.80881990854729</v>
      </c>
      <c r="E25" s="539">
        <f t="shared" ref="E25:J25" si="9">E20*$X$9/$X$20</f>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718"/>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583</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655</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19"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720"/>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719"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720"/>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720"/>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720"/>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720"/>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720"/>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15"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11"/>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11"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16"/>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13" t="s">
        <v>351</v>
      </c>
      <c r="B71" s="37" t="s">
        <v>271</v>
      </c>
      <c r="C71" s="714"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13"/>
      <c r="B72" s="37" t="s">
        <v>272</v>
      </c>
      <c r="C72" s="714"/>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13"/>
      <c r="B73" s="37" t="s">
        <v>275</v>
      </c>
      <c r="C73" s="714"/>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13" t="s">
        <v>352</v>
      </c>
      <c r="B74" s="37" t="s">
        <v>271</v>
      </c>
      <c r="C74" s="714"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13"/>
      <c r="B75" s="37" t="s">
        <v>272</v>
      </c>
      <c r="C75" s="714"/>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13"/>
      <c r="B76" s="37" t="s">
        <v>275</v>
      </c>
      <c r="C76" s="714"/>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9:A13"/>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581</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28" t="s">
        <v>143</v>
      </c>
      <c r="C2" s="728"/>
      <c r="D2" s="728"/>
      <c r="E2" s="728"/>
      <c r="F2" s="728"/>
      <c r="G2" s="728"/>
      <c r="H2" s="728"/>
      <c r="I2" s="728"/>
      <c r="J2" s="728"/>
      <c r="K2" s="21"/>
      <c r="L2" s="76"/>
      <c r="M2" s="728" t="s">
        <v>144</v>
      </c>
      <c r="N2" s="728"/>
      <c r="O2" s="728"/>
      <c r="P2" s="728"/>
      <c r="Q2" s="728"/>
      <c r="R2" s="728"/>
      <c r="S2" s="728"/>
      <c r="T2" s="728"/>
      <c r="U2" s="728"/>
      <c r="V2" s="728"/>
      <c r="W2" s="728"/>
      <c r="X2" s="728"/>
      <c r="Y2" s="728"/>
      <c r="Z2" s="728"/>
      <c r="AA2" s="728"/>
      <c r="AB2" s="728"/>
      <c r="AC2" s="728"/>
      <c r="AD2" s="728"/>
      <c r="AE2" s="728"/>
      <c r="AF2" s="728"/>
      <c r="AG2" s="728"/>
      <c r="AH2" s="76"/>
      <c r="AI2" s="728" t="s">
        <v>145</v>
      </c>
      <c r="AJ2" s="728"/>
      <c r="AK2" s="728"/>
      <c r="AL2" s="728"/>
      <c r="AM2" s="728"/>
      <c r="AN2" s="728"/>
      <c r="AO2" s="728"/>
      <c r="AP2" s="728"/>
      <c r="AQ2" s="728"/>
      <c r="AR2" s="728"/>
      <c r="AS2" s="728"/>
      <c r="AT2" s="728"/>
      <c r="AU2" s="76"/>
      <c r="AV2" s="728" t="s">
        <v>146</v>
      </c>
      <c r="AW2" s="728"/>
      <c r="AX2" s="728"/>
      <c r="AY2" s="728"/>
      <c r="AZ2" s="728"/>
      <c r="BA2" s="728"/>
      <c r="BB2" s="728"/>
      <c r="BC2" s="728"/>
      <c r="BD2" s="728"/>
      <c r="BE2" s="79"/>
    </row>
    <row r="3" spans="1:57">
      <c r="A3" s="40"/>
      <c r="B3" s="728" t="s">
        <v>147</v>
      </c>
      <c r="C3" s="728"/>
      <c r="D3" s="728"/>
      <c r="E3" s="728" t="s">
        <v>148</v>
      </c>
      <c r="F3" s="728"/>
      <c r="G3" s="728"/>
      <c r="H3" s="728" t="s">
        <v>35</v>
      </c>
      <c r="I3" s="728"/>
      <c r="J3" s="728"/>
      <c r="K3" s="21"/>
      <c r="L3" s="76"/>
      <c r="M3" s="728" t="s">
        <v>149</v>
      </c>
      <c r="N3" s="728"/>
      <c r="O3" s="728"/>
      <c r="P3" s="728" t="s">
        <v>150</v>
      </c>
      <c r="Q3" s="728"/>
      <c r="R3" s="728"/>
      <c r="S3" s="728" t="s">
        <v>151</v>
      </c>
      <c r="T3" s="728"/>
      <c r="U3" s="728"/>
      <c r="V3" s="728" t="s">
        <v>152</v>
      </c>
      <c r="W3" s="728"/>
      <c r="X3" s="728"/>
      <c r="Y3" s="728" t="s">
        <v>153</v>
      </c>
      <c r="Z3" s="728"/>
      <c r="AA3" s="728"/>
      <c r="AB3" s="728" t="s">
        <v>154</v>
      </c>
      <c r="AC3" s="728"/>
      <c r="AD3" s="728"/>
      <c r="AE3" s="728" t="s">
        <v>35</v>
      </c>
      <c r="AF3" s="728"/>
      <c r="AG3" s="728"/>
      <c r="AH3" s="76"/>
      <c r="AI3" s="728" t="s">
        <v>155</v>
      </c>
      <c r="AJ3" s="728"/>
      <c r="AK3" s="728"/>
      <c r="AL3" s="728" t="s">
        <v>156</v>
      </c>
      <c r="AM3" s="728"/>
      <c r="AN3" s="728"/>
      <c r="AO3" s="728" t="s">
        <v>157</v>
      </c>
      <c r="AP3" s="728"/>
      <c r="AQ3" s="728"/>
      <c r="AR3" s="728" t="s">
        <v>35</v>
      </c>
      <c r="AS3" s="728"/>
      <c r="AT3" s="728"/>
      <c r="AU3" s="76"/>
      <c r="AV3" s="728" t="s">
        <v>158</v>
      </c>
      <c r="AW3" s="728"/>
      <c r="AX3" s="728"/>
      <c r="AY3" s="728" t="s">
        <v>159</v>
      </c>
      <c r="AZ3" s="728"/>
      <c r="BA3" s="728"/>
      <c r="BB3" s="728" t="s">
        <v>35</v>
      </c>
      <c r="BC3" s="728"/>
      <c r="BD3" s="728"/>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729">
        <v>2030</v>
      </c>
      <c r="D29" s="729"/>
      <c r="E29" s="729"/>
      <c r="F29" s="729"/>
      <c r="G29" s="729">
        <v>2040</v>
      </c>
      <c r="H29" s="729"/>
      <c r="I29" s="729"/>
      <c r="J29" s="729"/>
      <c r="K29" s="729">
        <v>2050</v>
      </c>
      <c r="L29" s="729"/>
      <c r="M29" s="729"/>
      <c r="N29" s="729"/>
      <c r="O29" s="729">
        <v>2035</v>
      </c>
      <c r="P29" s="729"/>
      <c r="Q29" s="729"/>
      <c r="R29" s="729"/>
      <c r="S29" s="730" t="s">
        <v>302</v>
      </c>
      <c r="T29" s="730"/>
      <c r="U29" s="729">
        <v>2030</v>
      </c>
      <c r="V29" s="729"/>
      <c r="W29" s="729"/>
      <c r="X29" s="729"/>
      <c r="Y29" s="729">
        <v>2040</v>
      </c>
      <c r="Z29" s="729"/>
      <c r="AA29" s="729"/>
      <c r="AB29" s="729"/>
      <c r="AC29" s="729">
        <v>2050</v>
      </c>
      <c r="AD29" s="729"/>
      <c r="AE29" s="729"/>
      <c r="AF29" s="729"/>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31"/>
      <c r="T30" s="731"/>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27" t="s">
        <v>303</v>
      </c>
      <c r="B64" s="727"/>
      <c r="C64" s="727"/>
      <c r="D64" s="727"/>
      <c r="E64" s="727"/>
      <c r="F64" s="727"/>
      <c r="G64" s="727"/>
      <c r="I64" s="727" t="s">
        <v>298</v>
      </c>
      <c r="J64" s="727"/>
      <c r="K64" s="727"/>
      <c r="L64" s="727"/>
      <c r="M64" s="727"/>
      <c r="N64" s="727"/>
      <c r="P64" s="37" t="s">
        <v>310</v>
      </c>
    </row>
    <row r="65" spans="1:56" ht="16.2">
      <c r="A65" s="77"/>
      <c r="B65" s="727" t="s">
        <v>309</v>
      </c>
      <c r="C65" s="727"/>
      <c r="D65" s="727"/>
      <c r="E65" s="727" t="s">
        <v>297</v>
      </c>
      <c r="F65" s="727"/>
      <c r="G65" s="727"/>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27" t="s">
        <v>308</v>
      </c>
      <c r="B79" s="727"/>
      <c r="C79" s="728" t="s">
        <v>313</v>
      </c>
      <c r="D79" s="728"/>
      <c r="E79" s="728"/>
      <c r="F79" s="728"/>
      <c r="G79" s="728"/>
      <c r="H79" s="728"/>
      <c r="J79" s="727" t="s">
        <v>937</v>
      </c>
      <c r="K79" s="727"/>
      <c r="L79" s="727"/>
      <c r="N79" s="727" t="s">
        <v>298</v>
      </c>
      <c r="O79" s="727"/>
      <c r="P79" s="727"/>
      <c r="Q79" s="727"/>
      <c r="R79" s="727"/>
      <c r="S79" s="727"/>
      <c r="T79" s="727"/>
      <c r="V79" s="727" t="s">
        <v>939</v>
      </c>
      <c r="W79" s="727"/>
      <c r="Y79" s="37" t="s">
        <v>865</v>
      </c>
    </row>
    <row r="80" spans="1:56">
      <c r="A80" s="3" t="s">
        <v>110</v>
      </c>
      <c r="B80" s="184">
        <v>410</v>
      </c>
      <c r="C80" s="77"/>
      <c r="D80" s="727" t="s">
        <v>148</v>
      </c>
      <c r="E80" s="727"/>
      <c r="F80" s="727" t="s">
        <v>147</v>
      </c>
      <c r="G80" s="727"/>
      <c r="H80" s="77" t="s">
        <v>35</v>
      </c>
      <c r="J80" s="77"/>
      <c r="K80" s="77" t="s">
        <v>262</v>
      </c>
      <c r="L80" s="692" t="s">
        <v>316</v>
      </c>
      <c r="N80" s="77"/>
      <c r="O80" s="77"/>
      <c r="P80" s="80">
        <v>2022</v>
      </c>
      <c r="Q80" s="80" t="s">
        <v>312</v>
      </c>
      <c r="R80" s="77" t="s">
        <v>313</v>
      </c>
      <c r="S80" s="40" t="s">
        <v>299</v>
      </c>
      <c r="T80" s="40">
        <v>2026</v>
      </c>
      <c r="V80" s="19" t="s">
        <v>107</v>
      </c>
      <c r="W80" s="527">
        <f>K81</f>
        <v>75895.78</v>
      </c>
      <c r="Y80" s="37" t="s">
        <v>582</v>
      </c>
    </row>
    <row r="81" spans="1:25">
      <c r="A81" s="3" t="s">
        <v>112</v>
      </c>
      <c r="B81" s="184">
        <v>500</v>
      </c>
      <c r="C81" s="40"/>
      <c r="D81" s="80">
        <v>2030</v>
      </c>
      <c r="E81" s="80">
        <v>2040</v>
      </c>
      <c r="F81" s="80">
        <v>2030</v>
      </c>
      <c r="G81" s="80">
        <v>2040</v>
      </c>
      <c r="H81" s="80">
        <v>2035</v>
      </c>
      <c r="J81" s="19" t="s">
        <v>107</v>
      </c>
      <c r="K81" s="215">
        <v>75895.78</v>
      </c>
      <c r="L81" s="693">
        <v>2.25</v>
      </c>
      <c r="N81" s="19" t="s">
        <v>38</v>
      </c>
      <c r="O81" s="19"/>
      <c r="P81" s="694">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693"/>
      <c r="N82" s="19" t="s">
        <v>39</v>
      </c>
      <c r="O82" s="19"/>
      <c r="P82" s="694">
        <f t="shared" si="41"/>
        <v>2023.011073701919</v>
      </c>
      <c r="Q82" s="184">
        <v>10776.999999999998</v>
      </c>
      <c r="R82" s="303">
        <f>H84</f>
        <v>10777</v>
      </c>
      <c r="S82" s="184">
        <f t="shared" si="42"/>
        <v>3360</v>
      </c>
      <c r="T82" s="215">
        <f t="shared" ref="T82:T87" si="43">K82</f>
        <v>0</v>
      </c>
      <c r="V82" s="19" t="s">
        <v>110</v>
      </c>
      <c r="W82" s="527">
        <f t="shared" ref="W82:W99" si="44">K83</f>
        <v>26940.16</v>
      </c>
      <c r="Y82" s="37" t="s">
        <v>938</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693">
        <v>1.77</v>
      </c>
      <c r="N83" s="19" t="s">
        <v>75</v>
      </c>
      <c r="O83" s="19"/>
      <c r="P83" s="694">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693">
        <v>2.23</v>
      </c>
      <c r="N84" s="19" t="s">
        <v>41</v>
      </c>
      <c r="O84" s="19"/>
      <c r="P84" s="694">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693">
        <v>4.42</v>
      </c>
      <c r="N85" s="19" t="s">
        <v>42</v>
      </c>
      <c r="O85" s="19"/>
      <c r="P85" s="694">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694">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694">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694">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694">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694">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694">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B65:D65"/>
    <mergeCell ref="E65:G65"/>
    <mergeCell ref="U29:X29"/>
    <mergeCell ref="Y29:AB29"/>
    <mergeCell ref="S29:T30"/>
    <mergeCell ref="I64:N64"/>
    <mergeCell ref="A64:G64"/>
    <mergeCell ref="B2:J2"/>
    <mergeCell ref="M2:AG2"/>
    <mergeCell ref="M3:O3"/>
    <mergeCell ref="P3:R3"/>
    <mergeCell ref="AE3:AG3"/>
    <mergeCell ref="S3:U3"/>
    <mergeCell ref="V3:X3"/>
    <mergeCell ref="Y3:AA3"/>
    <mergeCell ref="B3:D3"/>
    <mergeCell ref="E3:G3"/>
    <mergeCell ref="H3:J3"/>
    <mergeCell ref="AC29:AF29"/>
    <mergeCell ref="C29:F29"/>
    <mergeCell ref="G29:J29"/>
    <mergeCell ref="K29:N29"/>
    <mergeCell ref="O29:R29"/>
    <mergeCell ref="AV2:BD2"/>
    <mergeCell ref="AV3:AX3"/>
    <mergeCell ref="AY3:BA3"/>
    <mergeCell ref="BB3:BD3"/>
    <mergeCell ref="AB3:AD3"/>
    <mergeCell ref="AI2:AT2"/>
    <mergeCell ref="AI3:AK3"/>
    <mergeCell ref="AL3:AN3"/>
    <mergeCell ref="AO3:AQ3"/>
    <mergeCell ref="AR3:AT3"/>
    <mergeCell ref="F80:G80"/>
    <mergeCell ref="D80:E80"/>
    <mergeCell ref="C79:H79"/>
    <mergeCell ref="V79:W79"/>
    <mergeCell ref="A79:B79"/>
    <mergeCell ref="J79:L79"/>
    <mergeCell ref="N79:T79"/>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734" t="s">
        <v>503</v>
      </c>
      <c r="B1" s="734"/>
      <c r="C1" s="734" t="s">
        <v>866</v>
      </c>
      <c r="D1" s="734"/>
      <c r="E1" s="734"/>
      <c r="F1" s="734"/>
      <c r="G1" s="734"/>
      <c r="H1" s="734"/>
      <c r="I1" s="734"/>
      <c r="J1" s="734"/>
      <c r="K1" s="734"/>
      <c r="L1" s="734"/>
      <c r="M1" s="734"/>
      <c r="N1" s="734"/>
      <c r="O1" s="734"/>
      <c r="P1" s="734"/>
      <c r="Q1" s="734"/>
      <c r="R1" s="734"/>
      <c r="S1" s="734"/>
      <c r="T1" s="734"/>
      <c r="U1" s="734"/>
      <c r="V1" s="734"/>
      <c r="W1" s="734"/>
      <c r="X1" s="734"/>
    </row>
    <row r="2" spans="1:31">
      <c r="A2" s="734"/>
      <c r="B2" s="734"/>
      <c r="C2" s="734" t="s">
        <v>867</v>
      </c>
      <c r="D2" s="734"/>
      <c r="E2" s="734"/>
      <c r="F2" s="734"/>
      <c r="G2" s="734"/>
      <c r="H2" s="734"/>
      <c r="I2" s="734"/>
      <c r="J2" s="734"/>
      <c r="K2" s="734"/>
      <c r="L2" s="734"/>
      <c r="M2" s="734"/>
      <c r="N2" s="734"/>
      <c r="O2" s="734"/>
      <c r="P2" s="734"/>
      <c r="Q2" s="734"/>
      <c r="R2" s="734"/>
      <c r="S2" s="734"/>
      <c r="T2" s="734"/>
      <c r="U2" s="734"/>
      <c r="V2" s="734"/>
      <c r="W2" s="734"/>
      <c r="X2" s="734"/>
    </row>
    <row r="3" spans="1:31" ht="15" customHeight="1">
      <c r="A3" s="736" t="s">
        <v>167</v>
      </c>
      <c r="B3" s="736"/>
      <c r="C3" s="736" t="s">
        <v>168</v>
      </c>
      <c r="D3" s="736"/>
      <c r="E3" s="736"/>
      <c r="F3" s="736"/>
      <c r="G3" s="736"/>
      <c r="H3" s="736"/>
      <c r="I3" s="736"/>
      <c r="J3" s="736"/>
      <c r="K3" s="736"/>
      <c r="L3" s="736"/>
      <c r="M3" s="736"/>
      <c r="N3" s="736"/>
      <c r="O3" s="736"/>
      <c r="P3" s="736"/>
      <c r="Q3" s="736"/>
      <c r="R3" s="736"/>
      <c r="S3" s="736"/>
      <c r="T3" s="736"/>
      <c r="U3" s="736"/>
      <c r="V3" s="736"/>
      <c r="W3" s="736"/>
      <c r="X3" s="736"/>
    </row>
    <row r="4" spans="1:31">
      <c r="A4" s="735" t="s">
        <v>584</v>
      </c>
      <c r="B4" s="735"/>
      <c r="C4" s="737" t="s">
        <v>585</v>
      </c>
      <c r="D4" s="737"/>
      <c r="E4" s="737"/>
      <c r="F4" s="737"/>
      <c r="G4" s="737"/>
      <c r="H4" s="737"/>
      <c r="I4" s="737"/>
      <c r="J4" s="737"/>
      <c r="K4" s="737"/>
      <c r="L4" s="737"/>
      <c r="M4" s="737"/>
      <c r="N4" s="737"/>
      <c r="O4" s="737"/>
      <c r="P4" s="737"/>
      <c r="Q4" s="737"/>
      <c r="R4" s="737"/>
      <c r="S4" s="737"/>
      <c r="T4" s="737"/>
      <c r="U4" s="737"/>
      <c r="V4" s="737"/>
      <c r="W4" s="737"/>
      <c r="X4" s="737"/>
    </row>
    <row r="5" spans="1:31" ht="120.75" customHeight="1">
      <c r="A5" s="738" t="s">
        <v>169</v>
      </c>
      <c r="B5" s="738"/>
      <c r="C5" s="738" t="s">
        <v>508</v>
      </c>
      <c r="D5" s="738"/>
      <c r="E5" s="738"/>
      <c r="F5" s="738"/>
      <c r="G5" s="738"/>
      <c r="H5" s="738"/>
      <c r="I5" s="738"/>
      <c r="J5" s="738"/>
      <c r="K5" s="738"/>
      <c r="L5" s="738"/>
      <c r="M5" s="738"/>
      <c r="N5" s="738"/>
      <c r="O5" s="738"/>
      <c r="P5" s="738"/>
      <c r="Q5" s="738"/>
      <c r="R5" s="738"/>
      <c r="S5" s="738"/>
      <c r="T5" s="738"/>
      <c r="U5" s="738"/>
      <c r="V5" s="738"/>
      <c r="W5" s="738"/>
      <c r="X5" s="738"/>
    </row>
    <row r="6" spans="1:31">
      <c r="A6" s="739" t="s">
        <v>488</v>
      </c>
      <c r="B6" s="739"/>
      <c r="C6" s="738" t="s">
        <v>586</v>
      </c>
      <c r="D6" s="738"/>
      <c r="E6" s="738"/>
      <c r="F6" s="738"/>
      <c r="G6" s="738"/>
      <c r="H6" s="738"/>
      <c r="I6" s="738"/>
      <c r="J6" s="738"/>
      <c r="K6" s="738"/>
      <c r="L6" s="738"/>
      <c r="M6" s="738"/>
      <c r="N6" s="738"/>
      <c r="O6" s="738"/>
      <c r="P6" s="738"/>
      <c r="Q6" s="738"/>
      <c r="R6" s="738"/>
      <c r="S6" s="738"/>
      <c r="T6" s="738"/>
      <c r="U6" s="738"/>
      <c r="V6" s="738"/>
      <c r="W6" s="738"/>
      <c r="X6" s="738"/>
    </row>
    <row r="7" spans="1:31">
      <c r="A7" s="739"/>
      <c r="B7" s="739"/>
      <c r="C7" s="738" t="s">
        <v>492</v>
      </c>
      <c r="D7" s="738"/>
      <c r="E7" s="738"/>
      <c r="F7" s="738"/>
      <c r="G7" s="738"/>
      <c r="H7" s="738"/>
      <c r="I7" s="738"/>
      <c r="J7" s="738"/>
      <c r="K7" s="738"/>
      <c r="L7" s="738"/>
      <c r="M7" s="738"/>
      <c r="N7" s="738"/>
      <c r="O7" s="738"/>
      <c r="P7" s="738"/>
      <c r="Q7" s="738"/>
      <c r="R7" s="738"/>
      <c r="S7" s="738"/>
      <c r="T7" s="738"/>
      <c r="U7" s="738"/>
      <c r="V7" s="738"/>
      <c r="W7" s="738"/>
      <c r="X7" s="738"/>
    </row>
    <row r="9" spans="1:31">
      <c r="A9" s="727" t="s">
        <v>839</v>
      </c>
      <c r="B9" s="727"/>
      <c r="C9" s="727"/>
      <c r="D9" s="727"/>
      <c r="E9" s="727"/>
      <c r="F9" s="727"/>
      <c r="G9" s="727"/>
      <c r="H9" s="727"/>
      <c r="I9" s="727"/>
      <c r="J9" s="727"/>
      <c r="K9" s="727"/>
      <c r="L9" s="727"/>
      <c r="M9" s="727"/>
      <c r="N9" s="727"/>
      <c r="O9" s="727"/>
      <c r="P9" s="727"/>
      <c r="Q9" s="727"/>
      <c r="R9" s="727"/>
      <c r="S9" s="727"/>
      <c r="T9" s="727"/>
      <c r="U9" s="727"/>
      <c r="V9" s="727"/>
      <c r="W9" s="727"/>
      <c r="X9" s="727"/>
      <c r="Y9" s="727"/>
      <c r="Z9" s="727"/>
      <c r="AA9" s="77"/>
      <c r="AC9" s="727" t="s">
        <v>841</v>
      </c>
      <c r="AD9" s="727"/>
      <c r="AE9" s="727"/>
    </row>
    <row r="11" spans="1:31" ht="15" customHeight="1">
      <c r="A11" s="727" t="s">
        <v>498</v>
      </c>
      <c r="B11" s="727"/>
      <c r="C11" s="727"/>
      <c r="D11" s="727"/>
      <c r="E11" s="727"/>
      <c r="F11" s="727"/>
      <c r="G11" s="727"/>
      <c r="I11" s="77" t="s">
        <v>486</v>
      </c>
      <c r="J11" s="77"/>
      <c r="K11" s="77"/>
      <c r="L11" s="77"/>
      <c r="M11" s="77"/>
      <c r="N11" s="77"/>
      <c r="P11" s="727" t="s">
        <v>487</v>
      </c>
      <c r="Q11" s="727"/>
      <c r="R11" s="727"/>
      <c r="S11" s="727"/>
      <c r="U11" s="742" t="s">
        <v>678</v>
      </c>
      <c r="V11" s="742"/>
      <c r="W11" s="742"/>
      <c r="X11" s="742"/>
      <c r="AC11" s="741" t="s">
        <v>842</v>
      </c>
      <c r="AD11" s="741"/>
      <c r="AE11" s="741"/>
    </row>
    <row r="12" spans="1:31">
      <c r="A12" s="220"/>
      <c r="B12" s="220"/>
      <c r="C12" s="732" t="s">
        <v>170</v>
      </c>
      <c r="D12" s="732"/>
      <c r="E12" s="733" t="s">
        <v>171</v>
      </c>
      <c r="F12" s="733"/>
      <c r="G12" s="19"/>
      <c r="I12" s="220"/>
      <c r="J12" s="220"/>
      <c r="K12" s="219" t="s">
        <v>170</v>
      </c>
      <c r="L12" s="219"/>
      <c r="M12" s="271" t="s">
        <v>171</v>
      </c>
      <c r="N12" s="220"/>
      <c r="P12" s="19"/>
      <c r="Q12" s="19"/>
      <c r="R12" s="19"/>
      <c r="S12" s="19"/>
      <c r="U12" s="742"/>
      <c r="V12" s="742"/>
      <c r="W12" s="742"/>
      <c r="X12" s="742"/>
      <c r="AC12" s="741"/>
      <c r="AD12" s="741"/>
      <c r="AE12" s="741"/>
    </row>
    <row r="13" spans="1:31">
      <c r="A13" s="41" t="s">
        <v>172</v>
      </c>
      <c r="B13" s="41" t="s">
        <v>173</v>
      </c>
      <c r="C13" s="91" t="s">
        <v>174</v>
      </c>
      <c r="D13" s="91" t="s">
        <v>175</v>
      </c>
      <c r="E13" s="41" t="s">
        <v>174</v>
      </c>
      <c r="F13" s="41" t="s">
        <v>175</v>
      </c>
      <c r="G13" s="19" t="s">
        <v>944</v>
      </c>
      <c r="I13" s="41" t="s">
        <v>172</v>
      </c>
      <c r="J13" s="41" t="s">
        <v>173</v>
      </c>
      <c r="K13" s="91" t="s">
        <v>174</v>
      </c>
      <c r="L13" s="91" t="s">
        <v>175</v>
      </c>
      <c r="M13" s="41" t="s">
        <v>174</v>
      </c>
      <c r="N13" s="41" t="s">
        <v>175</v>
      </c>
      <c r="P13" s="19" t="s">
        <v>483</v>
      </c>
      <c r="Q13" s="19"/>
      <c r="R13" s="41" t="s">
        <v>174</v>
      </c>
      <c r="S13" s="41" t="s">
        <v>175</v>
      </c>
      <c r="U13" s="18" t="s">
        <v>677</v>
      </c>
      <c r="V13" s="18"/>
      <c r="W13" s="18" t="s">
        <v>453</v>
      </c>
      <c r="X13" s="18" t="s">
        <v>452</v>
      </c>
      <c r="AC13" s="700" t="s">
        <v>672</v>
      </c>
      <c r="AD13" s="700" t="s">
        <v>673</v>
      </c>
      <c r="AE13" s="701" t="s">
        <v>675</v>
      </c>
    </row>
    <row r="14" spans="1:31">
      <c r="A14" s="223" t="s">
        <v>178</v>
      </c>
      <c r="B14" s="224" t="s">
        <v>454</v>
      </c>
      <c r="C14" s="261"/>
      <c r="D14" s="261"/>
      <c r="E14" s="363">
        <v>400</v>
      </c>
      <c r="F14" s="363">
        <v>400</v>
      </c>
      <c r="G14" s="704"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708</v>
      </c>
      <c r="AD14" s="22" t="s">
        <v>665</v>
      </c>
      <c r="AE14" s="702">
        <v>6.6670000000000002E-3</v>
      </c>
    </row>
    <row r="15" spans="1:31">
      <c r="A15" s="223" t="s">
        <v>178</v>
      </c>
      <c r="B15" s="224" t="s">
        <v>180</v>
      </c>
      <c r="C15" s="261"/>
      <c r="D15" s="261"/>
      <c r="E15" s="363">
        <v>4800</v>
      </c>
      <c r="F15" s="363">
        <v>4800</v>
      </c>
      <c r="G15" s="704"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709</v>
      </c>
      <c r="AD15" s="22" t="s">
        <v>665</v>
      </c>
      <c r="AE15" s="702">
        <v>6.6670000000000002E-3</v>
      </c>
    </row>
    <row r="16" spans="1:31">
      <c r="A16" s="223" t="s">
        <v>178</v>
      </c>
      <c r="B16" s="224" t="s">
        <v>182</v>
      </c>
      <c r="C16" s="261"/>
      <c r="D16" s="261"/>
      <c r="E16" s="363">
        <v>1400</v>
      </c>
      <c r="F16" s="363">
        <v>1400</v>
      </c>
      <c r="G16" s="704"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710</v>
      </c>
      <c r="AD16" s="22" t="s">
        <v>665</v>
      </c>
      <c r="AE16" s="702">
        <v>6.6670000000000002E-3</v>
      </c>
    </row>
    <row r="17" spans="1:31">
      <c r="A17" s="223" t="s">
        <v>178</v>
      </c>
      <c r="B17" s="224" t="s">
        <v>455</v>
      </c>
      <c r="C17" s="261"/>
      <c r="D17" s="261"/>
      <c r="E17" s="363">
        <v>2000</v>
      </c>
      <c r="F17" s="363">
        <v>0</v>
      </c>
      <c r="G17" s="704"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711</v>
      </c>
      <c r="AD17" s="22" t="s">
        <v>665</v>
      </c>
      <c r="AE17" s="702">
        <v>6.6670000000000002E-3</v>
      </c>
    </row>
    <row r="18" spans="1:31">
      <c r="A18" s="79" t="s">
        <v>107</v>
      </c>
      <c r="B18" s="224" t="s">
        <v>456</v>
      </c>
      <c r="C18" s="218"/>
      <c r="D18" s="218"/>
      <c r="E18" s="363">
        <v>0</v>
      </c>
      <c r="F18" s="363">
        <v>3000</v>
      </c>
      <c r="G18" s="704"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712</v>
      </c>
      <c r="AD18" s="22" t="s">
        <v>665</v>
      </c>
      <c r="AE18" s="702">
        <v>9.5930000000000008E-3</v>
      </c>
    </row>
    <row r="19" spans="1:31">
      <c r="A19" s="223" t="s">
        <v>178</v>
      </c>
      <c r="B19" s="224" t="s">
        <v>184</v>
      </c>
      <c r="C19" s="261"/>
      <c r="D19" s="261"/>
      <c r="E19" s="363">
        <v>5000</v>
      </c>
      <c r="F19" s="363">
        <v>5000</v>
      </c>
      <c r="G19" s="704"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713</v>
      </c>
      <c r="AD19" s="22" t="s">
        <v>665</v>
      </c>
      <c r="AE19" s="702">
        <v>8.1300000000000001E-3</v>
      </c>
    </row>
    <row r="20" spans="1:31">
      <c r="A20" s="223" t="s">
        <v>178</v>
      </c>
      <c r="B20" s="224" t="s">
        <v>185</v>
      </c>
      <c r="C20" s="261"/>
      <c r="D20" s="261"/>
      <c r="E20" s="363">
        <v>1000</v>
      </c>
      <c r="F20" s="363">
        <v>1000</v>
      </c>
      <c r="G20" s="704"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714</v>
      </c>
      <c r="AD20" s="22" t="s">
        <v>665</v>
      </c>
      <c r="AE20" s="702">
        <v>6.6670000000000002E-3</v>
      </c>
    </row>
    <row r="21" spans="1:31">
      <c r="A21" s="223" t="s">
        <v>178</v>
      </c>
      <c r="B21" s="37" t="s">
        <v>186</v>
      </c>
      <c r="C21" s="261"/>
      <c r="D21" s="261"/>
      <c r="E21" s="363">
        <v>1315</v>
      </c>
      <c r="F21" s="363">
        <v>1315</v>
      </c>
      <c r="G21" s="704"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715</v>
      </c>
      <c r="AD21" s="22" t="s">
        <v>665</v>
      </c>
      <c r="AE21" s="702">
        <v>6.6670000000000002E-3</v>
      </c>
    </row>
    <row r="22" spans="1:31">
      <c r="A22" s="223" t="s">
        <v>454</v>
      </c>
      <c r="B22" s="224" t="s">
        <v>457</v>
      </c>
      <c r="C22" s="261"/>
      <c r="D22" s="261"/>
      <c r="E22" s="363">
        <v>400</v>
      </c>
      <c r="F22" s="363">
        <v>400</v>
      </c>
      <c r="G22" s="704"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716</v>
      </c>
      <c r="AD22" s="22" t="s">
        <v>665</v>
      </c>
      <c r="AE22" s="702">
        <v>6.6670000000000002E-3</v>
      </c>
    </row>
    <row r="23" spans="1:31">
      <c r="A23" s="223" t="s">
        <v>178</v>
      </c>
      <c r="B23" s="224" t="s">
        <v>458</v>
      </c>
      <c r="C23" s="261">
        <v>2000</v>
      </c>
      <c r="D23" s="261">
        <v>2000</v>
      </c>
      <c r="E23" s="215"/>
      <c r="F23" s="215"/>
      <c r="G23" s="704"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717</v>
      </c>
      <c r="AD23" s="22" t="s">
        <v>665</v>
      </c>
      <c r="AE23" s="702">
        <v>6.6670000000000002E-3</v>
      </c>
    </row>
    <row r="24" spans="1:31">
      <c r="A24" s="223" t="s">
        <v>178</v>
      </c>
      <c r="B24" s="37" t="s">
        <v>188</v>
      </c>
      <c r="C24" s="261"/>
      <c r="D24" s="261"/>
      <c r="E24" s="363">
        <v>600</v>
      </c>
      <c r="F24" s="363">
        <v>600</v>
      </c>
      <c r="G24" s="704"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718</v>
      </c>
      <c r="AD24" s="22" t="s">
        <v>665</v>
      </c>
      <c r="AE24" s="702">
        <v>6.6670000000000002E-3</v>
      </c>
    </row>
    <row r="25" spans="1:31">
      <c r="A25" s="223" t="s">
        <v>178</v>
      </c>
      <c r="B25" s="37" t="s">
        <v>189</v>
      </c>
      <c r="C25" s="261"/>
      <c r="D25" s="261"/>
      <c r="E25" s="363">
        <v>3500</v>
      </c>
      <c r="F25" s="363">
        <v>3500</v>
      </c>
      <c r="G25" s="704"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719</v>
      </c>
      <c r="AD25" s="22" t="s">
        <v>665</v>
      </c>
      <c r="AE25" s="702">
        <v>6.6670000000000002E-3</v>
      </c>
    </row>
    <row r="26" spans="1:31">
      <c r="A26" s="228" t="s">
        <v>178</v>
      </c>
      <c r="B26" s="229" t="s">
        <v>191</v>
      </c>
      <c r="C26" s="262"/>
      <c r="D26" s="262"/>
      <c r="E26" s="553">
        <v>1400</v>
      </c>
      <c r="F26" s="553">
        <v>1400</v>
      </c>
      <c r="G26" s="704"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720</v>
      </c>
      <c r="AD26" s="22" t="s">
        <v>665</v>
      </c>
      <c r="AE26" s="702">
        <v>9.7680000000000006E-3</v>
      </c>
    </row>
    <row r="27" spans="1:31">
      <c r="A27" s="223" t="s">
        <v>180</v>
      </c>
      <c r="B27" s="224" t="s">
        <v>182</v>
      </c>
      <c r="C27" s="261"/>
      <c r="D27" s="261"/>
      <c r="E27" s="363">
        <v>5600</v>
      </c>
      <c r="F27" s="363">
        <v>5600</v>
      </c>
      <c r="G27" s="704"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721</v>
      </c>
      <c r="AD27" s="22" t="s">
        <v>665</v>
      </c>
      <c r="AE27" s="702">
        <v>8.4419999999999999E-3</v>
      </c>
    </row>
    <row r="28" spans="1:31">
      <c r="A28" s="223" t="s">
        <v>180</v>
      </c>
      <c r="B28" s="224" t="s">
        <v>195</v>
      </c>
      <c r="C28" s="261"/>
      <c r="D28" s="261"/>
      <c r="E28" s="363">
        <v>5000</v>
      </c>
      <c r="F28" s="363">
        <v>5000</v>
      </c>
      <c r="G28" s="704"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722</v>
      </c>
      <c r="AD28" s="22" t="s">
        <v>665</v>
      </c>
      <c r="AE28" s="702">
        <v>6.6670000000000002E-3</v>
      </c>
    </row>
    <row r="29" spans="1:31">
      <c r="A29" s="223" t="s">
        <v>180</v>
      </c>
      <c r="B29" s="224" t="s">
        <v>185</v>
      </c>
      <c r="C29" s="261"/>
      <c r="D29" s="261"/>
      <c r="E29" s="363">
        <v>4300</v>
      </c>
      <c r="F29" s="363">
        <v>2800</v>
      </c>
      <c r="G29" s="704"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723</v>
      </c>
      <c r="AD29" s="22" t="s">
        <v>665</v>
      </c>
      <c r="AE29" s="702">
        <v>6.6670000000000002E-3</v>
      </c>
    </row>
    <row r="30" spans="1:31">
      <c r="A30" s="221" t="s">
        <v>182</v>
      </c>
      <c r="B30" s="222" t="s">
        <v>459</v>
      </c>
      <c r="C30" s="260"/>
      <c r="D30" s="260"/>
      <c r="E30" s="537">
        <v>450</v>
      </c>
      <c r="F30" s="537">
        <v>400</v>
      </c>
      <c r="G30" s="704"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724</v>
      </c>
      <c r="AD30" s="22" t="s">
        <v>665</v>
      </c>
      <c r="AE30" s="702">
        <v>8.3330000000000001E-3</v>
      </c>
    </row>
    <row r="31" spans="1:31">
      <c r="A31" s="223" t="s">
        <v>182</v>
      </c>
      <c r="B31" s="224" t="s">
        <v>184</v>
      </c>
      <c r="C31" s="261"/>
      <c r="D31" s="261"/>
      <c r="E31" s="215">
        <v>1000</v>
      </c>
      <c r="F31" s="215">
        <v>1000</v>
      </c>
      <c r="G31" s="704"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725</v>
      </c>
      <c r="AD31" s="22" t="s">
        <v>665</v>
      </c>
      <c r="AE31" s="702">
        <v>8.796E-3</v>
      </c>
    </row>
    <row r="32" spans="1:31">
      <c r="A32" s="223" t="s">
        <v>182</v>
      </c>
      <c r="B32" s="224" t="s">
        <v>460</v>
      </c>
      <c r="C32" s="261">
        <v>1800</v>
      </c>
      <c r="D32" s="261">
        <v>1800</v>
      </c>
      <c r="E32" s="215"/>
      <c r="F32" s="215"/>
      <c r="G32" s="704"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726</v>
      </c>
      <c r="AD32" s="22" t="s">
        <v>665</v>
      </c>
      <c r="AE32" s="702">
        <v>6.6670000000000002E-3</v>
      </c>
    </row>
    <row r="33" spans="1:31">
      <c r="A33" s="223" t="s">
        <v>182</v>
      </c>
      <c r="B33" s="224" t="s">
        <v>185</v>
      </c>
      <c r="C33" s="261"/>
      <c r="D33" s="261"/>
      <c r="E33" s="215">
        <v>1000</v>
      </c>
      <c r="F33" s="215">
        <v>1000</v>
      </c>
      <c r="G33" s="704" t="b">
        <f t="shared" si="4"/>
        <v>1</v>
      </c>
      <c r="I33" s="224" t="s">
        <v>464</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727</v>
      </c>
      <c r="AD33" s="22" t="s">
        <v>665</v>
      </c>
      <c r="AE33" s="702">
        <v>6.6670000000000002E-3</v>
      </c>
    </row>
    <row r="34" spans="1:31">
      <c r="A34" s="223" t="s">
        <v>182</v>
      </c>
      <c r="B34" s="224" t="s">
        <v>461</v>
      </c>
      <c r="C34" s="261">
        <v>1400</v>
      </c>
      <c r="D34" s="261">
        <v>1400</v>
      </c>
      <c r="E34" s="215"/>
      <c r="F34" s="215"/>
      <c r="G34" s="704"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728</v>
      </c>
      <c r="AD34" s="22" t="s">
        <v>665</v>
      </c>
      <c r="AE34" s="702">
        <v>6.6670000000000002E-3</v>
      </c>
    </row>
    <row r="35" spans="1:31">
      <c r="A35" s="79" t="s">
        <v>197</v>
      </c>
      <c r="B35" s="37" t="s">
        <v>189</v>
      </c>
      <c r="C35" s="218"/>
      <c r="D35" s="218"/>
      <c r="E35" s="215">
        <v>1400</v>
      </c>
      <c r="F35" s="215">
        <v>1400</v>
      </c>
      <c r="G35" s="704"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729</v>
      </c>
      <c r="AD35" s="22" t="s">
        <v>665</v>
      </c>
      <c r="AE35" s="702">
        <v>6.6670000000000002E-3</v>
      </c>
    </row>
    <row r="36" spans="1:31">
      <c r="A36" s="223" t="s">
        <v>182</v>
      </c>
      <c r="B36" s="224" t="s">
        <v>191</v>
      </c>
      <c r="C36" s="261"/>
      <c r="D36" s="261"/>
      <c r="E36" s="215">
        <v>1400</v>
      </c>
      <c r="F36" s="215">
        <v>1400</v>
      </c>
      <c r="G36" s="704"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730</v>
      </c>
      <c r="AD36" s="22" t="s">
        <v>665</v>
      </c>
      <c r="AE36" s="702">
        <v>6.6670000000000002E-3</v>
      </c>
    </row>
    <row r="37" spans="1:31">
      <c r="A37" s="221" t="s">
        <v>199</v>
      </c>
      <c r="B37" s="222" t="s">
        <v>456</v>
      </c>
      <c r="C37" s="260"/>
      <c r="D37" s="260"/>
      <c r="E37" s="536">
        <v>3000</v>
      </c>
      <c r="F37" s="536">
        <v>0</v>
      </c>
      <c r="G37" s="704"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731</v>
      </c>
      <c r="AD37" s="22" t="s">
        <v>665</v>
      </c>
      <c r="AE37" s="702">
        <v>6.6670000000000002E-3</v>
      </c>
    </row>
    <row r="38" spans="1:31">
      <c r="A38" s="223" t="s">
        <v>455</v>
      </c>
      <c r="B38" s="224" t="s">
        <v>199</v>
      </c>
      <c r="C38" s="261"/>
      <c r="D38" s="261"/>
      <c r="E38" s="363">
        <v>3000</v>
      </c>
      <c r="F38" s="363">
        <v>0</v>
      </c>
      <c r="G38" s="704"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732</v>
      </c>
      <c r="AD38" s="22" t="s">
        <v>665</v>
      </c>
      <c r="AE38" s="702">
        <v>6.6670000000000002E-3</v>
      </c>
    </row>
    <row r="39" spans="1:31">
      <c r="A39" s="223" t="s">
        <v>199</v>
      </c>
      <c r="B39" s="37" t="s">
        <v>186</v>
      </c>
      <c r="C39" s="261"/>
      <c r="D39" s="261"/>
      <c r="E39" s="363">
        <v>600</v>
      </c>
      <c r="F39" s="363">
        <v>600</v>
      </c>
      <c r="G39" s="704"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733</v>
      </c>
      <c r="AD39" s="22" t="s">
        <v>665</v>
      </c>
      <c r="AE39" s="702">
        <v>6.8729999999999998E-3</v>
      </c>
    </row>
    <row r="40" spans="1:31">
      <c r="A40" s="223" t="s">
        <v>199</v>
      </c>
      <c r="B40" s="224" t="s">
        <v>200</v>
      </c>
      <c r="C40" s="261"/>
      <c r="D40" s="261"/>
      <c r="E40" s="363">
        <v>0</v>
      </c>
      <c r="F40" s="363">
        <v>0</v>
      </c>
      <c r="G40" s="704"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734</v>
      </c>
      <c r="AD40" s="22" t="s">
        <v>665</v>
      </c>
      <c r="AE40" s="702">
        <v>6.6670000000000002E-3</v>
      </c>
    </row>
    <row r="41" spans="1:31">
      <c r="A41" s="228" t="s">
        <v>199</v>
      </c>
      <c r="B41" s="229" t="s">
        <v>201</v>
      </c>
      <c r="C41" s="262"/>
      <c r="D41" s="262"/>
      <c r="E41" s="553">
        <v>700</v>
      </c>
      <c r="F41" s="553">
        <v>700</v>
      </c>
      <c r="G41" s="704"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735</v>
      </c>
      <c r="AD41" s="22" t="s">
        <v>665</v>
      </c>
      <c r="AE41" s="702">
        <v>6.6670000000000002E-3</v>
      </c>
    </row>
    <row r="42" spans="1:31">
      <c r="A42" s="223" t="s">
        <v>184</v>
      </c>
      <c r="B42" s="224" t="s">
        <v>196</v>
      </c>
      <c r="C42" s="261">
        <v>2000</v>
      </c>
      <c r="D42" s="261">
        <v>2000</v>
      </c>
      <c r="E42" s="215"/>
      <c r="F42" s="215"/>
      <c r="G42" s="704"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736</v>
      </c>
      <c r="AD42" s="22" t="s">
        <v>665</v>
      </c>
      <c r="AE42" s="702">
        <v>6.6670000000000002E-3</v>
      </c>
    </row>
    <row r="43" spans="1:31">
      <c r="A43" s="223" t="s">
        <v>184</v>
      </c>
      <c r="B43" s="224" t="s">
        <v>185</v>
      </c>
      <c r="C43" s="261"/>
      <c r="D43" s="261"/>
      <c r="E43" s="215">
        <v>3400</v>
      </c>
      <c r="F43" s="215">
        <v>3400</v>
      </c>
      <c r="G43" s="704"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737</v>
      </c>
      <c r="AD43" s="22" t="s">
        <v>665</v>
      </c>
      <c r="AE43" s="702">
        <v>6.6670000000000002E-3</v>
      </c>
    </row>
    <row r="44" spans="1:31">
      <c r="A44" s="223" t="s">
        <v>202</v>
      </c>
      <c r="B44" s="224" t="s">
        <v>203</v>
      </c>
      <c r="C44" s="261"/>
      <c r="D44" s="261"/>
      <c r="E44" s="363">
        <v>700</v>
      </c>
      <c r="F44" s="363">
        <v>700</v>
      </c>
      <c r="G44" s="704"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738</v>
      </c>
      <c r="AD44" s="22" t="s">
        <v>665</v>
      </c>
      <c r="AE44" s="702">
        <v>6.6670000000000002E-3</v>
      </c>
    </row>
    <row r="45" spans="1:31">
      <c r="A45" s="223" t="s">
        <v>184</v>
      </c>
      <c r="B45" s="224" t="s">
        <v>191</v>
      </c>
      <c r="C45" s="261"/>
      <c r="D45" s="261"/>
      <c r="E45" s="215">
        <v>700</v>
      </c>
      <c r="F45" s="215">
        <v>700</v>
      </c>
      <c r="G45" s="704"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739</v>
      </c>
      <c r="AD45" s="22" t="s">
        <v>665</v>
      </c>
      <c r="AE45" s="702">
        <v>6.6670000000000002E-3</v>
      </c>
    </row>
    <row r="46" spans="1:31">
      <c r="A46" s="228" t="s">
        <v>184</v>
      </c>
      <c r="B46" s="229" t="s">
        <v>462</v>
      </c>
      <c r="C46" s="262">
        <v>0</v>
      </c>
      <c r="D46" s="262">
        <v>0</v>
      </c>
      <c r="E46" s="554"/>
      <c r="F46" s="554"/>
      <c r="G46" s="704"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740</v>
      </c>
      <c r="AD46" s="22" t="s">
        <v>665</v>
      </c>
      <c r="AE46" s="702">
        <v>6.6670000000000002E-3</v>
      </c>
    </row>
    <row r="47" spans="1:31">
      <c r="A47" s="223" t="s">
        <v>185</v>
      </c>
      <c r="B47" s="224" t="s">
        <v>461</v>
      </c>
      <c r="C47" s="261">
        <v>1400</v>
      </c>
      <c r="D47" s="261">
        <v>1400</v>
      </c>
      <c r="E47" s="215"/>
      <c r="F47" s="215"/>
      <c r="G47" s="704"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741</v>
      </c>
      <c r="AD47" s="22" t="s">
        <v>665</v>
      </c>
      <c r="AE47" s="702">
        <v>8.4030000000000007E-3</v>
      </c>
    </row>
    <row r="48" spans="1:31">
      <c r="A48" s="223" t="s">
        <v>461</v>
      </c>
      <c r="B48" s="224" t="s">
        <v>462</v>
      </c>
      <c r="C48" s="261">
        <v>0</v>
      </c>
      <c r="D48" s="261">
        <v>0</v>
      </c>
      <c r="E48" s="215"/>
      <c r="F48" s="215"/>
      <c r="G48" s="704"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742</v>
      </c>
      <c r="AD48" s="22" t="s">
        <v>665</v>
      </c>
      <c r="AE48" s="702">
        <v>6.6670000000000002E-3</v>
      </c>
    </row>
    <row r="49" spans="1:31">
      <c r="A49" s="221" t="s">
        <v>204</v>
      </c>
      <c r="B49" s="226" t="s">
        <v>205</v>
      </c>
      <c r="C49" s="260"/>
      <c r="D49" s="260"/>
      <c r="E49" s="536">
        <v>3300</v>
      </c>
      <c r="F49" s="536">
        <v>3300</v>
      </c>
      <c r="G49" s="704"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743</v>
      </c>
      <c r="AD49" s="22" t="s">
        <v>665</v>
      </c>
      <c r="AE49" s="702">
        <v>6.6670000000000002E-3</v>
      </c>
    </row>
    <row r="50" spans="1:31">
      <c r="A50" s="223" t="s">
        <v>206</v>
      </c>
      <c r="B50" s="37" t="s">
        <v>207</v>
      </c>
      <c r="C50" s="261"/>
      <c r="D50" s="261"/>
      <c r="E50" s="363">
        <v>7300</v>
      </c>
      <c r="F50" s="363">
        <v>7300</v>
      </c>
      <c r="G50" s="704"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744</v>
      </c>
      <c r="AD50" s="22" t="s">
        <v>665</v>
      </c>
      <c r="AE50" s="702">
        <v>6.6670000000000002E-3</v>
      </c>
    </row>
    <row r="51" spans="1:31">
      <c r="A51" s="223" t="s">
        <v>208</v>
      </c>
      <c r="B51" s="37" t="s">
        <v>186</v>
      </c>
      <c r="C51" s="261"/>
      <c r="D51" s="261"/>
      <c r="E51" s="363">
        <v>6200</v>
      </c>
      <c r="F51" s="363">
        <v>2800</v>
      </c>
      <c r="G51" s="704"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745</v>
      </c>
      <c r="AD51" s="22" t="s">
        <v>665</v>
      </c>
      <c r="AE51" s="702">
        <v>6.6670000000000002E-3</v>
      </c>
    </row>
    <row r="52" spans="1:31">
      <c r="A52" s="79" t="s">
        <v>186</v>
      </c>
      <c r="B52" s="224" t="s">
        <v>200</v>
      </c>
      <c r="C52" s="261"/>
      <c r="D52" s="261"/>
      <c r="E52" s="363">
        <v>1300</v>
      </c>
      <c r="F52" s="363">
        <v>1700</v>
      </c>
      <c r="G52" s="704"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746</v>
      </c>
      <c r="AD52" s="22" t="s">
        <v>665</v>
      </c>
      <c r="AE52" s="702">
        <v>6.6670000000000002E-3</v>
      </c>
    </row>
    <row r="53" spans="1:31">
      <c r="A53" s="79" t="s">
        <v>207</v>
      </c>
      <c r="B53" s="224" t="s">
        <v>203</v>
      </c>
      <c r="C53" s="261"/>
      <c r="D53" s="261"/>
      <c r="E53" s="363">
        <v>715</v>
      </c>
      <c r="F53" s="363">
        <v>715</v>
      </c>
      <c r="G53" s="704"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747</v>
      </c>
      <c r="AD53" s="372" t="s">
        <v>665</v>
      </c>
      <c r="AE53" s="703">
        <v>6.6670000000000002E-3</v>
      </c>
    </row>
    <row r="54" spans="1:31">
      <c r="A54" s="79" t="s">
        <v>209</v>
      </c>
      <c r="B54" s="224" t="s">
        <v>210</v>
      </c>
      <c r="C54" s="261"/>
      <c r="D54" s="261"/>
      <c r="E54" s="363">
        <v>2000</v>
      </c>
      <c r="F54" s="363">
        <v>2000</v>
      </c>
      <c r="G54" s="704"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04" t="b">
        <f t="shared" si="4"/>
        <v>1</v>
      </c>
    </row>
    <row r="56" spans="1:31">
      <c r="A56" s="79" t="s">
        <v>207</v>
      </c>
      <c r="B56" s="224" t="s">
        <v>210</v>
      </c>
      <c r="C56" s="261"/>
      <c r="D56" s="261"/>
      <c r="E56" s="363">
        <v>1200</v>
      </c>
      <c r="F56" s="363">
        <v>1200</v>
      </c>
      <c r="G56" s="704" t="b">
        <f t="shared" si="4"/>
        <v>1</v>
      </c>
    </row>
    <row r="57" spans="1:31">
      <c r="A57" s="79" t="s">
        <v>207</v>
      </c>
      <c r="B57" s="224" t="s">
        <v>191</v>
      </c>
      <c r="C57" s="261"/>
      <c r="D57" s="261"/>
      <c r="E57" s="363">
        <v>2095</v>
      </c>
      <c r="F57" s="363">
        <v>2145</v>
      </c>
      <c r="G57" s="704" t="b">
        <f t="shared" si="4"/>
        <v>0</v>
      </c>
    </row>
    <row r="58" spans="1:31">
      <c r="A58" s="79" t="s">
        <v>205</v>
      </c>
      <c r="B58" s="224" t="s">
        <v>211</v>
      </c>
      <c r="C58" s="261"/>
      <c r="D58" s="261"/>
      <c r="E58" s="363">
        <v>1000</v>
      </c>
      <c r="F58" s="363">
        <v>600</v>
      </c>
      <c r="G58" s="704" t="b">
        <f t="shared" si="4"/>
        <v>0</v>
      </c>
      <c r="H58" s="224"/>
      <c r="I58" s="224"/>
      <c r="J58" s="224"/>
      <c r="K58" s="224"/>
      <c r="L58" s="224"/>
    </row>
    <row r="59" spans="1:31">
      <c r="A59" s="79" t="s">
        <v>205</v>
      </c>
      <c r="B59" s="224" t="s">
        <v>212</v>
      </c>
      <c r="C59" s="261"/>
      <c r="D59" s="261"/>
      <c r="E59" s="363">
        <v>300</v>
      </c>
      <c r="F59" s="363">
        <v>250</v>
      </c>
      <c r="G59" s="704" t="b">
        <f t="shared" si="4"/>
        <v>0</v>
      </c>
      <c r="H59" s="224"/>
      <c r="I59" s="224"/>
      <c r="J59" s="224"/>
      <c r="K59" s="224"/>
      <c r="L59" s="224"/>
    </row>
    <row r="60" spans="1:31">
      <c r="A60" s="79" t="s">
        <v>209</v>
      </c>
      <c r="B60" s="224" t="s">
        <v>212</v>
      </c>
      <c r="C60" s="261"/>
      <c r="D60" s="261"/>
      <c r="E60" s="363">
        <v>600</v>
      </c>
      <c r="F60" s="363">
        <v>700</v>
      </c>
      <c r="G60" s="704" t="b">
        <f t="shared" si="4"/>
        <v>0</v>
      </c>
      <c r="H60" s="224"/>
      <c r="I60" s="224"/>
      <c r="J60" s="224"/>
      <c r="K60" s="224"/>
      <c r="L60" s="224"/>
    </row>
    <row r="61" spans="1:31">
      <c r="A61" s="79" t="s">
        <v>186</v>
      </c>
      <c r="B61" s="224" t="s">
        <v>201</v>
      </c>
      <c r="C61" s="261"/>
      <c r="D61" s="261"/>
      <c r="E61" s="553">
        <v>700</v>
      </c>
      <c r="F61" s="553">
        <v>700</v>
      </c>
      <c r="G61" s="704" t="b">
        <f t="shared" si="4"/>
        <v>1</v>
      </c>
      <c r="H61" s="224"/>
      <c r="I61" s="224"/>
      <c r="J61" s="224"/>
      <c r="K61" s="224"/>
      <c r="L61" s="224"/>
    </row>
    <row r="62" spans="1:31">
      <c r="A62" s="221" t="s">
        <v>200</v>
      </c>
      <c r="B62" s="226" t="s">
        <v>189</v>
      </c>
      <c r="C62" s="260"/>
      <c r="D62" s="260"/>
      <c r="E62" s="536">
        <v>600</v>
      </c>
      <c r="F62" s="536">
        <v>590</v>
      </c>
      <c r="G62" s="704" t="b">
        <f t="shared" si="4"/>
        <v>0</v>
      </c>
      <c r="H62" s="224"/>
      <c r="I62" s="224"/>
      <c r="J62" s="224"/>
      <c r="K62" s="224"/>
      <c r="L62" s="224"/>
    </row>
    <row r="63" spans="1:31">
      <c r="A63" s="223" t="s">
        <v>200</v>
      </c>
      <c r="B63" s="224" t="s">
        <v>457</v>
      </c>
      <c r="C63" s="261"/>
      <c r="D63" s="261"/>
      <c r="E63" s="363">
        <v>600</v>
      </c>
      <c r="F63" s="363">
        <v>600</v>
      </c>
      <c r="G63" s="704" t="b">
        <f t="shared" si="4"/>
        <v>1</v>
      </c>
      <c r="H63" s="224"/>
      <c r="I63" s="224"/>
      <c r="J63" s="224"/>
      <c r="K63" s="224"/>
      <c r="L63" s="224"/>
    </row>
    <row r="64" spans="1:31">
      <c r="A64" s="223" t="s">
        <v>462</v>
      </c>
      <c r="B64" s="37" t="s">
        <v>189</v>
      </c>
      <c r="C64" s="261">
        <v>0</v>
      </c>
      <c r="D64" s="261">
        <v>0</v>
      </c>
      <c r="E64" s="215"/>
      <c r="F64" s="215"/>
      <c r="G64" s="704" t="b">
        <f t="shared" si="4"/>
        <v>1</v>
      </c>
    </row>
    <row r="65" spans="1:27">
      <c r="A65" s="223" t="s">
        <v>458</v>
      </c>
      <c r="B65" s="37" t="s">
        <v>188</v>
      </c>
      <c r="C65" s="261">
        <v>1200</v>
      </c>
      <c r="D65" s="261">
        <v>1200</v>
      </c>
      <c r="E65" s="215"/>
      <c r="F65" s="215"/>
      <c r="G65" s="704" t="b">
        <f t="shared" si="4"/>
        <v>1</v>
      </c>
    </row>
    <row r="66" spans="1:27">
      <c r="A66" s="223" t="s">
        <v>203</v>
      </c>
      <c r="B66" s="224" t="s">
        <v>191</v>
      </c>
      <c r="C66" s="261"/>
      <c r="D66" s="262"/>
      <c r="E66" s="553">
        <v>1632</v>
      </c>
      <c r="F66" s="553">
        <v>1632</v>
      </c>
      <c r="G66" s="704" t="b">
        <f t="shared" si="4"/>
        <v>1</v>
      </c>
      <c r="H66" s="224"/>
      <c r="I66" s="224"/>
      <c r="J66" s="224"/>
      <c r="K66" s="224"/>
      <c r="L66" s="224"/>
    </row>
    <row r="67" spans="1:27">
      <c r="A67" s="221" t="s">
        <v>210</v>
      </c>
      <c r="B67" s="226" t="s">
        <v>213</v>
      </c>
      <c r="C67" s="260"/>
      <c r="D67" s="260"/>
      <c r="E67" s="536">
        <v>0</v>
      </c>
      <c r="F67" s="536">
        <v>0</v>
      </c>
      <c r="G67" s="704" t="b">
        <f t="shared" si="4"/>
        <v>1</v>
      </c>
      <c r="H67" s="224"/>
      <c r="I67" s="224"/>
      <c r="J67" s="224"/>
      <c r="K67" s="224"/>
      <c r="L67" s="224"/>
    </row>
    <row r="68" spans="1:27">
      <c r="A68" s="228" t="s">
        <v>210</v>
      </c>
      <c r="B68" s="229" t="s">
        <v>214</v>
      </c>
      <c r="C68" s="262"/>
      <c r="D68" s="262"/>
      <c r="E68" s="553">
        <v>1016</v>
      </c>
      <c r="F68" s="553">
        <v>1016</v>
      </c>
      <c r="G68" s="704" t="b">
        <f t="shared" si="4"/>
        <v>1</v>
      </c>
      <c r="H68" s="224"/>
      <c r="I68" s="224"/>
      <c r="J68" s="224"/>
      <c r="K68" s="224"/>
      <c r="L68" s="224"/>
    </row>
    <row r="69" spans="1:27">
      <c r="A69" s="223" t="s">
        <v>211</v>
      </c>
      <c r="B69" s="37" t="s">
        <v>213</v>
      </c>
      <c r="C69" s="261"/>
      <c r="D69" s="261"/>
      <c r="E69" s="537">
        <v>350</v>
      </c>
      <c r="F69" s="537">
        <v>1300</v>
      </c>
      <c r="G69" s="704" t="b">
        <f t="shared" si="4"/>
        <v>0</v>
      </c>
    </row>
    <row r="70" spans="1:27">
      <c r="A70" s="228" t="s">
        <v>211</v>
      </c>
      <c r="B70" s="229" t="s">
        <v>191</v>
      </c>
      <c r="C70" s="262"/>
      <c r="D70" s="262"/>
      <c r="E70" s="554">
        <v>800</v>
      </c>
      <c r="F70" s="554">
        <v>600</v>
      </c>
      <c r="G70" s="704" t="b">
        <f t="shared" si="4"/>
        <v>0</v>
      </c>
    </row>
    <row r="71" spans="1:27">
      <c r="A71" s="223" t="s">
        <v>201</v>
      </c>
      <c r="B71" s="224" t="s">
        <v>215</v>
      </c>
      <c r="C71" s="261"/>
      <c r="D71" s="261"/>
      <c r="E71" s="555">
        <v>950</v>
      </c>
      <c r="F71" s="555">
        <v>950</v>
      </c>
      <c r="G71" s="704" t="b">
        <f t="shared" si="4"/>
        <v>1</v>
      </c>
      <c r="H71" s="224"/>
      <c r="I71" s="224"/>
      <c r="J71" s="224"/>
      <c r="K71" s="224"/>
      <c r="L71" s="224"/>
    </row>
    <row r="72" spans="1:27">
      <c r="A72" s="230" t="s">
        <v>215</v>
      </c>
      <c r="B72" s="231" t="s">
        <v>214</v>
      </c>
      <c r="C72" s="263"/>
      <c r="D72" s="263"/>
      <c r="E72" s="555">
        <v>879</v>
      </c>
      <c r="F72" s="555">
        <v>950</v>
      </c>
      <c r="G72" s="704" t="b">
        <f t="shared" si="4"/>
        <v>0</v>
      </c>
      <c r="H72" s="224"/>
      <c r="I72" s="224"/>
      <c r="J72" s="224"/>
      <c r="K72" s="224"/>
      <c r="L72" s="224"/>
    </row>
    <row r="73" spans="1:27">
      <c r="C73" s="70">
        <f>SUM(C14:C72)</f>
        <v>9800</v>
      </c>
      <c r="D73" s="70">
        <f>SUM(D14:D72)</f>
        <v>9800</v>
      </c>
      <c r="E73" s="70">
        <f>SUM(E14:E72)</f>
        <v>87602</v>
      </c>
      <c r="F73" s="70">
        <f>SUM(F14:F72)</f>
        <v>78563</v>
      </c>
    </row>
    <row r="75" spans="1:27">
      <c r="A75" s="727" t="s">
        <v>491</v>
      </c>
      <c r="B75" s="727"/>
      <c r="C75" s="727"/>
      <c r="D75" s="727"/>
      <c r="E75" s="727"/>
      <c r="F75" s="727"/>
      <c r="G75" s="727"/>
      <c r="I75" s="727" t="s">
        <v>490</v>
      </c>
      <c r="J75" s="727"/>
      <c r="K75" s="727"/>
      <c r="L75" s="727"/>
      <c r="M75" s="727"/>
      <c r="N75" s="727"/>
      <c r="P75" s="727" t="s">
        <v>840</v>
      </c>
      <c r="Q75" s="727"/>
      <c r="R75" s="727"/>
      <c r="S75" s="727"/>
      <c r="T75" s="727"/>
      <c r="V75" s="727" t="s">
        <v>484</v>
      </c>
      <c r="W75" s="727"/>
      <c r="X75" s="727"/>
      <c r="Y75" s="727"/>
      <c r="Z75" s="727"/>
      <c r="AA75" s="727"/>
    </row>
    <row r="76" spans="1:27">
      <c r="A76" s="19" t="s">
        <v>172</v>
      </c>
      <c r="B76" s="19" t="s">
        <v>173</v>
      </c>
      <c r="C76" s="19" t="s">
        <v>176</v>
      </c>
      <c r="D76" s="19" t="s">
        <v>177</v>
      </c>
      <c r="E76" s="19" t="s">
        <v>174</v>
      </c>
      <c r="F76" s="19" t="s">
        <v>175</v>
      </c>
      <c r="G76" s="19" t="s">
        <v>943</v>
      </c>
      <c r="I76" s="19" t="s">
        <v>172</v>
      </c>
      <c r="J76" s="19" t="s">
        <v>173</v>
      </c>
      <c r="K76" s="19" t="s">
        <v>176</v>
      </c>
      <c r="L76" s="19" t="s">
        <v>177</v>
      </c>
      <c r="M76" s="19" t="s">
        <v>174</v>
      </c>
      <c r="N76" s="19" t="s">
        <v>175</v>
      </c>
      <c r="P76" s="19"/>
      <c r="Q76" s="19"/>
      <c r="R76" s="19"/>
      <c r="S76" s="19" t="s">
        <v>351</v>
      </c>
      <c r="T76" s="19" t="s">
        <v>447</v>
      </c>
      <c r="V76" s="19"/>
      <c r="W76" s="698" t="s">
        <v>676</v>
      </c>
      <c r="X76" s="220"/>
      <c r="Y76" s="220"/>
      <c r="Z76" s="220" t="s">
        <v>485</v>
      </c>
      <c r="AA76" s="220"/>
    </row>
    <row r="77" spans="1:27">
      <c r="A77" s="235" t="s">
        <v>107</v>
      </c>
      <c r="B77" s="236" t="s">
        <v>109</v>
      </c>
      <c r="C77" s="237" t="s">
        <v>179</v>
      </c>
      <c r="D77" s="288">
        <v>2040</v>
      </c>
      <c r="E77" s="278">
        <v>1000</v>
      </c>
      <c r="F77" s="278">
        <v>1000</v>
      </c>
      <c r="G77" s="704" t="b">
        <f>E77=F77</f>
        <v>1</v>
      </c>
      <c r="I77" s="248" t="s">
        <v>107</v>
      </c>
      <c r="J77" s="248" t="s">
        <v>110</v>
      </c>
      <c r="K77" s="249" t="s">
        <v>183</v>
      </c>
      <c r="L77" s="292">
        <v>2030</v>
      </c>
      <c r="M77" s="544">
        <v>1400</v>
      </c>
      <c r="N77" s="544">
        <v>1400</v>
      </c>
      <c r="P77" s="37" t="s">
        <v>470</v>
      </c>
      <c r="S77" s="215">
        <v>1400</v>
      </c>
      <c r="T77" s="215">
        <v>-1400</v>
      </c>
      <c r="V77" s="41" t="s">
        <v>172</v>
      </c>
      <c r="W77" s="41" t="s">
        <v>173</v>
      </c>
      <c r="X77" s="19" t="s">
        <v>453</v>
      </c>
      <c r="Y77" s="19" t="s">
        <v>452</v>
      </c>
      <c r="Z77" s="19" t="s">
        <v>453</v>
      </c>
      <c r="AA77" s="19" t="s">
        <v>452</v>
      </c>
    </row>
    <row r="78" spans="1:27">
      <c r="A78" s="240" t="s">
        <v>107</v>
      </c>
      <c r="B78" s="241" t="s">
        <v>109</v>
      </c>
      <c r="C78" s="242" t="s">
        <v>181</v>
      </c>
      <c r="D78" s="289">
        <v>2040</v>
      </c>
      <c r="E78" s="279">
        <v>1000</v>
      </c>
      <c r="F78" s="279">
        <v>1000</v>
      </c>
      <c r="G78" s="704" t="b">
        <f t="shared" ref="G78:G141" si="13">E78=F78</f>
        <v>1</v>
      </c>
      <c r="I78" s="224" t="s">
        <v>107</v>
      </c>
      <c r="J78" s="224" t="s">
        <v>114</v>
      </c>
      <c r="K78" s="45" t="s">
        <v>183</v>
      </c>
      <c r="L78" s="44">
        <v>2035</v>
      </c>
      <c r="M78" s="363">
        <v>1000</v>
      </c>
      <c r="N78" s="363">
        <v>1000</v>
      </c>
      <c r="P78" s="37" t="s">
        <v>468</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04" t="b">
        <f t="shared" si="13"/>
        <v>1</v>
      </c>
      <c r="I79" s="224" t="s">
        <v>107</v>
      </c>
      <c r="J79" s="224" t="s">
        <v>114</v>
      </c>
      <c r="K79" s="45" t="s">
        <v>179</v>
      </c>
      <c r="L79" s="44">
        <v>2030</v>
      </c>
      <c r="M79" s="261">
        <v>1000</v>
      </c>
      <c r="N79" s="261">
        <v>1000</v>
      </c>
      <c r="P79" s="37" t="s">
        <v>469</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04" t="b">
        <f t="shared" si="13"/>
        <v>1</v>
      </c>
      <c r="I80" s="224" t="s">
        <v>107</v>
      </c>
      <c r="J80" s="224" t="s">
        <v>115</v>
      </c>
      <c r="K80" s="45" t="s">
        <v>179</v>
      </c>
      <c r="L80" s="44">
        <v>2030</v>
      </c>
      <c r="M80" s="261">
        <v>1000</v>
      </c>
      <c r="N80" s="261">
        <v>1000</v>
      </c>
      <c r="P80" s="274" t="s">
        <v>467</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04" t="b">
        <f t="shared" si="13"/>
        <v>1</v>
      </c>
      <c r="I81" s="224" t="s">
        <v>107</v>
      </c>
      <c r="J81" s="224" t="s">
        <v>106</v>
      </c>
      <c r="K81" s="45" t="s">
        <v>183</v>
      </c>
      <c r="L81" s="44">
        <v>2035</v>
      </c>
      <c r="M81" s="363">
        <v>700</v>
      </c>
      <c r="N81" s="363">
        <v>700</v>
      </c>
      <c r="P81" s="37" t="s">
        <v>475</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04" t="b">
        <f t="shared" si="13"/>
        <v>1</v>
      </c>
      <c r="I82" s="224" t="s">
        <v>107</v>
      </c>
      <c r="J82" s="224" t="s">
        <v>99</v>
      </c>
      <c r="K82" s="45" t="s">
        <v>179</v>
      </c>
      <c r="L82" s="44">
        <v>2030</v>
      </c>
      <c r="M82" s="261">
        <v>500</v>
      </c>
      <c r="N82" s="261">
        <v>500</v>
      </c>
      <c r="P82" s="37" t="s">
        <v>476</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04" t="b">
        <f t="shared" si="13"/>
        <v>1</v>
      </c>
      <c r="I83" s="233" t="s">
        <v>107</v>
      </c>
      <c r="J83" s="233" t="s">
        <v>99</v>
      </c>
      <c r="K83" s="234" t="s">
        <v>181</v>
      </c>
      <c r="L83" s="291">
        <v>2030</v>
      </c>
      <c r="M83" s="545">
        <v>500</v>
      </c>
      <c r="N83" s="545">
        <v>500</v>
      </c>
      <c r="P83" s="274" t="s">
        <v>465</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04" t="b">
        <f t="shared" si="13"/>
        <v>1</v>
      </c>
      <c r="I84" s="236" t="s">
        <v>109</v>
      </c>
      <c r="J84" s="236" t="s">
        <v>110</v>
      </c>
      <c r="K84" s="237" t="s">
        <v>183</v>
      </c>
      <c r="L84" s="288">
        <v>2035</v>
      </c>
      <c r="M84" s="278">
        <v>1250</v>
      </c>
      <c r="N84" s="278">
        <v>1250</v>
      </c>
      <c r="P84" s="275" t="s">
        <v>473</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04" t="b">
        <f t="shared" si="13"/>
        <v>1</v>
      </c>
      <c r="I85" s="224" t="s">
        <v>109</v>
      </c>
      <c r="J85" s="224" t="s">
        <v>112</v>
      </c>
      <c r="K85" s="45" t="s">
        <v>183</v>
      </c>
      <c r="L85" s="44">
        <v>2030</v>
      </c>
      <c r="M85" s="363">
        <v>1500</v>
      </c>
      <c r="N85" s="363">
        <v>1500</v>
      </c>
      <c r="P85" s="275" t="s">
        <v>466</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04" t="b">
        <f t="shared" si="13"/>
        <v>1</v>
      </c>
      <c r="I86" s="224" t="s">
        <v>109</v>
      </c>
      <c r="J86" s="224" t="s">
        <v>112</v>
      </c>
      <c r="K86" s="45" t="s">
        <v>198</v>
      </c>
      <c r="L86" s="44">
        <v>2030</v>
      </c>
      <c r="M86" s="363">
        <v>1500</v>
      </c>
      <c r="N86" s="363">
        <v>1500</v>
      </c>
      <c r="P86" s="37" t="s">
        <v>482</v>
      </c>
      <c r="S86" s="215">
        <v>2000</v>
      </c>
      <c r="T86" s="215">
        <v>-1354</v>
      </c>
      <c r="U86" s="699"/>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04" t="b">
        <f t="shared" si="13"/>
        <v>1</v>
      </c>
      <c r="I87" s="233" t="s">
        <v>109</v>
      </c>
      <c r="J87" s="233" t="s">
        <v>115</v>
      </c>
      <c r="K87" s="234" t="s">
        <v>183</v>
      </c>
      <c r="L87" s="291">
        <v>2030</v>
      </c>
      <c r="M87" s="545">
        <v>1000</v>
      </c>
      <c r="N87" s="545">
        <v>1000</v>
      </c>
      <c r="P87" s="37" t="s">
        <v>471</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04" t="b">
        <f t="shared" si="13"/>
        <v>1</v>
      </c>
      <c r="I88" s="224" t="s">
        <v>110</v>
      </c>
      <c r="J88" s="224" t="s">
        <v>114</v>
      </c>
      <c r="K88" s="45" t="s">
        <v>179</v>
      </c>
      <c r="L88" s="44">
        <v>2030</v>
      </c>
      <c r="M88" s="261">
        <v>1000</v>
      </c>
      <c r="N88" s="261">
        <v>1000</v>
      </c>
      <c r="P88" s="37" t="s">
        <v>472</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04" t="b">
        <f t="shared" si="13"/>
        <v>1</v>
      </c>
      <c r="I89" s="241" t="s">
        <v>110</v>
      </c>
      <c r="J89" s="241" t="s">
        <v>114</v>
      </c>
      <c r="K89" s="242" t="s">
        <v>181</v>
      </c>
      <c r="L89" s="289">
        <v>2030</v>
      </c>
      <c r="M89" s="279">
        <v>1000</v>
      </c>
      <c r="N89" s="279">
        <v>1000</v>
      </c>
      <c r="P89" s="37" t="s">
        <v>477</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04" t="b">
        <f t="shared" si="13"/>
        <v>1</v>
      </c>
      <c r="I90" s="224" t="s">
        <v>110</v>
      </c>
      <c r="J90" s="224" t="s">
        <v>115</v>
      </c>
      <c r="K90" s="45" t="s">
        <v>183</v>
      </c>
      <c r="L90" s="44">
        <v>2035</v>
      </c>
      <c r="M90" s="261">
        <v>1400</v>
      </c>
      <c r="N90" s="261">
        <v>1400</v>
      </c>
      <c r="P90" s="37" t="s">
        <v>478</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04" t="b">
        <f t="shared" si="13"/>
        <v>1</v>
      </c>
      <c r="I91" s="244" t="s">
        <v>110</v>
      </c>
      <c r="J91" s="244" t="s">
        <v>101</v>
      </c>
      <c r="K91" s="245" t="s">
        <v>183</v>
      </c>
      <c r="L91" s="290">
        <v>2035</v>
      </c>
      <c r="M91" s="546">
        <v>1400</v>
      </c>
      <c r="N91" s="546">
        <v>1400</v>
      </c>
      <c r="P91" s="37" t="s">
        <v>479</v>
      </c>
      <c r="S91" s="215">
        <v>900</v>
      </c>
      <c r="T91" s="215">
        <v>-800</v>
      </c>
      <c r="U91" s="699"/>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04" t="b">
        <f t="shared" si="13"/>
        <v>1</v>
      </c>
      <c r="I92" s="236" t="s">
        <v>114</v>
      </c>
      <c r="J92" s="236" t="s">
        <v>115</v>
      </c>
      <c r="K92" s="237" t="s">
        <v>183</v>
      </c>
      <c r="L92" s="288">
        <v>2035</v>
      </c>
      <c r="M92" s="278">
        <v>1000</v>
      </c>
      <c r="N92" s="278">
        <v>1000</v>
      </c>
      <c r="P92" s="37" t="s">
        <v>480</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04" t="b">
        <f t="shared" si="13"/>
        <v>1</v>
      </c>
      <c r="I93" s="224" t="s">
        <v>114</v>
      </c>
      <c r="J93" s="224" t="s">
        <v>115</v>
      </c>
      <c r="K93" s="45" t="s">
        <v>198</v>
      </c>
      <c r="L93" s="44">
        <v>2035</v>
      </c>
      <c r="M93" s="363">
        <v>1000</v>
      </c>
      <c r="N93" s="363">
        <v>1000</v>
      </c>
      <c r="P93" s="274" t="s">
        <v>481</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04" t="b">
        <f t="shared" si="13"/>
        <v>1</v>
      </c>
      <c r="I94" s="224" t="s">
        <v>114</v>
      </c>
      <c r="J94" s="224" t="s">
        <v>115</v>
      </c>
      <c r="K94" s="45" t="s">
        <v>179</v>
      </c>
      <c r="L94" s="44">
        <v>2030</v>
      </c>
      <c r="M94" s="261">
        <v>1000</v>
      </c>
      <c r="N94" s="261">
        <v>1000</v>
      </c>
      <c r="P94" s="275" t="s">
        <v>474</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04"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04"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04" t="b">
        <f t="shared" si="13"/>
        <v>1</v>
      </c>
      <c r="I97" s="224" t="s">
        <v>105</v>
      </c>
      <c r="J97" s="224" t="s">
        <v>101</v>
      </c>
      <c r="K97" s="45" t="s">
        <v>183</v>
      </c>
      <c r="L97" s="44">
        <v>2035</v>
      </c>
      <c r="M97" s="363">
        <v>700</v>
      </c>
      <c r="N97" s="363">
        <v>700</v>
      </c>
      <c r="P97" s="45"/>
      <c r="V97" s="224" t="s">
        <v>464</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04"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04"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04"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04"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04"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04"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04"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04"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04" t="b">
        <f t="shared" si="13"/>
        <v>1</v>
      </c>
      <c r="I106" s="224" t="s">
        <v>103</v>
      </c>
      <c r="J106" s="224" t="s">
        <v>117</v>
      </c>
      <c r="K106" s="45" t="s">
        <v>198</v>
      </c>
      <c r="L106" s="44">
        <v>2030</v>
      </c>
      <c r="M106" s="363">
        <v>900</v>
      </c>
      <c r="N106" s="363">
        <v>800</v>
      </c>
      <c r="O106" s="699"/>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04"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04"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04"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04"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04"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04"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04"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04"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04"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04"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04"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04"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04"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04"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04" t="b">
        <f t="shared" si="13"/>
        <v>1</v>
      </c>
      <c r="H121" s="224"/>
      <c r="I121" s="224"/>
      <c r="J121" s="246"/>
      <c r="K121" s="45"/>
      <c r="N121" s="246"/>
    </row>
    <row r="122" spans="1:27">
      <c r="A122" s="239" t="s">
        <v>113</v>
      </c>
      <c r="B122" s="233" t="s">
        <v>106</v>
      </c>
      <c r="C122" s="234" t="s">
        <v>181</v>
      </c>
      <c r="D122" s="291">
        <v>2040</v>
      </c>
      <c r="E122" s="277">
        <v>500</v>
      </c>
      <c r="F122" s="277">
        <v>500</v>
      </c>
      <c r="G122" s="704" t="b">
        <f t="shared" si="13"/>
        <v>1</v>
      </c>
      <c r="H122" s="224"/>
      <c r="I122" s="224"/>
      <c r="J122" s="246"/>
      <c r="K122" s="45"/>
      <c r="N122" s="246"/>
    </row>
    <row r="123" spans="1:27">
      <c r="A123" s="235" t="s">
        <v>114</v>
      </c>
      <c r="B123" s="236" t="s">
        <v>115</v>
      </c>
      <c r="C123" s="237" t="s">
        <v>183</v>
      </c>
      <c r="D123" s="288">
        <v>2035</v>
      </c>
      <c r="E123" s="278">
        <v>1000</v>
      </c>
      <c r="F123" s="278">
        <v>1000</v>
      </c>
      <c r="G123" s="704" t="b">
        <f t="shared" si="13"/>
        <v>1</v>
      </c>
      <c r="H123" s="224"/>
      <c r="I123" s="224"/>
      <c r="J123" s="45"/>
      <c r="K123" s="45"/>
      <c r="N123" s="45"/>
    </row>
    <row r="124" spans="1:27">
      <c r="A124" s="238" t="s">
        <v>114</v>
      </c>
      <c r="B124" s="224" t="s">
        <v>115</v>
      </c>
      <c r="C124" s="45" t="s">
        <v>198</v>
      </c>
      <c r="D124" s="44">
        <v>2035</v>
      </c>
      <c r="E124" s="261">
        <v>1000</v>
      </c>
      <c r="F124" s="261">
        <v>1000</v>
      </c>
      <c r="G124" s="704" t="b">
        <f t="shared" si="13"/>
        <v>1</v>
      </c>
      <c r="H124" s="224"/>
      <c r="I124" s="224"/>
      <c r="J124" s="45"/>
      <c r="K124" s="45"/>
      <c r="N124" s="45"/>
    </row>
    <row r="125" spans="1:27">
      <c r="A125" s="238" t="s">
        <v>114</v>
      </c>
      <c r="B125" s="224" t="s">
        <v>115</v>
      </c>
      <c r="C125" s="45" t="s">
        <v>179</v>
      </c>
      <c r="D125" s="44">
        <v>2030</v>
      </c>
      <c r="E125" s="261">
        <v>1000</v>
      </c>
      <c r="F125" s="261">
        <v>1000</v>
      </c>
      <c r="G125" s="704" t="b">
        <f t="shared" si="13"/>
        <v>1</v>
      </c>
      <c r="H125" s="224"/>
      <c r="I125" s="224"/>
      <c r="J125" s="45"/>
      <c r="K125" s="45"/>
      <c r="N125" s="45"/>
    </row>
    <row r="126" spans="1:27">
      <c r="A126" s="240" t="s">
        <v>114</v>
      </c>
      <c r="B126" s="241" t="s">
        <v>115</v>
      </c>
      <c r="C126" s="242" t="s">
        <v>181</v>
      </c>
      <c r="D126" s="289">
        <v>2030</v>
      </c>
      <c r="E126" s="279">
        <v>1000</v>
      </c>
      <c r="F126" s="279">
        <v>1000</v>
      </c>
      <c r="G126" s="704" t="b">
        <f t="shared" si="13"/>
        <v>1</v>
      </c>
      <c r="H126" s="224"/>
      <c r="I126" s="224"/>
      <c r="J126" s="45"/>
      <c r="K126" s="45"/>
      <c r="N126" s="45"/>
    </row>
    <row r="127" spans="1:27">
      <c r="A127" s="238" t="s">
        <v>114</v>
      </c>
      <c r="B127" s="224" t="s">
        <v>101</v>
      </c>
      <c r="C127" s="45" t="s">
        <v>179</v>
      </c>
      <c r="D127" s="44">
        <v>2040</v>
      </c>
      <c r="E127" s="261">
        <v>1000</v>
      </c>
      <c r="F127" s="261">
        <v>1000</v>
      </c>
      <c r="G127" s="704" t="b">
        <f t="shared" si="13"/>
        <v>1</v>
      </c>
      <c r="H127" s="224"/>
      <c r="I127" s="224"/>
      <c r="J127" s="45"/>
      <c r="K127" s="45"/>
      <c r="N127" s="45"/>
    </row>
    <row r="128" spans="1:27">
      <c r="A128" s="240" t="s">
        <v>114</v>
      </c>
      <c r="B128" s="241" t="s">
        <v>101</v>
      </c>
      <c r="C128" s="242" t="s">
        <v>181</v>
      </c>
      <c r="D128" s="289">
        <v>2040</v>
      </c>
      <c r="E128" s="279">
        <v>1000</v>
      </c>
      <c r="F128" s="279">
        <v>1000</v>
      </c>
      <c r="G128" s="704" t="b">
        <f t="shared" si="13"/>
        <v>1</v>
      </c>
      <c r="H128" s="224"/>
      <c r="I128" s="224"/>
      <c r="J128" s="45"/>
      <c r="K128" s="45"/>
      <c r="N128" s="45"/>
      <c r="U128" s="224"/>
    </row>
    <row r="129" spans="1:14">
      <c r="A129" s="238" t="s">
        <v>114</v>
      </c>
      <c r="B129" s="224" t="s">
        <v>120</v>
      </c>
      <c r="C129" s="45" t="s">
        <v>179</v>
      </c>
      <c r="D129" s="44">
        <v>2040</v>
      </c>
      <c r="E129" s="261">
        <v>1000</v>
      </c>
      <c r="F129" s="261">
        <v>1000</v>
      </c>
      <c r="G129" s="704" t="b">
        <f t="shared" si="13"/>
        <v>1</v>
      </c>
      <c r="H129" s="224"/>
      <c r="I129" s="224"/>
      <c r="J129" s="246"/>
      <c r="K129" s="45"/>
      <c r="N129" s="246"/>
    </row>
    <row r="130" spans="1:14">
      <c r="A130" s="239" t="s">
        <v>114</v>
      </c>
      <c r="B130" s="233" t="s">
        <v>120</v>
      </c>
      <c r="C130" s="234" t="s">
        <v>181</v>
      </c>
      <c r="D130" s="291">
        <v>2040</v>
      </c>
      <c r="E130" s="277">
        <v>1000</v>
      </c>
      <c r="F130" s="277">
        <v>1000</v>
      </c>
      <c r="G130" s="704" t="b">
        <f t="shared" si="13"/>
        <v>1</v>
      </c>
      <c r="H130" s="224"/>
      <c r="I130" s="224"/>
      <c r="J130" s="246"/>
      <c r="K130" s="45"/>
      <c r="N130" s="246"/>
    </row>
    <row r="131" spans="1:14">
      <c r="A131" s="238" t="s">
        <v>104</v>
      </c>
      <c r="B131" s="224" t="s">
        <v>105</v>
      </c>
      <c r="C131" s="45" t="s">
        <v>183</v>
      </c>
      <c r="D131" s="44">
        <v>2035</v>
      </c>
      <c r="E131" s="261">
        <v>2000</v>
      </c>
      <c r="F131" s="261">
        <v>2000</v>
      </c>
      <c r="G131" s="704" t="b">
        <f t="shared" si="13"/>
        <v>1</v>
      </c>
      <c r="H131" s="224"/>
      <c r="I131" s="224"/>
      <c r="J131" s="45"/>
      <c r="K131" s="45"/>
      <c r="N131" s="45"/>
    </row>
    <row r="132" spans="1:14">
      <c r="A132" s="238" t="s">
        <v>104</v>
      </c>
      <c r="B132" s="224" t="s">
        <v>105</v>
      </c>
      <c r="C132" s="45" t="s">
        <v>198</v>
      </c>
      <c r="D132" s="44">
        <v>2040</v>
      </c>
      <c r="E132" s="261">
        <v>1000</v>
      </c>
      <c r="F132" s="261">
        <v>1000</v>
      </c>
      <c r="G132" s="704" t="b">
        <f t="shared" si="13"/>
        <v>1</v>
      </c>
      <c r="H132" s="224"/>
      <c r="I132" s="224"/>
      <c r="J132" s="45"/>
      <c r="K132" s="45"/>
      <c r="N132" s="45"/>
    </row>
    <row r="133" spans="1:14">
      <c r="A133" s="238" t="s">
        <v>103</v>
      </c>
      <c r="B133" s="224" t="s">
        <v>104</v>
      </c>
      <c r="C133" s="45" t="s">
        <v>179</v>
      </c>
      <c r="D133" s="44">
        <v>2040</v>
      </c>
      <c r="E133" s="261">
        <v>1000</v>
      </c>
      <c r="F133" s="261">
        <v>1000</v>
      </c>
      <c r="G133" s="704" t="b">
        <f t="shared" si="13"/>
        <v>1</v>
      </c>
      <c r="H133" s="224"/>
      <c r="I133" s="224"/>
      <c r="J133" s="246"/>
      <c r="K133" s="45"/>
      <c r="N133" s="246"/>
    </row>
    <row r="134" spans="1:14">
      <c r="A134" s="238" t="s">
        <v>103</v>
      </c>
      <c r="B134" s="224" t="s">
        <v>104</v>
      </c>
      <c r="C134" s="45" t="s">
        <v>181</v>
      </c>
      <c r="D134" s="44">
        <v>2040</v>
      </c>
      <c r="E134" s="261">
        <v>1000</v>
      </c>
      <c r="F134" s="261">
        <v>1000</v>
      </c>
      <c r="G134" s="704" t="b">
        <f t="shared" si="13"/>
        <v>1</v>
      </c>
      <c r="H134" s="224"/>
      <c r="I134" s="224"/>
      <c r="J134" s="246"/>
      <c r="K134" s="45"/>
      <c r="N134" s="246"/>
    </row>
    <row r="135" spans="1:14">
      <c r="A135" s="238" t="s">
        <v>104</v>
      </c>
      <c r="B135" s="224" t="s">
        <v>105</v>
      </c>
      <c r="C135" s="45" t="s">
        <v>179</v>
      </c>
      <c r="D135" s="44">
        <v>2040</v>
      </c>
      <c r="E135" s="261">
        <v>1000</v>
      </c>
      <c r="F135" s="261">
        <v>1000</v>
      </c>
      <c r="G135" s="704" t="b">
        <f t="shared" si="13"/>
        <v>1</v>
      </c>
      <c r="H135" s="224"/>
      <c r="I135" s="224"/>
      <c r="J135" s="246"/>
      <c r="K135" s="45"/>
    </row>
    <row r="136" spans="1:14">
      <c r="A136" s="238" t="s">
        <v>104</v>
      </c>
      <c r="B136" s="224" t="s">
        <v>105</v>
      </c>
      <c r="C136" s="45" t="s">
        <v>181</v>
      </c>
      <c r="D136" s="44">
        <v>2040</v>
      </c>
      <c r="E136" s="261">
        <v>1000</v>
      </c>
      <c r="F136" s="261">
        <v>1000</v>
      </c>
      <c r="G136" s="704" t="b">
        <f t="shared" si="13"/>
        <v>1</v>
      </c>
      <c r="H136" s="224"/>
      <c r="I136" s="224"/>
      <c r="J136" s="246"/>
      <c r="K136" s="45"/>
    </row>
    <row r="137" spans="1:14">
      <c r="A137" s="238" t="s">
        <v>105</v>
      </c>
      <c r="B137" s="224" t="s">
        <v>106</v>
      </c>
      <c r="C137" s="45" t="s">
        <v>179</v>
      </c>
      <c r="D137" s="44">
        <v>2040</v>
      </c>
      <c r="E137" s="261">
        <v>1000</v>
      </c>
      <c r="F137" s="261">
        <v>1000</v>
      </c>
      <c r="G137" s="704" t="b">
        <f t="shared" si="13"/>
        <v>1</v>
      </c>
      <c r="H137" s="224"/>
      <c r="I137" s="224"/>
      <c r="J137" s="246"/>
      <c r="K137" s="45"/>
    </row>
    <row r="138" spans="1:14">
      <c r="A138" s="240" t="s">
        <v>105</v>
      </c>
      <c r="B138" s="241" t="s">
        <v>106</v>
      </c>
      <c r="C138" s="242" t="s">
        <v>181</v>
      </c>
      <c r="D138" s="289">
        <v>2040</v>
      </c>
      <c r="E138" s="279">
        <v>1000</v>
      </c>
      <c r="F138" s="279">
        <v>1000</v>
      </c>
      <c r="G138" s="704" t="b">
        <f t="shared" si="13"/>
        <v>1</v>
      </c>
      <c r="H138" s="224"/>
      <c r="I138" s="224"/>
      <c r="J138" s="246"/>
      <c r="K138" s="45"/>
    </row>
    <row r="139" spans="1:14">
      <c r="A139" s="238" t="s">
        <v>105</v>
      </c>
      <c r="B139" s="224" t="s">
        <v>101</v>
      </c>
      <c r="C139" s="45" t="s">
        <v>183</v>
      </c>
      <c r="D139" s="44">
        <v>2035</v>
      </c>
      <c r="E139" s="261">
        <v>700</v>
      </c>
      <c r="F139" s="261">
        <v>700</v>
      </c>
      <c r="G139" s="704" t="b">
        <f t="shared" si="13"/>
        <v>1</v>
      </c>
      <c r="H139" s="224"/>
      <c r="I139" s="224"/>
      <c r="J139" s="45"/>
      <c r="K139" s="45"/>
    </row>
    <row r="140" spans="1:14">
      <c r="A140" s="238" t="s">
        <v>106</v>
      </c>
      <c r="B140" s="224" t="s">
        <v>99</v>
      </c>
      <c r="C140" s="45" t="s">
        <v>179</v>
      </c>
      <c r="D140" s="44">
        <v>2040</v>
      </c>
      <c r="E140" s="261">
        <v>500</v>
      </c>
      <c r="F140" s="261">
        <v>500</v>
      </c>
      <c r="G140" s="704" t="b">
        <f t="shared" si="13"/>
        <v>1</v>
      </c>
      <c r="H140" s="224"/>
      <c r="I140" s="224"/>
      <c r="J140" s="45"/>
      <c r="K140" s="45"/>
    </row>
    <row r="141" spans="1:14">
      <c r="A141" s="238" t="s">
        <v>106</v>
      </c>
      <c r="B141" s="224" t="s">
        <v>99</v>
      </c>
      <c r="C141" s="45" t="s">
        <v>181</v>
      </c>
      <c r="D141" s="44">
        <v>2040</v>
      </c>
      <c r="E141" s="261">
        <v>500</v>
      </c>
      <c r="F141" s="261">
        <v>500</v>
      </c>
      <c r="G141" s="704" t="b">
        <f t="shared" si="13"/>
        <v>1</v>
      </c>
      <c r="H141" s="224"/>
      <c r="I141" s="224"/>
      <c r="J141" s="45"/>
      <c r="K141" s="45"/>
    </row>
    <row r="142" spans="1:14">
      <c r="A142" s="238" t="s">
        <v>106</v>
      </c>
      <c r="B142" s="224" t="s">
        <v>99</v>
      </c>
      <c r="C142" s="45" t="s">
        <v>190</v>
      </c>
      <c r="D142" s="44">
        <v>2030</v>
      </c>
      <c r="E142" s="261">
        <v>500</v>
      </c>
      <c r="F142" s="261">
        <v>500</v>
      </c>
      <c r="G142" s="704" t="b">
        <f t="shared" ref="G142:G191" si="16">E142=F142</f>
        <v>1</v>
      </c>
      <c r="H142" s="224"/>
      <c r="I142" s="224"/>
      <c r="J142" s="45"/>
      <c r="K142" s="45"/>
    </row>
    <row r="143" spans="1:14">
      <c r="A143" s="238" t="s">
        <v>106</v>
      </c>
      <c r="B143" s="224" t="s">
        <v>99</v>
      </c>
      <c r="C143" s="45" t="s">
        <v>192</v>
      </c>
      <c r="D143" s="44">
        <v>2040</v>
      </c>
      <c r="E143" s="261">
        <v>500</v>
      </c>
      <c r="F143" s="261">
        <v>500</v>
      </c>
      <c r="G143" s="704" t="b">
        <f t="shared" si="16"/>
        <v>1</v>
      </c>
      <c r="H143" s="224"/>
      <c r="I143" s="224"/>
      <c r="J143" s="45"/>
      <c r="K143" s="45"/>
    </row>
    <row r="144" spans="1:14">
      <c r="A144" s="238" t="s">
        <v>105</v>
      </c>
      <c r="B144" s="224" t="s">
        <v>101</v>
      </c>
      <c r="C144" s="45" t="s">
        <v>179</v>
      </c>
      <c r="D144" s="44">
        <v>2030</v>
      </c>
      <c r="E144" s="261">
        <v>500</v>
      </c>
      <c r="F144" s="261">
        <v>500</v>
      </c>
      <c r="G144" s="704" t="b">
        <f t="shared" si="16"/>
        <v>1</v>
      </c>
      <c r="H144" s="224"/>
      <c r="I144" s="224"/>
      <c r="J144" s="45"/>
      <c r="K144" s="45"/>
    </row>
    <row r="145" spans="1:24">
      <c r="A145" s="238" t="s">
        <v>105</v>
      </c>
      <c r="B145" s="224" t="s">
        <v>101</v>
      </c>
      <c r="C145" s="45" t="s">
        <v>181</v>
      </c>
      <c r="D145" s="44">
        <v>2030</v>
      </c>
      <c r="E145" s="261">
        <v>500</v>
      </c>
      <c r="F145" s="261">
        <v>500</v>
      </c>
      <c r="G145" s="704" t="b">
        <f t="shared" si="16"/>
        <v>1</v>
      </c>
      <c r="H145" s="224"/>
      <c r="I145" s="224"/>
      <c r="J145" s="45"/>
      <c r="K145" s="45"/>
    </row>
    <row r="146" spans="1:24">
      <c r="A146" s="238" t="s">
        <v>105</v>
      </c>
      <c r="B146" s="224" t="s">
        <v>101</v>
      </c>
      <c r="C146" s="45" t="s">
        <v>190</v>
      </c>
      <c r="D146" s="44">
        <v>2030</v>
      </c>
      <c r="E146" s="261">
        <v>500</v>
      </c>
      <c r="F146" s="261">
        <v>500</v>
      </c>
      <c r="G146" s="704" t="b">
        <f t="shared" si="16"/>
        <v>1</v>
      </c>
      <c r="H146" s="224"/>
      <c r="I146" s="224"/>
      <c r="J146" s="45"/>
      <c r="K146" s="45"/>
    </row>
    <row r="147" spans="1:24">
      <c r="A147" s="238" t="s">
        <v>105</v>
      </c>
      <c r="B147" s="224" t="s">
        <v>101</v>
      </c>
      <c r="C147" s="45" t="s">
        <v>192</v>
      </c>
      <c r="D147" s="44">
        <v>2030</v>
      </c>
      <c r="E147" s="261">
        <v>500</v>
      </c>
      <c r="F147" s="261">
        <v>500</v>
      </c>
      <c r="G147" s="704" t="b">
        <f t="shared" si="16"/>
        <v>1</v>
      </c>
      <c r="H147" s="224"/>
      <c r="I147" s="224"/>
      <c r="J147" s="45"/>
      <c r="K147" s="45"/>
    </row>
    <row r="148" spans="1:24">
      <c r="A148" s="238" t="s">
        <v>105</v>
      </c>
      <c r="B148" s="224" t="s">
        <v>101</v>
      </c>
      <c r="C148" s="45" t="s">
        <v>193</v>
      </c>
      <c r="D148" s="44">
        <v>2035</v>
      </c>
      <c r="E148" s="261">
        <v>500</v>
      </c>
      <c r="F148" s="261">
        <v>500</v>
      </c>
      <c r="G148" s="704" t="b">
        <f t="shared" si="16"/>
        <v>1</v>
      </c>
      <c r="H148" s="224"/>
      <c r="I148" s="224"/>
      <c r="J148" s="45"/>
      <c r="K148" s="45"/>
    </row>
    <row r="149" spans="1:24">
      <c r="A149" s="240" t="s">
        <v>105</v>
      </c>
      <c r="B149" s="241" t="s">
        <v>101</v>
      </c>
      <c r="C149" s="242" t="s">
        <v>194</v>
      </c>
      <c r="D149" s="289">
        <v>2035</v>
      </c>
      <c r="E149" s="279">
        <v>500</v>
      </c>
      <c r="F149" s="279">
        <v>500</v>
      </c>
      <c r="G149" s="704" t="b">
        <f t="shared" si="16"/>
        <v>1</v>
      </c>
      <c r="H149" s="224"/>
      <c r="I149" s="224"/>
      <c r="J149" s="45"/>
      <c r="K149" s="45"/>
    </row>
    <row r="150" spans="1:24">
      <c r="A150" s="238" t="s">
        <v>103</v>
      </c>
      <c r="B150" s="224" t="s">
        <v>117</v>
      </c>
      <c r="C150" s="45" t="s">
        <v>183</v>
      </c>
      <c r="D150" s="44">
        <v>2035</v>
      </c>
      <c r="E150" s="261">
        <v>800</v>
      </c>
      <c r="F150" s="261">
        <v>800</v>
      </c>
      <c r="G150" s="704" t="b">
        <f t="shared" si="16"/>
        <v>1</v>
      </c>
      <c r="H150" s="224"/>
      <c r="I150" s="224"/>
      <c r="J150" s="45"/>
      <c r="K150" s="45"/>
    </row>
    <row r="151" spans="1:24">
      <c r="A151" s="238" t="s">
        <v>103</v>
      </c>
      <c r="B151" s="224" t="s">
        <v>117</v>
      </c>
      <c r="C151" s="45" t="s">
        <v>198</v>
      </c>
      <c r="D151" s="44">
        <v>2030</v>
      </c>
      <c r="E151" s="261">
        <v>900</v>
      </c>
      <c r="F151" s="261">
        <v>800</v>
      </c>
      <c r="G151" s="704" t="b">
        <f t="shared" si="16"/>
        <v>0</v>
      </c>
      <c r="H151" s="224"/>
      <c r="I151" s="224"/>
      <c r="J151" s="45"/>
      <c r="K151" s="45"/>
    </row>
    <row r="152" spans="1:24">
      <c r="A152" s="238" t="s">
        <v>105</v>
      </c>
      <c r="B152" s="224" t="s">
        <v>117</v>
      </c>
      <c r="C152" s="45" t="s">
        <v>183</v>
      </c>
      <c r="D152" s="44">
        <v>2040</v>
      </c>
      <c r="E152" s="261">
        <v>800</v>
      </c>
      <c r="F152" s="261">
        <v>800</v>
      </c>
      <c r="G152" s="704" t="b">
        <f t="shared" si="16"/>
        <v>1</v>
      </c>
      <c r="H152" s="224"/>
      <c r="I152" s="224"/>
      <c r="J152" s="45"/>
      <c r="K152" s="45"/>
    </row>
    <row r="153" spans="1:24">
      <c r="A153" s="238" t="s">
        <v>103</v>
      </c>
      <c r="B153" s="224" t="s">
        <v>117</v>
      </c>
      <c r="C153" s="45" t="s">
        <v>179</v>
      </c>
      <c r="D153" s="44">
        <v>2030</v>
      </c>
      <c r="E153" s="261">
        <v>800</v>
      </c>
      <c r="F153" s="261">
        <v>800</v>
      </c>
      <c r="G153" s="704" t="b">
        <f t="shared" si="16"/>
        <v>1</v>
      </c>
      <c r="H153" s="224"/>
      <c r="I153" s="224"/>
      <c r="J153" s="45"/>
      <c r="K153" s="45"/>
    </row>
    <row r="154" spans="1:24">
      <c r="A154" s="238" t="s">
        <v>103</v>
      </c>
      <c r="B154" s="224" t="s">
        <v>117</v>
      </c>
      <c r="C154" s="45" t="s">
        <v>181</v>
      </c>
      <c r="D154" s="44">
        <v>2040</v>
      </c>
      <c r="E154" s="261">
        <v>800</v>
      </c>
      <c r="F154" s="261">
        <v>800</v>
      </c>
      <c r="G154" s="704" t="b">
        <f t="shared" si="16"/>
        <v>1</v>
      </c>
      <c r="H154" s="224"/>
      <c r="I154" s="224"/>
      <c r="J154" s="45"/>
      <c r="K154" s="45"/>
    </row>
    <row r="155" spans="1:24">
      <c r="A155" s="238" t="s">
        <v>104</v>
      </c>
      <c r="B155" s="224" t="s">
        <v>117</v>
      </c>
      <c r="C155" s="45" t="s">
        <v>179</v>
      </c>
      <c r="D155" s="44">
        <v>2030</v>
      </c>
      <c r="E155" s="261">
        <v>500</v>
      </c>
      <c r="F155" s="261">
        <v>500</v>
      </c>
      <c r="G155" s="704" t="b">
        <f t="shared" si="16"/>
        <v>1</v>
      </c>
      <c r="H155" s="224"/>
      <c r="I155" s="224"/>
      <c r="J155" s="45"/>
      <c r="K155" s="45"/>
    </row>
    <row r="156" spans="1:24">
      <c r="A156" s="238" t="s">
        <v>104</v>
      </c>
      <c r="B156" s="224" t="s">
        <v>117</v>
      </c>
      <c r="C156" s="45" t="s">
        <v>181</v>
      </c>
      <c r="D156" s="44">
        <v>2040</v>
      </c>
      <c r="E156" s="261">
        <v>500</v>
      </c>
      <c r="F156" s="261">
        <v>500</v>
      </c>
      <c r="G156" s="704" t="b">
        <f t="shared" si="16"/>
        <v>1</v>
      </c>
      <c r="H156" s="224"/>
      <c r="I156" s="224"/>
      <c r="J156" s="45"/>
      <c r="K156" s="45"/>
    </row>
    <row r="157" spans="1:24">
      <c r="A157" s="238" t="s">
        <v>105</v>
      </c>
      <c r="B157" s="224" t="s">
        <v>117</v>
      </c>
      <c r="C157" s="45" t="s">
        <v>179</v>
      </c>
      <c r="D157" s="44">
        <v>2030</v>
      </c>
      <c r="E157" s="261">
        <v>500</v>
      </c>
      <c r="F157" s="261">
        <v>500</v>
      </c>
      <c r="G157" s="704"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04"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04"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04"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04"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04"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04"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04"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04"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04"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04"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04" t="b">
        <f t="shared" si="16"/>
        <v>1</v>
      </c>
      <c r="H168" s="224"/>
      <c r="I168" s="224"/>
      <c r="N168" s="246"/>
      <c r="R168" s="224"/>
      <c r="S168" s="224"/>
      <c r="U168" s="224"/>
    </row>
    <row r="169" spans="1:21">
      <c r="A169" s="238" t="s">
        <v>104</v>
      </c>
      <c r="B169" s="224" t="s">
        <v>119</v>
      </c>
      <c r="C169" s="45" t="s">
        <v>181</v>
      </c>
      <c r="D169" s="44">
        <v>2040</v>
      </c>
      <c r="E169" s="261">
        <v>500</v>
      </c>
      <c r="F169" s="261">
        <v>500</v>
      </c>
      <c r="G169" s="704" t="b">
        <f t="shared" si="16"/>
        <v>1</v>
      </c>
      <c r="H169" s="224"/>
      <c r="I169" s="224"/>
      <c r="N169" s="246"/>
      <c r="R169" s="224"/>
      <c r="S169" s="224"/>
      <c r="U169" s="224"/>
    </row>
    <row r="170" spans="1:21">
      <c r="A170" s="238" t="s">
        <v>105</v>
      </c>
      <c r="B170" s="224" t="s">
        <v>120</v>
      </c>
      <c r="C170" s="45" t="s">
        <v>179</v>
      </c>
      <c r="D170" s="44">
        <v>2040</v>
      </c>
      <c r="E170" s="261">
        <v>500</v>
      </c>
      <c r="F170" s="261">
        <v>500</v>
      </c>
      <c r="G170" s="704" t="b">
        <f t="shared" si="16"/>
        <v>1</v>
      </c>
      <c r="H170" s="224"/>
      <c r="I170" s="224"/>
      <c r="N170" s="246"/>
      <c r="R170" s="224"/>
      <c r="S170" s="224"/>
      <c r="U170" s="224"/>
    </row>
    <row r="171" spans="1:21">
      <c r="A171" s="238" t="s">
        <v>105</v>
      </c>
      <c r="B171" s="224" t="s">
        <v>120</v>
      </c>
      <c r="C171" s="45" t="s">
        <v>181</v>
      </c>
      <c r="D171" s="44">
        <v>2040</v>
      </c>
      <c r="E171" s="261">
        <v>500</v>
      </c>
      <c r="F171" s="261">
        <v>500</v>
      </c>
      <c r="G171" s="704" t="b">
        <f t="shared" si="16"/>
        <v>1</v>
      </c>
      <c r="H171" s="224"/>
      <c r="I171" s="224"/>
      <c r="N171" s="246"/>
      <c r="R171" s="224"/>
      <c r="S171" s="224"/>
      <c r="U171" s="224"/>
    </row>
    <row r="172" spans="1:21">
      <c r="A172" s="238" t="s">
        <v>105</v>
      </c>
      <c r="B172" s="224" t="s">
        <v>120</v>
      </c>
      <c r="C172" s="45" t="s">
        <v>190</v>
      </c>
      <c r="D172" s="44">
        <v>2040</v>
      </c>
      <c r="E172" s="261">
        <v>500</v>
      </c>
      <c r="F172" s="261">
        <v>500</v>
      </c>
      <c r="G172" s="704" t="b">
        <f t="shared" si="16"/>
        <v>1</v>
      </c>
      <c r="H172" s="224"/>
      <c r="I172" s="224"/>
      <c r="N172" s="246"/>
      <c r="R172" s="224"/>
      <c r="S172" s="224"/>
      <c r="U172" s="224"/>
    </row>
    <row r="173" spans="1:21">
      <c r="A173" s="240" t="s">
        <v>105</v>
      </c>
      <c r="B173" s="241" t="s">
        <v>120</v>
      </c>
      <c r="C173" s="242" t="s">
        <v>192</v>
      </c>
      <c r="D173" s="289">
        <v>2040</v>
      </c>
      <c r="E173" s="279">
        <v>500</v>
      </c>
      <c r="F173" s="279">
        <v>500</v>
      </c>
      <c r="G173" s="704" t="b">
        <f t="shared" si="16"/>
        <v>1</v>
      </c>
      <c r="H173" s="224"/>
      <c r="I173" s="224"/>
      <c r="N173" s="246"/>
      <c r="R173" s="224"/>
      <c r="S173" s="224"/>
      <c r="U173" s="224"/>
    </row>
    <row r="174" spans="1:21">
      <c r="A174" s="238" t="s">
        <v>106</v>
      </c>
      <c r="B174" s="224" t="s">
        <v>121</v>
      </c>
      <c r="C174" s="45" t="s">
        <v>183</v>
      </c>
      <c r="D174" s="44">
        <v>2030</v>
      </c>
      <c r="E174" s="261">
        <v>600</v>
      </c>
      <c r="F174" s="261">
        <v>600</v>
      </c>
      <c r="G174" s="704" t="b">
        <f t="shared" si="16"/>
        <v>1</v>
      </c>
      <c r="H174" s="224"/>
      <c r="I174" s="224"/>
      <c r="N174" s="45"/>
      <c r="R174" s="224"/>
      <c r="S174" s="224"/>
      <c r="U174" s="224"/>
    </row>
    <row r="175" spans="1:21">
      <c r="A175" s="238" t="s">
        <v>106</v>
      </c>
      <c r="B175" s="224" t="s">
        <v>121</v>
      </c>
      <c r="C175" s="45" t="s">
        <v>179</v>
      </c>
      <c r="D175" s="44">
        <v>2040</v>
      </c>
      <c r="E175" s="261">
        <v>500</v>
      </c>
      <c r="F175" s="261">
        <v>500</v>
      </c>
      <c r="G175" s="704" t="b">
        <f t="shared" si="16"/>
        <v>1</v>
      </c>
      <c r="H175" s="224"/>
      <c r="I175" s="224"/>
      <c r="N175" s="246"/>
      <c r="R175" s="224"/>
      <c r="S175" s="224"/>
      <c r="U175" s="224"/>
    </row>
    <row r="176" spans="1:21">
      <c r="A176" s="240" t="s">
        <v>106</v>
      </c>
      <c r="B176" s="241" t="s">
        <v>121</v>
      </c>
      <c r="C176" s="242" t="s">
        <v>181</v>
      </c>
      <c r="D176" s="289">
        <v>2040</v>
      </c>
      <c r="E176" s="279">
        <v>500</v>
      </c>
      <c r="F176" s="279">
        <v>500</v>
      </c>
      <c r="G176" s="704" t="b">
        <f t="shared" si="16"/>
        <v>1</v>
      </c>
      <c r="H176" s="224"/>
      <c r="I176" s="224"/>
      <c r="N176" s="246"/>
      <c r="R176" s="224"/>
      <c r="S176" s="224"/>
      <c r="U176" s="224"/>
    </row>
    <row r="177" spans="1:21">
      <c r="A177" s="239" t="s">
        <v>105</v>
      </c>
      <c r="B177" s="233" t="s">
        <v>122</v>
      </c>
      <c r="C177" s="234" t="s">
        <v>183</v>
      </c>
      <c r="D177" s="291">
        <v>2035</v>
      </c>
      <c r="E177" s="277">
        <v>500</v>
      </c>
      <c r="F177" s="277">
        <v>500</v>
      </c>
      <c r="G177" s="704" t="b">
        <f t="shared" si="16"/>
        <v>1</v>
      </c>
      <c r="H177" s="224"/>
      <c r="I177" s="224"/>
      <c r="N177" s="45"/>
      <c r="R177" s="224"/>
      <c r="S177" s="224"/>
      <c r="U177" s="224"/>
    </row>
    <row r="178" spans="1:21">
      <c r="A178" s="247" t="s">
        <v>99</v>
      </c>
      <c r="B178" s="248" t="s">
        <v>101</v>
      </c>
      <c r="C178" s="249" t="s">
        <v>179</v>
      </c>
      <c r="D178" s="292">
        <v>2030</v>
      </c>
      <c r="E178" s="276">
        <v>600</v>
      </c>
      <c r="F178" s="276">
        <v>600</v>
      </c>
      <c r="G178" s="704" t="b">
        <f t="shared" si="16"/>
        <v>1</v>
      </c>
      <c r="H178" s="224"/>
      <c r="I178" s="224"/>
      <c r="N178" s="45"/>
      <c r="R178" s="224"/>
      <c r="S178" s="224"/>
      <c r="U178" s="224"/>
    </row>
    <row r="179" spans="1:21">
      <c r="A179" s="238" t="s">
        <v>101</v>
      </c>
      <c r="B179" s="224" t="s">
        <v>120</v>
      </c>
      <c r="C179" s="45" t="s">
        <v>179</v>
      </c>
      <c r="D179" s="44">
        <v>2040</v>
      </c>
      <c r="E179" s="261">
        <v>1000</v>
      </c>
      <c r="F179" s="261">
        <v>1000</v>
      </c>
      <c r="G179" s="704" t="b">
        <f t="shared" si="16"/>
        <v>1</v>
      </c>
      <c r="H179" s="224"/>
      <c r="I179" s="224"/>
      <c r="N179" s="45"/>
      <c r="R179" s="224"/>
      <c r="S179" s="224"/>
      <c r="U179" s="224"/>
    </row>
    <row r="180" spans="1:21">
      <c r="A180" s="239" t="s">
        <v>101</v>
      </c>
      <c r="B180" s="233" t="s">
        <v>120</v>
      </c>
      <c r="C180" s="234" t="s">
        <v>181</v>
      </c>
      <c r="D180" s="291">
        <v>2040</v>
      </c>
      <c r="E180" s="277">
        <v>1000</v>
      </c>
      <c r="F180" s="277">
        <v>1000</v>
      </c>
      <c r="G180" s="704" t="b">
        <f t="shared" si="16"/>
        <v>1</v>
      </c>
      <c r="H180" s="224"/>
      <c r="I180" s="224"/>
      <c r="N180" s="45"/>
      <c r="R180" s="224"/>
      <c r="S180" s="224"/>
      <c r="U180" s="224"/>
    </row>
    <row r="181" spans="1:21">
      <c r="A181" s="235" t="s">
        <v>117</v>
      </c>
      <c r="B181" s="236" t="s">
        <v>119</v>
      </c>
      <c r="C181" s="237" t="s">
        <v>179</v>
      </c>
      <c r="D181" s="288">
        <v>2040</v>
      </c>
      <c r="E181" s="278">
        <v>500</v>
      </c>
      <c r="F181" s="278">
        <v>500</v>
      </c>
      <c r="G181" s="704" t="b">
        <f t="shared" si="16"/>
        <v>1</v>
      </c>
      <c r="H181" s="224"/>
      <c r="I181" s="224"/>
      <c r="N181" s="45"/>
    </row>
    <row r="182" spans="1:21">
      <c r="A182" s="239" t="s">
        <v>117</v>
      </c>
      <c r="B182" s="233" t="s">
        <v>119</v>
      </c>
      <c r="C182" s="234" t="s">
        <v>181</v>
      </c>
      <c r="D182" s="291">
        <v>2040</v>
      </c>
      <c r="E182" s="277">
        <v>500</v>
      </c>
      <c r="F182" s="277">
        <v>500</v>
      </c>
      <c r="G182" s="704" t="b">
        <f t="shared" si="16"/>
        <v>1</v>
      </c>
      <c r="H182" s="224"/>
      <c r="I182" s="224"/>
      <c r="N182" s="45"/>
    </row>
    <row r="183" spans="1:21">
      <c r="A183" s="235" t="s">
        <v>117</v>
      </c>
      <c r="B183" s="236" t="s">
        <v>123</v>
      </c>
      <c r="C183" s="237" t="s">
        <v>183</v>
      </c>
      <c r="D183" s="288">
        <v>2035</v>
      </c>
      <c r="E183" s="278">
        <v>700</v>
      </c>
      <c r="F183" s="278">
        <v>700</v>
      </c>
      <c r="G183" s="704" t="b">
        <f t="shared" si="16"/>
        <v>1</v>
      </c>
      <c r="H183" s="224"/>
      <c r="I183" s="224"/>
      <c r="N183" s="45"/>
    </row>
    <row r="184" spans="1:21">
      <c r="A184" s="238" t="s">
        <v>117</v>
      </c>
      <c r="B184" s="224" t="s">
        <v>123</v>
      </c>
      <c r="C184" s="45" t="s">
        <v>179</v>
      </c>
      <c r="D184" s="44">
        <v>2030</v>
      </c>
      <c r="E184" s="261">
        <v>700</v>
      </c>
      <c r="F184" s="261">
        <v>700</v>
      </c>
      <c r="G184" s="704" t="b">
        <f t="shared" si="16"/>
        <v>1</v>
      </c>
      <c r="H184" s="224"/>
      <c r="I184" s="224"/>
      <c r="N184" s="45"/>
    </row>
    <row r="185" spans="1:21">
      <c r="A185" s="239" t="s">
        <v>117</v>
      </c>
      <c r="B185" s="233" t="s">
        <v>123</v>
      </c>
      <c r="C185" s="234" t="s">
        <v>181</v>
      </c>
      <c r="D185" s="291">
        <v>2040</v>
      </c>
      <c r="E185" s="277">
        <v>700</v>
      </c>
      <c r="F185" s="277">
        <v>700</v>
      </c>
      <c r="G185" s="704" t="b">
        <f t="shared" si="16"/>
        <v>1</v>
      </c>
      <c r="H185" s="224"/>
      <c r="I185" s="224"/>
      <c r="N185" s="45"/>
    </row>
    <row r="186" spans="1:21">
      <c r="A186" s="235" t="s">
        <v>121</v>
      </c>
      <c r="B186" s="236" t="s">
        <v>122</v>
      </c>
      <c r="C186" s="237" t="s">
        <v>179</v>
      </c>
      <c r="D186" s="288">
        <v>2030</v>
      </c>
      <c r="E186" s="278">
        <v>500</v>
      </c>
      <c r="F186" s="278">
        <v>500</v>
      </c>
      <c r="G186" s="704" t="b">
        <f t="shared" si="16"/>
        <v>1</v>
      </c>
      <c r="H186" s="224"/>
      <c r="I186" s="224"/>
      <c r="N186" s="246"/>
    </row>
    <row r="187" spans="1:21">
      <c r="A187" s="238" t="s">
        <v>121</v>
      </c>
      <c r="B187" s="224" t="s">
        <v>122</v>
      </c>
      <c r="C187" s="45" t="s">
        <v>181</v>
      </c>
      <c r="D187" s="44">
        <v>2030</v>
      </c>
      <c r="E187" s="261">
        <v>500</v>
      </c>
      <c r="F187" s="261">
        <v>500</v>
      </c>
      <c r="G187" s="704" t="b">
        <f t="shared" si="16"/>
        <v>1</v>
      </c>
      <c r="H187" s="224"/>
      <c r="I187" s="224"/>
      <c r="N187" s="246"/>
    </row>
    <row r="188" spans="1:21">
      <c r="A188" s="239" t="s">
        <v>121</v>
      </c>
      <c r="B188" s="233" t="s">
        <v>122</v>
      </c>
      <c r="C188" s="234" t="s">
        <v>190</v>
      </c>
      <c r="D188" s="291">
        <v>2030</v>
      </c>
      <c r="E188" s="277">
        <v>500</v>
      </c>
      <c r="F188" s="277">
        <v>500</v>
      </c>
      <c r="G188" s="704" t="b">
        <f t="shared" si="16"/>
        <v>1</v>
      </c>
      <c r="H188" s="224"/>
      <c r="I188" s="224"/>
      <c r="N188" s="246"/>
    </row>
    <row r="189" spans="1:21">
      <c r="A189" s="235" t="s">
        <v>122</v>
      </c>
      <c r="B189" s="236" t="s">
        <v>123</v>
      </c>
      <c r="C189" s="237" t="s">
        <v>183</v>
      </c>
      <c r="D189" s="288">
        <v>2035</v>
      </c>
      <c r="E189" s="278">
        <v>1000</v>
      </c>
      <c r="F189" s="278">
        <v>1000</v>
      </c>
      <c r="G189" s="704" t="b">
        <f t="shared" si="16"/>
        <v>1</v>
      </c>
      <c r="H189" s="224"/>
      <c r="I189" s="224"/>
      <c r="N189" s="45"/>
    </row>
    <row r="190" spans="1:21">
      <c r="A190" s="238" t="s">
        <v>122</v>
      </c>
      <c r="B190" s="224" t="s">
        <v>123</v>
      </c>
      <c r="C190" s="45" t="s">
        <v>179</v>
      </c>
      <c r="D190" s="44">
        <v>2030</v>
      </c>
      <c r="E190" s="261">
        <v>1000</v>
      </c>
      <c r="F190" s="261">
        <v>1000</v>
      </c>
      <c r="G190" s="704" t="b">
        <f t="shared" si="16"/>
        <v>1</v>
      </c>
      <c r="H190" s="224"/>
      <c r="I190" s="224"/>
      <c r="N190" s="45"/>
    </row>
    <row r="191" spans="1:21">
      <c r="A191" s="239" t="s">
        <v>122</v>
      </c>
      <c r="B191" s="233" t="s">
        <v>123</v>
      </c>
      <c r="C191" s="234" t="s">
        <v>181</v>
      </c>
      <c r="D191" s="291">
        <v>2040</v>
      </c>
      <c r="E191" s="277">
        <v>1000</v>
      </c>
      <c r="F191" s="277">
        <v>1000</v>
      </c>
      <c r="G191" s="704" t="b">
        <f t="shared" si="16"/>
        <v>1</v>
      </c>
      <c r="H191" s="224"/>
      <c r="I191" s="224"/>
      <c r="N191" s="45"/>
    </row>
    <row r="192" spans="1:21">
      <c r="E192" s="70">
        <f>SUM(E77:E191)</f>
        <v>95650</v>
      </c>
      <c r="F192" s="70">
        <f>SUM(F77:F191)</f>
        <v>95550</v>
      </c>
      <c r="G192" s="45"/>
    </row>
    <row r="193" spans="1:23">
      <c r="E193" s="70"/>
      <c r="F193" s="70"/>
      <c r="G193" s="45"/>
    </row>
    <row r="194" spans="1:23">
      <c r="A194" s="87" t="s">
        <v>463</v>
      </c>
      <c r="B194" s="77"/>
      <c r="C194" s="77"/>
      <c r="D194" s="77"/>
      <c r="E194" s="77"/>
      <c r="G194" s="45"/>
      <c r="H194" s="73" t="s">
        <v>942</v>
      </c>
      <c r="I194" s="73"/>
      <c r="J194" s="73"/>
      <c r="K194" s="73"/>
      <c r="L194" s="73"/>
      <c r="M194" s="73"/>
      <c r="N194" s="73"/>
      <c r="O194" s="73"/>
      <c r="P194" s="73"/>
      <c r="Q194" s="73"/>
      <c r="R194" s="73"/>
      <c r="S194" s="73"/>
      <c r="T194" s="73"/>
      <c r="U194" s="73"/>
    </row>
    <row r="195" spans="1:23" ht="14.4" customHeight="1">
      <c r="A195" s="271" t="s">
        <v>945</v>
      </c>
      <c r="B195" s="220" t="s">
        <v>946</v>
      </c>
      <c r="C195" s="220" t="s">
        <v>174</v>
      </c>
      <c r="D195" s="220" t="s">
        <v>175</v>
      </c>
      <c r="E195" s="19"/>
      <c r="G195" s="45"/>
      <c r="H195" s="77" t="s">
        <v>940</v>
      </c>
      <c r="I195" s="77"/>
      <c r="J195" s="77"/>
      <c r="K195" s="77"/>
      <c r="M195" s="77" t="s">
        <v>953</v>
      </c>
      <c r="N195" s="77"/>
      <c r="O195" s="77"/>
      <c r="P195" s="77"/>
      <c r="R195" s="742" t="s">
        <v>956</v>
      </c>
      <c r="S195" s="742"/>
      <c r="T195" s="742"/>
      <c r="U195" s="742"/>
    </row>
    <row r="196" spans="1:23">
      <c r="A196" s="250" t="s">
        <v>26</v>
      </c>
      <c r="B196" s="46" t="s">
        <v>126</v>
      </c>
      <c r="C196" s="270">
        <f>SUM(E77:E78)</f>
        <v>2000</v>
      </c>
      <c r="D196" s="270">
        <f>SUM(F77:F78)</f>
        <v>2000</v>
      </c>
      <c r="E196" s="270"/>
      <c r="G196" s="45"/>
      <c r="H196" s="740" t="s">
        <v>950</v>
      </c>
      <c r="I196" s="740"/>
      <c r="J196" s="740"/>
      <c r="K196" s="740"/>
      <c r="R196" s="742"/>
      <c r="S196" s="742"/>
      <c r="T196" s="742"/>
      <c r="U196" s="742"/>
    </row>
    <row r="197" spans="1:23">
      <c r="A197" s="250" t="s">
        <v>26</v>
      </c>
      <c r="B197" s="46" t="s">
        <v>75</v>
      </c>
      <c r="C197" s="270">
        <f>E79</f>
        <v>1400</v>
      </c>
      <c r="D197" s="270">
        <f>F79</f>
        <v>1400</v>
      </c>
      <c r="E197" s="270"/>
      <c r="G197" s="45"/>
      <c r="H197" s="740"/>
      <c r="I197" s="740"/>
      <c r="J197" s="740"/>
      <c r="K197" s="740"/>
      <c r="R197" s="18" t="s">
        <v>954</v>
      </c>
      <c r="S197" s="18" t="s">
        <v>955</v>
      </c>
      <c r="T197" s="18" t="s">
        <v>453</v>
      </c>
      <c r="U197" s="18" t="s">
        <v>452</v>
      </c>
    </row>
    <row r="198" spans="1:23">
      <c r="A198" s="250" t="s">
        <v>26</v>
      </c>
      <c r="B198" s="46" t="s">
        <v>138</v>
      </c>
      <c r="C198" s="270">
        <f>SUM(E80:E81)</f>
        <v>4000</v>
      </c>
      <c r="D198" s="270">
        <f>SUM(F80:F81)</f>
        <v>4000</v>
      </c>
      <c r="E198" s="270"/>
      <c r="G198" s="45"/>
      <c r="H198" s="740" t="s">
        <v>951</v>
      </c>
      <c r="I198" s="740"/>
      <c r="J198" s="740"/>
      <c r="K198" s="740"/>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740"/>
      <c r="I199" s="740"/>
      <c r="J199" s="740"/>
      <c r="K199" s="740"/>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941</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740" t="s">
        <v>947</v>
      </c>
      <c r="I207" s="740"/>
      <c r="J207" s="740"/>
      <c r="K207" s="740"/>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740"/>
      <c r="I208" s="740"/>
      <c r="J208" s="740"/>
      <c r="K208" s="740"/>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740"/>
      <c r="I209" s="740"/>
      <c r="J209" s="740"/>
      <c r="K209" s="740"/>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740" t="s">
        <v>948</v>
      </c>
      <c r="I210" s="740"/>
      <c r="J210" s="740"/>
      <c r="K210" s="740"/>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740"/>
      <c r="I211" s="740"/>
      <c r="J211" s="740"/>
      <c r="K211" s="740"/>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727" t="s">
        <v>949</v>
      </c>
      <c r="I217" s="727"/>
      <c r="J217" s="727"/>
      <c r="K217" s="727"/>
      <c r="R217" s="224" t="s">
        <v>464</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740" t="s">
        <v>952</v>
      </c>
      <c r="I218" s="740"/>
      <c r="J218" s="740"/>
      <c r="K218" s="740"/>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740"/>
      <c r="I219" s="740"/>
      <c r="J219" s="740"/>
      <c r="K219" s="740"/>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04" t="s">
        <v>107</v>
      </c>
      <c r="I220" s="704"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68"/>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05" t="s">
        <v>110</v>
      </c>
      <c r="I227" s="705"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34" t="s">
        <v>503</v>
      </c>
      <c r="B1" s="734"/>
      <c r="C1" s="734" t="s">
        <v>489</v>
      </c>
      <c r="D1" s="734"/>
      <c r="E1" s="734"/>
      <c r="F1" s="734"/>
      <c r="G1" s="734"/>
      <c r="H1" s="734"/>
      <c r="I1" s="734"/>
      <c r="J1" s="734"/>
      <c r="K1" s="734"/>
      <c r="L1" s="734"/>
      <c r="M1" s="734"/>
      <c r="N1" s="734"/>
      <c r="O1" s="734"/>
      <c r="P1" s="734"/>
      <c r="Q1" s="734"/>
      <c r="R1" s="734"/>
      <c r="S1" s="734"/>
      <c r="T1" s="734"/>
    </row>
    <row r="2" spans="1:22" ht="14.4" customHeight="1">
      <c r="A2" s="734" t="s">
        <v>166</v>
      </c>
      <c r="B2" s="734"/>
      <c r="C2" s="737" t="s">
        <v>501</v>
      </c>
      <c r="D2" s="737"/>
      <c r="E2" s="737"/>
      <c r="F2" s="737"/>
      <c r="G2" s="737"/>
      <c r="H2" s="737"/>
      <c r="I2" s="737"/>
      <c r="J2" s="737"/>
      <c r="K2" s="737"/>
      <c r="L2" s="737"/>
      <c r="M2" s="737"/>
      <c r="N2" s="737"/>
      <c r="O2" s="737"/>
      <c r="P2" s="737"/>
      <c r="Q2" s="737"/>
      <c r="R2" s="737"/>
      <c r="S2" s="737"/>
      <c r="T2" s="737"/>
      <c r="U2" s="20"/>
      <c r="V2" s="20"/>
    </row>
    <row r="3" spans="1:22" ht="15" customHeight="1">
      <c r="A3" s="740" t="s">
        <v>167</v>
      </c>
      <c r="B3" s="740"/>
      <c r="C3" s="740" t="s">
        <v>168</v>
      </c>
      <c r="D3" s="740"/>
      <c r="E3" s="740"/>
      <c r="F3" s="740"/>
      <c r="G3" s="740"/>
      <c r="H3" s="740"/>
      <c r="I3" s="740"/>
      <c r="J3" s="740"/>
      <c r="K3" s="740"/>
      <c r="L3" s="740"/>
      <c r="M3" s="740"/>
      <c r="N3" s="740"/>
      <c r="O3" s="740"/>
      <c r="P3" s="740"/>
      <c r="Q3" s="740"/>
      <c r="R3" s="740"/>
      <c r="S3" s="740"/>
      <c r="T3" s="740"/>
    </row>
    <row r="4" spans="1:22" ht="43.95" customHeight="1">
      <c r="A4" s="738" t="s">
        <v>169</v>
      </c>
      <c r="B4" s="738"/>
      <c r="C4" s="738" t="s">
        <v>502</v>
      </c>
      <c r="D4" s="738"/>
      <c r="E4" s="738"/>
      <c r="F4" s="738"/>
      <c r="G4" s="738"/>
      <c r="H4" s="738"/>
      <c r="I4" s="738"/>
      <c r="J4" s="738"/>
      <c r="K4" s="738"/>
      <c r="L4" s="738"/>
      <c r="M4" s="738"/>
      <c r="N4" s="738"/>
      <c r="O4" s="738"/>
      <c r="P4" s="738"/>
      <c r="Q4" s="738"/>
      <c r="R4" s="738"/>
      <c r="S4" s="738"/>
      <c r="T4" s="738"/>
    </row>
    <row r="5" spans="1:22" ht="30.6" customHeight="1">
      <c r="A5" s="738" t="s">
        <v>488</v>
      </c>
      <c r="B5" s="738"/>
      <c r="C5" s="738" t="s">
        <v>507</v>
      </c>
      <c r="D5" s="738"/>
      <c r="E5" s="738"/>
      <c r="F5" s="738"/>
      <c r="G5" s="738"/>
      <c r="H5" s="738"/>
      <c r="I5" s="738"/>
      <c r="J5" s="738"/>
      <c r="K5" s="738"/>
      <c r="L5" s="738"/>
      <c r="M5" s="738"/>
      <c r="N5" s="738"/>
      <c r="O5" s="738"/>
      <c r="P5" s="738"/>
      <c r="Q5" s="738"/>
      <c r="R5" s="738"/>
      <c r="S5" s="738"/>
      <c r="T5" s="738"/>
    </row>
    <row r="6" spans="1:22" ht="61.5" customHeight="1">
      <c r="A6" s="738" t="s">
        <v>500</v>
      </c>
      <c r="B6" s="738"/>
      <c r="C6" s="738" t="s">
        <v>506</v>
      </c>
      <c r="D6" s="738"/>
      <c r="E6" s="738"/>
      <c r="F6" s="738"/>
      <c r="G6" s="738"/>
      <c r="H6" s="738"/>
      <c r="I6" s="738"/>
      <c r="J6" s="738"/>
      <c r="K6" s="738"/>
      <c r="L6" s="738"/>
      <c r="M6" s="738"/>
      <c r="N6" s="738"/>
      <c r="O6" s="738"/>
      <c r="P6" s="738"/>
      <c r="Q6" s="738"/>
      <c r="R6" s="738"/>
      <c r="S6" s="738"/>
      <c r="T6" s="738"/>
    </row>
    <row r="7" spans="1:22">
      <c r="A7" s="739" t="s">
        <v>656</v>
      </c>
      <c r="B7" s="739"/>
      <c r="C7" s="743" t="s">
        <v>657</v>
      </c>
      <c r="D7" s="743"/>
      <c r="E7" s="743"/>
      <c r="F7" s="743"/>
      <c r="G7" s="743"/>
      <c r="H7" s="743"/>
      <c r="I7" s="743"/>
      <c r="J7" s="743"/>
      <c r="K7" s="743"/>
      <c r="L7" s="743"/>
      <c r="M7" s="743"/>
      <c r="N7" s="743"/>
      <c r="O7" s="743"/>
      <c r="P7" s="743"/>
      <c r="Q7" s="743"/>
      <c r="R7" s="743"/>
      <c r="S7" s="743"/>
      <c r="T7" s="743"/>
      <c r="U7" s="557"/>
      <c r="V7" s="557"/>
    </row>
    <row r="9" spans="1:22">
      <c r="A9" s="727" t="s">
        <v>504</v>
      </c>
      <c r="B9" s="727"/>
      <c r="C9" s="727"/>
      <c r="D9" s="727"/>
      <c r="F9" s="727" t="s">
        <v>491</v>
      </c>
      <c r="G9" s="727"/>
      <c r="H9" s="727"/>
      <c r="I9" s="727"/>
      <c r="J9" s="727"/>
      <c r="L9" s="727" t="s">
        <v>499</v>
      </c>
      <c r="M9" s="727"/>
      <c r="N9" s="727"/>
      <c r="O9" s="727"/>
      <c r="Q9" s="727" t="s">
        <v>500</v>
      </c>
      <c r="R9" s="727"/>
      <c r="S9" s="727"/>
      <c r="T9" s="727"/>
      <c r="U9" s="727"/>
      <c r="V9" s="727"/>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677</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684">
        <f t="shared" ref="U11:V15" si="1">N11</f>
        <v>8000</v>
      </c>
      <c r="V11" s="684">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684">
        <f t="shared" si="1"/>
        <v>4170</v>
      </c>
      <c r="V12" s="684">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684">
        <f t="shared" si="1"/>
        <v>500</v>
      </c>
      <c r="V13" s="684">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684">
        <f t="shared" si="1"/>
        <v>3790</v>
      </c>
      <c r="V14" s="684">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685">
        <f>N16</f>
        <v>21000</v>
      </c>
      <c r="V16" s="685">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684">
        <f t="shared" ref="U17:V21" si="4">N17</f>
        <v>9000</v>
      </c>
      <c r="V17" s="684">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685">
        <f t="shared" si="4"/>
        <v>4500</v>
      </c>
      <c r="V18" s="685">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686">
        <f t="shared" si="4"/>
        <v>4170</v>
      </c>
      <c r="V20" s="686">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685">
        <f>N23</f>
        <v>21000</v>
      </c>
      <c r="V25" s="685">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684">
        <f t="shared" ref="U27:V30" si="6">N24</f>
        <v>21000</v>
      </c>
      <c r="V27" s="684">
        <f t="shared" si="6"/>
        <v>21000</v>
      </c>
    </row>
    <row r="28" spans="1:22">
      <c r="Q28" s="225" t="s">
        <v>117</v>
      </c>
      <c r="R28" s="225" t="s">
        <v>123</v>
      </c>
      <c r="S28" s="225" t="str">
        <f t="shared" si="2"/>
        <v>FI00-EE00</v>
      </c>
      <c r="T28" s="225"/>
      <c r="U28" s="685">
        <f t="shared" si="6"/>
        <v>8330</v>
      </c>
      <c r="V28" s="551">
        <f t="shared" si="6"/>
        <v>4205</v>
      </c>
    </row>
    <row r="29" spans="1:22">
      <c r="F29" s="727" t="s">
        <v>505</v>
      </c>
      <c r="G29" s="727"/>
      <c r="H29" s="727"/>
      <c r="Q29" s="282" t="s">
        <v>121</v>
      </c>
      <c r="R29" s="282" t="s">
        <v>122</v>
      </c>
      <c r="S29" s="282" t="str">
        <f t="shared" si="2"/>
        <v>LT00-LV00</v>
      </c>
      <c r="T29" s="282"/>
      <c r="U29" s="686">
        <f t="shared" si="6"/>
        <v>4170</v>
      </c>
      <c r="V29" s="686">
        <f t="shared" si="6"/>
        <v>8330</v>
      </c>
    </row>
    <row r="30" spans="1:22">
      <c r="F30" s="19"/>
      <c r="G30" s="19" t="s">
        <v>447</v>
      </c>
      <c r="H30" s="19" t="s">
        <v>351</v>
      </c>
      <c r="Q30" s="282" t="s">
        <v>122</v>
      </c>
      <c r="R30" s="282" t="s">
        <v>123</v>
      </c>
      <c r="S30" s="225" t="str">
        <f t="shared" si="2"/>
        <v>LV00-EE00</v>
      </c>
      <c r="T30" s="225"/>
      <c r="U30" s="686">
        <f t="shared" si="6"/>
        <v>4170</v>
      </c>
      <c r="V30" s="686">
        <f t="shared" si="6"/>
        <v>8330</v>
      </c>
    </row>
    <row r="31" spans="1:22">
      <c r="F31" s="37" t="s">
        <v>495</v>
      </c>
      <c r="G31" s="113">
        <v>-2283</v>
      </c>
      <c r="H31" s="113">
        <v>3586</v>
      </c>
    </row>
    <row r="32" spans="1:22">
      <c r="F32" s="37" t="s">
        <v>494</v>
      </c>
      <c r="G32" s="113">
        <v>-8333</v>
      </c>
      <c r="H32" s="113">
        <v>8333</v>
      </c>
      <c r="J32" s="44"/>
      <c r="K32" s="224"/>
      <c r="L32" s="224"/>
      <c r="M32" s="45"/>
      <c r="N32" s="44"/>
      <c r="O32" s="224"/>
      <c r="P32" s="224"/>
      <c r="Q32" s="45"/>
    </row>
    <row r="33" spans="1:17">
      <c r="A33" s="224"/>
      <c r="B33" s="224"/>
      <c r="E33" s="43"/>
      <c r="F33" s="224" t="s">
        <v>493</v>
      </c>
      <c r="G33" s="113">
        <v>-4836</v>
      </c>
      <c r="H33" s="302">
        <v>5016</v>
      </c>
      <c r="J33" s="44"/>
      <c r="K33" s="224"/>
      <c r="L33" s="224"/>
      <c r="M33" s="45"/>
      <c r="N33" s="44"/>
      <c r="O33" s="224"/>
      <c r="P33" s="224"/>
      <c r="Q33" s="45"/>
    </row>
    <row r="34" spans="1:17">
      <c r="A34" s="224"/>
      <c r="B34" s="224"/>
      <c r="E34" s="43"/>
      <c r="F34" s="37" t="s">
        <v>497</v>
      </c>
      <c r="G34" s="113">
        <v>-796</v>
      </c>
      <c r="H34" s="113">
        <v>1149</v>
      </c>
    </row>
    <row r="35" spans="1:17">
      <c r="A35" s="224"/>
      <c r="B35" s="224"/>
      <c r="E35" s="43"/>
      <c r="F35" s="37" t="s">
        <v>496</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A1:B1"/>
    <mergeCell ref="A2:B2"/>
    <mergeCell ref="A3:B3"/>
    <mergeCell ref="C1:T1"/>
    <mergeCell ref="C2:T2"/>
    <mergeCell ref="A4:B4"/>
    <mergeCell ref="A9:D9"/>
    <mergeCell ref="F9:J9"/>
    <mergeCell ref="A6:B6"/>
    <mergeCell ref="A5:B5"/>
    <mergeCell ref="A7:B7"/>
    <mergeCell ref="C7:T7"/>
    <mergeCell ref="F29:H29"/>
    <mergeCell ref="C4:T4"/>
    <mergeCell ref="C3:T3"/>
    <mergeCell ref="C6:T6"/>
    <mergeCell ref="C5:T5"/>
    <mergeCell ref="L9:O9"/>
    <mergeCell ref="Q9:V9"/>
  </mergeCells>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626</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45" t="s">
        <v>620</v>
      </c>
      <c r="C2" s="745"/>
      <c r="D2" s="745"/>
      <c r="E2" s="745"/>
      <c r="F2" s="745"/>
      <c r="G2" s="745"/>
      <c r="H2" s="745"/>
      <c r="I2" s="745"/>
      <c r="J2" s="745"/>
      <c r="K2" s="745"/>
      <c r="L2" s="745"/>
      <c r="M2" s="745"/>
      <c r="N2" s="745"/>
      <c r="O2" s="745"/>
      <c r="P2" s="745"/>
      <c r="Q2" s="745"/>
      <c r="R2" s="745"/>
      <c r="S2" s="745"/>
      <c r="T2" s="745"/>
      <c r="U2" s="745"/>
      <c r="V2" s="745"/>
    </row>
    <row r="3" spans="1:25">
      <c r="A3" s="3"/>
      <c r="B3" s="745"/>
      <c r="C3" s="745"/>
      <c r="D3" s="745"/>
      <c r="E3" s="745"/>
      <c r="F3" s="745"/>
      <c r="G3" s="745"/>
      <c r="H3" s="745"/>
      <c r="I3" s="745"/>
      <c r="J3" s="745"/>
      <c r="K3" s="745"/>
      <c r="L3" s="745"/>
      <c r="M3" s="745"/>
      <c r="N3" s="745"/>
      <c r="O3" s="745"/>
      <c r="P3" s="745"/>
      <c r="Q3" s="745"/>
      <c r="R3" s="745"/>
      <c r="S3" s="745"/>
      <c r="T3" s="745"/>
      <c r="U3" s="745"/>
      <c r="V3" s="745"/>
    </row>
    <row r="4" spans="1:25">
      <c r="A4" s="3"/>
      <c r="B4" s="745"/>
      <c r="C4" s="745"/>
      <c r="D4" s="745"/>
      <c r="E4" s="745"/>
      <c r="F4" s="745"/>
      <c r="G4" s="745"/>
      <c r="H4" s="745"/>
      <c r="I4" s="745"/>
      <c r="J4" s="745"/>
      <c r="K4" s="745"/>
      <c r="L4" s="745"/>
      <c r="M4" s="745"/>
      <c r="N4" s="745"/>
      <c r="O4" s="745"/>
      <c r="P4" s="745"/>
      <c r="Q4" s="745"/>
      <c r="R4" s="745"/>
      <c r="S4" s="745"/>
      <c r="T4" s="745"/>
      <c r="U4" s="745"/>
      <c r="V4" s="745"/>
    </row>
    <row r="5" spans="1:25">
      <c r="A5" s="3"/>
      <c r="B5" s="745"/>
      <c r="C5" s="745"/>
      <c r="D5" s="745"/>
      <c r="E5" s="745"/>
      <c r="F5" s="745"/>
      <c r="G5" s="745"/>
      <c r="H5" s="745"/>
      <c r="I5" s="745"/>
      <c r="J5" s="745"/>
      <c r="K5" s="745"/>
      <c r="L5" s="745"/>
      <c r="M5" s="745"/>
      <c r="N5" s="745"/>
      <c r="O5" s="745"/>
      <c r="P5" s="745"/>
      <c r="Q5" s="745"/>
      <c r="R5" s="745"/>
      <c r="S5" s="745"/>
      <c r="T5" s="745"/>
      <c r="U5" s="745"/>
      <c r="V5" s="745"/>
    </row>
    <row r="6" spans="1:25" ht="15" customHeight="1">
      <c r="A6" s="3" t="s">
        <v>580</v>
      </c>
      <c r="B6" s="746" t="s">
        <v>621</v>
      </c>
      <c r="C6" s="746"/>
      <c r="D6" s="746"/>
      <c r="E6" s="746"/>
      <c r="F6" s="746"/>
      <c r="G6" s="746"/>
      <c r="H6" s="746"/>
      <c r="I6" s="746"/>
      <c r="J6" s="746"/>
      <c r="K6" s="746"/>
      <c r="L6" s="746"/>
      <c r="M6" s="746"/>
      <c r="N6" s="746"/>
      <c r="O6" s="746"/>
      <c r="P6" s="746"/>
      <c r="Q6" s="746"/>
      <c r="R6" s="746"/>
      <c r="S6" s="746"/>
      <c r="T6" s="746"/>
      <c r="U6" s="746"/>
      <c r="V6" s="746"/>
    </row>
    <row r="7" spans="1:25">
      <c r="A7" s="3"/>
      <c r="B7" s="746"/>
      <c r="C7" s="746"/>
      <c r="D7" s="746"/>
      <c r="E7" s="746"/>
      <c r="F7" s="746"/>
      <c r="G7" s="746"/>
      <c r="H7" s="746"/>
      <c r="I7" s="746"/>
      <c r="J7" s="746"/>
      <c r="K7" s="746"/>
      <c r="L7" s="746"/>
      <c r="M7" s="746"/>
      <c r="N7" s="746"/>
      <c r="O7" s="746"/>
      <c r="P7" s="746"/>
      <c r="Q7" s="746"/>
      <c r="R7" s="746"/>
      <c r="S7" s="746"/>
      <c r="T7" s="746"/>
      <c r="U7" s="746"/>
      <c r="V7" s="746"/>
    </row>
    <row r="8" spans="1:25">
      <c r="A8" s="3"/>
      <c r="B8" s="746"/>
      <c r="C8" s="746"/>
      <c r="D8" s="746"/>
      <c r="E8" s="746"/>
      <c r="F8" s="746"/>
      <c r="G8" s="746"/>
      <c r="H8" s="746"/>
      <c r="I8" s="746"/>
      <c r="J8" s="746"/>
      <c r="K8" s="746"/>
      <c r="L8" s="746"/>
      <c r="M8" s="746"/>
      <c r="N8" s="746"/>
      <c r="O8" s="746"/>
      <c r="P8" s="746"/>
      <c r="Q8" s="746"/>
      <c r="R8" s="746"/>
      <c r="S8" s="746"/>
      <c r="T8" s="746"/>
      <c r="U8" s="746"/>
      <c r="V8" s="746"/>
    </row>
    <row r="9" spans="1:25">
      <c r="A9" s="3"/>
      <c r="B9" s="746"/>
      <c r="C9" s="746"/>
      <c r="D9" s="746"/>
      <c r="E9" s="746"/>
      <c r="F9" s="746"/>
      <c r="G9" s="746"/>
      <c r="H9" s="746"/>
      <c r="I9" s="746"/>
      <c r="J9" s="746"/>
      <c r="K9" s="746"/>
      <c r="L9" s="746"/>
      <c r="M9" s="746"/>
      <c r="N9" s="746"/>
      <c r="O9" s="746"/>
      <c r="P9" s="746"/>
      <c r="Q9" s="746"/>
      <c r="R9" s="746"/>
      <c r="S9" s="746"/>
      <c r="T9" s="746"/>
      <c r="U9" s="746"/>
      <c r="V9" s="746"/>
    </row>
    <row r="10" spans="1:25">
      <c r="A10" s="3"/>
      <c r="B10" s="746"/>
      <c r="C10" s="746"/>
      <c r="D10" s="746"/>
      <c r="E10" s="746"/>
      <c r="F10" s="746"/>
      <c r="G10" s="746"/>
      <c r="H10" s="746"/>
      <c r="I10" s="746"/>
      <c r="J10" s="746"/>
      <c r="K10" s="746"/>
      <c r="L10" s="746"/>
      <c r="M10" s="746"/>
      <c r="N10" s="746"/>
      <c r="O10" s="746"/>
      <c r="P10" s="746"/>
      <c r="Q10" s="746"/>
      <c r="R10" s="746"/>
      <c r="S10" s="746"/>
      <c r="T10" s="746"/>
      <c r="U10" s="746"/>
      <c r="V10" s="746"/>
    </row>
    <row r="11" spans="1:25">
      <c r="A11" s="3" t="s">
        <v>622</v>
      </c>
      <c r="B11" s="744" t="s">
        <v>623</v>
      </c>
      <c r="C11" s="744"/>
      <c r="D11" s="744"/>
      <c r="E11" s="744"/>
      <c r="F11" s="744"/>
      <c r="G11" s="744"/>
      <c r="H11" s="744"/>
      <c r="I11" s="744"/>
      <c r="J11" s="744"/>
      <c r="K11" s="744"/>
      <c r="L11" s="744"/>
      <c r="M11" s="744"/>
      <c r="N11" s="744"/>
      <c r="O11" s="744"/>
      <c r="P11" s="744"/>
      <c r="Q11" s="744"/>
      <c r="R11" s="744"/>
      <c r="S11" s="744"/>
      <c r="T11" s="744"/>
      <c r="U11" s="744"/>
      <c r="V11" s="744"/>
    </row>
    <row r="12" spans="1:25">
      <c r="A12" s="3" t="s">
        <v>628</v>
      </c>
      <c r="B12" s="744" t="s">
        <v>627</v>
      </c>
      <c r="C12" s="744"/>
      <c r="D12" s="744"/>
      <c r="E12" s="744"/>
      <c r="F12" s="744"/>
      <c r="G12" s="744"/>
      <c r="H12" s="744"/>
      <c r="I12" s="744"/>
      <c r="J12" s="744"/>
      <c r="K12" s="744"/>
      <c r="L12" s="744"/>
      <c r="M12" s="744"/>
      <c r="N12" s="744"/>
      <c r="O12" s="744"/>
      <c r="P12" s="744"/>
      <c r="Q12" s="744"/>
      <c r="R12" s="744"/>
      <c r="S12" s="744"/>
      <c r="T12" s="744"/>
      <c r="U12" s="744"/>
      <c r="V12" s="744"/>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630</v>
      </c>
      <c r="B14" s="40"/>
      <c r="C14" s="40"/>
      <c r="D14" s="40"/>
      <c r="E14" s="40"/>
      <c r="F14" s="40"/>
      <c r="G14" s="40"/>
      <c r="H14" s="40"/>
      <c r="I14" s="40"/>
      <c r="J14" s="40"/>
      <c r="K14" s="40"/>
      <c r="L14" s="40"/>
      <c r="M14" s="40"/>
      <c r="N14" s="40"/>
      <c r="O14" s="40"/>
      <c r="P14" s="40"/>
      <c r="Q14" s="40"/>
      <c r="R14" s="40"/>
      <c r="S14" s="40"/>
      <c r="T14" s="40"/>
      <c r="U14" s="40"/>
      <c r="V14" s="40"/>
    </row>
    <row r="15" spans="1:25">
      <c r="A15" s="57" t="s">
        <v>625</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446</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447</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624</v>
      </c>
      <c r="C21" s="518" t="s">
        <v>449</v>
      </c>
      <c r="D21" s="518" t="s">
        <v>449</v>
      </c>
      <c r="E21" s="518" t="s">
        <v>449</v>
      </c>
      <c r="F21" s="518" t="s">
        <v>450</v>
      </c>
      <c r="G21" s="518" t="s">
        <v>450</v>
      </c>
      <c r="H21" s="518" t="s">
        <v>449</v>
      </c>
      <c r="I21" s="518" t="s">
        <v>450</v>
      </c>
      <c r="J21" s="518" t="s">
        <v>450</v>
      </c>
      <c r="K21" s="518" t="s">
        <v>450</v>
      </c>
      <c r="L21" s="518" t="s">
        <v>450</v>
      </c>
      <c r="M21" s="518" t="s">
        <v>450</v>
      </c>
      <c r="N21" s="518"/>
      <c r="O21" s="518" t="s">
        <v>449</v>
      </c>
      <c r="P21" s="518" t="s">
        <v>450</v>
      </c>
      <c r="Q21" s="518"/>
      <c r="R21" s="518"/>
      <c r="S21" s="518"/>
      <c r="T21" s="518" t="s">
        <v>449</v>
      </c>
      <c r="U21" s="518" t="s">
        <v>449</v>
      </c>
      <c r="V21" s="518" t="s">
        <v>449</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446</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447</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624</v>
      </c>
      <c r="C26" s="518" t="s">
        <v>449</v>
      </c>
      <c r="D26" s="518" t="s">
        <v>449</v>
      </c>
      <c r="E26" s="518" t="s">
        <v>451</v>
      </c>
      <c r="F26" s="518" t="s">
        <v>450</v>
      </c>
      <c r="G26" s="518" t="s">
        <v>450</v>
      </c>
      <c r="H26" s="518" t="s">
        <v>450</v>
      </c>
      <c r="I26" s="518" t="s">
        <v>450</v>
      </c>
      <c r="J26" s="518"/>
      <c r="K26" s="518"/>
      <c r="L26" s="518"/>
      <c r="M26" s="518"/>
      <c r="N26" s="518"/>
      <c r="O26" s="518"/>
      <c r="P26" s="518" t="s">
        <v>450</v>
      </c>
      <c r="Q26" s="518" t="s">
        <v>449</v>
      </c>
      <c r="R26" s="518" t="s">
        <v>449</v>
      </c>
      <c r="S26" s="518" t="s">
        <v>449</v>
      </c>
      <c r="T26" s="518" t="s">
        <v>449</v>
      </c>
      <c r="U26" s="518"/>
      <c r="V26" s="518" t="s">
        <v>449</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629</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631</v>
      </c>
      <c r="B30" s="55" t="s">
        <v>633</v>
      </c>
      <c r="C30" s="55"/>
      <c r="D30" s="55"/>
      <c r="E30" s="55"/>
      <c r="F30" s="55"/>
      <c r="G30" s="55"/>
      <c r="H30" s="55"/>
      <c r="I30" s="55"/>
      <c r="J30" s="55"/>
      <c r="K30" s="55"/>
      <c r="L30" s="55"/>
      <c r="M30" s="55"/>
      <c r="N30" s="55"/>
      <c r="O30" s="55"/>
      <c r="P30" s="55"/>
      <c r="Q30" s="55"/>
      <c r="R30" s="55"/>
      <c r="S30" s="55"/>
      <c r="T30" s="55"/>
      <c r="U30" s="55"/>
      <c r="V30" s="55"/>
    </row>
    <row r="31" spans="1:23">
      <c r="A31" s="3"/>
      <c r="B31" s="3" t="s">
        <v>634</v>
      </c>
      <c r="C31" s="3"/>
      <c r="D31" s="3"/>
      <c r="E31" s="3"/>
      <c r="F31" s="3"/>
      <c r="G31" s="3"/>
      <c r="H31" s="3"/>
      <c r="I31" s="3"/>
      <c r="J31" s="3"/>
      <c r="K31" s="3"/>
      <c r="L31" s="3"/>
      <c r="M31" s="3"/>
      <c r="N31" s="3"/>
      <c r="O31" s="3"/>
      <c r="P31" s="3"/>
      <c r="Q31" s="3"/>
      <c r="R31" s="3"/>
      <c r="S31" s="3"/>
      <c r="T31" s="3"/>
      <c r="U31" s="3"/>
      <c r="V31" s="3"/>
      <c r="W31" s="20"/>
    </row>
    <row r="32" spans="1:23">
      <c r="A32" s="55" t="s">
        <v>632</v>
      </c>
      <c r="B32" s="3" t="s">
        <v>635</v>
      </c>
      <c r="C32" s="3"/>
      <c r="D32" s="3"/>
      <c r="E32" s="3"/>
      <c r="F32" s="3"/>
      <c r="G32" s="3"/>
      <c r="H32" s="3"/>
      <c r="I32" s="3"/>
      <c r="J32" s="3"/>
      <c r="K32" s="3"/>
      <c r="L32" s="3"/>
      <c r="M32" s="3"/>
      <c r="N32" s="3"/>
      <c r="O32" s="3"/>
      <c r="P32" s="3"/>
      <c r="Q32" s="3"/>
      <c r="R32" s="3"/>
      <c r="S32" s="3"/>
      <c r="T32" s="3"/>
      <c r="U32" s="3"/>
      <c r="V32" s="3"/>
      <c r="W32" s="20"/>
    </row>
    <row r="33" spans="1:29">
      <c r="A33" s="3"/>
      <c r="B33" s="3" t="s">
        <v>636</v>
      </c>
      <c r="C33" s="3"/>
      <c r="D33" s="3"/>
      <c r="E33" s="3"/>
      <c r="F33" s="3"/>
      <c r="G33" s="3"/>
      <c r="H33" s="3"/>
      <c r="I33" s="3"/>
      <c r="J33" s="3"/>
      <c r="K33" s="3"/>
      <c r="L33" s="3"/>
      <c r="M33" s="3"/>
      <c r="N33" s="3"/>
      <c r="O33" s="3"/>
      <c r="P33" s="3"/>
      <c r="Q33" s="3"/>
      <c r="R33" s="3"/>
      <c r="S33" s="3"/>
      <c r="T33" s="3"/>
      <c r="U33" s="3"/>
      <c r="V33" s="3"/>
      <c r="W33" s="20"/>
    </row>
    <row r="34" spans="1:29">
      <c r="A34" s="3"/>
      <c r="B34" s="17" t="s">
        <v>638</v>
      </c>
      <c r="C34" s="17"/>
      <c r="D34" s="17"/>
      <c r="E34" s="17"/>
      <c r="F34" s="17"/>
      <c r="G34" s="17"/>
      <c r="H34" s="17"/>
      <c r="I34" s="213" t="s">
        <v>637</v>
      </c>
      <c r="J34" s="17"/>
      <c r="K34" s="3"/>
      <c r="L34" s="3"/>
      <c r="M34" s="3"/>
      <c r="N34" s="3"/>
      <c r="O34" s="3"/>
      <c r="P34" s="3"/>
      <c r="Q34" s="3"/>
      <c r="R34" s="3"/>
      <c r="S34" s="3"/>
      <c r="T34" s="3"/>
      <c r="U34" s="3"/>
      <c r="V34" s="3"/>
      <c r="W34" s="20"/>
    </row>
    <row r="35" spans="1:29">
      <c r="A35" s="3" t="s">
        <v>639</v>
      </c>
      <c r="B35" s="3" t="s">
        <v>640</v>
      </c>
      <c r="C35" s="3" t="s">
        <v>641</v>
      </c>
      <c r="D35" s="3"/>
      <c r="E35" s="3"/>
      <c r="F35" s="3"/>
      <c r="G35" s="3"/>
      <c r="H35" s="3"/>
      <c r="I35" s="3"/>
      <c r="J35" s="3"/>
      <c r="K35" s="3"/>
      <c r="L35" s="3"/>
      <c r="M35" s="3"/>
      <c r="N35" s="3"/>
      <c r="O35" s="3"/>
      <c r="P35" s="3"/>
      <c r="Q35" s="3"/>
      <c r="R35" s="3"/>
      <c r="S35" s="3"/>
      <c r="T35" s="3"/>
      <c r="U35" s="3"/>
      <c r="V35" s="3"/>
      <c r="W35" s="20"/>
    </row>
    <row r="36" spans="1:29">
      <c r="A36" s="3"/>
      <c r="B36" s="3" t="s">
        <v>600</v>
      </c>
      <c r="C36" s="3" t="s">
        <v>645</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639</v>
      </c>
      <c r="B39" s="3" t="s">
        <v>644</v>
      </c>
      <c r="C39" s="3"/>
      <c r="D39" s="3"/>
      <c r="E39" s="3"/>
      <c r="F39" s="3"/>
      <c r="G39" s="3"/>
      <c r="H39" s="3"/>
      <c r="I39" s="3"/>
      <c r="J39" s="3"/>
      <c r="K39" s="3"/>
      <c r="L39" s="3"/>
      <c r="M39" s="3"/>
      <c r="N39" s="3"/>
      <c r="O39" s="3"/>
      <c r="P39" s="3"/>
      <c r="Q39" s="3"/>
      <c r="R39" s="3"/>
      <c r="S39" s="3"/>
      <c r="T39" s="3"/>
      <c r="U39" s="3"/>
      <c r="V39" s="3"/>
    </row>
    <row r="40" spans="1:29">
      <c r="A40" s="517"/>
      <c r="B40" s="517" t="s">
        <v>642</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643</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448</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448</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448</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599</v>
      </c>
      <c r="B49" s="40"/>
      <c r="C49" s="40"/>
      <c r="D49" s="40"/>
      <c r="E49" s="40"/>
      <c r="F49" s="40"/>
      <c r="G49" s="40"/>
      <c r="H49" s="40"/>
      <c r="I49" s="40"/>
      <c r="J49" s="40"/>
      <c r="K49" s="40"/>
      <c r="L49" s="40"/>
      <c r="M49" s="40"/>
      <c r="N49" s="40"/>
      <c r="O49" s="40"/>
      <c r="P49" s="40"/>
      <c r="Q49" s="40"/>
      <c r="R49" s="40"/>
      <c r="S49" s="40"/>
      <c r="T49" s="40"/>
      <c r="U49" s="40"/>
      <c r="V49" s="40"/>
    </row>
    <row r="50" spans="1:24">
      <c r="A50" s="3" t="s">
        <v>639</v>
      </c>
      <c r="B50" s="3" t="s">
        <v>647</v>
      </c>
      <c r="C50" s="3"/>
      <c r="D50" s="3"/>
      <c r="E50" s="3"/>
      <c r="F50" s="3"/>
      <c r="G50" s="3"/>
      <c r="H50" s="3"/>
      <c r="I50" s="3"/>
      <c r="J50" s="3"/>
      <c r="K50" s="3"/>
      <c r="L50" s="3"/>
      <c r="M50" s="3"/>
      <c r="N50" s="3"/>
      <c r="O50" s="3"/>
      <c r="P50" s="3"/>
      <c r="Q50" s="3"/>
      <c r="R50" s="3"/>
      <c r="S50" s="3"/>
      <c r="T50" s="3"/>
      <c r="U50" s="3"/>
      <c r="V50" s="3"/>
    </row>
    <row r="51" spans="1:24">
      <c r="A51" s="3"/>
      <c r="B51" s="3" t="s">
        <v>648</v>
      </c>
      <c r="C51" s="3"/>
      <c r="D51" s="3"/>
      <c r="E51" s="3"/>
      <c r="F51" s="3"/>
      <c r="G51" s="3"/>
      <c r="H51" s="3"/>
      <c r="I51" s="3"/>
      <c r="J51" s="3"/>
      <c r="K51" s="3"/>
      <c r="L51" s="3"/>
      <c r="M51" s="3"/>
      <c r="N51" s="3"/>
      <c r="O51" s="3"/>
      <c r="P51" s="3"/>
      <c r="Q51" s="3"/>
      <c r="R51" s="3"/>
      <c r="S51" s="3"/>
      <c r="T51" s="3"/>
      <c r="U51" s="3"/>
      <c r="V51" s="3"/>
    </row>
    <row r="52" spans="1:24">
      <c r="A52" s="517"/>
      <c r="B52" s="517" t="s">
        <v>649</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646</v>
      </c>
      <c r="C53" s="3"/>
      <c r="D53" s="3"/>
      <c r="X53" s="70"/>
    </row>
    <row r="54" spans="1:24" ht="15" customHeight="1">
      <c r="B54" s="3"/>
      <c r="C54" s="3" t="s">
        <v>529</v>
      </c>
      <c r="D54" s="3" t="s">
        <v>601</v>
      </c>
      <c r="X54" s="92"/>
    </row>
    <row r="55" spans="1:24" ht="15" customHeight="1">
      <c r="B55" s="3" t="s">
        <v>602</v>
      </c>
      <c r="C55" s="454">
        <v>44.512</v>
      </c>
      <c r="D55" s="409">
        <f>C55/2</f>
        <v>22.256</v>
      </c>
      <c r="X55" s="70"/>
    </row>
    <row r="56" spans="1:24" ht="15" customHeight="1">
      <c r="B56" s="3" t="s">
        <v>604</v>
      </c>
      <c r="C56" s="454">
        <f>C55</f>
        <v>44.512</v>
      </c>
      <c r="D56" s="507">
        <v>65.680999999999997</v>
      </c>
      <c r="X56" s="70"/>
    </row>
    <row r="57" spans="1:24" ht="15" customHeight="1">
      <c r="B57" s="3" t="s">
        <v>605</v>
      </c>
      <c r="C57" s="409">
        <f>D56*3/2+C56/6</f>
        <v>105.94016666666667</v>
      </c>
      <c r="D57" s="409">
        <f>C57/2</f>
        <v>52.970083333333335</v>
      </c>
      <c r="X57" s="70"/>
    </row>
    <row r="58" spans="1:24" ht="15" customHeight="1">
      <c r="B58" s="3" t="s">
        <v>606</v>
      </c>
      <c r="C58" s="506">
        <v>0</v>
      </c>
      <c r="D58" s="510">
        <f>D57*4/3</f>
        <v>70.626777777777775</v>
      </c>
      <c r="X58" s="70"/>
    </row>
    <row r="59" spans="1:24" ht="15" customHeight="1">
      <c r="D59" s="508">
        <f>D56/C57</f>
        <v>0.61998203388390616</v>
      </c>
      <c r="X59" s="70"/>
    </row>
    <row r="60" spans="1:24" ht="15" customHeight="1">
      <c r="B60" s="565" t="s">
        <v>686</v>
      </c>
      <c r="C60" s="566">
        <f>D57/C57</f>
        <v>0.5</v>
      </c>
      <c r="D60" s="565" t="s">
        <v>687</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650</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601</v>
      </c>
      <c r="C63" s="17" t="s">
        <v>604</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529</v>
      </c>
      <c r="C64" s="17" t="s">
        <v>605</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45">
        <f>V63*$C$57/$D$56</f>
        <v>256.45904447252627</v>
      </c>
      <c r="W64" s="526">
        <f t="shared" si="8"/>
        <v>270.97559415965043</v>
      </c>
      <c r="X64" s="70">
        <f t="shared" ref="X64:X69" si="9">SUM(D64:W64)</f>
        <v>42483.489134351388</v>
      </c>
    </row>
    <row r="65" spans="1:25" ht="15" customHeight="1">
      <c r="A65" s="515"/>
      <c r="B65" s="3" t="s">
        <v>601</v>
      </c>
      <c r="C65" s="17" t="s">
        <v>606</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603</v>
      </c>
      <c r="C66" s="524"/>
      <c r="D66" s="646">
        <f>D65/0.4</f>
        <v>23022.172503802049</v>
      </c>
      <c r="E66" s="646">
        <f t="shared" ref="E66:W66" si="11">E65/0.4</f>
        <v>6492.1236100749575</v>
      </c>
      <c r="F66" s="646">
        <f t="shared" si="11"/>
        <v>8207.2270731092522</v>
      </c>
      <c r="G66" s="646">
        <f t="shared" si="11"/>
        <v>4650.6723997638419</v>
      </c>
      <c r="H66" s="646">
        <f t="shared" si="11"/>
        <v>5868.4496235170318</v>
      </c>
      <c r="I66" s="646">
        <f t="shared" si="11"/>
        <v>1115.62372595491</v>
      </c>
      <c r="J66" s="646">
        <f t="shared" si="11"/>
        <v>1653.2737143669149</v>
      </c>
      <c r="K66" s="646">
        <f t="shared" si="11"/>
        <v>534.96173846994475</v>
      </c>
      <c r="L66" s="646">
        <f t="shared" si="11"/>
        <v>2000.0579568926578</v>
      </c>
      <c r="M66" s="646">
        <f t="shared" si="11"/>
        <v>6865.7903520213013</v>
      </c>
      <c r="N66" s="646">
        <f t="shared" si="11"/>
        <v>1876.3984595578968</v>
      </c>
      <c r="O66" s="646">
        <f t="shared" si="11"/>
        <v>0</v>
      </c>
      <c r="P66" s="646">
        <f t="shared" si="11"/>
        <v>18.817749594420167</v>
      </c>
      <c r="Q66" s="646">
        <f t="shared" si="11"/>
        <v>7056.656097907563</v>
      </c>
      <c r="R66" s="646">
        <f t="shared" si="11"/>
        <v>0</v>
      </c>
      <c r="S66" s="646">
        <f t="shared" si="11"/>
        <v>0</v>
      </c>
      <c r="T66" s="646">
        <f t="shared" si="11"/>
        <v>0</v>
      </c>
      <c r="U66" s="646">
        <f t="shared" si="11"/>
        <v>564.53248783260506</v>
      </c>
      <c r="V66" s="646">
        <f t="shared" si="11"/>
        <v>427.43174078754384</v>
      </c>
      <c r="W66" s="646">
        <f t="shared" si="11"/>
        <v>451.62599026608405</v>
      </c>
      <c r="X66" s="70"/>
      <c r="Y66" s="37"/>
    </row>
    <row r="67" spans="1:25">
      <c r="A67" s="513" t="s">
        <v>252</v>
      </c>
      <c r="B67" s="55" t="s">
        <v>607</v>
      </c>
      <c r="C67" s="17" t="s">
        <v>604</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529</v>
      </c>
      <c r="C68" s="17" t="s">
        <v>605</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601</v>
      </c>
      <c r="C69" s="17" t="s">
        <v>606</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603</v>
      </c>
      <c r="C70" s="524"/>
      <c r="D70" s="646">
        <f>D69/0.4</f>
        <v>12970.805970439615</v>
      </c>
      <c r="E70" s="646">
        <f t="shared" ref="E70:W70" si="15">E69/0.4</f>
        <v>6989.4498493560623</v>
      </c>
      <c r="F70" s="646">
        <f t="shared" si="15"/>
        <v>46670.707244104087</v>
      </c>
      <c r="G70" s="646">
        <f t="shared" si="15"/>
        <v>10699.234769398894</v>
      </c>
      <c r="H70" s="646">
        <f t="shared" si="15"/>
        <v>12575.633228956791</v>
      </c>
      <c r="I70" s="646">
        <f t="shared" si="15"/>
        <v>9849.7477877079273</v>
      </c>
      <c r="J70" s="646">
        <f t="shared" si="15"/>
        <v>4285.0704076436778</v>
      </c>
      <c r="K70" s="646">
        <f t="shared" si="15"/>
        <v>0</v>
      </c>
      <c r="L70" s="646">
        <f t="shared" si="15"/>
        <v>0</v>
      </c>
      <c r="M70" s="646">
        <f t="shared" si="15"/>
        <v>0</v>
      </c>
      <c r="N70" s="646">
        <f t="shared" si="15"/>
        <v>0</v>
      </c>
      <c r="O70" s="646">
        <f t="shared" si="15"/>
        <v>0</v>
      </c>
      <c r="P70" s="646">
        <f t="shared" si="15"/>
        <v>0</v>
      </c>
      <c r="Q70" s="646">
        <f t="shared" si="15"/>
        <v>357.53724229398318</v>
      </c>
      <c r="R70" s="646">
        <f t="shared" si="15"/>
        <v>53.76499884120048</v>
      </c>
      <c r="S70" s="646">
        <f t="shared" si="15"/>
        <v>524.20873870170476</v>
      </c>
      <c r="T70" s="646">
        <f t="shared" si="15"/>
        <v>134.41249710300121</v>
      </c>
      <c r="U70" s="646">
        <f t="shared" si="15"/>
        <v>287.64274380042252</v>
      </c>
      <c r="V70" s="646">
        <f t="shared" si="15"/>
        <v>0</v>
      </c>
      <c r="W70" s="646">
        <f t="shared" si="15"/>
        <v>362.91374217810329</v>
      </c>
    </row>
    <row r="71" spans="1:25">
      <c r="A71" s="3" t="s">
        <v>651</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707</v>
      </c>
      <c r="B72" s="86"/>
      <c r="C72" s="86"/>
      <c r="D72" s="581">
        <f t="shared" ref="D72:N72" si="17">(D64+D68)/C43</f>
        <v>2.1163203548819043</v>
      </c>
      <c r="E72" s="581">
        <f t="shared" si="17"/>
        <v>2.576923340000925</v>
      </c>
      <c r="F72" s="581">
        <f t="shared" si="17"/>
        <v>1.9572894657824471</v>
      </c>
      <c r="G72" s="581">
        <f t="shared" si="17"/>
        <v>5.2501470753633663</v>
      </c>
      <c r="H72" s="581">
        <f t="shared" si="17"/>
        <v>3.8511107350496494</v>
      </c>
      <c r="I72" s="581">
        <f t="shared" si="17"/>
        <v>4.7662718822261976</v>
      </c>
      <c r="J72" s="581">
        <f t="shared" si="17"/>
        <v>3.2954244926475669</v>
      </c>
      <c r="K72" s="581">
        <f t="shared" si="17"/>
        <v>2.4657800191033172</v>
      </c>
      <c r="L72" s="581">
        <f t="shared" si="17"/>
        <v>2.0620744039781109</v>
      </c>
      <c r="M72" s="581">
        <f t="shared" si="17"/>
        <v>1.5768727218645329</v>
      </c>
      <c r="N72" s="581">
        <f t="shared" si="17"/>
        <v>1.8911885236531329</v>
      </c>
      <c r="O72" s="581"/>
      <c r="P72" s="581">
        <f t="shared" ref="P72:W72" si="18">(P64+P68)/O43</f>
        <v>3.1021234203708885</v>
      </c>
      <c r="Q72" s="581">
        <f t="shared" si="18"/>
        <v>1.8789225357941917</v>
      </c>
      <c r="R72" s="581">
        <f t="shared" si="18"/>
        <v>20.083709943417649</v>
      </c>
      <c r="S72" s="581">
        <f t="shared" si="18"/>
        <v>34.697468427564786</v>
      </c>
      <c r="T72" s="581">
        <f t="shared" si="18"/>
        <v>7.0453654481509105</v>
      </c>
      <c r="U72" s="581">
        <f t="shared" si="18"/>
        <v>1.1349396862164369</v>
      </c>
      <c r="V72" s="581">
        <f t="shared" si="18"/>
        <v>0.8064749826180071</v>
      </c>
      <c r="W72" s="581">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587</v>
      </c>
      <c r="B1" s="77"/>
      <c r="C1" s="77"/>
      <c r="D1" s="77"/>
      <c r="E1" s="77"/>
      <c r="F1" s="77"/>
      <c r="G1" s="77"/>
      <c r="H1" s="366"/>
      <c r="I1" s="77"/>
      <c r="J1" s="77"/>
      <c r="K1" s="77"/>
      <c r="L1" s="77" t="s">
        <v>619</v>
      </c>
      <c r="M1" s="512" t="s">
        <v>618</v>
      </c>
      <c r="N1" s="77"/>
      <c r="O1" s="77"/>
      <c r="P1" s="77"/>
      <c r="Q1" s="77"/>
      <c r="R1" s="77"/>
      <c r="S1" s="77"/>
      <c r="T1" s="77"/>
      <c r="U1" s="77"/>
      <c r="V1" s="77"/>
      <c r="W1" s="77"/>
      <c r="X1" s="77"/>
      <c r="Y1" s="366"/>
    </row>
    <row r="2" spans="1:25">
      <c r="A2" s="90" t="s">
        <v>588</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589</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530</v>
      </c>
      <c r="B5" s="307" t="s">
        <v>518</v>
      </c>
      <c r="C5" s="307" t="s">
        <v>516</v>
      </c>
      <c r="D5" s="307" t="s">
        <v>509</v>
      </c>
      <c r="E5" s="307" t="s">
        <v>532</v>
      </c>
      <c r="F5" s="307" t="s">
        <v>519</v>
      </c>
      <c r="G5" s="307" t="s">
        <v>515</v>
      </c>
      <c r="I5" s="308" t="s">
        <v>529</v>
      </c>
      <c r="J5" s="307" t="s">
        <v>518</v>
      </c>
      <c r="K5" s="307" t="s">
        <v>516</v>
      </c>
      <c r="L5" s="307" t="s">
        <v>510</v>
      </c>
      <c r="M5" s="307" t="s">
        <v>511</v>
      </c>
      <c r="N5" s="307" t="s">
        <v>532</v>
      </c>
      <c r="O5" s="307" t="s">
        <v>509</v>
      </c>
      <c r="P5" s="307" t="s">
        <v>535</v>
      </c>
      <c r="Q5" s="307" t="s">
        <v>519</v>
      </c>
      <c r="R5" s="307" t="s">
        <v>512</v>
      </c>
      <c r="S5" s="307" t="s">
        <v>515</v>
      </c>
      <c r="T5" s="307" t="s">
        <v>513</v>
      </c>
      <c r="U5" s="307" t="s">
        <v>514</v>
      </c>
      <c r="V5" s="307" t="s">
        <v>531</v>
      </c>
      <c r="W5" s="307" t="s">
        <v>533</v>
      </c>
      <c r="X5" s="307" t="s">
        <v>534</v>
      </c>
    </row>
    <row r="6" spans="1:25">
      <c r="A6" s="19" t="s">
        <v>520</v>
      </c>
      <c r="B6" s="184">
        <v>586</v>
      </c>
      <c r="C6" s="184"/>
      <c r="D6" s="184"/>
      <c r="E6" s="184"/>
      <c r="F6" s="184"/>
      <c r="G6" s="184"/>
      <c r="H6" s="70">
        <f t="shared" ref="H6:H21" si="0">SUM(B6:G6)</f>
        <v>586</v>
      </c>
      <c r="I6" s="19" t="s">
        <v>520</v>
      </c>
      <c r="J6" s="184">
        <v>1172</v>
      </c>
      <c r="K6" s="184"/>
      <c r="L6" s="184"/>
      <c r="M6" s="184"/>
      <c r="N6" s="184"/>
      <c r="O6" s="184"/>
      <c r="P6" s="184"/>
      <c r="Q6" s="184"/>
      <c r="R6" s="184"/>
      <c r="S6" s="184"/>
      <c r="T6" s="184"/>
      <c r="U6" s="184"/>
      <c r="V6" s="184"/>
      <c r="W6" s="184"/>
      <c r="X6" s="184"/>
      <c r="Y6" s="70">
        <f>SUM(J6:X6)</f>
        <v>1172</v>
      </c>
    </row>
    <row r="7" spans="1:25">
      <c r="A7" s="307" t="s">
        <v>517</v>
      </c>
      <c r="B7" s="189">
        <v>1500</v>
      </c>
      <c r="C7" s="189"/>
      <c r="D7" s="189"/>
      <c r="E7" s="189"/>
      <c r="F7" s="189"/>
      <c r="G7" s="189"/>
      <c r="H7" s="70">
        <f t="shared" si="0"/>
        <v>1500</v>
      </c>
      <c r="I7" s="307" t="s">
        <v>517</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528</v>
      </c>
      <c r="B14" s="184"/>
      <c r="C14" s="184"/>
      <c r="D14" s="184">
        <v>200</v>
      </c>
      <c r="E14" s="184"/>
      <c r="F14" s="184">
        <v>35</v>
      </c>
      <c r="G14" s="184">
        <v>500</v>
      </c>
      <c r="H14" s="70">
        <f t="shared" si="0"/>
        <v>735</v>
      </c>
      <c r="I14" s="19" t="s">
        <v>528</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521</v>
      </c>
      <c r="B15" s="184"/>
      <c r="C15" s="184"/>
      <c r="D15" s="184">
        <v>470</v>
      </c>
      <c r="E15" s="184"/>
      <c r="F15" s="184"/>
      <c r="G15" s="184"/>
      <c r="H15" s="70">
        <f t="shared" si="0"/>
        <v>470</v>
      </c>
      <c r="I15" s="19" t="s">
        <v>521</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527</v>
      </c>
      <c r="B16" s="184"/>
      <c r="C16" s="184"/>
      <c r="D16" s="184">
        <v>234</v>
      </c>
      <c r="E16" s="184"/>
      <c r="F16" s="184"/>
      <c r="G16" s="184"/>
      <c r="H16" s="70">
        <f t="shared" si="0"/>
        <v>234</v>
      </c>
      <c r="I16" s="19" t="s">
        <v>527</v>
      </c>
      <c r="J16" s="184"/>
      <c r="K16" s="184"/>
      <c r="L16" s="184">
        <v>240</v>
      </c>
      <c r="M16" s="184">
        <v>500</v>
      </c>
      <c r="N16" s="184"/>
      <c r="O16" s="184">
        <v>214</v>
      </c>
      <c r="P16" s="184"/>
      <c r="Q16" s="184"/>
      <c r="R16" s="184"/>
      <c r="S16" s="184"/>
      <c r="T16" s="184"/>
      <c r="U16" s="184"/>
      <c r="V16" s="184"/>
      <c r="W16" s="184"/>
      <c r="X16" s="184"/>
      <c r="Y16" s="70">
        <f t="shared" si="1"/>
        <v>954</v>
      </c>
    </row>
    <row r="17" spans="1:25">
      <c r="A17" s="19" t="s">
        <v>522</v>
      </c>
      <c r="B17" s="184"/>
      <c r="C17" s="184"/>
      <c r="D17" s="184">
        <v>140</v>
      </c>
      <c r="E17" s="184"/>
      <c r="F17" s="184"/>
      <c r="G17" s="184">
        <v>60</v>
      </c>
      <c r="H17" s="70">
        <f t="shared" si="0"/>
        <v>200</v>
      </c>
      <c r="I17" s="19" t="s">
        <v>522</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525</v>
      </c>
      <c r="B18" s="184"/>
      <c r="C18" s="184"/>
      <c r="D18" s="184">
        <v>90</v>
      </c>
      <c r="E18" s="184"/>
      <c r="F18" s="184">
        <v>35</v>
      </c>
      <c r="G18" s="184">
        <v>30</v>
      </c>
      <c r="H18" s="70">
        <f t="shared" si="0"/>
        <v>155</v>
      </c>
      <c r="I18" s="19" t="s">
        <v>525</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526</v>
      </c>
      <c r="B19" s="184"/>
      <c r="C19" s="184"/>
      <c r="D19" s="184"/>
      <c r="E19" s="184"/>
      <c r="F19" s="184"/>
      <c r="G19" s="184">
        <v>100</v>
      </c>
      <c r="H19" s="70">
        <f t="shared" si="0"/>
        <v>100</v>
      </c>
      <c r="I19" s="19" t="s">
        <v>526</v>
      </c>
      <c r="J19" s="184"/>
      <c r="K19" s="184"/>
      <c r="L19" s="184">
        <v>600</v>
      </c>
      <c r="M19" s="184"/>
      <c r="N19" s="184"/>
      <c r="O19" s="184"/>
      <c r="P19" s="184"/>
      <c r="Q19" s="184"/>
      <c r="R19" s="184">
        <v>220</v>
      </c>
      <c r="S19" s="184"/>
      <c r="T19" s="184"/>
      <c r="U19" s="184">
        <v>40</v>
      </c>
      <c r="V19" s="184"/>
      <c r="W19" s="184"/>
      <c r="X19" s="184"/>
      <c r="Y19" s="70">
        <f t="shared" si="1"/>
        <v>860</v>
      </c>
    </row>
    <row r="20" spans="1:25">
      <c r="A20" s="19" t="s">
        <v>524</v>
      </c>
      <c r="B20" s="184"/>
      <c r="C20" s="184">
        <v>160</v>
      </c>
      <c r="D20" s="184"/>
      <c r="E20" s="184"/>
      <c r="F20" s="184"/>
      <c r="G20" s="184">
        <v>146</v>
      </c>
      <c r="H20" s="70">
        <f t="shared" si="0"/>
        <v>306</v>
      </c>
      <c r="I20" s="19" t="s">
        <v>524</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523</v>
      </c>
      <c r="B21" s="189"/>
      <c r="C21" s="189"/>
      <c r="D21" s="189"/>
      <c r="E21" s="189"/>
      <c r="F21" s="189"/>
      <c r="G21" s="189">
        <v>280</v>
      </c>
      <c r="H21" s="70">
        <f t="shared" si="0"/>
        <v>280</v>
      </c>
      <c r="I21" s="307" t="s">
        <v>523</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590</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530</v>
      </c>
      <c r="B24" s="307" t="s">
        <v>518</v>
      </c>
      <c r="C24" s="307" t="s">
        <v>516</v>
      </c>
      <c r="D24" s="307" t="s">
        <v>509</v>
      </c>
      <c r="E24" s="307" t="s">
        <v>532</v>
      </c>
      <c r="F24" s="307" t="s">
        <v>519</v>
      </c>
      <c r="G24" s="307" t="s">
        <v>515</v>
      </c>
      <c r="I24" s="308" t="s">
        <v>529</v>
      </c>
      <c r="J24" s="307" t="s">
        <v>518</v>
      </c>
      <c r="K24" s="307" t="s">
        <v>516</v>
      </c>
      <c r="L24" s="307" t="s">
        <v>510</v>
      </c>
      <c r="M24" s="307" t="s">
        <v>511</v>
      </c>
      <c r="N24" s="307" t="s">
        <v>532</v>
      </c>
      <c r="O24" s="307" t="s">
        <v>509</v>
      </c>
      <c r="P24" s="307" t="s">
        <v>535</v>
      </c>
      <c r="Q24" s="307" t="s">
        <v>519</v>
      </c>
      <c r="R24" s="307" t="s">
        <v>512</v>
      </c>
      <c r="S24" s="307" t="s">
        <v>515</v>
      </c>
      <c r="T24" s="307" t="s">
        <v>513</v>
      </c>
      <c r="U24" s="307" t="s">
        <v>514</v>
      </c>
      <c r="V24" s="307" t="s">
        <v>531</v>
      </c>
      <c r="W24" s="307" t="s">
        <v>533</v>
      </c>
      <c r="X24" s="307" t="s">
        <v>534</v>
      </c>
    </row>
    <row r="25" spans="1:25">
      <c r="A25" s="19" t="s">
        <v>520</v>
      </c>
      <c r="B25" s="184">
        <v>586</v>
      </c>
      <c r="C25" s="184"/>
      <c r="D25" s="184"/>
      <c r="E25" s="184"/>
      <c r="F25" s="184"/>
      <c r="G25" s="184"/>
      <c r="H25" s="70">
        <f t="shared" ref="H25:H40" si="2">SUM(B25:G25)</f>
        <v>586</v>
      </c>
      <c r="I25" s="19" t="s">
        <v>520</v>
      </c>
      <c r="J25" s="184">
        <v>1172</v>
      </c>
      <c r="K25" s="184"/>
      <c r="L25" s="184"/>
      <c r="M25" s="184"/>
      <c r="N25" s="184"/>
      <c r="O25" s="184"/>
      <c r="P25" s="184"/>
      <c r="Q25" s="184"/>
      <c r="R25" s="184"/>
      <c r="S25" s="184"/>
      <c r="T25" s="184"/>
      <c r="U25" s="184"/>
      <c r="V25" s="184"/>
      <c r="W25" s="184"/>
      <c r="X25" s="184"/>
      <c r="Y25" s="70">
        <f>SUM(J25:X25)</f>
        <v>1172</v>
      </c>
    </row>
    <row r="26" spans="1:25">
      <c r="A26" s="307" t="s">
        <v>517</v>
      </c>
      <c r="B26" s="189">
        <v>1500</v>
      </c>
      <c r="C26" s="189"/>
      <c r="D26" s="189"/>
      <c r="E26" s="189"/>
      <c r="F26" s="189"/>
      <c r="G26" s="189"/>
      <c r="H26" s="70">
        <f t="shared" si="2"/>
        <v>1500</v>
      </c>
      <c r="I26" s="307" t="s">
        <v>517</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528</v>
      </c>
      <c r="B33" s="184"/>
      <c r="C33" s="184"/>
      <c r="D33" s="184">
        <v>233</v>
      </c>
      <c r="E33" s="184"/>
      <c r="F33" s="184">
        <v>46</v>
      </c>
      <c r="G33" s="184">
        <v>1574</v>
      </c>
      <c r="H33" s="70">
        <f t="shared" si="2"/>
        <v>1853</v>
      </c>
      <c r="I33" s="19" t="s">
        <v>528</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521</v>
      </c>
      <c r="B34" s="184"/>
      <c r="C34" s="184"/>
      <c r="D34" s="184">
        <v>630</v>
      </c>
      <c r="E34" s="184"/>
      <c r="F34" s="184"/>
      <c r="G34" s="184"/>
      <c r="H34" s="70">
        <f t="shared" si="2"/>
        <v>630</v>
      </c>
      <c r="I34" s="19" t="s">
        <v>521</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527</v>
      </c>
      <c r="B35" s="184"/>
      <c r="C35" s="184"/>
      <c r="D35" s="184">
        <v>234</v>
      </c>
      <c r="E35" s="184">
        <v>45</v>
      </c>
      <c r="F35" s="184"/>
      <c r="G35" s="184"/>
      <c r="H35" s="70">
        <f t="shared" si="2"/>
        <v>279</v>
      </c>
      <c r="I35" s="19" t="s">
        <v>527</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522</v>
      </c>
      <c r="B36" s="184"/>
      <c r="C36" s="184"/>
      <c r="D36" s="184">
        <v>147</v>
      </c>
      <c r="E36" s="184"/>
      <c r="F36" s="184"/>
      <c r="G36" s="184">
        <v>50</v>
      </c>
      <c r="H36" s="70">
        <f t="shared" si="2"/>
        <v>197</v>
      </c>
      <c r="I36" s="19" t="s">
        <v>522</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525</v>
      </c>
      <c r="B37" s="184"/>
      <c r="C37" s="184"/>
      <c r="D37" s="184">
        <v>88</v>
      </c>
      <c r="E37" s="184"/>
      <c r="F37" s="184">
        <v>76</v>
      </c>
      <c r="G37" s="184">
        <v>28</v>
      </c>
      <c r="H37" s="70">
        <f t="shared" si="2"/>
        <v>192</v>
      </c>
      <c r="I37" s="19" t="s">
        <v>525</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526</v>
      </c>
      <c r="B38" s="184"/>
      <c r="C38" s="184"/>
      <c r="D38" s="184"/>
      <c r="E38" s="184"/>
      <c r="F38" s="184"/>
      <c r="G38" s="184">
        <v>192</v>
      </c>
      <c r="H38" s="70">
        <f t="shared" si="2"/>
        <v>192</v>
      </c>
      <c r="I38" s="19" t="s">
        <v>526</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524</v>
      </c>
      <c r="B39" s="184"/>
      <c r="C39" s="184">
        <v>86</v>
      </c>
      <c r="D39" s="184"/>
      <c r="E39" s="184"/>
      <c r="F39" s="184"/>
      <c r="G39" s="184">
        <v>160</v>
      </c>
      <c r="H39" s="70">
        <f t="shared" si="2"/>
        <v>246</v>
      </c>
      <c r="I39" s="19" t="s">
        <v>524</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523</v>
      </c>
      <c r="B40" s="189"/>
      <c r="C40" s="189"/>
      <c r="D40" s="189"/>
      <c r="E40" s="189"/>
      <c r="F40" s="189"/>
      <c r="G40" s="189">
        <v>250</v>
      </c>
      <c r="H40" s="70">
        <f t="shared" si="2"/>
        <v>250</v>
      </c>
      <c r="I40" s="307" t="s">
        <v>523</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439</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530</v>
      </c>
      <c r="B43" s="307" t="s">
        <v>518</v>
      </c>
      <c r="C43" s="307" t="s">
        <v>516</v>
      </c>
      <c r="D43" s="307" t="s">
        <v>509</v>
      </c>
      <c r="E43" s="307" t="s">
        <v>532</v>
      </c>
      <c r="F43" s="307" t="s">
        <v>519</v>
      </c>
      <c r="G43" s="307" t="s">
        <v>515</v>
      </c>
      <c r="I43" s="308" t="s">
        <v>529</v>
      </c>
      <c r="J43" s="307" t="s">
        <v>518</v>
      </c>
      <c r="K43" s="307" t="s">
        <v>516</v>
      </c>
      <c r="L43" s="307" t="s">
        <v>510</v>
      </c>
      <c r="M43" s="307" t="s">
        <v>511</v>
      </c>
      <c r="N43" s="307" t="s">
        <v>532</v>
      </c>
      <c r="O43" s="307" t="s">
        <v>509</v>
      </c>
      <c r="P43" s="307" t="s">
        <v>535</v>
      </c>
      <c r="Q43" s="307" t="s">
        <v>519</v>
      </c>
      <c r="R43" s="307" t="s">
        <v>512</v>
      </c>
      <c r="S43" s="307" t="s">
        <v>515</v>
      </c>
      <c r="T43" s="307" t="s">
        <v>513</v>
      </c>
      <c r="U43" s="307" t="s">
        <v>514</v>
      </c>
      <c r="V43" s="307" t="s">
        <v>531</v>
      </c>
      <c r="W43" s="307" t="s">
        <v>533</v>
      </c>
      <c r="X43" s="307" t="s">
        <v>534</v>
      </c>
    </row>
    <row r="44" spans="1:25">
      <c r="A44" s="19" t="s">
        <v>520</v>
      </c>
      <c r="B44" s="184">
        <f>B25-B6</f>
        <v>0</v>
      </c>
      <c r="C44" s="184">
        <f t="shared" ref="C44:H44" si="4">C25-C6</f>
        <v>0</v>
      </c>
      <c r="D44" s="184">
        <f t="shared" si="4"/>
        <v>0</v>
      </c>
      <c r="E44" s="184">
        <f t="shared" si="4"/>
        <v>0</v>
      </c>
      <c r="F44" s="184">
        <f t="shared" si="4"/>
        <v>0</v>
      </c>
      <c r="G44" s="184">
        <f t="shared" si="4"/>
        <v>0</v>
      </c>
      <c r="H44" s="70">
        <f t="shared" si="4"/>
        <v>0</v>
      </c>
      <c r="I44" s="19" t="s">
        <v>520</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517</v>
      </c>
      <c r="B45" s="189">
        <f t="shared" ref="B45:H60" si="6">B26-B7</f>
        <v>0</v>
      </c>
      <c r="C45" s="189">
        <f t="shared" si="6"/>
        <v>0</v>
      </c>
      <c r="D45" s="189">
        <f t="shared" si="6"/>
        <v>0</v>
      </c>
      <c r="E45" s="189">
        <f t="shared" si="6"/>
        <v>0</v>
      </c>
      <c r="F45" s="189">
        <f t="shared" si="6"/>
        <v>0</v>
      </c>
      <c r="G45" s="189">
        <f t="shared" si="6"/>
        <v>0</v>
      </c>
      <c r="H45" s="70">
        <f t="shared" si="6"/>
        <v>0</v>
      </c>
      <c r="I45" s="307" t="s">
        <v>517</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528</v>
      </c>
      <c r="B52" s="184">
        <f t="shared" si="6"/>
        <v>0</v>
      </c>
      <c r="C52" s="184">
        <f t="shared" si="6"/>
        <v>0</v>
      </c>
      <c r="D52" s="184">
        <f t="shared" si="6"/>
        <v>33</v>
      </c>
      <c r="E52" s="184">
        <f t="shared" si="6"/>
        <v>0</v>
      </c>
      <c r="F52" s="184">
        <f t="shared" si="6"/>
        <v>11</v>
      </c>
      <c r="G52" s="184">
        <f t="shared" si="6"/>
        <v>1074</v>
      </c>
      <c r="H52" s="70">
        <f t="shared" si="6"/>
        <v>1118</v>
      </c>
      <c r="I52" s="19" t="s">
        <v>528</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521</v>
      </c>
      <c r="B53" s="184">
        <f t="shared" si="6"/>
        <v>0</v>
      </c>
      <c r="C53" s="184">
        <f t="shared" si="6"/>
        <v>0</v>
      </c>
      <c r="D53" s="184">
        <f t="shared" si="6"/>
        <v>160</v>
      </c>
      <c r="E53" s="184">
        <f t="shared" si="6"/>
        <v>0</v>
      </c>
      <c r="F53" s="184">
        <f t="shared" si="6"/>
        <v>0</v>
      </c>
      <c r="G53" s="184">
        <f t="shared" si="6"/>
        <v>0</v>
      </c>
      <c r="H53" s="70">
        <f t="shared" si="6"/>
        <v>160</v>
      </c>
      <c r="I53" s="19" t="s">
        <v>521</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527</v>
      </c>
      <c r="B54" s="184">
        <f t="shared" si="6"/>
        <v>0</v>
      </c>
      <c r="C54" s="184">
        <f t="shared" si="6"/>
        <v>0</v>
      </c>
      <c r="D54" s="184">
        <f t="shared" si="6"/>
        <v>0</v>
      </c>
      <c r="E54" s="184">
        <f t="shared" si="6"/>
        <v>45</v>
      </c>
      <c r="F54" s="184">
        <f t="shared" si="6"/>
        <v>0</v>
      </c>
      <c r="G54" s="184">
        <f t="shared" si="6"/>
        <v>0</v>
      </c>
      <c r="H54" s="70">
        <f t="shared" si="6"/>
        <v>45</v>
      </c>
      <c r="I54" s="19" t="s">
        <v>527</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522</v>
      </c>
      <c r="B55" s="184">
        <f t="shared" si="6"/>
        <v>0</v>
      </c>
      <c r="C55" s="184">
        <f t="shared" si="6"/>
        <v>0</v>
      </c>
      <c r="D55" s="184">
        <f t="shared" si="6"/>
        <v>7</v>
      </c>
      <c r="E55" s="184">
        <f t="shared" si="6"/>
        <v>0</v>
      </c>
      <c r="F55" s="184">
        <f t="shared" si="6"/>
        <v>0</v>
      </c>
      <c r="G55" s="184">
        <f t="shared" si="6"/>
        <v>-10</v>
      </c>
      <c r="H55" s="70">
        <f t="shared" si="6"/>
        <v>-3</v>
      </c>
      <c r="I55" s="19" t="s">
        <v>522</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525</v>
      </c>
      <c r="B56" s="184">
        <f t="shared" si="6"/>
        <v>0</v>
      </c>
      <c r="C56" s="184">
        <f t="shared" si="6"/>
        <v>0</v>
      </c>
      <c r="D56" s="184">
        <f t="shared" si="6"/>
        <v>-2</v>
      </c>
      <c r="E56" s="184">
        <f t="shared" si="6"/>
        <v>0</v>
      </c>
      <c r="F56" s="184">
        <f t="shared" si="6"/>
        <v>41</v>
      </c>
      <c r="G56" s="184">
        <f t="shared" si="6"/>
        <v>-2</v>
      </c>
      <c r="H56" s="70">
        <f t="shared" si="6"/>
        <v>37</v>
      </c>
      <c r="I56" s="19" t="s">
        <v>525</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526</v>
      </c>
      <c r="B57" s="184">
        <f t="shared" si="6"/>
        <v>0</v>
      </c>
      <c r="C57" s="184">
        <f t="shared" si="6"/>
        <v>0</v>
      </c>
      <c r="D57" s="184">
        <f t="shared" si="6"/>
        <v>0</v>
      </c>
      <c r="E57" s="184">
        <f t="shared" si="6"/>
        <v>0</v>
      </c>
      <c r="F57" s="184">
        <f t="shared" si="6"/>
        <v>0</v>
      </c>
      <c r="G57" s="184">
        <f t="shared" si="6"/>
        <v>92</v>
      </c>
      <c r="H57" s="70">
        <f t="shared" si="6"/>
        <v>92</v>
      </c>
      <c r="I57" s="19" t="s">
        <v>526</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524</v>
      </c>
      <c r="B58" s="184">
        <f t="shared" si="6"/>
        <v>0</v>
      </c>
      <c r="C58" s="184">
        <f t="shared" si="6"/>
        <v>-74</v>
      </c>
      <c r="D58" s="184">
        <f t="shared" si="6"/>
        <v>0</v>
      </c>
      <c r="E58" s="184">
        <f t="shared" si="6"/>
        <v>0</v>
      </c>
      <c r="F58" s="184">
        <f t="shared" si="6"/>
        <v>0</v>
      </c>
      <c r="G58" s="184">
        <f t="shared" si="6"/>
        <v>14</v>
      </c>
      <c r="H58" s="70">
        <f t="shared" si="6"/>
        <v>-60</v>
      </c>
      <c r="I58" s="19" t="s">
        <v>524</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523</v>
      </c>
      <c r="B59" s="189">
        <f t="shared" si="6"/>
        <v>0</v>
      </c>
      <c r="C59" s="189">
        <f t="shared" si="6"/>
        <v>0</v>
      </c>
      <c r="D59" s="189">
        <f t="shared" si="6"/>
        <v>0</v>
      </c>
      <c r="E59" s="189">
        <f t="shared" si="6"/>
        <v>0</v>
      </c>
      <c r="F59" s="189">
        <f t="shared" si="6"/>
        <v>0</v>
      </c>
      <c r="G59" s="189">
        <f t="shared" si="6"/>
        <v>-30</v>
      </c>
      <c r="H59" s="70">
        <f t="shared" si="6"/>
        <v>-30</v>
      </c>
      <c r="I59" s="307" t="s">
        <v>523</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591</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593</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47" t="s">
        <v>11</v>
      </c>
      <c r="C16" s="747"/>
      <c r="D16" s="747"/>
      <c r="E16" s="747" t="s">
        <v>12</v>
      </c>
      <c r="F16" s="747"/>
      <c r="G16" s="747"/>
      <c r="H16" s="747" t="s">
        <v>13</v>
      </c>
      <c r="I16" s="747"/>
      <c r="J16" s="747"/>
      <c r="K16" s="747" t="s">
        <v>14</v>
      </c>
      <c r="L16" s="747"/>
      <c r="M16" s="747"/>
      <c r="N16" s="747" t="s">
        <v>15</v>
      </c>
      <c r="O16" s="747"/>
      <c r="P16" s="747"/>
      <c r="Q16" s="747" t="s">
        <v>16</v>
      </c>
      <c r="R16" s="747"/>
      <c r="S16" s="747"/>
      <c r="T16" s="747" t="s">
        <v>17</v>
      </c>
      <c r="U16" s="747"/>
      <c r="V16" s="747"/>
      <c r="W16" s="747" t="s">
        <v>18</v>
      </c>
      <c r="X16" s="747"/>
      <c r="Y16" s="747"/>
      <c r="Z16" s="747" t="s">
        <v>19</v>
      </c>
      <c r="AA16" s="747"/>
      <c r="AB16" s="747"/>
      <c r="AC16" s="747" t="s">
        <v>20</v>
      </c>
      <c r="AD16" s="747"/>
      <c r="AE16" s="747"/>
      <c r="AF16" s="747" t="s">
        <v>21</v>
      </c>
      <c r="AG16" s="747"/>
      <c r="AH16" s="747"/>
      <c r="AI16" s="747" t="s">
        <v>22</v>
      </c>
      <c r="AJ16" s="747"/>
      <c r="AK16" s="747"/>
      <c r="AL16" s="747" t="s">
        <v>23</v>
      </c>
      <c r="AM16" s="747"/>
      <c r="AN16" s="747"/>
      <c r="AO16" s="747" t="s">
        <v>24</v>
      </c>
      <c r="AP16" s="747"/>
      <c r="AQ16" s="747"/>
      <c r="AR16" s="747" t="s">
        <v>35</v>
      </c>
      <c r="AS16" s="747"/>
      <c r="AT16" s="747"/>
      <c r="AU16" s="747"/>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747" t="s">
        <v>38</v>
      </c>
      <c r="C30" s="747"/>
      <c r="D30" s="747"/>
      <c r="E30" s="747" t="s">
        <v>39</v>
      </c>
      <c r="F30" s="747"/>
      <c r="G30" s="747"/>
      <c r="H30" s="747" t="s">
        <v>40</v>
      </c>
      <c r="I30" s="747"/>
      <c r="J30" s="747"/>
      <c r="K30" s="747" t="s">
        <v>41</v>
      </c>
      <c r="L30" s="747"/>
      <c r="M30" s="747"/>
      <c r="N30" s="747" t="s">
        <v>42</v>
      </c>
      <c r="O30" s="747"/>
      <c r="P30" s="747"/>
      <c r="Q30" s="747" t="s">
        <v>43</v>
      </c>
      <c r="R30" s="747"/>
      <c r="S30" s="747"/>
      <c r="T30" s="747" t="s">
        <v>44</v>
      </c>
      <c r="U30" s="747"/>
      <c r="V30" s="747"/>
      <c r="W30" s="747" t="s">
        <v>45</v>
      </c>
      <c r="X30" s="747"/>
      <c r="Y30" s="747"/>
      <c r="Z30" s="747" t="s">
        <v>46</v>
      </c>
      <c r="AA30" s="747"/>
      <c r="AB30" s="747"/>
      <c r="AC30" s="747" t="s">
        <v>47</v>
      </c>
      <c r="AD30" s="747"/>
      <c r="AE30" s="747"/>
      <c r="AF30" s="747" t="s">
        <v>48</v>
      </c>
      <c r="AG30" s="747"/>
      <c r="AH30" s="747"/>
      <c r="AI30" s="747" t="s">
        <v>49</v>
      </c>
      <c r="AJ30" s="747"/>
      <c r="AK30" s="747"/>
      <c r="AL30" s="747" t="s">
        <v>50</v>
      </c>
      <c r="AM30" s="747"/>
      <c r="AN30" s="747"/>
      <c r="AO30" s="747" t="s">
        <v>51</v>
      </c>
      <c r="AP30" s="747"/>
      <c r="AQ30" s="747"/>
      <c r="AR30" s="747" t="s">
        <v>35</v>
      </c>
      <c r="AS30" s="747"/>
      <c r="AT30" s="747"/>
      <c r="AU30" s="747"/>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47" t="s">
        <v>38</v>
      </c>
      <c r="C46" s="747"/>
      <c r="D46" s="747"/>
      <c r="E46" s="747" t="s">
        <v>39</v>
      </c>
      <c r="F46" s="747"/>
      <c r="G46" s="747"/>
      <c r="H46" s="747" t="s">
        <v>40</v>
      </c>
      <c r="I46" s="747"/>
      <c r="J46" s="747"/>
      <c r="K46" s="747" t="s">
        <v>41</v>
      </c>
      <c r="L46" s="747"/>
      <c r="M46" s="747"/>
      <c r="N46" s="747" t="s">
        <v>42</v>
      </c>
      <c r="O46" s="747"/>
      <c r="P46" s="747"/>
      <c r="Q46" s="747" t="s">
        <v>43</v>
      </c>
      <c r="R46" s="747"/>
      <c r="S46" s="747"/>
      <c r="T46" s="747" t="s">
        <v>44</v>
      </c>
      <c r="U46" s="747"/>
      <c r="V46" s="747"/>
      <c r="W46" s="747" t="s">
        <v>45</v>
      </c>
      <c r="X46" s="747"/>
      <c r="Y46" s="747"/>
      <c r="Z46" s="747" t="s">
        <v>46</v>
      </c>
      <c r="AA46" s="747"/>
      <c r="AB46" s="747"/>
      <c r="AC46" s="747" t="s">
        <v>47</v>
      </c>
      <c r="AD46" s="747"/>
      <c r="AE46" s="747"/>
      <c r="AF46" s="747" t="s">
        <v>48</v>
      </c>
      <c r="AG46" s="747"/>
      <c r="AH46" s="747"/>
      <c r="AI46" s="747" t="s">
        <v>49</v>
      </c>
      <c r="AJ46" s="747"/>
      <c r="AK46" s="747"/>
      <c r="AL46" s="747" t="s">
        <v>50</v>
      </c>
      <c r="AM46" s="747"/>
      <c r="AN46" s="747"/>
      <c r="AO46" s="747" t="s">
        <v>51</v>
      </c>
      <c r="AP46" s="747"/>
      <c r="AQ46" s="747"/>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52" t="s">
        <v>35</v>
      </c>
      <c r="N64" s="752"/>
      <c r="O64" s="706" t="s">
        <v>70</v>
      </c>
      <c r="P64" s="706"/>
      <c r="Q64" s="706" t="s">
        <v>71</v>
      </c>
      <c r="R64" s="706"/>
      <c r="S64" s="706"/>
    </row>
    <row r="65" spans="1:19">
      <c r="A65" s="7"/>
      <c r="B65" s="3"/>
      <c r="C65" s="3"/>
      <c r="D65" s="3"/>
      <c r="E65" s="3"/>
      <c r="F65" s="706" t="s">
        <v>26</v>
      </c>
      <c r="G65" s="706"/>
      <c r="H65" s="706" t="s">
        <v>27</v>
      </c>
      <c r="I65" s="706"/>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749"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750"/>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749"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751"/>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750"/>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47" t="s">
        <v>11</v>
      </c>
      <c r="C87" s="747"/>
      <c r="D87" s="747"/>
      <c r="E87" s="747" t="s">
        <v>12</v>
      </c>
      <c r="F87" s="747"/>
      <c r="G87" s="747"/>
      <c r="H87" s="747" t="s">
        <v>84</v>
      </c>
      <c r="I87" s="747"/>
      <c r="J87" s="747"/>
      <c r="K87" s="747" t="s">
        <v>14</v>
      </c>
      <c r="L87" s="747"/>
      <c r="M87" s="747"/>
      <c r="N87" s="747" t="s">
        <v>15</v>
      </c>
      <c r="O87" s="747"/>
      <c r="P87" s="747"/>
      <c r="Q87" s="747" t="s">
        <v>16</v>
      </c>
      <c r="R87" s="747"/>
      <c r="S87" s="747"/>
      <c r="T87" s="747" t="s">
        <v>17</v>
      </c>
      <c r="U87" s="747"/>
      <c r="V87" s="747"/>
      <c r="W87" s="747" t="s">
        <v>18</v>
      </c>
      <c r="X87" s="747"/>
      <c r="Y87" s="747"/>
      <c r="Z87" s="747" t="s">
        <v>19</v>
      </c>
      <c r="AA87" s="747"/>
      <c r="AB87" s="747"/>
      <c r="AC87" s="747" t="s">
        <v>20</v>
      </c>
      <c r="AD87" s="747"/>
      <c r="AE87" s="747"/>
      <c r="AF87" s="747" t="s">
        <v>85</v>
      </c>
      <c r="AG87" s="747"/>
      <c r="AH87" s="747"/>
      <c r="AI87" s="747" t="s">
        <v>22</v>
      </c>
      <c r="AJ87" s="747"/>
      <c r="AK87" s="747"/>
      <c r="AL87" s="747" t="s">
        <v>23</v>
      </c>
      <c r="AM87" s="747"/>
      <c r="AN87" s="747"/>
      <c r="AO87" s="747" t="s">
        <v>24</v>
      </c>
      <c r="AP87" s="747"/>
      <c r="AQ87" s="747"/>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47" t="s">
        <v>38</v>
      </c>
      <c r="C101" s="747"/>
      <c r="D101" s="747"/>
      <c r="E101" s="747" t="s">
        <v>39</v>
      </c>
      <c r="F101" s="747"/>
      <c r="G101" s="747"/>
      <c r="H101" s="747" t="s">
        <v>87</v>
      </c>
      <c r="I101" s="747"/>
      <c r="J101" s="747"/>
      <c r="K101" s="747" t="s">
        <v>41</v>
      </c>
      <c r="L101" s="747"/>
      <c r="M101" s="747"/>
      <c r="N101" s="747" t="s">
        <v>42</v>
      </c>
      <c r="O101" s="747"/>
      <c r="P101" s="747"/>
      <c r="Q101" s="747" t="s">
        <v>43</v>
      </c>
      <c r="R101" s="747"/>
      <c r="S101" s="747"/>
      <c r="T101" s="747" t="s">
        <v>44</v>
      </c>
      <c r="U101" s="747"/>
      <c r="V101" s="747"/>
      <c r="W101" s="747" t="s">
        <v>45</v>
      </c>
      <c r="X101" s="747"/>
      <c r="Y101" s="747"/>
      <c r="Z101" s="747" t="s">
        <v>46</v>
      </c>
      <c r="AA101" s="747"/>
      <c r="AB101" s="747"/>
      <c r="AC101" s="747" t="s">
        <v>47</v>
      </c>
      <c r="AD101" s="747"/>
      <c r="AE101" s="747"/>
      <c r="AF101" s="747" t="s">
        <v>48</v>
      </c>
      <c r="AG101" s="747"/>
      <c r="AH101" s="747"/>
      <c r="AI101" s="747" t="s">
        <v>49</v>
      </c>
      <c r="AJ101" s="747"/>
      <c r="AK101" s="747"/>
      <c r="AL101" s="747" t="s">
        <v>50</v>
      </c>
      <c r="AM101" s="747"/>
      <c r="AN101" s="747"/>
      <c r="AO101" s="747" t="s">
        <v>51</v>
      </c>
      <c r="AP101" s="747"/>
      <c r="AQ101" s="747"/>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748" t="s">
        <v>88</v>
      </c>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c r="AB113" s="748"/>
      <c r="AC113" s="748"/>
      <c r="AD113" s="748"/>
      <c r="AE113" s="748"/>
      <c r="AF113" s="748"/>
      <c r="AG113" s="748"/>
      <c r="AH113" s="748"/>
      <c r="AI113" s="748"/>
      <c r="AJ113" s="748"/>
      <c r="AK113" s="748"/>
      <c r="AL113" s="748"/>
      <c r="AM113" s="748"/>
      <c r="AN113" s="748"/>
      <c r="AO113" s="748"/>
      <c r="AP113" s="748"/>
      <c r="AQ113" s="748"/>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47">
        <v>2019</v>
      </c>
      <c r="C117" s="747"/>
      <c r="D117" s="747"/>
      <c r="E117" s="747"/>
      <c r="F117" s="747"/>
      <c r="G117" s="747"/>
      <c r="H117" s="747"/>
      <c r="I117" s="747">
        <v>2035</v>
      </c>
      <c r="J117" s="747"/>
      <c r="K117" s="747"/>
      <c r="L117" s="747"/>
      <c r="M117" s="747"/>
      <c r="N117" s="747"/>
      <c r="O117" s="747"/>
      <c r="P117" s="747" t="s">
        <v>90</v>
      </c>
      <c r="Q117" s="747"/>
      <c r="R117" s="747"/>
      <c r="S117" s="747"/>
      <c r="T117" s="747"/>
      <c r="U117" s="747"/>
      <c r="V117" s="747"/>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47">
        <v>2019</v>
      </c>
      <c r="C136" s="747"/>
      <c r="D136" s="747"/>
      <c r="E136" s="747"/>
      <c r="F136" s="747"/>
      <c r="G136" s="747"/>
      <c r="H136" s="747"/>
      <c r="I136" s="747">
        <v>2035</v>
      </c>
      <c r="J136" s="747"/>
      <c r="K136" s="747"/>
      <c r="L136" s="747"/>
      <c r="M136" s="747"/>
      <c r="N136" s="747"/>
      <c r="O136" s="747"/>
      <c r="P136" s="747" t="s">
        <v>90</v>
      </c>
      <c r="Q136" s="747"/>
      <c r="R136" s="747"/>
      <c r="S136" s="747"/>
      <c r="T136" s="747"/>
      <c r="U136" s="747"/>
      <c r="V136" s="747"/>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753" t="s">
        <v>594</v>
      </c>
      <c r="B153" s="753"/>
      <c r="C153" s="753"/>
      <c r="D153" s="753"/>
      <c r="E153" s="753"/>
      <c r="F153" s="753"/>
      <c r="G153" s="753"/>
      <c r="H153" s="753"/>
      <c r="I153" s="753"/>
      <c r="J153" s="753"/>
      <c r="K153" s="753"/>
      <c r="L153" s="753"/>
      <c r="M153" s="753"/>
      <c r="N153" s="753"/>
      <c r="O153" s="753"/>
      <c r="P153" s="753"/>
      <c r="Q153" s="753"/>
      <c r="R153" s="753"/>
      <c r="S153" s="753"/>
      <c r="T153" s="753"/>
      <c r="U153" s="753"/>
      <c r="V153" s="753"/>
      <c r="W153" s="753"/>
      <c r="X153" s="753"/>
      <c r="Y153" s="753"/>
      <c r="Z153" s="753"/>
      <c r="AA153" s="753"/>
      <c r="AB153" s="753"/>
      <c r="AC153" s="753"/>
      <c r="AD153" s="753"/>
      <c r="AE153" s="753"/>
      <c r="AF153" s="753"/>
      <c r="AG153" s="753"/>
      <c r="AH153" s="753"/>
      <c r="AI153" s="753"/>
      <c r="AJ153" s="753"/>
      <c r="AK153" s="753"/>
      <c r="AL153" s="753"/>
      <c r="AM153" s="753"/>
      <c r="AN153" s="753"/>
      <c r="AO153" s="753"/>
      <c r="AP153" s="753"/>
      <c r="AQ153" s="753"/>
    </row>
    <row r="155" spans="1:43">
      <c r="B155" s="754" t="s">
        <v>92</v>
      </c>
      <c r="C155" s="754"/>
      <c r="D155" s="754"/>
      <c r="E155" s="754"/>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 ref="N101:P101"/>
    <mergeCell ref="T87:V87"/>
    <mergeCell ref="W87:Y87"/>
    <mergeCell ref="Z87:AB87"/>
    <mergeCell ref="AC87:AE87"/>
    <mergeCell ref="Q101:S101"/>
    <mergeCell ref="T101:V101"/>
    <mergeCell ref="W101:Y101"/>
    <mergeCell ref="Z101:AB101"/>
    <mergeCell ref="AC101:AE101"/>
    <mergeCell ref="A67:A68"/>
    <mergeCell ref="A69:A71"/>
    <mergeCell ref="B87:D87"/>
    <mergeCell ref="E87:G87"/>
    <mergeCell ref="M64:N64"/>
    <mergeCell ref="H87:J87"/>
    <mergeCell ref="K87:M87"/>
    <mergeCell ref="N87:P87"/>
    <mergeCell ref="O64:P64"/>
    <mergeCell ref="Z46:AB46"/>
    <mergeCell ref="W46:Y46"/>
    <mergeCell ref="AC46:AE46"/>
    <mergeCell ref="Z30:AB30"/>
    <mergeCell ref="W30:Y30"/>
    <mergeCell ref="AC30:AE30"/>
    <mergeCell ref="AF16:AH16"/>
    <mergeCell ref="AF30:AH30"/>
    <mergeCell ref="AF46:AH46"/>
    <mergeCell ref="AO16:AQ16"/>
    <mergeCell ref="AI16:AK16"/>
    <mergeCell ref="AL16:AN16"/>
    <mergeCell ref="AL46:AN46"/>
    <mergeCell ref="AO30:AQ30"/>
    <mergeCell ref="AI30:AK30"/>
    <mergeCell ref="AC16:AE16"/>
    <mergeCell ref="W16:Y16"/>
    <mergeCell ref="Z16:AB16"/>
    <mergeCell ref="H16:J16"/>
    <mergeCell ref="K16:M16"/>
    <mergeCell ref="N16:P16"/>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920</v>
      </c>
      <c r="B1" s="483"/>
      <c r="C1" s="483"/>
      <c r="D1" s="483"/>
      <c r="E1" s="483"/>
      <c r="F1" s="483"/>
      <c r="G1" s="483"/>
      <c r="H1" s="483"/>
      <c r="I1" s="483"/>
      <c r="J1" s="483"/>
      <c r="K1" s="483"/>
      <c r="L1" s="483"/>
      <c r="M1" s="483"/>
      <c r="N1" s="483"/>
      <c r="O1" s="483"/>
      <c r="P1" s="483"/>
      <c r="Q1" s="483"/>
      <c r="R1" s="483"/>
      <c r="S1" s="483"/>
      <c r="T1" s="483"/>
      <c r="U1" s="483"/>
      <c r="V1" s="483"/>
    </row>
    <row r="3" spans="1:22">
      <c r="A3" s="756" t="s">
        <v>598</v>
      </c>
      <c r="B3" s="756"/>
      <c r="C3" s="756"/>
      <c r="D3" s="756"/>
      <c r="E3" s="756"/>
      <c r="F3" s="756"/>
      <c r="G3" s="756"/>
      <c r="H3" s="756"/>
      <c r="I3" s="756"/>
      <c r="J3" s="756"/>
      <c r="K3" s="756"/>
      <c r="L3" s="756"/>
      <c r="M3" s="756"/>
      <c r="N3" s="756"/>
      <c r="O3" s="756"/>
      <c r="P3" s="756"/>
      <c r="Q3" s="756"/>
      <c r="R3" s="756"/>
      <c r="S3" s="756"/>
      <c r="T3" s="756"/>
      <c r="U3" s="756"/>
      <c r="V3" s="756"/>
    </row>
    <row r="4" spans="1:22">
      <c r="A4" s="55"/>
      <c r="B4" s="706">
        <v>2019</v>
      </c>
      <c r="C4" s="706"/>
      <c r="D4" s="706"/>
      <c r="E4" s="706"/>
      <c r="F4" s="706"/>
      <c r="G4" s="706"/>
      <c r="H4" s="706"/>
      <c r="I4" s="706">
        <v>2035</v>
      </c>
      <c r="J4" s="706"/>
      <c r="K4" s="706"/>
      <c r="L4" s="706"/>
      <c r="M4" s="706"/>
      <c r="N4" s="706"/>
      <c r="O4" s="706"/>
      <c r="P4" s="706" t="s">
        <v>90</v>
      </c>
      <c r="Q4" s="706"/>
      <c r="R4" s="706"/>
      <c r="S4" s="706"/>
      <c r="T4" s="706"/>
      <c r="U4" s="706"/>
      <c r="V4" s="706"/>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756" t="s">
        <v>597</v>
      </c>
      <c r="B21" s="756"/>
      <c r="C21" s="756"/>
      <c r="D21" s="756"/>
      <c r="E21" s="756"/>
      <c r="F21" s="756"/>
      <c r="G21" s="756"/>
      <c r="H21" s="756"/>
      <c r="I21" s="756"/>
      <c r="J21" s="756"/>
      <c r="K21" s="756"/>
      <c r="L21" s="756"/>
      <c r="M21" s="756"/>
      <c r="N21" s="756"/>
      <c r="O21" s="756"/>
      <c r="P21" s="756"/>
      <c r="Q21" s="756"/>
      <c r="R21" s="756"/>
      <c r="S21" s="756"/>
      <c r="T21" s="756"/>
      <c r="U21" s="756"/>
      <c r="V21" s="756"/>
    </row>
    <row r="22" spans="1:22">
      <c r="A22" s="485"/>
      <c r="B22" s="757" t="s">
        <v>218</v>
      </c>
      <c r="C22" s="757"/>
      <c r="D22" s="757"/>
      <c r="E22" s="706" t="s">
        <v>219</v>
      </c>
      <c r="F22" s="706"/>
      <c r="G22" s="706"/>
      <c r="H22" s="706"/>
      <c r="I22" s="706"/>
      <c r="J22" s="706"/>
    </row>
    <row r="23" spans="1:22">
      <c r="A23" s="485"/>
      <c r="B23" s="706">
        <v>2030</v>
      </c>
      <c r="C23" s="706"/>
      <c r="D23" s="706"/>
      <c r="E23" s="706">
        <v>2040</v>
      </c>
      <c r="F23" s="706"/>
      <c r="G23" s="706"/>
      <c r="H23" s="706">
        <v>2050</v>
      </c>
      <c r="I23" s="706"/>
      <c r="J23" s="706"/>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56" t="s">
        <v>595</v>
      </c>
      <c r="B37" s="756"/>
      <c r="C37" s="756"/>
      <c r="D37" s="756"/>
      <c r="E37" s="756"/>
      <c r="F37" s="756"/>
      <c r="G37" s="756"/>
      <c r="H37" s="756"/>
      <c r="I37" s="756"/>
      <c r="J37" s="756"/>
      <c r="K37" s="756"/>
      <c r="L37" s="756"/>
      <c r="M37" s="756"/>
      <c r="N37" s="756"/>
      <c r="O37" s="756"/>
      <c r="P37" s="756"/>
      <c r="Q37" s="756"/>
      <c r="R37" s="54"/>
      <c r="S37" s="54"/>
      <c r="T37" s="54"/>
      <c r="U37" s="54"/>
      <c r="V37" s="54"/>
    </row>
    <row r="38" spans="1:23">
      <c r="A38" s="19"/>
      <c r="B38" s="755" t="s">
        <v>223</v>
      </c>
      <c r="C38" s="755"/>
      <c r="D38" s="755"/>
      <c r="E38" s="755"/>
      <c r="F38" s="706">
        <v>2030</v>
      </c>
      <c r="G38" s="706"/>
      <c r="H38" s="706"/>
      <c r="I38" s="706"/>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890</v>
      </c>
      <c r="B56" s="54"/>
      <c r="C56" s="54"/>
      <c r="D56" s="54"/>
      <c r="E56" s="54"/>
      <c r="F56" s="54"/>
      <c r="G56" s="54"/>
      <c r="H56" s="54"/>
      <c r="I56" s="54"/>
      <c r="J56" s="54"/>
      <c r="K56" s="54"/>
      <c r="L56" s="54"/>
      <c r="M56" s="54"/>
      <c r="N56" s="54"/>
      <c r="O56" s="54"/>
      <c r="P56" s="54"/>
      <c r="Q56" s="54"/>
      <c r="R56" s="54"/>
      <c r="S56" s="54"/>
      <c r="T56" s="54"/>
      <c r="U56" s="54"/>
      <c r="V56" s="54"/>
    </row>
    <row r="57" spans="1:22">
      <c r="A57" s="755" t="s">
        <v>216</v>
      </c>
      <c r="B57" s="755"/>
      <c r="C57" s="755"/>
      <c r="E57" s="755" t="s">
        <v>222</v>
      </c>
      <c r="F57" s="755"/>
      <c r="G57" s="755"/>
      <c r="I57" s="755" t="s">
        <v>217</v>
      </c>
      <c r="J57" s="755"/>
      <c r="K57" s="755"/>
    </row>
    <row r="58" spans="1:22">
      <c r="A58" s="758">
        <v>2019</v>
      </c>
      <c r="B58" s="480" t="s">
        <v>28</v>
      </c>
      <c r="C58" s="310">
        <v>605.43573886727097</v>
      </c>
      <c r="D58" s="22"/>
      <c r="E58" s="479">
        <v>2025</v>
      </c>
      <c r="F58" s="22" t="s">
        <v>162</v>
      </c>
      <c r="G58" s="310">
        <f>B54</f>
        <v>62169.421210949993</v>
      </c>
      <c r="H58" s="22"/>
      <c r="I58" s="479">
        <v>2025</v>
      </c>
      <c r="J58" s="20" t="s">
        <v>139</v>
      </c>
      <c r="K58" s="215">
        <v>174621.22</v>
      </c>
    </row>
    <row r="59" spans="1:22">
      <c r="A59" s="758"/>
      <c r="B59" s="480" t="s">
        <v>29</v>
      </c>
      <c r="C59" s="310">
        <v>555.15924016401209</v>
      </c>
      <c r="E59" s="479"/>
      <c r="F59" s="22" t="s">
        <v>144</v>
      </c>
      <c r="G59" s="310">
        <f>C54</f>
        <v>19759.300000000003</v>
      </c>
      <c r="I59" s="479"/>
      <c r="J59" s="20" t="s">
        <v>220</v>
      </c>
      <c r="K59" s="215">
        <v>203570.42</v>
      </c>
    </row>
    <row r="60" spans="1:22">
      <c r="A60" s="758"/>
      <c r="B60" s="480" t="s">
        <v>30</v>
      </c>
      <c r="C60" s="310">
        <v>856.52396809274182</v>
      </c>
      <c r="E60" s="479"/>
      <c r="F60" s="22" t="s">
        <v>143</v>
      </c>
      <c r="G60" s="310">
        <f>D54</f>
        <v>10787.47</v>
      </c>
      <c r="I60" s="479"/>
      <c r="J60" s="20" t="s">
        <v>889</v>
      </c>
      <c r="K60" s="215">
        <v>46143.86</v>
      </c>
    </row>
    <row r="61" spans="1:22">
      <c r="A61" s="758"/>
      <c r="B61" s="480" t="s">
        <v>31</v>
      </c>
      <c r="C61" s="310">
        <v>42.442977049886949</v>
      </c>
      <c r="E61" s="479"/>
      <c r="F61" s="22" t="s">
        <v>145</v>
      </c>
      <c r="G61" s="310">
        <f>E54</f>
        <v>7166.03</v>
      </c>
      <c r="I61" s="479">
        <v>2035</v>
      </c>
      <c r="J61" s="20" t="s">
        <v>139</v>
      </c>
      <c r="K61" s="215">
        <f>B36+0.5*E36-K58</f>
        <v>312486.58213769377</v>
      </c>
    </row>
    <row r="62" spans="1:22">
      <c r="A62" s="758"/>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758">
        <v>2035</v>
      </c>
      <c r="B63" s="480" t="s">
        <v>28</v>
      </c>
      <c r="C63" s="310">
        <v>66.664007149780403</v>
      </c>
      <c r="E63" s="479"/>
      <c r="F63" s="22" t="s">
        <v>144</v>
      </c>
      <c r="G63" s="215">
        <f>G54+0.5*K54-C54</f>
        <v>13456.280189314995</v>
      </c>
      <c r="I63" s="479"/>
      <c r="J63" s="20" t="s">
        <v>221</v>
      </c>
      <c r="K63" s="215">
        <f>D36+0.5*G36-K60</f>
        <v>203994.51</v>
      </c>
    </row>
    <row r="64" spans="1:22">
      <c r="A64" s="758"/>
      <c r="B64" s="480" t="s">
        <v>29</v>
      </c>
      <c r="C64" s="310">
        <v>-56.143186092814545</v>
      </c>
      <c r="E64" s="479"/>
      <c r="F64" s="22" t="s">
        <v>143</v>
      </c>
      <c r="G64" s="215">
        <f>H54+0.5*L54-D54</f>
        <v>98775.094468687748</v>
      </c>
      <c r="K64" s="70">
        <f>SUM(K58:K63)</f>
        <v>1046591.1262560913</v>
      </c>
    </row>
    <row r="65" spans="1:22">
      <c r="A65" s="758"/>
      <c r="B65" s="480" t="s">
        <v>30</v>
      </c>
      <c r="C65" s="310">
        <v>308.44840564110484</v>
      </c>
      <c r="E65" s="479"/>
      <c r="F65" s="22" t="s">
        <v>145</v>
      </c>
      <c r="G65" s="215">
        <f>I54+0.5*M54-E54</f>
        <v>78557.279311664999</v>
      </c>
    </row>
    <row r="66" spans="1:22">
      <c r="A66" s="758"/>
      <c r="B66" s="480" t="s">
        <v>31</v>
      </c>
      <c r="C66" s="310">
        <v>389.26670694717814</v>
      </c>
      <c r="G66" s="70">
        <f>SUM(G58:G65)</f>
        <v>291257.44378413272</v>
      </c>
    </row>
    <row r="67" spans="1:22">
      <c r="A67" s="758"/>
      <c r="B67" s="480" t="s">
        <v>33</v>
      </c>
      <c r="C67" s="310">
        <f>SUM(M20:O20)</f>
        <v>8.6410336191086081</v>
      </c>
    </row>
    <row r="68" spans="1:22">
      <c r="A68" s="758" t="s">
        <v>90</v>
      </c>
      <c r="B68" s="480" t="s">
        <v>28</v>
      </c>
      <c r="C68" s="310">
        <v>54.285203662931181</v>
      </c>
      <c r="D68" s="22"/>
    </row>
    <row r="69" spans="1:22">
      <c r="A69" s="758"/>
      <c r="B69" s="480" t="s">
        <v>29</v>
      </c>
      <c r="C69" s="310">
        <v>10.62650589904176</v>
      </c>
    </row>
    <row r="70" spans="1:22">
      <c r="A70" s="758"/>
      <c r="B70" s="480" t="s">
        <v>30</v>
      </c>
      <c r="C70" s="310">
        <v>353.4757185023758</v>
      </c>
    </row>
    <row r="71" spans="1:22">
      <c r="A71" s="758"/>
      <c r="B71" s="480" t="s">
        <v>31</v>
      </c>
      <c r="C71" s="310">
        <v>57.853064667440051</v>
      </c>
    </row>
    <row r="72" spans="1:22">
      <c r="A72" s="758"/>
      <c r="B72" s="480" t="s">
        <v>33</v>
      </c>
      <c r="C72" s="310">
        <v>1.9342533521027128</v>
      </c>
      <c r="D72" s="20">
        <f>SUM(C58:C72)</f>
        <v>3403.8508674527161</v>
      </c>
      <c r="E72" s="20">
        <f>SUM(C70:C72)</f>
        <v>413.26303652191854</v>
      </c>
      <c r="F72" s="674">
        <f>E72/D72</f>
        <v>0.12141044147189251</v>
      </c>
    </row>
    <row r="73" spans="1:22">
      <c r="A73" s="481"/>
      <c r="B73" s="480"/>
      <c r="D73" s="93"/>
    </row>
    <row r="75" spans="1:22">
      <c r="A75" s="481"/>
    </row>
    <row r="76" spans="1:22">
      <c r="A76" s="481"/>
    </row>
    <row r="77" spans="1:22">
      <c r="A77" s="481"/>
    </row>
    <row r="78" spans="1:22">
      <c r="A78" s="481"/>
    </row>
    <row r="80" spans="1:22">
      <c r="A80" s="505" t="s">
        <v>891</v>
      </c>
      <c r="B80" s="54"/>
      <c r="C80" s="54"/>
      <c r="D80" s="54"/>
      <c r="E80" s="54"/>
      <c r="F80" s="54"/>
      <c r="G80" s="54"/>
      <c r="H80" s="54"/>
      <c r="I80" s="54"/>
      <c r="J80" s="54"/>
      <c r="K80" s="54"/>
      <c r="L80" s="54"/>
      <c r="M80" s="54"/>
      <c r="N80" s="54"/>
      <c r="O80" s="54"/>
      <c r="P80" s="54"/>
      <c r="Q80" s="54"/>
      <c r="R80" s="54"/>
      <c r="S80" s="54"/>
      <c r="T80" s="54"/>
      <c r="U80" s="54"/>
      <c r="V80" s="54"/>
    </row>
    <row r="81" spans="1:17">
      <c r="A81" s="755" t="s">
        <v>915</v>
      </c>
      <c r="B81" s="755"/>
      <c r="C81" s="755"/>
      <c r="E81" s="755" t="s">
        <v>916</v>
      </c>
      <c r="F81" s="755"/>
      <c r="G81" s="755"/>
      <c r="H81" s="755"/>
      <c r="J81" s="755" t="s">
        <v>917</v>
      </c>
      <c r="K81" s="755"/>
      <c r="L81" s="755"/>
      <c r="M81" s="755"/>
      <c r="O81" s="55" t="s">
        <v>919</v>
      </c>
      <c r="P81" s="55"/>
      <c r="Q81" s="55"/>
    </row>
    <row r="82" spans="1:17">
      <c r="A82" s="758">
        <v>2019</v>
      </c>
      <c r="B82" s="480" t="s">
        <v>28</v>
      </c>
      <c r="C82" s="310">
        <v>605.43573886727097</v>
      </c>
      <c r="E82" s="479">
        <v>2025</v>
      </c>
      <c r="F82" s="20" t="s">
        <v>139</v>
      </c>
      <c r="G82" s="215">
        <f>P100</f>
        <v>218.02784000000003</v>
      </c>
      <c r="J82" s="55" t="s">
        <v>281</v>
      </c>
      <c r="K82" s="55"/>
      <c r="L82" s="678" t="s">
        <v>911</v>
      </c>
      <c r="M82" s="678" t="s">
        <v>912</v>
      </c>
      <c r="O82" s="37" t="s">
        <v>905</v>
      </c>
      <c r="Q82" s="303">
        <f>Q87+Q88</f>
        <v>35820.97</v>
      </c>
    </row>
    <row r="83" spans="1:17">
      <c r="A83" s="758"/>
      <c r="B83" s="480" t="s">
        <v>29</v>
      </c>
      <c r="C83" s="310">
        <v>555.15924016401209</v>
      </c>
      <c r="E83" s="479"/>
      <c r="F83" s="20" t="s">
        <v>220</v>
      </c>
      <c r="G83" s="215">
        <f>P101</f>
        <v>191.81692999999999</v>
      </c>
      <c r="J83" s="55" t="s">
        <v>910</v>
      </c>
      <c r="K83" s="55"/>
      <c r="L83" s="3">
        <v>2020</v>
      </c>
      <c r="M83" s="3">
        <v>2024</v>
      </c>
      <c r="O83" s="37" t="s">
        <v>906</v>
      </c>
      <c r="Q83" s="303">
        <f>Q89</f>
        <v>18478.876000000004</v>
      </c>
    </row>
    <row r="84" spans="1:17">
      <c r="A84" s="758"/>
      <c r="B84" s="480" t="s">
        <v>30</v>
      </c>
      <c r="C84" s="310">
        <v>856.52396809274182</v>
      </c>
      <c r="E84" s="479"/>
      <c r="F84" s="20" t="s">
        <v>889</v>
      </c>
      <c r="G84" s="215">
        <f>P102</f>
        <v>31.027999999999999</v>
      </c>
      <c r="J84" s="20" t="s">
        <v>895</v>
      </c>
      <c r="L84" s="37">
        <f>Production!D146</f>
        <v>15297.12252074</v>
      </c>
      <c r="M84" s="37">
        <f>Production!G146</f>
        <v>6892</v>
      </c>
      <c r="O84" s="37" t="s">
        <v>843</v>
      </c>
      <c r="Q84" s="303">
        <f>Q85+Q86</f>
        <v>27812.832938741813</v>
      </c>
    </row>
    <row r="85" spans="1:17">
      <c r="A85" s="758"/>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900</v>
      </c>
      <c r="Q85" s="310">
        <v>27619.667650621814</v>
      </c>
    </row>
    <row r="86" spans="1:17">
      <c r="A86" s="758"/>
      <c r="B86" s="480" t="s">
        <v>33</v>
      </c>
      <c r="C86" s="310">
        <f>SUM(F44:H44)</f>
        <v>5978.6545996433542</v>
      </c>
      <c r="E86" s="479"/>
      <c r="F86" s="20" t="s">
        <v>220</v>
      </c>
      <c r="G86" s="303">
        <f t="shared" ref="G86:G87" si="4">H86-G83</f>
        <v>269.28306999999995</v>
      </c>
      <c r="H86" s="215">
        <f>Production!P8</f>
        <v>461.09999999999997</v>
      </c>
      <c r="J86" s="20" t="s">
        <v>896</v>
      </c>
      <c r="L86" s="37">
        <f>Production!D157</f>
        <v>51370.884028729997</v>
      </c>
      <c r="M86" s="37">
        <f>Production!G157</f>
        <v>12832</v>
      </c>
      <c r="O86" s="20" t="s">
        <v>902</v>
      </c>
      <c r="Q86" s="310">
        <v>193.16528811999996</v>
      </c>
    </row>
    <row r="87" spans="1:17">
      <c r="A87" s="758">
        <v>2035</v>
      </c>
      <c r="B87" s="480" t="s">
        <v>28</v>
      </c>
      <c r="C87" s="310">
        <v>66.664007149780403</v>
      </c>
      <c r="E87" s="479"/>
      <c r="F87" s="20" t="s">
        <v>221</v>
      </c>
      <c r="G87" s="303">
        <f t="shared" si="4"/>
        <v>209.642</v>
      </c>
      <c r="H87" s="215">
        <f>Production!P9</f>
        <v>240.67</v>
      </c>
      <c r="J87" s="20" t="s">
        <v>913</v>
      </c>
      <c r="L87" s="37">
        <f>Production!D147</f>
        <v>26620.833756299999</v>
      </c>
      <c r="M87" s="37">
        <f>Production!G147</f>
        <v>26339</v>
      </c>
      <c r="O87" s="20" t="s">
        <v>901</v>
      </c>
      <c r="Q87" s="310">
        <v>35311.64</v>
      </c>
    </row>
    <row r="88" spans="1:17">
      <c r="A88" s="758"/>
      <c r="B88" s="480" t="s">
        <v>29</v>
      </c>
      <c r="C88" s="310">
        <v>-56.143186092814545</v>
      </c>
      <c r="G88" s="70">
        <f>SUM(G82:G87)</f>
        <v>1490.1299999999999</v>
      </c>
      <c r="H88" s="70"/>
      <c r="J88" s="20" t="s">
        <v>914</v>
      </c>
      <c r="L88" s="37">
        <f>Production!N157</f>
        <v>48145.03372983</v>
      </c>
      <c r="M88" s="37">
        <f>Production!Q150</f>
        <v>39342</v>
      </c>
      <c r="O88" s="20" t="s">
        <v>903</v>
      </c>
      <c r="Q88" s="310">
        <v>509.33</v>
      </c>
    </row>
    <row r="89" spans="1:17">
      <c r="A89" s="758"/>
      <c r="B89" s="480" t="s">
        <v>30</v>
      </c>
      <c r="C89" s="310">
        <v>308.44840564110484</v>
      </c>
      <c r="O89" s="20" t="s">
        <v>371</v>
      </c>
      <c r="Q89" s="310">
        <v>18478.876000000004</v>
      </c>
    </row>
    <row r="90" spans="1:17">
      <c r="A90" s="758"/>
      <c r="B90" s="480" t="s">
        <v>31</v>
      </c>
      <c r="C90" s="310">
        <v>389.26670694717814</v>
      </c>
      <c r="O90" s="20" t="s">
        <v>904</v>
      </c>
      <c r="Q90" s="109">
        <v>128.52999999999997</v>
      </c>
    </row>
    <row r="91" spans="1:17">
      <c r="A91" s="758"/>
      <c r="B91" s="480" t="s">
        <v>33</v>
      </c>
      <c r="C91" s="310">
        <f>SUM(M44:O44)</f>
        <v>1200.1427559899976</v>
      </c>
      <c r="O91" s="20" t="s">
        <v>227</v>
      </c>
      <c r="Q91" s="109">
        <v>346.71999999999997</v>
      </c>
    </row>
    <row r="92" spans="1:17">
      <c r="A92" s="758" t="s">
        <v>90</v>
      </c>
      <c r="B92" s="480" t="s">
        <v>28</v>
      </c>
      <c r="C92" s="310">
        <v>54.285203662931181</v>
      </c>
      <c r="O92" s="20" t="s">
        <v>529</v>
      </c>
      <c r="Q92" s="109">
        <v>199.01500000000001</v>
      </c>
    </row>
    <row r="93" spans="1:17">
      <c r="A93" s="758"/>
      <c r="B93" s="480" t="s">
        <v>29</v>
      </c>
      <c r="C93" s="310">
        <v>10.62650589904176</v>
      </c>
    </row>
    <row r="94" spans="1:17">
      <c r="A94" s="758"/>
      <c r="B94" s="480" t="s">
        <v>30</v>
      </c>
      <c r="C94" s="310">
        <v>353.4757185023758</v>
      </c>
    </row>
    <row r="95" spans="1:17">
      <c r="A95" s="758"/>
      <c r="B95" s="480" t="s">
        <v>31</v>
      </c>
      <c r="C95" s="310">
        <v>57.853064667440051</v>
      </c>
    </row>
    <row r="96" spans="1:17">
      <c r="A96" s="758"/>
      <c r="B96" s="480" t="s">
        <v>33</v>
      </c>
      <c r="C96" s="310">
        <v>1.9342533521027128</v>
      </c>
    </row>
    <row r="97" spans="1:27">
      <c r="AA97" s="175"/>
    </row>
    <row r="98" spans="1:27">
      <c r="A98" s="676" t="s">
        <v>909</v>
      </c>
      <c r="B98" s="676"/>
      <c r="C98" s="676"/>
      <c r="D98" s="676"/>
      <c r="E98" s="677" t="s">
        <v>892</v>
      </c>
      <c r="F98" s="676"/>
      <c r="G98" s="676"/>
      <c r="H98" s="75">
        <v>2025</v>
      </c>
      <c r="I98" s="676"/>
      <c r="J98" s="676"/>
      <c r="K98" s="676"/>
      <c r="L98" s="676"/>
      <c r="M98" s="676"/>
      <c r="N98" s="676"/>
      <c r="O98" s="676"/>
    </row>
    <row r="99" spans="1:27">
      <c r="A99" s="55"/>
      <c r="B99" s="55" t="s">
        <v>26</v>
      </c>
      <c r="C99" s="55" t="s">
        <v>126</v>
      </c>
      <c r="D99" s="55" t="s">
        <v>893</v>
      </c>
      <c r="E99" s="55" t="s">
        <v>127</v>
      </c>
      <c r="F99" s="55" t="s">
        <v>128</v>
      </c>
      <c r="G99" s="55" t="s">
        <v>129</v>
      </c>
      <c r="H99" s="55" t="s">
        <v>130</v>
      </c>
      <c r="I99" s="55" t="s">
        <v>131</v>
      </c>
      <c r="J99" s="55" t="s">
        <v>894</v>
      </c>
      <c r="K99" s="55" t="s">
        <v>133</v>
      </c>
      <c r="L99" s="55" t="s">
        <v>134</v>
      </c>
      <c r="M99" s="55" t="s">
        <v>135</v>
      </c>
      <c r="N99" s="55" t="s">
        <v>136</v>
      </c>
      <c r="O99" s="55" t="s">
        <v>137</v>
      </c>
    </row>
    <row r="100" spans="1:27">
      <c r="A100" s="20" t="s">
        <v>139</v>
      </c>
      <c r="B100" s="679">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679">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679">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676" t="s">
        <v>918</v>
      </c>
      <c r="B104" s="676"/>
      <c r="C104" s="676"/>
      <c r="D104" s="676"/>
    </row>
    <row r="105" spans="1:27">
      <c r="A105" s="55" t="s">
        <v>281</v>
      </c>
      <c r="B105" s="55"/>
      <c r="C105" s="678" t="s">
        <v>911</v>
      </c>
      <c r="D105" s="678" t="s">
        <v>912</v>
      </c>
    </row>
    <row r="106" spans="1:27">
      <c r="A106" s="676" t="s">
        <v>910</v>
      </c>
      <c r="B106" s="676"/>
      <c r="C106" s="75">
        <v>2020</v>
      </c>
      <c r="D106" s="75">
        <v>2024</v>
      </c>
    </row>
    <row r="107" spans="1:27">
      <c r="A107" s="31">
        <v>2025</v>
      </c>
      <c r="B107" s="20" t="s">
        <v>145</v>
      </c>
      <c r="C107" s="215">
        <f>L85+SUM(Production!D144:D145)</f>
        <v>109372.37100498</v>
      </c>
      <c r="D107" s="215">
        <f>M85+Production!G144</f>
        <v>92121</v>
      </c>
    </row>
    <row r="108" spans="1:27">
      <c r="B108" s="20" t="s">
        <v>897</v>
      </c>
      <c r="C108" s="215">
        <f>L84+L86-SUM(Production!D144:D145)</f>
        <v>65718.006549469996</v>
      </c>
      <c r="D108" s="215">
        <f>M84+M86-Production!G144</f>
        <v>19033</v>
      </c>
    </row>
    <row r="109" spans="1:27">
      <c r="B109" s="20" t="s">
        <v>898</v>
      </c>
      <c r="C109" s="215">
        <f>L87+L88</f>
        <v>74765.867486129995</v>
      </c>
      <c r="D109" s="215">
        <f>M87+M88</f>
        <v>65681</v>
      </c>
    </row>
    <row r="110" spans="1:27">
      <c r="B110" s="20" t="s">
        <v>142</v>
      </c>
      <c r="C110" s="215">
        <f>Production!V95</f>
        <v>87741.950087000005</v>
      </c>
      <c r="D110" s="215">
        <f>Production!V50</f>
        <v>70751</v>
      </c>
    </row>
    <row r="111" spans="1:27">
      <c r="B111" s="20" t="s">
        <v>428</v>
      </c>
      <c r="C111" s="215">
        <f>Production!W44</f>
        <v>129865</v>
      </c>
      <c r="D111" s="215">
        <f>Production!W44</f>
        <v>129865</v>
      </c>
    </row>
    <row r="112" spans="1:27">
      <c r="A112" s="339"/>
      <c r="B112" s="339" t="s">
        <v>227</v>
      </c>
      <c r="C112" s="554">
        <f>Production!V122</f>
        <v>1431</v>
      </c>
      <c r="D112" s="554">
        <f>Flexibility!S95</f>
        <v>86680</v>
      </c>
    </row>
    <row r="113" spans="1:22">
      <c r="A113" s="630" t="s">
        <v>899</v>
      </c>
      <c r="B113" s="20" t="s">
        <v>145</v>
      </c>
      <c r="C113" s="303">
        <f>D107-C107</f>
        <v>-17251.371004979999</v>
      </c>
      <c r="D113" s="37"/>
    </row>
    <row r="114" spans="1:22">
      <c r="B114" s="20" t="s">
        <v>897</v>
      </c>
      <c r="C114" s="303">
        <f t="shared" ref="C114:C116" si="5">D108-C108</f>
        <v>-46685.006549469996</v>
      </c>
      <c r="D114" s="37"/>
    </row>
    <row r="115" spans="1:22">
      <c r="B115" s="20" t="s">
        <v>898</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681" t="s">
        <v>927</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442</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801</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444</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673">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673">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445</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928</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428</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895</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929</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928</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428</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895</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929</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B38:E38"/>
    <mergeCell ref="A82:A86"/>
    <mergeCell ref="E81:H81"/>
    <mergeCell ref="A87:A91"/>
    <mergeCell ref="A92:A96"/>
    <mergeCell ref="A58:A62"/>
    <mergeCell ref="A63:A67"/>
    <mergeCell ref="A68:A72"/>
    <mergeCell ref="A81:C81"/>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unittypedata</vt:lpstr>
      <vt:lpstr>demanddata</vt:lpstr>
      <vt:lpstr>transferdata</vt:lpstr>
      <vt:lpstr>unitdata</vt:lpstr>
      <vt:lpstr>unitdata_Heat</vt:lpstr>
      <vt:lpstr>nodedata</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2026-09-18T15:05:47Z</dcterms:modified>
  <cp:category/>
  <cp:contentStatus/>
</cp:coreProperties>
</file>