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A75105B3-8379-4181-8BD9-9960D7969BAE}" xr6:coauthVersionLast="47" xr6:coauthVersionMax="47" xr10:uidLastSave="{00000000-0000-0000-0000-000000000000}"/>
  <bookViews>
    <workbookView xWindow="-23148" yWindow="-72" windowWidth="23256" windowHeight="13896" tabRatio="868" activeTab="6" xr2:uid="{00000000-000D-0000-FFFF-FFFF00000000}"/>
  </bookViews>
  <sheets>
    <sheet name="Overview" sheetId="22" r:id="rId1"/>
    <sheet name="unittypedata" sheetId="29" r:id="rId2"/>
    <sheet name="demanddata" sheetId="25" r:id="rId3"/>
    <sheet name="transferdata" sheetId="26" r:id="rId4"/>
    <sheet name="unitdata" sheetId="27" r:id="rId5"/>
    <sheet name="unitdata_H2" sheetId="33" r:id="rId6"/>
    <sheet name="unitdata_DH" sheetId="32" r:id="rId7"/>
    <sheet name="nodedata" sheetId="28" r:id="rId8"/>
    <sheet name="Demand" sheetId="31" r:id="rId9"/>
    <sheet name="Production" sheetId="16" r:id="rId10"/>
    <sheet name="H2" sheetId="18" r:id="rId11"/>
    <sheet name="Flexibility" sheetId="12" r:id="rId12"/>
    <sheet name="Powerlines" sheetId="13" r:id="rId13"/>
    <sheet name="H2 pipelines" sheetId="20" r:id="rId14"/>
    <sheet name="Other (non)RES" sheetId="24" r:id="rId15"/>
    <sheet name="Heat" sheetId="21" r:id="rId16"/>
    <sheet name="Demand (old)" sheetId="1" r:id="rId17"/>
    <sheet name="Summary" sheetId="14" r:id="rId18"/>
  </sheets>
  <definedNames>
    <definedName name="_xlnm._FilterDatabase" localSheetId="7" hidden="1">nodedata!$A$1:$K$98</definedName>
    <definedName name="_xlnm._FilterDatabase" localSheetId="12" hidden="1">Powerlines!$V$77:$AA$118</definedName>
    <definedName name="_xlnm._FilterDatabase" localSheetId="9" hidden="1">'Other (non)RES'!$A$16:$V$27</definedName>
    <definedName name="_xlnm._FilterDatabase" localSheetId="4" hidden="1">unitdata!$A$1:$K$195</definedName>
    <definedName name="_xlnm._FilterDatabase" localSheetId="6" hidden="1">unitdata_DH!$A$1:$Q$143</definedName>
    <definedName name="_xlnm._FilterDatabase" localSheetId="5" hidden="1">unitdata_H2!$A$1:$G$107</definedName>
    <definedName name="_xlnm._FilterDatabase" localSheetId="1" hidden="1">unittypedata!$A$1:$AA$66</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32" l="1"/>
  <c r="Q4" i="32"/>
  <c r="Q5" i="32"/>
  <c r="Q6" i="32"/>
  <c r="Q7" i="32"/>
  <c r="Q8" i="32"/>
  <c r="Q9" i="32"/>
  <c r="Q10" i="32"/>
  <c r="Q11" i="32"/>
  <c r="Q12" i="32"/>
  <c r="Q13" i="32"/>
  <c r="Q14" i="32"/>
  <c r="Q15" i="32"/>
  <c r="Q16" i="32"/>
  <c r="Q17" i="32"/>
  <c r="Q18" i="32"/>
  <c r="Q19" i="32"/>
  <c r="Q20" i="32"/>
  <c r="Q21" i="32"/>
  <c r="Q22" i="32"/>
  <c r="Q23" i="32"/>
  <c r="Q24" i="32"/>
  <c r="Q25" i="32"/>
  <c r="Q26" i="32"/>
  <c r="Q27" i="32"/>
  <c r="Q28" i="32"/>
  <c r="Q29" i="32"/>
  <c r="Q30" i="32"/>
  <c r="Q31" i="32"/>
  <c r="Q32" i="32"/>
  <c r="Q33" i="32"/>
  <c r="Q34" i="32"/>
  <c r="Q35" i="32"/>
  <c r="Q36" i="32"/>
  <c r="Q37" i="32"/>
  <c r="Q38" i="32"/>
  <c r="Q39" i="32"/>
  <c r="Q40" i="32"/>
  <c r="Q41" i="32"/>
  <c r="Q42" i="32"/>
  <c r="Q43" i="32"/>
  <c r="Q44" i="32"/>
  <c r="Q45" i="32"/>
  <c r="Q46" i="32"/>
  <c r="Q47" i="32"/>
  <c r="Q48" i="32"/>
  <c r="Q49" i="32"/>
  <c r="Q50" i="32"/>
  <c r="Q51" i="32"/>
  <c r="Q52" i="32"/>
  <c r="Q53" i="32"/>
  <c r="Q54" i="32"/>
  <c r="Q55" i="32"/>
  <c r="Q56" i="32"/>
  <c r="Q57" i="32"/>
  <c r="Q58" i="32"/>
  <c r="Q59" i="32"/>
  <c r="Q60" i="32"/>
  <c r="Q61" i="32"/>
  <c r="Q62" i="32"/>
  <c r="Q63" i="32"/>
  <c r="Q64" i="32"/>
  <c r="Q65" i="32"/>
  <c r="Q66" i="32"/>
  <c r="Q67" i="32"/>
  <c r="Q68" i="32"/>
  <c r="Q69" i="32"/>
  <c r="Q70" i="32"/>
  <c r="Q71" i="32"/>
  <c r="Q72" i="32"/>
  <c r="Q73" i="32"/>
  <c r="Q74" i="32"/>
  <c r="Q75" i="32"/>
  <c r="Q76" i="32"/>
  <c r="Q77" i="32"/>
  <c r="Q78" i="32"/>
  <c r="Q79" i="32"/>
  <c r="Q80" i="32"/>
  <c r="Q81" i="32"/>
  <c r="Q82" i="32"/>
  <c r="Q83" i="32"/>
  <c r="Q84" i="32"/>
  <c r="Q85" i="32"/>
  <c r="Q86" i="32"/>
  <c r="Q87" i="32"/>
  <c r="Q88" i="32"/>
  <c r="Q89" i="32"/>
  <c r="Q90" i="32"/>
  <c r="Q91" i="32"/>
  <c r="Q92" i="32"/>
  <c r="Q93" i="32"/>
  <c r="Q94" i="32"/>
  <c r="Q95" i="32"/>
  <c r="Q96" i="32"/>
  <c r="Q97" i="32"/>
  <c r="Q98" i="32"/>
  <c r="Q99" i="32"/>
  <c r="Q100" i="32"/>
  <c r="Q101" i="32"/>
  <c r="Q102" i="32"/>
  <c r="Q103" i="32"/>
  <c r="Q104" i="32"/>
  <c r="Q105" i="32"/>
  <c r="Q106" i="32"/>
  <c r="Q107" i="32"/>
  <c r="Q108" i="32"/>
  <c r="Q109" i="32"/>
  <c r="Q110" i="32"/>
  <c r="Q111" i="32"/>
  <c r="Q112" i="32"/>
  <c r="Q113" i="32"/>
  <c r="Q114" i="32"/>
  <c r="Q115" i="32"/>
  <c r="Q116" i="32"/>
  <c r="Q117" i="32"/>
  <c r="Q118" i="32"/>
  <c r="Q119" i="32"/>
  <c r="Q120" i="32"/>
  <c r="Q121" i="32"/>
  <c r="Q122" i="32"/>
  <c r="Q123" i="32"/>
  <c r="Q124" i="32"/>
  <c r="Q125" i="32"/>
  <c r="Q126" i="32"/>
  <c r="Q127" i="32"/>
  <c r="Q128" i="32"/>
  <c r="Q129" i="32"/>
  <c r="Q130" i="32"/>
  <c r="Q131" i="32"/>
  <c r="Q132" i="32"/>
  <c r="Q133" i="32"/>
  <c r="Q134" i="32"/>
  <c r="Q135" i="32"/>
  <c r="Q136" i="32"/>
  <c r="Q137" i="32"/>
  <c r="Q138" i="32"/>
  <c r="Q139" i="32"/>
  <c r="Q140" i="32"/>
  <c r="Q141" i="32"/>
  <c r="Q142" i="32"/>
  <c r="Q143" i="32"/>
  <c r="Q2" i="32"/>
  <c r="I18" i="28"/>
  <c r="D24" i="18"/>
  <c r="D25" i="18"/>
  <c r="Z53" i="29"/>
  <c r="D49" i="18"/>
  <c r="D50" i="18"/>
  <c r="H3" i="33"/>
  <c r="H4" i="33"/>
  <c r="H5" i="33"/>
  <c r="H6" i="33"/>
  <c r="H7" i="33"/>
  <c r="H8" i="33"/>
  <c r="H9" i="33"/>
  <c r="H10" i="33"/>
  <c r="H11" i="33"/>
  <c r="H12" i="33"/>
  <c r="H13" i="33"/>
  <c r="H14" i="33"/>
  <c r="H15" i="33"/>
  <c r="H16" i="33"/>
  <c r="H17" i="33"/>
  <c r="H18" i="33"/>
  <c r="H19" i="33"/>
  <c r="H20" i="33"/>
  <c r="H21" i="33"/>
  <c r="H22" i="33"/>
  <c r="H23" i="33"/>
  <c r="H24" i="33"/>
  <c r="H25" i="33"/>
  <c r="H26" i="33"/>
  <c r="H27" i="33"/>
  <c r="H28" i="33"/>
  <c r="H29" i="33"/>
  <c r="H30" i="33"/>
  <c r="H31" i="33"/>
  <c r="H32" i="33"/>
  <c r="H33" i="33"/>
  <c r="H34" i="33"/>
  <c r="H35" i="33"/>
  <c r="H36" i="33"/>
  <c r="H37" i="33"/>
  <c r="H38" i="33"/>
  <c r="H39" i="33"/>
  <c r="H40" i="33"/>
  <c r="H41" i="33"/>
  <c r="H42" i="33"/>
  <c r="H43" i="33"/>
  <c r="H44" i="33"/>
  <c r="H45" i="33"/>
  <c r="H46" i="33"/>
  <c r="H47" i="33"/>
  <c r="H48" i="33"/>
  <c r="H49" i="33"/>
  <c r="H50" i="33"/>
  <c r="H51" i="33"/>
  <c r="H52" i="33"/>
  <c r="H53" i="33"/>
  <c r="H54" i="33"/>
  <c r="H55" i="33"/>
  <c r="H56" i="33"/>
  <c r="H57" i="33"/>
  <c r="H58" i="33"/>
  <c r="H59" i="33"/>
  <c r="H60" i="33"/>
  <c r="H61" i="33"/>
  <c r="H62" i="33"/>
  <c r="H63" i="33"/>
  <c r="H64" i="33"/>
  <c r="H65" i="33"/>
  <c r="H66" i="33"/>
  <c r="H67" i="33"/>
  <c r="H68" i="33"/>
  <c r="H69" i="33"/>
  <c r="H70" i="33"/>
  <c r="H71" i="33"/>
  <c r="H72" i="33"/>
  <c r="H73" i="33"/>
  <c r="H74" i="33"/>
  <c r="H75" i="33"/>
  <c r="H76" i="33"/>
  <c r="H77" i="33"/>
  <c r="H78" i="33"/>
  <c r="H79" i="33"/>
  <c r="H80" i="33"/>
  <c r="H81" i="33"/>
  <c r="H82" i="33"/>
  <c r="H83" i="33"/>
  <c r="H84" i="33"/>
  <c r="H85" i="33"/>
  <c r="H86" i="33"/>
  <c r="H87" i="33"/>
  <c r="H88" i="33"/>
  <c r="H89" i="33"/>
  <c r="H90" i="33"/>
  <c r="H91" i="33"/>
  <c r="H92" i="33"/>
  <c r="H93" i="33"/>
  <c r="H94" i="33"/>
  <c r="H95" i="33"/>
  <c r="H96" i="33"/>
  <c r="H97" i="33"/>
  <c r="H98" i="33"/>
  <c r="H99" i="33"/>
  <c r="H100" i="33"/>
  <c r="H101" i="33"/>
  <c r="H102" i="33"/>
  <c r="H103" i="33"/>
  <c r="H104" i="33"/>
  <c r="H105" i="33"/>
  <c r="H106" i="33"/>
  <c r="H107" i="33"/>
  <c r="H2" i="33"/>
  <c r="K195" i="27"/>
  <c r="K194" i="27"/>
  <c r="K65" i="27"/>
  <c r="K66" i="27"/>
  <c r="K67" i="27"/>
  <c r="K68" i="27"/>
  <c r="K69" i="27"/>
  <c r="K70" i="27"/>
  <c r="K71" i="27"/>
  <c r="K72" i="27"/>
  <c r="K73" i="27"/>
  <c r="K74" i="27"/>
  <c r="K75" i="27"/>
  <c r="K76" i="27"/>
  <c r="K77" i="27"/>
  <c r="K78" i="27"/>
  <c r="K79" i="27"/>
  <c r="K64" i="27"/>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K42" i="27"/>
  <c r="K43" i="27"/>
  <c r="K44" i="27"/>
  <c r="K45" i="27"/>
  <c r="K46" i="27"/>
  <c r="K47" i="27"/>
  <c r="K48" i="27"/>
  <c r="K49" i="27"/>
  <c r="K50" i="27"/>
  <c r="K51" i="27"/>
  <c r="K52" i="27"/>
  <c r="K53" i="27"/>
  <c r="K54" i="27"/>
  <c r="K55" i="27"/>
  <c r="K56" i="27"/>
  <c r="K57" i="27"/>
  <c r="K58" i="27"/>
  <c r="K59" i="27"/>
  <c r="K60" i="27"/>
  <c r="K61" i="27"/>
  <c r="K62" i="27"/>
  <c r="K63" i="27"/>
  <c r="K80" i="27"/>
  <c r="K81" i="27"/>
  <c r="K82" i="27"/>
  <c r="K83" i="27"/>
  <c r="K84" i="27"/>
  <c r="K85" i="27"/>
  <c r="K86" i="27"/>
  <c r="K87" i="27"/>
  <c r="K88" i="27"/>
  <c r="K89" i="27"/>
  <c r="K90" i="27"/>
  <c r="K91" i="27"/>
  <c r="K92" i="27"/>
  <c r="K93" i="27"/>
  <c r="K94" i="27"/>
  <c r="K95" i="27"/>
  <c r="K96" i="27"/>
  <c r="K97" i="27"/>
  <c r="K98" i="27"/>
  <c r="K99" i="27"/>
  <c r="K100" i="27"/>
  <c r="K101"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2" i="27"/>
  <c r="V40" i="16"/>
  <c r="W44" i="16" l="1"/>
  <c r="W215" i="16" s="1"/>
  <c r="D112" i="14"/>
  <c r="Q11" i="31"/>
  <c r="W214" i="16"/>
  <c r="C111" i="14" l="1"/>
  <c r="V215" i="16"/>
  <c r="W191" i="16"/>
  <c r="V193" i="16"/>
  <c r="V194" i="16"/>
  <c r="V195" i="16"/>
  <c r="V196" i="16"/>
  <c r="V197" i="16"/>
  <c r="V198" i="16"/>
  <c r="V199" i="16"/>
  <c r="V200" i="16"/>
  <c r="V201" i="16"/>
  <c r="V202" i="16"/>
  <c r="V203" i="16"/>
  <c r="V204" i="16"/>
  <c r="V205" i="16"/>
  <c r="V206" i="16"/>
  <c r="V207" i="16"/>
  <c r="V208" i="16"/>
  <c r="V209" i="16"/>
  <c r="V210" i="16"/>
  <c r="V211" i="16"/>
  <c r="V212" i="16"/>
  <c r="V213" i="16"/>
  <c r="V214" i="16"/>
  <c r="V192" i="16"/>
  <c r="X44" i="18"/>
  <c r="X45" i="18"/>
  <c r="Q9" i="31" l="1"/>
  <c r="V190" i="16"/>
  <c r="V191" i="16"/>
  <c r="V189" i="16"/>
  <c r="J238" i="13"/>
  <c r="K216" i="13"/>
  <c r="J216" i="13"/>
  <c r="K238" i="13"/>
  <c r="F44" i="26"/>
  <c r="F45" i="26"/>
  <c r="F50" i="26"/>
  <c r="F51" i="26"/>
  <c r="F52" i="26"/>
  <c r="F56" i="26"/>
  <c r="F57" i="26"/>
  <c r="F62" i="26"/>
  <c r="F63" i="26"/>
  <c r="F64" i="26"/>
  <c r="F69" i="26"/>
  <c r="F70" i="26"/>
  <c r="F71" i="26"/>
  <c r="F75" i="26"/>
  <c r="F76" i="26"/>
  <c r="F81" i="26"/>
  <c r="F82" i="26"/>
  <c r="F83" i="26"/>
  <c r="F84" i="26"/>
  <c r="F85" i="26"/>
  <c r="F86" i="26"/>
  <c r="F87" i="26"/>
  <c r="F88" i="26"/>
  <c r="F89" i="26"/>
  <c r="F90" i="26"/>
  <c r="F91" i="26"/>
  <c r="F92" i="26"/>
  <c r="F93" i="26"/>
  <c r="F94" i="26"/>
  <c r="F95" i="26"/>
  <c r="F96" i="26"/>
  <c r="F97" i="26"/>
  <c r="F98" i="26"/>
  <c r="F99" i="26"/>
  <c r="F100" i="26"/>
  <c r="F101" i="26"/>
  <c r="F102" i="26"/>
  <c r="F103" i="26"/>
  <c r="F104" i="26"/>
  <c r="F105" i="26"/>
  <c r="F106" i="26"/>
  <c r="F107" i="26"/>
  <c r="F108" i="26"/>
  <c r="F109" i="26"/>
  <c r="F110" i="26"/>
  <c r="F111" i="26"/>
  <c r="F112" i="26"/>
  <c r="F113" i="26"/>
  <c r="F114" i="26"/>
  <c r="F115" i="26"/>
  <c r="F116" i="26"/>
  <c r="F117" i="26"/>
  <c r="F118" i="26"/>
  <c r="F119" i="26"/>
  <c r="F120" i="26"/>
  <c r="F121" i="26"/>
  <c r="F42" i="26"/>
  <c r="F4" i="26"/>
  <c r="F10" i="26"/>
  <c r="F11" i="26"/>
  <c r="F12" i="26"/>
  <c r="F13" i="26"/>
  <c r="F14" i="26"/>
  <c r="F16" i="26"/>
  <c r="F22" i="26"/>
  <c r="F23" i="26"/>
  <c r="F24" i="26"/>
  <c r="F26" i="26"/>
  <c r="F27" i="26"/>
  <c r="F28" i="26"/>
  <c r="F35" i="26"/>
  <c r="F36" i="26"/>
  <c r="F37" i="26"/>
  <c r="F38" i="26"/>
  <c r="F39" i="26"/>
  <c r="F40" i="26"/>
  <c r="U237" i="13"/>
  <c r="T237" i="13"/>
  <c r="F41" i="26" s="1"/>
  <c r="T235" i="13"/>
  <c r="U235" i="13"/>
  <c r="F79" i="26" s="1"/>
  <c r="U234" i="13"/>
  <c r="F78" i="26" s="1"/>
  <c r="T234" i="13"/>
  <c r="U221" i="13"/>
  <c r="F65" i="26" s="1"/>
  <c r="T221" i="13"/>
  <c r="F25" i="26" s="1"/>
  <c r="T199" i="13"/>
  <c r="F3" i="26" s="1"/>
  <c r="U199" i="13"/>
  <c r="F43" i="26" s="1"/>
  <c r="T200" i="13"/>
  <c r="U200" i="13"/>
  <c r="T201" i="13"/>
  <c r="F5" i="26" s="1"/>
  <c r="U201" i="13"/>
  <c r="T202" i="13"/>
  <c r="F6" i="26" s="1"/>
  <c r="U202" i="13"/>
  <c r="F46" i="26" s="1"/>
  <c r="T203" i="13"/>
  <c r="F7" i="26" s="1"/>
  <c r="U203" i="13"/>
  <c r="F47" i="26" s="1"/>
  <c r="T205" i="13"/>
  <c r="F9" i="26" s="1"/>
  <c r="U205" i="13"/>
  <c r="F49" i="26" s="1"/>
  <c r="T206" i="13"/>
  <c r="U206" i="13"/>
  <c r="T207" i="13"/>
  <c r="U207" i="13"/>
  <c r="T208" i="13"/>
  <c r="U208" i="13"/>
  <c r="T209" i="13"/>
  <c r="U209" i="13"/>
  <c r="F53" i="26" s="1"/>
  <c r="T210" i="13"/>
  <c r="U210" i="13"/>
  <c r="F54" i="26" s="1"/>
  <c r="T211" i="13"/>
  <c r="F15" i="26" s="1"/>
  <c r="U211" i="13"/>
  <c r="F55" i="26" s="1"/>
  <c r="T212" i="13"/>
  <c r="U212" i="13"/>
  <c r="T213" i="13"/>
  <c r="F17" i="26" s="1"/>
  <c r="U213" i="13"/>
  <c r="T214" i="13"/>
  <c r="F18" i="26" s="1"/>
  <c r="U214" i="13"/>
  <c r="F58" i="26" s="1"/>
  <c r="T215" i="13"/>
  <c r="F19" i="26" s="1"/>
  <c r="U215" i="13"/>
  <c r="F59" i="26" s="1"/>
  <c r="T216" i="13"/>
  <c r="F20" i="26" s="1"/>
  <c r="U216" i="13"/>
  <c r="F60" i="26" s="1"/>
  <c r="T217" i="13"/>
  <c r="F21" i="26" s="1"/>
  <c r="U217" i="13"/>
  <c r="F61" i="26" s="1"/>
  <c r="T218" i="13"/>
  <c r="U218" i="13"/>
  <c r="T219" i="13"/>
  <c r="U219" i="13"/>
  <c r="T220" i="13"/>
  <c r="U220" i="13"/>
  <c r="T222" i="13"/>
  <c r="U222" i="13"/>
  <c r="F66" i="26" s="1"/>
  <c r="T223" i="13"/>
  <c r="U223" i="13"/>
  <c r="F67" i="26" s="1"/>
  <c r="T224" i="13"/>
  <c r="U224" i="13"/>
  <c r="F68" i="26" s="1"/>
  <c r="T225" i="13"/>
  <c r="F29" i="26" s="1"/>
  <c r="U225" i="13"/>
  <c r="T226" i="13"/>
  <c r="F30" i="26" s="1"/>
  <c r="U226" i="13"/>
  <c r="T227" i="13"/>
  <c r="F31" i="26" s="1"/>
  <c r="U227" i="13"/>
  <c r="T228" i="13"/>
  <c r="F32" i="26" s="1"/>
  <c r="U228" i="13"/>
  <c r="F72" i="26" s="1"/>
  <c r="T229" i="13"/>
  <c r="F33" i="26" s="1"/>
  <c r="U229" i="13"/>
  <c r="F73" i="26" s="1"/>
  <c r="T230" i="13"/>
  <c r="F34" i="26" s="1"/>
  <c r="U230" i="13"/>
  <c r="F74" i="26" s="1"/>
  <c r="T231" i="13"/>
  <c r="U231" i="13"/>
  <c r="T232" i="13"/>
  <c r="U232" i="13"/>
  <c r="T233" i="13"/>
  <c r="U233" i="13"/>
  <c r="F77" i="26" s="1"/>
  <c r="T236" i="13"/>
  <c r="U236" i="13"/>
  <c r="F80" i="26" s="1"/>
  <c r="U198" i="13"/>
  <c r="T198" i="13"/>
  <c r="F2" i="26" s="1"/>
  <c r="N120" i="13"/>
  <c r="M120" i="13"/>
  <c r="D196" i="13"/>
  <c r="D197" i="13"/>
  <c r="D198" i="13"/>
  <c r="D199" i="13"/>
  <c r="D200" i="13"/>
  <c r="D201" i="13"/>
  <c r="D202" i="13"/>
  <c r="D203" i="13"/>
  <c r="D204" i="13"/>
  <c r="J201" i="13" s="1"/>
  <c r="D205" i="13"/>
  <c r="D206" i="13"/>
  <c r="D207" i="13"/>
  <c r="D208" i="13"/>
  <c r="K203" i="13" s="1"/>
  <c r="D209" i="13"/>
  <c r="D210" i="13"/>
  <c r="K205" i="13" s="1"/>
  <c r="D211" i="13"/>
  <c r="D212" i="13"/>
  <c r="D213" i="13"/>
  <c r="D214" i="13"/>
  <c r="D215" i="13"/>
  <c r="D216" i="13"/>
  <c r="D217" i="13"/>
  <c r="D218" i="13"/>
  <c r="D219" i="13"/>
  <c r="D220" i="13"/>
  <c r="D221" i="13"/>
  <c r="D222" i="13"/>
  <c r="E222" i="13" s="1"/>
  <c r="D223"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14"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77" i="13"/>
  <c r="C214" i="13"/>
  <c r="C213" i="13"/>
  <c r="E219" i="13" l="1"/>
  <c r="E223" i="13"/>
  <c r="E214" i="13"/>
  <c r="E210" i="13"/>
  <c r="E203" i="13"/>
  <c r="J200" i="13"/>
  <c r="E218" i="13"/>
  <c r="E206" i="13"/>
  <c r="K202" i="13"/>
  <c r="K204" i="13"/>
  <c r="E221" i="13"/>
  <c r="F192" i="13" l="1"/>
  <c r="E192" i="13"/>
  <c r="C208" i="13"/>
  <c r="J203" i="13" s="1"/>
  <c r="W101" i="12"/>
  <c r="S96" i="12"/>
  <c r="W100" i="12"/>
  <c r="W88" i="12"/>
  <c r="W89" i="12"/>
  <c r="W90" i="12"/>
  <c r="W87" i="12"/>
  <c r="W81" i="12"/>
  <c r="W82" i="12"/>
  <c r="W83" i="12"/>
  <c r="W84" i="12"/>
  <c r="W85" i="12"/>
  <c r="W86" i="12"/>
  <c r="W91" i="12"/>
  <c r="W92" i="12"/>
  <c r="W93" i="12"/>
  <c r="W94" i="12"/>
  <c r="W95" i="12"/>
  <c r="W96" i="12"/>
  <c r="W97" i="12"/>
  <c r="W98" i="12"/>
  <c r="W99" i="12"/>
  <c r="W80" i="12"/>
  <c r="T95" i="12"/>
  <c r="T93" i="12"/>
  <c r="T94" i="12"/>
  <c r="T92" i="12"/>
  <c r="T90" i="12"/>
  <c r="T89" i="12"/>
  <c r="T82" i="12"/>
  <c r="T83" i="12"/>
  <c r="T84" i="12"/>
  <c r="T85" i="12"/>
  <c r="T86" i="12"/>
  <c r="T87" i="12"/>
  <c r="T81" i="12"/>
  <c r="K83" i="12"/>
  <c r="F86" i="33" l="1" a="1"/>
  <c r="F86" i="33" s="1"/>
  <c r="F35" i="33" a="1"/>
  <c r="F35" i="33" s="1"/>
  <c r="D45" i="18"/>
  <c r="N164" i="14"/>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F91" i="33" a="1"/>
  <c r="F91" i="33" s="1"/>
  <c r="F69" i="33" a="1"/>
  <c r="F69" i="33" s="1"/>
  <c r="E52" i="33" a="1"/>
  <c r="E52" i="33" s="1"/>
  <c r="F2" i="33" a="1"/>
  <c r="F2" i="33" s="1"/>
  <c r="B214" i="16"/>
  <c r="N159" i="14" l="1"/>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D111" i="14"/>
  <c r="C112" i="14"/>
  <c r="D110" i="14"/>
  <c r="C110" i="14"/>
  <c r="M88" i="14"/>
  <c r="M87" i="14"/>
  <c r="D109" i="14" s="1"/>
  <c r="L87" i="14"/>
  <c r="P102" i="14"/>
  <c r="G84" i="14" s="1"/>
  <c r="P101" i="14"/>
  <c r="G83" i="14" s="1"/>
  <c r="P100" i="14"/>
  <c r="G82" i="14" s="1"/>
  <c r="C116" i="14" l="1"/>
  <c r="E72" i="14" l="1"/>
  <c r="C103" i="1" l="1"/>
  <c r="N19" i="20" l="1"/>
  <c r="U19" i="20"/>
  <c r="N15" i="20"/>
  <c r="U15" i="20"/>
  <c r="F44" i="25" l="1" a="1"/>
  <c r="F44" i="25" s="1"/>
  <c r="E157" i="27" l="1" a="1"/>
  <c r="E157" i="27" s="1"/>
  <c r="G157" i="27" a="1"/>
  <c r="G157" i="27" s="1"/>
  <c r="I157" i="27" a="1"/>
  <c r="I157" i="27" s="1"/>
  <c r="C47" i="24"/>
  <c r="J25" i="31"/>
  <c r="C26" i="31"/>
  <c r="C27" i="31" s="1"/>
  <c r="H195" i="16" l="1"/>
  <c r="I9" i="28"/>
  <c r="I10" i="28"/>
  <c r="I11" i="28"/>
  <c r="I12" i="28"/>
  <c r="I13" i="28"/>
  <c r="I14" i="28"/>
  <c r="I15" i="28"/>
  <c r="I16" i="28"/>
  <c r="I17" i="28"/>
  <c r="I19" i="28"/>
  <c r="I20" i="28"/>
  <c r="I21" i="28"/>
  <c r="I8" i="28"/>
  <c r="E195" i="27" l="1"/>
  <c r="E194" i="27"/>
  <c r="G193" i="27"/>
  <c r="G186" i="27" a="1"/>
  <c r="G186" i="27" s="1"/>
  <c r="D23" i="18"/>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3" i="31" l="1"/>
  <c r="Q14" i="31"/>
  <c r="K36" i="18"/>
  <c r="L22" i="18"/>
  <c r="L36" i="18" s="1"/>
  <c r="M22" i="18"/>
  <c r="M36" i="18" s="1"/>
  <c r="N22" i="18"/>
  <c r="N36" i="18" s="1"/>
  <c r="J26" i="31"/>
  <c r="J27" i="31" s="1"/>
  <c r="J29" i="31" s="1"/>
  <c r="O22" i="18"/>
  <c r="O36" i="18" s="1"/>
  <c r="K26" i="31"/>
  <c r="K27" i="31" s="1"/>
  <c r="K29" i="31" s="1"/>
  <c r="D27" i="31"/>
  <c r="D29" i="31" s="1"/>
  <c r="P22" i="18"/>
  <c r="P36" i="18" s="1"/>
  <c r="L26" i="31"/>
  <c r="L27" i="31" s="1"/>
  <c r="L29" i="31" s="1"/>
  <c r="M26" i="31"/>
  <c r="M27" i="31" s="1"/>
  <c r="M29" i="31" s="1"/>
  <c r="R29" i="31"/>
  <c r="S29" i="31"/>
  <c r="G29" i="31"/>
  <c r="T29" i="31"/>
  <c r="Q29" i="31"/>
  <c r="H29" i="31"/>
  <c r="F2" i="25" l="1"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X53" i="13"/>
  <c r="X51" i="13"/>
  <c r="X37" i="13"/>
  <c r="W53" i="13"/>
  <c r="W51" i="13"/>
  <c r="W50" i="13"/>
  <c r="W37" i="13"/>
  <c r="S50" i="13"/>
  <c r="X50" i="13" s="1"/>
  <c r="S51" i="13"/>
  <c r="S52" i="13"/>
  <c r="X52" i="13" s="1"/>
  <c r="S53" i="13"/>
  <c r="S23" i="13"/>
  <c r="X23" i="13" s="1"/>
  <c r="S24" i="13"/>
  <c r="X24" i="13" s="1"/>
  <c r="S25" i="13"/>
  <c r="X25" i="13" s="1"/>
  <c r="S26" i="13"/>
  <c r="X26" i="13" s="1"/>
  <c r="S27" i="13"/>
  <c r="X27" i="13" s="1"/>
  <c r="S28" i="13"/>
  <c r="X28" i="13" s="1"/>
  <c r="S29" i="13"/>
  <c r="X29" i="13" s="1"/>
  <c r="S30" i="13"/>
  <c r="X30" i="13" s="1"/>
  <c r="S31" i="13"/>
  <c r="X31" i="13" s="1"/>
  <c r="S32" i="13"/>
  <c r="X32" i="13" s="1"/>
  <c r="S33" i="13"/>
  <c r="X33" i="13" s="1"/>
  <c r="S34" i="13"/>
  <c r="X34" i="13" s="1"/>
  <c r="S35" i="13"/>
  <c r="X35" i="13" s="1"/>
  <c r="S36" i="13"/>
  <c r="X36" i="13" s="1"/>
  <c r="S37" i="13"/>
  <c r="S38" i="13"/>
  <c r="X38" i="13" s="1"/>
  <c r="S39" i="13"/>
  <c r="X39" i="13" s="1"/>
  <c r="S40" i="13"/>
  <c r="X40" i="13" s="1"/>
  <c r="S41" i="13"/>
  <c r="X41" i="13" s="1"/>
  <c r="S42" i="13"/>
  <c r="X42" i="13" s="1"/>
  <c r="S43" i="13"/>
  <c r="X43" i="13" s="1"/>
  <c r="S44" i="13"/>
  <c r="X44" i="13" s="1"/>
  <c r="S45" i="13"/>
  <c r="X45" i="13" s="1"/>
  <c r="S46" i="13"/>
  <c r="X46" i="13" s="1"/>
  <c r="S47" i="13"/>
  <c r="X47" i="13" s="1"/>
  <c r="S48" i="13"/>
  <c r="X48" i="13" s="1"/>
  <c r="S49" i="13"/>
  <c r="X49" i="13" s="1"/>
  <c r="S14" i="13"/>
  <c r="X14" i="13" s="1"/>
  <c r="S15" i="13"/>
  <c r="X15" i="13" s="1"/>
  <c r="S16" i="13"/>
  <c r="X16" i="13" s="1"/>
  <c r="S17" i="13"/>
  <c r="X17" i="13" s="1"/>
  <c r="S18" i="13"/>
  <c r="X18" i="13" s="1"/>
  <c r="S19" i="13"/>
  <c r="X19" i="13" s="1"/>
  <c r="S21" i="13"/>
  <c r="X21" i="13" s="1"/>
  <c r="S22" i="13"/>
  <c r="X22" i="13" s="1"/>
  <c r="U15" i="13"/>
  <c r="U16" i="13"/>
  <c r="U17" i="13"/>
  <c r="U18" i="13"/>
  <c r="U19" i="13"/>
  <c r="U20" i="13"/>
  <c r="U21" i="13"/>
  <c r="U22" i="13"/>
  <c r="U23" i="13"/>
  <c r="U24" i="13"/>
  <c r="U25" i="13"/>
  <c r="U26" i="13"/>
  <c r="U27" i="13"/>
  <c r="U28" i="13"/>
  <c r="U29" i="13"/>
  <c r="U30" i="13"/>
  <c r="U31" i="13"/>
  <c r="U32" i="13"/>
  <c r="U33" i="13"/>
  <c r="U34" i="13"/>
  <c r="U35" i="13"/>
  <c r="U36" i="13"/>
  <c r="U37" i="13"/>
  <c r="U38" i="13"/>
  <c r="U39" i="13"/>
  <c r="U40" i="13"/>
  <c r="U41" i="13"/>
  <c r="U42" i="13"/>
  <c r="U43" i="13"/>
  <c r="U44" i="13"/>
  <c r="U45" i="13"/>
  <c r="U46" i="13"/>
  <c r="U47" i="13"/>
  <c r="U48" i="13"/>
  <c r="U49" i="13"/>
  <c r="U50" i="13"/>
  <c r="U51" i="13"/>
  <c r="U52" i="13"/>
  <c r="U53" i="13"/>
  <c r="U14" i="13"/>
  <c r="E3" i="25" l="1"/>
  <c r="E4" i="25" s="1"/>
  <c r="E5" i="25" s="1"/>
  <c r="E6" i="25" s="1"/>
  <c r="E7" i="25" s="1"/>
  <c r="E8" i="25" s="1"/>
  <c r="E9" i="25" s="1"/>
  <c r="E10" i="25" s="1"/>
  <c r="E11" i="25" s="1"/>
  <c r="E12" i="25" s="1"/>
  <c r="E13" i="25" s="1"/>
  <c r="E14" i="25" s="1"/>
  <c r="E15" i="25" s="1"/>
  <c r="E16" i="25" s="1"/>
  <c r="E17" i="25" s="1"/>
  <c r="E18" i="25" s="1"/>
  <c r="E19" i="25" s="1"/>
  <c r="E20" i="25" s="1"/>
  <c r="E21" i="25" s="1"/>
  <c r="E67" i="24" l="1"/>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194" i="16"/>
  <c r="O47" i="24" l="1"/>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173" i="27" a="1"/>
  <c r="I173"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173" i="27" l="1" a="1"/>
  <c r="G173"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173" i="27" l="1" a="1"/>
  <c r="E173" i="27" s="1"/>
  <c r="H31" i="12"/>
  <c r="D31" i="12"/>
  <c r="H5" i="12"/>
  <c r="E31" i="12"/>
  <c r="Q31" i="12"/>
  <c r="P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R37" i="13"/>
  <c r="B213" i="16"/>
  <c r="R19" i="13"/>
  <c r="W19" i="13" s="1"/>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14" i="13"/>
  <c r="AA117" i="13"/>
  <c r="AA116" i="13"/>
  <c r="AA115" i="13"/>
  <c r="AA114" i="13"/>
  <c r="AA113" i="13"/>
  <c r="AA112" i="13"/>
  <c r="AA111" i="13"/>
  <c r="AA110" i="13"/>
  <c r="AA109" i="13"/>
  <c r="AA108" i="13"/>
  <c r="AA107" i="13"/>
  <c r="AA106" i="13"/>
  <c r="AA105" i="13"/>
  <c r="AA104" i="13"/>
  <c r="AA103" i="13"/>
  <c r="AA102" i="13"/>
  <c r="AA101" i="13"/>
  <c r="AA100" i="13"/>
  <c r="AA99" i="13"/>
  <c r="AA98" i="13"/>
  <c r="AA97" i="13"/>
  <c r="AA96" i="13"/>
  <c r="AA95" i="13"/>
  <c r="AA94" i="13"/>
  <c r="AA93" i="13"/>
  <c r="AA92" i="13"/>
  <c r="AA91" i="13"/>
  <c r="AA90" i="13"/>
  <c r="AA89" i="13"/>
  <c r="AA88" i="13"/>
  <c r="AA87" i="13"/>
  <c r="AA86" i="13"/>
  <c r="AA85" i="13"/>
  <c r="AA83" i="13"/>
  <c r="AA82" i="13"/>
  <c r="AA81" i="13"/>
  <c r="AA80" i="13"/>
  <c r="AA79" i="13"/>
  <c r="AA78" i="13"/>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O25" i="20"/>
  <c r="V28" i="20" s="1"/>
  <c r="O22" i="20"/>
  <c r="V24" i="20" s="1"/>
  <c r="O19" i="20"/>
  <c r="V19" i="20" s="1"/>
  <c r="O15" i="20"/>
  <c r="V15" i="20" s="1"/>
  <c r="O11" i="20"/>
  <c r="V11" i="20" s="1"/>
  <c r="O12" i="20"/>
  <c r="V12" i="20" s="1"/>
  <c r="O13" i="20"/>
  <c r="V13" i="20" s="1"/>
  <c r="O14" i="20"/>
  <c r="V14" i="20" s="1"/>
  <c r="O16" i="20"/>
  <c r="V16" i="20" s="1"/>
  <c r="O17" i="20"/>
  <c r="V17" i="20" s="1"/>
  <c r="O18" i="20"/>
  <c r="V18" i="20" s="1"/>
  <c r="O20" i="20"/>
  <c r="V20" i="20" s="1"/>
  <c r="O21" i="20"/>
  <c r="V21" i="20" s="1"/>
  <c r="O23" i="20"/>
  <c r="V25" i="20" s="1"/>
  <c r="O24" i="20"/>
  <c r="V27" i="20" s="1"/>
  <c r="O26" i="20"/>
  <c r="V29" i="20" s="1"/>
  <c r="O27" i="20"/>
  <c r="V30" i="20" s="1"/>
  <c r="N22" i="20"/>
  <c r="U24" i="20" s="1"/>
  <c r="N21" i="20"/>
  <c r="U21" i="20" s="1"/>
  <c r="N12" i="20"/>
  <c r="U12" i="20" s="1"/>
  <c r="N13" i="20"/>
  <c r="U13" i="20" s="1"/>
  <c r="N14" i="20"/>
  <c r="U14" i="20" s="1"/>
  <c r="N16" i="20"/>
  <c r="U16" i="20" s="1"/>
  <c r="N17" i="20"/>
  <c r="U17" i="20" s="1"/>
  <c r="N18" i="20"/>
  <c r="U18" i="20" s="1"/>
  <c r="N20" i="20"/>
  <c r="U20" i="20" s="1"/>
  <c r="N23" i="20"/>
  <c r="U25" i="20" s="1"/>
  <c r="N24" i="20"/>
  <c r="U27" i="20" s="1"/>
  <c r="N26" i="20"/>
  <c r="U29" i="20" s="1"/>
  <c r="N27" i="20"/>
  <c r="U30" i="20" s="1"/>
  <c r="N11" i="20"/>
  <c r="U11" i="20" s="1"/>
  <c r="U26" i="20" l="1"/>
  <c r="V26" i="20"/>
  <c r="U23" i="20"/>
  <c r="U22" i="20"/>
  <c r="V22" i="20"/>
  <c r="V23" i="20"/>
  <c r="I27" i="20"/>
  <c r="J27" i="20"/>
  <c r="T95" i="13" l="1"/>
  <c r="R49" i="13" l="1"/>
  <c r="R46" i="13"/>
  <c r="R41" i="13"/>
  <c r="R40" i="13"/>
  <c r="R38" i="13"/>
  <c r="R39" i="13"/>
  <c r="R36" i="13"/>
  <c r="R32" i="13"/>
  <c r="R28" i="13"/>
  <c r="R25" i="13"/>
  <c r="R24" i="13"/>
  <c r="Z83" i="13"/>
  <c r="R17" i="13"/>
  <c r="R15" i="13"/>
  <c r="R16" i="13"/>
  <c r="R18" i="13"/>
  <c r="R21" i="13"/>
  <c r="R22" i="13"/>
  <c r="R23" i="13"/>
  <c r="R26" i="13"/>
  <c r="R27" i="13"/>
  <c r="R29" i="13"/>
  <c r="R30" i="13"/>
  <c r="R31" i="13"/>
  <c r="R33" i="13"/>
  <c r="R34" i="13"/>
  <c r="R35" i="13"/>
  <c r="Z101" i="13"/>
  <c r="R42" i="13"/>
  <c r="R43" i="13"/>
  <c r="R44" i="13"/>
  <c r="R45" i="13"/>
  <c r="R47" i="13"/>
  <c r="R48" i="13"/>
  <c r="R50" i="13"/>
  <c r="R51" i="13"/>
  <c r="R52" i="13"/>
  <c r="R53" i="13"/>
  <c r="R14" i="13"/>
  <c r="S95" i="13"/>
  <c r="Z82" i="13" l="1"/>
  <c r="W18" i="13"/>
  <c r="Z104" i="13"/>
  <c r="W40" i="13"/>
  <c r="Z78" i="13"/>
  <c r="W14" i="13"/>
  <c r="Z99" i="13"/>
  <c r="W35" i="13"/>
  <c r="Z80" i="13"/>
  <c r="W16" i="13"/>
  <c r="Z105" i="13"/>
  <c r="W41" i="13"/>
  <c r="Z117" i="13"/>
  <c r="Z98" i="13"/>
  <c r="W34" i="13"/>
  <c r="Z79" i="13"/>
  <c r="W15" i="13"/>
  <c r="Z110" i="13"/>
  <c r="W46" i="13"/>
  <c r="Z116" i="13"/>
  <c r="W52" i="13"/>
  <c r="Z97" i="13"/>
  <c r="W33" i="13"/>
  <c r="Z81" i="13"/>
  <c r="W17" i="13"/>
  <c r="Z115" i="13"/>
  <c r="Z95" i="13"/>
  <c r="W31" i="13"/>
  <c r="Z114" i="13"/>
  <c r="Z94" i="13"/>
  <c r="W30" i="13"/>
  <c r="Z88" i="13"/>
  <c r="W24" i="13"/>
  <c r="Z112" i="13"/>
  <c r="W48" i="13"/>
  <c r="Z93" i="13"/>
  <c r="W29" i="13"/>
  <c r="Z89" i="13"/>
  <c r="W25" i="13"/>
  <c r="Z111" i="13"/>
  <c r="W47" i="13"/>
  <c r="Z91" i="13"/>
  <c r="W27" i="13"/>
  <c r="Z92" i="13"/>
  <c r="W28" i="13"/>
  <c r="Z109" i="13"/>
  <c r="W45" i="13"/>
  <c r="Z90" i="13"/>
  <c r="W26" i="13"/>
  <c r="Z96" i="13"/>
  <c r="W32" i="13"/>
  <c r="Z108" i="13"/>
  <c r="W44" i="13"/>
  <c r="Z87" i="13"/>
  <c r="W23" i="13"/>
  <c r="Z100" i="13"/>
  <c r="W36" i="13"/>
  <c r="Z107" i="13"/>
  <c r="W43" i="13"/>
  <c r="Z86" i="13"/>
  <c r="W22" i="13"/>
  <c r="Z103" i="13"/>
  <c r="W39" i="13"/>
  <c r="Z106" i="13"/>
  <c r="W42" i="13"/>
  <c r="Z85" i="13"/>
  <c r="W21" i="13"/>
  <c r="Z102" i="13"/>
  <c r="W38" i="13"/>
  <c r="Z113" i="13"/>
  <c r="W49" i="13"/>
  <c r="X118" i="13"/>
  <c r="Y118" i="13"/>
  <c r="C196" i="13"/>
  <c r="L20" i="13" l="1"/>
  <c r="K20" i="13"/>
  <c r="L27" i="13"/>
  <c r="K27" i="13"/>
  <c r="N20" i="13"/>
  <c r="U204" i="13" s="1"/>
  <c r="F48" i="26" s="1"/>
  <c r="L26" i="13"/>
  <c r="K26" i="13"/>
  <c r="M20" i="13"/>
  <c r="T204" i="13" s="1"/>
  <c r="F8" i="26" s="1"/>
  <c r="D27" i="20"/>
  <c r="C27" i="20"/>
  <c r="R20" i="13" l="1"/>
  <c r="W20" i="13" s="1"/>
  <c r="S20" i="13"/>
  <c r="X20" i="13" s="1"/>
  <c r="M54" i="13"/>
  <c r="N54" i="13"/>
  <c r="R54" i="13" l="1"/>
  <c r="Z84" i="13"/>
  <c r="Z118" i="13" s="1"/>
  <c r="S54" i="13"/>
  <c r="AA84" i="13"/>
  <c r="AA118" i="13" s="1"/>
  <c r="C213" i="16"/>
  <c r="D213" i="16"/>
  <c r="E213" i="16"/>
  <c r="F213" i="16"/>
  <c r="G213" i="16"/>
  <c r="H213" i="16"/>
  <c r="I213" i="16"/>
  <c r="J213" i="16"/>
  <c r="K213" i="16"/>
  <c r="L213" i="16"/>
  <c r="M213" i="16"/>
  <c r="N213" i="16"/>
  <c r="O213" i="16"/>
  <c r="P213" i="16"/>
  <c r="Q213" i="16"/>
  <c r="R213" i="16"/>
  <c r="S213" i="16"/>
  <c r="T213" i="16"/>
  <c r="U213" i="16"/>
  <c r="C194" i="16"/>
  <c r="D194" i="16"/>
  <c r="E194" i="16"/>
  <c r="F194" i="16"/>
  <c r="G194" i="16"/>
  <c r="H194" i="16"/>
  <c r="I194" i="16"/>
  <c r="J194" i="16"/>
  <c r="K194" i="16"/>
  <c r="L194" i="16"/>
  <c r="M194" i="16"/>
  <c r="N194" i="16"/>
  <c r="O194" i="16"/>
  <c r="P194" i="16"/>
  <c r="Q194" i="16"/>
  <c r="R194" i="16"/>
  <c r="S194" i="16"/>
  <c r="T194" i="16"/>
  <c r="U194" i="16"/>
  <c r="B175" i="16" l="1"/>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192" i="16"/>
  <c r="C192" i="16"/>
  <c r="D192" i="16"/>
  <c r="E192" i="16"/>
  <c r="F192" i="16"/>
  <c r="G192" i="16"/>
  <c r="H192" i="16"/>
  <c r="I192" i="16"/>
  <c r="J192" i="16"/>
  <c r="K192" i="16"/>
  <c r="L192" i="16"/>
  <c r="M192" i="16"/>
  <c r="N192" i="16"/>
  <c r="O192" i="16"/>
  <c r="P192" i="16"/>
  <c r="Q192" i="16"/>
  <c r="R192" i="16"/>
  <c r="S192" i="16"/>
  <c r="T192" i="16"/>
  <c r="U192" i="16"/>
  <c r="U193" i="16"/>
  <c r="G101" i="27" s="1"/>
  <c r="B195" i="16"/>
  <c r="C195" i="16"/>
  <c r="D195" i="16"/>
  <c r="E195" i="16"/>
  <c r="F195" i="16"/>
  <c r="G195" i="16"/>
  <c r="I195" i="16"/>
  <c r="J195" i="16"/>
  <c r="K195" i="16"/>
  <c r="L195" i="16"/>
  <c r="M195" i="16"/>
  <c r="N195" i="16"/>
  <c r="O195" i="16"/>
  <c r="P195" i="16"/>
  <c r="Q195" i="16"/>
  <c r="R195" i="16"/>
  <c r="S195" i="16"/>
  <c r="T195" i="16"/>
  <c r="U195" i="16"/>
  <c r="B196" i="16"/>
  <c r="C196" i="16"/>
  <c r="D196" i="16"/>
  <c r="E196" i="16"/>
  <c r="F196" i="16"/>
  <c r="G102" i="27" s="1"/>
  <c r="G196" i="16"/>
  <c r="H196" i="16"/>
  <c r="I196" i="16"/>
  <c r="J196" i="16"/>
  <c r="K196" i="16"/>
  <c r="L196" i="16"/>
  <c r="M196" i="16"/>
  <c r="N196" i="16"/>
  <c r="O196" i="16"/>
  <c r="P196" i="16"/>
  <c r="Q196" i="16"/>
  <c r="R196" i="16"/>
  <c r="S196" i="16"/>
  <c r="T196" i="16"/>
  <c r="U196" i="16"/>
  <c r="B197" i="16"/>
  <c r="C197" i="16"/>
  <c r="D197" i="16"/>
  <c r="E197" i="16"/>
  <c r="F197" i="16"/>
  <c r="G103" i="27" s="1"/>
  <c r="G197" i="16"/>
  <c r="H197" i="16"/>
  <c r="I197" i="16"/>
  <c r="J197" i="16"/>
  <c r="K197" i="16"/>
  <c r="L197" i="16"/>
  <c r="M197" i="16"/>
  <c r="N197" i="16"/>
  <c r="O197" i="16"/>
  <c r="P197" i="16"/>
  <c r="Q197" i="16"/>
  <c r="R197" i="16"/>
  <c r="S197" i="16"/>
  <c r="T197" i="16"/>
  <c r="U197" i="16"/>
  <c r="B198" i="16"/>
  <c r="C198" i="16"/>
  <c r="D198" i="16"/>
  <c r="E198" i="16"/>
  <c r="F198" i="16"/>
  <c r="G104" i="27" s="1"/>
  <c r="G198" i="16"/>
  <c r="H198" i="16"/>
  <c r="I198" i="16"/>
  <c r="J198" i="16"/>
  <c r="K198" i="16"/>
  <c r="L198" i="16"/>
  <c r="M198" i="16"/>
  <c r="N198" i="16"/>
  <c r="O198" i="16"/>
  <c r="P198" i="16"/>
  <c r="Q198" i="16"/>
  <c r="R198" i="16"/>
  <c r="S198" i="16"/>
  <c r="T198" i="16"/>
  <c r="U198" i="16"/>
  <c r="B199" i="16"/>
  <c r="C199" i="16"/>
  <c r="D199" i="16"/>
  <c r="E199" i="16"/>
  <c r="F199" i="16"/>
  <c r="G105" i="27" s="1"/>
  <c r="G199" i="16"/>
  <c r="H199" i="16"/>
  <c r="I199" i="16"/>
  <c r="J199" i="16"/>
  <c r="K199" i="16"/>
  <c r="L199" i="16"/>
  <c r="M199" i="16"/>
  <c r="N199" i="16"/>
  <c r="O199" i="16"/>
  <c r="P199" i="16"/>
  <c r="Q199" i="16"/>
  <c r="R199" i="16"/>
  <c r="S199" i="16"/>
  <c r="T199" i="16"/>
  <c r="U199" i="16"/>
  <c r="B200" i="16"/>
  <c r="C200" i="16"/>
  <c r="D200" i="16"/>
  <c r="E200" i="16"/>
  <c r="F200" i="16"/>
  <c r="G106" i="27" s="1"/>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3" i="16"/>
  <c r="C203" i="16"/>
  <c r="D203" i="16"/>
  <c r="G113" i="27" s="1"/>
  <c r="E203" i="16"/>
  <c r="F203" i="16"/>
  <c r="G203" i="16"/>
  <c r="H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V134" i="16"/>
  <c r="V130" i="16"/>
  <c r="B212" i="16"/>
  <c r="C212" i="16"/>
  <c r="D212" i="16"/>
  <c r="E212" i="16"/>
  <c r="F212" i="16"/>
  <c r="G212" i="16"/>
  <c r="H212" i="16"/>
  <c r="I212" i="16"/>
  <c r="J212" i="16"/>
  <c r="K212" i="16"/>
  <c r="L212" i="16"/>
  <c r="M212" i="16"/>
  <c r="N212" i="16"/>
  <c r="O212" i="16"/>
  <c r="P212" i="16"/>
  <c r="Q212" i="16"/>
  <c r="R212" i="16"/>
  <c r="S212" i="16"/>
  <c r="T212" i="16"/>
  <c r="U212" i="16"/>
  <c r="B211" i="16"/>
  <c r="C211" i="16"/>
  <c r="D211" i="16"/>
  <c r="E211" i="16"/>
  <c r="F211" i="16"/>
  <c r="G211" i="16"/>
  <c r="H211" i="16"/>
  <c r="I211" i="16"/>
  <c r="J211" i="16"/>
  <c r="K211" i="16"/>
  <c r="L211" i="16"/>
  <c r="M211" i="16"/>
  <c r="N211" i="16"/>
  <c r="O211" i="16"/>
  <c r="P211" i="16"/>
  <c r="Q211" i="16"/>
  <c r="R211" i="16"/>
  <c r="S211" i="16"/>
  <c r="T211" i="16"/>
  <c r="U211" i="16"/>
  <c r="G133" i="27" l="1" a="1"/>
  <c r="G133" i="27" s="1"/>
  <c r="G152" i="27" a="1"/>
  <c r="G152" i="27" s="1"/>
  <c r="G139" i="27" a="1"/>
  <c r="G139" i="27" s="1"/>
  <c r="G125" i="27" a="1"/>
  <c r="G125" i="27" s="1"/>
  <c r="G96" i="27" a="1"/>
  <c r="G96" i="27" s="1"/>
  <c r="G118" i="27" a="1"/>
  <c r="G118" i="27" s="1"/>
  <c r="G111" i="27" a="1"/>
  <c r="G111" i="27" s="1"/>
  <c r="G57" i="27" a="1"/>
  <c r="G57" i="27" s="1"/>
  <c r="G145" i="27" a="1"/>
  <c r="G145" i="27" s="1"/>
  <c r="G128" i="27" a="1"/>
  <c r="G128" i="27" s="1"/>
  <c r="G114" i="27" a="1"/>
  <c r="G114" i="27" s="1"/>
  <c r="G107" i="27" a="1"/>
  <c r="G107" i="27" s="1"/>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08" i="14" s="1"/>
  <c r="D146" i="16"/>
  <c r="L84" i="14" s="1"/>
  <c r="C108" i="14" l="1"/>
  <c r="C114" i="14" s="1"/>
  <c r="C113" i="14"/>
  <c r="V166" i="16"/>
  <c r="V178" i="16" s="1"/>
  <c r="Q158" i="16"/>
  <c r="N158" i="16"/>
  <c r="V34" i="16" l="1"/>
  <c r="S24" i="16" l="1"/>
  <c r="B189" i="16" s="1"/>
  <c r="D26" i="18" l="1"/>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44" i="18"/>
  <c r="K45" i="18" l="1"/>
  <c r="P45" i="18"/>
  <c r="O45" i="18"/>
  <c r="L45" i="18"/>
  <c r="M45" i="18"/>
  <c r="N45" i="18"/>
  <c r="P44" i="18"/>
  <c r="O44" i="18"/>
  <c r="L44" i="18"/>
  <c r="K44" i="18"/>
  <c r="M44" i="18"/>
  <c r="N44" i="18"/>
  <c r="Q44" i="18"/>
  <c r="S44" i="18"/>
  <c r="T44" i="18"/>
  <c r="R44" i="18"/>
  <c r="I44" i="18"/>
  <c r="J44" i="18"/>
  <c r="E44" i="18"/>
  <c r="E18" i="33" s="1" a="1"/>
  <c r="E18" i="33" s="1"/>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H83" i="12"/>
  <c r="R81" i="12" s="1"/>
  <c r="H84" i="12"/>
  <c r="H85" i="12"/>
  <c r="H86" i="12"/>
  <c r="R83" i="12" s="1"/>
  <c r="H87" i="12"/>
  <c r="H88" i="12"/>
  <c r="R85" i="12" s="1"/>
  <c r="H89" i="12"/>
  <c r="R86" i="12" s="1"/>
  <c r="H90" i="12"/>
  <c r="R87" i="12" s="1"/>
  <c r="H91" i="12"/>
  <c r="H92" i="12"/>
  <c r="H93" i="12"/>
  <c r="H94" i="12"/>
  <c r="H95" i="12"/>
  <c r="R89" i="12" s="1"/>
  <c r="H96" i="12"/>
  <c r="H97" i="12"/>
  <c r="H98" i="12"/>
  <c r="H99" i="12"/>
  <c r="H100" i="12"/>
  <c r="H101" i="12"/>
  <c r="H102" i="12"/>
  <c r="H103" i="12"/>
  <c r="H104" i="12"/>
  <c r="H82" i="12"/>
  <c r="R93" i="12"/>
  <c r="R84" i="12"/>
  <c r="R82" i="12"/>
  <c r="R90" i="12"/>
  <c r="R92" i="12"/>
  <c r="R94" i="12"/>
  <c r="C117" i="14" l="1"/>
  <c r="C118" i="14" s="1"/>
  <c r="E64" i="27" a="1"/>
  <c r="E64" i="27" s="1"/>
  <c r="G80" i="27" a="1"/>
  <c r="G80" i="27" s="1"/>
  <c r="R91" i="12"/>
  <c r="R95" i="12" s="1"/>
  <c r="R88" i="12"/>
  <c r="B84" i="12" l="1"/>
  <c r="Q95" i="12" l="1"/>
  <c r="L72" i="12"/>
  <c r="L66" i="12"/>
  <c r="D68" i="12"/>
  <c r="L67" i="12" s="1"/>
  <c r="D69" i="12"/>
  <c r="L68" i="12" s="1"/>
  <c r="D70" i="12"/>
  <c r="L69" i="12" s="1"/>
  <c r="D71" i="12"/>
  <c r="L70" i="12" s="1"/>
  <c r="D72" i="12"/>
  <c r="L71" i="12" s="1"/>
  <c r="D73" i="12"/>
  <c r="D74" i="12"/>
  <c r="D75" i="12"/>
  <c r="D76" i="12"/>
  <c r="L73" i="12" s="1"/>
  <c r="D67" i="12"/>
  <c r="C77" i="12"/>
  <c r="B77" i="12"/>
  <c r="D77" i="12" l="1"/>
  <c r="S82" i="12" l="1"/>
  <c r="S83" i="12"/>
  <c r="S84" i="12"/>
  <c r="S85" i="12"/>
  <c r="S86" i="12"/>
  <c r="S87" i="12"/>
  <c r="S88" i="12"/>
  <c r="S89" i="12"/>
  <c r="S90" i="12"/>
  <c r="S91" i="12"/>
  <c r="S92" i="12"/>
  <c r="S93" i="12"/>
  <c r="S94" i="12"/>
  <c r="S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S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AK26" i="16"/>
  <c r="T191" i="16" s="1"/>
  <c r="AL26" i="16"/>
  <c r="U191" i="16" s="1"/>
  <c r="AK25" i="16"/>
  <c r="T190" i="16" s="1"/>
  <c r="AL25" i="16"/>
  <c r="U190" i="16" s="1"/>
  <c r="AJ25" i="16"/>
  <c r="S190" i="16" s="1"/>
  <c r="AK24" i="16"/>
  <c r="T189" i="16" s="1"/>
  <c r="AL24" i="16"/>
  <c r="U189" i="16" s="1"/>
  <c r="AJ24" i="16"/>
  <c r="S189" i="16" s="1"/>
  <c r="AF26" i="16"/>
  <c r="O191" i="16" s="1"/>
  <c r="AF25" i="16"/>
  <c r="O190" i="16" s="1"/>
  <c r="AF24" i="16"/>
  <c r="O189" i="16" s="1"/>
  <c r="S26" i="16"/>
  <c r="B191" i="16" s="1"/>
  <c r="T26" i="16"/>
  <c r="C191" i="16" s="1"/>
  <c r="U26" i="16"/>
  <c r="D191" i="16" s="1"/>
  <c r="V26" i="16"/>
  <c r="E191" i="16" s="1"/>
  <c r="W26" i="16"/>
  <c r="F191" i="16" s="1"/>
  <c r="X26" i="16"/>
  <c r="G191" i="16" s="1"/>
  <c r="Y26" i="16"/>
  <c r="H191" i="16" s="1"/>
  <c r="T25" i="16"/>
  <c r="C190" i="16" s="1"/>
  <c r="U25" i="16"/>
  <c r="D190" i="16" s="1"/>
  <c r="V25" i="16"/>
  <c r="E190" i="16" s="1"/>
  <c r="W25" i="16"/>
  <c r="F190" i="16" s="1"/>
  <c r="X25" i="16"/>
  <c r="G190" i="16" s="1"/>
  <c r="Y25" i="16"/>
  <c r="H190" i="16" s="1"/>
  <c r="S25" i="16"/>
  <c r="B190" i="16" s="1"/>
  <c r="T24" i="16"/>
  <c r="C189" i="16" s="1"/>
  <c r="U24" i="16"/>
  <c r="D189" i="16" s="1"/>
  <c r="V24" i="16"/>
  <c r="E189" i="16" s="1"/>
  <c r="W24" i="16"/>
  <c r="F189" i="16" s="1"/>
  <c r="X24" i="16"/>
  <c r="G189" i="16" s="1"/>
  <c r="Y24" i="16"/>
  <c r="H189" i="16" s="1"/>
  <c r="X23" i="18" l="1"/>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AF17" i="16"/>
  <c r="AH25" i="16" s="1"/>
  <c r="Q190" i="16" s="1"/>
  <c r="AB17" i="16"/>
  <c r="AE25" i="16" s="1"/>
  <c r="N190" i="16" s="1"/>
  <c r="AF14" i="16"/>
  <c r="AG24" i="16" s="1"/>
  <c r="P189" i="16" s="1"/>
  <c r="Y17" i="16"/>
  <c r="AC25" i="16" s="1"/>
  <c r="L190" i="16" s="1"/>
  <c r="AH26" i="16"/>
  <c r="Q191" i="16" s="1"/>
  <c r="AI26" i="16"/>
  <c r="R191" i="16" s="1"/>
  <c r="AG26" i="16"/>
  <c r="P191" i="16" s="1"/>
  <c r="AA26" i="16"/>
  <c r="J191" i="16" s="1"/>
  <c r="AB26" i="16"/>
  <c r="K191" i="16" s="1"/>
  <c r="AC26" i="16"/>
  <c r="L191" i="16" s="1"/>
  <c r="Z26" i="16"/>
  <c r="I191" i="16" s="1"/>
  <c r="AB14" i="16"/>
  <c r="AE24" i="16" s="1"/>
  <c r="N189" i="16" s="1"/>
  <c r="Y14" i="16"/>
  <c r="AA24" i="16" s="1"/>
  <c r="J189" i="16" s="1"/>
  <c r="AI25" i="16" l="1"/>
  <c r="R190" i="16" s="1"/>
  <c r="AE26" i="16"/>
  <c r="N191" i="16" s="1"/>
  <c r="G40" i="27" s="1" a="1"/>
  <c r="G40" i="27" s="1"/>
  <c r="Z25" i="16"/>
  <c r="I190" i="16" s="1"/>
  <c r="AG25" i="16"/>
  <c r="P190" i="16" s="1"/>
  <c r="Z24" i="16"/>
  <c r="I189" i="16" s="1"/>
  <c r="AH24" i="16"/>
  <c r="Q189" i="16" s="1"/>
  <c r="AD25" i="16"/>
  <c r="M190" i="16" s="1"/>
  <c r="AC24" i="16"/>
  <c r="L189" i="16" s="1"/>
  <c r="AB25" i="16"/>
  <c r="K190" i="16" s="1"/>
  <c r="AI24" i="16"/>
  <c r="R189" i="16" s="1"/>
  <c r="AA25" i="16"/>
  <c r="J190" i="16" s="1"/>
  <c r="AD24" i="16"/>
  <c r="M189" i="16" s="1"/>
  <c r="AB24" i="16"/>
  <c r="K189" i="16" s="1"/>
  <c r="P7" i="16"/>
  <c r="G2" i="27" l="1" a="1"/>
  <c r="G2" i="27" s="1"/>
  <c r="G20" i="27" a="1"/>
  <c r="G20" i="27" s="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U21" i="18" l="1"/>
  <c r="W21" i="18"/>
  <c r="Q21" i="18"/>
  <c r="O21" i="18"/>
  <c r="D21" i="18"/>
  <c r="V21" i="18"/>
  <c r="K21" i="18"/>
  <c r="J21" i="18"/>
  <c r="I21" i="18"/>
  <c r="H21" i="18"/>
  <c r="G21" i="18"/>
  <c r="F21" i="18"/>
  <c r="E21" i="18"/>
  <c r="AA11" i="18"/>
  <c r="X20" i="18"/>
  <c r="AA10" i="18"/>
  <c r="X12" i="18"/>
  <c r="AB10" i="18" s="1"/>
  <c r="C210" i="13"/>
  <c r="J205" i="13" s="1"/>
  <c r="C209" i="13"/>
  <c r="J204" i="13" s="1"/>
  <c r="C207" i="13"/>
  <c r="J202" i="13" s="1"/>
  <c r="C223" i="13"/>
  <c r="C222" i="13"/>
  <c r="C221" i="13"/>
  <c r="C220" i="13"/>
  <c r="C219" i="13"/>
  <c r="C218" i="13"/>
  <c r="C217" i="13"/>
  <c r="C216" i="13"/>
  <c r="C215" i="13"/>
  <c r="C212" i="13"/>
  <c r="C211" i="13"/>
  <c r="C206" i="13"/>
  <c r="C205" i="13"/>
  <c r="C204" i="13"/>
  <c r="K201" i="13" s="1"/>
  <c r="C203" i="13"/>
  <c r="C202" i="13"/>
  <c r="C201" i="13"/>
  <c r="C200" i="13"/>
  <c r="C199" i="13"/>
  <c r="C198" i="13"/>
  <c r="C197" i="13"/>
  <c r="K200" i="13" s="1"/>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C224" i="13" l="1"/>
  <c r="G88" i="14"/>
  <c r="K25" i="18"/>
  <c r="M25" i="18"/>
  <c r="O25" i="18"/>
  <c r="L25" i="18"/>
  <c r="N25" i="18"/>
  <c r="P25" i="18"/>
  <c r="I25" i="18"/>
  <c r="U25" i="18"/>
  <c r="S25" i="18"/>
  <c r="V25" i="18"/>
  <c r="F25" i="18"/>
  <c r="H25" i="18"/>
  <c r="Q25" i="18"/>
  <c r="E25" i="18"/>
  <c r="G25" i="18"/>
  <c r="J25" i="18"/>
  <c r="I24" i="18"/>
  <c r="R25" i="18"/>
  <c r="T25" i="18"/>
  <c r="W25" i="18"/>
  <c r="X21" i="18"/>
  <c r="O24" i="18"/>
  <c r="H24" i="18"/>
  <c r="J24" i="18"/>
  <c r="K24" i="18"/>
  <c r="F24" i="18"/>
  <c r="N24" i="18"/>
  <c r="W24" i="18"/>
  <c r="L24" i="18"/>
  <c r="P24" i="18"/>
  <c r="Q24" i="18"/>
  <c r="G24" i="18"/>
  <c r="U24" i="18"/>
  <c r="E24" i="18"/>
  <c r="M24" i="18"/>
  <c r="V24" i="18"/>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P90" i="12" s="1"/>
  <c r="I39" i="12"/>
  <c r="M39" i="12"/>
  <c r="AE31" i="12"/>
  <c r="R33" i="12" l="1"/>
  <c r="E45" i="12"/>
  <c r="I45" i="12"/>
  <c r="O33" i="12"/>
  <c r="O38" i="12"/>
  <c r="P33" i="12"/>
  <c r="P39" i="12"/>
  <c r="R38" i="12"/>
  <c r="R41" i="12"/>
  <c r="R39" i="12"/>
  <c r="P31" i="12"/>
  <c r="Q32" i="12"/>
  <c r="P82" i="12" s="1"/>
  <c r="P38" i="12"/>
  <c r="O31" i="12"/>
  <c r="Q39" i="12"/>
  <c r="P89" i="12" s="1"/>
  <c r="P32" i="12"/>
  <c r="Q33" i="12"/>
  <c r="P83" i="12" s="1"/>
  <c r="Q42" i="12"/>
  <c r="P92" i="12" s="1"/>
  <c r="Y33" i="12"/>
  <c r="O42" i="12"/>
  <c r="Q41" i="12"/>
  <c r="P91" i="12" s="1"/>
  <c r="Q43" i="12"/>
  <c r="P93" i="12" s="1"/>
  <c r="O41" i="12"/>
  <c r="Q38" i="12"/>
  <c r="P88" i="12" s="1"/>
  <c r="Q34" i="12"/>
  <c r="P84" i="12" s="1"/>
  <c r="Q37" i="12"/>
  <c r="P87" i="12" s="1"/>
  <c r="R32" i="12"/>
  <c r="P41" i="12"/>
  <c r="O39" i="12"/>
  <c r="Q44" i="12"/>
  <c r="P94" i="12" s="1"/>
  <c r="Q36" i="12"/>
  <c r="P86" i="12" s="1"/>
  <c r="O40" i="12"/>
  <c r="O32" i="12"/>
  <c r="Q35" i="12"/>
  <c r="P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P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<sst xmlns="http://schemas.openxmlformats.org/spreadsheetml/2006/main" count="7126" uniqueCount="986">
  <si>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</si>
  <si>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</si>
  <si>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</si>
  <si>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</si>
  <si>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</si>
  <si>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</si>
  <si>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</si>
  <si>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</si>
  <si>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</si>
  <si>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</si>
  <si>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</si>
  <si>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</si>
  <si>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</si>
  <si>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</si>
  <si>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</si>
  <si>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</si>
  <si>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</si>
  <si>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</si>
  <si>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</si>
  <si>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</si>
  <si>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</si>
  <si>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</si>
  <si>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</si>
  <si>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</si>
  <si>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</si>
  <si>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</si>
  <si>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</si>
  <si>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</si>
  <si>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</si>
  <si>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</si>
  <si>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</si>
  <si>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</si>
  <si>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</si>
  <si>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</si>
  <si>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</si>
  <si>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</si>
  <si>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</si>
  <si>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</si>
  <si>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</si>
  <si>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</si>
  <si>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</si>
  <si>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</si>
  <si>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</si>
  <si>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</si>
  <si>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</si>
  <si>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</si>
  <si>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</si>
  <si>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</si>
  <si>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</si>
  <si>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</si>
  <si>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</si>
  <si>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</si>
  <si>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</si>
  <si>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</si>
  <si>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</si>
  <si>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</si>
  <si>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</si>
  <si>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</si>
  <si>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</si>
  <si>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</si>
  <si>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</si>
  <si>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</si>
  <si>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</si>
  <si>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</si>
  <si>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</si>
  <si>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</si>
  <si>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</si>
  <si>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</si>
  <si>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</si>
  <si>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</si>
  <si>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</si>
  <si>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</si>
  <si>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</si>
  <si>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</si>
  <si>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</si>
  <si>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</si>
  <si>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</si>
  <si>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</si>
  <si>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</si>
  <si>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</si>
  <si>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</si>
  <si>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</si>
  <si>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</si>
  <si>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</si>
  <si>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</si>
  <si>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</si>
  <si>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</si>
  <si>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</si>
  <si>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</si>
  <si>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</si>
  <si>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</si>
  <si>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</si>
  <si>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</si>
  <si>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</si>
  <si>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</si>
  <si>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</si>
  <si>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</si>
  <si>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</si>
  <si>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</si>
  <si>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</si>
  <si>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</si>
  <si>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</si>
  <si>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</si>
  <si>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</si>
  <si>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</si>
  <si>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</si>
  <si>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</si>
  <si>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</si>
  <si>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</si>
  <si>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</si>
  <si>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</si>
  <si>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</si>
  <si>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</si>
  <si>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</si>
  <si>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</si>
  <si>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</si>
  <si>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</si>
  <si>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</si>
  <si>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</si>
  <si>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</si>
  <si>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</si>
  <si>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</si>
  <si>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</si>
  <si>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</si>
  <si>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</si>
  <si>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</si>
  <si>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</si>
  <si>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</si>
  <si>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</si>
  <si>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</si>
  <si>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</si>
  <si>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</si>
  <si>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</si>
  <si>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</si>
  <si>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</si>
  <si>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</si>
  <si>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</si>
  <si>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</si>
  <si>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</si>
  <si>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</si>
  <si>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</si>
  <si>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</si>
  <si>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</si>
  <si>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</si>
  <si>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</si>
  <si>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</si>
  <si>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</si>
  <si>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</si>
  <si>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</si>
  <si>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</si>
  <si>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</si>
  <si>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</si>
  <si>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</si>
  <si>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</si>
  <si>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</si>
  <si>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</si>
  <si>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</si>
  <si>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</si>
  <si>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</si>
  <si>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</si>
  <si>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</si>
  <si>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</si>
  <si>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</si>
  <si>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</si>
  <si>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</si>
  <si>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</si>
  <si>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</si>
  <si>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</si>
  <si>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</si>
  <si>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</si>
  <si>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</si>
  <si>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</si>
  <si>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</si>
  <si>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</si>
  <si>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</si>
  <si>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</si>
  <si>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</si>
  <si>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</si>
  <si>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</si>
  <si>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</si>
  <si>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</si>
  <si>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</si>
  <si>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</si>
  <si>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</si>
  <si>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</si>
  <si>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</si>
  <si>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</si>
  <si>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</si>
  <si>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</si>
  <si>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</si>
  <si>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</si>
  <si>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</si>
  <si>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</si>
  <si>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</si>
  <si>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</si>
  <si>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</si>
  <si>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</si>
  <si>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</si>
  <si>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</si>
  <si>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</si>
  <si>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</si>
  <si>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</si>
  <si>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</si>
  <si>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</si>
  <si>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</si>
  <si>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</si>
  <si>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</si>
  <si>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</si>
  <si>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</si>
  <si>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</si>
  <si>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</si>
  <si>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</si>
  <si>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</si>
  <si>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</si>
  <si>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</si>
  <si>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</si>
  <si>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</si>
  <si>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</si>
  <si>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</si>
  <si>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</si>
  <si>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</si>
  <si>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</si>
  <si>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</si>
  <si>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</si>
  <si>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</si>
  <si>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</si>
  <si>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</si>
  <si>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</si>
  <si>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</si>
  <si>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</si>
  <si>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</si>
  <si>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</si>
  <si>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</si>
  <si>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</si>
  <si>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</si>
  <si>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</si>
  <si>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</si>
  <si>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</si>
  <si>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</si>
  <si>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</si>
  <si>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</si>
  <si>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</si>
  <si>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</si>
  <si>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</si>
  <si>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</si>
  <si>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</si>
  <si>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</si>
  <si>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</si>
  <si>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</si>
  <si>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</si>
  <si>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</si>
  <si>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</si>
  <si>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</si>
  <si>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</si>
  <si>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</si>
  <si>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</si>
  <si>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</si>
  <si>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</si>
  <si>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</si>
  <si>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</si>
  <si>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</si>
  <si>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</si>
  <si>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</si>
  <si>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</si>
  <si>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</si>
  <si>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</si>
  <si>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</si>
  <si>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</si>
  <si>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</si>
  <si>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</si>
  <si>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</si>
  <si>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</si>
  <si>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</si>
  <si>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</si>
  <si>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</si>
  <si>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</si>
  <si>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</si>
  <si>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</si>
  <si>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</si>
  <si>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</si>
  <si>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</si>
  <si>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</si>
  <si>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</si>
  <si>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</si>
  <si>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</si>
  <si>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</si>
  <si>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</si>
  <si>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</si>
  <si>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</si>
  <si>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</si>
  <si>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</si>
  <si>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</si>
  <si>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</si>
  <si>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</si>
  <si>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</si>
  <si>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</si>
  <si>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</si>
  <si>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</si>
  <si>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</si>
  <si>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</si>
  <si>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</si>
  <si>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</si>
  <si>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</si>
  <si>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</si>
  <si>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</si>
  <si>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</si>
  <si>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</si>
  <si>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</si>
  <si>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</si>
  <si>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</si>
  <si>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</si>
  <si>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</si>
  <si>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</si>
  <si>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</si>
  <si>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</si>
  <si>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</si>
  <si>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</si>
  <si>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</si>
  <si>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</si>
  <si>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</si>
  <si>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</si>
  <si>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</si>
  <si>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</si>
  <si>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</si>
  <si>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</si>
  <si>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</si>
  <si>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</si>
  <si>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</si>
  <si>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</si>
  <si>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</si>
  <si>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</si>
  <si>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</si>
  <si>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</si>
  <si>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</si>
  <si>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</si>
  <si>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</si>
  <si>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</si>
  <si>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</si>
  <si>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</si>
  <si>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</si>
  <si>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</si>
  <si>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</si>
  <si>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</si>
  <si>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</si>
  <si>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</si>
  <si>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</si>
  <si>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</si>
  <si>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</si>
  <si>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</si>
  <si>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</si>
  <si>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</si>
  <si>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</si>
  <si>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</si>
  <si>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</si>
  <si>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</si>
  <si>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</si>
  <si>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</si>
  <si>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</si>
  <si>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</si>
  <si>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</si>
  <si>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</si>
  <si>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</si>
  <si>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</si>
  <si>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</si>
  <si>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</si>
  <si>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</si>
  <si>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</si>
  <si>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</si>
  <si>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</si>
  <si>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</si>
  <si>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</si>
  <si>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</si>
  <si>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</si>
  <si>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</si>
  <si>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</si>
  <si>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</si>
  <si>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</si>
  <si>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</si>
  <si>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</si>
  <si>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</si>
  <si>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</si>
  <si>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</si>
  <si>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</si>
  <si>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</si>
  <si>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</si>
  <si>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</si>
  <si>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</si>
  <si>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</si>
  <si>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</si>
  <si>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</si>
  <si>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</si>
  <si>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</si>
  <si>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</si>
  <si>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</si>
  <si>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</si>
  <si>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</si>
  <si>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</si>
  <si>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</si>
  <si>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</si>
  <si>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</si>
  <si>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</si>
  <si>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</si>
  <si>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</si>
  <si>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</si>
  <si>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</si>
  <si>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</si>
  <si>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</si>
  <si>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</si>
  <si>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</si>
  <si>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</si>
  <si>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</si>
  <si>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</si>
  <si>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</si>
  <si>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</si>
  <si>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</si>
  <si>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</si>
  <si>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</si>
  <si>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</si>
  <si>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</si>
  <si>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</si>
  <si>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</si>
  <si>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</si>
  <si>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</si>
  <si>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</si>
  <si>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</si>
  <si>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</si>
  <si>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</si>
  <si>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</si>
  <si>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</si>
  <si>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</si>
  <si>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</si>
  <si>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</si>
  <si>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</si>
  <si>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</si>
  <si>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</si>
  <si>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</si>
  <si>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</si>
  <si>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</si>
  <si>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</si>
  <si>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</si>
  <si>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</si>
  <si>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</si>
  <si>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</si>
  <si>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</si>
  <si>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</si>
  <si>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</si>
  <si>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</si>
  <si>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</si>
  <si>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</si>
  <si>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</si>
  <si>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</si>
  <si>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</si>
  <si>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</si>
  <si>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</si>
  <si>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</si>
  <si>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</si>
  <si>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</si>
  <si>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</si>
  <si>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</si>
  <si>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</si>
  <si>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</si>
  <si>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</si>
  <si>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</si>
  <si>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</si>
  <si>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</si>
  <si>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</si>
  <si>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</si>
  <si>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</si>
  <si>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</si>
  <si>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</si>
  <si>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</si>
  <si>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</si>
  <si>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</si>
  <si>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</si>
  <si>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</si>
  <si>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</si>
  <si>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</si>
  <si>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</si>
  <si>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</si>
  <si>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</si>
  <si>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</si>
  <si>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</si>
  <si>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</si>
  <si>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</si>
  <si>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</si>
  <si>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</si>
  <si>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</si>
  <si>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</si>
  <si>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</si>
  <si>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</si>
  <si>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</si>
  <si>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</si>
  <si>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</si>
  <si>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</si>
  <si>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</si>
  <si>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</si>
  <si>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</si>
  <si>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</si>
  <si>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</si>
  <si>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</si>
  <si>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</si>
  <si>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</si>
  <si>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</si>
  <si>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</si>
  <si>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</si>
  <si>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</si>
  <si>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</si>
  <si>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</si>
  <si>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</si>
  <si>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</si>
  <si>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</si>
  <si>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</si>
  <si>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</si>
  <si>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</si>
  <si>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</si>
  <si>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</si>
  <si>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</si>
  <si>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</si>
  <si>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</si>
  <si>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</si>
  <si>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</si>
  <si>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</si>
  <si>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</si>
  <si>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</si>
  <si>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</si>
  <si>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</si>
  <si>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</si>
  <si>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</si>
  <si>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</si>
  <si>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</si>
  <si>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</si>
  <si>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</si>
  <si>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</si>
  <si>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</si>
  <si>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</si>
  <si>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</si>
  <si>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</si>
  <si>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</si>
  <si>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</si>
  <si>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</si>
  <si>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</si>
  <si>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</si>
  <si>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</si>
  <si>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</si>
  <si>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</si>
  <si>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</si>
  <si>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</si>
  <si>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</si>
  <si>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</si>
  <si>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</si>
  <si>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</si>
  <si>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</si>
  <si>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</si>
  <si>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</si>
  <si>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</si>
  <si>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</si>
  <si>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</si>
  <si>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</si>
  <si>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</si>
  <si>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</si>
  <si>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</si>
  <si>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</si>
  <si>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</si>
  <si>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</si>
  <si>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</si>
  <si>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</si>
  <si>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</si>
  <si>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</si>
  <si>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</si>
  <si>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</si>
  <si>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</si>
  <si>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</si>
  <si>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</si>
  <si>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</si>
  <si>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</si>
  <si>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</si>
  <si>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</si>
  <si>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</si>
  <si>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</si>
  <si>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</si>
  <si>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</si>
  <si>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</si>
  <si>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</si>
  <si>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</si>
  <si>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</si>
  <si>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</si>
  <si>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</si>
  <si>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</si>
  <si>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</si>
  <si>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</si>
  <si>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</si>
  <si>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</si>
  <si>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</si>
  <si>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</si>
  <si>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</si>
  <si>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</si>
  <si>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</si>
  <si>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</si>
  <si>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</si>
  <si>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</si>
  <si>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</si>
  <si>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</si>
  <si>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</si>
  <si>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</si>
  <si>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</si>
  <si>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</si>
  <si>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</si>
  <si>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</si>
  <si>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</si>
  <si>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</si>
  <si>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</si>
  <si>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</si>
  <si>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</si>
  <si>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</si>
  <si>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</si>
  <si>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</si>
  <si>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</si>
  <si>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</si>
  <si>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</si>
  <si>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</si>
  <si>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</si>
  <si>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</si>
  <si>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</si>
  <si>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</si>
  <si>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</si>
  <si>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</si>
  <si>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</si>
  <si>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</si>
  <si>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</si>
  <si>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</si>
  <si>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</si>
  <si>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</si>
  <si>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</si>
  <si>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</si>
  <si>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</si>
  <si>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</si>
  <si>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</si>
  <si>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</si>
  <si>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</si>
  <si>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</si>
  <si>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</si>
  <si>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</si>
  <si>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</si>
  <si>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</si>
  <si>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</si>
  <si>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</si>
  <si>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</si>
  <si>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</si>
  <si>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</si>
  <si>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</si>
  <si>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</si>
  <si>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</si>
  <si>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</si>
  <si>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</si>
  <si>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</si>
  <si>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</si>
  <si>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</si>
  <si>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</si>
  <si>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</si>
  <si>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</si>
  <si>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</si>
  <si>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</si>
  <si>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</si>
  <si>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</si>
  <si>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</si>
  <si>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</si>
  <si>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</si>
  <si>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</si>
  <si>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</si>
  <si>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</si>
  <si>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</si>
  <si>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</si>
  <si>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</si>
  <si>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</si>
  <si>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</si>
  <si>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</si>
  <si>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</si>
  <si>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</si>
  <si>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</si>
  <si>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</si>
  <si>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</si>
  <si>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</si>
  <si>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</si>
  <si>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</si>
  <si>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</si>
  <si>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</si>
  <si>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</si>
  <si>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</si>
  <si>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</si>
  <si>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</si>
  <si>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</si>
  <si>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</si>
  <si>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</si>
  <si>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</si>
  <si>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</si>
  <si>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</si>
  <si>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</si>
  <si>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</si>
  <si>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</si>
  <si>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</si>
  <si>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</si>
  <si>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</si>
  <si>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</si>
  <si>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</si>
  <si>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</si>
  <si>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</si>
  <si>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</si>
  <si>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</si>
  <si>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</si>
  <si>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</si>
  <si>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</si>
  <si>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</si>
  <si>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</si>
  <si>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</si>
  <si>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</si>
  <si>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</si>
  <si>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</si>
  <si>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</si>
  <si>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</si>
  <si>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</si>
  <si>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</si>
  <si>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</si>
  <si>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</si>
  <si>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</si>
  <si>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</si>
  <si>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</si>
  <si>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</si>
  <si>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</si>
  <si>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</si>
  <si>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</si>
  <si>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</si>
  <si>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</si>
  <si>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</si>
  <si>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</si>
  <si>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</si>
  <si>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</si>
  <si>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</si>
  <si>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</si>
  <si>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</si>
  <si>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</si>
  <si>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</si>
  <si>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</si>
  <si>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</si>
  <si>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</si>
  <si>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</si>
  <si>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</si>
  <si>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</si>
  <si>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</si>
  <si>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</si>
  <si>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</si>
  <si>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</si>
  <si>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</si>
  <si>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</si>
  <si>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</si>
  <si>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</si>
  <si>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</si>
  <si>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</si>
  <si>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</si>
  <si>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</si>
  <si>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</si>
  <si>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</si>
  <si>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</si>
  <si>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</si>
  <si>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</si>
  <si>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</si>
  <si>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</si>
  <si>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</si>
  <si>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</si>
  <si>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</si>
  <si>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</si>
  <si>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</si>
  <si>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</si>
  <si>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</si>
  <si>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</si>
  <si>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</si>
  <si>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</si>
  <si>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</si>
  <si>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</si>
  <si>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</si>
  <si>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</si>
  <si>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</si>
  <si>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</si>
  <si>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</si>
  <si>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</si>
  <si>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</si>
  <si>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</si>
  <si>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</si>
  <si>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</si>
  <si>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</si>
  <si>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</si>
  <si>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</si>
  <si>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</si>
  <si>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</si>
  <si>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</si>
  <si>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</si>
  <si>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</si>
  <si>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</si>
  <si>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</si>
  <si>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</si>
  <si>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</si>
  <si>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</si>
  <si>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</si>
  <si>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</si>
  <si>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</si>
  <si>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</si>
  <si>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</si>
  <si>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</si>
  <si>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</si>
  <si>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</si>
  <si>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</si>
  <si>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</si>
  <si>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</si>
  <si>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</si>
  <si>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</si>
  <si>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</si>
  <si>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</si>
  <si>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</si>
  <si>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</si>
  <si>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</si>
  <si>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</si>
  <si>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</si>
  <si>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</si>
  <si>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</si>
  <si>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</si>
  <si>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</si>
  <si>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</si>
  <si>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</si>
  <si>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</si>
  <si>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</si>
  <si>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</si>
  <si>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</si>
  <si>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</si>
  <si>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</si>
  <si>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</si>
  <si>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</si>
  <si>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</si>
  <si>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</si>
  <si>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</si>
  <si>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</si>
  <si>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</si>
  <si>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</si>
  <si>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</si>
  <si>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</si>
  <si>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</si>
  <si>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</si>
  <si>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</si>
  <si>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</si>
  <si>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</si>
  <si>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</si>
  <si>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</si>
  <si>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</si>
  <si>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</si>
  <si>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</si>
  <si>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</si>
  <si>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</si>
  <si>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</si>
  <si>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</si>
  <si>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</si>
  <si>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</si>
  <si>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</si>
  <si>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</si>
  <si>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</si>
  <si>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</si>
  <si>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</si>
  <si>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</si>
  <si>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</si>
  <si>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</si>
  <si>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</si>
  <si>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</si>
  <si>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</si>
  <si>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</si>
  <si>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</si>
  <si>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</si>
  <si>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</si>
  <si>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</si>
  <si>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</si>
  <si>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</si>
  <si>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</si>
  <si>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</si>
  <si>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</si>
  <si>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</si>
  <si>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</si>
  <si>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</si>
  <si>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</si>
  <si>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</si>
  <si>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</si>
  <si>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</si>
  <si>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</si>
  <si>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</si>
  <si>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</si>
  <si>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</si>
  <si>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</si>
  <si>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</si>
  <si>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</si>
  <si>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</si>
  <si>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</si>
  <si>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</si>
  <si>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</si>
  <si>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</si>
  <si>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</si>
  <si>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</si>
  <si>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</si>
  <si>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</si>
  <si>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</si>
  <si>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</si>
  <si>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</si>
  <si>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</si>
  <si>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</si>
  <si>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</si>
  <si>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</si>
  <si>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</si>
  <si>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</si>
  <si>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</si>
  <si>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</si>
  <si>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</si>
  <si>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</si>
  <si>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</si>
  <si>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</si>
  <si>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</si>
  <si>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</si>
  <si>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</si>
  <si>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</si>
  <si>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</si>
  <si>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</si>
  <si>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</si>
  <si>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</si>
  <si>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</si>
  <si>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</si>
  <si>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</si>
  <si>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</si>
  <si>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</si>
  <si>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</si>
  <si>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</si>
  <si>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</si>
  <si>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</si>
  <si>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</si>
  <si>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</si>
  <si>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</si>
  <si>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</si>
  <si>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</si>
  <si>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</si>
  <si>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</si>
  <si>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</si>
  <si>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</si>
  <si>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</si>
  <si>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</si>
  <si>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</si>
  <si>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</si>
  <si>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</si>
  <si>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</si>
  <si>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</si>
  <si>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</si>
  <si>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</si>
  <si>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</si>
  <si>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transferLoss</t>
  </si>
  <si>
    <t>Summary 3. Capacities</t>
  </si>
  <si>
    <t>Baltics</t>
  </si>
  <si>
    <t>Fossils</t>
  </si>
  <si>
    <t>from_country</t>
  </si>
  <si>
    <t>to_country</t>
  </si>
  <si>
    <t>transferCap</t>
  </si>
  <si>
    <t>nodeBalance</t>
  </si>
  <si>
    <t>Black liquor</t>
  </si>
  <si>
    <t>price</t>
  </si>
  <si>
    <t>emission_CO2</t>
  </si>
  <si>
    <t>TYNDP 2026  [4]</t>
  </si>
  <si>
    <t>[4] TYNDP 2026 scenarios consultation package &gt; 1. TSO data reflecting NECPs and national and EU policies\1.4. PEMMDB 2.5 - updated\PEMMDB25_2035_National_Trends</t>
  </si>
  <si>
    <t>Selected values</t>
  </si>
  <si>
    <t>Relevant for reducing UK shortages</t>
  </si>
  <si>
    <t>Relevant for utilizing NO hydro</t>
  </si>
  <si>
    <t>Adding investment candidates not built in DE 2035 scenario to (1) redue UK shortages and (2) increase NO hydro utilization</t>
  </si>
  <si>
    <t>D1 = D2</t>
  </si>
  <si>
    <t>D1=D2</t>
  </si>
  <si>
    <t>Country 1</t>
  </si>
  <si>
    <t>Country 2</t>
  </si>
  <si>
    <t>Omitting connections to SE and FI as they have enough domestic dispatchable capacity themselves</t>
  </si>
  <si>
    <t>Taking DE-DK and equivalent portion of NO-DK as indirrect DE-NO commection</t>
  </si>
  <si>
    <t>Year&lt;=2035 &amp; non-zero use</t>
  </si>
  <si>
    <t>Including connections between UK and all its neighbours.</t>
  </si>
  <si>
    <t>Omitting further connections that might be also relevant</t>
  </si>
  <si>
    <t>Greyed out values duplicate relevant connections</t>
  </si>
  <si>
    <t>New capacities combined</t>
  </si>
  <si>
    <t>From</t>
  </si>
  <si>
    <t>To</t>
  </si>
  <si>
    <t>Ref. grid + relevant or used candidates. Old values if larger</t>
  </si>
  <si>
    <t>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</si>
</sst>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89">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
      <u/>
      <sz val="11"/>
      <color theme="9" tint="-0.499984740745262"/>
      <name val="Calibri"/>
      <family val="2"/>
      <scheme val="minor"/>
    </font>
    <font>
      <sz val="11"/>
      <color theme="9" tint="0.79998168889431442"/>
      <name val="Calibri"/>
      <family val="2"/>
      <scheme val="minor"/>
    </font>
    <font>
      <sz val="11"/>
      <color theme="0" tint="-0.249977111117893"/>
      <name val="Calibri"/>
      <family val="2"/>
    </font>
  </fonts>
  <fills count="15">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s>
  <borders count="4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1" fillId="0" borderId="0"/>
    <xf numFmtId="0" fontId="76" fillId="0" borderId="0"/>
    <xf numFmtId="0" fontId="76" fillId="0" borderId="0"/>
  </cellStyleXfs>
  <cellXfs count="796">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0"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0" fillId="6" borderId="0" xfId="0" applyNumberFormat="1" applyFont="1" applyFill="1"/>
    <xf numFmtId="3" fontId="9" fillId="6" borderId="0" xfId="0" applyNumberFormat="1" applyFont="1" applyFill="1" applyAlignment="1">
      <alignment vertical="top"/>
    </xf>
    <xf numFmtId="0" fontId="71" fillId="10" borderId="0" xfId="9" applyFill="1"/>
    <xf numFmtId="4" fontId="71" fillId="10" borderId="0" xfId="9" applyNumberFormat="1" applyFill="1"/>
    <xf numFmtId="0" fontId="73" fillId="10" borderId="0" xfId="9" applyFont="1" applyFill="1"/>
    <xf numFmtId="0" fontId="73" fillId="10" borderId="0" xfId="9" applyFont="1" applyFill="1" applyAlignment="1">
      <alignment horizontal="center"/>
    </xf>
    <xf numFmtId="3" fontId="52" fillId="6" borderId="2" xfId="0" applyNumberFormat="1" applyFont="1" applyFill="1" applyBorder="1"/>
    <xf numFmtId="0" fontId="74" fillId="2" borderId="8" xfId="0" applyFont="1" applyFill="1" applyBorder="1"/>
    <xf numFmtId="0" fontId="74"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1" fillId="6" borderId="0" xfId="9" applyFill="1"/>
    <xf numFmtId="0" fontId="73" fillId="6" borderId="0" xfId="9" applyFont="1" applyFill="1" applyAlignment="1">
      <alignment horizontal="center"/>
    </xf>
    <xf numFmtId="4" fontId="71"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5" fillId="6" borderId="33" xfId="0" applyNumberFormat="1" applyFont="1" applyFill="1" applyBorder="1"/>
    <xf numFmtId="166" fontId="31" fillId="6" borderId="33" xfId="0" applyNumberFormat="1" applyFont="1" applyFill="1" applyBorder="1"/>
    <xf numFmtId="3" fontId="75" fillId="6" borderId="0" xfId="0" applyNumberFormat="1" applyFont="1" applyFill="1"/>
    <xf numFmtId="166" fontId="31" fillId="6" borderId="0" xfId="0" applyNumberFormat="1" applyFont="1" applyFill="1"/>
    <xf numFmtId="0" fontId="76" fillId="6" borderId="0" xfId="11" applyFill="1"/>
    <xf numFmtId="0" fontId="79" fillId="6" borderId="0" xfId="11" applyFont="1" applyFill="1" applyAlignment="1">
      <alignment horizontal="left"/>
    </xf>
    <xf numFmtId="0" fontId="79" fillId="6" borderId="0" xfId="11" applyFont="1" applyFill="1"/>
    <xf numFmtId="0" fontId="15" fillId="6" borderId="0" xfId="11" applyFont="1" applyFill="1"/>
    <xf numFmtId="0" fontId="17" fillId="6" borderId="0" xfId="11" applyFont="1" applyFill="1"/>
    <xf numFmtId="0" fontId="78" fillId="6" borderId="0" xfId="11" applyFont="1" applyFill="1"/>
    <xf numFmtId="0" fontId="10" fillId="2" borderId="8" xfId="0" applyFont="1" applyFill="1" applyBorder="1"/>
    <xf numFmtId="0" fontId="80" fillId="6" borderId="0" xfId="0" applyFont="1" applyFill="1"/>
    <xf numFmtId="0" fontId="80" fillId="6" borderId="8" xfId="0" applyFont="1" applyFill="1" applyBorder="1"/>
    <xf numFmtId="0" fontId="7" fillId="6" borderId="8" xfId="0" applyFont="1" applyFill="1" applyBorder="1"/>
    <xf numFmtId="0" fontId="77" fillId="12" borderId="19" xfId="10" applyFont="1" applyFill="1" applyBorder="1" applyAlignment="1">
      <alignment wrapText="1"/>
    </xf>
    <xf numFmtId="0" fontId="77" fillId="11" borderId="19" xfId="10" applyFont="1" applyFill="1" applyBorder="1" applyAlignment="1">
      <alignment textRotation="90" wrapText="1"/>
    </xf>
    <xf numFmtId="0" fontId="77" fillId="13" borderId="19" xfId="10" applyFont="1" applyFill="1" applyBorder="1" applyAlignment="1">
      <alignment textRotation="90" wrapText="1"/>
    </xf>
    <xf numFmtId="0" fontId="77" fillId="13" borderId="0" xfId="10" applyFont="1" applyFill="1" applyAlignment="1">
      <alignment textRotation="90" wrapText="1"/>
    </xf>
    <xf numFmtId="0" fontId="72" fillId="2" borderId="45" xfId="9" applyFont="1" applyFill="1" applyBorder="1" applyAlignment="1">
      <alignment horizontal="center" vertical="top"/>
    </xf>
    <xf numFmtId="3" fontId="3" fillId="2" borderId="45" xfId="9" applyNumberFormat="1" applyFont="1" applyFill="1" applyBorder="1"/>
    <xf numFmtId="0" fontId="71" fillId="6" borderId="8" xfId="9" applyFill="1" applyBorder="1"/>
    <xf numFmtId="0" fontId="73" fillId="6" borderId="8" xfId="9" applyFont="1" applyFill="1" applyBorder="1" applyAlignment="1">
      <alignment horizontal="center"/>
    </xf>
    <xf numFmtId="4" fontId="71" fillId="6" borderId="8" xfId="9" applyNumberFormat="1" applyFill="1" applyBorder="1"/>
    <xf numFmtId="0" fontId="71"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0" fontId="52" fillId="6" borderId="8" xfId="0" applyFont="1" applyFill="1" applyBorder="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1" fillId="6" borderId="0" xfId="11" applyFont="1" applyFill="1" applyAlignment="1">
      <alignment horizontal="left"/>
    </xf>
    <xf numFmtId="0" fontId="81" fillId="6" borderId="0" xfId="11" applyFont="1" applyFill="1"/>
    <xf numFmtId="2" fontId="81" fillId="6" borderId="0" xfId="0" applyNumberFormat="1" applyFont="1" applyFill="1"/>
    <xf numFmtId="0" fontId="81" fillId="6" borderId="8" xfId="11" applyFont="1" applyFill="1" applyBorder="1" applyAlignment="1">
      <alignment horizontal="left"/>
    </xf>
    <xf numFmtId="0" fontId="81" fillId="6" borderId="8" xfId="11" applyFont="1" applyFill="1" applyBorder="1"/>
    <xf numFmtId="2" fontId="81" fillId="6" borderId="8" xfId="0" applyNumberFormat="1" applyFont="1" applyFill="1" applyBorder="1"/>
    <xf numFmtId="1" fontId="81" fillId="6" borderId="0" xfId="11" applyNumberFormat="1" applyFont="1" applyFill="1"/>
    <xf numFmtId="0" fontId="82" fillId="6" borderId="0" xfId="11" applyFont="1" applyFill="1"/>
    <xf numFmtId="0" fontId="61" fillId="6" borderId="0" xfId="11" applyFont="1" applyFill="1" applyAlignment="1">
      <alignment horizontal="left"/>
    </xf>
    <xf numFmtId="0" fontId="61" fillId="6" borderId="0" xfId="11" applyFont="1" applyFill="1"/>
    <xf numFmtId="164" fontId="32" fillId="6" borderId="0" xfId="0" applyNumberFormat="1" applyFont="1" applyFill="1"/>
    <xf numFmtId="164" fontId="32" fillId="6" borderId="8" xfId="0" applyNumberFormat="1" applyFont="1" applyFill="1" applyBorder="1"/>
    <xf numFmtId="0" fontId="80" fillId="6" borderId="24" xfId="0" applyFont="1" applyFill="1" applyBorder="1"/>
    <xf numFmtId="0" fontId="7" fillId="6" borderId="24" xfId="0" applyFont="1" applyFill="1" applyBorder="1"/>
    <xf numFmtId="3" fontId="32" fillId="6" borderId="24" xfId="0" applyNumberFormat="1" applyFont="1" applyFill="1" applyBorder="1"/>
    <xf numFmtId="0" fontId="80" fillId="6" borderId="27" xfId="0" applyFont="1" applyFill="1" applyBorder="1"/>
    <xf numFmtId="0" fontId="7" fillId="6" borderId="27" xfId="0" applyFont="1" applyFill="1" applyBorder="1"/>
    <xf numFmtId="9" fontId="52" fillId="6" borderId="0" xfId="3" applyFont="1" applyFill="1"/>
    <xf numFmtId="9" fontId="52" fillId="6" borderId="24" xfId="3" applyFont="1" applyFill="1" applyBorder="1"/>
    <xf numFmtId="9" fontId="52" fillId="6" borderId="27" xfId="3" applyFont="1" applyFill="1" applyBorder="1"/>
    <xf numFmtId="9" fontId="52" fillId="6" borderId="8" xfId="3"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32" fillId="10" borderId="24" xfId="0" applyNumberFormat="1" applyFont="1" applyFill="1" applyBorder="1"/>
    <xf numFmtId="3" fontId="52" fillId="10" borderId="27" xfId="0" applyNumberFormat="1" applyFont="1" applyFill="1" applyBorder="1"/>
    <xf numFmtId="3" fontId="83" fillId="6" borderId="0" xfId="0" applyNumberFormat="1" applyFont="1" applyFill="1"/>
    <xf numFmtId="3" fontId="66" fillId="6" borderId="24" xfId="0" applyNumberFormat="1" applyFont="1" applyFill="1" applyBorder="1"/>
    <xf numFmtId="3" fontId="32" fillId="10" borderId="8" xfId="0" applyNumberFormat="1" applyFont="1" applyFill="1" applyBorder="1"/>
    <xf numFmtId="0" fontId="0" fillId="10" borderId="47" xfId="0" applyFill="1" applyBorder="1"/>
    <xf numFmtId="0" fontId="9" fillId="10" borderId="47" xfId="0" applyFont="1" applyFill="1" applyBorder="1"/>
    <xf numFmtId="3" fontId="0" fillId="10" borderId="47" xfId="0" applyNumberFormat="1" applyFill="1" applyBorder="1"/>
    <xf numFmtId="3" fontId="52" fillId="6" borderId="47" xfId="0" applyNumberFormat="1" applyFont="1" applyFill="1" applyBorder="1"/>
    <xf numFmtId="3" fontId="52" fillId="10" borderId="47" xfId="0" applyNumberFormat="1" applyFont="1" applyFill="1" applyBorder="1"/>
    <xf numFmtId="0" fontId="0" fillId="4" borderId="0" xfId="0" applyFill="1"/>
    <xf numFmtId="0" fontId="0" fillId="7" borderId="0" xfId="0" applyFill="1"/>
    <xf numFmtId="0" fontId="0" fillId="14" borderId="0" xfId="0" applyFill="1"/>
    <xf numFmtId="0" fontId="84" fillId="6" borderId="0" xfId="11" applyFont="1" applyFill="1"/>
    <xf numFmtId="0" fontId="68" fillId="6" borderId="0" xfId="0" applyFont="1" applyFill="1"/>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9" fillId="6" borderId="19" xfId="0" applyFont="1" applyFill="1" applyBorder="1"/>
    <xf numFmtId="0" fontId="72"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48" xfId="0" applyFont="1" applyFill="1" applyBorder="1" applyAlignment="1">
      <alignment horizontal="center" vertical="top"/>
    </xf>
    <xf numFmtId="3" fontId="0" fillId="6" borderId="18" xfId="0" applyNumberFormat="1" applyFill="1" applyBorder="1"/>
    <xf numFmtId="0" fontId="72"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0" fillId="6" borderId="0" xfId="11" applyFont="1" applyFill="1" applyAlignment="1">
      <alignment horizontal="left"/>
    </xf>
    <xf numFmtId="0" fontId="70" fillId="6" borderId="0" xfId="11" applyFont="1" applyFill="1"/>
    <xf numFmtId="0" fontId="85"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3" fontId="8" fillId="6" borderId="0" xfId="0" applyNumberFormat="1" applyFont="1" applyFill="1"/>
    <xf numFmtId="9" fontId="0" fillId="6" borderId="0" xfId="3" applyFont="1" applyFill="1"/>
    <xf numFmtId="0" fontId="73"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0" fontId="9" fillId="6" borderId="47" xfId="0" applyFont="1" applyFill="1" applyBorder="1"/>
    <xf numFmtId="3" fontId="58" fillId="6" borderId="24" xfId="0" applyNumberFormat="1" applyFont="1" applyFill="1" applyBorder="1" applyAlignment="1">
      <alignment horizontal="right"/>
    </xf>
    <xf numFmtId="166" fontId="1" fillId="5" borderId="0" xfId="0" applyNumberFormat="1" applyFont="1" applyFill="1"/>
    <xf numFmtId="0" fontId="52" fillId="6" borderId="24" xfId="0" applyFont="1" applyFill="1" applyBorder="1"/>
    <xf numFmtId="0" fontId="52" fillId="6" borderId="27" xfId="0" applyFont="1" applyFill="1" applyBorder="1"/>
    <xf numFmtId="0" fontId="52" fillId="6" borderId="47" xfId="0" applyFont="1" applyFill="1" applyBorder="1"/>
    <xf numFmtId="3" fontId="86" fillId="6" borderId="0" xfId="0" applyNumberFormat="1" applyFont="1" applyFill="1"/>
    <xf numFmtId="3" fontId="86" fillId="6" borderId="8" xfId="0" applyNumberFormat="1" applyFont="1" applyFill="1" applyBorder="1"/>
    <xf numFmtId="3" fontId="86" fillId="6" borderId="2" xfId="0" applyNumberFormat="1" applyFont="1" applyFill="1" applyBorder="1"/>
    <xf numFmtId="3" fontId="9" fillId="10" borderId="0" xfId="0" applyNumberFormat="1" applyFont="1" applyFill="1"/>
    <xf numFmtId="166" fontId="52" fillId="10" borderId="0" xfId="0" applyNumberFormat="1" applyFont="1" applyFill="1"/>
    <xf numFmtId="4" fontId="52" fillId="6" borderId="0" xfId="0" applyNumberFormat="1" applyFont="1" applyFill="1"/>
    <xf numFmtId="4" fontId="52" fillId="10" borderId="0" xfId="0" applyNumberFormat="1" applyFont="1" applyFill="1"/>
    <xf numFmtId="3" fontId="79" fillId="6" borderId="0" xfId="11" applyNumberFormat="1" applyFont="1" applyFill="1"/>
    <xf numFmtId="3" fontId="8" fillId="2" borderId="0" xfId="0" applyNumberFormat="1" applyFont="1" applyFill="1"/>
    <xf numFmtId="4" fontId="8" fillId="6" borderId="0" xfId="0" applyNumberFormat="1" applyFont="1" applyFill="1"/>
    <xf numFmtId="3" fontId="87" fillId="6" borderId="0" xfId="0" applyNumberFormat="1" applyFont="1" applyFill="1"/>
    <xf numFmtId="2" fontId="52" fillId="6" borderId="0" xfId="0" applyNumberFormat="1" applyFont="1" applyFill="1"/>
    <xf numFmtId="2" fontId="32" fillId="6" borderId="0" xfId="0" applyNumberFormat="1" applyFont="1" applyFill="1"/>
    <xf numFmtId="2" fontId="52" fillId="6" borderId="8" xfId="0" applyNumberFormat="1" applyFont="1" applyFill="1" applyBorder="1"/>
    <xf numFmtId="3" fontId="0" fillId="3" borderId="0" xfId="0" quotePrefix="1" applyNumberFormat="1" applyFill="1" applyAlignment="1">
      <alignment horizontal="center"/>
    </xf>
    <xf numFmtId="3" fontId="67" fillId="6" borderId="0" xfId="0" applyNumberFormat="1" applyFont="1" applyFill="1"/>
    <xf numFmtId="0" fontId="15" fillId="3" borderId="8" xfId="0" applyFont="1" applyFill="1" applyBorder="1"/>
    <xf numFmtId="0" fontId="15" fillId="3" borderId="8" xfId="0" applyFont="1" applyFill="1" applyBorder="1" applyAlignment="1">
      <alignment horizontal="center"/>
    </xf>
    <xf numFmtId="172" fontId="28" fillId="6" borderId="0" xfId="0" applyNumberFormat="1" applyFont="1" applyFill="1"/>
    <xf numFmtId="172" fontId="28" fillId="6" borderId="8" xfId="0" applyNumberFormat="1" applyFont="1" applyFill="1" applyBorder="1"/>
    <xf numFmtId="3" fontId="88" fillId="6" borderId="0" xfId="0" applyNumberFormat="1" applyFont="1" applyFill="1"/>
    <xf numFmtId="3" fontId="18" fillId="6" borderId="2" xfId="0" applyNumberFormat="1" applyFont="1" applyFill="1" applyBorder="1"/>
    <xf numFmtId="3" fontId="52" fillId="6" borderId="46" xfId="0" applyNumberFormat="1" applyFont="1" applyFill="1" applyBorder="1"/>
    <xf numFmtId="0" fontId="1" fillId="2" borderId="16" xfId="0" applyFont="1" applyFill="1" applyBorder="1"/>
    <xf numFmtId="0" fontId="70" fillId="3" borderId="0" xfId="11" applyFont="1" applyFill="1"/>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3" fontId="0" fillId="6" borderId="0" xfId="0" applyNumberFormat="1" applyFill="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2" borderId="0" xfId="0" applyNumberFormat="1" applyFill="1" applyAlignment="1">
      <alignment horizontal="center"/>
    </xf>
    <xf numFmtId="0" fontId="0" fillId="2" borderId="0" xfId="0"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3" fontId="9" fillId="3" borderId="0" xfId="0" applyNumberFormat="1" applyFont="1" applyFill="1" applyAlignment="1">
      <alignment horizontal="center"/>
    </xf>
    <xf numFmtId="3" fontId="0" fillId="3" borderId="0" xfId="0" applyNumberFormat="1" applyFill="1" applyAlignment="1">
      <alignment horizontal="center"/>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9" fillId="3" borderId="0" xfId="0" applyNumberFormat="1" applyFont="1" applyFill="1" applyAlignment="1">
      <alignment horizontal="left" wrapText="1"/>
    </xf>
    <xf numFmtId="3" fontId="0" fillId="2" borderId="0" xfId="0" applyNumberFormat="1" applyFill="1" applyAlignment="1">
      <alignment horizontal="center" wrapText="1"/>
    </xf>
    <xf numFmtId="3" fontId="0" fillId="9" borderId="0" xfId="0" applyNumberFormat="1" applyFill="1" applyAlignment="1">
      <alignment horizontal="center" vertical="top"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0" fillId="3" borderId="0" xfId="0" applyFill="1" applyAlignment="1">
      <alignment horizontal="center"/>
    </xf>
    <xf numFmtId="0" fontId="3" fillId="5" borderId="0" xfId="0" applyFont="1" applyFill="1" applyAlignment="1">
      <alignment horizontal="left" vertic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64" fillId="5" borderId="0" xfId="0" applyFont="1" applyFill="1" applyAlignment="1">
      <alignment horizontal="left" vertical="center"/>
    </xf>
    <xf numFmtId="0" fontId="9" fillId="6" borderId="0" xfId="0" applyFont="1" applyFill="1" applyAlignment="1">
      <alignment horizontal="center"/>
    </xf>
    <xf numFmtId="166" fontId="0" fillId="3" borderId="0" xfId="0" applyNumberFormat="1" applyFill="1" applyAlignment="1">
      <alignment horizontal="center"/>
    </xf>
    <xf numFmtId="166" fontId="1" fillId="2" borderId="0" xfId="0" applyNumberFormat="1" applyFont="1" applyFill="1" applyAlignment="1">
      <alignment horizontal="left"/>
    </xf>
    <xf numFmtId="37" fontId="0" fillId="3" borderId="0" xfId="0" applyNumberFormat="1" applyFill="1" applyAlignment="1">
      <alignment horizontal="center"/>
    </xf>
    <xf numFmtId="0" fontId="0" fillId="6" borderId="0" xfId="0" applyFill="1" applyAlignment="1">
      <alignment horizontal="center" vertical="center"/>
    </xf>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33">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ont>
        <color rgb="FFC00000"/>
      </font>
      <fill>
        <patternFill>
          <bgColor theme="0"/>
        </patternFill>
      </fill>
    </dxf>
    <dxf>
      <font>
        <color rgb="FFC00000"/>
      </font>
      <fill>
        <patternFill>
          <bgColor theme="0"/>
        </patternFill>
      </fill>
    </dxf>
    <dxf>
      <font>
        <color rgb="FF9C0006"/>
      </font>
      <fill>
        <patternFill>
          <bgColor rgb="FFFFC7CE"/>
        </patternFill>
      </fill>
    </dxf>
    <dxf>
      <font>
        <color rgb="FF9C0006"/>
      </font>
      <fill>
        <patternFill>
          <bgColor rgb="FFFFC7CE"/>
        </patternFill>
      </fill>
    </dxf>
    <dxf>
      <font>
        <color rgb="FF9C0006"/>
      </font>
    </dxf>
    <dxf>
      <font>
        <color theme="0" tint="-4.9989318521683403E-2"/>
      </font>
    </dxf>
    <dxf>
      <font>
        <color theme="0" tint="-0.14996795556505021"/>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6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602485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en-US" sz="1100" b="0" i="1">
                            <a:solidFill>
                              <a:schemeClr val="bg1">
                                <a:lumMod val="50000"/>
                              </a:schemeClr>
                            </a:solidFill>
                            <a:effectLst/>
                            <a:latin typeface="Cambria Math" panose="02040503050406030204" pitchFamily="18" charset="0"/>
                            <a:ea typeface="+mn-ea"/>
                            <a:cs typeface="+mn-cs"/>
                          </a:rPr>
                        </m:ctrlPr>
                      </m:dPr>
                      <m:e>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C16" sqref="C16"/>
    </sheetView>
  </sheetViews>
  <sheetFormatPr defaultColWidth="9.109375" defaultRowHeight="14.4"/>
  <cols>
    <col min="1" max="1" width="11.44140625" style="22" customWidth="1"/>
    <col min="2" max="2" width="27.88671875" style="22" customWidth="1"/>
    <col min="3" max="16" width="9.44140625" style="22" customWidth="1"/>
    <col min="17" max="16384" width="9.109375" style="22"/>
  </cols>
  <sheetData>
    <row r="1" spans="1:16">
      <c r="A1" s="437" t="s">
        <v>537</v>
      </c>
      <c r="B1" s="670" t="s">
        <v>860</v>
      </c>
      <c r="C1" s="670"/>
      <c r="D1" s="670"/>
      <c r="E1" s="670"/>
      <c r="F1" s="670"/>
      <c r="G1" s="670"/>
      <c r="H1" s="670"/>
      <c r="I1" s="670"/>
      <c r="J1" s="670"/>
      <c r="K1" s="670"/>
      <c r="L1" s="670"/>
      <c r="M1" s="670"/>
      <c r="N1" s="670"/>
      <c r="O1" s="670"/>
      <c r="P1" s="670"/>
    </row>
    <row r="2" spans="1:16">
      <c r="A2" s="437"/>
      <c r="B2" s="668" t="s">
        <v>597</v>
      </c>
      <c r="C2" s="668"/>
      <c r="D2" s="668"/>
      <c r="E2" s="668"/>
      <c r="F2" s="668"/>
      <c r="G2" s="668"/>
      <c r="H2" s="668"/>
      <c r="I2" s="668"/>
      <c r="J2" s="668"/>
      <c r="K2" s="668"/>
      <c r="L2" s="668"/>
      <c r="M2" s="668"/>
      <c r="N2" s="668"/>
      <c r="O2" s="668"/>
      <c r="P2" s="668"/>
    </row>
    <row r="3" spans="1:16">
      <c r="A3" s="437"/>
      <c r="B3" s="668" t="s">
        <v>660</v>
      </c>
      <c r="C3" s="668"/>
      <c r="D3" s="668"/>
      <c r="E3" s="668"/>
      <c r="F3" s="668"/>
      <c r="G3" s="668"/>
      <c r="H3" s="668"/>
      <c r="I3" s="668"/>
      <c r="J3" s="668"/>
      <c r="K3" s="668"/>
      <c r="L3" s="668"/>
      <c r="M3" s="668"/>
      <c r="N3" s="668"/>
      <c r="O3" s="668"/>
      <c r="P3" s="668"/>
    </row>
    <row r="4" spans="1:16">
      <c r="A4" s="681" t="s">
        <v>861</v>
      </c>
      <c r="B4" s="682" t="s">
        <v>862</v>
      </c>
      <c r="C4" s="40"/>
      <c r="D4" s="40"/>
      <c r="E4" s="40"/>
      <c r="F4" s="40"/>
      <c r="G4" s="40"/>
      <c r="H4" s="40"/>
      <c r="I4" s="40"/>
      <c r="J4" s="40"/>
      <c r="K4" s="40"/>
      <c r="L4" s="40"/>
      <c r="M4" s="40"/>
      <c r="N4" s="40"/>
      <c r="O4" s="40"/>
      <c r="P4" s="40"/>
    </row>
    <row r="5" spans="1:16">
      <c r="A5" s="681" t="s">
        <v>538</v>
      </c>
      <c r="B5" s="682" t="s">
        <v>539</v>
      </c>
      <c r="C5" s="40"/>
      <c r="D5" s="40"/>
      <c r="E5" s="40"/>
      <c r="F5" s="40"/>
      <c r="G5" s="40"/>
      <c r="H5" s="40"/>
      <c r="I5" s="40"/>
      <c r="J5" s="40"/>
      <c r="K5" s="40"/>
      <c r="L5" s="40"/>
      <c r="M5" s="40"/>
      <c r="N5" s="40"/>
      <c r="O5" s="40"/>
      <c r="P5" s="40"/>
    </row>
    <row r="6" spans="1:16">
      <c r="A6" s="681" t="s">
        <v>659</v>
      </c>
      <c r="B6" s="683">
        <v>45820</v>
      </c>
      <c r="C6" s="40"/>
      <c r="D6" s="40"/>
      <c r="E6" s="40"/>
      <c r="F6" s="40"/>
      <c r="G6" s="40"/>
      <c r="H6" s="40"/>
      <c r="I6" s="40"/>
      <c r="J6" s="40"/>
      <c r="K6" s="40"/>
      <c r="L6" s="40"/>
      <c r="M6" s="40"/>
      <c r="N6" s="40"/>
      <c r="O6" s="40"/>
      <c r="P6" s="40"/>
    </row>
    <row r="8" spans="1:16">
      <c r="A8" s="686" t="s">
        <v>870</v>
      </c>
      <c r="B8" s="669"/>
      <c r="C8" s="669"/>
      <c r="D8" s="669"/>
      <c r="E8" s="669"/>
      <c r="F8" s="669"/>
      <c r="G8" s="669"/>
      <c r="H8" s="669"/>
      <c r="I8" s="669"/>
      <c r="J8" s="669"/>
      <c r="K8" s="669"/>
      <c r="L8" s="669"/>
      <c r="M8" s="669"/>
      <c r="N8" s="669"/>
      <c r="O8" s="669"/>
      <c r="P8" s="669"/>
    </row>
    <row r="9" spans="1:16">
      <c r="A9" s="669" t="s">
        <v>868</v>
      </c>
      <c r="B9" s="669" t="s">
        <v>869</v>
      </c>
      <c r="C9" s="669"/>
      <c r="D9" s="669"/>
      <c r="E9" s="669"/>
      <c r="F9" s="669"/>
      <c r="G9" s="669"/>
      <c r="H9" s="669"/>
      <c r="I9" s="669"/>
      <c r="J9" s="669"/>
      <c r="K9" s="669"/>
      <c r="L9" s="669"/>
      <c r="M9" s="669"/>
      <c r="N9" s="669"/>
      <c r="O9" s="669"/>
      <c r="P9" s="669"/>
    </row>
    <row r="10" spans="1:16">
      <c r="A10" s="669" t="s">
        <v>166</v>
      </c>
      <c r="B10" s="669" t="s">
        <v>872</v>
      </c>
      <c r="C10" s="669"/>
      <c r="D10" s="669"/>
      <c r="E10" s="669"/>
      <c r="F10" s="669"/>
      <c r="G10" s="669"/>
      <c r="H10" s="669"/>
      <c r="I10" s="669"/>
      <c r="J10" s="669"/>
      <c r="K10" s="669"/>
      <c r="L10" s="669"/>
      <c r="M10" s="669"/>
      <c r="N10" s="669"/>
      <c r="O10" s="669"/>
      <c r="P10" s="669"/>
    </row>
    <row r="11" spans="1:16">
      <c r="A11" s="669"/>
      <c r="B11" s="669" t="s">
        <v>873</v>
      </c>
      <c r="C11" s="669"/>
      <c r="D11" s="669"/>
      <c r="E11" s="669"/>
      <c r="F11" s="669"/>
      <c r="G11" s="669"/>
      <c r="H11" s="669"/>
      <c r="I11" s="669"/>
      <c r="J11" s="669"/>
      <c r="K11" s="669"/>
      <c r="L11" s="669"/>
      <c r="M11" s="669"/>
      <c r="N11" s="669"/>
      <c r="O11" s="669"/>
      <c r="P11" s="669"/>
    </row>
    <row r="12" spans="1:16">
      <c r="A12" s="669" t="s">
        <v>871</v>
      </c>
      <c r="B12" s="669"/>
      <c r="C12" s="669"/>
      <c r="D12" s="669"/>
      <c r="E12" s="669"/>
      <c r="F12" s="669"/>
      <c r="G12" s="669"/>
      <c r="H12" s="669"/>
      <c r="I12" s="669"/>
      <c r="J12" s="669"/>
      <c r="K12" s="669"/>
      <c r="L12" s="669"/>
      <c r="M12" s="669"/>
      <c r="N12" s="669"/>
      <c r="O12" s="669"/>
      <c r="P12" s="669"/>
    </row>
    <row r="13" spans="1:16">
      <c r="A13" s="669"/>
      <c r="B13" s="669" t="s">
        <v>874</v>
      </c>
      <c r="C13" s="669" t="s">
        <v>912</v>
      </c>
      <c r="D13" s="669"/>
      <c r="E13" s="669"/>
      <c r="F13" s="669"/>
      <c r="G13" s="669"/>
      <c r="H13" s="669"/>
      <c r="I13" s="669"/>
      <c r="J13" s="669"/>
      <c r="K13" s="669"/>
      <c r="L13" s="669"/>
      <c r="M13" s="669"/>
      <c r="N13" s="669"/>
      <c r="O13" s="669"/>
      <c r="P13" s="669"/>
    </row>
    <row r="14" spans="1:16">
      <c r="A14" s="669"/>
      <c r="B14" s="669" t="s">
        <v>875</v>
      </c>
      <c r="C14" s="669" t="s">
        <v>908</v>
      </c>
      <c r="D14" s="669"/>
      <c r="E14" s="669"/>
      <c r="F14" s="669"/>
      <c r="G14" s="669"/>
      <c r="H14" s="669"/>
      <c r="I14" s="669"/>
      <c r="J14" s="669"/>
      <c r="K14" s="669"/>
      <c r="L14" s="669"/>
      <c r="M14" s="669"/>
      <c r="N14" s="669"/>
      <c r="O14" s="669"/>
      <c r="P14" s="669"/>
    </row>
    <row r="15" spans="1:16">
      <c r="A15" s="669"/>
      <c r="B15" s="669" t="s">
        <v>907</v>
      </c>
      <c r="C15" s="669" t="s">
        <v>915</v>
      </c>
      <c r="D15" s="669"/>
      <c r="E15" s="669"/>
      <c r="F15" s="669"/>
      <c r="G15" s="669"/>
      <c r="H15" s="669"/>
      <c r="I15" s="669"/>
      <c r="J15" s="669"/>
      <c r="K15" s="669"/>
      <c r="L15" s="669"/>
      <c r="M15" s="669"/>
      <c r="N15" s="669"/>
      <c r="O15" s="669"/>
      <c r="P15" s="669"/>
    </row>
    <row r="16" spans="1:16">
      <c r="A16" s="669"/>
      <c r="B16" s="669" t="s">
        <v>914</v>
      </c>
      <c r="C16" s="669" t="s">
        <v>913</v>
      </c>
      <c r="D16" s="669"/>
      <c r="E16" s="669"/>
      <c r="F16" s="669"/>
      <c r="G16" s="669"/>
      <c r="H16" s="669"/>
      <c r="I16" s="669"/>
      <c r="J16" s="669"/>
      <c r="K16" s="669"/>
      <c r="L16" s="669"/>
      <c r="M16" s="669"/>
      <c r="N16" s="669"/>
      <c r="O16" s="669"/>
      <c r="P16" s="669"/>
    </row>
    <row r="17" spans="1:16">
      <c r="A17" s="704" t="s">
        <v>542</v>
      </c>
      <c r="B17" s="669" t="s">
        <v>894</v>
      </c>
      <c r="C17" s="669"/>
      <c r="D17" s="669"/>
      <c r="E17" s="669"/>
      <c r="F17" s="669"/>
      <c r="G17" s="669"/>
      <c r="H17" s="669"/>
      <c r="I17" s="669"/>
      <c r="J17" s="669"/>
      <c r="K17" s="669"/>
      <c r="L17" s="669"/>
      <c r="M17" s="669"/>
      <c r="N17" s="669"/>
      <c r="O17" s="669"/>
      <c r="P17" s="669"/>
    </row>
    <row r="18" spans="1:16">
      <c r="A18" s="669"/>
      <c r="B18" s="669" t="s">
        <v>895</v>
      </c>
      <c r="C18" s="669"/>
      <c r="D18" s="669"/>
      <c r="E18" s="669"/>
      <c r="F18" s="669"/>
      <c r="G18" s="669"/>
      <c r="H18" s="669"/>
      <c r="I18" s="669"/>
      <c r="J18" s="669"/>
      <c r="K18" s="669"/>
      <c r="L18" s="669"/>
      <c r="M18" s="669"/>
      <c r="N18" s="669"/>
      <c r="O18" s="669"/>
      <c r="P18" s="669"/>
    </row>
    <row r="19" spans="1:16">
      <c r="A19" s="669"/>
      <c r="B19" s="669" t="s">
        <v>896</v>
      </c>
      <c r="C19" s="669"/>
      <c r="D19" s="669"/>
      <c r="E19" s="669"/>
      <c r="F19" s="669"/>
      <c r="G19" s="669"/>
      <c r="H19" s="669"/>
      <c r="I19" s="669"/>
      <c r="J19" s="669"/>
      <c r="K19" s="669"/>
      <c r="L19" s="669"/>
      <c r="M19" s="669"/>
      <c r="N19" s="669"/>
      <c r="O19" s="669"/>
      <c r="P19" s="669"/>
    </row>
    <row r="20" spans="1:16">
      <c r="A20" s="669"/>
      <c r="B20" s="669" t="s">
        <v>897</v>
      </c>
      <c r="C20" s="669"/>
      <c r="D20" s="669"/>
      <c r="E20" s="669"/>
      <c r="F20" s="669"/>
      <c r="G20" s="669"/>
      <c r="H20" s="669"/>
      <c r="I20" s="669"/>
      <c r="J20" s="669"/>
      <c r="K20" s="669"/>
      <c r="L20" s="669"/>
      <c r="M20" s="669"/>
      <c r="N20" s="669"/>
      <c r="O20" s="669"/>
      <c r="P20" s="669"/>
    </row>
    <row r="21" spans="1:16">
      <c r="A21" s="669"/>
      <c r="B21" s="669" t="s">
        <v>898</v>
      </c>
      <c r="C21" s="669"/>
      <c r="D21" s="669"/>
      <c r="E21" s="669"/>
      <c r="F21" s="669"/>
      <c r="G21" s="669"/>
      <c r="H21" s="669"/>
      <c r="I21" s="669"/>
      <c r="J21" s="669"/>
      <c r="K21" s="669"/>
      <c r="L21" s="669"/>
      <c r="M21" s="669"/>
      <c r="N21" s="669"/>
      <c r="O21" s="669"/>
      <c r="P21" s="669"/>
    </row>
    <row r="23" spans="1:16">
      <c r="A23" s="673" t="s">
        <v>609</v>
      </c>
      <c r="B23" s="668"/>
      <c r="C23" s="668"/>
      <c r="D23" s="668"/>
      <c r="E23" s="668"/>
      <c r="F23" s="668"/>
      <c r="G23" s="668"/>
      <c r="H23" s="668"/>
      <c r="I23" s="668"/>
      <c r="J23" s="668"/>
      <c r="K23" s="668"/>
      <c r="L23" s="668"/>
      <c r="M23" s="668"/>
      <c r="N23" s="668"/>
      <c r="O23" s="668"/>
      <c r="P23" s="668"/>
    </row>
    <row r="24" spans="1:16" ht="15" customHeight="1">
      <c r="A24" s="668"/>
      <c r="B24" s="668" t="s">
        <v>541</v>
      </c>
      <c r="C24" s="674" t="s">
        <v>540</v>
      </c>
      <c r="D24" s="668"/>
      <c r="E24" s="668"/>
      <c r="F24" s="668"/>
      <c r="G24" s="668"/>
      <c r="H24" s="668"/>
      <c r="I24" s="668"/>
      <c r="J24" s="668"/>
      <c r="K24" s="668"/>
      <c r="L24" s="668"/>
      <c r="M24" s="668"/>
      <c r="N24" s="668"/>
      <c r="O24" s="668"/>
      <c r="P24" s="668"/>
    </row>
    <row r="25" spans="1:16">
      <c r="A25" s="675"/>
      <c r="B25" s="668"/>
      <c r="C25" s="674" t="s">
        <v>572</v>
      </c>
      <c r="D25" s="668"/>
      <c r="E25" s="668"/>
      <c r="F25" s="668"/>
      <c r="G25" s="668"/>
      <c r="H25" s="668"/>
      <c r="I25" s="668"/>
      <c r="J25" s="668"/>
      <c r="K25" s="668"/>
      <c r="L25" s="668"/>
      <c r="M25" s="668"/>
      <c r="N25" s="668"/>
      <c r="O25" s="668"/>
      <c r="P25" s="668"/>
    </row>
    <row r="26" spans="1:16">
      <c r="A26" s="675"/>
      <c r="B26" s="668"/>
      <c r="C26" s="674" t="s">
        <v>560</v>
      </c>
      <c r="D26" s="668"/>
      <c r="E26" s="668"/>
      <c r="F26" s="668"/>
      <c r="G26" s="668"/>
      <c r="H26" s="668"/>
      <c r="I26" s="668"/>
      <c r="J26" s="668"/>
      <c r="K26" s="668"/>
      <c r="L26" s="668"/>
      <c r="M26" s="668"/>
      <c r="N26" s="668"/>
      <c r="O26" s="668"/>
      <c r="P26" s="668"/>
    </row>
    <row r="27" spans="1:16">
      <c r="A27" s="675"/>
      <c r="B27" s="668" t="s">
        <v>542</v>
      </c>
      <c r="C27" s="674" t="s">
        <v>561</v>
      </c>
      <c r="D27" s="668"/>
      <c r="E27" s="668"/>
      <c r="F27" s="668"/>
      <c r="G27" s="668"/>
      <c r="H27" s="668"/>
      <c r="I27" s="668"/>
      <c r="J27" s="668"/>
      <c r="K27" s="668"/>
      <c r="L27" s="668"/>
      <c r="M27" s="668"/>
      <c r="N27" s="668"/>
      <c r="O27" s="668"/>
      <c r="P27" s="668"/>
    </row>
    <row r="28" spans="1:16">
      <c r="A28" s="668" t="s">
        <v>547</v>
      </c>
      <c r="B28" s="668"/>
      <c r="C28" s="668"/>
      <c r="D28" s="668"/>
      <c r="E28" s="668"/>
      <c r="F28" s="668"/>
      <c r="G28" s="668"/>
      <c r="H28" s="668"/>
      <c r="I28" s="668"/>
      <c r="J28" s="668"/>
      <c r="K28" s="668"/>
      <c r="L28" s="668"/>
      <c r="M28" s="668"/>
      <c r="N28" s="668"/>
      <c r="O28" s="668"/>
      <c r="P28" s="668"/>
    </row>
    <row r="29" spans="1:16">
      <c r="A29" s="668"/>
      <c r="B29" s="668" t="s">
        <v>654</v>
      </c>
      <c r="C29" s="676" t="s">
        <v>653</v>
      </c>
      <c r="D29" s="668"/>
      <c r="E29" s="668"/>
      <c r="F29" s="668"/>
      <c r="G29" s="668"/>
      <c r="H29" s="668"/>
      <c r="I29" s="668"/>
      <c r="J29" s="668"/>
      <c r="K29" s="668"/>
      <c r="L29" s="668"/>
      <c r="M29" s="668"/>
      <c r="N29" s="668"/>
      <c r="O29" s="668"/>
      <c r="P29" s="668"/>
    </row>
    <row r="30" spans="1:16">
      <c r="A30" s="668"/>
      <c r="B30" s="668"/>
      <c r="C30" s="677" t="s">
        <v>876</v>
      </c>
      <c r="D30" s="668"/>
      <c r="E30" s="668"/>
      <c r="F30" s="668"/>
      <c r="G30" s="668"/>
      <c r="H30" s="668"/>
      <c r="I30" s="668"/>
      <c r="J30" s="668"/>
      <c r="K30" s="668"/>
      <c r="L30" s="668"/>
      <c r="M30" s="668"/>
      <c r="N30" s="668"/>
      <c r="O30" s="668"/>
      <c r="P30" s="668"/>
    </row>
    <row r="31" spans="1:16">
      <c r="A31" s="668"/>
      <c r="B31" s="668" t="s">
        <v>543</v>
      </c>
      <c r="C31" s="674" t="s">
        <v>877</v>
      </c>
      <c r="D31" s="668"/>
      <c r="E31" s="668"/>
      <c r="F31" s="668"/>
      <c r="G31" s="668"/>
      <c r="H31" s="668"/>
      <c r="I31" s="668"/>
      <c r="J31" s="668"/>
      <c r="K31" s="668"/>
      <c r="L31" s="668"/>
      <c r="M31" s="668"/>
      <c r="N31" s="668"/>
      <c r="O31" s="668"/>
      <c r="P31" s="668"/>
    </row>
    <row r="32" spans="1:16">
      <c r="A32" s="668"/>
      <c r="B32" s="668" t="s">
        <v>580</v>
      </c>
      <c r="C32" s="674" t="s">
        <v>593</v>
      </c>
      <c r="D32" s="668"/>
      <c r="E32" s="668"/>
      <c r="F32" s="668"/>
      <c r="G32" s="668"/>
      <c r="H32" s="668"/>
      <c r="I32" s="668"/>
      <c r="J32" s="668"/>
      <c r="K32" s="668"/>
      <c r="L32" s="668"/>
      <c r="M32" s="668"/>
      <c r="N32" s="668"/>
      <c r="O32" s="668"/>
      <c r="P32" s="668"/>
    </row>
    <row r="33" spans="1:16">
      <c r="A33" s="668"/>
      <c r="B33" s="678" t="s">
        <v>581</v>
      </c>
      <c r="C33" s="674" t="s">
        <v>655</v>
      </c>
      <c r="D33" s="668"/>
      <c r="E33" s="668"/>
      <c r="F33" s="668"/>
      <c r="G33" s="668"/>
      <c r="H33" s="668"/>
      <c r="I33" s="668"/>
      <c r="J33" s="668"/>
      <c r="K33" s="668"/>
      <c r="L33" s="668"/>
      <c r="M33" s="668"/>
      <c r="N33" s="668"/>
      <c r="O33" s="668"/>
      <c r="P33" s="668"/>
    </row>
    <row r="34" spans="1:16">
      <c r="A34" s="679" t="s">
        <v>281</v>
      </c>
      <c r="B34" s="678" t="s">
        <v>574</v>
      </c>
      <c r="C34" s="674" t="s">
        <v>571</v>
      </c>
      <c r="D34" s="668"/>
      <c r="E34" s="668"/>
      <c r="F34" s="668"/>
      <c r="G34" s="668"/>
      <c r="H34" s="668"/>
      <c r="I34" s="668"/>
      <c r="J34" s="668"/>
      <c r="K34" s="668"/>
      <c r="L34" s="668"/>
      <c r="M34" s="668"/>
      <c r="N34" s="668"/>
      <c r="O34" s="668"/>
      <c r="P34" s="668"/>
    </row>
    <row r="35" spans="1:16">
      <c r="A35" s="679"/>
      <c r="B35" s="678" t="s">
        <v>575</v>
      </c>
      <c r="C35" s="674" t="s">
        <v>573</v>
      </c>
      <c r="D35" s="668"/>
      <c r="E35" s="668"/>
      <c r="F35" s="668"/>
      <c r="G35" s="668"/>
      <c r="H35" s="668"/>
      <c r="I35" s="668"/>
      <c r="J35" s="668"/>
      <c r="K35" s="668"/>
      <c r="L35" s="668"/>
      <c r="M35" s="668"/>
      <c r="N35" s="668"/>
      <c r="O35" s="668"/>
      <c r="P35" s="668"/>
    </row>
    <row r="37" spans="1:16">
      <c r="A37" s="668" t="s">
        <v>548</v>
      </c>
      <c r="B37" s="668"/>
      <c r="C37" s="668"/>
      <c r="D37" s="668"/>
      <c r="E37" s="668"/>
      <c r="F37" s="668"/>
      <c r="G37" s="668"/>
      <c r="H37" s="668"/>
      <c r="I37" s="668"/>
      <c r="J37" s="668"/>
      <c r="K37" s="668"/>
      <c r="L37" s="668"/>
      <c r="M37" s="668"/>
      <c r="N37" s="668"/>
      <c r="O37" s="668"/>
      <c r="P37" s="668"/>
    </row>
    <row r="38" spans="1:16">
      <c r="A38" s="668" t="s">
        <v>549</v>
      </c>
      <c r="B38" s="668" t="s">
        <v>550</v>
      </c>
      <c r="C38" s="668"/>
      <c r="D38" s="668"/>
      <c r="E38" s="668"/>
      <c r="F38" s="668"/>
      <c r="G38" s="668"/>
      <c r="H38" s="668"/>
      <c r="I38" s="668"/>
      <c r="J38" s="668"/>
      <c r="K38" s="668"/>
      <c r="L38" s="668"/>
      <c r="M38" s="668"/>
      <c r="N38" s="668"/>
      <c r="O38" s="668"/>
      <c r="P38" s="668"/>
    </row>
    <row r="39" spans="1:16">
      <c r="A39" s="668" t="s">
        <v>551</v>
      </c>
      <c r="B39" s="668"/>
      <c r="C39" s="668"/>
      <c r="D39" s="668"/>
      <c r="E39" s="668"/>
      <c r="F39" s="668"/>
      <c r="G39" s="668"/>
      <c r="H39" s="668"/>
      <c r="I39" s="668"/>
      <c r="J39" s="668"/>
      <c r="K39" s="668"/>
      <c r="L39" s="668"/>
      <c r="M39" s="668"/>
      <c r="N39" s="668"/>
      <c r="O39" s="668"/>
      <c r="P39" s="668"/>
    </row>
    <row r="40" spans="1:16">
      <c r="A40" s="668"/>
      <c r="B40" s="668" t="s">
        <v>552</v>
      </c>
      <c r="C40" s="668" t="s">
        <v>858</v>
      </c>
      <c r="D40" s="668"/>
      <c r="E40" s="668"/>
      <c r="F40" s="668"/>
      <c r="G40" s="668"/>
      <c r="H40" s="668"/>
      <c r="I40" s="668"/>
      <c r="J40" s="668"/>
      <c r="K40" s="668"/>
      <c r="L40" s="668"/>
      <c r="M40" s="668"/>
      <c r="N40" s="668"/>
      <c r="O40" s="668"/>
      <c r="P40" s="668"/>
    </row>
    <row r="41" spans="1:16">
      <c r="A41" s="668"/>
      <c r="B41" s="668" t="s">
        <v>553</v>
      </c>
      <c r="C41" s="668" t="s">
        <v>557</v>
      </c>
      <c r="D41" s="668"/>
      <c r="E41" s="668"/>
      <c r="F41" s="668"/>
      <c r="G41" s="668"/>
      <c r="H41" s="668"/>
      <c r="I41" s="668"/>
      <c r="J41" s="668"/>
      <c r="K41" s="668"/>
      <c r="L41" s="668"/>
      <c r="M41" s="668"/>
      <c r="N41" s="668"/>
      <c r="O41" s="668"/>
      <c r="P41" s="668"/>
    </row>
    <row r="42" spans="1:16">
      <c r="A42" s="668"/>
      <c r="B42" s="668" t="s">
        <v>554</v>
      </c>
      <c r="C42" s="668" t="s">
        <v>558</v>
      </c>
      <c r="D42" s="668"/>
      <c r="E42" s="668"/>
      <c r="F42" s="668"/>
      <c r="G42" s="668"/>
      <c r="H42" s="668"/>
      <c r="I42" s="668"/>
      <c r="J42" s="668"/>
      <c r="K42" s="668"/>
      <c r="L42" s="668"/>
      <c r="M42" s="668"/>
      <c r="N42" s="668"/>
      <c r="O42" s="668"/>
      <c r="P42" s="668"/>
    </row>
    <row r="43" spans="1:16">
      <c r="A43" s="668"/>
      <c r="B43" s="668" t="s">
        <v>559</v>
      </c>
      <c r="C43" s="668"/>
      <c r="D43" s="668"/>
      <c r="E43" s="668"/>
      <c r="F43" s="668"/>
      <c r="G43" s="668"/>
      <c r="H43" s="668"/>
      <c r="I43" s="668"/>
      <c r="J43" s="668"/>
      <c r="K43" s="668"/>
      <c r="L43" s="668"/>
      <c r="M43" s="668"/>
      <c r="N43" s="668"/>
      <c r="O43" s="668"/>
      <c r="P43" s="668"/>
    </row>
    <row r="44" spans="1:16">
      <c r="A44" s="668" t="s">
        <v>555</v>
      </c>
      <c r="B44" s="668"/>
      <c r="C44" s="668"/>
      <c r="D44" s="668"/>
      <c r="E44" s="668"/>
      <c r="F44" s="668"/>
      <c r="G44" s="668"/>
      <c r="H44" s="668"/>
      <c r="I44" s="668"/>
      <c r="J44" s="668"/>
      <c r="K44" s="668"/>
      <c r="L44" s="668"/>
      <c r="M44" s="668"/>
      <c r="N44" s="668"/>
      <c r="O44" s="668"/>
      <c r="P44" s="668"/>
    </row>
    <row r="45" spans="1:16">
      <c r="A45" s="668"/>
      <c r="B45" s="668" t="s">
        <v>552</v>
      </c>
      <c r="C45" s="668" t="s">
        <v>556</v>
      </c>
      <c r="D45" s="668"/>
      <c r="E45" s="668"/>
      <c r="F45" s="668"/>
      <c r="G45" s="668"/>
      <c r="H45" s="668"/>
      <c r="I45" s="668"/>
      <c r="J45" s="668"/>
      <c r="K45" s="668"/>
      <c r="L45" s="668"/>
      <c r="M45" s="668"/>
      <c r="N45" s="668"/>
      <c r="O45" s="668"/>
      <c r="P45" s="668"/>
    </row>
    <row r="46" spans="1:16">
      <c r="A46" s="668"/>
      <c r="B46" s="668" t="s">
        <v>554</v>
      </c>
      <c r="C46" s="744" t="s">
        <v>562</v>
      </c>
      <c r="D46" s="744"/>
      <c r="E46" s="744"/>
      <c r="F46" s="744"/>
      <c r="G46" s="744"/>
      <c r="H46" s="744"/>
      <c r="I46" s="744"/>
      <c r="J46" s="744"/>
      <c r="K46" s="744"/>
      <c r="L46" s="744"/>
      <c r="M46" s="744"/>
      <c r="N46" s="744"/>
      <c r="O46" s="744"/>
      <c r="P46" s="744"/>
    </row>
    <row r="47" spans="1:16">
      <c r="A47" s="668"/>
      <c r="B47" s="668"/>
      <c r="C47" s="744"/>
      <c r="D47" s="744"/>
      <c r="E47" s="744"/>
      <c r="F47" s="744"/>
      <c r="G47" s="744"/>
      <c r="H47" s="744"/>
      <c r="I47" s="744"/>
      <c r="J47" s="744"/>
      <c r="K47" s="744"/>
      <c r="L47" s="744"/>
      <c r="M47" s="744"/>
      <c r="N47" s="744"/>
      <c r="O47" s="744"/>
      <c r="P47" s="744"/>
    </row>
    <row r="48" spans="1:16">
      <c r="A48" s="668"/>
      <c r="B48" s="668"/>
      <c r="C48" s="744"/>
      <c r="D48" s="744"/>
      <c r="E48" s="744"/>
      <c r="F48" s="744"/>
      <c r="G48" s="744"/>
      <c r="H48" s="744"/>
      <c r="I48" s="744"/>
      <c r="J48" s="744"/>
      <c r="K48" s="744"/>
      <c r="L48" s="744"/>
      <c r="M48" s="744"/>
      <c r="N48" s="744"/>
      <c r="O48" s="744"/>
      <c r="P48" s="744"/>
    </row>
    <row r="49" spans="1:16">
      <c r="A49" s="668" t="s">
        <v>563</v>
      </c>
      <c r="B49" s="668"/>
      <c r="C49" s="680"/>
      <c r="D49" s="680"/>
      <c r="E49" s="680"/>
      <c r="F49" s="680"/>
      <c r="G49" s="680"/>
      <c r="H49" s="680"/>
      <c r="I49" s="680"/>
      <c r="J49" s="680"/>
      <c r="K49" s="680"/>
      <c r="L49" s="680"/>
      <c r="M49" s="680"/>
      <c r="N49" s="680"/>
      <c r="O49" s="680"/>
      <c r="P49" s="680"/>
    </row>
    <row r="50" spans="1:16">
      <c r="A50" s="668"/>
      <c r="B50" s="668" t="s">
        <v>429</v>
      </c>
      <c r="C50" s="680"/>
      <c r="D50" s="680"/>
      <c r="E50" s="680"/>
      <c r="F50" s="680"/>
      <c r="G50" s="680"/>
      <c r="H50" s="680"/>
      <c r="I50" s="680"/>
      <c r="J50" s="680"/>
      <c r="K50" s="680"/>
      <c r="L50" s="680"/>
      <c r="M50" s="680"/>
      <c r="N50" s="680"/>
      <c r="O50" s="680"/>
      <c r="P50" s="680"/>
    </row>
    <row r="51" spans="1:16">
      <c r="A51" s="668" t="s">
        <v>564</v>
      </c>
      <c r="B51" s="668" t="s">
        <v>565</v>
      </c>
      <c r="C51" s="680"/>
      <c r="D51" s="680"/>
      <c r="E51" s="680"/>
      <c r="F51" s="680"/>
      <c r="G51" s="680"/>
      <c r="H51" s="680"/>
      <c r="I51" s="680"/>
      <c r="J51" s="680"/>
      <c r="K51" s="680"/>
      <c r="L51" s="680"/>
      <c r="M51" s="680"/>
      <c r="N51" s="680"/>
      <c r="O51" s="680"/>
      <c r="P51" s="680"/>
    </row>
    <row r="52" spans="1:16">
      <c r="C52" s="309"/>
      <c r="D52" s="309"/>
      <c r="E52" s="309"/>
      <c r="F52" s="309"/>
      <c r="G52" s="309"/>
      <c r="H52" s="309"/>
      <c r="I52" s="309"/>
      <c r="J52" s="309"/>
      <c r="K52" s="309"/>
      <c r="L52" s="309"/>
      <c r="M52" s="309"/>
      <c r="N52" s="309"/>
      <c r="O52" s="309"/>
      <c r="P52" s="309"/>
    </row>
    <row r="53" spans="1:16">
      <c r="A53" s="668" t="s">
        <v>566</v>
      </c>
      <c r="B53" s="668"/>
      <c r="C53" s="680"/>
      <c r="D53" s="680"/>
      <c r="E53" s="680"/>
      <c r="F53" s="680"/>
      <c r="G53" s="680"/>
      <c r="H53" s="680"/>
      <c r="I53" s="680"/>
      <c r="J53" s="680"/>
      <c r="K53" s="680"/>
      <c r="L53" s="680"/>
      <c r="M53" s="680"/>
      <c r="N53" s="680"/>
      <c r="O53" s="680"/>
      <c r="P53" s="680"/>
    </row>
    <row r="54" spans="1:16">
      <c r="A54" s="668" t="s">
        <v>567</v>
      </c>
      <c r="B54" s="668"/>
      <c r="C54" s="680"/>
      <c r="D54" s="680"/>
      <c r="E54" s="680"/>
      <c r="F54" s="680"/>
      <c r="G54" s="680"/>
      <c r="H54" s="680"/>
      <c r="I54" s="680"/>
      <c r="J54" s="680"/>
      <c r="K54" s="680"/>
      <c r="L54" s="680"/>
      <c r="M54" s="680"/>
      <c r="N54" s="680"/>
      <c r="O54" s="680"/>
      <c r="P54" s="680"/>
    </row>
    <row r="55" spans="1:16">
      <c r="A55" s="668" t="s">
        <v>878</v>
      </c>
      <c r="B55" s="668"/>
      <c r="C55" s="680"/>
      <c r="D55" s="680"/>
      <c r="E55" s="680"/>
      <c r="F55" s="680"/>
      <c r="G55" s="680"/>
      <c r="H55" s="680"/>
      <c r="I55" s="680"/>
      <c r="J55" s="680"/>
      <c r="K55" s="680"/>
      <c r="L55" s="680"/>
      <c r="M55" s="680"/>
      <c r="N55" s="680"/>
      <c r="O55" s="680"/>
      <c r="P55" s="680"/>
    </row>
    <row r="56" spans="1:16">
      <c r="A56" s="668" t="s">
        <v>568</v>
      </c>
      <c r="B56" s="668"/>
      <c r="C56" s="680"/>
      <c r="D56" s="680"/>
      <c r="E56" s="680"/>
      <c r="F56" s="680"/>
      <c r="G56" s="680"/>
      <c r="H56" s="680"/>
      <c r="I56" s="680"/>
      <c r="J56" s="680"/>
      <c r="K56" s="680"/>
      <c r="L56" s="680"/>
      <c r="M56" s="680"/>
      <c r="N56" s="680"/>
      <c r="O56" s="680"/>
      <c r="P56" s="680"/>
    </row>
    <row r="57" spans="1:16">
      <c r="A57" s="668" t="s">
        <v>569</v>
      </c>
      <c r="B57" s="668"/>
      <c r="C57" s="680"/>
      <c r="D57" s="680"/>
      <c r="E57" s="680"/>
      <c r="F57" s="680"/>
      <c r="G57" s="680"/>
      <c r="H57" s="680"/>
      <c r="I57" s="680"/>
      <c r="J57" s="680"/>
      <c r="K57" s="680"/>
      <c r="L57" s="680"/>
      <c r="M57" s="680"/>
      <c r="N57" s="680"/>
      <c r="O57" s="680"/>
      <c r="P57" s="680"/>
    </row>
    <row r="58" spans="1:16">
      <c r="A58" s="668" t="s">
        <v>570</v>
      </c>
      <c r="B58" s="668"/>
      <c r="C58" s="680"/>
      <c r="D58" s="680"/>
      <c r="E58" s="680"/>
      <c r="F58" s="680"/>
      <c r="G58" s="680"/>
      <c r="H58" s="680"/>
      <c r="I58" s="680"/>
      <c r="J58" s="680"/>
      <c r="K58" s="680"/>
      <c r="L58" s="680"/>
      <c r="M58" s="680"/>
      <c r="N58" s="680"/>
      <c r="O58" s="680"/>
      <c r="P58" s="680"/>
    </row>
    <row r="59" spans="1:16">
      <c r="A59" s="668" t="s">
        <v>899</v>
      </c>
      <c r="B59" s="668"/>
      <c r="C59" s="680"/>
      <c r="D59" s="680"/>
      <c r="E59" s="680"/>
      <c r="F59" s="680"/>
      <c r="G59" s="680"/>
      <c r="H59" s="680"/>
      <c r="I59" s="680"/>
      <c r="J59" s="680"/>
      <c r="K59" s="680"/>
      <c r="L59" s="680"/>
      <c r="M59" s="680"/>
      <c r="N59" s="680"/>
      <c r="O59" s="680"/>
      <c r="P59" s="680"/>
    </row>
    <row r="60" spans="1:16">
      <c r="C60" s="309"/>
      <c r="D60" s="309"/>
      <c r="E60" s="309"/>
      <c r="F60" s="309"/>
      <c r="G60" s="309"/>
      <c r="H60" s="309"/>
      <c r="I60" s="309"/>
      <c r="J60" s="309"/>
      <c r="K60" s="309"/>
      <c r="L60" s="309"/>
      <c r="M60" s="309"/>
      <c r="N60" s="309"/>
      <c r="O60" s="309"/>
      <c r="P60" s="309"/>
    </row>
    <row r="61" spans="1:16">
      <c r="A61" s="684" t="s">
        <v>545</v>
      </c>
      <c r="B61" s="668"/>
      <c r="C61" s="685" t="s">
        <v>544</v>
      </c>
      <c r="D61" s="668"/>
      <c r="E61" s="668"/>
      <c r="F61" s="668"/>
      <c r="G61" s="668"/>
      <c r="H61" s="668"/>
      <c r="I61" s="668"/>
      <c r="J61" s="668"/>
      <c r="K61" s="668"/>
      <c r="L61" s="668"/>
      <c r="M61" s="668"/>
      <c r="N61" s="668"/>
      <c r="O61" s="668"/>
      <c r="P61" s="668"/>
    </row>
    <row r="62" spans="1:16">
      <c r="A62" s="743" t="s">
        <v>546</v>
      </c>
      <c r="B62" s="743"/>
      <c r="C62" s="743"/>
      <c r="D62" s="743"/>
      <c r="E62" s="743"/>
      <c r="F62" s="743"/>
      <c r="G62" s="743"/>
      <c r="H62" s="743"/>
      <c r="I62" s="743"/>
      <c r="J62" s="743"/>
      <c r="K62" s="743"/>
      <c r="L62" s="743"/>
      <c r="M62" s="743"/>
      <c r="N62" s="743"/>
      <c r="O62" s="743"/>
      <c r="P62" s="743"/>
    </row>
    <row r="63" spans="1:16">
      <c r="A63" s="743"/>
      <c r="B63" s="743"/>
      <c r="C63" s="743"/>
      <c r="D63" s="743"/>
      <c r="E63" s="743"/>
      <c r="F63" s="743"/>
      <c r="G63" s="743"/>
      <c r="H63" s="743"/>
      <c r="I63" s="743"/>
      <c r="J63" s="743"/>
      <c r="K63" s="743"/>
      <c r="L63" s="743"/>
      <c r="M63" s="743"/>
      <c r="N63" s="743"/>
      <c r="O63" s="743"/>
      <c r="P63" s="743"/>
    </row>
    <row r="64" spans="1:16">
      <c r="A64" s="743"/>
      <c r="B64" s="743"/>
      <c r="C64" s="743"/>
      <c r="D64" s="743"/>
      <c r="E64" s="743"/>
      <c r="F64" s="743"/>
      <c r="G64" s="743"/>
      <c r="H64" s="743"/>
      <c r="I64" s="743"/>
      <c r="J64" s="743"/>
      <c r="K64" s="743"/>
      <c r="L64" s="743"/>
      <c r="M64" s="743"/>
      <c r="N64" s="743"/>
      <c r="O64" s="743"/>
      <c r="P64" s="743"/>
    </row>
    <row r="65" spans="1:16">
      <c r="A65" s="743"/>
      <c r="B65" s="743"/>
      <c r="C65" s="743"/>
      <c r="D65" s="743"/>
      <c r="E65" s="743"/>
      <c r="F65" s="743"/>
      <c r="G65" s="743"/>
      <c r="H65" s="743"/>
      <c r="I65" s="743"/>
      <c r="J65" s="743"/>
      <c r="K65" s="743"/>
      <c r="L65" s="743"/>
      <c r="M65" s="743"/>
      <c r="N65" s="743"/>
      <c r="O65" s="743"/>
      <c r="P65" s="743"/>
    </row>
    <row r="66" spans="1:16">
      <c r="A66" s="743"/>
      <c r="B66" s="743"/>
      <c r="C66" s="743"/>
      <c r="D66" s="743"/>
      <c r="E66" s="743"/>
      <c r="F66" s="743"/>
      <c r="G66" s="743"/>
      <c r="H66" s="743"/>
      <c r="I66" s="743"/>
      <c r="J66" s="743"/>
      <c r="K66" s="743"/>
      <c r="L66" s="743"/>
      <c r="M66" s="743"/>
      <c r="N66" s="743"/>
      <c r="O66" s="743"/>
      <c r="P66" s="743"/>
    </row>
    <row r="67" spans="1:16">
      <c r="A67" s="668" t="s">
        <v>892</v>
      </c>
      <c r="B67" s="668"/>
      <c r="C67" s="668"/>
      <c r="D67" s="668"/>
      <c r="E67" s="668"/>
      <c r="F67" s="668"/>
      <c r="G67" s="668"/>
      <c r="H67" s="668"/>
      <c r="I67" s="668"/>
      <c r="J67" s="668"/>
      <c r="K67" s="668"/>
      <c r="L67" s="668"/>
      <c r="M67" s="668"/>
      <c r="N67" s="668"/>
      <c r="O67" s="668"/>
      <c r="P67" s="668"/>
    </row>
    <row r="68" spans="1:16" ht="15" customHeight="1">
      <c r="A68" s="743" t="s">
        <v>893</v>
      </c>
      <c r="B68" s="743"/>
      <c r="C68" s="743"/>
      <c r="D68" s="743"/>
      <c r="E68" s="743"/>
      <c r="F68" s="743"/>
      <c r="G68" s="743"/>
      <c r="H68" s="743"/>
      <c r="I68" s="743"/>
      <c r="J68" s="743"/>
      <c r="K68" s="743"/>
      <c r="L68" s="743"/>
      <c r="M68" s="743"/>
      <c r="N68" s="743"/>
      <c r="O68" s="743"/>
      <c r="P68" s="743"/>
    </row>
    <row r="69" spans="1:16">
      <c r="A69" s="743"/>
      <c r="B69" s="743"/>
      <c r="C69" s="743"/>
      <c r="D69" s="743"/>
      <c r="E69" s="743"/>
      <c r="F69" s="743"/>
      <c r="G69" s="743"/>
      <c r="H69" s="743"/>
      <c r="I69" s="743"/>
      <c r="J69" s="743"/>
      <c r="K69" s="743"/>
      <c r="L69" s="743"/>
      <c r="M69" s="743"/>
      <c r="N69" s="743"/>
      <c r="O69" s="743"/>
      <c r="P69" s="743"/>
    </row>
    <row r="70" spans="1:16">
      <c r="A70" s="743"/>
      <c r="B70" s="743"/>
      <c r="C70" s="743"/>
      <c r="D70" s="743"/>
      <c r="E70" s="743"/>
      <c r="F70" s="743"/>
      <c r="G70" s="743"/>
      <c r="H70" s="743"/>
      <c r="I70" s="743"/>
      <c r="J70" s="743"/>
      <c r="K70" s="743"/>
      <c r="L70" s="743"/>
      <c r="M70" s="743"/>
      <c r="N70" s="743"/>
      <c r="O70" s="743"/>
      <c r="P70" s="743"/>
    </row>
    <row r="95" spans="1:16">
      <c r="A95" s="17" t="s">
        <v>900</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66"/>
  <sheetViews>
    <sheetView zoomScaleNormal="100" workbookViewId="0">
      <pane xSplit="4" ySplit="1" topLeftCell="E44" activePane="bottomRight" state="frozen"/>
      <selection activeCell="J63" sqref="J63"/>
      <selection pane="topRight" activeCell="J63" sqref="J63"/>
      <selection pane="bottomLeft" activeCell="J63" sqref="J63"/>
      <selection pane="bottomRight" activeCell="G21" sqref="G21"/>
    </sheetView>
  </sheetViews>
  <sheetFormatPr defaultColWidth="8.44140625" defaultRowHeight="14.4"/>
  <cols>
    <col min="1" max="1" width="3.44140625" style="589" bestFit="1" customWidth="1"/>
    <col min="2" max="2" width="3.33203125" style="589" bestFit="1" customWidth="1"/>
    <col min="3" max="3" width="33.88671875" style="589" bestFit="1" customWidth="1"/>
    <col min="4" max="4" width="21.88671875" style="589" bestFit="1" customWidth="1"/>
    <col min="5" max="6" width="5.6640625" style="589" customWidth="1"/>
    <col min="7" max="7" width="8.5546875" style="589" customWidth="1"/>
    <col min="8" max="8" width="8" style="589" bestFit="1" customWidth="1"/>
    <col min="9" max="9" width="14.33203125" style="589" bestFit="1" customWidth="1"/>
    <col min="10" max="10" width="8.5546875" style="589" customWidth="1"/>
    <col min="11" max="19" width="5.6640625" style="589" customWidth="1"/>
    <col min="20" max="23" width="8.44140625" style="589"/>
    <col min="24" max="24" width="9.21875" style="589" bestFit="1" customWidth="1"/>
    <col min="25" max="1010" width="8.44140625" style="589"/>
    <col min="1011" max="1011" width="9.109375" style="589" customWidth="1"/>
    <col min="1012" max="16384" width="8.44140625" style="589"/>
  </cols>
  <sheetData>
    <row r="1" spans="1:26" ht="111.75" customHeight="1">
      <c r="A1" s="600" t="s">
        <v>675</v>
      </c>
      <c r="B1" s="600" t="s">
        <v>750</v>
      </c>
      <c r="C1" s="599" t="s">
        <v>680</v>
      </c>
      <c r="D1" s="599" t="s">
        <v>751</v>
      </c>
      <c r="E1" s="600" t="s">
        <v>752</v>
      </c>
      <c r="F1" s="600" t="s">
        <v>753</v>
      </c>
      <c r="G1" s="600" t="s">
        <v>754</v>
      </c>
      <c r="H1" s="601" t="s">
        <v>755</v>
      </c>
      <c r="I1" s="600" t="s">
        <v>756</v>
      </c>
      <c r="J1" s="600" t="s">
        <v>757</v>
      </c>
      <c r="K1" s="600" t="s">
        <v>758</v>
      </c>
      <c r="L1" s="600" t="s">
        <v>759</v>
      </c>
      <c r="M1" s="600" t="s">
        <v>760</v>
      </c>
      <c r="N1" s="601" t="s">
        <v>761</v>
      </c>
      <c r="O1" s="601" t="s">
        <v>762</v>
      </c>
      <c r="P1" s="602" t="s">
        <v>763</v>
      </c>
      <c r="Q1" s="602" t="s">
        <v>764</v>
      </c>
      <c r="R1" s="601" t="s">
        <v>765</v>
      </c>
      <c r="S1" s="601" t="s">
        <v>766</v>
      </c>
      <c r="T1" s="602" t="s">
        <v>767</v>
      </c>
      <c r="U1" s="602" t="s">
        <v>768</v>
      </c>
      <c r="V1" s="602" t="s">
        <v>769</v>
      </c>
      <c r="W1" s="602" t="s">
        <v>687</v>
      </c>
      <c r="X1" s="602" t="s">
        <v>688</v>
      </c>
      <c r="Y1" s="601" t="s">
        <v>770</v>
      </c>
      <c r="Z1" s="602" t="s">
        <v>771</v>
      </c>
    </row>
    <row r="2" spans="1:26">
      <c r="A2" s="590" t="s">
        <v>772</v>
      </c>
      <c r="B2" s="590">
        <v>1</v>
      </c>
      <c r="C2" s="591" t="s">
        <v>142</v>
      </c>
      <c r="D2" s="591" t="s">
        <v>773</v>
      </c>
      <c r="E2" s="591"/>
      <c r="F2" s="591"/>
      <c r="G2" s="591"/>
      <c r="H2" s="591"/>
      <c r="I2" s="591" t="s">
        <v>142</v>
      </c>
      <c r="J2" s="591" t="s">
        <v>666</v>
      </c>
      <c r="K2" s="591"/>
      <c r="L2" s="591"/>
      <c r="M2" s="591"/>
      <c r="N2" s="627">
        <v>0.33</v>
      </c>
      <c r="O2" s="627">
        <v>0.33</v>
      </c>
      <c r="P2" s="591">
        <v>0.95</v>
      </c>
      <c r="Q2" s="591">
        <v>1</v>
      </c>
      <c r="R2" s="627">
        <v>1</v>
      </c>
      <c r="S2" s="627"/>
      <c r="T2" s="591">
        <v>0.05</v>
      </c>
      <c r="U2" s="591">
        <v>0.05</v>
      </c>
      <c r="V2" s="591"/>
      <c r="W2" s="591"/>
      <c r="X2" s="591"/>
      <c r="Y2" s="671">
        <v>2000</v>
      </c>
      <c r="Z2" s="591"/>
    </row>
    <row r="3" spans="1:26">
      <c r="A3" s="620" t="s">
        <v>772</v>
      </c>
      <c r="B3" s="620">
        <v>1</v>
      </c>
      <c r="C3" s="621" t="s">
        <v>856</v>
      </c>
      <c r="D3" s="621" t="s">
        <v>857</v>
      </c>
      <c r="E3" s="621"/>
      <c r="F3" s="621"/>
      <c r="G3" s="621"/>
      <c r="H3" s="621"/>
      <c r="I3" s="621" t="s">
        <v>142</v>
      </c>
      <c r="J3" s="621" t="s">
        <v>666</v>
      </c>
      <c r="K3" s="621"/>
      <c r="L3" s="621"/>
      <c r="M3" s="621"/>
      <c r="N3" s="671">
        <v>0.33</v>
      </c>
      <c r="O3" s="671">
        <v>0.33</v>
      </c>
      <c r="P3" s="621">
        <v>0.95</v>
      </c>
      <c r="Q3" s="621">
        <v>1</v>
      </c>
      <c r="R3" s="671">
        <v>1</v>
      </c>
      <c r="S3" s="671"/>
      <c r="T3" s="621">
        <v>0.05</v>
      </c>
      <c r="U3" s="621">
        <v>0.05</v>
      </c>
      <c r="V3" s="621"/>
      <c r="W3" s="621"/>
      <c r="X3" s="621"/>
      <c r="Y3" s="671">
        <v>1000</v>
      </c>
      <c r="Z3" s="591"/>
    </row>
    <row r="4" spans="1:26">
      <c r="A4" s="590" t="s">
        <v>772</v>
      </c>
      <c r="B4" s="590">
        <v>1</v>
      </c>
      <c r="C4" s="591" t="s">
        <v>378</v>
      </c>
      <c r="D4" s="591" t="s">
        <v>774</v>
      </c>
      <c r="E4" s="591"/>
      <c r="F4" s="591"/>
      <c r="G4" s="591"/>
      <c r="H4" s="591" t="s">
        <v>934</v>
      </c>
      <c r="I4" s="591" t="s">
        <v>249</v>
      </c>
      <c r="J4" s="591" t="s">
        <v>666</v>
      </c>
      <c r="K4" s="591"/>
      <c r="L4" s="591"/>
      <c r="M4" s="591"/>
      <c r="N4" s="591">
        <v>0.35</v>
      </c>
      <c r="O4" s="591">
        <v>0.35</v>
      </c>
      <c r="P4" s="591">
        <v>0.5</v>
      </c>
      <c r="Q4" s="591">
        <v>1</v>
      </c>
      <c r="R4" s="591">
        <v>3.3</v>
      </c>
      <c r="S4" s="591"/>
      <c r="T4" s="591">
        <v>0.02</v>
      </c>
      <c r="U4" s="591">
        <v>0.05</v>
      </c>
      <c r="V4" s="591"/>
      <c r="W4" s="591"/>
      <c r="X4" s="591"/>
      <c r="Y4" s="591">
        <v>93.97</v>
      </c>
      <c r="Z4" s="591"/>
    </row>
    <row r="5" spans="1:26">
      <c r="A5" s="590" t="s">
        <v>772</v>
      </c>
      <c r="B5" s="590">
        <v>1</v>
      </c>
      <c r="C5" s="591" t="s">
        <v>379</v>
      </c>
      <c r="D5" s="591" t="s">
        <v>775</v>
      </c>
      <c r="E5" s="591"/>
      <c r="F5" s="591"/>
      <c r="G5" s="591"/>
      <c r="H5" s="591" t="s">
        <v>934</v>
      </c>
      <c r="I5" s="591" t="s">
        <v>249</v>
      </c>
      <c r="J5" s="591" t="s">
        <v>666</v>
      </c>
      <c r="K5" s="591"/>
      <c r="L5" s="591"/>
      <c r="M5" s="591"/>
      <c r="N5" s="591">
        <v>0.4</v>
      </c>
      <c r="O5" s="591">
        <v>0.4</v>
      </c>
      <c r="P5" s="591">
        <v>0.5</v>
      </c>
      <c r="Q5" s="591">
        <v>1</v>
      </c>
      <c r="R5" s="591">
        <v>3.3</v>
      </c>
      <c r="S5" s="591"/>
      <c r="T5" s="591">
        <v>0.02</v>
      </c>
      <c r="U5" s="591">
        <v>0.05</v>
      </c>
      <c r="V5" s="591"/>
      <c r="W5" s="591"/>
      <c r="X5" s="591"/>
      <c r="Y5" s="591">
        <v>81.44</v>
      </c>
      <c r="Z5" s="591"/>
    </row>
    <row r="6" spans="1:26">
      <c r="A6" s="590" t="s">
        <v>772</v>
      </c>
      <c r="B6" s="590">
        <v>1</v>
      </c>
      <c r="C6" s="591" t="s">
        <v>380</v>
      </c>
      <c r="D6" s="591" t="s">
        <v>777</v>
      </c>
      <c r="E6" s="591"/>
      <c r="F6" s="591"/>
      <c r="G6" s="591"/>
      <c r="H6" s="591" t="s">
        <v>934</v>
      </c>
      <c r="I6" s="591" t="s">
        <v>245</v>
      </c>
      <c r="J6" s="591" t="s">
        <v>666</v>
      </c>
      <c r="K6" s="591"/>
      <c r="L6" s="591"/>
      <c r="M6" s="591"/>
      <c r="N6" s="627">
        <v>0.35</v>
      </c>
      <c r="O6" s="627">
        <v>0.35</v>
      </c>
      <c r="P6" s="591">
        <v>0.4</v>
      </c>
      <c r="Q6" s="591">
        <v>1</v>
      </c>
      <c r="R6" s="627">
        <v>3.3</v>
      </c>
      <c r="S6" s="627"/>
      <c r="T6" s="591">
        <v>0.02</v>
      </c>
      <c r="U6" s="591">
        <v>0.05</v>
      </c>
      <c r="V6" s="591"/>
      <c r="W6" s="591"/>
      <c r="X6" s="591"/>
      <c r="Y6" s="627">
        <v>93.97</v>
      </c>
      <c r="Z6" s="591"/>
    </row>
    <row r="7" spans="1:26">
      <c r="A7" s="590" t="s">
        <v>772</v>
      </c>
      <c r="B7" s="590">
        <v>1</v>
      </c>
      <c r="C7" s="591" t="s">
        <v>381</v>
      </c>
      <c r="D7" s="591" t="s">
        <v>778</v>
      </c>
      <c r="E7" s="591"/>
      <c r="F7" s="591"/>
      <c r="G7" s="591"/>
      <c r="H7" s="591" t="s">
        <v>934</v>
      </c>
      <c r="I7" s="591" t="s">
        <v>245</v>
      </c>
      <c r="J7" s="591" t="s">
        <v>666</v>
      </c>
      <c r="K7" s="591"/>
      <c r="L7" s="591"/>
      <c r="M7" s="591"/>
      <c r="N7" s="591">
        <v>0.4</v>
      </c>
      <c r="O7" s="591">
        <v>0.4</v>
      </c>
      <c r="P7" s="591">
        <v>0.4</v>
      </c>
      <c r="Q7" s="591">
        <v>1</v>
      </c>
      <c r="R7" s="591">
        <v>3.3</v>
      </c>
      <c r="S7" s="591"/>
      <c r="T7" s="591">
        <v>0.02</v>
      </c>
      <c r="U7" s="591">
        <v>0.05</v>
      </c>
      <c r="V7" s="591"/>
      <c r="W7" s="591"/>
      <c r="X7" s="591"/>
      <c r="Y7" s="591">
        <v>81.44</v>
      </c>
      <c r="Z7" s="591"/>
    </row>
    <row r="8" spans="1:26">
      <c r="A8" s="590" t="s">
        <v>772</v>
      </c>
      <c r="B8" s="590">
        <v>1</v>
      </c>
      <c r="C8" s="591" t="s">
        <v>382</v>
      </c>
      <c r="D8" s="591" t="s">
        <v>779</v>
      </c>
      <c r="E8" s="591"/>
      <c r="F8" s="591"/>
      <c r="G8" s="591"/>
      <c r="H8" s="591" t="s">
        <v>934</v>
      </c>
      <c r="I8" s="591" t="s">
        <v>245</v>
      </c>
      <c r="J8" s="591" t="s">
        <v>666</v>
      </c>
      <c r="K8" s="591"/>
      <c r="L8" s="591"/>
      <c r="M8" s="591"/>
      <c r="N8" s="591">
        <v>0.46</v>
      </c>
      <c r="O8" s="591">
        <v>0.46</v>
      </c>
      <c r="P8" s="591">
        <v>0.25</v>
      </c>
      <c r="Q8" s="591">
        <v>1</v>
      </c>
      <c r="R8" s="591">
        <v>3.3</v>
      </c>
      <c r="S8" s="591"/>
      <c r="T8" s="591">
        <v>0.04</v>
      </c>
      <c r="U8" s="591">
        <v>0.05</v>
      </c>
      <c r="V8" s="591"/>
      <c r="W8" s="591"/>
      <c r="X8" s="591"/>
      <c r="Y8" s="591">
        <v>57.17</v>
      </c>
      <c r="Z8" s="591"/>
    </row>
    <row r="9" spans="1:26">
      <c r="A9" s="590" t="s">
        <v>772</v>
      </c>
      <c r="B9" s="590">
        <v>1</v>
      </c>
      <c r="C9" s="591" t="s">
        <v>406</v>
      </c>
      <c r="D9" s="591" t="s">
        <v>781</v>
      </c>
      <c r="E9" s="591"/>
      <c r="F9" s="591"/>
      <c r="G9" s="591"/>
      <c r="H9" s="591" t="s">
        <v>934</v>
      </c>
      <c r="I9" s="591" t="s">
        <v>776</v>
      </c>
      <c r="J9" s="591" t="s">
        <v>666</v>
      </c>
      <c r="K9" s="591"/>
      <c r="L9" s="591"/>
      <c r="M9" s="591"/>
      <c r="N9" s="591">
        <v>0.46</v>
      </c>
      <c r="O9" s="591">
        <v>0.46</v>
      </c>
      <c r="P9" s="591">
        <v>0.25</v>
      </c>
      <c r="Q9" s="591">
        <v>1</v>
      </c>
      <c r="R9" s="591">
        <v>3.3</v>
      </c>
      <c r="S9" s="591"/>
      <c r="T9" s="591">
        <v>0.04</v>
      </c>
      <c r="U9" s="591">
        <v>0.05</v>
      </c>
      <c r="V9" s="591"/>
      <c r="W9" s="591"/>
      <c r="X9" s="591"/>
      <c r="Y9" s="591">
        <v>57.17</v>
      </c>
      <c r="Z9" s="591"/>
    </row>
    <row r="10" spans="1:26" s="591" customFormat="1">
      <c r="A10" s="620" t="s">
        <v>772</v>
      </c>
      <c r="B10" s="620">
        <v>1</v>
      </c>
      <c r="C10" s="621" t="s">
        <v>446</v>
      </c>
      <c r="D10" s="621" t="s">
        <v>782</v>
      </c>
      <c r="E10" s="621"/>
      <c r="F10" s="621"/>
      <c r="G10" s="621"/>
      <c r="H10" s="621" t="s">
        <v>934</v>
      </c>
      <c r="I10" s="621" t="s">
        <v>245</v>
      </c>
      <c r="J10" s="621" t="s">
        <v>666</v>
      </c>
      <c r="K10" s="621" t="s">
        <v>671</v>
      </c>
      <c r="L10" s="621"/>
      <c r="M10" s="621"/>
      <c r="N10" s="621">
        <v>0.9</v>
      </c>
      <c r="O10" s="621">
        <v>0.9</v>
      </c>
      <c r="P10" s="621">
        <v>0.4</v>
      </c>
      <c r="Q10" s="621">
        <v>1</v>
      </c>
      <c r="R10" s="621">
        <v>2</v>
      </c>
      <c r="S10" s="621"/>
      <c r="T10" s="621">
        <v>0.05</v>
      </c>
      <c r="U10" s="621">
        <v>0.05</v>
      </c>
      <c r="V10" s="621"/>
      <c r="W10" s="621">
        <v>0.5</v>
      </c>
      <c r="X10" s="622">
        <v>-0.16700000000000001</v>
      </c>
      <c r="Y10" s="621">
        <v>150</v>
      </c>
      <c r="Z10" s="621"/>
    </row>
    <row r="11" spans="1:26" s="592" customFormat="1">
      <c r="A11" s="628" t="s">
        <v>772</v>
      </c>
      <c r="B11" s="628">
        <v>1</v>
      </c>
      <c r="C11" s="629" t="s">
        <v>517</v>
      </c>
      <c r="D11" s="629" t="s">
        <v>783</v>
      </c>
      <c r="E11" s="629"/>
      <c r="F11" s="629"/>
      <c r="G11" s="629"/>
      <c r="H11" s="629" t="s">
        <v>934</v>
      </c>
      <c r="I11" s="629" t="s">
        <v>245</v>
      </c>
      <c r="J11" s="629" t="s">
        <v>666</v>
      </c>
      <c r="K11" s="629" t="s">
        <v>669</v>
      </c>
      <c r="L11" s="629"/>
      <c r="M11" s="629"/>
      <c r="N11" s="629">
        <v>0.89</v>
      </c>
      <c r="O11" s="629">
        <v>0.89</v>
      </c>
      <c r="P11" s="629">
        <v>0.4</v>
      </c>
      <c r="Q11" s="629">
        <v>1</v>
      </c>
      <c r="R11" s="629">
        <v>2</v>
      </c>
      <c r="S11" s="629"/>
      <c r="T11" s="629">
        <v>0.05</v>
      </c>
      <c r="U11" s="629">
        <v>0.05</v>
      </c>
      <c r="V11" s="629"/>
      <c r="W11" s="629">
        <v>0.45</v>
      </c>
      <c r="X11" s="629"/>
      <c r="Y11" s="629">
        <v>150</v>
      </c>
      <c r="Z11" s="629"/>
    </row>
    <row r="12" spans="1:26">
      <c r="A12" s="628" t="s">
        <v>772</v>
      </c>
      <c r="B12" s="628">
        <v>1</v>
      </c>
      <c r="C12" s="629" t="s">
        <v>384</v>
      </c>
      <c r="D12" s="629" t="s">
        <v>784</v>
      </c>
      <c r="E12" s="629"/>
      <c r="F12" s="629"/>
      <c r="G12" s="629"/>
      <c r="H12" s="629" t="s">
        <v>934</v>
      </c>
      <c r="I12" s="629" t="s">
        <v>145</v>
      </c>
      <c r="J12" s="629" t="s">
        <v>666</v>
      </c>
      <c r="K12" s="629"/>
      <c r="L12" s="629"/>
      <c r="M12" s="629"/>
      <c r="N12" s="629">
        <v>0.36</v>
      </c>
      <c r="O12" s="629">
        <v>0.36</v>
      </c>
      <c r="P12" s="629">
        <v>0.2</v>
      </c>
      <c r="Q12" s="629">
        <v>1</v>
      </c>
      <c r="R12" s="629">
        <v>1.1000000000000001</v>
      </c>
      <c r="S12" s="629"/>
      <c r="T12" s="629">
        <v>0.15</v>
      </c>
      <c r="U12" s="629">
        <v>0.15</v>
      </c>
      <c r="V12" s="629"/>
      <c r="W12" s="629"/>
      <c r="X12" s="629"/>
      <c r="Y12" s="629">
        <v>69.69</v>
      </c>
      <c r="Z12" s="629"/>
    </row>
    <row r="13" spans="1:26">
      <c r="A13" s="628" t="s">
        <v>772</v>
      </c>
      <c r="B13" s="628">
        <v>1</v>
      </c>
      <c r="C13" s="629" t="s">
        <v>385</v>
      </c>
      <c r="D13" s="629" t="s">
        <v>785</v>
      </c>
      <c r="E13" s="629"/>
      <c r="F13" s="629"/>
      <c r="G13" s="629"/>
      <c r="H13" s="629" t="s">
        <v>934</v>
      </c>
      <c r="I13" s="629" t="s">
        <v>145</v>
      </c>
      <c r="J13" s="629" t="s">
        <v>666</v>
      </c>
      <c r="K13" s="629"/>
      <c r="L13" s="629"/>
      <c r="M13" s="629"/>
      <c r="N13" s="629">
        <v>0.41</v>
      </c>
      <c r="O13" s="629">
        <v>0.41</v>
      </c>
      <c r="P13" s="629">
        <v>0.2</v>
      </c>
      <c r="Q13" s="629">
        <v>1</v>
      </c>
      <c r="R13" s="629">
        <v>1.1000000000000001</v>
      </c>
      <c r="S13" s="629"/>
      <c r="T13" s="629">
        <v>0.15</v>
      </c>
      <c r="U13" s="629">
        <v>0.15</v>
      </c>
      <c r="V13" s="629"/>
      <c r="W13" s="629"/>
      <c r="X13" s="629"/>
      <c r="Y13" s="629">
        <v>58.73</v>
      </c>
      <c r="Z13" s="629"/>
    </row>
    <row r="14" spans="1:26">
      <c r="A14" s="628" t="s">
        <v>772</v>
      </c>
      <c r="B14" s="628">
        <v>1</v>
      </c>
      <c r="C14" s="629" t="s">
        <v>405</v>
      </c>
      <c r="D14" s="629" t="s">
        <v>786</v>
      </c>
      <c r="E14" s="629"/>
      <c r="F14" s="629"/>
      <c r="G14" s="629"/>
      <c r="H14" s="629"/>
      <c r="I14" s="629" t="s">
        <v>776</v>
      </c>
      <c r="J14" s="629" t="s">
        <v>666</v>
      </c>
      <c r="K14" s="629"/>
      <c r="L14" s="629"/>
      <c r="M14" s="629"/>
      <c r="N14" s="629">
        <v>0.3</v>
      </c>
      <c r="O14" s="629">
        <v>0.3</v>
      </c>
      <c r="P14" s="629">
        <v>0.2</v>
      </c>
      <c r="Q14" s="629">
        <v>1</v>
      </c>
      <c r="R14" s="629">
        <v>1.1000000000000001</v>
      </c>
      <c r="S14" s="629"/>
      <c r="T14" s="629">
        <v>0.15</v>
      </c>
      <c r="U14" s="629">
        <v>0.15</v>
      </c>
      <c r="V14" s="629"/>
      <c r="W14" s="629"/>
      <c r="X14" s="629"/>
      <c r="Y14" s="629">
        <v>58.73</v>
      </c>
      <c r="Z14" s="629"/>
    </row>
    <row r="15" spans="1:26">
      <c r="A15" s="628" t="s">
        <v>772</v>
      </c>
      <c r="B15" s="628">
        <v>1</v>
      </c>
      <c r="C15" s="629" t="s">
        <v>386</v>
      </c>
      <c r="D15" s="629" t="s">
        <v>787</v>
      </c>
      <c r="E15" s="629"/>
      <c r="F15" s="629"/>
      <c r="G15" s="629"/>
      <c r="H15" s="629" t="s">
        <v>934</v>
      </c>
      <c r="I15" s="629" t="s">
        <v>145</v>
      </c>
      <c r="J15" s="629" t="s">
        <v>666</v>
      </c>
      <c r="K15" s="629"/>
      <c r="L15" s="629"/>
      <c r="M15" s="629"/>
      <c r="N15" s="629">
        <v>0.4</v>
      </c>
      <c r="O15" s="629">
        <v>0.4</v>
      </c>
      <c r="P15" s="629">
        <v>0.5</v>
      </c>
      <c r="Q15" s="629">
        <v>1</v>
      </c>
      <c r="R15" s="629">
        <v>1.6</v>
      </c>
      <c r="S15" s="629"/>
      <c r="T15" s="629">
        <v>0.02</v>
      </c>
      <c r="U15" s="629">
        <v>0.05</v>
      </c>
      <c r="V15" s="629"/>
      <c r="W15" s="629"/>
      <c r="X15" s="629"/>
      <c r="Y15" s="629">
        <v>79.09</v>
      </c>
      <c r="Z15" s="629"/>
    </row>
    <row r="16" spans="1:26">
      <c r="A16" s="628" t="s">
        <v>772</v>
      </c>
      <c r="B16" s="628">
        <v>1</v>
      </c>
      <c r="C16" s="629" t="s">
        <v>387</v>
      </c>
      <c r="D16" s="629" t="s">
        <v>788</v>
      </c>
      <c r="E16" s="629"/>
      <c r="F16" s="629"/>
      <c r="G16" s="629"/>
      <c r="H16" s="629" t="s">
        <v>934</v>
      </c>
      <c r="I16" s="629" t="s">
        <v>145</v>
      </c>
      <c r="J16" s="629" t="s">
        <v>666</v>
      </c>
      <c r="K16" s="629"/>
      <c r="L16" s="629"/>
      <c r="M16" s="629"/>
      <c r="N16" s="629">
        <v>0.48</v>
      </c>
      <c r="O16" s="629">
        <v>0.48</v>
      </c>
      <c r="P16" s="629">
        <v>0.5</v>
      </c>
      <c r="Q16" s="629">
        <v>1</v>
      </c>
      <c r="R16" s="629">
        <v>1.6</v>
      </c>
      <c r="S16" s="629"/>
      <c r="T16" s="629">
        <v>0.02</v>
      </c>
      <c r="U16" s="629">
        <v>0.05</v>
      </c>
      <c r="V16" s="629"/>
      <c r="W16" s="629"/>
      <c r="X16" s="629"/>
      <c r="Y16" s="629">
        <v>61.86</v>
      </c>
      <c r="Z16" s="629"/>
    </row>
    <row r="17" spans="1:27">
      <c r="A17" s="628" t="s">
        <v>772</v>
      </c>
      <c r="B17" s="628">
        <v>1</v>
      </c>
      <c r="C17" s="629" t="s">
        <v>404</v>
      </c>
      <c r="D17" s="629" t="s">
        <v>789</v>
      </c>
      <c r="E17" s="629"/>
      <c r="F17" s="629"/>
      <c r="G17" s="629"/>
      <c r="H17" s="629"/>
      <c r="I17" s="629" t="s">
        <v>776</v>
      </c>
      <c r="J17" s="629" t="s">
        <v>666</v>
      </c>
      <c r="K17" s="629"/>
      <c r="L17" s="629"/>
      <c r="M17" s="629"/>
      <c r="N17" s="629">
        <v>0.32</v>
      </c>
      <c r="O17" s="629">
        <v>0.32</v>
      </c>
      <c r="P17" s="629">
        <v>0.5</v>
      </c>
      <c r="Q17" s="629">
        <v>1</v>
      </c>
      <c r="R17" s="629">
        <v>1.6</v>
      </c>
      <c r="S17" s="629"/>
      <c r="T17" s="629">
        <v>0.02</v>
      </c>
      <c r="U17" s="629">
        <v>0.05</v>
      </c>
      <c r="V17" s="629"/>
      <c r="W17" s="629"/>
      <c r="X17" s="629"/>
      <c r="Y17" s="629">
        <v>61.86</v>
      </c>
      <c r="Z17" s="629"/>
    </row>
    <row r="18" spans="1:27">
      <c r="A18" s="628" t="s">
        <v>772</v>
      </c>
      <c r="B18" s="628">
        <v>1</v>
      </c>
      <c r="C18" s="629" t="s">
        <v>391</v>
      </c>
      <c r="D18" s="629" t="s">
        <v>790</v>
      </c>
      <c r="E18" s="629"/>
      <c r="F18" s="629"/>
      <c r="G18" s="629"/>
      <c r="H18" s="629" t="s">
        <v>934</v>
      </c>
      <c r="I18" s="629" t="s">
        <v>145</v>
      </c>
      <c r="J18" s="629" t="s">
        <v>666</v>
      </c>
      <c r="K18" s="629"/>
      <c r="L18" s="629"/>
      <c r="M18" s="629"/>
      <c r="N18" s="629">
        <v>0.56000000000000005</v>
      </c>
      <c r="O18" s="629">
        <v>0.56000000000000005</v>
      </c>
      <c r="P18" s="629">
        <v>0.4</v>
      </c>
      <c r="Q18" s="629">
        <v>1</v>
      </c>
      <c r="R18" s="629">
        <v>1.6</v>
      </c>
      <c r="S18" s="629"/>
      <c r="T18" s="629">
        <v>0.04</v>
      </c>
      <c r="U18" s="629">
        <v>0.05</v>
      </c>
      <c r="V18" s="629"/>
      <c r="W18" s="629"/>
      <c r="X18" s="629"/>
      <c r="Y18" s="629">
        <v>36.020000000000003</v>
      </c>
      <c r="Z18" s="629"/>
    </row>
    <row r="19" spans="1:27">
      <c r="A19" s="628" t="s">
        <v>772</v>
      </c>
      <c r="B19" s="628">
        <v>1</v>
      </c>
      <c r="C19" s="629" t="s">
        <v>392</v>
      </c>
      <c r="D19" s="629" t="s">
        <v>791</v>
      </c>
      <c r="E19" s="629"/>
      <c r="F19" s="629"/>
      <c r="G19" s="629"/>
      <c r="H19" s="629" t="s">
        <v>934</v>
      </c>
      <c r="I19" s="629" t="s">
        <v>145</v>
      </c>
      <c r="J19" s="629" t="s">
        <v>666</v>
      </c>
      <c r="K19" s="629"/>
      <c r="L19" s="629"/>
      <c r="M19" s="629"/>
      <c r="N19" s="629">
        <v>0.57999999999999996</v>
      </c>
      <c r="O19" s="629">
        <v>0.57999999999999996</v>
      </c>
      <c r="P19" s="629">
        <v>0.4</v>
      </c>
      <c r="Q19" s="629">
        <v>1</v>
      </c>
      <c r="R19" s="629">
        <v>1.6</v>
      </c>
      <c r="S19" s="629"/>
      <c r="T19" s="629">
        <v>0.04</v>
      </c>
      <c r="U19" s="629">
        <v>0.05</v>
      </c>
      <c r="V19" s="629"/>
      <c r="W19" s="629"/>
      <c r="X19" s="629"/>
      <c r="Y19" s="629">
        <v>36.020000000000003</v>
      </c>
      <c r="Z19" s="629"/>
    </row>
    <row r="20" spans="1:27">
      <c r="A20" s="628" t="s">
        <v>772</v>
      </c>
      <c r="B20" s="628">
        <v>1</v>
      </c>
      <c r="C20" s="629" t="s">
        <v>388</v>
      </c>
      <c r="D20" s="629" t="s">
        <v>792</v>
      </c>
      <c r="E20" s="629"/>
      <c r="F20" s="629"/>
      <c r="G20" s="629"/>
      <c r="H20" s="629" t="s">
        <v>934</v>
      </c>
      <c r="I20" s="629" t="s">
        <v>145</v>
      </c>
      <c r="J20" s="629" t="s">
        <v>666</v>
      </c>
      <c r="K20" s="629"/>
      <c r="L20" s="629"/>
      <c r="M20" s="629"/>
      <c r="N20" s="629">
        <v>0.6</v>
      </c>
      <c r="O20" s="629">
        <v>0.6</v>
      </c>
      <c r="P20" s="629">
        <v>0.4</v>
      </c>
      <c r="Q20" s="629">
        <v>1</v>
      </c>
      <c r="R20" s="629">
        <v>1.6</v>
      </c>
      <c r="S20" s="629"/>
      <c r="T20" s="629">
        <v>0.04</v>
      </c>
      <c r="U20" s="629">
        <v>0.05</v>
      </c>
      <c r="V20" s="629"/>
      <c r="W20" s="629"/>
      <c r="X20" s="629"/>
      <c r="Y20" s="629">
        <v>36.020000000000003</v>
      </c>
      <c r="Z20" s="629"/>
    </row>
    <row r="21" spans="1:27">
      <c r="A21" s="699" t="s">
        <v>772</v>
      </c>
      <c r="B21" s="699">
        <v>1</v>
      </c>
      <c r="C21" s="700" t="s">
        <v>243</v>
      </c>
      <c r="D21" s="700" t="s">
        <v>949</v>
      </c>
      <c r="E21" s="700"/>
      <c r="F21" s="700"/>
      <c r="G21" s="700"/>
      <c r="H21" s="700"/>
      <c r="I21" s="700" t="s">
        <v>699</v>
      </c>
      <c r="J21" s="700" t="s">
        <v>666</v>
      </c>
      <c r="K21" s="700"/>
      <c r="L21" s="700"/>
      <c r="M21" s="700"/>
      <c r="N21" s="700">
        <v>0.6</v>
      </c>
      <c r="O21" s="700">
        <v>0.6</v>
      </c>
      <c r="P21" s="700">
        <v>0.4</v>
      </c>
      <c r="Q21" s="700">
        <v>1</v>
      </c>
      <c r="R21" s="700">
        <v>1.6</v>
      </c>
      <c r="S21" s="700"/>
      <c r="T21" s="700">
        <v>0.04</v>
      </c>
      <c r="U21" s="700">
        <v>0.05</v>
      </c>
      <c r="V21" s="700"/>
      <c r="W21" s="700"/>
      <c r="X21" s="700"/>
      <c r="Y21" s="700">
        <v>36.020000000000003</v>
      </c>
      <c r="Z21" s="700"/>
    </row>
    <row r="22" spans="1:27">
      <c r="A22" s="628" t="s">
        <v>772</v>
      </c>
      <c r="B22" s="628">
        <v>1</v>
      </c>
      <c r="C22" s="629" t="s">
        <v>240</v>
      </c>
      <c r="D22" s="629" t="s">
        <v>793</v>
      </c>
      <c r="E22" s="629"/>
      <c r="F22" s="629"/>
      <c r="G22" s="629"/>
      <c r="H22" s="629" t="s">
        <v>934</v>
      </c>
      <c r="I22" s="629" t="s">
        <v>145</v>
      </c>
      <c r="J22" s="629" t="s">
        <v>666</v>
      </c>
      <c r="K22" s="629" t="s">
        <v>780</v>
      </c>
      <c r="L22" s="629">
        <v>0</v>
      </c>
      <c r="M22" s="629"/>
      <c r="N22" s="629">
        <v>0.51</v>
      </c>
      <c r="O22" s="629">
        <v>0.51</v>
      </c>
      <c r="P22" s="629">
        <v>0.4</v>
      </c>
      <c r="Q22" s="629">
        <v>1</v>
      </c>
      <c r="R22" s="629">
        <v>3.2</v>
      </c>
      <c r="S22" s="629"/>
      <c r="T22" s="629">
        <v>0.04</v>
      </c>
      <c r="U22" s="629">
        <v>0.05</v>
      </c>
      <c r="V22" s="629"/>
      <c r="W22" s="629"/>
      <c r="X22" s="629"/>
      <c r="Y22" s="629">
        <v>61.86</v>
      </c>
      <c r="Z22" s="629"/>
    </row>
    <row r="23" spans="1:27">
      <c r="A23" s="628" t="s">
        <v>772</v>
      </c>
      <c r="B23" s="628">
        <v>1</v>
      </c>
      <c r="C23" s="629" t="s">
        <v>389</v>
      </c>
      <c r="D23" s="629" t="s">
        <v>794</v>
      </c>
      <c r="E23" s="629"/>
      <c r="F23" s="629"/>
      <c r="G23" s="629"/>
      <c r="H23" s="629" t="s">
        <v>934</v>
      </c>
      <c r="I23" s="629" t="s">
        <v>145</v>
      </c>
      <c r="J23" s="629" t="s">
        <v>666</v>
      </c>
      <c r="K23" s="629"/>
      <c r="L23" s="629"/>
      <c r="M23" s="629"/>
      <c r="N23" s="629">
        <v>0.35</v>
      </c>
      <c r="O23" s="629">
        <v>0.35</v>
      </c>
      <c r="P23" s="629">
        <v>0.5</v>
      </c>
      <c r="Q23" s="629">
        <v>1</v>
      </c>
      <c r="R23" s="629">
        <v>1.6</v>
      </c>
      <c r="S23" s="629"/>
      <c r="T23" s="629">
        <v>0.08</v>
      </c>
      <c r="U23" s="629">
        <v>0.08</v>
      </c>
      <c r="V23" s="629"/>
      <c r="W23" s="629"/>
      <c r="X23" s="629"/>
      <c r="Y23" s="629">
        <v>52.47</v>
      </c>
      <c r="Z23" s="629"/>
    </row>
    <row r="24" spans="1:27">
      <c r="A24" s="628" t="s">
        <v>772</v>
      </c>
      <c r="B24" s="628">
        <v>1</v>
      </c>
      <c r="C24" s="629" t="s">
        <v>390</v>
      </c>
      <c r="D24" s="629" t="s">
        <v>795</v>
      </c>
      <c r="E24" s="629"/>
      <c r="F24" s="629"/>
      <c r="G24" s="629"/>
      <c r="H24" s="629" t="s">
        <v>934</v>
      </c>
      <c r="I24" s="629" t="s">
        <v>145</v>
      </c>
      <c r="J24" s="629" t="s">
        <v>666</v>
      </c>
      <c r="K24" s="629"/>
      <c r="L24" s="629"/>
      <c r="M24" s="629"/>
      <c r="N24" s="629">
        <v>0.42</v>
      </c>
      <c r="O24" s="629">
        <v>0.42</v>
      </c>
      <c r="P24" s="629">
        <v>0.4</v>
      </c>
      <c r="Q24" s="629">
        <v>1</v>
      </c>
      <c r="R24" s="629">
        <v>1.6</v>
      </c>
      <c r="S24" s="629"/>
      <c r="T24" s="629">
        <v>0.12</v>
      </c>
      <c r="U24" s="629">
        <v>0.12</v>
      </c>
      <c r="V24" s="629"/>
      <c r="W24" s="629"/>
      <c r="X24" s="629"/>
      <c r="Y24" s="629">
        <v>24.28</v>
      </c>
      <c r="Z24" s="629"/>
    </row>
    <row r="25" spans="1:27" s="593" customFormat="1">
      <c r="A25" s="628" t="s">
        <v>772</v>
      </c>
      <c r="B25" s="628">
        <v>1</v>
      </c>
      <c r="C25" s="629" t="s">
        <v>510</v>
      </c>
      <c r="D25" s="629" t="s">
        <v>796</v>
      </c>
      <c r="E25" s="629"/>
      <c r="F25" s="629"/>
      <c r="G25" s="629"/>
      <c r="H25" s="629" t="s">
        <v>934</v>
      </c>
      <c r="I25" s="629" t="s">
        <v>145</v>
      </c>
      <c r="J25" s="629" t="s">
        <v>666</v>
      </c>
      <c r="K25" s="629" t="s">
        <v>669</v>
      </c>
      <c r="L25" s="629"/>
      <c r="M25" s="629"/>
      <c r="N25" s="629">
        <v>0.9</v>
      </c>
      <c r="O25" s="629">
        <v>0.9</v>
      </c>
      <c r="P25" s="629">
        <v>0.4</v>
      </c>
      <c r="Q25" s="629">
        <v>1</v>
      </c>
      <c r="R25" s="629">
        <v>1.6</v>
      </c>
      <c r="S25" s="629"/>
      <c r="T25" s="629">
        <v>0.04</v>
      </c>
      <c r="U25" s="629">
        <v>0.05</v>
      </c>
      <c r="V25" s="629"/>
      <c r="W25" s="629">
        <v>1</v>
      </c>
      <c r="X25" s="629"/>
      <c r="Y25" s="629">
        <v>36.020000000000003</v>
      </c>
      <c r="Z25" s="629"/>
    </row>
    <row r="26" spans="1:27" s="593" customFormat="1">
      <c r="A26" s="628" t="s">
        <v>772</v>
      </c>
      <c r="B26" s="628">
        <v>1</v>
      </c>
      <c r="C26" s="629" t="s">
        <v>533</v>
      </c>
      <c r="D26" s="629" t="s">
        <v>797</v>
      </c>
      <c r="E26" s="629"/>
      <c r="F26" s="629"/>
      <c r="G26" s="629"/>
      <c r="H26" s="629" t="s">
        <v>934</v>
      </c>
      <c r="I26" s="629" t="s">
        <v>145</v>
      </c>
      <c r="J26" s="629" t="s">
        <v>666</v>
      </c>
      <c r="K26" s="629" t="s">
        <v>669</v>
      </c>
      <c r="L26" s="629"/>
      <c r="M26" s="629"/>
      <c r="N26" s="629">
        <v>0.9</v>
      </c>
      <c r="O26" s="629">
        <v>0.9</v>
      </c>
      <c r="P26" s="629">
        <v>0.4</v>
      </c>
      <c r="Q26" s="629">
        <v>1</v>
      </c>
      <c r="R26" s="629">
        <v>1.6</v>
      </c>
      <c r="S26" s="629"/>
      <c r="T26" s="629">
        <v>0.12</v>
      </c>
      <c r="U26" s="629">
        <v>0.12</v>
      </c>
      <c r="V26" s="629"/>
      <c r="W26" s="629">
        <v>0.6</v>
      </c>
      <c r="X26" s="629"/>
      <c r="Y26" s="629">
        <v>24.28</v>
      </c>
      <c r="Z26" s="629"/>
    </row>
    <row r="27" spans="1:27" s="592" customFormat="1">
      <c r="A27" s="628" t="s">
        <v>772</v>
      </c>
      <c r="B27" s="628">
        <v>1</v>
      </c>
      <c r="C27" s="629" t="s">
        <v>512</v>
      </c>
      <c r="D27" s="629" t="s">
        <v>798</v>
      </c>
      <c r="E27" s="629"/>
      <c r="F27" s="629"/>
      <c r="G27" s="629"/>
      <c r="H27" s="629" t="s">
        <v>934</v>
      </c>
      <c r="I27" s="629" t="s">
        <v>145</v>
      </c>
      <c r="J27" s="629" t="s">
        <v>669</v>
      </c>
      <c r="K27" s="629"/>
      <c r="L27" s="629"/>
      <c r="M27" s="629"/>
      <c r="N27" s="629">
        <v>0.9</v>
      </c>
      <c r="O27" s="629">
        <v>0.9</v>
      </c>
      <c r="P27" s="629">
        <v>0</v>
      </c>
      <c r="Q27" s="629">
        <v>1</v>
      </c>
      <c r="R27" s="629">
        <v>2</v>
      </c>
      <c r="S27" s="629"/>
      <c r="T27" s="629">
        <v>0.05</v>
      </c>
      <c r="U27" s="629">
        <v>0.05</v>
      </c>
      <c r="V27" s="629"/>
      <c r="W27" s="629"/>
      <c r="X27" s="629"/>
      <c r="Y27" s="629"/>
      <c r="Z27" s="629"/>
    </row>
    <row r="28" spans="1:27">
      <c r="A28" s="628" t="s">
        <v>772</v>
      </c>
      <c r="B28" s="628">
        <v>1</v>
      </c>
      <c r="C28" s="629" t="s">
        <v>248</v>
      </c>
      <c r="D28" s="629" t="s">
        <v>799</v>
      </c>
      <c r="E28" s="629"/>
      <c r="F28" s="629"/>
      <c r="G28" s="629"/>
      <c r="H28" s="629" t="s">
        <v>934</v>
      </c>
      <c r="I28" s="629" t="s">
        <v>248</v>
      </c>
      <c r="J28" s="629" t="s">
        <v>666</v>
      </c>
      <c r="K28" s="629"/>
      <c r="L28" s="629"/>
      <c r="M28" s="629"/>
      <c r="N28" s="629">
        <v>0.35</v>
      </c>
      <c r="O28" s="629">
        <v>0.35</v>
      </c>
      <c r="P28" s="629">
        <v>0.5</v>
      </c>
      <c r="Q28" s="629">
        <v>1</v>
      </c>
      <c r="R28" s="629">
        <v>1.1000000000000001</v>
      </c>
      <c r="S28" s="629"/>
      <c r="T28" s="629">
        <v>0.08</v>
      </c>
      <c r="U28" s="629">
        <v>0.08</v>
      </c>
      <c r="V28" s="629"/>
      <c r="W28" s="629"/>
      <c r="X28" s="629"/>
      <c r="Y28" s="629">
        <v>38.4</v>
      </c>
      <c r="Z28" s="629"/>
    </row>
    <row r="29" spans="1:27">
      <c r="A29" s="628" t="s">
        <v>772</v>
      </c>
      <c r="B29" s="628">
        <v>1</v>
      </c>
      <c r="C29" s="629" t="s">
        <v>383</v>
      </c>
      <c r="D29" s="629" t="s">
        <v>800</v>
      </c>
      <c r="E29" s="629"/>
      <c r="F29" s="629"/>
      <c r="G29" s="629"/>
      <c r="H29" s="629" t="s">
        <v>934</v>
      </c>
      <c r="I29" s="629" t="s">
        <v>247</v>
      </c>
      <c r="J29" s="629" t="s">
        <v>666</v>
      </c>
      <c r="K29" s="629"/>
      <c r="L29" s="629"/>
      <c r="M29" s="629"/>
      <c r="N29" s="629">
        <v>0.35</v>
      </c>
      <c r="O29" s="629">
        <v>0.35</v>
      </c>
      <c r="P29" s="629">
        <v>0.5</v>
      </c>
      <c r="Q29" s="629">
        <v>1</v>
      </c>
      <c r="R29" s="629">
        <v>3.3</v>
      </c>
      <c r="S29" s="629"/>
      <c r="T29" s="629">
        <v>0.08</v>
      </c>
      <c r="U29" s="629">
        <v>0.08</v>
      </c>
      <c r="V29" s="629"/>
      <c r="W29" s="629"/>
      <c r="X29" s="629"/>
      <c r="Y29" s="629">
        <v>93.97</v>
      </c>
      <c r="Z29" s="629"/>
    </row>
    <row r="30" spans="1:27">
      <c r="A30" s="699" t="s">
        <v>772</v>
      </c>
      <c r="B30" s="699">
        <v>1</v>
      </c>
      <c r="C30" s="700" t="s">
        <v>904</v>
      </c>
      <c r="D30" s="700" t="s">
        <v>905</v>
      </c>
      <c r="E30" s="700"/>
      <c r="F30" s="700"/>
      <c r="G30" s="700"/>
      <c r="H30" s="700" t="s">
        <v>934</v>
      </c>
      <c r="I30" s="700" t="s">
        <v>801</v>
      </c>
      <c r="J30" s="700" t="s">
        <v>666</v>
      </c>
      <c r="K30" s="700" t="s">
        <v>669</v>
      </c>
      <c r="L30" s="742"/>
      <c r="M30" s="700"/>
      <c r="N30" s="700">
        <v>0.55000000000000004</v>
      </c>
      <c r="O30" s="700">
        <v>0.55000000000000004</v>
      </c>
      <c r="P30" s="700">
        <v>0.5</v>
      </c>
      <c r="Q30" s="700">
        <v>1</v>
      </c>
      <c r="R30" s="700">
        <v>3.3</v>
      </c>
      <c r="S30" s="700"/>
      <c r="T30" s="700">
        <v>0.08</v>
      </c>
      <c r="U30" s="700">
        <v>0.08</v>
      </c>
      <c r="V30" s="700">
        <v>0</v>
      </c>
      <c r="W30" s="700">
        <v>0.87</v>
      </c>
      <c r="X30" s="700"/>
      <c r="Y30" s="700">
        <v>57.17</v>
      </c>
      <c r="Z30" s="700"/>
      <c r="AA30" s="701" t="s">
        <v>906</v>
      </c>
    </row>
    <row r="31" spans="1:27">
      <c r="A31" s="628" t="s">
        <v>772</v>
      </c>
      <c r="B31" s="628">
        <v>1</v>
      </c>
      <c r="C31" s="629" t="s">
        <v>411</v>
      </c>
      <c r="D31" s="629" t="s">
        <v>802</v>
      </c>
      <c r="E31" s="629"/>
      <c r="F31" s="629"/>
      <c r="G31" s="629"/>
      <c r="H31" s="629" t="s">
        <v>934</v>
      </c>
      <c r="I31" s="629" t="s">
        <v>776</v>
      </c>
      <c r="J31" s="629" t="s">
        <v>666</v>
      </c>
      <c r="K31" s="629"/>
      <c r="L31" s="629"/>
      <c r="M31" s="629"/>
      <c r="N31" s="629">
        <v>0.39</v>
      </c>
      <c r="O31" s="629">
        <v>0.39</v>
      </c>
      <c r="P31" s="629">
        <v>0.5</v>
      </c>
      <c r="Q31" s="629">
        <v>1</v>
      </c>
      <c r="R31" s="629">
        <v>3.3</v>
      </c>
      <c r="S31" s="629"/>
      <c r="T31" s="629">
        <v>0.08</v>
      </c>
      <c r="U31" s="629">
        <v>0.08</v>
      </c>
      <c r="V31" s="629"/>
      <c r="W31" s="629"/>
      <c r="X31" s="629"/>
      <c r="Y31" s="629">
        <v>57.17</v>
      </c>
      <c r="Z31" s="629"/>
    </row>
    <row r="32" spans="1:27" s="592" customFormat="1">
      <c r="A32" s="628" t="s">
        <v>772</v>
      </c>
      <c r="B32" s="628">
        <v>1</v>
      </c>
      <c r="C32" s="629" t="s">
        <v>511</v>
      </c>
      <c r="D32" s="629" t="s">
        <v>803</v>
      </c>
      <c r="E32" s="629"/>
      <c r="F32" s="629"/>
      <c r="G32" s="629"/>
      <c r="H32" s="629" t="s">
        <v>934</v>
      </c>
      <c r="I32" s="629" t="s">
        <v>247</v>
      </c>
      <c r="J32" s="629" t="s">
        <v>669</v>
      </c>
      <c r="K32" s="629"/>
      <c r="L32" s="629"/>
      <c r="M32" s="629"/>
      <c r="N32" s="629">
        <v>0.9</v>
      </c>
      <c r="O32" s="629">
        <v>0.9</v>
      </c>
      <c r="P32" s="629">
        <v>0</v>
      </c>
      <c r="Q32" s="629">
        <v>1</v>
      </c>
      <c r="R32" s="629">
        <v>2</v>
      </c>
      <c r="S32" s="629"/>
      <c r="T32" s="629">
        <v>0.05</v>
      </c>
      <c r="U32" s="629">
        <v>0.05</v>
      </c>
      <c r="V32" s="629"/>
      <c r="W32" s="629"/>
      <c r="X32" s="629"/>
      <c r="Y32" s="629"/>
      <c r="Z32" s="629"/>
    </row>
    <row r="33" spans="1:26" s="592" customFormat="1">
      <c r="A33" s="628" t="s">
        <v>772</v>
      </c>
      <c r="B33" s="628">
        <v>1</v>
      </c>
      <c r="C33" s="629" t="s">
        <v>520</v>
      </c>
      <c r="D33" s="629" t="s">
        <v>804</v>
      </c>
      <c r="E33" s="629"/>
      <c r="F33" s="629"/>
      <c r="G33" s="629"/>
      <c r="H33" s="629" t="s">
        <v>934</v>
      </c>
      <c r="I33" s="629" t="s">
        <v>805</v>
      </c>
      <c r="J33" s="629" t="s">
        <v>666</v>
      </c>
      <c r="K33" s="629" t="s">
        <v>669</v>
      </c>
      <c r="L33" s="629"/>
      <c r="M33" s="629"/>
      <c r="N33" s="629">
        <v>0.89</v>
      </c>
      <c r="O33" s="629">
        <v>0.89</v>
      </c>
      <c r="P33" s="629">
        <v>0.5</v>
      </c>
      <c r="Q33" s="629">
        <v>1</v>
      </c>
      <c r="R33" s="629">
        <v>2</v>
      </c>
      <c r="S33" s="629"/>
      <c r="T33" s="629">
        <v>0.05</v>
      </c>
      <c r="U33" s="629">
        <v>0.05</v>
      </c>
      <c r="V33" s="629"/>
      <c r="W33" s="629">
        <v>0.4</v>
      </c>
      <c r="X33" s="629"/>
      <c r="Y33" s="629">
        <v>150</v>
      </c>
      <c r="Z33" s="629"/>
    </row>
    <row r="34" spans="1:26" s="594" customFormat="1">
      <c r="A34" s="628" t="s">
        <v>772</v>
      </c>
      <c r="B34" s="628">
        <v>1</v>
      </c>
      <c r="C34" s="629" t="s">
        <v>536</v>
      </c>
      <c r="D34" s="629" t="s">
        <v>806</v>
      </c>
      <c r="E34" s="629"/>
      <c r="F34" s="629"/>
      <c r="G34" s="629"/>
      <c r="H34" s="629" t="s">
        <v>934</v>
      </c>
      <c r="I34" s="629" t="s">
        <v>805</v>
      </c>
      <c r="J34" s="629" t="s">
        <v>669</v>
      </c>
      <c r="K34" s="629"/>
      <c r="L34" s="629"/>
      <c r="M34" s="629"/>
      <c r="N34" s="629">
        <v>0.9</v>
      </c>
      <c r="O34" s="629">
        <v>0.9</v>
      </c>
      <c r="P34" s="629">
        <v>0</v>
      </c>
      <c r="Q34" s="629">
        <v>1</v>
      </c>
      <c r="R34" s="629">
        <v>2</v>
      </c>
      <c r="S34" s="629"/>
      <c r="T34" s="629">
        <v>0.05</v>
      </c>
      <c r="U34" s="629">
        <v>0.05</v>
      </c>
      <c r="V34" s="629"/>
      <c r="W34" s="629"/>
      <c r="X34" s="629"/>
      <c r="Y34" s="629"/>
      <c r="Z34" s="629"/>
    </row>
    <row r="35" spans="1:26" s="592" customFormat="1">
      <c r="A35" s="628" t="s">
        <v>772</v>
      </c>
      <c r="B35" s="628">
        <v>1</v>
      </c>
      <c r="C35" s="629" t="s">
        <v>513</v>
      </c>
      <c r="D35" s="629" t="s">
        <v>807</v>
      </c>
      <c r="E35" s="629"/>
      <c r="F35" s="629"/>
      <c r="G35" s="629"/>
      <c r="H35" s="629"/>
      <c r="I35" s="629" t="s">
        <v>776</v>
      </c>
      <c r="J35" s="629" t="s">
        <v>669</v>
      </c>
      <c r="K35" s="629"/>
      <c r="L35" s="629"/>
      <c r="M35" s="629"/>
      <c r="N35" s="629">
        <v>0.9</v>
      </c>
      <c r="O35" s="629">
        <v>0.9</v>
      </c>
      <c r="P35" s="629">
        <v>0</v>
      </c>
      <c r="Q35" s="629">
        <v>1</v>
      </c>
      <c r="R35" s="629">
        <v>2</v>
      </c>
      <c r="S35" s="629"/>
      <c r="T35" s="629">
        <v>0.05</v>
      </c>
      <c r="U35" s="629">
        <v>0.05</v>
      </c>
      <c r="V35" s="629"/>
      <c r="W35" s="629"/>
      <c r="X35" s="629"/>
      <c r="Y35" s="629"/>
      <c r="Z35" s="629"/>
    </row>
    <row r="36" spans="1:26" s="592" customFormat="1">
      <c r="A36" s="628" t="s">
        <v>772</v>
      </c>
      <c r="B36" s="628">
        <v>1</v>
      </c>
      <c r="C36" s="629" t="s">
        <v>516</v>
      </c>
      <c r="D36" s="629" t="s">
        <v>808</v>
      </c>
      <c r="E36" s="629"/>
      <c r="F36" s="629"/>
      <c r="G36" s="629"/>
      <c r="H36" s="629"/>
      <c r="I36" s="629" t="s">
        <v>776</v>
      </c>
      <c r="J36" s="629" t="s">
        <v>666</v>
      </c>
      <c r="K36" s="629" t="s">
        <v>669</v>
      </c>
      <c r="L36" s="629"/>
      <c r="M36" s="629"/>
      <c r="N36" s="629">
        <v>0.89</v>
      </c>
      <c r="O36" s="629">
        <v>0.89</v>
      </c>
      <c r="P36" s="629">
        <v>0.4</v>
      </c>
      <c r="Q36" s="629">
        <v>1</v>
      </c>
      <c r="R36" s="629">
        <v>2</v>
      </c>
      <c r="S36" s="629"/>
      <c r="T36" s="629">
        <v>0.05</v>
      </c>
      <c r="U36" s="629">
        <v>0.05</v>
      </c>
      <c r="V36" s="629"/>
      <c r="W36" s="629">
        <v>0.5</v>
      </c>
      <c r="X36" s="629"/>
      <c r="Y36" s="629">
        <v>90</v>
      </c>
      <c r="Z36" s="629"/>
    </row>
    <row r="37" spans="1:26" s="591" customFormat="1">
      <c r="A37" s="623" t="s">
        <v>772</v>
      </c>
      <c r="B37" s="623">
        <v>1</v>
      </c>
      <c r="C37" s="624" t="s">
        <v>445</v>
      </c>
      <c r="D37" s="624" t="s">
        <v>809</v>
      </c>
      <c r="E37" s="624"/>
      <c r="F37" s="624"/>
      <c r="G37" s="624"/>
      <c r="H37" s="624"/>
      <c r="I37" s="624" t="s">
        <v>776</v>
      </c>
      <c r="J37" s="624" t="s">
        <v>666</v>
      </c>
      <c r="K37" s="624" t="s">
        <v>671</v>
      </c>
      <c r="L37" s="624"/>
      <c r="M37" s="624"/>
      <c r="N37" s="624">
        <v>0.9</v>
      </c>
      <c r="O37" s="624">
        <v>0.9</v>
      </c>
      <c r="P37" s="624">
        <v>0.4</v>
      </c>
      <c r="Q37" s="624">
        <v>1</v>
      </c>
      <c r="R37" s="624">
        <v>2</v>
      </c>
      <c r="S37" s="624"/>
      <c r="T37" s="624">
        <v>0.05</v>
      </c>
      <c r="U37" s="624">
        <v>0.05</v>
      </c>
      <c r="V37" s="624"/>
      <c r="W37" s="624">
        <v>0.5</v>
      </c>
      <c r="X37" s="625">
        <v>-0.16666666666666666</v>
      </c>
      <c r="Y37" s="624">
        <v>90</v>
      </c>
      <c r="Z37" s="624"/>
    </row>
    <row r="38" spans="1:26">
      <c r="A38" s="628" t="s">
        <v>772</v>
      </c>
      <c r="B38" s="628">
        <v>1</v>
      </c>
      <c r="C38" s="629" t="s">
        <v>402</v>
      </c>
      <c r="D38" s="629" t="s">
        <v>810</v>
      </c>
      <c r="E38" s="629"/>
      <c r="F38" s="629"/>
      <c r="G38" s="629" t="s">
        <v>811</v>
      </c>
      <c r="H38" s="629"/>
      <c r="I38" s="629" t="s">
        <v>812</v>
      </c>
      <c r="J38" s="629" t="s">
        <v>666</v>
      </c>
      <c r="K38" s="629"/>
      <c r="L38" s="629"/>
      <c r="M38" s="629"/>
      <c r="N38" s="629">
        <v>1</v>
      </c>
      <c r="O38" s="629">
        <v>1</v>
      </c>
      <c r="P38" s="629">
        <v>0</v>
      </c>
      <c r="Q38" s="629">
        <v>1</v>
      </c>
      <c r="R38" s="629">
        <v>2</v>
      </c>
      <c r="S38" s="629"/>
      <c r="T38" s="629"/>
      <c r="U38" s="629"/>
      <c r="V38" s="629"/>
      <c r="W38" s="629"/>
      <c r="X38" s="629"/>
      <c r="Y38" s="629">
        <v>0</v>
      </c>
      <c r="Z38" s="629"/>
    </row>
    <row r="39" spans="1:26">
      <c r="A39" s="628" t="s">
        <v>772</v>
      </c>
      <c r="B39" s="628">
        <v>1</v>
      </c>
      <c r="C39" s="629" t="s">
        <v>403</v>
      </c>
      <c r="D39" s="629" t="s">
        <v>813</v>
      </c>
      <c r="E39" s="629"/>
      <c r="F39" s="629"/>
      <c r="G39" s="629" t="s">
        <v>814</v>
      </c>
      <c r="H39" s="629"/>
      <c r="I39" s="629" t="s">
        <v>812</v>
      </c>
      <c r="J39" s="629" t="s">
        <v>666</v>
      </c>
      <c r="K39" s="629"/>
      <c r="L39" s="629"/>
      <c r="M39" s="629"/>
      <c r="N39" s="629">
        <v>1</v>
      </c>
      <c r="O39" s="629">
        <v>1</v>
      </c>
      <c r="P39" s="629">
        <v>0</v>
      </c>
      <c r="Q39" s="629">
        <v>1</v>
      </c>
      <c r="R39" s="629">
        <v>2.5</v>
      </c>
      <c r="S39" s="629"/>
      <c r="T39" s="629"/>
      <c r="U39" s="629"/>
      <c r="V39" s="629"/>
      <c r="W39" s="629"/>
      <c r="X39" s="629"/>
      <c r="Y39" s="629">
        <v>0</v>
      </c>
      <c r="Z39" s="629"/>
    </row>
    <row r="40" spans="1:26">
      <c r="A40" s="628" t="s">
        <v>772</v>
      </c>
      <c r="B40" s="628">
        <v>1</v>
      </c>
      <c r="C40" s="629" t="s">
        <v>233</v>
      </c>
      <c r="D40" s="629" t="s">
        <v>815</v>
      </c>
      <c r="E40" s="629"/>
      <c r="F40" s="629"/>
      <c r="G40" s="629" t="s">
        <v>815</v>
      </c>
      <c r="H40" s="629"/>
      <c r="I40" s="629" t="s">
        <v>812</v>
      </c>
      <c r="J40" s="629" t="s">
        <v>666</v>
      </c>
      <c r="K40" s="629"/>
      <c r="L40" s="629"/>
      <c r="M40" s="629"/>
      <c r="N40" s="629">
        <v>1</v>
      </c>
      <c r="O40" s="629">
        <v>1</v>
      </c>
      <c r="P40" s="629">
        <v>0</v>
      </c>
      <c r="Q40" s="629">
        <v>1</v>
      </c>
      <c r="R40" s="629">
        <v>1</v>
      </c>
      <c r="S40" s="629"/>
      <c r="T40" s="629"/>
      <c r="U40" s="629"/>
      <c r="V40" s="629"/>
      <c r="W40" s="629"/>
      <c r="X40" s="629"/>
      <c r="Y40" s="629">
        <v>0</v>
      </c>
      <c r="Z40" s="629"/>
    </row>
    <row r="41" spans="1:26">
      <c r="A41" s="628" t="s">
        <v>772</v>
      </c>
      <c r="B41" s="628">
        <v>1</v>
      </c>
      <c r="C41" s="629" t="s">
        <v>371</v>
      </c>
      <c r="D41" s="629" t="s">
        <v>816</v>
      </c>
      <c r="E41" s="629"/>
      <c r="F41" s="629"/>
      <c r="G41" s="629"/>
      <c r="H41" s="629"/>
      <c r="I41" s="629" t="s">
        <v>817</v>
      </c>
      <c r="J41" s="629" t="s">
        <v>666</v>
      </c>
      <c r="K41" s="629"/>
      <c r="L41" s="629"/>
      <c r="M41" s="629"/>
      <c r="N41" s="629">
        <v>0.99</v>
      </c>
      <c r="O41" s="629">
        <v>0.99</v>
      </c>
      <c r="P41" s="629">
        <v>0</v>
      </c>
      <c r="Q41" s="629">
        <v>1</v>
      </c>
      <c r="R41" s="629">
        <v>2</v>
      </c>
      <c r="S41" s="629"/>
      <c r="T41" s="629"/>
      <c r="U41" s="629"/>
      <c r="V41" s="629"/>
      <c r="W41" s="629"/>
      <c r="X41" s="629"/>
      <c r="Y41" s="629">
        <v>0</v>
      </c>
      <c r="Z41" s="629"/>
    </row>
    <row r="42" spans="1:26">
      <c r="A42" s="628" t="s">
        <v>772</v>
      </c>
      <c r="B42" s="628">
        <v>1</v>
      </c>
      <c r="C42" s="629" t="s">
        <v>373</v>
      </c>
      <c r="D42" s="629" t="s">
        <v>818</v>
      </c>
      <c r="E42" s="629"/>
      <c r="F42" s="629"/>
      <c r="G42" s="629"/>
      <c r="H42" s="629"/>
      <c r="I42" s="629" t="s">
        <v>819</v>
      </c>
      <c r="J42" s="629" t="s">
        <v>666</v>
      </c>
      <c r="K42" s="629"/>
      <c r="L42" s="629"/>
      <c r="M42" s="629"/>
      <c r="N42" s="629">
        <v>0.99</v>
      </c>
      <c r="O42" s="629">
        <v>0.99</v>
      </c>
      <c r="P42" s="629">
        <v>0</v>
      </c>
      <c r="Q42" s="629">
        <v>1</v>
      </c>
      <c r="R42" s="629">
        <v>2</v>
      </c>
      <c r="S42" s="629"/>
      <c r="T42" s="629"/>
      <c r="U42" s="629"/>
      <c r="V42" s="629"/>
      <c r="W42" s="629"/>
      <c r="X42" s="629"/>
      <c r="Y42" s="629">
        <v>0</v>
      </c>
      <c r="Z42" s="629"/>
    </row>
    <row r="43" spans="1:26">
      <c r="A43" s="628" t="s">
        <v>772</v>
      </c>
      <c r="B43" s="628">
        <v>1</v>
      </c>
      <c r="C43" s="629" t="s">
        <v>514</v>
      </c>
      <c r="D43" s="629" t="s">
        <v>820</v>
      </c>
      <c r="E43" s="629"/>
      <c r="F43" s="629"/>
      <c r="G43" s="629"/>
      <c r="H43" s="629"/>
      <c r="I43" s="629" t="s">
        <v>666</v>
      </c>
      <c r="J43" s="629" t="s">
        <v>669</v>
      </c>
      <c r="K43" s="629"/>
      <c r="L43" s="629"/>
      <c r="M43" s="629"/>
      <c r="N43" s="629">
        <v>2.8</v>
      </c>
      <c r="O43" s="629">
        <v>2.8</v>
      </c>
      <c r="P43" s="629">
        <v>0</v>
      </c>
      <c r="Q43" s="629">
        <v>1</v>
      </c>
      <c r="R43" s="629">
        <v>6</v>
      </c>
      <c r="S43" s="629"/>
      <c r="T43" s="629"/>
      <c r="U43" s="629"/>
      <c r="V43" s="629"/>
      <c r="W43" s="629"/>
      <c r="X43" s="629"/>
      <c r="Y43" s="629">
        <v>0</v>
      </c>
      <c r="Z43" s="629"/>
    </row>
    <row r="44" spans="1:26">
      <c r="A44" s="628" t="s">
        <v>772</v>
      </c>
      <c r="B44" s="628">
        <v>1</v>
      </c>
      <c r="C44" s="629" t="s">
        <v>515</v>
      </c>
      <c r="D44" s="629" t="s">
        <v>821</v>
      </c>
      <c r="E44" s="629"/>
      <c r="F44" s="629"/>
      <c r="G44" s="629"/>
      <c r="H44" s="629"/>
      <c r="I44" s="629" t="s">
        <v>666</v>
      </c>
      <c r="J44" s="629" t="s">
        <v>669</v>
      </c>
      <c r="K44" s="629"/>
      <c r="L44" s="629"/>
      <c r="M44" s="629"/>
      <c r="N44" s="629">
        <v>0.98</v>
      </c>
      <c r="O44" s="629">
        <v>0.98</v>
      </c>
      <c r="P44" s="629">
        <v>0</v>
      </c>
      <c r="Q44" s="629">
        <v>1</v>
      </c>
      <c r="R44" s="629">
        <v>13</v>
      </c>
      <c r="S44" s="629"/>
      <c r="T44" s="629"/>
      <c r="U44" s="629"/>
      <c r="V44" s="629"/>
      <c r="W44" s="629"/>
      <c r="X44" s="629"/>
      <c r="Y44" s="629">
        <v>0</v>
      </c>
      <c r="Z44" s="629"/>
    </row>
    <row r="45" spans="1:26" s="591" customFormat="1">
      <c r="A45" s="620" t="s">
        <v>772</v>
      </c>
      <c r="B45" s="620">
        <v>1</v>
      </c>
      <c r="C45" s="621" t="s">
        <v>698</v>
      </c>
      <c r="D45" s="621" t="s">
        <v>823</v>
      </c>
      <c r="E45" s="621"/>
      <c r="F45" s="621"/>
      <c r="G45" s="621"/>
      <c r="H45" s="621"/>
      <c r="I45" s="621" t="s">
        <v>822</v>
      </c>
      <c r="J45" s="621" t="s">
        <v>666</v>
      </c>
      <c r="K45" s="621"/>
      <c r="L45" s="621"/>
      <c r="M45" s="621"/>
      <c r="N45" s="621">
        <v>0.95</v>
      </c>
      <c r="O45" s="621">
        <v>0.95</v>
      </c>
      <c r="P45" s="621">
        <v>0</v>
      </c>
      <c r="Q45" s="621">
        <v>1</v>
      </c>
      <c r="R45" s="621">
        <v>0.95</v>
      </c>
      <c r="S45" s="621"/>
      <c r="T45" s="621"/>
      <c r="U45" s="621"/>
      <c r="V45" s="621"/>
      <c r="W45" s="621"/>
      <c r="X45" s="621"/>
      <c r="Y45" s="621">
        <v>0</v>
      </c>
      <c r="Z45" s="621">
        <v>4</v>
      </c>
    </row>
    <row r="46" spans="1:26" s="591" customFormat="1">
      <c r="A46" s="620" t="s">
        <v>772</v>
      </c>
      <c r="B46" s="620">
        <v>1</v>
      </c>
      <c r="C46" s="621" t="s">
        <v>697</v>
      </c>
      <c r="D46" s="621" t="s">
        <v>824</v>
      </c>
      <c r="E46" s="621"/>
      <c r="F46" s="621"/>
      <c r="G46" s="621"/>
      <c r="H46" s="621"/>
      <c r="I46" s="621" t="s">
        <v>666</v>
      </c>
      <c r="J46" s="621" t="s">
        <v>822</v>
      </c>
      <c r="K46" s="621"/>
      <c r="L46" s="621"/>
      <c r="M46" s="621"/>
      <c r="N46" s="621">
        <v>0.95</v>
      </c>
      <c r="O46" s="621">
        <v>0.95</v>
      </c>
      <c r="P46" s="621">
        <v>0</v>
      </c>
      <c r="Q46" s="621">
        <v>1</v>
      </c>
      <c r="R46" s="621">
        <v>0.95</v>
      </c>
      <c r="S46" s="621"/>
      <c r="T46" s="621"/>
      <c r="U46" s="621"/>
      <c r="V46" s="621"/>
      <c r="W46" s="621"/>
      <c r="X46" s="621"/>
      <c r="Y46" s="621">
        <v>0</v>
      </c>
      <c r="Z46" s="621"/>
    </row>
    <row r="47" spans="1:26">
      <c r="A47" s="590" t="s">
        <v>772</v>
      </c>
      <c r="B47" s="590">
        <v>1</v>
      </c>
      <c r="C47" s="591" t="s">
        <v>825</v>
      </c>
      <c r="D47" s="591" t="s">
        <v>826</v>
      </c>
      <c r="E47" s="591"/>
      <c r="F47" s="591"/>
      <c r="G47" s="591"/>
      <c r="H47" s="591"/>
      <c r="I47" s="591" t="s">
        <v>827</v>
      </c>
      <c r="J47" s="591" t="s">
        <v>666</v>
      </c>
      <c r="K47" s="591"/>
      <c r="L47" s="591"/>
      <c r="M47" s="591"/>
      <c r="N47" s="591">
        <v>1</v>
      </c>
      <c r="O47" s="591">
        <v>1</v>
      </c>
      <c r="P47" s="591">
        <v>0</v>
      </c>
      <c r="Q47" s="591">
        <v>1</v>
      </c>
      <c r="R47" s="621">
        <v>1.1000000000000001</v>
      </c>
      <c r="S47" s="591"/>
      <c r="T47" s="591"/>
      <c r="U47" s="591"/>
      <c r="V47" s="591"/>
      <c r="W47" s="591"/>
      <c r="X47" s="591"/>
      <c r="Y47" s="591">
        <v>0</v>
      </c>
      <c r="Z47" s="591"/>
    </row>
    <row r="48" spans="1:26">
      <c r="A48" s="590" t="s">
        <v>772</v>
      </c>
      <c r="B48" s="590">
        <v>1</v>
      </c>
      <c r="C48" s="591" t="s">
        <v>828</v>
      </c>
      <c r="D48" s="591" t="s">
        <v>829</v>
      </c>
      <c r="E48" s="591"/>
      <c r="F48" s="591"/>
      <c r="G48" s="591"/>
      <c r="H48" s="591"/>
      <c r="I48" s="591" t="s">
        <v>666</v>
      </c>
      <c r="J48" s="591" t="s">
        <v>827</v>
      </c>
      <c r="K48" s="591"/>
      <c r="L48" s="591"/>
      <c r="M48" s="591"/>
      <c r="N48" s="591">
        <v>0.8</v>
      </c>
      <c r="O48" s="591">
        <v>0.8</v>
      </c>
      <c r="P48" s="591">
        <v>0</v>
      </c>
      <c r="Q48" s="591">
        <v>1</v>
      </c>
      <c r="R48" s="621">
        <v>1</v>
      </c>
      <c r="S48" s="591"/>
      <c r="T48" s="591"/>
      <c r="U48" s="591"/>
      <c r="V48" s="591"/>
      <c r="W48" s="591"/>
      <c r="X48" s="591"/>
      <c r="Y48" s="591">
        <v>0</v>
      </c>
      <c r="Z48" s="591"/>
    </row>
    <row r="49" spans="1:26" s="591" customFormat="1">
      <c r="A49" s="620" t="s">
        <v>772</v>
      </c>
      <c r="B49" s="620">
        <v>1</v>
      </c>
      <c r="C49" s="621" t="s">
        <v>443</v>
      </c>
      <c r="D49" s="621" t="s">
        <v>830</v>
      </c>
      <c r="E49" s="621"/>
      <c r="F49" s="621"/>
      <c r="G49" s="621"/>
      <c r="H49" s="621"/>
      <c r="I49" s="621" t="s">
        <v>831</v>
      </c>
      <c r="J49" s="621" t="s">
        <v>666</v>
      </c>
      <c r="K49" s="621"/>
      <c r="L49" s="621"/>
      <c r="M49" s="621"/>
      <c r="N49" s="621">
        <v>1</v>
      </c>
      <c r="O49" s="621">
        <v>1</v>
      </c>
      <c r="P49" s="621">
        <v>0</v>
      </c>
      <c r="Q49" s="621">
        <v>1</v>
      </c>
      <c r="R49" s="621">
        <v>0.9</v>
      </c>
      <c r="S49" s="621"/>
      <c r="T49" s="621"/>
      <c r="U49" s="621"/>
      <c r="V49" s="621"/>
      <c r="W49" s="621"/>
      <c r="X49" s="621"/>
      <c r="Y49" s="621">
        <v>0</v>
      </c>
      <c r="Z49" s="621"/>
    </row>
    <row r="50" spans="1:26" s="591" customFormat="1">
      <c r="A50" s="620" t="s">
        <v>772</v>
      </c>
      <c r="B50" s="620">
        <v>1</v>
      </c>
      <c r="C50" s="621" t="s">
        <v>444</v>
      </c>
      <c r="D50" s="621" t="s">
        <v>832</v>
      </c>
      <c r="E50" s="621"/>
      <c r="F50" s="621"/>
      <c r="G50" s="621"/>
      <c r="H50" s="621"/>
      <c r="I50" s="621" t="s">
        <v>666</v>
      </c>
      <c r="J50" s="621" t="s">
        <v>831</v>
      </c>
      <c r="K50" s="621"/>
      <c r="L50" s="621"/>
      <c r="M50" s="621"/>
      <c r="N50" s="621">
        <v>0.8</v>
      </c>
      <c r="O50" s="621">
        <v>0.8</v>
      </c>
      <c r="P50" s="621">
        <v>0</v>
      </c>
      <c r="Q50" s="621">
        <v>1</v>
      </c>
      <c r="R50" s="621">
        <v>0.9</v>
      </c>
      <c r="S50" s="621"/>
      <c r="T50" s="621"/>
      <c r="U50" s="621"/>
      <c r="V50" s="621"/>
      <c r="W50" s="621"/>
      <c r="X50" s="621"/>
      <c r="Y50" s="621">
        <v>0</v>
      </c>
      <c r="Z50" s="621"/>
    </row>
    <row r="51" spans="1:26" s="591" customFormat="1">
      <c r="A51" s="620" t="s">
        <v>772</v>
      </c>
      <c r="B51" s="620">
        <v>1</v>
      </c>
      <c r="C51" s="621" t="s">
        <v>225</v>
      </c>
      <c r="D51" s="621" t="s">
        <v>833</v>
      </c>
      <c r="E51" s="621"/>
      <c r="F51" s="621"/>
      <c r="G51" s="621"/>
      <c r="H51" s="621"/>
      <c r="I51" s="621" t="s">
        <v>666</v>
      </c>
      <c r="J51" s="621" t="s">
        <v>699</v>
      </c>
      <c r="K51" s="621"/>
      <c r="L51" s="621"/>
      <c r="M51" s="621"/>
      <c r="N51" s="621">
        <v>0.7</v>
      </c>
      <c r="O51" s="621">
        <v>0.7</v>
      </c>
      <c r="P51" s="621">
        <v>0</v>
      </c>
      <c r="Q51" s="621">
        <v>1</v>
      </c>
      <c r="R51" s="621">
        <v>9</v>
      </c>
      <c r="S51" s="621"/>
      <c r="T51" s="621"/>
      <c r="U51" s="621"/>
      <c r="V51" s="621"/>
      <c r="W51" s="621"/>
      <c r="X51" s="621"/>
      <c r="Y51" s="621">
        <v>0</v>
      </c>
      <c r="Z51" s="621"/>
    </row>
    <row r="52" spans="1:26" s="591" customFormat="1">
      <c r="A52" s="620" t="s">
        <v>772</v>
      </c>
      <c r="B52" s="620">
        <v>1</v>
      </c>
      <c r="C52" s="621" t="s">
        <v>684</v>
      </c>
      <c r="D52" s="621" t="s">
        <v>834</v>
      </c>
      <c r="E52" s="621"/>
      <c r="F52" s="621"/>
      <c r="G52" s="621"/>
      <c r="H52" s="621"/>
      <c r="I52" s="621" t="s">
        <v>699</v>
      </c>
      <c r="J52" s="621" t="s">
        <v>835</v>
      </c>
      <c r="K52" s="621"/>
      <c r="L52" s="621"/>
      <c r="M52" s="621"/>
      <c r="N52" s="621">
        <v>0.99</v>
      </c>
      <c r="O52" s="621">
        <v>0.99</v>
      </c>
      <c r="P52" s="621">
        <v>0</v>
      </c>
      <c r="Q52" s="621">
        <v>1</v>
      </c>
      <c r="R52" s="621">
        <v>0.85</v>
      </c>
      <c r="S52" s="621"/>
      <c r="T52" s="621"/>
      <c r="U52" s="621"/>
      <c r="V52" s="621"/>
      <c r="W52" s="621"/>
      <c r="X52" s="621"/>
      <c r="Y52" s="621">
        <v>0</v>
      </c>
      <c r="Z52" s="626"/>
    </row>
    <row r="53" spans="1:26" s="591" customFormat="1">
      <c r="A53" s="620" t="s">
        <v>772</v>
      </c>
      <c r="B53" s="620">
        <v>1</v>
      </c>
      <c r="C53" s="621" t="s">
        <v>685</v>
      </c>
      <c r="D53" s="621" t="s">
        <v>836</v>
      </c>
      <c r="E53" s="621"/>
      <c r="F53" s="621"/>
      <c r="G53" s="621"/>
      <c r="H53" s="621"/>
      <c r="I53" s="621" t="s">
        <v>835</v>
      </c>
      <c r="J53" s="621" t="s">
        <v>699</v>
      </c>
      <c r="K53" s="621"/>
      <c r="L53" s="621"/>
      <c r="M53" s="621"/>
      <c r="N53" s="621">
        <v>1</v>
      </c>
      <c r="O53" s="621">
        <v>1</v>
      </c>
      <c r="P53" s="621">
        <v>0</v>
      </c>
      <c r="Q53" s="621">
        <v>1</v>
      </c>
      <c r="R53" s="621">
        <v>0.85</v>
      </c>
      <c r="S53" s="621"/>
      <c r="T53" s="621"/>
      <c r="U53" s="621"/>
      <c r="V53" s="621"/>
      <c r="W53" s="621"/>
      <c r="X53" s="621"/>
      <c r="Y53" s="621">
        <v>0</v>
      </c>
      <c r="Z53" s="626">
        <f>ROUND('H2'!D50*24,0)</f>
        <v>924</v>
      </c>
    </row>
    <row r="54" spans="1:26" s="591" customFormat="1">
      <c r="A54" s="620" t="s">
        <v>772</v>
      </c>
      <c r="B54" s="620">
        <v>1</v>
      </c>
      <c r="C54" s="621" t="s">
        <v>695</v>
      </c>
      <c r="D54" s="621" t="s">
        <v>837</v>
      </c>
      <c r="E54" s="621"/>
      <c r="F54" s="621"/>
      <c r="G54" s="621"/>
      <c r="H54" s="621"/>
      <c r="I54" s="621" t="s">
        <v>699</v>
      </c>
      <c r="J54" s="621" t="s">
        <v>838</v>
      </c>
      <c r="K54" s="621"/>
      <c r="L54" s="621"/>
      <c r="M54" s="621"/>
      <c r="N54" s="621">
        <v>0.99</v>
      </c>
      <c r="O54" s="621">
        <v>0.99</v>
      </c>
      <c r="P54" s="621">
        <v>0</v>
      </c>
      <c r="Q54" s="621">
        <v>1</v>
      </c>
      <c r="R54" s="621">
        <v>0.8</v>
      </c>
      <c r="S54" s="621"/>
      <c r="T54" s="621"/>
      <c r="U54" s="621"/>
      <c r="V54" s="621"/>
      <c r="W54" s="621"/>
      <c r="X54" s="621"/>
      <c r="Y54" s="621">
        <v>0</v>
      </c>
      <c r="Z54" s="626"/>
    </row>
    <row r="55" spans="1:26" s="591" customFormat="1">
      <c r="A55" s="620" t="s">
        <v>772</v>
      </c>
      <c r="B55" s="620">
        <v>1</v>
      </c>
      <c r="C55" s="621" t="s">
        <v>696</v>
      </c>
      <c r="D55" s="621" t="s">
        <v>839</v>
      </c>
      <c r="E55" s="621"/>
      <c r="F55" s="621"/>
      <c r="G55" s="621"/>
      <c r="H55" s="621"/>
      <c r="I55" s="621" t="s">
        <v>838</v>
      </c>
      <c r="J55" s="621" t="s">
        <v>699</v>
      </c>
      <c r="K55" s="621"/>
      <c r="L55" s="621"/>
      <c r="M55" s="621"/>
      <c r="N55" s="621">
        <v>1</v>
      </c>
      <c r="O55" s="621">
        <v>1</v>
      </c>
      <c r="P55" s="621">
        <v>0</v>
      </c>
      <c r="Q55" s="621">
        <v>1</v>
      </c>
      <c r="R55" s="621">
        <v>0.8</v>
      </c>
      <c r="S55" s="621"/>
      <c r="T55" s="621"/>
      <c r="U55" s="621"/>
      <c r="V55" s="621"/>
      <c r="W55" s="621"/>
      <c r="X55" s="621"/>
      <c r="Y55" s="621">
        <v>0</v>
      </c>
      <c r="Z55" s="626">
        <v>24</v>
      </c>
    </row>
    <row r="56" spans="1:26">
      <c r="A56" s="590" t="s">
        <v>772</v>
      </c>
      <c r="B56" s="590">
        <v>1</v>
      </c>
      <c r="C56" s="591" t="s">
        <v>433</v>
      </c>
      <c r="D56" s="591" t="s">
        <v>840</v>
      </c>
      <c r="E56" s="591" t="b">
        <v>1</v>
      </c>
      <c r="F56" s="591"/>
      <c r="G56" s="591"/>
      <c r="H56" s="591"/>
      <c r="I56" s="591" t="s">
        <v>812</v>
      </c>
      <c r="J56" s="591" t="s">
        <v>666</v>
      </c>
      <c r="K56" s="591"/>
      <c r="L56" s="591"/>
      <c r="M56" s="591"/>
      <c r="N56" s="591">
        <v>1</v>
      </c>
      <c r="O56" s="591">
        <v>1</v>
      </c>
      <c r="P56" s="591">
        <v>0</v>
      </c>
      <c r="Q56" s="591">
        <v>1</v>
      </c>
      <c r="R56" s="591">
        <v>500</v>
      </c>
      <c r="S56" s="591"/>
      <c r="T56" s="591"/>
      <c r="U56" s="591"/>
      <c r="V56" s="591"/>
      <c r="W56" s="591"/>
      <c r="X56" s="591"/>
      <c r="Y56" s="591">
        <v>0</v>
      </c>
      <c r="Z56" s="591"/>
    </row>
    <row r="57" spans="1:26">
      <c r="A57" s="590" t="s">
        <v>772</v>
      </c>
      <c r="B57" s="590">
        <v>1</v>
      </c>
      <c r="C57" s="591" t="s">
        <v>434</v>
      </c>
      <c r="D57" s="591" t="s">
        <v>841</v>
      </c>
      <c r="E57" s="591" t="b">
        <v>1</v>
      </c>
      <c r="F57" s="591"/>
      <c r="G57" s="591"/>
      <c r="H57" s="591"/>
      <c r="I57" s="591" t="s">
        <v>812</v>
      </c>
      <c r="J57" s="591" t="s">
        <v>666</v>
      </c>
      <c r="K57" s="591"/>
      <c r="L57" s="591"/>
      <c r="M57" s="591"/>
      <c r="N57" s="591">
        <v>1</v>
      </c>
      <c r="O57" s="591">
        <v>1</v>
      </c>
      <c r="P57" s="591">
        <v>0</v>
      </c>
      <c r="Q57" s="591">
        <v>1</v>
      </c>
      <c r="R57" s="591">
        <v>1000</v>
      </c>
      <c r="S57" s="591"/>
      <c r="T57" s="591"/>
      <c r="U57" s="591"/>
      <c r="V57" s="591"/>
      <c r="W57" s="591"/>
      <c r="X57" s="591"/>
      <c r="Y57" s="591">
        <v>0</v>
      </c>
      <c r="Z57" s="591"/>
    </row>
    <row r="58" spans="1:26">
      <c r="A58" s="590" t="s">
        <v>772</v>
      </c>
      <c r="B58" s="590">
        <v>1</v>
      </c>
      <c r="C58" s="591" t="s">
        <v>435</v>
      </c>
      <c r="D58" s="591" t="s">
        <v>842</v>
      </c>
      <c r="E58" s="591"/>
      <c r="F58" s="591" t="b">
        <v>1</v>
      </c>
      <c r="G58" s="591"/>
      <c r="H58" s="591"/>
      <c r="I58" s="591" t="s">
        <v>666</v>
      </c>
      <c r="J58" s="591" t="s">
        <v>812</v>
      </c>
      <c r="K58" s="591"/>
      <c r="L58" s="591"/>
      <c r="M58" s="591"/>
      <c r="N58" s="591">
        <v>1</v>
      </c>
      <c r="O58" s="591">
        <v>1</v>
      </c>
      <c r="P58" s="591">
        <v>0</v>
      </c>
      <c r="Q58" s="591">
        <v>1</v>
      </c>
      <c r="R58" s="591"/>
      <c r="S58" s="591">
        <v>20</v>
      </c>
      <c r="T58" s="591"/>
      <c r="U58" s="591"/>
      <c r="V58" s="591"/>
      <c r="W58" s="591"/>
      <c r="X58" s="591"/>
      <c r="Y58" s="591">
        <v>0</v>
      </c>
      <c r="Z58" s="591"/>
    </row>
    <row r="59" spans="1:26">
      <c r="A59" s="590" t="s">
        <v>772</v>
      </c>
      <c r="B59" s="590">
        <v>1</v>
      </c>
      <c r="C59" s="591" t="s">
        <v>436</v>
      </c>
      <c r="D59" s="591" t="s">
        <v>843</v>
      </c>
      <c r="E59" s="591"/>
      <c r="F59" s="591" t="b">
        <v>1</v>
      </c>
      <c r="G59" s="591"/>
      <c r="H59" s="591"/>
      <c r="I59" s="591" t="s">
        <v>666</v>
      </c>
      <c r="J59" s="591" t="s">
        <v>812</v>
      </c>
      <c r="K59" s="591"/>
      <c r="L59" s="591"/>
      <c r="M59" s="591"/>
      <c r="N59" s="591">
        <v>1</v>
      </c>
      <c r="O59" s="591">
        <v>1</v>
      </c>
      <c r="P59" s="591">
        <v>0</v>
      </c>
      <c r="Q59" s="591">
        <v>1</v>
      </c>
      <c r="R59" s="591"/>
      <c r="S59" s="591">
        <v>10</v>
      </c>
      <c r="T59" s="591"/>
      <c r="U59" s="591"/>
      <c r="V59" s="591"/>
      <c r="W59" s="591"/>
      <c r="X59" s="591"/>
      <c r="Y59" s="591">
        <v>0</v>
      </c>
      <c r="Z59" s="591"/>
    </row>
    <row r="60" spans="1:26" s="594" customFormat="1">
      <c r="A60" s="590" t="s">
        <v>772</v>
      </c>
      <c r="B60" s="590">
        <v>1</v>
      </c>
      <c r="C60" s="591" t="s">
        <v>532</v>
      </c>
      <c r="D60" s="591" t="s">
        <v>844</v>
      </c>
      <c r="E60" s="591"/>
      <c r="F60" s="591"/>
      <c r="G60" s="591"/>
      <c r="H60" s="591"/>
      <c r="I60" s="591" t="s">
        <v>845</v>
      </c>
      <c r="J60" s="591" t="s">
        <v>669</v>
      </c>
      <c r="K60" s="591"/>
      <c r="L60" s="591"/>
      <c r="M60" s="591"/>
      <c r="N60" s="591">
        <v>0.99</v>
      </c>
      <c r="O60" s="591">
        <v>0.99</v>
      </c>
      <c r="P60" s="591">
        <v>0</v>
      </c>
      <c r="Q60" s="591">
        <v>1</v>
      </c>
      <c r="R60" s="591">
        <v>1</v>
      </c>
      <c r="S60" s="591"/>
      <c r="T60" s="591"/>
      <c r="U60" s="591"/>
      <c r="V60" s="591"/>
      <c r="W60" s="591"/>
      <c r="X60" s="591"/>
      <c r="Y60" s="591">
        <v>0</v>
      </c>
      <c r="Z60" s="591">
        <v>10</v>
      </c>
    </row>
    <row r="61" spans="1:26" s="594" customFormat="1">
      <c r="A61" s="590" t="s">
        <v>772</v>
      </c>
      <c r="B61" s="590">
        <v>1</v>
      </c>
      <c r="C61" s="591" t="s">
        <v>846</v>
      </c>
      <c r="D61" s="591" t="s">
        <v>847</v>
      </c>
      <c r="E61" s="591"/>
      <c r="F61" s="591"/>
      <c r="G61" s="591"/>
      <c r="H61" s="591"/>
      <c r="I61" s="591" t="s">
        <v>669</v>
      </c>
      <c r="J61" s="591" t="s">
        <v>845</v>
      </c>
      <c r="K61" s="591"/>
      <c r="L61" s="591"/>
      <c r="M61" s="591"/>
      <c r="N61" s="591">
        <v>0.99</v>
      </c>
      <c r="O61" s="591">
        <v>0.99</v>
      </c>
      <c r="P61" s="591">
        <v>0</v>
      </c>
      <c r="Q61" s="591">
        <v>1</v>
      </c>
      <c r="R61" s="591">
        <v>1</v>
      </c>
      <c r="S61" s="591"/>
      <c r="T61" s="591"/>
      <c r="U61" s="591"/>
      <c r="V61" s="591"/>
      <c r="W61" s="591"/>
      <c r="X61" s="591"/>
      <c r="Y61" s="591">
        <v>0</v>
      </c>
      <c r="Z61" s="591"/>
    </row>
    <row r="62" spans="1:26" s="594" customFormat="1">
      <c r="A62" s="590" t="s">
        <v>772</v>
      </c>
      <c r="B62" s="590">
        <v>1</v>
      </c>
      <c r="C62" s="591" t="s">
        <v>534</v>
      </c>
      <c r="D62" s="591" t="s">
        <v>848</v>
      </c>
      <c r="E62" s="591"/>
      <c r="F62" s="591"/>
      <c r="G62" s="591"/>
      <c r="H62" s="591"/>
      <c r="I62" s="591" t="s">
        <v>849</v>
      </c>
      <c r="J62" s="591" t="s">
        <v>669</v>
      </c>
      <c r="K62" s="591"/>
      <c r="L62" s="591"/>
      <c r="M62" s="591"/>
      <c r="N62" s="591">
        <v>0.99</v>
      </c>
      <c r="O62" s="591">
        <v>0.99</v>
      </c>
      <c r="P62" s="591">
        <v>0</v>
      </c>
      <c r="Q62" s="591">
        <v>1</v>
      </c>
      <c r="R62" s="591">
        <v>1</v>
      </c>
      <c r="S62" s="591"/>
      <c r="T62" s="591"/>
      <c r="U62" s="591"/>
      <c r="V62" s="591"/>
      <c r="W62" s="591"/>
      <c r="X62" s="591"/>
      <c r="Y62" s="591">
        <v>0</v>
      </c>
      <c r="Z62" s="591">
        <v>100</v>
      </c>
    </row>
    <row r="63" spans="1:26" s="594" customFormat="1">
      <c r="A63" s="590" t="s">
        <v>772</v>
      </c>
      <c r="B63" s="590">
        <v>1</v>
      </c>
      <c r="C63" s="591" t="s">
        <v>850</v>
      </c>
      <c r="D63" s="591" t="s">
        <v>851</v>
      </c>
      <c r="E63" s="591"/>
      <c r="F63" s="591"/>
      <c r="G63" s="591"/>
      <c r="H63" s="591"/>
      <c r="I63" s="591" t="s">
        <v>669</v>
      </c>
      <c r="J63" s="591" t="s">
        <v>849</v>
      </c>
      <c r="K63" s="591"/>
      <c r="L63" s="591"/>
      <c r="M63" s="591"/>
      <c r="N63" s="591">
        <v>0.99</v>
      </c>
      <c r="O63" s="591">
        <v>0.99</v>
      </c>
      <c r="P63" s="591">
        <v>0</v>
      </c>
      <c r="Q63" s="591">
        <v>1</v>
      </c>
      <c r="R63" s="591">
        <v>1</v>
      </c>
      <c r="S63" s="591"/>
      <c r="T63" s="591"/>
      <c r="U63" s="591"/>
      <c r="V63" s="591"/>
      <c r="W63" s="591"/>
      <c r="X63" s="591"/>
      <c r="Y63" s="591">
        <v>0</v>
      </c>
      <c r="Z63" s="591"/>
    </row>
    <row r="64" spans="1:26" s="594" customFormat="1">
      <c r="A64" s="590" t="s">
        <v>772</v>
      </c>
      <c r="B64" s="590">
        <v>1</v>
      </c>
      <c r="C64" s="591" t="s">
        <v>535</v>
      </c>
      <c r="D64" s="591" t="s">
        <v>852</v>
      </c>
      <c r="E64" s="591"/>
      <c r="F64" s="591"/>
      <c r="G64" s="591"/>
      <c r="H64" s="591"/>
      <c r="I64" s="591" t="s">
        <v>853</v>
      </c>
      <c r="J64" s="591" t="s">
        <v>669</v>
      </c>
      <c r="K64" s="591"/>
      <c r="L64" s="591"/>
      <c r="M64" s="591"/>
      <c r="N64" s="591">
        <v>0.99</v>
      </c>
      <c r="O64" s="591">
        <v>0.99</v>
      </c>
      <c r="P64" s="591">
        <v>0</v>
      </c>
      <c r="Q64" s="591">
        <v>1</v>
      </c>
      <c r="R64" s="591">
        <v>1</v>
      </c>
      <c r="S64" s="591"/>
      <c r="T64" s="591"/>
      <c r="U64" s="591"/>
      <c r="V64" s="591"/>
      <c r="W64" s="591"/>
      <c r="X64" s="591"/>
      <c r="Y64" s="591">
        <v>0</v>
      </c>
      <c r="Z64" s="725">
        <v>450</v>
      </c>
    </row>
    <row r="65" spans="1:26" s="594" customFormat="1">
      <c r="A65" s="590" t="s">
        <v>772</v>
      </c>
      <c r="B65" s="590">
        <v>1</v>
      </c>
      <c r="C65" s="591" t="s">
        <v>854</v>
      </c>
      <c r="D65" s="591" t="s">
        <v>855</v>
      </c>
      <c r="E65" s="591"/>
      <c r="F65" s="591"/>
      <c r="G65" s="591"/>
      <c r="H65" s="591"/>
      <c r="I65" s="591" t="s">
        <v>669</v>
      </c>
      <c r="J65" s="591" t="s">
        <v>853</v>
      </c>
      <c r="K65" s="591"/>
      <c r="L65" s="591"/>
      <c r="M65" s="591"/>
      <c r="N65" s="591">
        <v>0.99</v>
      </c>
      <c r="O65" s="591">
        <v>0.99</v>
      </c>
      <c r="P65" s="591">
        <v>0</v>
      </c>
      <c r="Q65" s="591">
        <v>1</v>
      </c>
      <c r="R65" s="591">
        <v>1</v>
      </c>
      <c r="S65" s="591"/>
      <c r="T65" s="591"/>
      <c r="U65" s="591"/>
      <c r="V65" s="591"/>
      <c r="W65" s="591"/>
      <c r="X65" s="591"/>
      <c r="Y65" s="591">
        <v>0</v>
      </c>
      <c r="Z65" s="591"/>
    </row>
    <row r="66" spans="1:26" s="621" customFormat="1">
      <c r="A66" s="621" t="s">
        <v>772</v>
      </c>
      <c r="B66" s="620">
        <v>1</v>
      </c>
      <c r="C66" s="621" t="s">
        <v>951</v>
      </c>
      <c r="D66" s="621" t="s">
        <v>952</v>
      </c>
      <c r="I66" s="621" t="s">
        <v>699</v>
      </c>
      <c r="J66" s="621" t="s">
        <v>950</v>
      </c>
      <c r="N66" s="621">
        <v>1</v>
      </c>
      <c r="O66" s="621">
        <v>1</v>
      </c>
      <c r="P66" s="621">
        <v>0</v>
      </c>
      <c r="Q66" s="621">
        <v>1</v>
      </c>
      <c r="R66" s="621">
        <v>1</v>
      </c>
      <c r="S66" s="621">
        <v>0</v>
      </c>
      <c r="Y66" s="621">
        <v>0</v>
      </c>
    </row>
  </sheetData>
  <autoFilter ref="A1:AA66" xr:uid="{CECCC304-3B15-43F6-BD0F-F80ECEE8388E}"/>
  <conditionalFormatting sqref="A30:K30 M30:R30 A31:Z65">
    <cfRule type="expression" dxfId="32" priority="2">
      <formula>MOD(ROW(),2)=0</formula>
    </cfRule>
  </conditionalFormatting>
  <conditionalFormatting sqref="A2:Z29">
    <cfRule type="expression" dxfId="31" priority="1">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topLeftCell="A52" workbookViewId="0">
      <selection activeCell="A44" sqref="A44"/>
    </sheetView>
  </sheetViews>
  <sheetFormatPr defaultColWidth="9.109375" defaultRowHeight="14.4"/>
  <cols>
    <col min="1" max="1" width="8" style="22" bestFit="1" customWidth="1"/>
    <col min="2" max="2" width="13.44140625" style="22" bestFit="1" customWidth="1"/>
    <col min="3" max="3" width="11.88671875" style="22" bestFit="1" customWidth="1"/>
    <col min="4" max="4" width="11.33203125" style="22" bestFit="1" customWidth="1"/>
    <col min="5" max="5" width="5" style="22" bestFit="1" customWidth="1"/>
    <col min="6" max="6" width="10.5546875" style="22" customWidth="1"/>
    <col min="7" max="7" width="15.109375" style="22" bestFit="1" customWidth="1"/>
    <col min="8" max="8" width="12.5546875" style="22" bestFit="1" customWidth="1"/>
    <col min="9" max="16384" width="9.109375" style="22"/>
  </cols>
  <sheetData>
    <row r="1" spans="1:7">
      <c r="A1" s="603" t="s">
        <v>661</v>
      </c>
      <c r="B1" s="603" t="s">
        <v>662</v>
      </c>
      <c r="C1" s="603" t="s">
        <v>663</v>
      </c>
      <c r="D1" s="603" t="s">
        <v>281</v>
      </c>
      <c r="E1" s="603" t="s">
        <v>177</v>
      </c>
      <c r="F1" s="603" t="s">
        <v>664</v>
      </c>
      <c r="G1" s="604" t="s">
        <v>665</v>
      </c>
    </row>
    <row r="2" spans="1:7">
      <c r="A2" s="22" t="s">
        <v>107</v>
      </c>
      <c r="B2" s="558" t="s">
        <v>666</v>
      </c>
      <c r="C2" s="558"/>
      <c r="D2" s="560" t="s">
        <v>948</v>
      </c>
      <c r="E2" s="576">
        <v>2035</v>
      </c>
      <c r="F2" s="729" cm="1">
        <f t="array" ref="F2:F21">TRANSPOSE(Demand!C26:V26)</f>
        <v>800.62</v>
      </c>
      <c r="G2" s="559"/>
    </row>
    <row r="3" spans="1:7">
      <c r="A3" s="22" t="s">
        <v>109</v>
      </c>
      <c r="B3" s="573" t="s">
        <v>666</v>
      </c>
      <c r="C3" s="573"/>
      <c r="D3" s="560" t="s">
        <v>948</v>
      </c>
      <c r="E3" s="574">
        <f>E2</f>
        <v>2035</v>
      </c>
      <c r="F3" s="729">
        <v>518.01</v>
      </c>
      <c r="G3" s="575"/>
    </row>
    <row r="4" spans="1:7">
      <c r="A4" s="22" t="s">
        <v>110</v>
      </c>
      <c r="B4" s="558" t="s">
        <v>666</v>
      </c>
      <c r="C4" s="558"/>
      <c r="D4" s="560" t="s">
        <v>948</v>
      </c>
      <c r="E4" s="561">
        <f t="shared" ref="E4:E20" si="0">E3</f>
        <v>2035</v>
      </c>
      <c r="F4" s="729">
        <v>457.26</v>
      </c>
      <c r="G4" s="559"/>
    </row>
    <row r="5" spans="1:7">
      <c r="A5" s="22" t="s">
        <v>112</v>
      </c>
      <c r="B5" s="573" t="s">
        <v>666</v>
      </c>
      <c r="C5" s="573"/>
      <c r="D5" s="560" t="s">
        <v>948</v>
      </c>
      <c r="E5" s="574">
        <f t="shared" si="0"/>
        <v>2035</v>
      </c>
      <c r="F5" s="729">
        <v>296.72000000000003</v>
      </c>
      <c r="G5" s="575"/>
    </row>
    <row r="6" spans="1:7">
      <c r="A6" s="22" t="s">
        <v>113</v>
      </c>
      <c r="B6" s="558" t="s">
        <v>666</v>
      </c>
      <c r="C6" s="558"/>
      <c r="D6" s="560" t="s">
        <v>948</v>
      </c>
      <c r="E6" s="561">
        <f t="shared" si="0"/>
        <v>2035</v>
      </c>
      <c r="F6" s="729">
        <v>196.3</v>
      </c>
      <c r="G6" s="559"/>
    </row>
    <row r="7" spans="1:7">
      <c r="A7" s="22" t="s">
        <v>114</v>
      </c>
      <c r="B7" s="573" t="s">
        <v>666</v>
      </c>
      <c r="C7" s="573"/>
      <c r="D7" s="560" t="s">
        <v>948</v>
      </c>
      <c r="E7" s="574">
        <f t="shared" si="0"/>
        <v>2035</v>
      </c>
      <c r="F7" s="729">
        <v>187.15</v>
      </c>
      <c r="G7" s="575"/>
    </row>
    <row r="8" spans="1:7">
      <c r="A8" s="22" t="s">
        <v>115</v>
      </c>
      <c r="B8" s="558" t="s">
        <v>666</v>
      </c>
      <c r="C8" s="558"/>
      <c r="D8" s="560" t="s">
        <v>948</v>
      </c>
      <c r="E8" s="561">
        <f t="shared" si="0"/>
        <v>2035</v>
      </c>
      <c r="F8" s="729">
        <v>118.61</v>
      </c>
      <c r="G8" s="559"/>
    </row>
    <row r="9" spans="1:7">
      <c r="A9" s="22" t="s">
        <v>103</v>
      </c>
      <c r="B9" s="573" t="s">
        <v>666</v>
      </c>
      <c r="C9" s="573"/>
      <c r="D9" s="560" t="s">
        <v>948</v>
      </c>
      <c r="E9" s="574">
        <f t="shared" si="0"/>
        <v>2035</v>
      </c>
      <c r="F9" s="730">
        <v>12.967072978740296</v>
      </c>
      <c r="G9" s="575"/>
    </row>
    <row r="10" spans="1:7">
      <c r="A10" s="22" t="s">
        <v>104</v>
      </c>
      <c r="B10" s="558" t="s">
        <v>666</v>
      </c>
      <c r="C10" s="558"/>
      <c r="D10" s="560" t="s">
        <v>948</v>
      </c>
      <c r="E10" s="561">
        <f t="shared" si="0"/>
        <v>2035</v>
      </c>
      <c r="F10" s="730">
        <v>21.728125463340639</v>
      </c>
      <c r="G10" s="559"/>
    </row>
    <row r="11" spans="1:7">
      <c r="A11" s="22" t="s">
        <v>105</v>
      </c>
      <c r="B11" s="573" t="s">
        <v>666</v>
      </c>
      <c r="C11" s="573"/>
      <c r="D11" s="560" t="s">
        <v>948</v>
      </c>
      <c r="E11" s="574">
        <f t="shared" si="0"/>
        <v>2035</v>
      </c>
      <c r="F11" s="730">
        <v>114.1937077037112</v>
      </c>
      <c r="G11" s="575"/>
    </row>
    <row r="12" spans="1:7">
      <c r="A12" s="22" t="s">
        <v>106</v>
      </c>
      <c r="B12" s="558" t="s">
        <v>666</v>
      </c>
      <c r="C12" s="558"/>
      <c r="D12" s="560" t="s">
        <v>948</v>
      </c>
      <c r="E12" s="561">
        <f t="shared" si="0"/>
        <v>2035</v>
      </c>
      <c r="F12" s="730">
        <v>31.841093854207834</v>
      </c>
      <c r="G12" s="559"/>
    </row>
    <row r="13" spans="1:7">
      <c r="A13" s="22" t="s">
        <v>99</v>
      </c>
      <c r="B13" s="573" t="s">
        <v>666</v>
      </c>
      <c r="C13" s="573"/>
      <c r="D13" s="560" t="s">
        <v>948</v>
      </c>
      <c r="E13" s="574">
        <f t="shared" si="0"/>
        <v>2035</v>
      </c>
      <c r="F13" s="730">
        <v>26.445184474742199</v>
      </c>
      <c r="G13" s="575"/>
    </row>
    <row r="14" spans="1:7">
      <c r="A14" s="22" t="s">
        <v>101</v>
      </c>
      <c r="B14" s="558" t="s">
        <v>666</v>
      </c>
      <c r="C14" s="558"/>
      <c r="D14" s="560" t="s">
        <v>948</v>
      </c>
      <c r="E14" s="561">
        <f t="shared" si="0"/>
        <v>2035</v>
      </c>
      <c r="F14" s="730">
        <v>17.454815525257803</v>
      </c>
      <c r="G14" s="559"/>
    </row>
    <row r="15" spans="1:7">
      <c r="A15" s="22" t="s">
        <v>117</v>
      </c>
      <c r="B15" s="573" t="s">
        <v>666</v>
      </c>
      <c r="C15" s="573"/>
      <c r="D15" s="560" t="s">
        <v>948</v>
      </c>
      <c r="E15" s="574">
        <f t="shared" si="0"/>
        <v>2035</v>
      </c>
      <c r="F15" s="729">
        <v>132.86000000000001</v>
      </c>
      <c r="G15" s="575"/>
    </row>
    <row r="16" spans="1:7">
      <c r="A16" s="22" t="s">
        <v>118</v>
      </c>
      <c r="B16" s="558" t="s">
        <v>666</v>
      </c>
      <c r="C16" s="558"/>
      <c r="D16" s="560" t="s">
        <v>948</v>
      </c>
      <c r="E16" s="561">
        <f>E15</f>
        <v>2035</v>
      </c>
      <c r="F16" s="730">
        <v>25.593086707506874</v>
      </c>
      <c r="G16" s="559"/>
    </row>
    <row r="17" spans="1:8">
      <c r="A17" s="22" t="s">
        <v>119</v>
      </c>
      <c r="B17" s="573" t="s">
        <v>666</v>
      </c>
      <c r="C17" s="573"/>
      <c r="D17" s="560" t="s">
        <v>948</v>
      </c>
      <c r="E17" s="574">
        <f t="shared" si="0"/>
        <v>2035</v>
      </c>
      <c r="F17" s="730">
        <v>33.964667009424517</v>
      </c>
      <c r="G17" s="575"/>
    </row>
    <row r="18" spans="1:8">
      <c r="A18" s="22" t="s">
        <v>120</v>
      </c>
      <c r="B18" s="558" t="s">
        <v>666</v>
      </c>
      <c r="C18" s="558"/>
      <c r="D18" s="560" t="s">
        <v>948</v>
      </c>
      <c r="E18" s="561">
        <f t="shared" si="0"/>
        <v>2035</v>
      </c>
      <c r="F18" s="730">
        <v>117.87224628306862</v>
      </c>
      <c r="G18" s="559"/>
    </row>
    <row r="19" spans="1:8">
      <c r="A19" s="22" t="s">
        <v>121</v>
      </c>
      <c r="B19" s="573" t="s">
        <v>666</v>
      </c>
      <c r="C19" s="573"/>
      <c r="D19" s="560" t="s">
        <v>948</v>
      </c>
      <c r="E19" s="574">
        <f t="shared" si="0"/>
        <v>2035</v>
      </c>
      <c r="F19" s="729">
        <v>15.35</v>
      </c>
      <c r="G19" s="575"/>
    </row>
    <row r="20" spans="1:8">
      <c r="A20" s="22" t="s">
        <v>122</v>
      </c>
      <c r="B20" s="558" t="s">
        <v>666</v>
      </c>
      <c r="C20" s="558"/>
      <c r="D20" s="560" t="s">
        <v>948</v>
      </c>
      <c r="E20" s="561">
        <f t="shared" si="0"/>
        <v>2035</v>
      </c>
      <c r="F20" s="729">
        <v>8.94</v>
      </c>
      <c r="G20" s="559"/>
    </row>
    <row r="21" spans="1:8">
      <c r="A21" s="372" t="s">
        <v>123</v>
      </c>
      <c r="B21" s="605" t="s">
        <v>666</v>
      </c>
      <c r="C21" s="605"/>
      <c r="D21" s="707" t="s">
        <v>948</v>
      </c>
      <c r="E21" s="606">
        <f>E20</f>
        <v>2035</v>
      </c>
      <c r="F21" s="731">
        <v>10.199999999999999</v>
      </c>
      <c r="G21" s="607"/>
    </row>
    <row r="22" spans="1:8">
      <c r="A22" s="22" t="s">
        <v>117</v>
      </c>
      <c r="B22" s="22" t="s">
        <v>669</v>
      </c>
      <c r="C22" s="22" t="s">
        <v>700</v>
      </c>
      <c r="D22" s="560" t="s">
        <v>948</v>
      </c>
      <c r="E22" s="86">
        <v>2035</v>
      </c>
      <c r="F22" s="613">
        <v>6.5466201846226699</v>
      </c>
      <c r="G22" s="613">
        <v>0.3</v>
      </c>
      <c r="H22" s="32"/>
    </row>
    <row r="23" spans="1:8">
      <c r="A23" s="22" t="s">
        <v>117</v>
      </c>
      <c r="B23" s="22" t="s">
        <v>669</v>
      </c>
      <c r="C23" s="22" t="s">
        <v>701</v>
      </c>
      <c r="D23" s="560" t="s">
        <v>948</v>
      </c>
      <c r="E23" s="86">
        <v>2035</v>
      </c>
      <c r="F23" s="613">
        <v>2.2342092575747032</v>
      </c>
      <c r="G23" s="613">
        <v>0.3</v>
      </c>
      <c r="H23" s="32"/>
    </row>
    <row r="24" spans="1:8">
      <c r="A24" s="22" t="s">
        <v>117</v>
      </c>
      <c r="B24" s="22" t="s">
        <v>669</v>
      </c>
      <c r="C24" s="22" t="s">
        <v>702</v>
      </c>
      <c r="D24" s="560" t="s">
        <v>948</v>
      </c>
      <c r="E24" s="86">
        <v>2035</v>
      </c>
      <c r="F24" s="613">
        <v>1.8913769365150044</v>
      </c>
      <c r="G24" s="613">
        <v>0.3</v>
      </c>
      <c r="H24" s="32"/>
    </row>
    <row r="25" spans="1:8">
      <c r="A25" s="22" t="s">
        <v>117</v>
      </c>
      <c r="B25" s="22" t="s">
        <v>669</v>
      </c>
      <c r="C25" s="22" t="s">
        <v>703</v>
      </c>
      <c r="D25" s="560" t="s">
        <v>948</v>
      </c>
      <c r="E25" s="86">
        <v>2035</v>
      </c>
      <c r="F25" s="613">
        <v>1.9891835577382728</v>
      </c>
      <c r="G25" s="613">
        <v>0.3</v>
      </c>
      <c r="H25" s="32"/>
    </row>
    <row r="26" spans="1:8">
      <c r="A26" s="22" t="s">
        <v>117</v>
      </c>
      <c r="B26" s="22" t="s">
        <v>669</v>
      </c>
      <c r="C26" s="22" t="s">
        <v>704</v>
      </c>
      <c r="D26" s="560" t="s">
        <v>948</v>
      </c>
      <c r="E26" s="86">
        <v>2035</v>
      </c>
      <c r="F26" s="613">
        <v>2.1785868062160931</v>
      </c>
      <c r="G26" s="613">
        <v>0.3</v>
      </c>
      <c r="H26" s="32"/>
    </row>
    <row r="27" spans="1:8">
      <c r="A27" s="22" t="s">
        <v>117</v>
      </c>
      <c r="B27" s="22" t="s">
        <v>669</v>
      </c>
      <c r="C27" s="22" t="s">
        <v>705</v>
      </c>
      <c r="D27" s="560" t="s">
        <v>948</v>
      </c>
      <c r="E27" s="86">
        <v>2035</v>
      </c>
      <c r="F27" s="613">
        <v>1.9651785616096522</v>
      </c>
      <c r="G27" s="613">
        <v>0.3</v>
      </c>
      <c r="H27" s="32"/>
    </row>
    <row r="28" spans="1:8">
      <c r="A28" s="22" t="s">
        <v>117</v>
      </c>
      <c r="B28" s="22" t="s">
        <v>669</v>
      </c>
      <c r="C28" s="22" t="s">
        <v>706</v>
      </c>
      <c r="D28" s="560" t="s">
        <v>948</v>
      </c>
      <c r="E28" s="86">
        <v>2035</v>
      </c>
      <c r="F28" s="613">
        <v>1.2152905512460432</v>
      </c>
      <c r="G28" s="613">
        <v>0.3</v>
      </c>
      <c r="H28" s="32"/>
    </row>
    <row r="29" spans="1:8">
      <c r="A29" s="22" t="s">
        <v>117</v>
      </c>
      <c r="B29" s="22" t="s">
        <v>669</v>
      </c>
      <c r="C29" s="22" t="s">
        <v>707</v>
      </c>
      <c r="D29" s="560" t="s">
        <v>948</v>
      </c>
      <c r="E29" s="86">
        <v>2035</v>
      </c>
      <c r="F29" s="613">
        <v>20.381214206217507</v>
      </c>
      <c r="G29" s="613">
        <v>0.3</v>
      </c>
      <c r="H29" s="32"/>
    </row>
    <row r="30" spans="1:8">
      <c r="A30" s="22" t="s">
        <v>120</v>
      </c>
      <c r="B30" s="22" t="s">
        <v>669</v>
      </c>
      <c r="C30" s="22" t="s">
        <v>670</v>
      </c>
      <c r="D30" s="560" t="s">
        <v>948</v>
      </c>
      <c r="E30" s="86">
        <v>2035</v>
      </c>
      <c r="F30" s="613">
        <v>6.6925556853387214</v>
      </c>
      <c r="G30" s="613">
        <v>0.3</v>
      </c>
      <c r="H30" s="32"/>
    </row>
    <row r="31" spans="1:8">
      <c r="A31" s="22" t="s">
        <v>118</v>
      </c>
      <c r="B31" s="22" t="s">
        <v>669</v>
      </c>
      <c r="C31" s="22" t="s">
        <v>670</v>
      </c>
      <c r="D31" s="560" t="s">
        <v>948</v>
      </c>
      <c r="E31" s="86">
        <v>2035</v>
      </c>
      <c r="F31" s="613">
        <v>0.96453199987084148</v>
      </c>
      <c r="G31" s="613">
        <v>0.3</v>
      </c>
      <c r="H31" s="32"/>
    </row>
    <row r="32" spans="1:8">
      <c r="A32" s="22" t="s">
        <v>119</v>
      </c>
      <c r="B32" s="22" t="s">
        <v>669</v>
      </c>
      <c r="C32" s="22" t="s">
        <v>670</v>
      </c>
      <c r="D32" s="560" t="s">
        <v>948</v>
      </c>
      <c r="E32" s="86">
        <v>2035</v>
      </c>
      <c r="F32" s="613">
        <v>1.0179981480803744</v>
      </c>
      <c r="G32" s="613">
        <v>0.3</v>
      </c>
      <c r="H32" s="32"/>
    </row>
    <row r="33" spans="1:9">
      <c r="A33" s="22" t="s">
        <v>103</v>
      </c>
      <c r="B33" s="22" t="s">
        <v>669</v>
      </c>
      <c r="C33" s="22" t="s">
        <v>670</v>
      </c>
      <c r="D33" s="560" t="s">
        <v>948</v>
      </c>
      <c r="E33" s="86">
        <v>2035</v>
      </c>
      <c r="F33" s="613">
        <v>1.2655567079150138</v>
      </c>
      <c r="G33" s="613">
        <v>0.3</v>
      </c>
      <c r="H33" s="32"/>
    </row>
    <row r="34" spans="1:9">
      <c r="A34" s="22" t="s">
        <v>104</v>
      </c>
      <c r="B34" s="22" t="s">
        <v>669</v>
      </c>
      <c r="C34" s="22" t="s">
        <v>670</v>
      </c>
      <c r="D34" s="560" t="s">
        <v>948</v>
      </c>
      <c r="E34" s="86">
        <v>2035</v>
      </c>
      <c r="F34" s="613">
        <v>4.9535854099056431</v>
      </c>
      <c r="G34" s="613">
        <v>0.3</v>
      </c>
      <c r="H34" s="32"/>
    </row>
    <row r="35" spans="1:9">
      <c r="A35" s="22" t="s">
        <v>105</v>
      </c>
      <c r="B35" s="22" t="s">
        <v>669</v>
      </c>
      <c r="C35" s="22" t="s">
        <v>670</v>
      </c>
      <c r="D35" s="560" t="s">
        <v>948</v>
      </c>
      <c r="E35" s="86">
        <v>2035</v>
      </c>
      <c r="F35" s="613">
        <v>40.939638927269975</v>
      </c>
      <c r="G35" s="613">
        <v>0.3</v>
      </c>
      <c r="H35" s="32"/>
    </row>
    <row r="36" spans="1:9">
      <c r="A36" s="22" t="s">
        <v>106</v>
      </c>
      <c r="B36" s="22" t="s">
        <v>669</v>
      </c>
      <c r="C36" s="22" t="s">
        <v>670</v>
      </c>
      <c r="D36" s="560" t="s">
        <v>948</v>
      </c>
      <c r="E36" s="86">
        <v>2035</v>
      </c>
      <c r="F36" s="613">
        <v>12.022024897575387</v>
      </c>
      <c r="G36" s="613">
        <v>0.3</v>
      </c>
      <c r="H36" s="32"/>
    </row>
    <row r="37" spans="1:9">
      <c r="A37" s="22" t="s">
        <v>101</v>
      </c>
      <c r="B37" s="22" t="s">
        <v>669</v>
      </c>
      <c r="C37" s="22" t="s">
        <v>670</v>
      </c>
      <c r="D37" s="560" t="s">
        <v>948</v>
      </c>
      <c r="E37" s="86">
        <v>2035</v>
      </c>
      <c r="F37" s="613">
        <v>19.664441809025575</v>
      </c>
      <c r="G37" s="613">
        <v>0.3</v>
      </c>
      <c r="H37" s="32"/>
    </row>
    <row r="38" spans="1:9">
      <c r="A38" s="22" t="s">
        <v>99</v>
      </c>
      <c r="B38" s="22" t="s">
        <v>669</v>
      </c>
      <c r="C38" s="22" t="s">
        <v>670</v>
      </c>
      <c r="D38" s="560" t="s">
        <v>948</v>
      </c>
      <c r="E38" s="86">
        <v>2035</v>
      </c>
      <c r="F38" s="613">
        <v>17.427812122454487</v>
      </c>
      <c r="G38" s="613">
        <v>0.3</v>
      </c>
      <c r="H38" s="32"/>
    </row>
    <row r="39" spans="1:9">
      <c r="A39" s="22" t="s">
        <v>123</v>
      </c>
      <c r="B39" s="22" t="s">
        <v>669</v>
      </c>
      <c r="C39" s="22" t="s">
        <v>670</v>
      </c>
      <c r="D39" s="560" t="s">
        <v>948</v>
      </c>
      <c r="E39" s="86">
        <v>2035</v>
      </c>
      <c r="F39" s="613">
        <v>4.8726943250713131</v>
      </c>
      <c r="G39" s="613">
        <v>0.3</v>
      </c>
      <c r="H39" s="32"/>
    </row>
    <row r="40" spans="1:9">
      <c r="A40" s="22" t="s">
        <v>122</v>
      </c>
      <c r="B40" s="22" t="s">
        <v>669</v>
      </c>
      <c r="C40" s="22" t="s">
        <v>670</v>
      </c>
      <c r="D40" s="560" t="s">
        <v>948</v>
      </c>
      <c r="E40" s="86">
        <v>2035</v>
      </c>
      <c r="F40" s="613">
        <v>9.6027728287678915</v>
      </c>
      <c r="G40" s="613">
        <v>0.3</v>
      </c>
      <c r="H40" s="32"/>
    </row>
    <row r="41" spans="1:9">
      <c r="A41" s="22" t="s">
        <v>121</v>
      </c>
      <c r="B41" s="22" t="s">
        <v>669</v>
      </c>
      <c r="C41" s="22" t="s">
        <v>670</v>
      </c>
      <c r="D41" s="560" t="s">
        <v>948</v>
      </c>
      <c r="E41" s="86">
        <v>2035</v>
      </c>
      <c r="F41" s="613">
        <v>7.990793821888591</v>
      </c>
      <c r="G41" s="613">
        <v>0.3</v>
      </c>
      <c r="H41" s="32"/>
      <c r="I41" s="32"/>
    </row>
    <row r="42" spans="1:9">
      <c r="A42" s="22" t="s">
        <v>107</v>
      </c>
      <c r="B42" s="22" t="s">
        <v>669</v>
      </c>
      <c r="C42" s="22" t="s">
        <v>670</v>
      </c>
      <c r="D42" s="560" t="s">
        <v>948</v>
      </c>
      <c r="E42" s="86">
        <v>2035</v>
      </c>
      <c r="F42" s="613">
        <v>92.710133259800728</v>
      </c>
      <c r="G42" s="613">
        <v>0.3</v>
      </c>
      <c r="H42" s="32"/>
      <c r="I42" s="32"/>
    </row>
    <row r="43" spans="1:9">
      <c r="A43" s="372" t="s">
        <v>113</v>
      </c>
      <c r="B43" s="372" t="s">
        <v>669</v>
      </c>
      <c r="C43" s="372" t="s">
        <v>670</v>
      </c>
      <c r="D43" s="707" t="s">
        <v>948</v>
      </c>
      <c r="E43" s="577">
        <v>2035</v>
      </c>
      <c r="F43" s="614">
        <v>101.35437969412678</v>
      </c>
      <c r="G43" s="614">
        <v>0.3</v>
      </c>
      <c r="H43" s="32"/>
      <c r="I43" s="32"/>
    </row>
    <row r="44" spans="1:9">
      <c r="A44" s="22" t="s">
        <v>107</v>
      </c>
      <c r="B44" s="22" t="s">
        <v>671</v>
      </c>
      <c r="C44" s="22" t="s">
        <v>672</v>
      </c>
      <c r="D44" s="560" t="s">
        <v>948</v>
      </c>
      <c r="E44" s="86">
        <v>2035</v>
      </c>
      <c r="F44" s="609" cm="1">
        <f t="array" ref="F44:F58">TRANSPOSE('Other (non)RES'!C47:Q47)</f>
        <v>89.390575686813193</v>
      </c>
    </row>
    <row r="45" spans="1:9">
      <c r="A45" s="22" t="s">
        <v>109</v>
      </c>
      <c r="B45" s="22" t="s">
        <v>671</v>
      </c>
      <c r="C45" s="22" t="s">
        <v>672</v>
      </c>
      <c r="D45" s="560" t="s">
        <v>948</v>
      </c>
      <c r="E45" s="86">
        <v>2035</v>
      </c>
      <c r="F45" s="609">
        <v>27.49757782967033</v>
      </c>
    </row>
    <row r="46" spans="1:9">
      <c r="A46" s="22" t="s">
        <v>110</v>
      </c>
      <c r="B46" s="22" t="s">
        <v>671</v>
      </c>
      <c r="C46" s="22" t="s">
        <v>672</v>
      </c>
      <c r="D46" s="560" t="s">
        <v>948</v>
      </c>
      <c r="E46" s="86">
        <v>2035</v>
      </c>
      <c r="F46" s="609">
        <v>147.36625717032967</v>
      </c>
    </row>
    <row r="47" spans="1:9">
      <c r="A47" s="22" t="s">
        <v>112</v>
      </c>
      <c r="B47" s="22" t="s">
        <v>671</v>
      </c>
      <c r="C47" s="22" t="s">
        <v>672</v>
      </c>
      <c r="D47" s="560" t="s">
        <v>948</v>
      </c>
      <c r="E47" s="86">
        <v>2035</v>
      </c>
      <c r="F47" s="609">
        <v>15.367019423076924</v>
      </c>
    </row>
    <row r="48" spans="1:9">
      <c r="A48" s="22" t="s">
        <v>113</v>
      </c>
      <c r="B48" s="22" t="s">
        <v>671</v>
      </c>
      <c r="C48" s="22" t="s">
        <v>672</v>
      </c>
      <c r="D48" s="560" t="s">
        <v>948</v>
      </c>
      <c r="E48" s="86">
        <v>2035</v>
      </c>
      <c r="F48" s="609">
        <v>25.172503763736266</v>
      </c>
    </row>
    <row r="49" spans="1:8">
      <c r="A49" s="22" t="s">
        <v>114</v>
      </c>
      <c r="B49" s="22" t="s">
        <v>671</v>
      </c>
      <c r="C49" s="22" t="s">
        <v>672</v>
      </c>
      <c r="D49" s="560" t="s">
        <v>948</v>
      </c>
      <c r="E49" s="86">
        <v>2035</v>
      </c>
      <c r="F49" s="609">
        <v>12.092048901098902</v>
      </c>
    </row>
    <row r="50" spans="1:8">
      <c r="A50" s="22" t="s">
        <v>115</v>
      </c>
      <c r="B50" s="22" t="s">
        <v>671</v>
      </c>
      <c r="C50" s="22" t="s">
        <v>672</v>
      </c>
      <c r="D50" s="560" t="s">
        <v>948</v>
      </c>
      <c r="E50" s="86">
        <v>2035</v>
      </c>
      <c r="F50" s="609">
        <v>9.4712947527472533</v>
      </c>
    </row>
    <row r="51" spans="1:8">
      <c r="A51" s="22" t="s">
        <v>103</v>
      </c>
      <c r="B51" s="22" t="s">
        <v>671</v>
      </c>
      <c r="C51" s="22" t="s">
        <v>672</v>
      </c>
      <c r="D51" s="560" t="s">
        <v>948</v>
      </c>
      <c r="E51" s="86">
        <v>2035</v>
      </c>
      <c r="F51" s="609">
        <v>1.1403121428571428</v>
      </c>
    </row>
    <row r="52" spans="1:8">
      <c r="A52" s="22" t="s">
        <v>104</v>
      </c>
      <c r="B52" s="22" t="s">
        <v>671</v>
      </c>
      <c r="C52" s="22" t="s">
        <v>672</v>
      </c>
      <c r="D52" s="560" t="s">
        <v>948</v>
      </c>
      <c r="E52" s="86">
        <v>2035</v>
      </c>
      <c r="F52" s="609">
        <v>5.0979269230769226</v>
      </c>
    </row>
    <row r="53" spans="1:8">
      <c r="A53" s="22" t="s">
        <v>105</v>
      </c>
      <c r="B53" s="22" t="s">
        <v>671</v>
      </c>
      <c r="C53" s="22" t="s">
        <v>672</v>
      </c>
      <c r="D53" s="560" t="s">
        <v>948</v>
      </c>
      <c r="E53" s="86">
        <v>2035</v>
      </c>
      <c r="F53" s="609">
        <v>22.884912390109893</v>
      </c>
    </row>
    <row r="54" spans="1:8">
      <c r="A54" s="22" t="s">
        <v>106</v>
      </c>
      <c r="B54" s="22" t="s">
        <v>671</v>
      </c>
      <c r="C54" s="22" t="s">
        <v>672</v>
      </c>
      <c r="D54" s="560" t="s">
        <v>948</v>
      </c>
      <c r="E54" s="86">
        <v>2035</v>
      </c>
      <c r="F54" s="609">
        <v>5.2148953846153843</v>
      </c>
    </row>
    <row r="55" spans="1:8">
      <c r="A55" s="38" t="s">
        <v>117</v>
      </c>
      <c r="B55" s="38" t="s">
        <v>671</v>
      </c>
      <c r="C55" s="38" t="s">
        <v>672</v>
      </c>
      <c r="D55" s="560" t="s">
        <v>948</v>
      </c>
      <c r="E55" s="86">
        <v>2035</v>
      </c>
      <c r="F55" s="609">
        <v>20.740078131868135</v>
      </c>
      <c r="H55" s="581"/>
    </row>
    <row r="56" spans="1:8">
      <c r="A56" s="38" t="s">
        <v>121</v>
      </c>
      <c r="B56" s="38" t="s">
        <v>671</v>
      </c>
      <c r="C56" s="38" t="s">
        <v>672</v>
      </c>
      <c r="D56" s="560" t="s">
        <v>948</v>
      </c>
      <c r="E56" s="86">
        <v>2035</v>
      </c>
      <c r="F56" s="609">
        <v>3.9464943131868133</v>
      </c>
      <c r="H56" s="581"/>
    </row>
    <row r="57" spans="1:8">
      <c r="A57" s="38" t="s">
        <v>122</v>
      </c>
      <c r="B57" s="38" t="s">
        <v>671</v>
      </c>
      <c r="C57" s="38" t="s">
        <v>672</v>
      </c>
      <c r="D57" s="560" t="s">
        <v>948</v>
      </c>
      <c r="E57" s="86">
        <v>2035</v>
      </c>
      <c r="F57" s="609">
        <v>2.2378212295793301</v>
      </c>
      <c r="H57" s="581"/>
    </row>
    <row r="58" spans="1:8">
      <c r="A58" s="372" t="s">
        <v>123</v>
      </c>
      <c r="B58" s="372" t="s">
        <v>671</v>
      </c>
      <c r="C58" s="372" t="s">
        <v>672</v>
      </c>
      <c r="D58" s="707" t="s">
        <v>948</v>
      </c>
      <c r="E58" s="577">
        <v>2035</v>
      </c>
      <c r="F58" s="610">
        <v>1.5351418681318685</v>
      </c>
      <c r="G58" s="372"/>
      <c r="H58" s="32"/>
    </row>
    <row r="59" spans="1:8">
      <c r="A59" s="22" t="s">
        <v>107</v>
      </c>
      <c r="B59" s="558" t="s">
        <v>950</v>
      </c>
      <c r="C59" s="558"/>
      <c r="D59" s="560" t="s">
        <v>948</v>
      </c>
      <c r="E59" s="576">
        <v>2035</v>
      </c>
      <c r="F59" s="630" cm="1">
        <f t="array" ref="F59:F72">TRANSPOSE('H2'!D25:Q25)</f>
        <v>150.80881990854729</v>
      </c>
      <c r="G59" s="559"/>
    </row>
    <row r="60" spans="1:8">
      <c r="A60" s="22" t="s">
        <v>109</v>
      </c>
      <c r="B60" s="558" t="s">
        <v>950</v>
      </c>
      <c r="C60" s="573"/>
      <c r="D60" s="560" t="s">
        <v>948</v>
      </c>
      <c r="E60" s="574">
        <f>E59</f>
        <v>2035</v>
      </c>
      <c r="F60" s="630">
        <v>39.206709461836084</v>
      </c>
      <c r="G60" s="575"/>
    </row>
    <row r="61" spans="1:8">
      <c r="A61" s="22" t="s">
        <v>110</v>
      </c>
      <c r="B61" s="558" t="s">
        <v>950</v>
      </c>
      <c r="C61" s="573"/>
      <c r="D61" s="560" t="s">
        <v>948</v>
      </c>
      <c r="E61" s="561">
        <f t="shared" ref="E61:E71" si="1">E60</f>
        <v>2035</v>
      </c>
      <c r="F61" s="630">
        <v>36.916628561378829</v>
      </c>
      <c r="G61" s="559"/>
    </row>
    <row r="62" spans="1:8">
      <c r="A62" s="22" t="s">
        <v>112</v>
      </c>
      <c r="B62" s="558" t="s">
        <v>950</v>
      </c>
      <c r="C62" s="573"/>
      <c r="D62" s="560" t="s">
        <v>948</v>
      </c>
      <c r="E62" s="574">
        <f t="shared" si="1"/>
        <v>2035</v>
      </c>
      <c r="F62" s="630">
        <v>47.772660921561737</v>
      </c>
      <c r="G62" s="575"/>
    </row>
    <row r="63" spans="1:8">
      <c r="A63" s="22" t="s">
        <v>113</v>
      </c>
      <c r="B63" s="558" t="s">
        <v>950</v>
      </c>
      <c r="C63" s="573"/>
      <c r="D63" s="560" t="s">
        <v>948</v>
      </c>
      <c r="E63" s="561">
        <f t="shared" si="1"/>
        <v>2035</v>
      </c>
      <c r="F63" s="630">
        <v>26.67244987689061</v>
      </c>
      <c r="G63" s="559"/>
    </row>
    <row r="64" spans="1:8">
      <c r="A64" s="22" t="s">
        <v>114</v>
      </c>
      <c r="B64" s="558" t="s">
        <v>950</v>
      </c>
      <c r="C64" s="573"/>
      <c r="D64" s="560" t="s">
        <v>948</v>
      </c>
      <c r="E64" s="574">
        <f t="shared" si="1"/>
        <v>2035</v>
      </c>
      <c r="F64" s="630">
        <v>35.024252550123109</v>
      </c>
      <c r="G64" s="575"/>
    </row>
    <row r="65" spans="1:8">
      <c r="A65" s="22" t="s">
        <v>115</v>
      </c>
      <c r="B65" s="558" t="s">
        <v>950</v>
      </c>
      <c r="C65" s="573"/>
      <c r="D65" s="560" t="s">
        <v>948</v>
      </c>
      <c r="E65" s="561">
        <f t="shared" si="1"/>
        <v>2035</v>
      </c>
      <c r="F65" s="630">
        <v>21.209470629616607</v>
      </c>
      <c r="G65" s="559"/>
    </row>
    <row r="66" spans="1:8">
      <c r="A66" s="22" t="s">
        <v>103</v>
      </c>
      <c r="B66" s="558" t="s">
        <v>950</v>
      </c>
      <c r="C66" s="573"/>
      <c r="D66" s="560" t="s">
        <v>948</v>
      </c>
      <c r="E66" s="574">
        <f t="shared" si="1"/>
        <v>2035</v>
      </c>
      <c r="F66" s="630">
        <v>0.98366170208288395</v>
      </c>
      <c r="G66" s="575"/>
    </row>
    <row r="67" spans="1:8">
      <c r="A67" s="22" t="s">
        <v>104</v>
      </c>
      <c r="B67" s="558" t="s">
        <v>950</v>
      </c>
      <c r="C67" s="573"/>
      <c r="D67" s="560" t="s">
        <v>948</v>
      </c>
      <c r="E67" s="561">
        <f t="shared" si="1"/>
        <v>2035</v>
      </c>
      <c r="F67" s="630">
        <v>1.6482613239997685</v>
      </c>
      <c r="G67" s="559"/>
    </row>
    <row r="68" spans="1:8">
      <c r="A68" s="22" t="s">
        <v>105</v>
      </c>
      <c r="B68" s="558" t="s">
        <v>950</v>
      </c>
      <c r="C68" s="573"/>
      <c r="D68" s="560" t="s">
        <v>948</v>
      </c>
      <c r="E68" s="574">
        <f t="shared" si="1"/>
        <v>2035</v>
      </c>
      <c r="F68" s="630">
        <v>8.6625545388038798</v>
      </c>
      <c r="G68" s="575"/>
    </row>
    <row r="69" spans="1:8">
      <c r="A69" s="22" t="s">
        <v>106</v>
      </c>
      <c r="B69" s="558" t="s">
        <v>950</v>
      </c>
      <c r="C69" s="573"/>
      <c r="D69" s="560" t="s">
        <v>948</v>
      </c>
      <c r="E69" s="561">
        <f t="shared" si="1"/>
        <v>2035</v>
      </c>
      <c r="F69" s="630">
        <v>2.4154151540723143</v>
      </c>
      <c r="G69" s="559"/>
    </row>
    <row r="70" spans="1:8">
      <c r="A70" s="22" t="s">
        <v>99</v>
      </c>
      <c r="B70" s="558" t="s">
        <v>950</v>
      </c>
      <c r="C70" s="573"/>
      <c r="D70" s="560" t="s">
        <v>948</v>
      </c>
      <c r="E70" s="574">
        <f t="shared" si="1"/>
        <v>2035</v>
      </c>
      <c r="F70" s="630">
        <v>5.9499053555429544</v>
      </c>
      <c r="G70" s="575"/>
    </row>
    <row r="71" spans="1:8">
      <c r="A71" s="22" t="s">
        <v>101</v>
      </c>
      <c r="B71" s="558" t="s">
        <v>950</v>
      </c>
      <c r="C71" s="573"/>
      <c r="D71" s="560" t="s">
        <v>948</v>
      </c>
      <c r="E71" s="561">
        <f t="shared" si="1"/>
        <v>2035</v>
      </c>
      <c r="F71" s="630">
        <v>3.92716112352845</v>
      </c>
      <c r="G71" s="559"/>
    </row>
    <row r="72" spans="1:8">
      <c r="A72" s="22" t="s">
        <v>117</v>
      </c>
      <c r="B72" s="558" t="s">
        <v>950</v>
      </c>
      <c r="C72" s="573"/>
      <c r="D72" s="560" t="s">
        <v>948</v>
      </c>
      <c r="E72" s="574">
        <f>E71</f>
        <v>2035</v>
      </c>
      <c r="F72" s="630">
        <v>10.467068237776997</v>
      </c>
      <c r="G72" s="575"/>
    </row>
    <row r="73" spans="1:8">
      <c r="A73" s="22" t="s">
        <v>121</v>
      </c>
      <c r="B73" s="558" t="s">
        <v>950</v>
      </c>
      <c r="C73" s="573"/>
      <c r="D73" s="560" t="s">
        <v>948</v>
      </c>
      <c r="E73" s="574">
        <f t="shared" ref="E73:E75" si="2">E72</f>
        <v>2035</v>
      </c>
      <c r="F73" s="630" cm="1">
        <f t="array" ref="F73:F75">TRANSPOSE('H2'!U25:W25)</f>
        <v>3.9508265916285619</v>
      </c>
      <c r="G73" s="575"/>
    </row>
    <row r="74" spans="1:8">
      <c r="A74" s="22" t="s">
        <v>122</v>
      </c>
      <c r="B74" s="558" t="s">
        <v>950</v>
      </c>
      <c r="C74" s="573"/>
      <c r="D74" s="560" t="s">
        <v>948</v>
      </c>
      <c r="E74" s="574">
        <f t="shared" si="2"/>
        <v>2035</v>
      </c>
      <c r="F74" s="630">
        <v>1.1362996834329935</v>
      </c>
      <c r="G74" s="559"/>
    </row>
    <row r="75" spans="1:8">
      <c r="A75" s="372" t="s">
        <v>123</v>
      </c>
      <c r="B75" s="608" t="s">
        <v>950</v>
      </c>
      <c r="C75" s="605"/>
      <c r="D75" s="707" t="s">
        <v>948</v>
      </c>
      <c r="E75" s="606">
        <f t="shared" si="2"/>
        <v>2035</v>
      </c>
      <c r="F75" s="631">
        <v>0.84785437917692585</v>
      </c>
      <c r="G75" s="607"/>
      <c r="H75" s="32"/>
    </row>
  </sheetData>
  <conditionalFormatting sqref="A2:G75">
    <cfRule type="expression" dxfId="30"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H121"/>
  <sheetViews>
    <sheetView workbookViewId="0">
      <pane ySplit="1" topLeftCell="A2" activePane="bottomLeft" state="frozen"/>
      <selection pane="bottomLeft" activeCell="H2" sqref="H2:H81"/>
    </sheetView>
  </sheetViews>
  <sheetFormatPr defaultColWidth="9.109375" defaultRowHeight="14.4"/>
  <cols>
    <col min="1" max="1" width="12.6640625" style="38" bestFit="1" customWidth="1"/>
    <col min="2" max="2" width="10.33203125" style="38" bestFit="1" customWidth="1"/>
    <col min="3" max="3" width="9.44140625" style="22" bestFit="1" customWidth="1"/>
    <col min="4" max="4" width="11.6640625" style="22" bestFit="1" customWidth="1"/>
    <col min="5" max="5" width="5" style="22" bestFit="1" customWidth="1"/>
    <col min="6" max="6" width="15.109375" style="22" bestFit="1" customWidth="1"/>
    <col min="7" max="7" width="16" style="22" bestFit="1" customWidth="1"/>
    <col min="8" max="8" width="11.109375" style="22" bestFit="1" customWidth="1"/>
    <col min="9" max="16384" width="9.109375" style="22"/>
  </cols>
  <sheetData>
    <row r="1" spans="1:8">
      <c r="A1" s="595" t="s">
        <v>958</v>
      </c>
      <c r="B1" s="595" t="s">
        <v>959</v>
      </c>
      <c r="C1" s="563" t="s">
        <v>674</v>
      </c>
      <c r="D1" s="563" t="s">
        <v>675</v>
      </c>
      <c r="E1" s="564" t="s">
        <v>177</v>
      </c>
      <c r="F1" s="564" t="s">
        <v>960</v>
      </c>
      <c r="G1" s="564" t="s">
        <v>953</v>
      </c>
      <c r="H1" s="564" t="s">
        <v>954</v>
      </c>
    </row>
    <row r="2" spans="1:8">
      <c r="A2" s="596" t="s">
        <v>107</v>
      </c>
      <c r="B2" s="38" t="s">
        <v>109</v>
      </c>
      <c r="C2" s="22" t="s">
        <v>666</v>
      </c>
      <c r="D2" s="86" t="s">
        <v>948</v>
      </c>
      <c r="E2" s="86">
        <v>2035</v>
      </c>
      <c r="F2" s="215">
        <f>Powerlines!T198</f>
        <v>4800</v>
      </c>
      <c r="G2" s="611">
        <v>1.5</v>
      </c>
      <c r="H2" s="637"/>
    </row>
    <row r="3" spans="1:8">
      <c r="A3" s="596" t="s">
        <v>107</v>
      </c>
      <c r="B3" s="38" t="s">
        <v>110</v>
      </c>
      <c r="C3" s="22" t="s">
        <v>666</v>
      </c>
      <c r="D3" s="86" t="s">
        <v>948</v>
      </c>
      <c r="E3" s="86">
        <v>2035</v>
      </c>
      <c r="F3" s="215">
        <f>Powerlines!T199</f>
        <v>2800</v>
      </c>
      <c r="G3" s="611">
        <v>1.5</v>
      </c>
      <c r="H3" s="637"/>
    </row>
    <row r="4" spans="1:8">
      <c r="A4" s="596" t="s">
        <v>107</v>
      </c>
      <c r="B4" s="38" t="s">
        <v>113</v>
      </c>
      <c r="C4" s="22" t="s">
        <v>666</v>
      </c>
      <c r="D4" s="86" t="s">
        <v>948</v>
      </c>
      <c r="E4" s="86">
        <v>2035</v>
      </c>
      <c r="F4" s="215">
        <f>Powerlines!T200</f>
        <v>2000</v>
      </c>
      <c r="G4" s="611">
        <v>1.5</v>
      </c>
      <c r="H4" s="637"/>
    </row>
    <row r="5" spans="1:8">
      <c r="A5" s="596" t="s">
        <v>107</v>
      </c>
      <c r="B5" s="38" t="s">
        <v>114</v>
      </c>
      <c r="C5" s="22" t="s">
        <v>666</v>
      </c>
      <c r="D5" s="86" t="s">
        <v>948</v>
      </c>
      <c r="E5" s="86">
        <v>2035</v>
      </c>
      <c r="F5" s="215">
        <f>Powerlines!T201</f>
        <v>6000</v>
      </c>
      <c r="G5" s="611">
        <v>1.5</v>
      </c>
      <c r="H5" s="637"/>
    </row>
    <row r="6" spans="1:8">
      <c r="A6" s="596" t="s">
        <v>107</v>
      </c>
      <c r="B6" s="38" t="s">
        <v>115</v>
      </c>
      <c r="C6" s="22" t="s">
        <v>666</v>
      </c>
      <c r="D6" s="86" t="s">
        <v>948</v>
      </c>
      <c r="E6" s="86">
        <v>2035</v>
      </c>
      <c r="F6" s="215">
        <f>Powerlines!T202</f>
        <v>1000</v>
      </c>
      <c r="G6" s="611">
        <v>1.5</v>
      </c>
      <c r="H6" s="637"/>
    </row>
    <row r="7" spans="1:8">
      <c r="A7" s="596" t="s">
        <v>107</v>
      </c>
      <c r="B7" s="38" t="s">
        <v>106</v>
      </c>
      <c r="C7" s="22" t="s">
        <v>666</v>
      </c>
      <c r="D7" s="86" t="s">
        <v>948</v>
      </c>
      <c r="E7" s="86">
        <v>2035</v>
      </c>
      <c r="F7" s="215">
        <f>Powerlines!T203</f>
        <v>2015</v>
      </c>
      <c r="G7" s="611">
        <v>1.5</v>
      </c>
      <c r="H7" s="637"/>
    </row>
    <row r="8" spans="1:8">
      <c r="A8" s="596" t="s">
        <v>107</v>
      </c>
      <c r="B8" s="38" t="s">
        <v>99</v>
      </c>
      <c r="C8" s="22" t="s">
        <v>666</v>
      </c>
      <c r="D8" s="86" t="s">
        <v>948</v>
      </c>
      <c r="E8" s="86">
        <v>2035</v>
      </c>
      <c r="F8" s="215">
        <f>Powerlines!T204</f>
        <v>1500</v>
      </c>
      <c r="G8" s="611">
        <v>1.5</v>
      </c>
      <c r="H8" s="637"/>
    </row>
    <row r="9" spans="1:8">
      <c r="A9" s="596" t="s">
        <v>107</v>
      </c>
      <c r="B9" s="38" t="s">
        <v>101</v>
      </c>
      <c r="C9" s="22" t="s">
        <v>666</v>
      </c>
      <c r="D9" s="86" t="s">
        <v>948</v>
      </c>
      <c r="E9" s="86">
        <v>2035</v>
      </c>
      <c r="F9" s="215">
        <f>Powerlines!T205</f>
        <v>5500</v>
      </c>
      <c r="G9" s="611">
        <v>1.5</v>
      </c>
      <c r="H9" s="637"/>
    </row>
    <row r="10" spans="1:8">
      <c r="A10" s="632" t="s">
        <v>107</v>
      </c>
      <c r="B10" s="633" t="s">
        <v>120</v>
      </c>
      <c r="C10" s="176" t="s">
        <v>666</v>
      </c>
      <c r="D10" s="134" t="s">
        <v>948</v>
      </c>
      <c r="E10" s="134">
        <v>2035</v>
      </c>
      <c r="F10" s="318">
        <f>Powerlines!T206</f>
        <v>3400</v>
      </c>
      <c r="G10" s="715">
        <v>1.5</v>
      </c>
      <c r="H10" s="638"/>
    </row>
    <row r="11" spans="1:8">
      <c r="A11" s="596" t="s">
        <v>109</v>
      </c>
      <c r="B11" s="38" t="s">
        <v>110</v>
      </c>
      <c r="C11" s="22" t="s">
        <v>666</v>
      </c>
      <c r="D11" s="86" t="s">
        <v>948</v>
      </c>
      <c r="E11" s="86">
        <v>2035</v>
      </c>
      <c r="F11" s="215">
        <f>Powerlines!T207</f>
        <v>9450</v>
      </c>
      <c r="G11" s="611">
        <v>1.5</v>
      </c>
      <c r="H11" s="637"/>
    </row>
    <row r="12" spans="1:8">
      <c r="A12" s="596" t="s">
        <v>109</v>
      </c>
      <c r="B12" s="38" t="s">
        <v>112</v>
      </c>
      <c r="C12" s="22" t="s">
        <v>666</v>
      </c>
      <c r="D12" s="86" t="s">
        <v>948</v>
      </c>
      <c r="E12" s="86">
        <v>2035</v>
      </c>
      <c r="F12" s="215">
        <f>Powerlines!T208</f>
        <v>8000</v>
      </c>
      <c r="G12" s="611">
        <v>1.5</v>
      </c>
      <c r="H12" s="637"/>
    </row>
    <row r="13" spans="1:8">
      <c r="A13" s="632" t="s">
        <v>109</v>
      </c>
      <c r="B13" s="633" t="s">
        <v>115</v>
      </c>
      <c r="C13" s="176" t="s">
        <v>666</v>
      </c>
      <c r="D13" s="134" t="s">
        <v>948</v>
      </c>
      <c r="E13" s="134">
        <v>2035</v>
      </c>
      <c r="F13" s="318">
        <f>Powerlines!T209</f>
        <v>5300</v>
      </c>
      <c r="G13" s="715">
        <v>1.5</v>
      </c>
      <c r="H13" s="638"/>
    </row>
    <row r="14" spans="1:8">
      <c r="A14" s="596" t="s">
        <v>110</v>
      </c>
      <c r="B14" s="38" t="s">
        <v>114</v>
      </c>
      <c r="C14" s="22" t="s">
        <v>666</v>
      </c>
      <c r="D14" s="86" t="s">
        <v>948</v>
      </c>
      <c r="E14" s="86">
        <v>2035</v>
      </c>
      <c r="F14" s="215">
        <f>Powerlines!T210</f>
        <v>3000</v>
      </c>
      <c r="G14" s="611">
        <v>1.5</v>
      </c>
      <c r="H14" s="637"/>
    </row>
    <row r="15" spans="1:8">
      <c r="A15" s="596" t="s">
        <v>110</v>
      </c>
      <c r="B15" s="38" t="s">
        <v>115</v>
      </c>
      <c r="C15" s="22" t="s">
        <v>666</v>
      </c>
      <c r="D15" s="86" t="s">
        <v>948</v>
      </c>
      <c r="E15" s="86">
        <v>2035</v>
      </c>
      <c r="F15" s="215">
        <f>Powerlines!T211</f>
        <v>4400</v>
      </c>
      <c r="G15" s="611">
        <v>1.5</v>
      </c>
      <c r="H15" s="637"/>
    </row>
    <row r="16" spans="1:8">
      <c r="A16" s="596" t="s">
        <v>110</v>
      </c>
      <c r="B16" s="38" t="s">
        <v>101</v>
      </c>
      <c r="C16" s="22" t="s">
        <v>666</v>
      </c>
      <c r="D16" s="86" t="s">
        <v>948</v>
      </c>
      <c r="E16" s="86">
        <v>2035</v>
      </c>
      <c r="F16" s="215">
        <f>Powerlines!T212</f>
        <v>2800</v>
      </c>
      <c r="G16" s="611">
        <v>1.5</v>
      </c>
      <c r="H16" s="637"/>
    </row>
    <row r="17" spans="1:8">
      <c r="A17" s="632" t="s">
        <v>110</v>
      </c>
      <c r="B17" s="633" t="s">
        <v>120</v>
      </c>
      <c r="C17" s="176" t="s">
        <v>666</v>
      </c>
      <c r="D17" s="134" t="s">
        <v>948</v>
      </c>
      <c r="E17" s="134">
        <v>2035</v>
      </c>
      <c r="F17" s="318">
        <f>Powerlines!T213</f>
        <v>3400</v>
      </c>
      <c r="G17" s="715">
        <v>1.5</v>
      </c>
      <c r="H17" s="638"/>
    </row>
    <row r="18" spans="1:8">
      <c r="A18" s="596" t="s">
        <v>113</v>
      </c>
      <c r="B18" s="38" t="s">
        <v>106</v>
      </c>
      <c r="C18" s="22" t="s">
        <v>666</v>
      </c>
      <c r="D18" s="86" t="s">
        <v>948</v>
      </c>
      <c r="E18" s="86">
        <v>2035</v>
      </c>
      <c r="F18" s="215">
        <f>Powerlines!T214</f>
        <v>600</v>
      </c>
      <c r="G18" s="611">
        <v>1.5</v>
      </c>
      <c r="H18" s="637"/>
    </row>
    <row r="19" spans="1:8">
      <c r="A19" s="632" t="s">
        <v>113</v>
      </c>
      <c r="B19" s="633" t="s">
        <v>121</v>
      </c>
      <c r="C19" s="176" t="s">
        <v>666</v>
      </c>
      <c r="D19" s="134" t="s">
        <v>948</v>
      </c>
      <c r="E19" s="134">
        <v>2035</v>
      </c>
      <c r="F19" s="318">
        <f>Powerlines!T215</f>
        <v>700</v>
      </c>
      <c r="G19" s="715">
        <v>1.5</v>
      </c>
      <c r="H19" s="638"/>
    </row>
    <row r="20" spans="1:8">
      <c r="A20" s="596" t="s">
        <v>114</v>
      </c>
      <c r="B20" s="38" t="s">
        <v>115</v>
      </c>
      <c r="C20" s="22" t="s">
        <v>666</v>
      </c>
      <c r="D20" s="86" t="s">
        <v>948</v>
      </c>
      <c r="E20" s="86">
        <v>2035</v>
      </c>
      <c r="F20" s="215">
        <f>Powerlines!T216</f>
        <v>4400</v>
      </c>
      <c r="G20" s="611">
        <v>1.5</v>
      </c>
      <c r="H20" s="637"/>
    </row>
    <row r="21" spans="1:8">
      <c r="A21" s="596" t="s">
        <v>114</v>
      </c>
      <c r="B21" s="38" t="s">
        <v>101</v>
      </c>
      <c r="C21" s="22" t="s">
        <v>666</v>
      </c>
      <c r="D21" s="86" t="s">
        <v>948</v>
      </c>
      <c r="E21" s="86">
        <v>2035</v>
      </c>
      <c r="F21" s="215">
        <f>Powerlines!T217</f>
        <v>700</v>
      </c>
      <c r="G21" s="611">
        <v>1.5</v>
      </c>
      <c r="H21" s="637"/>
    </row>
    <row r="22" spans="1:8">
      <c r="A22" s="632" t="s">
        <v>114</v>
      </c>
      <c r="B22" s="633" t="s">
        <v>120</v>
      </c>
      <c r="C22" s="176" t="s">
        <v>666</v>
      </c>
      <c r="D22" s="134" t="s">
        <v>948</v>
      </c>
      <c r="E22" s="134">
        <v>2035</v>
      </c>
      <c r="F22" s="318">
        <f>Powerlines!T218</f>
        <v>2700</v>
      </c>
      <c r="G22" s="715">
        <v>1.5</v>
      </c>
      <c r="H22" s="638"/>
    </row>
    <row r="23" spans="1:8">
      <c r="A23" s="596" t="s">
        <v>103</v>
      </c>
      <c r="B23" s="38" t="s">
        <v>104</v>
      </c>
      <c r="C23" s="22" t="s">
        <v>666</v>
      </c>
      <c r="D23" s="86" t="s">
        <v>948</v>
      </c>
      <c r="E23" s="86">
        <v>2035</v>
      </c>
      <c r="F23" s="215">
        <f>Powerlines!T219</f>
        <v>3300</v>
      </c>
      <c r="G23" s="611">
        <v>1.5</v>
      </c>
      <c r="H23" s="637"/>
    </row>
    <row r="24" spans="1:8">
      <c r="A24" s="596" t="s">
        <v>104</v>
      </c>
      <c r="B24" s="38" t="s">
        <v>105</v>
      </c>
      <c r="C24" s="22" t="s">
        <v>666</v>
      </c>
      <c r="D24" s="86" t="s">
        <v>948</v>
      </c>
      <c r="E24" s="86">
        <v>2035</v>
      </c>
      <c r="F24" s="215">
        <f>Powerlines!T220</f>
        <v>9300</v>
      </c>
      <c r="G24" s="611">
        <v>1.5</v>
      </c>
      <c r="H24" s="637"/>
    </row>
    <row r="25" spans="1:8">
      <c r="A25" s="596" t="s">
        <v>105</v>
      </c>
      <c r="B25" s="38" t="s">
        <v>106</v>
      </c>
      <c r="C25" s="22" t="s">
        <v>666</v>
      </c>
      <c r="D25" s="86" t="s">
        <v>948</v>
      </c>
      <c r="E25" s="86">
        <v>2035</v>
      </c>
      <c r="F25" s="215">
        <f>Powerlines!T221</f>
        <v>7200</v>
      </c>
      <c r="G25" s="611">
        <v>1.5</v>
      </c>
      <c r="H25" s="637"/>
    </row>
    <row r="26" spans="1:8">
      <c r="A26" s="596" t="s">
        <v>106</v>
      </c>
      <c r="B26" s="38" t="s">
        <v>99</v>
      </c>
      <c r="C26" s="22" t="s">
        <v>666</v>
      </c>
      <c r="D26" s="86" t="s">
        <v>948</v>
      </c>
      <c r="E26" s="86">
        <v>2035</v>
      </c>
      <c r="F26" s="215">
        <f>Powerlines!T222</f>
        <v>1800</v>
      </c>
      <c r="G26" s="611">
        <v>1.5</v>
      </c>
      <c r="H26" s="637"/>
    </row>
    <row r="27" spans="1:8">
      <c r="A27" s="596" t="s">
        <v>105</v>
      </c>
      <c r="B27" s="38" t="s">
        <v>101</v>
      </c>
      <c r="C27" s="22" t="s">
        <v>666</v>
      </c>
      <c r="D27" s="86" t="s">
        <v>948</v>
      </c>
      <c r="E27" s="86">
        <v>2035</v>
      </c>
      <c r="F27" s="215">
        <f>Powerlines!T223</f>
        <v>1415</v>
      </c>
      <c r="G27" s="611">
        <v>1.5</v>
      </c>
      <c r="H27" s="637"/>
    </row>
    <row r="28" spans="1:8">
      <c r="A28" s="596" t="s">
        <v>103</v>
      </c>
      <c r="B28" s="38" t="s">
        <v>117</v>
      </c>
      <c r="C28" s="22" t="s">
        <v>666</v>
      </c>
      <c r="D28" s="86" t="s">
        <v>948</v>
      </c>
      <c r="E28" s="86">
        <v>2035</v>
      </c>
      <c r="F28" s="215">
        <f>Powerlines!T224</f>
        <v>4500</v>
      </c>
      <c r="G28" s="611">
        <v>1.5</v>
      </c>
      <c r="H28" s="637"/>
    </row>
    <row r="29" spans="1:8">
      <c r="A29" s="596" t="s">
        <v>105</v>
      </c>
      <c r="B29" s="38" t="s">
        <v>117</v>
      </c>
      <c r="C29" s="22" t="s">
        <v>666</v>
      </c>
      <c r="D29" s="86" t="s">
        <v>948</v>
      </c>
      <c r="E29" s="86">
        <v>2035</v>
      </c>
      <c r="F29" s="215">
        <f>Powerlines!T225</f>
        <v>1700</v>
      </c>
      <c r="G29" s="611">
        <v>1.5</v>
      </c>
      <c r="H29" s="637"/>
    </row>
    <row r="30" spans="1:8">
      <c r="A30" s="596" t="s">
        <v>103</v>
      </c>
      <c r="B30" s="38" t="s">
        <v>119</v>
      </c>
      <c r="C30" s="22" t="s">
        <v>666</v>
      </c>
      <c r="D30" s="86" t="s">
        <v>948</v>
      </c>
      <c r="E30" s="86">
        <v>2035</v>
      </c>
      <c r="F30" s="215">
        <f>Powerlines!T226</f>
        <v>600</v>
      </c>
      <c r="G30" s="611">
        <v>1.5</v>
      </c>
      <c r="H30" s="637"/>
    </row>
    <row r="31" spans="1:8">
      <c r="A31" s="596" t="s">
        <v>104</v>
      </c>
      <c r="B31" s="38" t="s">
        <v>119</v>
      </c>
      <c r="C31" s="22" t="s">
        <v>666</v>
      </c>
      <c r="D31" s="86" t="s">
        <v>948</v>
      </c>
      <c r="E31" s="86">
        <v>2035</v>
      </c>
      <c r="F31" s="215">
        <f>Powerlines!T227</f>
        <v>300</v>
      </c>
      <c r="G31" s="611">
        <v>1.5</v>
      </c>
      <c r="H31" s="637"/>
    </row>
    <row r="32" spans="1:8">
      <c r="A32" s="596" t="s">
        <v>104</v>
      </c>
      <c r="B32" s="38" t="s">
        <v>118</v>
      </c>
      <c r="C32" s="22" t="s">
        <v>666</v>
      </c>
      <c r="D32" s="86" t="s">
        <v>948</v>
      </c>
      <c r="E32" s="86">
        <v>2035</v>
      </c>
      <c r="F32" s="215">
        <f>Powerlines!T228</f>
        <v>1000</v>
      </c>
      <c r="G32" s="611">
        <v>1.5</v>
      </c>
      <c r="H32" s="637"/>
    </row>
    <row r="33" spans="1:8">
      <c r="A33" s="596" t="s">
        <v>105</v>
      </c>
      <c r="B33" s="38" t="s">
        <v>120</v>
      </c>
      <c r="C33" s="22" t="s">
        <v>666</v>
      </c>
      <c r="D33" s="86" t="s">
        <v>948</v>
      </c>
      <c r="E33" s="86">
        <v>2035</v>
      </c>
      <c r="F33" s="215">
        <f>Powerlines!T229</f>
        <v>2095</v>
      </c>
      <c r="G33" s="611">
        <v>1.5</v>
      </c>
      <c r="H33" s="637"/>
    </row>
    <row r="34" spans="1:8">
      <c r="A34" s="632" t="s">
        <v>106</v>
      </c>
      <c r="B34" s="633" t="s">
        <v>121</v>
      </c>
      <c r="C34" s="176" t="s">
        <v>666</v>
      </c>
      <c r="D34" s="134" t="s">
        <v>948</v>
      </c>
      <c r="E34" s="134">
        <v>2035</v>
      </c>
      <c r="F34" s="318">
        <f>Powerlines!T230</f>
        <v>1300</v>
      </c>
      <c r="G34" s="715">
        <v>1.5</v>
      </c>
      <c r="H34" s="638"/>
    </row>
    <row r="35" spans="1:8">
      <c r="A35" s="596" t="s">
        <v>99</v>
      </c>
      <c r="B35" s="38" t="s">
        <v>101</v>
      </c>
      <c r="C35" s="22" t="s">
        <v>666</v>
      </c>
      <c r="D35" s="86" t="s">
        <v>948</v>
      </c>
      <c r="E35" s="86">
        <v>2035</v>
      </c>
      <c r="F35" s="215">
        <f>Powerlines!T231</f>
        <v>600</v>
      </c>
      <c r="G35" s="611">
        <v>1.5</v>
      </c>
      <c r="H35" s="637"/>
    </row>
    <row r="36" spans="1:8">
      <c r="A36" s="632" t="s">
        <v>101</v>
      </c>
      <c r="B36" s="633" t="s">
        <v>120</v>
      </c>
      <c r="C36" s="176" t="s">
        <v>666</v>
      </c>
      <c r="D36" s="134" t="s">
        <v>948</v>
      </c>
      <c r="E36" s="134">
        <v>2035</v>
      </c>
      <c r="F36" s="318">
        <f>Powerlines!T232</f>
        <v>3632</v>
      </c>
      <c r="G36" s="715">
        <v>1.5</v>
      </c>
      <c r="H36" s="638"/>
    </row>
    <row r="37" spans="1:8">
      <c r="A37" s="632" t="s">
        <v>117</v>
      </c>
      <c r="B37" s="633" t="s">
        <v>123</v>
      </c>
      <c r="C37" s="176" t="s">
        <v>666</v>
      </c>
      <c r="D37" s="134" t="s">
        <v>948</v>
      </c>
      <c r="E37" s="134">
        <v>2035</v>
      </c>
      <c r="F37" s="313">
        <f>Powerlines!T233</f>
        <v>1716</v>
      </c>
      <c r="G37" s="715">
        <v>1.5</v>
      </c>
      <c r="H37" s="638"/>
    </row>
    <row r="38" spans="1:8">
      <c r="A38" s="596" t="s">
        <v>118</v>
      </c>
      <c r="B38" s="38" t="s">
        <v>119</v>
      </c>
      <c r="C38" s="22" t="s">
        <v>666</v>
      </c>
      <c r="D38" s="86" t="s">
        <v>948</v>
      </c>
      <c r="E38" s="86">
        <v>2035</v>
      </c>
      <c r="F38" s="215">
        <f>Powerlines!T234</f>
        <v>1300</v>
      </c>
      <c r="G38" s="611">
        <v>1.5</v>
      </c>
      <c r="H38" s="637"/>
    </row>
    <row r="39" spans="1:8">
      <c r="A39" s="632" t="s">
        <v>118</v>
      </c>
      <c r="B39" s="633" t="s">
        <v>120</v>
      </c>
      <c r="C39" s="176" t="s">
        <v>666</v>
      </c>
      <c r="D39" s="134" t="s">
        <v>948</v>
      </c>
      <c r="E39" s="134">
        <v>2035</v>
      </c>
      <c r="F39" s="318">
        <f>Powerlines!T235</f>
        <v>1400</v>
      </c>
      <c r="G39" s="715">
        <v>1.5</v>
      </c>
      <c r="H39" s="638"/>
    </row>
    <row r="40" spans="1:8">
      <c r="A40" s="635" t="s">
        <v>121</v>
      </c>
      <c r="B40" s="636" t="s">
        <v>122</v>
      </c>
      <c r="C40" s="136" t="s">
        <v>666</v>
      </c>
      <c r="D40" s="190" t="s">
        <v>948</v>
      </c>
      <c r="E40" s="190">
        <v>2035</v>
      </c>
      <c r="F40" s="313">
        <f>Powerlines!T236</f>
        <v>950</v>
      </c>
      <c r="G40" s="715">
        <v>1.5</v>
      </c>
      <c r="H40" s="639"/>
    </row>
    <row r="41" spans="1:8">
      <c r="A41" s="597" t="s">
        <v>122</v>
      </c>
      <c r="B41" s="598" t="s">
        <v>123</v>
      </c>
      <c r="C41" s="372" t="s">
        <v>666</v>
      </c>
      <c r="D41" s="712" t="s">
        <v>948</v>
      </c>
      <c r="E41" s="577">
        <v>2035</v>
      </c>
      <c r="F41" s="554">
        <f>Powerlines!T237</f>
        <v>900</v>
      </c>
      <c r="G41" s="612">
        <v>1.5</v>
      </c>
      <c r="H41" s="640"/>
    </row>
    <row r="42" spans="1:8">
      <c r="A42" s="38" t="s">
        <v>109</v>
      </c>
      <c r="B42" s="596" t="s">
        <v>107</v>
      </c>
      <c r="C42" s="22" t="s">
        <v>666</v>
      </c>
      <c r="D42" s="86" t="s">
        <v>948</v>
      </c>
      <c r="E42" s="86">
        <v>2035</v>
      </c>
      <c r="F42" s="215">
        <f>Powerlines!U198</f>
        <v>4800</v>
      </c>
      <c r="G42" s="611">
        <v>1.5</v>
      </c>
      <c r="H42" s="637"/>
    </row>
    <row r="43" spans="1:8">
      <c r="A43" s="38" t="s">
        <v>110</v>
      </c>
      <c r="B43" s="596" t="s">
        <v>107</v>
      </c>
      <c r="C43" s="22" t="s">
        <v>666</v>
      </c>
      <c r="D43" s="86" t="s">
        <v>948</v>
      </c>
      <c r="E43" s="86">
        <v>2035</v>
      </c>
      <c r="F43" s="215">
        <f>Powerlines!U199</f>
        <v>2800</v>
      </c>
      <c r="G43" s="611">
        <v>1.5</v>
      </c>
      <c r="H43" s="637"/>
    </row>
    <row r="44" spans="1:8">
      <c r="A44" s="38" t="s">
        <v>113</v>
      </c>
      <c r="B44" s="596" t="s">
        <v>107</v>
      </c>
      <c r="C44" s="22" t="s">
        <v>666</v>
      </c>
      <c r="D44" s="86" t="s">
        <v>948</v>
      </c>
      <c r="E44" s="86">
        <v>2035</v>
      </c>
      <c r="F44" s="215">
        <f>Powerlines!U200</f>
        <v>3000</v>
      </c>
      <c r="G44" s="611">
        <v>1.5</v>
      </c>
      <c r="H44" s="637"/>
    </row>
    <row r="45" spans="1:8">
      <c r="A45" s="38" t="s">
        <v>114</v>
      </c>
      <c r="B45" s="596" t="s">
        <v>107</v>
      </c>
      <c r="C45" s="22" t="s">
        <v>666</v>
      </c>
      <c r="D45" s="86" t="s">
        <v>948</v>
      </c>
      <c r="E45" s="86">
        <v>2035</v>
      </c>
      <c r="F45" s="215">
        <f>Powerlines!U201</f>
        <v>6000</v>
      </c>
      <c r="G45" s="611">
        <v>1.5</v>
      </c>
      <c r="H45" s="637"/>
    </row>
    <row r="46" spans="1:8">
      <c r="A46" s="38" t="s">
        <v>115</v>
      </c>
      <c r="B46" s="596" t="s">
        <v>107</v>
      </c>
      <c r="C46" s="22" t="s">
        <v>666</v>
      </c>
      <c r="D46" s="86" t="s">
        <v>948</v>
      </c>
      <c r="E46" s="86">
        <v>2035</v>
      </c>
      <c r="F46" s="215">
        <f>Powerlines!U202</f>
        <v>1000</v>
      </c>
      <c r="G46" s="611">
        <v>1.5</v>
      </c>
      <c r="H46" s="637"/>
    </row>
    <row r="47" spans="1:8">
      <c r="A47" s="38" t="s">
        <v>106</v>
      </c>
      <c r="B47" s="596" t="s">
        <v>107</v>
      </c>
      <c r="C47" s="22" t="s">
        <v>666</v>
      </c>
      <c r="D47" s="86" t="s">
        <v>948</v>
      </c>
      <c r="E47" s="86">
        <v>2035</v>
      </c>
      <c r="F47" s="215">
        <f>Powerlines!U203</f>
        <v>2015</v>
      </c>
      <c r="G47" s="611">
        <v>1.5</v>
      </c>
      <c r="H47" s="637"/>
    </row>
    <row r="48" spans="1:8">
      <c r="A48" s="38" t="s">
        <v>99</v>
      </c>
      <c r="B48" s="596" t="s">
        <v>107</v>
      </c>
      <c r="C48" s="22" t="s">
        <v>666</v>
      </c>
      <c r="D48" s="86" t="s">
        <v>948</v>
      </c>
      <c r="E48" s="86">
        <v>2035</v>
      </c>
      <c r="F48" s="215">
        <f>Powerlines!U204</f>
        <v>1500</v>
      </c>
      <c r="G48" s="611">
        <v>1.5</v>
      </c>
      <c r="H48" s="637"/>
    </row>
    <row r="49" spans="1:8">
      <c r="A49" s="38" t="s">
        <v>101</v>
      </c>
      <c r="B49" s="596" t="s">
        <v>107</v>
      </c>
      <c r="C49" s="22" t="s">
        <v>666</v>
      </c>
      <c r="D49" s="86" t="s">
        <v>948</v>
      </c>
      <c r="E49" s="86">
        <v>2035</v>
      </c>
      <c r="F49" s="215">
        <f>Powerlines!U205</f>
        <v>5500</v>
      </c>
      <c r="G49" s="611">
        <v>1.5</v>
      </c>
      <c r="H49" s="637"/>
    </row>
    <row r="50" spans="1:8">
      <c r="A50" s="633" t="s">
        <v>120</v>
      </c>
      <c r="B50" s="632" t="s">
        <v>107</v>
      </c>
      <c r="C50" s="176" t="s">
        <v>666</v>
      </c>
      <c r="D50" s="134" t="s">
        <v>948</v>
      </c>
      <c r="E50" s="134">
        <v>2035</v>
      </c>
      <c r="F50" s="318">
        <f>Powerlines!U206</f>
        <v>3400</v>
      </c>
      <c r="G50" s="715">
        <v>1.5</v>
      </c>
      <c r="H50" s="638"/>
    </row>
    <row r="51" spans="1:8">
      <c r="A51" s="38" t="s">
        <v>110</v>
      </c>
      <c r="B51" s="596" t="s">
        <v>109</v>
      </c>
      <c r="C51" s="22" t="s">
        <v>666</v>
      </c>
      <c r="D51" s="86" t="s">
        <v>948</v>
      </c>
      <c r="E51" s="86">
        <v>2035</v>
      </c>
      <c r="F51" s="215">
        <f>Powerlines!U207</f>
        <v>9450</v>
      </c>
      <c r="G51" s="611">
        <v>1.5</v>
      </c>
      <c r="H51" s="637"/>
    </row>
    <row r="52" spans="1:8">
      <c r="A52" s="38" t="s">
        <v>112</v>
      </c>
      <c r="B52" s="596" t="s">
        <v>109</v>
      </c>
      <c r="C52" s="22" t="s">
        <v>666</v>
      </c>
      <c r="D52" s="86" t="s">
        <v>948</v>
      </c>
      <c r="E52" s="86">
        <v>2035</v>
      </c>
      <c r="F52" s="215">
        <f>Powerlines!U208</f>
        <v>8000</v>
      </c>
      <c r="G52" s="611">
        <v>1.5</v>
      </c>
      <c r="H52" s="637"/>
    </row>
    <row r="53" spans="1:8">
      <c r="A53" s="633" t="s">
        <v>115</v>
      </c>
      <c r="B53" s="632" t="s">
        <v>109</v>
      </c>
      <c r="C53" s="176" t="s">
        <v>666</v>
      </c>
      <c r="D53" s="134" t="s">
        <v>948</v>
      </c>
      <c r="E53" s="134">
        <v>2035</v>
      </c>
      <c r="F53" s="318">
        <f>Powerlines!U209</f>
        <v>3800</v>
      </c>
      <c r="G53" s="715">
        <v>1.5</v>
      </c>
      <c r="H53" s="638"/>
    </row>
    <row r="54" spans="1:8">
      <c r="A54" s="38" t="s">
        <v>114</v>
      </c>
      <c r="B54" s="596" t="s">
        <v>110</v>
      </c>
      <c r="C54" s="22" t="s">
        <v>666</v>
      </c>
      <c r="D54" s="86" t="s">
        <v>948</v>
      </c>
      <c r="E54" s="86">
        <v>2035</v>
      </c>
      <c r="F54" s="215">
        <f>Powerlines!U210</f>
        <v>3000</v>
      </c>
      <c r="G54" s="611">
        <v>1.5</v>
      </c>
      <c r="H54" s="637"/>
    </row>
    <row r="55" spans="1:8">
      <c r="A55" s="38" t="s">
        <v>115</v>
      </c>
      <c r="B55" s="596" t="s">
        <v>110</v>
      </c>
      <c r="C55" s="22" t="s">
        <v>666</v>
      </c>
      <c r="D55" s="86" t="s">
        <v>948</v>
      </c>
      <c r="E55" s="86">
        <v>2035</v>
      </c>
      <c r="F55" s="215">
        <f>Powerlines!U211</f>
        <v>4400</v>
      </c>
      <c r="G55" s="611">
        <v>1.5</v>
      </c>
      <c r="H55" s="637"/>
    </row>
    <row r="56" spans="1:8">
      <c r="A56" s="38" t="s">
        <v>101</v>
      </c>
      <c r="B56" s="596" t="s">
        <v>110</v>
      </c>
      <c r="C56" s="22" t="s">
        <v>666</v>
      </c>
      <c r="D56" s="86" t="s">
        <v>948</v>
      </c>
      <c r="E56" s="86">
        <v>2035</v>
      </c>
      <c r="F56" s="215">
        <f>Powerlines!U212</f>
        <v>2800</v>
      </c>
      <c r="G56" s="611">
        <v>1.5</v>
      </c>
      <c r="H56" s="637"/>
    </row>
    <row r="57" spans="1:8">
      <c r="A57" s="633" t="s">
        <v>120</v>
      </c>
      <c r="B57" s="632" t="s">
        <v>110</v>
      </c>
      <c r="C57" s="176" t="s">
        <v>666</v>
      </c>
      <c r="D57" s="134" t="s">
        <v>948</v>
      </c>
      <c r="E57" s="134">
        <v>2035</v>
      </c>
      <c r="F57" s="318">
        <f>Powerlines!U213</f>
        <v>3400</v>
      </c>
      <c r="G57" s="715">
        <v>1.5</v>
      </c>
      <c r="H57" s="638"/>
    </row>
    <row r="58" spans="1:8">
      <c r="A58" s="38" t="s">
        <v>106</v>
      </c>
      <c r="B58" s="596" t="s">
        <v>113</v>
      </c>
      <c r="C58" s="22" t="s">
        <v>666</v>
      </c>
      <c r="D58" s="86" t="s">
        <v>948</v>
      </c>
      <c r="E58" s="86">
        <v>2035</v>
      </c>
      <c r="F58" s="215">
        <f>Powerlines!U214</f>
        <v>600</v>
      </c>
      <c r="G58" s="611">
        <v>1.5</v>
      </c>
      <c r="H58" s="637"/>
    </row>
    <row r="59" spans="1:8">
      <c r="A59" s="633" t="s">
        <v>121</v>
      </c>
      <c r="B59" s="632" t="s">
        <v>113</v>
      </c>
      <c r="C59" s="176" t="s">
        <v>666</v>
      </c>
      <c r="D59" s="134" t="s">
        <v>948</v>
      </c>
      <c r="E59" s="134">
        <v>2035</v>
      </c>
      <c r="F59" s="318">
        <f>Powerlines!U215</f>
        <v>700</v>
      </c>
      <c r="G59" s="715">
        <v>1.5</v>
      </c>
      <c r="H59" s="638"/>
    </row>
    <row r="60" spans="1:8">
      <c r="A60" s="38" t="s">
        <v>115</v>
      </c>
      <c r="B60" s="596" t="s">
        <v>114</v>
      </c>
      <c r="C60" s="22" t="s">
        <v>666</v>
      </c>
      <c r="D60" s="86" t="s">
        <v>948</v>
      </c>
      <c r="E60" s="86">
        <v>2035</v>
      </c>
      <c r="F60" s="215">
        <f>Powerlines!U216</f>
        <v>4400</v>
      </c>
      <c r="G60" s="611">
        <v>1.5</v>
      </c>
      <c r="H60" s="637"/>
    </row>
    <row r="61" spans="1:8">
      <c r="A61" s="38" t="s">
        <v>101</v>
      </c>
      <c r="B61" s="596" t="s">
        <v>114</v>
      </c>
      <c r="C61" s="22" t="s">
        <v>666</v>
      </c>
      <c r="D61" s="86" t="s">
        <v>948</v>
      </c>
      <c r="E61" s="86">
        <v>2035</v>
      </c>
      <c r="F61" s="215">
        <f>Powerlines!U217</f>
        <v>700</v>
      </c>
      <c r="G61" s="611">
        <v>1.5</v>
      </c>
      <c r="H61" s="637"/>
    </row>
    <row r="62" spans="1:8">
      <c r="A62" s="633" t="s">
        <v>120</v>
      </c>
      <c r="B62" s="632" t="s">
        <v>114</v>
      </c>
      <c r="C62" s="176" t="s">
        <v>666</v>
      </c>
      <c r="D62" s="134" t="s">
        <v>948</v>
      </c>
      <c r="E62" s="134">
        <v>2035</v>
      </c>
      <c r="F62" s="318">
        <f>Powerlines!U218</f>
        <v>2700</v>
      </c>
      <c r="G62" s="715">
        <v>1.5</v>
      </c>
      <c r="H62" s="638"/>
    </row>
    <row r="63" spans="1:8">
      <c r="A63" s="38" t="s">
        <v>104</v>
      </c>
      <c r="B63" s="596" t="s">
        <v>103</v>
      </c>
      <c r="C63" s="22" t="s">
        <v>666</v>
      </c>
      <c r="D63" s="86" t="s">
        <v>948</v>
      </c>
      <c r="E63" s="86">
        <v>2035</v>
      </c>
      <c r="F63" s="215">
        <f>Powerlines!U219</f>
        <v>3300</v>
      </c>
      <c r="G63" s="611">
        <v>1.5</v>
      </c>
      <c r="H63" s="637"/>
    </row>
    <row r="64" spans="1:8">
      <c r="A64" s="38" t="s">
        <v>105</v>
      </c>
      <c r="B64" s="596" t="s">
        <v>104</v>
      </c>
      <c r="C64" s="22" t="s">
        <v>666</v>
      </c>
      <c r="D64" s="86" t="s">
        <v>948</v>
      </c>
      <c r="E64" s="86">
        <v>2035</v>
      </c>
      <c r="F64" s="215">
        <f>Powerlines!U220</f>
        <v>9300</v>
      </c>
      <c r="G64" s="611">
        <v>1.5</v>
      </c>
      <c r="H64" s="637"/>
    </row>
    <row r="65" spans="1:8">
      <c r="A65" s="38" t="s">
        <v>106</v>
      </c>
      <c r="B65" s="596" t="s">
        <v>105</v>
      </c>
      <c r="C65" s="22" t="s">
        <v>666</v>
      </c>
      <c r="D65" s="86" t="s">
        <v>948</v>
      </c>
      <c r="E65" s="86">
        <v>2035</v>
      </c>
      <c r="F65" s="215">
        <f>Powerlines!U221</f>
        <v>3600</v>
      </c>
      <c r="G65" s="611">
        <v>1.5</v>
      </c>
      <c r="H65" s="637"/>
    </row>
    <row r="66" spans="1:8">
      <c r="A66" s="38" t="s">
        <v>99</v>
      </c>
      <c r="B66" s="596" t="s">
        <v>106</v>
      </c>
      <c r="C66" s="22" t="s">
        <v>666</v>
      </c>
      <c r="D66" s="86" t="s">
        <v>948</v>
      </c>
      <c r="E66" s="86">
        <v>2035</v>
      </c>
      <c r="F66" s="215">
        <f>Powerlines!U222</f>
        <v>2200</v>
      </c>
      <c r="G66" s="611">
        <v>1.5</v>
      </c>
      <c r="H66" s="637"/>
    </row>
    <row r="67" spans="1:8">
      <c r="A67" s="38" t="s">
        <v>101</v>
      </c>
      <c r="B67" s="596" t="s">
        <v>105</v>
      </c>
      <c r="C67" s="22" t="s">
        <v>666</v>
      </c>
      <c r="D67" s="86" t="s">
        <v>948</v>
      </c>
      <c r="E67" s="86">
        <v>2035</v>
      </c>
      <c r="F67" s="215">
        <f>Powerlines!U223</f>
        <v>1415</v>
      </c>
      <c r="G67" s="611">
        <v>1.5</v>
      </c>
      <c r="H67" s="637"/>
    </row>
    <row r="68" spans="1:8">
      <c r="A68" s="38" t="s">
        <v>117</v>
      </c>
      <c r="B68" s="596" t="s">
        <v>103</v>
      </c>
      <c r="C68" s="22" t="s">
        <v>666</v>
      </c>
      <c r="D68" s="86" t="s">
        <v>948</v>
      </c>
      <c r="E68" s="86">
        <v>2035</v>
      </c>
      <c r="F68" s="215">
        <f>Powerlines!U224</f>
        <v>4400</v>
      </c>
      <c r="G68" s="611">
        <v>1.5</v>
      </c>
      <c r="H68" s="637"/>
    </row>
    <row r="69" spans="1:8">
      <c r="A69" s="38" t="s">
        <v>117</v>
      </c>
      <c r="B69" s="596" t="s">
        <v>105</v>
      </c>
      <c r="C69" s="22" t="s">
        <v>666</v>
      </c>
      <c r="D69" s="86" t="s">
        <v>948</v>
      </c>
      <c r="E69" s="86">
        <v>2035</v>
      </c>
      <c r="F69" s="215">
        <f>Powerlines!U225</f>
        <v>1700</v>
      </c>
      <c r="G69" s="611">
        <v>1.5</v>
      </c>
      <c r="H69" s="637"/>
    </row>
    <row r="70" spans="1:8">
      <c r="A70" s="38" t="s">
        <v>119</v>
      </c>
      <c r="B70" s="596" t="s">
        <v>103</v>
      </c>
      <c r="C70" s="22" t="s">
        <v>666</v>
      </c>
      <c r="D70" s="86" t="s">
        <v>948</v>
      </c>
      <c r="E70" s="86">
        <v>2035</v>
      </c>
      <c r="F70" s="215">
        <f>Powerlines!U226</f>
        <v>700</v>
      </c>
      <c r="G70" s="611">
        <v>1.5</v>
      </c>
      <c r="H70" s="637"/>
    </row>
    <row r="71" spans="1:8">
      <c r="A71" s="38" t="s">
        <v>119</v>
      </c>
      <c r="B71" s="596" t="s">
        <v>104</v>
      </c>
      <c r="C71" s="22" t="s">
        <v>666</v>
      </c>
      <c r="D71" s="86" t="s">
        <v>948</v>
      </c>
      <c r="E71" s="86">
        <v>2035</v>
      </c>
      <c r="F71" s="215">
        <f>Powerlines!U227</f>
        <v>250</v>
      </c>
      <c r="G71" s="611">
        <v>1.5</v>
      </c>
      <c r="H71" s="637"/>
    </row>
    <row r="72" spans="1:8">
      <c r="A72" s="38" t="s">
        <v>118</v>
      </c>
      <c r="B72" s="596" t="s">
        <v>104</v>
      </c>
      <c r="C72" s="22" t="s">
        <v>666</v>
      </c>
      <c r="D72" s="86" t="s">
        <v>948</v>
      </c>
      <c r="E72" s="86">
        <v>2035</v>
      </c>
      <c r="F72" s="215">
        <f>Powerlines!U228</f>
        <v>600</v>
      </c>
      <c r="G72" s="611">
        <v>1.5</v>
      </c>
      <c r="H72" s="637"/>
    </row>
    <row r="73" spans="1:8">
      <c r="A73" s="38" t="s">
        <v>120</v>
      </c>
      <c r="B73" s="596" t="s">
        <v>105</v>
      </c>
      <c r="C73" s="22" t="s">
        <v>666</v>
      </c>
      <c r="D73" s="86" t="s">
        <v>948</v>
      </c>
      <c r="E73" s="86">
        <v>2035</v>
      </c>
      <c r="F73" s="215">
        <f>Powerlines!U229</f>
        <v>2145</v>
      </c>
      <c r="G73" s="611">
        <v>1.5</v>
      </c>
      <c r="H73" s="637"/>
    </row>
    <row r="74" spans="1:8">
      <c r="A74" s="633" t="s">
        <v>121</v>
      </c>
      <c r="B74" s="632" t="s">
        <v>106</v>
      </c>
      <c r="C74" s="176" t="s">
        <v>666</v>
      </c>
      <c r="D74" s="134" t="s">
        <v>948</v>
      </c>
      <c r="E74" s="134">
        <v>2035</v>
      </c>
      <c r="F74" s="318">
        <f>Powerlines!U230</f>
        <v>1300</v>
      </c>
      <c r="G74" s="715">
        <v>1.5</v>
      </c>
      <c r="H74" s="638"/>
    </row>
    <row r="75" spans="1:8">
      <c r="A75" s="38" t="s">
        <v>101</v>
      </c>
      <c r="B75" s="596" t="s">
        <v>99</v>
      </c>
      <c r="C75" s="22" t="s">
        <v>666</v>
      </c>
      <c r="D75" s="86" t="s">
        <v>948</v>
      </c>
      <c r="E75" s="86">
        <v>2035</v>
      </c>
      <c r="F75" s="215">
        <f>Powerlines!U231</f>
        <v>590</v>
      </c>
      <c r="G75" s="611">
        <v>1.5</v>
      </c>
      <c r="H75" s="637"/>
    </row>
    <row r="76" spans="1:8">
      <c r="A76" s="633" t="s">
        <v>120</v>
      </c>
      <c r="B76" s="632" t="s">
        <v>101</v>
      </c>
      <c r="C76" s="176" t="s">
        <v>666</v>
      </c>
      <c r="D76" s="134" t="s">
        <v>948</v>
      </c>
      <c r="E76" s="134">
        <v>2035</v>
      </c>
      <c r="F76" s="318">
        <f>Powerlines!U232</f>
        <v>3632</v>
      </c>
      <c r="G76" s="715">
        <v>1.5</v>
      </c>
      <c r="H76" s="638"/>
    </row>
    <row r="77" spans="1:8">
      <c r="A77" s="633" t="s">
        <v>123</v>
      </c>
      <c r="B77" s="632" t="s">
        <v>117</v>
      </c>
      <c r="C77" s="176" t="s">
        <v>666</v>
      </c>
      <c r="D77" s="134" t="s">
        <v>948</v>
      </c>
      <c r="E77" s="134">
        <v>2035</v>
      </c>
      <c r="F77" s="313">
        <f>Powerlines!U233</f>
        <v>1716</v>
      </c>
      <c r="G77" s="715">
        <v>1.5</v>
      </c>
      <c r="H77" s="638"/>
    </row>
    <row r="78" spans="1:8">
      <c r="A78" s="38" t="s">
        <v>119</v>
      </c>
      <c r="B78" s="596" t="s">
        <v>118</v>
      </c>
      <c r="C78" s="22" t="s">
        <v>666</v>
      </c>
      <c r="D78" s="86" t="s">
        <v>948</v>
      </c>
      <c r="E78" s="86">
        <v>2035</v>
      </c>
      <c r="F78" s="215">
        <f>Powerlines!U234</f>
        <v>1300</v>
      </c>
      <c r="G78" s="611">
        <v>1.5</v>
      </c>
      <c r="H78" s="637"/>
    </row>
    <row r="79" spans="1:8">
      <c r="A79" s="633" t="s">
        <v>120</v>
      </c>
      <c r="B79" s="632" t="s">
        <v>118</v>
      </c>
      <c r="C79" s="176" t="s">
        <v>666</v>
      </c>
      <c r="D79" s="134" t="s">
        <v>948</v>
      </c>
      <c r="E79" s="134">
        <v>2035</v>
      </c>
      <c r="F79" s="318">
        <f>Powerlines!U235</f>
        <v>1400</v>
      </c>
      <c r="G79" s="715">
        <v>1.5</v>
      </c>
      <c r="H79" s="638"/>
    </row>
    <row r="80" spans="1:8">
      <c r="A80" s="636" t="s">
        <v>122</v>
      </c>
      <c r="B80" s="635" t="s">
        <v>121</v>
      </c>
      <c r="C80" s="136" t="s">
        <v>666</v>
      </c>
      <c r="D80" s="190" t="s">
        <v>948</v>
      </c>
      <c r="E80" s="190">
        <v>2035</v>
      </c>
      <c r="F80" s="313">
        <f>Powerlines!U236</f>
        <v>950</v>
      </c>
      <c r="G80" s="715">
        <v>1.5</v>
      </c>
      <c r="H80" s="639"/>
    </row>
    <row r="81" spans="1:8">
      <c r="A81" s="598" t="s">
        <v>123</v>
      </c>
      <c r="B81" s="597" t="s">
        <v>122</v>
      </c>
      <c r="C81" s="372" t="s">
        <v>666</v>
      </c>
      <c r="D81" s="712" t="s">
        <v>948</v>
      </c>
      <c r="E81" s="577">
        <v>2035</v>
      </c>
      <c r="F81" s="554">
        <f>Powerlines!U237</f>
        <v>1100</v>
      </c>
      <c r="G81" s="612">
        <v>1.5</v>
      </c>
      <c r="H81" s="640"/>
    </row>
    <row r="82" spans="1:8">
      <c r="A82" s="596" t="s">
        <v>107</v>
      </c>
      <c r="B82" s="38" t="s">
        <v>109</v>
      </c>
      <c r="C82" s="22" t="s">
        <v>699</v>
      </c>
      <c r="D82" s="86" t="s">
        <v>948</v>
      </c>
      <c r="E82" s="86">
        <v>2035</v>
      </c>
      <c r="F82" s="215">
        <f>'H2 pipelines'!U11</f>
        <v>8000</v>
      </c>
      <c r="G82" s="611">
        <v>1.5</v>
      </c>
    </row>
    <row r="83" spans="1:8">
      <c r="A83" s="596" t="s">
        <v>107</v>
      </c>
      <c r="B83" s="38" t="s">
        <v>113</v>
      </c>
      <c r="C83" s="22" t="s">
        <v>699</v>
      </c>
      <c r="D83" s="86" t="s">
        <v>948</v>
      </c>
      <c r="E83" s="86">
        <v>2035</v>
      </c>
      <c r="F83" s="215">
        <f>'H2 pipelines'!U12</f>
        <v>4170</v>
      </c>
      <c r="G83" s="611">
        <v>1.5</v>
      </c>
    </row>
    <row r="84" spans="1:8">
      <c r="A84" s="596" t="s">
        <v>107</v>
      </c>
      <c r="B84" s="38" t="s">
        <v>114</v>
      </c>
      <c r="C84" s="22" t="s">
        <v>699</v>
      </c>
      <c r="D84" s="86" t="s">
        <v>948</v>
      </c>
      <c r="E84" s="86">
        <v>2035</v>
      </c>
      <c r="F84" s="215">
        <f>'H2 pipelines'!U13</f>
        <v>500</v>
      </c>
      <c r="G84" s="611">
        <v>1.5</v>
      </c>
    </row>
    <row r="85" spans="1:8">
      <c r="A85" s="596" t="s">
        <v>107</v>
      </c>
      <c r="B85" s="38" t="s">
        <v>115</v>
      </c>
      <c r="C85" s="22" t="s">
        <v>699</v>
      </c>
      <c r="D85" s="86" t="s">
        <v>948</v>
      </c>
      <c r="E85" s="86">
        <v>2035</v>
      </c>
      <c r="F85" s="215">
        <f>'H2 pipelines'!U14</f>
        <v>3790</v>
      </c>
      <c r="G85" s="611">
        <v>1.5</v>
      </c>
    </row>
    <row r="86" spans="1:8">
      <c r="A86" s="596" t="s">
        <v>107</v>
      </c>
      <c r="B86" s="38" t="s">
        <v>101</v>
      </c>
      <c r="C86" s="22" t="s">
        <v>699</v>
      </c>
      <c r="D86" s="86" t="s">
        <v>948</v>
      </c>
      <c r="E86" s="86">
        <v>2035</v>
      </c>
      <c r="F86" s="215">
        <f>'H2 pipelines'!U15</f>
        <v>7892</v>
      </c>
      <c r="G86" s="611">
        <v>1.5</v>
      </c>
    </row>
    <row r="87" spans="1:8">
      <c r="A87" s="632" t="s">
        <v>107</v>
      </c>
      <c r="B87" s="633" t="s">
        <v>187</v>
      </c>
      <c r="C87" s="176" t="s">
        <v>699</v>
      </c>
      <c r="D87" s="134" t="s">
        <v>948</v>
      </c>
      <c r="E87" s="134">
        <v>2035</v>
      </c>
      <c r="F87" s="318">
        <f>'H2 pipelines'!U16</f>
        <v>21000</v>
      </c>
      <c r="G87" s="715">
        <v>1.5</v>
      </c>
      <c r="H87" s="176"/>
    </row>
    <row r="88" spans="1:8">
      <c r="A88" s="596" t="s">
        <v>109</v>
      </c>
      <c r="B88" s="38" t="s">
        <v>112</v>
      </c>
      <c r="C88" s="22" t="s">
        <v>699</v>
      </c>
      <c r="D88" s="86" t="s">
        <v>948</v>
      </c>
      <c r="E88" s="86">
        <v>2035</v>
      </c>
      <c r="F88" s="215">
        <f>'H2 pipelines'!U17</f>
        <v>9000</v>
      </c>
      <c r="G88" s="611">
        <v>1.5</v>
      </c>
    </row>
    <row r="89" spans="1:8">
      <c r="A89" s="632" t="s">
        <v>109</v>
      </c>
      <c r="B89" s="633" t="s">
        <v>115</v>
      </c>
      <c r="C89" s="176" t="s">
        <v>699</v>
      </c>
      <c r="D89" s="134" t="s">
        <v>948</v>
      </c>
      <c r="E89" s="134">
        <v>2035</v>
      </c>
      <c r="F89" s="318">
        <f>'H2 pipelines'!U18</f>
        <v>4500</v>
      </c>
      <c r="G89" s="715">
        <v>1.5</v>
      </c>
      <c r="H89" s="176"/>
    </row>
    <row r="90" spans="1:8">
      <c r="A90" s="635" t="s">
        <v>110</v>
      </c>
      <c r="B90" s="636" t="s">
        <v>115</v>
      </c>
      <c r="C90" s="136" t="s">
        <v>699</v>
      </c>
      <c r="D90" s="190" t="s">
        <v>948</v>
      </c>
      <c r="E90" s="190">
        <v>2035</v>
      </c>
      <c r="F90" s="313">
        <f>'H2 pipelines'!U19</f>
        <v>8333</v>
      </c>
      <c r="G90" s="716">
        <v>1.5</v>
      </c>
      <c r="H90" s="136"/>
    </row>
    <row r="91" spans="1:8">
      <c r="A91" s="635" t="s">
        <v>113</v>
      </c>
      <c r="B91" s="636" t="s">
        <v>121</v>
      </c>
      <c r="C91" s="136" t="s">
        <v>699</v>
      </c>
      <c r="D91" s="134" t="s">
        <v>948</v>
      </c>
      <c r="E91" s="190">
        <v>2035</v>
      </c>
      <c r="F91" s="318">
        <f>'H2 pipelines'!U20</f>
        <v>4170</v>
      </c>
      <c r="G91" s="715">
        <v>1.5</v>
      </c>
      <c r="H91" s="136"/>
    </row>
    <row r="92" spans="1:8">
      <c r="A92" s="635" t="s">
        <v>114</v>
      </c>
      <c r="B92" s="636" t="s">
        <v>115</v>
      </c>
      <c r="C92" s="136" t="s">
        <v>699</v>
      </c>
      <c r="D92" s="190" t="s">
        <v>948</v>
      </c>
      <c r="E92" s="190">
        <v>2035</v>
      </c>
      <c r="F92" s="313">
        <f>'H2 pipelines'!U21</f>
        <v>8000</v>
      </c>
      <c r="G92" s="716">
        <v>1.5</v>
      </c>
      <c r="H92" s="136"/>
    </row>
    <row r="93" spans="1:8">
      <c r="A93" s="596" t="s">
        <v>103</v>
      </c>
      <c r="B93" s="38" t="s">
        <v>104</v>
      </c>
      <c r="C93" s="22" t="s">
        <v>699</v>
      </c>
      <c r="D93" s="86" t="s">
        <v>948</v>
      </c>
      <c r="E93" s="86">
        <v>2035</v>
      </c>
      <c r="F93" s="215">
        <f>'H2 pipelines'!U22</f>
        <v>7546</v>
      </c>
      <c r="G93" s="611">
        <v>1.5</v>
      </c>
    </row>
    <row r="94" spans="1:8">
      <c r="A94" s="596" t="s">
        <v>105</v>
      </c>
      <c r="B94" s="38" t="s">
        <v>106</v>
      </c>
      <c r="C94" s="22" t="s">
        <v>699</v>
      </c>
      <c r="D94" s="86" t="s">
        <v>948</v>
      </c>
      <c r="E94" s="86">
        <v>2035</v>
      </c>
      <c r="F94" s="215">
        <f>'H2 pipelines'!U23</f>
        <v>7546</v>
      </c>
      <c r="G94" s="611">
        <v>1.5</v>
      </c>
    </row>
    <row r="95" spans="1:8">
      <c r="A95" s="596" t="s">
        <v>103</v>
      </c>
      <c r="B95" s="38" t="s">
        <v>117</v>
      </c>
      <c r="C95" s="22" t="s">
        <v>699</v>
      </c>
      <c r="D95" s="86" t="s">
        <v>948</v>
      </c>
      <c r="E95" s="86">
        <v>2035</v>
      </c>
      <c r="F95" s="215">
        <f>'H2 pipelines'!U24</f>
        <v>7546</v>
      </c>
      <c r="G95" s="611">
        <v>1.5</v>
      </c>
    </row>
    <row r="96" spans="1:8">
      <c r="A96" s="632" t="s">
        <v>105</v>
      </c>
      <c r="B96" s="633" t="s">
        <v>187</v>
      </c>
      <c r="C96" s="176" t="s">
        <v>699</v>
      </c>
      <c r="D96" s="134" t="s">
        <v>948</v>
      </c>
      <c r="E96" s="134">
        <v>2035</v>
      </c>
      <c r="F96" s="318">
        <f>'H2 pipelines'!U25</f>
        <v>21000</v>
      </c>
      <c r="G96" s="715">
        <v>1.5</v>
      </c>
      <c r="H96" s="176"/>
    </row>
    <row r="97" spans="1:8">
      <c r="A97" s="635" t="s">
        <v>101</v>
      </c>
      <c r="B97" s="636" t="s">
        <v>99</v>
      </c>
      <c r="C97" s="136" t="s">
        <v>699</v>
      </c>
      <c r="D97" s="190" t="s">
        <v>948</v>
      </c>
      <c r="E97" s="190">
        <v>2035</v>
      </c>
      <c r="F97" s="313">
        <f>'H2 pipelines'!U26</f>
        <v>7892</v>
      </c>
      <c r="G97" s="716">
        <v>1.5</v>
      </c>
      <c r="H97" s="136"/>
    </row>
    <row r="98" spans="1:8">
      <c r="A98" s="596" t="s">
        <v>117</v>
      </c>
      <c r="B98" s="38" t="s">
        <v>187</v>
      </c>
      <c r="C98" s="22" t="s">
        <v>699</v>
      </c>
      <c r="D98" s="86" t="s">
        <v>948</v>
      </c>
      <c r="E98" s="86">
        <v>2035</v>
      </c>
      <c r="F98" s="215">
        <f>'H2 pipelines'!U27</f>
        <v>21000</v>
      </c>
      <c r="G98" s="611">
        <v>1.5</v>
      </c>
    </row>
    <row r="99" spans="1:8">
      <c r="A99" s="632" t="s">
        <v>117</v>
      </c>
      <c r="B99" s="633" t="s">
        <v>123</v>
      </c>
      <c r="C99" s="176" t="s">
        <v>699</v>
      </c>
      <c r="D99" s="134" t="s">
        <v>948</v>
      </c>
      <c r="E99" s="134">
        <v>2035</v>
      </c>
      <c r="F99" s="318">
        <f>'H2 pipelines'!U28</f>
        <v>8330</v>
      </c>
      <c r="G99" s="715">
        <v>1.5</v>
      </c>
      <c r="H99" s="176"/>
    </row>
    <row r="100" spans="1:8">
      <c r="A100" s="635" t="s">
        <v>121</v>
      </c>
      <c r="B100" s="636" t="s">
        <v>122</v>
      </c>
      <c r="C100" s="136" t="s">
        <v>699</v>
      </c>
      <c r="D100" s="190" t="s">
        <v>948</v>
      </c>
      <c r="E100" s="190">
        <v>2035</v>
      </c>
      <c r="F100" s="313">
        <f>'H2 pipelines'!U29</f>
        <v>4170</v>
      </c>
      <c r="G100" s="716">
        <v>1.5</v>
      </c>
      <c r="H100" s="136"/>
    </row>
    <row r="101" spans="1:8">
      <c r="A101" s="597" t="s">
        <v>122</v>
      </c>
      <c r="B101" s="598" t="s">
        <v>123</v>
      </c>
      <c r="C101" s="372" t="s">
        <v>699</v>
      </c>
      <c r="D101" s="712" t="s">
        <v>948</v>
      </c>
      <c r="E101" s="712">
        <v>2035</v>
      </c>
      <c r="F101" s="554">
        <f>'H2 pipelines'!U30</f>
        <v>4170</v>
      </c>
      <c r="G101" s="717">
        <v>1.5</v>
      </c>
      <c r="H101" s="372"/>
    </row>
    <row r="102" spans="1:8">
      <c r="A102" s="38" t="s">
        <v>109</v>
      </c>
      <c r="B102" s="596" t="s">
        <v>107</v>
      </c>
      <c r="C102" s="22" t="s">
        <v>699</v>
      </c>
      <c r="D102" s="86" t="s">
        <v>948</v>
      </c>
      <c r="E102" s="86">
        <v>2035</v>
      </c>
      <c r="F102" s="215">
        <f>'H2 pipelines'!V11</f>
        <v>8500</v>
      </c>
      <c r="G102" s="611">
        <v>1.5</v>
      </c>
    </row>
    <row r="103" spans="1:8">
      <c r="A103" s="38" t="s">
        <v>113</v>
      </c>
      <c r="B103" s="596" t="s">
        <v>107</v>
      </c>
      <c r="C103" s="22" t="s">
        <v>699</v>
      </c>
      <c r="D103" s="86" t="s">
        <v>948</v>
      </c>
      <c r="E103" s="86">
        <v>2035</v>
      </c>
      <c r="F103" s="215">
        <f>'H2 pipelines'!V12</f>
        <v>8330</v>
      </c>
      <c r="G103" s="611">
        <v>1.5</v>
      </c>
    </row>
    <row r="104" spans="1:8">
      <c r="A104" s="38" t="s">
        <v>114</v>
      </c>
      <c r="B104" s="596" t="s">
        <v>107</v>
      </c>
      <c r="C104" s="22" t="s">
        <v>699</v>
      </c>
      <c r="D104" s="86" t="s">
        <v>948</v>
      </c>
      <c r="E104" s="86">
        <v>2035</v>
      </c>
      <c r="F104" s="215">
        <f>'H2 pipelines'!V13</f>
        <v>15630</v>
      </c>
      <c r="G104" s="611">
        <v>1.5</v>
      </c>
    </row>
    <row r="105" spans="1:8">
      <c r="A105" s="38" t="s">
        <v>115</v>
      </c>
      <c r="B105" s="596" t="s">
        <v>107</v>
      </c>
      <c r="C105" s="22" t="s">
        <v>699</v>
      </c>
      <c r="D105" s="86" t="s">
        <v>948</v>
      </c>
      <c r="E105" s="86">
        <v>2035</v>
      </c>
      <c r="F105" s="215">
        <f>'H2 pipelines'!V14</f>
        <v>3790</v>
      </c>
      <c r="G105" s="611">
        <v>1.5</v>
      </c>
    </row>
    <row r="106" spans="1:8">
      <c r="A106" s="38" t="s">
        <v>101</v>
      </c>
      <c r="B106" s="596" t="s">
        <v>107</v>
      </c>
      <c r="C106" s="22" t="s">
        <v>699</v>
      </c>
      <c r="D106" s="86" t="s">
        <v>948</v>
      </c>
      <c r="E106" s="86">
        <v>2035</v>
      </c>
      <c r="F106" s="215">
        <f>'H2 pipelines'!V15</f>
        <v>7892</v>
      </c>
      <c r="G106" s="611">
        <v>1.5</v>
      </c>
    </row>
    <row r="107" spans="1:8">
      <c r="A107" s="633" t="s">
        <v>187</v>
      </c>
      <c r="B107" s="632" t="s">
        <v>107</v>
      </c>
      <c r="C107" s="176" t="s">
        <v>699</v>
      </c>
      <c r="D107" s="134" t="s">
        <v>948</v>
      </c>
      <c r="E107" s="134">
        <v>2035</v>
      </c>
      <c r="F107" s="318">
        <f>'H2 pipelines'!V16</f>
        <v>21000</v>
      </c>
      <c r="G107" s="715">
        <v>1.5</v>
      </c>
      <c r="H107" s="176"/>
    </row>
    <row r="108" spans="1:8">
      <c r="A108" s="38" t="s">
        <v>112</v>
      </c>
      <c r="B108" s="596" t="s">
        <v>109</v>
      </c>
      <c r="C108" s="22" t="s">
        <v>699</v>
      </c>
      <c r="D108" s="86" t="s">
        <v>948</v>
      </c>
      <c r="E108" s="86">
        <v>2035</v>
      </c>
      <c r="F108" s="215">
        <f>'H2 pipelines'!V17</f>
        <v>9000</v>
      </c>
      <c r="G108" s="611">
        <v>1.5</v>
      </c>
    </row>
    <row r="109" spans="1:8">
      <c r="A109" s="633" t="s">
        <v>115</v>
      </c>
      <c r="B109" s="632" t="s">
        <v>109</v>
      </c>
      <c r="C109" s="176" t="s">
        <v>699</v>
      </c>
      <c r="D109" s="134" t="s">
        <v>948</v>
      </c>
      <c r="E109" s="134">
        <v>2035</v>
      </c>
      <c r="F109" s="318">
        <f>'H2 pipelines'!V18</f>
        <v>4500</v>
      </c>
      <c r="G109" s="715">
        <v>1.5</v>
      </c>
      <c r="H109" s="176"/>
    </row>
    <row r="110" spans="1:8">
      <c r="A110" s="636" t="s">
        <v>115</v>
      </c>
      <c r="B110" s="635" t="s">
        <v>110</v>
      </c>
      <c r="C110" s="136" t="s">
        <v>699</v>
      </c>
      <c r="D110" s="190" t="s">
        <v>948</v>
      </c>
      <c r="E110" s="190">
        <v>2035</v>
      </c>
      <c r="F110" s="313">
        <f>'H2 pipelines'!V19</f>
        <v>8333</v>
      </c>
      <c r="G110" s="716">
        <v>1.5</v>
      </c>
      <c r="H110" s="136"/>
    </row>
    <row r="111" spans="1:8">
      <c r="A111" s="636" t="s">
        <v>121</v>
      </c>
      <c r="B111" s="635" t="s">
        <v>113</v>
      </c>
      <c r="C111" s="136" t="s">
        <v>699</v>
      </c>
      <c r="D111" s="134" t="s">
        <v>948</v>
      </c>
      <c r="E111" s="190">
        <v>2035</v>
      </c>
      <c r="F111" s="318">
        <f>'H2 pipelines'!V20</f>
        <v>8330</v>
      </c>
      <c r="G111" s="715">
        <v>1.5</v>
      </c>
      <c r="H111" s="136"/>
    </row>
    <row r="112" spans="1:8">
      <c r="A112" s="636" t="s">
        <v>115</v>
      </c>
      <c r="B112" s="635" t="s">
        <v>114</v>
      </c>
      <c r="C112" s="136" t="s">
        <v>699</v>
      </c>
      <c r="D112" s="190" t="s">
        <v>948</v>
      </c>
      <c r="E112" s="190">
        <v>2035</v>
      </c>
      <c r="F112" s="313">
        <f>'H2 pipelines'!V21</f>
        <v>8000</v>
      </c>
      <c r="G112" s="716">
        <v>1.5</v>
      </c>
      <c r="H112" s="136"/>
    </row>
    <row r="113" spans="1:8">
      <c r="A113" s="38" t="s">
        <v>104</v>
      </c>
      <c r="B113" s="596" t="s">
        <v>103</v>
      </c>
      <c r="C113" s="22" t="s">
        <v>699</v>
      </c>
      <c r="D113" s="86" t="s">
        <v>948</v>
      </c>
      <c r="E113" s="86">
        <v>2035</v>
      </c>
      <c r="F113" s="215">
        <f>'H2 pipelines'!V22</f>
        <v>7899</v>
      </c>
      <c r="G113" s="611">
        <v>1.5</v>
      </c>
    </row>
    <row r="114" spans="1:8">
      <c r="A114" s="38" t="s">
        <v>106</v>
      </c>
      <c r="B114" s="596" t="s">
        <v>105</v>
      </c>
      <c r="C114" s="22" t="s">
        <v>699</v>
      </c>
      <c r="D114" s="86" t="s">
        <v>948</v>
      </c>
      <c r="E114" s="86">
        <v>2035</v>
      </c>
      <c r="F114" s="215">
        <f>'H2 pipelines'!V23</f>
        <v>7899</v>
      </c>
      <c r="G114" s="611">
        <v>1.5</v>
      </c>
    </row>
    <row r="115" spans="1:8">
      <c r="A115" s="38" t="s">
        <v>117</v>
      </c>
      <c r="B115" s="596" t="s">
        <v>103</v>
      </c>
      <c r="C115" s="22" t="s">
        <v>699</v>
      </c>
      <c r="D115" s="86" t="s">
        <v>948</v>
      </c>
      <c r="E115" s="86">
        <v>2035</v>
      </c>
      <c r="F115" s="215">
        <f>'H2 pipelines'!V24</f>
        <v>7899</v>
      </c>
      <c r="G115" s="611">
        <v>1.5</v>
      </c>
    </row>
    <row r="116" spans="1:8">
      <c r="A116" s="633" t="s">
        <v>187</v>
      </c>
      <c r="B116" s="632" t="s">
        <v>105</v>
      </c>
      <c r="C116" s="176" t="s">
        <v>699</v>
      </c>
      <c r="D116" s="134" t="s">
        <v>948</v>
      </c>
      <c r="E116" s="134">
        <v>2035</v>
      </c>
      <c r="F116" s="318">
        <f>'H2 pipelines'!V25</f>
        <v>21000</v>
      </c>
      <c r="G116" s="715">
        <v>1.5</v>
      </c>
      <c r="H116" s="176"/>
    </row>
    <row r="117" spans="1:8">
      <c r="A117" s="636" t="s">
        <v>99</v>
      </c>
      <c r="B117" s="635" t="s">
        <v>101</v>
      </c>
      <c r="C117" s="136" t="s">
        <v>699</v>
      </c>
      <c r="D117" s="190" t="s">
        <v>948</v>
      </c>
      <c r="E117" s="190">
        <v>2035</v>
      </c>
      <c r="F117" s="313">
        <f>'H2 pipelines'!V26</f>
        <v>7892</v>
      </c>
      <c r="G117" s="716">
        <v>1.5</v>
      </c>
      <c r="H117" s="136"/>
    </row>
    <row r="118" spans="1:8">
      <c r="A118" s="38" t="s">
        <v>187</v>
      </c>
      <c r="B118" s="596" t="s">
        <v>117</v>
      </c>
      <c r="C118" s="22" t="s">
        <v>699</v>
      </c>
      <c r="D118" s="86" t="s">
        <v>948</v>
      </c>
      <c r="E118" s="86">
        <v>2035</v>
      </c>
      <c r="F118" s="215">
        <f>'H2 pipelines'!V27</f>
        <v>21000</v>
      </c>
      <c r="G118" s="611">
        <v>1.5</v>
      </c>
    </row>
    <row r="119" spans="1:8">
      <c r="A119" s="633" t="s">
        <v>123</v>
      </c>
      <c r="B119" s="632" t="s">
        <v>117</v>
      </c>
      <c r="C119" s="176" t="s">
        <v>699</v>
      </c>
      <c r="D119" s="134" t="s">
        <v>948</v>
      </c>
      <c r="E119" s="134">
        <v>2035</v>
      </c>
      <c r="F119" s="318">
        <f>'H2 pipelines'!V28</f>
        <v>4205</v>
      </c>
      <c r="G119" s="715">
        <v>1.5</v>
      </c>
      <c r="H119" s="176"/>
    </row>
    <row r="120" spans="1:8">
      <c r="A120" s="636" t="s">
        <v>122</v>
      </c>
      <c r="B120" s="635" t="s">
        <v>121</v>
      </c>
      <c r="C120" s="136" t="s">
        <v>699</v>
      </c>
      <c r="D120" s="190" t="s">
        <v>948</v>
      </c>
      <c r="E120" s="190">
        <v>2035</v>
      </c>
      <c r="F120" s="313">
        <f>'H2 pipelines'!V29</f>
        <v>8330</v>
      </c>
      <c r="G120" s="716">
        <v>1.5</v>
      </c>
      <c r="H120" s="136"/>
    </row>
    <row r="121" spans="1:8">
      <c r="A121" s="598" t="s">
        <v>123</v>
      </c>
      <c r="B121" s="597" t="s">
        <v>122</v>
      </c>
      <c r="C121" s="372" t="s">
        <v>699</v>
      </c>
      <c r="D121" s="712" t="s">
        <v>948</v>
      </c>
      <c r="E121" s="712">
        <v>2035</v>
      </c>
      <c r="F121" s="554">
        <f>'H2 pipelines'!V30</f>
        <v>8330</v>
      </c>
      <c r="G121" s="717">
        <v>1.5</v>
      </c>
      <c r="H121" s="372"/>
    </row>
  </sheetData>
  <phoneticPr fontId="20" type="noConversion"/>
  <conditionalFormatting sqref="A2:H121">
    <cfRule type="expression" dxfId="29"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L195"/>
  <sheetViews>
    <sheetView workbookViewId="0">
      <pane xSplit="1" ySplit="1" topLeftCell="B176" activePane="bottomRight" state="frozen"/>
      <selection pane="topRight" activeCell="B1" sqref="B1"/>
      <selection pane="bottomLeft" activeCell="A2" sqref="A2"/>
      <selection pane="bottomRight" activeCell="L1" sqref="L1"/>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6" width="17" style="22" customWidth="1"/>
    <col min="7" max="7" width="15.88671875" style="22" bestFit="1" customWidth="1"/>
    <col min="8" max="8" width="19.88671875" style="22" bestFit="1" customWidth="1"/>
    <col min="9" max="9" width="21.6640625" style="22" customWidth="1"/>
    <col min="10" max="10" width="7.5546875" style="86" customWidth="1"/>
    <col min="11" max="16384" width="9.109375" style="22"/>
  </cols>
  <sheetData>
    <row r="1" spans="1:11">
      <c r="A1" s="567" t="s">
        <v>661</v>
      </c>
      <c r="B1" s="567" t="s">
        <v>680</v>
      </c>
      <c r="C1" s="567" t="s">
        <v>281</v>
      </c>
      <c r="D1" s="567" t="s">
        <v>177</v>
      </c>
      <c r="E1" s="567" t="s">
        <v>683</v>
      </c>
      <c r="F1" s="567" t="s">
        <v>901</v>
      </c>
      <c r="G1" s="567" t="s">
        <v>682</v>
      </c>
      <c r="H1" s="567" t="s">
        <v>708</v>
      </c>
      <c r="I1" s="567" t="s">
        <v>686</v>
      </c>
      <c r="J1" s="567" t="s">
        <v>681</v>
      </c>
      <c r="K1" s="437" t="s">
        <v>985</v>
      </c>
    </row>
    <row r="2" spans="1:11">
      <c r="A2" s="568" t="s">
        <v>107</v>
      </c>
      <c r="B2" s="568" t="s">
        <v>233</v>
      </c>
      <c r="C2" s="615" t="s">
        <v>948</v>
      </c>
      <c r="D2" s="615">
        <v>2035</v>
      </c>
      <c r="E2" s="569"/>
      <c r="F2" s="569"/>
      <c r="G2" s="642" cm="1">
        <f t="array" ref="G2:G19">TRANSPOSE(_xlfn._xlws.FILTER(Production!B189:U189,Production!B189:U189&lt;&gt;0))</f>
        <v>299470</v>
      </c>
      <c r="H2" s="569"/>
      <c r="I2" s="569"/>
      <c r="J2" s="615"/>
      <c r="K2" s="22" t="str">
        <f>IF(G2&gt;=10,"","Remove")</f>
        <v/>
      </c>
    </row>
    <row r="3" spans="1:11">
      <c r="A3" s="22" t="s">
        <v>109</v>
      </c>
      <c r="B3" s="22" t="s">
        <v>233</v>
      </c>
      <c r="C3" s="86" t="s">
        <v>948</v>
      </c>
      <c r="D3" s="86">
        <v>2035</v>
      </c>
      <c r="E3" s="37"/>
      <c r="F3" s="37"/>
      <c r="G3" s="215">
        <v>100400</v>
      </c>
      <c r="H3" s="37"/>
      <c r="I3" s="37"/>
      <c r="K3" s="22" t="str">
        <f t="shared" ref="K3:K63" si="0">IF(G3&gt;=10,"","Remove")</f>
        <v/>
      </c>
    </row>
    <row r="4" spans="1:11">
      <c r="A4" s="570" t="s">
        <v>110</v>
      </c>
      <c r="B4" s="570" t="s">
        <v>233</v>
      </c>
      <c r="C4" s="86" t="s">
        <v>948</v>
      </c>
      <c r="D4" s="616">
        <v>2035</v>
      </c>
      <c r="E4" s="571"/>
      <c r="F4" s="571"/>
      <c r="G4" s="643">
        <v>54790</v>
      </c>
      <c r="H4" s="571"/>
      <c r="I4" s="571"/>
      <c r="J4" s="616"/>
      <c r="K4" s="22" t="str">
        <f t="shared" si="0"/>
        <v/>
      </c>
    </row>
    <row r="5" spans="1:11">
      <c r="A5" s="22" t="s">
        <v>112</v>
      </c>
      <c r="B5" s="22" t="s">
        <v>233</v>
      </c>
      <c r="C5" s="86" t="s">
        <v>948</v>
      </c>
      <c r="D5" s="86">
        <v>2035</v>
      </c>
      <c r="E5" s="37"/>
      <c r="F5" s="37"/>
      <c r="G5" s="215">
        <v>128949.99999999999</v>
      </c>
      <c r="H5" s="37"/>
      <c r="I5" s="37"/>
      <c r="K5" s="22" t="str">
        <f t="shared" si="0"/>
        <v/>
      </c>
    </row>
    <row r="6" spans="1:11">
      <c r="A6" s="570" t="s">
        <v>113</v>
      </c>
      <c r="B6" s="570" t="s">
        <v>233</v>
      </c>
      <c r="C6" s="86" t="s">
        <v>948</v>
      </c>
      <c r="D6" s="616">
        <v>2035</v>
      </c>
      <c r="E6" s="571"/>
      <c r="F6" s="571"/>
      <c r="G6" s="643">
        <v>36740</v>
      </c>
      <c r="H6" s="571"/>
      <c r="I6" s="571"/>
      <c r="J6" s="616"/>
      <c r="K6" s="22" t="str">
        <f t="shared" si="0"/>
        <v/>
      </c>
    </row>
    <row r="7" spans="1:11">
      <c r="A7" s="22" t="s">
        <v>114</v>
      </c>
      <c r="B7" s="22" t="s">
        <v>233</v>
      </c>
      <c r="C7" s="86" t="s">
        <v>948</v>
      </c>
      <c r="D7" s="86">
        <v>2035</v>
      </c>
      <c r="E7" s="37"/>
      <c r="F7" s="37"/>
      <c r="G7" s="215">
        <v>59320</v>
      </c>
      <c r="H7" s="37"/>
      <c r="I7" s="37"/>
      <c r="K7" s="22" t="str">
        <f t="shared" si="0"/>
        <v/>
      </c>
    </row>
    <row r="8" spans="1:11">
      <c r="A8" s="570" t="s">
        <v>115</v>
      </c>
      <c r="B8" s="570" t="s">
        <v>233</v>
      </c>
      <c r="C8" s="86" t="s">
        <v>948</v>
      </c>
      <c r="D8" s="616">
        <v>2035</v>
      </c>
      <c r="E8" s="571"/>
      <c r="F8" s="571"/>
      <c r="G8" s="643">
        <v>23300</v>
      </c>
      <c r="H8" s="571"/>
      <c r="I8" s="571"/>
      <c r="J8" s="616"/>
      <c r="K8" s="22" t="str">
        <f t="shared" si="0"/>
        <v/>
      </c>
    </row>
    <row r="9" spans="1:11">
      <c r="A9" s="22" t="s">
        <v>104</v>
      </c>
      <c r="B9" s="22" t="s">
        <v>233</v>
      </c>
      <c r="C9" s="86" t="s">
        <v>948</v>
      </c>
      <c r="D9" s="86">
        <v>2035</v>
      </c>
      <c r="E9" s="37"/>
      <c r="F9" s="37"/>
      <c r="G9" s="303">
        <v>1208.1011915693161</v>
      </c>
      <c r="H9" s="37"/>
      <c r="I9" s="37"/>
      <c r="K9" s="22" t="str">
        <f t="shared" si="0"/>
        <v/>
      </c>
    </row>
    <row r="10" spans="1:11">
      <c r="A10" s="570" t="s">
        <v>105</v>
      </c>
      <c r="B10" s="570" t="s">
        <v>233</v>
      </c>
      <c r="C10" s="86" t="s">
        <v>948</v>
      </c>
      <c r="D10" s="616">
        <v>2035</v>
      </c>
      <c r="E10" s="571"/>
      <c r="F10" s="571"/>
      <c r="G10" s="644">
        <v>17554.88799595719</v>
      </c>
      <c r="H10" s="571"/>
      <c r="I10" s="571"/>
      <c r="J10" s="616"/>
      <c r="K10" s="22" t="str">
        <f t="shared" si="0"/>
        <v/>
      </c>
    </row>
    <row r="11" spans="1:11">
      <c r="A11" s="22" t="s">
        <v>106</v>
      </c>
      <c r="B11" s="22" t="s">
        <v>233</v>
      </c>
      <c r="C11" s="86" t="s">
        <v>948</v>
      </c>
      <c r="D11" s="86">
        <v>2035</v>
      </c>
      <c r="E11" s="37"/>
      <c r="F11" s="37"/>
      <c r="G11" s="303">
        <v>7657.0108124734952</v>
      </c>
      <c r="H11" s="37"/>
      <c r="I11" s="37"/>
      <c r="K11" s="22" t="str">
        <f t="shared" si="0"/>
        <v/>
      </c>
    </row>
    <row r="12" spans="1:11">
      <c r="A12" s="570" t="s">
        <v>99</v>
      </c>
      <c r="B12" s="570" t="s">
        <v>233</v>
      </c>
      <c r="C12" s="86" t="s">
        <v>948</v>
      </c>
      <c r="D12" s="616">
        <v>2035</v>
      </c>
      <c r="E12" s="571"/>
      <c r="F12" s="571"/>
      <c r="G12" s="644">
        <v>6195.4816941224781</v>
      </c>
      <c r="H12" s="571"/>
      <c r="I12" s="571"/>
      <c r="J12" s="616"/>
      <c r="K12" s="22" t="str">
        <f t="shared" si="0"/>
        <v/>
      </c>
    </row>
    <row r="13" spans="1:11">
      <c r="A13" s="22" t="s">
        <v>101</v>
      </c>
      <c r="B13" s="22" t="s">
        <v>233</v>
      </c>
      <c r="C13" s="86" t="s">
        <v>948</v>
      </c>
      <c r="D13" s="86">
        <v>2035</v>
      </c>
      <c r="E13" s="37"/>
      <c r="F13" s="37"/>
      <c r="G13" s="303">
        <v>15514.518305877522</v>
      </c>
      <c r="H13" s="37"/>
      <c r="I13" s="37"/>
      <c r="K13" s="22" t="str">
        <f t="shared" si="0"/>
        <v/>
      </c>
    </row>
    <row r="14" spans="1:11">
      <c r="A14" s="570" t="s">
        <v>117</v>
      </c>
      <c r="B14" s="570" t="s">
        <v>233</v>
      </c>
      <c r="C14" s="86" t="s">
        <v>948</v>
      </c>
      <c r="D14" s="616">
        <v>2035</v>
      </c>
      <c r="E14" s="571"/>
      <c r="F14" s="571"/>
      <c r="G14" s="643">
        <v>21270</v>
      </c>
      <c r="H14" s="571"/>
      <c r="I14" s="571"/>
      <c r="J14" s="616"/>
      <c r="K14" s="22" t="str">
        <f t="shared" si="0"/>
        <v/>
      </c>
    </row>
    <row r="15" spans="1:11">
      <c r="A15" s="22" t="s">
        <v>118</v>
      </c>
      <c r="B15" s="22" t="s">
        <v>233</v>
      </c>
      <c r="C15" s="86" t="s">
        <v>948</v>
      </c>
      <c r="D15" s="86">
        <v>2035</v>
      </c>
      <c r="E15" s="37"/>
      <c r="F15" s="37"/>
      <c r="G15" s="303">
        <v>1562.5</v>
      </c>
      <c r="H15" s="37"/>
      <c r="I15" s="37"/>
      <c r="K15" s="22" t="str">
        <f t="shared" si="0"/>
        <v/>
      </c>
    </row>
    <row r="16" spans="1:11">
      <c r="A16" s="570" t="s">
        <v>120</v>
      </c>
      <c r="B16" s="570" t="s">
        <v>233</v>
      </c>
      <c r="C16" s="86" t="s">
        <v>948</v>
      </c>
      <c r="D16" s="616">
        <v>2035</v>
      </c>
      <c r="E16" s="571"/>
      <c r="F16" s="571"/>
      <c r="G16" s="644">
        <v>4687.5</v>
      </c>
      <c r="H16" s="571"/>
      <c r="I16" s="571"/>
      <c r="J16" s="616"/>
      <c r="K16" s="22" t="str">
        <f t="shared" si="0"/>
        <v/>
      </c>
    </row>
    <row r="17" spans="1:11">
      <c r="A17" s="22" t="s">
        <v>121</v>
      </c>
      <c r="B17" s="22" t="s">
        <v>233</v>
      </c>
      <c r="C17" s="86" t="s">
        <v>948</v>
      </c>
      <c r="D17" s="86">
        <v>2035</v>
      </c>
      <c r="E17" s="37"/>
      <c r="F17" s="37"/>
      <c r="G17" s="215">
        <v>6540</v>
      </c>
      <c r="H17" s="37"/>
      <c r="I17" s="37"/>
      <c r="K17" s="22" t="str">
        <f t="shared" si="0"/>
        <v/>
      </c>
    </row>
    <row r="18" spans="1:11">
      <c r="A18" s="570" t="s">
        <v>122</v>
      </c>
      <c r="B18" s="570" t="s">
        <v>233</v>
      </c>
      <c r="C18" s="86" t="s">
        <v>948</v>
      </c>
      <c r="D18" s="616">
        <v>2035</v>
      </c>
      <c r="E18" s="571"/>
      <c r="F18" s="571"/>
      <c r="G18" s="643">
        <v>800</v>
      </c>
      <c r="H18" s="571"/>
      <c r="I18" s="571"/>
      <c r="J18" s="616"/>
      <c r="K18" s="22" t="str">
        <f t="shared" si="0"/>
        <v/>
      </c>
    </row>
    <row r="19" spans="1:11">
      <c r="A19" s="176" t="s">
        <v>123</v>
      </c>
      <c r="B19" s="176" t="s">
        <v>233</v>
      </c>
      <c r="C19" s="134" t="s">
        <v>948</v>
      </c>
      <c r="D19" s="134">
        <v>2035</v>
      </c>
      <c r="E19" s="654"/>
      <c r="F19" s="654"/>
      <c r="G19" s="318">
        <v>2400</v>
      </c>
      <c r="H19" s="654"/>
      <c r="I19" s="654"/>
      <c r="J19" s="134"/>
      <c r="K19" s="22" t="str">
        <f t="shared" si="0"/>
        <v/>
      </c>
    </row>
    <row r="20" spans="1:11">
      <c r="A20" s="570" t="s">
        <v>107</v>
      </c>
      <c r="B20" s="570" t="s">
        <v>402</v>
      </c>
      <c r="C20" s="86" t="s">
        <v>948</v>
      </c>
      <c r="D20" s="616">
        <v>2035</v>
      </c>
      <c r="E20" s="571"/>
      <c r="F20" s="571"/>
      <c r="G20" s="643" cm="1">
        <f t="array" ref="G20:G39">TRANSPOSE(_xlfn._xlws.FILTER(Production!B190:U190,Production!B190:U190&lt;&gt;0))</f>
        <v>142000</v>
      </c>
      <c r="H20" s="571"/>
      <c r="I20" s="571"/>
      <c r="J20" s="616"/>
      <c r="K20" s="22" t="str">
        <f t="shared" si="0"/>
        <v/>
      </c>
    </row>
    <row r="21" spans="1:11">
      <c r="A21" s="22" t="s">
        <v>109</v>
      </c>
      <c r="B21" s="22" t="s">
        <v>402</v>
      </c>
      <c r="C21" s="86" t="s">
        <v>948</v>
      </c>
      <c r="D21" s="86">
        <v>2035</v>
      </c>
      <c r="E21" s="37"/>
      <c r="F21" s="37"/>
      <c r="G21" s="215">
        <v>50000</v>
      </c>
      <c r="H21" s="37"/>
      <c r="I21" s="37"/>
      <c r="K21" s="22" t="str">
        <f t="shared" si="0"/>
        <v/>
      </c>
    </row>
    <row r="22" spans="1:11">
      <c r="A22" s="570" t="s">
        <v>110</v>
      </c>
      <c r="B22" s="570" t="s">
        <v>402</v>
      </c>
      <c r="C22" s="86" t="s">
        <v>948</v>
      </c>
      <c r="D22" s="616">
        <v>2035</v>
      </c>
      <c r="E22" s="571"/>
      <c r="F22" s="571"/>
      <c r="G22" s="643">
        <v>43480</v>
      </c>
      <c r="H22" s="571"/>
      <c r="I22" s="571"/>
      <c r="J22" s="616"/>
      <c r="K22" s="22" t="str">
        <f t="shared" si="0"/>
        <v/>
      </c>
    </row>
    <row r="23" spans="1:11">
      <c r="A23" s="22" t="s">
        <v>112</v>
      </c>
      <c r="B23" s="22" t="s">
        <v>402</v>
      </c>
      <c r="C23" s="86" t="s">
        <v>948</v>
      </c>
      <c r="D23" s="86">
        <v>2035</v>
      </c>
      <c r="E23" s="37"/>
      <c r="F23" s="37"/>
      <c r="G23" s="215">
        <v>75050</v>
      </c>
      <c r="H23" s="37"/>
      <c r="I23" s="37"/>
      <c r="K23" s="22" t="str">
        <f t="shared" si="0"/>
        <v/>
      </c>
    </row>
    <row r="24" spans="1:11">
      <c r="A24" s="570" t="s">
        <v>113</v>
      </c>
      <c r="B24" s="570" t="s">
        <v>402</v>
      </c>
      <c r="C24" s="86" t="s">
        <v>948</v>
      </c>
      <c r="D24" s="616">
        <v>2035</v>
      </c>
      <c r="E24" s="571"/>
      <c r="F24" s="571"/>
      <c r="G24" s="643">
        <v>29500</v>
      </c>
      <c r="H24" s="571"/>
      <c r="I24" s="571"/>
      <c r="J24" s="616"/>
      <c r="K24" s="22" t="str">
        <f t="shared" si="0"/>
        <v/>
      </c>
    </row>
    <row r="25" spans="1:11">
      <c r="A25" s="22" t="s">
        <v>114</v>
      </c>
      <c r="B25" s="22" t="s">
        <v>402</v>
      </c>
      <c r="C25" s="86" t="s">
        <v>948</v>
      </c>
      <c r="D25" s="86">
        <v>2035</v>
      </c>
      <c r="E25" s="37"/>
      <c r="F25" s="37"/>
      <c r="G25" s="215">
        <v>12700</v>
      </c>
      <c r="H25" s="37"/>
      <c r="I25" s="37"/>
      <c r="K25" s="22" t="str">
        <f t="shared" si="0"/>
        <v/>
      </c>
    </row>
    <row r="26" spans="1:11">
      <c r="A26" s="570" t="s">
        <v>115</v>
      </c>
      <c r="B26" s="570" t="s">
        <v>402</v>
      </c>
      <c r="C26" s="86" t="s">
        <v>948</v>
      </c>
      <c r="D26" s="616">
        <v>2035</v>
      </c>
      <c r="E26" s="571"/>
      <c r="F26" s="571"/>
      <c r="G26" s="643">
        <v>8900</v>
      </c>
      <c r="H26" s="571"/>
      <c r="I26" s="571"/>
      <c r="J26" s="616"/>
      <c r="K26" s="22" t="str">
        <f t="shared" si="0"/>
        <v/>
      </c>
    </row>
    <row r="27" spans="1:11">
      <c r="A27" s="22" t="s">
        <v>103</v>
      </c>
      <c r="B27" s="22" t="s">
        <v>402</v>
      </c>
      <c r="C27" s="86" t="s">
        <v>948</v>
      </c>
      <c r="D27" s="86">
        <v>2035</v>
      </c>
      <c r="E27" s="37"/>
      <c r="F27" s="37"/>
      <c r="G27" s="303">
        <v>7018.4769305581794</v>
      </c>
      <c r="H27" s="37"/>
      <c r="I27" s="37"/>
      <c r="K27" s="22" t="str">
        <f t="shared" si="0"/>
        <v/>
      </c>
    </row>
    <row r="28" spans="1:11">
      <c r="A28" s="570" t="s">
        <v>104</v>
      </c>
      <c r="B28" s="570" t="s">
        <v>402</v>
      </c>
      <c r="C28" s="86" t="s">
        <v>948</v>
      </c>
      <c r="D28" s="616">
        <v>2035</v>
      </c>
      <c r="E28" s="571"/>
      <c r="F28" s="571"/>
      <c r="G28" s="644">
        <v>12727.578281810482</v>
      </c>
      <c r="H28" s="571"/>
      <c r="I28" s="571"/>
      <c r="J28" s="616"/>
      <c r="K28" s="22" t="str">
        <f t="shared" si="0"/>
        <v/>
      </c>
    </row>
    <row r="29" spans="1:11">
      <c r="A29" s="22" t="s">
        <v>105</v>
      </c>
      <c r="B29" s="22" t="s">
        <v>402</v>
      </c>
      <c r="C29" s="86" t="s">
        <v>948</v>
      </c>
      <c r="D29" s="86">
        <v>2035</v>
      </c>
      <c r="E29" s="37"/>
      <c r="F29" s="37"/>
      <c r="G29" s="303">
        <v>5408.5475171000035</v>
      </c>
      <c r="H29" s="37"/>
      <c r="I29" s="37"/>
      <c r="K29" s="22" t="str">
        <f t="shared" si="0"/>
        <v/>
      </c>
    </row>
    <row r="30" spans="1:11">
      <c r="A30" s="570" t="s">
        <v>106</v>
      </c>
      <c r="B30" s="570" t="s">
        <v>402</v>
      </c>
      <c r="C30" s="86" t="s">
        <v>948</v>
      </c>
      <c r="D30" s="616">
        <v>2035</v>
      </c>
      <c r="E30" s="571"/>
      <c r="F30" s="571"/>
      <c r="G30" s="644">
        <v>3095.3972705313349</v>
      </c>
      <c r="H30" s="571"/>
      <c r="I30" s="571"/>
      <c r="J30" s="616"/>
      <c r="K30" s="22" t="str">
        <f t="shared" si="0"/>
        <v/>
      </c>
    </row>
    <row r="31" spans="1:11">
      <c r="A31" s="22" t="s">
        <v>99</v>
      </c>
      <c r="B31" s="22" t="s">
        <v>402</v>
      </c>
      <c r="C31" s="86" t="s">
        <v>948</v>
      </c>
      <c r="D31" s="86">
        <v>2035</v>
      </c>
      <c r="E31" s="37"/>
      <c r="F31" s="37"/>
      <c r="G31" s="303">
        <v>4639.3817913564608</v>
      </c>
      <c r="H31" s="37"/>
      <c r="I31" s="37"/>
      <c r="K31" s="22" t="str">
        <f t="shared" si="0"/>
        <v/>
      </c>
    </row>
    <row r="32" spans="1:11">
      <c r="A32" s="570" t="s">
        <v>101</v>
      </c>
      <c r="B32" s="570" t="s">
        <v>402</v>
      </c>
      <c r="C32" s="86" t="s">
        <v>948</v>
      </c>
      <c r="D32" s="616">
        <v>2035</v>
      </c>
      <c r="E32" s="571"/>
      <c r="F32" s="571"/>
      <c r="G32" s="644">
        <v>23610.61820864354</v>
      </c>
      <c r="H32" s="571"/>
      <c r="I32" s="571"/>
      <c r="J32" s="616"/>
      <c r="K32" s="22" t="str">
        <f t="shared" si="0"/>
        <v/>
      </c>
    </row>
    <row r="33" spans="1:11">
      <c r="A33" s="22" t="s">
        <v>117</v>
      </c>
      <c r="B33" s="22" t="s">
        <v>402</v>
      </c>
      <c r="C33" s="86" t="s">
        <v>948</v>
      </c>
      <c r="D33" s="86">
        <v>2035</v>
      </c>
      <c r="E33" s="37"/>
      <c r="F33" s="37"/>
      <c r="G33" s="215">
        <v>46000</v>
      </c>
      <c r="H33" s="37"/>
      <c r="I33" s="37"/>
      <c r="K33" s="22" t="str">
        <f t="shared" si="0"/>
        <v/>
      </c>
    </row>
    <row r="34" spans="1:11">
      <c r="A34" s="570" t="s">
        <v>118</v>
      </c>
      <c r="B34" s="570" t="s">
        <v>402</v>
      </c>
      <c r="C34" s="86" t="s">
        <v>948</v>
      </c>
      <c r="D34" s="616">
        <v>2035</v>
      </c>
      <c r="E34" s="571"/>
      <c r="F34" s="571"/>
      <c r="G34" s="644">
        <v>2429.0722209751543</v>
      </c>
      <c r="H34" s="571"/>
      <c r="I34" s="571"/>
      <c r="J34" s="616"/>
      <c r="K34" s="22" t="str">
        <f t="shared" si="0"/>
        <v/>
      </c>
    </row>
    <row r="35" spans="1:11">
      <c r="A35" s="22" t="s">
        <v>119</v>
      </c>
      <c r="B35" s="22" t="s">
        <v>402</v>
      </c>
      <c r="C35" s="86" t="s">
        <v>948</v>
      </c>
      <c r="D35" s="86">
        <v>2035</v>
      </c>
      <c r="E35" s="37"/>
      <c r="F35" s="37"/>
      <c r="G35" s="303">
        <v>1485.8409082853868</v>
      </c>
      <c r="H35" s="37"/>
      <c r="I35" s="37"/>
      <c r="K35" s="22" t="str">
        <f t="shared" si="0"/>
        <v/>
      </c>
    </row>
    <row r="36" spans="1:11">
      <c r="A36" s="570" t="s">
        <v>120</v>
      </c>
      <c r="B36" s="570" t="s">
        <v>402</v>
      </c>
      <c r="C36" s="86" t="s">
        <v>948</v>
      </c>
      <c r="D36" s="616">
        <v>2035</v>
      </c>
      <c r="E36" s="571"/>
      <c r="F36" s="571"/>
      <c r="G36" s="644">
        <v>2445.0868707394588</v>
      </c>
      <c r="H36" s="571"/>
      <c r="I36" s="571"/>
      <c r="J36" s="616"/>
      <c r="K36" s="22" t="str">
        <f t="shared" si="0"/>
        <v/>
      </c>
    </row>
    <row r="37" spans="1:11">
      <c r="A37" s="22" t="s">
        <v>121</v>
      </c>
      <c r="B37" s="22" t="s">
        <v>402</v>
      </c>
      <c r="C37" s="86" t="s">
        <v>948</v>
      </c>
      <c r="D37" s="86">
        <v>2035</v>
      </c>
      <c r="E37" s="37"/>
      <c r="F37" s="37"/>
      <c r="G37" s="215">
        <v>5210</v>
      </c>
      <c r="H37" s="37"/>
      <c r="I37" s="37"/>
      <c r="K37" s="22" t="str">
        <f t="shared" si="0"/>
        <v/>
      </c>
    </row>
    <row r="38" spans="1:11">
      <c r="A38" s="570" t="s">
        <v>122</v>
      </c>
      <c r="B38" s="570" t="s">
        <v>402</v>
      </c>
      <c r="C38" s="86" t="s">
        <v>948</v>
      </c>
      <c r="D38" s="616">
        <v>2035</v>
      </c>
      <c r="E38" s="571"/>
      <c r="F38" s="571"/>
      <c r="G38" s="643">
        <v>290</v>
      </c>
      <c r="H38" s="571"/>
      <c r="I38" s="571"/>
      <c r="J38" s="616"/>
      <c r="K38" s="22" t="str">
        <f t="shared" si="0"/>
        <v/>
      </c>
    </row>
    <row r="39" spans="1:11">
      <c r="A39" s="176" t="s">
        <v>123</v>
      </c>
      <c r="B39" s="176" t="s">
        <v>402</v>
      </c>
      <c r="C39" s="134" t="s">
        <v>948</v>
      </c>
      <c r="D39" s="134">
        <v>2035</v>
      </c>
      <c r="E39" s="654"/>
      <c r="F39" s="654"/>
      <c r="G39" s="318">
        <v>860</v>
      </c>
      <c r="H39" s="654"/>
      <c r="I39" s="654"/>
      <c r="J39" s="134"/>
      <c r="K39" s="22" t="str">
        <f t="shared" si="0"/>
        <v/>
      </c>
    </row>
    <row r="40" spans="1:11">
      <c r="A40" s="570" t="s">
        <v>107</v>
      </c>
      <c r="B40" s="570" t="s">
        <v>403</v>
      </c>
      <c r="C40" s="86" t="s">
        <v>948</v>
      </c>
      <c r="D40" s="616">
        <v>2035</v>
      </c>
      <c r="E40" s="571"/>
      <c r="F40" s="571"/>
      <c r="G40" s="643" cm="1">
        <f t="array" ref="G40:G56">TRANSPOSE(_xlfn._xlws.FILTER(Production!B191:U191,Production!B191:U191&lt;&gt;0))</f>
        <v>50520</v>
      </c>
      <c r="H40" s="571"/>
      <c r="I40" s="571"/>
      <c r="J40" s="616"/>
      <c r="K40" s="22" t="str">
        <f t="shared" si="0"/>
        <v/>
      </c>
    </row>
    <row r="41" spans="1:11">
      <c r="A41" s="22" t="s">
        <v>109</v>
      </c>
      <c r="B41" s="22" t="s">
        <v>403</v>
      </c>
      <c r="C41" s="86" t="s">
        <v>948</v>
      </c>
      <c r="D41" s="86">
        <v>2035</v>
      </c>
      <c r="E41" s="37"/>
      <c r="F41" s="37"/>
      <c r="G41" s="215">
        <v>17980</v>
      </c>
      <c r="H41" s="37"/>
      <c r="I41" s="37"/>
      <c r="K41" s="22" t="str">
        <f t="shared" si="0"/>
        <v/>
      </c>
    </row>
    <row r="42" spans="1:11">
      <c r="A42" s="570" t="s">
        <v>110</v>
      </c>
      <c r="B42" s="570" t="s">
        <v>403</v>
      </c>
      <c r="C42" s="86" t="s">
        <v>948</v>
      </c>
      <c r="D42" s="616">
        <v>2035</v>
      </c>
      <c r="E42" s="571"/>
      <c r="F42" s="571"/>
      <c r="G42" s="643">
        <v>75030</v>
      </c>
      <c r="H42" s="571"/>
      <c r="I42" s="571"/>
      <c r="J42" s="616"/>
      <c r="K42" s="22" t="str">
        <f t="shared" si="0"/>
        <v/>
      </c>
    </row>
    <row r="43" spans="1:11">
      <c r="A43" s="22" t="s">
        <v>112</v>
      </c>
      <c r="B43" s="22" t="s">
        <v>403</v>
      </c>
      <c r="C43" s="86" t="s">
        <v>948</v>
      </c>
      <c r="D43" s="86">
        <v>2035</v>
      </c>
      <c r="E43" s="37"/>
      <c r="F43" s="37"/>
      <c r="G43" s="215">
        <v>5040</v>
      </c>
      <c r="H43" s="37"/>
      <c r="I43" s="37"/>
      <c r="K43" s="22" t="str">
        <f t="shared" si="0"/>
        <v/>
      </c>
    </row>
    <row r="44" spans="1:11">
      <c r="A44" s="570" t="s">
        <v>113</v>
      </c>
      <c r="B44" s="570" t="s">
        <v>403</v>
      </c>
      <c r="C44" s="86" t="s">
        <v>948</v>
      </c>
      <c r="D44" s="616">
        <v>2035</v>
      </c>
      <c r="E44" s="571"/>
      <c r="F44" s="571"/>
      <c r="G44" s="643">
        <v>10900</v>
      </c>
      <c r="H44" s="571"/>
      <c r="I44" s="571"/>
      <c r="J44" s="616"/>
      <c r="K44" s="22" t="str">
        <f t="shared" si="0"/>
        <v/>
      </c>
    </row>
    <row r="45" spans="1:11">
      <c r="A45" s="22" t="s">
        <v>114</v>
      </c>
      <c r="B45" s="22" t="s">
        <v>403</v>
      </c>
      <c r="C45" s="86" t="s">
        <v>948</v>
      </c>
      <c r="D45" s="86">
        <v>2035</v>
      </c>
      <c r="E45" s="37"/>
      <c r="F45" s="37"/>
      <c r="G45" s="215">
        <v>33300</v>
      </c>
      <c r="H45" s="37"/>
      <c r="I45" s="37"/>
      <c r="K45" s="22" t="str">
        <f t="shared" si="0"/>
        <v/>
      </c>
    </row>
    <row r="46" spans="1:11">
      <c r="A46" s="570" t="s">
        <v>115</v>
      </c>
      <c r="B46" s="570" t="s">
        <v>403</v>
      </c>
      <c r="C46" s="86" t="s">
        <v>948</v>
      </c>
      <c r="D46" s="616">
        <v>2035</v>
      </c>
      <c r="E46" s="571"/>
      <c r="F46" s="571"/>
      <c r="G46" s="643">
        <v>6860</v>
      </c>
      <c r="H46" s="571"/>
      <c r="I46" s="571"/>
      <c r="J46" s="616"/>
      <c r="K46" s="22" t="str">
        <f t="shared" si="0"/>
        <v/>
      </c>
    </row>
    <row r="47" spans="1:11">
      <c r="A47" s="22" t="s">
        <v>104</v>
      </c>
      <c r="B47" s="22" t="s">
        <v>403</v>
      </c>
      <c r="C47" s="86" t="s">
        <v>948</v>
      </c>
      <c r="D47" s="86">
        <v>2035</v>
      </c>
      <c r="E47" s="37"/>
      <c r="F47" s="37"/>
      <c r="G47" s="303">
        <v>1000</v>
      </c>
      <c r="H47" s="37"/>
      <c r="I47" s="37"/>
      <c r="K47" s="22" t="str">
        <f t="shared" si="0"/>
        <v/>
      </c>
    </row>
    <row r="48" spans="1:11">
      <c r="A48" s="570" t="s">
        <v>105</v>
      </c>
      <c r="B48" s="570" t="s">
        <v>403</v>
      </c>
      <c r="C48" s="86" t="s">
        <v>948</v>
      </c>
      <c r="D48" s="616">
        <v>2035</v>
      </c>
      <c r="E48" s="571"/>
      <c r="F48" s="571"/>
      <c r="G48" s="644">
        <v>1400</v>
      </c>
      <c r="H48" s="571"/>
      <c r="I48" s="571"/>
      <c r="J48" s="616"/>
      <c r="K48" s="22" t="str">
        <f t="shared" si="0"/>
        <v/>
      </c>
    </row>
    <row r="49" spans="1:11">
      <c r="A49" s="22" t="s">
        <v>106</v>
      </c>
      <c r="B49" s="22" t="s">
        <v>403</v>
      </c>
      <c r="C49" s="86" t="s">
        <v>948</v>
      </c>
      <c r="D49" s="86">
        <v>2035</v>
      </c>
      <c r="E49" s="37"/>
      <c r="F49" s="37"/>
      <c r="G49" s="303">
        <v>4200</v>
      </c>
      <c r="H49" s="37"/>
      <c r="I49" s="37"/>
      <c r="K49" s="22" t="str">
        <f t="shared" si="0"/>
        <v/>
      </c>
    </row>
    <row r="50" spans="1:11">
      <c r="A50" s="570" t="s">
        <v>99</v>
      </c>
      <c r="B50" s="570" t="s">
        <v>403</v>
      </c>
      <c r="C50" s="86" t="s">
        <v>948</v>
      </c>
      <c r="D50" s="616">
        <v>2035</v>
      </c>
      <c r="E50" s="571"/>
      <c r="F50" s="571"/>
      <c r="G50" s="644">
        <v>6847.153565820272</v>
      </c>
      <c r="H50" s="571"/>
      <c r="I50" s="571"/>
      <c r="J50" s="616"/>
      <c r="K50" s="22" t="str">
        <f t="shared" si="0"/>
        <v/>
      </c>
    </row>
    <row r="51" spans="1:11">
      <c r="A51" s="22" t="s">
        <v>101</v>
      </c>
      <c r="B51" s="22" t="s">
        <v>403</v>
      </c>
      <c r="C51" s="86" t="s">
        <v>948</v>
      </c>
      <c r="D51" s="86">
        <v>2035</v>
      </c>
      <c r="E51" s="37"/>
      <c r="F51" s="37"/>
      <c r="G51" s="303">
        <v>14392.846434179728</v>
      </c>
      <c r="H51" s="37"/>
      <c r="I51" s="37"/>
      <c r="K51" s="22" t="str">
        <f t="shared" si="0"/>
        <v/>
      </c>
    </row>
    <row r="52" spans="1:11">
      <c r="A52" s="570" t="s">
        <v>117</v>
      </c>
      <c r="B52" s="570" t="s">
        <v>403</v>
      </c>
      <c r="C52" s="86" t="s">
        <v>948</v>
      </c>
      <c r="D52" s="616">
        <v>2035</v>
      </c>
      <c r="E52" s="571"/>
      <c r="F52" s="571"/>
      <c r="G52" s="643">
        <v>3600</v>
      </c>
      <c r="H52" s="571"/>
      <c r="I52" s="571"/>
      <c r="J52" s="616"/>
      <c r="K52" s="22" t="str">
        <f t="shared" si="0"/>
        <v/>
      </c>
    </row>
    <row r="53" spans="1:11">
      <c r="A53" s="22" t="s">
        <v>120</v>
      </c>
      <c r="B53" s="22" t="s">
        <v>403</v>
      </c>
      <c r="C53" s="86" t="s">
        <v>948</v>
      </c>
      <c r="D53" s="86">
        <v>2035</v>
      </c>
      <c r="E53" s="37"/>
      <c r="F53" s="37"/>
      <c r="G53" s="303">
        <v>6000</v>
      </c>
      <c r="H53" s="37"/>
      <c r="I53" s="37"/>
      <c r="K53" s="22" t="str">
        <f t="shared" si="0"/>
        <v/>
      </c>
    </row>
    <row r="54" spans="1:11">
      <c r="A54" s="570" t="s">
        <v>121</v>
      </c>
      <c r="B54" s="570" t="s">
        <v>403</v>
      </c>
      <c r="C54" s="86" t="s">
        <v>948</v>
      </c>
      <c r="D54" s="616">
        <v>2035</v>
      </c>
      <c r="E54" s="571"/>
      <c r="F54" s="571"/>
      <c r="G54" s="643">
        <v>2100</v>
      </c>
      <c r="H54" s="571"/>
      <c r="I54" s="571"/>
      <c r="J54" s="616"/>
      <c r="K54" s="22" t="str">
        <f t="shared" si="0"/>
        <v/>
      </c>
    </row>
    <row r="55" spans="1:11">
      <c r="A55" s="22" t="s">
        <v>122</v>
      </c>
      <c r="B55" s="22" t="s">
        <v>403</v>
      </c>
      <c r="C55" s="86" t="s">
        <v>948</v>
      </c>
      <c r="D55" s="86">
        <v>2035</v>
      </c>
      <c r="E55" s="37"/>
      <c r="F55" s="37"/>
      <c r="G55" s="215">
        <v>500</v>
      </c>
      <c r="H55" s="37"/>
      <c r="I55" s="37"/>
      <c r="K55" s="22" t="str">
        <f t="shared" si="0"/>
        <v/>
      </c>
    </row>
    <row r="56" spans="1:11">
      <c r="A56" s="617" t="s">
        <v>123</v>
      </c>
      <c r="B56" s="617" t="s">
        <v>403</v>
      </c>
      <c r="C56" s="577" t="s">
        <v>948</v>
      </c>
      <c r="D56" s="618">
        <v>2035</v>
      </c>
      <c r="E56" s="619"/>
      <c r="F56" s="619"/>
      <c r="G56" s="645">
        <v>1000</v>
      </c>
      <c r="H56" s="619"/>
      <c r="I56" s="619"/>
      <c r="J56" s="618"/>
      <c r="K56" s="22" t="str">
        <f t="shared" si="0"/>
        <v/>
      </c>
    </row>
    <row r="57" spans="1:11">
      <c r="A57" s="655" t="s">
        <v>109</v>
      </c>
      <c r="B57" s="655" t="s">
        <v>856</v>
      </c>
      <c r="C57" s="656" t="s">
        <v>948</v>
      </c>
      <c r="D57" s="656">
        <v>2035</v>
      </c>
      <c r="E57" s="657"/>
      <c r="F57" s="657"/>
      <c r="G57" s="740" cm="1">
        <f t="array" ref="G57:G63">TRANSPOSE(_xlfn._xlws.FILTER(Production!B195:U195,Production!B195:U195&lt;&gt;0))</f>
        <v>54700</v>
      </c>
      <c r="H57" s="657"/>
      <c r="I57" s="657"/>
      <c r="J57" s="656"/>
      <c r="K57" s="22" t="str">
        <f t="shared" si="0"/>
        <v/>
      </c>
    </row>
    <row r="58" spans="1:11">
      <c r="A58" s="570" t="s">
        <v>110</v>
      </c>
      <c r="B58" s="570" t="s">
        <v>142</v>
      </c>
      <c r="C58" s="86" t="s">
        <v>948</v>
      </c>
      <c r="D58" s="616">
        <v>2035</v>
      </c>
      <c r="E58" s="571"/>
      <c r="F58" s="571"/>
      <c r="G58" s="643">
        <v>4500</v>
      </c>
      <c r="H58" s="571"/>
      <c r="I58" s="571"/>
      <c r="J58" s="616"/>
      <c r="K58" s="22" t="str">
        <f t="shared" si="0"/>
        <v/>
      </c>
    </row>
    <row r="59" spans="1:11">
      <c r="A59" s="22" t="s">
        <v>113</v>
      </c>
      <c r="B59" s="22" t="s">
        <v>142</v>
      </c>
      <c r="C59" s="86" t="s">
        <v>948</v>
      </c>
      <c r="D59" s="86">
        <v>2035</v>
      </c>
      <c r="E59" s="37"/>
      <c r="F59" s="37"/>
      <c r="G59" s="215">
        <v>2220</v>
      </c>
      <c r="H59" s="37"/>
      <c r="I59" s="37"/>
      <c r="K59" s="22" t="str">
        <f t="shared" si="0"/>
        <v/>
      </c>
    </row>
    <row r="60" spans="1:11">
      <c r="A60" s="570" t="s">
        <v>114</v>
      </c>
      <c r="B60" s="570" t="s">
        <v>142</v>
      </c>
      <c r="C60" s="86" t="s">
        <v>948</v>
      </c>
      <c r="D60" s="616">
        <v>2035</v>
      </c>
      <c r="E60" s="571"/>
      <c r="F60" s="571"/>
      <c r="G60" s="643">
        <v>243</v>
      </c>
      <c r="H60" s="571"/>
      <c r="I60" s="571"/>
      <c r="J60" s="616"/>
      <c r="K60" s="22" t="str">
        <f t="shared" si="0"/>
        <v/>
      </c>
    </row>
    <row r="61" spans="1:11">
      <c r="A61" s="22" t="s">
        <v>115</v>
      </c>
      <c r="B61" s="22" t="s">
        <v>142</v>
      </c>
      <c r="C61" s="86" t="s">
        <v>948</v>
      </c>
      <c r="D61" s="86">
        <v>2035</v>
      </c>
      <c r="E61" s="37"/>
      <c r="F61" s="37"/>
      <c r="G61" s="215">
        <v>1038</v>
      </c>
      <c r="H61" s="37"/>
      <c r="I61" s="37"/>
      <c r="K61" s="22" t="str">
        <f t="shared" si="0"/>
        <v/>
      </c>
    </row>
    <row r="62" spans="1:11">
      <c r="A62" s="570" t="s">
        <v>105</v>
      </c>
      <c r="B62" s="570" t="s">
        <v>142</v>
      </c>
      <c r="C62" s="86" t="s">
        <v>948</v>
      </c>
      <c r="D62" s="616">
        <v>2035</v>
      </c>
      <c r="E62" s="571"/>
      <c r="F62" s="571"/>
      <c r="G62" s="643">
        <v>4800</v>
      </c>
      <c r="H62" s="571"/>
      <c r="I62" s="571"/>
      <c r="J62" s="616"/>
      <c r="K62" s="22" t="str">
        <f t="shared" si="0"/>
        <v/>
      </c>
    </row>
    <row r="63" spans="1:11">
      <c r="A63" s="372" t="s">
        <v>117</v>
      </c>
      <c r="B63" s="372" t="s">
        <v>142</v>
      </c>
      <c r="C63" s="577" t="s">
        <v>948</v>
      </c>
      <c r="D63" s="577">
        <v>2035</v>
      </c>
      <c r="E63" s="225"/>
      <c r="F63" s="225"/>
      <c r="G63" s="554">
        <v>3250</v>
      </c>
      <c r="H63" s="225"/>
      <c r="I63" s="225"/>
      <c r="J63" s="577"/>
      <c r="K63" s="22" t="str">
        <f t="shared" si="0"/>
        <v/>
      </c>
    </row>
    <row r="64" spans="1:11">
      <c r="A64" s="570" t="s">
        <v>107</v>
      </c>
      <c r="B64" s="570" t="s">
        <v>697</v>
      </c>
      <c r="C64" s="86" t="s">
        <v>948</v>
      </c>
      <c r="D64" s="616">
        <v>2035</v>
      </c>
      <c r="E64" s="643" cm="1">
        <f t="array" ref="E64:E79">_xlfn._xlws.FILTER(Flexibility!W80:W99,Flexibility!W80:W99&lt;&gt;0)</f>
        <v>75895.78</v>
      </c>
      <c r="F64" s="643"/>
      <c r="G64" s="643"/>
      <c r="H64" s="571"/>
      <c r="I64" s="571"/>
      <c r="J64" s="616"/>
      <c r="K64" s="22" t="str">
        <f>IF(E64&gt;=10,"","Remove")</f>
        <v/>
      </c>
    </row>
    <row r="65" spans="1:11">
      <c r="A65" s="22" t="s">
        <v>109</v>
      </c>
      <c r="B65" s="22" t="s">
        <v>697</v>
      </c>
      <c r="C65" s="86" t="s">
        <v>948</v>
      </c>
      <c r="D65" s="86">
        <v>2035</v>
      </c>
      <c r="E65" s="303">
        <v>10777</v>
      </c>
      <c r="F65" s="215"/>
      <c r="G65" s="215"/>
      <c r="H65" s="37"/>
      <c r="I65" s="37"/>
      <c r="K65" s="22" t="str">
        <f t="shared" ref="K65:K79" si="1">IF(E65&gt;=10,"","Remove")</f>
        <v/>
      </c>
    </row>
    <row r="66" spans="1:11">
      <c r="A66" s="570" t="s">
        <v>110</v>
      </c>
      <c r="B66" s="570" t="s">
        <v>697</v>
      </c>
      <c r="C66" s="86" t="s">
        <v>948</v>
      </c>
      <c r="D66" s="616">
        <v>2035</v>
      </c>
      <c r="E66" s="643">
        <v>26940.16</v>
      </c>
      <c r="F66" s="643"/>
      <c r="G66" s="643"/>
      <c r="H66" s="571"/>
      <c r="I66" s="571"/>
      <c r="J66" s="616"/>
      <c r="K66" s="22" t="str">
        <f t="shared" si="1"/>
        <v/>
      </c>
    </row>
    <row r="67" spans="1:11">
      <c r="A67" s="22" t="s">
        <v>112</v>
      </c>
      <c r="B67" s="22" t="s">
        <v>697</v>
      </c>
      <c r="C67" s="86" t="s">
        <v>948</v>
      </c>
      <c r="D67" s="86">
        <v>2035</v>
      </c>
      <c r="E67" s="215">
        <v>17187.52</v>
      </c>
      <c r="F67" s="215"/>
      <c r="G67" s="215"/>
      <c r="H67" s="37"/>
      <c r="I67" s="37"/>
      <c r="K67" s="22" t="str">
        <f t="shared" si="1"/>
        <v/>
      </c>
    </row>
    <row r="68" spans="1:11">
      <c r="A68" s="570" t="s">
        <v>113</v>
      </c>
      <c r="B68" s="570" t="s">
        <v>697</v>
      </c>
      <c r="C68" s="86" t="s">
        <v>948</v>
      </c>
      <c r="D68" s="616">
        <v>2035</v>
      </c>
      <c r="E68" s="643">
        <v>6110</v>
      </c>
      <c r="F68" s="643"/>
      <c r="G68" s="643"/>
      <c r="H68" s="571"/>
      <c r="I68" s="571"/>
      <c r="J68" s="616"/>
      <c r="K68" s="22" t="str">
        <f t="shared" si="1"/>
        <v/>
      </c>
    </row>
    <row r="69" spans="1:11">
      <c r="A69" s="570" t="s">
        <v>114</v>
      </c>
      <c r="B69" s="22" t="s">
        <v>697</v>
      </c>
      <c r="C69" s="86" t="s">
        <v>948</v>
      </c>
      <c r="D69" s="86">
        <v>2035</v>
      </c>
      <c r="E69" s="215">
        <v>21744</v>
      </c>
      <c r="F69" s="215"/>
      <c r="G69" s="215"/>
      <c r="H69" s="37"/>
      <c r="I69" s="37"/>
      <c r="K69" s="22" t="str">
        <f t="shared" si="1"/>
        <v/>
      </c>
    </row>
    <row r="70" spans="1:11">
      <c r="A70" s="22" t="s">
        <v>115</v>
      </c>
      <c r="B70" s="570" t="s">
        <v>697</v>
      </c>
      <c r="C70" s="86" t="s">
        <v>948</v>
      </c>
      <c r="D70" s="616">
        <v>2035</v>
      </c>
      <c r="E70" s="644">
        <v>3851</v>
      </c>
      <c r="F70" s="644"/>
      <c r="G70" s="643"/>
      <c r="H70" s="571"/>
      <c r="I70" s="571"/>
      <c r="J70" s="616"/>
      <c r="K70" s="22" t="str">
        <f t="shared" si="1"/>
        <v/>
      </c>
    </row>
    <row r="71" spans="1:11">
      <c r="A71" s="22" t="s">
        <v>104</v>
      </c>
      <c r="B71" s="22" t="s">
        <v>697</v>
      </c>
      <c r="C71" s="86" t="s">
        <v>948</v>
      </c>
      <c r="D71" s="86">
        <v>2035</v>
      </c>
      <c r="E71" s="303">
        <v>66.8</v>
      </c>
      <c r="F71" s="303"/>
      <c r="G71" s="215"/>
      <c r="H71" s="37"/>
      <c r="I71" s="37"/>
      <c r="K71" s="22" t="str">
        <f t="shared" si="1"/>
        <v/>
      </c>
    </row>
    <row r="72" spans="1:11">
      <c r="A72" s="570" t="s">
        <v>105</v>
      </c>
      <c r="B72" s="570" t="s">
        <v>697</v>
      </c>
      <c r="C72" s="86" t="s">
        <v>948</v>
      </c>
      <c r="D72" s="616">
        <v>2035</v>
      </c>
      <c r="E72" s="644">
        <v>970.35</v>
      </c>
      <c r="F72" s="644"/>
      <c r="G72" s="643"/>
      <c r="H72" s="571"/>
      <c r="I72" s="571"/>
      <c r="J72" s="616"/>
      <c r="K72" s="22" t="str">
        <f t="shared" si="1"/>
        <v/>
      </c>
    </row>
    <row r="73" spans="1:11">
      <c r="A73" s="22" t="s">
        <v>106</v>
      </c>
      <c r="B73" s="22" t="s">
        <v>697</v>
      </c>
      <c r="C73" s="86" t="s">
        <v>948</v>
      </c>
      <c r="D73" s="86">
        <v>2035</v>
      </c>
      <c r="E73" s="303">
        <v>423.25</v>
      </c>
      <c r="F73" s="303"/>
      <c r="G73" s="215"/>
      <c r="H73" s="37"/>
      <c r="I73" s="37"/>
      <c r="K73" s="22" t="str">
        <f t="shared" si="1"/>
        <v/>
      </c>
    </row>
    <row r="74" spans="1:11">
      <c r="A74" s="570" t="s">
        <v>99</v>
      </c>
      <c r="B74" s="570" t="s">
        <v>697</v>
      </c>
      <c r="C74" s="86" t="s">
        <v>948</v>
      </c>
      <c r="D74" s="616">
        <v>2035</v>
      </c>
      <c r="E74" s="643">
        <v>293.68</v>
      </c>
      <c r="F74" s="644"/>
      <c r="G74" s="643"/>
      <c r="H74" s="571"/>
      <c r="I74" s="571"/>
      <c r="J74" s="616"/>
      <c r="K74" s="22" t="str">
        <f t="shared" si="1"/>
        <v/>
      </c>
    </row>
    <row r="75" spans="1:11">
      <c r="A75" s="22" t="s">
        <v>101</v>
      </c>
      <c r="B75" s="22" t="s">
        <v>697</v>
      </c>
      <c r="C75" s="86" t="s">
        <v>948</v>
      </c>
      <c r="D75" s="86">
        <v>2035</v>
      </c>
      <c r="E75" s="215">
        <v>625.30999999999995</v>
      </c>
      <c r="F75" s="303"/>
      <c r="G75" s="215"/>
      <c r="H75" s="37"/>
      <c r="I75" s="37"/>
      <c r="K75" s="22" t="str">
        <f t="shared" si="1"/>
        <v/>
      </c>
    </row>
    <row r="76" spans="1:11">
      <c r="A76" s="570" t="s">
        <v>117</v>
      </c>
      <c r="B76" s="570" t="s">
        <v>697</v>
      </c>
      <c r="C76" s="86" t="s">
        <v>948</v>
      </c>
      <c r="D76" s="616">
        <v>2035</v>
      </c>
      <c r="E76" s="643">
        <v>4711.1000000000004</v>
      </c>
      <c r="F76" s="643"/>
      <c r="G76" s="643"/>
      <c r="H76" s="571"/>
      <c r="I76" s="571"/>
      <c r="J76" s="616"/>
      <c r="K76" s="22" t="str">
        <f t="shared" si="1"/>
        <v/>
      </c>
    </row>
    <row r="77" spans="1:11">
      <c r="A77" s="22" t="s">
        <v>121</v>
      </c>
      <c r="B77" s="22" t="s">
        <v>697</v>
      </c>
      <c r="C77" s="86" t="s">
        <v>948</v>
      </c>
      <c r="D77" s="86">
        <v>2035</v>
      </c>
      <c r="E77" s="215">
        <v>1810</v>
      </c>
      <c r="F77" s="215"/>
      <c r="G77" s="215"/>
      <c r="H77" s="37"/>
      <c r="I77" s="37"/>
      <c r="K77" s="22" t="str">
        <f t="shared" si="1"/>
        <v/>
      </c>
    </row>
    <row r="78" spans="1:11">
      <c r="A78" s="570" t="s">
        <v>122</v>
      </c>
      <c r="B78" s="570" t="s">
        <v>697</v>
      </c>
      <c r="C78" s="86" t="s">
        <v>948</v>
      </c>
      <c r="D78" s="616">
        <v>2035</v>
      </c>
      <c r="E78" s="643">
        <v>420</v>
      </c>
      <c r="F78" s="643"/>
      <c r="G78" s="643"/>
      <c r="H78" s="571"/>
      <c r="I78" s="571"/>
      <c r="J78" s="616"/>
      <c r="K78" s="22" t="str">
        <f t="shared" si="1"/>
        <v/>
      </c>
    </row>
    <row r="79" spans="1:11">
      <c r="A79" s="646" t="s">
        <v>123</v>
      </c>
      <c r="B79" s="646" t="s">
        <v>697</v>
      </c>
      <c r="C79" s="134" t="s">
        <v>948</v>
      </c>
      <c r="D79" s="647">
        <v>2035</v>
      </c>
      <c r="E79" s="649">
        <v>1500</v>
      </c>
      <c r="F79" s="649"/>
      <c r="G79" s="649"/>
      <c r="H79" s="648"/>
      <c r="I79" s="648"/>
      <c r="J79" s="647"/>
      <c r="K79" s="22" t="str">
        <f t="shared" si="1"/>
        <v/>
      </c>
    </row>
    <row r="80" spans="1:11">
      <c r="A80" s="570" t="s">
        <v>107</v>
      </c>
      <c r="B80" s="22" t="s">
        <v>698</v>
      </c>
      <c r="C80" s="86" t="s">
        <v>948</v>
      </c>
      <c r="D80" s="86">
        <v>2035</v>
      </c>
      <c r="E80" s="215"/>
      <c r="F80" s="215"/>
      <c r="G80" s="215" cm="1">
        <f t="array" ref="G80:G95">_xlfn._xlws.FILTER(Flexibility!W80:W99,Flexibility!W80:W99&lt;&gt;0)</f>
        <v>75895.78</v>
      </c>
      <c r="H80" s="37"/>
      <c r="I80" s="37"/>
      <c r="K80" s="22" t="str">
        <f t="shared" ref="K80:K130" si="2">IF(G80&gt;=10,"","Remove")</f>
        <v/>
      </c>
    </row>
    <row r="81" spans="1:11">
      <c r="A81" s="22" t="s">
        <v>109</v>
      </c>
      <c r="B81" s="570" t="s">
        <v>698</v>
      </c>
      <c r="C81" s="86" t="s">
        <v>948</v>
      </c>
      <c r="D81" s="616">
        <v>2035</v>
      </c>
      <c r="E81" s="643"/>
      <c r="F81" s="643"/>
      <c r="G81" s="644">
        <v>10777</v>
      </c>
      <c r="H81" s="571"/>
      <c r="I81" s="571"/>
      <c r="J81" s="616"/>
      <c r="K81" s="22" t="str">
        <f t="shared" si="2"/>
        <v/>
      </c>
    </row>
    <row r="82" spans="1:11">
      <c r="A82" s="570" t="s">
        <v>110</v>
      </c>
      <c r="B82" s="22" t="s">
        <v>698</v>
      </c>
      <c r="C82" s="86" t="s">
        <v>948</v>
      </c>
      <c r="D82" s="86">
        <v>2035</v>
      </c>
      <c r="E82" s="215"/>
      <c r="F82" s="215"/>
      <c r="G82" s="215">
        <v>26940.16</v>
      </c>
      <c r="H82" s="37"/>
      <c r="I82" s="37"/>
      <c r="K82" s="22" t="str">
        <f t="shared" si="2"/>
        <v/>
      </c>
    </row>
    <row r="83" spans="1:11">
      <c r="A83" s="22" t="s">
        <v>112</v>
      </c>
      <c r="B83" s="570" t="s">
        <v>698</v>
      </c>
      <c r="C83" s="86" t="s">
        <v>948</v>
      </c>
      <c r="D83" s="616">
        <v>2035</v>
      </c>
      <c r="E83" s="643"/>
      <c r="F83" s="643"/>
      <c r="G83" s="643">
        <v>17187.52</v>
      </c>
      <c r="H83" s="571"/>
      <c r="I83" s="571"/>
      <c r="J83" s="616"/>
      <c r="K83" s="22" t="str">
        <f t="shared" si="2"/>
        <v/>
      </c>
    </row>
    <row r="84" spans="1:11">
      <c r="A84" s="570" t="s">
        <v>113</v>
      </c>
      <c r="B84" s="22" t="s">
        <v>698</v>
      </c>
      <c r="C84" s="86" t="s">
        <v>948</v>
      </c>
      <c r="D84" s="86">
        <v>2035</v>
      </c>
      <c r="E84" s="215"/>
      <c r="F84" s="215"/>
      <c r="G84" s="215">
        <v>6110</v>
      </c>
      <c r="H84" s="37"/>
      <c r="I84" s="37"/>
      <c r="K84" s="22" t="str">
        <f t="shared" si="2"/>
        <v/>
      </c>
    </row>
    <row r="85" spans="1:11">
      <c r="A85" s="570" t="s">
        <v>114</v>
      </c>
      <c r="B85" s="570" t="s">
        <v>698</v>
      </c>
      <c r="C85" s="86" t="s">
        <v>948</v>
      </c>
      <c r="D85" s="616">
        <v>2035</v>
      </c>
      <c r="E85" s="643"/>
      <c r="F85" s="643"/>
      <c r="G85" s="643">
        <v>21744</v>
      </c>
      <c r="H85" s="571"/>
      <c r="I85" s="571"/>
      <c r="J85" s="616"/>
      <c r="K85" s="22" t="str">
        <f t="shared" si="2"/>
        <v/>
      </c>
    </row>
    <row r="86" spans="1:11">
      <c r="A86" s="22" t="s">
        <v>115</v>
      </c>
      <c r="B86" s="22" t="s">
        <v>698</v>
      </c>
      <c r="C86" s="86" t="s">
        <v>948</v>
      </c>
      <c r="D86" s="86">
        <v>2035</v>
      </c>
      <c r="E86" s="215"/>
      <c r="F86" s="215"/>
      <c r="G86" s="303">
        <v>3851</v>
      </c>
      <c r="H86" s="37"/>
      <c r="I86" s="37"/>
      <c r="K86" s="22" t="str">
        <f t="shared" si="2"/>
        <v/>
      </c>
    </row>
    <row r="87" spans="1:11">
      <c r="A87" s="22" t="s">
        <v>104</v>
      </c>
      <c r="B87" s="570" t="s">
        <v>698</v>
      </c>
      <c r="C87" s="86" t="s">
        <v>948</v>
      </c>
      <c r="D87" s="616">
        <v>2035</v>
      </c>
      <c r="E87" s="643"/>
      <c r="F87" s="643"/>
      <c r="G87" s="644">
        <v>66.8</v>
      </c>
      <c r="H87" s="571"/>
      <c r="I87" s="571"/>
      <c r="J87" s="616"/>
      <c r="K87" s="22" t="str">
        <f t="shared" si="2"/>
        <v/>
      </c>
    </row>
    <row r="88" spans="1:11">
      <c r="A88" s="570" t="s">
        <v>105</v>
      </c>
      <c r="B88" s="22" t="s">
        <v>698</v>
      </c>
      <c r="C88" s="86" t="s">
        <v>948</v>
      </c>
      <c r="D88" s="86">
        <v>2035</v>
      </c>
      <c r="E88" s="215"/>
      <c r="F88" s="215"/>
      <c r="G88" s="303">
        <v>970.35</v>
      </c>
      <c r="H88" s="37"/>
      <c r="I88" s="37"/>
      <c r="K88" s="22" t="str">
        <f t="shared" si="2"/>
        <v/>
      </c>
    </row>
    <row r="89" spans="1:11">
      <c r="A89" s="22" t="s">
        <v>106</v>
      </c>
      <c r="B89" s="570" t="s">
        <v>698</v>
      </c>
      <c r="C89" s="86" t="s">
        <v>948</v>
      </c>
      <c r="D89" s="616">
        <v>2035</v>
      </c>
      <c r="E89" s="643"/>
      <c r="F89" s="643"/>
      <c r="G89" s="644">
        <v>423.25</v>
      </c>
      <c r="H89" s="571"/>
      <c r="I89" s="571"/>
      <c r="J89" s="616"/>
      <c r="K89" s="22" t="str">
        <f t="shared" si="2"/>
        <v/>
      </c>
    </row>
    <row r="90" spans="1:11">
      <c r="A90" s="570" t="s">
        <v>99</v>
      </c>
      <c r="B90" s="22" t="s">
        <v>698</v>
      </c>
      <c r="C90" s="86" t="s">
        <v>948</v>
      </c>
      <c r="D90" s="86">
        <v>2035</v>
      </c>
      <c r="E90" s="215"/>
      <c r="F90" s="215"/>
      <c r="G90" s="215">
        <v>293.68</v>
      </c>
      <c r="H90" s="37"/>
      <c r="I90" s="37"/>
      <c r="K90" s="22" t="str">
        <f t="shared" si="2"/>
        <v/>
      </c>
    </row>
    <row r="91" spans="1:11">
      <c r="A91" s="22" t="s">
        <v>101</v>
      </c>
      <c r="B91" s="570" t="s">
        <v>698</v>
      </c>
      <c r="C91" s="86" t="s">
        <v>948</v>
      </c>
      <c r="D91" s="616">
        <v>2035</v>
      </c>
      <c r="E91" s="643"/>
      <c r="F91" s="643"/>
      <c r="G91" s="643">
        <v>625.30999999999995</v>
      </c>
      <c r="H91" s="571"/>
      <c r="I91" s="571"/>
      <c r="J91" s="616"/>
      <c r="K91" s="22" t="str">
        <f t="shared" si="2"/>
        <v/>
      </c>
    </row>
    <row r="92" spans="1:11">
      <c r="A92" s="570" t="s">
        <v>117</v>
      </c>
      <c r="B92" s="22" t="s">
        <v>698</v>
      </c>
      <c r="C92" s="86" t="s">
        <v>948</v>
      </c>
      <c r="D92" s="86">
        <v>2035</v>
      </c>
      <c r="E92" s="215"/>
      <c r="F92" s="215"/>
      <c r="G92" s="215">
        <v>4711.1000000000004</v>
      </c>
      <c r="H92" s="37"/>
      <c r="I92" s="37"/>
      <c r="K92" s="22" t="str">
        <f t="shared" si="2"/>
        <v/>
      </c>
    </row>
    <row r="93" spans="1:11">
      <c r="A93" s="22" t="s">
        <v>121</v>
      </c>
      <c r="B93" s="570" t="s">
        <v>698</v>
      </c>
      <c r="C93" s="86" t="s">
        <v>948</v>
      </c>
      <c r="D93" s="616">
        <v>2035</v>
      </c>
      <c r="E93" s="643"/>
      <c r="F93" s="643"/>
      <c r="G93" s="643">
        <v>1810</v>
      </c>
      <c r="H93" s="571"/>
      <c r="I93" s="571"/>
      <c r="J93" s="616"/>
      <c r="K93" s="22" t="str">
        <f t="shared" si="2"/>
        <v/>
      </c>
    </row>
    <row r="94" spans="1:11">
      <c r="A94" s="570" t="s">
        <v>122</v>
      </c>
      <c r="B94" s="22" t="s">
        <v>698</v>
      </c>
      <c r="C94" s="86" t="s">
        <v>948</v>
      </c>
      <c r="D94" s="86">
        <v>2035</v>
      </c>
      <c r="E94" s="215"/>
      <c r="F94" s="215"/>
      <c r="G94" s="215">
        <v>420</v>
      </c>
      <c r="H94" s="37"/>
      <c r="I94" s="37"/>
      <c r="K94" s="22" t="str">
        <f t="shared" si="2"/>
        <v/>
      </c>
    </row>
    <row r="95" spans="1:11">
      <c r="A95" s="646" t="s">
        <v>123</v>
      </c>
      <c r="B95" s="176" t="s">
        <v>698</v>
      </c>
      <c r="C95" s="134" t="s">
        <v>948</v>
      </c>
      <c r="D95" s="134">
        <v>2035</v>
      </c>
      <c r="E95" s="318"/>
      <c r="F95" s="318"/>
      <c r="G95" s="318">
        <v>1500</v>
      </c>
      <c r="H95" s="654"/>
      <c r="I95" s="654"/>
      <c r="J95" s="134"/>
      <c r="K95" s="22" t="str">
        <f t="shared" si="2"/>
        <v/>
      </c>
    </row>
    <row r="96" spans="1:11">
      <c r="A96" s="570" t="s">
        <v>113</v>
      </c>
      <c r="B96" s="570" t="s">
        <v>406</v>
      </c>
      <c r="C96" s="86" t="s">
        <v>948</v>
      </c>
      <c r="D96" s="616">
        <v>2035</v>
      </c>
      <c r="E96" s="571"/>
      <c r="F96" s="571"/>
      <c r="G96" s="643" cm="1">
        <f t="array" ref="G96:G100">TRANSPOSE(_xlfn._xlws.FILTER(Production!B192:U192,Production!B192:U192&lt;&gt;0))</f>
        <v>3213</v>
      </c>
      <c r="H96" s="571"/>
      <c r="I96" s="571"/>
      <c r="J96" s="616"/>
      <c r="K96" s="22" t="str">
        <f t="shared" si="2"/>
        <v/>
      </c>
    </row>
    <row r="97" spans="1:11">
      <c r="A97" s="22" t="s">
        <v>115</v>
      </c>
      <c r="B97" s="22" t="s">
        <v>406</v>
      </c>
      <c r="C97" s="86" t="s">
        <v>948</v>
      </c>
      <c r="D97" s="86">
        <v>2035</v>
      </c>
      <c r="E97" s="37"/>
      <c r="F97" s="37"/>
      <c r="G97" s="215">
        <v>354</v>
      </c>
      <c r="H97" s="37"/>
      <c r="I97" s="37"/>
      <c r="K97" s="22" t="str">
        <f t="shared" si="2"/>
        <v/>
      </c>
    </row>
    <row r="98" spans="1:11">
      <c r="A98" s="570" t="s">
        <v>99</v>
      </c>
      <c r="B98" s="570" t="s">
        <v>406</v>
      </c>
      <c r="C98" s="86" t="s">
        <v>948</v>
      </c>
      <c r="D98" s="616">
        <v>2035</v>
      </c>
      <c r="E98" s="571"/>
      <c r="F98" s="571"/>
      <c r="G98" s="643">
        <v>831</v>
      </c>
      <c r="H98" s="571"/>
      <c r="I98" s="571"/>
      <c r="J98" s="616"/>
      <c r="K98" s="22" t="str">
        <f t="shared" si="2"/>
        <v/>
      </c>
    </row>
    <row r="99" spans="1:11">
      <c r="A99" s="22" t="s">
        <v>101</v>
      </c>
      <c r="B99" s="22" t="s">
        <v>406</v>
      </c>
      <c r="C99" s="86" t="s">
        <v>948</v>
      </c>
      <c r="D99" s="86">
        <v>2035</v>
      </c>
      <c r="E99" s="37"/>
      <c r="F99" s="37"/>
      <c r="G99" s="215">
        <v>411</v>
      </c>
      <c r="H99" s="37"/>
      <c r="I99" s="37"/>
      <c r="K99" s="22" t="str">
        <f t="shared" si="2"/>
        <v/>
      </c>
    </row>
    <row r="100" spans="1:11">
      <c r="A100" s="646" t="s">
        <v>117</v>
      </c>
      <c r="B100" s="646" t="s">
        <v>406</v>
      </c>
      <c r="C100" s="134" t="s">
        <v>948</v>
      </c>
      <c r="D100" s="647">
        <v>2035</v>
      </c>
      <c r="E100" s="648"/>
      <c r="F100" s="648"/>
      <c r="G100" s="649">
        <v>928</v>
      </c>
      <c r="H100" s="648"/>
      <c r="I100" s="648"/>
      <c r="J100" s="647"/>
      <c r="K100" s="22" t="str">
        <f t="shared" si="2"/>
        <v/>
      </c>
    </row>
    <row r="101" spans="1:11">
      <c r="A101" s="136" t="s">
        <v>123</v>
      </c>
      <c r="B101" s="136" t="s">
        <v>411</v>
      </c>
      <c r="C101" s="134" t="s">
        <v>948</v>
      </c>
      <c r="D101" s="190">
        <v>2035</v>
      </c>
      <c r="E101" s="650"/>
      <c r="F101" s="650"/>
      <c r="G101" s="313">
        <f>Production!U193</f>
        <v>464</v>
      </c>
      <c r="H101" s="650"/>
      <c r="I101" s="650"/>
      <c r="J101" s="190" t="s">
        <v>910</v>
      </c>
      <c r="K101" s="22" t="str">
        <f t="shared" si="2"/>
        <v/>
      </c>
    </row>
    <row r="102" spans="1:11">
      <c r="A102" s="651" t="s">
        <v>113</v>
      </c>
      <c r="B102" s="651" t="s">
        <v>378</v>
      </c>
      <c r="C102" s="134" t="s">
        <v>948</v>
      </c>
      <c r="D102" s="652">
        <v>2035</v>
      </c>
      <c r="E102" s="653"/>
      <c r="F102" s="653"/>
      <c r="G102" s="659">
        <f>Production!F196</f>
        <v>1873</v>
      </c>
      <c r="H102" s="653"/>
      <c r="I102" s="653"/>
      <c r="J102" s="652"/>
      <c r="K102" s="22" t="str">
        <f t="shared" si="2"/>
        <v/>
      </c>
    </row>
    <row r="103" spans="1:11">
      <c r="A103" s="136" t="s">
        <v>113</v>
      </c>
      <c r="B103" s="136" t="s">
        <v>379</v>
      </c>
      <c r="C103" s="134" t="s">
        <v>948</v>
      </c>
      <c r="D103" s="190">
        <v>2035</v>
      </c>
      <c r="E103" s="650"/>
      <c r="F103" s="650"/>
      <c r="G103" s="313">
        <f>Production!F197</f>
        <v>1464</v>
      </c>
      <c r="H103" s="650"/>
      <c r="I103" s="650"/>
      <c r="J103" s="190"/>
      <c r="K103" s="22" t="str">
        <f t="shared" si="2"/>
        <v/>
      </c>
    </row>
    <row r="104" spans="1:11">
      <c r="A104" s="651" t="s">
        <v>113</v>
      </c>
      <c r="B104" s="651" t="s">
        <v>380</v>
      </c>
      <c r="C104" s="134" t="s">
        <v>948</v>
      </c>
      <c r="D104" s="652">
        <v>2035</v>
      </c>
      <c r="E104" s="653"/>
      <c r="F104" s="653"/>
      <c r="G104" s="313">
        <f>Production!F198</f>
        <v>3213</v>
      </c>
      <c r="H104" s="653"/>
      <c r="I104" s="653"/>
      <c r="J104" s="652"/>
      <c r="K104" s="22" t="str">
        <f t="shared" si="2"/>
        <v/>
      </c>
    </row>
    <row r="105" spans="1:11">
      <c r="A105" s="136" t="s">
        <v>113</v>
      </c>
      <c r="B105" s="136" t="s">
        <v>381</v>
      </c>
      <c r="C105" s="134" t="s">
        <v>948</v>
      </c>
      <c r="D105" s="190">
        <v>2035</v>
      </c>
      <c r="E105" s="650"/>
      <c r="F105" s="650"/>
      <c r="G105" s="313">
        <f>Production!F199</f>
        <v>2597</v>
      </c>
      <c r="H105" s="650"/>
      <c r="I105" s="650"/>
      <c r="J105" s="190"/>
      <c r="K105" s="22" t="str">
        <f t="shared" si="2"/>
        <v/>
      </c>
    </row>
    <row r="106" spans="1:11">
      <c r="A106" s="651" t="s">
        <v>113</v>
      </c>
      <c r="B106" s="651" t="s">
        <v>382</v>
      </c>
      <c r="C106" s="134" t="s">
        <v>948</v>
      </c>
      <c r="D106" s="652">
        <v>2035</v>
      </c>
      <c r="E106" s="653"/>
      <c r="F106" s="653"/>
      <c r="G106" s="313">
        <f>Production!F200</f>
        <v>1663</v>
      </c>
      <c r="H106" s="653"/>
      <c r="I106" s="653"/>
      <c r="J106" s="652"/>
      <c r="K106" s="22" t="str">
        <f t="shared" si="2"/>
        <v/>
      </c>
    </row>
    <row r="107" spans="1:11">
      <c r="A107" s="22" t="s">
        <v>107</v>
      </c>
      <c r="B107" s="22" t="s">
        <v>248</v>
      </c>
      <c r="C107" s="86" t="s">
        <v>948</v>
      </c>
      <c r="D107" s="86">
        <v>2035</v>
      </c>
      <c r="E107" s="37"/>
      <c r="F107" s="37"/>
      <c r="G107" s="215" cm="1">
        <f t="array" ref="G107:G110">TRANSPOSE(_xlfn._xlws.FILTER(Production!B201:U201,Production!B201:U201&lt;&gt;0))</f>
        <v>745</v>
      </c>
      <c r="H107" s="37"/>
      <c r="I107" s="37"/>
      <c r="K107" s="22" t="str">
        <f t="shared" si="2"/>
        <v/>
      </c>
    </row>
    <row r="108" spans="1:11">
      <c r="A108" s="570" t="s">
        <v>110</v>
      </c>
      <c r="B108" s="570" t="s">
        <v>248</v>
      </c>
      <c r="C108" s="86" t="s">
        <v>948</v>
      </c>
      <c r="D108" s="616">
        <v>2035</v>
      </c>
      <c r="E108" s="571"/>
      <c r="F108" s="571"/>
      <c r="G108" s="643">
        <v>389</v>
      </c>
      <c r="H108" s="571"/>
      <c r="I108" s="571"/>
      <c r="J108" s="616"/>
      <c r="K108" s="22" t="str">
        <f t="shared" si="2"/>
        <v/>
      </c>
    </row>
    <row r="109" spans="1:11">
      <c r="A109" s="22" t="s">
        <v>99</v>
      </c>
      <c r="B109" s="22" t="s">
        <v>248</v>
      </c>
      <c r="C109" s="86" t="s">
        <v>948</v>
      </c>
      <c r="D109" s="86">
        <v>2035</v>
      </c>
      <c r="E109" s="37"/>
      <c r="F109" s="37"/>
      <c r="G109" s="215">
        <v>531</v>
      </c>
      <c r="H109" s="37"/>
      <c r="I109" s="37"/>
      <c r="K109" s="22" t="str">
        <f t="shared" si="2"/>
        <v/>
      </c>
    </row>
    <row r="110" spans="1:11">
      <c r="A110" s="646" t="s">
        <v>101</v>
      </c>
      <c r="B110" s="646" t="s">
        <v>248</v>
      </c>
      <c r="C110" s="134" t="s">
        <v>948</v>
      </c>
      <c r="D110" s="647">
        <v>2035</v>
      </c>
      <c r="E110" s="648"/>
      <c r="F110" s="648"/>
      <c r="G110" s="649">
        <v>152</v>
      </c>
      <c r="H110" s="648"/>
      <c r="I110" s="648"/>
      <c r="J110" s="647"/>
      <c r="K110" s="22" t="str">
        <f t="shared" si="2"/>
        <v/>
      </c>
    </row>
    <row r="111" spans="1:11">
      <c r="A111" s="22" t="s">
        <v>115</v>
      </c>
      <c r="B111" s="22" t="s">
        <v>383</v>
      </c>
      <c r="C111" s="86" t="s">
        <v>948</v>
      </c>
      <c r="D111" s="86">
        <v>2035</v>
      </c>
      <c r="E111" s="37"/>
      <c r="F111" s="37"/>
      <c r="G111" s="215" cm="1">
        <f t="array" ref="G111:G112">TRANSPOSE(_xlfn._xlws.FILTER(Production!B202:U202,Production!B202:U202&lt;&gt;0))</f>
        <v>140</v>
      </c>
      <c r="H111" s="37"/>
      <c r="I111" s="37"/>
      <c r="K111" s="22" t="str">
        <f t="shared" si="2"/>
        <v/>
      </c>
    </row>
    <row r="112" spans="1:11">
      <c r="A112" s="646" t="s">
        <v>99</v>
      </c>
      <c r="B112" s="646" t="s">
        <v>383</v>
      </c>
      <c r="C112" s="134" t="s">
        <v>948</v>
      </c>
      <c r="D112" s="647">
        <v>2035</v>
      </c>
      <c r="E112" s="648"/>
      <c r="F112" s="648"/>
      <c r="G112" s="649">
        <v>65</v>
      </c>
      <c r="H112" s="648"/>
      <c r="I112" s="648"/>
      <c r="J112" s="647"/>
      <c r="K112" s="22" t="str">
        <f t="shared" si="2"/>
        <v/>
      </c>
    </row>
    <row r="113" spans="1:11">
      <c r="A113" s="136" t="s">
        <v>110</v>
      </c>
      <c r="B113" s="136" t="s">
        <v>384</v>
      </c>
      <c r="C113" s="134" t="s">
        <v>948</v>
      </c>
      <c r="D113" s="190">
        <v>2035</v>
      </c>
      <c r="E113" s="650"/>
      <c r="F113" s="650"/>
      <c r="G113" s="313">
        <f>Production!D203</f>
        <v>1234</v>
      </c>
      <c r="H113" s="650"/>
      <c r="I113" s="650"/>
      <c r="J113" s="190"/>
      <c r="K113" s="22" t="str">
        <f t="shared" si="2"/>
        <v/>
      </c>
    </row>
    <row r="114" spans="1:11">
      <c r="A114" s="570" t="s">
        <v>107</v>
      </c>
      <c r="B114" s="570" t="s">
        <v>385</v>
      </c>
      <c r="C114" s="86" t="s">
        <v>948</v>
      </c>
      <c r="D114" s="616">
        <v>2035</v>
      </c>
      <c r="E114" s="571"/>
      <c r="F114" s="571"/>
      <c r="G114" s="643" cm="1">
        <f t="array" ref="G114:G117">TRANSPOSE(_xlfn._xlws.FILTER(Production!B204:U204,Production!B204:U204&lt;&gt;0))</f>
        <v>149</v>
      </c>
      <c r="H114" s="571"/>
      <c r="I114" s="571"/>
      <c r="J114" s="616"/>
      <c r="K114" s="22" t="str">
        <f t="shared" si="2"/>
        <v/>
      </c>
    </row>
    <row r="115" spans="1:11">
      <c r="A115" s="22" t="s">
        <v>110</v>
      </c>
      <c r="B115" s="22" t="s">
        <v>385</v>
      </c>
      <c r="C115" s="86" t="s">
        <v>948</v>
      </c>
      <c r="D115" s="86">
        <v>2035</v>
      </c>
      <c r="E115" s="37"/>
      <c r="F115" s="37"/>
      <c r="G115" s="215">
        <v>2458</v>
      </c>
      <c r="H115" s="37"/>
      <c r="I115" s="37"/>
      <c r="K115" s="22" t="str">
        <f t="shared" si="2"/>
        <v/>
      </c>
    </row>
    <row r="116" spans="1:11">
      <c r="A116" s="570" t="s">
        <v>115</v>
      </c>
      <c r="B116" s="570" t="s">
        <v>385</v>
      </c>
      <c r="C116" s="86" t="s">
        <v>948</v>
      </c>
      <c r="D116" s="616">
        <v>2035</v>
      </c>
      <c r="E116" s="571"/>
      <c r="F116" s="571"/>
      <c r="G116" s="643">
        <v>828</v>
      </c>
      <c r="H116" s="571"/>
      <c r="I116" s="571"/>
      <c r="J116" s="616"/>
      <c r="K116" s="22" t="str">
        <f t="shared" si="2"/>
        <v/>
      </c>
    </row>
    <row r="117" spans="1:11">
      <c r="A117" s="176" t="s">
        <v>121</v>
      </c>
      <c r="B117" s="176" t="s">
        <v>385</v>
      </c>
      <c r="C117" s="134" t="s">
        <v>948</v>
      </c>
      <c r="D117" s="134">
        <v>2035</v>
      </c>
      <c r="E117" s="654"/>
      <c r="F117" s="654"/>
      <c r="G117" s="318">
        <v>110</v>
      </c>
      <c r="H117" s="654"/>
      <c r="I117" s="654"/>
      <c r="J117" s="134"/>
      <c r="K117" s="22" t="str">
        <f t="shared" si="2"/>
        <v/>
      </c>
    </row>
    <row r="118" spans="1:11">
      <c r="A118" s="570" t="s">
        <v>107</v>
      </c>
      <c r="B118" s="570" t="s">
        <v>389</v>
      </c>
      <c r="C118" s="86" t="s">
        <v>948</v>
      </c>
      <c r="D118" s="616">
        <v>2035</v>
      </c>
      <c r="E118" s="571"/>
      <c r="F118" s="571"/>
      <c r="G118" s="643" cm="1">
        <f t="array" ref="G118:G124">TRANSPOSE(_xlfn._xlws.FILTER(Production!B205:U205,Production!B205:U205&lt;&gt;0))</f>
        <v>23</v>
      </c>
      <c r="H118" s="571"/>
      <c r="I118" s="571"/>
      <c r="J118" s="616"/>
      <c r="K118" s="22" t="str">
        <f t="shared" si="2"/>
        <v/>
      </c>
    </row>
    <row r="119" spans="1:11">
      <c r="A119" s="22" t="s">
        <v>110</v>
      </c>
      <c r="B119" s="22" t="s">
        <v>389</v>
      </c>
      <c r="C119" s="86" t="s">
        <v>948</v>
      </c>
      <c r="D119" s="86">
        <v>2035</v>
      </c>
      <c r="E119" s="37"/>
      <c r="F119" s="37"/>
      <c r="G119" s="215">
        <v>1209</v>
      </c>
      <c r="H119" s="37"/>
      <c r="I119" s="37"/>
      <c r="K119" s="22" t="str">
        <f t="shared" si="2"/>
        <v/>
      </c>
    </row>
    <row r="120" spans="1:11">
      <c r="A120" s="570" t="s">
        <v>114</v>
      </c>
      <c r="B120" s="570" t="s">
        <v>389</v>
      </c>
      <c r="C120" s="86" t="s">
        <v>948</v>
      </c>
      <c r="D120" s="616">
        <v>2035</v>
      </c>
      <c r="E120" s="571"/>
      <c r="F120" s="571"/>
      <c r="G120" s="643">
        <v>165</v>
      </c>
      <c r="H120" s="571"/>
      <c r="I120" s="571"/>
      <c r="J120" s="616"/>
      <c r="K120" s="22" t="str">
        <f t="shared" si="2"/>
        <v/>
      </c>
    </row>
    <row r="121" spans="1:11">
      <c r="A121" s="22" t="s">
        <v>103</v>
      </c>
      <c r="B121" s="22" t="s">
        <v>389</v>
      </c>
      <c r="C121" s="86" t="s">
        <v>948</v>
      </c>
      <c r="D121" s="86">
        <v>2035</v>
      </c>
      <c r="E121" s="37"/>
      <c r="F121" s="37"/>
      <c r="G121" s="215">
        <v>97</v>
      </c>
      <c r="H121" s="37"/>
      <c r="I121" s="37"/>
      <c r="K121" s="22" t="str">
        <f t="shared" si="2"/>
        <v/>
      </c>
    </row>
    <row r="122" spans="1:11">
      <c r="A122" s="570" t="s">
        <v>99</v>
      </c>
      <c r="B122" s="570" t="s">
        <v>389</v>
      </c>
      <c r="C122" s="86" t="s">
        <v>948</v>
      </c>
      <c r="D122" s="616">
        <v>2035</v>
      </c>
      <c r="E122" s="571"/>
      <c r="F122" s="571"/>
      <c r="G122" s="643">
        <v>128</v>
      </c>
      <c r="H122" s="571"/>
      <c r="I122" s="571"/>
      <c r="J122" s="616"/>
      <c r="K122" s="22" t="str">
        <f t="shared" si="2"/>
        <v/>
      </c>
    </row>
    <row r="123" spans="1:11">
      <c r="A123" s="22" t="s">
        <v>101</v>
      </c>
      <c r="B123" s="22" t="s">
        <v>389</v>
      </c>
      <c r="C123" s="86" t="s">
        <v>948</v>
      </c>
      <c r="D123" s="86">
        <v>2035</v>
      </c>
      <c r="E123" s="37"/>
      <c r="F123" s="37"/>
      <c r="G123" s="215">
        <v>420</v>
      </c>
      <c r="H123" s="37"/>
      <c r="I123" s="37"/>
      <c r="K123" s="22" t="str">
        <f t="shared" si="2"/>
        <v/>
      </c>
    </row>
    <row r="124" spans="1:11">
      <c r="A124" s="646" t="s">
        <v>117</v>
      </c>
      <c r="B124" s="646" t="s">
        <v>389</v>
      </c>
      <c r="C124" s="134" t="s">
        <v>948</v>
      </c>
      <c r="D124" s="647">
        <v>2035</v>
      </c>
      <c r="E124" s="648"/>
      <c r="F124" s="648"/>
      <c r="G124" s="649">
        <v>38</v>
      </c>
      <c r="H124" s="648"/>
      <c r="I124" s="648"/>
      <c r="J124" s="647"/>
      <c r="K124" s="22" t="str">
        <f t="shared" si="2"/>
        <v/>
      </c>
    </row>
    <row r="125" spans="1:11">
      <c r="A125" s="22" t="s">
        <v>107</v>
      </c>
      <c r="B125" s="22" t="s">
        <v>386</v>
      </c>
      <c r="C125" s="86" t="s">
        <v>948</v>
      </c>
      <c r="D125" s="86">
        <v>2035</v>
      </c>
      <c r="E125" s="37"/>
      <c r="F125" s="37"/>
      <c r="G125" s="215" cm="1">
        <f t="array" ref="G125:G127">TRANSPOSE(_xlfn._xlws.FILTER(Production!B206:U206,Production!B206:U206&lt;&gt;0))</f>
        <v>54</v>
      </c>
      <c r="H125" s="37"/>
      <c r="I125" s="37"/>
      <c r="K125" s="22" t="str">
        <f t="shared" si="2"/>
        <v/>
      </c>
    </row>
    <row r="126" spans="1:11">
      <c r="A126" s="570" t="s">
        <v>99</v>
      </c>
      <c r="B126" s="570" t="s">
        <v>386</v>
      </c>
      <c r="C126" s="86" t="s">
        <v>948</v>
      </c>
      <c r="D126" s="616">
        <v>2035</v>
      </c>
      <c r="E126" s="571"/>
      <c r="F126" s="571"/>
      <c r="G126" s="643">
        <v>38</v>
      </c>
      <c r="H126" s="571"/>
      <c r="I126" s="571"/>
      <c r="J126" s="616"/>
      <c r="K126" s="22" t="str">
        <f t="shared" si="2"/>
        <v/>
      </c>
    </row>
    <row r="127" spans="1:11">
      <c r="A127" s="176" t="s">
        <v>101</v>
      </c>
      <c r="B127" s="176" t="s">
        <v>386</v>
      </c>
      <c r="C127" s="134" t="s">
        <v>948</v>
      </c>
      <c r="D127" s="134">
        <v>2035</v>
      </c>
      <c r="E127" s="654"/>
      <c r="F127" s="654"/>
      <c r="G127" s="318">
        <v>47</v>
      </c>
      <c r="H127" s="654"/>
      <c r="I127" s="654"/>
      <c r="J127" s="134"/>
      <c r="K127" s="22" t="str">
        <f t="shared" si="2"/>
        <v/>
      </c>
    </row>
    <row r="128" spans="1:11">
      <c r="A128" s="570" t="s">
        <v>107</v>
      </c>
      <c r="B128" s="570" t="s">
        <v>387</v>
      </c>
      <c r="C128" s="86" t="s">
        <v>948</v>
      </c>
      <c r="D128" s="616">
        <v>2035</v>
      </c>
      <c r="E128" s="571"/>
      <c r="F128" s="571"/>
      <c r="G128" s="643" cm="1">
        <f t="array" ref="G128:G132">TRANSPOSE(_xlfn._xlws.FILTER(Production!B207:U207,Production!B207:U207&lt;&gt;0))</f>
        <v>274</v>
      </c>
      <c r="H128" s="571"/>
      <c r="I128" s="571"/>
      <c r="J128" s="616"/>
      <c r="K128" s="22" t="str">
        <f t="shared" si="2"/>
        <v/>
      </c>
    </row>
    <row r="129" spans="1:11">
      <c r="A129" s="22" t="s">
        <v>110</v>
      </c>
      <c r="B129" s="22" t="s">
        <v>387</v>
      </c>
      <c r="C129" s="86" t="s">
        <v>948</v>
      </c>
      <c r="D129" s="86">
        <v>2035</v>
      </c>
      <c r="E129" s="37"/>
      <c r="F129" s="37"/>
      <c r="G129" s="215">
        <v>539</v>
      </c>
      <c r="H129" s="37"/>
      <c r="I129" s="37"/>
      <c r="K129" s="22" t="str">
        <f t="shared" si="2"/>
        <v/>
      </c>
    </row>
    <row r="130" spans="1:11">
      <c r="A130" s="570" t="s">
        <v>114</v>
      </c>
      <c r="B130" s="570" t="s">
        <v>387</v>
      </c>
      <c r="C130" s="86" t="s">
        <v>948</v>
      </c>
      <c r="D130" s="616">
        <v>2035</v>
      </c>
      <c r="E130" s="571"/>
      <c r="F130" s="571"/>
      <c r="G130" s="643">
        <v>2073</v>
      </c>
      <c r="H130" s="571"/>
      <c r="I130" s="571"/>
      <c r="J130" s="616"/>
      <c r="K130" s="22" t="str">
        <f t="shared" si="2"/>
        <v/>
      </c>
    </row>
    <row r="131" spans="1:11">
      <c r="A131" s="22" t="s">
        <v>101</v>
      </c>
      <c r="B131" s="22" t="s">
        <v>387</v>
      </c>
      <c r="C131" s="86" t="s">
        <v>948</v>
      </c>
      <c r="D131" s="86">
        <v>2035</v>
      </c>
      <c r="E131" s="37"/>
      <c r="F131" s="37"/>
      <c r="G131" s="215">
        <v>54</v>
      </c>
      <c r="H131" s="37"/>
      <c r="I131" s="37"/>
      <c r="K131" s="22" t="str">
        <f t="shared" ref="K131:K193" si="3">IF(G131&gt;=10,"","Remove")</f>
        <v/>
      </c>
    </row>
    <row r="132" spans="1:11">
      <c r="A132" s="646" t="s">
        <v>117</v>
      </c>
      <c r="B132" s="646" t="s">
        <v>387</v>
      </c>
      <c r="C132" s="134" t="s">
        <v>948</v>
      </c>
      <c r="D132" s="647">
        <v>2035</v>
      </c>
      <c r="E132" s="648"/>
      <c r="F132" s="648"/>
      <c r="G132" s="649">
        <v>640</v>
      </c>
      <c r="H132" s="648"/>
      <c r="I132" s="648"/>
      <c r="J132" s="647" t="s">
        <v>911</v>
      </c>
      <c r="K132" s="22" t="str">
        <f t="shared" si="3"/>
        <v/>
      </c>
    </row>
    <row r="133" spans="1:11">
      <c r="A133" s="22" t="s">
        <v>107</v>
      </c>
      <c r="B133" s="22" t="s">
        <v>391</v>
      </c>
      <c r="C133" s="86" t="s">
        <v>948</v>
      </c>
      <c r="D133" s="86">
        <v>2035</v>
      </c>
      <c r="E133" s="37"/>
      <c r="F133" s="37"/>
      <c r="G133" s="215" cm="1">
        <f t="array" ref="G133:G138">TRANSPOSE(_xlfn._xlws.FILTER(Production!B208:U208,Production!B208:U208&lt;&gt;0))</f>
        <v>869</v>
      </c>
      <c r="H133" s="37"/>
      <c r="I133" s="37"/>
      <c r="K133" s="22" t="str">
        <f t="shared" si="3"/>
        <v/>
      </c>
    </row>
    <row r="134" spans="1:11">
      <c r="A134" s="570" t="s">
        <v>109</v>
      </c>
      <c r="B134" s="570" t="s">
        <v>391</v>
      </c>
      <c r="C134" s="86" t="s">
        <v>948</v>
      </c>
      <c r="D134" s="616">
        <v>2035</v>
      </c>
      <c r="E134" s="571"/>
      <c r="F134" s="571"/>
      <c r="G134" s="643">
        <v>792</v>
      </c>
      <c r="H134" s="571"/>
      <c r="I134" s="571"/>
      <c r="J134" s="616"/>
      <c r="K134" s="22" t="str">
        <f t="shared" si="3"/>
        <v/>
      </c>
    </row>
    <row r="135" spans="1:11">
      <c r="A135" s="22" t="s">
        <v>110</v>
      </c>
      <c r="B135" s="22" t="s">
        <v>391</v>
      </c>
      <c r="C135" s="86" t="s">
        <v>948</v>
      </c>
      <c r="D135" s="86">
        <v>2035</v>
      </c>
      <c r="E135" s="37"/>
      <c r="F135" s="37"/>
      <c r="G135" s="215">
        <v>13117</v>
      </c>
      <c r="H135" s="37"/>
      <c r="I135" s="37"/>
      <c r="K135" s="22" t="str">
        <f t="shared" si="3"/>
        <v/>
      </c>
    </row>
    <row r="136" spans="1:11">
      <c r="A136" s="570" t="s">
        <v>112</v>
      </c>
      <c r="B136" s="570" t="s">
        <v>391</v>
      </c>
      <c r="C136" s="86" t="s">
        <v>948</v>
      </c>
      <c r="D136" s="616">
        <v>2035</v>
      </c>
      <c r="E136" s="571"/>
      <c r="F136" s="571"/>
      <c r="G136" s="643">
        <v>20518</v>
      </c>
      <c r="H136" s="571"/>
      <c r="I136" s="571"/>
      <c r="J136" s="616"/>
      <c r="K136" s="22" t="str">
        <f t="shared" si="3"/>
        <v/>
      </c>
    </row>
    <row r="137" spans="1:11">
      <c r="A137" s="22" t="s">
        <v>117</v>
      </c>
      <c r="B137" s="22" t="s">
        <v>391</v>
      </c>
      <c r="C137" s="86" t="s">
        <v>948</v>
      </c>
      <c r="D137" s="86">
        <v>2035</v>
      </c>
      <c r="E137" s="37"/>
      <c r="F137" s="37"/>
      <c r="G137" s="215">
        <v>234</v>
      </c>
      <c r="H137" s="37"/>
      <c r="I137" s="37"/>
      <c r="J137" s="616" t="s">
        <v>911</v>
      </c>
      <c r="K137" s="22" t="str">
        <f t="shared" si="3"/>
        <v/>
      </c>
    </row>
    <row r="138" spans="1:11">
      <c r="A138" s="646" t="s">
        <v>122</v>
      </c>
      <c r="B138" s="646" t="s">
        <v>391</v>
      </c>
      <c r="C138" s="134" t="s">
        <v>948</v>
      </c>
      <c r="D138" s="647">
        <v>2035</v>
      </c>
      <c r="E138" s="648"/>
      <c r="F138" s="648"/>
      <c r="G138" s="649">
        <v>73</v>
      </c>
      <c r="H138" s="648"/>
      <c r="I138" s="648"/>
      <c r="J138" s="134" t="s">
        <v>910</v>
      </c>
      <c r="K138" s="22" t="str">
        <f t="shared" si="3"/>
        <v/>
      </c>
    </row>
    <row r="139" spans="1:11">
      <c r="A139" s="22" t="s">
        <v>107</v>
      </c>
      <c r="B139" s="22" t="s">
        <v>392</v>
      </c>
      <c r="C139" s="86" t="s">
        <v>948</v>
      </c>
      <c r="D139" s="86">
        <v>2035</v>
      </c>
      <c r="E139" s="37"/>
      <c r="F139" s="37"/>
      <c r="G139" s="215" cm="1">
        <f t="array" ref="G139:G144">TRANSPOSE(_xlfn._xlws.FILTER(Production!B209:U209,Production!B209:U209&lt;&gt;0))</f>
        <v>12072</v>
      </c>
      <c r="H139" s="37"/>
      <c r="I139" s="37"/>
      <c r="K139" s="22" t="str">
        <f t="shared" si="3"/>
        <v/>
      </c>
    </row>
    <row r="140" spans="1:11">
      <c r="A140" s="570" t="s">
        <v>109</v>
      </c>
      <c r="B140" s="570" t="s">
        <v>392</v>
      </c>
      <c r="C140" s="86" t="s">
        <v>948</v>
      </c>
      <c r="D140" s="616">
        <v>2035</v>
      </c>
      <c r="E140" s="571"/>
      <c r="F140" s="571"/>
      <c r="G140" s="643">
        <v>5347</v>
      </c>
      <c r="H140" s="571"/>
      <c r="I140" s="571"/>
      <c r="J140" s="616"/>
      <c r="K140" s="22" t="str">
        <f t="shared" si="3"/>
        <v/>
      </c>
    </row>
    <row r="141" spans="1:11">
      <c r="A141" s="22" t="s">
        <v>110</v>
      </c>
      <c r="B141" s="22" t="s">
        <v>392</v>
      </c>
      <c r="C141" s="86" t="s">
        <v>948</v>
      </c>
      <c r="D141" s="86">
        <v>2035</v>
      </c>
      <c r="E141" s="37"/>
      <c r="F141" s="37"/>
      <c r="G141" s="215">
        <v>408</v>
      </c>
      <c r="H141" s="37"/>
      <c r="I141" s="37"/>
      <c r="K141" s="22" t="str">
        <f t="shared" si="3"/>
        <v/>
      </c>
    </row>
    <row r="142" spans="1:11">
      <c r="A142" s="570" t="s">
        <v>114</v>
      </c>
      <c r="B142" s="570" t="s">
        <v>392</v>
      </c>
      <c r="C142" s="86" t="s">
        <v>948</v>
      </c>
      <c r="D142" s="616">
        <v>2035</v>
      </c>
      <c r="E142" s="571"/>
      <c r="F142" s="571"/>
      <c r="G142" s="643">
        <v>3924</v>
      </c>
      <c r="H142" s="571"/>
      <c r="I142" s="571"/>
      <c r="J142" s="616"/>
      <c r="K142" s="22" t="str">
        <f t="shared" si="3"/>
        <v/>
      </c>
    </row>
    <row r="143" spans="1:11">
      <c r="A143" s="22" t="s">
        <v>115</v>
      </c>
      <c r="B143" s="22" t="s">
        <v>392</v>
      </c>
      <c r="C143" s="86" t="s">
        <v>948</v>
      </c>
      <c r="D143" s="86">
        <v>2035</v>
      </c>
      <c r="E143" s="37"/>
      <c r="F143" s="37"/>
      <c r="G143" s="215">
        <v>1732</v>
      </c>
      <c r="H143" s="37"/>
      <c r="I143" s="37"/>
      <c r="K143" s="22" t="str">
        <f t="shared" si="3"/>
        <v/>
      </c>
    </row>
    <row r="144" spans="1:11">
      <c r="A144" s="646" t="s">
        <v>121</v>
      </c>
      <c r="B144" s="646" t="s">
        <v>392</v>
      </c>
      <c r="C144" s="134" t="s">
        <v>948</v>
      </c>
      <c r="D144" s="647">
        <v>2035</v>
      </c>
      <c r="E144" s="648"/>
      <c r="F144" s="648"/>
      <c r="G144" s="649">
        <v>403</v>
      </c>
      <c r="H144" s="648"/>
      <c r="I144" s="648"/>
      <c r="J144" s="647"/>
      <c r="K144" s="22" t="str">
        <f t="shared" si="3"/>
        <v/>
      </c>
    </row>
    <row r="145" spans="1:11">
      <c r="A145" s="22" t="s">
        <v>107</v>
      </c>
      <c r="B145" s="22" t="s">
        <v>390</v>
      </c>
      <c r="C145" s="86" t="s">
        <v>948</v>
      </c>
      <c r="D145" s="86">
        <v>2035</v>
      </c>
      <c r="E145" s="37"/>
      <c r="F145" s="37"/>
      <c r="G145" s="215" cm="1">
        <f t="array" ref="G145:G151">TRANSPOSE(_xlfn._xlws.FILTER(Production!B210:U210,Production!B210:U210&lt;&gt;0))</f>
        <v>1467</v>
      </c>
      <c r="H145" s="37"/>
      <c r="I145" s="37"/>
      <c r="K145" s="22" t="str">
        <f t="shared" si="3"/>
        <v/>
      </c>
    </row>
    <row r="146" spans="1:11">
      <c r="A146" s="570" t="s">
        <v>109</v>
      </c>
      <c r="B146" s="570" t="s">
        <v>390</v>
      </c>
      <c r="C146" s="86" t="s">
        <v>948</v>
      </c>
      <c r="D146" s="616">
        <v>2035</v>
      </c>
      <c r="E146" s="571"/>
      <c r="F146" s="571"/>
      <c r="G146" s="643">
        <v>368</v>
      </c>
      <c r="H146" s="571"/>
      <c r="I146" s="571"/>
      <c r="J146" s="616"/>
      <c r="K146" s="22" t="str">
        <f t="shared" si="3"/>
        <v/>
      </c>
    </row>
    <row r="147" spans="1:11">
      <c r="A147" s="22" t="s">
        <v>114</v>
      </c>
      <c r="B147" s="22" t="s">
        <v>390</v>
      </c>
      <c r="C147" s="86" t="s">
        <v>948</v>
      </c>
      <c r="D147" s="86">
        <v>2035</v>
      </c>
      <c r="E147" s="37"/>
      <c r="F147" s="37"/>
      <c r="G147" s="215">
        <v>232</v>
      </c>
      <c r="H147" s="37"/>
      <c r="I147" s="37"/>
      <c r="K147" s="22" t="str">
        <f t="shared" si="3"/>
        <v/>
      </c>
    </row>
    <row r="148" spans="1:11">
      <c r="A148" s="570" t="s">
        <v>115</v>
      </c>
      <c r="B148" s="570" t="s">
        <v>390</v>
      </c>
      <c r="C148" s="86" t="s">
        <v>948</v>
      </c>
      <c r="D148" s="616">
        <v>2035</v>
      </c>
      <c r="E148" s="571"/>
      <c r="F148" s="571"/>
      <c r="G148" s="643">
        <v>244</v>
      </c>
      <c r="H148" s="571"/>
      <c r="I148" s="571"/>
      <c r="J148" s="616"/>
      <c r="K148" s="22" t="str">
        <f t="shared" si="3"/>
        <v/>
      </c>
    </row>
    <row r="149" spans="1:11">
      <c r="A149" s="22" t="s">
        <v>99</v>
      </c>
      <c r="B149" s="22" t="s">
        <v>390</v>
      </c>
      <c r="C149" s="86" t="s">
        <v>948</v>
      </c>
      <c r="D149" s="86">
        <v>2035</v>
      </c>
      <c r="E149" s="37"/>
      <c r="F149" s="37"/>
      <c r="G149" s="215">
        <v>90</v>
      </c>
      <c r="H149" s="37"/>
      <c r="I149" s="37"/>
      <c r="K149" s="22" t="str">
        <f t="shared" si="3"/>
        <v/>
      </c>
    </row>
    <row r="150" spans="1:11">
      <c r="A150" s="570" t="s">
        <v>101</v>
      </c>
      <c r="B150" s="570" t="s">
        <v>390</v>
      </c>
      <c r="C150" s="86" t="s">
        <v>948</v>
      </c>
      <c r="D150" s="616">
        <v>2035</v>
      </c>
      <c r="E150" s="571"/>
      <c r="F150" s="571"/>
      <c r="G150" s="643">
        <v>54</v>
      </c>
      <c r="H150" s="571"/>
      <c r="I150" s="571"/>
      <c r="J150" s="616"/>
      <c r="K150" s="22" t="str">
        <f t="shared" si="3"/>
        <v/>
      </c>
    </row>
    <row r="151" spans="1:11">
      <c r="A151" s="176" t="s">
        <v>117</v>
      </c>
      <c r="B151" s="176" t="s">
        <v>390</v>
      </c>
      <c r="C151" s="134" t="s">
        <v>948</v>
      </c>
      <c r="D151" s="134">
        <v>2035</v>
      </c>
      <c r="E151" s="654"/>
      <c r="F151" s="654"/>
      <c r="G151" s="318">
        <v>87</v>
      </c>
      <c r="H151" s="654"/>
      <c r="I151" s="654"/>
      <c r="J151" s="647" t="s">
        <v>909</v>
      </c>
      <c r="K151" s="22" t="str">
        <f t="shared" si="3"/>
        <v/>
      </c>
    </row>
    <row r="152" spans="1:11">
      <c r="A152" s="570" t="s">
        <v>107</v>
      </c>
      <c r="B152" s="570" t="s">
        <v>388</v>
      </c>
      <c r="C152" s="86" t="s">
        <v>948</v>
      </c>
      <c r="D152" s="616">
        <v>2035</v>
      </c>
      <c r="E152" s="571"/>
      <c r="F152" s="571"/>
      <c r="G152" s="643" cm="1">
        <f t="array" ref="G152:G156">TRANSPOSE(_xlfn._xlws.FILTER(Production!B211:U211,Production!B211:U211&lt;&gt;0))</f>
        <v>1507</v>
      </c>
      <c r="H152" s="571"/>
      <c r="I152" s="571"/>
      <c r="J152" s="616"/>
      <c r="K152" s="22" t="str">
        <f t="shared" si="3"/>
        <v/>
      </c>
    </row>
    <row r="153" spans="1:11">
      <c r="A153" s="22" t="s">
        <v>110</v>
      </c>
      <c r="B153" s="22" t="s">
        <v>388</v>
      </c>
      <c r="C153" s="86" t="s">
        <v>948</v>
      </c>
      <c r="D153" s="86">
        <v>2035</v>
      </c>
      <c r="E153" s="37"/>
      <c r="F153" s="37"/>
      <c r="G153" s="215">
        <v>1030</v>
      </c>
      <c r="H153" s="37"/>
      <c r="I153" s="37"/>
      <c r="K153" s="22" t="str">
        <f t="shared" si="3"/>
        <v/>
      </c>
    </row>
    <row r="154" spans="1:11">
      <c r="A154" s="570" t="s">
        <v>113</v>
      </c>
      <c r="B154" s="570" t="s">
        <v>388</v>
      </c>
      <c r="C154" s="86" t="s">
        <v>948</v>
      </c>
      <c r="D154" s="616">
        <v>2035</v>
      </c>
      <c r="E154" s="571"/>
      <c r="F154" s="571"/>
      <c r="G154" s="643">
        <v>9642</v>
      </c>
      <c r="H154" s="571"/>
      <c r="I154" s="571"/>
      <c r="J154" s="616"/>
      <c r="K154" s="22" t="str">
        <f t="shared" si="3"/>
        <v/>
      </c>
    </row>
    <row r="155" spans="1:11">
      <c r="A155" s="22" t="s">
        <v>115</v>
      </c>
      <c r="B155" s="22" t="s">
        <v>388</v>
      </c>
      <c r="C155" s="86" t="s">
        <v>948</v>
      </c>
      <c r="D155" s="86">
        <v>2035</v>
      </c>
      <c r="E155" s="37"/>
      <c r="F155" s="37"/>
      <c r="G155" s="215">
        <v>2368</v>
      </c>
      <c r="H155" s="37"/>
      <c r="I155" s="37"/>
      <c r="K155" s="22" t="str">
        <f t="shared" si="3"/>
        <v/>
      </c>
    </row>
    <row r="156" spans="1:11">
      <c r="A156" s="646" t="s">
        <v>122</v>
      </c>
      <c r="B156" s="646" t="s">
        <v>388</v>
      </c>
      <c r="C156" s="134" t="s">
        <v>948</v>
      </c>
      <c r="D156" s="647">
        <v>2035</v>
      </c>
      <c r="E156" s="648"/>
      <c r="F156" s="648"/>
      <c r="G156" s="649">
        <v>1004</v>
      </c>
      <c r="H156" s="648"/>
      <c r="I156" s="648"/>
      <c r="J156" s="647"/>
      <c r="K156" s="22" t="str">
        <f t="shared" si="3"/>
        <v/>
      </c>
    </row>
    <row r="157" spans="1:11">
      <c r="A157" s="22" t="s">
        <v>107</v>
      </c>
      <c r="B157" s="570" t="s">
        <v>445</v>
      </c>
      <c r="C157" s="86" t="s">
        <v>948</v>
      </c>
      <c r="D157" s="616">
        <v>2035</v>
      </c>
      <c r="E157" s="644" cm="1">
        <f t="array" ref="E157:E172">TRANSPOSE(_xlfn._xlws.FILTER('Other (non)RES'!D66:W66,'Other (non)RES'!D66:W66&lt;&gt;0))</f>
        <v>23022.172503802049</v>
      </c>
      <c r="F157" s="644"/>
      <c r="G157" s="644" cm="1">
        <f t="array" ref="G157:G172">TRANSPOSE(_xlfn._xlws.FILTER('Other (non)RES'!D65:W65,'Other (non)RES'!D65:W65&lt;&gt;0))</f>
        <v>9208.8690015208194</v>
      </c>
      <c r="H157" s="571" t="s">
        <v>672</v>
      </c>
      <c r="I157" s="644" cm="1">
        <f t="array" ref="I157:I172">TRANSPOSE(_xlfn._xlws.FILTER('Other (non)RES'!D64:W64,'Other (non)RES'!D64:W64&lt;&gt;0))</f>
        <v>13813.303502281229</v>
      </c>
      <c r="J157" s="616"/>
      <c r="K157" s="22" t="str">
        <f t="shared" si="3"/>
        <v/>
      </c>
    </row>
    <row r="158" spans="1:11">
      <c r="A158" s="22" t="s">
        <v>109</v>
      </c>
      <c r="B158" s="570" t="s">
        <v>445</v>
      </c>
      <c r="C158" s="86" t="s">
        <v>948</v>
      </c>
      <c r="D158" s="86">
        <v>2035</v>
      </c>
      <c r="E158" s="303">
        <v>6492.1236100749575</v>
      </c>
      <c r="F158" s="303"/>
      <c r="G158" s="303">
        <v>2596.8494440299833</v>
      </c>
      <c r="H158" s="571" t="s">
        <v>672</v>
      </c>
      <c r="I158" s="303">
        <v>3895.2741660449751</v>
      </c>
      <c r="K158" s="22" t="str">
        <f t="shared" si="3"/>
        <v/>
      </c>
    </row>
    <row r="159" spans="1:11">
      <c r="A159" s="22" t="s">
        <v>110</v>
      </c>
      <c r="B159" s="570" t="s">
        <v>445</v>
      </c>
      <c r="C159" s="86" t="s">
        <v>948</v>
      </c>
      <c r="D159" s="616">
        <v>2035</v>
      </c>
      <c r="E159" s="644">
        <v>8207.2270731092522</v>
      </c>
      <c r="F159" s="644"/>
      <c r="G159" s="644">
        <v>3282.8908292437013</v>
      </c>
      <c r="H159" s="571" t="s">
        <v>672</v>
      </c>
      <c r="I159" s="644">
        <v>4924.3362438655522</v>
      </c>
      <c r="J159" s="616"/>
      <c r="K159" s="22" t="str">
        <f t="shared" si="3"/>
        <v/>
      </c>
    </row>
    <row r="160" spans="1:11">
      <c r="A160" s="22" t="s">
        <v>112</v>
      </c>
      <c r="B160" s="570" t="s">
        <v>445</v>
      </c>
      <c r="C160" s="86" t="s">
        <v>948</v>
      </c>
      <c r="D160" s="86">
        <v>2035</v>
      </c>
      <c r="E160" s="303">
        <v>4650.6723997638419</v>
      </c>
      <c r="F160" s="303"/>
      <c r="G160" s="303">
        <v>1860.2689599055368</v>
      </c>
      <c r="H160" s="571" t="s">
        <v>672</v>
      </c>
      <c r="I160" s="303">
        <v>2790.4034398583053</v>
      </c>
      <c r="K160" s="22" t="str">
        <f t="shared" si="3"/>
        <v/>
      </c>
    </row>
    <row r="161" spans="1:11">
      <c r="A161" s="22" t="s">
        <v>113</v>
      </c>
      <c r="B161" s="570" t="s">
        <v>445</v>
      </c>
      <c r="C161" s="86" t="s">
        <v>948</v>
      </c>
      <c r="D161" s="616">
        <v>2035</v>
      </c>
      <c r="E161" s="644">
        <v>5868.4496235170318</v>
      </c>
      <c r="F161" s="644"/>
      <c r="G161" s="644">
        <v>2347.3798494068128</v>
      </c>
      <c r="H161" s="571" t="s">
        <v>672</v>
      </c>
      <c r="I161" s="644">
        <v>3521.0697741102194</v>
      </c>
      <c r="J161" s="616"/>
      <c r="K161" s="22" t="str">
        <f t="shared" si="3"/>
        <v/>
      </c>
    </row>
    <row r="162" spans="1:11">
      <c r="A162" s="22" t="s">
        <v>114</v>
      </c>
      <c r="B162" s="570" t="s">
        <v>445</v>
      </c>
      <c r="C162" s="86" t="s">
        <v>948</v>
      </c>
      <c r="D162" s="86">
        <v>2035</v>
      </c>
      <c r="E162" s="303">
        <v>1115.62372595491</v>
      </c>
      <c r="F162" s="303"/>
      <c r="G162" s="303">
        <v>446.24949038196399</v>
      </c>
      <c r="H162" s="571" t="s">
        <v>672</v>
      </c>
      <c r="I162" s="303">
        <v>669.37423557294608</v>
      </c>
      <c r="K162" s="22" t="str">
        <f t="shared" si="3"/>
        <v/>
      </c>
    </row>
    <row r="163" spans="1:11">
      <c r="A163" s="22" t="s">
        <v>115</v>
      </c>
      <c r="B163" s="570" t="s">
        <v>445</v>
      </c>
      <c r="C163" s="86" t="s">
        <v>948</v>
      </c>
      <c r="D163" s="616">
        <v>2035</v>
      </c>
      <c r="E163" s="644">
        <v>1653.2737143669149</v>
      </c>
      <c r="F163" s="644"/>
      <c r="G163" s="644">
        <v>661.30948574676597</v>
      </c>
      <c r="H163" s="571" t="s">
        <v>672</v>
      </c>
      <c r="I163" s="644">
        <v>991.9642286201489</v>
      </c>
      <c r="J163" s="616"/>
      <c r="K163" s="22" t="str">
        <f t="shared" si="3"/>
        <v/>
      </c>
    </row>
    <row r="164" spans="1:11">
      <c r="A164" s="22" t="s">
        <v>103</v>
      </c>
      <c r="B164" s="570" t="s">
        <v>445</v>
      </c>
      <c r="C164" s="86" t="s">
        <v>948</v>
      </c>
      <c r="D164" s="86">
        <v>2035</v>
      </c>
      <c r="E164" s="303">
        <v>534.96173846994475</v>
      </c>
      <c r="F164" s="303"/>
      <c r="G164" s="303">
        <v>213.98469538797792</v>
      </c>
      <c r="H164" s="571" t="s">
        <v>672</v>
      </c>
      <c r="I164" s="303">
        <v>320.97704308196688</v>
      </c>
      <c r="K164" s="22" t="str">
        <f t="shared" si="3"/>
        <v/>
      </c>
    </row>
    <row r="165" spans="1:11">
      <c r="A165" s="22" t="s">
        <v>104</v>
      </c>
      <c r="B165" s="570" t="s">
        <v>445</v>
      </c>
      <c r="C165" s="86" t="s">
        <v>948</v>
      </c>
      <c r="D165" s="616">
        <v>2035</v>
      </c>
      <c r="E165" s="644">
        <v>2000.0579568926578</v>
      </c>
      <c r="F165" s="644"/>
      <c r="G165" s="644">
        <v>800.02318275706318</v>
      </c>
      <c r="H165" s="571" t="s">
        <v>672</v>
      </c>
      <c r="I165" s="644">
        <v>1200.0347741355947</v>
      </c>
      <c r="J165" s="616"/>
      <c r="K165" s="22" t="str">
        <f t="shared" si="3"/>
        <v/>
      </c>
    </row>
    <row r="166" spans="1:11">
      <c r="A166" s="22" t="s">
        <v>105</v>
      </c>
      <c r="B166" s="570" t="s">
        <v>445</v>
      </c>
      <c r="C166" s="86" t="s">
        <v>948</v>
      </c>
      <c r="D166" s="86">
        <v>2035</v>
      </c>
      <c r="E166" s="303">
        <v>6865.7903520213013</v>
      </c>
      <c r="F166" s="303"/>
      <c r="G166" s="303">
        <v>2746.3161408085207</v>
      </c>
      <c r="H166" s="571" t="s">
        <v>672</v>
      </c>
      <c r="I166" s="303">
        <v>4119.4742112127806</v>
      </c>
      <c r="K166" s="22" t="str">
        <f t="shared" si="3"/>
        <v/>
      </c>
    </row>
    <row r="167" spans="1:11">
      <c r="A167" s="22" t="s">
        <v>106</v>
      </c>
      <c r="B167" s="570" t="s">
        <v>445</v>
      </c>
      <c r="C167" s="86" t="s">
        <v>948</v>
      </c>
      <c r="D167" s="616">
        <v>2035</v>
      </c>
      <c r="E167" s="644">
        <v>1876.3984595578968</v>
      </c>
      <c r="F167" s="644"/>
      <c r="G167" s="644">
        <v>750.55938382315878</v>
      </c>
      <c r="H167" s="571" t="s">
        <v>672</v>
      </c>
      <c r="I167" s="644">
        <v>1125.8390757347381</v>
      </c>
      <c r="J167" s="616"/>
      <c r="K167" s="22" t="str">
        <f t="shared" si="3"/>
        <v/>
      </c>
    </row>
    <row r="168" spans="1:11">
      <c r="A168" s="22" t="s">
        <v>101</v>
      </c>
      <c r="B168" s="570" t="s">
        <v>445</v>
      </c>
      <c r="C168" s="86" t="s">
        <v>948</v>
      </c>
      <c r="D168" s="86">
        <v>2035</v>
      </c>
      <c r="E168" s="303">
        <v>18.817749594420167</v>
      </c>
      <c r="F168" s="303"/>
      <c r="G168" s="303">
        <v>7.527099837768068</v>
      </c>
      <c r="H168" s="571" t="s">
        <v>672</v>
      </c>
      <c r="I168" s="303">
        <v>11.290649756652103</v>
      </c>
      <c r="K168" s="22" t="str">
        <f t="shared" si="3"/>
        <v>Remove</v>
      </c>
    </row>
    <row r="169" spans="1:11">
      <c r="A169" s="22" t="s">
        <v>117</v>
      </c>
      <c r="B169" s="570" t="s">
        <v>445</v>
      </c>
      <c r="C169" s="86" t="s">
        <v>948</v>
      </c>
      <c r="D169" s="616">
        <v>2035</v>
      </c>
      <c r="E169" s="644">
        <v>7056.656097907563</v>
      </c>
      <c r="F169" s="644"/>
      <c r="G169" s="644">
        <v>2822.6624391630253</v>
      </c>
      <c r="H169" s="580" t="s">
        <v>672</v>
      </c>
      <c r="I169" s="644">
        <v>4233.9936587445382</v>
      </c>
      <c r="J169" s="616"/>
      <c r="K169" s="22" t="str">
        <f t="shared" si="3"/>
        <v/>
      </c>
    </row>
    <row r="170" spans="1:11">
      <c r="A170" s="22" t="s">
        <v>121</v>
      </c>
      <c r="B170" s="570" t="s">
        <v>445</v>
      </c>
      <c r="C170" s="86" t="s">
        <v>948</v>
      </c>
      <c r="D170" s="86">
        <v>2035</v>
      </c>
      <c r="E170" s="303">
        <v>564.53248783260506</v>
      </c>
      <c r="F170" s="303"/>
      <c r="G170" s="303">
        <v>225.81299513304202</v>
      </c>
      <c r="H170" s="580" t="s">
        <v>672</v>
      </c>
      <c r="I170" s="303">
        <v>338.71949269956309</v>
      </c>
      <c r="K170" s="22" t="str">
        <f t="shared" si="3"/>
        <v/>
      </c>
    </row>
    <row r="171" spans="1:11">
      <c r="A171" s="22" t="s">
        <v>122</v>
      </c>
      <c r="B171" s="570" t="s">
        <v>445</v>
      </c>
      <c r="C171" s="86" t="s">
        <v>948</v>
      </c>
      <c r="D171" s="616">
        <v>2035</v>
      </c>
      <c r="E171" s="644">
        <v>427.43174078754384</v>
      </c>
      <c r="F171" s="644"/>
      <c r="G171" s="644">
        <v>170.97269631501754</v>
      </c>
      <c r="H171" s="580" t="s">
        <v>672</v>
      </c>
      <c r="I171" s="644">
        <v>256.45904447252627</v>
      </c>
      <c r="J171" s="616"/>
      <c r="K171" s="22" t="str">
        <f t="shared" si="3"/>
        <v/>
      </c>
    </row>
    <row r="172" spans="1:11">
      <c r="A172" s="176" t="s">
        <v>123</v>
      </c>
      <c r="B172" s="646" t="s">
        <v>445</v>
      </c>
      <c r="C172" s="134" t="s">
        <v>948</v>
      </c>
      <c r="D172" s="134">
        <v>2035</v>
      </c>
      <c r="E172" s="634">
        <v>451.62599026608405</v>
      </c>
      <c r="F172" s="634"/>
      <c r="G172" s="634">
        <v>180.65039610643362</v>
      </c>
      <c r="H172" s="648" t="s">
        <v>672</v>
      </c>
      <c r="I172" s="634">
        <v>270.97559415965043</v>
      </c>
      <c r="J172" s="134"/>
      <c r="K172" s="22" t="str">
        <f t="shared" si="3"/>
        <v/>
      </c>
    </row>
    <row r="173" spans="1:11">
      <c r="A173" s="22" t="s">
        <v>107</v>
      </c>
      <c r="B173" s="570" t="s">
        <v>446</v>
      </c>
      <c r="C173" s="86" t="s">
        <v>948</v>
      </c>
      <c r="D173" s="616">
        <v>2035</v>
      </c>
      <c r="E173" s="644" cm="1">
        <f t="array" ref="E173:E185">TRANSPOSE(_xlfn._xlws.FILTER('Other (non)RES'!D70:W70,'Other (non)RES'!D70:W70&lt;&gt;0))</f>
        <v>12970.805970439615</v>
      </c>
      <c r="F173" s="644"/>
      <c r="G173" s="644" cm="1">
        <f t="array" ref="G173:G185">TRANSPOSE(_xlfn._xlws.FILTER('Other (non)RES'!D69:W69,'Other (non)RES'!D69:W69&lt;&gt;0))</f>
        <v>5188.3223881758458</v>
      </c>
      <c r="H173" s="571" t="s">
        <v>672</v>
      </c>
      <c r="I173" s="644" cm="1">
        <f t="array" ref="I173:I185">TRANSPOSE(_xlfn._xlws.FILTER('Other (non)RES'!D68:W68,'Other (non)RES'!D68:W68&lt;&gt;0))</f>
        <v>7782.4835822637706</v>
      </c>
      <c r="J173" s="616"/>
      <c r="K173" s="22" t="str">
        <f t="shared" si="3"/>
        <v/>
      </c>
    </row>
    <row r="174" spans="1:11">
      <c r="A174" s="22" t="s">
        <v>109</v>
      </c>
      <c r="B174" s="570" t="s">
        <v>446</v>
      </c>
      <c r="C174" s="86" t="s">
        <v>948</v>
      </c>
      <c r="D174" s="86">
        <v>2035</v>
      </c>
      <c r="E174" s="303">
        <v>6989.4498493560623</v>
      </c>
      <c r="F174" s="303"/>
      <c r="G174" s="303">
        <v>2795.7799397424251</v>
      </c>
      <c r="H174" s="571" t="s">
        <v>672</v>
      </c>
      <c r="I174" s="303">
        <v>4193.6699096136381</v>
      </c>
      <c r="K174" s="22" t="str">
        <f t="shared" si="3"/>
        <v/>
      </c>
    </row>
    <row r="175" spans="1:11">
      <c r="A175" s="22" t="s">
        <v>110</v>
      </c>
      <c r="B175" s="570" t="s">
        <v>446</v>
      </c>
      <c r="C175" s="86" t="s">
        <v>948</v>
      </c>
      <c r="D175" s="616">
        <v>2035</v>
      </c>
      <c r="E175" s="644">
        <v>46670.707244104087</v>
      </c>
      <c r="F175" s="644"/>
      <c r="G175" s="644">
        <v>18668.282897641635</v>
      </c>
      <c r="H175" s="571" t="s">
        <v>672</v>
      </c>
      <c r="I175" s="644">
        <v>28002.424346462449</v>
      </c>
      <c r="J175" s="616"/>
      <c r="K175" s="22" t="str">
        <f t="shared" si="3"/>
        <v/>
      </c>
    </row>
    <row r="176" spans="1:11">
      <c r="A176" s="22" t="s">
        <v>112</v>
      </c>
      <c r="B176" s="570" t="s">
        <v>446</v>
      </c>
      <c r="C176" s="86" t="s">
        <v>948</v>
      </c>
      <c r="D176" s="86">
        <v>2035</v>
      </c>
      <c r="E176" s="303">
        <v>10699.234769398894</v>
      </c>
      <c r="F176" s="303"/>
      <c r="G176" s="303">
        <v>4279.693907759558</v>
      </c>
      <c r="H176" s="571" t="s">
        <v>672</v>
      </c>
      <c r="I176" s="303">
        <v>6419.5408616393379</v>
      </c>
      <c r="K176" s="22" t="str">
        <f t="shared" si="3"/>
        <v/>
      </c>
    </row>
    <row r="177" spans="1:12">
      <c r="A177" s="22" t="s">
        <v>113</v>
      </c>
      <c r="B177" s="570" t="s">
        <v>446</v>
      </c>
      <c r="C177" s="86" t="s">
        <v>948</v>
      </c>
      <c r="D177" s="616">
        <v>2035</v>
      </c>
      <c r="E177" s="644">
        <v>12575.633228956791</v>
      </c>
      <c r="F177" s="644"/>
      <c r="G177" s="644">
        <v>5030.2532915827169</v>
      </c>
      <c r="H177" s="571" t="s">
        <v>672</v>
      </c>
      <c r="I177" s="644">
        <v>7545.3799373740767</v>
      </c>
      <c r="J177" s="616"/>
      <c r="K177" s="22" t="str">
        <f t="shared" si="3"/>
        <v/>
      </c>
    </row>
    <row r="178" spans="1:12">
      <c r="A178" s="22" t="s">
        <v>114</v>
      </c>
      <c r="B178" s="570" t="s">
        <v>446</v>
      </c>
      <c r="C178" s="86" t="s">
        <v>948</v>
      </c>
      <c r="D178" s="86">
        <v>2035</v>
      </c>
      <c r="E178" s="303">
        <v>9849.7477877079273</v>
      </c>
      <c r="F178" s="303"/>
      <c r="G178" s="303">
        <v>3939.8991150831712</v>
      </c>
      <c r="H178" s="571" t="s">
        <v>672</v>
      </c>
      <c r="I178" s="303">
        <v>5909.8486726247575</v>
      </c>
      <c r="K178" s="22" t="str">
        <f t="shared" si="3"/>
        <v/>
      </c>
    </row>
    <row r="179" spans="1:12">
      <c r="A179" s="22" t="s">
        <v>115</v>
      </c>
      <c r="B179" s="570" t="s">
        <v>446</v>
      </c>
      <c r="C179" s="86" t="s">
        <v>948</v>
      </c>
      <c r="D179" s="616">
        <v>2035</v>
      </c>
      <c r="E179" s="644">
        <v>4285.0704076436778</v>
      </c>
      <c r="F179" s="644"/>
      <c r="G179" s="644">
        <v>1714.0281630574714</v>
      </c>
      <c r="H179" s="571" t="s">
        <v>672</v>
      </c>
      <c r="I179" s="644">
        <v>2571.0422445862073</v>
      </c>
      <c r="J179" s="616"/>
      <c r="K179" s="22" t="str">
        <f t="shared" si="3"/>
        <v/>
      </c>
    </row>
    <row r="180" spans="1:12">
      <c r="A180" s="22" t="s">
        <v>117</v>
      </c>
      <c r="B180" s="570" t="s">
        <v>446</v>
      </c>
      <c r="C180" s="86" t="s">
        <v>948</v>
      </c>
      <c r="D180" s="86">
        <v>2035</v>
      </c>
      <c r="E180" s="303">
        <v>357.53724229398318</v>
      </c>
      <c r="F180" s="303"/>
      <c r="G180" s="303">
        <v>143.01489691759329</v>
      </c>
      <c r="H180" s="571" t="s">
        <v>672</v>
      </c>
      <c r="I180" s="303">
        <v>214.52234537638995</v>
      </c>
      <c r="K180" s="22" t="str">
        <f t="shared" si="3"/>
        <v/>
      </c>
    </row>
    <row r="181" spans="1:12">
      <c r="A181" s="22" t="s">
        <v>118</v>
      </c>
      <c r="B181" s="570" t="s">
        <v>446</v>
      </c>
      <c r="C181" s="86" t="s">
        <v>948</v>
      </c>
      <c r="D181" s="616">
        <v>2035</v>
      </c>
      <c r="E181" s="644">
        <v>53.76499884120048</v>
      </c>
      <c r="F181" s="644"/>
      <c r="G181" s="644">
        <v>21.505999536480193</v>
      </c>
      <c r="H181" s="571" t="s">
        <v>672</v>
      </c>
      <c r="I181" s="644">
        <v>32.258999304720291</v>
      </c>
      <c r="J181" s="616"/>
      <c r="K181" s="22" t="str">
        <f t="shared" si="3"/>
        <v/>
      </c>
    </row>
    <row r="182" spans="1:12">
      <c r="A182" s="22" t="s">
        <v>119</v>
      </c>
      <c r="B182" s="570" t="s">
        <v>446</v>
      </c>
      <c r="C182" s="86" t="s">
        <v>948</v>
      </c>
      <c r="D182" s="86">
        <v>2035</v>
      </c>
      <c r="E182" s="303">
        <v>524.20873870170476</v>
      </c>
      <c r="F182" s="303"/>
      <c r="G182" s="303">
        <v>209.6834954806819</v>
      </c>
      <c r="H182" s="571" t="s">
        <v>672</v>
      </c>
      <c r="I182" s="303">
        <v>314.52524322102283</v>
      </c>
      <c r="K182" s="22" t="str">
        <f t="shared" si="3"/>
        <v/>
      </c>
    </row>
    <row r="183" spans="1:12">
      <c r="A183" s="22" t="s">
        <v>120</v>
      </c>
      <c r="B183" s="570" t="s">
        <v>446</v>
      </c>
      <c r="C183" s="86" t="s">
        <v>948</v>
      </c>
      <c r="D183" s="616">
        <v>2035</v>
      </c>
      <c r="E183" s="644">
        <v>134.41249710300121</v>
      </c>
      <c r="F183" s="644"/>
      <c r="G183" s="644">
        <v>53.764998841200487</v>
      </c>
      <c r="H183" s="571" t="s">
        <v>672</v>
      </c>
      <c r="I183" s="644">
        <v>80.64749826180072</v>
      </c>
      <c r="J183" s="616"/>
      <c r="K183" s="22" t="str">
        <f t="shared" si="3"/>
        <v/>
      </c>
    </row>
    <row r="184" spans="1:12">
      <c r="A184" s="22" t="s">
        <v>121</v>
      </c>
      <c r="B184" s="570" t="s">
        <v>446</v>
      </c>
      <c r="C184" s="86" t="s">
        <v>948</v>
      </c>
      <c r="D184" s="86">
        <v>2035</v>
      </c>
      <c r="E184" s="303">
        <v>287.64274380042252</v>
      </c>
      <c r="F184" s="303"/>
      <c r="G184" s="303">
        <v>115.05709752016902</v>
      </c>
      <c r="H184" s="571" t="s">
        <v>672</v>
      </c>
      <c r="I184" s="303">
        <v>172.58564628025354</v>
      </c>
      <c r="K184" s="22" t="str">
        <f t="shared" si="3"/>
        <v/>
      </c>
    </row>
    <row r="185" spans="1:12">
      <c r="A185" s="372" t="s">
        <v>123</v>
      </c>
      <c r="B185" s="617" t="s">
        <v>446</v>
      </c>
      <c r="C185" s="577" t="s">
        <v>948</v>
      </c>
      <c r="D185" s="618">
        <v>2035</v>
      </c>
      <c r="E185" s="662">
        <v>362.91374217810329</v>
      </c>
      <c r="F185" s="662"/>
      <c r="G185" s="662">
        <v>145.16549687124132</v>
      </c>
      <c r="H185" s="619" t="s">
        <v>672</v>
      </c>
      <c r="I185" s="662">
        <v>217.74824530686197</v>
      </c>
      <c r="J185" s="618"/>
      <c r="K185" s="22" t="str">
        <f t="shared" si="3"/>
        <v/>
      </c>
    </row>
    <row r="186" spans="1:12">
      <c r="A186" s="570" t="s">
        <v>107</v>
      </c>
      <c r="B186" s="570" t="s">
        <v>433</v>
      </c>
      <c r="C186" s="86" t="s">
        <v>948</v>
      </c>
      <c r="D186" s="616">
        <v>2035</v>
      </c>
      <c r="E186" s="571"/>
      <c r="F186" s="571"/>
      <c r="G186" s="643" cm="1">
        <f t="array" ref="G186:G192">TRANSPOSE(_xlfn._xlws.FILTER(Production!B131:U131,Production!B131:U131&lt;&gt;0))</f>
        <v>1500</v>
      </c>
      <c r="H186" s="571"/>
      <c r="I186" s="571"/>
      <c r="J186" s="86" t="s">
        <v>689</v>
      </c>
      <c r="K186" s="22" t="str">
        <f t="shared" si="3"/>
        <v/>
      </c>
      <c r="L186" s="37"/>
    </row>
    <row r="187" spans="1:12">
      <c r="A187" s="22" t="s">
        <v>109</v>
      </c>
      <c r="B187" s="22" t="s">
        <v>433</v>
      </c>
      <c r="C187" s="86" t="s">
        <v>948</v>
      </c>
      <c r="D187" s="86">
        <v>2035</v>
      </c>
      <c r="E187" s="37"/>
      <c r="F187" s="37"/>
      <c r="G187" s="215">
        <v>1500</v>
      </c>
      <c r="H187" s="37"/>
      <c r="I187" s="37"/>
      <c r="K187" s="22" t="str">
        <f t="shared" si="3"/>
        <v/>
      </c>
    </row>
    <row r="188" spans="1:12">
      <c r="A188" s="570" t="s">
        <v>110</v>
      </c>
      <c r="B188" s="570" t="s">
        <v>433</v>
      </c>
      <c r="C188" s="86" t="s">
        <v>948</v>
      </c>
      <c r="D188" s="616">
        <v>2035</v>
      </c>
      <c r="E188" s="571"/>
      <c r="F188" s="571"/>
      <c r="G188" s="643">
        <v>800</v>
      </c>
      <c r="H188" s="571"/>
      <c r="I188" s="571"/>
      <c r="J188" s="616"/>
      <c r="K188" s="22" t="str">
        <f t="shared" si="3"/>
        <v/>
      </c>
    </row>
    <row r="189" spans="1:12">
      <c r="A189" s="22" t="s">
        <v>105</v>
      </c>
      <c r="B189" s="22" t="s">
        <v>433</v>
      </c>
      <c r="C189" s="86" t="s">
        <v>948</v>
      </c>
      <c r="D189" s="86">
        <v>2035</v>
      </c>
      <c r="E189" s="37"/>
      <c r="F189" s="37"/>
      <c r="G189" s="215">
        <v>400</v>
      </c>
      <c r="H189" s="37"/>
      <c r="I189" s="37"/>
      <c r="K189" s="22" t="str">
        <f t="shared" si="3"/>
        <v/>
      </c>
    </row>
    <row r="190" spans="1:12">
      <c r="A190" s="22" t="s">
        <v>117</v>
      </c>
      <c r="B190" s="22" t="s">
        <v>433</v>
      </c>
      <c r="C190" s="86" t="s">
        <v>948</v>
      </c>
      <c r="D190" s="86">
        <v>2035</v>
      </c>
      <c r="E190" s="37"/>
      <c r="F190" s="37"/>
      <c r="G190" s="215">
        <v>300</v>
      </c>
      <c r="H190" s="37"/>
      <c r="I190" s="37"/>
      <c r="K190" s="22" t="str">
        <f t="shared" si="3"/>
        <v/>
      </c>
    </row>
    <row r="191" spans="1:12">
      <c r="A191" s="22" t="s">
        <v>119</v>
      </c>
      <c r="B191" s="22" t="s">
        <v>433</v>
      </c>
      <c r="C191" s="86" t="s">
        <v>948</v>
      </c>
      <c r="D191" s="86">
        <v>2035</v>
      </c>
      <c r="E191" s="37"/>
      <c r="F191" s="37"/>
      <c r="G191" s="215">
        <v>100</v>
      </c>
      <c r="H191" s="37"/>
      <c r="I191" s="37"/>
      <c r="K191" s="22" t="str">
        <f t="shared" si="3"/>
        <v/>
      </c>
    </row>
    <row r="192" spans="1:12">
      <c r="A192" s="646" t="s">
        <v>120</v>
      </c>
      <c r="B192" s="646" t="s">
        <v>433</v>
      </c>
      <c r="C192" s="134" t="s">
        <v>948</v>
      </c>
      <c r="D192" s="647">
        <v>2035</v>
      </c>
      <c r="E192" s="648"/>
      <c r="F192" s="648"/>
      <c r="G192" s="649">
        <v>400</v>
      </c>
      <c r="H192" s="648"/>
      <c r="I192" s="648"/>
      <c r="J192" s="647"/>
      <c r="K192" s="22" t="str">
        <f t="shared" si="3"/>
        <v/>
      </c>
    </row>
    <row r="193" spans="1:11">
      <c r="A193" s="646" t="s">
        <v>117</v>
      </c>
      <c r="B193" s="646" t="s">
        <v>434</v>
      </c>
      <c r="C193" s="134" t="s">
        <v>948</v>
      </c>
      <c r="D193" s="647">
        <v>2035</v>
      </c>
      <c r="E193" s="649"/>
      <c r="F193" s="649"/>
      <c r="G193" s="649">
        <f>Production!O132</f>
        <v>300</v>
      </c>
      <c r="H193" s="648"/>
      <c r="I193" s="648"/>
      <c r="J193" s="647"/>
      <c r="K193" s="22" t="str">
        <f t="shared" si="3"/>
        <v/>
      </c>
    </row>
    <row r="194" spans="1:11">
      <c r="A194" s="136" t="s">
        <v>117</v>
      </c>
      <c r="B194" s="136" t="s">
        <v>435</v>
      </c>
      <c r="C194" s="134" t="s">
        <v>948</v>
      </c>
      <c r="D194" s="190">
        <v>2035</v>
      </c>
      <c r="E194" s="313">
        <f>Production!O133</f>
        <v>100</v>
      </c>
      <c r="F194" s="313"/>
      <c r="G194" s="313"/>
      <c r="H194" s="650"/>
      <c r="I194" s="650"/>
      <c r="J194" s="190"/>
      <c r="K194" s="22" t="str">
        <f>IF(E194&gt;=10,"","Remove")</f>
        <v/>
      </c>
    </row>
    <row r="195" spans="1:11">
      <c r="A195" s="663" t="s">
        <v>117</v>
      </c>
      <c r="B195" s="663" t="s">
        <v>436</v>
      </c>
      <c r="C195" s="577" t="s">
        <v>948</v>
      </c>
      <c r="D195" s="664">
        <v>2035</v>
      </c>
      <c r="E195" s="666">
        <f>Production!O134</f>
        <v>100</v>
      </c>
      <c r="F195" s="666"/>
      <c r="G195" s="667"/>
      <c r="H195" s="665"/>
      <c r="I195" s="665"/>
      <c r="J195" s="664"/>
      <c r="K195" s="22" t="str">
        <f>IF(E195&gt;=10,"","Remove")</f>
        <v/>
      </c>
    </row>
  </sheetData>
  <autoFilter ref="A1:K195" xr:uid="{9A136C27-1EE9-4B74-B847-1938851EECBA}"/>
  <conditionalFormatting sqref="A2:K219">
    <cfRule type="expression" dxfId="28"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5181-7656-4BA1-B9F5-916BC3735AE3}">
  <sheetPr>
    <tabColor rgb="FF002060"/>
  </sheetPr>
  <dimension ref="A1:H107"/>
  <sheetViews>
    <sheetView workbookViewId="0">
      <pane xSplit="1" ySplit="1" topLeftCell="B83" activePane="bottomRight" state="frozen"/>
      <selection pane="topRight" activeCell="B1" sqref="B1"/>
      <selection pane="bottomLeft" activeCell="A2" sqref="A2"/>
      <selection pane="bottomRight" activeCell="B104" sqref="B104"/>
    </sheetView>
  </sheetViews>
  <sheetFormatPr defaultColWidth="9.109375" defaultRowHeight="14.4"/>
  <cols>
    <col min="1" max="1" width="10.109375" style="22" customWidth="1"/>
    <col min="2" max="2" width="36.44140625" style="22" bestFit="1" customWidth="1"/>
    <col min="3" max="3" width="13.109375" style="22" bestFit="1" customWidth="1"/>
    <col min="4" max="4" width="7.109375" style="22" customWidth="1"/>
    <col min="5" max="5" width="17" style="22" customWidth="1"/>
    <col min="6" max="6" width="18.33203125" style="22" customWidth="1"/>
    <col min="7" max="7" width="7.5546875" style="86" customWidth="1"/>
    <col min="8" max="16384" width="9.109375" style="22"/>
  </cols>
  <sheetData>
    <row r="1" spans="1:8">
      <c r="A1" s="567" t="s">
        <v>661</v>
      </c>
      <c r="B1" s="567" t="s">
        <v>680</v>
      </c>
      <c r="C1" s="567" t="s">
        <v>281</v>
      </c>
      <c r="D1" s="567" t="s">
        <v>177</v>
      </c>
      <c r="E1" s="567" t="s">
        <v>683</v>
      </c>
      <c r="F1" s="567" t="s">
        <v>682</v>
      </c>
      <c r="G1" s="567" t="s">
        <v>681</v>
      </c>
      <c r="H1" s="437" t="s">
        <v>985</v>
      </c>
    </row>
    <row r="2" spans="1:8">
      <c r="A2" s="570" t="s">
        <v>107</v>
      </c>
      <c r="B2" s="570" t="s">
        <v>225</v>
      </c>
      <c r="C2" s="86" t="s">
        <v>948</v>
      </c>
      <c r="D2" s="616">
        <v>2035</v>
      </c>
      <c r="E2" s="571"/>
      <c r="F2" s="644" cm="1">
        <f t="array" ref="F2:F17">TRANSPOSE(_xlfn._xlws.FILTER('H2'!D23:W23,'H2'!D23:W23&lt;&gt;0))</f>
        <v>21030</v>
      </c>
      <c r="G2" s="616"/>
      <c r="H2" s="22" t="str">
        <f>IF(E2+F2&gt;=10,"","Remove")</f>
        <v/>
      </c>
    </row>
    <row r="3" spans="1:8">
      <c r="A3" s="22" t="s">
        <v>109</v>
      </c>
      <c r="B3" s="22" t="s">
        <v>225</v>
      </c>
      <c r="C3" s="86" t="s">
        <v>948</v>
      </c>
      <c r="D3" s="86">
        <v>2035</v>
      </c>
      <c r="E3" s="37"/>
      <c r="F3" s="303">
        <v>4180</v>
      </c>
      <c r="H3" s="22" t="str">
        <f t="shared" ref="H3:H66" si="0">IF(E3+F3&gt;=10,"","Remove")</f>
        <v/>
      </c>
    </row>
    <row r="4" spans="1:8">
      <c r="A4" s="570" t="s">
        <v>110</v>
      </c>
      <c r="B4" s="570" t="s">
        <v>225</v>
      </c>
      <c r="C4" s="86" t="s">
        <v>948</v>
      </c>
      <c r="D4" s="616">
        <v>2035</v>
      </c>
      <c r="E4" s="571"/>
      <c r="F4" s="644">
        <v>19070</v>
      </c>
      <c r="G4" s="616"/>
      <c r="H4" s="22" t="str">
        <f t="shared" si="0"/>
        <v/>
      </c>
    </row>
    <row r="5" spans="1:8">
      <c r="A5" s="22" t="s">
        <v>112</v>
      </c>
      <c r="B5" s="22" t="s">
        <v>225</v>
      </c>
      <c r="C5" s="86" t="s">
        <v>948</v>
      </c>
      <c r="D5" s="86">
        <v>2035</v>
      </c>
      <c r="E5" s="37"/>
      <c r="F5" s="303">
        <v>48000</v>
      </c>
      <c r="H5" s="22" t="str">
        <f t="shared" si="0"/>
        <v/>
      </c>
    </row>
    <row r="6" spans="1:8">
      <c r="A6" s="570" t="s">
        <v>113</v>
      </c>
      <c r="B6" s="570" t="s">
        <v>225</v>
      </c>
      <c r="C6" s="86" t="s">
        <v>948</v>
      </c>
      <c r="D6" s="616">
        <v>2035</v>
      </c>
      <c r="E6" s="571"/>
      <c r="F6" s="644">
        <v>5240</v>
      </c>
      <c r="G6" s="616"/>
      <c r="H6" s="22" t="str">
        <f t="shared" si="0"/>
        <v/>
      </c>
    </row>
    <row r="7" spans="1:8">
      <c r="A7" s="22" t="s">
        <v>114</v>
      </c>
      <c r="B7" s="22" t="s">
        <v>225</v>
      </c>
      <c r="C7" s="86" t="s">
        <v>948</v>
      </c>
      <c r="D7" s="86">
        <v>2035</v>
      </c>
      <c r="E7" s="37"/>
      <c r="F7" s="303">
        <v>8230</v>
      </c>
      <c r="H7" s="22" t="str">
        <f t="shared" si="0"/>
        <v/>
      </c>
    </row>
    <row r="8" spans="1:8">
      <c r="A8" s="570" t="s">
        <v>115</v>
      </c>
      <c r="B8" s="570" t="s">
        <v>225</v>
      </c>
      <c r="C8" s="86" t="s">
        <v>948</v>
      </c>
      <c r="D8" s="616">
        <v>2035</v>
      </c>
      <c r="E8" s="571"/>
      <c r="F8" s="644">
        <v>370</v>
      </c>
      <c r="G8" s="616"/>
      <c r="H8" s="22" t="str">
        <f t="shared" si="0"/>
        <v/>
      </c>
    </row>
    <row r="9" spans="1:8">
      <c r="A9" s="22" t="s">
        <v>103</v>
      </c>
      <c r="B9" s="22" t="s">
        <v>225</v>
      </c>
      <c r="C9" s="86" t="s">
        <v>948</v>
      </c>
      <c r="D9" s="86">
        <v>2035</v>
      </c>
      <c r="E9" s="37"/>
      <c r="F9" s="303">
        <v>670.84674570476272</v>
      </c>
      <c r="H9" s="22" t="str">
        <f t="shared" si="0"/>
        <v/>
      </c>
    </row>
    <row r="10" spans="1:8">
      <c r="A10" s="570" t="s">
        <v>104</v>
      </c>
      <c r="B10" s="570" t="s">
        <v>225</v>
      </c>
      <c r="C10" s="86" t="s">
        <v>948</v>
      </c>
      <c r="D10" s="616">
        <v>2035</v>
      </c>
      <c r="E10" s="571"/>
      <c r="F10" s="644">
        <v>1124.0965699232831</v>
      </c>
      <c r="G10" s="616"/>
      <c r="H10" s="22" t="str">
        <f t="shared" si="0"/>
        <v/>
      </c>
    </row>
    <row r="11" spans="1:8">
      <c r="A11" s="22" t="s">
        <v>105</v>
      </c>
      <c r="B11" s="22" t="s">
        <v>225</v>
      </c>
      <c r="C11" s="86" t="s">
        <v>948</v>
      </c>
      <c r="D11" s="86">
        <v>2035</v>
      </c>
      <c r="E11" s="37"/>
      <c r="F11" s="303">
        <v>5907.7694186338722</v>
      </c>
      <c r="H11" s="22" t="str">
        <f t="shared" si="0"/>
        <v/>
      </c>
    </row>
    <row r="12" spans="1:8">
      <c r="A12" s="570" t="s">
        <v>106</v>
      </c>
      <c r="B12" s="570" t="s">
        <v>225</v>
      </c>
      <c r="C12" s="86" t="s">
        <v>948</v>
      </c>
      <c r="D12" s="616">
        <v>2035</v>
      </c>
      <c r="E12" s="571"/>
      <c r="F12" s="644">
        <v>1647.2872657380804</v>
      </c>
      <c r="G12" s="616"/>
      <c r="H12" s="22" t="str">
        <f t="shared" si="0"/>
        <v/>
      </c>
    </row>
    <row r="13" spans="1:8">
      <c r="A13" s="22" t="s">
        <v>101</v>
      </c>
      <c r="B13" s="22" t="s">
        <v>225</v>
      </c>
      <c r="C13" s="86" t="s">
        <v>948</v>
      </c>
      <c r="D13" s="86">
        <v>2035</v>
      </c>
      <c r="E13" s="37"/>
      <c r="F13" s="303">
        <v>7288.9916206009257</v>
      </c>
      <c r="H13" s="22" t="str">
        <f t="shared" si="0"/>
        <v/>
      </c>
    </row>
    <row r="14" spans="1:8">
      <c r="A14" s="570" t="s">
        <v>99</v>
      </c>
      <c r="B14" s="570" t="s">
        <v>225</v>
      </c>
      <c r="C14" s="86" t="s">
        <v>948</v>
      </c>
      <c r="D14" s="616">
        <v>2035</v>
      </c>
      <c r="E14" s="571"/>
      <c r="F14" s="644">
        <v>4811.0083793990752</v>
      </c>
      <c r="G14" s="616"/>
      <c r="H14" s="22" t="str">
        <f t="shared" si="0"/>
        <v/>
      </c>
    </row>
    <row r="15" spans="1:8">
      <c r="A15" s="22" t="s">
        <v>117</v>
      </c>
      <c r="B15" s="22" t="s">
        <v>225</v>
      </c>
      <c r="C15" s="86" t="s">
        <v>948</v>
      </c>
      <c r="D15" s="86">
        <v>2035</v>
      </c>
      <c r="E15" s="37"/>
      <c r="F15" s="303">
        <v>15300</v>
      </c>
      <c r="H15" s="22" t="str">
        <f t="shared" si="0"/>
        <v/>
      </c>
    </row>
    <row r="16" spans="1:8">
      <c r="A16" s="570" t="s">
        <v>121</v>
      </c>
      <c r="B16" s="570" t="s">
        <v>225</v>
      </c>
      <c r="C16" s="86" t="s">
        <v>948</v>
      </c>
      <c r="D16" s="616">
        <v>2035</v>
      </c>
      <c r="E16" s="571"/>
      <c r="F16" s="644">
        <v>2280</v>
      </c>
      <c r="G16" s="616"/>
      <c r="H16" s="22" t="str">
        <f t="shared" si="0"/>
        <v/>
      </c>
    </row>
    <row r="17" spans="1:8">
      <c r="A17" s="372" t="s">
        <v>122</v>
      </c>
      <c r="B17" s="372" t="s">
        <v>225</v>
      </c>
      <c r="C17" s="577" t="s">
        <v>948</v>
      </c>
      <c r="D17" s="577">
        <v>2035</v>
      </c>
      <c r="E17" s="225"/>
      <c r="F17" s="304">
        <v>1450</v>
      </c>
      <c r="G17" s="577"/>
      <c r="H17" s="22" t="str">
        <f t="shared" si="0"/>
        <v/>
      </c>
    </row>
    <row r="18" spans="1:8">
      <c r="A18" s="570" t="s">
        <v>107</v>
      </c>
      <c r="B18" s="570" t="s">
        <v>684</v>
      </c>
      <c r="C18" s="86" t="s">
        <v>948</v>
      </c>
      <c r="D18" s="616">
        <v>2035</v>
      </c>
      <c r="E18" s="644" cm="1">
        <f t="array" ref="E18:E34">TRANSPOSE(_xlfn._xlws.FILTER('H2'!D44:W44,'H2'!D44:W44&lt;&gt;0))</f>
        <v>28390.792188318661</v>
      </c>
      <c r="F18" s="571"/>
      <c r="G18" s="616"/>
      <c r="H18" s="22" t="str">
        <f t="shared" si="0"/>
        <v/>
      </c>
    </row>
    <row r="19" spans="1:8">
      <c r="A19" s="22" t="s">
        <v>109</v>
      </c>
      <c r="B19" s="22" t="s">
        <v>684</v>
      </c>
      <c r="C19" s="86" t="s">
        <v>948</v>
      </c>
      <c r="D19" s="86">
        <v>2035</v>
      </c>
      <c r="E19" s="303">
        <v>4725.4045737913757</v>
      </c>
      <c r="F19" s="37"/>
      <c r="H19" s="22" t="str">
        <f t="shared" si="0"/>
        <v/>
      </c>
    </row>
    <row r="20" spans="1:8">
      <c r="A20" s="570" t="s">
        <v>110</v>
      </c>
      <c r="B20" s="570" t="s">
        <v>684</v>
      </c>
      <c r="C20" s="86" t="s">
        <v>948</v>
      </c>
      <c r="D20" s="616">
        <v>2035</v>
      </c>
      <c r="E20" s="644">
        <v>3230.6801236517526</v>
      </c>
      <c r="F20" s="571"/>
      <c r="G20" s="616"/>
      <c r="H20" s="22" t="str">
        <f t="shared" si="0"/>
        <v/>
      </c>
    </row>
    <row r="21" spans="1:8">
      <c r="A21" s="22" t="s">
        <v>112</v>
      </c>
      <c r="B21" s="22" t="s">
        <v>684</v>
      </c>
      <c r="C21" s="86" t="s">
        <v>948</v>
      </c>
      <c r="D21" s="86">
        <v>2035</v>
      </c>
      <c r="E21" s="303">
        <v>1173.3418751012168</v>
      </c>
      <c r="F21" s="37"/>
      <c r="H21" s="22" t="str">
        <f t="shared" si="0"/>
        <v/>
      </c>
    </row>
    <row r="22" spans="1:8">
      <c r="A22" s="570" t="s">
        <v>113</v>
      </c>
      <c r="B22" s="570" t="s">
        <v>684</v>
      </c>
      <c r="C22" s="86" t="s">
        <v>948</v>
      </c>
      <c r="D22" s="616">
        <v>2035</v>
      </c>
      <c r="E22" s="644">
        <v>129.57775490248221</v>
      </c>
      <c r="F22" s="571"/>
      <c r="G22" s="616"/>
      <c r="H22" s="22" t="str">
        <f t="shared" si="0"/>
        <v/>
      </c>
    </row>
    <row r="23" spans="1:8">
      <c r="A23" s="22" t="s">
        <v>114</v>
      </c>
      <c r="B23" s="22" t="s">
        <v>684</v>
      </c>
      <c r="C23" s="86" t="s">
        <v>948</v>
      </c>
      <c r="D23" s="86">
        <v>2035</v>
      </c>
      <c r="E23" s="303">
        <v>1275.3716033708879</v>
      </c>
      <c r="F23" s="37"/>
      <c r="H23" s="22" t="str">
        <f t="shared" si="0"/>
        <v/>
      </c>
    </row>
    <row r="24" spans="1:8">
      <c r="A24" s="570" t="s">
        <v>115</v>
      </c>
      <c r="B24" s="570" t="s">
        <v>684</v>
      </c>
      <c r="C24" s="86" t="s">
        <v>948</v>
      </c>
      <c r="D24" s="616">
        <v>2035</v>
      </c>
      <c r="E24" s="644">
        <v>8830.8767243598359</v>
      </c>
      <c r="F24" s="571"/>
      <c r="G24" s="616"/>
      <c r="H24" s="22" t="str">
        <f t="shared" si="0"/>
        <v/>
      </c>
    </row>
    <row r="25" spans="1:8">
      <c r="A25" s="22" t="s">
        <v>103</v>
      </c>
      <c r="B25" s="22" t="s">
        <v>684</v>
      </c>
      <c r="C25" s="86" t="s">
        <v>948</v>
      </c>
      <c r="D25" s="86">
        <v>2035</v>
      </c>
      <c r="E25" s="303">
        <v>41.134284032026898</v>
      </c>
      <c r="F25" s="37"/>
      <c r="H25" s="22" t="str">
        <f t="shared" si="0"/>
        <v/>
      </c>
    </row>
    <row r="26" spans="1:8">
      <c r="A26" s="570" t="s">
        <v>104</v>
      </c>
      <c r="B26" s="570" t="s">
        <v>684</v>
      </c>
      <c r="C26" s="86" t="s">
        <v>948</v>
      </c>
      <c r="D26" s="616">
        <v>2035</v>
      </c>
      <c r="E26" s="644">
        <v>68.926186021928018</v>
      </c>
      <c r="F26" s="571"/>
      <c r="G26" s="616"/>
      <c r="H26" s="22" t="str">
        <f t="shared" si="0"/>
        <v/>
      </c>
    </row>
    <row r="27" spans="1:8">
      <c r="A27" s="22" t="s">
        <v>105</v>
      </c>
      <c r="B27" s="22" t="s">
        <v>684</v>
      </c>
      <c r="C27" s="86" t="s">
        <v>948</v>
      </c>
      <c r="D27" s="86">
        <v>2035</v>
      </c>
      <c r="E27" s="303">
        <v>362.24646958152908</v>
      </c>
      <c r="F27" s="37"/>
      <c r="H27" s="22" t="str">
        <f t="shared" si="0"/>
        <v/>
      </c>
    </row>
    <row r="28" spans="1:8">
      <c r="A28" s="570" t="s">
        <v>106</v>
      </c>
      <c r="B28" s="570" t="s">
        <v>684</v>
      </c>
      <c r="C28" s="86" t="s">
        <v>948</v>
      </c>
      <c r="D28" s="616">
        <v>2035</v>
      </c>
      <c r="E28" s="644">
        <v>101.00664973790019</v>
      </c>
      <c r="F28" s="571"/>
      <c r="G28" s="616"/>
      <c r="H28" s="22" t="str">
        <f t="shared" si="0"/>
        <v/>
      </c>
    </row>
    <row r="29" spans="1:8">
      <c r="A29" s="22" t="s">
        <v>101</v>
      </c>
      <c r="B29" s="22" t="s">
        <v>684</v>
      </c>
      <c r="C29" s="86" t="s">
        <v>948</v>
      </c>
      <c r="D29" s="86">
        <v>2035</v>
      </c>
      <c r="E29" s="303">
        <v>282.72658167646108</v>
      </c>
      <c r="F29" s="37"/>
      <c r="H29" s="22" t="str">
        <f t="shared" si="0"/>
        <v/>
      </c>
    </row>
    <row r="30" spans="1:8">
      <c r="A30" s="570" t="s">
        <v>99</v>
      </c>
      <c r="B30" s="570" t="s">
        <v>684</v>
      </c>
      <c r="C30" s="86" t="s">
        <v>948</v>
      </c>
      <c r="D30" s="616">
        <v>2035</v>
      </c>
      <c r="E30" s="644">
        <v>186.61016836402572</v>
      </c>
      <c r="F30" s="571"/>
      <c r="G30" s="616"/>
      <c r="H30" s="22" t="str">
        <f t="shared" si="0"/>
        <v/>
      </c>
    </row>
    <row r="31" spans="1:8">
      <c r="A31" s="22" t="s">
        <v>117</v>
      </c>
      <c r="B31" s="22" t="s">
        <v>684</v>
      </c>
      <c r="C31" s="86" t="s">
        <v>948</v>
      </c>
      <c r="D31" s="86">
        <v>2035</v>
      </c>
      <c r="E31" s="303">
        <v>3129.4252076910802</v>
      </c>
      <c r="F31" s="37"/>
      <c r="H31" s="22" t="str">
        <f t="shared" si="0"/>
        <v/>
      </c>
    </row>
    <row r="32" spans="1:8">
      <c r="A32" s="570" t="s">
        <v>121</v>
      </c>
      <c r="B32" s="570" t="s">
        <v>684</v>
      </c>
      <c r="C32" s="86" t="s">
        <v>948</v>
      </c>
      <c r="D32" s="616">
        <v>2035</v>
      </c>
      <c r="E32" s="644">
        <v>814.94518534364931</v>
      </c>
      <c r="F32" s="571"/>
      <c r="G32" s="616"/>
      <c r="H32" s="22" t="str">
        <f t="shared" si="0"/>
        <v/>
      </c>
    </row>
    <row r="33" spans="1:8">
      <c r="A33" s="22" t="s">
        <v>122</v>
      </c>
      <c r="B33" s="22" t="s">
        <v>684</v>
      </c>
      <c r="C33" s="86" t="s">
        <v>948</v>
      </c>
      <c r="D33" s="86">
        <v>2035</v>
      </c>
      <c r="E33" s="303">
        <v>2949.0425271769418</v>
      </c>
      <c r="F33" s="37"/>
      <c r="H33" s="22" t="str">
        <f t="shared" si="0"/>
        <v/>
      </c>
    </row>
    <row r="34" spans="1:8">
      <c r="A34" s="646" t="s">
        <v>123</v>
      </c>
      <c r="B34" s="646" t="s">
        <v>684</v>
      </c>
      <c r="C34" s="134" t="s">
        <v>948</v>
      </c>
      <c r="D34" s="647">
        <v>2035</v>
      </c>
      <c r="E34" s="658">
        <v>668.87010521155617</v>
      </c>
      <c r="F34" s="648"/>
      <c r="G34" s="647"/>
      <c r="H34" s="22" t="str">
        <f t="shared" si="0"/>
        <v/>
      </c>
    </row>
    <row r="35" spans="1:8">
      <c r="A35" s="22" t="s">
        <v>107</v>
      </c>
      <c r="B35" s="22" t="s">
        <v>685</v>
      </c>
      <c r="C35" s="86" t="s">
        <v>948</v>
      </c>
      <c r="D35" s="86">
        <v>2035</v>
      </c>
      <c r="E35" s="37"/>
      <c r="F35" s="303" cm="1">
        <f t="array" ref="F35:F51">TRANSPOSE(_xlfn._xlws.FILTER('H2'!D45:W45,'H2'!D45:W45&lt;&gt;0))</f>
        <v>15051.084470969081</v>
      </c>
      <c r="H35" s="22" t="str">
        <f t="shared" si="0"/>
        <v/>
      </c>
    </row>
    <row r="36" spans="1:8">
      <c r="A36" s="570" t="s">
        <v>109</v>
      </c>
      <c r="B36" s="570" t="s">
        <v>685</v>
      </c>
      <c r="C36" s="86" t="s">
        <v>948</v>
      </c>
      <c r="D36" s="616">
        <v>2035</v>
      </c>
      <c r="E36" s="571"/>
      <c r="F36" s="644">
        <v>2505.1242997333784</v>
      </c>
      <c r="G36" s="616"/>
      <c r="H36" s="22" t="str">
        <f t="shared" si="0"/>
        <v/>
      </c>
    </row>
    <row r="37" spans="1:8">
      <c r="A37" s="22" t="s">
        <v>110</v>
      </c>
      <c r="B37" s="22" t="s">
        <v>685</v>
      </c>
      <c r="C37" s="86" t="s">
        <v>948</v>
      </c>
      <c r="D37" s="86">
        <v>2035</v>
      </c>
      <c r="E37" s="37"/>
      <c r="F37" s="303">
        <v>1712.7116114699375</v>
      </c>
      <c r="H37" s="22" t="str">
        <f t="shared" si="0"/>
        <v/>
      </c>
    </row>
    <row r="38" spans="1:8">
      <c r="A38" s="570" t="s">
        <v>112</v>
      </c>
      <c r="B38" s="570" t="s">
        <v>685</v>
      </c>
      <c r="C38" s="86" t="s">
        <v>948</v>
      </c>
      <c r="D38" s="616">
        <v>2035</v>
      </c>
      <c r="E38" s="571"/>
      <c r="F38" s="644">
        <v>622.03504426128245</v>
      </c>
      <c r="G38" s="616"/>
      <c r="H38" s="22" t="str">
        <f t="shared" si="0"/>
        <v/>
      </c>
    </row>
    <row r="39" spans="1:8">
      <c r="A39" s="22" t="s">
        <v>113</v>
      </c>
      <c r="B39" s="22" t="s">
        <v>685</v>
      </c>
      <c r="C39" s="86" t="s">
        <v>948</v>
      </c>
      <c r="D39" s="86">
        <v>2035</v>
      </c>
      <c r="E39" s="37"/>
      <c r="F39" s="303">
        <v>68.694304887985098</v>
      </c>
      <c r="H39" s="22" t="str">
        <f t="shared" si="0"/>
        <v/>
      </c>
    </row>
    <row r="40" spans="1:8">
      <c r="A40" s="570" t="s">
        <v>114</v>
      </c>
      <c r="B40" s="570" t="s">
        <v>685</v>
      </c>
      <c r="C40" s="86" t="s">
        <v>948</v>
      </c>
      <c r="D40" s="616">
        <v>2035</v>
      </c>
      <c r="E40" s="571"/>
      <c r="F40" s="644">
        <v>676.12504811008955</v>
      </c>
      <c r="G40" s="616"/>
      <c r="H40" s="22" t="str">
        <f t="shared" si="0"/>
        <v/>
      </c>
    </row>
    <row r="41" spans="1:8">
      <c r="A41" s="22" t="s">
        <v>115</v>
      </c>
      <c r="B41" s="22" t="s">
        <v>685</v>
      </c>
      <c r="C41" s="86" t="s">
        <v>948</v>
      </c>
      <c r="D41" s="86">
        <v>2035</v>
      </c>
      <c r="E41" s="37"/>
      <c r="F41" s="303">
        <v>4681.597845154246</v>
      </c>
      <c r="H41" s="22" t="str">
        <f t="shared" si="0"/>
        <v/>
      </c>
    </row>
    <row r="42" spans="1:8">
      <c r="A42" s="570" t="s">
        <v>103</v>
      </c>
      <c r="B42" s="570" t="s">
        <v>685</v>
      </c>
      <c r="C42" s="86" t="s">
        <v>948</v>
      </c>
      <c r="D42" s="616">
        <v>2035</v>
      </c>
      <c r="E42" s="571"/>
      <c r="F42" s="644">
        <v>21.806914703620194</v>
      </c>
      <c r="G42" s="616"/>
      <c r="H42" s="22" t="str">
        <f t="shared" si="0"/>
        <v/>
      </c>
    </row>
    <row r="43" spans="1:8">
      <c r="A43" s="22" t="s">
        <v>104</v>
      </c>
      <c r="B43" s="22" t="s">
        <v>685</v>
      </c>
      <c r="C43" s="86" t="s">
        <v>948</v>
      </c>
      <c r="D43" s="86">
        <v>2035</v>
      </c>
      <c r="E43" s="37"/>
      <c r="F43" s="303">
        <v>36.540503737849519</v>
      </c>
      <c r="H43" s="22" t="str">
        <f t="shared" si="0"/>
        <v/>
      </c>
    </row>
    <row r="44" spans="1:8">
      <c r="A44" s="570" t="s">
        <v>105</v>
      </c>
      <c r="B44" s="570" t="s">
        <v>685</v>
      </c>
      <c r="C44" s="86" t="s">
        <v>948</v>
      </c>
      <c r="D44" s="616">
        <v>2035</v>
      </c>
      <c r="E44" s="571"/>
      <c r="F44" s="644">
        <v>192.04121451831926</v>
      </c>
      <c r="G44" s="616"/>
      <c r="H44" s="22" t="str">
        <f t="shared" si="0"/>
        <v/>
      </c>
    </row>
    <row r="45" spans="1:8">
      <c r="A45" s="22" t="s">
        <v>106</v>
      </c>
      <c r="B45" s="22" t="s">
        <v>685</v>
      </c>
      <c r="C45" s="86" t="s">
        <v>948</v>
      </c>
      <c r="D45" s="86">
        <v>2035</v>
      </c>
      <c r="E45" s="37"/>
      <c r="F45" s="303">
        <v>53.547629359924343</v>
      </c>
      <c r="H45" s="22" t="str">
        <f t="shared" si="0"/>
        <v/>
      </c>
    </row>
    <row r="46" spans="1:8">
      <c r="A46" s="570" t="s">
        <v>101</v>
      </c>
      <c r="B46" s="570" t="s">
        <v>685</v>
      </c>
      <c r="C46" s="86" t="s">
        <v>948</v>
      </c>
      <c r="D46" s="616">
        <v>2035</v>
      </c>
      <c r="E46" s="571"/>
      <c r="F46" s="644">
        <v>149.88456943274755</v>
      </c>
      <c r="G46" s="616"/>
      <c r="H46" s="22" t="str">
        <f t="shared" si="0"/>
        <v/>
      </c>
    </row>
    <row r="47" spans="1:8">
      <c r="A47" s="22" t="s">
        <v>99</v>
      </c>
      <c r="B47" s="22" t="s">
        <v>685</v>
      </c>
      <c r="C47" s="86" t="s">
        <v>948</v>
      </c>
      <c r="D47" s="86">
        <v>2035</v>
      </c>
      <c r="E47" s="37"/>
      <c r="F47" s="303">
        <v>98.929448271765438</v>
      </c>
      <c r="H47" s="22" t="str">
        <f t="shared" si="0"/>
        <v/>
      </c>
    </row>
    <row r="48" spans="1:8">
      <c r="A48" s="570" t="s">
        <v>117</v>
      </c>
      <c r="B48" s="570" t="s">
        <v>685</v>
      </c>
      <c r="C48" s="86" t="s">
        <v>948</v>
      </c>
      <c r="D48" s="616">
        <v>2035</v>
      </c>
      <c r="E48" s="571"/>
      <c r="F48" s="644">
        <v>1659.0323663429911</v>
      </c>
      <c r="G48" s="616"/>
      <c r="H48" s="22" t="str">
        <f t="shared" si="0"/>
        <v/>
      </c>
    </row>
    <row r="49" spans="1:8">
      <c r="A49" s="22" t="s">
        <v>121</v>
      </c>
      <c r="B49" s="22" t="s">
        <v>685</v>
      </c>
      <c r="C49" s="86" t="s">
        <v>948</v>
      </c>
      <c r="D49" s="86">
        <v>2035</v>
      </c>
      <c r="E49" s="37"/>
      <c r="F49" s="303">
        <v>432.03475064931666</v>
      </c>
      <c r="H49" s="22" t="str">
        <f t="shared" si="0"/>
        <v/>
      </c>
    </row>
    <row r="50" spans="1:8">
      <c r="A50" s="570" t="s">
        <v>122</v>
      </c>
      <c r="B50" s="570" t="s">
        <v>685</v>
      </c>
      <c r="C50" s="86" t="s">
        <v>948</v>
      </c>
      <c r="D50" s="616">
        <v>2035</v>
      </c>
      <c r="E50" s="571"/>
      <c r="F50" s="644">
        <v>1563.4043562645968</v>
      </c>
      <c r="G50" s="616"/>
      <c r="H50" s="22" t="str">
        <f t="shared" si="0"/>
        <v/>
      </c>
    </row>
    <row r="51" spans="1:8">
      <c r="A51" s="372" t="s">
        <v>123</v>
      </c>
      <c r="B51" s="372" t="s">
        <v>685</v>
      </c>
      <c r="C51" s="577" t="s">
        <v>948</v>
      </c>
      <c r="D51" s="577">
        <v>2035</v>
      </c>
      <c r="E51" s="225"/>
      <c r="F51" s="304">
        <v>354.59455963286746</v>
      </c>
      <c r="G51" s="577"/>
      <c r="H51" s="22" t="str">
        <f t="shared" si="0"/>
        <v/>
      </c>
    </row>
    <row r="52" spans="1:8">
      <c r="A52" s="570" t="s">
        <v>107</v>
      </c>
      <c r="B52" s="570" t="s">
        <v>695</v>
      </c>
      <c r="C52" s="86" t="s">
        <v>948</v>
      </c>
      <c r="D52" s="616">
        <v>2035</v>
      </c>
      <c r="E52" s="643" cm="1">
        <f t="array" ref="E52:E68">TRANSPOSE(_xlfn._xlws.FILTER('H2'!D36:W36,'H2'!D36:W36&lt;&gt;0))</f>
        <v>3248.4079999999999</v>
      </c>
      <c r="F52" s="643"/>
      <c r="G52" s="616"/>
      <c r="H52" s="22" t="str">
        <f t="shared" si="0"/>
        <v/>
      </c>
    </row>
    <row r="53" spans="1:8">
      <c r="A53" s="22" t="s">
        <v>109</v>
      </c>
      <c r="B53" s="22" t="s">
        <v>695</v>
      </c>
      <c r="C53" s="86" t="s">
        <v>948</v>
      </c>
      <c r="D53" s="86">
        <v>2035</v>
      </c>
      <c r="E53" s="215">
        <v>553.66970000000003</v>
      </c>
      <c r="F53" s="215"/>
      <c r="H53" s="22" t="str">
        <f t="shared" si="0"/>
        <v/>
      </c>
    </row>
    <row r="54" spans="1:8">
      <c r="A54" s="570" t="s">
        <v>110</v>
      </c>
      <c r="B54" s="570" t="s">
        <v>695</v>
      </c>
      <c r="C54" s="86" t="s">
        <v>948</v>
      </c>
      <c r="D54" s="616">
        <v>2035</v>
      </c>
      <c r="E54" s="643">
        <v>528.56510000000003</v>
      </c>
      <c r="F54" s="643"/>
      <c r="G54" s="616"/>
      <c r="H54" s="22" t="str">
        <f t="shared" si="0"/>
        <v/>
      </c>
    </row>
    <row r="55" spans="1:8">
      <c r="A55" s="22" t="s">
        <v>112</v>
      </c>
      <c r="B55" s="22" t="s">
        <v>695</v>
      </c>
      <c r="C55" s="86" t="s">
        <v>948</v>
      </c>
      <c r="D55" s="86">
        <v>2035</v>
      </c>
      <c r="E55" s="215">
        <v>707.21609999999998</v>
      </c>
      <c r="F55" s="215"/>
      <c r="H55" s="22" t="str">
        <f t="shared" si="0"/>
        <v/>
      </c>
    </row>
    <row r="56" spans="1:8">
      <c r="A56" s="570" t="s">
        <v>113</v>
      </c>
      <c r="B56" s="570" t="s">
        <v>695</v>
      </c>
      <c r="C56" s="86" t="s">
        <v>948</v>
      </c>
      <c r="D56" s="616">
        <v>2035</v>
      </c>
      <c r="E56" s="643">
        <v>837.1952</v>
      </c>
      <c r="F56" s="643"/>
      <c r="G56" s="616"/>
      <c r="H56" s="22" t="str">
        <f t="shared" si="0"/>
        <v/>
      </c>
    </row>
    <row r="57" spans="1:8">
      <c r="A57" s="22" t="s">
        <v>114</v>
      </c>
      <c r="B57" s="22" t="s">
        <v>695</v>
      </c>
      <c r="C57" s="86" t="s">
        <v>948</v>
      </c>
      <c r="D57" s="86">
        <v>2035</v>
      </c>
      <c r="E57" s="215">
        <v>868.20870000000002</v>
      </c>
      <c r="F57" s="215"/>
      <c r="H57" s="22" t="str">
        <f t="shared" si="0"/>
        <v/>
      </c>
    </row>
    <row r="58" spans="1:8">
      <c r="A58" s="570" t="s">
        <v>115</v>
      </c>
      <c r="B58" s="570" t="s">
        <v>695</v>
      </c>
      <c r="C58" s="86" t="s">
        <v>948</v>
      </c>
      <c r="D58" s="616">
        <v>2035</v>
      </c>
      <c r="E58" s="643">
        <v>596.67349999999999</v>
      </c>
      <c r="F58" s="643"/>
      <c r="G58" s="616"/>
      <c r="H58" s="22" t="str">
        <f t="shared" si="0"/>
        <v/>
      </c>
    </row>
    <row r="59" spans="1:8">
      <c r="A59" s="22" t="s">
        <v>103</v>
      </c>
      <c r="B59" s="22" t="s">
        <v>695</v>
      </c>
      <c r="C59" s="86" t="s">
        <v>948</v>
      </c>
      <c r="D59" s="86">
        <v>2035</v>
      </c>
      <c r="E59" s="303">
        <v>14.056879660508569</v>
      </c>
      <c r="F59" s="215"/>
      <c r="H59" s="22" t="str">
        <f t="shared" si="0"/>
        <v/>
      </c>
    </row>
    <row r="60" spans="1:8">
      <c r="A60" s="570" t="s">
        <v>104</v>
      </c>
      <c r="B60" s="570" t="s">
        <v>695</v>
      </c>
      <c r="C60" s="86" t="s">
        <v>948</v>
      </c>
      <c r="D60" s="616">
        <v>2035</v>
      </c>
      <c r="E60" s="644">
        <v>23.554247391633229</v>
      </c>
      <c r="F60" s="643"/>
      <c r="G60" s="616"/>
      <c r="H60" s="22" t="str">
        <f t="shared" si="0"/>
        <v/>
      </c>
    </row>
    <row r="61" spans="1:8">
      <c r="A61" s="22" t="s">
        <v>105</v>
      </c>
      <c r="B61" s="22" t="s">
        <v>695</v>
      </c>
      <c r="C61" s="86" t="s">
        <v>948</v>
      </c>
      <c r="D61" s="86">
        <v>2035</v>
      </c>
      <c r="E61" s="303">
        <v>123.79102128985618</v>
      </c>
      <c r="F61" s="215"/>
      <c r="H61" s="22" t="str">
        <f t="shared" si="0"/>
        <v/>
      </c>
    </row>
    <row r="62" spans="1:8">
      <c r="A62" s="570" t="s">
        <v>106</v>
      </c>
      <c r="B62" s="570" t="s">
        <v>695</v>
      </c>
      <c r="C62" s="86" t="s">
        <v>948</v>
      </c>
      <c r="D62" s="616">
        <v>2035</v>
      </c>
      <c r="E62" s="644">
        <v>34.517151658002</v>
      </c>
      <c r="F62" s="643"/>
      <c r="G62" s="616"/>
      <c r="H62" s="22" t="str">
        <f t="shared" si="0"/>
        <v/>
      </c>
    </row>
    <row r="63" spans="1:8">
      <c r="A63" s="22" t="s">
        <v>101</v>
      </c>
      <c r="B63" s="22" t="s">
        <v>695</v>
      </c>
      <c r="C63" s="86" t="s">
        <v>948</v>
      </c>
      <c r="D63" s="86">
        <v>2035</v>
      </c>
      <c r="E63" s="303">
        <v>24.455217474797944</v>
      </c>
      <c r="F63" s="215"/>
      <c r="H63" s="22" t="str">
        <f t="shared" si="0"/>
        <v/>
      </c>
    </row>
    <row r="64" spans="1:8">
      <c r="A64" s="570" t="s">
        <v>99</v>
      </c>
      <c r="B64" s="570" t="s">
        <v>695</v>
      </c>
      <c r="C64" s="86" t="s">
        <v>948</v>
      </c>
      <c r="D64" s="616">
        <v>2035</v>
      </c>
      <c r="E64" s="644">
        <v>16.141362525202059</v>
      </c>
      <c r="F64" s="643"/>
      <c r="G64" s="616"/>
      <c r="H64" s="22" t="str">
        <f t="shared" si="0"/>
        <v/>
      </c>
    </row>
    <row r="65" spans="1:8">
      <c r="A65" s="22" t="s">
        <v>117</v>
      </c>
      <c r="B65" s="22" t="s">
        <v>695</v>
      </c>
      <c r="C65" s="86" t="s">
        <v>948</v>
      </c>
      <c r="D65" s="86">
        <v>2035</v>
      </c>
      <c r="E65" s="215">
        <v>266.71679999999998</v>
      </c>
      <c r="F65" s="215"/>
      <c r="H65" s="22" t="str">
        <f t="shared" si="0"/>
        <v/>
      </c>
    </row>
    <row r="66" spans="1:8">
      <c r="A66" s="570" t="s">
        <v>121</v>
      </c>
      <c r="B66" s="570" t="s">
        <v>695</v>
      </c>
      <c r="C66" s="86" t="s">
        <v>948</v>
      </c>
      <c r="D66" s="616">
        <v>2035</v>
      </c>
      <c r="E66" s="643">
        <v>168.0712</v>
      </c>
      <c r="F66" s="643"/>
      <c r="G66" s="616"/>
      <c r="H66" s="22" t="str">
        <f t="shared" si="0"/>
        <v/>
      </c>
    </row>
    <row r="67" spans="1:8">
      <c r="A67" s="22" t="s">
        <v>122</v>
      </c>
      <c r="B67" s="22" t="s">
        <v>695</v>
      </c>
      <c r="C67" s="86" t="s">
        <v>948</v>
      </c>
      <c r="D67" s="86">
        <v>2035</v>
      </c>
      <c r="E67" s="215">
        <v>22.078420000000001</v>
      </c>
      <c r="F67" s="215"/>
      <c r="H67" s="22" t="str">
        <f t="shared" ref="H67:H107" si="1">IF(E67+F67&gt;=10,"","Remove")</f>
        <v/>
      </c>
    </row>
    <row r="68" spans="1:8">
      <c r="A68" s="646" t="s">
        <v>123</v>
      </c>
      <c r="B68" s="646" t="s">
        <v>695</v>
      </c>
      <c r="C68" s="134" t="s">
        <v>948</v>
      </c>
      <c r="D68" s="647">
        <v>2035</v>
      </c>
      <c r="E68" s="649">
        <v>15.23509</v>
      </c>
      <c r="F68" s="649"/>
      <c r="G68" s="647"/>
      <c r="H68" s="22" t="str">
        <f t="shared" si="1"/>
        <v/>
      </c>
    </row>
    <row r="69" spans="1:8">
      <c r="A69" s="22" t="s">
        <v>107</v>
      </c>
      <c r="B69" s="22" t="s">
        <v>696</v>
      </c>
      <c r="C69" s="86" t="s">
        <v>948</v>
      </c>
      <c r="D69" s="86">
        <v>2035</v>
      </c>
      <c r="E69" s="215"/>
      <c r="F69" s="215" cm="1">
        <f t="array" ref="F69:F85">TRANSPOSE(_xlfn._xlws.FILTER('H2'!D36:W36,'H2'!D36:W36&lt;&gt;0))</f>
        <v>3248.4079999999999</v>
      </c>
      <c r="H69" s="22" t="str">
        <f t="shared" si="1"/>
        <v/>
      </c>
    </row>
    <row r="70" spans="1:8">
      <c r="A70" s="570" t="s">
        <v>109</v>
      </c>
      <c r="B70" s="570" t="s">
        <v>696</v>
      </c>
      <c r="C70" s="86" t="s">
        <v>948</v>
      </c>
      <c r="D70" s="616">
        <v>2035</v>
      </c>
      <c r="E70" s="643"/>
      <c r="F70" s="643">
        <v>553.66970000000003</v>
      </c>
      <c r="G70" s="616"/>
      <c r="H70" s="22" t="str">
        <f t="shared" si="1"/>
        <v/>
      </c>
    </row>
    <row r="71" spans="1:8">
      <c r="A71" s="22" t="s">
        <v>110</v>
      </c>
      <c r="B71" s="22" t="s">
        <v>696</v>
      </c>
      <c r="C71" s="86" t="s">
        <v>948</v>
      </c>
      <c r="D71" s="86">
        <v>2035</v>
      </c>
      <c r="E71" s="215"/>
      <c r="F71" s="215">
        <v>528.56510000000003</v>
      </c>
      <c r="H71" s="22" t="str">
        <f t="shared" si="1"/>
        <v/>
      </c>
    </row>
    <row r="72" spans="1:8">
      <c r="A72" s="570" t="s">
        <v>112</v>
      </c>
      <c r="B72" s="570" t="s">
        <v>696</v>
      </c>
      <c r="C72" s="86" t="s">
        <v>948</v>
      </c>
      <c r="D72" s="616">
        <v>2035</v>
      </c>
      <c r="E72" s="643"/>
      <c r="F72" s="643">
        <v>707.21609999999998</v>
      </c>
      <c r="G72" s="616"/>
      <c r="H72" s="22" t="str">
        <f t="shared" si="1"/>
        <v/>
      </c>
    </row>
    <row r="73" spans="1:8">
      <c r="A73" s="22" t="s">
        <v>113</v>
      </c>
      <c r="B73" s="22" t="s">
        <v>696</v>
      </c>
      <c r="C73" s="86" t="s">
        <v>948</v>
      </c>
      <c r="D73" s="86">
        <v>2035</v>
      </c>
      <c r="E73" s="215"/>
      <c r="F73" s="215">
        <v>837.1952</v>
      </c>
      <c r="H73" s="22" t="str">
        <f t="shared" si="1"/>
        <v/>
      </c>
    </row>
    <row r="74" spans="1:8">
      <c r="A74" s="570" t="s">
        <v>114</v>
      </c>
      <c r="B74" s="570" t="s">
        <v>696</v>
      </c>
      <c r="C74" s="86" t="s">
        <v>948</v>
      </c>
      <c r="D74" s="616">
        <v>2035</v>
      </c>
      <c r="E74" s="643"/>
      <c r="F74" s="643">
        <v>868.20870000000002</v>
      </c>
      <c r="G74" s="616"/>
      <c r="H74" s="22" t="str">
        <f t="shared" si="1"/>
        <v/>
      </c>
    </row>
    <row r="75" spans="1:8">
      <c r="A75" s="22" t="s">
        <v>115</v>
      </c>
      <c r="B75" s="22" t="s">
        <v>696</v>
      </c>
      <c r="C75" s="86" t="s">
        <v>948</v>
      </c>
      <c r="D75" s="86">
        <v>2035</v>
      </c>
      <c r="E75" s="215"/>
      <c r="F75" s="215">
        <v>596.67349999999999</v>
      </c>
      <c r="H75" s="22" t="str">
        <f t="shared" si="1"/>
        <v/>
      </c>
    </row>
    <row r="76" spans="1:8">
      <c r="A76" s="570" t="s">
        <v>103</v>
      </c>
      <c r="B76" s="570" t="s">
        <v>696</v>
      </c>
      <c r="C76" s="86" t="s">
        <v>948</v>
      </c>
      <c r="D76" s="616">
        <v>2035</v>
      </c>
      <c r="E76" s="643"/>
      <c r="F76" s="644">
        <v>14.056879660508569</v>
      </c>
      <c r="G76" s="616"/>
      <c r="H76" s="22" t="str">
        <f t="shared" si="1"/>
        <v/>
      </c>
    </row>
    <row r="77" spans="1:8">
      <c r="A77" s="22" t="s">
        <v>104</v>
      </c>
      <c r="B77" s="22" t="s">
        <v>696</v>
      </c>
      <c r="C77" s="86" t="s">
        <v>948</v>
      </c>
      <c r="D77" s="86">
        <v>2035</v>
      </c>
      <c r="E77" s="215"/>
      <c r="F77" s="303">
        <v>23.554247391633229</v>
      </c>
      <c r="H77" s="22" t="str">
        <f t="shared" si="1"/>
        <v/>
      </c>
    </row>
    <row r="78" spans="1:8">
      <c r="A78" s="570" t="s">
        <v>105</v>
      </c>
      <c r="B78" s="570" t="s">
        <v>696</v>
      </c>
      <c r="C78" s="86" t="s">
        <v>948</v>
      </c>
      <c r="D78" s="616">
        <v>2035</v>
      </c>
      <c r="E78" s="643"/>
      <c r="F78" s="644">
        <v>123.79102128985618</v>
      </c>
      <c r="G78" s="616"/>
      <c r="H78" s="22" t="str">
        <f t="shared" si="1"/>
        <v/>
      </c>
    </row>
    <row r="79" spans="1:8">
      <c r="A79" s="22" t="s">
        <v>106</v>
      </c>
      <c r="B79" s="22" t="s">
        <v>696</v>
      </c>
      <c r="C79" s="86" t="s">
        <v>948</v>
      </c>
      <c r="D79" s="86">
        <v>2035</v>
      </c>
      <c r="E79" s="215"/>
      <c r="F79" s="303">
        <v>34.517151658002</v>
      </c>
      <c r="H79" s="22" t="str">
        <f t="shared" si="1"/>
        <v/>
      </c>
    </row>
    <row r="80" spans="1:8">
      <c r="A80" s="570" t="s">
        <v>101</v>
      </c>
      <c r="B80" s="570" t="s">
        <v>696</v>
      </c>
      <c r="C80" s="86" t="s">
        <v>948</v>
      </c>
      <c r="D80" s="616">
        <v>2035</v>
      </c>
      <c r="E80" s="643"/>
      <c r="F80" s="644">
        <v>24.455217474797944</v>
      </c>
      <c r="G80" s="616"/>
      <c r="H80" s="22" t="str">
        <f t="shared" si="1"/>
        <v/>
      </c>
    </row>
    <row r="81" spans="1:8">
      <c r="A81" s="22" t="s">
        <v>99</v>
      </c>
      <c r="B81" s="22" t="s">
        <v>696</v>
      </c>
      <c r="C81" s="86" t="s">
        <v>948</v>
      </c>
      <c r="D81" s="86">
        <v>2035</v>
      </c>
      <c r="E81" s="215"/>
      <c r="F81" s="303">
        <v>16.141362525202059</v>
      </c>
      <c r="H81" s="22" t="str">
        <f t="shared" si="1"/>
        <v/>
      </c>
    </row>
    <row r="82" spans="1:8">
      <c r="A82" s="570" t="s">
        <v>117</v>
      </c>
      <c r="B82" s="570" t="s">
        <v>696</v>
      </c>
      <c r="C82" s="86" t="s">
        <v>948</v>
      </c>
      <c r="D82" s="616">
        <v>2035</v>
      </c>
      <c r="E82" s="643"/>
      <c r="F82" s="643">
        <v>266.71679999999998</v>
      </c>
      <c r="G82" s="616"/>
      <c r="H82" s="22" t="str">
        <f t="shared" si="1"/>
        <v/>
      </c>
    </row>
    <row r="83" spans="1:8">
      <c r="A83" s="22" t="s">
        <v>121</v>
      </c>
      <c r="B83" s="22" t="s">
        <v>696</v>
      </c>
      <c r="C83" s="86" t="s">
        <v>948</v>
      </c>
      <c r="D83" s="86">
        <v>2035</v>
      </c>
      <c r="E83" s="215"/>
      <c r="F83" s="215">
        <v>168.0712</v>
      </c>
      <c r="H83" s="22" t="str">
        <f t="shared" si="1"/>
        <v/>
      </c>
    </row>
    <row r="84" spans="1:8">
      <c r="A84" s="570" t="s">
        <v>122</v>
      </c>
      <c r="B84" s="570" t="s">
        <v>696</v>
      </c>
      <c r="C84" s="86" t="s">
        <v>948</v>
      </c>
      <c r="D84" s="616">
        <v>2035</v>
      </c>
      <c r="E84" s="643"/>
      <c r="F84" s="643">
        <v>22.078420000000001</v>
      </c>
      <c r="G84" s="616"/>
      <c r="H84" s="22" t="str">
        <f t="shared" si="1"/>
        <v/>
      </c>
    </row>
    <row r="85" spans="1:8">
      <c r="A85" s="372" t="s">
        <v>123</v>
      </c>
      <c r="B85" s="372" t="s">
        <v>696</v>
      </c>
      <c r="C85" s="577" t="s">
        <v>948</v>
      </c>
      <c r="D85" s="577">
        <v>2035</v>
      </c>
      <c r="E85" s="554"/>
      <c r="F85" s="554">
        <v>15.23509</v>
      </c>
      <c r="G85" s="577"/>
      <c r="H85" s="22" t="str">
        <f t="shared" si="1"/>
        <v/>
      </c>
    </row>
    <row r="86" spans="1:8">
      <c r="A86" s="22" t="s">
        <v>107</v>
      </c>
      <c r="B86" s="22" t="s">
        <v>243</v>
      </c>
      <c r="C86" s="86" t="s">
        <v>948</v>
      </c>
      <c r="D86" s="86">
        <v>2035</v>
      </c>
      <c r="F86" s="611" cm="1">
        <f t="array" ref="F86:F90">TRANSPOSE(_xlfn._xlws.FILTER(Production!B214:U214,Production!B214:U214&lt;&gt;0))</f>
        <v>17134</v>
      </c>
      <c r="H86" s="22" t="str">
        <f t="shared" si="1"/>
        <v/>
      </c>
    </row>
    <row r="87" spans="1:8">
      <c r="A87" s="22" t="s">
        <v>109</v>
      </c>
      <c r="B87" s="22" t="s">
        <v>243</v>
      </c>
      <c r="C87" s="86" t="s">
        <v>948</v>
      </c>
      <c r="D87" s="86">
        <v>2035</v>
      </c>
      <c r="F87" s="611">
        <v>784</v>
      </c>
      <c r="H87" s="22" t="str">
        <f t="shared" si="1"/>
        <v/>
      </c>
    </row>
    <row r="88" spans="1:8">
      <c r="A88" s="22" t="s">
        <v>113</v>
      </c>
      <c r="B88" s="22" t="s">
        <v>243</v>
      </c>
      <c r="C88" s="86" t="s">
        <v>948</v>
      </c>
      <c r="D88" s="86">
        <v>2035</v>
      </c>
      <c r="F88" s="611">
        <v>450</v>
      </c>
      <c r="H88" s="22" t="str">
        <f t="shared" si="1"/>
        <v/>
      </c>
    </row>
    <row r="89" spans="1:8">
      <c r="A89" s="22" t="s">
        <v>114</v>
      </c>
      <c r="B89" s="22" t="s">
        <v>243</v>
      </c>
      <c r="C89" s="86" t="s">
        <v>948</v>
      </c>
      <c r="D89" s="86">
        <v>2035</v>
      </c>
      <c r="F89" s="611">
        <v>5795</v>
      </c>
      <c r="H89" s="22" t="str">
        <f t="shared" si="1"/>
        <v/>
      </c>
    </row>
    <row r="90" spans="1:8">
      <c r="A90" s="372" t="s">
        <v>115</v>
      </c>
      <c r="B90" s="372" t="s">
        <v>243</v>
      </c>
      <c r="C90" s="577" t="s">
        <v>948</v>
      </c>
      <c r="D90" s="577">
        <v>2035</v>
      </c>
      <c r="E90" s="372"/>
      <c r="F90" s="612">
        <v>1695</v>
      </c>
      <c r="G90" s="577"/>
      <c r="H90" s="22" t="str">
        <f t="shared" si="1"/>
        <v/>
      </c>
    </row>
    <row r="91" spans="1:8">
      <c r="A91" s="22" t="s">
        <v>107</v>
      </c>
      <c r="B91" s="22" t="s">
        <v>951</v>
      </c>
      <c r="C91" s="86" t="s">
        <v>948</v>
      </c>
      <c r="D91" s="86">
        <v>2035</v>
      </c>
      <c r="F91" s="215" cm="1">
        <f t="array" ref="F91:F107">TRANSPOSE(_xlfn._xlws.FILTER('H2'!D24:W24,'H2'!D24:W24&lt;&gt;0))*1.01</f>
        <v>17387.774898131593</v>
      </c>
      <c r="H91" s="22" t="str">
        <f t="shared" si="1"/>
        <v/>
      </c>
    </row>
    <row r="92" spans="1:8">
      <c r="A92" s="22" t="s">
        <v>109</v>
      </c>
      <c r="B92" s="22" t="s">
        <v>951</v>
      </c>
      <c r="C92" s="86" t="s">
        <v>948</v>
      </c>
      <c r="D92" s="86">
        <v>2035</v>
      </c>
      <c r="F92" s="215">
        <v>4520.4082827002785</v>
      </c>
      <c r="H92" s="22" t="str">
        <f t="shared" si="1"/>
        <v/>
      </c>
    </row>
    <row r="93" spans="1:8">
      <c r="A93" s="22" t="s">
        <v>110</v>
      </c>
      <c r="B93" s="22" t="s">
        <v>951</v>
      </c>
      <c r="C93" s="86" t="s">
        <v>948</v>
      </c>
      <c r="D93" s="86">
        <v>2035</v>
      </c>
      <c r="F93" s="215">
        <v>4256.3692747708465</v>
      </c>
      <c r="H93" s="22" t="str">
        <f t="shared" si="1"/>
        <v/>
      </c>
    </row>
    <row r="94" spans="1:8">
      <c r="A94" s="22" t="s">
        <v>112</v>
      </c>
      <c r="B94" s="22" t="s">
        <v>951</v>
      </c>
      <c r="C94" s="86" t="s">
        <v>948</v>
      </c>
      <c r="D94" s="86">
        <v>2035</v>
      </c>
      <c r="F94" s="215">
        <v>5508.0351062531226</v>
      </c>
      <c r="H94" s="22" t="str">
        <f t="shared" si="1"/>
        <v/>
      </c>
    </row>
    <row r="95" spans="1:8">
      <c r="A95" s="22" t="s">
        <v>113</v>
      </c>
      <c r="B95" s="22" t="s">
        <v>951</v>
      </c>
      <c r="C95" s="86" t="s">
        <v>948</v>
      </c>
      <c r="D95" s="86">
        <v>2035</v>
      </c>
      <c r="F95" s="215">
        <v>3075.2482163994882</v>
      </c>
      <c r="H95" s="22" t="str">
        <f t="shared" si="1"/>
        <v/>
      </c>
    </row>
    <row r="96" spans="1:8">
      <c r="A96" s="22" t="s">
        <v>114</v>
      </c>
      <c r="B96" s="22" t="s">
        <v>951</v>
      </c>
      <c r="C96" s="86" t="s">
        <v>948</v>
      </c>
      <c r="D96" s="86">
        <v>2035</v>
      </c>
      <c r="F96" s="215">
        <v>4038.1843693635092</v>
      </c>
      <c r="H96" s="22" t="str">
        <f t="shared" si="1"/>
        <v/>
      </c>
    </row>
    <row r="97" spans="1:8">
      <c r="A97" s="22" t="s">
        <v>115</v>
      </c>
      <c r="B97" s="22" t="s">
        <v>951</v>
      </c>
      <c r="C97" s="86" t="s">
        <v>948</v>
      </c>
      <c r="D97" s="86">
        <v>2035</v>
      </c>
      <c r="F97" s="215">
        <v>2445.3841707662982</v>
      </c>
      <c r="H97" s="22" t="str">
        <f t="shared" si="1"/>
        <v/>
      </c>
    </row>
    <row r="98" spans="1:8">
      <c r="A98" s="22" t="s">
        <v>103</v>
      </c>
      <c r="B98" s="22" t="s">
        <v>951</v>
      </c>
      <c r="C98" s="86" t="s">
        <v>948</v>
      </c>
      <c r="D98" s="86">
        <v>2035</v>
      </c>
      <c r="F98" s="215">
        <v>113.4130501259946</v>
      </c>
      <c r="H98" s="22" t="str">
        <f t="shared" si="1"/>
        <v/>
      </c>
    </row>
    <row r="99" spans="1:8">
      <c r="A99" s="22" t="s">
        <v>104</v>
      </c>
      <c r="B99" s="22" t="s">
        <v>951</v>
      </c>
      <c r="C99" s="86" t="s">
        <v>948</v>
      </c>
      <c r="D99" s="86">
        <v>2035</v>
      </c>
      <c r="F99" s="215">
        <v>190.03926224198244</v>
      </c>
      <c r="H99" s="22" t="str">
        <f t="shared" si="1"/>
        <v/>
      </c>
    </row>
    <row r="100" spans="1:8">
      <c r="A100" s="22" t="s">
        <v>105</v>
      </c>
      <c r="B100" s="22" t="s">
        <v>951</v>
      </c>
      <c r="C100" s="86" t="s">
        <v>948</v>
      </c>
      <c r="D100" s="86">
        <v>2035</v>
      </c>
      <c r="F100" s="215">
        <v>998.76484979359793</v>
      </c>
      <c r="H100" s="22" t="str">
        <f t="shared" si="1"/>
        <v/>
      </c>
    </row>
    <row r="101" spans="1:8">
      <c r="A101" s="22" t="s">
        <v>106</v>
      </c>
      <c r="B101" s="22" t="s">
        <v>951</v>
      </c>
      <c r="C101" s="86" t="s">
        <v>948</v>
      </c>
      <c r="D101" s="86">
        <v>2035</v>
      </c>
      <c r="F101" s="215">
        <v>278.48964675947911</v>
      </c>
      <c r="H101" s="22" t="str">
        <f t="shared" si="1"/>
        <v/>
      </c>
    </row>
    <row r="102" spans="1:8">
      <c r="A102" s="22" t="s">
        <v>99</v>
      </c>
      <c r="B102" s="22" t="s">
        <v>951</v>
      </c>
      <c r="C102" s="86" t="s">
        <v>948</v>
      </c>
      <c r="D102" s="86">
        <v>2035</v>
      </c>
      <c r="F102" s="215">
        <v>686.00506953177887</v>
      </c>
      <c r="H102" s="22" t="str">
        <f t="shared" si="1"/>
        <v/>
      </c>
    </row>
    <row r="103" spans="1:8">
      <c r="A103" s="22" t="s">
        <v>101</v>
      </c>
      <c r="B103" s="22" t="s">
        <v>951</v>
      </c>
      <c r="C103" s="86" t="s">
        <v>948</v>
      </c>
      <c r="D103" s="86">
        <v>2035</v>
      </c>
      <c r="F103" s="215">
        <v>452.78912497302906</v>
      </c>
      <c r="H103" s="22" t="str">
        <f t="shared" si="1"/>
        <v/>
      </c>
    </row>
    <row r="104" spans="1:8">
      <c r="A104" s="22" t="s">
        <v>117</v>
      </c>
      <c r="B104" s="22" t="s">
        <v>951</v>
      </c>
      <c r="C104" s="86" t="s">
        <v>948</v>
      </c>
      <c r="D104" s="86">
        <v>2035</v>
      </c>
      <c r="F104" s="215">
        <v>1206.8195114331927</v>
      </c>
      <c r="H104" s="22" t="str">
        <f t="shared" si="1"/>
        <v/>
      </c>
    </row>
    <row r="105" spans="1:8">
      <c r="A105" s="22" t="s">
        <v>121</v>
      </c>
      <c r="B105" s="22" t="s">
        <v>951</v>
      </c>
      <c r="C105" s="86" t="s">
        <v>948</v>
      </c>
      <c r="D105" s="86">
        <v>2035</v>
      </c>
      <c r="F105" s="215">
        <v>455.51767780192324</v>
      </c>
      <c r="H105" s="22" t="str">
        <f t="shared" si="1"/>
        <v/>
      </c>
    </row>
    <row r="106" spans="1:8">
      <c r="A106" s="22" t="s">
        <v>122</v>
      </c>
      <c r="B106" s="22" t="s">
        <v>951</v>
      </c>
      <c r="C106" s="86" t="s">
        <v>948</v>
      </c>
      <c r="D106" s="86">
        <v>2035</v>
      </c>
      <c r="F106" s="215">
        <v>131.01172149170358</v>
      </c>
      <c r="H106" s="22" t="str">
        <f t="shared" si="1"/>
        <v/>
      </c>
    </row>
    <row r="107" spans="1:8">
      <c r="A107" s="372" t="s">
        <v>123</v>
      </c>
      <c r="B107" s="372" t="s">
        <v>951</v>
      </c>
      <c r="C107" s="577" t="s">
        <v>948</v>
      </c>
      <c r="D107" s="577">
        <v>2035</v>
      </c>
      <c r="E107" s="372"/>
      <c r="F107" s="554">
        <v>97.754899882271133</v>
      </c>
      <c r="G107" s="577"/>
      <c r="H107" s="22" t="str">
        <f t="shared" si="1"/>
        <v/>
      </c>
    </row>
  </sheetData>
  <autoFilter ref="A1:G107" xr:uid="{9A136C27-1EE9-4B74-B847-1938851EECBA}"/>
  <conditionalFormatting sqref="A2:H131">
    <cfRule type="expression" dxfId="27"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R144"/>
  <sheetViews>
    <sheetView tabSelected="1" workbookViewId="0">
      <pane xSplit="1" ySplit="1" topLeftCell="B86" activePane="bottomRight" state="frozen"/>
      <selection pane="topRight" activeCell="B1" sqref="B1"/>
      <selection pane="bottomLeft" activeCell="A2" sqref="A2"/>
      <selection pane="bottomRight" activeCell="G102" sqref="G102"/>
    </sheetView>
  </sheetViews>
  <sheetFormatPr defaultColWidth="9.109375" defaultRowHeight="14.4"/>
  <cols>
    <col min="1" max="1" width="7.77734375" style="22" bestFit="1" customWidth="1"/>
    <col min="2" max="2" width="20.5546875" style="22" customWidth="1"/>
    <col min="3" max="3" width="16" style="22" bestFit="1" customWidth="1"/>
    <col min="4" max="4" width="8.44140625" style="22" bestFit="1" customWidth="1"/>
    <col min="5" max="5" width="5" style="22" bestFit="1" customWidth="1"/>
    <col min="6" max="6" width="14.5546875" style="255" bestFit="1" customWidth="1"/>
    <col min="7" max="7" width="17.5546875" style="687" bestFit="1" customWidth="1"/>
    <col min="8" max="8" width="15.88671875" style="255" bestFit="1" customWidth="1"/>
    <col min="9" max="9" width="18.88671875" style="687" bestFit="1" customWidth="1"/>
    <col min="10" max="10" width="15.88671875" style="37" bestFit="1" customWidth="1"/>
    <col min="11" max="11" width="18.88671875" style="687" bestFit="1" customWidth="1"/>
    <col min="12" max="12" width="7.77734375" style="696" customWidth="1"/>
    <col min="13" max="15" width="7.77734375" style="508" customWidth="1"/>
    <col min="16" max="16" width="7.77734375" style="22" customWidth="1"/>
    <col min="17" max="17" width="9.109375" style="698"/>
    <col min="18" max="16384" width="9.109375" style="22"/>
  </cols>
  <sheetData>
    <row r="1" spans="1:18" ht="15" customHeight="1">
      <c r="A1" s="567" t="s">
        <v>661</v>
      </c>
      <c r="B1" s="567" t="s">
        <v>680</v>
      </c>
      <c r="C1" s="689" t="s">
        <v>902</v>
      </c>
      <c r="D1" s="567" t="s">
        <v>281</v>
      </c>
      <c r="E1" s="567" t="s">
        <v>177</v>
      </c>
      <c r="F1" s="693" t="s">
        <v>683</v>
      </c>
      <c r="G1" s="689" t="s">
        <v>901</v>
      </c>
      <c r="H1" s="693" t="s">
        <v>682</v>
      </c>
      <c r="I1" s="689" t="s">
        <v>903</v>
      </c>
      <c r="J1" s="567" t="s">
        <v>686</v>
      </c>
      <c r="K1" s="567" t="s">
        <v>708</v>
      </c>
      <c r="L1" s="695" t="s">
        <v>687</v>
      </c>
      <c r="M1" s="689" t="s">
        <v>688</v>
      </c>
      <c r="N1" s="689" t="s">
        <v>761</v>
      </c>
      <c r="O1" s="689" t="s">
        <v>762</v>
      </c>
      <c r="P1" s="567" t="s">
        <v>681</v>
      </c>
      <c r="Q1" s="741" t="s">
        <v>985</v>
      </c>
    </row>
    <row r="2" spans="1:18">
      <c r="A2" s="22" t="s">
        <v>107</v>
      </c>
      <c r="B2" s="22" t="s">
        <v>510</v>
      </c>
      <c r="D2" s="86" t="s">
        <v>948</v>
      </c>
      <c r="E2" s="86">
        <v>2035</v>
      </c>
      <c r="H2" s="255">
        <v>7929</v>
      </c>
      <c r="J2" s="37">
        <v>7929</v>
      </c>
      <c r="Q2" s="698" t="str">
        <f>IF(H2+J2&gt;=20,"","Remove")</f>
        <v/>
      </c>
      <c r="R2" s="37"/>
    </row>
    <row r="3" spans="1:18">
      <c r="A3" s="22" t="s">
        <v>107</v>
      </c>
      <c r="B3" s="22" t="s">
        <v>517</v>
      </c>
      <c r="D3" s="86" t="s">
        <v>948</v>
      </c>
      <c r="E3" s="86">
        <v>2035</v>
      </c>
      <c r="H3" s="255">
        <v>3750</v>
      </c>
      <c r="J3" s="37">
        <v>7512</v>
      </c>
      <c r="Q3" s="698" t="str">
        <f t="shared" ref="Q3:Q66" si="0">IF(H3+J3&gt;=20,"","Remove")</f>
        <v/>
      </c>
    </row>
    <row r="4" spans="1:18">
      <c r="A4" s="22" t="s">
        <v>107</v>
      </c>
      <c r="B4" s="22" t="s">
        <v>520</v>
      </c>
      <c r="D4" s="86" t="s">
        <v>948</v>
      </c>
      <c r="E4" s="86">
        <v>2035</v>
      </c>
      <c r="H4" s="255">
        <v>300</v>
      </c>
      <c r="J4" s="37">
        <v>900</v>
      </c>
      <c r="Q4" s="698" t="str">
        <f t="shared" si="0"/>
        <v/>
      </c>
    </row>
    <row r="5" spans="1:18">
      <c r="A5" s="22" t="s">
        <v>107</v>
      </c>
      <c r="B5" s="22" t="s">
        <v>512</v>
      </c>
      <c r="D5" s="86" t="s">
        <v>948</v>
      </c>
      <c r="E5" s="86">
        <v>2035</v>
      </c>
      <c r="H5" s="255">
        <v>23300</v>
      </c>
      <c r="Q5" s="698" t="str">
        <f t="shared" si="0"/>
        <v/>
      </c>
    </row>
    <row r="6" spans="1:18">
      <c r="A6" s="22" t="s">
        <v>99</v>
      </c>
      <c r="B6" s="22" t="s">
        <v>510</v>
      </c>
      <c r="D6" s="86" t="s">
        <v>948</v>
      </c>
      <c r="E6" s="86">
        <v>2035</v>
      </c>
      <c r="H6" s="255">
        <v>967</v>
      </c>
      <c r="J6" s="37">
        <v>967</v>
      </c>
      <c r="Q6" s="698" t="str">
        <f t="shared" si="0"/>
        <v/>
      </c>
    </row>
    <row r="7" spans="1:18">
      <c r="A7" s="22" t="s">
        <v>99</v>
      </c>
      <c r="B7" s="22" t="s">
        <v>517</v>
      </c>
      <c r="D7" s="86" t="s">
        <v>948</v>
      </c>
      <c r="E7" s="86">
        <v>2035</v>
      </c>
      <c r="G7" s="690"/>
      <c r="H7" s="255">
        <v>600</v>
      </c>
      <c r="J7" s="37">
        <v>1166</v>
      </c>
      <c r="Q7" s="698" t="str">
        <f t="shared" si="0"/>
        <v/>
      </c>
    </row>
    <row r="8" spans="1:18">
      <c r="A8" s="22" t="s">
        <v>99</v>
      </c>
      <c r="B8" s="22" t="s">
        <v>516</v>
      </c>
      <c r="D8" s="86" t="s">
        <v>948</v>
      </c>
      <c r="E8" s="86">
        <v>2035</v>
      </c>
      <c r="H8" s="255">
        <v>900</v>
      </c>
      <c r="J8" s="37">
        <v>1800</v>
      </c>
      <c r="Q8" s="698" t="str">
        <f t="shared" si="0"/>
        <v/>
      </c>
    </row>
    <row r="9" spans="1:18">
      <c r="A9" s="22" t="s">
        <v>99</v>
      </c>
      <c r="B9" s="22" t="s">
        <v>520</v>
      </c>
      <c r="D9" s="86" t="s">
        <v>948</v>
      </c>
      <c r="E9" s="86">
        <v>2035</v>
      </c>
      <c r="H9" s="255">
        <v>300</v>
      </c>
      <c r="J9" s="37">
        <v>600</v>
      </c>
      <c r="Q9" s="698" t="str">
        <f t="shared" si="0"/>
        <v/>
      </c>
    </row>
    <row r="10" spans="1:18">
      <c r="A10" s="22" t="s">
        <v>99</v>
      </c>
      <c r="B10" s="22" t="s">
        <v>512</v>
      </c>
      <c r="D10" s="86" t="s">
        <v>948</v>
      </c>
      <c r="E10" s="86">
        <v>2035</v>
      </c>
      <c r="H10" s="255">
        <v>2600</v>
      </c>
      <c r="Q10" s="698" t="str">
        <f t="shared" si="0"/>
        <v/>
      </c>
    </row>
    <row r="11" spans="1:18">
      <c r="A11" s="22" t="s">
        <v>99</v>
      </c>
      <c r="B11" s="22" t="s">
        <v>511</v>
      </c>
      <c r="D11" s="86" t="s">
        <v>948</v>
      </c>
      <c r="E11" s="86">
        <v>2035</v>
      </c>
      <c r="H11" s="255">
        <v>1300</v>
      </c>
      <c r="Q11" s="698" t="str">
        <f t="shared" si="0"/>
        <v/>
      </c>
    </row>
    <row r="12" spans="1:18">
      <c r="A12" s="22" t="s">
        <v>99</v>
      </c>
      <c r="B12" s="22" t="s">
        <v>513</v>
      </c>
      <c r="D12" s="86" t="s">
        <v>948</v>
      </c>
      <c r="E12" s="86">
        <v>2035</v>
      </c>
      <c r="H12" s="255">
        <v>820</v>
      </c>
      <c r="Q12" s="698" t="str">
        <f t="shared" si="0"/>
        <v/>
      </c>
    </row>
    <row r="13" spans="1:18">
      <c r="A13" s="22" t="s">
        <v>113</v>
      </c>
      <c r="B13" s="22" t="s">
        <v>510</v>
      </c>
      <c r="D13" s="86" t="s">
        <v>948</v>
      </c>
      <c r="E13" s="86">
        <v>2035</v>
      </c>
      <c r="H13" s="255">
        <v>960</v>
      </c>
      <c r="J13" s="37">
        <v>960</v>
      </c>
      <c r="Q13" s="698" t="str">
        <f t="shared" si="0"/>
        <v/>
      </c>
    </row>
    <row r="14" spans="1:18">
      <c r="A14" s="22" t="s">
        <v>113</v>
      </c>
      <c r="B14" s="22" t="s">
        <v>517</v>
      </c>
      <c r="D14" s="86" t="s">
        <v>948</v>
      </c>
      <c r="E14" s="86">
        <v>2035</v>
      </c>
      <c r="H14" s="255">
        <v>5300</v>
      </c>
      <c r="J14" s="37">
        <v>10650</v>
      </c>
      <c r="Q14" s="698" t="str">
        <f t="shared" si="0"/>
        <v/>
      </c>
    </row>
    <row r="15" spans="1:18">
      <c r="A15" s="22" t="s">
        <v>113</v>
      </c>
      <c r="B15" s="22" t="s">
        <v>512</v>
      </c>
      <c r="D15" s="86" t="s">
        <v>948</v>
      </c>
      <c r="E15" s="86">
        <v>2035</v>
      </c>
      <c r="H15" s="255">
        <v>11000</v>
      </c>
      <c r="Q15" s="698" t="str">
        <f t="shared" si="0"/>
        <v/>
      </c>
    </row>
    <row r="16" spans="1:18">
      <c r="A16" s="22" t="s">
        <v>113</v>
      </c>
      <c r="B16" s="22" t="s">
        <v>511</v>
      </c>
      <c r="D16" s="86" t="s">
        <v>948</v>
      </c>
      <c r="E16" s="86">
        <v>2035</v>
      </c>
      <c r="H16" s="255">
        <v>22000</v>
      </c>
      <c r="Q16" s="698" t="str">
        <f t="shared" si="0"/>
        <v/>
      </c>
    </row>
    <row r="17" spans="1:17">
      <c r="A17" s="22" t="s">
        <v>104</v>
      </c>
      <c r="B17" s="22" t="s">
        <v>520</v>
      </c>
      <c r="D17" s="86" t="s">
        <v>948</v>
      </c>
      <c r="E17" s="86">
        <v>2035</v>
      </c>
      <c r="H17" s="255">
        <v>70</v>
      </c>
      <c r="J17" s="37">
        <v>140</v>
      </c>
      <c r="Q17" s="698" t="str">
        <f t="shared" si="0"/>
        <v/>
      </c>
    </row>
    <row r="18" spans="1:17">
      <c r="A18" s="22" t="s">
        <v>104</v>
      </c>
      <c r="B18" s="22" t="s">
        <v>516</v>
      </c>
      <c r="D18" s="86" t="s">
        <v>948</v>
      </c>
      <c r="E18" s="86">
        <v>2035</v>
      </c>
      <c r="H18" s="255">
        <v>135</v>
      </c>
      <c r="J18" s="37">
        <v>270</v>
      </c>
      <c r="Q18" s="698" t="str">
        <f t="shared" si="0"/>
        <v/>
      </c>
    </row>
    <row r="19" spans="1:17">
      <c r="A19" s="22" t="s">
        <v>104</v>
      </c>
      <c r="B19" s="22" t="s">
        <v>513</v>
      </c>
      <c r="D19" s="86" t="s">
        <v>948</v>
      </c>
      <c r="E19" s="86">
        <v>2035</v>
      </c>
      <c r="H19" s="255">
        <v>550</v>
      </c>
      <c r="Q19" s="698" t="str">
        <f t="shared" si="0"/>
        <v/>
      </c>
    </row>
    <row r="20" spans="1:17">
      <c r="A20" s="22" t="s">
        <v>104</v>
      </c>
      <c r="B20" s="22" t="s">
        <v>511</v>
      </c>
      <c r="D20" s="86" t="s">
        <v>948</v>
      </c>
      <c r="E20" s="86">
        <v>2035</v>
      </c>
      <c r="H20" s="255">
        <v>1200</v>
      </c>
      <c r="Q20" s="698" t="str">
        <f t="shared" si="0"/>
        <v/>
      </c>
    </row>
    <row r="21" spans="1:17">
      <c r="A21" s="22" t="s">
        <v>105</v>
      </c>
      <c r="B21" s="22" t="s">
        <v>514</v>
      </c>
      <c r="D21" s="86" t="s">
        <v>948</v>
      </c>
      <c r="E21" s="86">
        <v>2035</v>
      </c>
      <c r="H21" s="255">
        <v>700</v>
      </c>
      <c r="Q21" s="698" t="str">
        <f t="shared" si="0"/>
        <v/>
      </c>
    </row>
    <row r="22" spans="1:17">
      <c r="A22" s="22" t="s">
        <v>105</v>
      </c>
      <c r="B22" s="22" t="s">
        <v>520</v>
      </c>
      <c r="D22" s="86" t="s">
        <v>948</v>
      </c>
      <c r="E22" s="86">
        <v>2035</v>
      </c>
      <c r="H22" s="255">
        <v>200</v>
      </c>
      <c r="J22" s="37">
        <v>400</v>
      </c>
      <c r="Q22" s="698" t="str">
        <f t="shared" si="0"/>
        <v/>
      </c>
    </row>
    <row r="23" spans="1:17">
      <c r="A23" s="22" t="s">
        <v>105</v>
      </c>
      <c r="B23" s="22" t="s">
        <v>516</v>
      </c>
      <c r="D23" s="86" t="s">
        <v>948</v>
      </c>
      <c r="E23" s="86">
        <v>2035</v>
      </c>
      <c r="H23" s="255">
        <v>1020</v>
      </c>
      <c r="J23" s="37">
        <v>2045</v>
      </c>
      <c r="Q23" s="698" t="str">
        <f t="shared" si="0"/>
        <v/>
      </c>
    </row>
    <row r="24" spans="1:17">
      <c r="A24" s="22" t="s">
        <v>105</v>
      </c>
      <c r="B24" s="22" t="s">
        <v>517</v>
      </c>
      <c r="D24" s="86" t="s">
        <v>948</v>
      </c>
      <c r="E24" s="86">
        <v>2035</v>
      </c>
      <c r="H24" s="255">
        <v>289</v>
      </c>
      <c r="J24" s="37">
        <v>578</v>
      </c>
      <c r="Q24" s="698" t="str">
        <f t="shared" si="0"/>
        <v/>
      </c>
    </row>
    <row r="25" spans="1:17">
      <c r="A25" s="22" t="s">
        <v>105</v>
      </c>
      <c r="B25" s="22" t="s">
        <v>513</v>
      </c>
      <c r="D25" s="86" t="s">
        <v>948</v>
      </c>
      <c r="E25" s="86">
        <v>2035</v>
      </c>
      <c r="H25" s="255">
        <v>4158</v>
      </c>
      <c r="Q25" s="698" t="str">
        <f t="shared" si="0"/>
        <v/>
      </c>
    </row>
    <row r="26" spans="1:17">
      <c r="A26" s="22" t="s">
        <v>105</v>
      </c>
      <c r="B26" s="22" t="s">
        <v>511</v>
      </c>
      <c r="D26" s="86" t="s">
        <v>948</v>
      </c>
      <c r="E26" s="86">
        <v>2035</v>
      </c>
      <c r="H26" s="255">
        <v>12000</v>
      </c>
      <c r="Q26" s="698" t="str">
        <f t="shared" si="0"/>
        <v/>
      </c>
    </row>
    <row r="27" spans="1:17">
      <c r="A27" s="22" t="s">
        <v>106</v>
      </c>
      <c r="B27" s="22" t="s">
        <v>520</v>
      </c>
      <c r="D27" s="86" t="s">
        <v>948</v>
      </c>
      <c r="E27" s="86">
        <v>2035</v>
      </c>
      <c r="H27" s="255">
        <v>80</v>
      </c>
      <c r="J27" s="37">
        <v>160</v>
      </c>
      <c r="Q27" s="698" t="str">
        <f t="shared" si="0"/>
        <v/>
      </c>
    </row>
    <row r="28" spans="1:17">
      <c r="A28" s="22" t="s">
        <v>106</v>
      </c>
      <c r="B28" s="22" t="s">
        <v>516</v>
      </c>
      <c r="D28" s="86" t="s">
        <v>948</v>
      </c>
      <c r="E28" s="86">
        <v>2035</v>
      </c>
      <c r="H28" s="255">
        <v>360</v>
      </c>
      <c r="J28" s="37">
        <v>720</v>
      </c>
      <c r="Q28" s="698" t="str">
        <f t="shared" si="0"/>
        <v/>
      </c>
    </row>
    <row r="29" spans="1:17">
      <c r="A29" s="22" t="s">
        <v>106</v>
      </c>
      <c r="B29" s="22" t="s">
        <v>513</v>
      </c>
      <c r="D29" s="86" t="s">
        <v>948</v>
      </c>
      <c r="E29" s="86">
        <v>2035</v>
      </c>
      <c r="H29" s="255">
        <v>1200</v>
      </c>
      <c r="Q29" s="698" t="str">
        <f t="shared" si="0"/>
        <v/>
      </c>
    </row>
    <row r="30" spans="1:17">
      <c r="A30" s="22" t="s">
        <v>106</v>
      </c>
      <c r="B30" s="22" t="s">
        <v>511</v>
      </c>
      <c r="D30" s="86" t="s">
        <v>948</v>
      </c>
      <c r="E30" s="86">
        <v>2035</v>
      </c>
      <c r="H30" s="255">
        <v>2500</v>
      </c>
      <c r="Q30" s="698" t="str">
        <f t="shared" si="0"/>
        <v/>
      </c>
    </row>
    <row r="31" spans="1:17">
      <c r="A31" s="22" t="s">
        <v>99</v>
      </c>
      <c r="B31" s="22" t="s">
        <v>532</v>
      </c>
      <c r="D31" s="86" t="s">
        <v>948</v>
      </c>
      <c r="E31" s="86">
        <v>2035</v>
      </c>
      <c r="H31" s="255">
        <v>374</v>
      </c>
      <c r="Q31" s="698" t="str">
        <f t="shared" si="0"/>
        <v/>
      </c>
    </row>
    <row r="32" spans="1:17">
      <c r="A32" s="22" t="s">
        <v>99</v>
      </c>
      <c r="B32" s="22" t="s">
        <v>846</v>
      </c>
      <c r="D32" s="86" t="s">
        <v>948</v>
      </c>
      <c r="E32" s="86">
        <v>2035</v>
      </c>
      <c r="H32" s="255">
        <v>374</v>
      </c>
      <c r="Q32" s="698" t="str">
        <f t="shared" si="0"/>
        <v/>
      </c>
    </row>
    <row r="33" spans="1:17">
      <c r="A33" s="22" t="s">
        <v>104</v>
      </c>
      <c r="B33" s="22" t="s">
        <v>532</v>
      </c>
      <c r="D33" s="86" t="s">
        <v>948</v>
      </c>
      <c r="E33" s="86">
        <v>2035</v>
      </c>
      <c r="H33" s="255">
        <v>98</v>
      </c>
      <c r="Q33" s="698" t="str">
        <f t="shared" si="0"/>
        <v/>
      </c>
    </row>
    <row r="34" spans="1:17">
      <c r="A34" s="22" t="s">
        <v>104</v>
      </c>
      <c r="B34" s="22" t="s">
        <v>846</v>
      </c>
      <c r="D34" s="86" t="s">
        <v>948</v>
      </c>
      <c r="E34" s="86">
        <v>2035</v>
      </c>
      <c r="H34" s="255">
        <v>98</v>
      </c>
      <c r="Q34" s="698" t="str">
        <f t="shared" si="0"/>
        <v/>
      </c>
    </row>
    <row r="35" spans="1:17">
      <c r="A35" s="22" t="s">
        <v>105</v>
      </c>
      <c r="B35" s="22" t="s">
        <v>532</v>
      </c>
      <c r="D35" s="86" t="s">
        <v>948</v>
      </c>
      <c r="E35" s="86">
        <v>2035</v>
      </c>
      <c r="H35" s="255">
        <v>760</v>
      </c>
      <c r="Q35" s="698" t="str">
        <f t="shared" si="0"/>
        <v/>
      </c>
    </row>
    <row r="36" spans="1:17">
      <c r="A36" s="22" t="s">
        <v>105</v>
      </c>
      <c r="B36" s="22" t="s">
        <v>846</v>
      </c>
      <c r="D36" s="86" t="s">
        <v>948</v>
      </c>
      <c r="E36" s="86">
        <v>2035</v>
      </c>
      <c r="H36" s="255">
        <v>760</v>
      </c>
      <c r="Q36" s="698" t="str">
        <f t="shared" si="0"/>
        <v/>
      </c>
    </row>
    <row r="37" spans="1:17">
      <c r="A37" s="22" t="s">
        <v>106</v>
      </c>
      <c r="B37" s="22" t="s">
        <v>532</v>
      </c>
      <c r="D37" s="86" t="s">
        <v>948</v>
      </c>
      <c r="E37" s="86">
        <v>2035</v>
      </c>
      <c r="H37" s="255">
        <v>224</v>
      </c>
      <c r="Q37" s="698" t="str">
        <f t="shared" si="0"/>
        <v/>
      </c>
    </row>
    <row r="38" spans="1:17">
      <c r="A38" s="22" t="s">
        <v>106</v>
      </c>
      <c r="B38" s="22" t="s">
        <v>846</v>
      </c>
      <c r="D38" s="86" t="s">
        <v>948</v>
      </c>
      <c r="E38" s="86">
        <v>2035</v>
      </c>
      <c r="H38" s="255">
        <v>224</v>
      </c>
      <c r="Q38" s="698" t="str">
        <f t="shared" si="0"/>
        <v/>
      </c>
    </row>
    <row r="39" spans="1:17">
      <c r="A39" s="22" t="s">
        <v>107</v>
      </c>
      <c r="B39" s="22" t="s">
        <v>532</v>
      </c>
      <c r="D39" s="86" t="s">
        <v>948</v>
      </c>
      <c r="E39" s="86">
        <v>2035</v>
      </c>
      <c r="H39" s="255">
        <v>1998</v>
      </c>
      <c r="Q39" s="698" t="str">
        <f t="shared" si="0"/>
        <v/>
      </c>
    </row>
    <row r="40" spans="1:17">
      <c r="A40" s="22" t="s">
        <v>107</v>
      </c>
      <c r="B40" s="22" t="s">
        <v>846</v>
      </c>
      <c r="D40" s="86" t="s">
        <v>948</v>
      </c>
      <c r="E40" s="86">
        <v>2035</v>
      </c>
      <c r="H40" s="255">
        <v>1998</v>
      </c>
      <c r="Q40" s="698" t="str">
        <f t="shared" si="0"/>
        <v/>
      </c>
    </row>
    <row r="41" spans="1:17">
      <c r="A41" s="22" t="s">
        <v>113</v>
      </c>
      <c r="B41" s="22" t="s">
        <v>532</v>
      </c>
      <c r="D41" s="86" t="s">
        <v>948</v>
      </c>
      <c r="E41" s="86">
        <v>2035</v>
      </c>
      <c r="H41" s="255">
        <v>2120</v>
      </c>
      <c r="Q41" s="698" t="str">
        <f t="shared" si="0"/>
        <v/>
      </c>
    </row>
    <row r="42" spans="1:17">
      <c r="A42" s="210" t="s">
        <v>113</v>
      </c>
      <c r="B42" s="210" t="s">
        <v>846</v>
      </c>
      <c r="C42" s="210"/>
      <c r="D42" s="688" t="s">
        <v>948</v>
      </c>
      <c r="E42" s="688">
        <v>2035</v>
      </c>
      <c r="F42" s="694"/>
      <c r="G42" s="691"/>
      <c r="H42" s="694">
        <v>2120</v>
      </c>
      <c r="I42" s="691"/>
      <c r="J42" s="274"/>
      <c r="K42" s="691"/>
      <c r="L42" s="697"/>
      <c r="M42" s="692"/>
      <c r="N42" s="692"/>
      <c r="O42" s="692"/>
      <c r="P42" s="210"/>
      <c r="Q42" s="698" t="str">
        <f t="shared" si="0"/>
        <v/>
      </c>
    </row>
    <row r="43" spans="1:17">
      <c r="A43" s="22" t="s">
        <v>117</v>
      </c>
      <c r="B43" s="22" t="s">
        <v>511</v>
      </c>
      <c r="C43" s="22" t="s">
        <v>700</v>
      </c>
      <c r="D43" s="86" t="s">
        <v>948</v>
      </c>
      <c r="E43" s="86">
        <v>2035</v>
      </c>
      <c r="F43" s="255" t="s">
        <v>670</v>
      </c>
      <c r="G43" s="687" t="s">
        <v>670</v>
      </c>
      <c r="H43" s="255">
        <v>671</v>
      </c>
      <c r="I43" s="687" t="s">
        <v>700</v>
      </c>
      <c r="J43" s="37">
        <v>0</v>
      </c>
      <c r="K43" s="687" t="s">
        <v>670</v>
      </c>
      <c r="L43" s="696" t="s">
        <v>670</v>
      </c>
      <c r="N43" s="508" t="s">
        <v>670</v>
      </c>
      <c r="O43" s="508" t="s">
        <v>670</v>
      </c>
      <c r="Q43" s="698" t="str">
        <f t="shared" si="0"/>
        <v/>
      </c>
    </row>
    <row r="44" spans="1:17">
      <c r="A44" s="22" t="s">
        <v>117</v>
      </c>
      <c r="B44" s="22" t="s">
        <v>512</v>
      </c>
      <c r="C44" s="22" t="s">
        <v>700</v>
      </c>
      <c r="D44" s="86" t="s">
        <v>948</v>
      </c>
      <c r="E44" s="86">
        <v>2035</v>
      </c>
      <c r="F44" s="255" t="s">
        <v>670</v>
      </c>
      <c r="G44" s="687" t="s">
        <v>670</v>
      </c>
      <c r="H44" s="255">
        <v>912</v>
      </c>
      <c r="I44" s="687" t="s">
        <v>700</v>
      </c>
      <c r="J44" s="37">
        <v>0</v>
      </c>
      <c r="K44" s="687" t="s">
        <v>670</v>
      </c>
      <c r="L44" s="696" t="s">
        <v>670</v>
      </c>
      <c r="N44" s="508" t="s">
        <v>670</v>
      </c>
      <c r="O44" s="508" t="s">
        <v>670</v>
      </c>
      <c r="Q44" s="698" t="str">
        <f t="shared" si="0"/>
        <v/>
      </c>
    </row>
    <row r="45" spans="1:17">
      <c r="A45" s="22" t="s">
        <v>117</v>
      </c>
      <c r="B45" s="22" t="s">
        <v>513</v>
      </c>
      <c r="C45" s="22" t="s">
        <v>700</v>
      </c>
      <c r="D45" s="86" t="s">
        <v>948</v>
      </c>
      <c r="E45" s="86">
        <v>2035</v>
      </c>
      <c r="F45" s="255" t="s">
        <v>670</v>
      </c>
      <c r="G45" s="687" t="s">
        <v>670</v>
      </c>
      <c r="H45" s="255">
        <v>527</v>
      </c>
      <c r="I45" s="687" t="s">
        <v>700</v>
      </c>
      <c r="J45" s="37">
        <v>0</v>
      </c>
      <c r="K45" s="687" t="s">
        <v>670</v>
      </c>
      <c r="L45" s="696" t="s">
        <v>670</v>
      </c>
      <c r="N45" s="508" t="s">
        <v>670</v>
      </c>
      <c r="O45" s="508" t="s">
        <v>670</v>
      </c>
      <c r="Q45" s="698" t="str">
        <f t="shared" si="0"/>
        <v/>
      </c>
    </row>
    <row r="46" spans="1:17">
      <c r="A46" s="22" t="s">
        <v>117</v>
      </c>
      <c r="B46" s="22" t="s">
        <v>514</v>
      </c>
      <c r="C46" s="22" t="s">
        <v>700</v>
      </c>
      <c r="D46" s="86" t="s">
        <v>948</v>
      </c>
      <c r="E46" s="86">
        <v>2035</v>
      </c>
      <c r="F46" s="255" t="s">
        <v>670</v>
      </c>
      <c r="G46" s="687" t="s">
        <v>670</v>
      </c>
      <c r="H46" s="255">
        <v>343.2</v>
      </c>
      <c r="I46" s="687" t="s">
        <v>700</v>
      </c>
      <c r="J46" s="37">
        <v>0</v>
      </c>
      <c r="K46" s="687" t="s">
        <v>670</v>
      </c>
      <c r="L46" s="696" t="s">
        <v>670</v>
      </c>
      <c r="N46" s="508" t="s">
        <v>670</v>
      </c>
      <c r="O46" s="508" t="s">
        <v>670</v>
      </c>
      <c r="Q46" s="698" t="str">
        <f t="shared" si="0"/>
        <v/>
      </c>
    </row>
    <row r="47" spans="1:17">
      <c r="A47" s="22" t="s">
        <v>117</v>
      </c>
      <c r="B47" s="22" t="s">
        <v>510</v>
      </c>
      <c r="C47" s="22" t="s">
        <v>700</v>
      </c>
      <c r="D47" s="86" t="s">
        <v>948</v>
      </c>
      <c r="E47" s="86">
        <v>2035</v>
      </c>
      <c r="F47" s="255">
        <v>1343</v>
      </c>
      <c r="G47" s="687" t="s">
        <v>670</v>
      </c>
      <c r="H47" s="255">
        <v>630</v>
      </c>
      <c r="I47" s="687" t="s">
        <v>670</v>
      </c>
      <c r="J47" s="37">
        <v>587</v>
      </c>
      <c r="K47" s="687" t="s">
        <v>700</v>
      </c>
      <c r="L47" s="696">
        <v>1.0732538330494037</v>
      </c>
      <c r="N47" s="508">
        <v>0.90618019359642588</v>
      </c>
      <c r="O47" s="508">
        <v>0.90618019359642588</v>
      </c>
      <c r="Q47" s="698" t="str">
        <f t="shared" si="0"/>
        <v/>
      </c>
    </row>
    <row r="48" spans="1:17">
      <c r="A48" s="22" t="s">
        <v>117</v>
      </c>
      <c r="B48" s="22" t="s">
        <v>515</v>
      </c>
      <c r="C48" s="22" t="s">
        <v>700</v>
      </c>
      <c r="D48" s="86" t="s">
        <v>948</v>
      </c>
      <c r="E48" s="86">
        <v>2035</v>
      </c>
      <c r="F48" s="255" t="s">
        <v>670</v>
      </c>
      <c r="G48" s="687" t="s">
        <v>670</v>
      </c>
      <c r="H48" s="255">
        <v>540</v>
      </c>
      <c r="I48" s="687" t="s">
        <v>700</v>
      </c>
      <c r="J48" s="37">
        <v>0</v>
      </c>
      <c r="K48" s="687" t="s">
        <v>670</v>
      </c>
      <c r="L48" s="696" t="s">
        <v>670</v>
      </c>
      <c r="N48" s="508" t="s">
        <v>670</v>
      </c>
      <c r="O48" s="508" t="s">
        <v>670</v>
      </c>
      <c r="Q48" s="698" t="str">
        <f t="shared" si="0"/>
        <v/>
      </c>
    </row>
    <row r="49" spans="1:17">
      <c r="A49" s="22" t="s">
        <v>117</v>
      </c>
      <c r="B49" s="22" t="s">
        <v>846</v>
      </c>
      <c r="C49" s="22" t="s">
        <v>700</v>
      </c>
      <c r="D49" s="86" t="s">
        <v>948</v>
      </c>
      <c r="E49" s="86">
        <v>2035</v>
      </c>
      <c r="F49" s="255" t="s">
        <v>670</v>
      </c>
      <c r="G49" s="687" t="s">
        <v>700</v>
      </c>
      <c r="H49" s="255">
        <v>340</v>
      </c>
      <c r="I49" s="687" t="s">
        <v>700</v>
      </c>
      <c r="J49" s="37">
        <v>0</v>
      </c>
      <c r="K49" s="687" t="s">
        <v>670</v>
      </c>
      <c r="L49" s="696" t="s">
        <v>670</v>
      </c>
      <c r="N49" s="508" t="s">
        <v>670</v>
      </c>
      <c r="O49" s="508" t="s">
        <v>670</v>
      </c>
      <c r="Q49" s="698" t="str">
        <f t="shared" si="0"/>
        <v/>
      </c>
    </row>
    <row r="50" spans="1:17">
      <c r="A50" s="22" t="s">
        <v>117</v>
      </c>
      <c r="B50" s="22" t="s">
        <v>532</v>
      </c>
      <c r="C50" s="22" t="s">
        <v>700</v>
      </c>
      <c r="D50" s="86" t="s">
        <v>948</v>
      </c>
      <c r="E50" s="86">
        <v>2035</v>
      </c>
      <c r="F50" s="255" t="s">
        <v>670</v>
      </c>
      <c r="G50" s="687" t="s">
        <v>700</v>
      </c>
      <c r="H50" s="255">
        <v>340</v>
      </c>
      <c r="I50" s="687" t="s">
        <v>700</v>
      </c>
      <c r="J50" s="37">
        <v>0</v>
      </c>
      <c r="K50" s="687" t="s">
        <v>670</v>
      </c>
      <c r="L50" s="696" t="s">
        <v>670</v>
      </c>
      <c r="N50" s="508" t="s">
        <v>670</v>
      </c>
      <c r="O50" s="508" t="s">
        <v>670</v>
      </c>
      <c r="Q50" s="698" t="str">
        <f t="shared" si="0"/>
        <v/>
      </c>
    </row>
    <row r="51" spans="1:17">
      <c r="A51" s="22" t="s">
        <v>117</v>
      </c>
      <c r="B51" s="22" t="s">
        <v>850</v>
      </c>
      <c r="C51" s="22" t="s">
        <v>700</v>
      </c>
      <c r="D51" s="86" t="s">
        <v>948</v>
      </c>
      <c r="E51" s="86">
        <v>2035</v>
      </c>
      <c r="F51" s="255" t="s">
        <v>670</v>
      </c>
      <c r="G51" s="687" t="s">
        <v>700</v>
      </c>
      <c r="H51" s="255">
        <v>120</v>
      </c>
      <c r="I51" s="687" t="s">
        <v>700</v>
      </c>
      <c r="J51" s="37">
        <v>0</v>
      </c>
      <c r="K51" s="687" t="s">
        <v>670</v>
      </c>
      <c r="L51" s="696" t="s">
        <v>670</v>
      </c>
      <c r="N51" s="508" t="s">
        <v>670</v>
      </c>
      <c r="O51" s="508" t="s">
        <v>670</v>
      </c>
      <c r="Q51" s="698" t="str">
        <f t="shared" si="0"/>
        <v/>
      </c>
    </row>
    <row r="52" spans="1:17">
      <c r="A52" s="22" t="s">
        <v>117</v>
      </c>
      <c r="B52" s="22" t="s">
        <v>534</v>
      </c>
      <c r="C52" s="22" t="s">
        <v>700</v>
      </c>
      <c r="D52" s="86" t="s">
        <v>948</v>
      </c>
      <c r="E52" s="86">
        <v>2035</v>
      </c>
      <c r="F52" s="255" t="s">
        <v>670</v>
      </c>
      <c r="G52" s="687" t="s">
        <v>700</v>
      </c>
      <c r="H52" s="255">
        <v>120</v>
      </c>
      <c r="I52" s="687" t="s">
        <v>700</v>
      </c>
      <c r="J52" s="37">
        <v>0</v>
      </c>
      <c r="K52" s="687" t="s">
        <v>670</v>
      </c>
      <c r="L52" s="696" t="s">
        <v>670</v>
      </c>
      <c r="N52" s="508" t="s">
        <v>670</v>
      </c>
      <c r="O52" s="508" t="s">
        <v>670</v>
      </c>
      <c r="Q52" s="698" t="str">
        <f t="shared" si="0"/>
        <v/>
      </c>
    </row>
    <row r="53" spans="1:17">
      <c r="A53" s="22" t="s">
        <v>117</v>
      </c>
      <c r="B53" s="22" t="s">
        <v>513</v>
      </c>
      <c r="C53" s="22" t="s">
        <v>701</v>
      </c>
      <c r="D53" s="86" t="s">
        <v>948</v>
      </c>
      <c r="E53" s="86">
        <v>2035</v>
      </c>
      <c r="F53" s="255" t="s">
        <v>670</v>
      </c>
      <c r="G53" s="687" t="s">
        <v>670</v>
      </c>
      <c r="H53" s="255">
        <v>139</v>
      </c>
      <c r="I53" s="687" t="s">
        <v>701</v>
      </c>
      <c r="J53" s="37">
        <v>0</v>
      </c>
      <c r="K53" s="687" t="s">
        <v>670</v>
      </c>
      <c r="L53" s="696" t="s">
        <v>670</v>
      </c>
      <c r="N53" s="508" t="s">
        <v>670</v>
      </c>
      <c r="O53" s="508" t="s">
        <v>670</v>
      </c>
      <c r="Q53" s="698" t="str">
        <f t="shared" si="0"/>
        <v/>
      </c>
    </row>
    <row r="54" spans="1:17">
      <c r="A54" s="22" t="s">
        <v>117</v>
      </c>
      <c r="B54" s="22" t="s">
        <v>512</v>
      </c>
      <c r="C54" s="22" t="s">
        <v>701</v>
      </c>
      <c r="D54" s="86" t="s">
        <v>948</v>
      </c>
      <c r="E54" s="86">
        <v>2035</v>
      </c>
      <c r="F54" s="255" t="s">
        <v>670</v>
      </c>
      <c r="G54" s="687" t="s">
        <v>670</v>
      </c>
      <c r="H54" s="255">
        <v>757.4</v>
      </c>
      <c r="I54" s="687" t="s">
        <v>701</v>
      </c>
      <c r="J54" s="37">
        <v>0</v>
      </c>
      <c r="K54" s="687" t="s">
        <v>670</v>
      </c>
      <c r="L54" s="696" t="s">
        <v>670</v>
      </c>
      <c r="N54" s="508" t="s">
        <v>670</v>
      </c>
      <c r="O54" s="508" t="s">
        <v>670</v>
      </c>
      <c r="Q54" s="698" t="str">
        <f t="shared" si="0"/>
        <v/>
      </c>
    </row>
    <row r="55" spans="1:17">
      <c r="A55" s="22" t="s">
        <v>117</v>
      </c>
      <c r="B55" s="22" t="s">
        <v>511</v>
      </c>
      <c r="C55" s="22" t="s">
        <v>701</v>
      </c>
      <c r="D55" s="86" t="s">
        <v>948</v>
      </c>
      <c r="E55" s="86">
        <v>2035</v>
      </c>
      <c r="F55" s="255" t="s">
        <v>670</v>
      </c>
      <c r="G55" s="687" t="s">
        <v>670</v>
      </c>
      <c r="H55" s="255">
        <v>88</v>
      </c>
      <c r="I55" s="687" t="s">
        <v>701</v>
      </c>
      <c r="J55" s="37">
        <v>0</v>
      </c>
      <c r="K55" s="687" t="s">
        <v>670</v>
      </c>
      <c r="L55" s="696" t="s">
        <v>670</v>
      </c>
      <c r="N55" s="508" t="s">
        <v>670</v>
      </c>
      <c r="O55" s="508" t="s">
        <v>670</v>
      </c>
      <c r="Q55" s="698" t="str">
        <f t="shared" si="0"/>
        <v/>
      </c>
    </row>
    <row r="56" spans="1:17">
      <c r="A56" s="22" t="s">
        <v>117</v>
      </c>
      <c r="B56" s="22" t="s">
        <v>514</v>
      </c>
      <c r="C56" s="22" t="s">
        <v>701</v>
      </c>
      <c r="D56" s="86" t="s">
        <v>948</v>
      </c>
      <c r="E56" s="86">
        <v>2035</v>
      </c>
      <c r="F56" s="255" t="s">
        <v>670</v>
      </c>
      <c r="G56" s="687" t="s">
        <v>670</v>
      </c>
      <c r="H56" s="255">
        <v>295</v>
      </c>
      <c r="I56" s="687" t="s">
        <v>701</v>
      </c>
      <c r="J56" s="37">
        <v>0</v>
      </c>
      <c r="K56" s="687" t="s">
        <v>670</v>
      </c>
      <c r="L56" s="696" t="s">
        <v>670</v>
      </c>
      <c r="N56" s="508" t="s">
        <v>670</v>
      </c>
      <c r="O56" s="508" t="s">
        <v>670</v>
      </c>
      <c r="Q56" s="698" t="str">
        <f t="shared" si="0"/>
        <v/>
      </c>
    </row>
    <row r="57" spans="1:17">
      <c r="A57" s="22" t="s">
        <v>117</v>
      </c>
      <c r="B57" s="22" t="s">
        <v>510</v>
      </c>
      <c r="C57" s="22" t="s">
        <v>701</v>
      </c>
      <c r="D57" s="86" t="s">
        <v>948</v>
      </c>
      <c r="E57" s="86">
        <v>2035</v>
      </c>
      <c r="F57" s="255">
        <v>498</v>
      </c>
      <c r="G57" s="687" t="s">
        <v>670</v>
      </c>
      <c r="H57" s="255">
        <v>234</v>
      </c>
      <c r="I57" s="687" t="s">
        <v>670</v>
      </c>
      <c r="J57" s="37">
        <v>213</v>
      </c>
      <c r="K57" s="687" t="s">
        <v>701</v>
      </c>
      <c r="L57" s="696">
        <v>1.0985915492957747</v>
      </c>
      <c r="N57" s="508">
        <v>0.89759036144578308</v>
      </c>
      <c r="O57" s="508">
        <v>0.89759036144578308</v>
      </c>
      <c r="Q57" s="698" t="str">
        <f t="shared" si="0"/>
        <v/>
      </c>
    </row>
    <row r="58" spans="1:17">
      <c r="A58" s="22" t="s">
        <v>117</v>
      </c>
      <c r="B58" s="22" t="s">
        <v>533</v>
      </c>
      <c r="C58" s="22" t="s">
        <v>701</v>
      </c>
      <c r="D58" s="86" t="s">
        <v>948</v>
      </c>
      <c r="E58" s="86">
        <v>2035</v>
      </c>
      <c r="F58" s="255">
        <v>132</v>
      </c>
      <c r="G58" s="687" t="s">
        <v>670</v>
      </c>
      <c r="H58" s="255">
        <v>49</v>
      </c>
      <c r="I58" s="687" t="s">
        <v>670</v>
      </c>
      <c r="J58" s="37">
        <v>80</v>
      </c>
      <c r="K58" s="687" t="s">
        <v>701</v>
      </c>
      <c r="L58" s="696">
        <v>0.61250000000000004</v>
      </c>
      <c r="N58" s="508">
        <v>0.97727272727272729</v>
      </c>
      <c r="O58" s="508">
        <v>0.97727272727272729</v>
      </c>
      <c r="Q58" s="698" t="str">
        <f t="shared" si="0"/>
        <v/>
      </c>
    </row>
    <row r="59" spans="1:17">
      <c r="A59" s="22" t="s">
        <v>117</v>
      </c>
      <c r="B59" s="22" t="s">
        <v>515</v>
      </c>
      <c r="C59" s="22" t="s">
        <v>701</v>
      </c>
      <c r="D59" s="86" t="s">
        <v>948</v>
      </c>
      <c r="E59" s="86">
        <v>2035</v>
      </c>
      <c r="F59" s="255" t="s">
        <v>670</v>
      </c>
      <c r="G59" s="687" t="s">
        <v>670</v>
      </c>
      <c r="H59" s="255">
        <v>150</v>
      </c>
      <c r="I59" s="687" t="s">
        <v>701</v>
      </c>
      <c r="J59" s="37">
        <v>0</v>
      </c>
      <c r="K59" s="687" t="s">
        <v>670</v>
      </c>
      <c r="L59" s="696" t="s">
        <v>670</v>
      </c>
      <c r="N59" s="508" t="s">
        <v>670</v>
      </c>
      <c r="O59" s="508" t="s">
        <v>670</v>
      </c>
      <c r="Q59" s="698" t="str">
        <f t="shared" si="0"/>
        <v/>
      </c>
    </row>
    <row r="60" spans="1:17">
      <c r="A60" s="22" t="s">
        <v>117</v>
      </c>
      <c r="B60" s="22" t="s">
        <v>846</v>
      </c>
      <c r="C60" s="22" t="s">
        <v>701</v>
      </c>
      <c r="D60" s="86" t="s">
        <v>948</v>
      </c>
      <c r="E60" s="86">
        <v>2035</v>
      </c>
      <c r="F60" s="255" t="s">
        <v>670</v>
      </c>
      <c r="G60" s="687" t="s">
        <v>701</v>
      </c>
      <c r="H60" s="255">
        <v>280</v>
      </c>
      <c r="I60" s="687" t="s">
        <v>701</v>
      </c>
      <c r="J60" s="37">
        <v>0</v>
      </c>
      <c r="K60" s="687" t="s">
        <v>670</v>
      </c>
      <c r="L60" s="696" t="s">
        <v>670</v>
      </c>
      <c r="N60" s="508" t="s">
        <v>670</v>
      </c>
      <c r="O60" s="508" t="s">
        <v>670</v>
      </c>
      <c r="Q60" s="698" t="str">
        <f t="shared" si="0"/>
        <v/>
      </c>
    </row>
    <row r="61" spans="1:17">
      <c r="A61" s="22" t="s">
        <v>117</v>
      </c>
      <c r="B61" s="22" t="s">
        <v>532</v>
      </c>
      <c r="C61" s="22" t="s">
        <v>701</v>
      </c>
      <c r="D61" s="86" t="s">
        <v>948</v>
      </c>
      <c r="E61" s="86">
        <v>2035</v>
      </c>
      <c r="F61" s="255" t="s">
        <v>670</v>
      </c>
      <c r="G61" s="687" t="s">
        <v>701</v>
      </c>
      <c r="H61" s="255">
        <v>280</v>
      </c>
      <c r="I61" s="687" t="s">
        <v>701</v>
      </c>
      <c r="J61" s="37">
        <v>0</v>
      </c>
      <c r="K61" s="687" t="s">
        <v>670</v>
      </c>
      <c r="L61" s="696" t="s">
        <v>670</v>
      </c>
      <c r="N61" s="508" t="s">
        <v>670</v>
      </c>
      <c r="O61" s="508" t="s">
        <v>670</v>
      </c>
      <c r="Q61" s="698" t="str">
        <f t="shared" si="0"/>
        <v/>
      </c>
    </row>
    <row r="62" spans="1:17">
      <c r="A62" s="22" t="s">
        <v>117</v>
      </c>
      <c r="B62" s="22" t="s">
        <v>512</v>
      </c>
      <c r="C62" s="22" t="s">
        <v>702</v>
      </c>
      <c r="D62" s="86" t="s">
        <v>948</v>
      </c>
      <c r="E62" s="86">
        <v>2035</v>
      </c>
      <c r="F62" s="255" t="s">
        <v>670</v>
      </c>
      <c r="G62" s="687" t="s">
        <v>670</v>
      </c>
      <c r="H62" s="255">
        <v>427</v>
      </c>
      <c r="I62" s="687" t="s">
        <v>702</v>
      </c>
      <c r="J62" s="37">
        <v>0</v>
      </c>
      <c r="K62" s="687" t="s">
        <v>670</v>
      </c>
      <c r="L62" s="696" t="s">
        <v>670</v>
      </c>
      <c r="N62" s="508" t="s">
        <v>670</v>
      </c>
      <c r="O62" s="508" t="s">
        <v>670</v>
      </c>
      <c r="Q62" s="698" t="str">
        <f t="shared" si="0"/>
        <v/>
      </c>
    </row>
    <row r="63" spans="1:17">
      <c r="A63" s="22" t="s">
        <v>117</v>
      </c>
      <c r="B63" s="22" t="s">
        <v>511</v>
      </c>
      <c r="C63" s="22" t="s">
        <v>702</v>
      </c>
      <c r="D63" s="86" t="s">
        <v>948</v>
      </c>
      <c r="E63" s="86">
        <v>2035</v>
      </c>
      <c r="F63" s="255" t="s">
        <v>670</v>
      </c>
      <c r="G63" s="687" t="s">
        <v>670</v>
      </c>
      <c r="H63" s="255">
        <v>92</v>
      </c>
      <c r="I63" s="687" t="s">
        <v>702</v>
      </c>
      <c r="J63" s="37">
        <v>0</v>
      </c>
      <c r="K63" s="687" t="s">
        <v>670</v>
      </c>
      <c r="L63" s="696" t="s">
        <v>670</v>
      </c>
      <c r="N63" s="508" t="s">
        <v>670</v>
      </c>
      <c r="O63" s="508" t="s">
        <v>670</v>
      </c>
      <c r="Q63" s="698" t="str">
        <f t="shared" si="0"/>
        <v/>
      </c>
    </row>
    <row r="64" spans="1:17">
      <c r="A64" s="22" t="s">
        <v>117</v>
      </c>
      <c r="B64" s="22" t="s">
        <v>536</v>
      </c>
      <c r="C64" s="22" t="s">
        <v>702</v>
      </c>
      <c r="D64" s="86" t="s">
        <v>948</v>
      </c>
      <c r="E64" s="86">
        <v>2035</v>
      </c>
      <c r="F64" s="255" t="s">
        <v>670</v>
      </c>
      <c r="G64" s="687" t="s">
        <v>670</v>
      </c>
      <c r="H64" s="255">
        <v>80</v>
      </c>
      <c r="I64" s="687" t="s">
        <v>702</v>
      </c>
      <c r="J64" s="37">
        <v>0</v>
      </c>
      <c r="K64" s="687" t="s">
        <v>670</v>
      </c>
      <c r="L64" s="696" t="s">
        <v>670</v>
      </c>
      <c r="N64" s="508" t="s">
        <v>670</v>
      </c>
      <c r="O64" s="508" t="s">
        <v>670</v>
      </c>
      <c r="Q64" s="698" t="str">
        <f t="shared" si="0"/>
        <v/>
      </c>
    </row>
    <row r="65" spans="1:17">
      <c r="A65" s="22" t="s">
        <v>117</v>
      </c>
      <c r="B65" s="22" t="s">
        <v>510</v>
      </c>
      <c r="C65" s="22" t="s">
        <v>702</v>
      </c>
      <c r="D65" s="86" t="s">
        <v>948</v>
      </c>
      <c r="E65" s="86">
        <v>2035</v>
      </c>
      <c r="F65" s="255">
        <v>220</v>
      </c>
      <c r="G65" s="687" t="s">
        <v>670</v>
      </c>
      <c r="H65" s="255">
        <v>88</v>
      </c>
      <c r="I65" s="687" t="s">
        <v>670</v>
      </c>
      <c r="J65" s="37">
        <v>90</v>
      </c>
      <c r="K65" s="687" t="s">
        <v>702</v>
      </c>
      <c r="L65" s="696">
        <v>0.97777777777777775</v>
      </c>
      <c r="N65" s="508">
        <v>0.80909090909090908</v>
      </c>
      <c r="O65" s="508">
        <v>0.80909090909090908</v>
      </c>
      <c r="Q65" s="698" t="str">
        <f t="shared" si="0"/>
        <v/>
      </c>
    </row>
    <row r="66" spans="1:17">
      <c r="A66" s="22" t="s">
        <v>117</v>
      </c>
      <c r="B66" s="22" t="s">
        <v>516</v>
      </c>
      <c r="C66" s="22" t="s">
        <v>702</v>
      </c>
      <c r="D66" s="86" t="s">
        <v>948</v>
      </c>
      <c r="E66" s="86">
        <v>2035</v>
      </c>
      <c r="F66" s="255">
        <v>120</v>
      </c>
      <c r="G66" s="687" t="s">
        <v>670</v>
      </c>
      <c r="H66" s="255">
        <v>28</v>
      </c>
      <c r="I66" s="687" t="s">
        <v>670</v>
      </c>
      <c r="J66" s="37">
        <v>105</v>
      </c>
      <c r="K66" s="687" t="s">
        <v>702</v>
      </c>
      <c r="L66" s="696">
        <v>0.26666666666666666</v>
      </c>
      <c r="N66" s="508">
        <v>1.1083333333333334</v>
      </c>
      <c r="O66" s="508">
        <v>1.1083333333333334</v>
      </c>
      <c r="Q66" s="698" t="str">
        <f t="shared" si="0"/>
        <v/>
      </c>
    </row>
    <row r="67" spans="1:17">
      <c r="A67" s="22" t="s">
        <v>117</v>
      </c>
      <c r="B67" s="22" t="s">
        <v>520</v>
      </c>
      <c r="C67" s="22" t="s">
        <v>702</v>
      </c>
      <c r="D67" s="86" t="s">
        <v>948</v>
      </c>
      <c r="E67" s="86">
        <v>2035</v>
      </c>
      <c r="F67" s="255">
        <v>202</v>
      </c>
      <c r="G67" s="687" t="s">
        <v>670</v>
      </c>
      <c r="H67" s="255">
        <v>76.400000000000006</v>
      </c>
      <c r="I67" s="687" t="s">
        <v>670</v>
      </c>
      <c r="J67" s="37">
        <v>147</v>
      </c>
      <c r="K67" s="687" t="s">
        <v>702</v>
      </c>
      <c r="L67" s="696">
        <v>0.51972789115646267</v>
      </c>
      <c r="N67" s="508">
        <v>1.105940594059406</v>
      </c>
      <c r="O67" s="508">
        <v>1.105940594059406</v>
      </c>
      <c r="Q67" s="698" t="str">
        <f t="shared" ref="Q67:Q130" si="1">IF(H67+J67&gt;=20,"","Remove")</f>
        <v/>
      </c>
    </row>
    <row r="68" spans="1:17">
      <c r="A68" s="22" t="s">
        <v>117</v>
      </c>
      <c r="B68" s="22" t="s">
        <v>515</v>
      </c>
      <c r="C68" s="22" t="s">
        <v>702</v>
      </c>
      <c r="D68" s="86" t="s">
        <v>948</v>
      </c>
      <c r="E68" s="86">
        <v>2035</v>
      </c>
      <c r="F68" s="255" t="s">
        <v>670</v>
      </c>
      <c r="G68" s="687" t="s">
        <v>670</v>
      </c>
      <c r="H68" s="255">
        <v>180</v>
      </c>
      <c r="I68" s="687" t="s">
        <v>702</v>
      </c>
      <c r="J68" s="37">
        <v>0</v>
      </c>
      <c r="K68" s="687" t="s">
        <v>670</v>
      </c>
      <c r="L68" s="696" t="s">
        <v>670</v>
      </c>
      <c r="N68" s="508" t="s">
        <v>670</v>
      </c>
      <c r="O68" s="508" t="s">
        <v>670</v>
      </c>
      <c r="Q68" s="698" t="str">
        <f t="shared" si="1"/>
        <v/>
      </c>
    </row>
    <row r="69" spans="1:17">
      <c r="A69" s="22" t="s">
        <v>117</v>
      </c>
      <c r="B69" s="22" t="s">
        <v>514</v>
      </c>
      <c r="C69" s="22" t="s">
        <v>702</v>
      </c>
      <c r="D69" s="86" t="s">
        <v>948</v>
      </c>
      <c r="E69" s="86">
        <v>2035</v>
      </c>
      <c r="F69" s="255" t="s">
        <v>670</v>
      </c>
      <c r="G69" s="687" t="s">
        <v>670</v>
      </c>
      <c r="H69" s="255">
        <v>35</v>
      </c>
      <c r="I69" s="687" t="s">
        <v>702</v>
      </c>
      <c r="J69" s="37">
        <v>0</v>
      </c>
      <c r="K69" s="687" t="s">
        <v>670</v>
      </c>
      <c r="L69" s="696" t="s">
        <v>670</v>
      </c>
      <c r="N69" s="508" t="s">
        <v>670</v>
      </c>
      <c r="O69" s="508" t="s">
        <v>670</v>
      </c>
      <c r="Q69" s="698" t="str">
        <f t="shared" si="1"/>
        <v/>
      </c>
    </row>
    <row r="70" spans="1:17">
      <c r="A70" s="22" t="s">
        <v>117</v>
      </c>
      <c r="B70" s="22" t="s">
        <v>513</v>
      </c>
      <c r="C70" s="22" t="s">
        <v>702</v>
      </c>
      <c r="D70" s="86" t="s">
        <v>948</v>
      </c>
      <c r="E70" s="86">
        <v>2035</v>
      </c>
      <c r="F70" s="255" t="s">
        <v>670</v>
      </c>
      <c r="G70" s="687" t="s">
        <v>670</v>
      </c>
      <c r="H70" s="255">
        <v>23</v>
      </c>
      <c r="I70" s="687" t="s">
        <v>702</v>
      </c>
      <c r="J70" s="37">
        <v>0</v>
      </c>
      <c r="K70" s="687" t="s">
        <v>670</v>
      </c>
      <c r="L70" s="696" t="s">
        <v>670</v>
      </c>
      <c r="N70" s="508" t="s">
        <v>670</v>
      </c>
      <c r="O70" s="508" t="s">
        <v>670</v>
      </c>
      <c r="Q70" s="698" t="str">
        <f t="shared" si="1"/>
        <v/>
      </c>
    </row>
    <row r="71" spans="1:17">
      <c r="A71" s="22" t="s">
        <v>117</v>
      </c>
      <c r="B71" s="22" t="s">
        <v>846</v>
      </c>
      <c r="C71" s="22" t="s">
        <v>702</v>
      </c>
      <c r="D71" s="86" t="s">
        <v>948</v>
      </c>
      <c r="E71" s="86">
        <v>2035</v>
      </c>
      <c r="F71" s="255" t="s">
        <v>670</v>
      </c>
      <c r="G71" s="687" t="s">
        <v>702</v>
      </c>
      <c r="H71" s="255">
        <v>180</v>
      </c>
      <c r="I71" s="687" t="s">
        <v>702</v>
      </c>
      <c r="J71" s="37">
        <v>0</v>
      </c>
      <c r="K71" s="687" t="s">
        <v>670</v>
      </c>
      <c r="L71" s="696" t="s">
        <v>670</v>
      </c>
      <c r="N71" s="508" t="s">
        <v>670</v>
      </c>
      <c r="O71" s="508" t="s">
        <v>670</v>
      </c>
      <c r="Q71" s="698" t="str">
        <f t="shared" si="1"/>
        <v/>
      </c>
    </row>
    <row r="72" spans="1:17">
      <c r="A72" s="22" t="s">
        <v>117</v>
      </c>
      <c r="B72" s="22" t="s">
        <v>532</v>
      </c>
      <c r="C72" s="22" t="s">
        <v>702</v>
      </c>
      <c r="D72" s="86" t="s">
        <v>948</v>
      </c>
      <c r="E72" s="86">
        <v>2035</v>
      </c>
      <c r="F72" s="255" t="s">
        <v>670</v>
      </c>
      <c r="G72" s="687" t="s">
        <v>702</v>
      </c>
      <c r="H72" s="255">
        <v>180</v>
      </c>
      <c r="I72" s="687" t="s">
        <v>702</v>
      </c>
      <c r="J72" s="37">
        <v>0</v>
      </c>
      <c r="K72" s="687" t="s">
        <v>670</v>
      </c>
      <c r="L72" s="696" t="s">
        <v>670</v>
      </c>
      <c r="N72" s="508" t="s">
        <v>670</v>
      </c>
      <c r="O72" s="508" t="s">
        <v>670</v>
      </c>
      <c r="Q72" s="698" t="str">
        <f t="shared" si="1"/>
        <v/>
      </c>
    </row>
    <row r="73" spans="1:17">
      <c r="A73" s="22" t="s">
        <v>117</v>
      </c>
      <c r="B73" s="22" t="s">
        <v>854</v>
      </c>
      <c r="C73" s="22" t="s">
        <v>702</v>
      </c>
      <c r="D73" s="86" t="s">
        <v>948</v>
      </c>
      <c r="E73" s="86">
        <v>2035</v>
      </c>
      <c r="F73" s="255" t="s">
        <v>670</v>
      </c>
      <c r="G73" s="687" t="s">
        <v>702</v>
      </c>
      <c r="H73" s="255">
        <v>200</v>
      </c>
      <c r="I73" s="687" t="s">
        <v>702</v>
      </c>
      <c r="J73" s="37">
        <v>0</v>
      </c>
      <c r="K73" s="687" t="s">
        <v>670</v>
      </c>
      <c r="L73" s="696" t="s">
        <v>670</v>
      </c>
      <c r="N73" s="508" t="s">
        <v>670</v>
      </c>
      <c r="O73" s="508" t="s">
        <v>670</v>
      </c>
      <c r="Q73" s="698" t="str">
        <f t="shared" si="1"/>
        <v/>
      </c>
    </row>
    <row r="74" spans="1:17">
      <c r="A74" s="22" t="s">
        <v>117</v>
      </c>
      <c r="B74" s="22" t="s">
        <v>535</v>
      </c>
      <c r="C74" s="22" t="s">
        <v>702</v>
      </c>
      <c r="D74" s="86" t="s">
        <v>948</v>
      </c>
      <c r="E74" s="86">
        <v>2035</v>
      </c>
      <c r="F74" s="255" t="s">
        <v>670</v>
      </c>
      <c r="G74" s="687" t="s">
        <v>702</v>
      </c>
      <c r="H74" s="255">
        <v>200</v>
      </c>
      <c r="I74" s="687" t="s">
        <v>702</v>
      </c>
      <c r="J74" s="37">
        <v>0</v>
      </c>
      <c r="K74" s="687" t="s">
        <v>670</v>
      </c>
      <c r="L74" s="696" t="s">
        <v>670</v>
      </c>
      <c r="N74" s="508" t="s">
        <v>670</v>
      </c>
      <c r="O74" s="508" t="s">
        <v>670</v>
      </c>
      <c r="Q74" s="698" t="str">
        <f t="shared" si="1"/>
        <v/>
      </c>
    </row>
    <row r="75" spans="1:17">
      <c r="A75" s="22" t="s">
        <v>117</v>
      </c>
      <c r="B75" s="22" t="s">
        <v>512</v>
      </c>
      <c r="C75" s="22" t="s">
        <v>704</v>
      </c>
      <c r="D75" s="86" t="s">
        <v>948</v>
      </c>
      <c r="E75" s="86">
        <v>2035</v>
      </c>
      <c r="F75" s="255" t="s">
        <v>670</v>
      </c>
      <c r="G75" s="687" t="s">
        <v>670</v>
      </c>
      <c r="H75" s="255">
        <v>235</v>
      </c>
      <c r="I75" s="687" t="s">
        <v>704</v>
      </c>
      <c r="J75" s="37">
        <v>0</v>
      </c>
      <c r="K75" s="687" t="s">
        <v>670</v>
      </c>
      <c r="L75" s="696" t="s">
        <v>670</v>
      </c>
      <c r="N75" s="508" t="s">
        <v>670</v>
      </c>
      <c r="O75" s="508" t="s">
        <v>670</v>
      </c>
      <c r="Q75" s="698" t="str">
        <f t="shared" si="1"/>
        <v/>
      </c>
    </row>
    <row r="76" spans="1:17">
      <c r="A76" s="22" t="s">
        <v>117</v>
      </c>
      <c r="B76" s="22" t="s">
        <v>511</v>
      </c>
      <c r="C76" s="22" t="s">
        <v>704</v>
      </c>
      <c r="D76" s="86" t="s">
        <v>948</v>
      </c>
      <c r="E76" s="86">
        <v>2035</v>
      </c>
      <c r="F76" s="255" t="s">
        <v>670</v>
      </c>
      <c r="G76" s="687" t="s">
        <v>670</v>
      </c>
      <c r="H76" s="255">
        <v>305</v>
      </c>
      <c r="I76" s="687" t="s">
        <v>704</v>
      </c>
      <c r="J76" s="37">
        <v>0</v>
      </c>
      <c r="K76" s="687" t="s">
        <v>670</v>
      </c>
      <c r="L76" s="696" t="s">
        <v>670</v>
      </c>
      <c r="N76" s="508" t="s">
        <v>670</v>
      </c>
      <c r="O76" s="508" t="s">
        <v>670</v>
      </c>
      <c r="Q76" s="698" t="str">
        <f t="shared" si="1"/>
        <v/>
      </c>
    </row>
    <row r="77" spans="1:17">
      <c r="A77" s="22" t="s">
        <v>117</v>
      </c>
      <c r="B77" s="22" t="s">
        <v>513</v>
      </c>
      <c r="C77" s="22" t="s">
        <v>704</v>
      </c>
      <c r="D77" s="86" t="s">
        <v>948</v>
      </c>
      <c r="E77" s="86">
        <v>2035</v>
      </c>
      <c r="F77" s="255" t="s">
        <v>670</v>
      </c>
      <c r="G77" s="687" t="s">
        <v>670</v>
      </c>
      <c r="H77" s="255">
        <v>92</v>
      </c>
      <c r="I77" s="687" t="s">
        <v>704</v>
      </c>
      <c r="J77" s="37">
        <v>0</v>
      </c>
      <c r="K77" s="687" t="s">
        <v>670</v>
      </c>
      <c r="L77" s="696" t="s">
        <v>670</v>
      </c>
      <c r="N77" s="508" t="s">
        <v>670</v>
      </c>
      <c r="O77" s="508" t="s">
        <v>670</v>
      </c>
      <c r="Q77" s="698" t="str">
        <f t="shared" si="1"/>
        <v/>
      </c>
    </row>
    <row r="78" spans="1:17">
      <c r="A78" s="22" t="s">
        <v>117</v>
      </c>
      <c r="B78" s="22" t="s">
        <v>515</v>
      </c>
      <c r="C78" s="22" t="s">
        <v>704</v>
      </c>
      <c r="D78" s="86" t="s">
        <v>948</v>
      </c>
      <c r="E78" s="86">
        <v>2035</v>
      </c>
      <c r="F78" s="255" t="s">
        <v>670</v>
      </c>
      <c r="G78" s="687" t="s">
        <v>670</v>
      </c>
      <c r="H78" s="255">
        <v>145</v>
      </c>
      <c r="I78" s="687" t="s">
        <v>704</v>
      </c>
      <c r="J78" s="37">
        <v>0</v>
      </c>
      <c r="K78" s="687" t="s">
        <v>670</v>
      </c>
      <c r="L78" s="696" t="s">
        <v>670</v>
      </c>
      <c r="N78" s="508" t="s">
        <v>670</v>
      </c>
      <c r="O78" s="508" t="s">
        <v>670</v>
      </c>
      <c r="Q78" s="698" t="str">
        <f t="shared" si="1"/>
        <v/>
      </c>
    </row>
    <row r="79" spans="1:17">
      <c r="A79" s="22" t="s">
        <v>117</v>
      </c>
      <c r="B79" s="22" t="s">
        <v>516</v>
      </c>
      <c r="C79" s="22" t="s">
        <v>704</v>
      </c>
      <c r="D79" s="86" t="s">
        <v>948</v>
      </c>
      <c r="E79" s="86">
        <v>2035</v>
      </c>
      <c r="F79" s="255">
        <v>210</v>
      </c>
      <c r="G79" s="687" t="s">
        <v>670</v>
      </c>
      <c r="H79" s="255">
        <v>55</v>
      </c>
      <c r="I79" s="687" t="s">
        <v>670</v>
      </c>
      <c r="J79" s="37">
        <v>160</v>
      </c>
      <c r="K79" s="687" t="s">
        <v>704</v>
      </c>
      <c r="L79" s="696">
        <v>0.34375</v>
      </c>
      <c r="N79" s="508">
        <v>1.0238095238095237</v>
      </c>
      <c r="O79" s="508">
        <v>1.0238095238095237</v>
      </c>
      <c r="Q79" s="698" t="str">
        <f t="shared" si="1"/>
        <v/>
      </c>
    </row>
    <row r="80" spans="1:17">
      <c r="A80" s="22" t="s">
        <v>117</v>
      </c>
      <c r="B80" s="22" t="s">
        <v>510</v>
      </c>
      <c r="C80" s="22" t="s">
        <v>704</v>
      </c>
      <c r="D80" s="86" t="s">
        <v>948</v>
      </c>
      <c r="E80" s="86">
        <v>2035</v>
      </c>
      <c r="F80" s="255">
        <v>336</v>
      </c>
      <c r="G80" s="687" t="s">
        <v>670</v>
      </c>
      <c r="H80" s="255">
        <v>147</v>
      </c>
      <c r="I80" s="687" t="s">
        <v>670</v>
      </c>
      <c r="J80" s="37">
        <v>170</v>
      </c>
      <c r="K80" s="687" t="s">
        <v>704</v>
      </c>
      <c r="L80" s="696">
        <v>0.86470588235294121</v>
      </c>
      <c r="N80" s="508">
        <v>0.94345238095238093</v>
      </c>
      <c r="O80" s="508">
        <v>0.94345238095238093</v>
      </c>
      <c r="Q80" s="698" t="str">
        <f t="shared" si="1"/>
        <v/>
      </c>
    </row>
    <row r="81" spans="1:17">
      <c r="A81" s="22" t="s">
        <v>117</v>
      </c>
      <c r="B81" s="22" t="s">
        <v>520</v>
      </c>
      <c r="C81" s="22" t="s">
        <v>704</v>
      </c>
      <c r="D81" s="86" t="s">
        <v>948</v>
      </c>
      <c r="E81" s="86">
        <v>2035</v>
      </c>
      <c r="F81" s="255">
        <v>66</v>
      </c>
      <c r="G81" s="687" t="s">
        <v>670</v>
      </c>
      <c r="H81" s="255">
        <v>12</v>
      </c>
      <c r="I81" s="687" t="s">
        <v>670</v>
      </c>
      <c r="J81" s="37">
        <v>46</v>
      </c>
      <c r="K81" s="687" t="s">
        <v>704</v>
      </c>
      <c r="L81" s="696">
        <v>0.2608695652173913</v>
      </c>
      <c r="N81" s="508">
        <v>0.87878787878787878</v>
      </c>
      <c r="O81" s="508">
        <v>0.87878787878787878</v>
      </c>
      <c r="Q81" s="698" t="str">
        <f t="shared" si="1"/>
        <v/>
      </c>
    </row>
    <row r="82" spans="1:17">
      <c r="A82" s="22" t="s">
        <v>117</v>
      </c>
      <c r="B82" s="22" t="s">
        <v>846</v>
      </c>
      <c r="C82" s="22" t="s">
        <v>704</v>
      </c>
      <c r="D82" s="86" t="s">
        <v>948</v>
      </c>
      <c r="E82" s="86">
        <v>2035</v>
      </c>
      <c r="F82" s="255" t="s">
        <v>670</v>
      </c>
      <c r="G82" s="687" t="s">
        <v>704</v>
      </c>
      <c r="H82" s="255">
        <v>100</v>
      </c>
      <c r="I82" s="687" t="s">
        <v>704</v>
      </c>
      <c r="J82" s="37">
        <v>0</v>
      </c>
      <c r="K82" s="687" t="s">
        <v>670</v>
      </c>
      <c r="L82" s="696" t="s">
        <v>670</v>
      </c>
      <c r="N82" s="508" t="s">
        <v>670</v>
      </c>
      <c r="O82" s="508" t="s">
        <v>670</v>
      </c>
      <c r="Q82" s="698" t="str">
        <f t="shared" si="1"/>
        <v/>
      </c>
    </row>
    <row r="83" spans="1:17">
      <c r="A83" s="22" t="s">
        <v>117</v>
      </c>
      <c r="B83" s="22" t="s">
        <v>532</v>
      </c>
      <c r="C83" s="22" t="s">
        <v>704</v>
      </c>
      <c r="D83" s="86" t="s">
        <v>948</v>
      </c>
      <c r="E83" s="86">
        <v>2035</v>
      </c>
      <c r="F83" s="255" t="s">
        <v>670</v>
      </c>
      <c r="G83" s="687" t="s">
        <v>704</v>
      </c>
      <c r="H83" s="255">
        <v>100</v>
      </c>
      <c r="I83" s="687" t="s">
        <v>704</v>
      </c>
      <c r="J83" s="37">
        <v>0</v>
      </c>
      <c r="K83" s="687" t="s">
        <v>670</v>
      </c>
      <c r="L83" s="696" t="s">
        <v>670</v>
      </c>
      <c r="N83" s="508" t="s">
        <v>670</v>
      </c>
      <c r="O83" s="508" t="s">
        <v>670</v>
      </c>
      <c r="Q83" s="698" t="str">
        <f t="shared" si="1"/>
        <v/>
      </c>
    </row>
    <row r="84" spans="1:17">
      <c r="A84" s="22" t="s">
        <v>117</v>
      </c>
      <c r="B84" s="22" t="s">
        <v>511</v>
      </c>
      <c r="C84" s="22" t="s">
        <v>705</v>
      </c>
      <c r="D84" s="86" t="s">
        <v>948</v>
      </c>
      <c r="E84" s="86">
        <v>2035</v>
      </c>
      <c r="F84" s="255" t="s">
        <v>670</v>
      </c>
      <c r="G84" s="687" t="s">
        <v>670</v>
      </c>
      <c r="H84" s="255">
        <v>348</v>
      </c>
      <c r="I84" s="687" t="s">
        <v>705</v>
      </c>
      <c r="J84" s="37">
        <v>0</v>
      </c>
      <c r="K84" s="687" t="s">
        <v>670</v>
      </c>
      <c r="L84" s="696" t="s">
        <v>670</v>
      </c>
      <c r="N84" s="508" t="s">
        <v>670</v>
      </c>
      <c r="O84" s="508" t="s">
        <v>670</v>
      </c>
      <c r="Q84" s="698" t="str">
        <f t="shared" si="1"/>
        <v/>
      </c>
    </row>
    <row r="85" spans="1:17">
      <c r="A85" s="22" t="s">
        <v>117</v>
      </c>
      <c r="B85" s="22" t="s">
        <v>515</v>
      </c>
      <c r="C85" s="22" t="s">
        <v>705</v>
      </c>
      <c r="D85" s="86" t="s">
        <v>948</v>
      </c>
      <c r="E85" s="86">
        <v>2035</v>
      </c>
      <c r="F85" s="255" t="s">
        <v>670</v>
      </c>
      <c r="G85" s="687" t="s">
        <v>670</v>
      </c>
      <c r="H85" s="255">
        <v>140</v>
      </c>
      <c r="I85" s="687" t="s">
        <v>705</v>
      </c>
      <c r="J85" s="37">
        <v>0</v>
      </c>
      <c r="K85" s="687" t="s">
        <v>670</v>
      </c>
      <c r="L85" s="696" t="s">
        <v>670</v>
      </c>
      <c r="N85" s="508" t="s">
        <v>670</v>
      </c>
      <c r="O85" s="508" t="s">
        <v>670</v>
      </c>
      <c r="Q85" s="698" t="str">
        <f t="shared" si="1"/>
        <v/>
      </c>
    </row>
    <row r="86" spans="1:17">
      <c r="A86" s="22" t="s">
        <v>117</v>
      </c>
      <c r="B86" s="22" t="s">
        <v>514</v>
      </c>
      <c r="C86" s="22" t="s">
        <v>705</v>
      </c>
      <c r="D86" s="86" t="s">
        <v>948</v>
      </c>
      <c r="E86" s="86">
        <v>2035</v>
      </c>
      <c r="F86" s="255" t="s">
        <v>670</v>
      </c>
      <c r="G86" s="687" t="s">
        <v>670</v>
      </c>
      <c r="H86" s="255">
        <v>2.1</v>
      </c>
      <c r="I86" s="687" t="s">
        <v>705</v>
      </c>
      <c r="J86" s="37">
        <v>0</v>
      </c>
      <c r="K86" s="687" t="s">
        <v>670</v>
      </c>
      <c r="L86" s="696" t="s">
        <v>670</v>
      </c>
      <c r="N86" s="508" t="s">
        <v>670</v>
      </c>
      <c r="O86" s="508" t="s">
        <v>670</v>
      </c>
      <c r="Q86" s="698" t="str">
        <f t="shared" si="1"/>
        <v>Remove</v>
      </c>
    </row>
    <row r="87" spans="1:17">
      <c r="A87" s="22" t="s">
        <v>117</v>
      </c>
      <c r="B87" s="22" t="s">
        <v>516</v>
      </c>
      <c r="C87" s="22" t="s">
        <v>705</v>
      </c>
      <c r="D87" s="86" t="s">
        <v>948</v>
      </c>
      <c r="E87" s="86">
        <v>2035</v>
      </c>
      <c r="F87" s="255">
        <v>530</v>
      </c>
      <c r="G87" s="687" t="s">
        <v>670</v>
      </c>
      <c r="H87" s="255">
        <v>152</v>
      </c>
      <c r="I87" s="687" t="s">
        <v>670</v>
      </c>
      <c r="J87" s="37">
        <v>395</v>
      </c>
      <c r="K87" s="687" t="s">
        <v>705</v>
      </c>
      <c r="L87" s="696">
        <v>0.38481012658227848</v>
      </c>
      <c r="N87" s="508">
        <v>1.0320754716981133</v>
      </c>
      <c r="O87" s="508">
        <v>1.0320754716981133</v>
      </c>
      <c r="Q87" s="698" t="str">
        <f t="shared" si="1"/>
        <v/>
      </c>
    </row>
    <row r="88" spans="1:17">
      <c r="A88" s="22" t="s">
        <v>117</v>
      </c>
      <c r="B88" s="22" t="s">
        <v>850</v>
      </c>
      <c r="C88" s="22" t="s">
        <v>705</v>
      </c>
      <c r="D88" s="86" t="s">
        <v>948</v>
      </c>
      <c r="E88" s="86">
        <v>2035</v>
      </c>
      <c r="F88" s="255" t="s">
        <v>670</v>
      </c>
      <c r="G88" s="687" t="s">
        <v>705</v>
      </c>
      <c r="H88" s="255">
        <v>80</v>
      </c>
      <c r="I88" s="687" t="s">
        <v>705</v>
      </c>
      <c r="J88" s="37">
        <v>0</v>
      </c>
      <c r="K88" s="687" t="s">
        <v>670</v>
      </c>
      <c r="L88" s="696" t="s">
        <v>670</v>
      </c>
      <c r="N88" s="508" t="s">
        <v>670</v>
      </c>
      <c r="O88" s="508" t="s">
        <v>670</v>
      </c>
      <c r="Q88" s="698" t="str">
        <f t="shared" si="1"/>
        <v/>
      </c>
    </row>
    <row r="89" spans="1:17">
      <c r="A89" s="22" t="s">
        <v>117</v>
      </c>
      <c r="B89" s="22" t="s">
        <v>534</v>
      </c>
      <c r="C89" s="22" t="s">
        <v>705</v>
      </c>
      <c r="D89" s="86" t="s">
        <v>948</v>
      </c>
      <c r="E89" s="86">
        <v>2035</v>
      </c>
      <c r="F89" s="255" t="s">
        <v>670</v>
      </c>
      <c r="G89" s="687" t="s">
        <v>705</v>
      </c>
      <c r="H89" s="255">
        <v>80</v>
      </c>
      <c r="I89" s="687" t="s">
        <v>705</v>
      </c>
      <c r="J89" s="37">
        <v>0</v>
      </c>
      <c r="K89" s="687" t="s">
        <v>670</v>
      </c>
      <c r="L89" s="696" t="s">
        <v>670</v>
      </c>
      <c r="N89" s="508" t="s">
        <v>670</v>
      </c>
      <c r="O89" s="508" t="s">
        <v>670</v>
      </c>
      <c r="Q89" s="698" t="str">
        <f t="shared" si="1"/>
        <v/>
      </c>
    </row>
    <row r="90" spans="1:17">
      <c r="A90" s="22" t="s">
        <v>117</v>
      </c>
      <c r="B90" s="22" t="s">
        <v>846</v>
      </c>
      <c r="C90" s="22" t="s">
        <v>705</v>
      </c>
      <c r="D90" s="86" t="s">
        <v>948</v>
      </c>
      <c r="E90" s="86">
        <v>2035</v>
      </c>
      <c r="F90" s="255" t="s">
        <v>670</v>
      </c>
      <c r="G90" s="687" t="s">
        <v>705</v>
      </c>
      <c r="H90" s="255">
        <v>55</v>
      </c>
      <c r="I90" s="687" t="s">
        <v>705</v>
      </c>
      <c r="J90" s="37">
        <v>0</v>
      </c>
      <c r="K90" s="687" t="s">
        <v>670</v>
      </c>
      <c r="L90" s="696" t="s">
        <v>670</v>
      </c>
      <c r="N90" s="508" t="s">
        <v>670</v>
      </c>
      <c r="O90" s="508" t="s">
        <v>670</v>
      </c>
      <c r="Q90" s="698" t="str">
        <f t="shared" si="1"/>
        <v/>
      </c>
    </row>
    <row r="91" spans="1:17">
      <c r="A91" s="22" t="s">
        <v>117</v>
      </c>
      <c r="B91" s="22" t="s">
        <v>532</v>
      </c>
      <c r="C91" s="22" t="s">
        <v>705</v>
      </c>
      <c r="D91" s="86" t="s">
        <v>948</v>
      </c>
      <c r="E91" s="86">
        <v>2035</v>
      </c>
      <c r="F91" s="255" t="s">
        <v>670</v>
      </c>
      <c r="G91" s="687" t="s">
        <v>705</v>
      </c>
      <c r="H91" s="255">
        <v>55</v>
      </c>
      <c r="I91" s="687" t="s">
        <v>705</v>
      </c>
      <c r="J91" s="37">
        <v>0</v>
      </c>
      <c r="K91" s="687" t="s">
        <v>670</v>
      </c>
      <c r="L91" s="696" t="s">
        <v>670</v>
      </c>
      <c r="N91" s="508" t="s">
        <v>670</v>
      </c>
      <c r="O91" s="508" t="s">
        <v>670</v>
      </c>
      <c r="Q91" s="698" t="str">
        <f t="shared" si="1"/>
        <v/>
      </c>
    </row>
    <row r="92" spans="1:17">
      <c r="A92" s="22" t="s">
        <v>117</v>
      </c>
      <c r="B92" s="22" t="s">
        <v>511</v>
      </c>
      <c r="C92" s="22" t="s">
        <v>703</v>
      </c>
      <c r="D92" s="86" t="s">
        <v>948</v>
      </c>
      <c r="E92" s="86">
        <v>2035</v>
      </c>
      <c r="F92" s="255" t="s">
        <v>670</v>
      </c>
      <c r="G92" s="687" t="s">
        <v>670</v>
      </c>
      <c r="H92" s="255">
        <v>624</v>
      </c>
      <c r="I92" s="687" t="s">
        <v>703</v>
      </c>
      <c r="J92" s="37">
        <v>0</v>
      </c>
      <c r="K92" s="687" t="s">
        <v>670</v>
      </c>
      <c r="L92" s="696" t="s">
        <v>670</v>
      </c>
      <c r="N92" s="508" t="s">
        <v>670</v>
      </c>
      <c r="O92" s="508" t="s">
        <v>670</v>
      </c>
      <c r="Q92" s="698" t="str">
        <f t="shared" si="1"/>
        <v/>
      </c>
    </row>
    <row r="93" spans="1:17">
      <c r="A93" s="22" t="s">
        <v>117</v>
      </c>
      <c r="B93" s="22" t="s">
        <v>514</v>
      </c>
      <c r="C93" s="22" t="s">
        <v>703</v>
      </c>
      <c r="D93" s="86" t="s">
        <v>948</v>
      </c>
      <c r="E93" s="86">
        <v>2035</v>
      </c>
      <c r="F93" s="255" t="s">
        <v>670</v>
      </c>
      <c r="G93" s="687" t="s">
        <v>670</v>
      </c>
      <c r="H93" s="255">
        <v>64.400000000000006</v>
      </c>
      <c r="I93" s="687" t="s">
        <v>703</v>
      </c>
      <c r="J93" s="37">
        <v>0</v>
      </c>
      <c r="K93" s="687" t="s">
        <v>670</v>
      </c>
      <c r="L93" s="696" t="s">
        <v>670</v>
      </c>
      <c r="N93" s="508" t="s">
        <v>670</v>
      </c>
      <c r="O93" s="508" t="s">
        <v>670</v>
      </c>
      <c r="Q93" s="698" t="str">
        <f t="shared" si="1"/>
        <v/>
      </c>
    </row>
    <row r="94" spans="1:17">
      <c r="A94" s="22" t="s">
        <v>117</v>
      </c>
      <c r="B94" s="22" t="s">
        <v>513</v>
      </c>
      <c r="C94" s="22" t="s">
        <v>703</v>
      </c>
      <c r="D94" s="86" t="s">
        <v>948</v>
      </c>
      <c r="E94" s="86">
        <v>2035</v>
      </c>
      <c r="F94" s="255" t="s">
        <v>670</v>
      </c>
      <c r="G94" s="687" t="s">
        <v>670</v>
      </c>
      <c r="H94" s="255">
        <v>106.8</v>
      </c>
      <c r="I94" s="687" t="s">
        <v>703</v>
      </c>
      <c r="J94" s="37">
        <v>0</v>
      </c>
      <c r="K94" s="687" t="s">
        <v>670</v>
      </c>
      <c r="L94" s="696" t="s">
        <v>670</v>
      </c>
      <c r="N94" s="508" t="s">
        <v>670</v>
      </c>
      <c r="O94" s="508" t="s">
        <v>670</v>
      </c>
      <c r="Q94" s="698" t="str">
        <f t="shared" si="1"/>
        <v/>
      </c>
    </row>
    <row r="95" spans="1:17">
      <c r="A95" s="22" t="s">
        <v>117</v>
      </c>
      <c r="B95" s="22" t="s">
        <v>516</v>
      </c>
      <c r="C95" s="22" t="s">
        <v>703</v>
      </c>
      <c r="D95" s="86" t="s">
        <v>948</v>
      </c>
      <c r="E95" s="86">
        <v>2035</v>
      </c>
      <c r="F95" s="255">
        <v>424</v>
      </c>
      <c r="G95" s="687" t="s">
        <v>670</v>
      </c>
      <c r="H95" s="255">
        <v>160</v>
      </c>
      <c r="I95" s="687" t="s">
        <v>670</v>
      </c>
      <c r="J95" s="37">
        <v>260</v>
      </c>
      <c r="K95" s="687" t="s">
        <v>703</v>
      </c>
      <c r="L95" s="696">
        <v>0.61538461538461542</v>
      </c>
      <c r="N95" s="508">
        <v>0.99056603773584906</v>
      </c>
      <c r="O95" s="508">
        <v>0.99056603773584906</v>
      </c>
      <c r="Q95" s="698" t="str">
        <f t="shared" si="1"/>
        <v/>
      </c>
    </row>
    <row r="96" spans="1:17">
      <c r="A96" s="22" t="s">
        <v>117</v>
      </c>
      <c r="B96" s="22" t="s">
        <v>515</v>
      </c>
      <c r="C96" s="22" t="s">
        <v>703</v>
      </c>
      <c r="D96" s="86" t="s">
        <v>948</v>
      </c>
      <c r="E96" s="86">
        <v>2035</v>
      </c>
      <c r="F96" s="255" t="s">
        <v>670</v>
      </c>
      <c r="G96" s="687" t="s">
        <v>670</v>
      </c>
      <c r="H96" s="255">
        <v>50</v>
      </c>
      <c r="I96" s="687" t="s">
        <v>703</v>
      </c>
      <c r="J96" s="37">
        <v>0</v>
      </c>
      <c r="K96" s="687" t="s">
        <v>670</v>
      </c>
      <c r="L96" s="696" t="s">
        <v>670</v>
      </c>
      <c r="N96" s="508" t="s">
        <v>670</v>
      </c>
      <c r="O96" s="508" t="s">
        <v>670</v>
      </c>
      <c r="Q96" s="698" t="str">
        <f t="shared" si="1"/>
        <v/>
      </c>
    </row>
    <row r="97" spans="1:17">
      <c r="A97" s="22" t="s">
        <v>117</v>
      </c>
      <c r="B97" s="22" t="s">
        <v>846</v>
      </c>
      <c r="C97" s="22" t="s">
        <v>703</v>
      </c>
      <c r="D97" s="86" t="s">
        <v>948</v>
      </c>
      <c r="E97" s="86">
        <v>2035</v>
      </c>
      <c r="F97" s="255" t="s">
        <v>670</v>
      </c>
      <c r="G97" s="687" t="s">
        <v>703</v>
      </c>
      <c r="H97" s="255">
        <v>75</v>
      </c>
      <c r="I97" s="687" t="s">
        <v>703</v>
      </c>
      <c r="J97" s="37">
        <v>0</v>
      </c>
      <c r="K97" s="687" t="s">
        <v>670</v>
      </c>
      <c r="L97" s="696" t="s">
        <v>670</v>
      </c>
      <c r="N97" s="508" t="s">
        <v>670</v>
      </c>
      <c r="O97" s="508" t="s">
        <v>670</v>
      </c>
      <c r="Q97" s="698" t="str">
        <f t="shared" si="1"/>
        <v/>
      </c>
    </row>
    <row r="98" spans="1:17">
      <c r="A98" s="22" t="s">
        <v>117</v>
      </c>
      <c r="B98" s="22" t="s">
        <v>532</v>
      </c>
      <c r="C98" s="22" t="s">
        <v>703</v>
      </c>
      <c r="D98" s="86" t="s">
        <v>948</v>
      </c>
      <c r="E98" s="86">
        <v>2035</v>
      </c>
      <c r="F98" s="255" t="s">
        <v>670</v>
      </c>
      <c r="G98" s="687" t="s">
        <v>703</v>
      </c>
      <c r="H98" s="255">
        <v>75</v>
      </c>
      <c r="I98" s="687" t="s">
        <v>703</v>
      </c>
      <c r="J98" s="37">
        <v>0</v>
      </c>
      <c r="K98" s="687" t="s">
        <v>670</v>
      </c>
      <c r="L98" s="696" t="s">
        <v>670</v>
      </c>
      <c r="N98" s="508" t="s">
        <v>670</v>
      </c>
      <c r="O98" s="508" t="s">
        <v>670</v>
      </c>
      <c r="Q98" s="698" t="str">
        <f t="shared" si="1"/>
        <v/>
      </c>
    </row>
    <row r="99" spans="1:17">
      <c r="A99" s="22" t="s">
        <v>117</v>
      </c>
      <c r="B99" s="22" t="s">
        <v>513</v>
      </c>
      <c r="C99" s="22" t="s">
        <v>706</v>
      </c>
      <c r="D99" s="86" t="s">
        <v>948</v>
      </c>
      <c r="E99" s="86">
        <v>2035</v>
      </c>
      <c r="F99" s="255" t="s">
        <v>670</v>
      </c>
      <c r="G99" s="687" t="s">
        <v>670</v>
      </c>
      <c r="H99" s="255">
        <v>26.8</v>
      </c>
      <c r="I99" s="687" t="s">
        <v>706</v>
      </c>
      <c r="J99" s="37">
        <v>0</v>
      </c>
      <c r="K99" s="687" t="s">
        <v>670</v>
      </c>
      <c r="L99" s="696" t="s">
        <v>670</v>
      </c>
      <c r="N99" s="508" t="s">
        <v>670</v>
      </c>
      <c r="O99" s="508" t="s">
        <v>670</v>
      </c>
      <c r="Q99" s="698" t="str">
        <f t="shared" si="1"/>
        <v/>
      </c>
    </row>
    <row r="100" spans="1:17">
      <c r="A100" s="22" t="s">
        <v>117</v>
      </c>
      <c r="B100" s="22" t="s">
        <v>512</v>
      </c>
      <c r="C100" s="22" t="s">
        <v>706</v>
      </c>
      <c r="D100" s="86" t="s">
        <v>948</v>
      </c>
      <c r="E100" s="86">
        <v>2035</v>
      </c>
      <c r="F100" s="255" t="s">
        <v>670</v>
      </c>
      <c r="G100" s="687" t="s">
        <v>670</v>
      </c>
      <c r="H100" s="255">
        <v>3.1</v>
      </c>
      <c r="I100" s="687" t="s">
        <v>706</v>
      </c>
      <c r="J100" s="37">
        <v>0</v>
      </c>
      <c r="K100" s="687" t="s">
        <v>670</v>
      </c>
      <c r="L100" s="696" t="s">
        <v>670</v>
      </c>
      <c r="N100" s="508" t="s">
        <v>670</v>
      </c>
      <c r="O100" s="508" t="s">
        <v>670</v>
      </c>
      <c r="Q100" s="698" t="str">
        <f t="shared" si="1"/>
        <v>Remove</v>
      </c>
    </row>
    <row r="101" spans="1:17">
      <c r="A101" s="22" t="s">
        <v>117</v>
      </c>
      <c r="B101" s="22" t="s">
        <v>511</v>
      </c>
      <c r="C101" s="22" t="s">
        <v>706</v>
      </c>
      <c r="D101" s="86" t="s">
        <v>948</v>
      </c>
      <c r="E101" s="86">
        <v>2035</v>
      </c>
      <c r="F101" s="255" t="s">
        <v>670</v>
      </c>
      <c r="G101" s="687" t="s">
        <v>670</v>
      </c>
      <c r="H101" s="255">
        <v>200</v>
      </c>
      <c r="I101" s="687" t="s">
        <v>706</v>
      </c>
      <c r="J101" s="37">
        <v>0</v>
      </c>
      <c r="K101" s="687" t="s">
        <v>670</v>
      </c>
      <c r="L101" s="696" t="s">
        <v>670</v>
      </c>
      <c r="N101" s="508" t="s">
        <v>670</v>
      </c>
      <c r="O101" s="508" t="s">
        <v>670</v>
      </c>
      <c r="Q101" s="698" t="str">
        <f t="shared" si="1"/>
        <v/>
      </c>
    </row>
    <row r="102" spans="1:17">
      <c r="A102" s="22" t="s">
        <v>117</v>
      </c>
      <c r="B102" s="22" t="s">
        <v>516</v>
      </c>
      <c r="C102" s="22" t="s">
        <v>706</v>
      </c>
      <c r="D102" s="86" t="s">
        <v>948</v>
      </c>
      <c r="E102" s="86">
        <v>2035</v>
      </c>
      <c r="F102" s="255">
        <v>790</v>
      </c>
      <c r="G102" s="687" t="s">
        <v>670</v>
      </c>
      <c r="H102" s="255">
        <v>250</v>
      </c>
      <c r="I102" s="687" t="s">
        <v>670</v>
      </c>
      <c r="J102" s="37">
        <v>435</v>
      </c>
      <c r="K102" s="687" t="s">
        <v>706</v>
      </c>
      <c r="L102" s="696">
        <v>0.57471264367816088</v>
      </c>
      <c r="N102" s="508">
        <v>0.86708860759493667</v>
      </c>
      <c r="O102" s="508">
        <v>0.86708860759493667</v>
      </c>
      <c r="Q102" s="698" t="str">
        <f t="shared" si="1"/>
        <v/>
      </c>
    </row>
    <row r="103" spans="1:17">
      <c r="A103" s="22" t="s">
        <v>117</v>
      </c>
      <c r="B103" s="22" t="s">
        <v>514</v>
      </c>
      <c r="C103" s="22" t="s">
        <v>706</v>
      </c>
      <c r="D103" s="86" t="s">
        <v>948</v>
      </c>
      <c r="E103" s="86">
        <v>2035</v>
      </c>
      <c r="F103" s="255" t="s">
        <v>670</v>
      </c>
      <c r="G103" s="687" t="s">
        <v>670</v>
      </c>
      <c r="H103" s="255">
        <v>45</v>
      </c>
      <c r="I103" s="687" t="s">
        <v>706</v>
      </c>
      <c r="J103" s="37">
        <v>0</v>
      </c>
      <c r="K103" s="687" t="s">
        <v>670</v>
      </c>
      <c r="L103" s="696" t="s">
        <v>670</v>
      </c>
      <c r="N103" s="508" t="s">
        <v>670</v>
      </c>
      <c r="O103" s="508" t="s">
        <v>670</v>
      </c>
      <c r="Q103" s="698" t="str">
        <f t="shared" si="1"/>
        <v/>
      </c>
    </row>
    <row r="104" spans="1:17">
      <c r="A104" s="22" t="s">
        <v>117</v>
      </c>
      <c r="B104" s="22" t="s">
        <v>515</v>
      </c>
      <c r="C104" s="22" t="s">
        <v>706</v>
      </c>
      <c r="D104" s="86" t="s">
        <v>948</v>
      </c>
      <c r="E104" s="86">
        <v>2035</v>
      </c>
      <c r="F104" s="255" t="s">
        <v>670</v>
      </c>
      <c r="G104" s="687" t="s">
        <v>670</v>
      </c>
      <c r="H104" s="255">
        <v>120</v>
      </c>
      <c r="I104" s="687" t="s">
        <v>706</v>
      </c>
      <c r="J104" s="37">
        <v>0</v>
      </c>
      <c r="K104" s="687" t="s">
        <v>670</v>
      </c>
      <c r="L104" s="696" t="s">
        <v>670</v>
      </c>
      <c r="N104" s="508" t="s">
        <v>670</v>
      </c>
      <c r="O104" s="508" t="s">
        <v>670</v>
      </c>
      <c r="Q104" s="698" t="str">
        <f t="shared" si="1"/>
        <v/>
      </c>
    </row>
    <row r="105" spans="1:17">
      <c r="A105" s="22" t="s">
        <v>117</v>
      </c>
      <c r="B105" s="22" t="s">
        <v>846</v>
      </c>
      <c r="C105" s="22" t="s">
        <v>706</v>
      </c>
      <c r="D105" s="86" t="s">
        <v>948</v>
      </c>
      <c r="E105" s="86">
        <v>2035</v>
      </c>
      <c r="F105" s="255" t="s">
        <v>670</v>
      </c>
      <c r="G105" s="687" t="s">
        <v>706</v>
      </c>
      <c r="H105" s="255">
        <v>80</v>
      </c>
      <c r="I105" s="687" t="s">
        <v>706</v>
      </c>
      <c r="J105" s="37">
        <v>0</v>
      </c>
      <c r="K105" s="687" t="s">
        <v>670</v>
      </c>
      <c r="L105" s="696" t="s">
        <v>670</v>
      </c>
      <c r="N105" s="508" t="s">
        <v>670</v>
      </c>
      <c r="O105" s="508" t="s">
        <v>670</v>
      </c>
      <c r="Q105" s="698" t="str">
        <f t="shared" si="1"/>
        <v/>
      </c>
    </row>
    <row r="106" spans="1:17">
      <c r="A106" s="22" t="s">
        <v>117</v>
      </c>
      <c r="B106" s="22" t="s">
        <v>532</v>
      </c>
      <c r="C106" s="22" t="s">
        <v>706</v>
      </c>
      <c r="D106" s="86" t="s">
        <v>948</v>
      </c>
      <c r="E106" s="86">
        <v>2035</v>
      </c>
      <c r="F106" s="255" t="s">
        <v>670</v>
      </c>
      <c r="G106" s="687" t="s">
        <v>706</v>
      </c>
      <c r="H106" s="255">
        <v>80</v>
      </c>
      <c r="I106" s="687" t="s">
        <v>706</v>
      </c>
      <c r="J106" s="37">
        <v>0</v>
      </c>
      <c r="K106" s="687" t="s">
        <v>670</v>
      </c>
      <c r="L106" s="696" t="s">
        <v>670</v>
      </c>
      <c r="N106" s="508" t="s">
        <v>670</v>
      </c>
      <c r="O106" s="508" t="s">
        <v>670</v>
      </c>
      <c r="Q106" s="698" t="str">
        <f t="shared" si="1"/>
        <v/>
      </c>
    </row>
    <row r="107" spans="1:17">
      <c r="A107" s="22" t="s">
        <v>117</v>
      </c>
      <c r="B107" s="22" t="s">
        <v>511</v>
      </c>
      <c r="C107" s="22" t="s">
        <v>707</v>
      </c>
      <c r="D107" s="86" t="s">
        <v>948</v>
      </c>
      <c r="E107" s="86">
        <v>2035</v>
      </c>
      <c r="F107" s="255" t="s">
        <v>670</v>
      </c>
      <c r="G107" s="687" t="s">
        <v>670</v>
      </c>
      <c r="H107" s="255">
        <v>3520.3000000000006</v>
      </c>
      <c r="I107" s="687" t="s">
        <v>707</v>
      </c>
      <c r="J107" s="37">
        <v>0</v>
      </c>
      <c r="K107" s="687" t="s">
        <v>670</v>
      </c>
      <c r="L107" s="696" t="s">
        <v>670</v>
      </c>
      <c r="N107" s="508" t="s">
        <v>670</v>
      </c>
      <c r="O107" s="508" t="s">
        <v>670</v>
      </c>
      <c r="Q107" s="698" t="str">
        <f t="shared" si="1"/>
        <v/>
      </c>
    </row>
    <row r="108" spans="1:17">
      <c r="A108" s="22" t="s">
        <v>117</v>
      </c>
      <c r="B108" s="22" t="s">
        <v>536</v>
      </c>
      <c r="C108" s="22" t="s">
        <v>707</v>
      </c>
      <c r="D108" s="86" t="s">
        <v>948</v>
      </c>
      <c r="E108" s="86">
        <v>2035</v>
      </c>
      <c r="F108" s="255" t="s">
        <v>670</v>
      </c>
      <c r="G108" s="687" t="s">
        <v>670</v>
      </c>
      <c r="H108" s="255">
        <v>10</v>
      </c>
      <c r="I108" s="687" t="s">
        <v>707</v>
      </c>
      <c r="J108" s="37">
        <v>0</v>
      </c>
      <c r="K108" s="687" t="s">
        <v>670</v>
      </c>
      <c r="L108" s="696" t="s">
        <v>670</v>
      </c>
      <c r="N108" s="508" t="s">
        <v>670</v>
      </c>
      <c r="O108" s="508" t="s">
        <v>670</v>
      </c>
      <c r="Q108" s="698" t="str">
        <f t="shared" si="1"/>
        <v>Remove</v>
      </c>
    </row>
    <row r="109" spans="1:17">
      <c r="A109" s="22" t="s">
        <v>117</v>
      </c>
      <c r="B109" s="22" t="s">
        <v>513</v>
      </c>
      <c r="C109" s="22" t="s">
        <v>707</v>
      </c>
      <c r="D109" s="86" t="s">
        <v>948</v>
      </c>
      <c r="E109" s="86">
        <v>2035</v>
      </c>
      <c r="F109" s="255" t="s">
        <v>670</v>
      </c>
      <c r="G109" s="687" t="s">
        <v>670</v>
      </c>
      <c r="H109" s="255">
        <v>2701.9000000000005</v>
      </c>
      <c r="I109" s="687" t="s">
        <v>707</v>
      </c>
      <c r="J109" s="37">
        <v>0</v>
      </c>
      <c r="K109" s="687" t="s">
        <v>670</v>
      </c>
      <c r="L109" s="696" t="s">
        <v>670</v>
      </c>
      <c r="N109" s="508" t="s">
        <v>670</v>
      </c>
      <c r="O109" s="508" t="s">
        <v>670</v>
      </c>
      <c r="Q109" s="698" t="str">
        <f t="shared" si="1"/>
        <v/>
      </c>
    </row>
    <row r="110" spans="1:17">
      <c r="A110" s="22" t="s">
        <v>117</v>
      </c>
      <c r="B110" s="22" t="s">
        <v>516</v>
      </c>
      <c r="C110" s="22" t="s">
        <v>707</v>
      </c>
      <c r="D110" s="86" t="s">
        <v>948</v>
      </c>
      <c r="E110" s="86">
        <v>2035</v>
      </c>
      <c r="F110" s="255" t="s">
        <v>670</v>
      </c>
      <c r="G110" s="687" t="s">
        <v>670</v>
      </c>
      <c r="H110" s="255">
        <v>1426.6</v>
      </c>
      <c r="I110" s="687" t="s">
        <v>670</v>
      </c>
      <c r="J110" s="37">
        <v>3099.2999999999997</v>
      </c>
      <c r="K110" s="687" t="s">
        <v>707</v>
      </c>
      <c r="L110" s="696">
        <v>0.46029748652921626</v>
      </c>
      <c r="N110" s="508" t="s">
        <v>670</v>
      </c>
      <c r="O110" s="508" t="s">
        <v>670</v>
      </c>
      <c r="Q110" s="698" t="str">
        <f t="shared" si="1"/>
        <v/>
      </c>
    </row>
    <row r="111" spans="1:17">
      <c r="A111" s="22" t="s">
        <v>117</v>
      </c>
      <c r="B111" s="22" t="s">
        <v>512</v>
      </c>
      <c r="C111" s="22" t="s">
        <v>707</v>
      </c>
      <c r="D111" s="86" t="s">
        <v>948</v>
      </c>
      <c r="E111" s="86">
        <v>2035</v>
      </c>
      <c r="F111" s="255" t="s">
        <v>670</v>
      </c>
      <c r="G111" s="687" t="s">
        <v>670</v>
      </c>
      <c r="H111" s="255">
        <v>1849.9999999999998</v>
      </c>
      <c r="I111" s="687" t="s">
        <v>707</v>
      </c>
      <c r="J111" s="37">
        <v>0</v>
      </c>
      <c r="K111" s="687" t="s">
        <v>670</v>
      </c>
      <c r="L111" s="696" t="s">
        <v>670</v>
      </c>
      <c r="N111" s="508" t="s">
        <v>670</v>
      </c>
      <c r="O111" s="508" t="s">
        <v>670</v>
      </c>
      <c r="Q111" s="698" t="str">
        <f t="shared" si="1"/>
        <v/>
      </c>
    </row>
    <row r="112" spans="1:17">
      <c r="A112" s="22" t="s">
        <v>117</v>
      </c>
      <c r="B112" s="22" t="s">
        <v>514</v>
      </c>
      <c r="C112" s="22" t="s">
        <v>707</v>
      </c>
      <c r="D112" s="86" t="s">
        <v>948</v>
      </c>
      <c r="E112" s="86">
        <v>2035</v>
      </c>
      <c r="F112" s="255" t="s">
        <v>670</v>
      </c>
      <c r="G112" s="687" t="s">
        <v>670</v>
      </c>
      <c r="H112" s="255">
        <v>148.80000000000001</v>
      </c>
      <c r="I112" s="687" t="s">
        <v>707</v>
      </c>
      <c r="J112" s="37">
        <v>0</v>
      </c>
      <c r="K112" s="687" t="s">
        <v>670</v>
      </c>
      <c r="L112" s="696" t="s">
        <v>670</v>
      </c>
      <c r="N112" s="508" t="s">
        <v>670</v>
      </c>
      <c r="O112" s="508" t="s">
        <v>670</v>
      </c>
      <c r="Q112" s="698" t="str">
        <f t="shared" si="1"/>
        <v/>
      </c>
    </row>
    <row r="113" spans="1:17">
      <c r="A113" s="22" t="s">
        <v>117</v>
      </c>
      <c r="B113" s="22" t="s">
        <v>510</v>
      </c>
      <c r="C113" s="22" t="s">
        <v>707</v>
      </c>
      <c r="D113" s="86" t="s">
        <v>948</v>
      </c>
      <c r="E113" s="86">
        <v>2035</v>
      </c>
      <c r="F113" s="255" t="s">
        <v>670</v>
      </c>
      <c r="G113" s="687" t="s">
        <v>670</v>
      </c>
      <c r="H113" s="255">
        <v>211.3</v>
      </c>
      <c r="I113" s="687" t="s">
        <v>670</v>
      </c>
      <c r="J113" s="37">
        <v>356.6</v>
      </c>
      <c r="K113" s="687" t="s">
        <v>707</v>
      </c>
      <c r="L113" s="696">
        <v>0.592540661805945</v>
      </c>
      <c r="N113" s="508" t="s">
        <v>670</v>
      </c>
      <c r="O113" s="508" t="s">
        <v>670</v>
      </c>
      <c r="Q113" s="698" t="str">
        <f t="shared" si="1"/>
        <v/>
      </c>
    </row>
    <row r="114" spans="1:17">
      <c r="A114" s="22" t="s">
        <v>117</v>
      </c>
      <c r="B114" s="22" t="s">
        <v>520</v>
      </c>
      <c r="C114" s="22" t="s">
        <v>707</v>
      </c>
      <c r="D114" s="86" t="s">
        <v>948</v>
      </c>
      <c r="E114" s="86">
        <v>2035</v>
      </c>
      <c r="F114" s="255" t="s">
        <v>670</v>
      </c>
      <c r="G114" s="687" t="s">
        <v>670</v>
      </c>
      <c r="H114" s="255">
        <v>113.2</v>
      </c>
      <c r="I114" s="687" t="s">
        <v>670</v>
      </c>
      <c r="J114" s="37">
        <v>345</v>
      </c>
      <c r="K114" s="687" t="s">
        <v>707</v>
      </c>
      <c r="L114" s="696">
        <v>0.32811594202898553</v>
      </c>
      <c r="N114" s="508" t="s">
        <v>670</v>
      </c>
      <c r="O114" s="508" t="s">
        <v>670</v>
      </c>
      <c r="Q114" s="698" t="str">
        <f t="shared" si="1"/>
        <v/>
      </c>
    </row>
    <row r="115" spans="1:17">
      <c r="A115" s="22" t="s">
        <v>117</v>
      </c>
      <c r="B115" s="22" t="s">
        <v>515</v>
      </c>
      <c r="C115" s="22" t="s">
        <v>707</v>
      </c>
      <c r="D115" s="86" t="s">
        <v>948</v>
      </c>
      <c r="E115" s="86">
        <v>2035</v>
      </c>
      <c r="F115" s="255" t="s">
        <v>670</v>
      </c>
      <c r="G115" s="687" t="s">
        <v>670</v>
      </c>
      <c r="H115" s="255">
        <v>1042.8999999999999</v>
      </c>
      <c r="I115" s="687" t="s">
        <v>707</v>
      </c>
      <c r="J115" s="37">
        <v>0</v>
      </c>
      <c r="K115" s="687" t="s">
        <v>670</v>
      </c>
      <c r="L115" s="696" t="s">
        <v>670</v>
      </c>
      <c r="N115" s="508" t="s">
        <v>670</v>
      </c>
      <c r="O115" s="508" t="s">
        <v>670</v>
      </c>
      <c r="Q115" s="698" t="str">
        <f t="shared" si="1"/>
        <v/>
      </c>
    </row>
    <row r="116" spans="1:17">
      <c r="A116" s="22" t="s">
        <v>117</v>
      </c>
      <c r="B116" s="22" t="s">
        <v>846</v>
      </c>
      <c r="C116" s="22" t="s">
        <v>707</v>
      </c>
      <c r="D116" s="86" t="s">
        <v>948</v>
      </c>
      <c r="E116" s="86">
        <v>2035</v>
      </c>
      <c r="F116" s="255" t="s">
        <v>670</v>
      </c>
      <c r="G116" s="687" t="s">
        <v>707</v>
      </c>
      <c r="H116" s="255">
        <v>625.5</v>
      </c>
      <c r="I116" s="687" t="s">
        <v>707</v>
      </c>
      <c r="J116" s="37">
        <v>0</v>
      </c>
      <c r="K116" s="687" t="s">
        <v>670</v>
      </c>
      <c r="L116" s="696" t="s">
        <v>670</v>
      </c>
      <c r="N116" s="508" t="s">
        <v>670</v>
      </c>
      <c r="O116" s="508" t="s">
        <v>670</v>
      </c>
      <c r="Q116" s="698" t="str">
        <f t="shared" si="1"/>
        <v/>
      </c>
    </row>
    <row r="117" spans="1:17">
      <c r="A117" s="22" t="s">
        <v>117</v>
      </c>
      <c r="B117" s="22" t="s">
        <v>532</v>
      </c>
      <c r="C117" s="22" t="s">
        <v>707</v>
      </c>
      <c r="D117" s="86" t="s">
        <v>948</v>
      </c>
      <c r="E117" s="86">
        <v>2035</v>
      </c>
      <c r="F117" s="255" t="s">
        <v>670</v>
      </c>
      <c r="G117" s="687" t="s">
        <v>707</v>
      </c>
      <c r="H117" s="255">
        <v>625.5</v>
      </c>
      <c r="I117" s="687" t="s">
        <v>707</v>
      </c>
      <c r="J117" s="37">
        <v>0</v>
      </c>
      <c r="K117" s="687" t="s">
        <v>670</v>
      </c>
      <c r="L117" s="696" t="s">
        <v>670</v>
      </c>
      <c r="N117" s="508" t="s">
        <v>670</v>
      </c>
      <c r="O117" s="508" t="s">
        <v>670</v>
      </c>
      <c r="Q117" s="698" t="str">
        <f t="shared" si="1"/>
        <v/>
      </c>
    </row>
    <row r="118" spans="1:17">
      <c r="A118" s="22" t="s">
        <v>117</v>
      </c>
      <c r="B118" s="22" t="s">
        <v>850</v>
      </c>
      <c r="C118" s="22" t="s">
        <v>707</v>
      </c>
      <c r="D118" s="86" t="s">
        <v>948</v>
      </c>
      <c r="E118" s="86">
        <v>2035</v>
      </c>
      <c r="F118" s="255" t="s">
        <v>670</v>
      </c>
      <c r="G118" s="687" t="s">
        <v>707</v>
      </c>
      <c r="H118" s="255">
        <v>170</v>
      </c>
      <c r="I118" s="687" t="s">
        <v>707</v>
      </c>
      <c r="J118" s="37">
        <v>0</v>
      </c>
      <c r="K118" s="687" t="s">
        <v>670</v>
      </c>
      <c r="L118" s="696" t="s">
        <v>670</v>
      </c>
      <c r="N118" s="508" t="s">
        <v>670</v>
      </c>
      <c r="O118" s="508" t="s">
        <v>670</v>
      </c>
      <c r="Q118" s="698" t="str">
        <f t="shared" si="1"/>
        <v/>
      </c>
    </row>
    <row r="119" spans="1:17">
      <c r="A119" s="210" t="s">
        <v>117</v>
      </c>
      <c r="B119" s="210" t="s">
        <v>534</v>
      </c>
      <c r="C119" s="210" t="s">
        <v>707</v>
      </c>
      <c r="D119" s="688" t="s">
        <v>948</v>
      </c>
      <c r="E119" s="688">
        <v>2035</v>
      </c>
      <c r="F119" s="694" t="s">
        <v>670</v>
      </c>
      <c r="G119" s="691" t="s">
        <v>707</v>
      </c>
      <c r="H119" s="694">
        <v>170</v>
      </c>
      <c r="I119" s="691" t="s">
        <v>707</v>
      </c>
      <c r="J119" s="274">
        <v>0</v>
      </c>
      <c r="K119" s="691" t="s">
        <v>670</v>
      </c>
      <c r="L119" s="697" t="s">
        <v>670</v>
      </c>
      <c r="M119" s="692"/>
      <c r="N119" s="692" t="s">
        <v>670</v>
      </c>
      <c r="O119" s="692" t="s">
        <v>670</v>
      </c>
      <c r="P119" s="210"/>
      <c r="Q119" s="698" t="str">
        <f t="shared" si="1"/>
        <v/>
      </c>
    </row>
    <row r="120" spans="1:17">
      <c r="A120" s="22" t="s">
        <v>122</v>
      </c>
      <c r="B120" s="22" t="s">
        <v>516</v>
      </c>
      <c r="D120" s="86" t="s">
        <v>948</v>
      </c>
      <c r="E120" s="86">
        <v>2035</v>
      </c>
      <c r="H120" s="255">
        <v>136</v>
      </c>
      <c r="J120" s="37">
        <v>907.1</v>
      </c>
      <c r="L120" s="696">
        <v>0.14992834307132621</v>
      </c>
      <c r="Q120" s="698" t="str">
        <f t="shared" si="1"/>
        <v/>
      </c>
    </row>
    <row r="121" spans="1:17">
      <c r="A121" s="22" t="s">
        <v>122</v>
      </c>
      <c r="B121" s="22" t="s">
        <v>510</v>
      </c>
      <c r="D121" s="86" t="s">
        <v>948</v>
      </c>
      <c r="E121" s="86">
        <v>2035</v>
      </c>
      <c r="H121" s="255">
        <v>1185.5</v>
      </c>
      <c r="J121" s="37">
        <v>1055.8000000000002</v>
      </c>
      <c r="L121" s="696">
        <v>1.1228452358401211</v>
      </c>
      <c r="Q121" s="698" t="str">
        <f t="shared" si="1"/>
        <v/>
      </c>
    </row>
    <row r="122" spans="1:17">
      <c r="A122" s="22" t="s">
        <v>122</v>
      </c>
      <c r="B122" s="22" t="s">
        <v>520</v>
      </c>
      <c r="D122" s="86" t="s">
        <v>948</v>
      </c>
      <c r="E122" s="86">
        <v>2035</v>
      </c>
      <c r="H122" s="255">
        <v>7</v>
      </c>
      <c r="J122" s="37">
        <v>28</v>
      </c>
      <c r="L122" s="696">
        <v>0.25</v>
      </c>
      <c r="Q122" s="698" t="str">
        <f t="shared" si="1"/>
        <v/>
      </c>
    </row>
    <row r="123" spans="1:17">
      <c r="A123" s="22" t="s">
        <v>122</v>
      </c>
      <c r="B123" s="22" t="s">
        <v>513</v>
      </c>
      <c r="D123" s="86" t="s">
        <v>948</v>
      </c>
      <c r="E123" s="86">
        <v>2035</v>
      </c>
      <c r="H123" s="255">
        <v>1279.8</v>
      </c>
      <c r="J123" s="37">
        <v>0</v>
      </c>
      <c r="Q123" s="698" t="str">
        <f t="shared" si="1"/>
        <v/>
      </c>
    </row>
    <row r="124" spans="1:17">
      <c r="A124" s="22" t="s">
        <v>122</v>
      </c>
      <c r="B124" s="22" t="s">
        <v>512</v>
      </c>
      <c r="D124" s="86" t="s">
        <v>948</v>
      </c>
      <c r="E124" s="86">
        <v>2035</v>
      </c>
      <c r="H124" s="255">
        <v>1925.9</v>
      </c>
      <c r="J124" s="37">
        <v>0</v>
      </c>
      <c r="Q124" s="698" t="str">
        <f t="shared" si="1"/>
        <v/>
      </c>
    </row>
    <row r="125" spans="1:17">
      <c r="A125" s="22" t="s">
        <v>122</v>
      </c>
      <c r="B125" s="22" t="s">
        <v>511</v>
      </c>
      <c r="D125" s="86" t="s">
        <v>948</v>
      </c>
      <c r="E125" s="86">
        <v>2035</v>
      </c>
      <c r="H125" s="255">
        <v>8.5500000000000007</v>
      </c>
      <c r="J125" s="37">
        <v>0</v>
      </c>
      <c r="Q125" s="698" t="str">
        <f t="shared" si="1"/>
        <v>Remove</v>
      </c>
    </row>
    <row r="126" spans="1:17">
      <c r="A126" s="22" t="s">
        <v>122</v>
      </c>
      <c r="B126" s="22" t="s">
        <v>532</v>
      </c>
      <c r="D126" s="86" t="s">
        <v>948</v>
      </c>
      <c r="E126" s="86">
        <v>2035</v>
      </c>
      <c r="H126" s="255">
        <v>210</v>
      </c>
      <c r="J126" s="37">
        <v>0</v>
      </c>
      <c r="Q126" s="698" t="str">
        <f t="shared" si="1"/>
        <v/>
      </c>
    </row>
    <row r="127" spans="1:17">
      <c r="A127" s="22" t="s">
        <v>122</v>
      </c>
      <c r="B127" s="22" t="s">
        <v>846</v>
      </c>
      <c r="D127" s="86" t="s">
        <v>948</v>
      </c>
      <c r="E127" s="86">
        <v>2035</v>
      </c>
      <c r="H127" s="255">
        <v>210</v>
      </c>
      <c r="J127" s="37">
        <v>0</v>
      </c>
      <c r="Q127" s="698" t="str">
        <f t="shared" si="1"/>
        <v/>
      </c>
    </row>
    <row r="128" spans="1:17">
      <c r="A128" s="22" t="s">
        <v>121</v>
      </c>
      <c r="B128" s="22" t="s">
        <v>516</v>
      </c>
      <c r="D128" s="86" t="s">
        <v>948</v>
      </c>
      <c r="E128" s="86">
        <v>2035</v>
      </c>
      <c r="H128" s="255">
        <v>134.32920000000001</v>
      </c>
      <c r="J128" s="37">
        <v>495.18453914767099</v>
      </c>
      <c r="L128" s="696">
        <v>0.27127098966218161</v>
      </c>
      <c r="Q128" s="698" t="str">
        <f t="shared" si="1"/>
        <v/>
      </c>
    </row>
    <row r="129" spans="1:17">
      <c r="A129" s="22" t="s">
        <v>121</v>
      </c>
      <c r="B129" s="22" t="s">
        <v>510</v>
      </c>
      <c r="D129" s="86" t="s">
        <v>948</v>
      </c>
      <c r="E129" s="86">
        <v>2035</v>
      </c>
      <c r="H129" s="255">
        <v>680.12760000000003</v>
      </c>
      <c r="J129" s="37">
        <v>1046.5999999999999</v>
      </c>
      <c r="L129" s="696">
        <v>0.64984483088094791</v>
      </c>
      <c r="Q129" s="698" t="str">
        <f t="shared" si="1"/>
        <v/>
      </c>
    </row>
    <row r="130" spans="1:17">
      <c r="A130" s="22" t="s">
        <v>121</v>
      </c>
      <c r="B130" s="22" t="s">
        <v>520</v>
      </c>
      <c r="D130" s="86" t="s">
        <v>948</v>
      </c>
      <c r="E130" s="86">
        <v>2035</v>
      </c>
      <c r="H130" s="255">
        <v>62.13</v>
      </c>
      <c r="J130" s="37">
        <v>184.61546085232902</v>
      </c>
      <c r="L130" s="696">
        <v>0.33653736102685788</v>
      </c>
      <c r="Q130" s="698" t="str">
        <f t="shared" si="1"/>
        <v/>
      </c>
    </row>
    <row r="131" spans="1:17">
      <c r="A131" s="22" t="s">
        <v>121</v>
      </c>
      <c r="B131" s="22" t="s">
        <v>513</v>
      </c>
      <c r="D131" s="86" t="s">
        <v>948</v>
      </c>
      <c r="E131" s="86">
        <v>2035</v>
      </c>
      <c r="H131" s="255">
        <v>1559</v>
      </c>
      <c r="J131" s="37">
        <v>0</v>
      </c>
      <c r="Q131" s="698" t="str">
        <f t="shared" ref="Q131:Q143" si="2">IF(H131+J131&gt;=20,"","Remove")</f>
        <v/>
      </c>
    </row>
    <row r="132" spans="1:17">
      <c r="A132" s="22" t="s">
        <v>121</v>
      </c>
      <c r="B132" s="22" t="s">
        <v>512</v>
      </c>
      <c r="D132" s="86" t="s">
        <v>948</v>
      </c>
      <c r="E132" s="86">
        <v>2035</v>
      </c>
      <c r="H132" s="255">
        <v>6437</v>
      </c>
      <c r="J132" s="37">
        <v>0</v>
      </c>
      <c r="Q132" s="698" t="str">
        <f t="shared" si="2"/>
        <v/>
      </c>
    </row>
    <row r="133" spans="1:17">
      <c r="A133" s="22" t="s">
        <v>121</v>
      </c>
      <c r="B133" s="22" t="s">
        <v>532</v>
      </c>
      <c r="D133" s="86" t="s">
        <v>948</v>
      </c>
      <c r="E133" s="86">
        <v>2035</v>
      </c>
      <c r="H133" s="255">
        <v>156</v>
      </c>
      <c r="J133" s="37">
        <v>0</v>
      </c>
      <c r="Q133" s="698" t="str">
        <f t="shared" si="2"/>
        <v/>
      </c>
    </row>
    <row r="134" spans="1:17">
      <c r="A134" s="22" t="s">
        <v>121</v>
      </c>
      <c r="B134" s="22" t="s">
        <v>846</v>
      </c>
      <c r="D134" s="86" t="s">
        <v>948</v>
      </c>
      <c r="E134" s="86">
        <v>2035</v>
      </c>
      <c r="H134" s="255">
        <v>156</v>
      </c>
      <c r="J134" s="37">
        <v>0</v>
      </c>
      <c r="Q134" s="698" t="str">
        <f t="shared" si="2"/>
        <v/>
      </c>
    </row>
    <row r="135" spans="1:17">
      <c r="A135" s="22" t="s">
        <v>123</v>
      </c>
      <c r="B135" s="22" t="s">
        <v>516</v>
      </c>
      <c r="D135" s="86" t="s">
        <v>948</v>
      </c>
      <c r="E135" s="86">
        <v>2035</v>
      </c>
      <c r="H135" s="255">
        <v>127.3</v>
      </c>
      <c r="J135" s="37">
        <v>400.5</v>
      </c>
      <c r="L135" s="696">
        <v>0.31785268414481899</v>
      </c>
      <c r="Q135" s="698" t="str">
        <f t="shared" si="2"/>
        <v/>
      </c>
    </row>
    <row r="136" spans="1:17">
      <c r="A136" s="22" t="s">
        <v>123</v>
      </c>
      <c r="B136" s="22" t="s">
        <v>510</v>
      </c>
      <c r="D136" s="86" t="s">
        <v>948</v>
      </c>
      <c r="E136" s="86">
        <v>2035</v>
      </c>
      <c r="H136" s="255">
        <v>116</v>
      </c>
      <c r="J136" s="37">
        <v>408</v>
      </c>
      <c r="L136" s="696">
        <v>0.28431372549019607</v>
      </c>
      <c r="Q136" s="698" t="str">
        <f t="shared" si="2"/>
        <v/>
      </c>
    </row>
    <row r="137" spans="1:17">
      <c r="A137" s="22" t="s">
        <v>123</v>
      </c>
      <c r="B137" s="22" t="s">
        <v>904</v>
      </c>
      <c r="D137" s="86" t="s">
        <v>948</v>
      </c>
      <c r="E137" s="86">
        <v>2035</v>
      </c>
      <c r="H137" s="255">
        <v>215</v>
      </c>
      <c r="J137" s="37">
        <v>160</v>
      </c>
      <c r="L137" s="696">
        <v>1.34375</v>
      </c>
      <c r="Q137" s="698" t="str">
        <f t="shared" si="2"/>
        <v/>
      </c>
    </row>
    <row r="138" spans="1:17">
      <c r="A138" s="22" t="s">
        <v>123</v>
      </c>
      <c r="B138" s="22" t="s">
        <v>520</v>
      </c>
      <c r="D138" s="86" t="s">
        <v>948</v>
      </c>
      <c r="E138" s="86">
        <v>2035</v>
      </c>
      <c r="H138" s="255">
        <v>19.3</v>
      </c>
      <c r="J138" s="37">
        <v>80</v>
      </c>
      <c r="L138" s="696">
        <v>0.24125000000000002</v>
      </c>
      <c r="Q138" s="698" t="str">
        <f t="shared" si="2"/>
        <v/>
      </c>
    </row>
    <row r="139" spans="1:17">
      <c r="A139" s="22" t="s">
        <v>123</v>
      </c>
      <c r="B139" s="22" t="s">
        <v>513</v>
      </c>
      <c r="D139" s="86" t="s">
        <v>948</v>
      </c>
      <c r="E139" s="86">
        <v>2035</v>
      </c>
      <c r="H139" s="255">
        <v>1190.2089999999998</v>
      </c>
      <c r="J139" s="37">
        <v>0</v>
      </c>
      <c r="Q139" s="698" t="str">
        <f t="shared" si="2"/>
        <v/>
      </c>
    </row>
    <row r="140" spans="1:17">
      <c r="A140" s="22" t="s">
        <v>123</v>
      </c>
      <c r="B140" s="22" t="s">
        <v>512</v>
      </c>
      <c r="D140" s="86" t="s">
        <v>948</v>
      </c>
      <c r="E140" s="86">
        <v>2035</v>
      </c>
      <c r="H140" s="255">
        <v>742.90499999999997</v>
      </c>
      <c r="J140" s="37">
        <v>0</v>
      </c>
      <c r="Q140" s="698" t="str">
        <f t="shared" si="2"/>
        <v/>
      </c>
    </row>
    <row r="141" spans="1:17">
      <c r="A141" s="22" t="s">
        <v>123</v>
      </c>
      <c r="B141" s="22" t="s">
        <v>511</v>
      </c>
      <c r="D141" s="86" t="s">
        <v>948</v>
      </c>
      <c r="E141" s="86">
        <v>2035</v>
      </c>
      <c r="H141" s="255">
        <v>1092</v>
      </c>
      <c r="J141" s="37">
        <v>0</v>
      </c>
      <c r="Q141" s="698" t="str">
        <f t="shared" si="2"/>
        <v/>
      </c>
    </row>
    <row r="142" spans="1:17">
      <c r="A142" s="22" t="s">
        <v>123</v>
      </c>
      <c r="B142" s="22" t="s">
        <v>532</v>
      </c>
      <c r="D142" s="86" t="s">
        <v>948</v>
      </c>
      <c r="E142" s="86">
        <v>2035</v>
      </c>
      <c r="H142" s="255">
        <v>96</v>
      </c>
      <c r="J142" s="37">
        <v>0</v>
      </c>
      <c r="Q142" s="698" t="str">
        <f t="shared" si="2"/>
        <v/>
      </c>
    </row>
    <row r="143" spans="1:17">
      <c r="A143" s="210" t="s">
        <v>123</v>
      </c>
      <c r="B143" s="210" t="s">
        <v>846</v>
      </c>
      <c r="C143" s="210"/>
      <c r="D143" s="688" t="s">
        <v>948</v>
      </c>
      <c r="E143" s="688">
        <v>2035</v>
      </c>
      <c r="F143" s="694"/>
      <c r="G143" s="691"/>
      <c r="H143" s="694">
        <v>96</v>
      </c>
      <c r="I143" s="691"/>
      <c r="J143" s="274">
        <v>0</v>
      </c>
      <c r="K143" s="691"/>
      <c r="L143" s="697"/>
      <c r="M143" s="692"/>
      <c r="N143" s="692"/>
      <c r="O143" s="692"/>
      <c r="P143" s="210"/>
      <c r="Q143" s="698" t="str">
        <f t="shared" si="2"/>
        <v/>
      </c>
    </row>
    <row r="144" spans="1:17">
      <c r="F144" s="702"/>
      <c r="H144" s="702"/>
      <c r="L144" s="703"/>
    </row>
  </sheetData>
  <autoFilter ref="A1:Q143" xr:uid="{BC9486D5-BFF9-469D-BAEA-409EAFC7D530}"/>
  <conditionalFormatting sqref="A2:Q198">
    <cfRule type="expression" dxfId="26"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M98"/>
  <sheetViews>
    <sheetView workbookViewId="0">
      <pane ySplit="1" topLeftCell="A2" activePane="bottomLeft" state="frozen"/>
      <selection activeCell="J63" sqref="J63"/>
      <selection pane="bottomLeft" activeCell="I89" sqref="I89"/>
    </sheetView>
  </sheetViews>
  <sheetFormatPr defaultColWidth="9.109375" defaultRowHeight="14.4"/>
  <cols>
    <col min="1" max="1" width="10.109375" style="22" customWidth="1"/>
    <col min="2" max="2" width="13.6640625" style="22" bestFit="1" customWidth="1"/>
    <col min="3" max="3" width="14" style="22" customWidth="1"/>
    <col min="4" max="4" width="10.6640625" style="22" customWidth="1"/>
    <col min="5" max="5" width="7" style="22" customWidth="1"/>
    <col min="6" max="6" width="14.109375" style="22" bestFit="1" customWidth="1"/>
    <col min="7" max="7" width="14.33203125" style="22" customWidth="1"/>
    <col min="8" max="8" width="11.88671875" style="22" customWidth="1"/>
    <col min="9" max="9" width="16.6640625" style="22" customWidth="1"/>
    <col min="10" max="10" width="18.6640625" style="22" customWidth="1"/>
    <col min="11" max="11" width="10.6640625" style="22" customWidth="1"/>
    <col min="12" max="12" width="9.109375" style="22"/>
    <col min="13" max="13" width="12.77734375" style="22" bestFit="1" customWidth="1"/>
    <col min="14" max="16384" width="9.109375" style="22"/>
  </cols>
  <sheetData>
    <row r="1" spans="1:13">
      <c r="A1" s="572" t="s">
        <v>661</v>
      </c>
      <c r="B1" s="572" t="s">
        <v>662</v>
      </c>
      <c r="C1" s="572" t="s">
        <v>663</v>
      </c>
      <c r="D1" s="572" t="s">
        <v>281</v>
      </c>
      <c r="E1" s="572" t="s">
        <v>177</v>
      </c>
      <c r="F1" s="572" t="s">
        <v>961</v>
      </c>
      <c r="G1" s="572" t="s">
        <v>690</v>
      </c>
      <c r="H1" s="572" t="s">
        <v>691</v>
      </c>
      <c r="I1" s="572" t="s">
        <v>692</v>
      </c>
      <c r="J1" s="572" t="s">
        <v>693</v>
      </c>
      <c r="K1" s="572" t="s">
        <v>694</v>
      </c>
      <c r="L1" s="437" t="s">
        <v>963</v>
      </c>
      <c r="M1" s="437" t="s">
        <v>964</v>
      </c>
    </row>
    <row r="2" spans="1:13">
      <c r="A2" s="568" t="s">
        <v>107</v>
      </c>
      <c r="B2" s="568" t="s">
        <v>666</v>
      </c>
      <c r="C2" s="568"/>
      <c r="D2" s="615" t="s">
        <v>948</v>
      </c>
      <c r="E2" s="615">
        <v>1</v>
      </c>
      <c r="F2" s="615"/>
      <c r="G2" s="569"/>
      <c r="H2" s="569"/>
      <c r="I2" s="642">
        <v>3000</v>
      </c>
      <c r="J2" s="569"/>
      <c r="K2" s="569"/>
      <c r="L2" s="569"/>
      <c r="M2" s="569"/>
    </row>
    <row r="3" spans="1:13">
      <c r="A3" s="22" t="s">
        <v>109</v>
      </c>
      <c r="B3" s="22" t="s">
        <v>666</v>
      </c>
      <c r="D3" s="86" t="s">
        <v>948</v>
      </c>
      <c r="E3" s="86">
        <v>1</v>
      </c>
      <c r="F3" s="86"/>
      <c r="G3" s="37"/>
      <c r="H3" s="37"/>
      <c r="I3" s="215">
        <v>3000</v>
      </c>
      <c r="J3" s="37"/>
      <c r="K3" s="37"/>
      <c r="L3" s="37"/>
      <c r="M3" s="37"/>
    </row>
    <row r="4" spans="1:13">
      <c r="A4" s="570" t="s">
        <v>110</v>
      </c>
      <c r="B4" s="570" t="s">
        <v>666</v>
      </c>
      <c r="C4" s="570"/>
      <c r="D4" s="616" t="s">
        <v>948</v>
      </c>
      <c r="E4" s="616">
        <v>1</v>
      </c>
      <c r="F4" s="616"/>
      <c r="G4" s="571"/>
      <c r="H4" s="571"/>
      <c r="I4" s="643">
        <v>3000</v>
      </c>
      <c r="J4" s="571"/>
      <c r="K4" s="571"/>
      <c r="L4" s="571"/>
      <c r="M4" s="571"/>
    </row>
    <row r="5" spans="1:13">
      <c r="A5" s="22" t="s">
        <v>112</v>
      </c>
      <c r="B5" s="22" t="s">
        <v>666</v>
      </c>
      <c r="D5" s="86" t="s">
        <v>948</v>
      </c>
      <c r="E5" s="86">
        <v>1</v>
      </c>
      <c r="F5" s="86"/>
      <c r="G5" s="37"/>
      <c r="H5" s="37"/>
      <c r="I5" s="215">
        <v>3000</v>
      </c>
      <c r="J5" s="37"/>
      <c r="K5" s="37"/>
      <c r="L5" s="37"/>
      <c r="M5" s="37"/>
    </row>
    <row r="6" spans="1:13">
      <c r="A6" s="570" t="s">
        <v>113</v>
      </c>
      <c r="B6" s="570" t="s">
        <v>666</v>
      </c>
      <c r="C6" s="570"/>
      <c r="D6" s="616" t="s">
        <v>948</v>
      </c>
      <c r="E6" s="616">
        <v>1</v>
      </c>
      <c r="F6" s="616"/>
      <c r="G6" s="571"/>
      <c r="H6" s="571"/>
      <c r="I6" s="643">
        <v>3000</v>
      </c>
      <c r="J6" s="571"/>
      <c r="K6" s="571"/>
      <c r="L6" s="571"/>
      <c r="M6" s="571"/>
    </row>
    <row r="7" spans="1:13">
      <c r="A7" s="22" t="s">
        <v>114</v>
      </c>
      <c r="B7" s="22" t="s">
        <v>666</v>
      </c>
      <c r="D7" s="86" t="s">
        <v>948</v>
      </c>
      <c r="E7" s="86">
        <v>1</v>
      </c>
      <c r="F7" s="86"/>
      <c r="G7" s="37"/>
      <c r="H7" s="37"/>
      <c r="I7" s="215">
        <v>3000</v>
      </c>
      <c r="J7" s="37"/>
      <c r="K7" s="37"/>
      <c r="L7" s="37"/>
      <c r="M7" s="37"/>
    </row>
    <row r="8" spans="1:13">
      <c r="A8" s="570" t="s">
        <v>115</v>
      </c>
      <c r="B8" s="570" t="s">
        <v>666</v>
      </c>
      <c r="C8" s="570"/>
      <c r="D8" s="616" t="s">
        <v>948</v>
      </c>
      <c r="E8" s="616">
        <v>1</v>
      </c>
      <c r="F8" s="616"/>
      <c r="G8" s="571"/>
      <c r="H8" s="571"/>
      <c r="I8" s="643">
        <f>Demand!$B$32</f>
        <v>3000</v>
      </c>
      <c r="J8" s="571"/>
      <c r="K8" s="571"/>
      <c r="L8" s="571"/>
      <c r="M8" s="571"/>
    </row>
    <row r="9" spans="1:13">
      <c r="A9" s="22" t="s">
        <v>103</v>
      </c>
      <c r="B9" s="22" t="s">
        <v>666</v>
      </c>
      <c r="D9" s="86" t="s">
        <v>948</v>
      </c>
      <c r="E9" s="86">
        <v>1</v>
      </c>
      <c r="F9" s="86"/>
      <c r="G9" s="37"/>
      <c r="H9" s="37"/>
      <c r="I9" s="643">
        <f>Demand!$B$32</f>
        <v>3000</v>
      </c>
      <c r="J9" s="37"/>
      <c r="K9" s="37"/>
      <c r="L9" s="37"/>
      <c r="M9" s="37"/>
    </row>
    <row r="10" spans="1:13">
      <c r="A10" s="570" t="s">
        <v>104</v>
      </c>
      <c r="B10" s="570" t="s">
        <v>666</v>
      </c>
      <c r="C10" s="570"/>
      <c r="D10" s="616" t="s">
        <v>948</v>
      </c>
      <c r="E10" s="616">
        <v>1</v>
      </c>
      <c r="F10" s="616"/>
      <c r="G10" s="571"/>
      <c r="H10" s="571"/>
      <c r="I10" s="643">
        <f>Demand!$B$32</f>
        <v>3000</v>
      </c>
      <c r="J10" s="571"/>
      <c r="K10" s="571"/>
      <c r="L10" s="571"/>
      <c r="M10" s="571"/>
    </row>
    <row r="11" spans="1:13">
      <c r="A11" s="22" t="s">
        <v>105</v>
      </c>
      <c r="B11" s="22" t="s">
        <v>666</v>
      </c>
      <c r="D11" s="86" t="s">
        <v>948</v>
      </c>
      <c r="E11" s="86">
        <v>1</v>
      </c>
      <c r="F11" s="86"/>
      <c r="G11" s="37"/>
      <c r="H11" s="37"/>
      <c r="I11" s="643">
        <f>Demand!$B$32</f>
        <v>3000</v>
      </c>
      <c r="J11" s="37"/>
      <c r="K11" s="37"/>
      <c r="L11" s="37"/>
      <c r="M11" s="37"/>
    </row>
    <row r="12" spans="1:13">
      <c r="A12" s="570" t="s">
        <v>106</v>
      </c>
      <c r="B12" s="570" t="s">
        <v>666</v>
      </c>
      <c r="C12" s="570"/>
      <c r="D12" s="616" t="s">
        <v>948</v>
      </c>
      <c r="E12" s="616">
        <v>1</v>
      </c>
      <c r="F12" s="616"/>
      <c r="G12" s="571"/>
      <c r="H12" s="571"/>
      <c r="I12" s="643">
        <f>Demand!$B$32</f>
        <v>3000</v>
      </c>
      <c r="J12" s="571"/>
      <c r="K12" s="571"/>
      <c r="L12" s="571"/>
      <c r="M12" s="571"/>
    </row>
    <row r="13" spans="1:13">
      <c r="A13" s="22" t="s">
        <v>119</v>
      </c>
      <c r="B13" s="22" t="s">
        <v>666</v>
      </c>
      <c r="D13" s="86" t="s">
        <v>948</v>
      </c>
      <c r="E13" s="86">
        <v>1</v>
      </c>
      <c r="F13" s="86"/>
      <c r="G13" s="37"/>
      <c r="H13" s="37"/>
      <c r="I13" s="643">
        <f>Demand!$B$32</f>
        <v>3000</v>
      </c>
      <c r="J13" s="37"/>
      <c r="K13" s="37"/>
      <c r="L13" s="37"/>
      <c r="M13" s="37"/>
    </row>
    <row r="14" spans="1:13">
      <c r="A14" s="570" t="s">
        <v>118</v>
      </c>
      <c r="B14" s="570" t="s">
        <v>666</v>
      </c>
      <c r="C14" s="570"/>
      <c r="D14" s="616" t="s">
        <v>948</v>
      </c>
      <c r="E14" s="616">
        <v>1</v>
      </c>
      <c r="F14" s="616"/>
      <c r="G14" s="571"/>
      <c r="H14" s="571"/>
      <c r="I14" s="643">
        <f>Demand!$B$32</f>
        <v>3000</v>
      </c>
      <c r="J14" s="571"/>
      <c r="K14" s="571"/>
      <c r="L14" s="571"/>
      <c r="M14" s="571"/>
    </row>
    <row r="15" spans="1:13">
      <c r="A15" s="22" t="s">
        <v>120</v>
      </c>
      <c r="B15" s="22" t="s">
        <v>666</v>
      </c>
      <c r="D15" s="86" t="s">
        <v>948</v>
      </c>
      <c r="E15" s="86">
        <v>1</v>
      </c>
      <c r="F15" s="86"/>
      <c r="G15" s="37"/>
      <c r="H15" s="37"/>
      <c r="I15" s="643">
        <f>Demand!$B$32</f>
        <v>3000</v>
      </c>
      <c r="J15" s="37"/>
      <c r="K15" s="37"/>
      <c r="L15" s="37"/>
      <c r="M15" s="37"/>
    </row>
    <row r="16" spans="1:13">
      <c r="A16" s="570" t="s">
        <v>101</v>
      </c>
      <c r="B16" s="570" t="s">
        <v>666</v>
      </c>
      <c r="C16" s="570"/>
      <c r="D16" s="616" t="s">
        <v>948</v>
      </c>
      <c r="E16" s="616">
        <v>1</v>
      </c>
      <c r="F16" s="616"/>
      <c r="G16" s="571"/>
      <c r="H16" s="571"/>
      <c r="I16" s="643">
        <f>Demand!$B$32</f>
        <v>3000</v>
      </c>
      <c r="J16" s="571"/>
      <c r="K16" s="571"/>
      <c r="L16" s="571"/>
      <c r="M16" s="571"/>
    </row>
    <row r="17" spans="1:13">
      <c r="A17" s="22" t="s">
        <v>99</v>
      </c>
      <c r="B17" s="22" t="s">
        <v>666</v>
      </c>
      <c r="D17" s="86" t="s">
        <v>948</v>
      </c>
      <c r="E17" s="86">
        <v>1</v>
      </c>
      <c r="F17" s="86"/>
      <c r="G17" s="37"/>
      <c r="H17" s="37"/>
      <c r="I17" s="643">
        <f>Demand!$B$32</f>
        <v>3000</v>
      </c>
      <c r="J17" s="37"/>
      <c r="K17" s="37"/>
      <c r="L17" s="37"/>
      <c r="M17" s="37"/>
    </row>
    <row r="18" spans="1:13">
      <c r="A18" s="570" t="s">
        <v>117</v>
      </c>
      <c r="B18" s="22" t="s">
        <v>666</v>
      </c>
      <c r="C18" s="570"/>
      <c r="D18" s="616" t="s">
        <v>948</v>
      </c>
      <c r="E18" s="616">
        <v>1</v>
      </c>
      <c r="F18" s="616"/>
      <c r="G18" s="571"/>
      <c r="H18" s="571"/>
      <c r="I18" s="643">
        <f>Demand!$B$32</f>
        <v>3000</v>
      </c>
      <c r="J18" s="37"/>
      <c r="K18" s="37"/>
      <c r="L18" s="37"/>
      <c r="M18" s="37"/>
    </row>
    <row r="19" spans="1:13">
      <c r="A19" s="570" t="s">
        <v>121</v>
      </c>
      <c r="B19" s="570" t="s">
        <v>666</v>
      </c>
      <c r="C19" s="570"/>
      <c r="D19" s="616" t="s">
        <v>948</v>
      </c>
      <c r="E19" s="616">
        <v>1</v>
      </c>
      <c r="F19" s="616"/>
      <c r="G19" s="571"/>
      <c r="H19" s="571"/>
      <c r="I19" s="643">
        <f>Demand!$B$32</f>
        <v>3000</v>
      </c>
      <c r="J19" s="571"/>
      <c r="K19" s="571"/>
      <c r="L19" s="571"/>
      <c r="M19" s="571"/>
    </row>
    <row r="20" spans="1:13">
      <c r="A20" s="22" t="s">
        <v>122</v>
      </c>
      <c r="B20" s="22" t="s">
        <v>666</v>
      </c>
      <c r="D20" s="86" t="s">
        <v>948</v>
      </c>
      <c r="E20" s="86">
        <v>1</v>
      </c>
      <c r="F20" s="86"/>
      <c r="G20" s="37"/>
      <c r="H20" s="37"/>
      <c r="I20" s="643">
        <f>Demand!$B$32</f>
        <v>3000</v>
      </c>
      <c r="J20" s="37"/>
      <c r="K20" s="37"/>
      <c r="L20" s="37"/>
      <c r="M20" s="37"/>
    </row>
    <row r="21" spans="1:13">
      <c r="A21" s="617" t="s">
        <v>123</v>
      </c>
      <c r="B21" s="617" t="s">
        <v>666</v>
      </c>
      <c r="C21" s="617"/>
      <c r="D21" s="618" t="s">
        <v>948</v>
      </c>
      <c r="E21" s="618">
        <v>1</v>
      </c>
      <c r="F21" s="618"/>
      <c r="G21" s="619"/>
      <c r="H21" s="619"/>
      <c r="I21" s="645">
        <f>Demand!$B$32</f>
        <v>3000</v>
      </c>
      <c r="J21" s="619"/>
      <c r="K21" s="619"/>
      <c r="L21" s="619"/>
      <c r="M21" s="619"/>
    </row>
    <row r="22" spans="1:13">
      <c r="A22" s="22" t="s">
        <v>107</v>
      </c>
      <c r="B22" s="22" t="s">
        <v>950</v>
      </c>
      <c r="D22" s="86" t="s">
        <v>948</v>
      </c>
      <c r="E22" s="86">
        <v>1</v>
      </c>
      <c r="F22" s="86"/>
      <c r="G22" s="37"/>
      <c r="H22" s="37"/>
      <c r="I22" s="215">
        <v>240</v>
      </c>
      <c r="J22" s="37"/>
      <c r="K22" s="37"/>
      <c r="L22" s="571"/>
      <c r="M22" s="571"/>
    </row>
    <row r="23" spans="1:13">
      <c r="A23" s="570" t="s">
        <v>109</v>
      </c>
      <c r="B23" s="22" t="s">
        <v>950</v>
      </c>
      <c r="C23" s="570"/>
      <c r="D23" s="616" t="s">
        <v>948</v>
      </c>
      <c r="E23" s="616">
        <v>1</v>
      </c>
      <c r="F23" s="616"/>
      <c r="G23" s="571"/>
      <c r="H23" s="571"/>
      <c r="I23" s="215">
        <v>240</v>
      </c>
      <c r="J23" s="571"/>
      <c r="K23" s="571"/>
      <c r="L23" s="37"/>
      <c r="M23" s="37"/>
    </row>
    <row r="24" spans="1:13">
      <c r="A24" s="22" t="s">
        <v>110</v>
      </c>
      <c r="B24" s="22" t="s">
        <v>950</v>
      </c>
      <c r="C24" s="570"/>
      <c r="D24" s="86" t="s">
        <v>948</v>
      </c>
      <c r="E24" s="86">
        <v>1</v>
      </c>
      <c r="F24" s="86"/>
      <c r="G24" s="37"/>
      <c r="H24" s="37"/>
      <c r="I24" s="215">
        <v>240</v>
      </c>
      <c r="J24" s="37"/>
      <c r="K24" s="37"/>
      <c r="L24" s="571"/>
      <c r="M24" s="571"/>
    </row>
    <row r="25" spans="1:13">
      <c r="A25" s="570" t="s">
        <v>112</v>
      </c>
      <c r="B25" s="22" t="s">
        <v>950</v>
      </c>
      <c r="C25" s="570"/>
      <c r="D25" s="616" t="s">
        <v>948</v>
      </c>
      <c r="E25" s="616">
        <v>1</v>
      </c>
      <c r="F25" s="616"/>
      <c r="G25" s="571"/>
      <c r="H25" s="571"/>
      <c r="I25" s="215">
        <v>240</v>
      </c>
      <c r="J25" s="571"/>
      <c r="K25" s="571"/>
      <c r="L25" s="571"/>
      <c r="M25" s="571"/>
    </row>
    <row r="26" spans="1:13">
      <c r="A26" s="22" t="s">
        <v>113</v>
      </c>
      <c r="B26" s="22" t="s">
        <v>950</v>
      </c>
      <c r="C26" s="570"/>
      <c r="D26" s="86" t="s">
        <v>948</v>
      </c>
      <c r="E26" s="86">
        <v>1</v>
      </c>
      <c r="F26" s="86"/>
      <c r="G26" s="37"/>
      <c r="H26" s="37"/>
      <c r="I26" s="215">
        <v>240</v>
      </c>
      <c r="J26" s="37"/>
      <c r="K26" s="37"/>
      <c r="L26" s="37"/>
      <c r="M26" s="37"/>
    </row>
    <row r="27" spans="1:13">
      <c r="A27" s="570" t="s">
        <v>114</v>
      </c>
      <c r="B27" s="22" t="s">
        <v>950</v>
      </c>
      <c r="C27" s="570"/>
      <c r="D27" s="616" t="s">
        <v>948</v>
      </c>
      <c r="E27" s="616">
        <v>1</v>
      </c>
      <c r="F27" s="616"/>
      <c r="G27" s="571"/>
      <c r="H27" s="571"/>
      <c r="I27" s="215">
        <v>240</v>
      </c>
      <c r="J27" s="571"/>
      <c r="K27" s="571"/>
      <c r="L27" s="571"/>
      <c r="M27" s="571"/>
    </row>
    <row r="28" spans="1:13">
      <c r="A28" s="22" t="s">
        <v>115</v>
      </c>
      <c r="B28" s="22" t="s">
        <v>950</v>
      </c>
      <c r="C28" s="570"/>
      <c r="D28" s="86" t="s">
        <v>948</v>
      </c>
      <c r="E28" s="86">
        <v>1</v>
      </c>
      <c r="F28" s="86"/>
      <c r="G28" s="37"/>
      <c r="H28" s="37"/>
      <c r="I28" s="215">
        <v>240</v>
      </c>
      <c r="J28" s="37"/>
      <c r="K28" s="37"/>
      <c r="L28" s="571"/>
      <c r="M28" s="571"/>
    </row>
    <row r="29" spans="1:13">
      <c r="A29" s="570" t="s">
        <v>103</v>
      </c>
      <c r="B29" s="22" t="s">
        <v>950</v>
      </c>
      <c r="C29" s="570"/>
      <c r="D29" s="616" t="s">
        <v>948</v>
      </c>
      <c r="E29" s="616">
        <v>1</v>
      </c>
      <c r="F29" s="616"/>
      <c r="G29" s="571"/>
      <c r="H29" s="571"/>
      <c r="I29" s="215">
        <v>240</v>
      </c>
      <c r="J29" s="571"/>
      <c r="K29" s="571"/>
      <c r="L29" s="37"/>
      <c r="M29" s="37"/>
    </row>
    <row r="30" spans="1:13">
      <c r="A30" s="22" t="s">
        <v>104</v>
      </c>
      <c r="B30" s="22" t="s">
        <v>950</v>
      </c>
      <c r="C30" s="570"/>
      <c r="D30" s="86" t="s">
        <v>948</v>
      </c>
      <c r="E30" s="86">
        <v>1</v>
      </c>
      <c r="F30" s="86"/>
      <c r="G30" s="37"/>
      <c r="H30" s="37"/>
      <c r="I30" s="215">
        <v>240</v>
      </c>
      <c r="J30" s="37"/>
      <c r="K30" s="37"/>
      <c r="L30" s="571"/>
      <c r="M30" s="571"/>
    </row>
    <row r="31" spans="1:13">
      <c r="A31" s="570" t="s">
        <v>105</v>
      </c>
      <c r="B31" s="22" t="s">
        <v>950</v>
      </c>
      <c r="C31" s="570"/>
      <c r="D31" s="616" t="s">
        <v>948</v>
      </c>
      <c r="E31" s="616">
        <v>1</v>
      </c>
      <c r="F31" s="616"/>
      <c r="G31" s="571"/>
      <c r="H31" s="571"/>
      <c r="I31" s="215">
        <v>240</v>
      </c>
      <c r="J31" s="571"/>
      <c r="K31" s="571"/>
      <c r="L31" s="571"/>
      <c r="M31" s="571"/>
    </row>
    <row r="32" spans="1:13">
      <c r="A32" s="22" t="s">
        <v>106</v>
      </c>
      <c r="B32" s="22" t="s">
        <v>950</v>
      </c>
      <c r="C32" s="570"/>
      <c r="D32" s="86" t="s">
        <v>948</v>
      </c>
      <c r="E32" s="86">
        <v>1</v>
      </c>
      <c r="F32" s="86"/>
      <c r="G32" s="37"/>
      <c r="H32" s="37"/>
      <c r="I32" s="215">
        <v>240</v>
      </c>
      <c r="J32" s="37"/>
      <c r="K32" s="37"/>
      <c r="L32" s="37"/>
      <c r="M32" s="37"/>
    </row>
    <row r="33" spans="1:13">
      <c r="A33" s="570" t="s">
        <v>101</v>
      </c>
      <c r="B33" s="22" t="s">
        <v>950</v>
      </c>
      <c r="C33" s="570"/>
      <c r="D33" s="616" t="s">
        <v>948</v>
      </c>
      <c r="E33" s="616">
        <v>1</v>
      </c>
      <c r="F33" s="616"/>
      <c r="G33" s="571"/>
      <c r="H33" s="571"/>
      <c r="I33" s="215">
        <v>240</v>
      </c>
      <c r="J33" s="571"/>
      <c r="K33" s="571"/>
      <c r="L33" s="571"/>
      <c r="M33" s="571"/>
    </row>
    <row r="34" spans="1:13">
      <c r="A34" s="22" t="s">
        <v>99</v>
      </c>
      <c r="B34" s="22" t="s">
        <v>950</v>
      </c>
      <c r="C34" s="570"/>
      <c r="D34" s="86" t="s">
        <v>948</v>
      </c>
      <c r="E34" s="86">
        <v>1</v>
      </c>
      <c r="F34" s="86"/>
      <c r="G34" s="37"/>
      <c r="H34" s="37"/>
      <c r="I34" s="215">
        <v>240</v>
      </c>
      <c r="J34" s="37"/>
      <c r="K34" s="37"/>
      <c r="L34" s="571"/>
      <c r="M34" s="571"/>
    </row>
    <row r="35" spans="1:13">
      <c r="A35" s="570" t="s">
        <v>117</v>
      </c>
      <c r="B35" s="22" t="s">
        <v>950</v>
      </c>
      <c r="C35" s="570"/>
      <c r="D35" s="616" t="s">
        <v>948</v>
      </c>
      <c r="E35" s="616">
        <v>1</v>
      </c>
      <c r="F35" s="616"/>
      <c r="G35" s="571"/>
      <c r="H35" s="571"/>
      <c r="I35" s="215">
        <v>240</v>
      </c>
      <c r="J35" s="571"/>
      <c r="K35" s="571"/>
      <c r="L35" s="37"/>
      <c r="M35" s="37"/>
    </row>
    <row r="36" spans="1:13">
      <c r="A36" s="22" t="s">
        <v>121</v>
      </c>
      <c r="B36" s="22" t="s">
        <v>950</v>
      </c>
      <c r="C36" s="570"/>
      <c r="D36" s="86" t="s">
        <v>948</v>
      </c>
      <c r="E36" s="86">
        <v>1</v>
      </c>
      <c r="F36" s="86"/>
      <c r="G36" s="37"/>
      <c r="H36" s="37"/>
      <c r="I36" s="215">
        <v>240</v>
      </c>
      <c r="J36" s="37"/>
      <c r="K36" s="37"/>
      <c r="L36" s="571"/>
      <c r="M36" s="571"/>
    </row>
    <row r="37" spans="1:13">
      <c r="A37" s="570" t="s">
        <v>122</v>
      </c>
      <c r="B37" s="22" t="s">
        <v>950</v>
      </c>
      <c r="C37" s="570"/>
      <c r="D37" s="616" t="s">
        <v>948</v>
      </c>
      <c r="E37" s="616">
        <v>1</v>
      </c>
      <c r="F37" s="616"/>
      <c r="G37" s="571"/>
      <c r="H37" s="571"/>
      <c r="I37" s="215">
        <v>240</v>
      </c>
      <c r="J37" s="571"/>
      <c r="K37" s="571"/>
      <c r="L37" s="571"/>
      <c r="M37" s="571"/>
    </row>
    <row r="38" spans="1:13">
      <c r="A38" s="372" t="s">
        <v>123</v>
      </c>
      <c r="B38" s="372" t="s">
        <v>950</v>
      </c>
      <c r="C38" s="372"/>
      <c r="D38" s="577" t="s">
        <v>948</v>
      </c>
      <c r="E38" s="577">
        <v>1</v>
      </c>
      <c r="F38" s="577"/>
      <c r="G38" s="225"/>
      <c r="H38" s="225"/>
      <c r="I38" s="554">
        <v>240</v>
      </c>
      <c r="J38" s="225"/>
      <c r="K38" s="225"/>
      <c r="L38" s="225"/>
      <c r="M38" s="225"/>
    </row>
    <row r="39" spans="1:13">
      <c r="A39" s="22" t="s">
        <v>107</v>
      </c>
      <c r="B39" s="22" t="s">
        <v>699</v>
      </c>
      <c r="D39" s="86" t="s">
        <v>948</v>
      </c>
      <c r="E39" s="86">
        <v>1</v>
      </c>
      <c r="F39" s="86">
        <v>1</v>
      </c>
      <c r="G39" s="37"/>
      <c r="H39" s="37"/>
      <c r="I39" s="215">
        <v>2250</v>
      </c>
      <c r="J39" s="37"/>
      <c r="K39" s="37"/>
      <c r="L39" s="571"/>
      <c r="M39" s="571"/>
    </row>
    <row r="40" spans="1:13">
      <c r="A40" s="570" t="s">
        <v>109</v>
      </c>
      <c r="B40" s="22" t="s">
        <v>699</v>
      </c>
      <c r="C40" s="570"/>
      <c r="D40" s="616" t="s">
        <v>948</v>
      </c>
      <c r="E40" s="616">
        <v>1</v>
      </c>
      <c r="F40" s="616">
        <v>1</v>
      </c>
      <c r="G40" s="571"/>
      <c r="H40" s="571"/>
      <c r="I40" s="215">
        <v>2250</v>
      </c>
      <c r="J40" s="571"/>
      <c r="K40" s="571"/>
      <c r="L40" s="571"/>
      <c r="M40" s="571"/>
    </row>
    <row r="41" spans="1:13">
      <c r="A41" s="22" t="s">
        <v>110</v>
      </c>
      <c r="B41" s="22" t="s">
        <v>699</v>
      </c>
      <c r="D41" s="86" t="s">
        <v>948</v>
      </c>
      <c r="E41" s="86">
        <v>1</v>
      </c>
      <c r="F41" s="86">
        <v>1</v>
      </c>
      <c r="G41" s="37"/>
      <c r="H41" s="37"/>
      <c r="I41" s="215">
        <v>2250</v>
      </c>
      <c r="J41" s="37"/>
      <c r="K41" s="37"/>
      <c r="L41" s="37"/>
      <c r="M41" s="37"/>
    </row>
    <row r="42" spans="1:13">
      <c r="A42" s="570" t="s">
        <v>112</v>
      </c>
      <c r="B42" s="22" t="s">
        <v>699</v>
      </c>
      <c r="C42" s="570"/>
      <c r="D42" s="616" t="s">
        <v>948</v>
      </c>
      <c r="E42" s="616">
        <v>1</v>
      </c>
      <c r="F42" s="616">
        <v>1</v>
      </c>
      <c r="G42" s="571"/>
      <c r="H42" s="571"/>
      <c r="I42" s="215">
        <v>2250</v>
      </c>
      <c r="J42" s="571"/>
      <c r="K42" s="571"/>
      <c r="L42" s="571"/>
      <c r="M42" s="571"/>
    </row>
    <row r="43" spans="1:13">
      <c r="A43" s="22" t="s">
        <v>113</v>
      </c>
      <c r="B43" s="22" t="s">
        <v>699</v>
      </c>
      <c r="D43" s="86" t="s">
        <v>948</v>
      </c>
      <c r="E43" s="86">
        <v>1</v>
      </c>
      <c r="F43" s="86">
        <v>1</v>
      </c>
      <c r="G43" s="37"/>
      <c r="H43" s="37"/>
      <c r="I43" s="215">
        <v>2250</v>
      </c>
      <c r="J43" s="37"/>
      <c r="K43" s="37"/>
      <c r="L43" s="571"/>
      <c r="M43" s="571"/>
    </row>
    <row r="44" spans="1:13">
      <c r="A44" s="570" t="s">
        <v>114</v>
      </c>
      <c r="B44" s="22" t="s">
        <v>699</v>
      </c>
      <c r="C44" s="570"/>
      <c r="D44" s="616" t="s">
        <v>948</v>
      </c>
      <c r="E44" s="616">
        <v>1</v>
      </c>
      <c r="F44" s="616">
        <v>1</v>
      </c>
      <c r="G44" s="571"/>
      <c r="H44" s="571"/>
      <c r="I44" s="215">
        <v>2250</v>
      </c>
      <c r="J44" s="571"/>
      <c r="K44" s="571"/>
      <c r="L44" s="37"/>
      <c r="M44" s="37"/>
    </row>
    <row r="45" spans="1:13">
      <c r="A45" s="22" t="s">
        <v>115</v>
      </c>
      <c r="B45" s="22" t="s">
        <v>699</v>
      </c>
      <c r="D45" s="86" t="s">
        <v>948</v>
      </c>
      <c r="E45" s="86">
        <v>1</v>
      </c>
      <c r="F45" s="86">
        <v>1</v>
      </c>
      <c r="G45" s="37"/>
      <c r="H45" s="37"/>
      <c r="I45" s="215">
        <v>2250</v>
      </c>
      <c r="J45" s="37"/>
      <c r="K45" s="37"/>
      <c r="L45" s="571"/>
      <c r="M45" s="571"/>
    </row>
    <row r="46" spans="1:13">
      <c r="A46" s="570" t="s">
        <v>103</v>
      </c>
      <c r="B46" s="22" t="s">
        <v>699</v>
      </c>
      <c r="C46" s="570"/>
      <c r="D46" s="616" t="s">
        <v>948</v>
      </c>
      <c r="E46" s="616">
        <v>1</v>
      </c>
      <c r="F46" s="616">
        <v>1</v>
      </c>
      <c r="G46" s="571"/>
      <c r="H46" s="571"/>
      <c r="I46" s="215">
        <v>2250</v>
      </c>
      <c r="J46" s="571"/>
      <c r="K46" s="571"/>
      <c r="L46" s="571"/>
      <c r="M46" s="571"/>
    </row>
    <row r="47" spans="1:13">
      <c r="A47" s="22" t="s">
        <v>104</v>
      </c>
      <c r="B47" s="22" t="s">
        <v>699</v>
      </c>
      <c r="D47" s="86" t="s">
        <v>948</v>
      </c>
      <c r="E47" s="86">
        <v>1</v>
      </c>
      <c r="F47" s="86">
        <v>1</v>
      </c>
      <c r="G47" s="37"/>
      <c r="H47" s="37"/>
      <c r="I47" s="215">
        <v>2250</v>
      </c>
      <c r="J47" s="37"/>
      <c r="K47" s="37"/>
      <c r="L47" s="37"/>
      <c r="M47" s="37"/>
    </row>
    <row r="48" spans="1:13">
      <c r="A48" s="570" t="s">
        <v>105</v>
      </c>
      <c r="B48" s="22" t="s">
        <v>699</v>
      </c>
      <c r="C48" s="570"/>
      <c r="D48" s="616" t="s">
        <v>948</v>
      </c>
      <c r="E48" s="616">
        <v>1</v>
      </c>
      <c r="F48" s="616">
        <v>1</v>
      </c>
      <c r="G48" s="571"/>
      <c r="H48" s="571"/>
      <c r="I48" s="215">
        <v>2250</v>
      </c>
      <c r="J48" s="571"/>
      <c r="K48" s="571"/>
      <c r="L48" s="571"/>
      <c r="M48" s="571"/>
    </row>
    <row r="49" spans="1:13">
      <c r="A49" s="22" t="s">
        <v>106</v>
      </c>
      <c r="B49" s="22" t="s">
        <v>699</v>
      </c>
      <c r="D49" s="86" t="s">
        <v>948</v>
      </c>
      <c r="E49" s="86">
        <v>1</v>
      </c>
      <c r="F49" s="86">
        <v>1</v>
      </c>
      <c r="G49" s="37"/>
      <c r="H49" s="37"/>
      <c r="I49" s="215">
        <v>2250</v>
      </c>
      <c r="J49" s="37"/>
      <c r="K49" s="37"/>
      <c r="L49" s="571"/>
      <c r="M49" s="571"/>
    </row>
    <row r="50" spans="1:13">
      <c r="A50" s="570" t="s">
        <v>101</v>
      </c>
      <c r="B50" s="22" t="s">
        <v>699</v>
      </c>
      <c r="C50" s="570"/>
      <c r="D50" s="616" t="s">
        <v>948</v>
      </c>
      <c r="E50" s="616">
        <v>1</v>
      </c>
      <c r="F50" s="616">
        <v>1</v>
      </c>
      <c r="G50" s="571"/>
      <c r="H50" s="571"/>
      <c r="I50" s="215">
        <v>2250</v>
      </c>
      <c r="J50" s="571"/>
      <c r="K50" s="571"/>
      <c r="L50" s="37"/>
      <c r="M50" s="37"/>
    </row>
    <row r="51" spans="1:13">
      <c r="A51" s="22" t="s">
        <v>99</v>
      </c>
      <c r="B51" s="22" t="s">
        <v>699</v>
      </c>
      <c r="D51" s="86" t="s">
        <v>948</v>
      </c>
      <c r="E51" s="86">
        <v>1</v>
      </c>
      <c r="F51" s="86">
        <v>1</v>
      </c>
      <c r="G51" s="37"/>
      <c r="H51" s="37"/>
      <c r="I51" s="215">
        <v>2250</v>
      </c>
      <c r="J51" s="37"/>
      <c r="K51" s="37"/>
      <c r="L51" s="571"/>
      <c r="M51" s="571"/>
    </row>
    <row r="52" spans="1:13">
      <c r="A52" s="570" t="s">
        <v>117</v>
      </c>
      <c r="B52" s="22" t="s">
        <v>699</v>
      </c>
      <c r="C52" s="570"/>
      <c r="D52" s="616" t="s">
        <v>948</v>
      </c>
      <c r="E52" s="616">
        <v>1</v>
      </c>
      <c r="F52" s="616">
        <v>1</v>
      </c>
      <c r="G52" s="571"/>
      <c r="H52" s="571"/>
      <c r="I52" s="215">
        <v>2250</v>
      </c>
      <c r="J52" s="571"/>
      <c r="K52" s="571"/>
      <c r="L52" s="571"/>
      <c r="M52" s="571"/>
    </row>
    <row r="53" spans="1:13">
      <c r="A53" s="22" t="s">
        <v>121</v>
      </c>
      <c r="B53" s="22" t="s">
        <v>699</v>
      </c>
      <c r="D53" s="86" t="s">
        <v>948</v>
      </c>
      <c r="E53" s="86">
        <v>1</v>
      </c>
      <c r="F53" s="86">
        <v>1</v>
      </c>
      <c r="G53" s="37"/>
      <c r="H53" s="37"/>
      <c r="I53" s="215">
        <v>2250</v>
      </c>
      <c r="J53" s="37"/>
      <c r="K53" s="37"/>
      <c r="L53" s="37"/>
      <c r="M53" s="37"/>
    </row>
    <row r="54" spans="1:13">
      <c r="A54" s="570" t="s">
        <v>122</v>
      </c>
      <c r="B54" s="22" t="s">
        <v>699</v>
      </c>
      <c r="C54" s="570"/>
      <c r="D54" s="616" t="s">
        <v>948</v>
      </c>
      <c r="E54" s="616">
        <v>1</v>
      </c>
      <c r="F54" s="616">
        <v>1</v>
      </c>
      <c r="G54" s="571"/>
      <c r="H54" s="571"/>
      <c r="I54" s="215">
        <v>2250</v>
      </c>
      <c r="J54" s="571"/>
      <c r="K54" s="571"/>
      <c r="L54" s="571"/>
      <c r="M54" s="571"/>
    </row>
    <row r="55" spans="1:13">
      <c r="A55" s="372" t="s">
        <v>123</v>
      </c>
      <c r="B55" s="372" t="s">
        <v>699</v>
      </c>
      <c r="C55" s="372"/>
      <c r="D55" s="577" t="s">
        <v>948</v>
      </c>
      <c r="E55" s="577">
        <v>1</v>
      </c>
      <c r="F55" s="577">
        <v>1</v>
      </c>
      <c r="G55" s="225"/>
      <c r="H55" s="225"/>
      <c r="I55" s="554">
        <v>2250</v>
      </c>
      <c r="J55" s="225"/>
      <c r="K55" s="225"/>
      <c r="L55" s="619"/>
      <c r="M55" s="619"/>
    </row>
    <row r="56" spans="1:13">
      <c r="A56" s="22" t="s">
        <v>107</v>
      </c>
      <c r="B56" s="22" t="s">
        <v>669</v>
      </c>
      <c r="D56" s="86" t="s">
        <v>772</v>
      </c>
      <c r="E56" s="86">
        <v>1</v>
      </c>
      <c r="F56" s="86"/>
      <c r="G56" s="215">
        <v>0</v>
      </c>
      <c r="H56" s="215">
        <v>0</v>
      </c>
      <c r="I56" s="215">
        <v>2200</v>
      </c>
      <c r="J56" s="215"/>
      <c r="K56" s="215">
        <v>1634</v>
      </c>
      <c r="L56" s="37"/>
      <c r="M56" s="37"/>
    </row>
    <row r="57" spans="1:13">
      <c r="A57" s="38" t="s">
        <v>113</v>
      </c>
      <c r="B57" s="38" t="s">
        <v>669</v>
      </c>
      <c r="D57" s="86" t="s">
        <v>772</v>
      </c>
      <c r="E57" s="86">
        <v>1</v>
      </c>
      <c r="F57" s="86"/>
      <c r="G57" s="215">
        <v>0</v>
      </c>
      <c r="H57" s="215">
        <v>0</v>
      </c>
      <c r="I57" s="215">
        <v>2200</v>
      </c>
      <c r="J57" s="215"/>
      <c r="K57" s="215">
        <v>1162</v>
      </c>
      <c r="L57" s="571"/>
      <c r="M57" s="571"/>
    </row>
    <row r="58" spans="1:13">
      <c r="A58" s="22" t="s">
        <v>99</v>
      </c>
      <c r="B58" s="22" t="s">
        <v>669</v>
      </c>
      <c r="D58" s="86" t="s">
        <v>772</v>
      </c>
      <c r="E58" s="86">
        <v>1</v>
      </c>
      <c r="F58" s="86"/>
      <c r="G58" s="215">
        <v>0</v>
      </c>
      <c r="H58" s="215">
        <v>0</v>
      </c>
      <c r="I58" s="215">
        <v>2200</v>
      </c>
      <c r="J58" s="215"/>
      <c r="K58" s="215">
        <v>453</v>
      </c>
      <c r="L58" s="571"/>
      <c r="M58" s="571"/>
    </row>
    <row r="59" spans="1:13">
      <c r="A59" s="22" t="s">
        <v>117</v>
      </c>
      <c r="B59" s="22" t="s">
        <v>669</v>
      </c>
      <c r="C59" s="22" t="s">
        <v>701</v>
      </c>
      <c r="D59" s="86" t="s">
        <v>772</v>
      </c>
      <c r="E59" s="86">
        <v>1</v>
      </c>
      <c r="F59" s="86"/>
      <c r="G59" s="215">
        <v>0</v>
      </c>
      <c r="H59" s="215">
        <v>0</v>
      </c>
      <c r="I59" s="215">
        <v>2200</v>
      </c>
      <c r="J59" s="215"/>
      <c r="K59" s="215">
        <v>29</v>
      </c>
      <c r="L59" s="37"/>
      <c r="M59" s="37"/>
    </row>
    <row r="60" spans="1:13">
      <c r="A60" s="22" t="s">
        <v>117</v>
      </c>
      <c r="B60" s="22" t="s">
        <v>669</v>
      </c>
      <c r="C60" s="22" t="s">
        <v>707</v>
      </c>
      <c r="D60" s="86" t="s">
        <v>772</v>
      </c>
      <c r="E60" s="86">
        <v>1</v>
      </c>
      <c r="F60" s="86"/>
      <c r="G60" s="215">
        <v>0</v>
      </c>
      <c r="H60" s="215">
        <v>0</v>
      </c>
      <c r="I60" s="215">
        <v>2200</v>
      </c>
      <c r="J60" s="215"/>
      <c r="K60" s="215">
        <v>389</v>
      </c>
      <c r="L60" s="571"/>
      <c r="M60" s="571"/>
    </row>
    <row r="61" spans="1:13">
      <c r="A61" s="22" t="s">
        <v>117</v>
      </c>
      <c r="B61" s="22" t="s">
        <v>669</v>
      </c>
      <c r="C61" s="22" t="s">
        <v>700</v>
      </c>
      <c r="D61" s="86" t="s">
        <v>772</v>
      </c>
      <c r="E61" s="86">
        <v>1</v>
      </c>
      <c r="F61" s="86"/>
      <c r="G61" s="215">
        <v>0</v>
      </c>
      <c r="H61" s="215">
        <v>0</v>
      </c>
      <c r="I61" s="215">
        <v>2200</v>
      </c>
      <c r="J61" s="215"/>
      <c r="K61" s="215">
        <v>59</v>
      </c>
      <c r="L61" s="571"/>
      <c r="M61" s="571"/>
    </row>
    <row r="62" spans="1:13">
      <c r="A62" s="22" t="s">
        <v>117</v>
      </c>
      <c r="B62" s="22" t="s">
        <v>669</v>
      </c>
      <c r="C62" s="22" t="s">
        <v>706</v>
      </c>
      <c r="D62" s="86" t="s">
        <v>772</v>
      </c>
      <c r="E62" s="86">
        <v>1</v>
      </c>
      <c r="F62" s="86"/>
      <c r="G62" s="215">
        <v>0</v>
      </c>
      <c r="H62" s="215">
        <v>0</v>
      </c>
      <c r="I62" s="215">
        <v>2200</v>
      </c>
      <c r="J62" s="215"/>
      <c r="K62" s="215">
        <v>44</v>
      </c>
      <c r="L62" s="37"/>
      <c r="M62" s="37"/>
    </row>
    <row r="63" spans="1:13">
      <c r="A63" s="22" t="s">
        <v>117</v>
      </c>
      <c r="B63" s="22" t="s">
        <v>669</v>
      </c>
      <c r="C63" s="22" t="s">
        <v>705</v>
      </c>
      <c r="D63" s="86" t="s">
        <v>772</v>
      </c>
      <c r="E63" s="86">
        <v>1</v>
      </c>
      <c r="F63" s="86"/>
      <c r="G63" s="215">
        <v>0</v>
      </c>
      <c r="H63" s="215">
        <v>0</v>
      </c>
      <c r="I63" s="215">
        <v>2200</v>
      </c>
      <c r="J63" s="215"/>
      <c r="K63" s="215">
        <v>35</v>
      </c>
      <c r="L63" s="571"/>
      <c r="M63" s="571"/>
    </row>
    <row r="64" spans="1:13">
      <c r="A64" s="22" t="s">
        <v>104</v>
      </c>
      <c r="B64" s="22" t="s">
        <v>669</v>
      </c>
      <c r="D64" s="86" t="s">
        <v>772</v>
      </c>
      <c r="E64" s="86">
        <v>1</v>
      </c>
      <c r="F64" s="86"/>
      <c r="G64" s="215">
        <v>0</v>
      </c>
      <c r="H64" s="215">
        <v>0</v>
      </c>
      <c r="I64" s="215">
        <v>2200</v>
      </c>
      <c r="J64" s="215"/>
      <c r="K64" s="215">
        <v>41</v>
      </c>
      <c r="L64" s="571"/>
      <c r="M64" s="571"/>
    </row>
    <row r="65" spans="1:13">
      <c r="A65" s="22" t="s">
        <v>105</v>
      </c>
      <c r="B65" s="22" t="s">
        <v>669</v>
      </c>
      <c r="D65" s="86" t="s">
        <v>772</v>
      </c>
      <c r="E65" s="86">
        <v>1</v>
      </c>
      <c r="F65" s="86"/>
      <c r="G65" s="215">
        <v>0</v>
      </c>
      <c r="H65" s="215">
        <v>0</v>
      </c>
      <c r="I65" s="215">
        <v>2200</v>
      </c>
      <c r="J65" s="215"/>
      <c r="K65" s="215">
        <v>302</v>
      </c>
      <c r="L65" s="37"/>
      <c r="M65" s="37"/>
    </row>
    <row r="66" spans="1:13">
      <c r="A66" s="22" t="s">
        <v>106</v>
      </c>
      <c r="B66" s="22" t="s">
        <v>669</v>
      </c>
      <c r="D66" s="86" t="s">
        <v>772</v>
      </c>
      <c r="E66" s="86">
        <v>1</v>
      </c>
      <c r="F66" s="86"/>
      <c r="G66" s="215">
        <v>0</v>
      </c>
      <c r="H66" s="215">
        <v>0</v>
      </c>
      <c r="I66" s="215">
        <v>2200</v>
      </c>
      <c r="J66" s="215"/>
      <c r="K66" s="215">
        <v>88</v>
      </c>
      <c r="L66" s="571"/>
      <c r="M66" s="571"/>
    </row>
    <row r="67" spans="1:13">
      <c r="A67" s="22" t="s">
        <v>117</v>
      </c>
      <c r="B67" s="22" t="s">
        <v>669</v>
      </c>
      <c r="C67" s="22" t="s">
        <v>704</v>
      </c>
      <c r="D67" s="86" t="s">
        <v>772</v>
      </c>
      <c r="E67" s="86">
        <v>1</v>
      </c>
      <c r="F67" s="86"/>
      <c r="G67" s="215">
        <v>0</v>
      </c>
      <c r="H67" s="215">
        <v>0</v>
      </c>
      <c r="I67" s="215">
        <v>2200</v>
      </c>
      <c r="J67" s="215"/>
      <c r="K67" s="215">
        <v>32</v>
      </c>
      <c r="L67" s="571"/>
      <c r="M67" s="571"/>
    </row>
    <row r="68" spans="1:13">
      <c r="A68" s="22" t="s">
        <v>117</v>
      </c>
      <c r="B68" s="22" t="s">
        <v>669</v>
      </c>
      <c r="C68" s="22" t="s">
        <v>703</v>
      </c>
      <c r="D68" s="86" t="s">
        <v>772</v>
      </c>
      <c r="E68" s="86">
        <v>1</v>
      </c>
      <c r="F68" s="86"/>
      <c r="G68" s="215">
        <v>0</v>
      </c>
      <c r="H68" s="215">
        <v>0</v>
      </c>
      <c r="I68" s="215">
        <v>2200</v>
      </c>
      <c r="J68" s="215"/>
      <c r="K68" s="215">
        <v>43</v>
      </c>
      <c r="L68" s="37"/>
      <c r="M68" s="37"/>
    </row>
    <row r="69" spans="1:13">
      <c r="A69" s="372" t="s">
        <v>117</v>
      </c>
      <c r="B69" s="372" t="s">
        <v>669</v>
      </c>
      <c r="C69" s="372" t="s">
        <v>702</v>
      </c>
      <c r="D69" s="577" t="s">
        <v>772</v>
      </c>
      <c r="E69" s="577">
        <v>1</v>
      </c>
      <c r="F69" s="577"/>
      <c r="G69" s="554">
        <v>0</v>
      </c>
      <c r="H69" s="554">
        <v>0</v>
      </c>
      <c r="I69" s="554">
        <v>2200</v>
      </c>
      <c r="J69" s="554"/>
      <c r="K69" s="554">
        <v>34</v>
      </c>
      <c r="L69" s="619"/>
      <c r="M69" s="619"/>
    </row>
    <row r="70" spans="1:13">
      <c r="A70" s="22" t="s">
        <v>115</v>
      </c>
      <c r="B70" s="22" t="s">
        <v>671</v>
      </c>
      <c r="C70" s="22" t="s">
        <v>672</v>
      </c>
      <c r="D70" s="86" t="s">
        <v>772</v>
      </c>
      <c r="E70" s="86">
        <v>1</v>
      </c>
      <c r="F70" s="86"/>
      <c r="G70" s="611"/>
      <c r="H70" s="611"/>
      <c r="I70" s="215">
        <v>2100</v>
      </c>
      <c r="J70" s="611"/>
      <c r="K70" s="611"/>
      <c r="L70" s="571"/>
      <c r="M70" s="571"/>
    </row>
    <row r="71" spans="1:13">
      <c r="A71" s="22" t="s">
        <v>107</v>
      </c>
      <c r="B71" s="22" t="s">
        <v>671</v>
      </c>
      <c r="C71" s="22" t="s">
        <v>672</v>
      </c>
      <c r="D71" s="86" t="s">
        <v>772</v>
      </c>
      <c r="E71" s="86">
        <v>1</v>
      </c>
      <c r="F71" s="86"/>
      <c r="G71" s="611"/>
      <c r="H71" s="611"/>
      <c r="I71" s="215">
        <v>2100</v>
      </c>
      <c r="J71" s="611"/>
      <c r="K71" s="611"/>
      <c r="L71" s="37"/>
      <c r="M71" s="37"/>
    </row>
    <row r="72" spans="1:13">
      <c r="A72" s="22" t="s">
        <v>101</v>
      </c>
      <c r="B72" s="22" t="s">
        <v>671</v>
      </c>
      <c r="C72" s="22" t="s">
        <v>672</v>
      </c>
      <c r="D72" s="86" t="s">
        <v>772</v>
      </c>
      <c r="E72" s="86">
        <v>1</v>
      </c>
      <c r="F72" s="86">
        <v>1</v>
      </c>
      <c r="G72" s="611"/>
      <c r="H72" s="611"/>
      <c r="I72" s="215">
        <v>2100</v>
      </c>
      <c r="J72" s="611"/>
      <c r="K72" s="611"/>
      <c r="L72" s="571"/>
      <c r="M72" s="571"/>
    </row>
    <row r="73" spans="1:13">
      <c r="A73" s="22" t="s">
        <v>123</v>
      </c>
      <c r="B73" s="22" t="s">
        <v>671</v>
      </c>
      <c r="C73" s="22" t="s">
        <v>672</v>
      </c>
      <c r="D73" s="86" t="s">
        <v>772</v>
      </c>
      <c r="E73" s="86">
        <v>1</v>
      </c>
      <c r="F73" s="86"/>
      <c r="G73" s="611"/>
      <c r="H73" s="611"/>
      <c r="I73" s="215">
        <v>2100</v>
      </c>
      <c r="J73" s="611"/>
      <c r="K73" s="611"/>
      <c r="L73" s="571"/>
      <c r="M73" s="571"/>
    </row>
    <row r="74" spans="1:13">
      <c r="A74" s="22" t="s">
        <v>112</v>
      </c>
      <c r="B74" s="22" t="s">
        <v>671</v>
      </c>
      <c r="C74" s="22" t="s">
        <v>672</v>
      </c>
      <c r="D74" s="86" t="s">
        <v>772</v>
      </c>
      <c r="E74" s="86">
        <v>1</v>
      </c>
      <c r="F74" s="86"/>
      <c r="G74" s="611"/>
      <c r="H74" s="611"/>
      <c r="I74" s="215">
        <v>2100</v>
      </c>
      <c r="J74" s="611"/>
      <c r="K74" s="611"/>
      <c r="L74" s="37"/>
      <c r="M74" s="37"/>
    </row>
    <row r="75" spans="1:13">
      <c r="A75" s="22" t="s">
        <v>117</v>
      </c>
      <c r="B75" s="22" t="s">
        <v>671</v>
      </c>
      <c r="C75" s="22" t="s">
        <v>672</v>
      </c>
      <c r="D75" s="86" t="s">
        <v>772</v>
      </c>
      <c r="E75" s="86">
        <v>1</v>
      </c>
      <c r="F75" s="86"/>
      <c r="G75" s="611"/>
      <c r="H75" s="611"/>
      <c r="I75" s="215">
        <v>2100</v>
      </c>
      <c r="J75" s="611"/>
      <c r="K75" s="611"/>
      <c r="L75" s="571"/>
      <c r="M75" s="571"/>
    </row>
    <row r="76" spans="1:13">
      <c r="A76" s="22" t="s">
        <v>109</v>
      </c>
      <c r="B76" s="22" t="s">
        <v>671</v>
      </c>
      <c r="C76" s="22" t="s">
        <v>672</v>
      </c>
      <c r="D76" s="86" t="s">
        <v>772</v>
      </c>
      <c r="E76" s="86">
        <v>1</v>
      </c>
      <c r="F76" s="86"/>
      <c r="G76" s="611"/>
      <c r="H76" s="611"/>
      <c r="I76" s="215">
        <v>2100</v>
      </c>
      <c r="J76" s="611"/>
      <c r="K76" s="611"/>
      <c r="L76" s="571"/>
      <c r="M76" s="571"/>
    </row>
    <row r="77" spans="1:13">
      <c r="A77" s="22" t="s">
        <v>121</v>
      </c>
      <c r="B77" s="22" t="s">
        <v>671</v>
      </c>
      <c r="C77" s="22" t="s">
        <v>672</v>
      </c>
      <c r="D77" s="86" t="s">
        <v>772</v>
      </c>
      <c r="E77" s="86">
        <v>1</v>
      </c>
      <c r="F77" s="86"/>
      <c r="G77" s="611"/>
      <c r="H77" s="611"/>
      <c r="I77" s="215">
        <v>2100</v>
      </c>
      <c r="J77" s="611"/>
      <c r="K77" s="611"/>
      <c r="L77" s="37"/>
      <c r="M77" s="37"/>
    </row>
    <row r="78" spans="1:13">
      <c r="A78" s="22" t="s">
        <v>122</v>
      </c>
      <c r="B78" s="22" t="s">
        <v>671</v>
      </c>
      <c r="C78" s="22" t="s">
        <v>672</v>
      </c>
      <c r="D78" s="86" t="s">
        <v>772</v>
      </c>
      <c r="E78" s="86">
        <v>1</v>
      </c>
      <c r="F78" s="86"/>
      <c r="G78" s="611"/>
      <c r="H78" s="611"/>
      <c r="I78" s="215">
        <v>2100</v>
      </c>
      <c r="J78" s="611"/>
      <c r="K78" s="611"/>
      <c r="L78" s="571"/>
      <c r="M78" s="571"/>
    </row>
    <row r="79" spans="1:13">
      <c r="A79" s="22" t="s">
        <v>114</v>
      </c>
      <c r="B79" s="22" t="s">
        <v>671</v>
      </c>
      <c r="C79" s="22" t="s">
        <v>672</v>
      </c>
      <c r="D79" s="86" t="s">
        <v>772</v>
      </c>
      <c r="E79" s="86">
        <v>1</v>
      </c>
      <c r="F79" s="86"/>
      <c r="G79" s="611"/>
      <c r="H79" s="611"/>
      <c r="I79" s="215">
        <v>2100</v>
      </c>
      <c r="J79" s="611"/>
      <c r="K79" s="611"/>
      <c r="L79" s="571"/>
      <c r="M79" s="571"/>
    </row>
    <row r="80" spans="1:13">
      <c r="A80" s="22" t="s">
        <v>118</v>
      </c>
      <c r="B80" s="22" t="s">
        <v>671</v>
      </c>
      <c r="C80" s="22" t="s">
        <v>672</v>
      </c>
      <c r="D80" s="86" t="s">
        <v>772</v>
      </c>
      <c r="E80" s="86">
        <v>1</v>
      </c>
      <c r="F80" s="86">
        <v>1</v>
      </c>
      <c r="G80" s="611"/>
      <c r="H80" s="611"/>
      <c r="I80" s="215">
        <v>2100</v>
      </c>
      <c r="J80" s="611"/>
      <c r="K80" s="611"/>
      <c r="L80" s="37"/>
      <c r="M80" s="37"/>
    </row>
    <row r="81" spans="1:13">
      <c r="A81" s="22" t="s">
        <v>119</v>
      </c>
      <c r="B81" s="22" t="s">
        <v>671</v>
      </c>
      <c r="C81" s="22" t="s">
        <v>672</v>
      </c>
      <c r="D81" s="86" t="s">
        <v>772</v>
      </c>
      <c r="E81" s="86">
        <v>1</v>
      </c>
      <c r="F81" s="86">
        <v>1</v>
      </c>
      <c r="G81" s="611"/>
      <c r="H81" s="611"/>
      <c r="I81" s="215">
        <v>2100</v>
      </c>
      <c r="J81" s="611"/>
      <c r="K81" s="611"/>
      <c r="L81" s="571"/>
      <c r="M81" s="571"/>
    </row>
    <row r="82" spans="1:13">
      <c r="A82" s="22" t="s">
        <v>120</v>
      </c>
      <c r="B82" s="22" t="s">
        <v>671</v>
      </c>
      <c r="C82" s="22" t="s">
        <v>672</v>
      </c>
      <c r="D82" s="86" t="s">
        <v>772</v>
      </c>
      <c r="E82" s="86">
        <v>1</v>
      </c>
      <c r="F82" s="86">
        <v>1</v>
      </c>
      <c r="G82" s="611"/>
      <c r="H82" s="611"/>
      <c r="I82" s="215">
        <v>2100</v>
      </c>
      <c r="J82" s="611"/>
      <c r="K82" s="611"/>
      <c r="L82" s="571"/>
      <c r="M82" s="571"/>
    </row>
    <row r="83" spans="1:13">
      <c r="A83" s="22" t="s">
        <v>113</v>
      </c>
      <c r="B83" s="22" t="s">
        <v>671</v>
      </c>
      <c r="C83" s="22" t="s">
        <v>672</v>
      </c>
      <c r="D83" s="86" t="s">
        <v>772</v>
      </c>
      <c r="E83" s="86">
        <v>1</v>
      </c>
      <c r="F83" s="86"/>
      <c r="G83" s="611"/>
      <c r="H83" s="611"/>
      <c r="I83" s="215">
        <v>2100</v>
      </c>
      <c r="J83" s="611"/>
      <c r="K83" s="611"/>
      <c r="L83" s="37"/>
      <c r="M83" s="37"/>
    </row>
    <row r="84" spans="1:13">
      <c r="A84" s="22" t="s">
        <v>103</v>
      </c>
      <c r="B84" s="22" t="s">
        <v>671</v>
      </c>
      <c r="C84" s="22" t="s">
        <v>672</v>
      </c>
      <c r="D84" s="86" t="s">
        <v>772</v>
      </c>
      <c r="E84" s="86">
        <v>1</v>
      </c>
      <c r="F84" s="86"/>
      <c r="G84" s="611"/>
      <c r="H84" s="611"/>
      <c r="I84" s="215">
        <v>2100</v>
      </c>
      <c r="J84" s="611"/>
      <c r="K84" s="611"/>
      <c r="L84" s="571"/>
      <c r="M84" s="571"/>
    </row>
    <row r="85" spans="1:13">
      <c r="A85" s="22" t="s">
        <v>104</v>
      </c>
      <c r="B85" s="22" t="s">
        <v>671</v>
      </c>
      <c r="C85" s="22" t="s">
        <v>672</v>
      </c>
      <c r="D85" s="86" t="s">
        <v>772</v>
      </c>
      <c r="E85" s="86">
        <v>1</v>
      </c>
      <c r="F85" s="86"/>
      <c r="G85" s="611"/>
      <c r="H85" s="611"/>
      <c r="I85" s="215">
        <v>2100</v>
      </c>
      <c r="J85" s="611"/>
      <c r="K85" s="611"/>
      <c r="L85" s="571"/>
      <c r="M85" s="571"/>
    </row>
    <row r="86" spans="1:13">
      <c r="A86" s="22" t="s">
        <v>105</v>
      </c>
      <c r="B86" s="22" t="s">
        <v>671</v>
      </c>
      <c r="C86" s="22" t="s">
        <v>672</v>
      </c>
      <c r="D86" s="86" t="s">
        <v>772</v>
      </c>
      <c r="E86" s="86">
        <v>1</v>
      </c>
      <c r="F86" s="86"/>
      <c r="G86" s="611"/>
      <c r="H86" s="611"/>
      <c r="I86" s="215">
        <v>2100</v>
      </c>
      <c r="J86" s="611"/>
      <c r="K86" s="611"/>
      <c r="L86" s="37"/>
      <c r="M86" s="37"/>
    </row>
    <row r="87" spans="1:13">
      <c r="A87" s="22" t="s">
        <v>106</v>
      </c>
      <c r="B87" s="22" t="s">
        <v>671</v>
      </c>
      <c r="C87" s="22" t="s">
        <v>672</v>
      </c>
      <c r="D87" s="86" t="s">
        <v>772</v>
      </c>
      <c r="E87" s="86">
        <v>1</v>
      </c>
      <c r="F87" s="86"/>
      <c r="G87" s="611"/>
      <c r="H87" s="611"/>
      <c r="I87" s="215">
        <v>2100</v>
      </c>
      <c r="J87" s="611"/>
      <c r="K87" s="611"/>
      <c r="L87" s="571"/>
      <c r="M87" s="571"/>
    </row>
    <row r="88" spans="1:13">
      <c r="A88" s="372" t="s">
        <v>110</v>
      </c>
      <c r="B88" s="372" t="s">
        <v>671</v>
      </c>
      <c r="C88" s="372" t="s">
        <v>672</v>
      </c>
      <c r="D88" s="577" t="s">
        <v>772</v>
      </c>
      <c r="E88" s="577">
        <v>1</v>
      </c>
      <c r="F88" s="577"/>
      <c r="G88" s="612"/>
      <c r="H88" s="612"/>
      <c r="I88" s="554">
        <v>2100</v>
      </c>
      <c r="J88" s="612"/>
      <c r="K88" s="612"/>
      <c r="L88" s="619"/>
      <c r="M88" s="619"/>
    </row>
    <row r="89" spans="1:13">
      <c r="A89" s="37" t="s">
        <v>772</v>
      </c>
      <c r="B89" s="37" t="s">
        <v>245</v>
      </c>
      <c r="C89" s="37"/>
      <c r="D89" s="246" t="s">
        <v>948</v>
      </c>
      <c r="E89" s="246">
        <v>2035</v>
      </c>
      <c r="F89" s="37"/>
      <c r="G89" s="37"/>
      <c r="H89" s="37"/>
      <c r="I89" s="37"/>
      <c r="J89" s="37"/>
      <c r="K89" s="37"/>
      <c r="L89" s="215">
        <v>27</v>
      </c>
      <c r="M89" s="723">
        <v>0.34200000000000003</v>
      </c>
    </row>
    <row r="90" spans="1:13">
      <c r="A90" s="571" t="s">
        <v>772</v>
      </c>
      <c r="B90" s="571" t="s">
        <v>142</v>
      </c>
      <c r="C90" s="571"/>
      <c r="D90" s="721" t="s">
        <v>948</v>
      </c>
      <c r="E90" s="721">
        <v>2035</v>
      </c>
      <c r="F90" s="571"/>
      <c r="G90" s="571"/>
      <c r="H90" s="571"/>
      <c r="I90" s="571"/>
      <c r="J90" s="571"/>
      <c r="K90" s="571"/>
      <c r="L90" s="722">
        <v>2.5</v>
      </c>
      <c r="M90" s="643">
        <v>0</v>
      </c>
    </row>
    <row r="91" spans="1:13">
      <c r="A91" s="571" t="s">
        <v>772</v>
      </c>
      <c r="B91" s="571" t="s">
        <v>145</v>
      </c>
      <c r="C91" s="571"/>
      <c r="D91" s="721" t="s">
        <v>948</v>
      </c>
      <c r="E91" s="721">
        <v>2035</v>
      </c>
      <c r="F91" s="571"/>
      <c r="G91" s="571"/>
      <c r="H91" s="571"/>
      <c r="I91" s="571"/>
      <c r="J91" s="571"/>
      <c r="K91" s="571"/>
      <c r="L91" s="643">
        <v>55</v>
      </c>
      <c r="M91" s="724">
        <v>0.19800000000000001</v>
      </c>
    </row>
    <row r="92" spans="1:13">
      <c r="A92" s="37" t="s">
        <v>772</v>
      </c>
      <c r="B92" s="37" t="s">
        <v>247</v>
      </c>
      <c r="C92" s="37"/>
      <c r="D92" s="246" t="s">
        <v>948</v>
      </c>
      <c r="E92" s="246">
        <v>2035</v>
      </c>
      <c r="F92" s="37"/>
      <c r="G92" s="37"/>
      <c r="H92" s="37"/>
      <c r="I92" s="37"/>
      <c r="J92" s="37"/>
      <c r="K92" s="37"/>
      <c r="L92" s="215">
        <v>46</v>
      </c>
      <c r="M92" s="723">
        <v>0.28079999999999999</v>
      </c>
    </row>
    <row r="93" spans="1:13">
      <c r="A93" s="571" t="s">
        <v>772</v>
      </c>
      <c r="B93" s="571" t="s">
        <v>248</v>
      </c>
      <c r="C93" s="571"/>
      <c r="D93" s="721" t="s">
        <v>948</v>
      </c>
      <c r="E93" s="721">
        <v>2035</v>
      </c>
      <c r="F93" s="571"/>
      <c r="G93" s="571"/>
      <c r="H93" s="571"/>
      <c r="I93" s="571"/>
      <c r="J93" s="571"/>
      <c r="K93" s="571"/>
      <c r="L93" s="643">
        <v>65</v>
      </c>
      <c r="M93" s="724">
        <v>0.25559999999999999</v>
      </c>
    </row>
    <row r="94" spans="1:13">
      <c r="A94" s="571" t="s">
        <v>772</v>
      </c>
      <c r="B94" s="571" t="s">
        <v>249</v>
      </c>
      <c r="C94" s="571"/>
      <c r="D94" s="721" t="s">
        <v>948</v>
      </c>
      <c r="E94" s="721">
        <v>2035</v>
      </c>
      <c r="F94" s="571"/>
      <c r="G94" s="571"/>
      <c r="H94" s="571"/>
      <c r="I94" s="571"/>
      <c r="J94" s="571"/>
      <c r="K94" s="571"/>
      <c r="L94" s="643">
        <v>8</v>
      </c>
      <c r="M94" s="724">
        <v>0.37080000000000002</v>
      </c>
    </row>
    <row r="95" spans="1:13">
      <c r="A95" s="37" t="s">
        <v>772</v>
      </c>
      <c r="B95" s="37" t="s">
        <v>776</v>
      </c>
      <c r="C95" s="37"/>
      <c r="D95" s="246" t="s">
        <v>948</v>
      </c>
      <c r="E95" s="246">
        <v>2035</v>
      </c>
      <c r="F95" s="37"/>
      <c r="G95" s="37"/>
      <c r="H95" s="37"/>
      <c r="I95" s="37"/>
      <c r="J95" s="37"/>
      <c r="K95" s="37"/>
      <c r="L95" s="215">
        <v>26</v>
      </c>
      <c r="M95" s="215">
        <v>0</v>
      </c>
    </row>
    <row r="96" spans="1:13">
      <c r="A96" s="571" t="s">
        <v>772</v>
      </c>
      <c r="B96" s="571" t="s">
        <v>962</v>
      </c>
      <c r="C96" s="571"/>
      <c r="D96" s="721" t="s">
        <v>948</v>
      </c>
      <c r="E96" s="721">
        <v>2035</v>
      </c>
      <c r="F96" s="571"/>
      <c r="G96" s="571"/>
      <c r="H96" s="571"/>
      <c r="I96" s="571"/>
      <c r="J96" s="571"/>
      <c r="K96" s="571"/>
      <c r="L96" s="643">
        <v>1</v>
      </c>
      <c r="M96" s="643">
        <v>0</v>
      </c>
    </row>
    <row r="97" spans="1:13">
      <c r="A97" s="571" t="s">
        <v>772</v>
      </c>
      <c r="B97" s="571" t="s">
        <v>805</v>
      </c>
      <c r="C97" s="571"/>
      <c r="D97" s="721" t="s">
        <v>948</v>
      </c>
      <c r="E97" s="721">
        <v>2035</v>
      </c>
      <c r="F97" s="571"/>
      <c r="G97" s="571"/>
      <c r="H97" s="571"/>
      <c r="I97" s="571"/>
      <c r="J97" s="571"/>
      <c r="K97" s="571"/>
      <c r="L97" s="643">
        <v>1</v>
      </c>
      <c r="M97" s="724">
        <v>0.14399999999999999</v>
      </c>
    </row>
    <row r="98" spans="1:13">
      <c r="A98" s="22" t="s">
        <v>772</v>
      </c>
      <c r="B98" s="22" t="s">
        <v>801</v>
      </c>
      <c r="D98" s="86" t="s">
        <v>948</v>
      </c>
      <c r="E98" s="86">
        <v>2035</v>
      </c>
      <c r="L98" s="215">
        <v>10</v>
      </c>
      <c r="M98" s="723">
        <v>0.41399999999999998</v>
      </c>
    </row>
  </sheetData>
  <autoFilter ref="A1:K98" xr:uid="{C9447F8C-F0A7-4569-9018-1CF87BA2C116}"/>
  <phoneticPr fontId="20" type="noConversion"/>
  <conditionalFormatting sqref="L2:M98 A2:K97">
    <cfRule type="expression" dxfId="25" priority="1">
      <formula>MOD(ROW(),2)=0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Q9" sqref="Q9"/>
    </sheetView>
  </sheetViews>
  <sheetFormatPr defaultColWidth="9.109375" defaultRowHeight="14.4"/>
  <cols>
    <col min="1" max="1" width="20.33203125" style="22" customWidth="1"/>
    <col min="2" max="16384" width="9.109375" style="22"/>
  </cols>
  <sheetData>
    <row r="1" spans="1:22">
      <c r="A1" s="19" t="s">
        <v>504</v>
      </c>
      <c r="B1" s="19" t="s">
        <v>615</v>
      </c>
      <c r="C1" s="19"/>
      <c r="D1" s="19"/>
      <c r="E1" s="19"/>
      <c r="F1" s="19"/>
      <c r="G1" s="19"/>
      <c r="H1" s="19"/>
      <c r="I1" s="19"/>
      <c r="J1" s="19"/>
      <c r="K1" s="19"/>
      <c r="L1" s="19"/>
      <c r="M1" s="19"/>
      <c r="N1" s="19"/>
      <c r="O1" s="19"/>
      <c r="P1" s="19"/>
      <c r="Q1" s="19"/>
      <c r="R1" s="19"/>
      <c r="S1" s="19"/>
      <c r="T1" s="19"/>
      <c r="U1" s="19"/>
      <c r="V1" s="19"/>
    </row>
    <row r="2" spans="1:22">
      <c r="A2" s="19"/>
      <c r="B2" s="511" t="s">
        <v>616</v>
      </c>
      <c r="C2" s="19"/>
      <c r="D2" s="19"/>
      <c r="E2" s="19"/>
      <c r="F2" s="19"/>
      <c r="G2" s="19"/>
      <c r="H2" s="19"/>
      <c r="I2" s="19"/>
      <c r="J2" s="19"/>
      <c r="K2" s="19"/>
      <c r="L2" s="19"/>
      <c r="M2" s="19"/>
      <c r="N2" s="19"/>
      <c r="O2" s="19"/>
      <c r="P2" s="19"/>
      <c r="Q2" s="19"/>
      <c r="R2" s="19"/>
      <c r="S2" s="19"/>
      <c r="T2" s="19"/>
      <c r="U2" s="19"/>
      <c r="V2" s="19"/>
    </row>
    <row r="3" spans="1:22">
      <c r="A3" s="19"/>
      <c r="B3" s="19" t="s">
        <v>887</v>
      </c>
      <c r="C3" s="19"/>
      <c r="D3" s="19"/>
      <c r="E3" s="19"/>
      <c r="F3" s="19"/>
      <c r="G3" s="19"/>
      <c r="H3" s="19"/>
      <c r="I3" s="19"/>
      <c r="J3" s="19"/>
      <c r="K3" s="19"/>
      <c r="L3" s="19"/>
      <c r="M3" s="19"/>
      <c r="N3" s="19"/>
      <c r="O3" s="19"/>
      <c r="P3" s="19"/>
      <c r="Q3" s="19"/>
      <c r="R3" s="19"/>
      <c r="S3" s="19"/>
      <c r="T3" s="19"/>
      <c r="U3" s="19"/>
      <c r="V3" s="19"/>
    </row>
    <row r="4" spans="1:22">
      <c r="A4" s="19"/>
      <c r="B4" s="19" t="s">
        <v>882</v>
      </c>
      <c r="C4" s="19"/>
      <c r="D4" s="19"/>
      <c r="E4" s="19"/>
      <c r="F4" s="19"/>
      <c r="G4" s="19"/>
      <c r="H4" s="19"/>
      <c r="I4" s="19"/>
      <c r="J4" s="19"/>
      <c r="K4" s="19"/>
      <c r="L4" s="19"/>
      <c r="M4" s="19"/>
      <c r="N4" s="19"/>
      <c r="O4" s="19"/>
      <c r="P4" s="19"/>
      <c r="Q4" s="19"/>
      <c r="R4" s="19"/>
      <c r="S4" s="19"/>
      <c r="T4" s="19"/>
      <c r="U4" s="19"/>
      <c r="V4" s="19"/>
    </row>
    <row r="5" spans="1:22">
      <c r="A5" s="19"/>
      <c r="B5" s="19" t="s">
        <v>883</v>
      </c>
      <c r="C5" s="19"/>
      <c r="D5" s="19"/>
      <c r="E5" s="19"/>
      <c r="F5" s="19"/>
      <c r="G5" s="19"/>
      <c r="H5" s="19"/>
      <c r="I5" s="19"/>
      <c r="J5" s="19"/>
      <c r="K5" s="19"/>
      <c r="L5" s="19"/>
      <c r="M5" s="19"/>
      <c r="N5" s="19"/>
      <c r="O5" s="19"/>
      <c r="P5" s="19"/>
      <c r="Q5" s="19"/>
      <c r="R5" s="19"/>
      <c r="S5" s="19"/>
      <c r="T5" s="19"/>
      <c r="U5" s="19"/>
      <c r="V5" s="19"/>
    </row>
    <row r="6" spans="1:22">
      <c r="A6" s="37"/>
      <c r="B6" s="37"/>
      <c r="C6" s="37"/>
      <c r="D6" s="37"/>
      <c r="E6" s="37"/>
      <c r="F6" s="37"/>
      <c r="G6" s="37"/>
      <c r="H6" s="37"/>
      <c r="I6" s="37"/>
      <c r="J6" s="37"/>
      <c r="K6" s="37"/>
      <c r="L6" s="37"/>
      <c r="M6" s="37"/>
      <c r="N6" s="37"/>
      <c r="O6" s="37"/>
      <c r="P6" s="37"/>
      <c r="Q6" s="37"/>
      <c r="R6" s="37"/>
      <c r="S6" s="37"/>
      <c r="T6" s="37"/>
      <c r="U6" s="37"/>
      <c r="V6" s="37"/>
    </row>
    <row r="7" spans="1:22">
      <c r="A7" s="77" t="s">
        <v>614</v>
      </c>
      <c r="B7" s="77"/>
      <c r="C7" s="77"/>
      <c r="D7" s="77"/>
      <c r="E7" s="77"/>
      <c r="F7" s="77"/>
      <c r="G7" s="77"/>
      <c r="H7" s="77"/>
      <c r="I7" s="77"/>
      <c r="J7" s="77"/>
      <c r="K7" s="77"/>
      <c r="L7" s="77"/>
      <c r="M7" s="77"/>
      <c r="N7" s="77"/>
      <c r="O7" s="77"/>
      <c r="P7" s="37"/>
      <c r="Q7" s="37"/>
      <c r="R7" s="37"/>
      <c r="S7" s="37"/>
      <c r="T7" s="37"/>
      <c r="U7" s="37"/>
      <c r="V7" s="37"/>
    </row>
    <row r="8" spans="1:22">
      <c r="A8" s="19" t="s">
        <v>321</v>
      </c>
      <c r="B8" s="19" t="s">
        <v>26</v>
      </c>
      <c r="C8" s="19" t="s">
        <v>126</v>
      </c>
      <c r="D8" s="19" t="s">
        <v>75</v>
      </c>
      <c r="E8" s="19" t="s">
        <v>127</v>
      </c>
      <c r="F8" s="19" t="s">
        <v>128</v>
      </c>
      <c r="G8" s="19" t="s">
        <v>129</v>
      </c>
      <c r="H8" s="19" t="s">
        <v>130</v>
      </c>
      <c r="I8" s="19" t="s">
        <v>131</v>
      </c>
      <c r="J8" s="19" t="s">
        <v>132</v>
      </c>
      <c r="K8" s="19" t="s">
        <v>133</v>
      </c>
      <c r="L8" s="19" t="s">
        <v>134</v>
      </c>
      <c r="M8" s="19" t="s">
        <v>135</v>
      </c>
      <c r="N8" s="19" t="s">
        <v>136</v>
      </c>
      <c r="O8" s="19" t="s">
        <v>137</v>
      </c>
      <c r="P8" s="37" t="s">
        <v>859</v>
      </c>
      <c r="Q8" s="37"/>
      <c r="R8" s="37"/>
      <c r="S8" s="37"/>
      <c r="T8" s="37"/>
      <c r="U8" s="37"/>
      <c r="V8" s="37"/>
    </row>
    <row r="9" spans="1:22">
      <c r="A9" s="37" t="s">
        <v>224</v>
      </c>
      <c r="B9" s="215">
        <v>800.62</v>
      </c>
      <c r="C9" s="215">
        <v>518.01</v>
      </c>
      <c r="D9" s="215">
        <v>457.26</v>
      </c>
      <c r="E9" s="215">
        <v>296.72000000000003</v>
      </c>
      <c r="F9" s="215">
        <v>196.3</v>
      </c>
      <c r="G9" s="215">
        <v>187.15</v>
      </c>
      <c r="H9" s="215">
        <v>118.61</v>
      </c>
      <c r="I9" s="215">
        <v>180.73</v>
      </c>
      <c r="J9" s="215">
        <v>43.9</v>
      </c>
      <c r="K9" s="215">
        <v>132.86000000000001</v>
      </c>
      <c r="L9" s="215">
        <v>177.43</v>
      </c>
      <c r="M9" s="215">
        <v>15.35</v>
      </c>
      <c r="N9" s="215">
        <v>8.94</v>
      </c>
      <c r="O9" s="215">
        <v>10.199999999999999</v>
      </c>
      <c r="P9" s="70">
        <f>SUM(B9:O9)</f>
        <v>3144.0800000000004</v>
      </c>
      <c r="Q9" s="70">
        <f>P9/8.76</f>
        <v>358.91324200913249</v>
      </c>
      <c r="R9" s="37"/>
      <c r="S9" s="37"/>
      <c r="T9" s="37"/>
      <c r="U9" s="37"/>
      <c r="V9" s="37"/>
    </row>
    <row r="10" spans="1:22">
      <c r="A10" s="246" t="s">
        <v>612</v>
      </c>
      <c r="B10" s="184">
        <v>787.44835902666568</v>
      </c>
      <c r="C10" s="184">
        <v>497.01895315326783</v>
      </c>
      <c r="D10" s="184">
        <v>405.96372126235025</v>
      </c>
      <c r="E10" s="184">
        <v>302.47849435618986</v>
      </c>
      <c r="F10" s="184">
        <v>200.46064329451144</v>
      </c>
      <c r="G10" s="184">
        <v>201.41380686334944</v>
      </c>
      <c r="H10" s="184">
        <v>135.09622417761736</v>
      </c>
      <c r="I10" s="184">
        <v>187.71034244867107</v>
      </c>
      <c r="J10" s="184">
        <v>43.346525086956603</v>
      </c>
      <c r="K10" s="184">
        <v>132.67970711240156</v>
      </c>
      <c r="L10" s="184">
        <v>175.48504935920764</v>
      </c>
      <c r="M10" s="184">
        <v>13.977407427856303</v>
      </c>
      <c r="N10" s="184">
        <v>8.5842206408569766</v>
      </c>
      <c r="O10" s="184">
        <v>9.4977165181309449</v>
      </c>
      <c r="P10" s="70">
        <f>SUM(B10:O10)</f>
        <v>3101.1611707280322</v>
      </c>
      <c r="Q10" s="70"/>
      <c r="R10" s="37"/>
      <c r="S10" s="37"/>
      <c r="T10" s="37"/>
      <c r="U10" s="37"/>
      <c r="V10" s="37"/>
    </row>
    <row r="11" spans="1:22">
      <c r="A11" s="37" t="s">
        <v>225</v>
      </c>
      <c r="B11" s="215">
        <v>82.88</v>
      </c>
      <c r="C11" s="215">
        <v>17.77</v>
      </c>
      <c r="D11" s="215">
        <v>98.07</v>
      </c>
      <c r="E11" s="215">
        <v>81.319999999999993</v>
      </c>
      <c r="F11" s="215">
        <v>18.57</v>
      </c>
      <c r="G11" s="215">
        <v>14.61</v>
      </c>
      <c r="H11" s="215">
        <v>1.35</v>
      </c>
      <c r="I11" s="215">
        <v>47.35</v>
      </c>
      <c r="J11" s="215">
        <v>52.92</v>
      </c>
      <c r="K11" s="215">
        <v>72.58</v>
      </c>
      <c r="L11" s="215"/>
      <c r="M11" s="215">
        <v>10.82</v>
      </c>
      <c r="N11" s="215">
        <v>7.74</v>
      </c>
      <c r="O11" s="215"/>
      <c r="P11" s="70">
        <f t="shared" ref="P11:P18" si="0">SUM(B11:O11)</f>
        <v>505.98</v>
      </c>
      <c r="Q11" s="311">
        <f>P11/$P$9</f>
        <v>0.16093101956693212</v>
      </c>
      <c r="R11" s="37"/>
      <c r="S11" s="37"/>
      <c r="T11" s="37"/>
      <c r="U11" s="37"/>
      <c r="V11" s="37"/>
    </row>
    <row r="12" spans="1:22">
      <c r="A12" s="246" t="s">
        <v>613</v>
      </c>
      <c r="B12" s="184">
        <v>187.23023915771117</v>
      </c>
      <c r="C12" s="184">
        <v>27.88499035755332</v>
      </c>
      <c r="D12" s="184">
        <v>78.669903772838325</v>
      </c>
      <c r="E12" s="184">
        <v>44.587312472509048</v>
      </c>
      <c r="F12" s="184">
        <v>32.992152724030333</v>
      </c>
      <c r="G12" s="184">
        <v>32.93192176226065</v>
      </c>
      <c r="H12" s="184">
        <v>23.886392785512705</v>
      </c>
      <c r="I12" s="184">
        <v>22.243043535830921</v>
      </c>
      <c r="J12" s="184">
        <v>4.4235252689635107</v>
      </c>
      <c r="K12" s="184">
        <v>15.574426608303625</v>
      </c>
      <c r="L12" s="184">
        <v>0</v>
      </c>
      <c r="M12" s="184">
        <v>6.5355896600809249</v>
      </c>
      <c r="N12" s="184">
        <v>0.68385077717714327</v>
      </c>
      <c r="O12" s="184">
        <v>0.53139720111983246</v>
      </c>
      <c r="P12" s="70">
        <f>SUM(B12:O12)</f>
        <v>478.17474608389148</v>
      </c>
      <c r="Q12" s="311"/>
      <c r="R12" s="37"/>
      <c r="S12" s="37"/>
      <c r="T12" s="37"/>
      <c r="U12" s="37"/>
      <c r="V12" s="37"/>
    </row>
    <row r="13" spans="1:22">
      <c r="A13" s="37" t="s">
        <v>226</v>
      </c>
      <c r="B13" s="184">
        <v>68.94</v>
      </c>
      <c r="C13" s="184">
        <v>34.159999999999997</v>
      </c>
      <c r="D13" s="184">
        <v>32.65</v>
      </c>
      <c r="E13" s="184">
        <v>28.71</v>
      </c>
      <c r="F13" s="184">
        <v>15.03</v>
      </c>
      <c r="G13" s="184">
        <v>11.34</v>
      </c>
      <c r="H13" s="184">
        <v>10.26</v>
      </c>
      <c r="I13" s="184">
        <v>7.96</v>
      </c>
      <c r="J13" s="184">
        <v>5.96</v>
      </c>
      <c r="K13" s="184">
        <v>4.92</v>
      </c>
      <c r="L13" s="184"/>
      <c r="M13" s="184">
        <v>1.67</v>
      </c>
      <c r="N13" s="184">
        <v>0.8</v>
      </c>
      <c r="O13" s="184">
        <v>0.5</v>
      </c>
      <c r="P13" s="70">
        <f t="shared" si="0"/>
        <v>222.9</v>
      </c>
      <c r="Q13" s="311">
        <f t="shared" ref="Q13:Q18" si="1">P13/$P$9</f>
        <v>7.0895142617236201E-2</v>
      </c>
      <c r="R13" s="37"/>
      <c r="S13" s="37"/>
      <c r="T13" s="37"/>
      <c r="U13" s="37"/>
      <c r="V13" s="37"/>
    </row>
    <row r="14" spans="1:22">
      <c r="A14" s="37" t="s">
        <v>227</v>
      </c>
      <c r="B14" s="184">
        <v>34.99</v>
      </c>
      <c r="C14" s="184">
        <v>3.63</v>
      </c>
      <c r="D14" s="184">
        <v>3.15</v>
      </c>
      <c r="E14" s="184">
        <v>5.47</v>
      </c>
      <c r="F14" s="184"/>
      <c r="G14" s="184">
        <v>17.23</v>
      </c>
      <c r="H14" s="184">
        <v>0.67</v>
      </c>
      <c r="I14" s="184">
        <v>0.4</v>
      </c>
      <c r="J14" s="184">
        <v>0.65</v>
      </c>
      <c r="K14" s="184">
        <v>1.05</v>
      </c>
      <c r="L14" s="184"/>
      <c r="M14" s="184">
        <v>0.92</v>
      </c>
      <c r="N14" s="184">
        <v>0.04</v>
      </c>
      <c r="O14" s="184"/>
      <c r="P14" s="70">
        <f t="shared" si="0"/>
        <v>68.200000000000017</v>
      </c>
      <c r="Q14" s="311">
        <f t="shared" si="1"/>
        <v>2.1691560011195647E-2</v>
      </c>
      <c r="R14" s="37"/>
      <c r="S14" s="37"/>
      <c r="T14" s="37"/>
      <c r="U14" s="37"/>
      <c r="V14" s="37"/>
    </row>
    <row r="15" spans="1:22">
      <c r="A15" s="37" t="s">
        <v>164</v>
      </c>
      <c r="B15" s="184">
        <v>52.07</v>
      </c>
      <c r="C15" s="184">
        <v>10.11</v>
      </c>
      <c r="D15" s="184">
        <v>14.14</v>
      </c>
      <c r="E15" s="184">
        <v>46.24</v>
      </c>
      <c r="F15" s="184"/>
      <c r="G15" s="184"/>
      <c r="H15" s="184">
        <v>6.83</v>
      </c>
      <c r="I15" s="184"/>
      <c r="J15" s="184"/>
      <c r="K15" s="184"/>
      <c r="L15" s="184"/>
      <c r="M15" s="184">
        <v>4.5599999999999996</v>
      </c>
      <c r="N15" s="184"/>
      <c r="O15" s="184"/>
      <c r="P15" s="70">
        <f t="shared" si="0"/>
        <v>133.95000000000002</v>
      </c>
      <c r="Q15" s="311">
        <f t="shared" si="1"/>
        <v>4.2603877763924582E-2</v>
      </c>
      <c r="R15" s="37"/>
      <c r="S15" s="37"/>
      <c r="T15" s="37"/>
      <c r="U15" s="37"/>
      <c r="V15" s="37"/>
    </row>
    <row r="16" spans="1:22">
      <c r="A16" s="37" t="s">
        <v>228</v>
      </c>
      <c r="B16" s="184">
        <v>8.5500000000000007</v>
      </c>
      <c r="C16" s="184">
        <v>14.84</v>
      </c>
      <c r="D16" s="184"/>
      <c r="E16" s="184">
        <v>21.02</v>
      </c>
      <c r="F16" s="184">
        <v>0.62</v>
      </c>
      <c r="G16" s="184"/>
      <c r="H16" s="184"/>
      <c r="I16" s="184"/>
      <c r="J16" s="184"/>
      <c r="K16" s="184"/>
      <c r="L16" s="184">
        <v>3.15</v>
      </c>
      <c r="M16" s="184"/>
      <c r="N16" s="184"/>
      <c r="O16" s="184"/>
      <c r="P16" s="70">
        <f t="shared" si="0"/>
        <v>48.179999999999993</v>
      </c>
      <c r="Q16" s="311">
        <f t="shared" si="1"/>
        <v>1.5324037556296273E-2</v>
      </c>
      <c r="R16" s="37"/>
      <c r="S16" s="37"/>
      <c r="T16" s="37"/>
      <c r="U16" s="37"/>
      <c r="V16" s="37"/>
    </row>
    <row r="17" spans="1:23">
      <c r="A17" s="37" t="s">
        <v>229</v>
      </c>
      <c r="B17" s="184">
        <v>0.28999999999999998</v>
      </c>
      <c r="C17" s="184">
        <v>0.13</v>
      </c>
      <c r="D17" s="184">
        <v>2.16</v>
      </c>
      <c r="E17" s="184">
        <v>0.01</v>
      </c>
      <c r="F17" s="184">
        <v>0.34</v>
      </c>
      <c r="G17" s="184"/>
      <c r="H17" s="184"/>
      <c r="I17" s="184">
        <v>7.0000000000000007E-2</v>
      </c>
      <c r="J17" s="184"/>
      <c r="K17" s="184">
        <v>0.01</v>
      </c>
      <c r="L17" s="184"/>
      <c r="M17" s="184">
        <v>0.03</v>
      </c>
      <c r="N17" s="184">
        <v>0.02</v>
      </c>
      <c r="O17" s="184">
        <v>0.01</v>
      </c>
      <c r="P17" s="70">
        <f t="shared" si="0"/>
        <v>3.069999999999999</v>
      </c>
      <c r="Q17" s="311">
        <f t="shared" si="1"/>
        <v>9.7643825856848384E-4</v>
      </c>
      <c r="R17" s="37"/>
      <c r="S17" s="37"/>
      <c r="T17" s="37"/>
      <c r="U17" s="37"/>
      <c r="V17" s="37"/>
    </row>
    <row r="18" spans="1:23">
      <c r="A18" s="37" t="s">
        <v>230</v>
      </c>
      <c r="B18" s="184">
        <v>0.18</v>
      </c>
      <c r="C18" s="184"/>
      <c r="D18" s="184">
        <v>2.38</v>
      </c>
      <c r="E18" s="184"/>
      <c r="F18" s="184">
        <v>1.24</v>
      </c>
      <c r="G18" s="184">
        <v>4.17</v>
      </c>
      <c r="H18" s="184">
        <v>0.09</v>
      </c>
      <c r="I18" s="184">
        <v>0.26</v>
      </c>
      <c r="J18" s="184"/>
      <c r="K18" s="184"/>
      <c r="L18" s="184"/>
      <c r="M18" s="184">
        <v>0.06</v>
      </c>
      <c r="N18" s="184">
        <v>0.03</v>
      </c>
      <c r="O18" s="184"/>
      <c r="P18" s="70">
        <f t="shared" si="0"/>
        <v>8.41</v>
      </c>
      <c r="Q18" s="311">
        <f t="shared" si="1"/>
        <v>2.6748683239612219E-3</v>
      </c>
      <c r="R18" s="37"/>
      <c r="S18" s="37"/>
      <c r="T18" s="37"/>
      <c r="U18" s="37"/>
      <c r="V18" s="37"/>
    </row>
    <row r="19" spans="1:23">
      <c r="A19" s="246" t="s">
        <v>35</v>
      </c>
      <c r="B19" s="70">
        <f>SUM(B9:B18)</f>
        <v>2023.198598184377</v>
      </c>
      <c r="C19" s="70">
        <f t="shared" ref="C19:O19" si="2">SUM(C9:C18)</f>
        <v>1123.5539435108212</v>
      </c>
      <c r="D19" s="70">
        <f t="shared" si="2"/>
        <v>1094.4436250351889</v>
      </c>
      <c r="E19" s="70">
        <f t="shared" si="2"/>
        <v>826.55580682869902</v>
      </c>
      <c r="F19" s="70">
        <f t="shared" si="2"/>
        <v>465.55279601854176</v>
      </c>
      <c r="G19" s="70">
        <f t="shared" si="2"/>
        <v>468.84572862561009</v>
      </c>
      <c r="H19" s="70">
        <f t="shared" si="2"/>
        <v>296.79261696313</v>
      </c>
      <c r="I19" s="70">
        <f t="shared" si="2"/>
        <v>446.72338598450193</v>
      </c>
      <c r="J19" s="70">
        <f t="shared" si="2"/>
        <v>151.20005035592013</v>
      </c>
      <c r="K19" s="70">
        <f t="shared" si="2"/>
        <v>359.67413372070519</v>
      </c>
      <c r="L19" s="70">
        <f t="shared" si="2"/>
        <v>356.06504935920759</v>
      </c>
      <c r="M19" s="70">
        <f t="shared" si="2"/>
        <v>53.922997087937233</v>
      </c>
      <c r="N19" s="70">
        <f t="shared" si="2"/>
        <v>26.838071418034119</v>
      </c>
      <c r="O19" s="70">
        <f t="shared" si="2"/>
        <v>20.739113719250781</v>
      </c>
      <c r="P19" s="37"/>
      <c r="Q19" s="37"/>
      <c r="R19" s="37"/>
      <c r="S19" s="37"/>
      <c r="T19" s="37"/>
      <c r="U19" s="37"/>
      <c r="V19" s="37"/>
    </row>
    <row r="20" spans="1:23">
      <c r="A20" s="246" t="s">
        <v>231</v>
      </c>
      <c r="B20" s="311">
        <f>B11/B9</f>
        <v>0.10351977217656316</v>
      </c>
      <c r="C20" s="311">
        <f t="shared" ref="C20:O20" si="3">C11/C9</f>
        <v>3.4304357058744038E-2</v>
      </c>
      <c r="D20" s="311">
        <f t="shared" si="3"/>
        <v>0.21447316625114812</v>
      </c>
      <c r="E20" s="311">
        <f t="shared" si="3"/>
        <v>0.27406308978161226</v>
      </c>
      <c r="F20" s="311">
        <f t="shared" si="3"/>
        <v>9.4600101884870086E-2</v>
      </c>
      <c r="G20" s="311">
        <f t="shared" si="3"/>
        <v>7.8065722682340369E-2</v>
      </c>
      <c r="H20" s="311">
        <f t="shared" si="3"/>
        <v>1.1381839642525926E-2</v>
      </c>
      <c r="I20" s="311">
        <f t="shared" si="3"/>
        <v>0.26199302827422122</v>
      </c>
      <c r="J20" s="311">
        <f t="shared" si="3"/>
        <v>1.2054669703872438</v>
      </c>
      <c r="K20" s="311">
        <f>K11/K9</f>
        <v>0.54628932711124489</v>
      </c>
      <c r="L20" s="311">
        <f t="shared" si="3"/>
        <v>0</v>
      </c>
      <c r="M20" s="311">
        <f t="shared" si="3"/>
        <v>0.70488599348534209</v>
      </c>
      <c r="N20" s="311">
        <f t="shared" si="3"/>
        <v>0.865771812080537</v>
      </c>
      <c r="O20" s="311">
        <f t="shared" si="3"/>
        <v>0</v>
      </c>
      <c r="P20" s="37"/>
      <c r="Q20" s="37"/>
      <c r="R20" s="37"/>
      <c r="S20" s="37"/>
      <c r="T20" s="37"/>
      <c r="U20" s="37"/>
      <c r="V20" s="37"/>
    </row>
    <row r="21" spans="1:23">
      <c r="A21" s="37"/>
      <c r="B21" s="37"/>
      <c r="C21" s="37"/>
      <c r="D21" s="37"/>
      <c r="E21" s="37"/>
      <c r="F21" s="37"/>
      <c r="G21" s="37"/>
      <c r="H21" s="37"/>
      <c r="I21" s="37"/>
      <c r="J21" s="37"/>
      <c r="K21" s="37"/>
      <c r="L21" s="37"/>
      <c r="M21" s="37"/>
      <c r="N21" s="37"/>
      <c r="O21" s="37"/>
      <c r="P21" s="37"/>
      <c r="Q21" s="37"/>
      <c r="R21" s="37"/>
      <c r="S21" s="37"/>
      <c r="T21" s="37"/>
      <c r="U21" s="37"/>
      <c r="V21" s="37"/>
    </row>
    <row r="22" spans="1:23">
      <c r="A22" s="77" t="s">
        <v>667</v>
      </c>
      <c r="B22" s="77"/>
      <c r="C22" s="77"/>
      <c r="D22" s="77"/>
      <c r="E22" s="77"/>
      <c r="F22" s="77"/>
      <c r="G22" s="77"/>
      <c r="H22" s="77"/>
      <c r="I22" s="77"/>
      <c r="J22" s="77"/>
      <c r="K22" s="77"/>
      <c r="L22" s="77"/>
      <c r="M22" s="77"/>
      <c r="N22" s="77"/>
      <c r="O22" s="77"/>
      <c r="P22" s="77"/>
      <c r="Q22" s="77"/>
      <c r="R22" s="77"/>
      <c r="S22" s="77"/>
      <c r="T22" s="77"/>
      <c r="U22" s="77"/>
      <c r="V22" s="77"/>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668</v>
      </c>
      <c r="T23" s="8" t="s">
        <v>135</v>
      </c>
      <c r="U23" s="8" t="s">
        <v>136</v>
      </c>
      <c r="V23" s="8" t="s">
        <v>137</v>
      </c>
    </row>
    <row r="24" spans="1:23">
      <c r="A24" s="22" t="s">
        <v>617</v>
      </c>
      <c r="B24" s="22" t="s">
        <v>262</v>
      </c>
      <c r="C24" s="184">
        <v>56248.368002738061</v>
      </c>
      <c r="D24" s="184">
        <v>35127.176528749616</v>
      </c>
      <c r="E24" s="184">
        <v>54341.497261940982</v>
      </c>
      <c r="F24" s="184">
        <v>28567.198141669203</v>
      </c>
      <c r="G24" s="184">
        <v>17983.364351992699</v>
      </c>
      <c r="H24" s="184">
        <v>12651.732253321165</v>
      </c>
      <c r="I24" s="184">
        <v>9836.0194072609302</v>
      </c>
      <c r="J24" s="184">
        <v>1129.1148463644661</v>
      </c>
      <c r="K24" s="184">
        <v>1891.9881984585743</v>
      </c>
      <c r="L24" s="184">
        <v>9943.4784504614145</v>
      </c>
      <c r="M24" s="184">
        <v>2772.5803544265286</v>
      </c>
      <c r="N24" s="184">
        <v>2280.6969120778826</v>
      </c>
      <c r="O24" s="184">
        <v>1505.3456672751242</v>
      </c>
      <c r="P24" s="184">
        <v>9565.8508518405833</v>
      </c>
      <c r="Q24" s="184">
        <v>2135.7377928202009</v>
      </c>
      <c r="R24" s="184">
        <v>2834.3444376838047</v>
      </c>
      <c r="S24" s="184">
        <v>9836.4145750938042</v>
      </c>
      <c r="T24" s="184">
        <v>1266.1400846770105</v>
      </c>
      <c r="U24" s="184">
        <v>817.62770003042283</v>
      </c>
      <c r="V24" s="184">
        <v>924.80384849406755</v>
      </c>
    </row>
    <row r="25" spans="1:23">
      <c r="A25" s="38" t="s">
        <v>611</v>
      </c>
      <c r="B25" s="22" t="s">
        <v>610</v>
      </c>
      <c r="C25" s="70"/>
      <c r="D25" s="70"/>
      <c r="E25" s="37"/>
      <c r="F25" s="37"/>
      <c r="G25" s="70"/>
      <c r="H25" s="70"/>
      <c r="I25" s="70"/>
      <c r="J25" s="311">
        <f>J24/SUM($J$24:$M$24)</f>
        <v>7.1748315048637726E-2</v>
      </c>
      <c r="K25" s="311">
        <f>K24/SUM($J$24:$M$24)</f>
        <v>0.1202242320773565</v>
      </c>
      <c r="L25" s="311">
        <f>L24/SUM($J$24:$M$24)</f>
        <v>0.63184699664533395</v>
      </c>
      <c r="M25" s="311">
        <f>M24/SUM($J$24:$M$24)</f>
        <v>0.17618045622867171</v>
      </c>
      <c r="N25" s="311">
        <f>N24/(N24+O24)</f>
        <v>0.60239600170255581</v>
      </c>
      <c r="O25" s="311">
        <f>O24/(O24+N24)</f>
        <v>0.39760399829744425</v>
      </c>
      <c r="P25" s="37"/>
      <c r="Q25" s="311">
        <f>Q24/SUM($Q$24:$S$24)</f>
        <v>0.14424328866317349</v>
      </c>
      <c r="R25" s="311">
        <f>R24/SUM($Q$24:$S$24)</f>
        <v>0.19142572850940945</v>
      </c>
      <c r="S25" s="311">
        <f>S24/SUM($Q$24:$S$24)</f>
        <v>0.66433098282741709</v>
      </c>
      <c r="T25" s="37"/>
      <c r="U25" s="37"/>
      <c r="V25" s="37"/>
    </row>
    <row r="26" spans="1:23">
      <c r="A26" s="22" t="s">
        <v>216</v>
      </c>
      <c r="B26" s="22" t="s">
        <v>321</v>
      </c>
      <c r="C26" s="527">
        <f>B9</f>
        <v>800.62</v>
      </c>
      <c r="D26" s="527">
        <f t="shared" ref="D26:I26" si="4">C9</f>
        <v>518.01</v>
      </c>
      <c r="E26" s="527">
        <f t="shared" si="4"/>
        <v>457.26</v>
      </c>
      <c r="F26" s="527">
        <f t="shared" si="4"/>
        <v>296.72000000000003</v>
      </c>
      <c r="G26" s="527">
        <f t="shared" si="4"/>
        <v>196.3</v>
      </c>
      <c r="H26" s="527">
        <f t="shared" si="4"/>
        <v>187.15</v>
      </c>
      <c r="I26" s="527">
        <f t="shared" si="4"/>
        <v>118.61</v>
      </c>
      <c r="J26" s="526">
        <f>$I$9*J25</f>
        <v>12.967072978740296</v>
      </c>
      <c r="K26" s="526">
        <f t="shared" ref="K26:M26" si="5">$I$9*K25</f>
        <v>21.728125463340639</v>
      </c>
      <c r="L26" s="526">
        <f t="shared" si="5"/>
        <v>114.1937077037112</v>
      </c>
      <c r="M26" s="526">
        <f t="shared" si="5"/>
        <v>31.841093854207834</v>
      </c>
      <c r="N26" s="526">
        <f>$J$9*N25</f>
        <v>26.445184474742199</v>
      </c>
      <c r="O26" s="526">
        <f>$J$9*O25</f>
        <v>17.454815525257803</v>
      </c>
      <c r="P26" s="527">
        <f>K9</f>
        <v>132.86000000000001</v>
      </c>
      <c r="Q26" s="526">
        <f>$L$9*Q25</f>
        <v>25.593086707506874</v>
      </c>
      <c r="R26" s="526">
        <f>$L$9*R25</f>
        <v>33.964667009424517</v>
      </c>
      <c r="S26" s="526">
        <f>$L$9*S25</f>
        <v>117.87224628306862</v>
      </c>
      <c r="T26" s="527">
        <f>M9</f>
        <v>15.35</v>
      </c>
      <c r="U26" s="527">
        <f>N9</f>
        <v>8.94</v>
      </c>
      <c r="V26" s="527">
        <f>O9</f>
        <v>10.199999999999999</v>
      </c>
    </row>
    <row r="27" spans="1:23">
      <c r="A27" s="246" t="s">
        <v>880</v>
      </c>
      <c r="B27" s="246" t="s">
        <v>262</v>
      </c>
      <c r="C27" s="70">
        <f>C26/0.00876</f>
        <v>91394.977168949772</v>
      </c>
      <c r="D27" s="70">
        <f>D26/0.00876</f>
        <v>59133.561643835616</v>
      </c>
      <c r="E27" s="70">
        <f t="shared" ref="E27:V27" si="6">E26/0.00876</f>
        <v>52198.630136986299</v>
      </c>
      <c r="F27" s="70">
        <f t="shared" si="6"/>
        <v>33872.146118721459</v>
      </c>
      <c r="G27" s="70">
        <f t="shared" si="6"/>
        <v>22408.675799086759</v>
      </c>
      <c r="H27" s="70">
        <f t="shared" si="6"/>
        <v>21364.155251141554</v>
      </c>
      <c r="I27" s="70">
        <f t="shared" si="6"/>
        <v>13539.954337899542</v>
      </c>
      <c r="J27" s="70">
        <f t="shared" si="6"/>
        <v>1480.2594724589378</v>
      </c>
      <c r="K27" s="70">
        <f t="shared" si="6"/>
        <v>2480.3796191028127</v>
      </c>
      <c r="L27" s="70">
        <f t="shared" si="6"/>
        <v>13035.811381702191</v>
      </c>
      <c r="M27" s="70">
        <f t="shared" si="6"/>
        <v>3634.8280655488393</v>
      </c>
      <c r="N27" s="70">
        <f t="shared" si="6"/>
        <v>3018.856675198881</v>
      </c>
      <c r="O27" s="70">
        <f t="shared" si="6"/>
        <v>1992.5588499152743</v>
      </c>
      <c r="P27" s="70">
        <f t="shared" si="6"/>
        <v>15166.666666666668</v>
      </c>
      <c r="Q27" s="70">
        <f t="shared" si="6"/>
        <v>2921.5852405829764</v>
      </c>
      <c r="R27" s="70">
        <f t="shared" si="6"/>
        <v>3877.2450924000586</v>
      </c>
      <c r="S27" s="70">
        <f t="shared" si="6"/>
        <v>13455.735877062627</v>
      </c>
      <c r="T27" s="70">
        <f t="shared" si="6"/>
        <v>1752.283105022831</v>
      </c>
      <c r="U27" s="70">
        <f t="shared" si="6"/>
        <v>1020.5479452054793</v>
      </c>
      <c r="V27" s="70">
        <f t="shared" si="6"/>
        <v>1164.3835616438355</v>
      </c>
    </row>
    <row r="28" spans="1:23">
      <c r="A28" s="246" t="s">
        <v>881</v>
      </c>
      <c r="B28" s="246" t="s">
        <v>262</v>
      </c>
      <c r="C28" s="184">
        <v>81511.805772318417</v>
      </c>
      <c r="D28" s="184">
        <v>59315.649259621656</v>
      </c>
      <c r="E28" s="184">
        <v>39382.624792254574</v>
      </c>
      <c r="F28" s="184">
        <v>30770.6650664392</v>
      </c>
      <c r="G28" s="184">
        <v>21600.889175485318</v>
      </c>
      <c r="H28" s="184">
        <v>17965.550103128353</v>
      </c>
      <c r="I28" s="184">
        <v>13183.614721683971</v>
      </c>
      <c r="J28" s="184">
        <v>1461.087084148649</v>
      </c>
      <c r="K28" s="184">
        <v>2247.2957510664232</v>
      </c>
      <c r="L28" s="184">
        <v>10596.101280770361</v>
      </c>
      <c r="M28" s="184">
        <v>3084.3138477922344</v>
      </c>
      <c r="N28" s="184">
        <v>3372.6112387391545</v>
      </c>
      <c r="O28" s="184">
        <v>1885.496341279839</v>
      </c>
      <c r="P28" s="184">
        <v>12650.040147178597</v>
      </c>
      <c r="Q28" s="184">
        <v>3052.4926363064315</v>
      </c>
      <c r="R28" s="184">
        <v>3651.1119438849205</v>
      </c>
      <c r="S28" s="184">
        <v>13585.823285834762</v>
      </c>
      <c r="T28" s="184">
        <v>1972.9562258399537</v>
      </c>
      <c r="U28" s="184">
        <v>994.12899321128987</v>
      </c>
      <c r="V28" s="184">
        <v>1130.0216502594214</v>
      </c>
      <c r="W28" s="641"/>
    </row>
    <row r="29" spans="1:23">
      <c r="A29" s="246" t="s">
        <v>879</v>
      </c>
      <c r="B29" s="246" t="s">
        <v>610</v>
      </c>
      <c r="C29" s="311">
        <f>(C27-C28)/C27</f>
        <v>0.10813692067958665</v>
      </c>
      <c r="D29" s="311">
        <f>(D27-D28)/D27</f>
        <v>-3.0792600804727954E-3</v>
      </c>
      <c r="E29" s="311">
        <f>(E27-E28)/E27</f>
        <v>0.24552378694801627</v>
      </c>
      <c r="F29" s="311">
        <f t="shared" ref="F29:V29" si="7">(F27-F28)/F27</f>
        <v>9.1564350289810567E-2</v>
      </c>
      <c r="G29" s="311">
        <f t="shared" si="7"/>
        <v>3.6047941022662393E-2</v>
      </c>
      <c r="H29" s="311">
        <f t="shared" si="7"/>
        <v>0.15907978144053239</v>
      </c>
      <c r="I29" s="311">
        <f t="shared" si="7"/>
        <v>2.6317637956735567E-2</v>
      </c>
      <c r="J29" s="311">
        <f t="shared" si="7"/>
        <v>1.2952045683207538E-2</v>
      </c>
      <c r="K29" s="311">
        <f t="shared" si="7"/>
        <v>9.3971046303266734E-2</v>
      </c>
      <c r="L29" s="311">
        <f t="shared" si="7"/>
        <v>0.18715444934684669</v>
      </c>
      <c r="M29" s="311">
        <f t="shared" si="7"/>
        <v>0.15145536675432275</v>
      </c>
      <c r="N29" s="311">
        <f t="shared" si="7"/>
        <v>-0.11718163583137589</v>
      </c>
      <c r="O29" s="311">
        <f t="shared" si="7"/>
        <v>5.373116514977095E-2</v>
      </c>
      <c r="P29" s="311">
        <f t="shared" si="7"/>
        <v>0.1659314188673453</v>
      </c>
      <c r="Q29" s="311">
        <f t="shared" si="7"/>
        <v>-4.4806974619482125E-2</v>
      </c>
      <c r="R29" s="311">
        <f t="shared" si="7"/>
        <v>5.8323150362196777E-2</v>
      </c>
      <c r="S29" s="311">
        <f t="shared" si="7"/>
        <v>-9.6678033784751202E-3</v>
      </c>
      <c r="T29" s="311">
        <f t="shared" si="7"/>
        <v>-0.12593462790605831</v>
      </c>
      <c r="U29" s="311">
        <f t="shared" si="7"/>
        <v>2.5887026786252758E-2</v>
      </c>
      <c r="V29" s="311">
        <f t="shared" si="7"/>
        <v>2.9510818012496769E-2</v>
      </c>
    </row>
    <row r="30" spans="1:23">
      <c r="C30" s="641"/>
    </row>
    <row r="31" spans="1:23">
      <c r="A31" s="40" t="s">
        <v>884</v>
      </c>
      <c r="B31" s="40" t="s">
        <v>885</v>
      </c>
    </row>
    <row r="32" spans="1:23">
      <c r="A32" s="22" t="s">
        <v>531</v>
      </c>
      <c r="B32" s="672">
        <v>3000</v>
      </c>
    </row>
    <row r="33" spans="1:2">
      <c r="A33" s="22" t="s">
        <v>867</v>
      </c>
      <c r="B33" s="672">
        <v>120</v>
      </c>
    </row>
  </sheetData>
  <conditionalFormatting sqref="B9:O18">
    <cfRule type="cellIs" dxfId="24" priority="1" operator="lessThan">
      <formula>1</formula>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15"/>
  <sheetViews>
    <sheetView showZeros="0" topLeftCell="A100" zoomScaleNormal="100" workbookViewId="0">
      <pane xSplit="1" topLeftCell="B1" activePane="topRight" state="frozen"/>
      <selection activeCell="L41" sqref="L41"/>
      <selection pane="topRight" activeCell="O123" sqref="O123"/>
    </sheetView>
  </sheetViews>
  <sheetFormatPr defaultColWidth="8.88671875" defaultRowHeight="14.4"/>
  <cols>
    <col min="1" max="1" width="26.109375" style="20" customWidth="1"/>
    <col min="2" max="21" width="8.5546875" style="20" customWidth="1"/>
    <col min="22" max="22" width="11.109375" style="20" bestFit="1" customWidth="1"/>
    <col min="23" max="23" width="10.44140625" style="20" bestFit="1" customWidth="1"/>
    <col min="24" max="16384" width="8.88671875" style="20"/>
  </cols>
  <sheetData>
    <row r="1" spans="1:39">
      <c r="A1" s="170" t="s">
        <v>422</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row>
    <row r="2" spans="1:39">
      <c r="A2" s="175"/>
    </row>
    <row r="3" spans="1:39">
      <c r="A3" s="54" t="s">
        <v>421</v>
      </c>
      <c r="B3" s="54" t="s">
        <v>361</v>
      </c>
      <c r="C3" s="54"/>
      <c r="D3" s="54"/>
      <c r="E3" s="54"/>
      <c r="F3" s="54"/>
      <c r="G3" s="54"/>
      <c r="H3" s="54"/>
      <c r="I3" s="54"/>
      <c r="J3" s="54"/>
      <c r="K3" s="54"/>
      <c r="L3" s="54"/>
      <c r="M3" s="54"/>
      <c r="N3" s="54"/>
      <c r="O3" s="54"/>
      <c r="R3" s="54" t="s">
        <v>362</v>
      </c>
      <c r="S3" s="54"/>
      <c r="T3" s="54"/>
      <c r="U3" s="54"/>
      <c r="V3" s="54"/>
      <c r="W3" s="54"/>
      <c r="X3" s="54"/>
      <c r="Y3" s="54"/>
      <c r="Z3" s="54"/>
      <c r="AA3" s="54"/>
      <c r="AB3" s="54"/>
      <c r="AC3" s="54"/>
      <c r="AD3" s="54"/>
      <c r="AE3" s="54"/>
      <c r="AF3" s="54"/>
    </row>
    <row r="4" spans="1:39">
      <c r="A4" s="57" t="s">
        <v>360</v>
      </c>
      <c r="B4" s="55"/>
      <c r="C4" s="55"/>
      <c r="D4" s="55"/>
      <c r="E4" s="55"/>
      <c r="F4" s="55"/>
      <c r="G4" s="55"/>
      <c r="H4" s="55"/>
      <c r="I4" s="55"/>
      <c r="J4" s="55"/>
      <c r="K4" s="55"/>
      <c r="L4" s="55"/>
      <c r="M4" s="55"/>
      <c r="N4" s="55"/>
      <c r="O4" s="55"/>
      <c r="R4" s="57" t="s">
        <v>253</v>
      </c>
      <c r="S4" s="154"/>
      <c r="T4" s="57" t="s">
        <v>254</v>
      </c>
      <c r="U4" s="55"/>
      <c r="V4" s="55"/>
      <c r="W4" s="55"/>
      <c r="X4" s="55"/>
      <c r="Y4" s="55"/>
      <c r="Z4" s="55"/>
      <c r="AA4" s="55"/>
      <c r="AB4" s="55"/>
      <c r="AC4" s="55"/>
      <c r="AD4" s="55"/>
      <c r="AE4" s="55"/>
      <c r="AF4" s="55"/>
    </row>
    <row r="5" spans="1:39">
      <c r="A5" s="152" t="s">
        <v>314</v>
      </c>
      <c r="B5" s="153" t="s">
        <v>26</v>
      </c>
      <c r="C5" s="153" t="s">
        <v>126</v>
      </c>
      <c r="D5" s="153" t="s">
        <v>75</v>
      </c>
      <c r="E5" s="153" t="s">
        <v>127</v>
      </c>
      <c r="F5" s="153" t="s">
        <v>138</v>
      </c>
      <c r="G5" s="153" t="s">
        <v>129</v>
      </c>
      <c r="H5" s="153" t="s">
        <v>130</v>
      </c>
      <c r="I5" s="153" t="s">
        <v>131</v>
      </c>
      <c r="J5" s="153" t="s">
        <v>132</v>
      </c>
      <c r="K5" s="153" t="s">
        <v>133</v>
      </c>
      <c r="L5" s="153" t="s">
        <v>134</v>
      </c>
      <c r="M5" s="153" t="s">
        <v>135</v>
      </c>
      <c r="N5" s="153" t="s">
        <v>136</v>
      </c>
      <c r="O5" s="153" t="s">
        <v>137</v>
      </c>
      <c r="R5" s="57" t="s">
        <v>255</v>
      </c>
      <c r="S5" s="154"/>
      <c r="T5" s="57" t="s">
        <v>256</v>
      </c>
      <c r="U5" s="55"/>
      <c r="V5" s="55"/>
      <c r="W5" s="55"/>
      <c r="X5" s="55"/>
      <c r="Y5" s="55"/>
      <c r="Z5" s="55"/>
      <c r="AA5" s="55"/>
      <c r="AB5" s="55"/>
      <c r="AC5" s="55"/>
      <c r="AD5" s="55"/>
      <c r="AE5" s="55"/>
      <c r="AF5" s="55"/>
    </row>
    <row r="6" spans="1:39">
      <c r="A6" s="107" t="s">
        <v>233</v>
      </c>
      <c r="B6" s="310">
        <v>299.47000000000003</v>
      </c>
      <c r="C6" s="310">
        <v>100.4</v>
      </c>
      <c r="D6" s="310">
        <v>54.79</v>
      </c>
      <c r="E6" s="310">
        <v>128.94999999999999</v>
      </c>
      <c r="F6" s="310">
        <v>36.74</v>
      </c>
      <c r="G6" s="310">
        <v>59.32</v>
      </c>
      <c r="H6" s="310">
        <v>23.3</v>
      </c>
      <c r="I6" s="109">
        <v>26.42</v>
      </c>
      <c r="J6" s="109">
        <v>21.71</v>
      </c>
      <c r="K6" s="310">
        <v>21.27</v>
      </c>
      <c r="L6" s="310">
        <v>6.25</v>
      </c>
      <c r="M6" s="310">
        <v>6.54</v>
      </c>
      <c r="N6" s="108">
        <v>0.8</v>
      </c>
      <c r="O6" s="310">
        <v>2.4</v>
      </c>
      <c r="P6" s="68">
        <f t="shared" ref="P6:P30" si="0">SUM(B6:O6)</f>
        <v>788.3599999999999</v>
      </c>
      <c r="Q6" s="68"/>
      <c r="R6" s="57" t="s">
        <v>257</v>
      </c>
      <c r="S6" s="154"/>
      <c r="T6" s="155" t="s">
        <v>576</v>
      </c>
      <c r="U6" s="55"/>
      <c r="V6" s="55"/>
      <c r="W6" s="55"/>
      <c r="X6" s="55"/>
      <c r="Y6" s="55"/>
      <c r="Z6" s="55"/>
      <c r="AA6" s="55"/>
      <c r="AB6" s="55"/>
      <c r="AC6" s="55"/>
      <c r="AD6" s="55"/>
      <c r="AE6" s="55"/>
      <c r="AF6" s="55"/>
    </row>
    <row r="7" spans="1:39">
      <c r="A7" s="107" t="s">
        <v>234</v>
      </c>
      <c r="B7" s="108"/>
      <c r="C7" s="108"/>
      <c r="D7" s="108"/>
      <c r="E7" s="109">
        <v>5.16</v>
      </c>
      <c r="F7" s="108"/>
      <c r="G7" s="108"/>
      <c r="H7" s="108"/>
      <c r="I7" s="109"/>
      <c r="J7" s="109"/>
      <c r="K7" s="108"/>
      <c r="L7" s="108"/>
      <c r="M7" s="108"/>
      <c r="N7" s="108">
        <v>7.0000000000000007E-2</v>
      </c>
      <c r="O7" s="108"/>
      <c r="P7" s="68">
        <f t="shared" si="0"/>
        <v>5.23</v>
      </c>
      <c r="Q7" s="68"/>
      <c r="R7" s="55"/>
      <c r="S7" s="55"/>
      <c r="T7" s="57" t="s">
        <v>579</v>
      </c>
      <c r="U7" s="55"/>
      <c r="V7" s="55"/>
      <c r="W7" s="55"/>
      <c r="X7" s="55"/>
      <c r="Y7" s="55"/>
      <c r="Z7" s="55"/>
      <c r="AA7" s="55"/>
      <c r="AB7" s="55"/>
      <c r="AC7" s="55"/>
      <c r="AD7" s="55"/>
      <c r="AE7" s="55"/>
      <c r="AF7" s="55"/>
      <c r="AL7" s="37"/>
    </row>
    <row r="8" spans="1:39">
      <c r="A8" s="107" t="s">
        <v>140</v>
      </c>
      <c r="B8" s="310">
        <v>142</v>
      </c>
      <c r="C8" s="310">
        <v>50</v>
      </c>
      <c r="D8" s="310">
        <v>43.48</v>
      </c>
      <c r="E8" s="310">
        <v>75.05</v>
      </c>
      <c r="F8" s="310">
        <v>29.5</v>
      </c>
      <c r="G8" s="310">
        <v>12.7</v>
      </c>
      <c r="H8" s="310">
        <v>8.9</v>
      </c>
      <c r="I8" s="109">
        <v>28.25</v>
      </c>
      <c r="J8" s="109">
        <v>12.5</v>
      </c>
      <c r="K8" s="310">
        <v>46</v>
      </c>
      <c r="L8" s="310">
        <v>6.36</v>
      </c>
      <c r="M8" s="310">
        <v>5.21</v>
      </c>
      <c r="N8" s="108">
        <v>0.28999999999999998</v>
      </c>
      <c r="O8" s="108">
        <v>0.86</v>
      </c>
      <c r="P8" s="68">
        <f t="shared" si="0"/>
        <v>461.09999999999997</v>
      </c>
      <c r="Q8" s="68"/>
      <c r="R8" s="57" t="s">
        <v>258</v>
      </c>
      <c r="S8" s="154"/>
      <c r="T8" s="155" t="s">
        <v>259</v>
      </c>
      <c r="U8" s="55"/>
      <c r="V8" s="55"/>
      <c r="W8" s="55"/>
      <c r="X8" s="55"/>
      <c r="Y8" s="55"/>
      <c r="Z8" s="55"/>
      <c r="AA8" s="55"/>
      <c r="AB8" s="55"/>
      <c r="AC8" s="55"/>
      <c r="AD8" s="55"/>
      <c r="AE8" s="55"/>
      <c r="AF8" s="55"/>
      <c r="AL8" s="37"/>
    </row>
    <row r="9" spans="1:39">
      <c r="A9" s="122" t="s">
        <v>141</v>
      </c>
      <c r="B9" s="312">
        <v>50.52</v>
      </c>
      <c r="C9" s="312">
        <v>17.98</v>
      </c>
      <c r="D9" s="312">
        <v>75.03</v>
      </c>
      <c r="E9" s="312">
        <v>5.04</v>
      </c>
      <c r="F9" s="312">
        <v>10.9</v>
      </c>
      <c r="G9" s="312">
        <v>33.299999999999997</v>
      </c>
      <c r="H9" s="312">
        <v>6.86</v>
      </c>
      <c r="I9" s="124">
        <v>6.6</v>
      </c>
      <c r="J9" s="124">
        <v>21.24</v>
      </c>
      <c r="K9" s="312">
        <v>3.6</v>
      </c>
      <c r="L9" s="312">
        <v>6</v>
      </c>
      <c r="M9" s="312">
        <v>2.1</v>
      </c>
      <c r="N9" s="123">
        <v>0.5</v>
      </c>
      <c r="O9" s="312">
        <v>1</v>
      </c>
      <c r="P9" s="68">
        <f t="shared" si="0"/>
        <v>240.67</v>
      </c>
      <c r="Q9" s="68"/>
      <c r="R9" s="57" t="s">
        <v>260</v>
      </c>
      <c r="S9" s="154"/>
      <c r="T9" s="57" t="s">
        <v>577</v>
      </c>
      <c r="U9" s="55"/>
      <c r="V9" s="55"/>
      <c r="W9" s="55"/>
      <c r="X9" s="55"/>
      <c r="Y9" s="55"/>
      <c r="Z9" s="55"/>
      <c r="AA9" s="55"/>
      <c r="AB9" s="55"/>
      <c r="AC9" s="55"/>
      <c r="AD9" s="55"/>
      <c r="AE9" s="55"/>
      <c r="AF9" s="55"/>
    </row>
    <row r="10" spans="1:39">
      <c r="A10" s="110" t="s">
        <v>237</v>
      </c>
      <c r="B10" s="109">
        <v>0.82</v>
      </c>
      <c r="C10" s="109">
        <v>9.85</v>
      </c>
      <c r="D10" s="109"/>
      <c r="E10" s="109">
        <v>11.41</v>
      </c>
      <c r="F10" s="109">
        <v>0.43</v>
      </c>
      <c r="G10" s="109"/>
      <c r="H10" s="109"/>
      <c r="I10" s="109">
        <v>15.62</v>
      </c>
      <c r="J10" s="109"/>
      <c r="K10" s="109">
        <v>3.24</v>
      </c>
      <c r="L10" s="109">
        <v>29.74</v>
      </c>
      <c r="M10" s="109"/>
      <c r="N10" s="109"/>
      <c r="O10" s="109"/>
      <c r="P10" s="68">
        <f t="shared" si="0"/>
        <v>71.11</v>
      </c>
      <c r="R10" s="55"/>
      <c r="S10" s="55"/>
      <c r="T10" s="57" t="s">
        <v>578</v>
      </c>
      <c r="U10" s="55"/>
      <c r="V10" s="55"/>
      <c r="W10" s="55"/>
      <c r="X10" s="55"/>
      <c r="Y10" s="55"/>
      <c r="Z10" s="55"/>
      <c r="AA10" s="55"/>
      <c r="AB10" s="55"/>
      <c r="AC10" s="55"/>
      <c r="AD10" s="55"/>
      <c r="AE10" s="55"/>
      <c r="AF10" s="55"/>
    </row>
    <row r="11" spans="1:39">
      <c r="A11" s="110" t="s">
        <v>235</v>
      </c>
      <c r="B11" s="109"/>
      <c r="C11" s="109"/>
      <c r="D11" s="109"/>
      <c r="E11" s="109"/>
      <c r="F11" s="109"/>
      <c r="G11" s="109"/>
      <c r="H11" s="109"/>
      <c r="I11" s="109"/>
      <c r="J11" s="109"/>
      <c r="K11" s="109"/>
      <c r="L11" s="109"/>
      <c r="M11" s="109"/>
      <c r="N11" s="109">
        <v>1.59</v>
      </c>
      <c r="O11" s="109"/>
      <c r="P11" s="68">
        <f t="shared" si="0"/>
        <v>1.59</v>
      </c>
      <c r="Q11" s="68"/>
      <c r="R11" s="57" t="s">
        <v>261</v>
      </c>
      <c r="S11" s="154"/>
      <c r="T11" s="57" t="s">
        <v>363</v>
      </c>
      <c r="U11" s="55"/>
      <c r="V11" s="55"/>
      <c r="W11" s="55"/>
      <c r="X11" s="55"/>
      <c r="Y11" s="55"/>
      <c r="Z11" s="55"/>
      <c r="AA11" s="55"/>
      <c r="AB11" s="55"/>
      <c r="AC11" s="55"/>
      <c r="AD11" s="55"/>
      <c r="AE11" s="55"/>
      <c r="AF11" s="55"/>
      <c r="AL11" s="47"/>
    </row>
    <row r="12" spans="1:39">
      <c r="A12" s="125" t="s">
        <v>236</v>
      </c>
      <c r="B12" s="124">
        <v>3.9</v>
      </c>
      <c r="C12" s="124">
        <v>13.6</v>
      </c>
      <c r="D12" s="124">
        <v>2.31</v>
      </c>
      <c r="E12" s="124">
        <v>3.42</v>
      </c>
      <c r="F12" s="124">
        <v>0.37</v>
      </c>
      <c r="G12" s="124">
        <v>0.04</v>
      </c>
      <c r="H12" s="124">
        <v>0.16</v>
      </c>
      <c r="I12" s="124"/>
      <c r="J12" s="124"/>
      <c r="K12" s="124"/>
      <c r="L12" s="124">
        <v>7.67</v>
      </c>
      <c r="M12" s="124">
        <v>0.13</v>
      </c>
      <c r="N12" s="124"/>
      <c r="O12" s="124"/>
      <c r="P12" s="68">
        <f t="shared" si="0"/>
        <v>31.599999999999998</v>
      </c>
      <c r="Q12" s="68"/>
      <c r="R12" s="156" t="s">
        <v>262</v>
      </c>
      <c r="S12" s="157"/>
      <c r="T12" s="157"/>
      <c r="U12" s="158" t="s">
        <v>103</v>
      </c>
      <c r="V12" s="156" t="s">
        <v>104</v>
      </c>
      <c r="W12" s="156" t="s">
        <v>105</v>
      </c>
      <c r="X12" s="156" t="s">
        <v>106</v>
      </c>
      <c r="Y12" s="159" t="s">
        <v>131</v>
      </c>
      <c r="Z12" s="158" t="s">
        <v>99</v>
      </c>
      <c r="AA12" s="156" t="s">
        <v>101</v>
      </c>
      <c r="AB12" s="159" t="s">
        <v>132</v>
      </c>
      <c r="AC12" s="158" t="s">
        <v>118</v>
      </c>
      <c r="AD12" s="156" t="s">
        <v>119</v>
      </c>
      <c r="AE12" s="156" t="s">
        <v>120</v>
      </c>
      <c r="AF12" s="159" t="s">
        <v>134</v>
      </c>
      <c r="AG12" s="38"/>
      <c r="AH12" s="50"/>
      <c r="AI12" s="52"/>
      <c r="AJ12" s="50"/>
    </row>
    <row r="13" spans="1:39">
      <c r="A13" s="126" t="s">
        <v>238</v>
      </c>
      <c r="B13" s="127">
        <v>8.56</v>
      </c>
      <c r="C13" s="127">
        <v>2.42</v>
      </c>
      <c r="D13" s="127">
        <v>3.05</v>
      </c>
      <c r="E13" s="127">
        <v>1.73</v>
      </c>
      <c r="F13" s="127">
        <v>2.1800000000000002</v>
      </c>
      <c r="G13" s="127">
        <v>0.42</v>
      </c>
      <c r="H13" s="127">
        <v>0.61</v>
      </c>
      <c r="I13" s="127">
        <v>4.1900000000000004</v>
      </c>
      <c r="J13" s="127">
        <v>0.01</v>
      </c>
      <c r="K13" s="127">
        <v>2.62</v>
      </c>
      <c r="L13" s="127"/>
      <c r="M13" s="127">
        <v>0.21</v>
      </c>
      <c r="N13" s="127">
        <v>0.16</v>
      </c>
      <c r="O13" s="127">
        <v>0.17</v>
      </c>
      <c r="P13" s="68">
        <f t="shared" si="0"/>
        <v>26.330000000000009</v>
      </c>
      <c r="Q13" s="68"/>
      <c r="T13" s="128">
        <v>2030</v>
      </c>
      <c r="U13" s="139">
        <v>0</v>
      </c>
      <c r="V13" s="129">
        <v>333.88621852888014</v>
      </c>
      <c r="W13" s="129">
        <v>4851.6922345340436</v>
      </c>
      <c r="X13" s="129">
        <v>2116.188944479522</v>
      </c>
      <c r="Y13" s="109"/>
      <c r="Z13" s="139">
        <v>4884.9400000000005</v>
      </c>
      <c r="AA13" s="129">
        <v>12859.470000000001</v>
      </c>
      <c r="AB13" s="109"/>
      <c r="AC13" s="139">
        <v>1000</v>
      </c>
      <c r="AD13" s="129">
        <v>0</v>
      </c>
      <c r="AE13" s="129">
        <v>3000</v>
      </c>
      <c r="AG13" s="38"/>
      <c r="AH13" s="48"/>
      <c r="AI13" s="49"/>
      <c r="AJ13" s="48"/>
    </row>
    <row r="14" spans="1:39">
      <c r="A14" s="146" t="s">
        <v>142</v>
      </c>
      <c r="B14" s="147"/>
      <c r="C14" s="147">
        <v>54.7</v>
      </c>
      <c r="D14" s="147">
        <v>4.5</v>
      </c>
      <c r="E14" s="147"/>
      <c r="F14" s="147">
        <v>2.2200000000000002</v>
      </c>
      <c r="G14" s="147">
        <v>0.24</v>
      </c>
      <c r="H14" s="147">
        <v>1.04</v>
      </c>
      <c r="I14" s="147">
        <v>4.8</v>
      </c>
      <c r="J14" s="147"/>
      <c r="K14" s="147">
        <v>3.25</v>
      </c>
      <c r="L14" s="147"/>
      <c r="M14" s="147"/>
      <c r="N14" s="147"/>
      <c r="O14" s="147"/>
      <c r="P14" s="68">
        <f t="shared" si="0"/>
        <v>70.75</v>
      </c>
      <c r="Q14" s="68"/>
      <c r="R14" s="130" t="s">
        <v>139</v>
      </c>
      <c r="T14" s="22">
        <v>2035</v>
      </c>
      <c r="U14" s="140">
        <f>AVERAGE(U13,U15)</f>
        <v>0</v>
      </c>
      <c r="V14" s="111">
        <f>AVERAGE(V13,V15)</f>
        <v>500.82932779332015</v>
      </c>
      <c r="W14" s="111">
        <f>AVERAGE(W13,W15)</f>
        <v>7277.5383518010658</v>
      </c>
      <c r="X14" s="111">
        <f>AVERAGE(X13,X15)</f>
        <v>3174.2834167192823</v>
      </c>
      <c r="Y14" s="70">
        <f>SUM(U14:X14)</f>
        <v>10952.651096313668</v>
      </c>
      <c r="Z14" s="140">
        <f>AVERAGE(Z13,Z15)</f>
        <v>6380.4814600298378</v>
      </c>
      <c r="AA14" s="111">
        <f>AVERAGE(AA13,AA15)</f>
        <v>15977.788539970163</v>
      </c>
      <c r="AB14" s="70">
        <f>SUM(Z14:AA14)</f>
        <v>22358.27</v>
      </c>
      <c r="AC14" s="140">
        <f>AVERAGE(AC13,AC15)</f>
        <v>1750</v>
      </c>
      <c r="AD14" s="111">
        <f>AVERAGE(AD13,AD15)</f>
        <v>0</v>
      </c>
      <c r="AE14" s="111">
        <f>AVERAGE(AE13,AE15)</f>
        <v>5250</v>
      </c>
      <c r="AF14" s="70">
        <f>SUM(AC14:AE14)</f>
        <v>7000</v>
      </c>
      <c r="AG14" s="38"/>
      <c r="AH14" s="48"/>
      <c r="AI14" s="49"/>
      <c r="AJ14" s="48"/>
    </row>
    <row r="15" spans="1:39">
      <c r="A15" s="107" t="s">
        <v>145</v>
      </c>
      <c r="B15" s="109"/>
      <c r="C15" s="109"/>
      <c r="D15" s="109"/>
      <c r="E15" s="109"/>
      <c r="F15" s="109"/>
      <c r="G15" s="109"/>
      <c r="H15" s="109"/>
      <c r="I15" s="109"/>
      <c r="J15" s="109">
        <v>0.69</v>
      </c>
      <c r="K15" s="109"/>
      <c r="L15" s="109"/>
      <c r="M15" s="109"/>
      <c r="N15" s="109"/>
      <c r="O15" s="109"/>
      <c r="P15" s="68">
        <f t="shared" si="0"/>
        <v>0.69</v>
      </c>
      <c r="Q15" s="68"/>
      <c r="R15" s="131"/>
      <c r="S15" s="131"/>
      <c r="T15" s="134">
        <v>2040</v>
      </c>
      <c r="U15" s="141">
        <v>0</v>
      </c>
      <c r="V15" s="132">
        <v>667.77243705776016</v>
      </c>
      <c r="W15" s="132">
        <v>9703.3844690680889</v>
      </c>
      <c r="X15" s="132">
        <v>4232.377888959043</v>
      </c>
      <c r="Y15" s="133"/>
      <c r="Z15" s="141">
        <v>7876.0229200596759</v>
      </c>
      <c r="AA15" s="132">
        <v>19096.107079940324</v>
      </c>
      <c r="AB15" s="133"/>
      <c r="AC15" s="141">
        <v>2500</v>
      </c>
      <c r="AD15" s="132">
        <v>0</v>
      </c>
      <c r="AE15" s="132">
        <v>7500</v>
      </c>
      <c r="AF15" s="133"/>
      <c r="AG15" s="38"/>
      <c r="AH15" s="48"/>
      <c r="AI15" s="49"/>
      <c r="AJ15" s="48"/>
    </row>
    <row r="16" spans="1:39">
      <c r="A16" s="107" t="s">
        <v>239</v>
      </c>
      <c r="B16" s="109">
        <v>14.78</v>
      </c>
      <c r="C16" s="109">
        <v>6.14</v>
      </c>
      <c r="D16" s="109">
        <v>15.09</v>
      </c>
      <c r="E16" s="109">
        <v>20.52</v>
      </c>
      <c r="F16" s="109">
        <v>9.64</v>
      </c>
      <c r="G16" s="109">
        <v>6</v>
      </c>
      <c r="H16" s="109">
        <v>4.0999999999999996</v>
      </c>
      <c r="I16" s="109"/>
      <c r="J16" s="109">
        <v>0.14000000000000001</v>
      </c>
      <c r="K16" s="109">
        <v>0.87</v>
      </c>
      <c r="L16" s="109"/>
      <c r="M16" s="109">
        <v>0.4</v>
      </c>
      <c r="N16" s="109">
        <v>1.08</v>
      </c>
      <c r="O16" s="109"/>
      <c r="P16" s="68">
        <f t="shared" si="0"/>
        <v>78.760000000000005</v>
      </c>
      <c r="Q16" s="68"/>
      <c r="T16" s="128">
        <v>2030</v>
      </c>
      <c r="U16" s="139">
        <v>3580.5430008005674</v>
      </c>
      <c r="V16" s="129">
        <v>8280.4476577003134</v>
      </c>
      <c r="W16" s="129">
        <v>3868.2232708662141</v>
      </c>
      <c r="X16" s="129">
        <v>2222.9385092293969</v>
      </c>
      <c r="Y16" s="68"/>
      <c r="Z16" s="139">
        <v>1155.3842000000002</v>
      </c>
      <c r="AA16" s="129">
        <v>6150.2277999999997</v>
      </c>
      <c r="AB16" s="68"/>
      <c r="AC16" s="139">
        <v>2424.5749999999998</v>
      </c>
      <c r="AD16" s="129">
        <v>1108.0899999999999</v>
      </c>
      <c r="AE16" s="129">
        <v>2240.56</v>
      </c>
      <c r="AF16" s="68"/>
      <c r="AG16" s="38"/>
      <c r="AH16" s="50"/>
      <c r="AI16" s="51"/>
      <c r="AJ16" s="50"/>
    </row>
    <row r="17" spans="1:38">
      <c r="A17" s="107" t="s">
        <v>240</v>
      </c>
      <c r="B17" s="109"/>
      <c r="C17" s="109"/>
      <c r="D17" s="109">
        <v>3.27</v>
      </c>
      <c r="E17" s="109"/>
      <c r="F17" s="109"/>
      <c r="G17" s="109"/>
      <c r="H17" s="109"/>
      <c r="I17" s="109"/>
      <c r="J17" s="109"/>
      <c r="K17" s="109"/>
      <c r="L17" s="109"/>
      <c r="M17" s="109"/>
      <c r="N17" s="109"/>
      <c r="O17" s="109"/>
      <c r="P17" s="68">
        <f t="shared" si="0"/>
        <v>3.27</v>
      </c>
      <c r="Q17" s="68"/>
      <c r="R17" s="130" t="s">
        <v>263</v>
      </c>
      <c r="T17" s="22">
        <v>2035</v>
      </c>
      <c r="U17" s="140">
        <f>AVERAGE(U16,U18)</f>
        <v>5040.2715004002839</v>
      </c>
      <c r="V17" s="111">
        <f>AVERAGE(V16,V18)</f>
        <v>9140.2238288501576</v>
      </c>
      <c r="W17" s="111">
        <f>AVERAGE(W16,W18)</f>
        <v>3884.111635433107</v>
      </c>
      <c r="X17" s="111">
        <f>AVERAGE(X16,X18)</f>
        <v>2222.9385092293969</v>
      </c>
      <c r="Y17" s="70">
        <f>SUM(U17:X17)</f>
        <v>20287.545473912945</v>
      </c>
      <c r="Z17" s="140">
        <f>AVERAGE(Z16,Z18)</f>
        <v>1088.1647000000003</v>
      </c>
      <c r="AA17" s="111">
        <f>AVERAGE(AA16,AA18)</f>
        <v>5537.8588</v>
      </c>
      <c r="AB17" s="70">
        <f>SUM(Z17:AA17)</f>
        <v>6626.0235000000002</v>
      </c>
      <c r="AC17" s="140">
        <f>AVERAGE(AC16,AC18)</f>
        <v>2424.5749999999998</v>
      </c>
      <c r="AD17" s="111">
        <f>AVERAGE(AD16,AD18)</f>
        <v>1483.09</v>
      </c>
      <c r="AE17" s="111">
        <f>AVERAGE(AE16,AE18)</f>
        <v>2440.56</v>
      </c>
      <c r="AF17" s="70">
        <f>SUM(AC17:AE17)</f>
        <v>6348.2250000000004</v>
      </c>
      <c r="AG17" s="38"/>
      <c r="AH17" s="48"/>
      <c r="AI17" s="49"/>
      <c r="AJ17" s="48"/>
    </row>
    <row r="18" spans="1:38">
      <c r="A18" s="107" t="s">
        <v>241</v>
      </c>
      <c r="B18" s="109">
        <v>0.15</v>
      </c>
      <c r="C18" s="109"/>
      <c r="D18" s="109">
        <v>3.69</v>
      </c>
      <c r="E18" s="109"/>
      <c r="F18" s="109"/>
      <c r="G18" s="109"/>
      <c r="H18" s="109">
        <v>0.83</v>
      </c>
      <c r="I18" s="109"/>
      <c r="J18" s="109"/>
      <c r="K18" s="109"/>
      <c r="L18" s="109"/>
      <c r="M18" s="109">
        <v>0.11</v>
      </c>
      <c r="N18" s="109"/>
      <c r="O18" s="109"/>
      <c r="P18" s="68">
        <f t="shared" si="0"/>
        <v>4.78</v>
      </c>
      <c r="Q18" s="68"/>
      <c r="R18" s="131"/>
      <c r="S18" s="131"/>
      <c r="T18" s="134">
        <v>2040</v>
      </c>
      <c r="U18" s="141">
        <v>6500</v>
      </c>
      <c r="V18" s="132">
        <v>10000</v>
      </c>
      <c r="W18" s="132">
        <v>3900</v>
      </c>
      <c r="X18" s="132">
        <v>2222.9385092293969</v>
      </c>
      <c r="Y18" s="133"/>
      <c r="Z18" s="141">
        <v>1020.9452000000001</v>
      </c>
      <c r="AA18" s="132">
        <v>4925.4898000000003</v>
      </c>
      <c r="AB18" s="133"/>
      <c r="AC18" s="141">
        <v>2424.5749999999998</v>
      </c>
      <c r="AD18" s="132">
        <v>1858.09</v>
      </c>
      <c r="AE18" s="132">
        <v>2640.56</v>
      </c>
      <c r="AF18" s="133"/>
      <c r="AH18" s="160" t="s">
        <v>124</v>
      </c>
      <c r="AI18" s="160" t="s">
        <v>99</v>
      </c>
      <c r="AJ18" s="160" t="s">
        <v>116</v>
      </c>
      <c r="AK18" s="160" t="s">
        <v>125</v>
      </c>
      <c r="AL18" s="160" t="s">
        <v>101</v>
      </c>
    </row>
    <row r="19" spans="1:38">
      <c r="A19" s="107" t="s">
        <v>242</v>
      </c>
      <c r="B19" s="109">
        <v>1.49</v>
      </c>
      <c r="C19" s="109">
        <v>0.37</v>
      </c>
      <c r="D19" s="109">
        <v>1.21</v>
      </c>
      <c r="E19" s="109"/>
      <c r="F19" s="109"/>
      <c r="G19" s="109">
        <v>0.4</v>
      </c>
      <c r="H19" s="109">
        <v>0.24</v>
      </c>
      <c r="I19" s="109">
        <v>0.1</v>
      </c>
      <c r="J19" s="109">
        <v>0.69</v>
      </c>
      <c r="K19" s="109">
        <v>0.13</v>
      </c>
      <c r="L19" s="109"/>
      <c r="M19" s="109"/>
      <c r="N19" s="109"/>
      <c r="O19" s="109"/>
      <c r="P19" s="68">
        <f t="shared" si="0"/>
        <v>4.63</v>
      </c>
      <c r="Q19" s="68"/>
      <c r="R19" s="135" t="s">
        <v>264</v>
      </c>
      <c r="S19" s="135"/>
      <c r="T19" s="136">
        <v>2035</v>
      </c>
      <c r="U19" s="142">
        <v>0</v>
      </c>
      <c r="V19" s="137">
        <v>1000</v>
      </c>
      <c r="W19" s="137">
        <v>1400</v>
      </c>
      <c r="X19" s="137">
        <v>4200</v>
      </c>
      <c r="Y19" s="138">
        <f>SUM(U19:X19)</f>
        <v>6600</v>
      </c>
      <c r="Z19" s="142">
        <f>SUM(AH19:AJ19)</f>
        <v>6528.2</v>
      </c>
      <c r="AA19" s="137">
        <f>SUM(AK19:AL19)</f>
        <v>13722.399999999998</v>
      </c>
      <c r="AB19" s="138">
        <f>SUM(Z19:AA19)</f>
        <v>20250.599999999999</v>
      </c>
      <c r="AC19" s="142">
        <v>0</v>
      </c>
      <c r="AD19" s="137">
        <v>0</v>
      </c>
      <c r="AE19" s="137">
        <v>6003.5</v>
      </c>
      <c r="AF19" s="138">
        <f>SUM(AC19:AE19)</f>
        <v>6003.5</v>
      </c>
      <c r="AH19" s="313">
        <v>3000</v>
      </c>
      <c r="AI19" s="313">
        <v>1923.4</v>
      </c>
      <c r="AJ19" s="313">
        <v>1604.8</v>
      </c>
      <c r="AK19" s="313">
        <v>6000</v>
      </c>
      <c r="AL19" s="313">
        <v>7722.3999999999987</v>
      </c>
    </row>
    <row r="20" spans="1:38">
      <c r="A20" s="107" t="s">
        <v>245</v>
      </c>
      <c r="B20" s="109"/>
      <c r="C20" s="109"/>
      <c r="D20" s="109">
        <v>7.0000000000000007E-2</v>
      </c>
      <c r="E20" s="109"/>
      <c r="F20" s="109">
        <v>7.47</v>
      </c>
      <c r="G20" s="109"/>
      <c r="H20" s="109"/>
      <c r="I20" s="109"/>
      <c r="J20" s="109"/>
      <c r="K20" s="109"/>
      <c r="L20" s="109"/>
      <c r="M20" s="109"/>
      <c r="N20" s="109"/>
      <c r="O20" s="109"/>
      <c r="P20" s="68">
        <f t="shared" si="0"/>
        <v>7.54</v>
      </c>
      <c r="Q20" s="68"/>
    </row>
    <row r="21" spans="1:38">
      <c r="A21" s="107" t="s">
        <v>246</v>
      </c>
      <c r="B21" s="109"/>
      <c r="C21" s="109"/>
      <c r="D21" s="109"/>
      <c r="E21" s="109"/>
      <c r="F21" s="109">
        <v>3.21</v>
      </c>
      <c r="G21" s="109"/>
      <c r="H21" s="109">
        <v>0.35</v>
      </c>
      <c r="I21" s="109"/>
      <c r="J21" s="109">
        <v>1.24</v>
      </c>
      <c r="K21" s="109">
        <v>0.93</v>
      </c>
      <c r="L21" s="109"/>
      <c r="M21" s="109"/>
      <c r="N21" s="109"/>
      <c r="O21" s="109"/>
      <c r="P21" s="68">
        <f t="shared" si="0"/>
        <v>5.7299999999999995</v>
      </c>
      <c r="Q21" s="68"/>
      <c r="R21" s="54" t="s">
        <v>265</v>
      </c>
      <c r="S21" s="54"/>
      <c r="T21" s="54"/>
      <c r="U21" s="54"/>
      <c r="V21" s="54"/>
      <c r="W21" s="54"/>
      <c r="X21" s="54"/>
      <c r="Y21" s="54"/>
      <c r="Z21" s="54"/>
      <c r="AA21" s="54"/>
      <c r="AB21" s="54"/>
      <c r="AC21" s="54"/>
      <c r="AD21" s="54"/>
      <c r="AE21" s="54"/>
      <c r="AF21" s="54"/>
      <c r="AG21" s="54"/>
      <c r="AH21" s="54"/>
      <c r="AI21" s="54"/>
      <c r="AJ21" s="54"/>
      <c r="AK21" s="54"/>
      <c r="AL21" s="54"/>
    </row>
    <row r="22" spans="1:38">
      <c r="A22" s="107" t="s">
        <v>247</v>
      </c>
      <c r="B22" s="109"/>
      <c r="C22" s="109"/>
      <c r="D22" s="109"/>
      <c r="E22" s="109"/>
      <c r="F22" s="109"/>
      <c r="G22" s="109"/>
      <c r="H22" s="109">
        <v>0.14000000000000001</v>
      </c>
      <c r="I22" s="109"/>
      <c r="J22" s="109">
        <v>7.0000000000000007E-2</v>
      </c>
      <c r="K22" s="109"/>
      <c r="L22" s="109"/>
      <c r="M22" s="109"/>
      <c r="N22" s="109"/>
      <c r="O22" s="109"/>
      <c r="P22" s="68">
        <f t="shared" si="0"/>
        <v>0.21000000000000002</v>
      </c>
      <c r="Q22" s="68"/>
      <c r="R22" s="57" t="s">
        <v>364</v>
      </c>
      <c r="S22" s="55"/>
      <c r="T22" s="55"/>
      <c r="U22" s="55"/>
      <c r="V22" s="55"/>
      <c r="W22" s="55"/>
      <c r="X22" s="55"/>
      <c r="Y22" s="55"/>
      <c r="Z22" s="55"/>
      <c r="AA22" s="55"/>
      <c r="AB22" s="55"/>
      <c r="AC22" s="55"/>
      <c r="AD22" s="55"/>
      <c r="AE22" s="55"/>
      <c r="AF22" s="55"/>
      <c r="AG22" s="55"/>
      <c r="AH22" s="55"/>
      <c r="AI22" s="55"/>
      <c r="AJ22" s="55"/>
      <c r="AK22" s="55"/>
      <c r="AL22" s="55"/>
    </row>
    <row r="23" spans="1:38">
      <c r="A23" s="107" t="s">
        <v>248</v>
      </c>
      <c r="B23" s="109">
        <v>0.74</v>
      </c>
      <c r="C23" s="109"/>
      <c r="D23" s="109">
        <v>0.39</v>
      </c>
      <c r="E23" s="109"/>
      <c r="F23" s="109"/>
      <c r="G23" s="109"/>
      <c r="H23" s="109"/>
      <c r="I23" s="109"/>
      <c r="J23" s="109">
        <v>0.68</v>
      </c>
      <c r="K23" s="109"/>
      <c r="L23" s="109"/>
      <c r="M23" s="109"/>
      <c r="N23" s="109"/>
      <c r="O23" s="109"/>
      <c r="P23" s="68">
        <f t="shared" si="0"/>
        <v>1.81</v>
      </c>
      <c r="Q23" s="68"/>
      <c r="R23" s="55" t="s">
        <v>262</v>
      </c>
      <c r="S23" s="55" t="s">
        <v>26</v>
      </c>
      <c r="T23" s="55" t="s">
        <v>126</v>
      </c>
      <c r="U23" s="55" t="s">
        <v>75</v>
      </c>
      <c r="V23" s="55" t="s">
        <v>127</v>
      </c>
      <c r="W23" s="55" t="s">
        <v>128</v>
      </c>
      <c r="X23" s="55" t="s">
        <v>129</v>
      </c>
      <c r="Y23" s="55" t="s">
        <v>130</v>
      </c>
      <c r="Z23" s="55" t="s">
        <v>103</v>
      </c>
      <c r="AA23" s="55" t="s">
        <v>104</v>
      </c>
      <c r="AB23" s="55" t="s">
        <v>105</v>
      </c>
      <c r="AC23" s="55" t="s">
        <v>106</v>
      </c>
      <c r="AD23" s="55" t="s">
        <v>99</v>
      </c>
      <c r="AE23" s="55" t="s">
        <v>101</v>
      </c>
      <c r="AF23" s="55" t="s">
        <v>133</v>
      </c>
      <c r="AG23" s="55" t="s">
        <v>118</v>
      </c>
      <c r="AH23" s="55" t="s">
        <v>119</v>
      </c>
      <c r="AI23" s="55" t="s">
        <v>120</v>
      </c>
      <c r="AJ23" s="55" t="s">
        <v>135</v>
      </c>
      <c r="AK23" s="55" t="s">
        <v>136</v>
      </c>
      <c r="AL23" s="55" t="s">
        <v>137</v>
      </c>
    </row>
    <row r="24" spans="1:38">
      <c r="A24" s="107" t="s">
        <v>249</v>
      </c>
      <c r="B24" s="109"/>
      <c r="C24" s="109"/>
      <c r="D24" s="109"/>
      <c r="E24" s="109"/>
      <c r="F24" s="109">
        <v>3.34</v>
      </c>
      <c r="G24" s="109"/>
      <c r="H24" s="109"/>
      <c r="I24" s="109"/>
      <c r="J24" s="109"/>
      <c r="K24" s="109"/>
      <c r="L24" s="109"/>
      <c r="M24" s="109"/>
      <c r="N24" s="109"/>
      <c r="O24" s="109"/>
      <c r="P24" s="68">
        <f t="shared" si="0"/>
        <v>3.34</v>
      </c>
      <c r="Q24" s="68"/>
      <c r="R24" s="112" t="s">
        <v>139</v>
      </c>
      <c r="S24" s="215">
        <f t="shared" ref="S24:Y24" si="1">B6*1000</f>
        <v>299470</v>
      </c>
      <c r="T24" s="215">
        <f t="shared" si="1"/>
        <v>100400</v>
      </c>
      <c r="U24" s="215">
        <f t="shared" si="1"/>
        <v>54790</v>
      </c>
      <c r="V24" s="215">
        <f t="shared" si="1"/>
        <v>128949.99999999999</v>
      </c>
      <c r="W24" s="215">
        <f t="shared" si="1"/>
        <v>36740</v>
      </c>
      <c r="X24" s="215">
        <f t="shared" si="1"/>
        <v>59320</v>
      </c>
      <c r="Y24" s="215">
        <f t="shared" si="1"/>
        <v>23300</v>
      </c>
      <c r="Z24" s="111">
        <f>$I$6*U14/$Y$14*1000</f>
        <v>0</v>
      </c>
      <c r="AA24" s="111">
        <f>$I$6*V14/$Y$14*1000</f>
        <v>1208.1011915693161</v>
      </c>
      <c r="AB24" s="111">
        <f>$I$6*W14/$Y$14*1000</f>
        <v>17554.88799595719</v>
      </c>
      <c r="AC24" s="111">
        <f>$I$6*X14/$Y$14*1000</f>
        <v>7657.0108124734952</v>
      </c>
      <c r="AD24" s="111">
        <f>$J$6*Z14/$AB$14*1000</f>
        <v>6195.4816941224781</v>
      </c>
      <c r="AE24" s="111">
        <f>$J$6*AA14/$AB$14*1000</f>
        <v>15514.518305877522</v>
      </c>
      <c r="AF24" s="215">
        <f>K6*1000</f>
        <v>21270</v>
      </c>
      <c r="AG24" s="111">
        <f>$L$6*AC14/$AF$14*1000</f>
        <v>1562.5</v>
      </c>
      <c r="AH24" s="111">
        <f>$L$6*AD14/$AF$14*1000</f>
        <v>0</v>
      </c>
      <c r="AI24" s="111">
        <f>$L$6*AE14/$AF$14*1000</f>
        <v>4687.5</v>
      </c>
      <c r="AJ24" s="215">
        <f>M6*1000</f>
        <v>6540</v>
      </c>
      <c r="AK24" s="215">
        <f>N6*1000</f>
        <v>800</v>
      </c>
      <c r="AL24" s="215">
        <f>O6*1000</f>
        <v>2400</v>
      </c>
    </row>
    <row r="25" spans="1:38">
      <c r="A25" s="107" t="s">
        <v>250</v>
      </c>
      <c r="B25" s="109"/>
      <c r="C25" s="109"/>
      <c r="D25" s="109">
        <v>0.02</v>
      </c>
      <c r="E25" s="109"/>
      <c r="F25" s="109"/>
      <c r="G25" s="109"/>
      <c r="H25" s="109"/>
      <c r="I25" s="109"/>
      <c r="J25" s="109"/>
      <c r="K25" s="109"/>
      <c r="L25" s="109"/>
      <c r="M25" s="109"/>
      <c r="N25" s="109"/>
      <c r="O25" s="109"/>
      <c r="P25" s="68">
        <f t="shared" si="0"/>
        <v>0.02</v>
      </c>
      <c r="Q25" s="68"/>
      <c r="R25" s="112" t="s">
        <v>140</v>
      </c>
      <c r="S25" s="215">
        <f t="shared" ref="S25:Y26" si="2">B8*1000</f>
        <v>142000</v>
      </c>
      <c r="T25" s="215">
        <f t="shared" si="2"/>
        <v>50000</v>
      </c>
      <c r="U25" s="215">
        <f t="shared" si="2"/>
        <v>43480</v>
      </c>
      <c r="V25" s="215">
        <f t="shared" si="2"/>
        <v>75050</v>
      </c>
      <c r="W25" s="215">
        <f t="shared" si="2"/>
        <v>29500</v>
      </c>
      <c r="X25" s="215">
        <f t="shared" si="2"/>
        <v>12700</v>
      </c>
      <c r="Y25" s="215">
        <f t="shared" si="2"/>
        <v>8900</v>
      </c>
      <c r="Z25" s="111">
        <f>$I$8*U17/$Y$17*1000</f>
        <v>7018.4769305581794</v>
      </c>
      <c r="AA25" s="111">
        <f>$I$8*V17/$Y$17*1000</f>
        <v>12727.578281810482</v>
      </c>
      <c r="AB25" s="111">
        <f>$I$8*W17/$Y$17*1000</f>
        <v>5408.5475171000035</v>
      </c>
      <c r="AC25" s="111">
        <f>$I$8*X17/$Y$17*1000</f>
        <v>3095.3972705313349</v>
      </c>
      <c r="AD25" s="111">
        <f>$I$8*Z17/$AB$17*1000</f>
        <v>4639.3817913564608</v>
      </c>
      <c r="AE25" s="111">
        <f>$I$8*AA17/$AB$17*1000</f>
        <v>23610.61820864354</v>
      </c>
      <c r="AF25" s="215">
        <f>K8*1000</f>
        <v>46000</v>
      </c>
      <c r="AG25" s="111">
        <f>$L$8*AC17/$AF$17*1000</f>
        <v>2429.0722209751543</v>
      </c>
      <c r="AH25" s="111">
        <f>$L$8*AD17/$AF$17*1000</f>
        <v>1485.8409082853868</v>
      </c>
      <c r="AI25" s="111">
        <f>$L$8*AE17/$AF$17*1000</f>
        <v>2445.0868707394588</v>
      </c>
      <c r="AJ25" s="215">
        <f t="shared" ref="AJ25:AL26" si="3">M8*1000</f>
        <v>5210</v>
      </c>
      <c r="AK25" s="215">
        <f t="shared" si="3"/>
        <v>290</v>
      </c>
      <c r="AL25" s="215">
        <f t="shared" si="3"/>
        <v>860</v>
      </c>
    </row>
    <row r="26" spans="1:38">
      <c r="A26" s="107" t="s">
        <v>251</v>
      </c>
      <c r="B26" s="109"/>
      <c r="C26" s="109"/>
      <c r="D26" s="109"/>
      <c r="E26" s="109"/>
      <c r="F26" s="109"/>
      <c r="G26" s="109"/>
      <c r="H26" s="109"/>
      <c r="I26" s="109"/>
      <c r="J26" s="109"/>
      <c r="K26" s="109"/>
      <c r="L26" s="109"/>
      <c r="M26" s="109"/>
      <c r="N26" s="109"/>
      <c r="O26" s="109">
        <v>0.46</v>
      </c>
      <c r="P26" s="68">
        <f t="shared" si="0"/>
        <v>0.46</v>
      </c>
      <c r="Q26" s="68"/>
      <c r="R26" s="112" t="s">
        <v>141</v>
      </c>
      <c r="S26" s="215">
        <f t="shared" si="2"/>
        <v>50520</v>
      </c>
      <c r="T26" s="215">
        <f t="shared" si="2"/>
        <v>17980</v>
      </c>
      <c r="U26" s="215">
        <f t="shared" si="2"/>
        <v>75030</v>
      </c>
      <c r="V26" s="215">
        <f t="shared" si="2"/>
        <v>5040</v>
      </c>
      <c r="W26" s="215">
        <f t="shared" si="2"/>
        <v>10900</v>
      </c>
      <c r="X26" s="215">
        <f t="shared" si="2"/>
        <v>33300</v>
      </c>
      <c r="Y26" s="215">
        <f t="shared" si="2"/>
        <v>6860</v>
      </c>
      <c r="Z26" s="111">
        <f>$I$9*U19/$Y$19*1000</f>
        <v>0</v>
      </c>
      <c r="AA26" s="111">
        <f>$I$9*V19/$Y$19*1000</f>
        <v>1000</v>
      </c>
      <c r="AB26" s="111">
        <f>$I$9*W19/$Y$19*1000</f>
        <v>1400</v>
      </c>
      <c r="AC26" s="111">
        <f>$I$9*X19/$Y$19*1000</f>
        <v>4200</v>
      </c>
      <c r="AD26" s="111">
        <f>$J$9*Z19/$AB$19*1000</f>
        <v>6847.153565820272</v>
      </c>
      <c r="AE26" s="111">
        <f>$J$9*AA19/$AB$19*1000</f>
        <v>14392.846434179728</v>
      </c>
      <c r="AF26" s="215">
        <f>K9*1000</f>
        <v>3600</v>
      </c>
      <c r="AG26" s="111">
        <f>$L$9*AC19/$AF$19*1000</f>
        <v>0</v>
      </c>
      <c r="AH26" s="111">
        <f>$L$9*AD19/$AF$19*1000</f>
        <v>0</v>
      </c>
      <c r="AI26" s="111">
        <f>$L$9*AE19/$AF$19*1000</f>
        <v>6000</v>
      </c>
      <c r="AJ26" s="215">
        <f t="shared" si="3"/>
        <v>2100</v>
      </c>
      <c r="AK26" s="215">
        <f t="shared" si="3"/>
        <v>500</v>
      </c>
      <c r="AL26" s="215">
        <f t="shared" si="3"/>
        <v>1000</v>
      </c>
    </row>
    <row r="27" spans="1:38">
      <c r="A27" s="148" t="s">
        <v>252</v>
      </c>
      <c r="B27" s="149"/>
      <c r="C27" s="149"/>
      <c r="D27" s="149"/>
      <c r="E27" s="149"/>
      <c r="F27" s="149"/>
      <c r="G27" s="149"/>
      <c r="H27" s="149"/>
      <c r="I27" s="149"/>
      <c r="J27" s="149"/>
      <c r="K27" s="149"/>
      <c r="L27" s="149"/>
      <c r="M27" s="149"/>
      <c r="N27" s="149"/>
      <c r="O27" s="149"/>
      <c r="P27" s="68">
        <f t="shared" si="0"/>
        <v>0</v>
      </c>
      <c r="Q27" s="68"/>
      <c r="R27" s="112" t="s">
        <v>142</v>
      </c>
      <c r="S27" s="184">
        <f t="shared" ref="S27:Y27" si="4">B14*1000</f>
        <v>0</v>
      </c>
      <c r="T27" s="184">
        <f t="shared" si="4"/>
        <v>54700</v>
      </c>
      <c r="U27" s="184">
        <f t="shared" si="4"/>
        <v>4500</v>
      </c>
      <c r="V27" s="184">
        <f t="shared" si="4"/>
        <v>0</v>
      </c>
      <c r="W27" s="184">
        <f t="shared" si="4"/>
        <v>2220</v>
      </c>
      <c r="X27" s="184">
        <f t="shared" si="4"/>
        <v>240</v>
      </c>
      <c r="Y27" s="184">
        <f t="shared" si="4"/>
        <v>1040</v>
      </c>
      <c r="Z27" s="109"/>
      <c r="AA27" s="184"/>
      <c r="AB27" s="184">
        <f>I14*1000</f>
        <v>4800</v>
      </c>
      <c r="AC27" s="184"/>
      <c r="AD27" s="184"/>
      <c r="AE27" s="184"/>
      <c r="AF27" s="184">
        <f>K14*1000</f>
        <v>3250</v>
      </c>
      <c r="AG27" s="184"/>
      <c r="AH27" s="184"/>
      <c r="AI27" s="184"/>
      <c r="AJ27" s="184"/>
      <c r="AK27" s="184"/>
      <c r="AL27" s="184"/>
    </row>
    <row r="28" spans="1:38">
      <c r="A28" s="191" t="s">
        <v>243</v>
      </c>
      <c r="B28" s="168">
        <v>17.13</v>
      </c>
      <c r="C28" s="168">
        <v>0.78</v>
      </c>
      <c r="D28" s="168"/>
      <c r="E28" s="168"/>
      <c r="F28" s="168">
        <v>0.45</v>
      </c>
      <c r="G28" s="168">
        <v>5.79</v>
      </c>
      <c r="H28" s="168">
        <v>1.7</v>
      </c>
      <c r="I28" s="168"/>
      <c r="J28" s="168"/>
      <c r="K28" s="168"/>
      <c r="L28" s="168"/>
      <c r="M28" s="168"/>
      <c r="N28" s="168"/>
      <c r="O28" s="168"/>
      <c r="P28" s="68">
        <f t="shared" si="0"/>
        <v>25.849999999999998</v>
      </c>
      <c r="Q28" s="68"/>
    </row>
    <row r="29" spans="1:38">
      <c r="A29" s="192" t="s">
        <v>244</v>
      </c>
      <c r="B29" s="149"/>
      <c r="C29" s="149"/>
      <c r="D29" s="149"/>
      <c r="E29" s="149"/>
      <c r="F29" s="149"/>
      <c r="G29" s="149"/>
      <c r="H29" s="149"/>
      <c r="I29" s="149"/>
      <c r="J29" s="149"/>
      <c r="K29" s="149"/>
      <c r="L29" s="149"/>
      <c r="M29" s="149"/>
      <c r="N29" s="149"/>
      <c r="O29" s="149"/>
      <c r="P29" s="68">
        <f t="shared" si="0"/>
        <v>0</v>
      </c>
      <c r="Q29" s="68"/>
    </row>
    <row r="30" spans="1:38">
      <c r="A30" s="53" t="s">
        <v>35</v>
      </c>
      <c r="B30" s="68">
        <f t="shared" ref="B30:O30" si="5">SUM(B6:B29)</f>
        <v>539.55999999999995</v>
      </c>
      <c r="C30" s="68">
        <f t="shared" si="5"/>
        <v>256.23999999999995</v>
      </c>
      <c r="D30" s="68">
        <f t="shared" si="5"/>
        <v>206.90000000000003</v>
      </c>
      <c r="E30" s="68">
        <f t="shared" si="5"/>
        <v>251.27999999999994</v>
      </c>
      <c r="F30" s="68">
        <f t="shared" si="5"/>
        <v>106.45000000000003</v>
      </c>
      <c r="G30" s="68">
        <f t="shared" si="5"/>
        <v>118.21000000000001</v>
      </c>
      <c r="H30" s="68">
        <f t="shared" si="5"/>
        <v>48.230000000000004</v>
      </c>
      <c r="I30" s="68">
        <f t="shared" si="5"/>
        <v>85.97999999999999</v>
      </c>
      <c r="J30" s="68">
        <f t="shared" si="5"/>
        <v>58.97</v>
      </c>
      <c r="K30" s="68">
        <f t="shared" si="5"/>
        <v>81.91</v>
      </c>
      <c r="L30" s="68">
        <f t="shared" si="5"/>
        <v>56.019999999999996</v>
      </c>
      <c r="M30" s="68">
        <f t="shared" si="5"/>
        <v>14.700000000000001</v>
      </c>
      <c r="N30" s="68">
        <f t="shared" si="5"/>
        <v>4.49</v>
      </c>
      <c r="O30" s="68">
        <f t="shared" si="5"/>
        <v>4.8899999999999997</v>
      </c>
      <c r="P30" s="68">
        <f t="shared" si="0"/>
        <v>1833.8300000000004</v>
      </c>
      <c r="Q30" s="68"/>
    </row>
    <row r="31" spans="1:38">
      <c r="A31" s="53"/>
      <c r="B31" s="68"/>
      <c r="C31" s="68"/>
      <c r="D31" s="68"/>
      <c r="E31" s="68"/>
      <c r="F31" s="68"/>
      <c r="G31" s="68"/>
      <c r="H31" s="68"/>
      <c r="I31" s="68"/>
      <c r="J31" s="68"/>
      <c r="K31" s="68"/>
      <c r="L31" s="68"/>
      <c r="M31" s="68"/>
      <c r="N31" s="68"/>
      <c r="O31" s="68"/>
      <c r="P31" s="68"/>
      <c r="Q31" s="68"/>
    </row>
    <row r="32" spans="1:38">
      <c r="A32" s="54" t="s">
        <v>421</v>
      </c>
      <c r="B32" s="97" t="s">
        <v>400</v>
      </c>
      <c r="C32" s="98"/>
      <c r="D32" s="98"/>
      <c r="E32" s="98"/>
      <c r="F32" s="98"/>
      <c r="G32" s="98"/>
      <c r="H32" s="98"/>
      <c r="I32" s="99"/>
      <c r="J32" s="99"/>
      <c r="K32" s="99"/>
      <c r="L32" s="99"/>
      <c r="M32" s="99"/>
      <c r="N32" s="99"/>
      <c r="O32" s="99"/>
      <c r="P32" s="99"/>
      <c r="Q32" s="99"/>
      <c r="R32" s="99"/>
      <c r="S32" s="99"/>
      <c r="T32" s="99"/>
      <c r="U32" s="99"/>
      <c r="V32" s="103"/>
    </row>
    <row r="33" spans="1:23">
      <c r="A33" s="100" t="s">
        <v>262</v>
      </c>
      <c r="B33" s="150" t="s">
        <v>107</v>
      </c>
      <c r="C33" s="101" t="s">
        <v>109</v>
      </c>
      <c r="D33" s="102" t="s">
        <v>110</v>
      </c>
      <c r="E33" s="101" t="s">
        <v>112</v>
      </c>
      <c r="F33" s="102" t="s">
        <v>113</v>
      </c>
      <c r="G33" s="102" t="s">
        <v>114</v>
      </c>
      <c r="H33" s="102" t="s">
        <v>115</v>
      </c>
      <c r="I33" s="102" t="s">
        <v>103</v>
      </c>
      <c r="J33" s="102" t="s">
        <v>104</v>
      </c>
      <c r="K33" s="102" t="s">
        <v>105</v>
      </c>
      <c r="L33" s="102" t="s">
        <v>106</v>
      </c>
      <c r="M33" s="101" t="s">
        <v>99</v>
      </c>
      <c r="N33" s="101" t="s">
        <v>101</v>
      </c>
      <c r="O33" s="101" t="s">
        <v>117</v>
      </c>
      <c r="P33" s="102" t="s">
        <v>118</v>
      </c>
      <c r="Q33" s="102" t="s">
        <v>119</v>
      </c>
      <c r="R33" s="102" t="s">
        <v>120</v>
      </c>
      <c r="S33" s="101" t="s">
        <v>121</v>
      </c>
      <c r="T33" s="102" t="s">
        <v>122</v>
      </c>
      <c r="U33" s="101" t="s">
        <v>123</v>
      </c>
      <c r="V33" s="104"/>
    </row>
    <row r="34" spans="1:23">
      <c r="A34" s="114" t="s">
        <v>365</v>
      </c>
      <c r="B34" s="115">
        <v>299473</v>
      </c>
      <c r="C34" s="115">
        <v>100500</v>
      </c>
      <c r="D34" s="115">
        <v>54784</v>
      </c>
      <c r="E34" s="115">
        <v>128949</v>
      </c>
      <c r="F34" s="115">
        <v>36740</v>
      </c>
      <c r="G34" s="115">
        <v>59317</v>
      </c>
      <c r="H34" s="115">
        <v>23300</v>
      </c>
      <c r="I34" s="116">
        <v>0</v>
      </c>
      <c r="J34" s="116">
        <v>3000</v>
      </c>
      <c r="K34" s="116">
        <v>16525</v>
      </c>
      <c r="L34" s="116">
        <v>0</v>
      </c>
      <c r="M34" s="115">
        <v>5748</v>
      </c>
      <c r="N34" s="115">
        <v>15961</v>
      </c>
      <c r="O34" s="115">
        <v>21265</v>
      </c>
      <c r="P34" s="115">
        <v>1000</v>
      </c>
      <c r="Q34" s="115">
        <v>0</v>
      </c>
      <c r="R34" s="115">
        <v>5250</v>
      </c>
      <c r="S34" s="115">
        <v>6537</v>
      </c>
      <c r="T34" s="115">
        <v>800</v>
      </c>
      <c r="U34" s="115">
        <v>2400</v>
      </c>
      <c r="V34" s="105">
        <f>SUM(B34:U34)</f>
        <v>781549</v>
      </c>
    </row>
    <row r="35" spans="1:23">
      <c r="A35" s="114" t="s">
        <v>366</v>
      </c>
      <c r="B35" s="115">
        <v>0</v>
      </c>
      <c r="C35" s="115">
        <v>0</v>
      </c>
      <c r="D35" s="115">
        <v>0</v>
      </c>
      <c r="E35" s="115">
        <v>5157</v>
      </c>
      <c r="F35" s="115">
        <v>0</v>
      </c>
      <c r="G35" s="115">
        <v>0</v>
      </c>
      <c r="H35" s="115">
        <v>0</v>
      </c>
      <c r="I35" s="115">
        <v>0</v>
      </c>
      <c r="J35" s="115">
        <v>0</v>
      </c>
      <c r="K35" s="115">
        <v>0</v>
      </c>
      <c r="L35" s="115">
        <v>0</v>
      </c>
      <c r="M35" s="115">
        <v>0</v>
      </c>
      <c r="N35" s="115">
        <v>0</v>
      </c>
      <c r="O35" s="115">
        <v>0</v>
      </c>
      <c r="P35" s="115">
        <v>0</v>
      </c>
      <c r="Q35" s="115">
        <v>0</v>
      </c>
      <c r="R35" s="115">
        <v>0</v>
      </c>
      <c r="S35" s="115">
        <v>0</v>
      </c>
      <c r="T35" s="115">
        <v>70</v>
      </c>
      <c r="U35" s="115">
        <v>0</v>
      </c>
      <c r="V35" s="106">
        <v>5227</v>
      </c>
    </row>
    <row r="36" spans="1:23">
      <c r="A36" s="114" t="s">
        <v>140</v>
      </c>
      <c r="B36" s="116">
        <v>141750</v>
      </c>
      <c r="C36" s="115">
        <v>50000</v>
      </c>
      <c r="D36" s="115">
        <v>43478</v>
      </c>
      <c r="E36" s="115">
        <v>75050</v>
      </c>
      <c r="F36" s="115">
        <v>29500</v>
      </c>
      <c r="G36" s="115">
        <v>12700</v>
      </c>
      <c r="H36" s="115">
        <v>8900</v>
      </c>
      <c r="I36" s="115">
        <v>5450</v>
      </c>
      <c r="J36" s="115">
        <v>12850</v>
      </c>
      <c r="K36" s="115">
        <v>6700</v>
      </c>
      <c r="L36" s="115">
        <v>3250</v>
      </c>
      <c r="M36" s="115">
        <v>1995</v>
      </c>
      <c r="N36" s="115">
        <v>10504</v>
      </c>
      <c r="O36" s="115">
        <v>46000</v>
      </c>
      <c r="P36" s="115">
        <v>2425</v>
      </c>
      <c r="Q36" s="115">
        <v>1483</v>
      </c>
      <c r="R36" s="115">
        <v>2451</v>
      </c>
      <c r="S36" s="115">
        <v>5215</v>
      </c>
      <c r="T36" s="115">
        <v>295</v>
      </c>
      <c r="U36" s="115">
        <v>861</v>
      </c>
      <c r="V36" s="106">
        <v>460857</v>
      </c>
    </row>
    <row r="37" spans="1:23">
      <c r="A37" s="207" t="s">
        <v>141</v>
      </c>
      <c r="B37" s="208">
        <v>21185</v>
      </c>
      <c r="C37" s="208">
        <v>15812</v>
      </c>
      <c r="D37" s="208">
        <v>47412</v>
      </c>
      <c r="E37" s="208">
        <v>4364</v>
      </c>
      <c r="F37" s="208">
        <v>9380</v>
      </c>
      <c r="G37" s="208">
        <v>23650</v>
      </c>
      <c r="H37" s="167">
        <v>6860</v>
      </c>
      <c r="I37" s="167">
        <v>0</v>
      </c>
      <c r="J37" s="167">
        <v>1000</v>
      </c>
      <c r="K37" s="167">
        <v>1400</v>
      </c>
      <c r="L37" s="167">
        <v>4200</v>
      </c>
      <c r="M37" s="208">
        <v>4007</v>
      </c>
      <c r="N37" s="208">
        <v>8235</v>
      </c>
      <c r="O37" s="167">
        <v>3600</v>
      </c>
      <c r="P37" s="208">
        <v>0</v>
      </c>
      <c r="Q37" s="208">
        <v>0</v>
      </c>
      <c r="R37" s="208">
        <v>1759</v>
      </c>
      <c r="S37" s="167">
        <v>2100</v>
      </c>
      <c r="T37" s="167">
        <v>500</v>
      </c>
      <c r="U37" s="208">
        <v>0</v>
      </c>
      <c r="V37" s="105">
        <v>155464</v>
      </c>
    </row>
    <row r="38" spans="1:23">
      <c r="A38" s="117" t="s">
        <v>371</v>
      </c>
      <c r="B38" s="115">
        <v>819</v>
      </c>
      <c r="C38" s="115">
        <v>9847</v>
      </c>
      <c r="D38" s="115">
        <v>0</v>
      </c>
      <c r="E38" s="115">
        <v>11414</v>
      </c>
      <c r="F38" s="115">
        <v>427</v>
      </c>
      <c r="G38" s="115">
        <v>0</v>
      </c>
      <c r="H38" s="115">
        <v>0</v>
      </c>
      <c r="I38" s="115">
        <v>5444</v>
      </c>
      <c r="J38" s="115">
        <v>7650</v>
      </c>
      <c r="K38" s="115">
        <v>2286</v>
      </c>
      <c r="L38" s="115">
        <v>237</v>
      </c>
      <c r="M38" s="115">
        <v>0</v>
      </c>
      <c r="N38" s="115">
        <v>0</v>
      </c>
      <c r="O38" s="115">
        <v>3237</v>
      </c>
      <c r="P38" s="115">
        <v>3249</v>
      </c>
      <c r="Q38" s="115">
        <v>4795</v>
      </c>
      <c r="R38" s="115">
        <v>21697</v>
      </c>
      <c r="S38" s="115">
        <v>0</v>
      </c>
      <c r="T38" s="115">
        <v>0</v>
      </c>
      <c r="U38" s="115">
        <v>0</v>
      </c>
      <c r="V38" s="106">
        <v>71102</v>
      </c>
    </row>
    <row r="39" spans="1:23">
      <c r="A39" s="114" t="s">
        <v>372</v>
      </c>
      <c r="B39" s="115">
        <v>0</v>
      </c>
      <c r="C39" s="115">
        <v>0</v>
      </c>
      <c r="D39" s="115">
        <v>0</v>
      </c>
      <c r="E39" s="115">
        <v>0</v>
      </c>
      <c r="F39" s="115">
        <v>0</v>
      </c>
      <c r="G39" s="115">
        <v>0</v>
      </c>
      <c r="H39" s="115">
        <v>0</v>
      </c>
      <c r="I39" s="115">
        <v>0</v>
      </c>
      <c r="J39" s="115">
        <v>0</v>
      </c>
      <c r="K39" s="115">
        <v>0</v>
      </c>
      <c r="L39" s="115">
        <v>0</v>
      </c>
      <c r="M39" s="115">
        <v>0</v>
      </c>
      <c r="N39" s="115">
        <v>0</v>
      </c>
      <c r="O39" s="115">
        <v>0</v>
      </c>
      <c r="P39" s="115">
        <v>0</v>
      </c>
      <c r="Q39" s="115">
        <v>0</v>
      </c>
      <c r="R39" s="115">
        <v>0</v>
      </c>
      <c r="S39" s="115">
        <v>0</v>
      </c>
      <c r="T39" s="115">
        <v>1592</v>
      </c>
      <c r="U39" s="115">
        <v>0</v>
      </c>
      <c r="V39" s="106">
        <v>1592</v>
      </c>
    </row>
    <row r="40" spans="1:23">
      <c r="A40" s="143" t="s">
        <v>373</v>
      </c>
      <c r="B40" s="121">
        <v>3934</v>
      </c>
      <c r="C40" s="121">
        <v>13600</v>
      </c>
      <c r="D40" s="121">
        <v>2307</v>
      </c>
      <c r="E40" s="121">
        <v>3425</v>
      </c>
      <c r="F40" s="121">
        <v>367</v>
      </c>
      <c r="G40" s="121">
        <v>37</v>
      </c>
      <c r="H40" s="121">
        <v>162</v>
      </c>
      <c r="I40" s="121">
        <v>0</v>
      </c>
      <c r="J40" s="121">
        <v>0</v>
      </c>
      <c r="K40" s="121">
        <v>0</v>
      </c>
      <c r="L40" s="121">
        <v>0</v>
      </c>
      <c r="M40" s="121">
        <v>0</v>
      </c>
      <c r="N40" s="121">
        <v>0</v>
      </c>
      <c r="O40" s="121">
        <v>0</v>
      </c>
      <c r="P40" s="121">
        <v>1213</v>
      </c>
      <c r="Q40" s="121">
        <v>755</v>
      </c>
      <c r="R40" s="121">
        <v>5698</v>
      </c>
      <c r="S40" s="121">
        <v>126</v>
      </c>
      <c r="T40" s="121">
        <v>0</v>
      </c>
      <c r="U40" s="121">
        <v>0</v>
      </c>
      <c r="V40" s="106">
        <f>SUM(B40:P40,S40:U40)</f>
        <v>25171</v>
      </c>
      <c r="W40" s="70"/>
    </row>
    <row r="41" spans="1:23">
      <c r="A41" s="118" t="s">
        <v>367</v>
      </c>
      <c r="B41" s="115">
        <v>2144</v>
      </c>
      <c r="C41" s="115">
        <v>2068</v>
      </c>
      <c r="D41" s="115">
        <v>0</v>
      </c>
      <c r="E41" s="115">
        <v>4223</v>
      </c>
      <c r="F41" s="115">
        <v>216</v>
      </c>
      <c r="G41" s="115">
        <v>0</v>
      </c>
      <c r="H41" s="115">
        <v>0</v>
      </c>
      <c r="I41" s="115">
        <v>0</v>
      </c>
      <c r="J41" s="115">
        <v>0</v>
      </c>
      <c r="K41" s="115">
        <v>0</v>
      </c>
      <c r="L41" s="115">
        <v>0</v>
      </c>
      <c r="M41" s="115">
        <v>0</v>
      </c>
      <c r="N41" s="115">
        <v>0</v>
      </c>
      <c r="O41" s="115">
        <v>0</v>
      </c>
      <c r="P41" s="115">
        <v>60</v>
      </c>
      <c r="Q41" s="115">
        <v>2</v>
      </c>
      <c r="R41" s="115">
        <v>650</v>
      </c>
      <c r="S41" s="115">
        <v>0</v>
      </c>
      <c r="T41" s="115">
        <v>0</v>
      </c>
      <c r="U41" s="115">
        <v>0</v>
      </c>
      <c r="V41" s="106">
        <v>9363</v>
      </c>
      <c r="W41" s="68"/>
    </row>
    <row r="42" spans="1:23">
      <c r="A42" s="118" t="s">
        <v>368</v>
      </c>
      <c r="B42" s="115">
        <v>1861</v>
      </c>
      <c r="C42" s="115">
        <v>2068</v>
      </c>
      <c r="D42" s="115">
        <v>0</v>
      </c>
      <c r="E42" s="115">
        <v>3964</v>
      </c>
      <c r="F42" s="115">
        <v>172</v>
      </c>
      <c r="G42" s="115">
        <v>0</v>
      </c>
      <c r="H42" s="115">
        <v>0</v>
      </c>
      <c r="I42" s="115">
        <v>0</v>
      </c>
      <c r="J42" s="115">
        <v>0</v>
      </c>
      <c r="K42" s="115">
        <v>0</v>
      </c>
      <c r="L42" s="115">
        <v>0</v>
      </c>
      <c r="M42" s="115">
        <v>0</v>
      </c>
      <c r="N42" s="115">
        <v>0</v>
      </c>
      <c r="O42" s="115">
        <v>0</v>
      </c>
      <c r="P42" s="115">
        <v>76</v>
      </c>
      <c r="Q42" s="115">
        <v>2</v>
      </c>
      <c r="R42" s="115">
        <v>682</v>
      </c>
      <c r="S42" s="115">
        <v>0</v>
      </c>
      <c r="T42" s="115">
        <v>0</v>
      </c>
      <c r="U42" s="115">
        <v>0</v>
      </c>
      <c r="V42" s="106"/>
      <c r="W42" s="68"/>
    </row>
    <row r="43" spans="1:23">
      <c r="A43" s="118" t="s">
        <v>369</v>
      </c>
      <c r="B43" s="115">
        <v>7230</v>
      </c>
      <c r="C43" s="115">
        <v>2179</v>
      </c>
      <c r="D43" s="115">
        <v>2744</v>
      </c>
      <c r="E43" s="115">
        <v>6908</v>
      </c>
      <c r="F43" s="115">
        <v>1333</v>
      </c>
      <c r="G43" s="115">
        <v>0</v>
      </c>
      <c r="H43" s="115">
        <v>1305</v>
      </c>
      <c r="I43" s="115">
        <v>0</v>
      </c>
      <c r="J43" s="115">
        <v>0</v>
      </c>
      <c r="K43" s="115">
        <v>0</v>
      </c>
      <c r="L43" s="115">
        <v>0</v>
      </c>
      <c r="M43" s="115">
        <v>0</v>
      </c>
      <c r="N43" s="115">
        <v>0</v>
      </c>
      <c r="O43" s="115">
        <v>0</v>
      </c>
      <c r="P43" s="115">
        <v>0</v>
      </c>
      <c r="Q43" s="115">
        <v>0</v>
      </c>
      <c r="R43" s="115">
        <v>0</v>
      </c>
      <c r="S43" s="115">
        <v>938</v>
      </c>
      <c r="T43" s="115">
        <v>0</v>
      </c>
      <c r="U43" s="115">
        <v>0</v>
      </c>
      <c r="V43" s="106">
        <v>22637</v>
      </c>
      <c r="W43" s="70"/>
    </row>
    <row r="44" spans="1:23">
      <c r="A44" s="209" t="s">
        <v>370</v>
      </c>
      <c r="B44" s="167">
        <v>7362</v>
      </c>
      <c r="C44" s="167">
        <v>2179</v>
      </c>
      <c r="D44" s="167">
        <v>2684</v>
      </c>
      <c r="E44" s="167">
        <v>6759</v>
      </c>
      <c r="F44" s="167">
        <v>1486</v>
      </c>
      <c r="G44" s="167">
        <v>0</v>
      </c>
      <c r="H44" s="167">
        <v>1227</v>
      </c>
      <c r="I44" s="167">
        <v>0</v>
      </c>
      <c r="J44" s="167">
        <v>0</v>
      </c>
      <c r="K44" s="167">
        <v>0</v>
      </c>
      <c r="L44" s="167">
        <v>0</v>
      </c>
      <c r="M44" s="167">
        <v>0</v>
      </c>
      <c r="N44" s="167">
        <v>0</v>
      </c>
      <c r="O44" s="167">
        <v>0</v>
      </c>
      <c r="P44" s="167">
        <v>0</v>
      </c>
      <c r="Q44" s="167">
        <v>0</v>
      </c>
      <c r="R44" s="167">
        <v>0</v>
      </c>
      <c r="S44" s="167">
        <v>900</v>
      </c>
      <c r="T44" s="167">
        <v>0</v>
      </c>
      <c r="U44" s="167">
        <v>0</v>
      </c>
      <c r="V44" s="106"/>
      <c r="W44" s="303">
        <f>SUM(V38:V44)</f>
        <v>129865</v>
      </c>
    </row>
    <row r="45" spans="1:23">
      <c r="A45" s="118" t="s">
        <v>250</v>
      </c>
      <c r="B45" s="119">
        <v>0</v>
      </c>
      <c r="C45" s="119">
        <v>0</v>
      </c>
      <c r="D45" s="115">
        <v>18</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06">
        <v>18</v>
      </c>
    </row>
    <row r="46" spans="1:23">
      <c r="A46" s="118" t="s">
        <v>374</v>
      </c>
      <c r="B46" s="119">
        <v>0</v>
      </c>
      <c r="C46" s="119">
        <v>0</v>
      </c>
      <c r="D46" s="119">
        <v>0</v>
      </c>
      <c r="E46" s="119">
        <v>0</v>
      </c>
      <c r="F46" s="314">
        <v>3213</v>
      </c>
      <c r="G46" s="314">
        <v>0</v>
      </c>
      <c r="H46" s="314">
        <v>354</v>
      </c>
      <c r="I46" s="314">
        <v>0</v>
      </c>
      <c r="J46" s="314">
        <v>0</v>
      </c>
      <c r="K46" s="314">
        <v>0</v>
      </c>
      <c r="L46" s="314">
        <v>0</v>
      </c>
      <c r="M46" s="314">
        <v>831</v>
      </c>
      <c r="N46" s="314">
        <v>411</v>
      </c>
      <c r="O46" s="314">
        <v>928</v>
      </c>
      <c r="P46" s="314">
        <v>0</v>
      </c>
      <c r="Q46" s="314">
        <v>0</v>
      </c>
      <c r="R46" s="314">
        <v>0</v>
      </c>
      <c r="S46" s="314">
        <v>0</v>
      </c>
      <c r="T46" s="314">
        <v>0</v>
      </c>
      <c r="U46" s="314">
        <v>0</v>
      </c>
      <c r="V46" s="106">
        <v>5737</v>
      </c>
      <c r="W46" s="68"/>
    </row>
    <row r="47" spans="1:23">
      <c r="A47" s="118" t="s">
        <v>376</v>
      </c>
      <c r="B47" s="119">
        <v>0</v>
      </c>
      <c r="C47" s="119">
        <v>0</v>
      </c>
      <c r="D47" s="119">
        <v>0</v>
      </c>
      <c r="E47" s="119">
        <v>0</v>
      </c>
      <c r="F47" s="314">
        <v>0</v>
      </c>
      <c r="G47" s="314">
        <v>0</v>
      </c>
      <c r="H47" s="314">
        <v>0</v>
      </c>
      <c r="I47" s="314">
        <v>0</v>
      </c>
      <c r="J47" s="314">
        <v>0</v>
      </c>
      <c r="K47" s="314">
        <v>0</v>
      </c>
      <c r="L47" s="314">
        <v>0</v>
      </c>
      <c r="M47" s="314">
        <v>0</v>
      </c>
      <c r="N47" s="314">
        <v>0</v>
      </c>
      <c r="O47" s="314">
        <v>0</v>
      </c>
      <c r="P47" s="314">
        <v>0</v>
      </c>
      <c r="Q47" s="314">
        <v>0</v>
      </c>
      <c r="R47" s="314">
        <v>0</v>
      </c>
      <c r="S47" s="314">
        <v>0</v>
      </c>
      <c r="T47" s="314">
        <v>0</v>
      </c>
      <c r="U47" s="314">
        <v>464</v>
      </c>
      <c r="V47" s="106">
        <v>464</v>
      </c>
      <c r="W47" s="70"/>
    </row>
    <row r="48" spans="1:23">
      <c r="A48" s="214" t="s">
        <v>375</v>
      </c>
      <c r="B48" s="115">
        <v>0</v>
      </c>
      <c r="C48" s="115">
        <v>0</v>
      </c>
      <c r="D48" s="115">
        <v>0</v>
      </c>
      <c r="E48" s="115">
        <v>0</v>
      </c>
      <c r="F48" s="115">
        <v>0</v>
      </c>
      <c r="G48" s="115">
        <v>0</v>
      </c>
      <c r="H48" s="115">
        <v>0</v>
      </c>
      <c r="I48" s="115">
        <v>0</v>
      </c>
      <c r="J48" s="115">
        <v>0</v>
      </c>
      <c r="K48" s="115">
        <v>0</v>
      </c>
      <c r="L48" s="115">
        <v>0</v>
      </c>
      <c r="M48" s="115">
        <v>217</v>
      </c>
      <c r="N48" s="115">
        <v>474</v>
      </c>
      <c r="O48" s="115">
        <v>0</v>
      </c>
      <c r="P48" s="115">
        <v>0</v>
      </c>
      <c r="Q48" s="115">
        <v>0</v>
      </c>
      <c r="R48" s="115">
        <v>0</v>
      </c>
      <c r="S48" s="115">
        <v>0</v>
      </c>
      <c r="T48" s="115">
        <v>0</v>
      </c>
      <c r="U48" s="115">
        <v>0</v>
      </c>
      <c r="V48" s="106">
        <v>691</v>
      </c>
      <c r="W48" s="68"/>
    </row>
    <row r="49" spans="1:23">
      <c r="A49" s="144" t="s">
        <v>377</v>
      </c>
      <c r="B49" s="315">
        <v>8564</v>
      </c>
      <c r="C49" s="315">
        <v>2415</v>
      </c>
      <c r="D49" s="315">
        <v>3053</v>
      </c>
      <c r="E49" s="315">
        <v>1730</v>
      </c>
      <c r="F49" s="315">
        <v>2183</v>
      </c>
      <c r="G49" s="315">
        <v>415</v>
      </c>
      <c r="H49" s="315">
        <v>615</v>
      </c>
      <c r="I49" s="315">
        <v>199</v>
      </c>
      <c r="J49" s="315">
        <v>744</v>
      </c>
      <c r="K49" s="315">
        <v>2554</v>
      </c>
      <c r="L49" s="315">
        <v>698</v>
      </c>
      <c r="M49" s="315">
        <v>0</v>
      </c>
      <c r="N49" s="315">
        <v>7</v>
      </c>
      <c r="O49" s="315">
        <v>2625</v>
      </c>
      <c r="P49" s="315">
        <v>0</v>
      </c>
      <c r="Q49" s="315">
        <v>0</v>
      </c>
      <c r="R49" s="315">
        <v>0</v>
      </c>
      <c r="S49" s="315">
        <v>210</v>
      </c>
      <c r="T49" s="315">
        <v>159</v>
      </c>
      <c r="U49" s="315">
        <v>168</v>
      </c>
      <c r="V49" s="106">
        <v>26339</v>
      </c>
    </row>
    <row r="50" spans="1:23">
      <c r="A50" s="151" t="s">
        <v>142</v>
      </c>
      <c r="B50" s="316">
        <v>0</v>
      </c>
      <c r="C50" s="316">
        <v>54700</v>
      </c>
      <c r="D50" s="316">
        <v>4500</v>
      </c>
      <c r="E50" s="316">
        <v>0</v>
      </c>
      <c r="F50" s="316">
        <v>2220</v>
      </c>
      <c r="G50" s="316">
        <v>243</v>
      </c>
      <c r="H50" s="316">
        <v>1038</v>
      </c>
      <c r="I50" s="316">
        <v>0</v>
      </c>
      <c r="J50" s="316">
        <v>0</v>
      </c>
      <c r="K50" s="316">
        <v>4800</v>
      </c>
      <c r="L50" s="316">
        <v>0</v>
      </c>
      <c r="M50" s="316">
        <v>0</v>
      </c>
      <c r="N50" s="316">
        <v>0</v>
      </c>
      <c r="O50" s="316">
        <v>3250</v>
      </c>
      <c r="P50" s="316">
        <v>0</v>
      </c>
      <c r="Q50" s="316">
        <v>0</v>
      </c>
      <c r="R50" s="316">
        <v>0</v>
      </c>
      <c r="S50" s="316">
        <v>0</v>
      </c>
      <c r="T50" s="316">
        <v>0</v>
      </c>
      <c r="U50" s="316">
        <v>0</v>
      </c>
      <c r="V50" s="106">
        <v>70751</v>
      </c>
      <c r="W50" s="68"/>
    </row>
    <row r="51" spans="1:23">
      <c r="A51" s="114" t="s">
        <v>378</v>
      </c>
      <c r="B51" s="317">
        <v>0</v>
      </c>
      <c r="C51" s="317">
        <v>0</v>
      </c>
      <c r="D51" s="317">
        <v>0</v>
      </c>
      <c r="E51" s="317">
        <v>0</v>
      </c>
      <c r="F51" s="317">
        <v>1873</v>
      </c>
      <c r="G51" s="317">
        <v>0</v>
      </c>
      <c r="H51" s="317">
        <v>0</v>
      </c>
      <c r="I51" s="317">
        <v>0</v>
      </c>
      <c r="J51" s="317">
        <v>0</v>
      </c>
      <c r="K51" s="317">
        <v>0</v>
      </c>
      <c r="L51" s="317">
        <v>0</v>
      </c>
      <c r="M51" s="317">
        <v>0</v>
      </c>
      <c r="N51" s="317">
        <v>0</v>
      </c>
      <c r="O51" s="317">
        <v>0</v>
      </c>
      <c r="P51" s="317">
        <v>0</v>
      </c>
      <c r="Q51" s="317">
        <v>0</v>
      </c>
      <c r="R51" s="317">
        <v>0</v>
      </c>
      <c r="S51" s="317">
        <v>0</v>
      </c>
      <c r="T51" s="317">
        <v>0</v>
      </c>
      <c r="U51" s="317">
        <v>0</v>
      </c>
      <c r="V51" s="106">
        <v>1873</v>
      </c>
      <c r="W51" s="68"/>
    </row>
    <row r="52" spans="1:23">
      <c r="A52" s="120" t="s">
        <v>379</v>
      </c>
      <c r="B52" s="315">
        <v>0</v>
      </c>
      <c r="C52" s="315">
        <v>0</v>
      </c>
      <c r="D52" s="315">
        <v>0</v>
      </c>
      <c r="E52" s="315">
        <v>0</v>
      </c>
      <c r="F52" s="315">
        <v>1464</v>
      </c>
      <c r="G52" s="315">
        <v>0</v>
      </c>
      <c r="H52" s="315">
        <v>0</v>
      </c>
      <c r="I52" s="315">
        <v>0</v>
      </c>
      <c r="J52" s="315">
        <v>0</v>
      </c>
      <c r="K52" s="315">
        <v>0</v>
      </c>
      <c r="L52" s="315">
        <v>0</v>
      </c>
      <c r="M52" s="315">
        <v>0</v>
      </c>
      <c r="N52" s="315">
        <v>0</v>
      </c>
      <c r="O52" s="315">
        <v>0</v>
      </c>
      <c r="P52" s="315">
        <v>0</v>
      </c>
      <c r="Q52" s="315">
        <v>0</v>
      </c>
      <c r="R52" s="315">
        <v>0</v>
      </c>
      <c r="S52" s="315">
        <v>0</v>
      </c>
      <c r="T52" s="315">
        <v>0</v>
      </c>
      <c r="U52" s="315">
        <v>0</v>
      </c>
      <c r="V52" s="106">
        <v>1464</v>
      </c>
      <c r="W52" s="68"/>
    </row>
    <row r="53" spans="1:23">
      <c r="A53" s="114" t="s">
        <v>380</v>
      </c>
      <c r="B53" s="317">
        <v>0</v>
      </c>
      <c r="C53" s="317">
        <v>0</v>
      </c>
      <c r="D53" s="317">
        <v>0</v>
      </c>
      <c r="E53" s="317">
        <v>0</v>
      </c>
      <c r="F53" s="317">
        <v>3213</v>
      </c>
      <c r="G53" s="317">
        <v>0</v>
      </c>
      <c r="H53" s="317">
        <v>0</v>
      </c>
      <c r="I53" s="317">
        <v>0</v>
      </c>
      <c r="J53" s="317">
        <v>0</v>
      </c>
      <c r="K53" s="317">
        <v>0</v>
      </c>
      <c r="L53" s="317">
        <v>0</v>
      </c>
      <c r="M53" s="317">
        <v>0</v>
      </c>
      <c r="N53" s="317">
        <v>0</v>
      </c>
      <c r="O53" s="317">
        <v>0</v>
      </c>
      <c r="P53" s="317">
        <v>0</v>
      </c>
      <c r="Q53" s="317">
        <v>0</v>
      </c>
      <c r="R53" s="317">
        <v>0</v>
      </c>
      <c r="S53" s="317">
        <v>0</v>
      </c>
      <c r="T53" s="317">
        <v>0</v>
      </c>
      <c r="U53" s="317">
        <v>0</v>
      </c>
      <c r="V53" s="106">
        <v>3213</v>
      </c>
      <c r="W53" s="68"/>
    </row>
    <row r="54" spans="1:23">
      <c r="A54" s="114" t="s">
        <v>381</v>
      </c>
      <c r="B54" s="317">
        <v>0</v>
      </c>
      <c r="C54" s="317">
        <v>0</v>
      </c>
      <c r="D54" s="317">
        <v>0</v>
      </c>
      <c r="E54" s="317">
        <v>0</v>
      </c>
      <c r="F54" s="317">
        <v>2597</v>
      </c>
      <c r="G54" s="317">
        <v>0</v>
      </c>
      <c r="H54" s="317">
        <v>0</v>
      </c>
      <c r="I54" s="317">
        <v>0</v>
      </c>
      <c r="J54" s="317">
        <v>0</v>
      </c>
      <c r="K54" s="317">
        <v>0</v>
      </c>
      <c r="L54" s="317">
        <v>0</v>
      </c>
      <c r="M54" s="317">
        <v>0</v>
      </c>
      <c r="N54" s="317">
        <v>0</v>
      </c>
      <c r="O54" s="317">
        <v>0</v>
      </c>
      <c r="P54" s="317">
        <v>0</v>
      </c>
      <c r="Q54" s="317">
        <v>0</v>
      </c>
      <c r="R54" s="317">
        <v>0</v>
      </c>
      <c r="S54" s="317">
        <v>0</v>
      </c>
      <c r="T54" s="317">
        <v>0</v>
      </c>
      <c r="U54" s="317">
        <v>0</v>
      </c>
      <c r="V54" s="106">
        <v>2597</v>
      </c>
      <c r="W54" s="68"/>
    </row>
    <row r="55" spans="1:23">
      <c r="A55" s="120" t="s">
        <v>382</v>
      </c>
      <c r="B55" s="315">
        <v>0</v>
      </c>
      <c r="C55" s="315">
        <v>0</v>
      </c>
      <c r="D55" s="315">
        <v>0</v>
      </c>
      <c r="E55" s="315">
        <v>0</v>
      </c>
      <c r="F55" s="315">
        <v>1663</v>
      </c>
      <c r="G55" s="315">
        <v>0</v>
      </c>
      <c r="H55" s="315">
        <v>0</v>
      </c>
      <c r="I55" s="315">
        <v>0</v>
      </c>
      <c r="J55" s="315">
        <v>0</v>
      </c>
      <c r="K55" s="315">
        <v>0</v>
      </c>
      <c r="L55" s="315">
        <v>0</v>
      </c>
      <c r="M55" s="315">
        <v>0</v>
      </c>
      <c r="N55" s="315">
        <v>0</v>
      </c>
      <c r="O55" s="315">
        <v>0</v>
      </c>
      <c r="P55" s="315">
        <v>0</v>
      </c>
      <c r="Q55" s="315">
        <v>0</v>
      </c>
      <c r="R55" s="315">
        <v>0</v>
      </c>
      <c r="S55" s="315">
        <v>0</v>
      </c>
      <c r="T55" s="315">
        <v>0</v>
      </c>
      <c r="U55" s="315">
        <v>0</v>
      </c>
      <c r="V55" s="106">
        <v>1663</v>
      </c>
      <c r="W55" s="68"/>
    </row>
    <row r="56" spans="1:23">
      <c r="A56" s="114" t="s">
        <v>248</v>
      </c>
      <c r="B56" s="317">
        <v>745</v>
      </c>
      <c r="C56" s="317">
        <v>0</v>
      </c>
      <c r="D56" s="317">
        <v>389</v>
      </c>
      <c r="E56" s="317">
        <v>0</v>
      </c>
      <c r="F56" s="317">
        <v>0</v>
      </c>
      <c r="G56" s="317">
        <v>0</v>
      </c>
      <c r="H56" s="317">
        <v>0</v>
      </c>
      <c r="I56" s="317">
        <v>0</v>
      </c>
      <c r="J56" s="317">
        <v>0</v>
      </c>
      <c r="K56" s="317">
        <v>0</v>
      </c>
      <c r="L56" s="317">
        <v>0</v>
      </c>
      <c r="M56" s="317">
        <v>531</v>
      </c>
      <c r="N56" s="317">
        <v>152</v>
      </c>
      <c r="O56" s="317">
        <v>0</v>
      </c>
      <c r="P56" s="317">
        <v>0</v>
      </c>
      <c r="Q56" s="317">
        <v>0</v>
      </c>
      <c r="R56" s="317">
        <v>0</v>
      </c>
      <c r="S56" s="317">
        <v>0</v>
      </c>
      <c r="T56" s="317">
        <v>0</v>
      </c>
      <c r="U56" s="317">
        <v>0</v>
      </c>
      <c r="V56" s="106">
        <v>1817</v>
      </c>
      <c r="W56" s="68"/>
    </row>
    <row r="57" spans="1:23">
      <c r="A57" s="120" t="s">
        <v>383</v>
      </c>
      <c r="B57" s="315">
        <v>0</v>
      </c>
      <c r="C57" s="315">
        <v>0</v>
      </c>
      <c r="D57" s="315">
        <v>0</v>
      </c>
      <c r="E57" s="315">
        <v>0</v>
      </c>
      <c r="F57" s="315">
        <v>0</v>
      </c>
      <c r="G57" s="315">
        <v>0</v>
      </c>
      <c r="H57" s="315">
        <v>140</v>
      </c>
      <c r="I57" s="315">
        <v>0</v>
      </c>
      <c r="J57" s="315">
        <v>0</v>
      </c>
      <c r="K57" s="315">
        <v>0</v>
      </c>
      <c r="L57" s="315">
        <v>0</v>
      </c>
      <c r="M57" s="315">
        <v>65</v>
      </c>
      <c r="N57" s="315">
        <v>0</v>
      </c>
      <c r="O57" s="315">
        <v>0</v>
      </c>
      <c r="P57" s="315">
        <v>0</v>
      </c>
      <c r="Q57" s="315">
        <v>0</v>
      </c>
      <c r="R57" s="315">
        <v>0</v>
      </c>
      <c r="S57" s="315">
        <v>0</v>
      </c>
      <c r="T57" s="315">
        <v>0</v>
      </c>
      <c r="U57" s="315">
        <v>0</v>
      </c>
      <c r="V57" s="106">
        <v>205</v>
      </c>
      <c r="W57" s="68"/>
    </row>
    <row r="58" spans="1:23">
      <c r="A58" s="114" t="s">
        <v>384</v>
      </c>
      <c r="B58" s="317">
        <v>0</v>
      </c>
      <c r="C58" s="317">
        <v>0</v>
      </c>
      <c r="D58" s="317">
        <v>1234</v>
      </c>
      <c r="E58" s="317">
        <v>0</v>
      </c>
      <c r="F58" s="317">
        <v>0</v>
      </c>
      <c r="G58" s="317">
        <v>0</v>
      </c>
      <c r="H58" s="317">
        <v>0</v>
      </c>
      <c r="I58" s="317">
        <v>0</v>
      </c>
      <c r="J58" s="317">
        <v>0</v>
      </c>
      <c r="K58" s="317">
        <v>0</v>
      </c>
      <c r="L58" s="317">
        <v>0</v>
      </c>
      <c r="M58" s="317">
        <v>0</v>
      </c>
      <c r="N58" s="317">
        <v>0</v>
      </c>
      <c r="O58" s="317">
        <v>0</v>
      </c>
      <c r="P58" s="317">
        <v>0</v>
      </c>
      <c r="Q58" s="317">
        <v>0</v>
      </c>
      <c r="R58" s="317">
        <v>0</v>
      </c>
      <c r="S58" s="317">
        <v>0</v>
      </c>
      <c r="T58" s="317">
        <v>0</v>
      </c>
      <c r="U58" s="317">
        <v>0</v>
      </c>
      <c r="V58" s="106">
        <v>1234</v>
      </c>
      <c r="W58" s="68"/>
    </row>
    <row r="59" spans="1:23">
      <c r="A59" s="114" t="s">
        <v>385</v>
      </c>
      <c r="B59" s="317">
        <v>149</v>
      </c>
      <c r="C59" s="317">
        <v>0</v>
      </c>
      <c r="D59" s="317">
        <v>2458</v>
      </c>
      <c r="E59" s="317">
        <v>0</v>
      </c>
      <c r="F59" s="317">
        <v>0</v>
      </c>
      <c r="G59" s="317">
        <v>0</v>
      </c>
      <c r="H59" s="317">
        <v>828</v>
      </c>
      <c r="I59" s="317">
        <v>0</v>
      </c>
      <c r="J59" s="317">
        <v>0</v>
      </c>
      <c r="K59" s="317">
        <v>0</v>
      </c>
      <c r="L59" s="317">
        <v>0</v>
      </c>
      <c r="M59" s="317">
        <v>0</v>
      </c>
      <c r="N59" s="317">
        <v>0</v>
      </c>
      <c r="O59" s="317">
        <v>0</v>
      </c>
      <c r="P59" s="317">
        <v>0</v>
      </c>
      <c r="Q59" s="317">
        <v>0</v>
      </c>
      <c r="R59" s="317">
        <v>0</v>
      </c>
      <c r="S59" s="317">
        <v>110</v>
      </c>
      <c r="T59" s="317">
        <v>0</v>
      </c>
      <c r="U59" s="317">
        <v>0</v>
      </c>
      <c r="V59" s="106">
        <v>3545</v>
      </c>
      <c r="W59" s="68"/>
    </row>
    <row r="60" spans="1:23">
      <c r="A60" s="114" t="s">
        <v>389</v>
      </c>
      <c r="B60" s="317">
        <v>23</v>
      </c>
      <c r="C60" s="317">
        <v>0</v>
      </c>
      <c r="D60" s="317">
        <v>1209</v>
      </c>
      <c r="E60" s="317">
        <v>0</v>
      </c>
      <c r="F60" s="317">
        <v>0</v>
      </c>
      <c r="G60" s="317">
        <v>165</v>
      </c>
      <c r="H60" s="317">
        <v>0</v>
      </c>
      <c r="I60" s="317">
        <v>97</v>
      </c>
      <c r="J60" s="317">
        <v>0</v>
      </c>
      <c r="K60" s="317">
        <v>0</v>
      </c>
      <c r="L60" s="317">
        <v>0</v>
      </c>
      <c r="M60" s="317">
        <v>128</v>
      </c>
      <c r="N60" s="317">
        <v>420</v>
      </c>
      <c r="O60" s="317">
        <v>38</v>
      </c>
      <c r="P60" s="317">
        <v>0</v>
      </c>
      <c r="Q60" s="317">
        <v>0</v>
      </c>
      <c r="R60" s="317">
        <v>0</v>
      </c>
      <c r="S60" s="317">
        <v>0</v>
      </c>
      <c r="T60" s="317">
        <v>0</v>
      </c>
      <c r="U60" s="317">
        <v>0</v>
      </c>
      <c r="V60" s="106">
        <v>2080</v>
      </c>
      <c r="W60" s="68"/>
    </row>
    <row r="61" spans="1:23">
      <c r="A61" s="114" t="s">
        <v>386</v>
      </c>
      <c r="B61" s="317">
        <v>54</v>
      </c>
      <c r="C61" s="317">
        <v>0</v>
      </c>
      <c r="D61" s="317">
        <v>0</v>
      </c>
      <c r="E61" s="317">
        <v>0</v>
      </c>
      <c r="F61" s="317">
        <v>0</v>
      </c>
      <c r="G61" s="317">
        <v>0</v>
      </c>
      <c r="H61" s="317">
        <v>0</v>
      </c>
      <c r="I61" s="317">
        <v>0</v>
      </c>
      <c r="J61" s="317">
        <v>0</v>
      </c>
      <c r="K61" s="317">
        <v>0</v>
      </c>
      <c r="L61" s="317">
        <v>0</v>
      </c>
      <c r="M61" s="317">
        <v>38</v>
      </c>
      <c r="N61" s="317">
        <v>47</v>
      </c>
      <c r="O61" s="317">
        <v>0</v>
      </c>
      <c r="P61" s="317">
        <v>0</v>
      </c>
      <c r="Q61" s="317">
        <v>0</v>
      </c>
      <c r="R61" s="317">
        <v>0</v>
      </c>
      <c r="S61" s="317">
        <v>0</v>
      </c>
      <c r="T61" s="317">
        <v>0</v>
      </c>
      <c r="U61" s="317">
        <v>0</v>
      </c>
      <c r="V61" s="106">
        <v>139</v>
      </c>
      <c r="W61" s="68"/>
    </row>
    <row r="62" spans="1:23">
      <c r="A62" s="114" t="s">
        <v>387</v>
      </c>
      <c r="B62" s="317">
        <v>274</v>
      </c>
      <c r="C62" s="317">
        <v>0</v>
      </c>
      <c r="D62" s="317">
        <v>539</v>
      </c>
      <c r="E62" s="317">
        <v>0</v>
      </c>
      <c r="F62" s="317">
        <v>0</v>
      </c>
      <c r="G62" s="317">
        <v>2073</v>
      </c>
      <c r="H62" s="317">
        <v>0</v>
      </c>
      <c r="I62" s="317">
        <v>0</v>
      </c>
      <c r="J62" s="317">
        <v>0</v>
      </c>
      <c r="K62" s="317">
        <v>0</v>
      </c>
      <c r="L62" s="317">
        <v>0</v>
      </c>
      <c r="M62" s="317">
        <v>0</v>
      </c>
      <c r="N62" s="317">
        <v>54</v>
      </c>
      <c r="O62" s="317">
        <v>640</v>
      </c>
      <c r="P62" s="317">
        <v>0</v>
      </c>
      <c r="Q62" s="317">
        <v>0</v>
      </c>
      <c r="R62" s="317">
        <v>0</v>
      </c>
      <c r="S62" s="317">
        <v>0</v>
      </c>
      <c r="T62" s="317">
        <v>0</v>
      </c>
      <c r="U62" s="317">
        <v>0</v>
      </c>
      <c r="V62" s="106">
        <v>3580</v>
      </c>
      <c r="W62" s="68"/>
    </row>
    <row r="63" spans="1:23">
      <c r="A63" s="114" t="s">
        <v>391</v>
      </c>
      <c r="B63" s="317">
        <v>869</v>
      </c>
      <c r="C63" s="317">
        <v>792</v>
      </c>
      <c r="D63" s="317">
        <v>13117</v>
      </c>
      <c r="E63" s="317">
        <v>20518</v>
      </c>
      <c r="F63" s="317">
        <v>0</v>
      </c>
      <c r="G63" s="317">
        <v>0</v>
      </c>
      <c r="H63" s="317">
        <v>0</v>
      </c>
      <c r="I63" s="317">
        <v>0</v>
      </c>
      <c r="J63" s="317">
        <v>0</v>
      </c>
      <c r="K63" s="317">
        <v>0</v>
      </c>
      <c r="L63" s="317">
        <v>0</v>
      </c>
      <c r="M63" s="317">
        <v>0</v>
      </c>
      <c r="N63" s="317">
        <v>0</v>
      </c>
      <c r="O63" s="317">
        <v>234</v>
      </c>
      <c r="P63" s="317">
        <v>0</v>
      </c>
      <c r="Q63" s="317">
        <v>0</v>
      </c>
      <c r="R63" s="317">
        <v>0</v>
      </c>
      <c r="S63" s="317">
        <v>0</v>
      </c>
      <c r="T63" s="317">
        <v>73</v>
      </c>
      <c r="U63" s="317">
        <v>0</v>
      </c>
      <c r="V63" s="106">
        <v>35603</v>
      </c>
      <c r="W63" s="68"/>
    </row>
    <row r="64" spans="1:23">
      <c r="A64" s="114" t="s">
        <v>392</v>
      </c>
      <c r="B64" s="317">
        <v>12072</v>
      </c>
      <c r="C64" s="317">
        <v>5347</v>
      </c>
      <c r="D64" s="317">
        <v>408</v>
      </c>
      <c r="E64" s="317">
        <v>0</v>
      </c>
      <c r="F64" s="317">
        <v>0</v>
      </c>
      <c r="G64" s="317">
        <v>3924</v>
      </c>
      <c r="H64" s="317">
        <v>1732</v>
      </c>
      <c r="I64" s="317">
        <v>0</v>
      </c>
      <c r="J64" s="317">
        <v>0</v>
      </c>
      <c r="K64" s="317">
        <v>0</v>
      </c>
      <c r="L64" s="317">
        <v>0</v>
      </c>
      <c r="M64" s="317">
        <v>0</v>
      </c>
      <c r="N64" s="317">
        <v>0</v>
      </c>
      <c r="O64" s="317">
        <v>0</v>
      </c>
      <c r="P64" s="317">
        <v>0</v>
      </c>
      <c r="Q64" s="317">
        <v>0</v>
      </c>
      <c r="R64" s="317">
        <v>0</v>
      </c>
      <c r="S64" s="317">
        <v>403</v>
      </c>
      <c r="T64" s="317">
        <v>0</v>
      </c>
      <c r="U64" s="317">
        <v>0</v>
      </c>
      <c r="V64" s="106">
        <v>23886</v>
      </c>
      <c r="W64" s="68"/>
    </row>
    <row r="65" spans="1:23">
      <c r="A65" s="114" t="s">
        <v>390</v>
      </c>
      <c r="B65" s="317">
        <v>1467</v>
      </c>
      <c r="C65" s="317">
        <v>368</v>
      </c>
      <c r="D65" s="317">
        <v>0</v>
      </c>
      <c r="E65" s="317">
        <v>0</v>
      </c>
      <c r="F65" s="317">
        <v>0</v>
      </c>
      <c r="G65" s="317">
        <v>232</v>
      </c>
      <c r="H65" s="317">
        <v>244</v>
      </c>
      <c r="I65" s="317">
        <v>0</v>
      </c>
      <c r="J65" s="317">
        <v>0</v>
      </c>
      <c r="K65" s="317">
        <v>0</v>
      </c>
      <c r="L65" s="317">
        <v>0</v>
      </c>
      <c r="M65" s="317">
        <v>90</v>
      </c>
      <c r="N65" s="317">
        <v>54</v>
      </c>
      <c r="O65" s="317">
        <v>87</v>
      </c>
      <c r="P65" s="317">
        <v>0</v>
      </c>
      <c r="Q65" s="317">
        <v>0</v>
      </c>
      <c r="R65" s="317">
        <v>0</v>
      </c>
      <c r="S65" s="317">
        <v>0</v>
      </c>
      <c r="T65" s="317">
        <v>0</v>
      </c>
      <c r="U65" s="317">
        <v>0</v>
      </c>
      <c r="V65" s="106">
        <v>2542</v>
      </c>
      <c r="W65" s="68"/>
    </row>
    <row r="66" spans="1:23">
      <c r="A66" s="114" t="s">
        <v>388</v>
      </c>
      <c r="B66" s="317">
        <v>1507</v>
      </c>
      <c r="C66" s="317">
        <v>0</v>
      </c>
      <c r="D66" s="317">
        <v>1030</v>
      </c>
      <c r="E66" s="317">
        <v>0</v>
      </c>
      <c r="F66" s="317">
        <v>9642</v>
      </c>
      <c r="G66" s="317">
        <v>0</v>
      </c>
      <c r="H66" s="317">
        <v>2368</v>
      </c>
      <c r="I66" s="317">
        <v>0</v>
      </c>
      <c r="J66" s="317">
        <v>0</v>
      </c>
      <c r="K66" s="317">
        <v>0</v>
      </c>
      <c r="L66" s="317">
        <v>0</v>
      </c>
      <c r="M66" s="317">
        <v>0</v>
      </c>
      <c r="N66" s="317">
        <v>0</v>
      </c>
      <c r="O66" s="317">
        <v>0</v>
      </c>
      <c r="P66" s="317">
        <v>0</v>
      </c>
      <c r="Q66" s="317">
        <v>0</v>
      </c>
      <c r="R66" s="317">
        <v>0</v>
      </c>
      <c r="S66" s="317">
        <v>0</v>
      </c>
      <c r="T66" s="317">
        <v>1004</v>
      </c>
      <c r="U66" s="317">
        <v>0</v>
      </c>
      <c r="V66" s="106">
        <v>15551</v>
      </c>
      <c r="W66" s="68"/>
    </row>
    <row r="67" spans="1:23">
      <c r="A67" s="114" t="s">
        <v>240</v>
      </c>
      <c r="B67" s="317">
        <v>0</v>
      </c>
      <c r="C67" s="317">
        <v>0</v>
      </c>
      <c r="D67" s="317">
        <v>3270</v>
      </c>
      <c r="E67" s="317">
        <v>0</v>
      </c>
      <c r="F67" s="317">
        <v>0</v>
      </c>
      <c r="G67" s="317">
        <v>0</v>
      </c>
      <c r="H67" s="317">
        <v>0</v>
      </c>
      <c r="I67" s="317">
        <v>0</v>
      </c>
      <c r="J67" s="317">
        <v>0</v>
      </c>
      <c r="K67" s="317">
        <v>0</v>
      </c>
      <c r="L67" s="317">
        <v>0</v>
      </c>
      <c r="M67" s="317">
        <v>0</v>
      </c>
      <c r="N67" s="317">
        <v>0</v>
      </c>
      <c r="O67" s="317">
        <v>0</v>
      </c>
      <c r="P67" s="317">
        <v>0</v>
      </c>
      <c r="Q67" s="317">
        <v>0</v>
      </c>
      <c r="R67" s="317">
        <v>0</v>
      </c>
      <c r="S67" s="317">
        <v>0</v>
      </c>
      <c r="T67" s="317">
        <v>0</v>
      </c>
      <c r="U67" s="317">
        <v>0</v>
      </c>
      <c r="V67" s="106">
        <v>3270</v>
      </c>
      <c r="W67" s="68"/>
    </row>
    <row r="68" spans="1:23">
      <c r="A68" s="193" t="s">
        <v>393</v>
      </c>
      <c r="B68" s="316">
        <v>4825</v>
      </c>
      <c r="C68" s="316">
        <v>2600</v>
      </c>
      <c r="D68" s="316">
        <v>17361</v>
      </c>
      <c r="E68" s="316">
        <v>3980</v>
      </c>
      <c r="F68" s="316">
        <v>4678</v>
      </c>
      <c r="G68" s="316">
        <v>3664</v>
      </c>
      <c r="H68" s="316">
        <v>1594</v>
      </c>
      <c r="I68" s="316">
        <v>0</v>
      </c>
      <c r="J68" s="316">
        <v>0</v>
      </c>
      <c r="K68" s="316">
        <v>0</v>
      </c>
      <c r="L68" s="316">
        <v>0</v>
      </c>
      <c r="M68" s="316">
        <v>0</v>
      </c>
      <c r="N68" s="316">
        <v>0</v>
      </c>
      <c r="O68" s="316">
        <v>133</v>
      </c>
      <c r="P68" s="316">
        <v>20</v>
      </c>
      <c r="Q68" s="316">
        <v>195</v>
      </c>
      <c r="R68" s="316">
        <v>50</v>
      </c>
      <c r="S68" s="316">
        <v>107</v>
      </c>
      <c r="T68" s="316">
        <v>0</v>
      </c>
      <c r="U68" s="316">
        <v>135</v>
      </c>
      <c r="V68" s="106">
        <v>39342</v>
      </c>
      <c r="W68" s="70"/>
    </row>
    <row r="69" spans="1:23">
      <c r="A69" s="162" t="s">
        <v>394</v>
      </c>
      <c r="B69" s="115">
        <v>21026.428</v>
      </c>
      <c r="C69" s="115">
        <v>4176</v>
      </c>
      <c r="D69" s="115">
        <v>19068.819</v>
      </c>
      <c r="E69" s="115">
        <v>29000</v>
      </c>
      <c r="F69" s="115">
        <v>5237.9490000000005</v>
      </c>
      <c r="G69" s="115">
        <v>4423.366</v>
      </c>
      <c r="H69" s="115">
        <v>373</v>
      </c>
      <c r="I69" s="115">
        <v>6451.3090000000002</v>
      </c>
      <c r="J69" s="115">
        <v>1030.4480000000001</v>
      </c>
      <c r="K69" s="115">
        <v>133.96699999999998</v>
      </c>
      <c r="L69" s="115">
        <v>1737.9779999999998</v>
      </c>
      <c r="M69" s="115">
        <v>2763.587</v>
      </c>
      <c r="N69" s="115">
        <v>9400.3019999999997</v>
      </c>
      <c r="O69" s="115">
        <v>15300.267</v>
      </c>
      <c r="P69" s="115">
        <v>0</v>
      </c>
      <c r="Q69" s="115">
        <v>0</v>
      </c>
      <c r="R69" s="115">
        <v>0</v>
      </c>
      <c r="S69" s="115">
        <v>2282.4789999999998</v>
      </c>
      <c r="T69" s="115">
        <v>1450</v>
      </c>
      <c r="U69" s="115">
        <v>0</v>
      </c>
      <c r="V69" s="106">
        <v>123855.89899999999</v>
      </c>
      <c r="W69" s="68"/>
    </row>
    <row r="70" spans="1:23">
      <c r="A70" s="144" t="s">
        <v>243</v>
      </c>
      <c r="B70" s="713">
        <v>17134</v>
      </c>
      <c r="C70" s="713">
        <v>784</v>
      </c>
      <c r="D70" s="713">
        <v>0</v>
      </c>
      <c r="E70" s="713">
        <v>0</v>
      </c>
      <c r="F70" s="713">
        <v>450</v>
      </c>
      <c r="G70" s="713">
        <v>5795</v>
      </c>
      <c r="H70" s="713">
        <v>1695</v>
      </c>
      <c r="I70" s="713">
        <v>0</v>
      </c>
      <c r="J70" s="713">
        <v>0</v>
      </c>
      <c r="K70" s="713">
        <v>0</v>
      </c>
      <c r="L70" s="713">
        <v>0</v>
      </c>
      <c r="M70" s="713">
        <v>0</v>
      </c>
      <c r="N70" s="713">
        <v>0</v>
      </c>
      <c r="O70" s="713">
        <v>0</v>
      </c>
      <c r="P70" s="713">
        <v>0</v>
      </c>
      <c r="Q70" s="713">
        <v>0</v>
      </c>
      <c r="R70" s="713">
        <v>0</v>
      </c>
      <c r="S70" s="713">
        <v>0</v>
      </c>
      <c r="T70" s="713">
        <v>0</v>
      </c>
      <c r="U70" s="713">
        <v>0</v>
      </c>
      <c r="V70" s="106">
        <v>25858</v>
      </c>
      <c r="W70" s="68"/>
    </row>
    <row r="71" spans="1:23">
      <c r="A71" s="164" t="s">
        <v>395</v>
      </c>
      <c r="B71" s="115">
        <v>138282</v>
      </c>
      <c r="C71" s="115">
        <v>10777</v>
      </c>
      <c r="D71" s="115">
        <v>9840</v>
      </c>
      <c r="E71" s="115">
        <v>17325</v>
      </c>
      <c r="F71" s="115">
        <v>0</v>
      </c>
      <c r="G71" s="115">
        <v>60704</v>
      </c>
      <c r="H71" s="115">
        <v>2148</v>
      </c>
      <c r="I71" s="115">
        <v>0</v>
      </c>
      <c r="J71" s="115">
        <v>67</v>
      </c>
      <c r="K71" s="115">
        <v>970</v>
      </c>
      <c r="L71" s="115">
        <v>0</v>
      </c>
      <c r="M71" s="115">
        <v>0</v>
      </c>
      <c r="N71" s="115">
        <v>2020</v>
      </c>
      <c r="O71" s="115">
        <v>4000</v>
      </c>
      <c r="P71" s="115">
        <v>0</v>
      </c>
      <c r="Q71" s="115">
        <v>0</v>
      </c>
      <c r="R71" s="115">
        <v>0</v>
      </c>
      <c r="S71" s="115">
        <v>3200</v>
      </c>
      <c r="T71" s="115">
        <v>160</v>
      </c>
      <c r="U71" s="115">
        <v>0</v>
      </c>
      <c r="V71" s="106">
        <v>249493</v>
      </c>
      <c r="W71" s="68"/>
    </row>
    <row r="72" spans="1:23">
      <c r="A72" s="165" t="s">
        <v>396</v>
      </c>
      <c r="B72" s="121">
        <v>138282</v>
      </c>
      <c r="C72" s="121">
        <v>10777</v>
      </c>
      <c r="D72" s="121">
        <v>9840</v>
      </c>
      <c r="E72" s="121">
        <v>17325</v>
      </c>
      <c r="F72" s="121">
        <v>0</v>
      </c>
      <c r="G72" s="121">
        <v>60704</v>
      </c>
      <c r="H72" s="121">
        <v>2148</v>
      </c>
      <c r="I72" s="121">
        <v>0</v>
      </c>
      <c r="J72" s="121">
        <v>67</v>
      </c>
      <c r="K72" s="121">
        <v>970</v>
      </c>
      <c r="L72" s="121">
        <v>0</v>
      </c>
      <c r="M72" s="121">
        <v>0</v>
      </c>
      <c r="N72" s="121">
        <v>2020</v>
      </c>
      <c r="O72" s="121">
        <v>4000</v>
      </c>
      <c r="P72" s="121">
        <v>0</v>
      </c>
      <c r="Q72" s="121">
        <v>0</v>
      </c>
      <c r="R72" s="121">
        <v>0</v>
      </c>
      <c r="S72" s="121">
        <v>3200</v>
      </c>
      <c r="T72" s="121">
        <v>160</v>
      </c>
      <c r="U72" s="121">
        <v>0</v>
      </c>
      <c r="V72" s="106">
        <v>249493</v>
      </c>
      <c r="W72" s="68"/>
    </row>
    <row r="73" spans="1:23">
      <c r="A73" s="163" t="s">
        <v>397</v>
      </c>
      <c r="B73" s="121">
        <v>20100</v>
      </c>
      <c r="C73" s="121">
        <v>6500</v>
      </c>
      <c r="D73" s="121">
        <v>17521</v>
      </c>
      <c r="E73" s="121">
        <v>2700</v>
      </c>
      <c r="F73" s="121">
        <v>0</v>
      </c>
      <c r="G73" s="121">
        <v>2017</v>
      </c>
      <c r="H73" s="121">
        <v>3268</v>
      </c>
      <c r="I73" s="121">
        <v>214</v>
      </c>
      <c r="J73" s="121">
        <v>323</v>
      </c>
      <c r="K73" s="121">
        <v>937</v>
      </c>
      <c r="L73" s="121">
        <v>265</v>
      </c>
      <c r="M73" s="121">
        <v>0</v>
      </c>
      <c r="N73" s="121">
        <v>0</v>
      </c>
      <c r="O73" s="121">
        <v>6261</v>
      </c>
      <c r="P73" s="121">
        <v>2264</v>
      </c>
      <c r="Q73" s="121">
        <v>1643</v>
      </c>
      <c r="R73" s="121">
        <v>6727</v>
      </c>
      <c r="S73" s="121">
        <v>40</v>
      </c>
      <c r="T73" s="121">
        <v>150</v>
      </c>
      <c r="U73" s="121">
        <v>260</v>
      </c>
      <c r="V73" s="106">
        <v>71190</v>
      </c>
      <c r="W73" s="68"/>
    </row>
    <row r="74" spans="1:23">
      <c r="A74" s="162" t="s">
        <v>398</v>
      </c>
      <c r="B74" s="115">
        <v>122524</v>
      </c>
      <c r="C74" s="115">
        <v>66777</v>
      </c>
      <c r="D74" s="115">
        <v>383155</v>
      </c>
      <c r="E74" s="115">
        <v>0</v>
      </c>
      <c r="F74" s="115">
        <v>234941</v>
      </c>
      <c r="G74" s="115">
        <v>409517</v>
      </c>
      <c r="H74" s="115">
        <v>76239</v>
      </c>
      <c r="I74" s="115">
        <v>5013</v>
      </c>
      <c r="J74" s="115">
        <v>8841</v>
      </c>
      <c r="K74" s="115">
        <v>65277</v>
      </c>
      <c r="L74" s="115">
        <v>0</v>
      </c>
      <c r="M74" s="115">
        <v>0</v>
      </c>
      <c r="N74" s="115">
        <v>0</v>
      </c>
      <c r="O74" s="115">
        <v>986</v>
      </c>
      <c r="P74" s="115">
        <v>0</v>
      </c>
      <c r="Q74" s="115">
        <v>0</v>
      </c>
      <c r="R74" s="115">
        <v>0</v>
      </c>
      <c r="S74" s="115">
        <v>25383</v>
      </c>
      <c r="T74" s="115">
        <v>21218</v>
      </c>
      <c r="U74" s="115">
        <v>0</v>
      </c>
      <c r="V74" s="106">
        <v>1419871</v>
      </c>
      <c r="W74" s="68"/>
    </row>
    <row r="75" spans="1:23">
      <c r="A75" s="166" t="s">
        <v>399</v>
      </c>
      <c r="B75" s="167">
        <v>151468</v>
      </c>
      <c r="C75" s="167">
        <v>0</v>
      </c>
      <c r="D75" s="167">
        <v>111730</v>
      </c>
      <c r="E75" s="167">
        <v>1904</v>
      </c>
      <c r="F75" s="167">
        <v>19160</v>
      </c>
      <c r="G75" s="167">
        <v>0</v>
      </c>
      <c r="H75" s="167">
        <v>1377</v>
      </c>
      <c r="I75" s="167">
        <v>432</v>
      </c>
      <c r="J75" s="167">
        <v>796</v>
      </c>
      <c r="K75" s="167">
        <v>5218</v>
      </c>
      <c r="L75" s="167">
        <v>0</v>
      </c>
      <c r="M75" s="167">
        <v>0</v>
      </c>
      <c r="N75" s="167">
        <v>0</v>
      </c>
      <c r="O75" s="167">
        <v>266</v>
      </c>
      <c r="P75" s="167">
        <v>0</v>
      </c>
      <c r="Q75" s="167">
        <v>0</v>
      </c>
      <c r="R75" s="167">
        <v>0</v>
      </c>
      <c r="S75" s="167">
        <v>1927</v>
      </c>
      <c r="T75" s="167">
        <v>1697</v>
      </c>
      <c r="U75" s="167">
        <v>461</v>
      </c>
      <c r="V75" s="106">
        <v>296436</v>
      </c>
      <c r="W75" s="68"/>
    </row>
    <row r="76" spans="1:23">
      <c r="A76" s="162"/>
      <c r="B76" s="115"/>
      <c r="C76" s="115"/>
      <c r="D76" s="115"/>
      <c r="E76" s="115"/>
      <c r="F76" s="115"/>
      <c r="G76" s="115"/>
      <c r="H76" s="115"/>
      <c r="I76" s="115"/>
      <c r="J76" s="115"/>
      <c r="K76" s="115"/>
      <c r="L76" s="115"/>
      <c r="M76" s="115"/>
      <c r="N76" s="115"/>
      <c r="O76" s="115"/>
      <c r="P76" s="115"/>
      <c r="Q76" s="115"/>
      <c r="R76" s="115"/>
      <c r="S76" s="115"/>
      <c r="T76" s="115"/>
      <c r="U76" s="115"/>
      <c r="V76" s="106"/>
      <c r="W76" s="68"/>
    </row>
    <row r="77" spans="1:23">
      <c r="A77" s="54" t="s">
        <v>424</v>
      </c>
      <c r="B77" s="54" t="s">
        <v>886</v>
      </c>
      <c r="C77" s="54"/>
      <c r="D77" s="54"/>
      <c r="E77" s="54"/>
      <c r="F77" s="54"/>
      <c r="G77" s="54"/>
      <c r="H77" s="54"/>
      <c r="I77" s="54"/>
      <c r="J77" s="54"/>
      <c r="K77" s="54"/>
      <c r="L77" s="54"/>
      <c r="M77" s="54"/>
      <c r="N77" s="54"/>
      <c r="O77" s="54"/>
      <c r="P77" s="54"/>
      <c r="Q77" s="54"/>
      <c r="R77" s="54"/>
      <c r="S77" s="54"/>
      <c r="T77" s="54"/>
      <c r="U77" s="54"/>
    </row>
    <row r="78" spans="1:23">
      <c r="A78" s="55"/>
      <c r="B78" s="57" t="s">
        <v>437</v>
      </c>
      <c r="C78" s="55"/>
      <c r="D78" s="55"/>
      <c r="E78" s="55"/>
      <c r="F78" s="55"/>
      <c r="G78" s="55"/>
      <c r="H78" s="55"/>
      <c r="I78" s="55"/>
      <c r="J78" s="55"/>
      <c r="K78" s="55"/>
      <c r="L78" s="55"/>
      <c r="M78" s="55"/>
      <c r="N78" s="55"/>
      <c r="O78" s="55"/>
      <c r="P78" s="55"/>
      <c r="Q78" s="55"/>
      <c r="R78" s="55"/>
      <c r="S78" s="55"/>
      <c r="T78" s="55"/>
      <c r="U78" s="55"/>
    </row>
    <row r="79" spans="1:23">
      <c r="A79" s="178"/>
      <c r="B79" s="178" t="s">
        <v>107</v>
      </c>
      <c r="C79" s="178" t="s">
        <v>109</v>
      </c>
      <c r="D79" s="178" t="s">
        <v>110</v>
      </c>
      <c r="E79" s="178" t="s">
        <v>112</v>
      </c>
      <c r="F79" s="178" t="s">
        <v>113</v>
      </c>
      <c r="G79" s="178" t="s">
        <v>114</v>
      </c>
      <c r="H79" s="178" t="s">
        <v>115</v>
      </c>
      <c r="I79" s="178" t="s">
        <v>103</v>
      </c>
      <c r="J79" s="178" t="s">
        <v>104</v>
      </c>
      <c r="K79" s="178" t="s">
        <v>105</v>
      </c>
      <c r="L79" s="178" t="s">
        <v>106</v>
      </c>
      <c r="M79" s="178" t="s">
        <v>99</v>
      </c>
      <c r="N79" s="178" t="s">
        <v>101</v>
      </c>
      <c r="O79" s="178" t="s">
        <v>117</v>
      </c>
      <c r="P79" s="178" t="s">
        <v>118</v>
      </c>
      <c r="Q79" s="178" t="s">
        <v>119</v>
      </c>
      <c r="R79" s="178" t="s">
        <v>120</v>
      </c>
      <c r="S79" s="178" t="s">
        <v>121</v>
      </c>
      <c r="T79" s="178" t="s">
        <v>122</v>
      </c>
      <c r="U79" s="178" t="s">
        <v>123</v>
      </c>
      <c r="V79" s="22"/>
    </row>
    <row r="80" spans="1:23">
      <c r="A80" s="22" t="s">
        <v>233</v>
      </c>
      <c r="B80" s="184">
        <v>73299.925784129999</v>
      </c>
      <c r="C80" s="184">
        <v>23600</v>
      </c>
      <c r="D80" s="184">
        <v>14732.222</v>
      </c>
      <c r="E80" s="184">
        <v>22784</v>
      </c>
      <c r="F80" s="184">
        <v>3500</v>
      </c>
      <c r="G80" s="184">
        <v>10900</v>
      </c>
      <c r="H80" s="184">
        <v>7586.7822497400002</v>
      </c>
      <c r="I80" s="184"/>
      <c r="J80" s="184">
        <v>70</v>
      </c>
      <c r="K80" s="184">
        <v>1380</v>
      </c>
      <c r="L80" s="184">
        <v>510</v>
      </c>
      <c r="M80" s="184">
        <v>400</v>
      </c>
      <c r="N80" s="184">
        <v>1000</v>
      </c>
      <c r="O80" s="184">
        <v>500</v>
      </c>
      <c r="P80" s="184"/>
      <c r="Q80" s="184"/>
      <c r="R80" s="184">
        <v>54</v>
      </c>
      <c r="S80" s="184">
        <v>150</v>
      </c>
      <c r="T80" s="184">
        <v>5</v>
      </c>
      <c r="U80" s="184">
        <v>260</v>
      </c>
      <c r="V80" s="70">
        <v>160731.93003387001</v>
      </c>
    </row>
    <row r="81" spans="1:23">
      <c r="A81" s="22" t="s">
        <v>401</v>
      </c>
      <c r="B81" s="184"/>
      <c r="C81" s="184"/>
      <c r="D81" s="184"/>
      <c r="E81" s="184">
        <v>4800</v>
      </c>
      <c r="F81" s="184"/>
      <c r="G81" s="184"/>
      <c r="H81" s="184"/>
      <c r="I81" s="184"/>
      <c r="J81" s="184"/>
      <c r="K81" s="184"/>
      <c r="L81" s="184"/>
      <c r="M81" s="184"/>
      <c r="N81" s="184"/>
      <c r="O81" s="184"/>
      <c r="P81" s="184"/>
      <c r="Q81" s="184"/>
      <c r="R81" s="184"/>
      <c r="S81" s="184"/>
      <c r="T81" s="184">
        <v>10</v>
      </c>
      <c r="U81" s="184"/>
      <c r="V81" s="70">
        <v>4810</v>
      </c>
    </row>
    <row r="82" spans="1:23">
      <c r="A82" s="22" t="s">
        <v>402</v>
      </c>
      <c r="B82" s="184">
        <v>70501</v>
      </c>
      <c r="C82" s="184">
        <v>26500</v>
      </c>
      <c r="D82" s="184">
        <v>13708.682000000001</v>
      </c>
      <c r="E82" s="184">
        <v>38956</v>
      </c>
      <c r="F82" s="184">
        <v>7000</v>
      </c>
      <c r="G82" s="184">
        <v>5700</v>
      </c>
      <c r="H82" s="184">
        <v>3430.0981345199998</v>
      </c>
      <c r="I82" s="184">
        <v>1904.8340000000001</v>
      </c>
      <c r="J82" s="184">
        <v>4525.098</v>
      </c>
      <c r="K82" s="184">
        <v>3654.413</v>
      </c>
      <c r="L82" s="184">
        <v>2722.4090000000001</v>
      </c>
      <c r="M82" s="184">
        <v>1000</v>
      </c>
      <c r="N82" s="184">
        <v>4000</v>
      </c>
      <c r="O82" s="184">
        <v>4120</v>
      </c>
      <c r="P82" s="184">
        <v>1662</v>
      </c>
      <c r="Q82" s="184">
        <v>1719</v>
      </c>
      <c r="R82" s="184">
        <v>1840</v>
      </c>
      <c r="S82" s="184">
        <v>1000</v>
      </c>
      <c r="T82" s="184">
        <v>140.26402640000001</v>
      </c>
      <c r="U82" s="184">
        <v>507.64921678000002</v>
      </c>
      <c r="V82" s="70">
        <v>194591.44737770001</v>
      </c>
    </row>
    <row r="83" spans="1:23">
      <c r="A83" s="210" t="s">
        <v>403</v>
      </c>
      <c r="B83" s="189">
        <v>10464</v>
      </c>
      <c r="C83" s="189">
        <v>2920</v>
      </c>
      <c r="D83" s="189">
        <v>17635.3</v>
      </c>
      <c r="E83" s="189"/>
      <c r="F83" s="189"/>
      <c r="G83" s="189">
        <v>5200</v>
      </c>
      <c r="H83" s="189">
        <v>2271</v>
      </c>
      <c r="I83" s="189"/>
      <c r="J83" s="189"/>
      <c r="K83" s="189">
        <v>250</v>
      </c>
      <c r="L83" s="189">
        <v>100</v>
      </c>
      <c r="M83" s="189">
        <v>400</v>
      </c>
      <c r="N83" s="189">
        <v>1600</v>
      </c>
      <c r="O83" s="189">
        <v>40</v>
      </c>
      <c r="P83" s="189"/>
      <c r="Q83" s="189"/>
      <c r="R83" s="189"/>
      <c r="S83" s="189"/>
      <c r="T83" s="189">
        <v>54.455445539999999</v>
      </c>
      <c r="U83" s="189"/>
      <c r="V83" s="70">
        <v>40934.755445540002</v>
      </c>
    </row>
    <row r="84" spans="1:23">
      <c r="A84" s="22" t="s">
        <v>371</v>
      </c>
      <c r="B84" s="184">
        <v>1296.6278335699999</v>
      </c>
      <c r="C84" s="184">
        <v>8000</v>
      </c>
      <c r="D84" s="184"/>
      <c r="E84" s="184">
        <v>6426.3509999999997</v>
      </c>
      <c r="F84" s="184">
        <v>198.3</v>
      </c>
      <c r="G84" s="184"/>
      <c r="H84" s="184"/>
      <c r="I84" s="184">
        <v>5315</v>
      </c>
      <c r="J84" s="184">
        <v>6795</v>
      </c>
      <c r="K84" s="184">
        <v>1972</v>
      </c>
      <c r="L84" s="184">
        <v>237</v>
      </c>
      <c r="M84" s="184"/>
      <c r="N84" s="184"/>
      <c r="O84" s="184">
        <v>2400</v>
      </c>
      <c r="P84" s="184"/>
      <c r="Q84" s="184"/>
      <c r="R84" s="184"/>
      <c r="S84" s="184"/>
      <c r="T84" s="184"/>
      <c r="U84" s="184"/>
      <c r="V84" s="70">
        <v>32640.278833569999</v>
      </c>
    </row>
    <row r="85" spans="1:23">
      <c r="A85" s="176" t="s">
        <v>373</v>
      </c>
      <c r="B85" s="185">
        <v>4036</v>
      </c>
      <c r="C85" s="185">
        <v>13600</v>
      </c>
      <c r="D85" s="185">
        <v>1938.1020000000001</v>
      </c>
      <c r="E85" s="185">
        <v>3500</v>
      </c>
      <c r="F85" s="185">
        <v>536.5</v>
      </c>
      <c r="G85" s="185">
        <v>43</v>
      </c>
      <c r="H85" s="185">
        <v>134.25</v>
      </c>
      <c r="I85" s="185"/>
      <c r="J85" s="185"/>
      <c r="K85" s="185"/>
      <c r="L85" s="185"/>
      <c r="M85" s="185"/>
      <c r="N85" s="185"/>
      <c r="O85" s="185"/>
      <c r="P85" s="185"/>
      <c r="Q85" s="185"/>
      <c r="R85" s="185"/>
      <c r="S85" s="185">
        <v>128</v>
      </c>
      <c r="T85" s="185">
        <v>1608.13508419</v>
      </c>
      <c r="U85" s="185"/>
      <c r="V85" s="70">
        <v>25523.987084189997</v>
      </c>
    </row>
    <row r="86" spans="1:23">
      <c r="A86" s="38" t="s">
        <v>228</v>
      </c>
      <c r="B86" s="184">
        <v>1457.70490909</v>
      </c>
      <c r="C86" s="184">
        <v>1700</v>
      </c>
      <c r="D86" s="184"/>
      <c r="E86" s="184">
        <v>1744.12401899</v>
      </c>
      <c r="F86" s="184">
        <v>150</v>
      </c>
      <c r="G86" s="184"/>
      <c r="H86" s="184"/>
      <c r="I86" s="184"/>
      <c r="J86" s="184"/>
      <c r="K86" s="215"/>
      <c r="L86" s="215"/>
      <c r="M86" s="215"/>
      <c r="N86" s="215"/>
      <c r="O86" s="215"/>
      <c r="P86" s="184">
        <v>4931.3999999999996</v>
      </c>
      <c r="Q86" s="184">
        <v>5540.4</v>
      </c>
      <c r="R86" s="184">
        <v>24000.400000000001</v>
      </c>
      <c r="S86" s="215"/>
      <c r="T86" s="215"/>
      <c r="U86" s="215"/>
      <c r="V86" s="70">
        <v>39524.028928079999</v>
      </c>
    </row>
    <row r="87" spans="1:23">
      <c r="A87" s="211" t="s">
        <v>164</v>
      </c>
      <c r="B87" s="189">
        <v>8393</v>
      </c>
      <c r="C87" s="189">
        <v>1800</v>
      </c>
      <c r="D87" s="189">
        <v>2954</v>
      </c>
      <c r="E87" s="189">
        <v>4212</v>
      </c>
      <c r="F87" s="189">
        <v>1323.1</v>
      </c>
      <c r="G87" s="189"/>
      <c r="H87" s="189">
        <v>1395</v>
      </c>
      <c r="I87" s="189"/>
      <c r="J87" s="189"/>
      <c r="K87" s="319"/>
      <c r="L87" s="319"/>
      <c r="M87" s="319"/>
      <c r="N87" s="319"/>
      <c r="O87" s="319"/>
      <c r="P87" s="319"/>
      <c r="Q87" s="319"/>
      <c r="R87" s="319"/>
      <c r="S87" s="189">
        <v>900</v>
      </c>
      <c r="T87" s="319"/>
      <c r="U87" s="319"/>
      <c r="V87" s="70">
        <v>20977.1</v>
      </c>
    </row>
    <row r="88" spans="1:23">
      <c r="A88" s="22" t="s">
        <v>408</v>
      </c>
      <c r="B88" s="184"/>
      <c r="C88" s="184"/>
      <c r="D88" s="184">
        <v>3402</v>
      </c>
      <c r="E88" s="184"/>
      <c r="F88" s="184">
        <v>707.34870520000004</v>
      </c>
      <c r="G88" s="184">
        <v>620</v>
      </c>
      <c r="H88" s="184">
        <v>615.78599922000001</v>
      </c>
      <c r="I88" s="184"/>
      <c r="J88" s="184"/>
      <c r="K88" s="184"/>
      <c r="L88" s="184"/>
      <c r="M88" s="184">
        <v>320</v>
      </c>
      <c r="N88" s="184">
        <v>518</v>
      </c>
      <c r="O88" s="199">
        <v>456</v>
      </c>
      <c r="P88" s="184"/>
      <c r="Q88" s="184"/>
      <c r="R88" s="184"/>
      <c r="S88" s="184"/>
      <c r="T88" s="184"/>
      <c r="U88" s="184"/>
      <c r="V88" s="70">
        <v>6639.1347044200002</v>
      </c>
    </row>
    <row r="89" spans="1:23">
      <c r="A89" s="176" t="s">
        <v>406</v>
      </c>
      <c r="B89" s="185"/>
      <c r="C89" s="185"/>
      <c r="D89" s="185">
        <v>270</v>
      </c>
      <c r="E89" s="185"/>
      <c r="F89" s="185"/>
      <c r="G89" s="185">
        <v>3381</v>
      </c>
      <c r="H89" s="185"/>
      <c r="I89" s="185"/>
      <c r="J89" s="185"/>
      <c r="K89" s="185"/>
      <c r="L89" s="185"/>
      <c r="M89" s="185"/>
      <c r="N89" s="185"/>
      <c r="O89" s="185">
        <v>471.99999989999998</v>
      </c>
      <c r="P89" s="185"/>
      <c r="Q89" s="185"/>
      <c r="R89" s="185"/>
      <c r="S89" s="185"/>
      <c r="T89" s="185"/>
      <c r="U89" s="185"/>
      <c r="V89" s="70">
        <v>4122.9999999000001</v>
      </c>
    </row>
    <row r="90" spans="1:23">
      <c r="A90" s="22" t="s">
        <v>409</v>
      </c>
      <c r="B90" s="184"/>
      <c r="C90" s="184"/>
      <c r="D90" s="184"/>
      <c r="E90" s="184"/>
      <c r="F90" s="184"/>
      <c r="G90" s="184"/>
      <c r="H90" s="184"/>
      <c r="I90" s="184"/>
      <c r="J90" s="184"/>
      <c r="K90" s="184"/>
      <c r="L90" s="184"/>
      <c r="M90" s="184">
        <v>212.00000001000001</v>
      </c>
      <c r="N90" s="184">
        <v>137.00000001000001</v>
      </c>
      <c r="O90" s="184"/>
      <c r="P90" s="184"/>
      <c r="Q90" s="184"/>
      <c r="R90" s="184"/>
      <c r="S90" s="184"/>
      <c r="T90" s="184"/>
      <c r="U90" s="184"/>
      <c r="V90" s="70">
        <v>349.00000002000002</v>
      </c>
    </row>
    <row r="91" spans="1:23">
      <c r="A91" s="176" t="s">
        <v>411</v>
      </c>
      <c r="B91" s="185"/>
      <c r="C91" s="185"/>
      <c r="D91" s="185"/>
      <c r="E91" s="185"/>
      <c r="F91" s="185"/>
      <c r="G91" s="185"/>
      <c r="H91" s="185"/>
      <c r="I91" s="185"/>
      <c r="J91" s="185"/>
      <c r="K91" s="185"/>
      <c r="L91" s="185"/>
      <c r="M91" s="185"/>
      <c r="N91" s="185"/>
      <c r="O91" s="185"/>
      <c r="P91" s="185"/>
      <c r="Q91" s="185"/>
      <c r="R91" s="185"/>
      <c r="S91" s="185"/>
      <c r="T91" s="185"/>
      <c r="U91" s="185">
        <v>660</v>
      </c>
      <c r="V91" s="70">
        <v>660</v>
      </c>
    </row>
    <row r="92" spans="1:23">
      <c r="A92" s="22" t="s">
        <v>404</v>
      </c>
      <c r="B92" s="184"/>
      <c r="C92" s="184"/>
      <c r="D92" s="184"/>
      <c r="E92" s="184"/>
      <c r="F92" s="184"/>
      <c r="G92" s="184"/>
      <c r="H92" s="184"/>
      <c r="I92" s="184"/>
      <c r="J92" s="184"/>
      <c r="K92" s="184"/>
      <c r="L92" s="184"/>
      <c r="M92" s="184"/>
      <c r="N92" s="184">
        <v>430</v>
      </c>
      <c r="O92" s="184"/>
      <c r="P92" s="184"/>
      <c r="Q92" s="184"/>
      <c r="R92" s="184"/>
      <c r="S92" s="184"/>
      <c r="T92" s="184"/>
      <c r="U92" s="184"/>
      <c r="V92" s="70">
        <v>430</v>
      </c>
    </row>
    <row r="93" spans="1:23">
      <c r="A93" s="176" t="s">
        <v>405</v>
      </c>
      <c r="B93" s="185"/>
      <c r="C93" s="185"/>
      <c r="D93" s="185"/>
      <c r="E93" s="185"/>
      <c r="F93" s="185"/>
      <c r="G93" s="185"/>
      <c r="H93" s="185"/>
      <c r="I93" s="185"/>
      <c r="J93" s="185"/>
      <c r="K93" s="185"/>
      <c r="L93" s="185"/>
      <c r="M93" s="320">
        <v>520</v>
      </c>
      <c r="N93" s="185"/>
      <c r="O93" s="185"/>
      <c r="P93" s="185"/>
      <c r="Q93" s="185"/>
      <c r="R93" s="185"/>
      <c r="S93" s="185"/>
      <c r="T93" s="185"/>
      <c r="U93" s="185"/>
      <c r="V93" s="70">
        <v>520</v>
      </c>
      <c r="W93" s="70"/>
    </row>
    <row r="94" spans="1:23">
      <c r="A94" s="198" t="s">
        <v>238</v>
      </c>
      <c r="B94" s="187">
        <v>7935</v>
      </c>
      <c r="C94" s="187">
        <v>2549</v>
      </c>
      <c r="D94" s="187">
        <v>4637.0009769999997</v>
      </c>
      <c r="E94" s="187">
        <v>1586</v>
      </c>
      <c r="F94" s="187">
        <v>923</v>
      </c>
      <c r="G94" s="187">
        <v>540</v>
      </c>
      <c r="H94" s="187">
        <v>275.2637939</v>
      </c>
      <c r="I94" s="187">
        <v>258</v>
      </c>
      <c r="J94" s="187">
        <v>537</v>
      </c>
      <c r="K94" s="187">
        <v>2623</v>
      </c>
      <c r="L94" s="187">
        <v>591</v>
      </c>
      <c r="M94" s="187">
        <v>265.44000240000003</v>
      </c>
      <c r="N94" s="187">
        <v>457.9599915</v>
      </c>
      <c r="O94" s="187">
        <v>3028</v>
      </c>
      <c r="P94" s="187"/>
      <c r="Q94" s="187">
        <v>40.002998349999999</v>
      </c>
      <c r="R94" s="187">
        <v>36.299999239999998</v>
      </c>
      <c r="S94" s="187">
        <v>190</v>
      </c>
      <c r="T94" s="187">
        <v>0.21600000999999999</v>
      </c>
      <c r="U94" s="187">
        <v>148.6499939</v>
      </c>
      <c r="V94" s="70">
        <v>26620.833756299999</v>
      </c>
    </row>
    <row r="95" spans="1:23">
      <c r="A95" s="177" t="s">
        <v>142</v>
      </c>
      <c r="B95" s="188"/>
      <c r="C95" s="200">
        <v>61761.000011999997</v>
      </c>
      <c r="D95" s="188">
        <v>7149</v>
      </c>
      <c r="E95" s="188">
        <v>7126.9500749999997</v>
      </c>
      <c r="F95" s="188"/>
      <c r="G95" s="188">
        <v>486</v>
      </c>
      <c r="H95" s="188"/>
      <c r="I95" s="188"/>
      <c r="J95" s="188"/>
      <c r="K95" s="188">
        <v>6835</v>
      </c>
      <c r="L95" s="188"/>
      <c r="M95" s="188"/>
      <c r="N95" s="188"/>
      <c r="O95" s="188">
        <v>4384</v>
      </c>
      <c r="P95" s="188"/>
      <c r="Q95" s="188"/>
      <c r="R95" s="188"/>
      <c r="S95" s="188"/>
      <c r="T95" s="188"/>
      <c r="U95" s="188"/>
      <c r="V95" s="70">
        <v>87741.950087000005</v>
      </c>
    </row>
    <row r="96" spans="1:23">
      <c r="A96" s="22" t="s">
        <v>410</v>
      </c>
      <c r="B96" s="184">
        <v>5567.9000029999997</v>
      </c>
      <c r="C96" s="184"/>
      <c r="D96" s="184"/>
      <c r="E96" s="184"/>
      <c r="F96" s="184">
        <v>451.35998540000003</v>
      </c>
      <c r="G96" s="184"/>
      <c r="H96" s="184"/>
      <c r="I96" s="184"/>
      <c r="J96" s="184"/>
      <c r="K96" s="184"/>
      <c r="L96" s="184"/>
      <c r="M96" s="184"/>
      <c r="N96" s="184"/>
      <c r="O96" s="184"/>
      <c r="P96" s="184"/>
      <c r="Q96" s="184"/>
      <c r="R96" s="184"/>
      <c r="S96" s="184"/>
      <c r="T96" s="184"/>
      <c r="U96" s="184"/>
      <c r="V96" s="70">
        <v>6019.2599884000001</v>
      </c>
    </row>
    <row r="97" spans="1:22">
      <c r="A97" s="22" t="s">
        <v>378</v>
      </c>
      <c r="B97" s="184"/>
      <c r="C97" s="184"/>
      <c r="D97" s="184"/>
      <c r="E97" s="184"/>
      <c r="F97" s="184">
        <v>5322.0000006</v>
      </c>
      <c r="G97" s="184"/>
      <c r="H97" s="184"/>
      <c r="I97" s="184"/>
      <c r="J97" s="184"/>
      <c r="K97" s="184"/>
      <c r="L97" s="184"/>
      <c r="M97" s="184"/>
      <c r="N97" s="184"/>
      <c r="O97" s="184"/>
      <c r="P97" s="184"/>
      <c r="Q97" s="184"/>
      <c r="R97" s="184"/>
      <c r="S97" s="184"/>
      <c r="T97" s="184"/>
      <c r="U97" s="184"/>
      <c r="V97" s="70">
        <v>5322.0000006</v>
      </c>
    </row>
    <row r="98" spans="1:22">
      <c r="A98" s="176" t="s">
        <v>379</v>
      </c>
      <c r="B98" s="185">
        <v>3844.7000010000002</v>
      </c>
      <c r="C98" s="185"/>
      <c r="D98" s="185"/>
      <c r="E98" s="185"/>
      <c r="F98" s="185">
        <v>1840</v>
      </c>
      <c r="G98" s="185"/>
      <c r="H98" s="185"/>
      <c r="I98" s="185"/>
      <c r="J98" s="185"/>
      <c r="K98" s="185"/>
      <c r="L98" s="185"/>
      <c r="M98" s="185"/>
      <c r="N98" s="185"/>
      <c r="O98" s="185"/>
      <c r="P98" s="185"/>
      <c r="Q98" s="185"/>
      <c r="R98" s="185"/>
      <c r="S98" s="185"/>
      <c r="T98" s="185"/>
      <c r="U98" s="185"/>
      <c r="V98" s="70">
        <v>5684.7000010000002</v>
      </c>
    </row>
    <row r="99" spans="1:22">
      <c r="A99" s="22" t="s">
        <v>380</v>
      </c>
      <c r="B99" s="184">
        <v>110</v>
      </c>
      <c r="C99" s="184"/>
      <c r="D99" s="184"/>
      <c r="E99" s="184">
        <v>4317.7899779999998</v>
      </c>
      <c r="F99" s="184">
        <v>6650.3693792000004</v>
      </c>
      <c r="G99" s="184"/>
      <c r="H99" s="184"/>
      <c r="I99" s="184"/>
      <c r="J99" s="184"/>
      <c r="K99" s="184"/>
      <c r="L99" s="184"/>
      <c r="M99" s="184"/>
      <c r="N99" s="184"/>
      <c r="O99" s="184">
        <v>277.42857140000001</v>
      </c>
      <c r="P99" s="184"/>
      <c r="Q99" s="184"/>
      <c r="R99" s="184"/>
      <c r="S99" s="184"/>
      <c r="T99" s="184"/>
      <c r="U99" s="184"/>
      <c r="V99" s="70">
        <v>11355.5879286</v>
      </c>
    </row>
    <row r="100" spans="1:22">
      <c r="A100" s="22" t="s">
        <v>381</v>
      </c>
      <c r="B100" s="184">
        <v>5835.7999980000004</v>
      </c>
      <c r="C100" s="184"/>
      <c r="D100" s="184"/>
      <c r="E100" s="184"/>
      <c r="F100" s="184">
        <v>2122.0461156000001</v>
      </c>
      <c r="G100" s="184"/>
      <c r="H100" s="184"/>
      <c r="I100" s="184"/>
      <c r="J100" s="184"/>
      <c r="K100" s="184"/>
      <c r="L100" s="184"/>
      <c r="M100" s="184"/>
      <c r="N100" s="184">
        <v>259</v>
      </c>
      <c r="O100" s="184"/>
      <c r="P100" s="184"/>
      <c r="Q100" s="184"/>
      <c r="R100" s="184"/>
      <c r="S100" s="184"/>
      <c r="T100" s="184"/>
      <c r="U100" s="184"/>
      <c r="V100" s="70">
        <v>8216.8461136000005</v>
      </c>
    </row>
    <row r="101" spans="1:22">
      <c r="A101" s="176" t="s">
        <v>382</v>
      </c>
      <c r="B101" s="185">
        <v>7703.8000101999996</v>
      </c>
      <c r="C101" s="185"/>
      <c r="D101" s="185"/>
      <c r="E101" s="185"/>
      <c r="F101" s="185">
        <v>4450.2999879999998</v>
      </c>
      <c r="G101" s="185"/>
      <c r="H101" s="185"/>
      <c r="I101" s="185"/>
      <c r="J101" s="185"/>
      <c r="K101" s="185"/>
      <c r="L101" s="185"/>
      <c r="M101" s="185"/>
      <c r="N101" s="185">
        <v>410</v>
      </c>
      <c r="O101" s="185"/>
      <c r="P101" s="185"/>
      <c r="Q101" s="185"/>
      <c r="R101" s="185"/>
      <c r="S101" s="185"/>
      <c r="T101" s="185"/>
      <c r="U101" s="185"/>
      <c r="V101" s="70">
        <v>12564.099998199999</v>
      </c>
    </row>
    <row r="102" spans="1:22">
      <c r="A102" s="22" t="s">
        <v>383</v>
      </c>
      <c r="B102" s="184"/>
      <c r="C102" s="184"/>
      <c r="D102" s="184">
        <v>268.99999995000002</v>
      </c>
      <c r="E102" s="184"/>
      <c r="F102" s="184"/>
      <c r="G102" s="184"/>
      <c r="H102" s="184">
        <v>140</v>
      </c>
      <c r="I102" s="184"/>
      <c r="J102" s="184"/>
      <c r="K102" s="184"/>
      <c r="L102" s="184"/>
      <c r="M102" s="184"/>
      <c r="N102" s="184"/>
      <c r="O102" s="184"/>
      <c r="P102" s="184"/>
      <c r="Q102" s="184"/>
      <c r="R102" s="184"/>
      <c r="S102" s="184"/>
      <c r="T102" s="184"/>
      <c r="U102" s="184"/>
      <c r="V102" s="70">
        <v>408.99999995000002</v>
      </c>
    </row>
    <row r="103" spans="1:22">
      <c r="A103" s="22" t="s">
        <v>248</v>
      </c>
      <c r="B103" s="184">
        <v>1059.38999838</v>
      </c>
      <c r="C103" s="184"/>
      <c r="D103" s="184">
        <v>68</v>
      </c>
      <c r="E103" s="184"/>
      <c r="F103" s="184"/>
      <c r="G103" s="184"/>
      <c r="H103" s="184"/>
      <c r="I103" s="184"/>
      <c r="J103" s="184"/>
      <c r="K103" s="184"/>
      <c r="L103" s="184"/>
      <c r="M103" s="184"/>
      <c r="N103" s="184"/>
      <c r="O103" s="184"/>
      <c r="P103" s="184"/>
      <c r="Q103" s="184"/>
      <c r="R103" s="184"/>
      <c r="S103" s="184"/>
      <c r="T103" s="184"/>
      <c r="U103" s="184"/>
      <c r="V103" s="70">
        <v>1127.38999838</v>
      </c>
    </row>
    <row r="104" spans="1:22">
      <c r="A104" s="176" t="s">
        <v>412</v>
      </c>
      <c r="B104" s="185"/>
      <c r="C104" s="185"/>
      <c r="D104" s="185"/>
      <c r="E104" s="185"/>
      <c r="F104" s="185"/>
      <c r="G104" s="185"/>
      <c r="H104" s="185"/>
      <c r="I104" s="185"/>
      <c r="J104" s="185"/>
      <c r="K104" s="185"/>
      <c r="L104" s="185"/>
      <c r="M104" s="185"/>
      <c r="N104" s="185"/>
      <c r="O104" s="185"/>
      <c r="P104" s="185"/>
      <c r="Q104" s="185"/>
      <c r="R104" s="185"/>
      <c r="S104" s="185"/>
      <c r="T104" s="185"/>
      <c r="U104" s="185">
        <v>672</v>
      </c>
      <c r="V104" s="70">
        <v>672</v>
      </c>
    </row>
    <row r="105" spans="1:22">
      <c r="A105" s="22" t="s">
        <v>384</v>
      </c>
      <c r="B105" s="184">
        <v>1993.8290024400001</v>
      </c>
      <c r="C105" s="184"/>
      <c r="D105" s="184">
        <v>57</v>
      </c>
      <c r="E105" s="184"/>
      <c r="F105" s="184"/>
      <c r="G105" s="184"/>
      <c r="H105" s="184"/>
      <c r="I105" s="184"/>
      <c r="J105" s="184"/>
      <c r="K105" s="184"/>
      <c r="L105" s="184"/>
      <c r="M105" s="184"/>
      <c r="N105" s="184"/>
      <c r="O105" s="184"/>
      <c r="P105" s="184"/>
      <c r="Q105" s="184"/>
      <c r="R105" s="184"/>
      <c r="S105" s="184"/>
      <c r="T105" s="184"/>
      <c r="U105" s="184">
        <v>94</v>
      </c>
      <c r="V105" s="70">
        <v>2144.8290024400003</v>
      </c>
    </row>
    <row r="106" spans="1:22">
      <c r="A106" s="22" t="s">
        <v>385</v>
      </c>
      <c r="B106" s="184">
        <v>1120.1699980799999</v>
      </c>
      <c r="C106" s="184"/>
      <c r="D106" s="184"/>
      <c r="E106" s="184"/>
      <c r="F106" s="184"/>
      <c r="G106" s="184"/>
      <c r="H106" s="184">
        <v>781.10000032000005</v>
      </c>
      <c r="I106" s="184"/>
      <c r="J106" s="184"/>
      <c r="K106" s="184"/>
      <c r="L106" s="184"/>
      <c r="M106" s="184"/>
      <c r="N106" s="184"/>
      <c r="O106" s="184"/>
      <c r="P106" s="184"/>
      <c r="Q106" s="184"/>
      <c r="R106" s="184"/>
      <c r="S106" s="184"/>
      <c r="T106" s="184"/>
      <c r="U106" s="184"/>
      <c r="V106" s="70">
        <v>1901.2699984000001</v>
      </c>
    </row>
    <row r="107" spans="1:22">
      <c r="A107" s="22" t="s">
        <v>389</v>
      </c>
      <c r="B107" s="184">
        <v>281.06000087000001</v>
      </c>
      <c r="C107" s="184">
        <v>199</v>
      </c>
      <c r="D107" s="184">
        <v>931</v>
      </c>
      <c r="E107" s="184"/>
      <c r="F107" s="184"/>
      <c r="G107" s="184">
        <v>40</v>
      </c>
      <c r="H107" s="184">
        <v>50</v>
      </c>
      <c r="I107" s="184"/>
      <c r="J107" s="184">
        <v>53.748001100000003</v>
      </c>
      <c r="K107" s="184">
        <v>57.041000369999999</v>
      </c>
      <c r="L107" s="184"/>
      <c r="M107" s="184"/>
      <c r="N107" s="184"/>
      <c r="O107" s="184">
        <v>232</v>
      </c>
      <c r="P107" s="184"/>
      <c r="Q107" s="184"/>
      <c r="R107" s="184"/>
      <c r="S107" s="184"/>
      <c r="T107" s="184"/>
      <c r="U107" s="184"/>
      <c r="V107" s="70">
        <v>1843.84900234</v>
      </c>
    </row>
    <row r="108" spans="1:22">
      <c r="A108" s="22" t="s">
        <v>386</v>
      </c>
      <c r="B108" s="184">
        <v>3671.6880017399999</v>
      </c>
      <c r="C108" s="184"/>
      <c r="D108" s="184">
        <v>465</v>
      </c>
      <c r="E108" s="184"/>
      <c r="F108" s="184"/>
      <c r="G108" s="184">
        <v>1957.5000001999999</v>
      </c>
      <c r="H108" s="184"/>
      <c r="I108" s="184"/>
      <c r="J108" s="184"/>
      <c r="K108" s="184"/>
      <c r="L108" s="184"/>
      <c r="M108" s="184"/>
      <c r="N108" s="184"/>
      <c r="O108" s="184"/>
      <c r="P108" s="184"/>
      <c r="Q108" s="184"/>
      <c r="R108" s="184"/>
      <c r="S108" s="184"/>
      <c r="T108" s="184"/>
      <c r="U108" s="184"/>
      <c r="V108" s="70">
        <v>6094.1880019399996</v>
      </c>
    </row>
    <row r="109" spans="1:22">
      <c r="A109" s="22" t="s">
        <v>387</v>
      </c>
      <c r="B109" s="184">
        <v>5511.9999564</v>
      </c>
      <c r="C109" s="184"/>
      <c r="D109" s="184">
        <v>14848.100037</v>
      </c>
      <c r="E109" s="184"/>
      <c r="F109" s="184"/>
      <c r="G109" s="184">
        <v>2232.0000000999999</v>
      </c>
      <c r="H109" s="184">
        <v>965</v>
      </c>
      <c r="I109" s="184"/>
      <c r="J109" s="184"/>
      <c r="K109" s="184"/>
      <c r="L109" s="184"/>
      <c r="M109" s="184">
        <v>23.200000760000002</v>
      </c>
      <c r="N109" s="184"/>
      <c r="O109" s="199">
        <v>640</v>
      </c>
      <c r="P109" s="184"/>
      <c r="Q109" s="184"/>
      <c r="R109" s="184"/>
      <c r="S109" s="184"/>
      <c r="T109" s="184"/>
      <c r="U109" s="184"/>
      <c r="V109" s="70">
        <v>24220.29999426</v>
      </c>
    </row>
    <row r="110" spans="1:22">
      <c r="A110" s="22" t="s">
        <v>391</v>
      </c>
      <c r="B110" s="184"/>
      <c r="C110" s="184">
        <v>792</v>
      </c>
      <c r="D110" s="184"/>
      <c r="E110" s="184">
        <v>24498.5600013</v>
      </c>
      <c r="F110" s="184"/>
      <c r="G110" s="184"/>
      <c r="H110" s="184"/>
      <c r="I110" s="184"/>
      <c r="J110" s="184"/>
      <c r="K110" s="184">
        <v>267</v>
      </c>
      <c r="L110" s="184"/>
      <c r="M110" s="184"/>
      <c r="N110" s="184"/>
      <c r="O110" s="199">
        <v>234</v>
      </c>
      <c r="P110" s="184"/>
      <c r="Q110" s="184"/>
      <c r="R110" s="184"/>
      <c r="S110" s="184"/>
      <c r="T110" s="184">
        <v>99</v>
      </c>
      <c r="U110" s="184"/>
      <c r="V110" s="70">
        <v>25890.5600013</v>
      </c>
    </row>
    <row r="111" spans="1:22">
      <c r="A111" s="22" t="s">
        <v>392</v>
      </c>
      <c r="B111" s="184"/>
      <c r="C111" s="184">
        <v>5346.9999995999997</v>
      </c>
      <c r="D111" s="184">
        <v>910</v>
      </c>
      <c r="E111" s="184"/>
      <c r="F111" s="184"/>
      <c r="G111" s="184">
        <v>6160.0000005000002</v>
      </c>
      <c r="H111" s="184">
        <v>3287.2000121999999</v>
      </c>
      <c r="I111" s="184"/>
      <c r="J111" s="184"/>
      <c r="K111" s="184"/>
      <c r="L111" s="184"/>
      <c r="M111" s="184"/>
      <c r="N111" s="184"/>
      <c r="O111" s="184"/>
      <c r="P111" s="184"/>
      <c r="Q111" s="184"/>
      <c r="R111" s="184"/>
      <c r="S111" s="184"/>
      <c r="T111" s="184"/>
      <c r="U111" s="184"/>
      <c r="V111" s="70">
        <v>15704.2000123</v>
      </c>
    </row>
    <row r="112" spans="1:22">
      <c r="A112" s="22" t="s">
        <v>390</v>
      </c>
      <c r="B112" s="184">
        <v>3102.90800008</v>
      </c>
      <c r="C112" s="199">
        <v>437.00000010000002</v>
      </c>
      <c r="D112" s="184"/>
      <c r="E112" s="184"/>
      <c r="F112" s="184"/>
      <c r="G112" s="184">
        <v>602.79999882000004</v>
      </c>
      <c r="H112" s="184">
        <v>242</v>
      </c>
      <c r="I112" s="184"/>
      <c r="J112" s="184"/>
      <c r="K112" s="184"/>
      <c r="L112" s="184"/>
      <c r="M112" s="184"/>
      <c r="N112" s="184"/>
      <c r="O112" s="184">
        <v>87</v>
      </c>
      <c r="P112" s="184"/>
      <c r="Q112" s="184"/>
      <c r="R112" s="184"/>
      <c r="S112" s="184"/>
      <c r="T112" s="184"/>
      <c r="U112" s="184"/>
      <c r="V112" s="70">
        <v>4471.7079990000002</v>
      </c>
    </row>
    <row r="113" spans="1:23">
      <c r="A113" s="176" t="s">
        <v>388</v>
      </c>
      <c r="B113" s="185">
        <v>6677.0999892</v>
      </c>
      <c r="C113" s="185">
        <v>414</v>
      </c>
      <c r="D113" s="185">
        <v>13694.999999400001</v>
      </c>
      <c r="E113" s="185"/>
      <c r="F113" s="185">
        <v>2016.3670044</v>
      </c>
      <c r="G113" s="185"/>
      <c r="H113" s="185">
        <v>2499</v>
      </c>
      <c r="I113" s="185"/>
      <c r="J113" s="185"/>
      <c r="K113" s="185"/>
      <c r="L113" s="185"/>
      <c r="M113" s="185"/>
      <c r="N113" s="185"/>
      <c r="O113" s="185"/>
      <c r="P113" s="185"/>
      <c r="Q113" s="185"/>
      <c r="R113" s="185"/>
      <c r="S113" s="185"/>
      <c r="T113" s="185">
        <v>850</v>
      </c>
      <c r="U113" s="185"/>
      <c r="V113" s="70">
        <v>26151.466992999998</v>
      </c>
    </row>
    <row r="114" spans="1:23">
      <c r="A114" s="196" t="s">
        <v>252</v>
      </c>
      <c r="B114" s="184">
        <v>8881.2998050000006</v>
      </c>
      <c r="C114" s="184">
        <v>1873.599976</v>
      </c>
      <c r="D114" s="184"/>
      <c r="E114" s="184">
        <v>4292</v>
      </c>
      <c r="F114" s="184">
        <v>6998</v>
      </c>
      <c r="G114" s="184">
        <v>4350</v>
      </c>
      <c r="H114" s="184">
        <v>1244</v>
      </c>
      <c r="I114" s="184"/>
      <c r="J114" s="184"/>
      <c r="K114" s="184"/>
      <c r="L114" s="184"/>
      <c r="M114" s="184">
        <v>57.900001529999997</v>
      </c>
      <c r="N114" s="184">
        <v>184.9400024</v>
      </c>
      <c r="O114" s="184">
        <v>320</v>
      </c>
      <c r="P114" s="184">
        <v>20</v>
      </c>
      <c r="Q114" s="184">
        <v>195</v>
      </c>
      <c r="R114" s="184">
        <v>50</v>
      </c>
      <c r="S114" s="184">
        <v>135</v>
      </c>
      <c r="T114" s="184"/>
      <c r="U114" s="184">
        <v>155</v>
      </c>
      <c r="V114" s="70">
        <v>28756.73978493</v>
      </c>
    </row>
    <row r="115" spans="1:23">
      <c r="A115" s="196" t="s">
        <v>413</v>
      </c>
      <c r="B115" s="184">
        <v>3993.3000489999999</v>
      </c>
      <c r="C115" s="184"/>
      <c r="D115" s="184"/>
      <c r="E115" s="184"/>
      <c r="F115" s="184"/>
      <c r="G115" s="184"/>
      <c r="H115" s="184"/>
      <c r="I115" s="184"/>
      <c r="J115" s="184"/>
      <c r="K115" s="184"/>
      <c r="L115" s="184"/>
      <c r="M115" s="184"/>
      <c r="N115" s="184"/>
      <c r="O115" s="184"/>
      <c r="P115" s="184"/>
      <c r="Q115" s="184"/>
      <c r="R115" s="184"/>
      <c r="S115" s="184"/>
      <c r="T115" s="184"/>
      <c r="U115" s="184"/>
      <c r="V115" s="70">
        <v>3993.3000489999999</v>
      </c>
    </row>
    <row r="116" spans="1:23">
      <c r="A116" s="196" t="s">
        <v>414</v>
      </c>
      <c r="B116" s="184"/>
      <c r="C116" s="184"/>
      <c r="D116" s="184"/>
      <c r="E116" s="184"/>
      <c r="F116" s="184"/>
      <c r="G116" s="184"/>
      <c r="H116" s="184"/>
      <c r="I116" s="184"/>
      <c r="J116" s="184"/>
      <c r="K116" s="184"/>
      <c r="L116" s="184"/>
      <c r="M116" s="184">
        <v>190.5</v>
      </c>
      <c r="N116" s="184"/>
      <c r="O116" s="184"/>
      <c r="P116" s="184"/>
      <c r="Q116" s="184"/>
      <c r="R116" s="184"/>
      <c r="S116" s="184"/>
      <c r="T116" s="184"/>
      <c r="U116" s="184"/>
      <c r="V116" s="70">
        <v>190.5</v>
      </c>
    </row>
    <row r="117" spans="1:23">
      <c r="A117" s="196" t="s">
        <v>415</v>
      </c>
      <c r="B117" s="184"/>
      <c r="C117" s="184"/>
      <c r="D117" s="184"/>
      <c r="E117" s="184"/>
      <c r="F117" s="184"/>
      <c r="G117" s="184"/>
      <c r="H117" s="184"/>
      <c r="I117" s="184"/>
      <c r="J117" s="184"/>
      <c r="K117" s="184"/>
      <c r="L117" s="184"/>
      <c r="M117" s="184"/>
      <c r="N117" s="184">
        <v>315.89999390000003</v>
      </c>
      <c r="O117" s="184"/>
      <c r="P117" s="184"/>
      <c r="Q117" s="184"/>
      <c r="R117" s="184"/>
      <c r="S117" s="184"/>
      <c r="T117" s="184"/>
      <c r="U117" s="184"/>
      <c r="V117" s="70">
        <v>315.89999390000003</v>
      </c>
    </row>
    <row r="118" spans="1:23">
      <c r="A118" s="196" t="s">
        <v>416</v>
      </c>
      <c r="B118" s="184"/>
      <c r="C118" s="184"/>
      <c r="D118" s="184"/>
      <c r="E118" s="184"/>
      <c r="F118" s="184"/>
      <c r="G118" s="184"/>
      <c r="H118" s="184"/>
      <c r="I118" s="184"/>
      <c r="J118" s="184"/>
      <c r="K118" s="184"/>
      <c r="L118" s="184"/>
      <c r="M118" s="184"/>
      <c r="N118" s="184"/>
      <c r="O118" s="184">
        <v>2921</v>
      </c>
      <c r="P118" s="184"/>
      <c r="Q118" s="184"/>
      <c r="R118" s="184"/>
      <c r="S118" s="184"/>
      <c r="T118" s="184"/>
      <c r="U118" s="184"/>
      <c r="V118" s="70">
        <v>2921</v>
      </c>
    </row>
    <row r="119" spans="1:23">
      <c r="A119" s="196" t="s">
        <v>417</v>
      </c>
      <c r="B119" s="184"/>
      <c r="C119" s="184">
        <v>4660.3999020000001</v>
      </c>
      <c r="D119" s="184"/>
      <c r="E119" s="184"/>
      <c r="F119" s="184"/>
      <c r="G119" s="184"/>
      <c r="H119" s="184"/>
      <c r="I119" s="184"/>
      <c r="J119" s="184"/>
      <c r="K119" s="184"/>
      <c r="L119" s="184"/>
      <c r="M119" s="184"/>
      <c r="N119" s="184"/>
      <c r="O119" s="184"/>
      <c r="P119" s="184"/>
      <c r="Q119" s="184"/>
      <c r="R119" s="184"/>
      <c r="S119" s="184"/>
      <c r="T119" s="184"/>
      <c r="U119" s="184"/>
      <c r="V119" s="70">
        <v>4660.3999020000001</v>
      </c>
    </row>
    <row r="120" spans="1:23">
      <c r="A120" s="197" t="s">
        <v>418</v>
      </c>
      <c r="B120" s="189"/>
      <c r="C120" s="189"/>
      <c r="D120" s="189">
        <v>7307.1940000000004</v>
      </c>
      <c r="E120" s="189"/>
      <c r="F120" s="189"/>
      <c r="G120" s="189"/>
      <c r="H120" s="189"/>
      <c r="I120" s="189"/>
      <c r="J120" s="189"/>
      <c r="K120" s="189"/>
      <c r="L120" s="189"/>
      <c r="M120" s="189"/>
      <c r="N120" s="189"/>
      <c r="O120" s="189"/>
      <c r="P120" s="189"/>
      <c r="Q120" s="189"/>
      <c r="R120" s="189"/>
      <c r="S120" s="189"/>
      <c r="T120" s="189"/>
      <c r="U120" s="189"/>
      <c r="V120" s="70">
        <v>7307.1940000000004</v>
      </c>
      <c r="W120" s="70"/>
    </row>
    <row r="121" spans="1:23">
      <c r="A121" s="134" t="s">
        <v>79</v>
      </c>
      <c r="B121" s="185">
        <v>500</v>
      </c>
      <c r="C121" s="185"/>
      <c r="D121" s="185"/>
      <c r="E121" s="185"/>
      <c r="F121" s="185"/>
      <c r="G121" s="185"/>
      <c r="H121" s="185"/>
      <c r="I121" s="185"/>
      <c r="J121" s="185"/>
      <c r="K121" s="185"/>
      <c r="L121" s="185"/>
      <c r="M121" s="185"/>
      <c r="N121" s="185"/>
      <c r="O121" s="185"/>
      <c r="P121" s="185"/>
      <c r="Q121" s="185"/>
      <c r="R121" s="185"/>
      <c r="S121" s="185"/>
      <c r="T121" s="185"/>
      <c r="U121" s="185"/>
      <c r="V121" s="70">
        <v>500</v>
      </c>
    </row>
    <row r="122" spans="1:23">
      <c r="A122" s="190" t="s">
        <v>227</v>
      </c>
      <c r="B122" s="187"/>
      <c r="C122" s="187"/>
      <c r="D122" s="187">
        <v>410</v>
      </c>
      <c r="E122" s="187">
        <v>500</v>
      </c>
      <c r="F122" s="187">
        <v>111</v>
      </c>
      <c r="G122" s="187"/>
      <c r="H122" s="187">
        <v>410</v>
      </c>
      <c r="I122" s="187"/>
      <c r="J122" s="187"/>
      <c r="K122" s="187"/>
      <c r="L122" s="187"/>
      <c r="M122" s="187"/>
      <c r="N122" s="187"/>
      <c r="O122" s="187"/>
      <c r="P122" s="187"/>
      <c r="Q122" s="187"/>
      <c r="R122" s="187"/>
      <c r="S122" s="187"/>
      <c r="T122" s="187"/>
      <c r="U122" s="187"/>
      <c r="V122" s="70">
        <v>1431</v>
      </c>
    </row>
    <row r="123" spans="1:23">
      <c r="A123" s="195" t="s">
        <v>144</v>
      </c>
      <c r="B123" s="188">
        <v>1361</v>
      </c>
      <c r="C123" s="188">
        <v>3400</v>
      </c>
      <c r="D123" s="188">
        <v>1217.8117649999999</v>
      </c>
      <c r="E123" s="188">
        <v>1600</v>
      </c>
      <c r="F123" s="188"/>
      <c r="G123" s="188">
        <v>700</v>
      </c>
      <c r="H123" s="188">
        <v>981.9999924</v>
      </c>
      <c r="I123" s="188"/>
      <c r="J123" s="188"/>
      <c r="K123" s="188"/>
      <c r="L123" s="188"/>
      <c r="M123" s="188"/>
      <c r="N123" s="188"/>
      <c r="O123" s="188">
        <v>2150</v>
      </c>
      <c r="P123" s="188">
        <v>1424</v>
      </c>
      <c r="Q123" s="188">
        <v>1296</v>
      </c>
      <c r="R123" s="188">
        <v>3584</v>
      </c>
      <c r="S123" s="188">
        <v>10</v>
      </c>
      <c r="T123" s="188">
        <v>36.799999999999997</v>
      </c>
      <c r="U123" s="188">
        <v>60</v>
      </c>
      <c r="V123" s="70">
        <v>17821.611757399998</v>
      </c>
    </row>
    <row r="124" spans="1:23">
      <c r="A124" s="22"/>
      <c r="B124" s="70">
        <f t="shared" ref="B124:V124" si="6">SUM(B80:B123)</f>
        <v>238599.20334018001</v>
      </c>
      <c r="C124" s="70">
        <f t="shared" si="6"/>
        <v>159552.9998897</v>
      </c>
      <c r="D124" s="70">
        <f t="shared" si="6"/>
        <v>106604.41277835</v>
      </c>
      <c r="E124" s="70">
        <f t="shared" si="6"/>
        <v>126343.77507328999</v>
      </c>
      <c r="F124" s="70">
        <f t="shared" si="6"/>
        <v>44299.691178400004</v>
      </c>
      <c r="G124" s="70">
        <f t="shared" si="6"/>
        <v>42912.299999620009</v>
      </c>
      <c r="H124" s="70">
        <f t="shared" si="6"/>
        <v>26308.480182299998</v>
      </c>
      <c r="I124" s="70">
        <f t="shared" si="6"/>
        <v>7477.8339999999998</v>
      </c>
      <c r="J124" s="70">
        <f t="shared" si="6"/>
        <v>11980.846001100001</v>
      </c>
      <c r="K124" s="70">
        <f t="shared" si="6"/>
        <v>17038.454000370002</v>
      </c>
      <c r="L124" s="70">
        <f t="shared" si="6"/>
        <v>4160.4089999999997</v>
      </c>
      <c r="M124" s="70">
        <f t="shared" si="6"/>
        <v>3389.0400046999998</v>
      </c>
      <c r="N124" s="70">
        <f t="shared" si="6"/>
        <v>9312.7999878100018</v>
      </c>
      <c r="O124" s="70">
        <f t="shared" si="6"/>
        <v>22261.428571299999</v>
      </c>
      <c r="P124" s="70">
        <f t="shared" si="6"/>
        <v>8037.4</v>
      </c>
      <c r="Q124" s="70">
        <f t="shared" si="6"/>
        <v>8790.4029983500004</v>
      </c>
      <c r="R124" s="70">
        <f t="shared" si="6"/>
        <v>29564.699999240001</v>
      </c>
      <c r="S124" s="70">
        <f t="shared" si="6"/>
        <v>2513</v>
      </c>
      <c r="T124" s="70">
        <f t="shared" si="6"/>
        <v>2803.8705561400002</v>
      </c>
      <c r="U124" s="70">
        <f t="shared" si="6"/>
        <v>2557.2992106800002</v>
      </c>
      <c r="V124" s="70">
        <f t="shared" si="6"/>
        <v>874508.34677152999</v>
      </c>
    </row>
    <row r="125" spans="1:23">
      <c r="A125" s="174"/>
    </row>
    <row r="126" spans="1:23">
      <c r="A126" s="54"/>
      <c r="B126" s="54" t="s">
        <v>888</v>
      </c>
      <c r="C126" s="54"/>
      <c r="D126" s="54"/>
      <c r="E126" s="54"/>
      <c r="F126" s="54"/>
      <c r="G126" s="54"/>
      <c r="H126" s="54"/>
      <c r="I126" s="54"/>
      <c r="J126" s="54"/>
      <c r="K126" s="54"/>
      <c r="L126" s="54"/>
      <c r="M126" s="54"/>
      <c r="N126" s="54"/>
      <c r="O126" s="54"/>
      <c r="P126" s="54"/>
      <c r="Q126" s="54"/>
      <c r="R126" s="54"/>
      <c r="S126" s="54"/>
      <c r="T126" s="54"/>
      <c r="U126" s="54"/>
      <c r="V126" s="70"/>
    </row>
    <row r="127" spans="1:23">
      <c r="A127" s="178"/>
      <c r="B127" s="178" t="s">
        <v>107</v>
      </c>
      <c r="C127" s="178" t="s">
        <v>109</v>
      </c>
      <c r="D127" s="178" t="s">
        <v>110</v>
      </c>
      <c r="E127" s="178" t="s">
        <v>112</v>
      </c>
      <c r="F127" s="178" t="s">
        <v>113</v>
      </c>
      <c r="G127" s="178" t="s">
        <v>114</v>
      </c>
      <c r="H127" s="178" t="s">
        <v>115</v>
      </c>
      <c r="I127" s="178" t="s">
        <v>103</v>
      </c>
      <c r="J127" s="178" t="s">
        <v>104</v>
      </c>
      <c r="K127" s="178" t="s">
        <v>105</v>
      </c>
      <c r="L127" s="178" t="s">
        <v>106</v>
      </c>
      <c r="M127" s="178" t="s">
        <v>99</v>
      </c>
      <c r="N127" s="178" t="s">
        <v>101</v>
      </c>
      <c r="O127" s="178" t="s">
        <v>117</v>
      </c>
      <c r="P127" s="178" t="s">
        <v>118</v>
      </c>
      <c r="Q127" s="178" t="s">
        <v>119</v>
      </c>
      <c r="R127" s="178" t="s">
        <v>120</v>
      </c>
      <c r="S127" s="178" t="s">
        <v>121</v>
      </c>
      <c r="T127" s="178" t="s">
        <v>122</v>
      </c>
      <c r="U127" s="178" t="s">
        <v>123</v>
      </c>
      <c r="V127" s="70"/>
    </row>
    <row r="128" spans="1:23">
      <c r="A128" s="174" t="s">
        <v>391</v>
      </c>
      <c r="B128" s="184"/>
      <c r="C128" s="109"/>
      <c r="D128" s="184"/>
      <c r="E128" s="184"/>
      <c r="F128" s="184"/>
      <c r="G128" s="184"/>
      <c r="H128" s="184"/>
      <c r="I128" s="184"/>
      <c r="J128" s="184"/>
      <c r="K128" s="184"/>
      <c r="L128" s="184"/>
      <c r="M128" s="184"/>
      <c r="N128" s="184"/>
      <c r="O128" s="184"/>
      <c r="P128" s="184"/>
      <c r="Q128" s="184"/>
      <c r="R128" s="184"/>
      <c r="S128" s="184">
        <v>1350</v>
      </c>
      <c r="T128" s="184"/>
      <c r="U128" s="184"/>
      <c r="V128" s="70"/>
    </row>
    <row r="129" spans="1:22">
      <c r="A129" s="174" t="s">
        <v>390</v>
      </c>
      <c r="B129" s="184"/>
      <c r="C129" s="184">
        <v>5500</v>
      </c>
      <c r="D129" s="184"/>
      <c r="E129" s="184"/>
      <c r="F129" s="184"/>
      <c r="G129" s="184"/>
      <c r="H129" s="184"/>
      <c r="I129" s="184"/>
      <c r="J129" s="184"/>
      <c r="K129" s="184"/>
      <c r="L129" s="184"/>
      <c r="M129" s="184"/>
      <c r="N129" s="184"/>
      <c r="O129" s="184"/>
      <c r="P129" s="184"/>
      <c r="Q129" s="184"/>
      <c r="R129" s="184"/>
      <c r="S129" s="184"/>
      <c r="T129" s="184"/>
      <c r="U129" s="184"/>
      <c r="V129" s="70"/>
    </row>
    <row r="130" spans="1:22">
      <c r="A130" s="194" t="s">
        <v>248</v>
      </c>
      <c r="B130" s="189"/>
      <c r="C130" s="189">
        <v>2600</v>
      </c>
      <c r="D130" s="189"/>
      <c r="E130" s="189"/>
      <c r="F130" s="189"/>
      <c r="G130" s="189"/>
      <c r="H130" s="189"/>
      <c r="I130" s="189"/>
      <c r="J130" s="189"/>
      <c r="K130" s="189"/>
      <c r="L130" s="189"/>
      <c r="M130" s="189"/>
      <c r="N130" s="189"/>
      <c r="O130" s="189"/>
      <c r="P130" s="189"/>
      <c r="Q130" s="189"/>
      <c r="R130" s="189"/>
      <c r="S130" s="189"/>
      <c r="T130" s="189"/>
      <c r="U130" s="189"/>
      <c r="V130" s="70">
        <f>SUM(B128:U130)</f>
        <v>9450</v>
      </c>
    </row>
    <row r="131" spans="1:22">
      <c r="A131" s="174" t="s">
        <v>433</v>
      </c>
      <c r="B131" s="184">
        <v>1500</v>
      </c>
      <c r="C131" s="184">
        <v>1500</v>
      </c>
      <c r="D131" s="184">
        <v>800</v>
      </c>
      <c r="E131" s="184"/>
      <c r="F131" s="184"/>
      <c r="G131" s="184"/>
      <c r="H131" s="184"/>
      <c r="I131" s="184"/>
      <c r="J131" s="184"/>
      <c r="K131" s="184">
        <v>400</v>
      </c>
      <c r="L131" s="184"/>
      <c r="M131" s="184"/>
      <c r="N131" s="184"/>
      <c r="O131" s="184">
        <v>300</v>
      </c>
      <c r="P131" s="184"/>
      <c r="Q131" s="184">
        <v>100</v>
      </c>
      <c r="R131" s="184">
        <v>400</v>
      </c>
      <c r="S131" s="184"/>
      <c r="T131" s="184"/>
      <c r="U131" s="184"/>
      <c r="V131" s="70"/>
    </row>
    <row r="132" spans="1:22">
      <c r="A132" s="174" t="s">
        <v>434</v>
      </c>
      <c r="B132" s="184"/>
      <c r="C132" s="184"/>
      <c r="D132" s="184"/>
      <c r="E132" s="184"/>
      <c r="F132" s="184"/>
      <c r="G132" s="184"/>
      <c r="H132" s="184"/>
      <c r="I132" s="184"/>
      <c r="J132" s="184"/>
      <c r="K132" s="184"/>
      <c r="L132" s="184"/>
      <c r="M132" s="184"/>
      <c r="N132" s="184"/>
      <c r="O132" s="184">
        <v>300</v>
      </c>
      <c r="P132" s="184"/>
      <c r="Q132" s="184"/>
      <c r="R132" s="184"/>
      <c r="S132" s="184"/>
      <c r="T132" s="184"/>
      <c r="U132" s="184"/>
      <c r="V132" s="70"/>
    </row>
    <row r="133" spans="1:22">
      <c r="A133" s="174" t="s">
        <v>435</v>
      </c>
      <c r="B133" s="184"/>
      <c r="C133" s="184"/>
      <c r="D133" s="184"/>
      <c r="E133" s="184"/>
      <c r="F133" s="184"/>
      <c r="G133" s="184"/>
      <c r="H133" s="184"/>
      <c r="I133" s="184"/>
      <c r="J133" s="184"/>
      <c r="K133" s="184"/>
      <c r="L133" s="184"/>
      <c r="M133" s="184"/>
      <c r="N133" s="184"/>
      <c r="O133" s="184">
        <v>100</v>
      </c>
      <c r="P133" s="184"/>
      <c r="Q133" s="184"/>
      <c r="R133" s="184"/>
      <c r="S133" s="184"/>
      <c r="T133" s="184"/>
      <c r="U133" s="184"/>
      <c r="V133" s="70"/>
    </row>
    <row r="134" spans="1:22">
      <c r="A134" s="194" t="s">
        <v>436</v>
      </c>
      <c r="B134" s="189"/>
      <c r="C134" s="189"/>
      <c r="D134" s="189"/>
      <c r="E134" s="189"/>
      <c r="F134" s="189"/>
      <c r="G134" s="189"/>
      <c r="H134" s="189"/>
      <c r="I134" s="189"/>
      <c r="J134" s="189"/>
      <c r="K134" s="189"/>
      <c r="L134" s="189"/>
      <c r="M134" s="189"/>
      <c r="N134" s="189"/>
      <c r="O134" s="189">
        <v>100</v>
      </c>
      <c r="P134" s="189"/>
      <c r="Q134" s="189"/>
      <c r="R134" s="189"/>
      <c r="S134" s="189"/>
      <c r="T134" s="189"/>
      <c r="U134" s="189"/>
      <c r="V134" s="70">
        <f>SUM(B131:U134)</f>
        <v>5500</v>
      </c>
    </row>
    <row r="135" spans="1:22">
      <c r="A135" s="174"/>
      <c r="B135" s="70"/>
      <c r="C135" s="70"/>
      <c r="D135" s="70"/>
      <c r="E135" s="70"/>
      <c r="F135" s="70"/>
      <c r="G135" s="70"/>
      <c r="H135" s="70"/>
      <c r="I135" s="70"/>
      <c r="J135" s="70"/>
      <c r="K135" s="70"/>
      <c r="L135" s="70"/>
      <c r="M135" s="70"/>
      <c r="N135" s="70"/>
      <c r="O135" s="70"/>
      <c r="P135" s="70"/>
      <c r="Q135" s="70"/>
      <c r="R135" s="70"/>
      <c r="S135" s="70"/>
      <c r="T135" s="70"/>
      <c r="U135" s="70"/>
      <c r="V135" s="70"/>
    </row>
    <row r="136" spans="1:22">
      <c r="A136" s="173" t="s">
        <v>423</v>
      </c>
      <c r="B136" s="172"/>
      <c r="C136" s="172"/>
      <c r="D136" s="172"/>
      <c r="E136" s="172"/>
      <c r="F136" s="172"/>
      <c r="G136" s="172"/>
      <c r="H136" s="172"/>
      <c r="I136" s="172"/>
      <c r="J136" s="172"/>
      <c r="K136" s="172"/>
      <c r="L136" s="172"/>
      <c r="M136" s="172"/>
      <c r="N136" s="172"/>
      <c r="O136" s="172"/>
      <c r="P136" s="172"/>
      <c r="Q136" s="172"/>
      <c r="R136" s="172"/>
      <c r="S136" s="172"/>
      <c r="T136" s="172"/>
      <c r="U136" s="172"/>
      <c r="V136" s="22"/>
    </row>
    <row r="137" spans="1:22">
      <c r="A137" s="23"/>
      <c r="B137" s="22"/>
      <c r="C137" s="22"/>
      <c r="D137" s="22"/>
      <c r="E137" s="22"/>
      <c r="F137" s="22"/>
      <c r="G137" s="22"/>
      <c r="H137" s="22"/>
      <c r="I137" s="22"/>
      <c r="J137" s="22"/>
      <c r="K137" s="22"/>
      <c r="L137" s="22"/>
      <c r="M137" s="22"/>
      <c r="N137" s="22"/>
      <c r="O137" s="22"/>
      <c r="P137" s="22"/>
      <c r="Q137" s="22"/>
      <c r="R137" s="22"/>
      <c r="S137" s="22"/>
      <c r="T137" s="22"/>
      <c r="U137" s="22"/>
      <c r="V137" s="22"/>
    </row>
    <row r="138" spans="1:22">
      <c r="A138" s="55"/>
      <c r="B138" s="745">
        <v>2020</v>
      </c>
      <c r="C138" s="745"/>
      <c r="D138" s="745"/>
      <c r="E138" s="745" t="s">
        <v>419</v>
      </c>
      <c r="F138" s="745"/>
      <c r="G138" s="745"/>
      <c r="H138" s="746" t="s">
        <v>420</v>
      </c>
      <c r="I138" s="746"/>
      <c r="J138" s="746"/>
      <c r="K138" s="55"/>
      <c r="L138" s="745">
        <v>2020</v>
      </c>
      <c r="M138" s="745"/>
      <c r="N138" s="745"/>
      <c r="O138" s="745" t="s">
        <v>419</v>
      </c>
      <c r="P138" s="745"/>
      <c r="Q138" s="745"/>
      <c r="R138" s="746" t="s">
        <v>420</v>
      </c>
      <c r="S138" s="746"/>
      <c r="T138" s="746"/>
    </row>
    <row r="139" spans="1:22">
      <c r="A139" s="55"/>
      <c r="B139" s="20" t="s">
        <v>407</v>
      </c>
      <c r="D139" s="70">
        <v>2575.9878164000002</v>
      </c>
      <c r="G139" s="68"/>
      <c r="H139" s="53" t="s">
        <v>250</v>
      </c>
      <c r="J139" s="68">
        <v>0.02</v>
      </c>
      <c r="K139" s="55"/>
      <c r="L139" s="20" t="s">
        <v>384</v>
      </c>
      <c r="N139" s="70">
        <v>2144.8290024400003</v>
      </c>
      <c r="O139" s="20" t="s">
        <v>384</v>
      </c>
      <c r="Q139" s="70">
        <v>1234</v>
      </c>
      <c r="R139" s="53" t="s">
        <v>145</v>
      </c>
      <c r="T139" s="68">
        <v>0.69</v>
      </c>
    </row>
    <row r="140" spans="1:22">
      <c r="A140" s="55"/>
      <c r="B140" s="20" t="s">
        <v>408</v>
      </c>
      <c r="D140" s="70">
        <v>6639.1347044200002</v>
      </c>
      <c r="G140" s="68"/>
      <c r="H140" s="53" t="s">
        <v>251</v>
      </c>
      <c r="J140" s="68">
        <v>0.46</v>
      </c>
      <c r="K140" s="55"/>
      <c r="L140" s="20" t="s">
        <v>385</v>
      </c>
      <c r="N140" s="70">
        <v>1901.2699984000001</v>
      </c>
      <c r="O140" s="20" t="s">
        <v>385</v>
      </c>
      <c r="Q140" s="70">
        <v>3545</v>
      </c>
      <c r="R140" s="53" t="s">
        <v>239</v>
      </c>
      <c r="T140" s="68">
        <v>78.760000000000005</v>
      </c>
    </row>
    <row r="141" spans="1:22">
      <c r="A141" s="55"/>
      <c r="B141" s="131" t="s">
        <v>406</v>
      </c>
      <c r="C141" s="131"/>
      <c r="D141" s="180">
        <v>4122.9999999000001</v>
      </c>
      <c r="E141" s="131" t="s">
        <v>374</v>
      </c>
      <c r="F141" s="131"/>
      <c r="G141" s="180">
        <v>5737</v>
      </c>
      <c r="H141" s="169" t="s">
        <v>246</v>
      </c>
      <c r="I141" s="131"/>
      <c r="J141" s="133">
        <v>5.7299999999999995</v>
      </c>
      <c r="K141" s="55"/>
      <c r="L141" s="20" t="s">
        <v>388</v>
      </c>
      <c r="N141" s="70">
        <v>26151.466992999998</v>
      </c>
      <c r="O141" s="20" t="s">
        <v>388</v>
      </c>
      <c r="Q141" s="70">
        <v>15551</v>
      </c>
      <c r="R141" s="53" t="s">
        <v>240</v>
      </c>
      <c r="T141" s="68">
        <v>3.27</v>
      </c>
    </row>
    <row r="142" spans="1:22">
      <c r="A142" s="55"/>
      <c r="B142" s="20" t="s">
        <v>409</v>
      </c>
      <c r="D142" s="70">
        <v>349.00000002000002</v>
      </c>
      <c r="G142" s="68"/>
      <c r="H142" s="53"/>
      <c r="J142" s="68"/>
      <c r="K142" s="55"/>
      <c r="L142" s="20" t="s">
        <v>386</v>
      </c>
      <c r="N142" s="70">
        <v>6094.1880019399996</v>
      </c>
      <c r="O142" s="20" t="s">
        <v>386</v>
      </c>
      <c r="Q142" s="70">
        <v>139</v>
      </c>
      <c r="R142" s="53" t="s">
        <v>241</v>
      </c>
      <c r="T142" s="68">
        <v>4.78</v>
      </c>
    </row>
    <row r="143" spans="1:22">
      <c r="A143" s="55"/>
      <c r="B143" s="131" t="s">
        <v>411</v>
      </c>
      <c r="C143" s="131"/>
      <c r="D143" s="180">
        <v>660</v>
      </c>
      <c r="E143" s="131" t="s">
        <v>376</v>
      </c>
      <c r="F143" s="131"/>
      <c r="G143" s="180">
        <v>464</v>
      </c>
      <c r="H143" s="169"/>
      <c r="I143" s="131"/>
      <c r="J143" s="133"/>
      <c r="K143" s="55"/>
      <c r="L143" s="20" t="s">
        <v>387</v>
      </c>
      <c r="N143" s="70">
        <v>24220.29999426</v>
      </c>
      <c r="O143" s="20" t="s">
        <v>387</v>
      </c>
      <c r="Q143" s="70">
        <v>3580</v>
      </c>
      <c r="R143" s="53" t="s">
        <v>242</v>
      </c>
      <c r="T143" s="68">
        <v>4.63</v>
      </c>
    </row>
    <row r="144" spans="1:22">
      <c r="A144" s="55"/>
      <c r="B144" s="20" t="s">
        <v>404</v>
      </c>
      <c r="D144" s="70">
        <v>430</v>
      </c>
      <c r="E144" s="20" t="s">
        <v>375</v>
      </c>
      <c r="G144" s="70">
        <v>691</v>
      </c>
      <c r="H144" s="53"/>
      <c r="J144" s="68"/>
      <c r="K144" s="55"/>
      <c r="L144" s="20" t="s">
        <v>391</v>
      </c>
      <c r="N144" s="70">
        <v>25890.5600013</v>
      </c>
      <c r="O144" s="20" t="s">
        <v>391</v>
      </c>
      <c r="Q144" s="70">
        <v>35603</v>
      </c>
      <c r="R144" s="53"/>
      <c r="T144" s="68"/>
    </row>
    <row r="145" spans="1:21">
      <c r="A145" s="55"/>
      <c r="B145" s="131" t="s">
        <v>405</v>
      </c>
      <c r="C145" s="131"/>
      <c r="D145" s="180">
        <v>520</v>
      </c>
      <c r="E145" s="131"/>
      <c r="F145" s="131"/>
      <c r="G145" s="133"/>
      <c r="H145" s="169"/>
      <c r="I145" s="131"/>
      <c r="J145" s="68"/>
      <c r="K145" s="55"/>
      <c r="L145" s="20" t="s">
        <v>392</v>
      </c>
      <c r="N145" s="70">
        <v>15704.2000123</v>
      </c>
      <c r="O145" s="20" t="s">
        <v>392</v>
      </c>
      <c r="Q145" s="70">
        <v>23886</v>
      </c>
      <c r="R145" s="53"/>
      <c r="T145" s="68"/>
    </row>
    <row r="146" spans="1:21">
      <c r="A146" s="55"/>
      <c r="B146" s="161"/>
      <c r="C146" s="145"/>
      <c r="D146" s="181">
        <f>SUM(D139:D145)</f>
        <v>15297.12252074</v>
      </c>
      <c r="E146" s="161"/>
      <c r="F146" s="161"/>
      <c r="G146" s="181">
        <f>SUM(G140:G145)</f>
        <v>6892</v>
      </c>
      <c r="H146" s="179"/>
      <c r="I146" s="145"/>
      <c r="J146" s="181">
        <f>SUM(J139:J145)*1000</f>
        <v>6210</v>
      </c>
      <c r="K146" s="55"/>
      <c r="L146" s="20" t="s">
        <v>390</v>
      </c>
      <c r="N146" s="70">
        <v>4471.7079990000002</v>
      </c>
      <c r="O146" s="20" t="s">
        <v>390</v>
      </c>
      <c r="Q146" s="70">
        <v>2542</v>
      </c>
      <c r="R146" s="53"/>
      <c r="T146" s="68"/>
    </row>
    <row r="147" spans="1:21">
      <c r="A147" s="55"/>
      <c r="B147" s="583" t="s">
        <v>238</v>
      </c>
      <c r="C147" s="584"/>
      <c r="D147" s="585">
        <v>26620.833756299999</v>
      </c>
      <c r="E147" s="583" t="s">
        <v>377</v>
      </c>
      <c r="F147" s="583"/>
      <c r="G147" s="585">
        <v>26339</v>
      </c>
      <c r="H147" s="586" t="s">
        <v>238</v>
      </c>
      <c r="I147" s="583"/>
      <c r="J147" s="585">
        <f>26.33*1000</f>
        <v>26330</v>
      </c>
      <c r="K147" s="55"/>
      <c r="L147" s="20" t="s">
        <v>389</v>
      </c>
      <c r="N147" s="70">
        <v>1843.84900234</v>
      </c>
      <c r="O147" s="20" t="s">
        <v>389</v>
      </c>
      <c r="Q147" s="70">
        <v>2080</v>
      </c>
      <c r="R147" s="53"/>
      <c r="T147" s="68"/>
    </row>
    <row r="148" spans="1:21">
      <c r="A148" s="55"/>
      <c r="B148" s="20" t="s">
        <v>410</v>
      </c>
      <c r="D148" s="70">
        <v>6019.2599884000001</v>
      </c>
      <c r="G148" s="68"/>
      <c r="H148" s="53" t="s">
        <v>249</v>
      </c>
      <c r="J148" s="68">
        <v>3.34</v>
      </c>
      <c r="K148" s="55"/>
      <c r="N148" s="68"/>
      <c r="O148" s="20" t="s">
        <v>240</v>
      </c>
      <c r="Q148" s="70">
        <v>3270</v>
      </c>
      <c r="R148" s="53"/>
      <c r="T148" s="68"/>
    </row>
    <row r="149" spans="1:21">
      <c r="A149" s="55"/>
      <c r="B149" s="20" t="s">
        <v>378</v>
      </c>
      <c r="D149" s="70">
        <v>5322.0000006</v>
      </c>
      <c r="E149" s="20" t="s">
        <v>378</v>
      </c>
      <c r="G149" s="70">
        <v>1873</v>
      </c>
      <c r="H149" s="53"/>
      <c r="J149" s="68"/>
      <c r="K149" s="55"/>
      <c r="L149" s="145"/>
      <c r="M149" s="145"/>
      <c r="N149" s="182">
        <f>SUM(N139:N147)</f>
        <v>108422.37100498</v>
      </c>
      <c r="O149" s="145"/>
      <c r="P149" s="145"/>
      <c r="Q149" s="182">
        <f>SUM(Q139:Q148)</f>
        <v>91430</v>
      </c>
      <c r="R149" s="179"/>
      <c r="S149" s="145"/>
      <c r="T149" s="183">
        <f>SUM(T139:T148)*1000</f>
        <v>92130</v>
      </c>
    </row>
    <row r="150" spans="1:21">
      <c r="A150" s="55"/>
      <c r="B150" s="131" t="s">
        <v>379</v>
      </c>
      <c r="C150" s="131"/>
      <c r="D150" s="180">
        <v>5684.7000010000002</v>
      </c>
      <c r="E150" s="131" t="s">
        <v>379</v>
      </c>
      <c r="F150" s="131"/>
      <c r="G150" s="180">
        <v>1464</v>
      </c>
      <c r="H150" s="169"/>
      <c r="I150" s="131"/>
      <c r="J150" s="133"/>
      <c r="K150" s="55"/>
      <c r="L150" s="175" t="s">
        <v>252</v>
      </c>
      <c r="M150" s="175"/>
      <c r="N150" s="587">
        <v>28756.73978493</v>
      </c>
      <c r="O150" s="175" t="s">
        <v>393</v>
      </c>
      <c r="P150" s="175"/>
      <c r="Q150" s="587">
        <v>39342</v>
      </c>
      <c r="R150" s="588" t="s">
        <v>252</v>
      </c>
      <c r="S150" s="175"/>
      <c r="T150" s="175">
        <v>0</v>
      </c>
    </row>
    <row r="151" spans="1:21">
      <c r="A151" s="55"/>
      <c r="B151" s="20" t="s">
        <v>380</v>
      </c>
      <c r="D151" s="70">
        <v>11355.5879286</v>
      </c>
      <c r="E151" s="20" t="s">
        <v>380</v>
      </c>
      <c r="G151" s="70">
        <v>3213</v>
      </c>
      <c r="H151" s="53" t="s">
        <v>245</v>
      </c>
      <c r="J151" s="68">
        <v>7.54</v>
      </c>
      <c r="K151" s="55"/>
      <c r="L151" s="20" t="s">
        <v>413</v>
      </c>
      <c r="N151" s="70">
        <v>3993.3000489999999</v>
      </c>
    </row>
    <row r="152" spans="1:21">
      <c r="A152" s="55"/>
      <c r="B152" s="20" t="s">
        <v>381</v>
      </c>
      <c r="D152" s="70">
        <v>8216.8461136000005</v>
      </c>
      <c r="E152" s="20" t="s">
        <v>381</v>
      </c>
      <c r="G152" s="70">
        <v>2597</v>
      </c>
      <c r="H152" s="53"/>
      <c r="J152" s="68"/>
      <c r="K152" s="55"/>
      <c r="L152" s="20" t="s">
        <v>414</v>
      </c>
      <c r="N152" s="70">
        <v>190.5</v>
      </c>
    </row>
    <row r="153" spans="1:21">
      <c r="A153" s="55"/>
      <c r="B153" s="131" t="s">
        <v>382</v>
      </c>
      <c r="C153" s="131"/>
      <c r="D153" s="180">
        <v>12564.099998199999</v>
      </c>
      <c r="E153" s="131" t="s">
        <v>382</v>
      </c>
      <c r="F153" s="131"/>
      <c r="G153" s="180">
        <v>1663</v>
      </c>
      <c r="H153" s="169"/>
      <c r="I153" s="131"/>
      <c r="J153" s="133"/>
      <c r="K153" s="55"/>
      <c r="L153" s="20" t="s">
        <v>415</v>
      </c>
      <c r="N153" s="70">
        <v>315.89999390000003</v>
      </c>
    </row>
    <row r="154" spans="1:21">
      <c r="A154" s="55"/>
      <c r="B154" s="20" t="s">
        <v>383</v>
      </c>
      <c r="D154" s="70">
        <v>408.99999995000002</v>
      </c>
      <c r="E154" s="20" t="s">
        <v>383</v>
      </c>
      <c r="G154" s="70">
        <v>205</v>
      </c>
      <c r="H154" s="53" t="s">
        <v>247</v>
      </c>
      <c r="J154" s="68">
        <v>0.21000000000000002</v>
      </c>
      <c r="K154" s="55"/>
      <c r="L154" s="20" t="s">
        <v>416</v>
      </c>
      <c r="N154" s="70">
        <v>2921</v>
      </c>
    </row>
    <row r="155" spans="1:21">
      <c r="A155" s="55"/>
      <c r="B155" s="20" t="s">
        <v>248</v>
      </c>
      <c r="D155" s="70">
        <v>1127.38999838</v>
      </c>
      <c r="E155" s="20" t="s">
        <v>248</v>
      </c>
      <c r="G155" s="70">
        <v>1817</v>
      </c>
      <c r="H155" s="53" t="s">
        <v>248</v>
      </c>
      <c r="J155" s="68">
        <v>1.81</v>
      </c>
      <c r="K155" s="55"/>
      <c r="L155" s="20" t="s">
        <v>417</v>
      </c>
      <c r="N155" s="70">
        <v>4660.3999020000001</v>
      </c>
    </row>
    <row r="156" spans="1:21">
      <c r="A156" s="55"/>
      <c r="B156" s="131" t="s">
        <v>412</v>
      </c>
      <c r="C156" s="131"/>
      <c r="D156" s="180">
        <v>672</v>
      </c>
      <c r="E156" s="131"/>
      <c r="F156" s="131"/>
      <c r="G156" s="133"/>
      <c r="H156" s="131"/>
      <c r="I156" s="131"/>
      <c r="J156" s="133"/>
      <c r="K156" s="55"/>
      <c r="L156" s="20" t="s">
        <v>418</v>
      </c>
      <c r="N156" s="70">
        <v>7307.1940000000004</v>
      </c>
    </row>
    <row r="157" spans="1:21">
      <c r="A157" s="55"/>
      <c r="B157" s="161"/>
      <c r="C157" s="145"/>
      <c r="D157" s="181">
        <f>SUM(D148:D156)</f>
        <v>51370.884028729997</v>
      </c>
      <c r="E157" s="161"/>
      <c r="F157" s="161"/>
      <c r="G157" s="181">
        <f>SUM(G148:G156)</f>
        <v>12832</v>
      </c>
      <c r="H157" s="145"/>
      <c r="I157" s="145"/>
      <c r="J157" s="182">
        <f>SUM(J148:J156)*1000</f>
        <v>12900</v>
      </c>
      <c r="K157" s="55"/>
      <c r="L157" s="145"/>
      <c r="M157" s="145"/>
      <c r="N157" s="182">
        <f>SUM(N150:N156)</f>
        <v>48145.03372983</v>
      </c>
      <c r="O157" s="145"/>
      <c r="P157" s="145"/>
      <c r="Q157" s="145"/>
      <c r="R157" s="145"/>
      <c r="S157" s="145"/>
      <c r="T157" s="145"/>
    </row>
    <row r="158" spans="1:21">
      <c r="N158" s="70">
        <f>SUM(D146,D157,N149)</f>
        <v>175090.37755445001</v>
      </c>
      <c r="Q158" s="70">
        <f>SUM(G146,G157,Q149)</f>
        <v>111154</v>
      </c>
    </row>
    <row r="159" spans="1:21">
      <c r="N159" s="70"/>
      <c r="Q159" s="70"/>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439</v>
      </c>
      <c r="B161" s="203"/>
      <c r="C161" s="202"/>
      <c r="D161" s="202"/>
      <c r="E161" s="202"/>
      <c r="F161" s="202"/>
      <c r="G161" s="202"/>
      <c r="H161" s="202"/>
      <c r="I161" s="202"/>
      <c r="J161" s="202"/>
      <c r="K161" s="202"/>
      <c r="L161" s="202"/>
      <c r="M161" s="202"/>
      <c r="N161" s="202"/>
      <c r="O161" s="204"/>
      <c r="P161" s="202"/>
      <c r="Q161" s="202"/>
      <c r="R161" s="204"/>
      <c r="S161" s="204"/>
      <c r="T161" s="204"/>
      <c r="U161" s="204"/>
      <c r="V161" s="70"/>
    </row>
    <row r="162" spans="1:22">
      <c r="A162" s="117" t="s">
        <v>371</v>
      </c>
      <c r="B162" s="205">
        <v>819</v>
      </c>
      <c r="C162" s="205">
        <v>9847</v>
      </c>
      <c r="D162" s="205">
        <v>0</v>
      </c>
      <c r="E162" s="205">
        <v>11414</v>
      </c>
      <c r="F162" s="205">
        <v>427</v>
      </c>
      <c r="G162" s="205">
        <v>0</v>
      </c>
      <c r="H162" s="205">
        <v>0</v>
      </c>
      <c r="I162" s="205">
        <v>5444</v>
      </c>
      <c r="J162" s="205">
        <v>7650</v>
      </c>
      <c r="K162" s="205">
        <v>2286</v>
      </c>
      <c r="L162" s="205">
        <v>237</v>
      </c>
      <c r="M162" s="205">
        <v>0</v>
      </c>
      <c r="N162" s="205">
        <v>0</v>
      </c>
      <c r="O162" s="205">
        <v>3237</v>
      </c>
      <c r="P162" s="205">
        <v>3249</v>
      </c>
      <c r="Q162" s="205">
        <v>4795</v>
      </c>
      <c r="R162" s="205">
        <v>21697</v>
      </c>
      <c r="S162" s="205">
        <v>0</v>
      </c>
      <c r="T162" s="205">
        <v>0</v>
      </c>
      <c r="U162" s="205">
        <v>0</v>
      </c>
      <c r="V162" s="70">
        <f>SUM(B162:U162)</f>
        <v>71102</v>
      </c>
    </row>
    <row r="163" spans="1:22">
      <c r="A163" s="117" t="s">
        <v>373</v>
      </c>
      <c r="B163" s="205">
        <v>3934</v>
      </c>
      <c r="C163" s="205">
        <v>13600</v>
      </c>
      <c r="D163" s="205">
        <v>2307</v>
      </c>
      <c r="E163" s="205">
        <v>3425</v>
      </c>
      <c r="F163" s="205">
        <v>367</v>
      </c>
      <c r="G163" s="205">
        <v>37</v>
      </c>
      <c r="H163" s="205">
        <v>162</v>
      </c>
      <c r="I163" s="205">
        <v>0</v>
      </c>
      <c r="J163" s="205">
        <v>0</v>
      </c>
      <c r="K163" s="205">
        <v>0</v>
      </c>
      <c r="L163" s="205">
        <v>0</v>
      </c>
      <c r="M163" s="205">
        <v>0</v>
      </c>
      <c r="N163" s="205">
        <v>0</v>
      </c>
      <c r="O163" s="205">
        <v>0</v>
      </c>
      <c r="P163" s="205">
        <v>1213</v>
      </c>
      <c r="Q163" s="205">
        <v>755</v>
      </c>
      <c r="R163" s="205">
        <v>5698</v>
      </c>
      <c r="S163" s="205">
        <v>126</v>
      </c>
      <c r="T163" s="70">
        <f>T39</f>
        <v>1592</v>
      </c>
      <c r="U163" s="205">
        <v>0</v>
      </c>
      <c r="V163" s="70">
        <f>SUM(B163:U163)</f>
        <v>33216</v>
      </c>
    </row>
    <row r="164" spans="1:22">
      <c r="A164" s="118" t="s">
        <v>441</v>
      </c>
      <c r="B164" s="205">
        <v>7230</v>
      </c>
      <c r="C164" s="205">
        <v>2179</v>
      </c>
      <c r="D164" s="205">
        <v>2744</v>
      </c>
      <c r="E164" s="205">
        <v>6908</v>
      </c>
      <c r="F164" s="205">
        <v>1333</v>
      </c>
      <c r="G164" s="205">
        <v>0</v>
      </c>
      <c r="H164" s="205">
        <v>1305</v>
      </c>
      <c r="I164" s="205">
        <v>0</v>
      </c>
      <c r="J164" s="205">
        <v>0</v>
      </c>
      <c r="K164" s="205">
        <v>0</v>
      </c>
      <c r="L164" s="205">
        <v>0</v>
      </c>
      <c r="M164" s="205">
        <v>0</v>
      </c>
      <c r="N164" s="205">
        <v>0</v>
      </c>
      <c r="O164" s="205">
        <v>0</v>
      </c>
      <c r="P164" s="205">
        <v>0</v>
      </c>
      <c r="Q164" s="205">
        <v>0</v>
      </c>
      <c r="R164" s="205">
        <v>0</v>
      </c>
      <c r="S164" s="205">
        <v>938</v>
      </c>
      <c r="T164" s="205">
        <v>0</v>
      </c>
      <c r="U164" s="205">
        <v>0</v>
      </c>
      <c r="V164" s="70">
        <f>SUM(B164:U164)</f>
        <v>22637</v>
      </c>
    </row>
    <row r="165" spans="1:22">
      <c r="A165" s="118" t="s">
        <v>442</v>
      </c>
      <c r="B165" s="205">
        <v>2144</v>
      </c>
      <c r="C165" s="205">
        <v>2068</v>
      </c>
      <c r="D165" s="205">
        <v>0</v>
      </c>
      <c r="E165" s="205">
        <v>4223</v>
      </c>
      <c r="F165" s="205">
        <v>216</v>
      </c>
      <c r="G165" s="205">
        <v>0</v>
      </c>
      <c r="H165" s="205">
        <v>0</v>
      </c>
      <c r="I165" s="205">
        <v>0</v>
      </c>
      <c r="J165" s="205">
        <v>0</v>
      </c>
      <c r="K165" s="205">
        <v>0</v>
      </c>
      <c r="L165" s="205">
        <v>0</v>
      </c>
      <c r="M165" s="205">
        <v>0</v>
      </c>
      <c r="N165" s="205">
        <v>0</v>
      </c>
      <c r="O165" s="205">
        <v>0</v>
      </c>
      <c r="P165" s="205">
        <v>60</v>
      </c>
      <c r="Q165" s="205">
        <v>2</v>
      </c>
      <c r="R165" s="205">
        <v>650</v>
      </c>
      <c r="S165" s="205">
        <v>0</v>
      </c>
      <c r="T165" s="205">
        <v>0</v>
      </c>
      <c r="U165" s="205">
        <v>0</v>
      </c>
      <c r="V165" s="70">
        <f>SUM(B165:U165)</f>
        <v>9363</v>
      </c>
    </row>
    <row r="166" spans="1:22">
      <c r="A166" s="118"/>
      <c r="B166" s="70">
        <f t="shared" ref="B166:U166" si="7">SUM(B162:B165)</f>
        <v>14127</v>
      </c>
      <c r="C166" s="70">
        <f t="shared" si="7"/>
        <v>27694</v>
      </c>
      <c r="D166" s="70">
        <f t="shared" si="7"/>
        <v>5051</v>
      </c>
      <c r="E166" s="70">
        <f t="shared" si="7"/>
        <v>25970</v>
      </c>
      <c r="F166" s="70">
        <f t="shared" si="7"/>
        <v>2343</v>
      </c>
      <c r="G166" s="70">
        <f t="shared" si="7"/>
        <v>37</v>
      </c>
      <c r="H166" s="70">
        <f t="shared" si="7"/>
        <v>1467</v>
      </c>
      <c r="I166" s="70">
        <f t="shared" si="7"/>
        <v>5444</v>
      </c>
      <c r="J166" s="70">
        <f t="shared" si="7"/>
        <v>7650</v>
      </c>
      <c r="K166" s="70">
        <f t="shared" si="7"/>
        <v>2286</v>
      </c>
      <c r="L166" s="70">
        <f t="shared" si="7"/>
        <v>237</v>
      </c>
      <c r="M166" s="70">
        <f t="shared" si="7"/>
        <v>0</v>
      </c>
      <c r="N166" s="70">
        <f t="shared" si="7"/>
        <v>0</v>
      </c>
      <c r="O166" s="70">
        <f t="shared" si="7"/>
        <v>3237</v>
      </c>
      <c r="P166" s="70">
        <f t="shared" si="7"/>
        <v>4522</v>
      </c>
      <c r="Q166" s="70">
        <f t="shared" si="7"/>
        <v>5552</v>
      </c>
      <c r="R166" s="70">
        <f t="shared" si="7"/>
        <v>28045</v>
      </c>
      <c r="S166" s="70">
        <f t="shared" si="7"/>
        <v>1064</v>
      </c>
      <c r="T166" s="70">
        <f t="shared" si="7"/>
        <v>1592</v>
      </c>
      <c r="U166" s="70">
        <f t="shared" si="7"/>
        <v>0</v>
      </c>
      <c r="V166" s="70">
        <f>SUM(B166:U166)</f>
        <v>136318</v>
      </c>
    </row>
    <row r="167" spans="1:22">
      <c r="A167" s="3" t="s">
        <v>438</v>
      </c>
      <c r="B167" s="3"/>
      <c r="C167" s="3"/>
      <c r="D167" s="3"/>
      <c r="E167" s="3"/>
      <c r="F167" s="3"/>
      <c r="G167" s="3"/>
      <c r="H167" s="3"/>
      <c r="I167" s="3"/>
      <c r="J167" s="3"/>
      <c r="K167" s="3"/>
      <c r="L167" s="3"/>
      <c r="M167" s="3"/>
      <c r="N167" s="3"/>
      <c r="O167" s="3"/>
      <c r="P167" s="3"/>
      <c r="Q167" s="3"/>
      <c r="R167" s="19"/>
      <c r="S167" s="3"/>
      <c r="T167" s="3"/>
      <c r="U167" s="3"/>
    </row>
    <row r="168" spans="1:22">
      <c r="A168" s="22" t="s">
        <v>371</v>
      </c>
      <c r="B168" s="70">
        <v>1296.6278335699999</v>
      </c>
      <c r="C168" s="70">
        <v>8000</v>
      </c>
      <c r="D168" s="70"/>
      <c r="E168" s="70">
        <v>6426.3509999999997</v>
      </c>
      <c r="F168" s="70">
        <v>198.3</v>
      </c>
      <c r="G168" s="70"/>
      <c r="H168" s="70"/>
      <c r="I168" s="70">
        <v>5315</v>
      </c>
      <c r="J168" s="70">
        <v>6795</v>
      </c>
      <c r="K168" s="70">
        <v>1972</v>
      </c>
      <c r="L168" s="70">
        <v>237</v>
      </c>
      <c r="M168" s="70"/>
      <c r="N168" s="70"/>
      <c r="O168" s="70">
        <v>2400</v>
      </c>
      <c r="P168" s="70"/>
      <c r="Q168" s="70"/>
      <c r="R168" s="70"/>
      <c r="S168" s="70"/>
      <c r="T168" s="70"/>
      <c r="U168" s="70"/>
      <c r="V168" s="70">
        <f>SUM(B168:U168)</f>
        <v>32640.278833569999</v>
      </c>
    </row>
    <row r="169" spans="1:22">
      <c r="A169" s="22" t="s">
        <v>373</v>
      </c>
      <c r="B169" s="70">
        <v>4036</v>
      </c>
      <c r="C169" s="70">
        <v>13600</v>
      </c>
      <c r="D169" s="70">
        <v>1938.1020000000001</v>
      </c>
      <c r="E169" s="70">
        <v>3500</v>
      </c>
      <c r="F169" s="70">
        <v>536.5</v>
      </c>
      <c r="G169" s="70">
        <v>43</v>
      </c>
      <c r="H169" s="70">
        <v>134.25</v>
      </c>
      <c r="I169" s="70"/>
      <c r="J169" s="70"/>
      <c r="K169" s="70"/>
      <c r="L169" s="70"/>
      <c r="M169" s="70"/>
      <c r="N169" s="70"/>
      <c r="O169" s="70"/>
      <c r="P169" s="70"/>
      <c r="Q169" s="70"/>
      <c r="R169" s="70"/>
      <c r="S169" s="70">
        <v>128</v>
      </c>
      <c r="T169" s="70">
        <v>1608.13508419</v>
      </c>
      <c r="U169" s="70"/>
      <c r="V169" s="70">
        <f>SUM(B169:U169)</f>
        <v>25523.987084189997</v>
      </c>
    </row>
    <row r="170" spans="1:22">
      <c r="A170" s="38" t="s">
        <v>164</v>
      </c>
      <c r="B170" s="70">
        <v>8393</v>
      </c>
      <c r="C170" s="70">
        <v>1800</v>
      </c>
      <c r="D170" s="70">
        <v>2954</v>
      </c>
      <c r="E170" s="70">
        <v>4212</v>
      </c>
      <c r="F170" s="70">
        <v>1323.1</v>
      </c>
      <c r="G170" s="70"/>
      <c r="H170" s="70">
        <v>1395</v>
      </c>
      <c r="I170" s="70"/>
      <c r="J170" s="70"/>
      <c r="K170" s="70"/>
      <c r="L170" s="70"/>
      <c r="M170" s="70"/>
      <c r="N170" s="70"/>
      <c r="O170" s="70"/>
      <c r="P170" s="70"/>
      <c r="Q170" s="70"/>
      <c r="R170" s="70"/>
      <c r="S170" s="70">
        <v>900</v>
      </c>
      <c r="T170" s="70"/>
      <c r="U170" s="70"/>
      <c r="V170" s="70">
        <f>SUM(B170:U170)</f>
        <v>20977.1</v>
      </c>
    </row>
    <row r="171" spans="1:22">
      <c r="A171" s="38" t="s">
        <v>228</v>
      </c>
      <c r="B171" s="70">
        <v>1457.70490909</v>
      </c>
      <c r="C171" s="70">
        <v>1700</v>
      </c>
      <c r="D171" s="70"/>
      <c r="E171" s="70">
        <v>1744.12401899</v>
      </c>
      <c r="F171" s="70">
        <v>150</v>
      </c>
      <c r="G171" s="70"/>
      <c r="H171" s="70"/>
      <c r="I171" s="70"/>
      <c r="J171" s="70"/>
      <c r="K171" s="70"/>
      <c r="L171" s="70"/>
      <c r="M171" s="70"/>
      <c r="N171" s="70"/>
      <c r="O171" s="70"/>
      <c r="P171" s="70">
        <v>4931.3999999999996</v>
      </c>
      <c r="Q171" s="70">
        <v>5540.4</v>
      </c>
      <c r="R171" s="70">
        <v>24000.400000000001</v>
      </c>
      <c r="S171" s="70"/>
      <c r="T171" s="70"/>
      <c r="U171" s="70"/>
      <c r="V171" s="70">
        <f>SUM(B171:U171)</f>
        <v>39524.028928079999</v>
      </c>
    </row>
    <row r="172" spans="1:22">
      <c r="A172" s="86"/>
      <c r="B172" s="70">
        <f t="shared" ref="B172:U172" si="8">SUM(B168:B171)</f>
        <v>15183.332742660001</v>
      </c>
      <c r="C172" s="70">
        <f t="shared" si="8"/>
        <v>25100</v>
      </c>
      <c r="D172" s="70">
        <f t="shared" si="8"/>
        <v>4892.1019999999999</v>
      </c>
      <c r="E172" s="70">
        <f t="shared" si="8"/>
        <v>15882.475018989999</v>
      </c>
      <c r="F172" s="70">
        <f t="shared" si="8"/>
        <v>2207.8999999999996</v>
      </c>
      <c r="G172" s="70">
        <f t="shared" si="8"/>
        <v>43</v>
      </c>
      <c r="H172" s="70">
        <f t="shared" si="8"/>
        <v>1529.25</v>
      </c>
      <c r="I172" s="70">
        <f t="shared" si="8"/>
        <v>5315</v>
      </c>
      <c r="J172" s="70">
        <f t="shared" si="8"/>
        <v>6795</v>
      </c>
      <c r="K172" s="70">
        <f t="shared" si="8"/>
        <v>1972</v>
      </c>
      <c r="L172" s="70">
        <f t="shared" si="8"/>
        <v>237</v>
      </c>
      <c r="M172" s="70">
        <f t="shared" si="8"/>
        <v>0</v>
      </c>
      <c r="N172" s="70">
        <f t="shared" si="8"/>
        <v>0</v>
      </c>
      <c r="O172" s="70">
        <f t="shared" si="8"/>
        <v>2400</v>
      </c>
      <c r="P172" s="70">
        <f t="shared" si="8"/>
        <v>4931.3999999999996</v>
      </c>
      <c r="Q172" s="70">
        <f t="shared" si="8"/>
        <v>5540.4</v>
      </c>
      <c r="R172" s="70">
        <f t="shared" si="8"/>
        <v>24000.400000000001</v>
      </c>
      <c r="S172" s="70">
        <f t="shared" si="8"/>
        <v>1028</v>
      </c>
      <c r="T172" s="70">
        <f t="shared" si="8"/>
        <v>1608.13508419</v>
      </c>
      <c r="U172" s="70">
        <f t="shared" si="8"/>
        <v>0</v>
      </c>
      <c r="V172" s="70">
        <f>SUM(B172:U172)</f>
        <v>118665.39484584</v>
      </c>
    </row>
    <row r="173" spans="1:22">
      <c r="A173" s="201" t="s">
        <v>440</v>
      </c>
      <c r="B173" s="206"/>
      <c r="C173" s="206"/>
      <c r="D173" s="206"/>
      <c r="E173" s="206"/>
      <c r="F173" s="206"/>
      <c r="G173" s="206"/>
      <c r="H173" s="206"/>
      <c r="I173" s="206"/>
      <c r="J173" s="206"/>
      <c r="K173" s="206"/>
      <c r="L173" s="206"/>
      <c r="M173" s="206"/>
      <c r="N173" s="206"/>
      <c r="O173" s="206"/>
      <c r="P173" s="206"/>
      <c r="Q173" s="206"/>
      <c r="R173" s="19"/>
      <c r="S173" s="206"/>
      <c r="T173" s="206"/>
      <c r="U173" s="206"/>
      <c r="V173" s="106"/>
    </row>
    <row r="174" spans="1:22">
      <c r="A174" s="117" t="s">
        <v>371</v>
      </c>
      <c r="B174" s="70">
        <f t="shared" ref="B174:V174" si="9">B162-B168</f>
        <v>-477.62783356999989</v>
      </c>
      <c r="C174" s="70">
        <f t="shared" si="9"/>
        <v>1847</v>
      </c>
      <c r="D174" s="70">
        <f t="shared" si="9"/>
        <v>0</v>
      </c>
      <c r="E174" s="70">
        <f t="shared" si="9"/>
        <v>4987.6490000000003</v>
      </c>
      <c r="F174" s="70">
        <f t="shared" si="9"/>
        <v>228.7</v>
      </c>
      <c r="G174" s="70">
        <f t="shared" si="9"/>
        <v>0</v>
      </c>
      <c r="H174" s="70">
        <f t="shared" si="9"/>
        <v>0</v>
      </c>
      <c r="I174" s="70">
        <f t="shared" si="9"/>
        <v>129</v>
      </c>
      <c r="J174" s="70">
        <f t="shared" si="9"/>
        <v>855</v>
      </c>
      <c r="K174" s="70">
        <f t="shared" si="9"/>
        <v>314</v>
      </c>
      <c r="L174" s="70">
        <f t="shared" si="9"/>
        <v>0</v>
      </c>
      <c r="M174" s="70">
        <f t="shared" si="9"/>
        <v>0</v>
      </c>
      <c r="N174" s="70">
        <f t="shared" si="9"/>
        <v>0</v>
      </c>
      <c r="O174" s="70">
        <f t="shared" si="9"/>
        <v>837</v>
      </c>
      <c r="P174" s="70">
        <f t="shared" si="9"/>
        <v>3249</v>
      </c>
      <c r="Q174" s="70">
        <f t="shared" si="9"/>
        <v>4795</v>
      </c>
      <c r="R174" s="70">
        <f t="shared" si="9"/>
        <v>21697</v>
      </c>
      <c r="S174" s="70">
        <f t="shared" si="9"/>
        <v>0</v>
      </c>
      <c r="T174" s="70">
        <f t="shared" si="9"/>
        <v>0</v>
      </c>
      <c r="U174" s="70">
        <f t="shared" si="9"/>
        <v>0</v>
      </c>
      <c r="V174" s="70">
        <f t="shared" si="9"/>
        <v>38461.721166429998</v>
      </c>
    </row>
    <row r="175" spans="1:22">
      <c r="A175" s="117" t="s">
        <v>373</v>
      </c>
      <c r="B175" s="70">
        <f t="shared" ref="B175:V175" si="10">B163-B169</f>
        <v>-102</v>
      </c>
      <c r="C175" s="70">
        <f t="shared" si="10"/>
        <v>0</v>
      </c>
      <c r="D175" s="70">
        <f t="shared" si="10"/>
        <v>368.89799999999991</v>
      </c>
      <c r="E175" s="70">
        <f t="shared" si="10"/>
        <v>-75</v>
      </c>
      <c r="F175" s="70">
        <f t="shared" si="10"/>
        <v>-169.5</v>
      </c>
      <c r="G175" s="70">
        <f t="shared" si="10"/>
        <v>-6</v>
      </c>
      <c r="H175" s="70">
        <f t="shared" si="10"/>
        <v>27.75</v>
      </c>
      <c r="I175" s="70">
        <f t="shared" si="10"/>
        <v>0</v>
      </c>
      <c r="J175" s="70">
        <f t="shared" si="10"/>
        <v>0</v>
      </c>
      <c r="K175" s="70">
        <f t="shared" si="10"/>
        <v>0</v>
      </c>
      <c r="L175" s="70">
        <f t="shared" si="10"/>
        <v>0</v>
      </c>
      <c r="M175" s="70">
        <f t="shared" si="10"/>
        <v>0</v>
      </c>
      <c r="N175" s="70">
        <f t="shared" si="10"/>
        <v>0</v>
      </c>
      <c r="O175" s="70">
        <f t="shared" si="10"/>
        <v>0</v>
      </c>
      <c r="P175" s="70">
        <f t="shared" si="10"/>
        <v>1213</v>
      </c>
      <c r="Q175" s="70">
        <f t="shared" si="10"/>
        <v>755</v>
      </c>
      <c r="R175" s="70">
        <f t="shared" si="10"/>
        <v>5698</v>
      </c>
      <c r="S175" s="70">
        <f t="shared" si="10"/>
        <v>-2</v>
      </c>
      <c r="T175" s="70">
        <f t="shared" si="10"/>
        <v>-16.135084190000043</v>
      </c>
      <c r="U175" s="70">
        <f t="shared" si="10"/>
        <v>0</v>
      </c>
      <c r="V175" s="70">
        <f t="shared" si="10"/>
        <v>7692.0129158100026</v>
      </c>
    </row>
    <row r="176" spans="1:22">
      <c r="A176" s="118" t="s">
        <v>441</v>
      </c>
      <c r="B176" s="70">
        <f t="shared" ref="B176:V176" si="11">B164-B170</f>
        <v>-1163</v>
      </c>
      <c r="C176" s="70">
        <f t="shared" si="11"/>
        <v>379</v>
      </c>
      <c r="D176" s="70">
        <f t="shared" si="11"/>
        <v>-210</v>
      </c>
      <c r="E176" s="70">
        <f t="shared" si="11"/>
        <v>2696</v>
      </c>
      <c r="F176" s="70">
        <f t="shared" si="11"/>
        <v>9.9000000000000909</v>
      </c>
      <c r="G176" s="70">
        <f t="shared" si="11"/>
        <v>0</v>
      </c>
      <c r="H176" s="70">
        <f t="shared" si="11"/>
        <v>-90</v>
      </c>
      <c r="I176" s="70">
        <f t="shared" si="11"/>
        <v>0</v>
      </c>
      <c r="J176" s="70">
        <f t="shared" si="11"/>
        <v>0</v>
      </c>
      <c r="K176" s="70">
        <f t="shared" si="11"/>
        <v>0</v>
      </c>
      <c r="L176" s="70">
        <f t="shared" si="11"/>
        <v>0</v>
      </c>
      <c r="M176" s="70">
        <f t="shared" si="11"/>
        <v>0</v>
      </c>
      <c r="N176" s="70">
        <f t="shared" si="11"/>
        <v>0</v>
      </c>
      <c r="O176" s="70">
        <f t="shared" si="11"/>
        <v>0</v>
      </c>
      <c r="P176" s="70">
        <f t="shared" si="11"/>
        <v>0</v>
      </c>
      <c r="Q176" s="70">
        <f t="shared" si="11"/>
        <v>0</v>
      </c>
      <c r="R176" s="70">
        <f t="shared" si="11"/>
        <v>0</v>
      </c>
      <c r="S176" s="70">
        <f t="shared" si="11"/>
        <v>38</v>
      </c>
      <c r="T176" s="70">
        <f t="shared" si="11"/>
        <v>0</v>
      </c>
      <c r="U176" s="70">
        <f t="shared" si="11"/>
        <v>0</v>
      </c>
      <c r="V176" s="70">
        <f t="shared" si="11"/>
        <v>1659.9000000000015</v>
      </c>
    </row>
    <row r="177" spans="1:23">
      <c r="A177" s="118" t="s">
        <v>442</v>
      </c>
      <c r="B177" s="70">
        <f t="shared" ref="B177:V177" si="12">B165-B171</f>
        <v>686.29509091</v>
      </c>
      <c r="C177" s="70">
        <f t="shared" si="12"/>
        <v>368</v>
      </c>
      <c r="D177" s="70">
        <f t="shared" si="12"/>
        <v>0</v>
      </c>
      <c r="E177" s="70">
        <f t="shared" si="12"/>
        <v>2478.87598101</v>
      </c>
      <c r="F177" s="70">
        <f t="shared" si="12"/>
        <v>66</v>
      </c>
      <c r="G177" s="70">
        <f t="shared" si="12"/>
        <v>0</v>
      </c>
      <c r="H177" s="70">
        <f t="shared" si="12"/>
        <v>0</v>
      </c>
      <c r="I177" s="70">
        <f t="shared" si="12"/>
        <v>0</v>
      </c>
      <c r="J177" s="70">
        <f t="shared" si="12"/>
        <v>0</v>
      </c>
      <c r="K177" s="70">
        <f t="shared" si="12"/>
        <v>0</v>
      </c>
      <c r="L177" s="70">
        <f t="shared" si="12"/>
        <v>0</v>
      </c>
      <c r="M177" s="70">
        <f t="shared" si="12"/>
        <v>0</v>
      </c>
      <c r="N177" s="70">
        <f t="shared" si="12"/>
        <v>0</v>
      </c>
      <c r="O177" s="70">
        <f t="shared" si="12"/>
        <v>0</v>
      </c>
      <c r="P177" s="70">
        <f t="shared" si="12"/>
        <v>-4871.3999999999996</v>
      </c>
      <c r="Q177" s="70">
        <f t="shared" si="12"/>
        <v>-5538.4</v>
      </c>
      <c r="R177" s="70">
        <f t="shared" si="12"/>
        <v>-23350.400000000001</v>
      </c>
      <c r="S177" s="70">
        <f t="shared" si="12"/>
        <v>0</v>
      </c>
      <c r="T177" s="70">
        <f t="shared" si="12"/>
        <v>0</v>
      </c>
      <c r="U177" s="70">
        <f t="shared" si="12"/>
        <v>0</v>
      </c>
      <c r="V177" s="70">
        <f t="shared" si="12"/>
        <v>-30161.028928079999</v>
      </c>
    </row>
    <row r="178" spans="1:23">
      <c r="A178" s="118"/>
      <c r="B178" s="70">
        <f t="shared" ref="B178:V178" si="13">B166-B172</f>
        <v>-1056.3327426600008</v>
      </c>
      <c r="C178" s="70">
        <f t="shared" si="13"/>
        <v>2594</v>
      </c>
      <c r="D178" s="70">
        <f t="shared" si="13"/>
        <v>158.89800000000014</v>
      </c>
      <c r="E178" s="70">
        <f t="shared" si="13"/>
        <v>10087.524981010001</v>
      </c>
      <c r="F178" s="70">
        <f t="shared" si="13"/>
        <v>135.10000000000036</v>
      </c>
      <c r="G178" s="70">
        <f t="shared" si="13"/>
        <v>-6</v>
      </c>
      <c r="H178" s="70">
        <f t="shared" si="13"/>
        <v>-62.25</v>
      </c>
      <c r="I178" s="70">
        <f t="shared" si="13"/>
        <v>129</v>
      </c>
      <c r="J178" s="70">
        <f t="shared" si="13"/>
        <v>855</v>
      </c>
      <c r="K178" s="70">
        <f t="shared" si="13"/>
        <v>314</v>
      </c>
      <c r="L178" s="70">
        <f t="shared" si="13"/>
        <v>0</v>
      </c>
      <c r="M178" s="70">
        <f t="shared" si="13"/>
        <v>0</v>
      </c>
      <c r="N178" s="70">
        <f t="shared" si="13"/>
        <v>0</v>
      </c>
      <c r="O178" s="70">
        <f t="shared" si="13"/>
        <v>837</v>
      </c>
      <c r="P178" s="70">
        <f t="shared" si="13"/>
        <v>-409.39999999999964</v>
      </c>
      <c r="Q178" s="70">
        <f t="shared" si="13"/>
        <v>11.600000000000364</v>
      </c>
      <c r="R178" s="70">
        <f t="shared" si="13"/>
        <v>4044.5999999999985</v>
      </c>
      <c r="S178" s="70">
        <f t="shared" si="13"/>
        <v>36</v>
      </c>
      <c r="T178" s="70">
        <f t="shared" si="13"/>
        <v>-16.135084190000043</v>
      </c>
      <c r="U178" s="70">
        <f t="shared" si="13"/>
        <v>0</v>
      </c>
      <c r="V178" s="70">
        <f t="shared" si="13"/>
        <v>17652.605154160003</v>
      </c>
    </row>
    <row r="180" spans="1:23">
      <c r="A180" s="173" t="s">
        <v>425</v>
      </c>
      <c r="B180" s="172"/>
      <c r="C180" s="172"/>
      <c r="D180" s="172"/>
      <c r="E180" s="172"/>
      <c r="F180" s="172"/>
      <c r="G180" s="172"/>
      <c r="H180" s="172"/>
      <c r="I180" s="172"/>
      <c r="J180" s="172"/>
      <c r="K180" s="172"/>
      <c r="L180" s="172"/>
      <c r="M180" s="172"/>
      <c r="N180" s="172"/>
      <c r="O180" s="172"/>
      <c r="P180" s="172"/>
      <c r="Q180" s="172"/>
      <c r="R180" s="172"/>
      <c r="S180" s="172"/>
      <c r="T180" s="171"/>
      <c r="U180" s="171"/>
    </row>
    <row r="182" spans="1:23">
      <c r="A182" s="57" t="s">
        <v>428</v>
      </c>
      <c r="B182" s="57" t="s">
        <v>430</v>
      </c>
      <c r="C182" s="57"/>
      <c r="D182" s="57"/>
      <c r="E182" s="57"/>
      <c r="F182" s="57"/>
      <c r="G182" s="57"/>
      <c r="H182" s="57"/>
      <c r="I182" s="57"/>
      <c r="J182" s="57"/>
      <c r="K182" s="57"/>
      <c r="L182" s="57"/>
      <c r="M182" s="57"/>
      <c r="N182" s="57"/>
      <c r="O182" s="57"/>
      <c r="P182" s="57"/>
      <c r="Q182" s="57"/>
      <c r="R182" s="57"/>
      <c r="S182" s="57"/>
      <c r="T182" s="57"/>
      <c r="U182" s="57"/>
    </row>
    <row r="183" spans="1:23">
      <c r="A183" s="57" t="s">
        <v>429</v>
      </c>
      <c r="B183" s="57" t="s">
        <v>935</v>
      </c>
      <c r="C183" s="57"/>
      <c r="D183" s="57"/>
      <c r="E183" s="57"/>
      <c r="F183" s="57"/>
      <c r="G183" s="57"/>
      <c r="H183" s="57"/>
      <c r="I183" s="57"/>
      <c r="J183" s="57"/>
      <c r="K183" s="57"/>
      <c r="L183" s="57"/>
      <c r="M183" s="57"/>
      <c r="N183" s="57"/>
      <c r="O183" s="57"/>
      <c r="P183" s="57"/>
      <c r="Q183" s="57"/>
      <c r="R183" s="57"/>
      <c r="S183" s="57"/>
      <c r="T183" s="57"/>
      <c r="U183" s="57"/>
      <c r="V183" s="217"/>
    </row>
    <row r="184" spans="1:23">
      <c r="A184" s="57" t="s">
        <v>432</v>
      </c>
      <c r="B184" s="57" t="s">
        <v>431</v>
      </c>
      <c r="C184" s="57"/>
      <c r="D184" s="57"/>
      <c r="E184" s="57"/>
      <c r="F184" s="57"/>
      <c r="G184" s="57"/>
      <c r="H184" s="57"/>
      <c r="I184" s="57"/>
      <c r="J184" s="57"/>
      <c r="K184" s="57"/>
      <c r="L184" s="57"/>
      <c r="M184" s="57"/>
      <c r="N184" s="57"/>
      <c r="O184" s="57"/>
      <c r="P184" s="57"/>
      <c r="Q184" s="57"/>
      <c r="R184" s="57"/>
      <c r="S184" s="57"/>
      <c r="T184" s="57"/>
      <c r="U184" s="57"/>
    </row>
    <row r="185" spans="1:23">
      <c r="A185" s="57"/>
      <c r="B185" s="57" t="s">
        <v>426</v>
      </c>
      <c r="C185" s="57"/>
      <c r="D185" s="57"/>
      <c r="E185" s="57"/>
      <c r="F185" s="57"/>
      <c r="G185" s="57"/>
      <c r="H185" s="57"/>
      <c r="I185" s="57"/>
      <c r="J185" s="57"/>
      <c r="K185" s="57"/>
      <c r="L185" s="57"/>
      <c r="M185" s="57"/>
      <c r="N185" s="57"/>
      <c r="O185" s="57"/>
      <c r="P185" s="57"/>
      <c r="Q185" s="57"/>
      <c r="R185" s="57"/>
      <c r="S185" s="57"/>
      <c r="T185" s="57"/>
      <c r="U185" s="57"/>
    </row>
    <row r="186" spans="1:23">
      <c r="A186" s="57"/>
      <c r="B186" s="57" t="s">
        <v>427</v>
      </c>
      <c r="C186" s="57"/>
      <c r="D186" s="57"/>
      <c r="E186" s="57"/>
      <c r="F186" s="57"/>
      <c r="G186" s="57"/>
      <c r="H186" s="57"/>
      <c r="I186" s="57"/>
      <c r="J186" s="57"/>
      <c r="K186" s="57"/>
      <c r="L186" s="57"/>
      <c r="M186" s="57"/>
      <c r="N186" s="57"/>
      <c r="O186" s="57"/>
      <c r="P186" s="57"/>
      <c r="Q186" s="57"/>
      <c r="R186" s="57"/>
      <c r="S186" s="57"/>
      <c r="T186" s="57"/>
      <c r="U186" s="57"/>
    </row>
    <row r="188" spans="1:23">
      <c r="A188" s="153" t="s">
        <v>262</v>
      </c>
      <c r="B188" s="153" t="s">
        <v>26</v>
      </c>
      <c r="C188" s="153" t="s">
        <v>126</v>
      </c>
      <c r="D188" s="153" t="s">
        <v>75</v>
      </c>
      <c r="E188" s="153" t="s">
        <v>127</v>
      </c>
      <c r="F188" s="153" t="s">
        <v>128</v>
      </c>
      <c r="G188" s="153" t="s">
        <v>129</v>
      </c>
      <c r="H188" s="153" t="s">
        <v>130</v>
      </c>
      <c r="I188" s="153" t="s">
        <v>103</v>
      </c>
      <c r="J188" s="153" t="s">
        <v>104</v>
      </c>
      <c r="K188" s="153" t="s">
        <v>105</v>
      </c>
      <c r="L188" s="153" t="s">
        <v>106</v>
      </c>
      <c r="M188" s="153" t="s">
        <v>99</v>
      </c>
      <c r="N188" s="153" t="s">
        <v>101</v>
      </c>
      <c r="O188" s="153" t="s">
        <v>133</v>
      </c>
      <c r="P188" s="153" t="s">
        <v>118</v>
      </c>
      <c r="Q188" s="153" t="s">
        <v>119</v>
      </c>
      <c r="R188" s="153" t="s">
        <v>120</v>
      </c>
      <c r="S188" s="153" t="s">
        <v>135</v>
      </c>
      <c r="T188" s="153" t="s">
        <v>136</v>
      </c>
      <c r="U188" s="153" t="s">
        <v>137</v>
      </c>
    </row>
    <row r="189" spans="1:23">
      <c r="A189" s="112" t="s">
        <v>139</v>
      </c>
      <c r="B189" s="527">
        <f t="shared" ref="B189:K191" si="14">S24</f>
        <v>299470</v>
      </c>
      <c r="C189" s="527">
        <f t="shared" si="14"/>
        <v>100400</v>
      </c>
      <c r="D189" s="527">
        <f t="shared" si="14"/>
        <v>54790</v>
      </c>
      <c r="E189" s="527">
        <f t="shared" si="14"/>
        <v>128949.99999999999</v>
      </c>
      <c r="F189" s="527">
        <f t="shared" si="14"/>
        <v>36740</v>
      </c>
      <c r="G189" s="527">
        <f t="shared" si="14"/>
        <v>59320</v>
      </c>
      <c r="H189" s="527">
        <f t="shared" si="14"/>
        <v>23300</v>
      </c>
      <c r="I189" s="521">
        <f t="shared" si="14"/>
        <v>0</v>
      </c>
      <c r="J189" s="521">
        <f t="shared" si="14"/>
        <v>1208.1011915693161</v>
      </c>
      <c r="K189" s="521">
        <f t="shared" si="14"/>
        <v>17554.88799595719</v>
      </c>
      <c r="L189" s="521">
        <f t="shared" ref="L189:U191" si="15">AC24</f>
        <v>7657.0108124734952</v>
      </c>
      <c r="M189" s="521">
        <f t="shared" si="15"/>
        <v>6195.4816941224781</v>
      </c>
      <c r="N189" s="521">
        <f t="shared" si="15"/>
        <v>15514.518305877522</v>
      </c>
      <c r="O189" s="527">
        <f t="shared" si="15"/>
        <v>21270</v>
      </c>
      <c r="P189" s="521">
        <f t="shared" si="15"/>
        <v>1562.5</v>
      </c>
      <c r="Q189" s="521">
        <f t="shared" si="15"/>
        <v>0</v>
      </c>
      <c r="R189" s="527">
        <f t="shared" si="15"/>
        <v>4687.5</v>
      </c>
      <c r="S189" s="527">
        <f t="shared" si="15"/>
        <v>6540</v>
      </c>
      <c r="T189" s="527">
        <f t="shared" si="15"/>
        <v>800</v>
      </c>
      <c r="U189" s="527">
        <f t="shared" si="15"/>
        <v>2400</v>
      </c>
      <c r="V189" s="70">
        <f>SUM(B189:U189)</f>
        <v>788360</v>
      </c>
      <c r="W189" s="70"/>
    </row>
    <row r="190" spans="1:23">
      <c r="A190" s="112" t="s">
        <v>140</v>
      </c>
      <c r="B190" s="527">
        <f t="shared" si="14"/>
        <v>142000</v>
      </c>
      <c r="C190" s="527">
        <f t="shared" si="14"/>
        <v>50000</v>
      </c>
      <c r="D190" s="527">
        <f t="shared" si="14"/>
        <v>43480</v>
      </c>
      <c r="E190" s="527">
        <f t="shared" si="14"/>
        <v>75050</v>
      </c>
      <c r="F190" s="527">
        <f t="shared" si="14"/>
        <v>29500</v>
      </c>
      <c r="G190" s="527">
        <f t="shared" si="14"/>
        <v>12700</v>
      </c>
      <c r="H190" s="527">
        <f t="shared" si="14"/>
        <v>8900</v>
      </c>
      <c r="I190" s="521">
        <f t="shared" si="14"/>
        <v>7018.4769305581794</v>
      </c>
      <c r="J190" s="521">
        <f t="shared" si="14"/>
        <v>12727.578281810482</v>
      </c>
      <c r="K190" s="521">
        <f t="shared" si="14"/>
        <v>5408.5475171000035</v>
      </c>
      <c r="L190" s="521">
        <f t="shared" si="15"/>
        <v>3095.3972705313349</v>
      </c>
      <c r="M190" s="521">
        <f t="shared" si="15"/>
        <v>4639.3817913564608</v>
      </c>
      <c r="N190" s="521">
        <f t="shared" si="15"/>
        <v>23610.61820864354</v>
      </c>
      <c r="O190" s="527">
        <f t="shared" si="15"/>
        <v>46000</v>
      </c>
      <c r="P190" s="521">
        <f t="shared" si="15"/>
        <v>2429.0722209751543</v>
      </c>
      <c r="Q190" s="521">
        <f t="shared" si="15"/>
        <v>1485.8409082853868</v>
      </c>
      <c r="R190" s="527">
        <f t="shared" si="15"/>
        <v>2445.0868707394588</v>
      </c>
      <c r="S190" s="527">
        <f t="shared" si="15"/>
        <v>5210</v>
      </c>
      <c r="T190" s="527">
        <f t="shared" si="15"/>
        <v>290</v>
      </c>
      <c r="U190" s="527">
        <f t="shared" si="15"/>
        <v>860</v>
      </c>
      <c r="V190" s="70">
        <f t="shared" ref="V190:V191" si="16">SUM(B190:U190)</f>
        <v>476850</v>
      </c>
      <c r="W190" s="70"/>
    </row>
    <row r="191" spans="1:23">
      <c r="A191" s="212" t="s">
        <v>141</v>
      </c>
      <c r="B191" s="528">
        <f t="shared" si="14"/>
        <v>50520</v>
      </c>
      <c r="C191" s="528">
        <f t="shared" si="14"/>
        <v>17980</v>
      </c>
      <c r="D191" s="528">
        <f t="shared" si="14"/>
        <v>75030</v>
      </c>
      <c r="E191" s="528">
        <f t="shared" si="14"/>
        <v>5040</v>
      </c>
      <c r="F191" s="528">
        <f t="shared" si="14"/>
        <v>10900</v>
      </c>
      <c r="G191" s="528">
        <f t="shared" si="14"/>
        <v>33300</v>
      </c>
      <c r="H191" s="528">
        <f t="shared" si="14"/>
        <v>6860</v>
      </c>
      <c r="I191" s="529">
        <f t="shared" si="14"/>
        <v>0</v>
      </c>
      <c r="J191" s="529">
        <f t="shared" si="14"/>
        <v>1000</v>
      </c>
      <c r="K191" s="529">
        <f t="shared" si="14"/>
        <v>1400</v>
      </c>
      <c r="L191" s="529">
        <f t="shared" si="15"/>
        <v>4200</v>
      </c>
      <c r="M191" s="529">
        <f t="shared" si="15"/>
        <v>6847.153565820272</v>
      </c>
      <c r="N191" s="529">
        <f t="shared" si="15"/>
        <v>14392.846434179728</v>
      </c>
      <c r="O191" s="528">
        <f t="shared" si="15"/>
        <v>3600</v>
      </c>
      <c r="P191" s="529">
        <f t="shared" si="15"/>
        <v>0</v>
      </c>
      <c r="Q191" s="529">
        <f t="shared" si="15"/>
        <v>0</v>
      </c>
      <c r="R191" s="528">
        <f t="shared" si="15"/>
        <v>6000</v>
      </c>
      <c r="S191" s="528">
        <f t="shared" si="15"/>
        <v>2100</v>
      </c>
      <c r="T191" s="528">
        <f t="shared" si="15"/>
        <v>500</v>
      </c>
      <c r="U191" s="528">
        <f t="shared" si="15"/>
        <v>1000</v>
      </c>
      <c r="V191" s="70">
        <f t="shared" si="16"/>
        <v>240670</v>
      </c>
      <c r="W191" s="70">
        <f>SUM(V189:V191)</f>
        <v>1505880</v>
      </c>
    </row>
    <row r="192" spans="1:23">
      <c r="A192" s="31" t="s">
        <v>406</v>
      </c>
      <c r="B192" s="527">
        <f t="shared" ref="B192:U192" si="17">B46</f>
        <v>0</v>
      </c>
      <c r="C192" s="527">
        <f t="shared" si="17"/>
        <v>0</v>
      </c>
      <c r="D192" s="527">
        <f t="shared" si="17"/>
        <v>0</v>
      </c>
      <c r="E192" s="527">
        <f t="shared" si="17"/>
        <v>0</v>
      </c>
      <c r="F192" s="527">
        <f t="shared" si="17"/>
        <v>3213</v>
      </c>
      <c r="G192" s="527">
        <f t="shared" si="17"/>
        <v>0</v>
      </c>
      <c r="H192" s="527">
        <f t="shared" si="17"/>
        <v>354</v>
      </c>
      <c r="I192" s="527">
        <f t="shared" si="17"/>
        <v>0</v>
      </c>
      <c r="J192" s="527">
        <f t="shared" si="17"/>
        <v>0</v>
      </c>
      <c r="K192" s="527">
        <f t="shared" si="17"/>
        <v>0</v>
      </c>
      <c r="L192" s="527">
        <f t="shared" si="17"/>
        <v>0</v>
      </c>
      <c r="M192" s="527">
        <f t="shared" si="17"/>
        <v>831</v>
      </c>
      <c r="N192" s="527">
        <f t="shared" si="17"/>
        <v>411</v>
      </c>
      <c r="O192" s="527">
        <f t="shared" si="17"/>
        <v>928</v>
      </c>
      <c r="P192" s="527">
        <f t="shared" si="17"/>
        <v>0</v>
      </c>
      <c r="Q192" s="527">
        <f t="shared" si="17"/>
        <v>0</v>
      </c>
      <c r="R192" s="527">
        <f t="shared" si="17"/>
        <v>0</v>
      </c>
      <c r="S192" s="527">
        <f t="shared" si="17"/>
        <v>0</v>
      </c>
      <c r="T192" s="527">
        <f t="shared" si="17"/>
        <v>0</v>
      </c>
      <c r="U192" s="527">
        <f t="shared" si="17"/>
        <v>0</v>
      </c>
      <c r="V192" s="70">
        <f>SUM(B192:U192)</f>
        <v>5737</v>
      </c>
      <c r="W192" s="68"/>
    </row>
    <row r="193" spans="1:23">
      <c r="A193" s="31" t="s">
        <v>411</v>
      </c>
      <c r="B193" s="531"/>
      <c r="C193" s="531"/>
      <c r="D193" s="531"/>
      <c r="E193" s="531"/>
      <c r="F193" s="531"/>
      <c r="G193" s="531"/>
      <c r="H193" s="531"/>
      <c r="I193" s="531"/>
      <c r="J193" s="531"/>
      <c r="K193" s="531"/>
      <c r="L193" s="531"/>
      <c r="M193" s="531"/>
      <c r="N193" s="531"/>
      <c r="O193" s="531"/>
      <c r="P193" s="531"/>
      <c r="Q193" s="531"/>
      <c r="R193" s="531"/>
      <c r="S193" s="531"/>
      <c r="T193" s="531"/>
      <c r="U193" s="527">
        <f>U47</f>
        <v>464</v>
      </c>
      <c r="V193" s="70">
        <f t="shared" ref="V193:V214" si="18">SUM(B193:U193)</f>
        <v>464</v>
      </c>
      <c r="W193" s="68"/>
    </row>
    <row r="194" spans="1:23">
      <c r="A194" s="31" t="s">
        <v>445</v>
      </c>
      <c r="B194" s="215">
        <f t="shared" ref="B194:U194" si="19">B49</f>
        <v>8564</v>
      </c>
      <c r="C194" s="215">
        <f t="shared" si="19"/>
        <v>2415</v>
      </c>
      <c r="D194" s="215">
        <f t="shared" si="19"/>
        <v>3053</v>
      </c>
      <c r="E194" s="215">
        <f t="shared" si="19"/>
        <v>1730</v>
      </c>
      <c r="F194" s="215">
        <f t="shared" si="19"/>
        <v>2183</v>
      </c>
      <c r="G194" s="215">
        <f t="shared" si="19"/>
        <v>415</v>
      </c>
      <c r="H194" s="215">
        <f t="shared" si="19"/>
        <v>615</v>
      </c>
      <c r="I194" s="215">
        <f t="shared" si="19"/>
        <v>199</v>
      </c>
      <c r="J194" s="215">
        <f t="shared" si="19"/>
        <v>744</v>
      </c>
      <c r="K194" s="215">
        <f t="shared" si="19"/>
        <v>2554</v>
      </c>
      <c r="L194" s="215">
        <f t="shared" si="19"/>
        <v>698</v>
      </c>
      <c r="M194" s="215">
        <f t="shared" si="19"/>
        <v>0</v>
      </c>
      <c r="N194" s="215">
        <f t="shared" si="19"/>
        <v>7</v>
      </c>
      <c r="O194" s="215">
        <f t="shared" si="19"/>
        <v>2625</v>
      </c>
      <c r="P194" s="215">
        <f t="shared" si="19"/>
        <v>0</v>
      </c>
      <c r="Q194" s="215">
        <f t="shared" si="19"/>
        <v>0</v>
      </c>
      <c r="R194" s="215">
        <f t="shared" si="19"/>
        <v>0</v>
      </c>
      <c r="S194" s="215">
        <f t="shared" si="19"/>
        <v>210</v>
      </c>
      <c r="T194" s="215">
        <f t="shared" si="19"/>
        <v>159</v>
      </c>
      <c r="U194" s="215">
        <f t="shared" si="19"/>
        <v>168</v>
      </c>
      <c r="V194" s="70">
        <f t="shared" si="18"/>
        <v>26339</v>
      </c>
      <c r="W194" s="68"/>
    </row>
    <row r="195" spans="1:23">
      <c r="A195" s="186" t="s">
        <v>142</v>
      </c>
      <c r="B195" s="532">
        <f t="shared" ref="B195:U195" si="20">B50</f>
        <v>0</v>
      </c>
      <c r="C195" s="532">
        <f t="shared" si="20"/>
        <v>54700</v>
      </c>
      <c r="D195" s="532">
        <f t="shared" si="20"/>
        <v>4500</v>
      </c>
      <c r="E195" s="532">
        <f t="shared" si="20"/>
        <v>0</v>
      </c>
      <c r="F195" s="532">
        <f t="shared" si="20"/>
        <v>2220</v>
      </c>
      <c r="G195" s="532">
        <f t="shared" si="20"/>
        <v>243</v>
      </c>
      <c r="H195" s="532">
        <f>H50</f>
        <v>1038</v>
      </c>
      <c r="I195" s="532">
        <f t="shared" si="20"/>
        <v>0</v>
      </c>
      <c r="J195" s="532">
        <f t="shared" si="20"/>
        <v>0</v>
      </c>
      <c r="K195" s="532">
        <f t="shared" si="20"/>
        <v>4800</v>
      </c>
      <c r="L195" s="532">
        <f t="shared" si="20"/>
        <v>0</v>
      </c>
      <c r="M195" s="532">
        <f t="shared" si="20"/>
        <v>0</v>
      </c>
      <c r="N195" s="532">
        <f t="shared" si="20"/>
        <v>0</v>
      </c>
      <c r="O195" s="532">
        <f t="shared" si="20"/>
        <v>3250</v>
      </c>
      <c r="P195" s="532">
        <f t="shared" si="20"/>
        <v>0</v>
      </c>
      <c r="Q195" s="532">
        <f t="shared" si="20"/>
        <v>0</v>
      </c>
      <c r="R195" s="532">
        <f t="shared" si="20"/>
        <v>0</v>
      </c>
      <c r="S195" s="532">
        <f t="shared" si="20"/>
        <v>0</v>
      </c>
      <c r="T195" s="532">
        <f t="shared" si="20"/>
        <v>0</v>
      </c>
      <c r="U195" s="532">
        <f t="shared" si="20"/>
        <v>0</v>
      </c>
      <c r="V195" s="70">
        <f t="shared" si="18"/>
        <v>70751</v>
      </c>
      <c r="W195" s="68"/>
    </row>
    <row r="196" spans="1:23">
      <c r="A196" s="20" t="s">
        <v>378</v>
      </c>
      <c r="B196" s="531">
        <f t="shared" ref="B196:U196" si="21">B51</f>
        <v>0</v>
      </c>
      <c r="C196" s="531">
        <f t="shared" si="21"/>
        <v>0</v>
      </c>
      <c r="D196" s="531">
        <f t="shared" si="21"/>
        <v>0</v>
      </c>
      <c r="E196" s="531">
        <f t="shared" si="21"/>
        <v>0</v>
      </c>
      <c r="F196" s="527">
        <f t="shared" si="21"/>
        <v>1873</v>
      </c>
      <c r="G196" s="531">
        <f t="shared" si="21"/>
        <v>0</v>
      </c>
      <c r="H196" s="531">
        <f t="shared" si="21"/>
        <v>0</v>
      </c>
      <c r="I196" s="531">
        <f t="shared" si="21"/>
        <v>0</v>
      </c>
      <c r="J196" s="531">
        <f t="shared" si="21"/>
        <v>0</v>
      </c>
      <c r="K196" s="531">
        <f t="shared" si="21"/>
        <v>0</v>
      </c>
      <c r="L196" s="531">
        <f t="shared" si="21"/>
        <v>0</v>
      </c>
      <c r="M196" s="531">
        <f t="shared" si="21"/>
        <v>0</v>
      </c>
      <c r="N196" s="531">
        <f t="shared" si="21"/>
        <v>0</v>
      </c>
      <c r="O196" s="531">
        <f t="shared" si="21"/>
        <v>0</v>
      </c>
      <c r="P196" s="531">
        <f t="shared" si="21"/>
        <v>0</v>
      </c>
      <c r="Q196" s="531">
        <f t="shared" si="21"/>
        <v>0</v>
      </c>
      <c r="R196" s="531">
        <f t="shared" si="21"/>
        <v>0</v>
      </c>
      <c r="S196" s="531">
        <f t="shared" si="21"/>
        <v>0</v>
      </c>
      <c r="T196" s="531">
        <f t="shared" si="21"/>
        <v>0</v>
      </c>
      <c r="U196" s="531">
        <f t="shared" si="21"/>
        <v>0</v>
      </c>
      <c r="V196" s="70">
        <f t="shared" si="18"/>
        <v>1873</v>
      </c>
      <c r="W196" s="68"/>
    </row>
    <row r="197" spans="1:23">
      <c r="A197" s="131" t="s">
        <v>379</v>
      </c>
      <c r="B197" s="533">
        <f t="shared" ref="B197:U197" si="22">B52</f>
        <v>0</v>
      </c>
      <c r="C197" s="533">
        <f t="shared" si="22"/>
        <v>0</v>
      </c>
      <c r="D197" s="533">
        <f t="shared" si="22"/>
        <v>0</v>
      </c>
      <c r="E197" s="533">
        <f t="shared" si="22"/>
        <v>0</v>
      </c>
      <c r="F197" s="530">
        <f t="shared" si="22"/>
        <v>1464</v>
      </c>
      <c r="G197" s="533">
        <f t="shared" si="22"/>
        <v>0</v>
      </c>
      <c r="H197" s="533">
        <f t="shared" si="22"/>
        <v>0</v>
      </c>
      <c r="I197" s="533">
        <f t="shared" si="22"/>
        <v>0</v>
      </c>
      <c r="J197" s="533">
        <f t="shared" si="22"/>
        <v>0</v>
      </c>
      <c r="K197" s="533">
        <f t="shared" si="22"/>
        <v>0</v>
      </c>
      <c r="L197" s="533">
        <f t="shared" si="22"/>
        <v>0</v>
      </c>
      <c r="M197" s="533">
        <f t="shared" si="22"/>
        <v>0</v>
      </c>
      <c r="N197" s="533">
        <f t="shared" si="22"/>
        <v>0</v>
      </c>
      <c r="O197" s="533">
        <f t="shared" si="22"/>
        <v>0</v>
      </c>
      <c r="P197" s="533">
        <f t="shared" si="22"/>
        <v>0</v>
      </c>
      <c r="Q197" s="533">
        <f t="shared" si="22"/>
        <v>0</v>
      </c>
      <c r="R197" s="533">
        <f t="shared" si="22"/>
        <v>0</v>
      </c>
      <c r="S197" s="533">
        <f t="shared" si="22"/>
        <v>0</v>
      </c>
      <c r="T197" s="533">
        <f t="shared" si="22"/>
        <v>0</v>
      </c>
      <c r="U197" s="533">
        <f t="shared" si="22"/>
        <v>0</v>
      </c>
      <c r="V197" s="70">
        <f t="shared" si="18"/>
        <v>1464</v>
      </c>
      <c r="W197" s="68"/>
    </row>
    <row r="198" spans="1:23">
      <c r="A198" s="114" t="s">
        <v>380</v>
      </c>
      <c r="B198" s="527">
        <f t="shared" ref="B198:U198" si="23">B53</f>
        <v>0</v>
      </c>
      <c r="C198" s="527">
        <f t="shared" si="23"/>
        <v>0</v>
      </c>
      <c r="D198" s="527">
        <f t="shared" si="23"/>
        <v>0</v>
      </c>
      <c r="E198" s="527">
        <f t="shared" si="23"/>
        <v>0</v>
      </c>
      <c r="F198" s="527">
        <f t="shared" si="23"/>
        <v>3213</v>
      </c>
      <c r="G198" s="527">
        <f t="shared" si="23"/>
        <v>0</v>
      </c>
      <c r="H198" s="527">
        <f t="shared" si="23"/>
        <v>0</v>
      </c>
      <c r="I198" s="527">
        <f t="shared" si="23"/>
        <v>0</v>
      </c>
      <c r="J198" s="527">
        <f t="shared" si="23"/>
        <v>0</v>
      </c>
      <c r="K198" s="527">
        <f t="shared" si="23"/>
        <v>0</v>
      </c>
      <c r="L198" s="527">
        <f t="shared" si="23"/>
        <v>0</v>
      </c>
      <c r="M198" s="527">
        <f t="shared" si="23"/>
        <v>0</v>
      </c>
      <c r="N198" s="527">
        <f t="shared" si="23"/>
        <v>0</v>
      </c>
      <c r="O198" s="527">
        <f t="shared" si="23"/>
        <v>0</v>
      </c>
      <c r="P198" s="527">
        <f t="shared" si="23"/>
        <v>0</v>
      </c>
      <c r="Q198" s="527">
        <f t="shared" si="23"/>
        <v>0</v>
      </c>
      <c r="R198" s="527">
        <f t="shared" si="23"/>
        <v>0</v>
      </c>
      <c r="S198" s="527">
        <f t="shared" si="23"/>
        <v>0</v>
      </c>
      <c r="T198" s="527">
        <f t="shared" si="23"/>
        <v>0</v>
      </c>
      <c r="U198" s="527">
        <f t="shared" si="23"/>
        <v>0</v>
      </c>
      <c r="V198" s="70">
        <f t="shared" si="18"/>
        <v>3213</v>
      </c>
      <c r="W198" s="68"/>
    </row>
    <row r="199" spans="1:23">
      <c r="A199" s="114" t="s">
        <v>381</v>
      </c>
      <c r="B199" s="527">
        <f t="shared" ref="B199:U199" si="24">B54</f>
        <v>0</v>
      </c>
      <c r="C199" s="527">
        <f t="shared" si="24"/>
        <v>0</v>
      </c>
      <c r="D199" s="527">
        <f t="shared" si="24"/>
        <v>0</v>
      </c>
      <c r="E199" s="527">
        <f t="shared" si="24"/>
        <v>0</v>
      </c>
      <c r="F199" s="527">
        <f t="shared" si="24"/>
        <v>2597</v>
      </c>
      <c r="G199" s="527">
        <f t="shared" si="24"/>
        <v>0</v>
      </c>
      <c r="H199" s="527">
        <f t="shared" si="24"/>
        <v>0</v>
      </c>
      <c r="I199" s="527">
        <f t="shared" si="24"/>
        <v>0</v>
      </c>
      <c r="J199" s="527">
        <f t="shared" si="24"/>
        <v>0</v>
      </c>
      <c r="K199" s="527">
        <f t="shared" si="24"/>
        <v>0</v>
      </c>
      <c r="L199" s="527">
        <f t="shared" si="24"/>
        <v>0</v>
      </c>
      <c r="M199" s="527">
        <f t="shared" si="24"/>
        <v>0</v>
      </c>
      <c r="N199" s="527">
        <f t="shared" si="24"/>
        <v>0</v>
      </c>
      <c r="O199" s="527">
        <f t="shared" si="24"/>
        <v>0</v>
      </c>
      <c r="P199" s="527">
        <f t="shared" si="24"/>
        <v>0</v>
      </c>
      <c r="Q199" s="527">
        <f t="shared" si="24"/>
        <v>0</v>
      </c>
      <c r="R199" s="527">
        <f t="shared" si="24"/>
        <v>0</v>
      </c>
      <c r="S199" s="527">
        <f t="shared" si="24"/>
        <v>0</v>
      </c>
      <c r="T199" s="527">
        <f t="shared" si="24"/>
        <v>0</v>
      </c>
      <c r="U199" s="527">
        <f t="shared" si="24"/>
        <v>0</v>
      </c>
      <c r="V199" s="70">
        <f t="shared" si="18"/>
        <v>2597</v>
      </c>
      <c r="W199" s="68"/>
    </row>
    <row r="200" spans="1:23">
      <c r="A200" s="120" t="s">
        <v>382</v>
      </c>
      <c r="B200" s="530">
        <f t="shared" ref="B200:U200" si="25">B55</f>
        <v>0</v>
      </c>
      <c r="C200" s="530">
        <f t="shared" si="25"/>
        <v>0</v>
      </c>
      <c r="D200" s="530">
        <f t="shared" si="25"/>
        <v>0</v>
      </c>
      <c r="E200" s="530">
        <f t="shared" si="25"/>
        <v>0</v>
      </c>
      <c r="F200" s="530">
        <f t="shared" si="25"/>
        <v>1663</v>
      </c>
      <c r="G200" s="530">
        <f t="shared" si="25"/>
        <v>0</v>
      </c>
      <c r="H200" s="530">
        <f t="shared" si="25"/>
        <v>0</v>
      </c>
      <c r="I200" s="530">
        <f t="shared" si="25"/>
        <v>0</v>
      </c>
      <c r="J200" s="530">
        <f t="shared" si="25"/>
        <v>0</v>
      </c>
      <c r="K200" s="530">
        <f t="shared" si="25"/>
        <v>0</v>
      </c>
      <c r="L200" s="530">
        <f t="shared" si="25"/>
        <v>0</v>
      </c>
      <c r="M200" s="530">
        <f t="shared" si="25"/>
        <v>0</v>
      </c>
      <c r="N200" s="530">
        <f t="shared" si="25"/>
        <v>0</v>
      </c>
      <c r="O200" s="530">
        <f t="shared" si="25"/>
        <v>0</v>
      </c>
      <c r="P200" s="530">
        <f t="shared" si="25"/>
        <v>0</v>
      </c>
      <c r="Q200" s="530">
        <f t="shared" si="25"/>
        <v>0</v>
      </c>
      <c r="R200" s="530">
        <f t="shared" si="25"/>
        <v>0</v>
      </c>
      <c r="S200" s="530">
        <f t="shared" si="25"/>
        <v>0</v>
      </c>
      <c r="T200" s="530">
        <f t="shared" si="25"/>
        <v>0</v>
      </c>
      <c r="U200" s="530">
        <f t="shared" si="25"/>
        <v>0</v>
      </c>
      <c r="V200" s="70">
        <f t="shared" si="18"/>
        <v>1663</v>
      </c>
      <c r="W200" s="68"/>
    </row>
    <row r="201" spans="1:23">
      <c r="A201" s="114" t="s">
        <v>248</v>
      </c>
      <c r="B201" s="527">
        <f t="shared" ref="B201:U201" si="26">B56</f>
        <v>745</v>
      </c>
      <c r="C201" s="527">
        <f t="shared" si="26"/>
        <v>0</v>
      </c>
      <c r="D201" s="527">
        <f t="shared" si="26"/>
        <v>389</v>
      </c>
      <c r="E201" s="527">
        <f t="shared" si="26"/>
        <v>0</v>
      </c>
      <c r="F201" s="527">
        <f t="shared" si="26"/>
        <v>0</v>
      </c>
      <c r="G201" s="527">
        <f t="shared" si="26"/>
        <v>0</v>
      </c>
      <c r="H201" s="527">
        <f t="shared" si="26"/>
        <v>0</v>
      </c>
      <c r="I201" s="527">
        <f t="shared" si="26"/>
        <v>0</v>
      </c>
      <c r="J201" s="527">
        <f t="shared" si="26"/>
        <v>0</v>
      </c>
      <c r="K201" s="527">
        <f t="shared" si="26"/>
        <v>0</v>
      </c>
      <c r="L201" s="527">
        <f t="shared" si="26"/>
        <v>0</v>
      </c>
      <c r="M201" s="527">
        <f t="shared" si="26"/>
        <v>531</v>
      </c>
      <c r="N201" s="527">
        <f t="shared" si="26"/>
        <v>152</v>
      </c>
      <c r="O201" s="527">
        <f t="shared" si="26"/>
        <v>0</v>
      </c>
      <c r="P201" s="527">
        <f t="shared" si="26"/>
        <v>0</v>
      </c>
      <c r="Q201" s="527">
        <f t="shared" si="26"/>
        <v>0</v>
      </c>
      <c r="R201" s="527">
        <f t="shared" si="26"/>
        <v>0</v>
      </c>
      <c r="S201" s="527">
        <f t="shared" si="26"/>
        <v>0</v>
      </c>
      <c r="T201" s="527">
        <f t="shared" si="26"/>
        <v>0</v>
      </c>
      <c r="U201" s="527">
        <f t="shared" si="26"/>
        <v>0</v>
      </c>
      <c r="V201" s="70">
        <f t="shared" si="18"/>
        <v>1817</v>
      </c>
      <c r="W201" s="68"/>
    </row>
    <row r="202" spans="1:23">
      <c r="A202" s="120" t="s">
        <v>383</v>
      </c>
      <c r="B202" s="530">
        <f t="shared" ref="B202:U202" si="27">B57</f>
        <v>0</v>
      </c>
      <c r="C202" s="530">
        <f t="shared" si="27"/>
        <v>0</v>
      </c>
      <c r="D202" s="530">
        <f t="shared" si="27"/>
        <v>0</v>
      </c>
      <c r="E202" s="530">
        <f t="shared" si="27"/>
        <v>0</v>
      </c>
      <c r="F202" s="530">
        <f t="shared" si="27"/>
        <v>0</v>
      </c>
      <c r="G202" s="530">
        <f t="shared" si="27"/>
        <v>0</v>
      </c>
      <c r="H202" s="530">
        <f t="shared" si="27"/>
        <v>140</v>
      </c>
      <c r="I202" s="530">
        <f t="shared" si="27"/>
        <v>0</v>
      </c>
      <c r="J202" s="530">
        <f t="shared" si="27"/>
        <v>0</v>
      </c>
      <c r="K202" s="530">
        <f t="shared" si="27"/>
        <v>0</v>
      </c>
      <c r="L202" s="530">
        <f t="shared" si="27"/>
        <v>0</v>
      </c>
      <c r="M202" s="530">
        <f t="shared" si="27"/>
        <v>65</v>
      </c>
      <c r="N202" s="530">
        <f t="shared" si="27"/>
        <v>0</v>
      </c>
      <c r="O202" s="530">
        <f t="shared" si="27"/>
        <v>0</v>
      </c>
      <c r="P202" s="530">
        <f t="shared" si="27"/>
        <v>0</v>
      </c>
      <c r="Q202" s="530">
        <f t="shared" si="27"/>
        <v>0</v>
      </c>
      <c r="R202" s="530">
        <f t="shared" si="27"/>
        <v>0</v>
      </c>
      <c r="S202" s="530">
        <f t="shared" si="27"/>
        <v>0</v>
      </c>
      <c r="T202" s="530">
        <f t="shared" si="27"/>
        <v>0</v>
      </c>
      <c r="U202" s="530">
        <f t="shared" si="27"/>
        <v>0</v>
      </c>
      <c r="V202" s="70">
        <f t="shared" si="18"/>
        <v>205</v>
      </c>
      <c r="W202" s="68"/>
    </row>
    <row r="203" spans="1:23">
      <c r="A203" s="20" t="s">
        <v>384</v>
      </c>
      <c r="B203" s="527">
        <f t="shared" ref="B203:U203" si="28">B58</f>
        <v>0</v>
      </c>
      <c r="C203" s="527">
        <f t="shared" si="28"/>
        <v>0</v>
      </c>
      <c r="D203" s="527">
        <f t="shared" si="28"/>
        <v>1234</v>
      </c>
      <c r="E203" s="527">
        <f t="shared" si="28"/>
        <v>0</v>
      </c>
      <c r="F203" s="527">
        <f t="shared" si="28"/>
        <v>0</v>
      </c>
      <c r="G203" s="527">
        <f t="shared" si="28"/>
        <v>0</v>
      </c>
      <c r="H203" s="527">
        <f t="shared" si="28"/>
        <v>0</v>
      </c>
      <c r="I203" s="527">
        <f t="shared" si="28"/>
        <v>0</v>
      </c>
      <c r="J203" s="527">
        <f t="shared" si="28"/>
        <v>0</v>
      </c>
      <c r="K203" s="527">
        <f t="shared" si="28"/>
        <v>0</v>
      </c>
      <c r="L203" s="527">
        <f t="shared" si="28"/>
        <v>0</v>
      </c>
      <c r="M203" s="527">
        <f t="shared" si="28"/>
        <v>0</v>
      </c>
      <c r="N203" s="527">
        <f t="shared" si="28"/>
        <v>0</v>
      </c>
      <c r="O203" s="527">
        <f t="shared" si="28"/>
        <v>0</v>
      </c>
      <c r="P203" s="527">
        <f t="shared" si="28"/>
        <v>0</v>
      </c>
      <c r="Q203" s="527">
        <f t="shared" si="28"/>
        <v>0</v>
      </c>
      <c r="R203" s="527">
        <f t="shared" si="28"/>
        <v>0</v>
      </c>
      <c r="S203" s="527">
        <f t="shared" si="28"/>
        <v>0</v>
      </c>
      <c r="T203" s="527">
        <f t="shared" si="28"/>
        <v>0</v>
      </c>
      <c r="U203" s="527">
        <f t="shared" si="28"/>
        <v>0</v>
      </c>
      <c r="V203" s="70">
        <f t="shared" si="18"/>
        <v>1234</v>
      </c>
      <c r="W203" s="68"/>
    </row>
    <row r="204" spans="1:23">
      <c r="A204" s="20" t="s">
        <v>385</v>
      </c>
      <c r="B204" s="527">
        <f t="shared" ref="B204:U204" si="29">B59</f>
        <v>149</v>
      </c>
      <c r="C204" s="527">
        <f t="shared" si="29"/>
        <v>0</v>
      </c>
      <c r="D204" s="527">
        <f t="shared" si="29"/>
        <v>2458</v>
      </c>
      <c r="E204" s="527">
        <f t="shared" si="29"/>
        <v>0</v>
      </c>
      <c r="F204" s="527">
        <f t="shared" si="29"/>
        <v>0</v>
      </c>
      <c r="G204" s="527">
        <f t="shared" si="29"/>
        <v>0</v>
      </c>
      <c r="H204" s="527">
        <f t="shared" si="29"/>
        <v>828</v>
      </c>
      <c r="I204" s="527">
        <f t="shared" si="29"/>
        <v>0</v>
      </c>
      <c r="J204" s="527">
        <f t="shared" si="29"/>
        <v>0</v>
      </c>
      <c r="K204" s="527">
        <f t="shared" si="29"/>
        <v>0</v>
      </c>
      <c r="L204" s="527">
        <f t="shared" si="29"/>
        <v>0</v>
      </c>
      <c r="M204" s="527">
        <f t="shared" si="29"/>
        <v>0</v>
      </c>
      <c r="N204" s="527">
        <f t="shared" si="29"/>
        <v>0</v>
      </c>
      <c r="O204" s="527">
        <f t="shared" si="29"/>
        <v>0</v>
      </c>
      <c r="P204" s="527">
        <f t="shared" si="29"/>
        <v>0</v>
      </c>
      <c r="Q204" s="527">
        <f t="shared" si="29"/>
        <v>0</v>
      </c>
      <c r="R204" s="527">
        <f t="shared" si="29"/>
        <v>0</v>
      </c>
      <c r="S204" s="527">
        <f t="shared" si="29"/>
        <v>110</v>
      </c>
      <c r="T204" s="527">
        <f t="shared" si="29"/>
        <v>0</v>
      </c>
      <c r="U204" s="527">
        <f t="shared" si="29"/>
        <v>0</v>
      </c>
      <c r="V204" s="70">
        <f t="shared" si="18"/>
        <v>3545</v>
      </c>
      <c r="W204" s="68"/>
    </row>
    <row r="205" spans="1:23">
      <c r="A205" s="20" t="s">
        <v>389</v>
      </c>
      <c r="B205" s="527">
        <f t="shared" ref="B205:U205" si="30">B60</f>
        <v>23</v>
      </c>
      <c r="C205" s="527">
        <f t="shared" si="30"/>
        <v>0</v>
      </c>
      <c r="D205" s="527">
        <f t="shared" si="30"/>
        <v>1209</v>
      </c>
      <c r="E205" s="527">
        <f t="shared" si="30"/>
        <v>0</v>
      </c>
      <c r="F205" s="527">
        <f t="shared" si="30"/>
        <v>0</v>
      </c>
      <c r="G205" s="527">
        <f t="shared" si="30"/>
        <v>165</v>
      </c>
      <c r="H205" s="527">
        <f t="shared" si="30"/>
        <v>0</v>
      </c>
      <c r="I205" s="527">
        <f t="shared" si="30"/>
        <v>97</v>
      </c>
      <c r="J205" s="527">
        <f t="shared" si="30"/>
        <v>0</v>
      </c>
      <c r="K205" s="527">
        <f t="shared" si="30"/>
        <v>0</v>
      </c>
      <c r="L205" s="527">
        <f t="shared" si="30"/>
        <v>0</v>
      </c>
      <c r="M205" s="527">
        <f t="shared" si="30"/>
        <v>128</v>
      </c>
      <c r="N205" s="527">
        <f t="shared" si="30"/>
        <v>420</v>
      </c>
      <c r="O205" s="527">
        <f t="shared" si="30"/>
        <v>38</v>
      </c>
      <c r="P205" s="527">
        <f t="shared" si="30"/>
        <v>0</v>
      </c>
      <c r="Q205" s="527">
        <f t="shared" si="30"/>
        <v>0</v>
      </c>
      <c r="R205" s="527">
        <f t="shared" si="30"/>
        <v>0</v>
      </c>
      <c r="S205" s="527">
        <f t="shared" si="30"/>
        <v>0</v>
      </c>
      <c r="T205" s="527">
        <f t="shared" si="30"/>
        <v>0</v>
      </c>
      <c r="U205" s="527">
        <f t="shared" si="30"/>
        <v>0</v>
      </c>
      <c r="V205" s="70">
        <f t="shared" si="18"/>
        <v>2080</v>
      </c>
      <c r="W205" s="68"/>
    </row>
    <row r="206" spans="1:23">
      <c r="A206" s="20" t="s">
        <v>386</v>
      </c>
      <c r="B206" s="527">
        <f t="shared" ref="B206:U206" si="31">B61</f>
        <v>54</v>
      </c>
      <c r="C206" s="527">
        <f t="shared" si="31"/>
        <v>0</v>
      </c>
      <c r="D206" s="527">
        <f t="shared" si="31"/>
        <v>0</v>
      </c>
      <c r="E206" s="527">
        <f t="shared" si="31"/>
        <v>0</v>
      </c>
      <c r="F206" s="527">
        <f t="shared" si="31"/>
        <v>0</v>
      </c>
      <c r="G206" s="527">
        <f t="shared" si="31"/>
        <v>0</v>
      </c>
      <c r="H206" s="527">
        <f t="shared" si="31"/>
        <v>0</v>
      </c>
      <c r="I206" s="527">
        <f t="shared" si="31"/>
        <v>0</v>
      </c>
      <c r="J206" s="527">
        <f t="shared" si="31"/>
        <v>0</v>
      </c>
      <c r="K206" s="527">
        <f t="shared" si="31"/>
        <v>0</v>
      </c>
      <c r="L206" s="527">
        <f t="shared" si="31"/>
        <v>0</v>
      </c>
      <c r="M206" s="527">
        <f t="shared" si="31"/>
        <v>38</v>
      </c>
      <c r="N206" s="527">
        <f t="shared" si="31"/>
        <v>47</v>
      </c>
      <c r="O206" s="527">
        <f t="shared" si="31"/>
        <v>0</v>
      </c>
      <c r="P206" s="527">
        <f t="shared" si="31"/>
        <v>0</v>
      </c>
      <c r="Q206" s="527">
        <f t="shared" si="31"/>
        <v>0</v>
      </c>
      <c r="R206" s="527">
        <f t="shared" si="31"/>
        <v>0</v>
      </c>
      <c r="S206" s="527">
        <f t="shared" si="31"/>
        <v>0</v>
      </c>
      <c r="T206" s="527">
        <f t="shared" si="31"/>
        <v>0</v>
      </c>
      <c r="U206" s="527">
        <f t="shared" si="31"/>
        <v>0</v>
      </c>
      <c r="V206" s="70">
        <f t="shared" si="18"/>
        <v>139</v>
      </c>
      <c r="W206" s="68"/>
    </row>
    <row r="207" spans="1:23">
      <c r="A207" s="20" t="s">
        <v>387</v>
      </c>
      <c r="B207" s="527">
        <f t="shared" ref="B207:U207" si="32">B62</f>
        <v>274</v>
      </c>
      <c r="C207" s="527">
        <f t="shared" si="32"/>
        <v>0</v>
      </c>
      <c r="D207" s="527">
        <f t="shared" si="32"/>
        <v>539</v>
      </c>
      <c r="E207" s="527">
        <f t="shared" si="32"/>
        <v>0</v>
      </c>
      <c r="F207" s="527">
        <f t="shared" si="32"/>
        <v>0</v>
      </c>
      <c r="G207" s="527">
        <f t="shared" si="32"/>
        <v>2073</v>
      </c>
      <c r="H207" s="527">
        <f t="shared" si="32"/>
        <v>0</v>
      </c>
      <c r="I207" s="527">
        <f t="shared" si="32"/>
        <v>0</v>
      </c>
      <c r="J207" s="527">
        <f t="shared" si="32"/>
        <v>0</v>
      </c>
      <c r="K207" s="527">
        <f t="shared" si="32"/>
        <v>0</v>
      </c>
      <c r="L207" s="527">
        <f t="shared" si="32"/>
        <v>0</v>
      </c>
      <c r="M207" s="527">
        <f t="shared" si="32"/>
        <v>0</v>
      </c>
      <c r="N207" s="527">
        <f t="shared" si="32"/>
        <v>54</v>
      </c>
      <c r="O207" s="527">
        <f t="shared" si="32"/>
        <v>640</v>
      </c>
      <c r="P207" s="527">
        <f t="shared" si="32"/>
        <v>0</v>
      </c>
      <c r="Q207" s="527">
        <f t="shared" si="32"/>
        <v>0</v>
      </c>
      <c r="R207" s="527">
        <f t="shared" si="32"/>
        <v>0</v>
      </c>
      <c r="S207" s="527">
        <f t="shared" si="32"/>
        <v>0</v>
      </c>
      <c r="T207" s="527">
        <f t="shared" si="32"/>
        <v>0</v>
      </c>
      <c r="U207" s="527">
        <f t="shared" si="32"/>
        <v>0</v>
      </c>
      <c r="V207" s="70">
        <f t="shared" si="18"/>
        <v>3580</v>
      </c>
      <c r="W207" s="68"/>
    </row>
    <row r="208" spans="1:23">
      <c r="A208" s="20" t="s">
        <v>391</v>
      </c>
      <c r="B208" s="527">
        <f t="shared" ref="B208:U208" si="33">B63</f>
        <v>869</v>
      </c>
      <c r="C208" s="527">
        <f t="shared" si="33"/>
        <v>792</v>
      </c>
      <c r="D208" s="527">
        <f t="shared" si="33"/>
        <v>13117</v>
      </c>
      <c r="E208" s="527">
        <f t="shared" si="33"/>
        <v>20518</v>
      </c>
      <c r="F208" s="527">
        <f t="shared" si="33"/>
        <v>0</v>
      </c>
      <c r="G208" s="527">
        <f t="shared" si="33"/>
        <v>0</v>
      </c>
      <c r="H208" s="527">
        <f t="shared" si="33"/>
        <v>0</v>
      </c>
      <c r="I208" s="527">
        <f t="shared" si="33"/>
        <v>0</v>
      </c>
      <c r="J208" s="527">
        <f t="shared" si="33"/>
        <v>0</v>
      </c>
      <c r="K208" s="527">
        <f t="shared" si="33"/>
        <v>0</v>
      </c>
      <c r="L208" s="527">
        <f t="shared" si="33"/>
        <v>0</v>
      </c>
      <c r="M208" s="527">
        <f t="shared" si="33"/>
        <v>0</v>
      </c>
      <c r="N208" s="527">
        <f t="shared" si="33"/>
        <v>0</v>
      </c>
      <c r="O208" s="527">
        <f t="shared" si="33"/>
        <v>234</v>
      </c>
      <c r="P208" s="527">
        <f t="shared" si="33"/>
        <v>0</v>
      </c>
      <c r="Q208" s="527">
        <f t="shared" si="33"/>
        <v>0</v>
      </c>
      <c r="R208" s="527">
        <f t="shared" si="33"/>
        <v>0</v>
      </c>
      <c r="S208" s="527">
        <f t="shared" si="33"/>
        <v>0</v>
      </c>
      <c r="T208" s="527">
        <f t="shared" si="33"/>
        <v>73</v>
      </c>
      <c r="U208" s="527">
        <f t="shared" si="33"/>
        <v>0</v>
      </c>
      <c r="V208" s="70">
        <f t="shared" si="18"/>
        <v>35603</v>
      </c>
      <c r="W208" s="68"/>
    </row>
    <row r="209" spans="1:23">
      <c r="A209" s="20" t="s">
        <v>392</v>
      </c>
      <c r="B209" s="527">
        <f t="shared" ref="B209:U209" si="34">B64</f>
        <v>12072</v>
      </c>
      <c r="C209" s="527">
        <f t="shared" si="34"/>
        <v>5347</v>
      </c>
      <c r="D209" s="527">
        <f t="shared" si="34"/>
        <v>408</v>
      </c>
      <c r="E209" s="527">
        <f t="shared" si="34"/>
        <v>0</v>
      </c>
      <c r="F209" s="527">
        <f t="shared" si="34"/>
        <v>0</v>
      </c>
      <c r="G209" s="527">
        <f t="shared" si="34"/>
        <v>3924</v>
      </c>
      <c r="H209" s="527">
        <f t="shared" si="34"/>
        <v>1732</v>
      </c>
      <c r="I209" s="527">
        <f t="shared" si="34"/>
        <v>0</v>
      </c>
      <c r="J209" s="527">
        <f t="shared" si="34"/>
        <v>0</v>
      </c>
      <c r="K209" s="527">
        <f t="shared" si="34"/>
        <v>0</v>
      </c>
      <c r="L209" s="527">
        <f t="shared" si="34"/>
        <v>0</v>
      </c>
      <c r="M209" s="527">
        <f t="shared" si="34"/>
        <v>0</v>
      </c>
      <c r="N209" s="527">
        <f t="shared" si="34"/>
        <v>0</v>
      </c>
      <c r="O209" s="527">
        <f t="shared" si="34"/>
        <v>0</v>
      </c>
      <c r="P209" s="527">
        <f t="shared" si="34"/>
        <v>0</v>
      </c>
      <c r="Q209" s="527">
        <f t="shared" si="34"/>
        <v>0</v>
      </c>
      <c r="R209" s="527">
        <f t="shared" si="34"/>
        <v>0</v>
      </c>
      <c r="S209" s="527">
        <f t="shared" si="34"/>
        <v>403</v>
      </c>
      <c r="T209" s="527">
        <f t="shared" si="34"/>
        <v>0</v>
      </c>
      <c r="U209" s="527">
        <f t="shared" si="34"/>
        <v>0</v>
      </c>
      <c r="V209" s="70">
        <f t="shared" si="18"/>
        <v>23886</v>
      </c>
      <c r="W209" s="68"/>
    </row>
    <row r="210" spans="1:23">
      <c r="A210" s="20" t="s">
        <v>390</v>
      </c>
      <c r="B210" s="527">
        <f t="shared" ref="B210:U210" si="35">B65</f>
        <v>1467</v>
      </c>
      <c r="C210" s="527">
        <f t="shared" si="35"/>
        <v>368</v>
      </c>
      <c r="D210" s="527">
        <f t="shared" si="35"/>
        <v>0</v>
      </c>
      <c r="E210" s="527">
        <f t="shared" si="35"/>
        <v>0</v>
      </c>
      <c r="F210" s="527">
        <f t="shared" si="35"/>
        <v>0</v>
      </c>
      <c r="G210" s="527">
        <f t="shared" si="35"/>
        <v>232</v>
      </c>
      <c r="H210" s="527">
        <f t="shared" si="35"/>
        <v>244</v>
      </c>
      <c r="I210" s="527">
        <f t="shared" si="35"/>
        <v>0</v>
      </c>
      <c r="J210" s="527">
        <f t="shared" si="35"/>
        <v>0</v>
      </c>
      <c r="K210" s="527">
        <f t="shared" si="35"/>
        <v>0</v>
      </c>
      <c r="L210" s="527">
        <f t="shared" si="35"/>
        <v>0</v>
      </c>
      <c r="M210" s="527">
        <f t="shared" si="35"/>
        <v>90</v>
      </c>
      <c r="N210" s="527">
        <f t="shared" si="35"/>
        <v>54</v>
      </c>
      <c r="O210" s="527">
        <f t="shared" si="35"/>
        <v>87</v>
      </c>
      <c r="P210" s="527">
        <f t="shared" si="35"/>
        <v>0</v>
      </c>
      <c r="Q210" s="527">
        <f t="shared" si="35"/>
        <v>0</v>
      </c>
      <c r="R210" s="527">
        <f t="shared" si="35"/>
        <v>0</v>
      </c>
      <c r="S210" s="527">
        <f t="shared" si="35"/>
        <v>0</v>
      </c>
      <c r="T210" s="527">
        <f t="shared" si="35"/>
        <v>0</v>
      </c>
      <c r="U210" s="527">
        <f t="shared" si="35"/>
        <v>0</v>
      </c>
      <c r="V210" s="70">
        <f t="shared" si="18"/>
        <v>2542</v>
      </c>
      <c r="W210" s="68"/>
    </row>
    <row r="211" spans="1:23">
      <c r="A211" s="20" t="s">
        <v>388</v>
      </c>
      <c r="B211" s="527">
        <f t="shared" ref="B211:U211" si="36">B66</f>
        <v>1507</v>
      </c>
      <c r="C211" s="527">
        <f t="shared" si="36"/>
        <v>0</v>
      </c>
      <c r="D211" s="527">
        <f t="shared" si="36"/>
        <v>1030</v>
      </c>
      <c r="E211" s="527">
        <f t="shared" si="36"/>
        <v>0</v>
      </c>
      <c r="F211" s="527">
        <f t="shared" si="36"/>
        <v>9642</v>
      </c>
      <c r="G211" s="527">
        <f t="shared" si="36"/>
        <v>0</v>
      </c>
      <c r="H211" s="527">
        <f t="shared" si="36"/>
        <v>2368</v>
      </c>
      <c r="I211" s="527">
        <f t="shared" si="36"/>
        <v>0</v>
      </c>
      <c r="J211" s="527">
        <f t="shared" si="36"/>
        <v>0</v>
      </c>
      <c r="K211" s="527">
        <f t="shared" si="36"/>
        <v>0</v>
      </c>
      <c r="L211" s="527">
        <f t="shared" si="36"/>
        <v>0</v>
      </c>
      <c r="M211" s="527">
        <f t="shared" si="36"/>
        <v>0</v>
      </c>
      <c r="N211" s="527">
        <f t="shared" si="36"/>
        <v>0</v>
      </c>
      <c r="O211" s="527">
        <f t="shared" si="36"/>
        <v>0</v>
      </c>
      <c r="P211" s="527">
        <f t="shared" si="36"/>
        <v>0</v>
      </c>
      <c r="Q211" s="527">
        <f t="shared" si="36"/>
        <v>0</v>
      </c>
      <c r="R211" s="527">
        <f t="shared" si="36"/>
        <v>0</v>
      </c>
      <c r="S211" s="527">
        <f t="shared" si="36"/>
        <v>0</v>
      </c>
      <c r="T211" s="527">
        <f t="shared" si="36"/>
        <v>1004</v>
      </c>
      <c r="U211" s="527">
        <f t="shared" si="36"/>
        <v>0</v>
      </c>
      <c r="V211" s="70">
        <f t="shared" si="18"/>
        <v>15551</v>
      </c>
      <c r="W211" s="68"/>
    </row>
    <row r="212" spans="1:23">
      <c r="A212" s="20" t="s">
        <v>240</v>
      </c>
      <c r="B212" s="527">
        <f t="shared" ref="B212:U212" si="37">B67</f>
        <v>0</v>
      </c>
      <c r="C212" s="527">
        <f t="shared" si="37"/>
        <v>0</v>
      </c>
      <c r="D212" s="527">
        <f t="shared" si="37"/>
        <v>3270</v>
      </c>
      <c r="E212" s="527">
        <f t="shared" si="37"/>
        <v>0</v>
      </c>
      <c r="F212" s="527">
        <f t="shared" si="37"/>
        <v>0</v>
      </c>
      <c r="G212" s="527">
        <f t="shared" si="37"/>
        <v>0</v>
      </c>
      <c r="H212" s="527">
        <f t="shared" si="37"/>
        <v>0</v>
      </c>
      <c r="I212" s="527">
        <f t="shared" si="37"/>
        <v>0</v>
      </c>
      <c r="J212" s="527">
        <f t="shared" si="37"/>
        <v>0</v>
      </c>
      <c r="K212" s="527">
        <f t="shared" si="37"/>
        <v>0</v>
      </c>
      <c r="L212" s="527">
        <f t="shared" si="37"/>
        <v>0</v>
      </c>
      <c r="M212" s="527">
        <f t="shared" si="37"/>
        <v>0</v>
      </c>
      <c r="N212" s="527">
        <f t="shared" si="37"/>
        <v>0</v>
      </c>
      <c r="O212" s="527">
        <f t="shared" si="37"/>
        <v>0</v>
      </c>
      <c r="P212" s="527">
        <f t="shared" si="37"/>
        <v>0</v>
      </c>
      <c r="Q212" s="527">
        <f t="shared" si="37"/>
        <v>0</v>
      </c>
      <c r="R212" s="527">
        <f t="shared" si="37"/>
        <v>0</v>
      </c>
      <c r="S212" s="527">
        <f t="shared" si="37"/>
        <v>0</v>
      </c>
      <c r="T212" s="527">
        <f t="shared" si="37"/>
        <v>0</v>
      </c>
      <c r="U212" s="527">
        <f t="shared" si="37"/>
        <v>0</v>
      </c>
      <c r="V212" s="70">
        <f t="shared" si="18"/>
        <v>3270</v>
      </c>
      <c r="W212" s="68"/>
    </row>
    <row r="213" spans="1:23">
      <c r="A213" s="145" t="s">
        <v>446</v>
      </c>
      <c r="B213" s="319">
        <f t="shared" ref="B213:U213" si="38">B68</f>
        <v>4825</v>
      </c>
      <c r="C213" s="319">
        <f t="shared" si="38"/>
        <v>2600</v>
      </c>
      <c r="D213" s="319">
        <f t="shared" si="38"/>
        <v>17361</v>
      </c>
      <c r="E213" s="319">
        <f t="shared" si="38"/>
        <v>3980</v>
      </c>
      <c r="F213" s="319">
        <f t="shared" si="38"/>
        <v>4678</v>
      </c>
      <c r="G213" s="319">
        <f t="shared" si="38"/>
        <v>3664</v>
      </c>
      <c r="H213" s="319">
        <f t="shared" si="38"/>
        <v>1594</v>
      </c>
      <c r="I213" s="319">
        <f t="shared" si="38"/>
        <v>0</v>
      </c>
      <c r="J213" s="319">
        <f t="shared" si="38"/>
        <v>0</v>
      </c>
      <c r="K213" s="319">
        <f t="shared" si="38"/>
        <v>0</v>
      </c>
      <c r="L213" s="319">
        <f t="shared" si="38"/>
        <v>0</v>
      </c>
      <c r="M213" s="319">
        <f t="shared" si="38"/>
        <v>0</v>
      </c>
      <c r="N213" s="319">
        <f t="shared" si="38"/>
        <v>0</v>
      </c>
      <c r="O213" s="319">
        <f t="shared" si="38"/>
        <v>133</v>
      </c>
      <c r="P213" s="319">
        <f t="shared" si="38"/>
        <v>20</v>
      </c>
      <c r="Q213" s="319">
        <f t="shared" si="38"/>
        <v>195</v>
      </c>
      <c r="R213" s="319">
        <f t="shared" si="38"/>
        <v>50</v>
      </c>
      <c r="S213" s="319">
        <f t="shared" si="38"/>
        <v>107</v>
      </c>
      <c r="T213" s="319">
        <f t="shared" si="38"/>
        <v>0</v>
      </c>
      <c r="U213" s="319">
        <f t="shared" si="38"/>
        <v>135</v>
      </c>
      <c r="V213" s="70">
        <f t="shared" si="18"/>
        <v>39342</v>
      </c>
      <c r="W213" s="68"/>
    </row>
    <row r="214" spans="1:23">
      <c r="A214" s="20" t="s">
        <v>243</v>
      </c>
      <c r="B214" s="215">
        <f>B70</f>
        <v>17134</v>
      </c>
      <c r="C214" s="215">
        <v>784</v>
      </c>
      <c r="D214" s="215">
        <v>0</v>
      </c>
      <c r="E214" s="215">
        <v>0</v>
      </c>
      <c r="F214" s="215">
        <v>450</v>
      </c>
      <c r="G214" s="215">
        <v>5795</v>
      </c>
      <c r="H214" s="215">
        <v>1695</v>
      </c>
      <c r="I214" s="215">
        <v>0</v>
      </c>
      <c r="J214" s="215">
        <v>0</v>
      </c>
      <c r="K214" s="215">
        <v>0</v>
      </c>
      <c r="L214" s="215">
        <v>0</v>
      </c>
      <c r="M214" s="215">
        <v>0</v>
      </c>
      <c r="N214" s="215">
        <v>0</v>
      </c>
      <c r="O214" s="215">
        <v>0</v>
      </c>
      <c r="P214" s="215">
        <v>0</v>
      </c>
      <c r="Q214" s="215">
        <v>0</v>
      </c>
      <c r="R214" s="215">
        <v>0</v>
      </c>
      <c r="S214" s="215">
        <v>0</v>
      </c>
      <c r="T214" s="215">
        <v>0</v>
      </c>
      <c r="U214" s="215">
        <v>0</v>
      </c>
      <c r="V214" s="70">
        <f t="shared" si="18"/>
        <v>25858</v>
      </c>
      <c r="W214" s="70">
        <f>SUM(V192:V213)</f>
        <v>246895</v>
      </c>
    </row>
    <row r="215" spans="1:23">
      <c r="V215" s="70">
        <f>SUM(V189:V214)</f>
        <v>1778633</v>
      </c>
      <c r="W215" s="70">
        <f>W214+W44</f>
        <v>376760</v>
      </c>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topLeftCell="A3" zoomScaleNormal="100" workbookViewId="0">
      <selection activeCell="D24" sqref="D24"/>
    </sheetView>
  </sheetViews>
  <sheetFormatPr defaultColWidth="8.88671875" defaultRowHeight="14.4"/>
  <cols>
    <col min="1" max="1" width="11.33203125" style="85" customWidth="1"/>
    <col min="2" max="2" width="23.5546875" style="37" bestFit="1" customWidth="1"/>
    <col min="3" max="3" width="8.5546875" style="37" bestFit="1" customWidth="1"/>
    <col min="4" max="24" width="8.5546875" style="37" customWidth="1"/>
    <col min="25" max="28" width="7.6640625" style="37" customWidth="1"/>
    <col min="29" max="16384" width="8.88671875" style="37"/>
  </cols>
  <sheetData>
    <row r="1" spans="1:28" s="20" customFormat="1">
      <c r="A1" s="761" t="s">
        <v>266</v>
      </c>
      <c r="B1" s="54" t="s">
        <v>291</v>
      </c>
      <c r="C1" s="54"/>
      <c r="D1" s="54"/>
      <c r="E1" s="54"/>
      <c r="F1" s="54"/>
      <c r="G1" s="54"/>
      <c r="H1" s="54"/>
      <c r="I1" s="54"/>
      <c r="J1" s="54"/>
      <c r="K1" s="54"/>
      <c r="L1" s="54"/>
      <c r="M1" s="54"/>
      <c r="N1" s="54"/>
      <c r="O1" s="54"/>
      <c r="P1" s="54"/>
      <c r="Q1" s="54"/>
      <c r="R1" s="54"/>
      <c r="S1" s="54"/>
      <c r="T1" s="54"/>
      <c r="U1" s="54"/>
      <c r="V1" s="54"/>
      <c r="W1" s="54"/>
    </row>
    <row r="2" spans="1:28" s="20" customFormat="1" ht="16.2">
      <c r="A2" s="761"/>
      <c r="B2" s="60" t="s">
        <v>618</v>
      </c>
      <c r="C2" s="54"/>
      <c r="D2" s="54"/>
      <c r="E2" s="54"/>
      <c r="F2" s="54"/>
      <c r="G2" s="54"/>
      <c r="H2" s="54"/>
      <c r="I2" s="54"/>
      <c r="J2" s="54"/>
      <c r="K2" s="54"/>
      <c r="L2" s="54"/>
      <c r="M2" s="54"/>
      <c r="N2" s="54"/>
      <c r="O2" s="54"/>
      <c r="P2" s="54"/>
      <c r="Q2" s="54"/>
      <c r="R2" s="54"/>
      <c r="S2" s="54"/>
      <c r="T2" s="54"/>
      <c r="U2" s="54"/>
      <c r="V2" s="54"/>
      <c r="W2" s="54"/>
    </row>
    <row r="3" spans="1:28" s="20" customFormat="1" ht="16.2">
      <c r="A3" s="761"/>
      <c r="B3" s="60" t="s">
        <v>294</v>
      </c>
      <c r="C3" s="54"/>
      <c r="D3" s="54"/>
      <c r="E3" s="54"/>
      <c r="F3" s="54"/>
      <c r="G3" s="54"/>
      <c r="H3" s="54"/>
      <c r="I3" s="54"/>
      <c r="J3" s="54"/>
      <c r="K3" s="54"/>
      <c r="L3" s="54"/>
      <c r="M3" s="54"/>
      <c r="N3" s="54"/>
      <c r="O3" s="54"/>
      <c r="P3" s="54"/>
      <c r="Q3" s="54"/>
      <c r="R3" s="54"/>
      <c r="S3" s="54"/>
      <c r="T3" s="54"/>
      <c r="U3" s="54"/>
      <c r="V3" s="54"/>
      <c r="W3" s="54"/>
    </row>
    <row r="4" spans="1:28" s="20" customFormat="1" ht="16.2">
      <c r="A4" s="761"/>
      <c r="B4" s="60" t="s">
        <v>296</v>
      </c>
      <c r="C4" s="54"/>
      <c r="D4" s="54"/>
      <c r="E4" s="54"/>
      <c r="F4" s="54"/>
      <c r="G4" s="54"/>
      <c r="H4" s="54"/>
      <c r="I4" s="54"/>
      <c r="J4" s="54"/>
      <c r="K4" s="54"/>
      <c r="L4" s="54"/>
      <c r="M4" s="54"/>
      <c r="N4" s="54"/>
      <c r="O4" s="54"/>
      <c r="P4" s="54"/>
      <c r="Q4" s="54"/>
      <c r="R4" s="54"/>
      <c r="S4" s="54"/>
      <c r="T4" s="54"/>
      <c r="U4" s="54"/>
      <c r="V4" s="54"/>
      <c r="W4" s="54"/>
    </row>
    <row r="5" spans="1:28" s="20" customFormat="1" ht="14.4" customHeight="1">
      <c r="A5" s="65"/>
      <c r="B5" s="55"/>
      <c r="C5" s="55"/>
      <c r="D5" s="55" t="s">
        <v>26</v>
      </c>
      <c r="E5" s="55" t="s">
        <v>126</v>
      </c>
      <c r="F5" s="55" t="s">
        <v>75</v>
      </c>
      <c r="G5" s="55" t="s">
        <v>127</v>
      </c>
      <c r="H5" s="55" t="s">
        <v>128</v>
      </c>
      <c r="I5" s="55" t="s">
        <v>129</v>
      </c>
      <c r="J5" s="55" t="s">
        <v>130</v>
      </c>
      <c r="K5" s="55" t="s">
        <v>209</v>
      </c>
      <c r="L5" s="57" t="s">
        <v>104</v>
      </c>
      <c r="M5" s="57" t="s">
        <v>105</v>
      </c>
      <c r="N5" s="57" t="s">
        <v>106</v>
      </c>
      <c r="O5" s="55" t="s">
        <v>189</v>
      </c>
      <c r="P5" s="57" t="s">
        <v>99</v>
      </c>
      <c r="Q5" s="55" t="s">
        <v>133</v>
      </c>
      <c r="R5" s="58" t="s">
        <v>295</v>
      </c>
      <c r="S5" s="59" t="s">
        <v>119</v>
      </c>
      <c r="T5" s="59" t="s">
        <v>120</v>
      </c>
      <c r="U5" s="55" t="s">
        <v>135</v>
      </c>
      <c r="V5" s="55" t="s">
        <v>136</v>
      </c>
      <c r="W5" s="55" t="s">
        <v>137</v>
      </c>
      <c r="X5" s="56" t="s">
        <v>232</v>
      </c>
      <c r="Y5" s="56" t="s">
        <v>267</v>
      </c>
      <c r="Z5" s="56" t="s">
        <v>232</v>
      </c>
      <c r="AA5" s="56" t="s">
        <v>267</v>
      </c>
      <c r="AB5" s="56" t="s">
        <v>269</v>
      </c>
    </row>
    <row r="6" spans="1:28" s="20" customFormat="1">
      <c r="A6" s="755" t="s">
        <v>217</v>
      </c>
      <c r="B6" s="337" t="s">
        <v>225</v>
      </c>
      <c r="C6" s="750" t="s">
        <v>314</v>
      </c>
      <c r="D6" s="534">
        <v>21.03</v>
      </c>
      <c r="E6" s="534">
        <v>4.18</v>
      </c>
      <c r="F6" s="534">
        <v>19.07</v>
      </c>
      <c r="G6" s="534">
        <v>48</v>
      </c>
      <c r="H6" s="534">
        <v>5.24</v>
      </c>
      <c r="I6" s="534">
        <v>8.23</v>
      </c>
      <c r="J6" s="534">
        <v>0.37</v>
      </c>
      <c r="K6" s="534">
        <v>9.35</v>
      </c>
      <c r="L6" s="534"/>
      <c r="M6" s="534"/>
      <c r="N6" s="534"/>
      <c r="O6" s="534">
        <v>12.1</v>
      </c>
      <c r="P6" s="534"/>
      <c r="Q6" s="534">
        <v>15.3</v>
      </c>
      <c r="R6" s="534">
        <v>0.09</v>
      </c>
      <c r="S6" s="534"/>
      <c r="T6" s="534"/>
      <c r="U6" s="534">
        <v>2.2799999999999998</v>
      </c>
      <c r="V6" s="534">
        <v>1.45</v>
      </c>
      <c r="W6" s="338"/>
      <c r="X6" s="68">
        <f t="shared" ref="X6:X11" si="0">SUM(D6:W6)</f>
        <v>146.69</v>
      </c>
      <c r="Y6" s="68">
        <v>152</v>
      </c>
      <c r="Z6" s="68"/>
      <c r="AA6" s="68"/>
      <c r="AB6" s="68"/>
    </row>
    <row r="7" spans="1:28" s="20" customFormat="1">
      <c r="A7" s="756"/>
      <c r="B7" s="20" t="s">
        <v>71</v>
      </c>
      <c r="C7" s="751"/>
      <c r="D7" s="109">
        <v>98.01</v>
      </c>
      <c r="E7" s="109">
        <v>37.93</v>
      </c>
      <c r="F7" s="109">
        <v>16.649999999999999</v>
      </c>
      <c r="G7" s="109">
        <v>14.66</v>
      </c>
      <c r="H7" s="109">
        <v>14.92</v>
      </c>
      <c r="I7" s="109">
        <v>13.4</v>
      </c>
      <c r="J7" s="109">
        <v>32.36</v>
      </c>
      <c r="K7" s="109">
        <v>2.39</v>
      </c>
      <c r="L7" s="109"/>
      <c r="M7" s="109"/>
      <c r="N7" s="109"/>
      <c r="O7" s="109">
        <v>2.94</v>
      </c>
      <c r="P7" s="109"/>
      <c r="Q7" s="109">
        <v>55.31</v>
      </c>
      <c r="R7" s="109">
        <v>0.06</v>
      </c>
      <c r="S7" s="109"/>
      <c r="T7" s="109"/>
      <c r="U7" s="109">
        <v>12.5</v>
      </c>
      <c r="V7" s="109">
        <v>12.5</v>
      </c>
      <c r="W7" s="109">
        <v>12.5</v>
      </c>
      <c r="X7" s="68">
        <f t="shared" si="0"/>
        <v>326.13</v>
      </c>
      <c r="Y7" s="68">
        <v>423</v>
      </c>
      <c r="Z7" s="68"/>
      <c r="AA7" s="68"/>
      <c r="AB7" s="68"/>
    </row>
    <row r="8" spans="1:28" s="20" customFormat="1">
      <c r="A8" s="757"/>
      <c r="B8" s="339" t="s">
        <v>268</v>
      </c>
      <c r="C8" s="752"/>
      <c r="D8" s="340">
        <v>6.22</v>
      </c>
      <c r="E8" s="340">
        <v>1.68</v>
      </c>
      <c r="F8" s="340">
        <v>1.5</v>
      </c>
      <c r="G8" s="340">
        <v>1.84</v>
      </c>
      <c r="H8" s="340">
        <v>2.88</v>
      </c>
      <c r="I8" s="340">
        <v>4.3</v>
      </c>
      <c r="J8" s="340">
        <v>1.47</v>
      </c>
      <c r="K8" s="340">
        <v>0.42</v>
      </c>
      <c r="L8" s="340"/>
      <c r="M8" s="340"/>
      <c r="N8" s="340"/>
      <c r="O8" s="340"/>
      <c r="P8" s="340"/>
      <c r="Q8" s="340">
        <v>0.5</v>
      </c>
      <c r="R8" s="340"/>
      <c r="S8" s="340"/>
      <c r="T8" s="340"/>
      <c r="U8" s="340">
        <v>0.94</v>
      </c>
      <c r="V8" s="340"/>
      <c r="W8" s="340">
        <v>0.11</v>
      </c>
      <c r="X8" s="68">
        <f t="shared" si="0"/>
        <v>21.86</v>
      </c>
      <c r="Y8" s="68">
        <v>28</v>
      </c>
      <c r="Z8" s="68"/>
      <c r="AA8" s="68"/>
      <c r="AB8" s="68"/>
    </row>
    <row r="9" spans="1:28" s="20" customFormat="1" ht="14.4" customHeight="1">
      <c r="A9" s="755" t="s">
        <v>322</v>
      </c>
      <c r="B9" s="20" t="s">
        <v>225</v>
      </c>
      <c r="C9" s="750" t="s">
        <v>321</v>
      </c>
      <c r="D9" s="310">
        <v>57.56</v>
      </c>
      <c r="E9" s="310">
        <v>12.26</v>
      </c>
      <c r="F9" s="310">
        <v>68.31</v>
      </c>
      <c r="G9" s="310">
        <v>88.87</v>
      </c>
      <c r="H9" s="310">
        <v>12.93</v>
      </c>
      <c r="I9" s="310">
        <v>23.3</v>
      </c>
      <c r="J9" s="310">
        <v>0.93</v>
      </c>
      <c r="K9" s="310">
        <v>32.83</v>
      </c>
      <c r="L9" s="310"/>
      <c r="M9" s="310"/>
      <c r="N9" s="310"/>
      <c r="O9" s="310">
        <v>36.92</v>
      </c>
      <c r="P9" s="310"/>
      <c r="Q9" s="310">
        <v>50.48</v>
      </c>
      <c r="R9" s="310">
        <v>0.3</v>
      </c>
      <c r="S9" s="310"/>
      <c r="T9" s="310"/>
      <c r="U9" s="310">
        <v>7.57</v>
      </c>
      <c r="V9" s="310">
        <v>5.34</v>
      </c>
      <c r="W9" s="310"/>
      <c r="X9" s="535">
        <f t="shared" si="0"/>
        <v>397.6</v>
      </c>
      <c r="Y9" s="68">
        <v>389</v>
      </c>
      <c r="Z9" s="69">
        <f>X9/$X$12</f>
        <v>0.54438906840462231</v>
      </c>
      <c r="AA9" s="69">
        <f>Y9/$Y$12</f>
        <v>0.36085343228200373</v>
      </c>
      <c r="AB9" s="68"/>
    </row>
    <row r="10" spans="1:28" s="20" customFormat="1">
      <c r="A10" s="756"/>
      <c r="B10" s="110" t="s">
        <v>71</v>
      </c>
      <c r="C10" s="751"/>
      <c r="D10" s="109">
        <v>234.36</v>
      </c>
      <c r="E10" s="109">
        <v>63.02</v>
      </c>
      <c r="F10" s="109">
        <v>3.05</v>
      </c>
      <c r="G10" s="109">
        <v>5.49</v>
      </c>
      <c r="H10" s="109">
        <v>40.43</v>
      </c>
      <c r="I10" s="109">
        <v>20.85</v>
      </c>
      <c r="J10" s="109">
        <v>34.85</v>
      </c>
      <c r="K10" s="109">
        <v>-3.66</v>
      </c>
      <c r="L10" s="109"/>
      <c r="M10" s="109"/>
      <c r="N10" s="109"/>
      <c r="O10" s="109">
        <v>-14.61</v>
      </c>
      <c r="P10" s="109"/>
      <c r="Q10" s="109">
        <v>-28.74</v>
      </c>
      <c r="R10" s="362">
        <v>-178.17</v>
      </c>
      <c r="S10" s="109"/>
      <c r="T10" s="109"/>
      <c r="U10" s="109">
        <v>0.08</v>
      </c>
      <c r="V10" s="109">
        <v>-2.75</v>
      </c>
      <c r="W10" s="109">
        <v>1.6</v>
      </c>
      <c r="X10" s="68">
        <f>SUM(D10:W10)</f>
        <v>175.80000000000004</v>
      </c>
      <c r="Y10" s="68">
        <v>487</v>
      </c>
      <c r="Z10" s="69">
        <f>X10/$X$12</f>
        <v>0.24070321485294924</v>
      </c>
      <c r="AA10" s="69">
        <f>Y10/$Y$12</f>
        <v>0.45176252319109461</v>
      </c>
      <c r="AB10" s="69">
        <f>(X10-R10)/(X12-R12)</f>
        <v>0.38973608006782418</v>
      </c>
    </row>
    <row r="11" spans="1:28" s="20" customFormat="1">
      <c r="A11" s="756"/>
      <c r="B11" s="110" t="s">
        <v>268</v>
      </c>
      <c r="C11" s="751"/>
      <c r="D11" s="109">
        <v>54.26</v>
      </c>
      <c r="E11" s="109">
        <v>14.47</v>
      </c>
      <c r="F11" s="109">
        <v>12.97</v>
      </c>
      <c r="G11" s="109">
        <v>12.52</v>
      </c>
      <c r="H11" s="109">
        <v>7.68</v>
      </c>
      <c r="I11" s="109">
        <v>36.11</v>
      </c>
      <c r="J11" s="109">
        <v>12.77</v>
      </c>
      <c r="K11" s="109">
        <v>2.08</v>
      </c>
      <c r="L11" s="109"/>
      <c r="M11" s="109"/>
      <c r="N11" s="109"/>
      <c r="O11" s="109"/>
      <c r="P11" s="109"/>
      <c r="Q11" s="109">
        <v>2.2000000000000002</v>
      </c>
      <c r="R11" s="109"/>
      <c r="S11" s="109"/>
      <c r="T11" s="109"/>
      <c r="U11" s="109">
        <v>1.56</v>
      </c>
      <c r="V11" s="109"/>
      <c r="W11" s="109">
        <v>0.34</v>
      </c>
      <c r="X11" s="68">
        <f t="shared" si="0"/>
        <v>156.96</v>
      </c>
      <c r="Y11" s="68">
        <v>202</v>
      </c>
      <c r="Z11" s="69">
        <f>X11/$X$12</f>
        <v>0.21490771674242837</v>
      </c>
      <c r="AA11" s="69">
        <f>Y11/$Y$12</f>
        <v>0.18738404452690166</v>
      </c>
      <c r="AB11" s="68"/>
    </row>
    <row r="12" spans="1:28" s="20" customFormat="1">
      <c r="A12" s="756"/>
      <c r="B12" s="53" t="s">
        <v>35</v>
      </c>
      <c r="C12" s="751"/>
      <c r="D12" s="68">
        <f>SUM(D9:D11)</f>
        <v>346.18</v>
      </c>
      <c r="E12" s="68">
        <f t="shared" ref="E12:K12" si="1">SUM(E9:E11)</f>
        <v>89.75</v>
      </c>
      <c r="F12" s="68">
        <f t="shared" si="1"/>
        <v>84.33</v>
      </c>
      <c r="G12" s="68">
        <f t="shared" si="1"/>
        <v>106.88</v>
      </c>
      <c r="H12" s="68">
        <f t="shared" si="1"/>
        <v>61.04</v>
      </c>
      <c r="I12" s="68">
        <f t="shared" si="1"/>
        <v>80.260000000000005</v>
      </c>
      <c r="J12" s="68">
        <f t="shared" si="1"/>
        <v>48.55</v>
      </c>
      <c r="K12" s="68">
        <f t="shared" si="1"/>
        <v>31.25</v>
      </c>
      <c r="L12" s="68"/>
      <c r="M12" s="68"/>
      <c r="N12" s="68"/>
      <c r="O12" s="68">
        <f>SUM(O9:O11)</f>
        <v>22.310000000000002</v>
      </c>
      <c r="P12" s="68"/>
      <c r="Q12" s="68">
        <f>SUM(Q9:Q11)</f>
        <v>23.939999999999998</v>
      </c>
      <c r="R12" s="362">
        <f>SUM(R9:R11)</f>
        <v>-177.86999999999998</v>
      </c>
      <c r="S12" s="68"/>
      <c r="T12" s="68"/>
      <c r="U12" s="68">
        <f>SUM(U9:U11)</f>
        <v>9.2100000000000009</v>
      </c>
      <c r="V12" s="68">
        <f>SUM(V9:V11)</f>
        <v>2.59</v>
      </c>
      <c r="W12" s="68">
        <f>SUM(W9:W11)</f>
        <v>1.9400000000000002</v>
      </c>
      <c r="X12" s="68">
        <f>SUM(X9:X11)</f>
        <v>730.36000000000013</v>
      </c>
      <c r="Y12" s="68">
        <f>SUM(Y9:Y11)</f>
        <v>1078</v>
      </c>
      <c r="Z12" s="68"/>
      <c r="AA12" s="68"/>
      <c r="AB12" s="68"/>
    </row>
    <row r="13" spans="1:28" s="20" customFormat="1">
      <c r="A13" s="757"/>
      <c r="B13" s="341" t="s">
        <v>270</v>
      </c>
      <c r="C13" s="752"/>
      <c r="D13" s="342">
        <f>D9/D12</f>
        <v>0.16627188168005083</v>
      </c>
      <c r="E13" s="342">
        <f t="shared" ref="E13:Q13" si="2">E9/E12</f>
        <v>0.13660167130919221</v>
      </c>
      <c r="F13" s="342">
        <f t="shared" si="2"/>
        <v>0.81003201707577377</v>
      </c>
      <c r="G13" s="342">
        <f t="shared" si="2"/>
        <v>0.83149326347305397</v>
      </c>
      <c r="H13" s="342">
        <f t="shared" si="2"/>
        <v>0.21182830930537352</v>
      </c>
      <c r="I13" s="342">
        <f t="shared" si="2"/>
        <v>0.29030650386244705</v>
      </c>
      <c r="J13" s="342">
        <f t="shared" si="2"/>
        <v>1.9155509783728118E-2</v>
      </c>
      <c r="K13" s="342">
        <f t="shared" si="2"/>
        <v>1.0505599999999999</v>
      </c>
      <c r="L13" s="342"/>
      <c r="M13" s="342"/>
      <c r="N13" s="342"/>
      <c r="O13" s="342">
        <f t="shared" si="2"/>
        <v>1.6548632900044822</v>
      </c>
      <c r="P13" s="342"/>
      <c r="Q13" s="342">
        <f t="shared" si="2"/>
        <v>2.1086048454469508</v>
      </c>
      <c r="R13" s="343"/>
      <c r="S13" s="343"/>
      <c r="T13" s="343"/>
      <c r="U13" s="343"/>
      <c r="V13" s="343"/>
      <c r="W13" s="343"/>
      <c r="X13" s="68"/>
      <c r="Y13" s="68"/>
      <c r="Z13" s="68"/>
      <c r="AA13" s="68"/>
      <c r="AB13" s="68"/>
    </row>
    <row r="14" spans="1:28" s="20" customFormat="1">
      <c r="A14" s="756" t="s">
        <v>216</v>
      </c>
      <c r="B14" s="53" t="s">
        <v>271</v>
      </c>
      <c r="C14" s="747" t="s">
        <v>321</v>
      </c>
      <c r="D14" s="109">
        <v>45.54</v>
      </c>
      <c r="E14" s="109">
        <v>18.02</v>
      </c>
      <c r="F14" s="109"/>
      <c r="G14" s="109">
        <v>13.45</v>
      </c>
      <c r="H14" s="109">
        <v>8.25</v>
      </c>
      <c r="I14" s="109">
        <v>6.31</v>
      </c>
      <c r="J14" s="109">
        <v>5.14</v>
      </c>
      <c r="K14" s="109">
        <v>2.14</v>
      </c>
      <c r="L14" s="109"/>
      <c r="M14" s="109"/>
      <c r="N14" s="109"/>
      <c r="O14" s="109">
        <v>5.47</v>
      </c>
      <c r="P14" s="109"/>
      <c r="Q14" s="109">
        <v>3.2</v>
      </c>
      <c r="R14" s="109"/>
      <c r="S14" s="109"/>
      <c r="T14" s="109"/>
      <c r="U14" s="109">
        <v>0.51</v>
      </c>
      <c r="V14" s="109">
        <v>0.52</v>
      </c>
      <c r="W14" s="109">
        <v>0.35</v>
      </c>
      <c r="X14" s="68">
        <f t="shared" ref="X14:X19" si="3">SUM(D14:W14)</f>
        <v>108.9</v>
      </c>
      <c r="Y14" s="68"/>
      <c r="Z14" s="68"/>
      <c r="AA14" s="68"/>
      <c r="AB14" s="68"/>
    </row>
    <row r="15" spans="1:28" s="20" customFormat="1">
      <c r="A15" s="756"/>
      <c r="B15" s="53" t="s">
        <v>272</v>
      </c>
      <c r="C15" s="748"/>
      <c r="D15" s="109">
        <v>46.09</v>
      </c>
      <c r="E15" s="109">
        <v>17.940000000000001</v>
      </c>
      <c r="F15" s="109"/>
      <c r="G15" s="109">
        <v>13.17</v>
      </c>
      <c r="H15" s="109">
        <v>7.57</v>
      </c>
      <c r="I15" s="109">
        <v>6.29</v>
      </c>
      <c r="J15" s="109">
        <v>5.1100000000000003</v>
      </c>
      <c r="K15" s="109">
        <v>2.13</v>
      </c>
      <c r="L15" s="109"/>
      <c r="M15" s="109"/>
      <c r="N15" s="109"/>
      <c r="O15" s="109">
        <v>5.43</v>
      </c>
      <c r="P15" s="109"/>
      <c r="Q15" s="109">
        <v>3.18</v>
      </c>
      <c r="R15" s="109"/>
      <c r="S15" s="109"/>
      <c r="T15" s="109"/>
      <c r="U15" s="109">
        <v>0.49</v>
      </c>
      <c r="V15" s="109">
        <v>0.52</v>
      </c>
      <c r="W15" s="109">
        <v>0.35</v>
      </c>
      <c r="X15" s="68">
        <f t="shared" si="3"/>
        <v>108.27000000000001</v>
      </c>
      <c r="Y15" s="68"/>
      <c r="Z15" s="68"/>
      <c r="AA15" s="68"/>
      <c r="AB15" s="68"/>
    </row>
    <row r="16" spans="1:28" s="20" customFormat="1">
      <c r="A16" s="756"/>
      <c r="B16" s="53" t="s">
        <v>273</v>
      </c>
      <c r="C16" s="748"/>
      <c r="D16" s="109">
        <v>6.56</v>
      </c>
      <c r="E16" s="109"/>
      <c r="F16" s="109">
        <v>7.0000000000000007E-2</v>
      </c>
      <c r="G16" s="109">
        <v>0.05</v>
      </c>
      <c r="H16" s="109">
        <v>7.0000000000000007E-2</v>
      </c>
      <c r="I16" s="109"/>
      <c r="J16" s="109">
        <v>0.05</v>
      </c>
      <c r="K16" s="109">
        <v>0.31</v>
      </c>
      <c r="L16" s="109"/>
      <c r="M16" s="109"/>
      <c r="N16" s="109"/>
      <c r="O16" s="109"/>
      <c r="P16" s="109"/>
      <c r="Q16" s="109"/>
      <c r="R16" s="109"/>
      <c r="S16" s="109"/>
      <c r="T16" s="109"/>
      <c r="U16" s="109">
        <v>0.01</v>
      </c>
      <c r="V16" s="109">
        <v>0.01</v>
      </c>
      <c r="W16" s="109">
        <v>0.01</v>
      </c>
      <c r="X16" s="68">
        <f t="shared" si="3"/>
        <v>7.1399999999999988</v>
      </c>
      <c r="Y16" s="68"/>
      <c r="Z16" s="68"/>
      <c r="AA16" s="68"/>
      <c r="AB16" s="68"/>
    </row>
    <row r="17" spans="1:28" s="20" customFormat="1">
      <c r="A17" s="756"/>
      <c r="B17" s="53" t="s">
        <v>274</v>
      </c>
      <c r="C17" s="748"/>
      <c r="D17" s="109">
        <v>2.0299999999999998</v>
      </c>
      <c r="E17" s="109">
        <v>0.01</v>
      </c>
      <c r="F17" s="109"/>
      <c r="G17" s="109"/>
      <c r="H17" s="109">
        <v>0.03</v>
      </c>
      <c r="I17" s="109">
        <v>1.38</v>
      </c>
      <c r="J17" s="109">
        <v>0.08</v>
      </c>
      <c r="K17" s="109"/>
      <c r="L17" s="109"/>
      <c r="M17" s="109"/>
      <c r="N17" s="109"/>
      <c r="O17" s="109"/>
      <c r="P17" s="109"/>
      <c r="Q17" s="109"/>
      <c r="R17" s="109"/>
      <c r="S17" s="109"/>
      <c r="T17" s="109"/>
      <c r="U17" s="109"/>
      <c r="V17" s="109"/>
      <c r="W17" s="109"/>
      <c r="X17" s="68">
        <f t="shared" si="3"/>
        <v>3.5299999999999994</v>
      </c>
      <c r="Y17" s="68"/>
      <c r="Z17" s="68"/>
      <c r="AA17" s="68"/>
      <c r="AB17" s="68"/>
    </row>
    <row r="18" spans="1:28" s="20" customFormat="1">
      <c r="A18" s="756"/>
      <c r="B18" s="53" t="s">
        <v>224</v>
      </c>
      <c r="C18" s="748"/>
      <c r="D18" s="109">
        <v>205.68</v>
      </c>
      <c r="E18" s="109">
        <v>38.979999999999997</v>
      </c>
      <c r="F18" s="109">
        <v>84.4</v>
      </c>
      <c r="G18" s="109">
        <v>70.95</v>
      </c>
      <c r="H18" s="109">
        <v>36.81</v>
      </c>
      <c r="I18" s="109">
        <v>61.2</v>
      </c>
      <c r="J18" s="109">
        <v>33.700000000000003</v>
      </c>
      <c r="K18" s="109">
        <v>25.01</v>
      </c>
      <c r="L18" s="109"/>
      <c r="M18" s="109"/>
      <c r="N18" s="109"/>
      <c r="O18" s="109">
        <v>6.78</v>
      </c>
      <c r="P18" s="109"/>
      <c r="Q18" s="109">
        <v>14.91</v>
      </c>
      <c r="R18" s="109"/>
      <c r="S18" s="109"/>
      <c r="T18" s="109"/>
      <c r="U18" s="109">
        <v>7.54</v>
      </c>
      <c r="V18" s="109">
        <v>1.1000000000000001</v>
      </c>
      <c r="W18" s="109">
        <v>0.94</v>
      </c>
      <c r="X18" s="68">
        <f t="shared" si="3"/>
        <v>588</v>
      </c>
      <c r="Y18" s="68"/>
      <c r="Z18" s="68"/>
      <c r="AA18" s="68"/>
      <c r="AB18" s="68"/>
    </row>
    <row r="19" spans="1:28" s="20" customFormat="1">
      <c r="A19" s="756"/>
      <c r="B19" s="53" t="s">
        <v>275</v>
      </c>
      <c r="C19" s="748"/>
      <c r="D19" s="109">
        <v>39.17</v>
      </c>
      <c r="E19" s="109">
        <v>14.76</v>
      </c>
      <c r="F19" s="109"/>
      <c r="G19" s="109">
        <v>11.69</v>
      </c>
      <c r="H19" s="109">
        <v>8.3000000000000007</v>
      </c>
      <c r="I19" s="109">
        <v>4.96</v>
      </c>
      <c r="J19" s="109">
        <v>4.45</v>
      </c>
      <c r="K19" s="109">
        <v>1.78</v>
      </c>
      <c r="L19" s="109"/>
      <c r="M19" s="109"/>
      <c r="N19" s="109"/>
      <c r="O19" s="109">
        <v>4.92</v>
      </c>
      <c r="P19" s="109"/>
      <c r="Q19" s="109">
        <v>2.66</v>
      </c>
      <c r="R19" s="109"/>
      <c r="S19" s="109"/>
      <c r="T19" s="109"/>
      <c r="U19" s="109">
        <v>0.49</v>
      </c>
      <c r="V19" s="109">
        <v>0.45</v>
      </c>
      <c r="W19" s="109">
        <v>0.28999999999999998</v>
      </c>
      <c r="X19" s="68">
        <f t="shared" si="3"/>
        <v>93.92</v>
      </c>
      <c r="Y19" s="68"/>
      <c r="Z19" s="68"/>
      <c r="AA19" s="68"/>
      <c r="AB19" s="68"/>
    </row>
    <row r="20" spans="1:28" s="20" customFormat="1">
      <c r="A20" s="756"/>
      <c r="B20" s="53" t="s">
        <v>35</v>
      </c>
      <c r="C20" s="748"/>
      <c r="D20" s="535">
        <f>SUM(D14:D19)</f>
        <v>345.07</v>
      </c>
      <c r="E20" s="535">
        <f t="shared" ref="E20:K20" si="4">SUM(E14:E19)</f>
        <v>89.71</v>
      </c>
      <c r="F20" s="535">
        <f t="shared" si="4"/>
        <v>84.47</v>
      </c>
      <c r="G20" s="535">
        <f t="shared" si="4"/>
        <v>109.31</v>
      </c>
      <c r="H20" s="535">
        <f t="shared" si="4"/>
        <v>61.03</v>
      </c>
      <c r="I20" s="535">
        <f t="shared" si="4"/>
        <v>80.14</v>
      </c>
      <c r="J20" s="535">
        <f t="shared" si="4"/>
        <v>48.530000000000008</v>
      </c>
      <c r="K20" s="535">
        <f t="shared" si="4"/>
        <v>31.37</v>
      </c>
      <c r="L20" s="535"/>
      <c r="M20" s="535"/>
      <c r="N20" s="535"/>
      <c r="O20" s="535">
        <f>SUM(O14:O19)</f>
        <v>22.6</v>
      </c>
      <c r="P20" s="535"/>
      <c r="Q20" s="535">
        <f>SUM(Q14:Q19)</f>
        <v>23.95</v>
      </c>
      <c r="R20" s="535">
        <f>SUM(R14:R19)</f>
        <v>0</v>
      </c>
      <c r="S20" s="535"/>
      <c r="T20" s="535"/>
      <c r="U20" s="535">
        <f>SUM(U14:U19)</f>
        <v>9.0400000000000009</v>
      </c>
      <c r="V20" s="535">
        <f>SUM(V14:V19)</f>
        <v>2.6000000000000005</v>
      </c>
      <c r="W20" s="535">
        <f>SUM(W14:W19)</f>
        <v>1.94</v>
      </c>
      <c r="X20" s="535">
        <f>SUM(X14:X19)</f>
        <v>909.76</v>
      </c>
      <c r="Y20" s="68"/>
      <c r="Z20" s="68"/>
      <c r="AA20" s="68"/>
      <c r="AB20" s="68"/>
    </row>
    <row r="21" spans="1:28" s="20" customFormat="1">
      <c r="A21" s="756"/>
      <c r="B21" s="53" t="s">
        <v>276</v>
      </c>
      <c r="C21" s="748"/>
      <c r="D21" s="311">
        <f>D18/D20</f>
        <v>0.59605297475874464</v>
      </c>
      <c r="E21" s="311">
        <f t="shared" ref="E21:K21" si="5">E18/E20</f>
        <v>0.43451120276446326</v>
      </c>
      <c r="F21" s="311">
        <f t="shared" si="5"/>
        <v>0.99917130342133309</v>
      </c>
      <c r="G21" s="311">
        <f t="shared" si="5"/>
        <v>0.64907144817491536</v>
      </c>
      <c r="H21" s="311">
        <f t="shared" si="5"/>
        <v>0.60314599377355405</v>
      </c>
      <c r="I21" s="311">
        <f t="shared" si="5"/>
        <v>0.76366358871974049</v>
      </c>
      <c r="J21" s="311">
        <f t="shared" si="5"/>
        <v>0.69441582526272405</v>
      </c>
      <c r="K21" s="311">
        <f t="shared" si="5"/>
        <v>0.79725852725533952</v>
      </c>
      <c r="L21" s="68"/>
      <c r="M21" s="68"/>
      <c r="N21" s="68"/>
      <c r="O21" s="311">
        <f>O18/O20</f>
        <v>0.3</v>
      </c>
      <c r="P21" s="68"/>
      <c r="Q21" s="311">
        <f>Q18/Q20</f>
        <v>0.62254697286012528</v>
      </c>
      <c r="R21" s="311"/>
      <c r="S21" s="68"/>
      <c r="T21" s="68"/>
      <c r="U21" s="311">
        <f>U18/U20</f>
        <v>0.8340707964601769</v>
      </c>
      <c r="V21" s="311">
        <f>V18/V20</f>
        <v>0.42307692307692302</v>
      </c>
      <c r="W21" s="311">
        <f>W18/W20</f>
        <v>0.4845360824742268</v>
      </c>
      <c r="X21" s="69">
        <f>X18/X20</f>
        <v>0.64632430531129093</v>
      </c>
      <c r="Y21" s="68"/>
      <c r="Z21" s="68"/>
      <c r="AA21" s="68"/>
      <c r="AB21" s="68"/>
    </row>
    <row r="22" spans="1:28" s="20" customFormat="1" ht="16.2">
      <c r="A22" s="66"/>
      <c r="B22" s="339" t="s">
        <v>292</v>
      </c>
      <c r="C22" s="749"/>
      <c r="D22" s="344"/>
      <c r="E22" s="344"/>
      <c r="F22" s="344"/>
      <c r="G22" s="344"/>
      <c r="H22" s="344"/>
      <c r="I22" s="344"/>
      <c r="J22" s="344"/>
      <c r="K22" s="345">
        <f>Demand!J25</f>
        <v>7.1748315048637726E-2</v>
      </c>
      <c r="L22" s="345">
        <f>Demand!K25</f>
        <v>0.1202242320773565</v>
      </c>
      <c r="M22" s="345">
        <f>Demand!L25</f>
        <v>0.63184699664533395</v>
      </c>
      <c r="N22" s="345">
        <f>Demand!M25</f>
        <v>0.17618045622867171</v>
      </c>
      <c r="O22" s="345">
        <f>Demand!N25</f>
        <v>0.60239600170255581</v>
      </c>
      <c r="P22" s="345">
        <f>Demand!O25</f>
        <v>0.39760399829744425</v>
      </c>
      <c r="Q22" s="344"/>
      <c r="R22" s="345"/>
      <c r="S22" s="345"/>
      <c r="T22" s="345"/>
      <c r="U22" s="345"/>
      <c r="V22" s="345"/>
      <c r="W22" s="344"/>
      <c r="X22" s="68"/>
      <c r="Y22" s="68"/>
      <c r="Z22" s="68"/>
      <c r="AA22" s="68"/>
      <c r="AB22" s="68"/>
    </row>
    <row r="23" spans="1:28" s="20" customFormat="1" ht="16.2">
      <c r="A23" s="759" t="s">
        <v>320</v>
      </c>
      <c r="B23" s="20" t="s">
        <v>293</v>
      </c>
      <c r="C23" s="578" t="s">
        <v>262</v>
      </c>
      <c r="D23" s="526">
        <f>D6*1000</f>
        <v>21030</v>
      </c>
      <c r="E23" s="526">
        <f t="shared" ref="E23:J23" si="6">E6*1000</f>
        <v>4180</v>
      </c>
      <c r="F23" s="526">
        <f t="shared" si="6"/>
        <v>19070</v>
      </c>
      <c r="G23" s="526">
        <f t="shared" si="6"/>
        <v>48000</v>
      </c>
      <c r="H23" s="526">
        <f t="shared" si="6"/>
        <v>5240</v>
      </c>
      <c r="I23" s="526">
        <f t="shared" si="6"/>
        <v>8230</v>
      </c>
      <c r="J23" s="526">
        <f t="shared" si="6"/>
        <v>370</v>
      </c>
      <c r="K23" s="526">
        <f>$K$6*1000*K22</f>
        <v>670.84674570476272</v>
      </c>
      <c r="L23" s="526">
        <f>$K$6*1000*L22</f>
        <v>1124.0965699232831</v>
      </c>
      <c r="M23" s="526">
        <f>$K$6*1000*M22</f>
        <v>5907.7694186338722</v>
      </c>
      <c r="N23" s="526">
        <f>$K$6*1000*N22</f>
        <v>1647.2872657380804</v>
      </c>
      <c r="O23" s="526">
        <f>$O$6*1000*O22</f>
        <v>7288.9916206009257</v>
      </c>
      <c r="P23" s="526">
        <f>$O$6*1000*P22</f>
        <v>4811.0083793990752</v>
      </c>
      <c r="Q23" s="526">
        <f>Q6*1000</f>
        <v>15300</v>
      </c>
      <c r="R23" s="539"/>
      <c r="S23" s="539"/>
      <c r="T23" s="539"/>
      <c r="U23" s="526">
        <f>U6*1000</f>
        <v>2280</v>
      </c>
      <c r="V23" s="526">
        <f>V6*1000</f>
        <v>1450</v>
      </c>
      <c r="W23" s="526">
        <f>W6*1000</f>
        <v>0</v>
      </c>
      <c r="X23" s="70">
        <f>SUM(D23:W23)</f>
        <v>146600</v>
      </c>
      <c r="Y23" s="68"/>
      <c r="Z23" s="68"/>
      <c r="AA23" s="68"/>
      <c r="AB23" s="68"/>
    </row>
    <row r="24" spans="1:28" s="20" customFormat="1">
      <c r="A24" s="760"/>
      <c r="B24" s="751" t="s">
        <v>359</v>
      </c>
      <c r="C24" s="579" t="s">
        <v>262</v>
      </c>
      <c r="D24" s="526">
        <f>D20*$X$9/$X$20/0.00876</f>
        <v>17215.61871102138</v>
      </c>
      <c r="E24" s="526">
        <f t="shared" ref="E24:W24" si="7">E20*$X$9/$X$20/0.00876</f>
        <v>4475.6517650497808</v>
      </c>
      <c r="F24" s="526">
        <f t="shared" si="7"/>
        <v>4214.2270047236107</v>
      </c>
      <c r="G24" s="526">
        <f t="shared" si="7"/>
        <v>5453.5001052011112</v>
      </c>
      <c r="H24" s="526">
        <f t="shared" si="7"/>
        <v>3044.8002142569189</v>
      </c>
      <c r="I24" s="526">
        <f t="shared" si="7"/>
        <v>3998.2023459044644</v>
      </c>
      <c r="J24" s="526">
        <f t="shared" si="7"/>
        <v>2421.1724463032656</v>
      </c>
      <c r="K24" s="526">
        <f>$K$20*$X$9/$X$20/0.00876*K22</f>
        <v>112.29014863959861</v>
      </c>
      <c r="L24" s="526">
        <f t="shared" ref="L24:N24" si="8">$K$20*$X$9/$X$20/0.00876*L22</f>
        <v>188.15768538810141</v>
      </c>
      <c r="M24" s="526">
        <f t="shared" si="8"/>
        <v>988.87608890455238</v>
      </c>
      <c r="N24" s="526">
        <f t="shared" si="8"/>
        <v>275.73232352423673</v>
      </c>
      <c r="O24" s="526">
        <f>$O$20*$X$9/$X$20/0.00876*O22</f>
        <v>679.21294013047418</v>
      </c>
      <c r="P24" s="526">
        <f>$O$20*$X$9/$X$20/0.00876*P22</f>
        <v>448.30606432973173</v>
      </c>
      <c r="Q24" s="526">
        <f t="shared" si="7"/>
        <v>1194.8708033992007</v>
      </c>
      <c r="R24" s="526"/>
      <c r="S24" s="526"/>
      <c r="T24" s="526"/>
      <c r="U24" s="526">
        <f t="shared" si="7"/>
        <v>451.0076017840824</v>
      </c>
      <c r="V24" s="526">
        <f t="shared" si="7"/>
        <v>129.71457573435998</v>
      </c>
      <c r="W24" s="526">
        <f t="shared" si="7"/>
        <v>96.787029586407058</v>
      </c>
      <c r="X24" s="71">
        <f>SUM(D24:W24)</f>
        <v>45388.127853881277</v>
      </c>
      <c r="Y24" s="68">
        <f>X24*168/1000000</f>
        <v>7.6252054794520552</v>
      </c>
      <c r="Z24" s="68">
        <f>Y24/0.7</f>
        <v>10.893150684931507</v>
      </c>
      <c r="AA24" s="68"/>
      <c r="AB24" s="68"/>
    </row>
    <row r="25" spans="1:28" s="20" customFormat="1">
      <c r="A25" s="760"/>
      <c r="B25" s="751"/>
      <c r="C25" s="579" t="s">
        <v>321</v>
      </c>
      <c r="D25" s="539">
        <f>D20*$X$9/$X$20</f>
        <v>150.80881990854729</v>
      </c>
      <c r="E25" s="539">
        <f t="shared" ref="E25:J25" si="9">E20*$X$9/$X$20</f>
        <v>39.206709461836084</v>
      </c>
      <c r="F25" s="539">
        <f t="shared" si="9"/>
        <v>36.916628561378829</v>
      </c>
      <c r="G25" s="539">
        <f t="shared" si="9"/>
        <v>47.772660921561737</v>
      </c>
      <c r="H25" s="539">
        <f t="shared" si="9"/>
        <v>26.67244987689061</v>
      </c>
      <c r="I25" s="539">
        <f t="shared" si="9"/>
        <v>35.024252550123109</v>
      </c>
      <c r="J25" s="539">
        <f t="shared" si="9"/>
        <v>21.209470629616607</v>
      </c>
      <c r="K25" s="539">
        <f>$K$20*$X$9/$X$20*K22</f>
        <v>0.98366170208288395</v>
      </c>
      <c r="L25" s="539">
        <f t="shared" ref="L25:N25" si="10">$K$20*$X$9/$X$20*L22</f>
        <v>1.6482613239997685</v>
      </c>
      <c r="M25" s="539">
        <f t="shared" si="10"/>
        <v>8.6625545388038798</v>
      </c>
      <c r="N25" s="539">
        <f t="shared" si="10"/>
        <v>2.4154151540723143</v>
      </c>
      <c r="O25" s="539">
        <f>$O$20*$X$9/$X$20*O22</f>
        <v>5.9499053555429544</v>
      </c>
      <c r="P25" s="539">
        <f>$O$20*$X$9/$X$20*P22</f>
        <v>3.92716112352845</v>
      </c>
      <c r="Q25" s="539">
        <f t="shared" ref="Q25:W25" si="11">Q20*$X$9/$X$20</f>
        <v>10.467068237776997</v>
      </c>
      <c r="R25" s="539">
        <f t="shared" si="11"/>
        <v>0</v>
      </c>
      <c r="S25" s="539">
        <f t="shared" si="11"/>
        <v>0</v>
      </c>
      <c r="T25" s="539">
        <f t="shared" si="11"/>
        <v>0</v>
      </c>
      <c r="U25" s="539">
        <f t="shared" si="11"/>
        <v>3.9508265916285619</v>
      </c>
      <c r="V25" s="539">
        <f t="shared" si="11"/>
        <v>1.1362996834329935</v>
      </c>
      <c r="W25" s="539">
        <f t="shared" si="11"/>
        <v>0.84785437917692585</v>
      </c>
      <c r="X25" s="68">
        <f>SUM(D25:W25)</f>
        <v>397.59999999999991</v>
      </c>
      <c r="Y25" s="68"/>
      <c r="Z25" s="68"/>
      <c r="AA25" s="68"/>
      <c r="AB25" s="68"/>
    </row>
    <row r="26" spans="1:28" s="20" customFormat="1">
      <c r="A26" s="760"/>
      <c r="B26" s="53" t="s">
        <v>290</v>
      </c>
      <c r="C26" s="579" t="s">
        <v>262</v>
      </c>
      <c r="D26" s="70">
        <f>D9/0.00876</f>
        <v>6570.7762557077622</v>
      </c>
      <c r="E26" s="70">
        <f t="shared" ref="E26:J26" si="12">E9/0.00876</f>
        <v>1399.5433789954336</v>
      </c>
      <c r="F26" s="70">
        <f t="shared" si="12"/>
        <v>7797.9452054794519</v>
      </c>
      <c r="G26" s="70">
        <f t="shared" si="12"/>
        <v>10144.977168949772</v>
      </c>
      <c r="H26" s="70">
        <f t="shared" si="12"/>
        <v>1476.0273972602738</v>
      </c>
      <c r="I26" s="70">
        <f t="shared" si="12"/>
        <v>2659.8173515981734</v>
      </c>
      <c r="J26" s="70">
        <f t="shared" si="12"/>
        <v>106.16438356164383</v>
      </c>
      <c r="K26" s="70">
        <f>$K$9/0.00876*K22</f>
        <v>268.89237249392426</v>
      </c>
      <c r="L26" s="70">
        <f>$K$9/0.00876*L22</f>
        <v>450.56638574196501</v>
      </c>
      <c r="M26" s="70">
        <f>$K$9/0.00876*M22</f>
        <v>2367.9836643683002</v>
      </c>
      <c r="N26" s="70">
        <f>$K$9/0.00876*N22</f>
        <v>660.27447237297849</v>
      </c>
      <c r="O26" s="70">
        <f>$O$9/0.00876*O22</f>
        <v>2538.8653405089453</v>
      </c>
      <c r="P26" s="70">
        <f>$O$9/0.00876*P22</f>
        <v>1675.7465316371738</v>
      </c>
      <c r="Q26" s="70">
        <f>Q9/0.00876</f>
        <v>5762.5570776255699</v>
      </c>
      <c r="R26" s="68"/>
      <c r="S26" s="68"/>
      <c r="T26" s="68"/>
      <c r="U26" s="70">
        <f>U9/0.00876</f>
        <v>864.15525114155253</v>
      </c>
      <c r="V26" s="70">
        <f>V9/0.00876</f>
        <v>609.58904109589037</v>
      </c>
      <c r="W26" s="70">
        <f>W9/0.00876</f>
        <v>0</v>
      </c>
      <c r="X26" s="74"/>
      <c r="Y26" s="68"/>
      <c r="Z26" s="68"/>
      <c r="AA26" s="68"/>
      <c r="AB26" s="68"/>
    </row>
    <row r="27" spans="1:28" s="20" customFormat="1">
      <c r="A27" s="63" t="s">
        <v>277</v>
      </c>
      <c r="B27" s="40" t="s">
        <v>278</v>
      </c>
      <c r="C27" s="40" t="s">
        <v>279</v>
      </c>
      <c r="D27" s="54"/>
      <c r="E27" s="60"/>
      <c r="F27" s="54"/>
      <c r="G27" s="54"/>
      <c r="H27" s="54"/>
      <c r="I27" s="54"/>
      <c r="J27" s="54"/>
      <c r="K27" s="54"/>
      <c r="L27" s="54"/>
      <c r="M27" s="54"/>
      <c r="N27" s="54"/>
      <c r="O27" s="54"/>
      <c r="P27" s="54"/>
      <c r="Q27" s="54"/>
      <c r="R27" s="54"/>
      <c r="S27" s="54"/>
      <c r="T27" s="54"/>
      <c r="U27" s="54"/>
      <c r="V27" s="54"/>
      <c r="W27" s="54"/>
    </row>
    <row r="28" spans="1:28" s="20" customFormat="1">
      <c r="A28" s="64"/>
      <c r="B28" s="61" t="s">
        <v>280</v>
      </c>
      <c r="C28" s="62">
        <v>2035</v>
      </c>
      <c r="D28" s="54"/>
      <c r="E28" s="60"/>
      <c r="F28" s="54"/>
      <c r="G28" s="40"/>
      <c r="H28" s="40"/>
      <c r="I28" s="40"/>
      <c r="J28" s="40"/>
      <c r="K28" s="40"/>
      <c r="L28" s="40"/>
      <c r="M28" s="40"/>
      <c r="N28" s="54"/>
      <c r="O28" s="54"/>
      <c r="P28" s="54"/>
      <c r="Q28" s="54"/>
      <c r="R28" s="54"/>
      <c r="S28" s="54"/>
      <c r="T28" s="54"/>
      <c r="U28" s="54"/>
      <c r="V28" s="54"/>
      <c r="W28" s="54"/>
    </row>
    <row r="29" spans="1:28" s="20" customFormat="1">
      <c r="A29" s="64"/>
      <c r="B29" s="61" t="s">
        <v>281</v>
      </c>
      <c r="C29" s="62" t="s">
        <v>282</v>
      </c>
      <c r="D29" s="54"/>
      <c r="E29" s="60"/>
      <c r="F29" s="54"/>
      <c r="G29" s="40"/>
      <c r="H29" s="40"/>
      <c r="I29" s="40"/>
      <c r="J29" s="40"/>
      <c r="K29" s="40"/>
      <c r="L29" s="40"/>
      <c r="M29" s="40"/>
      <c r="N29" s="54"/>
      <c r="O29" s="54"/>
      <c r="P29" s="54"/>
      <c r="Q29" s="54"/>
      <c r="R29" s="54"/>
      <c r="S29" s="54"/>
      <c r="T29" s="54"/>
      <c r="U29" s="54"/>
      <c r="V29" s="54"/>
      <c r="W29" s="54"/>
    </row>
    <row r="30" spans="1:28" s="20" customFormat="1">
      <c r="A30" s="64"/>
      <c r="B30" s="61" t="s">
        <v>324</v>
      </c>
      <c r="C30" s="62" t="s">
        <v>284</v>
      </c>
      <c r="D30" s="54"/>
      <c r="E30" s="60"/>
      <c r="F30" s="54"/>
      <c r="G30" s="40"/>
      <c r="H30" s="40"/>
      <c r="I30" s="40"/>
      <c r="J30" s="40"/>
      <c r="K30" s="40"/>
      <c r="L30" s="40"/>
      <c r="M30" s="40"/>
      <c r="N30" s="54"/>
      <c r="O30" s="54"/>
      <c r="P30" s="54"/>
      <c r="Q30" s="54"/>
      <c r="R30" s="54"/>
      <c r="S30" s="54"/>
      <c r="T30" s="54"/>
      <c r="U30" s="54"/>
      <c r="V30" s="54"/>
      <c r="W30" s="54"/>
    </row>
    <row r="31" spans="1:28" s="20" customFormat="1">
      <c r="A31" s="64"/>
      <c r="B31" s="61"/>
      <c r="C31" s="62" t="s">
        <v>339</v>
      </c>
      <c r="D31" s="54"/>
      <c r="E31" s="60"/>
      <c r="F31" s="54"/>
      <c r="G31" s="40"/>
      <c r="H31" s="40"/>
      <c r="I31" s="40"/>
      <c r="J31" s="40"/>
      <c r="K31" s="40"/>
      <c r="L31" s="40"/>
      <c r="M31" s="40"/>
      <c r="N31" s="54"/>
      <c r="O31" s="54"/>
      <c r="P31" s="54"/>
      <c r="Q31" s="54"/>
      <c r="R31" s="54"/>
      <c r="S31" s="54"/>
      <c r="T31" s="54"/>
      <c r="U31" s="54"/>
      <c r="V31" s="54"/>
      <c r="W31" s="54"/>
    </row>
    <row r="32" spans="1:28" s="20" customFormat="1">
      <c r="A32" s="64"/>
      <c r="B32" s="61" t="s">
        <v>258</v>
      </c>
      <c r="C32" s="62" t="s">
        <v>584</v>
      </c>
      <c r="D32" s="54"/>
      <c r="E32" s="60"/>
      <c r="F32" s="54"/>
      <c r="G32" s="40"/>
      <c r="H32" s="40"/>
      <c r="I32" s="40"/>
      <c r="J32" s="40"/>
      <c r="K32" s="40"/>
      <c r="L32" s="40"/>
      <c r="M32" s="40"/>
      <c r="N32" s="54"/>
      <c r="O32" s="54"/>
      <c r="P32" s="54"/>
      <c r="Q32" s="54"/>
      <c r="R32" s="54"/>
      <c r="S32" s="54"/>
      <c r="T32" s="54"/>
      <c r="U32" s="54"/>
      <c r="V32" s="54"/>
      <c r="W32" s="54"/>
    </row>
    <row r="33" spans="1:30" s="20" customFormat="1">
      <c r="A33" s="64"/>
      <c r="B33" s="61"/>
      <c r="C33" s="62" t="s">
        <v>656</v>
      </c>
      <c r="D33" s="54"/>
      <c r="E33" s="60"/>
      <c r="F33" s="54"/>
      <c r="G33" s="40"/>
      <c r="H33" s="40"/>
      <c r="I33" s="40"/>
      <c r="J33" s="40"/>
      <c r="K33" s="40"/>
      <c r="L33" s="40"/>
      <c r="M33" s="40"/>
      <c r="N33" s="54"/>
      <c r="O33" s="54"/>
      <c r="P33" s="54"/>
      <c r="Q33" s="54"/>
      <c r="R33" s="54"/>
      <c r="S33" s="54"/>
      <c r="T33" s="54"/>
      <c r="U33" s="54"/>
      <c r="V33" s="54"/>
      <c r="W33" s="54"/>
    </row>
    <row r="34" spans="1:30" s="20" customFormat="1">
      <c r="A34" s="65"/>
      <c r="B34" s="42"/>
      <c r="C34" s="42"/>
      <c r="D34" s="55" t="s">
        <v>26</v>
      </c>
      <c r="E34" s="55" t="s">
        <v>126</v>
      </c>
      <c r="F34" s="55" t="s">
        <v>75</v>
      </c>
      <c r="G34" s="55" t="s">
        <v>127</v>
      </c>
      <c r="H34" s="55" t="s">
        <v>128</v>
      </c>
      <c r="I34" s="55" t="s">
        <v>129</v>
      </c>
      <c r="J34" s="55" t="s">
        <v>130</v>
      </c>
      <c r="K34" s="55" t="s">
        <v>209</v>
      </c>
      <c r="L34" s="57" t="s">
        <v>104</v>
      </c>
      <c r="M34" s="57" t="s">
        <v>105</v>
      </c>
      <c r="N34" s="57" t="s">
        <v>106</v>
      </c>
      <c r="O34" s="55" t="s">
        <v>189</v>
      </c>
      <c r="P34" s="57" t="s">
        <v>99</v>
      </c>
      <c r="Q34" s="84" t="s">
        <v>133</v>
      </c>
      <c r="R34" s="58" t="s">
        <v>289</v>
      </c>
      <c r="S34" s="59" t="s">
        <v>119</v>
      </c>
      <c r="T34" s="59" t="s">
        <v>120</v>
      </c>
      <c r="U34" s="55" t="s">
        <v>135</v>
      </c>
      <c r="V34" s="55" t="s">
        <v>136</v>
      </c>
      <c r="W34" s="55" t="s">
        <v>137</v>
      </c>
      <c r="X34" s="67" t="s">
        <v>232</v>
      </c>
      <c r="Y34" s="83"/>
    </row>
    <row r="35" spans="1:30" s="20" customFormat="1">
      <c r="A35" s="753" t="s">
        <v>286</v>
      </c>
      <c r="B35" s="347" t="s">
        <v>217</v>
      </c>
      <c r="C35" s="347" t="s">
        <v>315</v>
      </c>
      <c r="D35" s="541">
        <v>77.961789999999993</v>
      </c>
      <c r="E35" s="541">
        <v>13.288069999999999</v>
      </c>
      <c r="F35" s="541">
        <v>12.685560000000001</v>
      </c>
      <c r="G35" s="541">
        <v>16.973189999999999</v>
      </c>
      <c r="H35" s="541">
        <v>20.092690000000001</v>
      </c>
      <c r="I35" s="541">
        <v>20.837009999999999</v>
      </c>
      <c r="J35" s="541">
        <v>14.32016</v>
      </c>
      <c r="K35" s="541">
        <v>4.7020629999999999</v>
      </c>
      <c r="L35" s="538"/>
      <c r="M35" s="538"/>
      <c r="N35" s="538"/>
      <c r="O35" s="541">
        <v>0.97431800000000002</v>
      </c>
      <c r="P35" s="538"/>
      <c r="Q35" s="541">
        <v>6.4012039999999999</v>
      </c>
      <c r="R35" s="542"/>
      <c r="S35" s="538"/>
      <c r="T35" s="538"/>
      <c r="U35" s="541">
        <v>4.033709</v>
      </c>
      <c r="V35" s="541">
        <v>0.52988199999999996</v>
      </c>
      <c r="W35" s="541">
        <v>0.36564200000000002</v>
      </c>
      <c r="X35" s="70">
        <f>SUM(D35:W35)</f>
        <v>193.16528799999998</v>
      </c>
      <c r="Y35" s="83"/>
      <c r="AD35" s="37"/>
    </row>
    <row r="36" spans="1:30" s="20" customFormat="1">
      <c r="A36" s="754"/>
      <c r="B36" s="348" t="s">
        <v>318</v>
      </c>
      <c r="C36" s="348" t="s">
        <v>262</v>
      </c>
      <c r="D36" s="540">
        <v>3248.4079999999999</v>
      </c>
      <c r="E36" s="540">
        <v>553.66970000000003</v>
      </c>
      <c r="F36" s="540">
        <v>528.56510000000003</v>
      </c>
      <c r="G36" s="540">
        <v>707.21609999999998</v>
      </c>
      <c r="H36" s="540">
        <v>837.1952</v>
      </c>
      <c r="I36" s="540">
        <v>868.20870000000002</v>
      </c>
      <c r="J36" s="540">
        <v>596.67349999999999</v>
      </c>
      <c r="K36" s="303">
        <f>$K$37*K22</f>
        <v>14.056879660508569</v>
      </c>
      <c r="L36" s="303">
        <f>$K$37*L22</f>
        <v>23.554247391633229</v>
      </c>
      <c r="M36" s="303">
        <f>$K$37*M22</f>
        <v>123.79102128985618</v>
      </c>
      <c r="N36" s="303">
        <f>$K$37*N22</f>
        <v>34.517151658002</v>
      </c>
      <c r="O36" s="303">
        <f>$O$37*O22</f>
        <v>24.455217474797944</v>
      </c>
      <c r="P36" s="303">
        <f>$O$37*P22</f>
        <v>16.141362525202059</v>
      </c>
      <c r="Q36" s="540">
        <v>266.71679999999998</v>
      </c>
      <c r="R36" s="527"/>
      <c r="S36" s="531"/>
      <c r="T36" s="531"/>
      <c r="U36" s="540">
        <v>168.0712</v>
      </c>
      <c r="V36" s="540">
        <v>22.078420000000001</v>
      </c>
      <c r="W36" s="540">
        <v>15.23509</v>
      </c>
      <c r="X36" s="71">
        <f>SUM(D36:W36)</f>
        <v>8048.5536899999988</v>
      </c>
      <c r="Y36" s="83"/>
      <c r="AD36" s="37"/>
    </row>
    <row r="37" spans="1:30" s="20" customFormat="1">
      <c r="A37" s="82"/>
      <c r="B37" s="348"/>
      <c r="C37" s="348"/>
      <c r="D37" s="540"/>
      <c r="E37" s="540"/>
      <c r="F37" s="540"/>
      <c r="G37" s="540"/>
      <c r="H37" s="540"/>
      <c r="I37" s="540"/>
      <c r="J37" s="540"/>
      <c r="K37" s="363">
        <v>195.91929999999999</v>
      </c>
      <c r="L37" s="531"/>
      <c r="M37" s="531"/>
      <c r="N37" s="531"/>
      <c r="O37" s="363">
        <v>40.596580000000003</v>
      </c>
      <c r="P37" s="531"/>
      <c r="Q37" s="540"/>
      <c r="R37" s="527"/>
      <c r="S37" s="531"/>
      <c r="T37" s="531"/>
      <c r="U37" s="540"/>
      <c r="V37" s="540"/>
      <c r="W37" s="540"/>
      <c r="X37" s="71"/>
      <c r="Y37" s="83"/>
      <c r="AD37" s="37"/>
    </row>
    <row r="38" spans="1:30" s="20" customFormat="1">
      <c r="A38" s="753" t="s">
        <v>285</v>
      </c>
      <c r="B38" s="349" t="s">
        <v>217</v>
      </c>
      <c r="C38" s="349" t="s">
        <v>315</v>
      </c>
      <c r="D38" s="350">
        <v>718.5</v>
      </c>
      <c r="E38" s="350">
        <v>2315.6998719539038</v>
      </c>
      <c r="F38" s="350">
        <v>0</v>
      </c>
      <c r="G38" s="350">
        <v>575</v>
      </c>
      <c r="H38" s="350">
        <v>4.884615384615385</v>
      </c>
      <c r="I38" s="350">
        <v>250</v>
      </c>
      <c r="J38" s="350">
        <v>0</v>
      </c>
      <c r="K38" s="350">
        <v>0</v>
      </c>
      <c r="L38" s="351"/>
      <c r="M38" s="351"/>
      <c r="N38" s="351"/>
      <c r="O38" s="350">
        <v>116</v>
      </c>
      <c r="P38" s="351"/>
      <c r="Q38" s="350">
        <v>0</v>
      </c>
      <c r="R38" s="352"/>
      <c r="S38" s="351"/>
      <c r="T38" s="351"/>
      <c r="U38" s="350">
        <v>0</v>
      </c>
      <c r="V38" s="350">
        <v>150</v>
      </c>
      <c r="W38" s="350">
        <v>0</v>
      </c>
      <c r="X38" s="70">
        <f t="shared" ref="X38:X43" si="13">SUM(D38:W38)</f>
        <v>4130.0844873385195</v>
      </c>
      <c r="Y38" s="68"/>
      <c r="AD38" s="37"/>
    </row>
    <row r="39" spans="1:30" s="20" customFormat="1">
      <c r="A39" s="754"/>
      <c r="B39" s="348" t="s">
        <v>317</v>
      </c>
      <c r="C39" s="348" t="s">
        <v>315</v>
      </c>
      <c r="D39" s="363">
        <v>13913</v>
      </c>
      <c r="E39" s="363">
        <v>2315.6998719539038</v>
      </c>
      <c r="F39" s="363">
        <v>1583.2052963587535</v>
      </c>
      <c r="G39" s="363">
        <v>575</v>
      </c>
      <c r="H39" s="363">
        <v>63.5</v>
      </c>
      <c r="I39" s="363">
        <v>625</v>
      </c>
      <c r="J39" s="363">
        <v>4327.5998447331303</v>
      </c>
      <c r="K39" s="363">
        <v>280.95418810588234</v>
      </c>
      <c r="L39" s="310"/>
      <c r="M39" s="310"/>
      <c r="N39" s="310"/>
      <c r="O39" s="363">
        <v>230</v>
      </c>
      <c r="P39" s="310"/>
      <c r="Q39" s="363">
        <v>1533.584995649411</v>
      </c>
      <c r="R39" s="364"/>
      <c r="S39" s="310"/>
      <c r="T39" s="310"/>
      <c r="U39" s="363">
        <v>399.36653716733304</v>
      </c>
      <c r="V39" s="363">
        <v>1445.1878767051282</v>
      </c>
      <c r="W39" s="363">
        <v>327.78196931177263</v>
      </c>
      <c r="X39" s="70">
        <f t="shared" si="13"/>
        <v>27619.880579985314</v>
      </c>
      <c r="Y39" s="68"/>
      <c r="AD39" s="37"/>
    </row>
    <row r="40" spans="1:30" s="20" customFormat="1">
      <c r="A40" s="754"/>
      <c r="B40" s="44" t="s">
        <v>330</v>
      </c>
      <c r="C40" s="53" t="s">
        <v>262</v>
      </c>
      <c r="D40" s="261">
        <v>1398.75</v>
      </c>
      <c r="E40" s="261">
        <v>333.33333333333331</v>
      </c>
      <c r="F40" s="261">
        <v>0</v>
      </c>
      <c r="G40" s="261">
        <v>5916.666666666667</v>
      </c>
      <c r="H40" s="261">
        <v>41.666666666666664</v>
      </c>
      <c r="I40" s="261">
        <v>1000</v>
      </c>
      <c r="J40" s="261">
        <v>0</v>
      </c>
      <c r="K40" s="261">
        <v>0</v>
      </c>
      <c r="L40" s="109"/>
      <c r="M40" s="109"/>
      <c r="N40" s="109"/>
      <c r="O40" s="261">
        <v>395.83333333333331</v>
      </c>
      <c r="P40" s="109"/>
      <c r="Q40" s="261">
        <v>0</v>
      </c>
      <c r="R40" s="109"/>
      <c r="S40" s="109"/>
      <c r="T40" s="109"/>
      <c r="U40" s="261">
        <v>0</v>
      </c>
      <c r="V40" s="261">
        <v>312.5</v>
      </c>
      <c r="W40" s="261">
        <v>0</v>
      </c>
      <c r="X40" s="70">
        <f>SUM(D40:W40)</f>
        <v>9398.7500000000018</v>
      </c>
      <c r="Y40" s="68"/>
      <c r="AD40" s="37"/>
    </row>
    <row r="41" spans="1:30" s="20" customFormat="1">
      <c r="A41" s="754"/>
      <c r="B41" s="348" t="s">
        <v>332</v>
      </c>
      <c r="C41" s="348" t="s">
        <v>262</v>
      </c>
      <c r="D41" s="363">
        <v>30020.833333333299</v>
      </c>
      <c r="E41" s="363">
        <v>1666.6666666666667</v>
      </c>
      <c r="F41" s="363">
        <v>3276.0416666666665</v>
      </c>
      <c r="G41" s="363">
        <v>5916.666666666667</v>
      </c>
      <c r="H41" s="363">
        <v>291.66666666666663</v>
      </c>
      <c r="I41" s="363">
        <v>7250</v>
      </c>
      <c r="J41" s="363">
        <v>3395.4732916666667</v>
      </c>
      <c r="K41" s="363">
        <v>1105.6067291666668</v>
      </c>
      <c r="L41" s="310"/>
      <c r="M41" s="310"/>
      <c r="N41" s="310"/>
      <c r="O41" s="363">
        <v>1200</v>
      </c>
      <c r="P41" s="310"/>
      <c r="Q41" s="363">
        <v>1094.2060208333332</v>
      </c>
      <c r="R41" s="310"/>
      <c r="S41" s="310"/>
      <c r="T41" s="310"/>
      <c r="U41" s="363">
        <v>284.94622916666668</v>
      </c>
      <c r="V41" s="363">
        <v>625</v>
      </c>
      <c r="W41" s="363">
        <v>233.8709375</v>
      </c>
      <c r="X41" s="70">
        <f>SUM(D41:W41)</f>
        <v>56360.978208333305</v>
      </c>
      <c r="Y41" s="68"/>
      <c r="AD41" s="37"/>
    </row>
    <row r="42" spans="1:30" s="20" customFormat="1">
      <c r="A42" s="754"/>
      <c r="B42" s="44" t="s">
        <v>329</v>
      </c>
      <c r="C42" s="44" t="s">
        <v>262</v>
      </c>
      <c r="D42" s="261">
        <v>1232.5</v>
      </c>
      <c r="E42" s="261">
        <v>333.33333333333331</v>
      </c>
      <c r="F42" s="261">
        <v>0</v>
      </c>
      <c r="G42" s="261">
        <v>2958.3333333333335</v>
      </c>
      <c r="H42" s="261">
        <v>41.666666666666664</v>
      </c>
      <c r="I42" s="261">
        <v>1000</v>
      </c>
      <c r="J42" s="261">
        <v>0</v>
      </c>
      <c r="K42" s="261">
        <v>0</v>
      </c>
      <c r="L42" s="109"/>
      <c r="M42" s="109"/>
      <c r="N42" s="109"/>
      <c r="O42" s="261">
        <v>131.66666666666669</v>
      </c>
      <c r="P42" s="109"/>
      <c r="Q42" s="261">
        <v>0</v>
      </c>
      <c r="R42" s="184"/>
      <c r="S42" s="109"/>
      <c r="T42" s="109"/>
      <c r="U42" s="261">
        <v>0</v>
      </c>
      <c r="V42" s="261">
        <v>187.5</v>
      </c>
      <c r="W42" s="261">
        <v>0</v>
      </c>
      <c r="X42" s="70">
        <f t="shared" si="13"/>
        <v>5885.0000000000009</v>
      </c>
      <c r="Y42" s="68"/>
      <c r="AD42" s="37"/>
    </row>
    <row r="43" spans="1:30" s="20" customFormat="1">
      <c r="A43" s="754"/>
      <c r="B43" s="348" t="s">
        <v>331</v>
      </c>
      <c r="C43" s="348" t="s">
        <v>262</v>
      </c>
      <c r="D43" s="363">
        <v>10020.833333333332</v>
      </c>
      <c r="E43" s="363">
        <v>1666.6666666666667</v>
      </c>
      <c r="F43" s="363">
        <v>2340.0537291666669</v>
      </c>
      <c r="G43" s="363">
        <v>2958.3333333333335</v>
      </c>
      <c r="H43" s="363">
        <v>270.83333333333331</v>
      </c>
      <c r="I43" s="363">
        <v>7250</v>
      </c>
      <c r="J43" s="363">
        <v>2024.8655833333335</v>
      </c>
      <c r="K43" s="363">
        <v>758.33331249999992</v>
      </c>
      <c r="L43" s="310"/>
      <c r="M43" s="310"/>
      <c r="N43" s="310"/>
      <c r="O43" s="363">
        <v>1200</v>
      </c>
      <c r="P43" s="310"/>
      <c r="Q43" s="363">
        <v>815.97220833333336</v>
      </c>
      <c r="R43" s="310"/>
      <c r="S43" s="310"/>
      <c r="T43" s="310"/>
      <c r="U43" s="363">
        <v>168.05554166666667</v>
      </c>
      <c r="V43" s="363">
        <v>241.26343750000001</v>
      </c>
      <c r="W43" s="363">
        <v>163.97845833333332</v>
      </c>
      <c r="X43" s="71">
        <f t="shared" si="13"/>
        <v>29879.188937499999</v>
      </c>
      <c r="Y43" s="53" t="s">
        <v>356</v>
      </c>
      <c r="AD43" s="37"/>
    </row>
    <row r="44" spans="1:30" s="20" customFormat="1">
      <c r="A44" s="82"/>
      <c r="B44" s="353" t="s">
        <v>337</v>
      </c>
      <c r="C44" s="353" t="s">
        <v>262</v>
      </c>
      <c r="D44" s="526">
        <f>D39*1000/$D$49/24</f>
        <v>28390.792188318661</v>
      </c>
      <c r="E44" s="526">
        <f t="shared" ref="E44:J44" si="14">E39*1000/$D$49/24</f>
        <v>4725.4045737913757</v>
      </c>
      <c r="F44" s="526">
        <f t="shared" si="14"/>
        <v>3230.6801236517526</v>
      </c>
      <c r="G44" s="526">
        <f t="shared" si="14"/>
        <v>1173.3418751012168</v>
      </c>
      <c r="H44" s="526">
        <f t="shared" si="14"/>
        <v>129.57775490248221</v>
      </c>
      <c r="I44" s="526">
        <f t="shared" si="14"/>
        <v>1275.3716033708879</v>
      </c>
      <c r="J44" s="526">
        <f t="shared" si="14"/>
        <v>8830.8767243598359</v>
      </c>
      <c r="K44" s="526">
        <f>$K$39*1000/$D$49/24*K22</f>
        <v>41.134284032026898</v>
      </c>
      <c r="L44" s="526">
        <f>$K$39*1000/$D$49/24*L22</f>
        <v>68.926186021928018</v>
      </c>
      <c r="M44" s="526">
        <f>$K$39*1000/$D$49/24*M22</f>
        <v>362.24646958152908</v>
      </c>
      <c r="N44" s="526">
        <f>$K$39*1000/$D$49/24*N22</f>
        <v>101.00664973790019</v>
      </c>
      <c r="O44" s="526">
        <f>$O$39*1000/$D$49/24*O22</f>
        <v>282.72658167646108</v>
      </c>
      <c r="P44" s="526">
        <f>$O$39*1000/$D$49/24*P22</f>
        <v>186.61016836402572</v>
      </c>
      <c r="Q44" s="526">
        <f t="shared" ref="Q44:W44" si="15">Q39*1000/$D$49/24</f>
        <v>3129.4252076910802</v>
      </c>
      <c r="R44" s="526">
        <f t="shared" si="15"/>
        <v>0</v>
      </c>
      <c r="S44" s="526">
        <f t="shared" si="15"/>
        <v>0</v>
      </c>
      <c r="T44" s="526">
        <f t="shared" si="15"/>
        <v>0</v>
      </c>
      <c r="U44" s="526">
        <f t="shared" si="15"/>
        <v>814.94518534364931</v>
      </c>
      <c r="V44" s="526">
        <f t="shared" si="15"/>
        <v>2949.0425271769418</v>
      </c>
      <c r="W44" s="526">
        <f t="shared" si="15"/>
        <v>668.87010521155617</v>
      </c>
      <c r="X44" s="70">
        <f>SUM(D44:W44)</f>
        <v>56360.97820833329</v>
      </c>
      <c r="AD44" s="37"/>
    </row>
    <row r="45" spans="1:30" s="20" customFormat="1">
      <c r="A45" s="82"/>
      <c r="B45" s="353" t="s">
        <v>338</v>
      </c>
      <c r="C45" s="353" t="s">
        <v>262</v>
      </c>
      <c r="D45" s="526">
        <f>D39*1000/$D$50/24</f>
        <v>15051.084470969081</v>
      </c>
      <c r="E45" s="526">
        <f t="shared" ref="E45:J45" si="16">E39*1000/$D$50/24</f>
        <v>2505.1242997333784</v>
      </c>
      <c r="F45" s="526">
        <f t="shared" si="16"/>
        <v>1712.7116114699375</v>
      </c>
      <c r="G45" s="526">
        <f t="shared" si="16"/>
        <v>622.03504426128245</v>
      </c>
      <c r="H45" s="526">
        <f t="shared" si="16"/>
        <v>68.694304887985098</v>
      </c>
      <c r="I45" s="526">
        <f t="shared" si="16"/>
        <v>676.12504811008955</v>
      </c>
      <c r="J45" s="526">
        <f t="shared" si="16"/>
        <v>4681.597845154246</v>
      </c>
      <c r="K45" s="526">
        <f>$K$39*1000/$D$50/24*K22</f>
        <v>21.806914703620194</v>
      </c>
      <c r="L45" s="526">
        <f>$K$39*1000/$D$50/24*L22</f>
        <v>36.540503737849519</v>
      </c>
      <c r="M45" s="526">
        <f>$K$39*1000/$D$50/24*M22</f>
        <v>192.04121451831926</v>
      </c>
      <c r="N45" s="526">
        <f>$K$39*1000/$D$50/24*N22</f>
        <v>53.547629359924343</v>
      </c>
      <c r="O45" s="526">
        <f>$O$39*1000/$D$50/24*O22</f>
        <v>149.88456943274755</v>
      </c>
      <c r="P45" s="526">
        <f>$O$39*1000/$D$50/24*P22</f>
        <v>98.929448271765438</v>
      </c>
      <c r="Q45" s="526">
        <f t="shared" ref="Q45:W45" si="17">Q39*1000/$D$50/24</f>
        <v>1659.0323663429911</v>
      </c>
      <c r="R45" s="526">
        <f t="shared" si="17"/>
        <v>0</v>
      </c>
      <c r="S45" s="526">
        <f t="shared" si="17"/>
        <v>0</v>
      </c>
      <c r="T45" s="526">
        <f t="shared" si="17"/>
        <v>0</v>
      </c>
      <c r="U45" s="526">
        <f t="shared" si="17"/>
        <v>432.03475064931666</v>
      </c>
      <c r="V45" s="526">
        <f t="shared" si="17"/>
        <v>1563.4043562645968</v>
      </c>
      <c r="W45" s="526">
        <f t="shared" si="17"/>
        <v>354.59455963286746</v>
      </c>
      <c r="X45" s="70">
        <f>SUM(D45:W45)</f>
        <v>29879.188937499996</v>
      </c>
      <c r="AD45" s="95"/>
    </row>
    <row r="46" spans="1:30" s="20" customFormat="1">
      <c r="A46" s="82"/>
      <c r="B46" s="353" t="s">
        <v>357</v>
      </c>
      <c r="C46" s="353"/>
      <c r="D46" s="92">
        <f>D40/D42</f>
        <v>1.1348884381338742</v>
      </c>
      <c r="E46" s="92">
        <f>E40/E42</f>
        <v>1</v>
      </c>
      <c r="F46" s="92"/>
      <c r="G46" s="92">
        <f t="shared" ref="G46:I47" si="18">G40/G42</f>
        <v>2</v>
      </c>
      <c r="H46" s="92">
        <f t="shared" si="18"/>
        <v>1</v>
      </c>
      <c r="I46" s="92">
        <f t="shared" si="18"/>
        <v>1</v>
      </c>
      <c r="J46" s="92"/>
      <c r="K46" s="92"/>
      <c r="L46" s="92"/>
      <c r="M46" s="92"/>
      <c r="N46" s="92"/>
      <c r="O46" s="92">
        <f>O40/O42</f>
        <v>3.0063291139240502</v>
      </c>
      <c r="P46" s="92"/>
      <c r="Q46" s="92"/>
      <c r="R46" s="92"/>
      <c r="S46" s="92"/>
      <c r="T46" s="92"/>
      <c r="U46" s="92"/>
      <c r="V46" s="92">
        <f>V40/V42</f>
        <v>1.6666666666666667</v>
      </c>
      <c r="W46" s="92"/>
      <c r="X46" s="92">
        <f>X40/X42</f>
        <v>1.5970688190314359</v>
      </c>
      <c r="AD46" s="95"/>
    </row>
    <row r="47" spans="1:30" s="20" customFormat="1">
      <c r="A47" s="94"/>
      <c r="B47" s="354" t="s">
        <v>358</v>
      </c>
      <c r="C47" s="354"/>
      <c r="D47" s="355">
        <f>D41/D43</f>
        <v>2.9958419958419928</v>
      </c>
      <c r="E47" s="355">
        <f>E41/E43</f>
        <v>1</v>
      </c>
      <c r="F47" s="355">
        <f>F41/F43</f>
        <v>1.3999856609417771</v>
      </c>
      <c r="G47" s="355">
        <f t="shared" si="18"/>
        <v>2</v>
      </c>
      <c r="H47" s="355">
        <f t="shared" si="18"/>
        <v>1.0769230769230769</v>
      </c>
      <c r="I47" s="355">
        <f t="shared" si="18"/>
        <v>1</v>
      </c>
      <c r="J47" s="355">
        <f>J41/J43</f>
        <v>1.6768882436517287</v>
      </c>
      <c r="K47" s="355">
        <f>K41/K43</f>
        <v>1.4579429796138184</v>
      </c>
      <c r="L47" s="355"/>
      <c r="M47" s="355"/>
      <c r="N47" s="355"/>
      <c r="O47" s="355">
        <f>O41/O43</f>
        <v>1</v>
      </c>
      <c r="P47" s="355"/>
      <c r="Q47" s="355">
        <f>Q41/Q43</f>
        <v>1.3409844228252665</v>
      </c>
      <c r="R47" s="355"/>
      <c r="S47" s="355"/>
      <c r="T47" s="355"/>
      <c r="U47" s="355">
        <f>U41/U43</f>
        <v>1.6955479500452852</v>
      </c>
      <c r="V47" s="355">
        <f>V41/V43</f>
        <v>2.5905292839906586</v>
      </c>
      <c r="W47" s="355">
        <f>W41/W43</f>
        <v>1.4262296394114777</v>
      </c>
      <c r="X47" s="92">
        <f>X41/X43</f>
        <v>1.8862954522034308</v>
      </c>
      <c r="Y47" s="93"/>
      <c r="AD47" s="37"/>
    </row>
    <row r="48" spans="1:30" s="20" customFormat="1">
      <c r="A48" s="55" t="s">
        <v>286</v>
      </c>
      <c r="B48" s="20" t="s">
        <v>334</v>
      </c>
      <c r="C48" s="20" t="s">
        <v>336</v>
      </c>
      <c r="D48" s="20">
        <f>X35*1000/X36/24</f>
        <v>0.99999999710092835</v>
      </c>
      <c r="AD48" s="37"/>
    </row>
    <row r="49" spans="1:30" s="20" customFormat="1">
      <c r="A49" s="55" t="s">
        <v>285</v>
      </c>
      <c r="B49" s="20" t="s">
        <v>335</v>
      </c>
      <c r="C49" s="20" t="s">
        <v>336</v>
      </c>
      <c r="D49" s="20">
        <f>X39*1000/X41/24</f>
        <v>20.418885443142134</v>
      </c>
      <c r="AD49" s="37"/>
    </row>
    <row r="50" spans="1:30" s="20" customFormat="1">
      <c r="A50" s="55"/>
      <c r="B50" s="20" t="s">
        <v>333</v>
      </c>
      <c r="C50" s="20" t="s">
        <v>336</v>
      </c>
      <c r="D50" s="20">
        <f>X39*1000/X43/24</f>
        <v>38.516050750461844</v>
      </c>
      <c r="AD50" s="37"/>
    </row>
    <row r="51" spans="1:30" s="20" customFormat="1">
      <c r="A51" s="63" t="s">
        <v>277</v>
      </c>
      <c r="B51" s="40" t="s">
        <v>278</v>
      </c>
      <c r="C51" s="40" t="s">
        <v>323</v>
      </c>
      <c r="D51" s="54"/>
      <c r="E51" s="54"/>
      <c r="F51" s="54"/>
      <c r="G51" s="54"/>
      <c r="H51" s="54"/>
      <c r="I51" s="54"/>
      <c r="J51" s="54"/>
      <c r="K51" s="54"/>
      <c r="L51" s="54"/>
      <c r="M51" s="54"/>
      <c r="N51" s="54"/>
      <c r="O51" s="54"/>
      <c r="P51" s="54"/>
      <c r="Q51" s="54"/>
      <c r="R51" s="54"/>
      <c r="S51" s="54"/>
      <c r="T51" s="54"/>
      <c r="U51" s="54"/>
      <c r="V51" s="54"/>
      <c r="W51" s="54"/>
    </row>
    <row r="52" spans="1:30" s="20" customFormat="1">
      <c r="A52" s="64"/>
      <c r="B52" s="61" t="s">
        <v>283</v>
      </c>
      <c r="C52" s="62" t="s">
        <v>326</v>
      </c>
      <c r="D52" s="54"/>
      <c r="E52" s="54"/>
      <c r="F52" s="54"/>
      <c r="G52" s="40"/>
      <c r="H52" s="40"/>
      <c r="I52" s="40"/>
      <c r="J52" s="40"/>
      <c r="K52" s="40"/>
      <c r="L52" s="40"/>
      <c r="M52" s="40"/>
      <c r="N52" s="54"/>
      <c r="O52" s="54"/>
      <c r="P52" s="54"/>
      <c r="Q52" s="54"/>
      <c r="R52" s="54"/>
      <c r="S52" s="54"/>
      <c r="T52" s="54"/>
      <c r="U52" s="54"/>
      <c r="V52" s="54"/>
      <c r="W52" s="54"/>
    </row>
    <row r="53" spans="1:30" s="20" customFormat="1">
      <c r="A53" s="64"/>
      <c r="B53" s="61" t="s">
        <v>345</v>
      </c>
      <c r="C53" s="62" t="s">
        <v>348</v>
      </c>
      <c r="D53" s="54"/>
      <c r="E53" s="54"/>
      <c r="F53" s="54"/>
      <c r="G53" s="40"/>
      <c r="H53" s="40"/>
      <c r="I53" s="40"/>
      <c r="J53" s="40"/>
      <c r="K53" s="40"/>
      <c r="L53" s="40"/>
      <c r="M53" s="40"/>
      <c r="N53" s="54"/>
      <c r="O53" s="54"/>
      <c r="P53" s="54"/>
      <c r="Q53" s="54"/>
      <c r="R53" s="54"/>
      <c r="S53" s="54"/>
      <c r="T53" s="54"/>
      <c r="U53" s="54"/>
      <c r="V53" s="54"/>
      <c r="W53" s="54"/>
    </row>
    <row r="54" spans="1:30" s="20" customFormat="1">
      <c r="A54" s="65"/>
      <c r="B54" s="42"/>
      <c r="C54" s="42"/>
      <c r="D54" s="55" t="s">
        <v>26</v>
      </c>
      <c r="E54" s="55" t="s">
        <v>126</v>
      </c>
      <c r="F54" s="55" t="s">
        <v>75</v>
      </c>
      <c r="G54" s="55" t="s">
        <v>127</v>
      </c>
      <c r="H54" s="55" t="s">
        <v>128</v>
      </c>
      <c r="I54" s="55" t="s">
        <v>129</v>
      </c>
      <c r="J54" s="55" t="s">
        <v>130</v>
      </c>
      <c r="K54" s="55" t="s">
        <v>209</v>
      </c>
      <c r="L54" s="57" t="s">
        <v>104</v>
      </c>
      <c r="M54" s="57" t="s">
        <v>105</v>
      </c>
      <c r="N54" s="57" t="s">
        <v>106</v>
      </c>
      <c r="O54" s="55" t="s">
        <v>189</v>
      </c>
      <c r="P54" s="57" t="s">
        <v>99</v>
      </c>
      <c r="Q54" s="84" t="s">
        <v>133</v>
      </c>
      <c r="R54" s="58" t="s">
        <v>289</v>
      </c>
      <c r="S54" s="59" t="s">
        <v>119</v>
      </c>
      <c r="T54" s="59" t="s">
        <v>120</v>
      </c>
      <c r="U54" s="55" t="s">
        <v>135</v>
      </c>
      <c r="V54" s="55" t="s">
        <v>136</v>
      </c>
      <c r="W54" s="55" t="s">
        <v>137</v>
      </c>
      <c r="X54" s="86" t="s">
        <v>232</v>
      </c>
    </row>
    <row r="55" spans="1:30" s="20" customFormat="1">
      <c r="A55" s="755" t="s">
        <v>286</v>
      </c>
      <c r="B55" s="356" t="s">
        <v>325</v>
      </c>
      <c r="C55" s="356" t="s">
        <v>315</v>
      </c>
      <c r="D55" s="321">
        <v>7074.1180000000004</v>
      </c>
      <c r="E55" s="260">
        <v>1638.3530000000001</v>
      </c>
      <c r="F55" s="321">
        <v>1506.0989999999999</v>
      </c>
      <c r="G55" s="321">
        <v>2572.8809999999999</v>
      </c>
      <c r="H55" s="321">
        <v>1304.6289999999999</v>
      </c>
      <c r="I55" s="321">
        <v>1723.492</v>
      </c>
      <c r="J55" s="321">
        <v>1484.72</v>
      </c>
      <c r="K55" s="321">
        <v>625.56200000000001</v>
      </c>
      <c r="L55" s="351"/>
      <c r="M55" s="351"/>
      <c r="N55" s="351"/>
      <c r="O55" s="351"/>
      <c r="P55" s="351"/>
      <c r="Q55" s="321">
        <v>815.40700000000004</v>
      </c>
      <c r="R55" s="351"/>
      <c r="S55" s="351"/>
      <c r="T55" s="351"/>
      <c r="U55" s="260">
        <v>216.72300000000001</v>
      </c>
      <c r="V55" s="321">
        <v>75.244</v>
      </c>
      <c r="W55" s="351"/>
      <c r="X55" s="70">
        <f>SUM(D55:W55)</f>
        <v>19037.228000000003</v>
      </c>
      <c r="Z55" s="68"/>
    </row>
    <row r="56" spans="1:30" s="20" customFormat="1">
      <c r="A56" s="756"/>
      <c r="B56" s="357" t="s">
        <v>327</v>
      </c>
      <c r="C56" s="358" t="s">
        <v>262</v>
      </c>
      <c r="D56" s="184">
        <v>77960</v>
      </c>
      <c r="E56" s="261">
        <v>13290</v>
      </c>
      <c r="F56" s="184">
        <v>12690</v>
      </c>
      <c r="G56" s="184">
        <v>16970</v>
      </c>
      <c r="H56" s="184">
        <v>20090</v>
      </c>
      <c r="I56" s="184">
        <v>20840</v>
      </c>
      <c r="J56" s="184">
        <v>14320</v>
      </c>
      <c r="K56" s="184">
        <v>4700</v>
      </c>
      <c r="L56" s="109"/>
      <c r="M56" s="109"/>
      <c r="N56" s="109"/>
      <c r="O56" s="109"/>
      <c r="P56" s="109"/>
      <c r="Q56" s="109"/>
      <c r="R56" s="184">
        <v>6400</v>
      </c>
      <c r="S56" s="109"/>
      <c r="T56" s="109"/>
      <c r="U56" s="184">
        <v>4030</v>
      </c>
      <c r="V56" s="184">
        <v>530</v>
      </c>
      <c r="W56" s="184">
        <v>370</v>
      </c>
      <c r="X56" s="70">
        <f t="shared" ref="X56:X58" si="19">SUM(D56:W56)</f>
        <v>192190</v>
      </c>
      <c r="Y56" s="68"/>
    </row>
    <row r="57" spans="1:30" s="20" customFormat="1">
      <c r="A57" s="756" t="s">
        <v>285</v>
      </c>
      <c r="B57" s="358" t="s">
        <v>325</v>
      </c>
      <c r="C57" s="358" t="s">
        <v>315</v>
      </c>
      <c r="D57" s="261">
        <v>4417.4790000000003</v>
      </c>
      <c r="E57" s="261">
        <v>1402.338</v>
      </c>
      <c r="F57" s="109"/>
      <c r="G57" s="184">
        <v>27256.37</v>
      </c>
      <c r="H57" s="184">
        <v>776.81600000000003</v>
      </c>
      <c r="I57" s="184">
        <v>23538.58</v>
      </c>
      <c r="J57" s="109"/>
      <c r="K57" s="109"/>
      <c r="L57" s="109"/>
      <c r="M57" s="109"/>
      <c r="N57" s="109"/>
      <c r="O57" s="109"/>
      <c r="P57" s="109"/>
      <c r="Q57" s="109"/>
      <c r="R57" s="109"/>
      <c r="S57" s="109"/>
      <c r="T57" s="109"/>
      <c r="U57" s="109"/>
      <c r="V57" s="184">
        <v>899.20399999999995</v>
      </c>
      <c r="W57" s="109"/>
      <c r="X57" s="70">
        <f t="shared" si="19"/>
        <v>58290.786999999997</v>
      </c>
      <c r="Z57" s="68"/>
    </row>
    <row r="58" spans="1:30" s="20" customFormat="1">
      <c r="A58" s="757"/>
      <c r="B58" s="359" t="s">
        <v>327</v>
      </c>
      <c r="C58" s="360" t="s">
        <v>262</v>
      </c>
      <c r="D58" s="272">
        <v>718500</v>
      </c>
      <c r="E58" s="262">
        <v>2315700</v>
      </c>
      <c r="F58" s="340"/>
      <c r="G58" s="272">
        <v>1150000</v>
      </c>
      <c r="H58" s="272">
        <v>48315</v>
      </c>
      <c r="I58" s="272">
        <v>875000</v>
      </c>
      <c r="J58" s="340"/>
      <c r="K58" s="340"/>
      <c r="L58" s="340"/>
      <c r="M58" s="340"/>
      <c r="N58" s="340"/>
      <c r="O58" s="340"/>
      <c r="P58" s="340"/>
      <c r="Q58" s="340"/>
      <c r="R58" s="340"/>
      <c r="S58" s="340"/>
      <c r="T58" s="340"/>
      <c r="U58" s="340"/>
      <c r="V58" s="272">
        <v>150000</v>
      </c>
      <c r="W58" s="340"/>
      <c r="X58" s="70">
        <f t="shared" si="19"/>
        <v>5257515</v>
      </c>
      <c r="Y58" s="68"/>
    </row>
    <row r="59" spans="1:30" s="20" customFormat="1">
      <c r="A59" s="55"/>
      <c r="B59" s="55"/>
      <c r="C59" s="55"/>
      <c r="D59" s="57" t="s">
        <v>286</v>
      </c>
      <c r="E59" s="57" t="s">
        <v>285</v>
      </c>
    </row>
    <row r="60" spans="1:30" s="20" customFormat="1">
      <c r="A60" s="53" t="s">
        <v>328</v>
      </c>
      <c r="C60" s="53" t="s">
        <v>336</v>
      </c>
      <c r="D60" s="68">
        <f>X55*1000/X24/24</f>
        <v>17.476328521126764</v>
      </c>
      <c r="E60" s="68">
        <f>X57*1000/X24/24</f>
        <v>53.511411607142861</v>
      </c>
    </row>
    <row r="61" spans="1:30" s="20" customFormat="1">
      <c r="A61" s="53" t="s">
        <v>340</v>
      </c>
      <c r="C61" s="53" t="s">
        <v>336</v>
      </c>
      <c r="D61" s="68">
        <f>X55*1000/X56/24</f>
        <v>4.1272586156060855</v>
      </c>
      <c r="E61" s="68">
        <f>X57*1000/X58/24</f>
        <v>0.4619640251462272</v>
      </c>
      <c r="F61" s="53" t="s">
        <v>341</v>
      </c>
    </row>
    <row r="62" spans="1:30" s="20" customFormat="1">
      <c r="A62" s="53" t="s">
        <v>343</v>
      </c>
      <c r="B62" s="53"/>
      <c r="C62" s="53" t="s">
        <v>346</v>
      </c>
      <c r="D62" s="68">
        <f>X55/X35</f>
        <v>98.554083899380544</v>
      </c>
      <c r="E62" s="68">
        <f>X57/X43</f>
        <v>1.9508825062798778</v>
      </c>
      <c r="F62" s="53" t="s">
        <v>342</v>
      </c>
    </row>
    <row r="63" spans="1:30" s="20" customFormat="1">
      <c r="A63" s="53" t="s">
        <v>344</v>
      </c>
      <c r="B63" s="53"/>
      <c r="C63" s="53" t="s">
        <v>316</v>
      </c>
      <c r="D63" s="68">
        <f>X55*1000/X56</f>
        <v>99.054206774546046</v>
      </c>
      <c r="E63" s="68">
        <f>X57*1000/X58</f>
        <v>11.087136603509453</v>
      </c>
      <c r="F63" s="53" t="s">
        <v>347</v>
      </c>
    </row>
    <row r="64" spans="1:30">
      <c r="A64" s="60" t="s">
        <v>287</v>
      </c>
      <c r="B64" s="54"/>
      <c r="C64" s="54"/>
      <c r="D64" s="54"/>
      <c r="E64" s="54"/>
      <c r="F64" s="54"/>
      <c r="G64" s="54"/>
      <c r="H64" s="54"/>
      <c r="I64" s="54"/>
      <c r="J64" s="54"/>
      <c r="K64" s="54"/>
      <c r="L64" s="54"/>
      <c r="M64" s="54"/>
      <c r="N64" s="54"/>
      <c r="O64" s="54"/>
      <c r="P64" s="54"/>
      <c r="Q64" s="54"/>
      <c r="R64" s="54"/>
      <c r="S64" s="54"/>
      <c r="T64" s="54"/>
      <c r="U64" s="54"/>
      <c r="V64" s="54"/>
      <c r="W64" s="54"/>
    </row>
    <row r="65" spans="1:24">
      <c r="A65" s="65"/>
      <c r="B65" s="55"/>
      <c r="C65" s="55"/>
      <c r="D65" s="57" t="s">
        <v>26</v>
      </c>
      <c r="E65" s="57" t="s">
        <v>126</v>
      </c>
      <c r="F65" s="57" t="s">
        <v>75</v>
      </c>
      <c r="G65" s="57" t="s">
        <v>127</v>
      </c>
      <c r="H65" s="57" t="s">
        <v>128</v>
      </c>
      <c r="I65" s="57" t="s">
        <v>129</v>
      </c>
      <c r="J65" s="57" t="s">
        <v>130</v>
      </c>
      <c r="K65" s="57" t="s">
        <v>103</v>
      </c>
      <c r="L65" s="57" t="s">
        <v>104</v>
      </c>
      <c r="M65" s="57" t="s">
        <v>105</v>
      </c>
      <c r="N65" s="57" t="s">
        <v>106</v>
      </c>
      <c r="O65" s="57" t="s">
        <v>101</v>
      </c>
      <c r="P65" s="57" t="s">
        <v>99</v>
      </c>
      <c r="Q65" s="57" t="s">
        <v>133</v>
      </c>
      <c r="R65" s="59" t="s">
        <v>118</v>
      </c>
      <c r="S65" s="59" t="s">
        <v>119</v>
      </c>
      <c r="T65" s="59" t="s">
        <v>120</v>
      </c>
      <c r="U65" s="57" t="s">
        <v>135</v>
      </c>
      <c r="V65" s="57" t="s">
        <v>136</v>
      </c>
      <c r="W65" s="57" t="s">
        <v>137</v>
      </c>
    </row>
    <row r="66" spans="1:24">
      <c r="A66" s="65"/>
      <c r="B66" s="53" t="s">
        <v>319</v>
      </c>
      <c r="C66" s="53" t="s">
        <v>314</v>
      </c>
      <c r="D66" s="109">
        <v>200</v>
      </c>
      <c r="E66" s="109">
        <v>120</v>
      </c>
      <c r="F66" s="109">
        <v>160</v>
      </c>
      <c r="G66" s="109">
        <v>120</v>
      </c>
      <c r="H66" s="109">
        <v>60</v>
      </c>
      <c r="I66" s="109">
        <v>80</v>
      </c>
      <c r="J66" s="109">
        <v>24</v>
      </c>
      <c r="K66" s="109">
        <f>45*K22</f>
        <v>3.2286741771886978</v>
      </c>
      <c r="L66" s="109">
        <f>45*L22</f>
        <v>5.4100904434810424</v>
      </c>
      <c r="M66" s="109">
        <f>45*M22</f>
        <v>28.433114849040027</v>
      </c>
      <c r="N66" s="109">
        <f>45*N22</f>
        <v>7.9281205302902267</v>
      </c>
      <c r="O66" s="109">
        <f>60*O22</f>
        <v>36.143760102153351</v>
      </c>
      <c r="P66" s="109">
        <f>60*P22</f>
        <v>23.856239897846656</v>
      </c>
      <c r="Q66" s="109">
        <v>60</v>
      </c>
      <c r="R66" s="109"/>
      <c r="S66" s="109"/>
      <c r="T66" s="109"/>
      <c r="U66" s="109">
        <v>10</v>
      </c>
      <c r="V66" s="109">
        <v>2</v>
      </c>
      <c r="W66" s="109">
        <v>3.2</v>
      </c>
    </row>
    <row r="67" spans="1:24">
      <c r="A67" s="65"/>
      <c r="B67" s="53" t="s">
        <v>288</v>
      </c>
      <c r="C67" s="53"/>
      <c r="D67" s="361">
        <f t="shared" ref="D67:Q67" si="20">D26/1000/D66</f>
        <v>3.2853881278538812E-2</v>
      </c>
      <c r="E67" s="361">
        <f t="shared" si="20"/>
        <v>1.1662861491628615E-2</v>
      </c>
      <c r="F67" s="361">
        <f t="shared" si="20"/>
        <v>4.8737157534246574E-2</v>
      </c>
      <c r="G67" s="361">
        <f t="shared" si="20"/>
        <v>8.4541476407914776E-2</v>
      </c>
      <c r="H67" s="361">
        <f t="shared" si="20"/>
        <v>2.4600456621004563E-2</v>
      </c>
      <c r="I67" s="361">
        <f t="shared" si="20"/>
        <v>3.3247716894977172E-2</v>
      </c>
      <c r="J67" s="361">
        <f t="shared" si="20"/>
        <v>4.4235159817351596E-3</v>
      </c>
      <c r="K67" s="361">
        <f t="shared" si="20"/>
        <v>8.3282597666159308E-2</v>
      </c>
      <c r="L67" s="361">
        <f t="shared" si="20"/>
        <v>8.3282597666159308E-2</v>
      </c>
      <c r="M67" s="361">
        <f t="shared" si="20"/>
        <v>8.3282597666159294E-2</v>
      </c>
      <c r="N67" s="361">
        <f t="shared" si="20"/>
        <v>8.3282597666159308E-2</v>
      </c>
      <c r="O67" s="361">
        <f t="shared" si="20"/>
        <v>7.0243531202435316E-2</v>
      </c>
      <c r="P67" s="361">
        <f t="shared" si="20"/>
        <v>7.0243531202435316E-2</v>
      </c>
      <c r="Q67" s="361">
        <f t="shared" si="20"/>
        <v>9.6042617960426166E-2</v>
      </c>
      <c r="R67" s="361"/>
      <c r="S67" s="361"/>
      <c r="T67" s="361"/>
      <c r="U67" s="361">
        <f>U26/1000/U66</f>
        <v>8.6415525114155262E-2</v>
      </c>
      <c r="V67" s="361">
        <f>V26/1000/V66</f>
        <v>0.3047945205479452</v>
      </c>
      <c r="W67" s="361">
        <f>W26/1000/W66</f>
        <v>0</v>
      </c>
    </row>
    <row r="68" spans="1:24">
      <c r="A68" s="96" t="s">
        <v>349</v>
      </c>
      <c r="B68" s="40" t="s">
        <v>278</v>
      </c>
      <c r="C68" s="89" t="s">
        <v>350</v>
      </c>
      <c r="D68" s="77"/>
      <c r="E68" s="77"/>
      <c r="F68" s="77"/>
      <c r="G68" s="88"/>
      <c r="H68" s="89"/>
      <c r="I68" s="77"/>
      <c r="J68" s="77"/>
      <c r="K68" s="77"/>
      <c r="L68" s="77"/>
      <c r="M68" s="77"/>
      <c r="N68" s="77"/>
      <c r="O68" s="77"/>
      <c r="P68" s="77"/>
      <c r="Q68" s="77"/>
      <c r="R68" s="77"/>
      <c r="S68" s="77"/>
      <c r="T68" s="77"/>
      <c r="U68" s="77"/>
      <c r="V68" s="77"/>
      <c r="W68" s="77"/>
    </row>
    <row r="69" spans="1:24">
      <c r="A69" s="87"/>
      <c r="B69" s="90" t="s">
        <v>324</v>
      </c>
      <c r="C69" s="90" t="s">
        <v>355</v>
      </c>
      <c r="D69" s="77"/>
      <c r="E69" s="77"/>
      <c r="F69" s="77"/>
      <c r="G69" s="88"/>
      <c r="H69" s="89"/>
      <c r="I69" s="77"/>
      <c r="J69" s="77"/>
      <c r="K69" s="77"/>
      <c r="L69" s="77"/>
      <c r="M69" s="88"/>
      <c r="N69" s="89"/>
      <c r="O69" s="89"/>
      <c r="P69" s="89"/>
      <c r="Q69" s="77"/>
      <c r="R69" s="77"/>
      <c r="S69" s="77"/>
      <c r="T69" s="77"/>
      <c r="U69" s="77"/>
      <c r="V69" s="77"/>
      <c r="W69" s="77"/>
    </row>
    <row r="70" spans="1:24">
      <c r="A70" s="65"/>
      <c r="B70" s="55"/>
      <c r="C70" s="55"/>
      <c r="D70" s="55" t="s">
        <v>26</v>
      </c>
      <c r="E70" s="55" t="s">
        <v>126</v>
      </c>
      <c r="F70" s="55" t="s">
        <v>75</v>
      </c>
      <c r="G70" s="55" t="s">
        <v>127</v>
      </c>
      <c r="H70" s="55" t="s">
        <v>128</v>
      </c>
      <c r="I70" s="55" t="s">
        <v>129</v>
      </c>
      <c r="J70" s="55" t="s">
        <v>130</v>
      </c>
      <c r="K70" s="55" t="s">
        <v>209</v>
      </c>
      <c r="L70" s="57" t="s">
        <v>104</v>
      </c>
      <c r="M70" s="57" t="s">
        <v>105</v>
      </c>
      <c r="N70" s="57" t="s">
        <v>106</v>
      </c>
      <c r="O70" s="55" t="s">
        <v>189</v>
      </c>
      <c r="P70" s="57" t="s">
        <v>99</v>
      </c>
      <c r="Q70" s="84" t="s">
        <v>133</v>
      </c>
      <c r="R70" s="58" t="s">
        <v>289</v>
      </c>
      <c r="S70" s="59" t="s">
        <v>119</v>
      </c>
      <c r="T70" s="59" t="s">
        <v>120</v>
      </c>
      <c r="U70" s="55" t="s">
        <v>135</v>
      </c>
      <c r="V70" s="55" t="s">
        <v>136</v>
      </c>
      <c r="W70" s="55" t="s">
        <v>137</v>
      </c>
      <c r="X70" s="86" t="s">
        <v>232</v>
      </c>
    </row>
    <row r="71" spans="1:24">
      <c r="A71" s="762" t="s">
        <v>351</v>
      </c>
      <c r="B71" s="37" t="s">
        <v>271</v>
      </c>
      <c r="C71" s="758" t="s">
        <v>354</v>
      </c>
      <c r="D71" s="261">
        <v>4209</v>
      </c>
      <c r="E71" s="184">
        <v>1583</v>
      </c>
      <c r="F71" s="184"/>
      <c r="G71" s="261">
        <v>1250</v>
      </c>
      <c r="H71" s="184">
        <v>893</v>
      </c>
      <c r="I71" s="184">
        <v>531</v>
      </c>
      <c r="J71" s="184">
        <v>479</v>
      </c>
      <c r="K71" s="184">
        <v>190</v>
      </c>
      <c r="L71" s="184"/>
      <c r="M71" s="184"/>
      <c r="N71" s="184"/>
      <c r="O71" s="184">
        <v>527</v>
      </c>
      <c r="P71" s="184"/>
      <c r="Q71" s="184">
        <v>284</v>
      </c>
      <c r="R71" s="184"/>
      <c r="S71" s="184"/>
      <c r="T71" s="184"/>
      <c r="U71" s="184">
        <v>53</v>
      </c>
      <c r="V71" s="184">
        <v>49</v>
      </c>
      <c r="W71" s="184">
        <v>32</v>
      </c>
      <c r="X71" s="70">
        <f>SUM(D71:W71)</f>
        <v>10080</v>
      </c>
    </row>
    <row r="72" spans="1:24">
      <c r="A72" s="762"/>
      <c r="B72" s="37" t="s">
        <v>272</v>
      </c>
      <c r="C72" s="758"/>
      <c r="D72" s="184">
        <v>4199</v>
      </c>
      <c r="E72" s="184">
        <v>1578</v>
      </c>
      <c r="F72" s="184"/>
      <c r="G72" s="261">
        <v>1247</v>
      </c>
      <c r="H72" s="184">
        <v>891</v>
      </c>
      <c r="I72" s="184">
        <v>531</v>
      </c>
      <c r="J72" s="184">
        <v>477</v>
      </c>
      <c r="K72" s="184">
        <v>189</v>
      </c>
      <c r="L72" s="184"/>
      <c r="M72" s="184"/>
      <c r="N72" s="184"/>
      <c r="O72" s="184">
        <v>526</v>
      </c>
      <c r="P72" s="184"/>
      <c r="Q72" s="184">
        <v>284</v>
      </c>
      <c r="R72" s="184"/>
      <c r="S72" s="184"/>
      <c r="T72" s="184"/>
      <c r="U72" s="184">
        <v>53</v>
      </c>
      <c r="V72" s="184">
        <v>49</v>
      </c>
      <c r="W72" s="184">
        <v>32</v>
      </c>
      <c r="X72" s="70">
        <f t="shared" ref="X72:X76" si="21">SUM(D72:W72)</f>
        <v>10056</v>
      </c>
    </row>
    <row r="73" spans="1:24">
      <c r="A73" s="762"/>
      <c r="B73" s="37" t="s">
        <v>275</v>
      </c>
      <c r="C73" s="758"/>
      <c r="D73" s="184">
        <v>3428</v>
      </c>
      <c r="E73" s="184">
        <v>1288</v>
      </c>
      <c r="F73" s="184"/>
      <c r="G73" s="261">
        <v>1018</v>
      </c>
      <c r="H73" s="184">
        <v>726</v>
      </c>
      <c r="I73" s="184">
        <v>433</v>
      </c>
      <c r="J73" s="184">
        <v>390</v>
      </c>
      <c r="K73" s="184">
        <v>155</v>
      </c>
      <c r="L73" s="184"/>
      <c r="M73" s="184"/>
      <c r="N73" s="184"/>
      <c r="O73" s="184">
        <v>429</v>
      </c>
      <c r="P73" s="184"/>
      <c r="Q73" s="184">
        <v>232</v>
      </c>
      <c r="R73" s="184"/>
      <c r="S73" s="184"/>
      <c r="T73" s="184"/>
      <c r="U73" s="184">
        <v>43</v>
      </c>
      <c r="V73" s="184">
        <v>39</v>
      </c>
      <c r="W73" s="184">
        <v>26</v>
      </c>
      <c r="X73" s="70">
        <f t="shared" si="21"/>
        <v>8207</v>
      </c>
    </row>
    <row r="74" spans="1:24">
      <c r="A74" s="762" t="s">
        <v>352</v>
      </c>
      <c r="B74" s="37" t="s">
        <v>271</v>
      </c>
      <c r="C74" s="758" t="s">
        <v>353</v>
      </c>
      <c r="D74" s="184">
        <v>33505.997000000003</v>
      </c>
      <c r="E74" s="184">
        <v>12976.596</v>
      </c>
      <c r="F74" s="184"/>
      <c r="G74" s="261">
        <v>9681.3320000000003</v>
      </c>
      <c r="H74" s="184">
        <v>5940.576</v>
      </c>
      <c r="I74" s="184">
        <v>4540.451</v>
      </c>
      <c r="J74" s="184">
        <v>3702.1419999999998</v>
      </c>
      <c r="K74" s="184">
        <v>1537.5920000000001</v>
      </c>
      <c r="L74" s="184"/>
      <c r="M74" s="184"/>
      <c r="N74" s="184"/>
      <c r="O74" s="184">
        <v>3934.2379999999998</v>
      </c>
      <c r="P74" s="184"/>
      <c r="Q74" s="184">
        <v>2298.5419999999999</v>
      </c>
      <c r="R74" s="184"/>
      <c r="S74" s="184"/>
      <c r="T74" s="184"/>
      <c r="U74" s="184">
        <v>368.24799999999999</v>
      </c>
      <c r="V74" s="184">
        <v>377.06900000000002</v>
      </c>
      <c r="W74" s="184">
        <v>254.72800000000001</v>
      </c>
      <c r="X74" s="70">
        <f t="shared" si="21"/>
        <v>79117.511000000028</v>
      </c>
    </row>
    <row r="75" spans="1:24">
      <c r="A75" s="762"/>
      <c r="B75" s="37" t="s">
        <v>272</v>
      </c>
      <c r="C75" s="758"/>
      <c r="D75" s="184">
        <v>33188.480000000003</v>
      </c>
      <c r="E75" s="184">
        <v>12913.062</v>
      </c>
      <c r="F75" s="184"/>
      <c r="G75" s="261">
        <v>9482.1939999999995</v>
      </c>
      <c r="H75" s="184">
        <v>5456.5919999999996</v>
      </c>
      <c r="I75" s="184">
        <v>4535.6260000000002</v>
      </c>
      <c r="J75" s="184">
        <v>3677.8290000000002</v>
      </c>
      <c r="K75" s="184">
        <v>1526.364</v>
      </c>
      <c r="L75" s="184"/>
      <c r="M75" s="184"/>
      <c r="N75" s="184"/>
      <c r="O75" s="184">
        <v>3907.3209999999999</v>
      </c>
      <c r="P75" s="184"/>
      <c r="Q75" s="184">
        <v>2286.7660000000001</v>
      </c>
      <c r="R75" s="184"/>
      <c r="S75" s="184"/>
      <c r="T75" s="184"/>
      <c r="U75" s="184">
        <v>356.33100000000002</v>
      </c>
      <c r="V75" s="184">
        <v>373.89</v>
      </c>
      <c r="W75" s="184">
        <v>253.666</v>
      </c>
      <c r="X75" s="70">
        <f t="shared" si="21"/>
        <v>77958.120999999999</v>
      </c>
    </row>
    <row r="76" spans="1:24">
      <c r="A76" s="762"/>
      <c r="B76" s="37" t="s">
        <v>275</v>
      </c>
      <c r="C76" s="758"/>
      <c r="D76" s="184">
        <v>29768.707999999999</v>
      </c>
      <c r="E76" s="184">
        <v>11211.665000000001</v>
      </c>
      <c r="F76" s="184"/>
      <c r="G76" s="261">
        <v>8883.7739999999994</v>
      </c>
      <c r="H76" s="184">
        <v>6296.9750000000004</v>
      </c>
      <c r="I76" s="184">
        <v>3768.5360000000001</v>
      </c>
      <c r="J76" s="184">
        <v>3386.7489999999998</v>
      </c>
      <c r="K76" s="184">
        <v>1351.29</v>
      </c>
      <c r="L76" s="184"/>
      <c r="M76" s="184"/>
      <c r="N76" s="184"/>
      <c r="O76" s="184">
        <v>3733.3049999999998</v>
      </c>
      <c r="P76" s="184"/>
      <c r="Q76" s="184">
        <v>2022.5650000000001</v>
      </c>
      <c r="R76" s="184"/>
      <c r="S76" s="184"/>
      <c r="T76" s="184"/>
      <c r="U76" s="184">
        <v>372.91899999999998</v>
      </c>
      <c r="V76" s="184">
        <v>338.70299999999997</v>
      </c>
      <c r="W76" s="184">
        <v>226.15299999999999</v>
      </c>
      <c r="X76" s="70">
        <f t="shared" si="21"/>
        <v>71361.34199999999</v>
      </c>
    </row>
    <row r="77" spans="1:24">
      <c r="A77" s="37"/>
    </row>
    <row r="78" spans="1:24">
      <c r="A78" s="37"/>
      <c r="B78" s="85"/>
      <c r="C78" s="85"/>
      <c r="D78" s="85"/>
    </row>
    <row r="79" spans="1:24">
      <c r="A79" s="37"/>
    </row>
    <row r="80" spans="1:24">
      <c r="A80" s="37"/>
    </row>
    <row r="81" spans="1:1">
      <c r="A81" s="37"/>
    </row>
  </sheetData>
  <mergeCells count="17">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 ref="A9:A13"/>
    <mergeCell ref="A14:A21"/>
  </mergeCells>
  <phoneticPr fontId="20" type="noConversion"/>
  <conditionalFormatting sqref="D6:K12 O6:O12 Q6:R12 U6:W12 X12:Y12 D14:K19 O14:O19 Q14:R19 U14:X19 X23:X25 D26:Q26 U26:X26">
    <cfRule type="cellIs" dxfId="22" priority="3" operator="lessThan">
      <formula>1</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E72" zoomScaleNormal="100" workbookViewId="0">
      <selection activeCell="S95" sqref="S95"/>
    </sheetView>
  </sheetViews>
  <sheetFormatPr defaultColWidth="9.109375" defaultRowHeight="14.4"/>
  <cols>
    <col min="1" max="6" width="7.109375" style="37" customWidth="1"/>
    <col min="7" max="7" width="7.33203125" style="37" customWidth="1"/>
    <col min="8" max="11" width="7.109375" style="37" customWidth="1"/>
    <col min="12" max="14" width="8" style="37" customWidth="1"/>
    <col min="15" max="15" width="7.109375" style="37" customWidth="1"/>
    <col min="16" max="18" width="7.5546875" style="37" customWidth="1"/>
    <col min="19" max="19" width="7.109375" style="37" customWidth="1"/>
    <col min="20" max="20" width="7.88671875" style="37" customWidth="1"/>
    <col min="21" max="22" width="7.109375" style="37" customWidth="1"/>
    <col min="23" max="23" width="7.88671875" style="37" customWidth="1"/>
    <col min="24" max="56" width="7.109375" style="37" customWidth="1"/>
    <col min="57" max="16384" width="9.109375" style="37"/>
  </cols>
  <sheetData>
    <row r="1" spans="1:57">
      <c r="A1" s="39" t="s">
        <v>582</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3"/>
      <c r="AJ1" s="73"/>
      <c r="AK1" s="73"/>
      <c r="AL1" s="73"/>
      <c r="AM1" s="73"/>
      <c r="AN1" s="73"/>
      <c r="AO1" s="73"/>
      <c r="AP1" s="73"/>
      <c r="AQ1" s="73"/>
      <c r="AR1" s="73"/>
      <c r="AS1" s="73"/>
      <c r="AT1" s="73"/>
      <c r="AU1" s="73"/>
      <c r="AV1" s="73"/>
      <c r="AW1" s="73"/>
      <c r="AX1" s="73"/>
      <c r="AY1" s="73"/>
      <c r="AZ1" s="73"/>
      <c r="BA1" s="73"/>
      <c r="BB1" s="73"/>
      <c r="BC1" s="73"/>
      <c r="BD1" s="73"/>
    </row>
    <row r="2" spans="1:57">
      <c r="A2" s="40"/>
      <c r="B2" s="764" t="s">
        <v>143</v>
      </c>
      <c r="C2" s="764"/>
      <c r="D2" s="764"/>
      <c r="E2" s="764"/>
      <c r="F2" s="764"/>
      <c r="G2" s="764"/>
      <c r="H2" s="764"/>
      <c r="I2" s="764"/>
      <c r="J2" s="764"/>
      <c r="K2" s="21"/>
      <c r="L2" s="76"/>
      <c r="M2" s="764" t="s">
        <v>144</v>
      </c>
      <c r="N2" s="764"/>
      <c r="O2" s="764"/>
      <c r="P2" s="764"/>
      <c r="Q2" s="764"/>
      <c r="R2" s="764"/>
      <c r="S2" s="764"/>
      <c r="T2" s="764"/>
      <c r="U2" s="764"/>
      <c r="V2" s="764"/>
      <c r="W2" s="764"/>
      <c r="X2" s="764"/>
      <c r="Y2" s="764"/>
      <c r="Z2" s="764"/>
      <c r="AA2" s="764"/>
      <c r="AB2" s="764"/>
      <c r="AC2" s="764"/>
      <c r="AD2" s="764"/>
      <c r="AE2" s="764"/>
      <c r="AF2" s="764"/>
      <c r="AG2" s="764"/>
      <c r="AH2" s="76"/>
      <c r="AI2" s="764" t="s">
        <v>145</v>
      </c>
      <c r="AJ2" s="764"/>
      <c r="AK2" s="764"/>
      <c r="AL2" s="764"/>
      <c r="AM2" s="764"/>
      <c r="AN2" s="764"/>
      <c r="AO2" s="764"/>
      <c r="AP2" s="764"/>
      <c r="AQ2" s="764"/>
      <c r="AR2" s="764"/>
      <c r="AS2" s="764"/>
      <c r="AT2" s="764"/>
      <c r="AU2" s="76"/>
      <c r="AV2" s="764" t="s">
        <v>146</v>
      </c>
      <c r="AW2" s="764"/>
      <c r="AX2" s="764"/>
      <c r="AY2" s="764"/>
      <c r="AZ2" s="764"/>
      <c r="BA2" s="764"/>
      <c r="BB2" s="764"/>
      <c r="BC2" s="764"/>
      <c r="BD2" s="764"/>
      <c r="BE2" s="79"/>
    </row>
    <row r="3" spans="1:57">
      <c r="A3" s="40"/>
      <c r="B3" s="764" t="s">
        <v>147</v>
      </c>
      <c r="C3" s="764"/>
      <c r="D3" s="764"/>
      <c r="E3" s="764" t="s">
        <v>148</v>
      </c>
      <c r="F3" s="764"/>
      <c r="G3" s="764"/>
      <c r="H3" s="764" t="s">
        <v>35</v>
      </c>
      <c r="I3" s="764"/>
      <c r="J3" s="764"/>
      <c r="K3" s="21"/>
      <c r="L3" s="76"/>
      <c r="M3" s="764" t="s">
        <v>149</v>
      </c>
      <c r="N3" s="764"/>
      <c r="O3" s="764"/>
      <c r="P3" s="764" t="s">
        <v>150</v>
      </c>
      <c r="Q3" s="764"/>
      <c r="R3" s="764"/>
      <c r="S3" s="764" t="s">
        <v>151</v>
      </c>
      <c r="T3" s="764"/>
      <c r="U3" s="764"/>
      <c r="V3" s="764" t="s">
        <v>152</v>
      </c>
      <c r="W3" s="764"/>
      <c r="X3" s="764"/>
      <c r="Y3" s="764" t="s">
        <v>153</v>
      </c>
      <c r="Z3" s="764"/>
      <c r="AA3" s="764"/>
      <c r="AB3" s="764" t="s">
        <v>154</v>
      </c>
      <c r="AC3" s="764"/>
      <c r="AD3" s="764"/>
      <c r="AE3" s="764" t="s">
        <v>35</v>
      </c>
      <c r="AF3" s="764"/>
      <c r="AG3" s="764"/>
      <c r="AH3" s="76"/>
      <c r="AI3" s="764" t="s">
        <v>155</v>
      </c>
      <c r="AJ3" s="764"/>
      <c r="AK3" s="764"/>
      <c r="AL3" s="764" t="s">
        <v>156</v>
      </c>
      <c r="AM3" s="764"/>
      <c r="AN3" s="764"/>
      <c r="AO3" s="764" t="s">
        <v>157</v>
      </c>
      <c r="AP3" s="764"/>
      <c r="AQ3" s="764"/>
      <c r="AR3" s="764" t="s">
        <v>35</v>
      </c>
      <c r="AS3" s="764"/>
      <c r="AT3" s="764"/>
      <c r="AU3" s="76"/>
      <c r="AV3" s="764" t="s">
        <v>158</v>
      </c>
      <c r="AW3" s="764"/>
      <c r="AX3" s="764"/>
      <c r="AY3" s="764" t="s">
        <v>159</v>
      </c>
      <c r="AZ3" s="764"/>
      <c r="BA3" s="764"/>
      <c r="BB3" s="764" t="s">
        <v>35</v>
      </c>
      <c r="BC3" s="764"/>
      <c r="BD3" s="764"/>
      <c r="BE3" s="79"/>
    </row>
    <row r="4" spans="1:57">
      <c r="A4" s="3"/>
      <c r="B4" s="3">
        <v>2030</v>
      </c>
      <c r="C4" s="3">
        <v>2040</v>
      </c>
      <c r="D4" s="3">
        <v>2050</v>
      </c>
      <c r="E4" s="3">
        <v>2030</v>
      </c>
      <c r="F4" s="3">
        <v>2040</v>
      </c>
      <c r="G4" s="3">
        <v>2050</v>
      </c>
      <c r="H4" s="3">
        <v>2030</v>
      </c>
      <c r="I4" s="3">
        <v>2040</v>
      </c>
      <c r="J4" s="3">
        <v>2050</v>
      </c>
      <c r="K4" s="75">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79"/>
    </row>
    <row r="5" spans="1:57">
      <c r="A5" s="9" t="s">
        <v>107</v>
      </c>
      <c r="B5" s="336">
        <v>9029.2448122668884</v>
      </c>
      <c r="C5" s="321">
        <v>19751.647732862028</v>
      </c>
      <c r="D5" s="321">
        <v>29151.723362691158</v>
      </c>
      <c r="E5" s="321">
        <v>9220.4341380513724</v>
      </c>
      <c r="F5" s="321">
        <v>18524.94544167359</v>
      </c>
      <c r="G5" s="321">
        <v>34385.989353443671</v>
      </c>
      <c r="H5" s="285">
        <f>B5+E5</f>
        <v>18249.678950318259</v>
      </c>
      <c r="I5" s="285">
        <f t="shared" ref="I5:I18" si="0">C5+F5</f>
        <v>38276.593174535621</v>
      </c>
      <c r="J5" s="285">
        <f t="shared" ref="J5:J18" si="1">D5+G5</f>
        <v>63537.712716134833</v>
      </c>
      <c r="K5" s="70">
        <f>(H5+I5)/2</f>
        <v>28263.13606242694</v>
      </c>
      <c r="L5" s="9" t="s">
        <v>107</v>
      </c>
      <c r="M5" s="321">
        <v>285.5097351</v>
      </c>
      <c r="N5" s="321">
        <v>459.70001219999989</v>
      </c>
      <c r="O5" s="321">
        <v>519.46101369999997</v>
      </c>
      <c r="P5" s="321">
        <v>503.73791499999999</v>
      </c>
      <c r="Q5" s="321">
        <v>810.90002440000001</v>
      </c>
      <c r="R5" s="321">
        <v>916.31702759999996</v>
      </c>
      <c r="S5" s="321">
        <v>681.2423096</v>
      </c>
      <c r="T5" s="321">
        <v>1096.6999510000001</v>
      </c>
      <c r="U5" s="321">
        <v>1239.2709440000001</v>
      </c>
      <c r="V5" s="321">
        <v>70.004997250000002</v>
      </c>
      <c r="W5" s="321">
        <v>196</v>
      </c>
      <c r="X5" s="321">
        <v>221.48</v>
      </c>
      <c r="Y5" s="321">
        <v>218.36999510000001</v>
      </c>
      <c r="Z5" s="321">
        <v>611.29998779999994</v>
      </c>
      <c r="AA5" s="321">
        <v>690.76898630000005</v>
      </c>
      <c r="AB5" s="321"/>
      <c r="AC5" s="321"/>
      <c r="AD5" s="321"/>
      <c r="AE5" s="285">
        <f t="shared" ref="AE5:AE28" si="2">SUM(M5,P5,S5,V5,Y5,AB5)</f>
        <v>1758.8649520500001</v>
      </c>
      <c r="AF5" s="285">
        <f t="shared" ref="AF5:AF28" si="3">SUM(N5,Q5,T5,W5,Z5,AC5)</f>
        <v>3174.5999753999999</v>
      </c>
      <c r="AG5" s="325">
        <f t="shared" ref="AG5:AG28" si="4">SUM(O5,R5,U5,X5,AA5,AD5)</f>
        <v>3587.2979716</v>
      </c>
      <c r="AH5" s="9" t="s">
        <v>107</v>
      </c>
      <c r="AI5" s="321">
        <v>2613.1680003000001</v>
      </c>
      <c r="AJ5" s="321">
        <v>2613.1680003000001</v>
      </c>
      <c r="AK5" s="321">
        <v>2179.3179999499998</v>
      </c>
      <c r="AL5" s="321">
        <v>452.40000003</v>
      </c>
      <c r="AM5" s="321">
        <v>406.7</v>
      </c>
      <c r="AN5" s="321">
        <v>17.8</v>
      </c>
      <c r="AO5" s="321">
        <v>9159</v>
      </c>
      <c r="AP5" s="321">
        <v>36881</v>
      </c>
      <c r="AQ5" s="321">
        <v>46137</v>
      </c>
      <c r="AR5" s="321">
        <f t="shared" ref="AR5:AR28" si="5">SUM(AI5,AL5,AO5)</f>
        <v>12224.56800033</v>
      </c>
      <c r="AS5" s="321">
        <f t="shared" ref="AS5:AS28" si="6">SUM(AJ5,AM5,AP5)</f>
        <v>39900.868000299997</v>
      </c>
      <c r="AT5" s="329">
        <f t="shared" ref="AT5:AT28" si="7">SUM(AK5,AN5,AQ5)</f>
        <v>48334.117999950002</v>
      </c>
      <c r="AU5" s="9" t="s">
        <v>107</v>
      </c>
      <c r="AV5" s="321">
        <v>7381.6401367199996</v>
      </c>
      <c r="AW5" s="321">
        <v>7651.6401367199996</v>
      </c>
      <c r="AX5" s="321">
        <v>7651.6401367199996</v>
      </c>
      <c r="AY5" s="321">
        <v>1644.09997559</v>
      </c>
      <c r="AZ5" s="321">
        <v>1644.09997559</v>
      </c>
      <c r="BA5" s="321">
        <v>1644.09997559</v>
      </c>
      <c r="BB5" s="321">
        <f t="shared" ref="BB5:BB28" si="8">AV5+AY5</f>
        <v>9025.7401123099989</v>
      </c>
      <c r="BC5" s="321">
        <f t="shared" ref="BC5:BC28" si="9">AW5+AZ5</f>
        <v>9295.7401123099989</v>
      </c>
      <c r="BD5" s="329">
        <f t="shared" ref="BD5:BD28" si="10">AX5+BA5</f>
        <v>9295.7401123099989</v>
      </c>
    </row>
    <row r="6" spans="1:57">
      <c r="A6" s="10" t="s">
        <v>108</v>
      </c>
      <c r="B6" s="335">
        <v>0</v>
      </c>
      <c r="C6" s="184">
        <v>0</v>
      </c>
      <c r="D6" s="184">
        <v>0</v>
      </c>
      <c r="E6" s="184">
        <v>0</v>
      </c>
      <c r="F6" s="184">
        <v>0</v>
      </c>
      <c r="G6" s="184">
        <v>0</v>
      </c>
      <c r="H6" s="70">
        <f t="shared" ref="H6:H18" si="11">B6+E6</f>
        <v>0</v>
      </c>
      <c r="I6" s="70">
        <f t="shared" si="0"/>
        <v>0</v>
      </c>
      <c r="J6" s="70">
        <f t="shared" si="1"/>
        <v>0</v>
      </c>
      <c r="K6" s="70">
        <f t="shared" ref="K6:K28" si="12">(H6+I6)/2</f>
        <v>0</v>
      </c>
      <c r="L6" s="11" t="s">
        <v>108</v>
      </c>
      <c r="M6" s="272"/>
      <c r="N6" s="272"/>
      <c r="O6" s="330"/>
      <c r="P6" s="272"/>
      <c r="Q6" s="272"/>
      <c r="R6" s="272"/>
      <c r="S6" s="272"/>
      <c r="T6" s="272"/>
      <c r="U6" s="272"/>
      <c r="V6" s="272"/>
      <c r="W6" s="272"/>
      <c r="X6" s="272"/>
      <c r="Y6" s="272"/>
      <c r="Z6" s="272"/>
      <c r="AA6" s="272"/>
      <c r="AB6" s="272"/>
      <c r="AC6" s="272"/>
      <c r="AD6" s="272"/>
      <c r="AE6" s="322">
        <f t="shared" si="2"/>
        <v>0</v>
      </c>
      <c r="AF6" s="322">
        <f t="shared" si="3"/>
        <v>0</v>
      </c>
      <c r="AG6" s="326">
        <f t="shared" si="4"/>
        <v>0</v>
      </c>
      <c r="AH6" s="11" t="s">
        <v>108</v>
      </c>
      <c r="AI6" s="272"/>
      <c r="AJ6" s="272"/>
      <c r="AK6" s="272"/>
      <c r="AL6" s="330"/>
      <c r="AM6" s="272"/>
      <c r="AN6" s="272"/>
      <c r="AO6" s="272"/>
      <c r="AP6" s="272"/>
      <c r="AQ6" s="272"/>
      <c r="AR6" s="272">
        <f t="shared" si="5"/>
        <v>0</v>
      </c>
      <c r="AS6" s="272">
        <f t="shared" si="6"/>
        <v>0</v>
      </c>
      <c r="AT6" s="331">
        <f t="shared" si="7"/>
        <v>0</v>
      </c>
      <c r="AU6" s="11" t="s">
        <v>108</v>
      </c>
      <c r="AV6" s="330"/>
      <c r="AW6" s="272"/>
      <c r="AX6" s="272"/>
      <c r="AY6" s="272"/>
      <c r="AZ6" s="272"/>
      <c r="BA6" s="272"/>
      <c r="BB6" s="272">
        <f t="shared" si="8"/>
        <v>0</v>
      </c>
      <c r="BC6" s="272">
        <f t="shared" si="9"/>
        <v>0</v>
      </c>
      <c r="BD6" s="331">
        <f t="shared" si="10"/>
        <v>0</v>
      </c>
    </row>
    <row r="7" spans="1:57">
      <c r="A7" s="9" t="s">
        <v>109</v>
      </c>
      <c r="B7" s="336">
        <v>620.08657369802461</v>
      </c>
      <c r="C7" s="321">
        <v>1356.4513779625661</v>
      </c>
      <c r="D7" s="321">
        <v>2002.004888914458</v>
      </c>
      <c r="E7" s="321">
        <v>633.21656811264859</v>
      </c>
      <c r="F7" s="321">
        <v>1272.2071652397985</v>
      </c>
      <c r="G7" s="321">
        <v>2361.4699528830752</v>
      </c>
      <c r="H7" s="285">
        <f t="shared" si="11"/>
        <v>1253.3031418106732</v>
      </c>
      <c r="I7" s="285">
        <f t="shared" si="0"/>
        <v>2628.6585432023649</v>
      </c>
      <c r="J7" s="285">
        <f t="shared" si="1"/>
        <v>4363.4748417975334</v>
      </c>
      <c r="K7" s="285">
        <f t="shared" si="12"/>
        <v>1940.9808425065189</v>
      </c>
      <c r="L7" s="9" t="s">
        <v>109</v>
      </c>
      <c r="M7" s="321">
        <v>1400</v>
      </c>
      <c r="N7" s="321">
        <v>1400</v>
      </c>
      <c r="O7" s="321">
        <v>1582</v>
      </c>
      <c r="P7" s="321">
        <v>4080</v>
      </c>
      <c r="Q7" s="321">
        <v>4080</v>
      </c>
      <c r="R7" s="321">
        <v>4610.3999999999996</v>
      </c>
      <c r="S7" s="321"/>
      <c r="T7" s="321"/>
      <c r="U7" s="321"/>
      <c r="V7" s="321"/>
      <c r="W7" s="321"/>
      <c r="X7" s="321"/>
      <c r="Y7" s="321"/>
      <c r="Z7" s="321"/>
      <c r="AA7" s="321"/>
      <c r="AB7" s="321"/>
      <c r="AC7" s="321"/>
      <c r="AD7" s="321"/>
      <c r="AE7" s="285">
        <f t="shared" si="2"/>
        <v>5480</v>
      </c>
      <c r="AF7" s="285">
        <f t="shared" si="3"/>
        <v>5480</v>
      </c>
      <c r="AG7" s="325">
        <f t="shared" si="4"/>
        <v>6192.4</v>
      </c>
      <c r="AH7" s="9" t="s">
        <v>109</v>
      </c>
      <c r="AI7" s="321">
        <v>437.00000010000002</v>
      </c>
      <c r="AJ7" s="321">
        <v>437.00000010000002</v>
      </c>
      <c r="AK7" s="321">
        <v>437.00000010000002</v>
      </c>
      <c r="AL7" s="321">
        <v>199</v>
      </c>
      <c r="AM7" s="321">
        <v>199</v>
      </c>
      <c r="AN7" s="321">
        <v>199</v>
      </c>
      <c r="AO7" s="321"/>
      <c r="AP7" s="321">
        <v>16233</v>
      </c>
      <c r="AQ7" s="321">
        <v>39170.894370000002</v>
      </c>
      <c r="AR7" s="321">
        <f t="shared" si="5"/>
        <v>636.00000010000008</v>
      </c>
      <c r="AS7" s="321">
        <f t="shared" si="6"/>
        <v>16869.000000100001</v>
      </c>
      <c r="AT7" s="329">
        <f t="shared" si="7"/>
        <v>39806.894370100003</v>
      </c>
      <c r="AU7" s="9" t="s">
        <v>109</v>
      </c>
      <c r="AV7" s="321">
        <v>1950</v>
      </c>
      <c r="AW7" s="321">
        <v>2485.29418945</v>
      </c>
      <c r="AX7" s="321">
        <v>2485.29418945</v>
      </c>
      <c r="AY7" s="321">
        <v>1850</v>
      </c>
      <c r="AZ7" s="321">
        <v>2357.8430175799999</v>
      </c>
      <c r="BA7" s="321">
        <v>2357.8430175799999</v>
      </c>
      <c r="BB7" s="321">
        <f t="shared" si="8"/>
        <v>3800</v>
      </c>
      <c r="BC7" s="321">
        <f t="shared" si="9"/>
        <v>4843.1372070300004</v>
      </c>
      <c r="BD7" s="329">
        <f t="shared" si="10"/>
        <v>4843.1372070300004</v>
      </c>
    </row>
    <row r="8" spans="1:57">
      <c r="A8" s="11" t="s">
        <v>160</v>
      </c>
      <c r="B8" s="330">
        <v>51.469636552009945</v>
      </c>
      <c r="C8" s="272">
        <v>112.59082583879007</v>
      </c>
      <c r="D8" s="272">
        <v>166.17431884270204</v>
      </c>
      <c r="E8" s="272">
        <v>0</v>
      </c>
      <c r="F8" s="272">
        <v>0</v>
      </c>
      <c r="G8" s="272">
        <v>0</v>
      </c>
      <c r="H8" s="322">
        <f t="shared" si="11"/>
        <v>51.469636552009945</v>
      </c>
      <c r="I8" s="322">
        <f t="shared" si="0"/>
        <v>112.59082583879007</v>
      </c>
      <c r="J8" s="322">
        <f t="shared" si="1"/>
        <v>166.17431884270204</v>
      </c>
      <c r="K8" s="70">
        <f t="shared" si="12"/>
        <v>82.030231195400006</v>
      </c>
      <c r="L8" s="11" t="s">
        <v>160</v>
      </c>
      <c r="M8" s="272">
        <v>1.5</v>
      </c>
      <c r="N8" s="272">
        <v>1.5</v>
      </c>
      <c r="O8" s="272">
        <v>1.6950000000000001</v>
      </c>
      <c r="P8" s="272"/>
      <c r="Q8" s="272"/>
      <c r="R8" s="272"/>
      <c r="S8" s="272"/>
      <c r="T8" s="272"/>
      <c r="U8" s="272"/>
      <c r="V8" s="272"/>
      <c r="W8" s="272"/>
      <c r="X8" s="272"/>
      <c r="Y8" s="272"/>
      <c r="Z8" s="272"/>
      <c r="AA8" s="272"/>
      <c r="AB8" s="272"/>
      <c r="AC8" s="272"/>
      <c r="AD8" s="272"/>
      <c r="AE8" s="322">
        <f t="shared" si="2"/>
        <v>1.5</v>
      </c>
      <c r="AF8" s="322">
        <f t="shared" si="3"/>
        <v>1.5</v>
      </c>
      <c r="AG8" s="326">
        <f t="shared" si="4"/>
        <v>1.6950000000000001</v>
      </c>
      <c r="AH8" s="11" t="s">
        <v>160</v>
      </c>
      <c r="AI8" s="272"/>
      <c r="AJ8" s="272"/>
      <c r="AK8" s="272"/>
      <c r="AL8" s="272"/>
      <c r="AM8" s="272"/>
      <c r="AN8" s="272"/>
      <c r="AO8" s="272"/>
      <c r="AP8" s="272"/>
      <c r="AQ8" s="272"/>
      <c r="AR8" s="272">
        <f t="shared" si="5"/>
        <v>0</v>
      </c>
      <c r="AS8" s="272">
        <f t="shared" si="6"/>
        <v>0</v>
      </c>
      <c r="AT8" s="331">
        <f t="shared" si="7"/>
        <v>0</v>
      </c>
      <c r="AU8" s="11" t="s">
        <v>160</v>
      </c>
      <c r="AV8" s="330"/>
      <c r="AW8" s="272"/>
      <c r="AX8" s="272"/>
      <c r="AY8" s="272"/>
      <c r="AZ8" s="272"/>
      <c r="BA8" s="272"/>
      <c r="BB8" s="272">
        <f t="shared" si="8"/>
        <v>0</v>
      </c>
      <c r="BC8" s="272">
        <f t="shared" si="9"/>
        <v>0</v>
      </c>
      <c r="BD8" s="331">
        <f t="shared" si="10"/>
        <v>0</v>
      </c>
    </row>
    <row r="9" spans="1:57">
      <c r="A9" s="9" t="s">
        <v>110</v>
      </c>
      <c r="B9" s="336">
        <v>7741.5087142988086</v>
      </c>
      <c r="C9" s="321">
        <v>9551.9338645027419</v>
      </c>
      <c r="D9" s="321">
        <v>9304.5665181674267</v>
      </c>
      <c r="E9" s="321">
        <v>12547.198811313559</v>
      </c>
      <c r="F9" s="321">
        <v>17598.081484389582</v>
      </c>
      <c r="G9" s="321">
        <v>21559.259828819588</v>
      </c>
      <c r="H9" s="285">
        <f t="shared" si="11"/>
        <v>20288.707525612368</v>
      </c>
      <c r="I9" s="285">
        <f t="shared" si="0"/>
        <v>27150.015348892324</v>
      </c>
      <c r="J9" s="285">
        <f t="shared" si="1"/>
        <v>30863.826346987014</v>
      </c>
      <c r="K9" s="285">
        <f t="shared" si="12"/>
        <v>23719.361437252344</v>
      </c>
      <c r="L9" s="9" t="s">
        <v>110</v>
      </c>
      <c r="M9" s="321">
        <v>4257.12</v>
      </c>
      <c r="N9" s="321">
        <v>7906.08</v>
      </c>
      <c r="O9" s="321">
        <v>8933.8703999999998</v>
      </c>
      <c r="P9" s="321"/>
      <c r="Q9" s="321"/>
      <c r="R9" s="321"/>
      <c r="S9" s="321"/>
      <c r="T9" s="321"/>
      <c r="U9" s="321"/>
      <c r="V9" s="321"/>
      <c r="W9" s="321"/>
      <c r="X9" s="321"/>
      <c r="Y9" s="321"/>
      <c r="Z9" s="321"/>
      <c r="AA9" s="321"/>
      <c r="AB9" s="321"/>
      <c r="AC9" s="321"/>
      <c r="AD9" s="321"/>
      <c r="AE9" s="285">
        <f t="shared" si="2"/>
        <v>4257.12</v>
      </c>
      <c r="AF9" s="285">
        <f t="shared" si="3"/>
        <v>7906.08</v>
      </c>
      <c r="AG9" s="325">
        <f t="shared" si="4"/>
        <v>8933.8703999999998</v>
      </c>
      <c r="AH9" s="9" t="s">
        <v>110</v>
      </c>
      <c r="AI9" s="321">
        <v>49.9</v>
      </c>
      <c r="AJ9" s="321">
        <v>49.9</v>
      </c>
      <c r="AK9" s="321">
        <v>49.9</v>
      </c>
      <c r="AL9" s="321">
        <v>816.88999992000004</v>
      </c>
      <c r="AM9" s="321">
        <v>816.88999992000004</v>
      </c>
      <c r="AN9" s="321">
        <v>816.88999992000004</v>
      </c>
      <c r="AO9" s="321">
        <v>4537</v>
      </c>
      <c r="AP9" s="321">
        <v>33016</v>
      </c>
      <c r="AQ9" s="321">
        <v>48999.150849999998</v>
      </c>
      <c r="AR9" s="321">
        <f t="shared" si="5"/>
        <v>5403.7899999199999</v>
      </c>
      <c r="AS9" s="321">
        <f t="shared" si="6"/>
        <v>33882.789999920002</v>
      </c>
      <c r="AT9" s="329">
        <f t="shared" si="7"/>
        <v>49865.94084992</v>
      </c>
      <c r="AU9" s="9" t="s">
        <v>110</v>
      </c>
      <c r="AV9" s="321">
        <v>2744</v>
      </c>
      <c r="AW9" s="321">
        <v>2744</v>
      </c>
      <c r="AX9" s="321">
        <v>2744</v>
      </c>
      <c r="AY9" s="321"/>
      <c r="AZ9" s="321"/>
      <c r="BA9" s="321"/>
      <c r="BB9" s="321">
        <f t="shared" si="8"/>
        <v>2744</v>
      </c>
      <c r="BC9" s="321">
        <f t="shared" si="9"/>
        <v>2744</v>
      </c>
      <c r="BD9" s="329">
        <f t="shared" si="10"/>
        <v>2744</v>
      </c>
    </row>
    <row r="10" spans="1:57">
      <c r="A10" s="11" t="s">
        <v>111</v>
      </c>
      <c r="B10" s="330">
        <v>75.874822550421328</v>
      </c>
      <c r="C10" s="272">
        <v>121.0253642675119</v>
      </c>
      <c r="D10" s="272">
        <v>117.8911588152134</v>
      </c>
      <c r="E10" s="272">
        <v>27.637525507446334</v>
      </c>
      <c r="F10" s="272">
        <v>40.488485406424289</v>
      </c>
      <c r="G10" s="272">
        <v>49.602098826896608</v>
      </c>
      <c r="H10" s="322">
        <f t="shared" si="11"/>
        <v>103.51234805786765</v>
      </c>
      <c r="I10" s="322">
        <f t="shared" si="0"/>
        <v>161.51384967393619</v>
      </c>
      <c r="J10" s="322">
        <f t="shared" si="1"/>
        <v>167.49325764211</v>
      </c>
      <c r="K10" s="70">
        <f t="shared" si="12"/>
        <v>132.51309886590192</v>
      </c>
      <c r="L10" s="11" t="s">
        <v>111</v>
      </c>
      <c r="M10" s="272">
        <v>100</v>
      </c>
      <c r="N10" s="272">
        <v>125</v>
      </c>
      <c r="O10" s="272">
        <v>141.25</v>
      </c>
      <c r="P10" s="272"/>
      <c r="Q10" s="272"/>
      <c r="R10" s="272"/>
      <c r="S10" s="272"/>
      <c r="T10" s="272"/>
      <c r="U10" s="272"/>
      <c r="V10" s="272"/>
      <c r="W10" s="272"/>
      <c r="X10" s="272"/>
      <c r="Y10" s="272"/>
      <c r="Z10" s="272"/>
      <c r="AA10" s="272"/>
      <c r="AB10" s="272"/>
      <c r="AC10" s="272"/>
      <c r="AD10" s="272"/>
      <c r="AE10" s="322">
        <f t="shared" si="2"/>
        <v>100</v>
      </c>
      <c r="AF10" s="322">
        <f t="shared" si="3"/>
        <v>125</v>
      </c>
      <c r="AG10" s="326">
        <f t="shared" si="4"/>
        <v>141.25</v>
      </c>
      <c r="AH10" s="11" t="s">
        <v>111</v>
      </c>
      <c r="AI10" s="272">
        <v>395</v>
      </c>
      <c r="AJ10" s="272">
        <v>395</v>
      </c>
      <c r="AK10" s="272">
        <v>395</v>
      </c>
      <c r="AL10" s="272">
        <v>12</v>
      </c>
      <c r="AM10" s="272">
        <v>12</v>
      </c>
      <c r="AN10" s="272">
        <v>12</v>
      </c>
      <c r="AO10" s="272"/>
      <c r="AP10" s="272">
        <v>16.484622300000002</v>
      </c>
      <c r="AQ10" s="272">
        <v>4004.4412729999999</v>
      </c>
      <c r="AR10" s="272">
        <f t="shared" si="5"/>
        <v>407</v>
      </c>
      <c r="AS10" s="272">
        <f t="shared" si="6"/>
        <v>423.48462230000001</v>
      </c>
      <c r="AT10" s="331">
        <f t="shared" si="7"/>
        <v>4411.4412730000004</v>
      </c>
      <c r="AU10" s="11" t="s">
        <v>111</v>
      </c>
      <c r="AV10" s="330"/>
      <c r="AW10" s="272"/>
      <c r="AX10" s="272"/>
      <c r="AY10" s="272"/>
      <c r="AZ10" s="272"/>
      <c r="BA10" s="272"/>
      <c r="BB10" s="272">
        <f t="shared" si="8"/>
        <v>0</v>
      </c>
      <c r="BC10" s="272">
        <f t="shared" si="9"/>
        <v>0</v>
      </c>
      <c r="BD10" s="331">
        <f t="shared" si="10"/>
        <v>0</v>
      </c>
    </row>
    <row r="11" spans="1:57">
      <c r="A11" s="12" t="s">
        <v>112</v>
      </c>
      <c r="B11" s="333">
        <v>6433.7045690012437</v>
      </c>
      <c r="C11" s="273">
        <v>14073.853229848759</v>
      </c>
      <c r="D11" s="273">
        <v>20771.789855337756</v>
      </c>
      <c r="E11" s="273">
        <v>5955.5944430351219</v>
      </c>
      <c r="F11" s="273">
        <v>6305.4033430381496</v>
      </c>
      <c r="G11" s="273">
        <v>7724.6959629464645</v>
      </c>
      <c r="H11" s="323">
        <f t="shared" si="11"/>
        <v>12389.299012036365</v>
      </c>
      <c r="I11" s="323">
        <f t="shared" si="0"/>
        <v>20379.256572886909</v>
      </c>
      <c r="J11" s="323">
        <f t="shared" si="1"/>
        <v>28496.485818284222</v>
      </c>
      <c r="K11" s="285">
        <f t="shared" si="12"/>
        <v>16384.277792461638</v>
      </c>
      <c r="L11" s="12" t="s">
        <v>112</v>
      </c>
      <c r="M11" s="273"/>
      <c r="N11" s="273">
        <v>500</v>
      </c>
      <c r="O11" s="273">
        <v>565</v>
      </c>
      <c r="P11" s="273"/>
      <c r="Q11" s="273">
        <v>1100</v>
      </c>
      <c r="R11" s="273">
        <v>1243</v>
      </c>
      <c r="S11" s="273"/>
      <c r="T11" s="273"/>
      <c r="U11" s="273"/>
      <c r="V11" s="273"/>
      <c r="W11" s="273"/>
      <c r="X11" s="273"/>
      <c r="Y11" s="273"/>
      <c r="Z11" s="273"/>
      <c r="AA11" s="273"/>
      <c r="AB11" s="273"/>
      <c r="AC11" s="273"/>
      <c r="AD11" s="273"/>
      <c r="AE11" s="323">
        <f t="shared" si="2"/>
        <v>0</v>
      </c>
      <c r="AF11" s="323">
        <f t="shared" si="3"/>
        <v>1600</v>
      </c>
      <c r="AG11" s="324">
        <f t="shared" si="4"/>
        <v>1808</v>
      </c>
      <c r="AH11" s="12" t="s">
        <v>112</v>
      </c>
      <c r="AI11" s="273"/>
      <c r="AJ11" s="273"/>
      <c r="AK11" s="273"/>
      <c r="AL11" s="273"/>
      <c r="AM11" s="273"/>
      <c r="AN11" s="273"/>
      <c r="AO11" s="273"/>
      <c r="AP11" s="273">
        <v>377</v>
      </c>
      <c r="AQ11" s="273">
        <v>377</v>
      </c>
      <c r="AR11" s="273">
        <f t="shared" si="5"/>
        <v>0</v>
      </c>
      <c r="AS11" s="273">
        <f t="shared" si="6"/>
        <v>377</v>
      </c>
      <c r="AT11" s="332">
        <f t="shared" si="7"/>
        <v>377</v>
      </c>
      <c r="AU11" s="12" t="s">
        <v>112</v>
      </c>
      <c r="AV11" s="273">
        <v>6866.3999023400002</v>
      </c>
      <c r="AW11" s="273">
        <v>6866.3999023400002</v>
      </c>
      <c r="AX11" s="273">
        <v>6866.3999023400002</v>
      </c>
      <c r="AY11" s="273">
        <v>2683.3200683599998</v>
      </c>
      <c r="AZ11" s="273">
        <v>2683.3200683599998</v>
      </c>
      <c r="BA11" s="273">
        <v>2683.3200683599998</v>
      </c>
      <c r="BB11" s="273">
        <f t="shared" si="8"/>
        <v>9549.7199707</v>
      </c>
      <c r="BC11" s="273">
        <f t="shared" si="9"/>
        <v>9549.7199707</v>
      </c>
      <c r="BD11" s="332">
        <f t="shared" si="10"/>
        <v>9549.7199707</v>
      </c>
    </row>
    <row r="12" spans="1:57">
      <c r="A12" s="12" t="s">
        <v>113</v>
      </c>
      <c r="B12" s="333">
        <v>1960.7480591241886</v>
      </c>
      <c r="C12" s="273">
        <v>3069.3510132830152</v>
      </c>
      <c r="D12" s="273">
        <v>2989.863736057509</v>
      </c>
      <c r="E12" s="273">
        <v>2002.2658280241853</v>
      </c>
      <c r="F12" s="273">
        <v>2878.7248958380651</v>
      </c>
      <c r="G12" s="273">
        <v>3526.7013657209018</v>
      </c>
      <c r="H12" s="323">
        <f t="shared" si="11"/>
        <v>3963.0138871483741</v>
      </c>
      <c r="I12" s="323">
        <f t="shared" si="0"/>
        <v>5948.0759091210803</v>
      </c>
      <c r="J12" s="323">
        <f t="shared" si="1"/>
        <v>6516.5651017784112</v>
      </c>
      <c r="K12" s="285">
        <f t="shared" si="12"/>
        <v>4955.5448981347272</v>
      </c>
      <c r="L12" s="12" t="s">
        <v>113</v>
      </c>
      <c r="M12" s="273"/>
      <c r="N12" s="273"/>
      <c r="O12" s="333"/>
      <c r="P12" s="273"/>
      <c r="Q12" s="273"/>
      <c r="R12" s="273"/>
      <c r="S12" s="273"/>
      <c r="T12" s="273"/>
      <c r="U12" s="273"/>
      <c r="V12" s="273"/>
      <c r="W12" s="273"/>
      <c r="X12" s="273"/>
      <c r="Y12" s="273"/>
      <c r="Z12" s="273"/>
      <c r="AA12" s="273"/>
      <c r="AB12" s="273"/>
      <c r="AC12" s="273"/>
      <c r="AD12" s="273"/>
      <c r="AE12" s="323">
        <f t="shared" si="2"/>
        <v>0</v>
      </c>
      <c r="AF12" s="323">
        <f t="shared" si="3"/>
        <v>0</v>
      </c>
      <c r="AG12" s="324">
        <f t="shared" si="4"/>
        <v>0</v>
      </c>
      <c r="AH12" s="12" t="s">
        <v>113</v>
      </c>
      <c r="AI12" s="273"/>
      <c r="AJ12" s="273">
        <v>3600</v>
      </c>
      <c r="AK12" s="273">
        <v>3600</v>
      </c>
      <c r="AL12" s="333"/>
      <c r="AM12" s="273"/>
      <c r="AN12" s="273"/>
      <c r="AO12" s="273">
        <v>6210</v>
      </c>
      <c r="AP12" s="273">
        <v>14000</v>
      </c>
      <c r="AQ12" s="273">
        <v>21063.370070000001</v>
      </c>
      <c r="AR12" s="273">
        <f t="shared" si="5"/>
        <v>6210</v>
      </c>
      <c r="AS12" s="273">
        <f t="shared" si="6"/>
        <v>17600</v>
      </c>
      <c r="AT12" s="332">
        <f t="shared" si="7"/>
        <v>24663.370070000001</v>
      </c>
      <c r="AU12" s="12" t="s">
        <v>113</v>
      </c>
      <c r="AV12" s="273">
        <v>1323.09997559</v>
      </c>
      <c r="AW12" s="273">
        <v>1323.09997559</v>
      </c>
      <c r="AX12" s="273">
        <v>1323.09997559</v>
      </c>
      <c r="AY12" s="273">
        <v>212.18</v>
      </c>
      <c r="AZ12" s="273">
        <v>212.18</v>
      </c>
      <c r="BA12" s="273">
        <v>212.18</v>
      </c>
      <c r="BB12" s="273">
        <f t="shared" si="8"/>
        <v>1535.27997559</v>
      </c>
      <c r="BC12" s="273">
        <f t="shared" si="9"/>
        <v>1535.27997559</v>
      </c>
      <c r="BD12" s="332">
        <f t="shared" si="10"/>
        <v>1535.27997559</v>
      </c>
    </row>
    <row r="13" spans="1:57">
      <c r="A13" s="12" t="s">
        <v>114</v>
      </c>
      <c r="B13" s="333">
        <v>6802.815391131373</v>
      </c>
      <c r="C13" s="273">
        <v>10367.602588180131</v>
      </c>
      <c r="D13" s="273">
        <v>10099.111790769153</v>
      </c>
      <c r="E13" s="273">
        <v>6946.8612903299118</v>
      </c>
      <c r="F13" s="273">
        <v>13957.068015176224</v>
      </c>
      <c r="G13" s="273">
        <v>18214.379308077667</v>
      </c>
      <c r="H13" s="323">
        <f t="shared" si="11"/>
        <v>13749.676681461286</v>
      </c>
      <c r="I13" s="323">
        <f t="shared" si="0"/>
        <v>24324.670603356353</v>
      </c>
      <c r="J13" s="323">
        <f t="shared" si="1"/>
        <v>28313.491098846818</v>
      </c>
      <c r="K13" s="285">
        <f t="shared" si="12"/>
        <v>19037.173642408819</v>
      </c>
      <c r="L13" s="12" t="s">
        <v>114</v>
      </c>
      <c r="M13" s="273">
        <v>700</v>
      </c>
      <c r="N13" s="273">
        <v>700</v>
      </c>
      <c r="O13" s="273">
        <v>791</v>
      </c>
      <c r="P13" s="273"/>
      <c r="Q13" s="273"/>
      <c r="R13" s="273"/>
      <c r="S13" s="273"/>
      <c r="T13" s="273"/>
      <c r="U13" s="273"/>
      <c r="V13" s="273"/>
      <c r="W13" s="273"/>
      <c r="X13" s="273"/>
      <c r="Y13" s="273"/>
      <c r="Z13" s="273"/>
      <c r="AA13" s="273"/>
      <c r="AB13" s="273"/>
      <c r="AC13" s="273"/>
      <c r="AD13" s="273"/>
      <c r="AE13" s="323">
        <f t="shared" si="2"/>
        <v>700</v>
      </c>
      <c r="AF13" s="323">
        <f t="shared" si="3"/>
        <v>700</v>
      </c>
      <c r="AG13" s="324">
        <f t="shared" si="4"/>
        <v>791</v>
      </c>
      <c r="AH13" s="12" t="s">
        <v>114</v>
      </c>
      <c r="AI13" s="273">
        <v>547.80000013999995</v>
      </c>
      <c r="AJ13" s="273">
        <v>547.80000013999995</v>
      </c>
      <c r="AK13" s="273">
        <v>547.80000013999995</v>
      </c>
      <c r="AL13" s="273">
        <v>364</v>
      </c>
      <c r="AM13" s="273">
        <v>233.00000003</v>
      </c>
      <c r="AN13" s="273">
        <v>233.00000003</v>
      </c>
      <c r="AO13" s="273">
        <v>1924</v>
      </c>
      <c r="AP13" s="273">
        <v>9552</v>
      </c>
      <c r="AQ13" s="273">
        <v>12982.07681</v>
      </c>
      <c r="AR13" s="273">
        <f t="shared" si="5"/>
        <v>2835.8000001400001</v>
      </c>
      <c r="AS13" s="273">
        <f t="shared" si="6"/>
        <v>10332.80000017</v>
      </c>
      <c r="AT13" s="332">
        <f t="shared" si="7"/>
        <v>13762.876810170001</v>
      </c>
      <c r="AU13" s="12" t="s">
        <v>114</v>
      </c>
      <c r="AV13" s="333"/>
      <c r="AW13" s="273"/>
      <c r="AX13" s="273"/>
      <c r="AY13" s="273"/>
      <c r="AZ13" s="273"/>
      <c r="BA13" s="273"/>
      <c r="BB13" s="273">
        <f t="shared" si="8"/>
        <v>0</v>
      </c>
      <c r="BC13" s="273">
        <f t="shared" si="9"/>
        <v>0</v>
      </c>
      <c r="BD13" s="332">
        <f t="shared" si="10"/>
        <v>0</v>
      </c>
    </row>
    <row r="14" spans="1:57">
      <c r="A14" s="12" t="s">
        <v>115</v>
      </c>
      <c r="B14" s="333">
        <v>2104.8630414698164</v>
      </c>
      <c r="C14" s="273">
        <v>4604.4286300168051</v>
      </c>
      <c r="D14" s="273">
        <v>4996.307853203909</v>
      </c>
      <c r="E14" s="273">
        <v>2149.4323663839632</v>
      </c>
      <c r="F14" s="273">
        <v>4318.4644802685334</v>
      </c>
      <c r="G14" s="273">
        <v>5893.4076215429795</v>
      </c>
      <c r="H14" s="323">
        <f t="shared" si="11"/>
        <v>4254.2954078537796</v>
      </c>
      <c r="I14" s="323">
        <f t="shared" si="0"/>
        <v>8922.8931102853385</v>
      </c>
      <c r="J14" s="323">
        <f t="shared" si="1"/>
        <v>10889.715474746889</v>
      </c>
      <c r="K14" s="285">
        <f t="shared" si="12"/>
        <v>6588.5942590695595</v>
      </c>
      <c r="L14" s="12" t="s">
        <v>115</v>
      </c>
      <c r="M14" s="273">
        <v>204.78045650000001</v>
      </c>
      <c r="N14" s="273">
        <v>219.11508180000001</v>
      </c>
      <c r="O14" s="273">
        <v>247.6000425</v>
      </c>
      <c r="P14" s="273">
        <v>716.73156740000002</v>
      </c>
      <c r="Q14" s="273">
        <v>766.90283199999999</v>
      </c>
      <c r="R14" s="273">
        <v>866.60020020000002</v>
      </c>
      <c r="S14" s="273">
        <v>204.78045650000001</v>
      </c>
      <c r="T14" s="273">
        <v>219.11508180000001</v>
      </c>
      <c r="U14" s="273">
        <v>247.6000425</v>
      </c>
      <c r="V14" s="273">
        <v>614.34136960000001</v>
      </c>
      <c r="W14" s="273">
        <v>657.34527589999993</v>
      </c>
      <c r="X14" s="273">
        <v>742.80016179999996</v>
      </c>
      <c r="Y14" s="273">
        <v>307.1706848</v>
      </c>
      <c r="Z14" s="273">
        <v>328.67263789999998</v>
      </c>
      <c r="AA14" s="273">
        <v>371.40008080000001</v>
      </c>
      <c r="AB14" s="273"/>
      <c r="AC14" s="273"/>
      <c r="AD14" s="273"/>
      <c r="AE14" s="323">
        <f t="shared" si="2"/>
        <v>2047.8045348000001</v>
      </c>
      <c r="AF14" s="323">
        <f t="shared" si="3"/>
        <v>2191.1509093999998</v>
      </c>
      <c r="AG14" s="324">
        <f t="shared" si="4"/>
        <v>2476.0005277999999</v>
      </c>
      <c r="AH14" s="12" t="s">
        <v>115</v>
      </c>
      <c r="AI14" s="273">
        <v>244</v>
      </c>
      <c r="AJ14" s="273">
        <v>244</v>
      </c>
      <c r="AK14" s="273">
        <v>244</v>
      </c>
      <c r="AL14" s="273">
        <v>50</v>
      </c>
      <c r="AM14" s="273">
        <v>50</v>
      </c>
      <c r="AN14" s="273">
        <v>50</v>
      </c>
      <c r="AO14" s="273"/>
      <c r="AP14" s="273">
        <v>6331</v>
      </c>
      <c r="AQ14" s="273">
        <v>14823.26446</v>
      </c>
      <c r="AR14" s="273">
        <f t="shared" si="5"/>
        <v>294</v>
      </c>
      <c r="AS14" s="273">
        <f t="shared" si="6"/>
        <v>6625</v>
      </c>
      <c r="AT14" s="332">
        <f t="shared" si="7"/>
        <v>15117.26446</v>
      </c>
      <c r="AU14" s="12" t="s">
        <v>115</v>
      </c>
      <c r="AV14" s="273">
        <v>1224</v>
      </c>
      <c r="AW14" s="273">
        <v>1224</v>
      </c>
      <c r="AX14" s="273">
        <v>1224</v>
      </c>
      <c r="AY14" s="273"/>
      <c r="AZ14" s="273"/>
      <c r="BA14" s="273"/>
      <c r="BB14" s="273">
        <f t="shared" si="8"/>
        <v>1224</v>
      </c>
      <c r="BC14" s="273">
        <f t="shared" si="9"/>
        <v>1224</v>
      </c>
      <c r="BD14" s="332">
        <f t="shared" si="10"/>
        <v>1224</v>
      </c>
    </row>
    <row r="15" spans="1:57">
      <c r="A15" s="9" t="s">
        <v>103</v>
      </c>
      <c r="B15" s="336">
        <v>189.1771732122225</v>
      </c>
      <c r="C15" s="321">
        <v>140.93958649899071</v>
      </c>
      <c r="D15" s="321">
        <v>137.2896605258415</v>
      </c>
      <c r="E15" s="321">
        <v>193.18289649830751</v>
      </c>
      <c r="F15" s="321">
        <v>132.18634646475226</v>
      </c>
      <c r="G15" s="321">
        <v>161.94036786248083</v>
      </c>
      <c r="H15" s="285">
        <f t="shared" si="11"/>
        <v>382.36006971053001</v>
      </c>
      <c r="I15" s="285">
        <f t="shared" si="0"/>
        <v>273.12593296374297</v>
      </c>
      <c r="J15" s="285">
        <f t="shared" si="1"/>
        <v>299.23002838832235</v>
      </c>
      <c r="K15" s="285">
        <f t="shared" si="12"/>
        <v>327.74300133713649</v>
      </c>
      <c r="L15" s="9" t="s">
        <v>103</v>
      </c>
      <c r="M15" s="321">
        <v>71.400001529999997</v>
      </c>
      <c r="N15" s="321">
        <v>71.400001529999997</v>
      </c>
      <c r="O15" s="321">
        <v>80.682001729999996</v>
      </c>
      <c r="P15" s="321">
        <v>71.400001529999997</v>
      </c>
      <c r="Q15" s="321">
        <v>71.400001529999997</v>
      </c>
      <c r="R15" s="321">
        <v>80.682001729999996</v>
      </c>
      <c r="S15" s="321">
        <v>71.400001529999997</v>
      </c>
      <c r="T15" s="321">
        <v>71.400001529999997</v>
      </c>
      <c r="U15" s="321">
        <v>80.682001729999996</v>
      </c>
      <c r="V15" s="321"/>
      <c r="W15" s="321"/>
      <c r="X15" s="321"/>
      <c r="Y15" s="321"/>
      <c r="Z15" s="321"/>
      <c r="AA15" s="321"/>
      <c r="AB15" s="321"/>
      <c r="AC15" s="321"/>
      <c r="AD15" s="321"/>
      <c r="AE15" s="285">
        <f t="shared" si="2"/>
        <v>214.20000458999999</v>
      </c>
      <c r="AF15" s="285">
        <f t="shared" si="3"/>
        <v>214.20000458999999</v>
      </c>
      <c r="AG15" s="325">
        <f t="shared" si="4"/>
        <v>242.04600518999999</v>
      </c>
      <c r="AH15" s="9" t="s">
        <v>103</v>
      </c>
      <c r="AI15" s="321"/>
      <c r="AJ15" s="321"/>
      <c r="AK15" s="321"/>
      <c r="AL15" s="321">
        <v>53.747999999999998</v>
      </c>
      <c r="AM15" s="321">
        <v>53.747999999999998</v>
      </c>
      <c r="AN15" s="321">
        <v>53.747999999999998</v>
      </c>
      <c r="AO15" s="321">
        <v>0</v>
      </c>
      <c r="AP15" s="321">
        <v>0</v>
      </c>
      <c r="AQ15" s="321">
        <v>0</v>
      </c>
      <c r="AR15" s="321">
        <f t="shared" si="5"/>
        <v>53.747999999999998</v>
      </c>
      <c r="AS15" s="321">
        <f t="shared" si="6"/>
        <v>53.747999999999998</v>
      </c>
      <c r="AT15" s="329">
        <f t="shared" si="7"/>
        <v>53.747999999999998</v>
      </c>
      <c r="AU15" s="9" t="s">
        <v>103</v>
      </c>
      <c r="AV15" s="336"/>
      <c r="AW15" s="321"/>
      <c r="AX15" s="321"/>
      <c r="AY15" s="321"/>
      <c r="AZ15" s="321"/>
      <c r="BA15" s="321"/>
      <c r="BB15" s="321">
        <f t="shared" si="8"/>
        <v>0</v>
      </c>
      <c r="BC15" s="321">
        <f t="shared" si="9"/>
        <v>0</v>
      </c>
      <c r="BD15" s="329">
        <f t="shared" si="10"/>
        <v>0</v>
      </c>
    </row>
    <row r="16" spans="1:57">
      <c r="A16" s="10" t="s">
        <v>104</v>
      </c>
      <c r="B16" s="335">
        <v>321.60119525532241</v>
      </c>
      <c r="C16" s="184">
        <v>239.59729764023049</v>
      </c>
      <c r="D16" s="184">
        <v>233.39242347054716</v>
      </c>
      <c r="E16" s="184">
        <v>328.41092485849094</v>
      </c>
      <c r="F16" s="184">
        <v>224.71678954526152</v>
      </c>
      <c r="G16" s="184">
        <v>275.29862604636696</v>
      </c>
      <c r="H16" s="70">
        <f t="shared" si="11"/>
        <v>650.01212011381335</v>
      </c>
      <c r="I16" s="70">
        <f t="shared" si="0"/>
        <v>464.31408718549199</v>
      </c>
      <c r="J16" s="70">
        <f t="shared" si="1"/>
        <v>508.69104951691412</v>
      </c>
      <c r="K16" s="70">
        <f t="shared" si="12"/>
        <v>557.16310364965261</v>
      </c>
      <c r="L16" s="10" t="s">
        <v>104</v>
      </c>
      <c r="M16" s="184">
        <v>107.8000031</v>
      </c>
      <c r="N16" s="184">
        <v>107.8000031</v>
      </c>
      <c r="O16" s="184">
        <v>121.8140035</v>
      </c>
      <c r="P16" s="184">
        <v>107.8000031</v>
      </c>
      <c r="Q16" s="184">
        <v>107.8000031</v>
      </c>
      <c r="R16" s="184">
        <v>121.8140035</v>
      </c>
      <c r="S16" s="184">
        <v>107.8000031</v>
      </c>
      <c r="T16" s="184">
        <v>107.8000031</v>
      </c>
      <c r="U16" s="184">
        <v>121.8140035</v>
      </c>
      <c r="V16" s="184"/>
      <c r="W16" s="184"/>
      <c r="X16" s="184"/>
      <c r="Y16" s="184"/>
      <c r="Z16" s="184"/>
      <c r="AA16" s="184"/>
      <c r="AB16" s="184"/>
      <c r="AC16" s="184"/>
      <c r="AD16" s="184"/>
      <c r="AE16" s="70">
        <f t="shared" si="2"/>
        <v>323.40000929999997</v>
      </c>
      <c r="AF16" s="70">
        <f t="shared" si="3"/>
        <v>323.40000929999997</v>
      </c>
      <c r="AG16" s="327">
        <f t="shared" si="4"/>
        <v>365.44201049999998</v>
      </c>
      <c r="AH16" s="10" t="s">
        <v>104</v>
      </c>
      <c r="AI16" s="184"/>
      <c r="AJ16" s="184"/>
      <c r="AK16" s="184"/>
      <c r="AL16" s="184">
        <v>57.040999999999997</v>
      </c>
      <c r="AM16" s="184">
        <v>57.040999999999997</v>
      </c>
      <c r="AN16" s="184">
        <v>57.040999999999997</v>
      </c>
      <c r="AO16" s="184"/>
      <c r="AP16" s="184">
        <v>1257</v>
      </c>
      <c r="AQ16" s="184">
        <v>1257</v>
      </c>
      <c r="AR16" s="184">
        <f t="shared" si="5"/>
        <v>57.040999999999997</v>
      </c>
      <c r="AS16" s="184">
        <f t="shared" si="6"/>
        <v>1314.0409999999999</v>
      </c>
      <c r="AT16" s="334">
        <f t="shared" si="7"/>
        <v>1314.0409999999999</v>
      </c>
      <c r="AU16" s="10" t="s">
        <v>104</v>
      </c>
      <c r="AV16" s="335"/>
      <c r="AW16" s="184"/>
      <c r="AX16" s="184"/>
      <c r="AY16" s="184"/>
      <c r="AZ16" s="184"/>
      <c r="BA16" s="184"/>
      <c r="BB16" s="184">
        <f t="shared" si="8"/>
        <v>0</v>
      </c>
      <c r="BC16" s="184">
        <f t="shared" si="9"/>
        <v>0</v>
      </c>
      <c r="BD16" s="334">
        <f t="shared" si="10"/>
        <v>0</v>
      </c>
    </row>
    <row r="17" spans="1:56">
      <c r="A17" s="10" t="s">
        <v>105</v>
      </c>
      <c r="B17" s="335">
        <v>1683.6768524475503</v>
      </c>
      <c r="C17" s="184">
        <v>1254.3623279309497</v>
      </c>
      <c r="D17" s="184">
        <v>1221.877986560416</v>
      </c>
      <c r="E17" s="184">
        <v>1719.3277899236355</v>
      </c>
      <c r="F17" s="184">
        <v>1176.4584911237914</v>
      </c>
      <c r="G17" s="184">
        <v>1441.2692832714565</v>
      </c>
      <c r="H17" s="70">
        <f t="shared" si="11"/>
        <v>3403.0046423711856</v>
      </c>
      <c r="I17" s="70">
        <f t="shared" si="0"/>
        <v>2430.8208190547412</v>
      </c>
      <c r="J17" s="70">
        <f t="shared" si="1"/>
        <v>2663.1472698318726</v>
      </c>
      <c r="K17" s="70">
        <f t="shared" si="12"/>
        <v>2916.9127307129634</v>
      </c>
      <c r="L17" s="10" t="s">
        <v>105</v>
      </c>
      <c r="M17" s="184">
        <v>312.2000122</v>
      </c>
      <c r="N17" s="184">
        <v>312.2000122</v>
      </c>
      <c r="O17" s="184">
        <v>352.78601370000001</v>
      </c>
      <c r="P17" s="184">
        <v>312.2000122</v>
      </c>
      <c r="Q17" s="184">
        <v>312.2000122</v>
      </c>
      <c r="R17" s="184">
        <v>352.78601370000001</v>
      </c>
      <c r="S17" s="184">
        <v>312.2000122</v>
      </c>
      <c r="T17" s="184">
        <v>312.2000122</v>
      </c>
      <c r="U17" s="184">
        <v>352.78601370000001</v>
      </c>
      <c r="V17" s="184"/>
      <c r="W17" s="184"/>
      <c r="X17" s="184"/>
      <c r="Y17" s="184"/>
      <c r="Z17" s="184"/>
      <c r="AA17" s="184"/>
      <c r="AB17" s="184"/>
      <c r="AC17" s="184"/>
      <c r="AD17" s="184"/>
      <c r="AE17" s="70">
        <f t="shared" si="2"/>
        <v>936.60003660000007</v>
      </c>
      <c r="AF17" s="70">
        <f t="shared" si="3"/>
        <v>936.60003660000007</v>
      </c>
      <c r="AG17" s="327">
        <f t="shared" si="4"/>
        <v>1058.3580411</v>
      </c>
      <c r="AH17" s="10" t="s">
        <v>105</v>
      </c>
      <c r="AI17" s="184"/>
      <c r="AJ17" s="184"/>
      <c r="AK17" s="184"/>
      <c r="AL17" s="184"/>
      <c r="AM17" s="184"/>
      <c r="AN17" s="184"/>
      <c r="AO17" s="184"/>
      <c r="AP17" s="184">
        <v>6528</v>
      </c>
      <c r="AQ17" s="184">
        <v>0</v>
      </c>
      <c r="AR17" s="184">
        <f t="shared" si="5"/>
        <v>0</v>
      </c>
      <c r="AS17" s="184">
        <f t="shared" si="6"/>
        <v>6528</v>
      </c>
      <c r="AT17" s="334">
        <f t="shared" si="7"/>
        <v>0</v>
      </c>
      <c r="AU17" s="10" t="s">
        <v>105</v>
      </c>
      <c r="AV17" s="335"/>
      <c r="AW17" s="184"/>
      <c r="AX17" s="184"/>
      <c r="AY17" s="184"/>
      <c r="AZ17" s="184"/>
      <c r="BA17" s="184"/>
      <c r="BB17" s="184">
        <f t="shared" si="8"/>
        <v>0</v>
      </c>
      <c r="BC17" s="184">
        <f t="shared" si="9"/>
        <v>0</v>
      </c>
      <c r="BD17" s="334">
        <f t="shared" si="10"/>
        <v>0</v>
      </c>
    </row>
    <row r="18" spans="1:56">
      <c r="A18" s="11" t="s">
        <v>106</v>
      </c>
      <c r="B18" s="330">
        <v>454.02521729842232</v>
      </c>
      <c r="C18" s="272">
        <v>338.25500878147028</v>
      </c>
      <c r="D18" s="272">
        <v>329.49518641525282</v>
      </c>
      <c r="E18" s="272">
        <v>463.63895321867443</v>
      </c>
      <c r="F18" s="272">
        <v>317.24723262577072</v>
      </c>
      <c r="G18" s="272">
        <v>388.65688423025307</v>
      </c>
      <c r="H18" s="322">
        <f t="shared" si="11"/>
        <v>917.66417051709675</v>
      </c>
      <c r="I18" s="322">
        <f t="shared" si="0"/>
        <v>655.50224140724094</v>
      </c>
      <c r="J18" s="322">
        <f t="shared" si="1"/>
        <v>718.15207064550589</v>
      </c>
      <c r="K18" s="70">
        <f t="shared" si="12"/>
        <v>786.5832059621689</v>
      </c>
      <c r="L18" s="11" t="s">
        <v>106</v>
      </c>
      <c r="M18" s="272">
        <v>88.199996949999999</v>
      </c>
      <c r="N18" s="272">
        <v>88.199996949999999</v>
      </c>
      <c r="O18" s="272">
        <v>99.665996519999993</v>
      </c>
      <c r="P18" s="272">
        <v>88.199996949999999</v>
      </c>
      <c r="Q18" s="272">
        <v>88.199996949999999</v>
      </c>
      <c r="R18" s="272">
        <v>99.665996519999993</v>
      </c>
      <c r="S18" s="272">
        <v>88.199996949999999</v>
      </c>
      <c r="T18" s="272">
        <v>88.199996949999999</v>
      </c>
      <c r="U18" s="272">
        <v>99.665996519999993</v>
      </c>
      <c r="V18" s="272"/>
      <c r="W18" s="272"/>
      <c r="X18" s="272"/>
      <c r="Y18" s="272"/>
      <c r="Z18" s="272"/>
      <c r="AA18" s="272"/>
      <c r="AB18" s="272"/>
      <c r="AC18" s="272"/>
      <c r="AD18" s="272"/>
      <c r="AE18" s="322">
        <f t="shared" si="2"/>
        <v>264.59999084999998</v>
      </c>
      <c r="AF18" s="322">
        <f t="shared" si="3"/>
        <v>264.59999084999998</v>
      </c>
      <c r="AG18" s="326">
        <f t="shared" si="4"/>
        <v>298.99798955999995</v>
      </c>
      <c r="AH18" s="11" t="s">
        <v>106</v>
      </c>
      <c r="AI18" s="272"/>
      <c r="AJ18" s="272"/>
      <c r="AK18" s="272"/>
      <c r="AL18" s="272"/>
      <c r="AM18" s="272"/>
      <c r="AN18" s="272"/>
      <c r="AO18" s="272"/>
      <c r="AP18" s="272">
        <v>2054</v>
      </c>
      <c r="AQ18" s="272">
        <v>2088.8894799999998</v>
      </c>
      <c r="AR18" s="272">
        <f t="shared" si="5"/>
        <v>0</v>
      </c>
      <c r="AS18" s="272">
        <f t="shared" si="6"/>
        <v>2054</v>
      </c>
      <c r="AT18" s="331">
        <f t="shared" si="7"/>
        <v>2088.8894799999998</v>
      </c>
      <c r="AU18" s="11" t="s">
        <v>106</v>
      </c>
      <c r="AV18" s="330"/>
      <c r="AW18" s="272"/>
      <c r="AX18" s="272"/>
      <c r="AY18" s="272"/>
      <c r="AZ18" s="272"/>
      <c r="BA18" s="272"/>
      <c r="BB18" s="272">
        <f t="shared" si="8"/>
        <v>0</v>
      </c>
      <c r="BC18" s="272">
        <f t="shared" si="9"/>
        <v>0</v>
      </c>
      <c r="BD18" s="331">
        <f t="shared" si="10"/>
        <v>0</v>
      </c>
    </row>
    <row r="19" spans="1:56">
      <c r="A19" s="9" t="s">
        <v>99</v>
      </c>
      <c r="B19" s="336">
        <v>25.489724768614451</v>
      </c>
      <c r="C19" s="321">
        <v>55.759266129686509</v>
      </c>
      <c r="D19" s="321">
        <v>82.295853141147674</v>
      </c>
      <c r="E19" s="321">
        <v>26.02945576431441</v>
      </c>
      <c r="F19" s="321">
        <v>52.296262918948237</v>
      </c>
      <c r="G19" s="321">
        <v>97.072282648158037</v>
      </c>
      <c r="H19" s="285">
        <f t="shared" ref="H19:H21" si="13">B19+E19</f>
        <v>51.519180532928857</v>
      </c>
      <c r="I19" s="285">
        <f t="shared" ref="I19:J21" si="14">C19+F19</f>
        <v>108.05552904863475</v>
      </c>
      <c r="J19" s="285">
        <f t="shared" si="14"/>
        <v>179.36813578930571</v>
      </c>
      <c r="K19" s="285">
        <f t="shared" si="12"/>
        <v>79.787354790781805</v>
      </c>
      <c r="L19" s="9" t="s">
        <v>99</v>
      </c>
      <c r="M19" s="321"/>
      <c r="N19" s="321"/>
      <c r="O19" s="336"/>
      <c r="P19" s="321"/>
      <c r="Q19" s="321"/>
      <c r="R19" s="321"/>
      <c r="S19" s="321"/>
      <c r="T19" s="321"/>
      <c r="U19" s="321"/>
      <c r="V19" s="321"/>
      <c r="W19" s="321"/>
      <c r="X19" s="321"/>
      <c r="Y19" s="321"/>
      <c r="Z19" s="321"/>
      <c r="AA19" s="321"/>
      <c r="AB19" s="321"/>
      <c r="AC19" s="321"/>
      <c r="AD19" s="321"/>
      <c r="AE19" s="285">
        <f t="shared" si="2"/>
        <v>0</v>
      </c>
      <c r="AF19" s="285">
        <f t="shared" si="3"/>
        <v>0</v>
      </c>
      <c r="AG19" s="325">
        <f t="shared" si="4"/>
        <v>0</v>
      </c>
      <c r="AH19" s="9" t="s">
        <v>99</v>
      </c>
      <c r="AI19" s="321">
        <v>106.21000002</v>
      </c>
      <c r="AJ19" s="321">
        <v>106.21000002</v>
      </c>
      <c r="AK19" s="321">
        <v>106.21000002</v>
      </c>
      <c r="AL19" s="321">
        <v>12.71</v>
      </c>
      <c r="AM19" s="321">
        <v>11.83</v>
      </c>
      <c r="AN19" s="321">
        <v>11.83</v>
      </c>
      <c r="AO19" s="321"/>
      <c r="AP19" s="321">
        <v>1791</v>
      </c>
      <c r="AQ19" s="321">
        <v>1895.010092</v>
      </c>
      <c r="AR19" s="321">
        <f t="shared" si="5"/>
        <v>118.92000002</v>
      </c>
      <c r="AS19" s="321">
        <f t="shared" si="6"/>
        <v>1909.04000002</v>
      </c>
      <c r="AT19" s="329">
        <f t="shared" si="7"/>
        <v>2013.05009202</v>
      </c>
      <c r="AU19" s="9" t="s">
        <v>99</v>
      </c>
      <c r="AV19" s="336"/>
      <c r="AW19" s="321"/>
      <c r="AX19" s="321"/>
      <c r="AY19" s="321"/>
      <c r="AZ19" s="321"/>
      <c r="BA19" s="321"/>
      <c r="BB19" s="321">
        <f t="shared" si="8"/>
        <v>0</v>
      </c>
      <c r="BC19" s="321">
        <f t="shared" si="9"/>
        <v>0</v>
      </c>
      <c r="BD19" s="329">
        <f t="shared" si="10"/>
        <v>0</v>
      </c>
    </row>
    <row r="20" spans="1:56">
      <c r="A20" s="10" t="s">
        <v>116</v>
      </c>
      <c r="B20" s="335">
        <v>0</v>
      </c>
      <c r="C20" s="184">
        <v>0</v>
      </c>
      <c r="D20" s="184">
        <v>0</v>
      </c>
      <c r="E20" s="184">
        <v>0</v>
      </c>
      <c r="F20" s="184">
        <v>0</v>
      </c>
      <c r="G20" s="184">
        <v>0</v>
      </c>
      <c r="H20" s="70">
        <f t="shared" si="13"/>
        <v>0</v>
      </c>
      <c r="I20" s="70">
        <f t="shared" si="14"/>
        <v>0</v>
      </c>
      <c r="J20" s="70">
        <f t="shared" si="14"/>
        <v>0</v>
      </c>
      <c r="K20" s="70">
        <f t="shared" si="12"/>
        <v>0</v>
      </c>
      <c r="L20" s="10" t="s">
        <v>116</v>
      </c>
      <c r="M20" s="184"/>
      <c r="N20" s="184"/>
      <c r="O20" s="335"/>
      <c r="P20" s="184"/>
      <c r="Q20" s="184"/>
      <c r="R20" s="184"/>
      <c r="S20" s="184"/>
      <c r="T20" s="184"/>
      <c r="U20" s="184"/>
      <c r="V20" s="184"/>
      <c r="W20" s="184"/>
      <c r="X20" s="184"/>
      <c r="Y20" s="184"/>
      <c r="Z20" s="184"/>
      <c r="AA20" s="184"/>
      <c r="AB20" s="184"/>
      <c r="AC20" s="184"/>
      <c r="AD20" s="184"/>
      <c r="AE20" s="70">
        <f t="shared" si="2"/>
        <v>0</v>
      </c>
      <c r="AF20" s="70">
        <f t="shared" si="3"/>
        <v>0</v>
      </c>
      <c r="AG20" s="327">
        <f t="shared" si="4"/>
        <v>0</v>
      </c>
      <c r="AH20" s="10" t="s">
        <v>116</v>
      </c>
      <c r="AI20" s="184"/>
      <c r="AJ20" s="184"/>
      <c r="AK20" s="184"/>
      <c r="AL20" s="335"/>
      <c r="AM20" s="184"/>
      <c r="AN20" s="184"/>
      <c r="AO20" s="184"/>
      <c r="AP20" s="184"/>
      <c r="AQ20" s="184"/>
      <c r="AR20" s="184">
        <f t="shared" si="5"/>
        <v>0</v>
      </c>
      <c r="AS20" s="184">
        <f t="shared" si="6"/>
        <v>0</v>
      </c>
      <c r="AT20" s="334">
        <f t="shared" si="7"/>
        <v>0</v>
      </c>
      <c r="AU20" s="10" t="s">
        <v>116</v>
      </c>
      <c r="AV20" s="335"/>
      <c r="AW20" s="184"/>
      <c r="AX20" s="184"/>
      <c r="AY20" s="184"/>
      <c r="AZ20" s="184"/>
      <c r="BA20" s="184"/>
      <c r="BB20" s="184">
        <f t="shared" si="8"/>
        <v>0</v>
      </c>
      <c r="BC20" s="184">
        <f t="shared" si="9"/>
        <v>0</v>
      </c>
      <c r="BD20" s="334">
        <f t="shared" si="10"/>
        <v>0</v>
      </c>
    </row>
    <row r="21" spans="1:56">
      <c r="A21" s="11" t="s">
        <v>101</v>
      </c>
      <c r="B21" s="330">
        <v>40.685522226826912</v>
      </c>
      <c r="C21" s="272">
        <v>89.000367091615004</v>
      </c>
      <c r="D21" s="272">
        <v>131.35684251375494</v>
      </c>
      <c r="E21" s="272">
        <v>41.547015931501846</v>
      </c>
      <c r="F21" s="272">
        <v>83.472881197551999</v>
      </c>
      <c r="G21" s="272">
        <v>154.9422973037907</v>
      </c>
      <c r="H21" s="322">
        <f t="shared" si="13"/>
        <v>82.232538158328765</v>
      </c>
      <c r="I21" s="322">
        <f t="shared" si="14"/>
        <v>172.473248289167</v>
      </c>
      <c r="J21" s="322">
        <f t="shared" si="14"/>
        <v>286.29913981754567</v>
      </c>
      <c r="K21" s="70">
        <f t="shared" si="12"/>
        <v>127.35289322374788</v>
      </c>
      <c r="L21" s="11" t="s">
        <v>101</v>
      </c>
      <c r="M21" s="272"/>
      <c r="N21" s="272"/>
      <c r="O21" s="330"/>
      <c r="P21" s="272"/>
      <c r="Q21" s="272"/>
      <c r="R21" s="272"/>
      <c r="S21" s="272"/>
      <c r="T21" s="272"/>
      <c r="U21" s="272"/>
      <c r="V21" s="272"/>
      <c r="W21" s="272"/>
      <c r="X21" s="272"/>
      <c r="Y21" s="272"/>
      <c r="Z21" s="272"/>
      <c r="AA21" s="272"/>
      <c r="AB21" s="272"/>
      <c r="AC21" s="272"/>
      <c r="AD21" s="272"/>
      <c r="AE21" s="322">
        <f t="shared" si="2"/>
        <v>0</v>
      </c>
      <c r="AF21" s="322">
        <f t="shared" si="3"/>
        <v>0</v>
      </c>
      <c r="AG21" s="326">
        <f t="shared" si="4"/>
        <v>0</v>
      </c>
      <c r="AH21" s="11" t="s">
        <v>101</v>
      </c>
      <c r="AI21" s="272">
        <v>62.67</v>
      </c>
      <c r="AJ21" s="272">
        <v>62.67</v>
      </c>
      <c r="AK21" s="272">
        <v>62.67</v>
      </c>
      <c r="AL21" s="272">
        <v>82.32</v>
      </c>
      <c r="AM21" s="272">
        <v>82.32</v>
      </c>
      <c r="AN21" s="272">
        <v>82.32</v>
      </c>
      <c r="AO21" s="272"/>
      <c r="AP21" s="272">
        <v>3020</v>
      </c>
      <c r="AQ21" s="272">
        <v>3789.3315699999998</v>
      </c>
      <c r="AR21" s="272">
        <f t="shared" si="5"/>
        <v>144.99</v>
      </c>
      <c r="AS21" s="272">
        <f t="shared" si="6"/>
        <v>3164.99</v>
      </c>
      <c r="AT21" s="331">
        <f t="shared" si="7"/>
        <v>3934.3215700000001</v>
      </c>
      <c r="AU21" s="11" t="s">
        <v>101</v>
      </c>
      <c r="AV21" s="330"/>
      <c r="AW21" s="272"/>
      <c r="AX21" s="272"/>
      <c r="AY21" s="272"/>
      <c r="AZ21" s="272"/>
      <c r="BA21" s="272"/>
      <c r="BB21" s="272">
        <f t="shared" si="8"/>
        <v>0</v>
      </c>
      <c r="BC21" s="272">
        <f t="shared" si="9"/>
        <v>0</v>
      </c>
      <c r="BD21" s="331">
        <f t="shared" si="10"/>
        <v>0</v>
      </c>
    </row>
    <row r="22" spans="1:56">
      <c r="A22" s="12" t="s">
        <v>117</v>
      </c>
      <c r="B22" s="333">
        <v>560.77236949043277</v>
      </c>
      <c r="C22" s="273">
        <v>883.2434016702274</v>
      </c>
      <c r="D22" s="273">
        <v>860.36996268513496</v>
      </c>
      <c r="E22" s="273">
        <v>927.05068715292145</v>
      </c>
      <c r="F22" s="273">
        <v>1341.0684317784187</v>
      </c>
      <c r="G22" s="273">
        <v>1642.9315203810932</v>
      </c>
      <c r="H22" s="323">
        <f t="shared" ref="H22:J28" si="15">B22+E22</f>
        <v>1487.8230566433542</v>
      </c>
      <c r="I22" s="323">
        <f t="shared" si="15"/>
        <v>2224.3118334486462</v>
      </c>
      <c r="J22" s="323">
        <f t="shared" si="15"/>
        <v>2503.3014830662282</v>
      </c>
      <c r="K22" s="285">
        <f t="shared" si="12"/>
        <v>1856.0674450460001</v>
      </c>
      <c r="L22" s="12" t="s">
        <v>117</v>
      </c>
      <c r="M22" s="273">
        <v>1000</v>
      </c>
      <c r="N22" s="273">
        <v>1500</v>
      </c>
      <c r="O22" s="273">
        <v>1695</v>
      </c>
      <c r="P22" s="273"/>
      <c r="Q22" s="273">
        <v>3200</v>
      </c>
      <c r="R22" s="273">
        <v>3616</v>
      </c>
      <c r="S22" s="273">
        <v>650</v>
      </c>
      <c r="T22" s="273">
        <v>850</v>
      </c>
      <c r="U22" s="273">
        <v>960.5</v>
      </c>
      <c r="V22" s="273">
        <v>940</v>
      </c>
      <c r="W22" s="273">
        <v>2000</v>
      </c>
      <c r="X22" s="273">
        <v>2260</v>
      </c>
      <c r="Y22" s="273">
        <v>950.41577150000001</v>
      </c>
      <c r="Z22" s="273">
        <v>1187.087524</v>
      </c>
      <c r="AA22" s="273">
        <v>1341.4089019999999</v>
      </c>
      <c r="AB22" s="273">
        <v>950.41577150000001</v>
      </c>
      <c r="AC22" s="273">
        <v>1187.087524</v>
      </c>
      <c r="AD22" s="273">
        <v>1341.4089019999999</v>
      </c>
      <c r="AE22" s="323">
        <f t="shared" si="2"/>
        <v>4490.8315430000002</v>
      </c>
      <c r="AF22" s="323">
        <f t="shared" si="3"/>
        <v>9924.175048000001</v>
      </c>
      <c r="AG22" s="324">
        <f t="shared" si="4"/>
        <v>11214.317803999998</v>
      </c>
      <c r="AH22" s="12" t="s">
        <v>117</v>
      </c>
      <c r="AI22" s="273">
        <v>87</v>
      </c>
      <c r="AJ22" s="273">
        <v>87</v>
      </c>
      <c r="AK22" s="273">
        <v>87</v>
      </c>
      <c r="AL22" s="273">
        <v>128.00000001000001</v>
      </c>
      <c r="AM22" s="273">
        <v>38</v>
      </c>
      <c r="AN22" s="273"/>
      <c r="AO22" s="273"/>
      <c r="AP22" s="273">
        <v>0</v>
      </c>
      <c r="AQ22" s="273">
        <v>44.611832290000002</v>
      </c>
      <c r="AR22" s="273">
        <f t="shared" si="5"/>
        <v>215.00000001000001</v>
      </c>
      <c r="AS22" s="273">
        <f t="shared" si="6"/>
        <v>125</v>
      </c>
      <c r="AT22" s="332">
        <f t="shared" si="7"/>
        <v>131.61183229</v>
      </c>
      <c r="AU22" s="12" t="s">
        <v>117</v>
      </c>
      <c r="AV22" s="333"/>
      <c r="AW22" s="273"/>
      <c r="AX22" s="273"/>
      <c r="AY22" s="273"/>
      <c r="AZ22" s="273"/>
      <c r="BA22" s="273"/>
      <c r="BB22" s="273">
        <f t="shared" si="8"/>
        <v>0</v>
      </c>
      <c r="BC22" s="273">
        <f t="shared" si="9"/>
        <v>0</v>
      </c>
      <c r="BD22" s="332">
        <f t="shared" si="10"/>
        <v>0</v>
      </c>
    </row>
    <row r="23" spans="1:56">
      <c r="A23" s="9" t="s">
        <v>118</v>
      </c>
      <c r="B23" s="336">
        <v>110.2920783257356</v>
      </c>
      <c r="C23" s="321">
        <v>80.422018456278622</v>
      </c>
      <c r="D23" s="321">
        <v>71.217565218300876</v>
      </c>
      <c r="E23" s="321">
        <v>0</v>
      </c>
      <c r="F23" s="321">
        <v>0</v>
      </c>
      <c r="G23" s="321">
        <v>0</v>
      </c>
      <c r="H23" s="285">
        <f t="shared" si="15"/>
        <v>110.2920783257356</v>
      </c>
      <c r="I23" s="285">
        <f t="shared" si="15"/>
        <v>80.422018456278622</v>
      </c>
      <c r="J23" s="285">
        <f t="shared" si="15"/>
        <v>71.217565218300876</v>
      </c>
      <c r="K23" s="285">
        <f t="shared" si="12"/>
        <v>95.357048391007112</v>
      </c>
      <c r="L23" s="9" t="s">
        <v>118</v>
      </c>
      <c r="M23" s="321">
        <v>1423</v>
      </c>
      <c r="N23" s="321">
        <v>1423</v>
      </c>
      <c r="O23" s="321">
        <v>1607.99</v>
      </c>
      <c r="P23" s="321"/>
      <c r="Q23" s="321"/>
      <c r="R23" s="321"/>
      <c r="S23" s="321"/>
      <c r="T23" s="321"/>
      <c r="U23" s="321"/>
      <c r="V23" s="321"/>
      <c r="W23" s="321"/>
      <c r="X23" s="321"/>
      <c r="Y23" s="321"/>
      <c r="Z23" s="321"/>
      <c r="AA23" s="321"/>
      <c r="AB23" s="321"/>
      <c r="AC23" s="321"/>
      <c r="AD23" s="321"/>
      <c r="AE23" s="285">
        <f t="shared" si="2"/>
        <v>1423</v>
      </c>
      <c r="AF23" s="285">
        <f t="shared" si="3"/>
        <v>1423</v>
      </c>
      <c r="AG23" s="325">
        <f t="shared" si="4"/>
        <v>1607.99</v>
      </c>
      <c r="AH23" s="9" t="s">
        <v>118</v>
      </c>
      <c r="AI23" s="321"/>
      <c r="AJ23" s="321"/>
      <c r="AK23" s="321"/>
      <c r="AL23" s="321"/>
      <c r="AM23" s="321"/>
      <c r="AN23" s="321"/>
      <c r="AO23" s="321"/>
      <c r="AP23" s="321"/>
      <c r="AQ23" s="321"/>
      <c r="AR23" s="321">
        <f t="shared" si="5"/>
        <v>0</v>
      </c>
      <c r="AS23" s="321">
        <f t="shared" si="6"/>
        <v>0</v>
      </c>
      <c r="AT23" s="329">
        <f t="shared" si="7"/>
        <v>0</v>
      </c>
      <c r="AU23" s="9" t="s">
        <v>118</v>
      </c>
      <c r="AV23" s="336"/>
      <c r="AW23" s="321"/>
      <c r="AX23" s="321"/>
      <c r="AY23" s="321">
        <v>4455.9536132800004</v>
      </c>
      <c r="AZ23" s="321">
        <v>4455.9536132800004</v>
      </c>
      <c r="BA23" s="321">
        <v>4455.9536132800004</v>
      </c>
      <c r="BB23" s="321">
        <f t="shared" si="8"/>
        <v>4455.9536132800004</v>
      </c>
      <c r="BC23" s="321">
        <f t="shared" si="9"/>
        <v>4455.9536132800004</v>
      </c>
      <c r="BD23" s="329">
        <f t="shared" si="10"/>
        <v>4455.9536132800004</v>
      </c>
    </row>
    <row r="24" spans="1:56">
      <c r="A24" s="10" t="s">
        <v>119</v>
      </c>
      <c r="B24" s="335">
        <v>0</v>
      </c>
      <c r="C24" s="184">
        <v>0</v>
      </c>
      <c r="D24" s="184">
        <v>0</v>
      </c>
      <c r="E24" s="184">
        <v>0</v>
      </c>
      <c r="F24" s="184">
        <v>0</v>
      </c>
      <c r="G24" s="184">
        <v>0</v>
      </c>
      <c r="H24" s="70">
        <f t="shared" si="15"/>
        <v>0</v>
      </c>
      <c r="I24" s="70">
        <f t="shared" si="15"/>
        <v>0</v>
      </c>
      <c r="J24" s="70">
        <f t="shared" si="15"/>
        <v>0</v>
      </c>
      <c r="K24" s="70">
        <f t="shared" si="12"/>
        <v>0</v>
      </c>
      <c r="L24" s="10" t="s">
        <v>119</v>
      </c>
      <c r="M24" s="184">
        <v>1296</v>
      </c>
      <c r="N24" s="184">
        <v>1296</v>
      </c>
      <c r="O24" s="184">
        <v>1464.48</v>
      </c>
      <c r="P24" s="184"/>
      <c r="Q24" s="184"/>
      <c r="R24" s="184"/>
      <c r="S24" s="184"/>
      <c r="T24" s="184"/>
      <c r="U24" s="184"/>
      <c r="V24" s="184"/>
      <c r="W24" s="184"/>
      <c r="X24" s="184"/>
      <c r="Y24" s="184"/>
      <c r="Z24" s="184"/>
      <c r="AA24" s="184"/>
      <c r="AB24" s="184"/>
      <c r="AC24" s="184"/>
      <c r="AD24" s="184"/>
      <c r="AE24" s="70">
        <f t="shared" si="2"/>
        <v>1296</v>
      </c>
      <c r="AF24" s="70">
        <f t="shared" si="3"/>
        <v>1296</v>
      </c>
      <c r="AG24" s="327">
        <f t="shared" si="4"/>
        <v>1464.48</v>
      </c>
      <c r="AH24" s="10" t="s">
        <v>119</v>
      </c>
      <c r="AI24" s="184"/>
      <c r="AJ24" s="184"/>
      <c r="AK24" s="184"/>
      <c r="AL24" s="184"/>
      <c r="AM24" s="184"/>
      <c r="AN24" s="184"/>
      <c r="AO24" s="184"/>
      <c r="AP24" s="184"/>
      <c r="AQ24" s="184">
        <v>0</v>
      </c>
      <c r="AR24" s="184">
        <f t="shared" si="5"/>
        <v>0</v>
      </c>
      <c r="AS24" s="184">
        <f t="shared" si="6"/>
        <v>0</v>
      </c>
      <c r="AT24" s="334">
        <f t="shared" si="7"/>
        <v>0</v>
      </c>
      <c r="AU24" s="10" t="s">
        <v>119</v>
      </c>
      <c r="AV24" s="335"/>
      <c r="AW24" s="184"/>
      <c r="AX24" s="184"/>
      <c r="AY24" s="184">
        <v>5292.9404296900002</v>
      </c>
      <c r="AZ24" s="184">
        <v>5272.9404296900002</v>
      </c>
      <c r="BA24" s="184">
        <v>5272.9404296900002</v>
      </c>
      <c r="BB24" s="184">
        <f t="shared" si="8"/>
        <v>5292.9404296900002</v>
      </c>
      <c r="BC24" s="184">
        <f t="shared" si="9"/>
        <v>5272.9404296900002</v>
      </c>
      <c r="BD24" s="334">
        <f t="shared" si="10"/>
        <v>5272.9404296900002</v>
      </c>
    </row>
    <row r="25" spans="1:56">
      <c r="A25" s="11" t="s">
        <v>120</v>
      </c>
      <c r="B25" s="330">
        <v>297.78861147948612</v>
      </c>
      <c r="C25" s="272">
        <v>217.13944983195228</v>
      </c>
      <c r="D25" s="272">
        <v>192.28742608941235</v>
      </c>
      <c r="E25" s="272">
        <v>0</v>
      </c>
      <c r="F25" s="272">
        <v>0</v>
      </c>
      <c r="G25" s="272">
        <v>0</v>
      </c>
      <c r="H25" s="322">
        <f t="shared" si="15"/>
        <v>297.78861147948612</v>
      </c>
      <c r="I25" s="322">
        <f t="shared" si="15"/>
        <v>217.13944983195228</v>
      </c>
      <c r="J25" s="322">
        <f t="shared" si="15"/>
        <v>192.28742608941235</v>
      </c>
      <c r="K25" s="70">
        <f t="shared" si="12"/>
        <v>257.46403065571917</v>
      </c>
      <c r="L25" s="11" t="s">
        <v>120</v>
      </c>
      <c r="M25" s="272">
        <v>3575</v>
      </c>
      <c r="N25" s="272">
        <v>3575</v>
      </c>
      <c r="O25" s="272">
        <v>4039.75</v>
      </c>
      <c r="P25" s="272"/>
      <c r="Q25" s="272"/>
      <c r="R25" s="272"/>
      <c r="S25" s="272"/>
      <c r="T25" s="272"/>
      <c r="U25" s="272"/>
      <c r="V25" s="272"/>
      <c r="W25" s="272"/>
      <c r="X25" s="272"/>
      <c r="Y25" s="272"/>
      <c r="Z25" s="272"/>
      <c r="AA25" s="272"/>
      <c r="AB25" s="272"/>
      <c r="AC25" s="272"/>
      <c r="AD25" s="272"/>
      <c r="AE25" s="322">
        <f t="shared" si="2"/>
        <v>3575</v>
      </c>
      <c r="AF25" s="322">
        <f t="shared" si="3"/>
        <v>3575</v>
      </c>
      <c r="AG25" s="326">
        <f t="shared" si="4"/>
        <v>4039.75</v>
      </c>
      <c r="AH25" s="11" t="s">
        <v>120</v>
      </c>
      <c r="AI25" s="272"/>
      <c r="AJ25" s="272"/>
      <c r="AK25" s="272"/>
      <c r="AL25" s="272"/>
      <c r="AM25" s="272"/>
      <c r="AN25" s="272"/>
      <c r="AO25" s="272"/>
      <c r="AP25" s="272">
        <v>878</v>
      </c>
      <c r="AQ25" s="272">
        <v>878</v>
      </c>
      <c r="AR25" s="272">
        <f t="shared" si="5"/>
        <v>0</v>
      </c>
      <c r="AS25" s="272">
        <f t="shared" si="6"/>
        <v>878</v>
      </c>
      <c r="AT25" s="331">
        <f t="shared" si="7"/>
        <v>878</v>
      </c>
      <c r="AU25" s="11" t="s">
        <v>120</v>
      </c>
      <c r="AV25" s="330"/>
      <c r="AW25" s="272"/>
      <c r="AX25" s="272"/>
      <c r="AY25" s="272">
        <v>23611.787109379999</v>
      </c>
      <c r="AZ25" s="272">
        <v>23491.787109379999</v>
      </c>
      <c r="BA25" s="272">
        <v>23491.787109379999</v>
      </c>
      <c r="BB25" s="272">
        <f t="shared" si="8"/>
        <v>23611.787109379999</v>
      </c>
      <c r="BC25" s="272">
        <f t="shared" si="9"/>
        <v>23491.787109379999</v>
      </c>
      <c r="BD25" s="331">
        <f t="shared" si="10"/>
        <v>23491.787109379999</v>
      </c>
    </row>
    <row r="26" spans="1:56">
      <c r="A26" s="12" t="s">
        <v>121</v>
      </c>
      <c r="B26" s="333">
        <v>327.44492587373946</v>
      </c>
      <c r="C26" s="273">
        <v>446.78899142377009</v>
      </c>
      <c r="D26" s="273">
        <v>435.2184541118387</v>
      </c>
      <c r="E26" s="273">
        <v>334.37839328003895</v>
      </c>
      <c r="F26" s="273">
        <v>419.04056826080324</v>
      </c>
      <c r="G26" s="273">
        <v>513.3630332354511</v>
      </c>
      <c r="H26" s="323">
        <f t="shared" si="15"/>
        <v>661.82331915377836</v>
      </c>
      <c r="I26" s="323">
        <f t="shared" si="15"/>
        <v>865.82955968457327</v>
      </c>
      <c r="J26" s="323">
        <f t="shared" si="15"/>
        <v>948.58148734728979</v>
      </c>
      <c r="K26" s="285">
        <f t="shared" si="12"/>
        <v>763.82643941917581</v>
      </c>
      <c r="L26" s="12" t="s">
        <v>121</v>
      </c>
      <c r="M26" s="273">
        <v>40</v>
      </c>
      <c r="N26" s="273">
        <v>50</v>
      </c>
      <c r="O26" s="273">
        <v>56.5</v>
      </c>
      <c r="P26" s="273"/>
      <c r="Q26" s="273"/>
      <c r="R26" s="273"/>
      <c r="S26" s="273"/>
      <c r="T26" s="273"/>
      <c r="U26" s="273"/>
      <c r="V26" s="273"/>
      <c r="W26" s="273"/>
      <c r="X26" s="273"/>
      <c r="Y26" s="273"/>
      <c r="Z26" s="273"/>
      <c r="AA26" s="273"/>
      <c r="AB26" s="273"/>
      <c r="AC26" s="273"/>
      <c r="AD26" s="273"/>
      <c r="AE26" s="323">
        <f t="shared" si="2"/>
        <v>40</v>
      </c>
      <c r="AF26" s="323">
        <f t="shared" si="3"/>
        <v>50</v>
      </c>
      <c r="AG26" s="324">
        <f t="shared" si="4"/>
        <v>56.5</v>
      </c>
      <c r="AH26" s="12" t="s">
        <v>121</v>
      </c>
      <c r="AI26" s="273"/>
      <c r="AJ26" s="273"/>
      <c r="AK26" s="273"/>
      <c r="AL26" s="273"/>
      <c r="AM26" s="273"/>
      <c r="AN26" s="273"/>
      <c r="AO26" s="273"/>
      <c r="AP26" s="273">
        <v>808</v>
      </c>
      <c r="AQ26" s="273">
        <v>808</v>
      </c>
      <c r="AR26" s="273">
        <f t="shared" si="5"/>
        <v>0</v>
      </c>
      <c r="AS26" s="273">
        <f t="shared" si="6"/>
        <v>808</v>
      </c>
      <c r="AT26" s="332">
        <f t="shared" si="7"/>
        <v>808</v>
      </c>
      <c r="AU26" s="12" t="s">
        <v>121</v>
      </c>
      <c r="AV26" s="273">
        <v>930</v>
      </c>
      <c r="AW26" s="273">
        <v>930</v>
      </c>
      <c r="AX26" s="273">
        <v>930</v>
      </c>
      <c r="AY26" s="273"/>
      <c r="AZ26" s="273"/>
      <c r="BA26" s="273"/>
      <c r="BB26" s="273">
        <f t="shared" si="8"/>
        <v>930</v>
      </c>
      <c r="BC26" s="273">
        <f t="shared" si="9"/>
        <v>930</v>
      </c>
      <c r="BD26" s="332">
        <f t="shared" si="10"/>
        <v>930</v>
      </c>
    </row>
    <row r="27" spans="1:56">
      <c r="A27" s="12" t="s">
        <v>122</v>
      </c>
      <c r="B27" s="333">
        <v>28.642634975185231</v>
      </c>
      <c r="C27" s="273">
        <v>93.716715274254213</v>
      </c>
      <c r="D27" s="273">
        <v>91.289724521019821</v>
      </c>
      <c r="E27" s="273">
        <v>9.79505652455037</v>
      </c>
      <c r="F27" s="273">
        <v>29.435044794905203</v>
      </c>
      <c r="G27" s="273">
        <v>36.060622822392673</v>
      </c>
      <c r="H27" s="323">
        <f t="shared" si="15"/>
        <v>38.4376914997356</v>
      </c>
      <c r="I27" s="323">
        <f t="shared" si="15"/>
        <v>123.15176006915942</v>
      </c>
      <c r="J27" s="323">
        <f t="shared" si="15"/>
        <v>127.35034734341249</v>
      </c>
      <c r="K27" s="285">
        <f t="shared" si="12"/>
        <v>80.794725784447508</v>
      </c>
      <c r="L27" s="12" t="s">
        <v>122</v>
      </c>
      <c r="M27" s="273">
        <v>0.3</v>
      </c>
      <c r="N27" s="273">
        <v>0.3</v>
      </c>
      <c r="O27" s="273">
        <v>0.33900000000000002</v>
      </c>
      <c r="P27" s="273">
        <v>1.5</v>
      </c>
      <c r="Q27" s="273">
        <v>1.5</v>
      </c>
      <c r="R27" s="273">
        <v>1.6950000000000001</v>
      </c>
      <c r="S27" s="273">
        <v>5</v>
      </c>
      <c r="T27" s="273">
        <v>5</v>
      </c>
      <c r="U27" s="273">
        <v>5.65</v>
      </c>
      <c r="V27" s="273">
        <v>30</v>
      </c>
      <c r="W27" s="273">
        <v>30</v>
      </c>
      <c r="X27" s="273">
        <v>33.9</v>
      </c>
      <c r="Y27" s="273"/>
      <c r="Z27" s="273"/>
      <c r="AA27" s="273"/>
      <c r="AB27" s="273"/>
      <c r="AC27" s="273"/>
      <c r="AD27" s="273"/>
      <c r="AE27" s="323">
        <f t="shared" si="2"/>
        <v>36.799999999999997</v>
      </c>
      <c r="AF27" s="323">
        <f t="shared" si="3"/>
        <v>36.799999999999997</v>
      </c>
      <c r="AG27" s="324">
        <f t="shared" si="4"/>
        <v>41.584000000000003</v>
      </c>
      <c r="AH27" s="12" t="s">
        <v>122</v>
      </c>
      <c r="AI27" s="273"/>
      <c r="AJ27" s="273"/>
      <c r="AK27" s="273"/>
      <c r="AL27" s="273"/>
      <c r="AM27" s="273"/>
      <c r="AN27" s="273"/>
      <c r="AO27" s="273"/>
      <c r="AP27" s="273">
        <v>0</v>
      </c>
      <c r="AQ27" s="273">
        <v>552.12907099999995</v>
      </c>
      <c r="AR27" s="273">
        <f t="shared" si="5"/>
        <v>0</v>
      </c>
      <c r="AS27" s="273">
        <f t="shared" si="6"/>
        <v>0</v>
      </c>
      <c r="AT27" s="332">
        <f t="shared" si="7"/>
        <v>552.12907099999995</v>
      </c>
      <c r="AU27" s="12" t="s">
        <v>122</v>
      </c>
      <c r="AV27" s="333"/>
      <c r="AW27" s="273"/>
      <c r="AX27" s="273"/>
      <c r="AY27" s="273"/>
      <c r="AZ27" s="273"/>
      <c r="BA27" s="273"/>
      <c r="BB27" s="273">
        <f t="shared" si="8"/>
        <v>0</v>
      </c>
      <c r="BC27" s="273">
        <f t="shared" si="9"/>
        <v>0</v>
      </c>
      <c r="BD27" s="332">
        <f t="shared" si="10"/>
        <v>0</v>
      </c>
    </row>
    <row r="28" spans="1:56">
      <c r="A28" s="12" t="s">
        <v>123</v>
      </c>
      <c r="B28" s="333">
        <v>203.42761113413457</v>
      </c>
      <c r="C28" s="273">
        <v>280.53880771498524</v>
      </c>
      <c r="D28" s="273">
        <v>273.27366733682351</v>
      </c>
      <c r="E28" s="273">
        <v>207.73507965750923</v>
      </c>
      <c r="F28" s="273">
        <v>263.11557281095833</v>
      </c>
      <c r="G28" s="273">
        <v>322.34064856853979</v>
      </c>
      <c r="H28" s="323">
        <f t="shared" si="15"/>
        <v>411.1626907916438</v>
      </c>
      <c r="I28" s="323">
        <f t="shared" si="15"/>
        <v>543.65438052594357</v>
      </c>
      <c r="J28" s="323">
        <f t="shared" si="15"/>
        <v>595.61431590536336</v>
      </c>
      <c r="K28" s="324">
        <f t="shared" si="12"/>
        <v>477.40853565879365</v>
      </c>
      <c r="L28" s="12" t="s">
        <v>123</v>
      </c>
      <c r="M28" s="281">
        <v>90</v>
      </c>
      <c r="N28" s="281">
        <v>173.33333329999999</v>
      </c>
      <c r="O28" s="281">
        <v>195.8666667</v>
      </c>
      <c r="P28" s="281"/>
      <c r="Q28" s="281"/>
      <c r="R28" s="281"/>
      <c r="S28" s="281"/>
      <c r="T28" s="281"/>
      <c r="U28" s="281"/>
      <c r="V28" s="281"/>
      <c r="W28" s="281"/>
      <c r="X28" s="281"/>
      <c r="Y28" s="281"/>
      <c r="Z28" s="281"/>
      <c r="AA28" s="281"/>
      <c r="AB28" s="281"/>
      <c r="AC28" s="281"/>
      <c r="AD28" s="281"/>
      <c r="AE28" s="323">
        <f t="shared" si="2"/>
        <v>90</v>
      </c>
      <c r="AF28" s="323">
        <f t="shared" si="3"/>
        <v>173.33333329999999</v>
      </c>
      <c r="AG28" s="324">
        <f t="shared" si="4"/>
        <v>195.8666667</v>
      </c>
      <c r="AH28" s="12" t="s">
        <v>123</v>
      </c>
      <c r="AI28" s="273"/>
      <c r="AJ28" s="273"/>
      <c r="AK28" s="273"/>
      <c r="AL28" s="273"/>
      <c r="AM28" s="273"/>
      <c r="AN28" s="273"/>
      <c r="AO28" s="273"/>
      <c r="AP28" s="273"/>
      <c r="AQ28" s="273">
        <v>419.3234746</v>
      </c>
      <c r="AR28" s="273">
        <f t="shared" si="5"/>
        <v>0</v>
      </c>
      <c r="AS28" s="273">
        <f t="shared" si="6"/>
        <v>0</v>
      </c>
      <c r="AT28" s="332">
        <f t="shared" si="7"/>
        <v>419.3234746</v>
      </c>
      <c r="AU28" s="12" t="s">
        <v>123</v>
      </c>
      <c r="AV28" s="333"/>
      <c r="AW28" s="273"/>
      <c r="AX28" s="273"/>
      <c r="AY28" s="273"/>
      <c r="AZ28" s="273"/>
      <c r="BA28" s="273"/>
      <c r="BB28" s="273">
        <f t="shared" si="8"/>
        <v>0</v>
      </c>
      <c r="BC28" s="273">
        <f t="shared" si="9"/>
        <v>0</v>
      </c>
      <c r="BD28" s="332">
        <f t="shared" si="10"/>
        <v>0</v>
      </c>
    </row>
    <row r="29" spans="1:56">
      <c r="A29" s="77" t="s">
        <v>161</v>
      </c>
      <c r="B29" s="77"/>
      <c r="C29" s="765">
        <v>2030</v>
      </c>
      <c r="D29" s="765"/>
      <c r="E29" s="765"/>
      <c r="F29" s="765"/>
      <c r="G29" s="765">
        <v>2040</v>
      </c>
      <c r="H29" s="765"/>
      <c r="I29" s="765"/>
      <c r="J29" s="765"/>
      <c r="K29" s="765">
        <v>2050</v>
      </c>
      <c r="L29" s="765"/>
      <c r="M29" s="765"/>
      <c r="N29" s="765"/>
      <c r="O29" s="765">
        <v>2035</v>
      </c>
      <c r="P29" s="765"/>
      <c r="Q29" s="765"/>
      <c r="R29" s="765"/>
      <c r="S29" s="766" t="s">
        <v>302</v>
      </c>
      <c r="T29" s="766"/>
      <c r="U29" s="765">
        <v>2030</v>
      </c>
      <c r="V29" s="765"/>
      <c r="W29" s="765"/>
      <c r="X29" s="765"/>
      <c r="Y29" s="765">
        <v>2040</v>
      </c>
      <c r="Z29" s="765"/>
      <c r="AA29" s="765"/>
      <c r="AB29" s="765"/>
      <c r="AC29" s="765">
        <v>2050</v>
      </c>
      <c r="AD29" s="765"/>
      <c r="AE29" s="765"/>
      <c r="AF29" s="765"/>
    </row>
    <row r="30" spans="1:56">
      <c r="A30" s="77"/>
      <c r="B30" s="77"/>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67"/>
      <c r="T30" s="767"/>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19" t="s">
        <v>38</v>
      </c>
      <c r="B31" s="19"/>
      <c r="C31" s="70">
        <f>SUM(BB5:BB6)</f>
        <v>9025.7401123099989</v>
      </c>
      <c r="D31" s="70">
        <f>SUM(AE5:AE6)</f>
        <v>1758.8649520500001</v>
      </c>
      <c r="E31" s="70">
        <f>SUM(H5:H6)</f>
        <v>18249.678950318259</v>
      </c>
      <c r="F31" s="70">
        <f>SUM(AR5:AR6)</f>
        <v>12224.56800033</v>
      </c>
      <c r="G31" s="70">
        <f>SUM(BC5:BC6)</f>
        <v>9295.7401123099989</v>
      </c>
      <c r="H31" s="70">
        <f>SUM(AF5:AF6)</f>
        <v>3174.5999753999999</v>
      </c>
      <c r="I31" s="70">
        <f>SUM(I5:I6)</f>
        <v>38276.593174535621</v>
      </c>
      <c r="J31" s="70">
        <f>SUM(AS5:AS6)</f>
        <v>39900.868000299997</v>
      </c>
      <c r="K31" s="70">
        <f>SUM(BD5:BD6)</f>
        <v>9295.7401123099989</v>
      </c>
      <c r="L31" s="70">
        <f>SUM(AG5:AG6)</f>
        <v>3587.2979716</v>
      </c>
      <c r="M31" s="70">
        <f>SUM(J5:J6)</f>
        <v>63537.712716134833</v>
      </c>
      <c r="N31" s="70">
        <f>SUM(AT5:AT6)</f>
        <v>48334.117999950002</v>
      </c>
      <c r="O31" s="111">
        <f>(C31+G31)/2</f>
        <v>9160.7401123099989</v>
      </c>
      <c r="P31" s="111">
        <f t="shared" ref="P31:R44" si="16">(D31+H31)/2</f>
        <v>2466.7324637249999</v>
      </c>
      <c r="Q31" s="111">
        <f>(E31+I31)/2</f>
        <v>28263.13606242694</v>
      </c>
      <c r="R31" s="111">
        <f t="shared" si="16"/>
        <v>26062.718000314999</v>
      </c>
      <c r="S31" s="19" t="s">
        <v>51</v>
      </c>
      <c r="T31" s="19"/>
      <c r="U31" s="70">
        <v>0</v>
      </c>
      <c r="V31" s="70">
        <v>90</v>
      </c>
      <c r="W31" s="70">
        <v>543.65438052594357</v>
      </c>
      <c r="X31" s="70">
        <v>0</v>
      </c>
      <c r="Y31" s="70">
        <f t="shared" ref="Y31:AF31" si="17">G44-C44</f>
        <v>0</v>
      </c>
      <c r="Z31" s="70">
        <f t="shared" si="17"/>
        <v>83.333333299999993</v>
      </c>
      <c r="AA31" s="70">
        <f t="shared" si="17"/>
        <v>132.49168973429977</v>
      </c>
      <c r="AB31" s="70">
        <f t="shared" si="17"/>
        <v>0</v>
      </c>
      <c r="AC31" s="70">
        <f t="shared" si="17"/>
        <v>0</v>
      </c>
      <c r="AD31" s="70">
        <f t="shared" si="17"/>
        <v>22.533333400000004</v>
      </c>
      <c r="AE31" s="70">
        <f t="shared" si="17"/>
        <v>51.95993537941979</v>
      </c>
      <c r="AF31" s="70">
        <f t="shared" si="17"/>
        <v>419.3234746</v>
      </c>
    </row>
    <row r="32" spans="1:56">
      <c r="A32" s="19" t="s">
        <v>39</v>
      </c>
      <c r="B32" s="19"/>
      <c r="C32" s="70">
        <f>SUM(BB7:BB8)</f>
        <v>3800</v>
      </c>
      <c r="D32" s="70">
        <f>SUM(AE7:AE8)</f>
        <v>5481.5</v>
      </c>
      <c r="E32" s="70">
        <f>SUM(H7:H8)</f>
        <v>1304.7727783626831</v>
      </c>
      <c r="F32" s="70">
        <f>SUM(AR7:AR8)</f>
        <v>636.00000010000008</v>
      </c>
      <c r="G32" s="70">
        <f>SUM(BC7:BC8)</f>
        <v>4843.1372070300004</v>
      </c>
      <c r="H32" s="70">
        <f>SUM(AF7:AF8)</f>
        <v>5481.5</v>
      </c>
      <c r="I32" s="70">
        <f>SUM(I7:I8)</f>
        <v>2741.2493690411548</v>
      </c>
      <c r="J32" s="70">
        <f>SUM(AS7:AS8)</f>
        <v>16869.000000100001</v>
      </c>
      <c r="K32" s="70">
        <f>SUM(BD7:BD8)</f>
        <v>4843.1372070300004</v>
      </c>
      <c r="L32" s="70">
        <f>SUM(AG7:AG8)</f>
        <v>6194.0949999999993</v>
      </c>
      <c r="M32" s="70">
        <f>SUM(J7:J8)</f>
        <v>4529.6491606402351</v>
      </c>
      <c r="N32" s="70">
        <f>SUM(AT7:AT8)</f>
        <v>39806.894370100003</v>
      </c>
      <c r="O32" s="111">
        <f t="shared" ref="O32:O44" si="18">(C32+G32)/2</f>
        <v>4321.5686035150002</v>
      </c>
      <c r="P32" s="111">
        <f t="shared" si="16"/>
        <v>5481.5</v>
      </c>
      <c r="Q32" s="111">
        <f t="shared" si="16"/>
        <v>2023.011073701919</v>
      </c>
      <c r="R32" s="111">
        <f t="shared" si="16"/>
        <v>8752.5000001000008</v>
      </c>
      <c r="S32" s="19" t="s">
        <v>50</v>
      </c>
      <c r="T32" s="19"/>
      <c r="U32" s="70">
        <v>0</v>
      </c>
      <c r="V32" s="70">
        <v>36.799999999999997</v>
      </c>
      <c r="W32" s="70">
        <v>38.4376914997356</v>
      </c>
      <c r="X32" s="70">
        <v>0</v>
      </c>
      <c r="Y32" s="70">
        <f t="shared" ref="Y32:AF32" si="19">G43-C43</f>
        <v>0</v>
      </c>
      <c r="Z32" s="70">
        <f t="shared" si="19"/>
        <v>0</v>
      </c>
      <c r="AA32" s="70">
        <f t="shared" si="19"/>
        <v>84.71406856942383</v>
      </c>
      <c r="AB32" s="70">
        <f t="shared" si="19"/>
        <v>0</v>
      </c>
      <c r="AC32" s="70">
        <f t="shared" si="19"/>
        <v>0</v>
      </c>
      <c r="AD32" s="70">
        <f t="shared" si="19"/>
        <v>4.784000000000006</v>
      </c>
      <c r="AE32" s="70">
        <f t="shared" si="19"/>
        <v>4.1985872742530717</v>
      </c>
      <c r="AF32" s="70">
        <f t="shared" si="19"/>
        <v>552.12907099999995</v>
      </c>
    </row>
    <row r="33" spans="1:56">
      <c r="A33" s="19" t="s">
        <v>75</v>
      </c>
      <c r="B33" s="19"/>
      <c r="C33" s="70">
        <f>SUM(BB9:BB10)</f>
        <v>2744</v>
      </c>
      <c r="D33" s="70">
        <f>SUM(AE9:AE10)</f>
        <v>4357.12</v>
      </c>
      <c r="E33" s="70">
        <f>SUM(H9:H10)</f>
        <v>20392.219873670234</v>
      </c>
      <c r="F33" s="70">
        <f>SUM(AR9:AR10)</f>
        <v>5810.7899999199999</v>
      </c>
      <c r="G33" s="70">
        <f>SUM(BC9:BC10)</f>
        <v>2744</v>
      </c>
      <c r="H33" s="70">
        <f>SUM(AF9:AF10)</f>
        <v>8031.08</v>
      </c>
      <c r="I33" s="70">
        <f>SUM(I9:I10)</f>
        <v>27311.529198566259</v>
      </c>
      <c r="J33" s="70">
        <f>SUM(AS9:AS10)</f>
        <v>34306.27462222</v>
      </c>
      <c r="K33" s="70">
        <f>SUM(BD9:BD10)</f>
        <v>2744</v>
      </c>
      <c r="L33" s="70">
        <f>SUM(AG9:AG10)</f>
        <v>9075.1203999999998</v>
      </c>
      <c r="M33" s="70">
        <f>SUM(J9:J10)</f>
        <v>31031.319604629123</v>
      </c>
      <c r="N33" s="70">
        <f>SUM(AT9:AT10)</f>
        <v>54277.382122919997</v>
      </c>
      <c r="O33" s="111">
        <f t="shared" si="18"/>
        <v>2744</v>
      </c>
      <c r="P33" s="111">
        <f t="shared" si="16"/>
        <v>6194.1</v>
      </c>
      <c r="Q33" s="111">
        <f t="shared" si="16"/>
        <v>23851.874536118245</v>
      </c>
      <c r="R33" s="111">
        <f t="shared" si="16"/>
        <v>20058.532311070001</v>
      </c>
      <c r="S33" s="19" t="s">
        <v>49</v>
      </c>
      <c r="T33" s="19"/>
      <c r="U33" s="70">
        <v>930</v>
      </c>
      <c r="V33" s="70">
        <v>40</v>
      </c>
      <c r="W33" s="70">
        <v>661.82331915377836</v>
      </c>
      <c r="X33" s="70">
        <v>0</v>
      </c>
      <c r="Y33" s="70">
        <f t="shared" ref="Y33:AF33" si="20">G42-C42</f>
        <v>0</v>
      </c>
      <c r="Z33" s="70">
        <f t="shared" si="20"/>
        <v>10</v>
      </c>
      <c r="AA33" s="70">
        <f t="shared" si="20"/>
        <v>204.00624053079491</v>
      </c>
      <c r="AB33" s="70">
        <f t="shared" si="20"/>
        <v>808</v>
      </c>
      <c r="AC33" s="70">
        <f t="shared" si="20"/>
        <v>0</v>
      </c>
      <c r="AD33" s="70">
        <f t="shared" si="20"/>
        <v>6.5</v>
      </c>
      <c r="AE33" s="70">
        <f t="shared" si="20"/>
        <v>82.751927662716525</v>
      </c>
      <c r="AF33" s="70">
        <f t="shared" si="20"/>
        <v>0</v>
      </c>
    </row>
    <row r="34" spans="1:56">
      <c r="A34" s="19" t="s">
        <v>41</v>
      </c>
      <c r="B34" s="19"/>
      <c r="C34" s="70">
        <f>BB11</f>
        <v>9549.7199707</v>
      </c>
      <c r="D34" s="70">
        <f>AE11</f>
        <v>0</v>
      </c>
      <c r="E34" s="70">
        <f>H11</f>
        <v>12389.299012036365</v>
      </c>
      <c r="F34" s="70">
        <f>AR11</f>
        <v>0</v>
      </c>
      <c r="G34" s="70">
        <f>BC11</f>
        <v>9549.7199707</v>
      </c>
      <c r="H34" s="70">
        <f>AF11</f>
        <v>1600</v>
      </c>
      <c r="I34" s="70">
        <f>I11</f>
        <v>20379.256572886909</v>
      </c>
      <c r="J34" s="70">
        <f>AS11</f>
        <v>377</v>
      </c>
      <c r="K34" s="70">
        <f>BD11</f>
        <v>9549.7199707</v>
      </c>
      <c r="L34" s="70">
        <f>AG11</f>
        <v>1808</v>
      </c>
      <c r="M34" s="70">
        <f>J11</f>
        <v>28496.485818284222</v>
      </c>
      <c r="N34" s="70">
        <f>AT11</f>
        <v>377</v>
      </c>
      <c r="O34" s="111">
        <f t="shared" si="18"/>
        <v>9549.7199707</v>
      </c>
      <c r="P34" s="111">
        <f t="shared" si="16"/>
        <v>800</v>
      </c>
      <c r="Q34" s="111">
        <f t="shared" si="16"/>
        <v>16384.277792461638</v>
      </c>
      <c r="R34" s="111">
        <f t="shared" si="16"/>
        <v>188.5</v>
      </c>
      <c r="S34" s="19" t="s">
        <v>48</v>
      </c>
      <c r="T34" s="19"/>
      <c r="U34" s="70">
        <v>33360.68115235</v>
      </c>
      <c r="V34" s="70">
        <v>6294</v>
      </c>
      <c r="W34" s="70">
        <v>408.08068980522171</v>
      </c>
      <c r="X34" s="70">
        <v>0</v>
      </c>
      <c r="Y34" s="70">
        <f t="shared" ref="Y34:AF34" si="21">G41-C41</f>
        <v>-140</v>
      </c>
      <c r="Z34" s="70">
        <f t="shared" si="21"/>
        <v>0</v>
      </c>
      <c r="AA34" s="70">
        <f t="shared" si="21"/>
        <v>-110.5192215169908</v>
      </c>
      <c r="AB34" s="70">
        <f t="shared" si="21"/>
        <v>878</v>
      </c>
      <c r="AC34" s="70">
        <f t="shared" si="21"/>
        <v>0</v>
      </c>
      <c r="AD34" s="70">
        <f t="shared" si="21"/>
        <v>818.22000000000025</v>
      </c>
      <c r="AE34" s="70">
        <f t="shared" si="21"/>
        <v>-34.056476980517687</v>
      </c>
      <c r="AF34" s="70">
        <f t="shared" si="21"/>
        <v>0</v>
      </c>
    </row>
    <row r="35" spans="1:56">
      <c r="A35" s="19" t="s">
        <v>42</v>
      </c>
      <c r="B35" s="19"/>
      <c r="C35" s="70">
        <f>BB12</f>
        <v>1535.27997559</v>
      </c>
      <c r="D35" s="70">
        <f>AE12</f>
        <v>0</v>
      </c>
      <c r="E35" s="70">
        <f>H12</f>
        <v>3963.0138871483741</v>
      </c>
      <c r="F35" s="70">
        <f>AR12</f>
        <v>6210</v>
      </c>
      <c r="G35" s="70">
        <f>BC12</f>
        <v>1535.27997559</v>
      </c>
      <c r="H35" s="70">
        <f>AF12</f>
        <v>0</v>
      </c>
      <c r="I35" s="70">
        <f>I12</f>
        <v>5948.0759091210803</v>
      </c>
      <c r="J35" s="70">
        <f>AS12</f>
        <v>17600</v>
      </c>
      <c r="K35" s="70">
        <f>BD12</f>
        <v>1535.27997559</v>
      </c>
      <c r="L35" s="70">
        <f>AG12</f>
        <v>0</v>
      </c>
      <c r="M35" s="70">
        <f>J12</f>
        <v>6516.5651017784112</v>
      </c>
      <c r="N35" s="70">
        <f>AT12</f>
        <v>24663.370070000001</v>
      </c>
      <c r="O35" s="111">
        <f t="shared" si="18"/>
        <v>1535.27997559</v>
      </c>
      <c r="P35" s="111">
        <f t="shared" si="16"/>
        <v>0</v>
      </c>
      <c r="Q35" s="111">
        <f t="shared" si="16"/>
        <v>4955.5448981347272</v>
      </c>
      <c r="R35" s="111">
        <f t="shared" si="16"/>
        <v>11905</v>
      </c>
      <c r="S35" s="19" t="s">
        <v>47</v>
      </c>
      <c r="T35" s="19"/>
      <c r="U35" s="70">
        <v>0</v>
      </c>
      <c r="V35" s="70">
        <v>4490.8315430000002</v>
      </c>
      <c r="W35" s="70">
        <v>1487.8230566433542</v>
      </c>
      <c r="X35" s="70">
        <v>215.00000001000001</v>
      </c>
      <c r="Y35" s="70">
        <f t="shared" ref="Y35:AF35" si="22">G40-C40</f>
        <v>0</v>
      </c>
      <c r="Z35" s="70">
        <f t="shared" si="22"/>
        <v>5433.3435050000007</v>
      </c>
      <c r="AA35" s="70">
        <f t="shared" si="22"/>
        <v>736.48877680529199</v>
      </c>
      <c r="AB35" s="70">
        <f t="shared" si="22"/>
        <v>-90.000000010000008</v>
      </c>
      <c r="AC35" s="70">
        <f t="shared" si="22"/>
        <v>0</v>
      </c>
      <c r="AD35" s="70">
        <f t="shared" si="22"/>
        <v>1290.1427559999975</v>
      </c>
      <c r="AE35" s="70">
        <f t="shared" si="22"/>
        <v>278.98964961758202</v>
      </c>
      <c r="AF35" s="70">
        <f t="shared" si="22"/>
        <v>6.6118322899999953</v>
      </c>
    </row>
    <row r="36" spans="1:56">
      <c r="A36" s="19" t="s">
        <v>43</v>
      </c>
      <c r="B36" s="19"/>
      <c r="C36" s="70">
        <f>BB13</f>
        <v>0</v>
      </c>
      <c r="D36" s="70">
        <f>AE13</f>
        <v>700</v>
      </c>
      <c r="E36" s="70">
        <f>H13</f>
        <v>13749.676681461286</v>
      </c>
      <c r="F36" s="70">
        <f>AR13</f>
        <v>2835.8000001400001</v>
      </c>
      <c r="G36" s="70">
        <f>BC13</f>
        <v>0</v>
      </c>
      <c r="H36" s="70">
        <f>AF13</f>
        <v>700</v>
      </c>
      <c r="I36" s="70">
        <f>I13</f>
        <v>24324.670603356353</v>
      </c>
      <c r="J36" s="70">
        <f>AS13</f>
        <v>10332.80000017</v>
      </c>
      <c r="K36" s="70">
        <f>BD13</f>
        <v>0</v>
      </c>
      <c r="L36" s="70">
        <f>AG13</f>
        <v>791</v>
      </c>
      <c r="M36" s="70">
        <f>J13</f>
        <v>28313.491098846818</v>
      </c>
      <c r="N36" s="70">
        <f>AT13</f>
        <v>13762.876810170001</v>
      </c>
      <c r="O36" s="111">
        <f t="shared" si="18"/>
        <v>0</v>
      </c>
      <c r="P36" s="111">
        <f t="shared" si="16"/>
        <v>700</v>
      </c>
      <c r="Q36" s="111">
        <f t="shared" si="16"/>
        <v>19037.173642408819</v>
      </c>
      <c r="R36" s="111">
        <f t="shared" si="16"/>
        <v>6584.3000001549999</v>
      </c>
      <c r="S36" s="19" t="s">
        <v>46</v>
      </c>
      <c r="T36" s="19"/>
      <c r="U36" s="70">
        <v>0</v>
      </c>
      <c r="V36" s="70">
        <v>0</v>
      </c>
      <c r="W36" s="70">
        <v>133.75171869125762</v>
      </c>
      <c r="X36" s="70">
        <v>263.91000001999998</v>
      </c>
      <c r="Y36" s="70">
        <f t="shared" ref="Y36:AF36" si="23">G39-C39</f>
        <v>0</v>
      </c>
      <c r="Z36" s="70">
        <f t="shared" si="23"/>
        <v>0</v>
      </c>
      <c r="AA36" s="70">
        <f t="shared" si="23"/>
        <v>146.77705864654416</v>
      </c>
      <c r="AB36" s="70">
        <f t="shared" si="23"/>
        <v>4810.12</v>
      </c>
      <c r="AC36" s="70">
        <f t="shared" si="23"/>
        <v>0</v>
      </c>
      <c r="AD36" s="70">
        <f t="shared" si="23"/>
        <v>0</v>
      </c>
      <c r="AE36" s="70">
        <f t="shared" si="23"/>
        <v>185.13849826904959</v>
      </c>
      <c r="AF36" s="70">
        <f t="shared" si="23"/>
        <v>873.34166200000072</v>
      </c>
    </row>
    <row r="37" spans="1:56">
      <c r="A37" s="19" t="s">
        <v>44</v>
      </c>
      <c r="B37" s="19"/>
      <c r="C37" s="70">
        <f>BB14</f>
        <v>1224</v>
      </c>
      <c r="D37" s="70">
        <f>AE14</f>
        <v>2047.8045348000001</v>
      </c>
      <c r="E37" s="70">
        <f>H14</f>
        <v>4254.2954078537796</v>
      </c>
      <c r="F37" s="70">
        <f>AR14</f>
        <v>294</v>
      </c>
      <c r="G37" s="70">
        <f>BC14</f>
        <v>1224</v>
      </c>
      <c r="H37" s="70">
        <f>AF14</f>
        <v>2191.1509093999998</v>
      </c>
      <c r="I37" s="70">
        <f>I14</f>
        <v>8922.8931102853385</v>
      </c>
      <c r="J37" s="70">
        <f>AS14</f>
        <v>6625</v>
      </c>
      <c r="K37" s="70">
        <f>BD14</f>
        <v>1224</v>
      </c>
      <c r="L37" s="70">
        <f>AG14</f>
        <v>2476.0005277999999</v>
      </c>
      <c r="M37" s="70">
        <f>J14</f>
        <v>10889.715474746889</v>
      </c>
      <c r="N37" s="70">
        <f>AT14</f>
        <v>15117.26446</v>
      </c>
      <c r="O37" s="111">
        <f t="shared" si="18"/>
        <v>1224</v>
      </c>
      <c r="P37" s="111">
        <f t="shared" si="16"/>
        <v>2119.4777220999999</v>
      </c>
      <c r="Q37" s="111">
        <f t="shared" si="16"/>
        <v>6588.5942590695595</v>
      </c>
      <c r="R37" s="111">
        <f t="shared" si="16"/>
        <v>3459.5</v>
      </c>
      <c r="S37" s="19" t="s">
        <v>45</v>
      </c>
      <c r="T37" s="19"/>
      <c r="U37" s="70">
        <v>0</v>
      </c>
      <c r="V37" s="70">
        <v>1738.80004134</v>
      </c>
      <c r="W37" s="70">
        <v>5353.0410027126254</v>
      </c>
      <c r="X37" s="70">
        <v>110.78899999999999</v>
      </c>
      <c r="Y37" s="70">
        <f t="shared" ref="Y37:AF37" si="24">G38-C38</f>
        <v>0</v>
      </c>
      <c r="Z37" s="70">
        <f t="shared" si="24"/>
        <v>0</v>
      </c>
      <c r="AA37" s="70">
        <f t="shared" si="24"/>
        <v>-1529.2779221014084</v>
      </c>
      <c r="AB37" s="70">
        <f t="shared" si="24"/>
        <v>9839</v>
      </c>
      <c r="AC37" s="70">
        <f t="shared" si="24"/>
        <v>0</v>
      </c>
      <c r="AD37" s="70">
        <f t="shared" si="24"/>
        <v>226.04400501000009</v>
      </c>
      <c r="AE37" s="70">
        <f t="shared" si="24"/>
        <v>365.45733777139822</v>
      </c>
      <c r="AF37" s="70">
        <f t="shared" si="24"/>
        <v>-6493.1105200000011</v>
      </c>
    </row>
    <row r="38" spans="1:56">
      <c r="A38" s="19" t="s">
        <v>45</v>
      </c>
      <c r="B38" s="19"/>
      <c r="C38" s="70">
        <f>SUM(BB15:BB18)</f>
        <v>0</v>
      </c>
      <c r="D38" s="70">
        <f>SUM(AE15:AE18)</f>
        <v>1738.80004134</v>
      </c>
      <c r="E38" s="70">
        <f>SUM(H15:H18)</f>
        <v>5353.0410027126254</v>
      </c>
      <c r="F38" s="70">
        <f>SUM(AR15:AR18)</f>
        <v>110.78899999999999</v>
      </c>
      <c r="G38" s="70">
        <f>SUM(BC15:BC18)</f>
        <v>0</v>
      </c>
      <c r="H38" s="70">
        <f>SUM(AF15:AF18)</f>
        <v>1738.80004134</v>
      </c>
      <c r="I38" s="70">
        <f>SUM(I15:I18)</f>
        <v>3823.763080611217</v>
      </c>
      <c r="J38" s="70">
        <f>SUM(AS15:AS18)</f>
        <v>9949.7890000000007</v>
      </c>
      <c r="K38" s="70">
        <f>SUM(BD15:BD18)</f>
        <v>0</v>
      </c>
      <c r="L38" s="70">
        <f>SUM(AG15:AG18)</f>
        <v>1964.8440463500001</v>
      </c>
      <c r="M38" s="70">
        <f>SUM(J15:J18)</f>
        <v>4189.2204183826152</v>
      </c>
      <c r="N38" s="70">
        <f>SUM(AT15:AT18)</f>
        <v>3456.6784799999996</v>
      </c>
      <c r="O38" s="111">
        <f t="shared" si="18"/>
        <v>0</v>
      </c>
      <c r="P38" s="111">
        <f t="shared" si="16"/>
        <v>1738.80004134</v>
      </c>
      <c r="Q38" s="111">
        <f t="shared" si="16"/>
        <v>4588.4020416619214</v>
      </c>
      <c r="R38" s="111">
        <f t="shared" si="16"/>
        <v>5030.2890000000007</v>
      </c>
      <c r="S38" s="19" t="s">
        <v>44</v>
      </c>
      <c r="T38" s="19"/>
      <c r="U38" s="70">
        <v>1224</v>
      </c>
      <c r="V38" s="70">
        <v>2047.8045348000001</v>
      </c>
      <c r="W38" s="70">
        <v>4254.2954078537796</v>
      </c>
      <c r="X38" s="70">
        <v>294</v>
      </c>
      <c r="Y38" s="70">
        <f t="shared" ref="Y38:AF38" si="25">G37-C37</f>
        <v>0</v>
      </c>
      <c r="Z38" s="70">
        <f t="shared" si="25"/>
        <v>143.34637459999976</v>
      </c>
      <c r="AA38" s="70">
        <f t="shared" si="25"/>
        <v>4668.5977024315589</v>
      </c>
      <c r="AB38" s="70">
        <f t="shared" si="25"/>
        <v>6331</v>
      </c>
      <c r="AC38" s="70">
        <f t="shared" si="25"/>
        <v>0</v>
      </c>
      <c r="AD38" s="70">
        <f t="shared" si="25"/>
        <v>284.84961840000005</v>
      </c>
      <c r="AE38" s="70">
        <f t="shared" si="25"/>
        <v>1966.82236446155</v>
      </c>
      <c r="AF38" s="70">
        <f t="shared" si="25"/>
        <v>8492.2644600000003</v>
      </c>
    </row>
    <row r="39" spans="1:56">
      <c r="A39" s="19" t="s">
        <v>46</v>
      </c>
      <c r="B39" s="19"/>
      <c r="C39" s="70">
        <f>SUM(BB19:BB21)</f>
        <v>0</v>
      </c>
      <c r="D39" s="70">
        <f>SUM(AE19:AE21)</f>
        <v>0</v>
      </c>
      <c r="E39" s="70">
        <f>SUM(H19:H21)</f>
        <v>133.75171869125762</v>
      </c>
      <c r="F39" s="70">
        <f>SUM(AR19:AR21)</f>
        <v>263.91000001999998</v>
      </c>
      <c r="G39" s="70">
        <f>SUM(BC19:BC21)</f>
        <v>0</v>
      </c>
      <c r="H39" s="70">
        <f>SUM(AF19:AF21)</f>
        <v>0</v>
      </c>
      <c r="I39" s="70">
        <f>SUM(I19:I21)</f>
        <v>280.52877733780178</v>
      </c>
      <c r="J39" s="70">
        <f>SUM(AS19:AS21)</f>
        <v>5074.0300000199995</v>
      </c>
      <c r="K39" s="70">
        <f>SUM(BD19:BD21)</f>
        <v>0</v>
      </c>
      <c r="L39" s="70">
        <f>SUM(AG19:AG21)</f>
        <v>0</v>
      </c>
      <c r="M39" s="70">
        <f>SUM(J19:J21)</f>
        <v>465.66727560685138</v>
      </c>
      <c r="N39" s="70">
        <f>SUM(AT19:AT21)</f>
        <v>5947.3716620200003</v>
      </c>
      <c r="O39" s="111">
        <f t="shared" si="18"/>
        <v>0</v>
      </c>
      <c r="P39" s="111">
        <f t="shared" si="16"/>
        <v>0</v>
      </c>
      <c r="Q39" s="111">
        <f t="shared" si="16"/>
        <v>207.1402480145297</v>
      </c>
      <c r="R39" s="111">
        <f t="shared" si="16"/>
        <v>2668.9700000199996</v>
      </c>
      <c r="S39" s="19" t="s">
        <v>43</v>
      </c>
      <c r="T39" s="19"/>
      <c r="U39" s="70">
        <v>0</v>
      </c>
      <c r="V39" s="70">
        <v>700</v>
      </c>
      <c r="W39" s="70">
        <v>13749.676681461286</v>
      </c>
      <c r="X39" s="70">
        <v>2835.8000001400001</v>
      </c>
      <c r="Y39" s="70">
        <f t="shared" ref="Y39:AF39" si="26">G36-C36</f>
        <v>0</v>
      </c>
      <c r="Z39" s="70">
        <f t="shared" si="26"/>
        <v>0</v>
      </c>
      <c r="AA39" s="70">
        <f t="shared" si="26"/>
        <v>10574.993921895068</v>
      </c>
      <c r="AB39" s="70">
        <f t="shared" si="26"/>
        <v>7497.0000000300006</v>
      </c>
      <c r="AC39" s="70">
        <f t="shared" si="26"/>
        <v>0</v>
      </c>
      <c r="AD39" s="70">
        <f t="shared" si="26"/>
        <v>91</v>
      </c>
      <c r="AE39" s="70">
        <f t="shared" si="26"/>
        <v>3988.820495490465</v>
      </c>
      <c r="AF39" s="70">
        <f t="shared" si="26"/>
        <v>3430.0768100000005</v>
      </c>
    </row>
    <row r="40" spans="1:56">
      <c r="A40" s="19" t="s">
        <v>47</v>
      </c>
      <c r="B40" s="19"/>
      <c r="C40" s="70">
        <f>BB22</f>
        <v>0</v>
      </c>
      <c r="D40" s="70">
        <f>AE22</f>
        <v>4490.8315430000002</v>
      </c>
      <c r="E40" s="70">
        <f>H22</f>
        <v>1487.8230566433542</v>
      </c>
      <c r="F40" s="70">
        <f>AR22</f>
        <v>215.00000001000001</v>
      </c>
      <c r="G40" s="70">
        <f>BC22</f>
        <v>0</v>
      </c>
      <c r="H40" s="70">
        <f>AF22</f>
        <v>9924.175048000001</v>
      </c>
      <c r="I40" s="70">
        <f>I22</f>
        <v>2224.3118334486462</v>
      </c>
      <c r="J40" s="70">
        <f>AS22</f>
        <v>125</v>
      </c>
      <c r="K40" s="70">
        <f>BD22</f>
        <v>0</v>
      </c>
      <c r="L40" s="70">
        <f>AG22</f>
        <v>11214.317803999998</v>
      </c>
      <c r="M40" s="70">
        <f>J22</f>
        <v>2503.3014830662282</v>
      </c>
      <c r="N40" s="70">
        <f>AT22</f>
        <v>131.61183229</v>
      </c>
      <c r="O40" s="111">
        <f t="shared" si="18"/>
        <v>0</v>
      </c>
      <c r="P40" s="111">
        <f t="shared" si="16"/>
        <v>7207.5032955000006</v>
      </c>
      <c r="Q40" s="111">
        <f t="shared" si="16"/>
        <v>1856.0674450460001</v>
      </c>
      <c r="R40" s="111">
        <f t="shared" si="16"/>
        <v>170.000000005</v>
      </c>
      <c r="S40" s="19" t="s">
        <v>42</v>
      </c>
      <c r="T40" s="19"/>
      <c r="U40" s="70">
        <v>1535.27997559</v>
      </c>
      <c r="V40" s="70">
        <v>0</v>
      </c>
      <c r="W40" s="70">
        <v>3963.0138871483741</v>
      </c>
      <c r="X40" s="70">
        <v>6210</v>
      </c>
      <c r="Y40" s="70">
        <f t="shared" ref="Y40:AF40" si="27">G35-C35</f>
        <v>0</v>
      </c>
      <c r="Z40" s="70">
        <f t="shared" si="27"/>
        <v>0</v>
      </c>
      <c r="AA40" s="70">
        <f t="shared" si="27"/>
        <v>1985.0620219727061</v>
      </c>
      <c r="AB40" s="70">
        <f t="shared" si="27"/>
        <v>11390</v>
      </c>
      <c r="AC40" s="70">
        <f t="shared" si="27"/>
        <v>0</v>
      </c>
      <c r="AD40" s="70">
        <f t="shared" si="27"/>
        <v>0</v>
      </c>
      <c r="AE40" s="70">
        <f t="shared" si="27"/>
        <v>568.48919265733093</v>
      </c>
      <c r="AF40" s="70">
        <f t="shared" si="27"/>
        <v>7063.3700700000009</v>
      </c>
    </row>
    <row r="41" spans="1:56">
      <c r="A41" s="19" t="s">
        <v>48</v>
      </c>
      <c r="B41" s="19"/>
      <c r="C41" s="70">
        <f>SUM(BB23:BB25)</f>
        <v>33360.68115235</v>
      </c>
      <c r="D41" s="70">
        <f>SUM(AE23:AE25)</f>
        <v>6294</v>
      </c>
      <c r="E41" s="70">
        <f>SUM(H23:H25)</f>
        <v>408.08068980522171</v>
      </c>
      <c r="F41" s="70">
        <f>SUM(AR23:AR25)</f>
        <v>0</v>
      </c>
      <c r="G41" s="70">
        <f>SUM(BC23:BC25)</f>
        <v>33220.68115235</v>
      </c>
      <c r="H41" s="70">
        <f>SUM(AF23:AF25)</f>
        <v>6294</v>
      </c>
      <c r="I41" s="70">
        <f>SUM(I23:I25)</f>
        <v>297.56146828823091</v>
      </c>
      <c r="J41" s="70">
        <f>SUM(AS23:AS25)</f>
        <v>878</v>
      </c>
      <c r="K41" s="70">
        <f>SUM(BD23:BD25)</f>
        <v>33220.68115235</v>
      </c>
      <c r="L41" s="70">
        <f>SUM(AG23:AG25)</f>
        <v>7112.22</v>
      </c>
      <c r="M41" s="70">
        <f>SUM(J23:J25)</f>
        <v>263.50499130771323</v>
      </c>
      <c r="N41" s="70">
        <f>SUM(AT23:AT25)</f>
        <v>878</v>
      </c>
      <c r="O41" s="111">
        <f t="shared" si="18"/>
        <v>33290.68115235</v>
      </c>
      <c r="P41" s="111">
        <f t="shared" si="16"/>
        <v>6294</v>
      </c>
      <c r="Q41" s="111">
        <f t="shared" si="16"/>
        <v>352.82107904672631</v>
      </c>
      <c r="R41" s="111">
        <f t="shared" si="16"/>
        <v>439</v>
      </c>
      <c r="S41" s="19" t="s">
        <v>41</v>
      </c>
      <c r="T41" s="19"/>
      <c r="U41" s="70">
        <v>9549.7199707</v>
      </c>
      <c r="V41" s="70">
        <v>0</v>
      </c>
      <c r="W41" s="70">
        <v>12389.299012036365</v>
      </c>
      <c r="X41" s="70">
        <v>0</v>
      </c>
      <c r="Y41" s="70">
        <f t="shared" ref="Y41:AF41" si="28">G34-C34</f>
        <v>0</v>
      </c>
      <c r="Z41" s="70">
        <f t="shared" si="28"/>
        <v>1600</v>
      </c>
      <c r="AA41" s="70">
        <f t="shared" si="28"/>
        <v>7989.9575608505438</v>
      </c>
      <c r="AB41" s="70">
        <f t="shared" si="28"/>
        <v>377</v>
      </c>
      <c r="AC41" s="70">
        <f t="shared" si="28"/>
        <v>0</v>
      </c>
      <c r="AD41" s="70">
        <f t="shared" si="28"/>
        <v>208</v>
      </c>
      <c r="AE41" s="70">
        <f t="shared" si="28"/>
        <v>8117.2292453973132</v>
      </c>
      <c r="AF41" s="70">
        <f t="shared" si="28"/>
        <v>0</v>
      </c>
    </row>
    <row r="42" spans="1:56">
      <c r="A42" s="19" t="s">
        <v>49</v>
      </c>
      <c r="B42" s="19"/>
      <c r="C42" s="70">
        <f>BB26</f>
        <v>930</v>
      </c>
      <c r="D42" s="70">
        <f>AE26</f>
        <v>40</v>
      </c>
      <c r="E42" s="70">
        <f>H26</f>
        <v>661.82331915377836</v>
      </c>
      <c r="F42" s="70">
        <f>AR26</f>
        <v>0</v>
      </c>
      <c r="G42" s="70">
        <f>BC26</f>
        <v>930</v>
      </c>
      <c r="H42" s="70">
        <f>AF26</f>
        <v>50</v>
      </c>
      <c r="I42" s="70">
        <f>I26</f>
        <v>865.82955968457327</v>
      </c>
      <c r="J42" s="70">
        <f>AS26</f>
        <v>808</v>
      </c>
      <c r="K42" s="70">
        <f>BD26</f>
        <v>930</v>
      </c>
      <c r="L42" s="70">
        <f>AG26</f>
        <v>56.5</v>
      </c>
      <c r="M42" s="70">
        <f>J26</f>
        <v>948.58148734728979</v>
      </c>
      <c r="N42" s="70">
        <f>AT26</f>
        <v>808</v>
      </c>
      <c r="O42" s="111">
        <f t="shared" si="18"/>
        <v>930</v>
      </c>
      <c r="P42" s="111">
        <f t="shared" si="16"/>
        <v>45</v>
      </c>
      <c r="Q42" s="111">
        <f t="shared" si="16"/>
        <v>763.82643941917581</v>
      </c>
      <c r="R42" s="111">
        <f t="shared" si="16"/>
        <v>404</v>
      </c>
      <c r="S42" s="19" t="s">
        <v>75</v>
      </c>
      <c r="T42" s="19"/>
      <c r="U42" s="70">
        <v>2744</v>
      </c>
      <c r="V42" s="70">
        <v>4357.12</v>
      </c>
      <c r="W42" s="70">
        <v>20392.219873670234</v>
      </c>
      <c r="X42" s="70">
        <v>5810.7899999199999</v>
      </c>
      <c r="Y42" s="70">
        <f t="shared" ref="Y42:AF42" si="29">G33-C33</f>
        <v>0</v>
      </c>
      <c r="Z42" s="70">
        <f t="shared" si="29"/>
        <v>3673.96</v>
      </c>
      <c r="AA42" s="70">
        <f t="shared" si="29"/>
        <v>6919.3093248960249</v>
      </c>
      <c r="AB42" s="70">
        <f t="shared" si="29"/>
        <v>28495.484622299999</v>
      </c>
      <c r="AC42" s="70">
        <f t="shared" si="29"/>
        <v>0</v>
      </c>
      <c r="AD42" s="70">
        <f t="shared" si="29"/>
        <v>1044.0403999999999</v>
      </c>
      <c r="AE42" s="70">
        <f t="shared" si="29"/>
        <v>3719.7904060628643</v>
      </c>
      <c r="AF42" s="70">
        <f t="shared" si="29"/>
        <v>19971.107500699996</v>
      </c>
    </row>
    <row r="43" spans="1:56">
      <c r="A43" s="19" t="s">
        <v>50</v>
      </c>
      <c r="B43" s="19"/>
      <c r="C43" s="70">
        <f>BB27</f>
        <v>0</v>
      </c>
      <c r="D43" s="70">
        <f>AE27</f>
        <v>36.799999999999997</v>
      </c>
      <c r="E43" s="70">
        <f>H27</f>
        <v>38.4376914997356</v>
      </c>
      <c r="F43" s="70">
        <f>AR27</f>
        <v>0</v>
      </c>
      <c r="G43" s="70">
        <f>BC27</f>
        <v>0</v>
      </c>
      <c r="H43" s="70">
        <f>AF27</f>
        <v>36.799999999999997</v>
      </c>
      <c r="I43" s="70">
        <f>I27</f>
        <v>123.15176006915942</v>
      </c>
      <c r="J43" s="70">
        <f>AS27</f>
        <v>0</v>
      </c>
      <c r="K43" s="70">
        <f>BD27</f>
        <v>0</v>
      </c>
      <c r="L43" s="70">
        <f>AG27</f>
        <v>41.584000000000003</v>
      </c>
      <c r="M43" s="70">
        <f>J27</f>
        <v>127.35034734341249</v>
      </c>
      <c r="N43" s="70">
        <f>AT27</f>
        <v>552.12907099999995</v>
      </c>
      <c r="O43" s="111">
        <f t="shared" si="18"/>
        <v>0</v>
      </c>
      <c r="P43" s="111">
        <f t="shared" si="16"/>
        <v>36.799999999999997</v>
      </c>
      <c r="Q43" s="111">
        <f t="shared" si="16"/>
        <v>80.794725784447508</v>
      </c>
      <c r="R43" s="111">
        <f t="shared" si="16"/>
        <v>0</v>
      </c>
      <c r="S43" s="19" t="s">
        <v>39</v>
      </c>
      <c r="T43" s="19"/>
      <c r="U43" s="70">
        <v>3800</v>
      </c>
      <c r="V43" s="70">
        <v>5481.5</v>
      </c>
      <c r="W43" s="70">
        <v>1304.7727783626831</v>
      </c>
      <c r="X43" s="70">
        <v>636.00000010000008</v>
      </c>
      <c r="Y43" s="70">
        <f t="shared" ref="Y43:AF43" si="30">G32-C32</f>
        <v>1043.1372070300004</v>
      </c>
      <c r="Z43" s="70">
        <f t="shared" si="30"/>
        <v>0</v>
      </c>
      <c r="AA43" s="70">
        <f t="shared" si="30"/>
        <v>1436.4765906784717</v>
      </c>
      <c r="AB43" s="70">
        <f t="shared" si="30"/>
        <v>16233</v>
      </c>
      <c r="AC43" s="70">
        <f t="shared" si="30"/>
        <v>0</v>
      </c>
      <c r="AD43" s="70">
        <f t="shared" si="30"/>
        <v>712.59499999999935</v>
      </c>
      <c r="AE43" s="70">
        <f t="shared" si="30"/>
        <v>1788.3997915990803</v>
      </c>
      <c r="AF43" s="70">
        <f t="shared" si="30"/>
        <v>22937.894370000002</v>
      </c>
    </row>
    <row r="44" spans="1:56">
      <c r="A44" s="19" t="s">
        <v>51</v>
      </c>
      <c r="B44" s="19"/>
      <c r="C44" s="70">
        <f>BB28</f>
        <v>0</v>
      </c>
      <c r="D44" s="70">
        <f>AE28</f>
        <v>90</v>
      </c>
      <c r="E44" s="70">
        <f>H28</f>
        <v>411.1626907916438</v>
      </c>
      <c r="F44" s="70">
        <f>AR28</f>
        <v>0</v>
      </c>
      <c r="G44" s="70">
        <f>BC28</f>
        <v>0</v>
      </c>
      <c r="H44" s="70">
        <f>AF28</f>
        <v>173.33333329999999</v>
      </c>
      <c r="I44" s="70">
        <f>I28</f>
        <v>543.65438052594357</v>
      </c>
      <c r="J44" s="70">
        <f>AS28</f>
        <v>0</v>
      </c>
      <c r="K44" s="70">
        <f>BD28</f>
        <v>0</v>
      </c>
      <c r="L44" s="70">
        <f>AG28</f>
        <v>195.8666667</v>
      </c>
      <c r="M44" s="70">
        <f>J28</f>
        <v>595.61431590536336</v>
      </c>
      <c r="N44" s="70">
        <f>AT28</f>
        <v>419.3234746</v>
      </c>
      <c r="O44" s="111">
        <f t="shared" si="18"/>
        <v>0</v>
      </c>
      <c r="P44" s="111">
        <f t="shared" si="16"/>
        <v>131.66666665</v>
      </c>
      <c r="Q44" s="111">
        <f t="shared" si="16"/>
        <v>477.40853565879365</v>
      </c>
      <c r="R44" s="111">
        <f t="shared" si="16"/>
        <v>0</v>
      </c>
      <c r="S44" s="19" t="s">
        <v>38</v>
      </c>
      <c r="T44" s="19"/>
      <c r="U44" s="70">
        <v>9025.7401123099989</v>
      </c>
      <c r="V44" s="70">
        <v>1758.8649520500001</v>
      </c>
      <c r="W44" s="70">
        <v>18249.678950318259</v>
      </c>
      <c r="X44" s="70">
        <v>12224.56800033</v>
      </c>
      <c r="Y44" s="70">
        <f t="shared" ref="Y44:AF44" si="31">G31-C31</f>
        <v>270</v>
      </c>
      <c r="Z44" s="70">
        <f t="shared" si="31"/>
        <v>1415.7350233499999</v>
      </c>
      <c r="AA44" s="70">
        <f t="shared" si="31"/>
        <v>20026.914224217362</v>
      </c>
      <c r="AB44" s="70">
        <f t="shared" si="31"/>
        <v>27676.299999969997</v>
      </c>
      <c r="AC44" s="70">
        <f t="shared" si="31"/>
        <v>0</v>
      </c>
      <c r="AD44" s="70">
        <f t="shared" si="31"/>
        <v>412.69799620000003</v>
      </c>
      <c r="AE44" s="70">
        <f t="shared" si="31"/>
        <v>25261.119541599212</v>
      </c>
      <c r="AF44" s="70">
        <f t="shared" si="31"/>
        <v>8433.2499996500046</v>
      </c>
    </row>
    <row r="45" spans="1:56">
      <c r="A45" s="19" t="s">
        <v>35</v>
      </c>
      <c r="B45" s="19"/>
      <c r="C45" s="70"/>
      <c r="D45" s="70"/>
      <c r="E45" s="70">
        <f t="shared" ref="E45:I45" si="32">SUM(E31:E44)</f>
        <v>82797.076760148586</v>
      </c>
      <c r="F45" s="70"/>
      <c r="G45" s="70"/>
      <c r="H45" s="70"/>
      <c r="I45" s="70">
        <f t="shared" si="32"/>
        <v>136063.06879775834</v>
      </c>
      <c r="J45" s="70"/>
      <c r="K45" s="70"/>
      <c r="L45" s="70"/>
      <c r="M45" s="70"/>
      <c r="N45" s="70"/>
      <c r="O45" s="70">
        <f>SUM(O31:O44)</f>
        <v>62755.989814465</v>
      </c>
      <c r="P45" s="70">
        <f t="shared" ref="P45:R45" si="33">SUM(P31:P44)</f>
        <v>33215.580189315006</v>
      </c>
      <c r="Q45" s="70">
        <f t="shared" si="33"/>
        <v>109430.07277895346</v>
      </c>
      <c r="R45" s="70">
        <f t="shared" si="33"/>
        <v>85723.309311664998</v>
      </c>
      <c r="S45" s="19" t="s">
        <v>35</v>
      </c>
      <c r="T45" s="19"/>
      <c r="U45" s="70"/>
      <c r="V45" s="70"/>
      <c r="W45" s="70"/>
      <c r="X45" s="70"/>
      <c r="Y45" s="70"/>
      <c r="Z45" s="70"/>
      <c r="AA45" s="70"/>
      <c r="AB45" s="70"/>
      <c r="AC45" s="70"/>
      <c r="AD45" s="70"/>
      <c r="AE45" s="70"/>
      <c r="AF45" s="70"/>
    </row>
    <row r="46" spans="1:56">
      <c r="A46" s="81" t="s">
        <v>305</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c r="BA46" s="73"/>
      <c r="BB46" s="73"/>
      <c r="BC46" s="73"/>
      <c r="BD46" s="73"/>
    </row>
    <row r="47" spans="1:56">
      <c r="A47" s="77"/>
      <c r="B47" s="77"/>
      <c r="C47" s="40" t="s">
        <v>143</v>
      </c>
      <c r="D47" s="40" t="s">
        <v>144</v>
      </c>
      <c r="E47" s="40" t="s">
        <v>163</v>
      </c>
      <c r="F47" s="40" t="s">
        <v>164</v>
      </c>
      <c r="G47" s="40" t="s">
        <v>165</v>
      </c>
    </row>
    <row r="48" spans="1:56">
      <c r="A48" s="19" t="s">
        <v>38</v>
      </c>
      <c r="B48" s="19"/>
      <c r="C48" s="108">
        <v>50.18</v>
      </c>
      <c r="D48" s="108">
        <v>20.100000000000001</v>
      </c>
      <c r="E48" s="108">
        <v>33.21</v>
      </c>
      <c r="F48" s="108">
        <v>7.23</v>
      </c>
      <c r="G48" s="108">
        <v>2.14</v>
      </c>
    </row>
    <row r="49" spans="1:56">
      <c r="A49" s="19" t="s">
        <v>39</v>
      </c>
      <c r="B49" s="19"/>
      <c r="C49" s="108">
        <v>3.36</v>
      </c>
      <c r="D49" s="108">
        <v>6.5</v>
      </c>
      <c r="E49" s="108">
        <v>22.37</v>
      </c>
      <c r="F49" s="108">
        <v>2.1800000000000002</v>
      </c>
      <c r="G49" s="108">
        <v>2.0699999999999998</v>
      </c>
    </row>
    <row r="50" spans="1:56">
      <c r="A50" s="19" t="s">
        <v>75</v>
      </c>
      <c r="B50" s="19"/>
      <c r="C50" s="108">
        <v>3.15</v>
      </c>
      <c r="D50" s="108">
        <v>17.52</v>
      </c>
      <c r="E50" s="108">
        <v>19.940000000000001</v>
      </c>
      <c r="F50" s="108">
        <v>2.74</v>
      </c>
      <c r="G50" s="108"/>
    </row>
    <row r="51" spans="1:56">
      <c r="A51" s="19" t="s">
        <v>41</v>
      </c>
      <c r="B51" s="19"/>
      <c r="C51" s="108">
        <v>4.6100000000000003</v>
      </c>
      <c r="D51" s="108">
        <v>2.7</v>
      </c>
      <c r="E51" s="108">
        <v>17.399999999999999</v>
      </c>
      <c r="F51" s="108">
        <v>6.91</v>
      </c>
      <c r="G51" s="108">
        <v>4.22</v>
      </c>
    </row>
    <row r="52" spans="1:56">
      <c r="A52" s="19" t="s">
        <v>42</v>
      </c>
      <c r="B52" s="19"/>
      <c r="C52" s="108"/>
      <c r="D52" s="108"/>
      <c r="E52" s="108">
        <v>10.18</v>
      </c>
      <c r="F52" s="108">
        <v>1.33</v>
      </c>
      <c r="G52" s="108">
        <v>0.22</v>
      </c>
      <c r="O52" s="22"/>
      <c r="P52" s="22"/>
      <c r="Q52" s="22"/>
      <c r="R52" s="22"/>
      <c r="S52" s="22"/>
      <c r="T52" s="22"/>
      <c r="W52" s="22"/>
      <c r="X52" s="22"/>
      <c r="Y52" s="22"/>
    </row>
    <row r="53" spans="1:56">
      <c r="A53" s="19" t="s">
        <v>43</v>
      </c>
      <c r="B53" s="19"/>
      <c r="C53" s="108">
        <v>21.33</v>
      </c>
      <c r="D53" s="108">
        <v>2.02</v>
      </c>
      <c r="E53" s="108">
        <v>6.02</v>
      </c>
      <c r="F53" s="108"/>
      <c r="G53" s="108"/>
    </row>
    <row r="54" spans="1:56">
      <c r="A54" s="19" t="s">
        <v>44</v>
      </c>
      <c r="B54" s="19"/>
      <c r="C54" s="108">
        <v>0.69</v>
      </c>
      <c r="D54" s="108">
        <v>3.27</v>
      </c>
      <c r="E54" s="108">
        <v>3.89</v>
      </c>
      <c r="F54" s="108">
        <v>1.31</v>
      </c>
      <c r="G54" s="108"/>
    </row>
    <row r="55" spans="1:56">
      <c r="A55" s="19" t="s">
        <v>45</v>
      </c>
      <c r="B55" s="19"/>
      <c r="C55" s="108">
        <v>0.57999999999999996</v>
      </c>
      <c r="D55" s="108">
        <v>1.74</v>
      </c>
      <c r="E55" s="108">
        <v>3.42</v>
      </c>
      <c r="F55" s="108"/>
      <c r="G55" s="108"/>
    </row>
    <row r="56" spans="1:56">
      <c r="A56" s="19" t="s">
        <v>46</v>
      </c>
      <c r="B56" s="19"/>
      <c r="C56" s="108">
        <v>0.53</v>
      </c>
      <c r="D56" s="108"/>
      <c r="E56" s="108">
        <v>2.4700000000000002</v>
      </c>
      <c r="F56" s="108"/>
      <c r="G56" s="108"/>
    </row>
    <row r="57" spans="1:56">
      <c r="A57" s="19" t="s">
        <v>47</v>
      </c>
      <c r="B57" s="19"/>
      <c r="C57" s="108">
        <v>1.27</v>
      </c>
      <c r="D57" s="108">
        <v>6.26</v>
      </c>
      <c r="E57" s="108">
        <v>2.65</v>
      </c>
      <c r="F57" s="108"/>
      <c r="G57" s="108"/>
    </row>
    <row r="58" spans="1:56">
      <c r="A58" s="19" t="s">
        <v>48</v>
      </c>
      <c r="B58" s="19"/>
      <c r="C58" s="108"/>
      <c r="D58" s="108">
        <v>10.63</v>
      </c>
      <c r="E58" s="108"/>
      <c r="F58" s="108"/>
      <c r="G58" s="108">
        <v>0.71</v>
      </c>
    </row>
    <row r="59" spans="1:56">
      <c r="A59" s="19" t="s">
        <v>49</v>
      </c>
      <c r="B59" s="19"/>
      <c r="C59" s="108">
        <v>0.94</v>
      </c>
      <c r="D59" s="108">
        <v>0.04</v>
      </c>
      <c r="E59" s="108">
        <v>0.78</v>
      </c>
      <c r="F59" s="108">
        <v>0.94</v>
      </c>
      <c r="G59" s="108"/>
    </row>
    <row r="60" spans="1:56">
      <c r="A60" s="19" t="s">
        <v>50</v>
      </c>
      <c r="B60" s="19"/>
      <c r="C60" s="108">
        <v>0.04</v>
      </c>
      <c r="D60" s="108">
        <v>0.15</v>
      </c>
      <c r="E60" s="108">
        <v>0.37</v>
      </c>
      <c r="F60" s="108"/>
      <c r="G60" s="108"/>
    </row>
    <row r="61" spans="1:56">
      <c r="A61" s="19" t="s">
        <v>51</v>
      </c>
      <c r="B61" s="19"/>
      <c r="C61" s="108"/>
      <c r="D61" s="108">
        <v>0.26</v>
      </c>
      <c r="E61" s="108">
        <v>0.26</v>
      </c>
      <c r="F61" s="108"/>
      <c r="G61" s="108"/>
    </row>
    <row r="62" spans="1:56">
      <c r="A62" s="19" t="s">
        <v>35</v>
      </c>
      <c r="B62" s="19"/>
      <c r="C62" s="68">
        <f>SUM(C48:C61)</f>
        <v>86.679999999999993</v>
      </c>
      <c r="D62" s="68">
        <f t="shared" ref="D62:G62" si="34">SUM(D48:D61)</f>
        <v>71.190000000000026</v>
      </c>
      <c r="E62" s="68">
        <f t="shared" si="34"/>
        <v>122.96000000000001</v>
      </c>
      <c r="F62" s="68">
        <f t="shared" si="34"/>
        <v>22.64</v>
      </c>
      <c r="G62" s="68">
        <f t="shared" si="34"/>
        <v>9.36</v>
      </c>
    </row>
    <row r="63" spans="1:56">
      <c r="A63" s="81" t="s">
        <v>306</v>
      </c>
      <c r="B63" s="73"/>
      <c r="C63" s="73"/>
      <c r="D63" s="73"/>
      <c r="E63" s="73"/>
      <c r="F63" s="73"/>
      <c r="G63" s="73"/>
      <c r="H63" s="73"/>
      <c r="I63" s="73"/>
      <c r="J63" s="73"/>
      <c r="K63" s="73"/>
      <c r="L63" s="73"/>
      <c r="M63" s="73"/>
      <c r="N63" s="73"/>
      <c r="O63" s="73"/>
      <c r="P63" s="73"/>
      <c r="Q63" s="73"/>
      <c r="R63" s="73"/>
      <c r="S63" s="78"/>
      <c r="T63" s="78"/>
      <c r="U63" s="73"/>
      <c r="V63" s="73"/>
      <c r="W63" s="73"/>
      <c r="X63" s="73"/>
      <c r="Y63" s="73"/>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row>
    <row r="64" spans="1:56">
      <c r="A64" s="763" t="s">
        <v>303</v>
      </c>
      <c r="B64" s="763"/>
      <c r="C64" s="763"/>
      <c r="D64" s="763"/>
      <c r="E64" s="763"/>
      <c r="F64" s="763"/>
      <c r="G64" s="763"/>
      <c r="I64" s="763" t="s">
        <v>298</v>
      </c>
      <c r="J64" s="763"/>
      <c r="K64" s="763"/>
      <c r="L64" s="763"/>
      <c r="M64" s="763"/>
      <c r="N64" s="763"/>
      <c r="P64" s="37" t="s">
        <v>310</v>
      </c>
    </row>
    <row r="65" spans="1:56" ht="16.2">
      <c r="A65" s="77"/>
      <c r="B65" s="763" t="s">
        <v>309</v>
      </c>
      <c r="C65" s="763"/>
      <c r="D65" s="763"/>
      <c r="E65" s="763" t="s">
        <v>297</v>
      </c>
      <c r="F65" s="763"/>
      <c r="G65" s="763"/>
      <c r="H65" s="1"/>
      <c r="I65" s="77"/>
      <c r="J65" s="77" t="s">
        <v>299</v>
      </c>
      <c r="K65" s="80">
        <v>2022</v>
      </c>
      <c r="L65" s="77" t="s">
        <v>300</v>
      </c>
      <c r="M65" s="77" t="s">
        <v>301</v>
      </c>
      <c r="N65" s="77"/>
      <c r="P65" s="37" t="s">
        <v>304</v>
      </c>
    </row>
    <row r="66" spans="1:56">
      <c r="A66" s="19"/>
      <c r="B66" t="s">
        <v>164</v>
      </c>
      <c r="C66" t="s">
        <v>228</v>
      </c>
      <c r="D66" s="1"/>
      <c r="E66" s="19" t="s">
        <v>164</v>
      </c>
      <c r="F66" s="19" t="s">
        <v>228</v>
      </c>
      <c r="G66" s="19" t="s">
        <v>35</v>
      </c>
      <c r="I66" s="3" t="s">
        <v>26</v>
      </c>
      <c r="J66" s="70">
        <v>9370.0000000000018</v>
      </c>
      <c r="K66" s="70">
        <v>9295.7401123099989</v>
      </c>
      <c r="L66" s="70">
        <f>D67</f>
        <v>9850.70490909</v>
      </c>
      <c r="M66" s="70">
        <v>9900</v>
      </c>
      <c r="N66" s="70">
        <f>M66-J66</f>
        <v>529.99999999999818</v>
      </c>
    </row>
    <row r="67" spans="1:56" ht="14.4" customHeight="1">
      <c r="A67" s="3" t="s">
        <v>107</v>
      </c>
      <c r="B67" s="184">
        <v>8393</v>
      </c>
      <c r="C67" s="184">
        <v>1457.70490909</v>
      </c>
      <c r="D67" s="70">
        <f>B67+C67</f>
        <v>9850.70490909</v>
      </c>
      <c r="E67" s="184">
        <v>8400</v>
      </c>
      <c r="F67" s="184">
        <v>1500</v>
      </c>
      <c r="G67" s="70">
        <f>SUM(E67:F67)</f>
        <v>9900</v>
      </c>
      <c r="I67" s="3" t="s">
        <v>126</v>
      </c>
      <c r="J67" s="70">
        <v>4250</v>
      </c>
      <c r="K67" s="70">
        <v>4843.1372070300004</v>
      </c>
      <c r="L67" s="70">
        <f t="shared" ref="L67:L71" si="35">D68</f>
        <v>2954</v>
      </c>
      <c r="M67" s="70">
        <v>3500</v>
      </c>
      <c r="N67" s="70">
        <f t="shared" ref="N67:N73" si="36">M67-J67</f>
        <v>-750</v>
      </c>
    </row>
    <row r="68" spans="1:56">
      <c r="A68" s="3" t="s">
        <v>109</v>
      </c>
      <c r="B68" s="184">
        <v>2954</v>
      </c>
      <c r="C68" s="184"/>
      <c r="D68" s="70">
        <f t="shared" ref="D68:D76" si="37">B68+C68</f>
        <v>2954</v>
      </c>
      <c r="E68" s="184">
        <v>1800</v>
      </c>
      <c r="F68" s="184">
        <v>1700</v>
      </c>
      <c r="G68" s="70">
        <f t="shared" ref="G68:G77" si="38">SUM(E68:F68)</f>
        <v>3500</v>
      </c>
      <c r="I68" s="3" t="s">
        <v>75</v>
      </c>
      <c r="J68" s="70">
        <v>2740</v>
      </c>
      <c r="K68" s="70">
        <v>2744</v>
      </c>
      <c r="L68" s="70">
        <f t="shared" si="35"/>
        <v>3500</v>
      </c>
      <c r="M68" s="70">
        <v>3000</v>
      </c>
      <c r="N68" s="70">
        <f t="shared" si="36"/>
        <v>260</v>
      </c>
    </row>
    <row r="69" spans="1:56">
      <c r="A69" s="3" t="s">
        <v>110</v>
      </c>
      <c r="B69" s="184">
        <v>1800</v>
      </c>
      <c r="C69" s="184">
        <v>1700</v>
      </c>
      <c r="D69" s="70">
        <f t="shared" si="37"/>
        <v>3500</v>
      </c>
      <c r="E69" s="184">
        <v>3000</v>
      </c>
      <c r="F69" s="184"/>
      <c r="G69" s="70">
        <f t="shared" si="38"/>
        <v>3000</v>
      </c>
      <c r="I69" s="3" t="s">
        <v>127</v>
      </c>
      <c r="J69" s="70">
        <v>11129.999999999998</v>
      </c>
      <c r="K69" s="70">
        <v>9549.7199707</v>
      </c>
      <c r="L69" s="70">
        <f t="shared" si="35"/>
        <v>5956.12401899</v>
      </c>
      <c r="M69" s="70">
        <v>5900</v>
      </c>
      <c r="N69" s="70">
        <f t="shared" si="36"/>
        <v>-5229.9999999999982</v>
      </c>
    </row>
    <row r="70" spans="1:56">
      <c r="A70" s="3" t="s">
        <v>112</v>
      </c>
      <c r="B70" s="184">
        <v>4212</v>
      </c>
      <c r="C70" s="184">
        <v>1744.12401899</v>
      </c>
      <c r="D70" s="70">
        <f t="shared" si="37"/>
        <v>5956.12401899</v>
      </c>
      <c r="E70" s="184">
        <v>4200</v>
      </c>
      <c r="F70" s="184">
        <v>1700</v>
      </c>
      <c r="G70" s="70">
        <f t="shared" si="38"/>
        <v>5900</v>
      </c>
      <c r="I70" s="3" t="s">
        <v>128</v>
      </c>
      <c r="J70" s="70">
        <v>1550</v>
      </c>
      <c r="K70" s="70">
        <v>1535.27997559</v>
      </c>
      <c r="L70" s="70">
        <f t="shared" si="35"/>
        <v>1473.1</v>
      </c>
      <c r="M70" s="70">
        <v>1450</v>
      </c>
      <c r="N70" s="70">
        <f t="shared" si="36"/>
        <v>-100</v>
      </c>
    </row>
    <row r="71" spans="1:56">
      <c r="A71" s="3" t="s">
        <v>113</v>
      </c>
      <c r="B71" s="184">
        <v>1323.1</v>
      </c>
      <c r="C71" s="184">
        <v>150</v>
      </c>
      <c r="D71" s="70">
        <f t="shared" si="37"/>
        <v>1473.1</v>
      </c>
      <c r="E71" s="184">
        <v>1300</v>
      </c>
      <c r="F71" s="184">
        <v>150</v>
      </c>
      <c r="G71" s="70">
        <f t="shared" si="38"/>
        <v>1450</v>
      </c>
      <c r="I71" s="3" t="s">
        <v>130</v>
      </c>
      <c r="J71" s="70">
        <v>1310</v>
      </c>
      <c r="K71" s="70">
        <v>1224</v>
      </c>
      <c r="L71" s="70">
        <f t="shared" si="35"/>
        <v>1395</v>
      </c>
      <c r="M71" s="70">
        <v>1400</v>
      </c>
      <c r="N71" s="70">
        <f t="shared" si="36"/>
        <v>90</v>
      </c>
    </row>
    <row r="72" spans="1:56">
      <c r="A72" s="3" t="s">
        <v>115</v>
      </c>
      <c r="B72" s="184">
        <v>1395</v>
      </c>
      <c r="C72" s="184"/>
      <c r="D72" s="70">
        <f t="shared" si="37"/>
        <v>1395</v>
      </c>
      <c r="E72" s="184">
        <v>1400</v>
      </c>
      <c r="F72" s="184"/>
      <c r="G72" s="70">
        <f t="shared" si="38"/>
        <v>1400</v>
      </c>
      <c r="I72" s="19" t="s">
        <v>134</v>
      </c>
      <c r="J72" s="70">
        <v>710</v>
      </c>
      <c r="K72" s="70">
        <v>33220.68115235</v>
      </c>
      <c r="L72" s="70">
        <f>SUM(D73:D75)</f>
        <v>34472.199999999997</v>
      </c>
      <c r="M72" s="70">
        <f>SUM(G73:G75)</f>
        <v>34400</v>
      </c>
      <c r="N72" s="70">
        <f>M72-K72</f>
        <v>1179.31884765</v>
      </c>
    </row>
    <row r="73" spans="1:56">
      <c r="A73" s="19" t="s">
        <v>118</v>
      </c>
      <c r="B73" s="184"/>
      <c r="C73" s="184">
        <v>4931.3999999999996</v>
      </c>
      <c r="D73" s="70">
        <f t="shared" si="37"/>
        <v>4931.3999999999996</v>
      </c>
      <c r="E73" s="184"/>
      <c r="F73" s="184">
        <v>4900</v>
      </c>
      <c r="G73" s="70">
        <f t="shared" si="38"/>
        <v>4900</v>
      </c>
      <c r="I73" s="3" t="s">
        <v>135</v>
      </c>
      <c r="J73" s="70">
        <v>940</v>
      </c>
      <c r="K73" s="70">
        <v>930</v>
      </c>
      <c r="L73" s="70">
        <f>D76</f>
        <v>900</v>
      </c>
      <c r="M73" s="70">
        <v>900</v>
      </c>
      <c r="N73" s="70">
        <f t="shared" si="36"/>
        <v>-40</v>
      </c>
    </row>
    <row r="74" spans="1:56">
      <c r="A74" s="3" t="s">
        <v>119</v>
      </c>
      <c r="B74" s="184"/>
      <c r="C74" s="184">
        <v>5540.4</v>
      </c>
      <c r="D74" s="70">
        <f t="shared" si="37"/>
        <v>5540.4</v>
      </c>
      <c r="E74" s="184"/>
      <c r="F74" s="184">
        <v>5500</v>
      </c>
      <c r="G74" s="70">
        <f t="shared" si="38"/>
        <v>5500</v>
      </c>
      <c r="I74" s="19" t="s">
        <v>35</v>
      </c>
      <c r="J74" s="70">
        <f>SUM(J66:J73)</f>
        <v>32000</v>
      </c>
      <c r="K74" s="70">
        <f t="shared" ref="K74:M74" si="39">SUM(K66:K73)</f>
        <v>63342.558417979999</v>
      </c>
      <c r="L74" s="70">
        <f t="shared" si="39"/>
        <v>60501.128928079997</v>
      </c>
      <c r="M74" s="70">
        <f t="shared" si="39"/>
        <v>60450</v>
      </c>
      <c r="N74" s="70"/>
    </row>
    <row r="75" spans="1:56">
      <c r="A75" s="3" t="s">
        <v>120</v>
      </c>
      <c r="B75" s="184"/>
      <c r="C75" s="184">
        <v>24000.400000000001</v>
      </c>
      <c r="D75" s="70">
        <f t="shared" si="37"/>
        <v>24000.400000000001</v>
      </c>
      <c r="E75" s="184"/>
      <c r="F75" s="184">
        <v>24000</v>
      </c>
      <c r="G75" s="70">
        <f t="shared" si="38"/>
        <v>24000</v>
      </c>
    </row>
    <row r="76" spans="1:56">
      <c r="A76" s="3" t="s">
        <v>121</v>
      </c>
      <c r="B76" s="184">
        <v>900</v>
      </c>
      <c r="C76" s="184"/>
      <c r="D76" s="70">
        <f t="shared" si="37"/>
        <v>900</v>
      </c>
      <c r="E76" s="184">
        <v>900</v>
      </c>
      <c r="F76" s="184"/>
      <c r="G76" s="70">
        <f t="shared" si="38"/>
        <v>900</v>
      </c>
    </row>
    <row r="77" spans="1:56">
      <c r="A77" s="3" t="s">
        <v>35</v>
      </c>
      <c r="B77" s="70">
        <f>SUM(B67:B76)</f>
        <v>20977.1</v>
      </c>
      <c r="C77" s="70">
        <f t="shared" ref="C77:D77" si="40">SUM(C67:C76)</f>
        <v>39524.028928079999</v>
      </c>
      <c r="D77" s="70">
        <f t="shared" si="40"/>
        <v>60501.128928080005</v>
      </c>
      <c r="E77" s="70">
        <f>SUM(E67:E76)</f>
        <v>21000</v>
      </c>
      <c r="F77" s="70">
        <f>SUM(F67:F76)</f>
        <v>39450</v>
      </c>
      <c r="G77" s="70">
        <f t="shared" si="38"/>
        <v>60450</v>
      </c>
    </row>
    <row r="78" spans="1:56">
      <c r="A78" s="81" t="s">
        <v>307</v>
      </c>
      <c r="B78" s="73"/>
      <c r="C78" s="73"/>
      <c r="D78" s="73"/>
      <c r="E78" s="73"/>
      <c r="F78" s="73"/>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row>
    <row r="79" spans="1:56">
      <c r="A79" s="763" t="s">
        <v>308</v>
      </c>
      <c r="B79" s="763"/>
      <c r="C79" s="764" t="s">
        <v>313</v>
      </c>
      <c r="D79" s="764"/>
      <c r="E79" s="764"/>
      <c r="F79" s="764"/>
      <c r="G79" s="764"/>
      <c r="H79" s="764"/>
      <c r="J79" s="763" t="s">
        <v>965</v>
      </c>
      <c r="K79" s="763"/>
      <c r="L79" s="763"/>
      <c r="N79" s="763" t="s">
        <v>298</v>
      </c>
      <c r="O79" s="763"/>
      <c r="P79" s="763"/>
      <c r="Q79" s="763"/>
      <c r="R79" s="763"/>
      <c r="S79" s="763"/>
      <c r="T79" s="763"/>
      <c r="V79" s="763" t="s">
        <v>967</v>
      </c>
      <c r="W79" s="763"/>
      <c r="Y79" s="37" t="s">
        <v>889</v>
      </c>
    </row>
    <row r="80" spans="1:56">
      <c r="A80" s="3" t="s">
        <v>110</v>
      </c>
      <c r="B80" s="184">
        <v>410</v>
      </c>
      <c r="C80" s="77"/>
      <c r="D80" s="763" t="s">
        <v>148</v>
      </c>
      <c r="E80" s="763"/>
      <c r="F80" s="763" t="s">
        <v>147</v>
      </c>
      <c r="G80" s="763"/>
      <c r="H80" s="77" t="s">
        <v>35</v>
      </c>
      <c r="J80" s="77"/>
      <c r="K80" s="77" t="s">
        <v>262</v>
      </c>
      <c r="L80" s="726" t="s">
        <v>316</v>
      </c>
      <c r="N80" s="77"/>
      <c r="O80" s="77"/>
      <c r="P80" s="80">
        <v>2022</v>
      </c>
      <c r="Q80" s="80" t="s">
        <v>312</v>
      </c>
      <c r="R80" s="77" t="s">
        <v>313</v>
      </c>
      <c r="S80" s="40" t="s">
        <v>299</v>
      </c>
      <c r="T80" s="40">
        <v>2026</v>
      </c>
      <c r="V80" s="19" t="s">
        <v>107</v>
      </c>
      <c r="W80" s="527">
        <f>K81</f>
        <v>75895.78</v>
      </c>
      <c r="Y80" s="37" t="s">
        <v>583</v>
      </c>
    </row>
    <row r="81" spans="1:25">
      <c r="A81" s="3" t="s">
        <v>112</v>
      </c>
      <c r="B81" s="184">
        <v>500</v>
      </c>
      <c r="C81" s="40"/>
      <c r="D81" s="80">
        <v>2030</v>
      </c>
      <c r="E81" s="80">
        <v>2040</v>
      </c>
      <c r="F81" s="80">
        <v>2030</v>
      </c>
      <c r="G81" s="80">
        <v>2040</v>
      </c>
      <c r="H81" s="80">
        <v>2035</v>
      </c>
      <c r="J81" s="19" t="s">
        <v>107</v>
      </c>
      <c r="K81" s="215">
        <v>75895.78</v>
      </c>
      <c r="L81" s="727">
        <v>2.25</v>
      </c>
      <c r="N81" s="19" t="s">
        <v>38</v>
      </c>
      <c r="O81" s="19"/>
      <c r="P81" s="728">
        <f t="shared" ref="P81:P94" si="41">Q31</f>
        <v>28263.13606242694</v>
      </c>
      <c r="Q81" s="184">
        <v>238528.70090909093</v>
      </c>
      <c r="R81" s="70">
        <f>SUM(H82:H83)</f>
        <v>138281.4</v>
      </c>
      <c r="S81" s="184">
        <f t="shared" ref="S81:S94" si="42">C48*1000</f>
        <v>50180</v>
      </c>
      <c r="T81" s="215">
        <f>K81</f>
        <v>75895.78</v>
      </c>
      <c r="V81" s="19" t="s">
        <v>109</v>
      </c>
      <c r="W81" s="526">
        <f>H84</f>
        <v>10777</v>
      </c>
      <c r="Y81" s="37" t="s">
        <v>311</v>
      </c>
    </row>
    <row r="82" spans="1:25">
      <c r="A82" s="3" t="s">
        <v>113</v>
      </c>
      <c r="B82" s="184">
        <v>111</v>
      </c>
      <c r="C82" s="19" t="s">
        <v>107</v>
      </c>
      <c r="D82" s="184">
        <v>50538</v>
      </c>
      <c r="E82" s="184">
        <v>157525</v>
      </c>
      <c r="F82" s="184">
        <v>6400.8</v>
      </c>
      <c r="G82" s="184">
        <v>62099</v>
      </c>
      <c r="H82" s="70">
        <f>SUM(D82:G82)/2</f>
        <v>138281.4</v>
      </c>
      <c r="J82" s="19" t="s">
        <v>109</v>
      </c>
      <c r="K82" s="215">
        <v>0</v>
      </c>
      <c r="L82" s="727"/>
      <c r="N82" s="19" t="s">
        <v>39</v>
      </c>
      <c r="O82" s="19"/>
      <c r="P82" s="728">
        <f t="shared" si="41"/>
        <v>2023.011073701919</v>
      </c>
      <c r="Q82" s="184">
        <v>10776.999999999998</v>
      </c>
      <c r="R82" s="303">
        <f>H84</f>
        <v>10777</v>
      </c>
      <c r="S82" s="184">
        <f t="shared" si="42"/>
        <v>3360</v>
      </c>
      <c r="T82" s="215">
        <f t="shared" ref="T82:T87" si="43">K82</f>
        <v>0</v>
      </c>
      <c r="V82" s="19" t="s">
        <v>110</v>
      </c>
      <c r="W82" s="527">
        <f t="shared" ref="W82:W99" si="44">K83</f>
        <v>26940.16</v>
      </c>
      <c r="Y82" s="37" t="s">
        <v>966</v>
      </c>
    </row>
    <row r="83" spans="1:25">
      <c r="A83" s="3" t="s">
        <v>115</v>
      </c>
      <c r="B83" s="184">
        <v>410</v>
      </c>
      <c r="C83" s="19" t="s">
        <v>108</v>
      </c>
      <c r="D83" s="184">
        <v>0</v>
      </c>
      <c r="E83" s="184">
        <v>0</v>
      </c>
      <c r="F83" s="184">
        <v>0</v>
      </c>
      <c r="G83" s="184">
        <v>0</v>
      </c>
      <c r="H83" s="70">
        <f t="shared" ref="H83:H104" si="45">SUM(D83:G83)/2</f>
        <v>0</v>
      </c>
      <c r="J83" s="19" t="s">
        <v>110</v>
      </c>
      <c r="K83" s="215">
        <f>26280.16+660</f>
        <v>26940.16</v>
      </c>
      <c r="L83" s="727">
        <v>1.77</v>
      </c>
      <c r="N83" s="19" t="s">
        <v>75</v>
      </c>
      <c r="O83" s="19"/>
      <c r="P83" s="728">
        <f t="shared" si="41"/>
        <v>23851.874536118245</v>
      </c>
      <c r="Q83" s="184">
        <v>30386.7</v>
      </c>
      <c r="R83" s="70">
        <f>SUM(H85:H86)</f>
        <v>40016.199999999997</v>
      </c>
      <c r="S83" s="184">
        <f t="shared" si="42"/>
        <v>3150</v>
      </c>
      <c r="T83" s="215">
        <f t="shared" si="43"/>
        <v>26940.16</v>
      </c>
      <c r="V83" s="19" t="s">
        <v>112</v>
      </c>
      <c r="W83" s="527">
        <f t="shared" si="44"/>
        <v>17187.52</v>
      </c>
    </row>
    <row r="84" spans="1:25">
      <c r="A84" s="22"/>
      <c r="B84" s="70">
        <f>SUM(B80:B83)</f>
        <v>1431</v>
      </c>
      <c r="C84" s="19" t="s">
        <v>109</v>
      </c>
      <c r="D84" s="184">
        <v>0</v>
      </c>
      <c r="E84" s="184">
        <v>0</v>
      </c>
      <c r="F84" s="215">
        <v>940</v>
      </c>
      <c r="G84" s="215">
        <v>20614</v>
      </c>
      <c r="H84" s="303">
        <f t="shared" si="45"/>
        <v>10777</v>
      </c>
      <c r="J84" s="19" t="s">
        <v>112</v>
      </c>
      <c r="K84" s="215">
        <v>17187.52</v>
      </c>
      <c r="L84" s="727">
        <v>2.23</v>
      </c>
      <c r="N84" s="19" t="s">
        <v>41</v>
      </c>
      <c r="O84" s="19"/>
      <c r="P84" s="728">
        <f t="shared" si="41"/>
        <v>16384.277792461638</v>
      </c>
      <c r="Q84" s="184">
        <v>24825.000000000015</v>
      </c>
      <c r="R84" s="70">
        <f>H87</f>
        <v>17325</v>
      </c>
      <c r="S84" s="184">
        <f t="shared" si="42"/>
        <v>4610</v>
      </c>
      <c r="T84" s="215">
        <f t="shared" si="43"/>
        <v>17187.52</v>
      </c>
      <c r="V84" s="19" t="s">
        <v>113</v>
      </c>
      <c r="W84" s="527">
        <f t="shared" si="44"/>
        <v>6110</v>
      </c>
    </row>
    <row r="85" spans="1:25">
      <c r="C85" s="19" t="s">
        <v>111</v>
      </c>
      <c r="D85" s="184">
        <v>484.21211107668529</v>
      </c>
      <c r="E85" s="184">
        <v>8659.2019032669723</v>
      </c>
      <c r="F85" s="184">
        <v>670.78788892331477</v>
      </c>
      <c r="G85" s="184">
        <v>9654.7980967330277</v>
      </c>
      <c r="H85" s="70">
        <f t="shared" si="45"/>
        <v>9734.5</v>
      </c>
      <c r="J85" s="19" t="s">
        <v>113</v>
      </c>
      <c r="K85" s="215">
        <v>6110</v>
      </c>
      <c r="L85" s="727">
        <v>4.42</v>
      </c>
      <c r="N85" s="19" t="s">
        <v>42</v>
      </c>
      <c r="O85" s="19"/>
      <c r="P85" s="728">
        <f t="shared" si="41"/>
        <v>4955.5448981347272</v>
      </c>
      <c r="Q85" s="184">
        <v>0</v>
      </c>
      <c r="R85" s="70">
        <f>H88</f>
        <v>0</v>
      </c>
      <c r="S85" s="184">
        <f t="shared" si="42"/>
        <v>0</v>
      </c>
      <c r="T85" s="215">
        <f t="shared" si="43"/>
        <v>6110</v>
      </c>
      <c r="V85" s="19" t="s">
        <v>114</v>
      </c>
      <c r="W85" s="527">
        <f t="shared" si="44"/>
        <v>21744</v>
      </c>
    </row>
    <row r="86" spans="1:25">
      <c r="A86" s="22"/>
      <c r="C86" s="19" t="s">
        <v>110</v>
      </c>
      <c r="D86" s="184">
        <v>23375.53</v>
      </c>
      <c r="E86" s="184">
        <v>37187.870000000003</v>
      </c>
      <c r="F86" s="184">
        <v>0</v>
      </c>
      <c r="G86" s="184">
        <v>0</v>
      </c>
      <c r="H86" s="70">
        <f t="shared" si="45"/>
        <v>30281.7</v>
      </c>
      <c r="J86" s="19" t="s">
        <v>114</v>
      </c>
      <c r="K86" s="215">
        <v>21744</v>
      </c>
      <c r="L86" s="246"/>
      <c r="N86" s="19" t="s">
        <v>43</v>
      </c>
      <c r="O86" s="19"/>
      <c r="P86" s="728">
        <f t="shared" si="41"/>
        <v>19037.173642408819</v>
      </c>
      <c r="Q86" s="184">
        <v>67142.687749999997</v>
      </c>
      <c r="R86" s="70">
        <f>H89</f>
        <v>60703.799999999996</v>
      </c>
      <c r="S86" s="184">
        <f t="shared" si="42"/>
        <v>21330</v>
      </c>
      <c r="T86" s="215">
        <f t="shared" si="43"/>
        <v>21744</v>
      </c>
      <c r="V86" s="19" t="s">
        <v>115</v>
      </c>
      <c r="W86" s="527">
        <f t="shared" si="44"/>
        <v>3851</v>
      </c>
    </row>
    <row r="87" spans="1:25">
      <c r="A87" s="22"/>
      <c r="C87" s="19" t="s">
        <v>112</v>
      </c>
      <c r="D87" s="184">
        <v>1400</v>
      </c>
      <c r="E87" s="184">
        <v>2250</v>
      </c>
      <c r="F87" s="184">
        <v>5000</v>
      </c>
      <c r="G87" s="184">
        <v>26000</v>
      </c>
      <c r="H87" s="70">
        <f t="shared" si="45"/>
        <v>17325</v>
      </c>
      <c r="J87" s="19" t="s">
        <v>115</v>
      </c>
      <c r="K87" s="215">
        <v>3851</v>
      </c>
      <c r="L87" s="246"/>
      <c r="N87" s="19" t="s">
        <v>44</v>
      </c>
      <c r="O87" s="19"/>
      <c r="P87" s="728">
        <f t="shared" si="41"/>
        <v>6588.5942590695595</v>
      </c>
      <c r="Q87" s="184">
        <v>3401.5</v>
      </c>
      <c r="R87" s="70">
        <f>H90</f>
        <v>2148</v>
      </c>
      <c r="S87" s="184">
        <f t="shared" si="42"/>
        <v>690</v>
      </c>
      <c r="T87" s="215">
        <f t="shared" si="43"/>
        <v>3851</v>
      </c>
      <c r="V87" s="19" t="s">
        <v>103</v>
      </c>
      <c r="W87" s="526">
        <f>H91</f>
        <v>0</v>
      </c>
    </row>
    <row r="88" spans="1:25">
      <c r="A88" s="22"/>
      <c r="C88" s="19" t="s">
        <v>113</v>
      </c>
      <c r="D88" s="184">
        <v>0</v>
      </c>
      <c r="E88" s="184">
        <v>0</v>
      </c>
      <c r="F88" s="184">
        <v>0</v>
      </c>
      <c r="G88" s="184">
        <v>0</v>
      </c>
      <c r="H88" s="70">
        <f t="shared" si="45"/>
        <v>0</v>
      </c>
      <c r="J88" s="19" t="s">
        <v>103</v>
      </c>
      <c r="K88" s="184">
        <v>50</v>
      </c>
      <c r="N88" s="19" t="s">
        <v>45</v>
      </c>
      <c r="O88" s="19"/>
      <c r="P88" s="70">
        <f t="shared" si="41"/>
        <v>4588.4020416619214</v>
      </c>
      <c r="Q88" s="70">
        <v>3059.219037074854</v>
      </c>
      <c r="R88" s="303">
        <f>SUM(H91:H94)</f>
        <v>1460.4</v>
      </c>
      <c r="S88" s="70">
        <f t="shared" si="42"/>
        <v>580</v>
      </c>
      <c r="T88" s="70">
        <v>200</v>
      </c>
      <c r="V88" s="19" t="s">
        <v>104</v>
      </c>
      <c r="W88" s="526">
        <f t="shared" ref="W88:W90" si="46">H92</f>
        <v>66.8</v>
      </c>
    </row>
    <row r="89" spans="1:25">
      <c r="A89" s="22"/>
      <c r="C89" s="19" t="s">
        <v>114</v>
      </c>
      <c r="D89" s="184">
        <v>17675.672894836782</v>
      </c>
      <c r="E89" s="184">
        <v>64349.674045981912</v>
      </c>
      <c r="F89" s="184">
        <v>8721.5271051632189</v>
      </c>
      <c r="G89" s="184">
        <v>30660.725954018082</v>
      </c>
      <c r="H89" s="70">
        <f t="shared" si="45"/>
        <v>60703.799999999996</v>
      </c>
      <c r="J89" s="19" t="s">
        <v>104</v>
      </c>
      <c r="K89" s="184">
        <v>50</v>
      </c>
      <c r="N89" s="19" t="s">
        <v>46</v>
      </c>
      <c r="O89" s="19"/>
      <c r="P89" s="70">
        <f t="shared" si="41"/>
        <v>207.1402480145297</v>
      </c>
      <c r="Q89" s="70">
        <v>2000</v>
      </c>
      <c r="R89" s="70">
        <f>SUM(H95:H97)</f>
        <v>2000</v>
      </c>
      <c r="S89" s="70">
        <f t="shared" si="42"/>
        <v>530</v>
      </c>
      <c r="T89" s="303">
        <f>K92+K93</f>
        <v>918.99</v>
      </c>
      <c r="V89" s="19" t="s">
        <v>105</v>
      </c>
      <c r="W89" s="526">
        <f t="shared" si="46"/>
        <v>970.35</v>
      </c>
    </row>
    <row r="90" spans="1:25">
      <c r="A90" s="22"/>
      <c r="C90" s="19" t="s">
        <v>115</v>
      </c>
      <c r="D90" s="184">
        <v>520</v>
      </c>
      <c r="E90" s="184">
        <v>1566</v>
      </c>
      <c r="F90" s="184">
        <v>1105</v>
      </c>
      <c r="G90" s="184">
        <v>1105</v>
      </c>
      <c r="H90" s="70">
        <f t="shared" si="45"/>
        <v>2148</v>
      </c>
      <c r="J90" s="19" t="s">
        <v>105</v>
      </c>
      <c r="K90" s="184">
        <v>50</v>
      </c>
      <c r="N90" s="19" t="s">
        <v>47</v>
      </c>
      <c r="O90" s="19"/>
      <c r="P90" s="728">
        <f t="shared" si="41"/>
        <v>1856.0674450460001</v>
      </c>
      <c r="Q90" s="184">
        <v>4000</v>
      </c>
      <c r="R90" s="70">
        <f>H98</f>
        <v>4000</v>
      </c>
      <c r="S90" s="184">
        <f t="shared" si="42"/>
        <v>1270</v>
      </c>
      <c r="T90" s="215">
        <f>K94</f>
        <v>4711.1000000000004</v>
      </c>
      <c r="V90" s="19" t="s">
        <v>106</v>
      </c>
      <c r="W90" s="526">
        <f t="shared" si="46"/>
        <v>423.25</v>
      </c>
    </row>
    <row r="91" spans="1:25">
      <c r="A91" s="22"/>
      <c r="C91" s="19" t="s">
        <v>103</v>
      </c>
      <c r="D91" s="184">
        <v>0</v>
      </c>
      <c r="E91" s="184">
        <v>0</v>
      </c>
      <c r="F91" s="184">
        <v>0</v>
      </c>
      <c r="G91" s="184">
        <v>0</v>
      </c>
      <c r="H91" s="70">
        <f t="shared" si="45"/>
        <v>0</v>
      </c>
      <c r="J91" s="19" t="s">
        <v>106</v>
      </c>
      <c r="K91" s="184">
        <v>50</v>
      </c>
      <c r="N91" s="19" t="s">
        <v>48</v>
      </c>
      <c r="O91" s="19"/>
      <c r="P91" s="70">
        <f t="shared" si="41"/>
        <v>352.82107904672631</v>
      </c>
      <c r="Q91" s="184">
        <v>0</v>
      </c>
      <c r="R91" s="70">
        <f>SUM(H99:H101)</f>
        <v>0</v>
      </c>
      <c r="S91" s="184">
        <f t="shared" si="42"/>
        <v>0</v>
      </c>
      <c r="T91" s="215"/>
      <c r="V91" s="19" t="s">
        <v>99</v>
      </c>
      <c r="W91" s="527">
        <f t="shared" si="44"/>
        <v>293.68</v>
      </c>
    </row>
    <row r="92" spans="1:25">
      <c r="A92" s="22"/>
      <c r="C92" s="19" t="s">
        <v>104</v>
      </c>
      <c r="D92" s="215">
        <v>33.4</v>
      </c>
      <c r="E92" s="215">
        <v>100.2</v>
      </c>
      <c r="F92" s="184">
        <v>0</v>
      </c>
      <c r="G92" s="184">
        <v>0</v>
      </c>
      <c r="H92" s="303">
        <f t="shared" si="45"/>
        <v>66.8</v>
      </c>
      <c r="J92" s="19" t="s">
        <v>99</v>
      </c>
      <c r="K92" s="215">
        <v>293.68</v>
      </c>
      <c r="N92" s="19" t="s">
        <v>49</v>
      </c>
      <c r="O92" s="19"/>
      <c r="P92" s="728">
        <f t="shared" si="41"/>
        <v>763.82643941917581</v>
      </c>
      <c r="Q92" s="184">
        <v>200</v>
      </c>
      <c r="R92" s="70">
        <f>H102</f>
        <v>3200</v>
      </c>
      <c r="S92" s="184">
        <f t="shared" si="42"/>
        <v>940</v>
      </c>
      <c r="T92" s="215">
        <f>K98</f>
        <v>1810</v>
      </c>
      <c r="V92" s="19" t="s">
        <v>101</v>
      </c>
      <c r="W92" s="527">
        <f t="shared" si="44"/>
        <v>625.30999999999995</v>
      </c>
    </row>
    <row r="93" spans="1:25">
      <c r="A93" s="22"/>
      <c r="C93" s="19" t="s">
        <v>105</v>
      </c>
      <c r="D93" s="215">
        <v>485.2</v>
      </c>
      <c r="E93" s="215">
        <v>1455.5</v>
      </c>
      <c r="F93" s="184">
        <v>0</v>
      </c>
      <c r="G93" s="184">
        <v>0</v>
      </c>
      <c r="H93" s="303">
        <f t="shared" si="45"/>
        <v>970.35</v>
      </c>
      <c r="J93" s="19" t="s">
        <v>101</v>
      </c>
      <c r="K93" s="215">
        <v>625.30999999999995</v>
      </c>
      <c r="N93" s="19" t="s">
        <v>50</v>
      </c>
      <c r="O93" s="19"/>
      <c r="P93" s="728">
        <f t="shared" si="41"/>
        <v>80.794725784447508</v>
      </c>
      <c r="Q93" s="184">
        <v>160</v>
      </c>
      <c r="R93" s="70">
        <f>H103</f>
        <v>160</v>
      </c>
      <c r="S93" s="184">
        <f t="shared" si="42"/>
        <v>40</v>
      </c>
      <c r="T93" s="215">
        <f t="shared" ref="T93:T94" si="47">K99</f>
        <v>420</v>
      </c>
      <c r="V93" s="19" t="s">
        <v>117</v>
      </c>
      <c r="W93" s="527">
        <f t="shared" si="44"/>
        <v>4711.1000000000004</v>
      </c>
    </row>
    <row r="94" spans="1:25">
      <c r="A94" s="22"/>
      <c r="C94" s="19" t="s">
        <v>106</v>
      </c>
      <c r="D94" s="215">
        <v>211.6</v>
      </c>
      <c r="E94" s="215">
        <v>634.9</v>
      </c>
      <c r="F94" s="184">
        <v>0</v>
      </c>
      <c r="G94" s="184">
        <v>0</v>
      </c>
      <c r="H94" s="303">
        <f t="shared" si="45"/>
        <v>423.25</v>
      </c>
      <c r="J94" s="19" t="s">
        <v>117</v>
      </c>
      <c r="K94" s="215">
        <v>4711.1000000000004</v>
      </c>
      <c r="N94" s="19" t="s">
        <v>51</v>
      </c>
      <c r="O94" s="19"/>
      <c r="P94" s="728">
        <f t="shared" si="41"/>
        <v>477.40853565879365</v>
      </c>
      <c r="Q94" s="70">
        <v>0</v>
      </c>
      <c r="R94" s="70">
        <f>H104</f>
        <v>0</v>
      </c>
      <c r="S94" s="70">
        <f t="shared" si="42"/>
        <v>0</v>
      </c>
      <c r="T94" s="215">
        <f t="shared" si="47"/>
        <v>1500</v>
      </c>
      <c r="V94" s="19" t="s">
        <v>118</v>
      </c>
      <c r="W94" s="527">
        <f t="shared" si="44"/>
        <v>0</v>
      </c>
    </row>
    <row r="95" spans="1:25">
      <c r="A95" s="22"/>
      <c r="C95" s="19" t="s">
        <v>99</v>
      </c>
      <c r="D95" s="184">
        <v>0</v>
      </c>
      <c r="E95" s="184">
        <v>0</v>
      </c>
      <c r="F95" s="184">
        <v>0</v>
      </c>
      <c r="G95" s="184">
        <v>0</v>
      </c>
      <c r="H95" s="70">
        <f t="shared" si="45"/>
        <v>0</v>
      </c>
      <c r="J95" s="19" t="s">
        <v>118</v>
      </c>
      <c r="K95" s="215">
        <v>0</v>
      </c>
      <c r="N95" s="19" t="s">
        <v>35</v>
      </c>
      <c r="O95" s="19"/>
      <c r="P95" s="70">
        <f>SUM(P81:P94)</f>
        <v>109430.07277895346</v>
      </c>
      <c r="Q95" s="70">
        <f>SUM(Q81:Q94)</f>
        <v>384480.80769616575</v>
      </c>
      <c r="R95" s="70">
        <f>SUM(R81:R94)</f>
        <v>280071.8</v>
      </c>
      <c r="S95" s="70">
        <f>SUM(S81:S94)</f>
        <v>86680</v>
      </c>
      <c r="T95" s="70">
        <f>SUM(T81:T94)</f>
        <v>161288.55000000002</v>
      </c>
      <c r="V95" s="19" t="s">
        <v>119</v>
      </c>
      <c r="W95" s="527">
        <f t="shared" si="44"/>
        <v>0</v>
      </c>
    </row>
    <row r="96" spans="1:25">
      <c r="C96" s="19" t="s">
        <v>116</v>
      </c>
      <c r="D96" s="184">
        <v>0</v>
      </c>
      <c r="E96" s="184">
        <v>0</v>
      </c>
      <c r="F96" s="184">
        <v>0</v>
      </c>
      <c r="G96" s="184">
        <v>0</v>
      </c>
      <c r="H96" s="70">
        <f t="shared" si="45"/>
        <v>0</v>
      </c>
      <c r="J96" s="19" t="s">
        <v>119</v>
      </c>
      <c r="K96" s="215">
        <v>0</v>
      </c>
      <c r="S96" s="37">
        <f>S95-S81-S86</f>
        <v>15170</v>
      </c>
      <c r="V96" s="19" t="s">
        <v>120</v>
      </c>
      <c r="W96" s="527">
        <f t="shared" si="44"/>
        <v>0</v>
      </c>
    </row>
    <row r="97" spans="3:23">
      <c r="C97" s="19" t="s">
        <v>101</v>
      </c>
      <c r="D97" s="184">
        <v>150.36171954998781</v>
      </c>
      <c r="E97" s="184">
        <v>189.95607688380557</v>
      </c>
      <c r="F97" s="184">
        <v>1849.638280450012</v>
      </c>
      <c r="G97" s="184">
        <v>1810.0439231161945</v>
      </c>
      <c r="H97" s="70">
        <f t="shared" si="45"/>
        <v>2000</v>
      </c>
      <c r="J97" s="19" t="s">
        <v>120</v>
      </c>
      <c r="K97" s="215">
        <v>0</v>
      </c>
      <c r="V97" s="19" t="s">
        <v>121</v>
      </c>
      <c r="W97" s="527">
        <f t="shared" si="44"/>
        <v>1810</v>
      </c>
    </row>
    <row r="98" spans="3:23">
      <c r="C98" s="19" t="s">
        <v>117</v>
      </c>
      <c r="D98" s="184">
        <v>688.9361099260741</v>
      </c>
      <c r="E98" s="184">
        <v>2882.5111039934027</v>
      </c>
      <c r="F98" s="184">
        <v>1311.0638900739259</v>
      </c>
      <c r="G98" s="184">
        <v>3117.4888960065973</v>
      </c>
      <c r="H98" s="70">
        <f t="shared" si="45"/>
        <v>4000</v>
      </c>
      <c r="J98" s="19" t="s">
        <v>121</v>
      </c>
      <c r="K98" s="215">
        <v>1810</v>
      </c>
      <c r="V98" s="19" t="s">
        <v>122</v>
      </c>
      <c r="W98" s="527">
        <f t="shared" si="44"/>
        <v>420</v>
      </c>
    </row>
    <row r="99" spans="3:23">
      <c r="C99" s="19" t="s">
        <v>118</v>
      </c>
      <c r="D99" s="184">
        <v>0</v>
      </c>
      <c r="E99" s="184">
        <v>0</v>
      </c>
      <c r="F99" s="184">
        <v>0</v>
      </c>
      <c r="G99" s="184">
        <v>0</v>
      </c>
      <c r="H99" s="70">
        <f t="shared" si="45"/>
        <v>0</v>
      </c>
      <c r="J99" s="19" t="s">
        <v>122</v>
      </c>
      <c r="K99" s="215">
        <v>420</v>
      </c>
      <c r="V99" s="19" t="s">
        <v>123</v>
      </c>
      <c r="W99" s="527">
        <f t="shared" si="44"/>
        <v>1500</v>
      </c>
    </row>
    <row r="100" spans="3:23">
      <c r="C100" s="19" t="s">
        <v>119</v>
      </c>
      <c r="D100" s="184">
        <v>0</v>
      </c>
      <c r="E100" s="184">
        <v>0</v>
      </c>
      <c r="F100" s="184">
        <v>0</v>
      </c>
      <c r="G100" s="184">
        <v>0</v>
      </c>
      <c r="H100" s="70">
        <f t="shared" si="45"/>
        <v>0</v>
      </c>
      <c r="J100" s="19" t="s">
        <v>123</v>
      </c>
      <c r="K100" s="215">
        <v>1500</v>
      </c>
      <c r="W100" s="70">
        <f>SUM(W80:W99)</f>
        <v>173325.95</v>
      </c>
    </row>
    <row r="101" spans="3:23">
      <c r="C101" s="19" t="s">
        <v>120</v>
      </c>
      <c r="D101" s="184">
        <v>0</v>
      </c>
      <c r="E101" s="184">
        <v>0</v>
      </c>
      <c r="F101" s="184">
        <v>0</v>
      </c>
      <c r="G101" s="184">
        <v>0</v>
      </c>
      <c r="H101" s="70">
        <f t="shared" si="45"/>
        <v>0</v>
      </c>
      <c r="W101" s="37">
        <f>SUM(W81:W84,W86:W99)</f>
        <v>75686.170000000013</v>
      </c>
    </row>
    <row r="102" spans="3:23">
      <c r="C102" s="19" t="s">
        <v>121</v>
      </c>
      <c r="D102" s="184">
        <v>0</v>
      </c>
      <c r="E102" s="184">
        <v>0</v>
      </c>
      <c r="F102" s="184">
        <v>2200</v>
      </c>
      <c r="G102" s="184">
        <v>4200</v>
      </c>
      <c r="H102" s="70">
        <f t="shared" si="45"/>
        <v>3200</v>
      </c>
    </row>
    <row r="103" spans="3:23">
      <c r="C103" s="19" t="s">
        <v>122</v>
      </c>
      <c r="D103" s="184">
        <v>10.956652742587139</v>
      </c>
      <c r="E103" s="184">
        <v>20.723777944719327</v>
      </c>
      <c r="F103" s="184">
        <v>149.04334725741285</v>
      </c>
      <c r="G103" s="184">
        <v>139.27622205528067</v>
      </c>
      <c r="H103" s="70">
        <f t="shared" si="45"/>
        <v>160</v>
      </c>
    </row>
    <row r="104" spans="3:23">
      <c r="C104" s="19" t="s">
        <v>123</v>
      </c>
      <c r="D104" s="184">
        <v>0</v>
      </c>
      <c r="E104" s="184">
        <v>0</v>
      </c>
      <c r="F104" s="184">
        <v>0</v>
      </c>
      <c r="G104" s="184">
        <v>0</v>
      </c>
      <c r="H104" s="70">
        <f t="shared" si="45"/>
        <v>0</v>
      </c>
    </row>
    <row r="105" spans="3:23">
      <c r="H105" s="22"/>
    </row>
    <row r="106" spans="3:23">
      <c r="H106" s="22"/>
    </row>
    <row r="107" spans="3:23">
      <c r="H107" s="22"/>
    </row>
    <row r="109" spans="3:23">
      <c r="H109" s="22"/>
    </row>
    <row r="110" spans="3:23">
      <c r="H110" s="22"/>
    </row>
    <row r="111" spans="3:23">
      <c r="H111" s="22"/>
    </row>
    <row r="113" spans="8:8">
      <c r="H113" s="22"/>
    </row>
    <row r="114" spans="8:8">
      <c r="H114" s="22"/>
    </row>
    <row r="115" spans="8:8">
      <c r="H115" s="22"/>
    </row>
    <row r="119" spans="8:8">
      <c r="H119" s="22"/>
    </row>
    <row r="124" spans="8:8">
      <c r="H124" s="22"/>
    </row>
    <row r="125" spans="8:8">
      <c r="H125" s="22"/>
    </row>
  </sheetData>
  <mergeCells count="40">
    <mergeCell ref="B65:D65"/>
    <mergeCell ref="E65:G65"/>
    <mergeCell ref="U29:X29"/>
    <mergeCell ref="Y29:AB29"/>
    <mergeCell ref="S29:T30"/>
    <mergeCell ref="I64:N64"/>
    <mergeCell ref="A64:G64"/>
    <mergeCell ref="B2:J2"/>
    <mergeCell ref="M2:AG2"/>
    <mergeCell ref="M3:O3"/>
    <mergeCell ref="P3:R3"/>
    <mergeCell ref="AE3:AG3"/>
    <mergeCell ref="S3:U3"/>
    <mergeCell ref="V3:X3"/>
    <mergeCell ref="Y3:AA3"/>
    <mergeCell ref="B3:D3"/>
    <mergeCell ref="E3:G3"/>
    <mergeCell ref="H3:J3"/>
    <mergeCell ref="AC29:AF29"/>
    <mergeCell ref="C29:F29"/>
    <mergeCell ref="G29:J29"/>
    <mergeCell ref="K29:N29"/>
    <mergeCell ref="O29:R29"/>
    <mergeCell ref="AV2:BD2"/>
    <mergeCell ref="AV3:AX3"/>
    <mergeCell ref="AY3:BA3"/>
    <mergeCell ref="BB3:BD3"/>
    <mergeCell ref="AB3:AD3"/>
    <mergeCell ref="AI2:AT2"/>
    <mergeCell ref="AI3:AK3"/>
    <mergeCell ref="AL3:AN3"/>
    <mergeCell ref="AO3:AQ3"/>
    <mergeCell ref="AR3:AT3"/>
    <mergeCell ref="F80:G80"/>
    <mergeCell ref="D80:E80"/>
    <mergeCell ref="C79:H79"/>
    <mergeCell ref="V79:W79"/>
    <mergeCell ref="A79:B79"/>
    <mergeCell ref="J79:L79"/>
    <mergeCell ref="N79:T79"/>
  </mergeCells>
  <conditionalFormatting sqref="U31:AF45 B5:K28 M5:AG28 AI5:AT28 AV5:BD28 C31:N44">
    <cfRule type="cellIs" dxfId="21" priority="4" operator="lessThan">
      <formula>1</formula>
    </cfRule>
  </conditionalFormatting>
  <conditionalFormatting sqref="U31:AF45">
    <cfRule type="cellIs" dxfId="20" priority="1" operator="lessThan">
      <formula>0</formula>
    </cfRule>
  </conditionalFormatting>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E238"/>
  <sheetViews>
    <sheetView topLeftCell="A191" zoomScaleNormal="100" workbookViewId="0">
      <selection activeCell="T95" sqref="T95"/>
    </sheetView>
  </sheetViews>
  <sheetFormatPr defaultColWidth="9.109375" defaultRowHeight="14.4"/>
  <cols>
    <col min="1" max="13" width="7.6640625" style="37" customWidth="1"/>
    <col min="14" max="15" width="7.109375" style="37" customWidth="1"/>
    <col min="16" max="16" width="7.6640625" style="37" customWidth="1"/>
    <col min="17" max="23" width="7.109375" style="37" customWidth="1"/>
    <col min="24" max="24" width="7.44140625" style="37" customWidth="1"/>
    <col min="25" max="26" width="9.109375" style="37"/>
    <col min="27" max="28" width="12.44140625" style="37" customWidth="1"/>
    <col min="29" max="29" width="8.88671875" style="37" customWidth="1"/>
    <col min="30" max="31" width="9.109375" style="37"/>
    <col min="32" max="32" width="11.33203125" style="37" bestFit="1" customWidth="1"/>
    <col min="33" max="16384" width="9.109375" style="37"/>
  </cols>
  <sheetData>
    <row r="1" spans="1:31">
      <c r="A1" s="770" t="s">
        <v>504</v>
      </c>
      <c r="B1" s="770"/>
      <c r="C1" s="770" t="s">
        <v>890</v>
      </c>
      <c r="D1" s="770"/>
      <c r="E1" s="770"/>
      <c r="F1" s="770"/>
      <c r="G1" s="770"/>
      <c r="H1" s="770"/>
      <c r="I1" s="770"/>
      <c r="J1" s="770"/>
      <c r="K1" s="770"/>
      <c r="L1" s="770"/>
      <c r="M1" s="770"/>
      <c r="N1" s="770"/>
      <c r="O1" s="770"/>
      <c r="P1" s="770"/>
      <c r="Q1" s="770"/>
      <c r="R1" s="770"/>
      <c r="S1" s="770"/>
      <c r="T1" s="770"/>
      <c r="U1" s="770"/>
      <c r="V1" s="770"/>
      <c r="W1" s="770"/>
      <c r="X1" s="770"/>
    </row>
    <row r="2" spans="1:31">
      <c r="A2" s="770"/>
      <c r="B2" s="770"/>
      <c r="C2" s="770" t="s">
        <v>891</v>
      </c>
      <c r="D2" s="770"/>
      <c r="E2" s="770"/>
      <c r="F2" s="770"/>
      <c r="G2" s="770"/>
      <c r="H2" s="770"/>
      <c r="I2" s="770"/>
      <c r="J2" s="770"/>
      <c r="K2" s="770"/>
      <c r="L2" s="770"/>
      <c r="M2" s="770"/>
      <c r="N2" s="770"/>
      <c r="O2" s="770"/>
      <c r="P2" s="770"/>
      <c r="Q2" s="770"/>
      <c r="R2" s="770"/>
      <c r="S2" s="770"/>
      <c r="T2" s="770"/>
      <c r="U2" s="770"/>
      <c r="V2" s="770"/>
      <c r="W2" s="770"/>
      <c r="X2" s="770"/>
    </row>
    <row r="3" spans="1:31" ht="15" customHeight="1">
      <c r="A3" s="772" t="s">
        <v>167</v>
      </c>
      <c r="B3" s="772"/>
      <c r="C3" s="772" t="s">
        <v>168</v>
      </c>
      <c r="D3" s="772"/>
      <c r="E3" s="772"/>
      <c r="F3" s="772"/>
      <c r="G3" s="772"/>
      <c r="H3" s="772"/>
      <c r="I3" s="772"/>
      <c r="J3" s="772"/>
      <c r="K3" s="772"/>
      <c r="L3" s="772"/>
      <c r="M3" s="772"/>
      <c r="N3" s="772"/>
      <c r="O3" s="772"/>
      <c r="P3" s="772"/>
      <c r="Q3" s="772"/>
      <c r="R3" s="772"/>
      <c r="S3" s="772"/>
      <c r="T3" s="772"/>
      <c r="U3" s="772"/>
      <c r="V3" s="772"/>
      <c r="W3" s="772"/>
      <c r="X3" s="772"/>
    </row>
    <row r="4" spans="1:31">
      <c r="A4" s="771" t="s">
        <v>585</v>
      </c>
      <c r="B4" s="771"/>
      <c r="C4" s="773" t="s">
        <v>586</v>
      </c>
      <c r="D4" s="773"/>
      <c r="E4" s="773"/>
      <c r="F4" s="773"/>
      <c r="G4" s="773"/>
      <c r="H4" s="773"/>
      <c r="I4" s="773"/>
      <c r="J4" s="773"/>
      <c r="K4" s="773"/>
      <c r="L4" s="773"/>
      <c r="M4" s="773"/>
      <c r="N4" s="773"/>
      <c r="O4" s="773"/>
      <c r="P4" s="773"/>
      <c r="Q4" s="773"/>
      <c r="R4" s="773"/>
      <c r="S4" s="773"/>
      <c r="T4" s="773"/>
      <c r="U4" s="773"/>
      <c r="V4" s="773"/>
      <c r="W4" s="773"/>
      <c r="X4" s="773"/>
    </row>
    <row r="5" spans="1:31" ht="120.75" customHeight="1">
      <c r="A5" s="774" t="s">
        <v>169</v>
      </c>
      <c r="B5" s="774"/>
      <c r="C5" s="774" t="s">
        <v>509</v>
      </c>
      <c r="D5" s="774"/>
      <c r="E5" s="774"/>
      <c r="F5" s="774"/>
      <c r="G5" s="774"/>
      <c r="H5" s="774"/>
      <c r="I5" s="774"/>
      <c r="J5" s="774"/>
      <c r="K5" s="774"/>
      <c r="L5" s="774"/>
      <c r="M5" s="774"/>
      <c r="N5" s="774"/>
      <c r="O5" s="774"/>
      <c r="P5" s="774"/>
      <c r="Q5" s="774"/>
      <c r="R5" s="774"/>
      <c r="S5" s="774"/>
      <c r="T5" s="774"/>
      <c r="U5" s="774"/>
      <c r="V5" s="774"/>
      <c r="W5" s="774"/>
      <c r="X5" s="774"/>
    </row>
    <row r="6" spans="1:31">
      <c r="A6" s="775" t="s">
        <v>489</v>
      </c>
      <c r="B6" s="775"/>
      <c r="C6" s="774" t="s">
        <v>587</v>
      </c>
      <c r="D6" s="774"/>
      <c r="E6" s="774"/>
      <c r="F6" s="774"/>
      <c r="G6" s="774"/>
      <c r="H6" s="774"/>
      <c r="I6" s="774"/>
      <c r="J6" s="774"/>
      <c r="K6" s="774"/>
      <c r="L6" s="774"/>
      <c r="M6" s="774"/>
      <c r="N6" s="774"/>
      <c r="O6" s="774"/>
      <c r="P6" s="774"/>
      <c r="Q6" s="774"/>
      <c r="R6" s="774"/>
      <c r="S6" s="774"/>
      <c r="T6" s="774"/>
      <c r="U6" s="774"/>
      <c r="V6" s="774"/>
      <c r="W6" s="774"/>
      <c r="X6" s="774"/>
    </row>
    <row r="7" spans="1:31">
      <c r="A7" s="775"/>
      <c r="B7" s="775"/>
      <c r="C7" s="774" t="s">
        <v>493</v>
      </c>
      <c r="D7" s="774"/>
      <c r="E7" s="774"/>
      <c r="F7" s="774"/>
      <c r="G7" s="774"/>
      <c r="H7" s="774"/>
      <c r="I7" s="774"/>
      <c r="J7" s="774"/>
      <c r="K7" s="774"/>
      <c r="L7" s="774"/>
      <c r="M7" s="774"/>
      <c r="N7" s="774"/>
      <c r="O7" s="774"/>
      <c r="P7" s="774"/>
      <c r="Q7" s="774"/>
      <c r="R7" s="774"/>
      <c r="S7" s="774"/>
      <c r="T7" s="774"/>
      <c r="U7" s="774"/>
      <c r="V7" s="774"/>
      <c r="W7" s="774"/>
      <c r="X7" s="774"/>
    </row>
    <row r="9" spans="1:31">
      <c r="A9" s="763" t="s">
        <v>863</v>
      </c>
      <c r="B9" s="763"/>
      <c r="C9" s="763"/>
      <c r="D9" s="763"/>
      <c r="E9" s="763"/>
      <c r="F9" s="763"/>
      <c r="G9" s="763"/>
      <c r="H9" s="763"/>
      <c r="I9" s="763"/>
      <c r="J9" s="763"/>
      <c r="K9" s="763"/>
      <c r="L9" s="763"/>
      <c r="M9" s="763"/>
      <c r="N9" s="763"/>
      <c r="O9" s="763"/>
      <c r="P9" s="763"/>
      <c r="Q9" s="763"/>
      <c r="R9" s="763"/>
      <c r="S9" s="763"/>
      <c r="T9" s="763"/>
      <c r="U9" s="763"/>
      <c r="V9" s="763"/>
      <c r="W9" s="763"/>
      <c r="X9" s="763"/>
      <c r="Y9" s="763"/>
      <c r="Z9" s="763"/>
      <c r="AA9" s="77"/>
      <c r="AC9" s="763" t="s">
        <v>865</v>
      </c>
      <c r="AD9" s="763"/>
      <c r="AE9" s="763"/>
    </row>
    <row r="11" spans="1:31" ht="15" customHeight="1">
      <c r="A11" s="763" t="s">
        <v>499</v>
      </c>
      <c r="B11" s="763"/>
      <c r="C11" s="763"/>
      <c r="D11" s="763"/>
      <c r="E11" s="763"/>
      <c r="F11" s="763"/>
      <c r="G11" s="763"/>
      <c r="I11" s="77" t="s">
        <v>487</v>
      </c>
      <c r="J11" s="77"/>
      <c r="K11" s="77"/>
      <c r="L11" s="77"/>
      <c r="M11" s="77"/>
      <c r="N11" s="77"/>
      <c r="P11" s="763" t="s">
        <v>488</v>
      </c>
      <c r="Q11" s="763"/>
      <c r="R11" s="763"/>
      <c r="S11" s="763"/>
      <c r="U11" s="778" t="s">
        <v>679</v>
      </c>
      <c r="V11" s="778"/>
      <c r="W11" s="778"/>
      <c r="X11" s="778"/>
      <c r="AC11" s="777" t="s">
        <v>866</v>
      </c>
      <c r="AD11" s="777"/>
      <c r="AE11" s="777"/>
    </row>
    <row r="12" spans="1:31">
      <c r="A12" s="220"/>
      <c r="B12" s="220"/>
      <c r="C12" s="768" t="s">
        <v>170</v>
      </c>
      <c r="D12" s="768"/>
      <c r="E12" s="769" t="s">
        <v>171</v>
      </c>
      <c r="F12" s="769"/>
      <c r="G12" s="19"/>
      <c r="I12" s="220"/>
      <c r="J12" s="220"/>
      <c r="K12" s="219" t="s">
        <v>170</v>
      </c>
      <c r="L12" s="219"/>
      <c r="M12" s="271" t="s">
        <v>171</v>
      </c>
      <c r="N12" s="220"/>
      <c r="P12" s="19"/>
      <c r="Q12" s="19"/>
      <c r="R12" s="19"/>
      <c r="S12" s="19"/>
      <c r="U12" s="778"/>
      <c r="V12" s="778"/>
      <c r="W12" s="778"/>
      <c r="X12" s="778"/>
      <c r="AC12" s="777"/>
      <c r="AD12" s="777"/>
      <c r="AE12" s="777"/>
    </row>
    <row r="13" spans="1:31">
      <c r="A13" s="41" t="s">
        <v>172</v>
      </c>
      <c r="B13" s="41" t="s">
        <v>173</v>
      </c>
      <c r="C13" s="91" t="s">
        <v>174</v>
      </c>
      <c r="D13" s="91" t="s">
        <v>175</v>
      </c>
      <c r="E13" s="41" t="s">
        <v>174</v>
      </c>
      <c r="F13" s="41" t="s">
        <v>175</v>
      </c>
      <c r="G13" s="19" t="s">
        <v>972</v>
      </c>
      <c r="I13" s="41" t="s">
        <v>172</v>
      </c>
      <c r="J13" s="41" t="s">
        <v>173</v>
      </c>
      <c r="K13" s="91" t="s">
        <v>174</v>
      </c>
      <c r="L13" s="91" t="s">
        <v>175</v>
      </c>
      <c r="M13" s="41" t="s">
        <v>174</v>
      </c>
      <c r="N13" s="41" t="s">
        <v>175</v>
      </c>
      <c r="P13" s="19" t="s">
        <v>484</v>
      </c>
      <c r="Q13" s="19"/>
      <c r="R13" s="41" t="s">
        <v>174</v>
      </c>
      <c r="S13" s="41" t="s">
        <v>175</v>
      </c>
      <c r="U13" s="18" t="s">
        <v>678</v>
      </c>
      <c r="V13" s="18"/>
      <c r="W13" s="18" t="s">
        <v>454</v>
      </c>
      <c r="X13" s="18" t="s">
        <v>453</v>
      </c>
      <c r="AC13" s="734" t="s">
        <v>673</v>
      </c>
      <c r="AD13" s="734" t="s">
        <v>674</v>
      </c>
      <c r="AE13" s="735" t="s">
        <v>676</v>
      </c>
    </row>
    <row r="14" spans="1:31">
      <c r="A14" s="223" t="s">
        <v>178</v>
      </c>
      <c r="B14" s="224" t="s">
        <v>455</v>
      </c>
      <c r="C14" s="261"/>
      <c r="D14" s="261"/>
      <c r="E14" s="363">
        <v>400</v>
      </c>
      <c r="F14" s="363">
        <v>400</v>
      </c>
      <c r="G14" s="738" t="b">
        <f>E14=F14</f>
        <v>1</v>
      </c>
      <c r="I14" s="224" t="s">
        <v>178</v>
      </c>
      <c r="J14" s="224" t="s">
        <v>180</v>
      </c>
      <c r="K14" s="261"/>
      <c r="L14" s="261"/>
      <c r="M14" s="363">
        <v>4800</v>
      </c>
      <c r="N14" s="363">
        <v>4800</v>
      </c>
      <c r="P14" s="37" t="str">
        <f t="shared" ref="P14:P53" si="0">V78&amp;"-"&amp;W78</f>
        <v>DE00-FR00</v>
      </c>
      <c r="R14" s="215">
        <f>M14</f>
        <v>4800</v>
      </c>
      <c r="S14" s="215">
        <f>N14</f>
        <v>4800</v>
      </c>
      <c r="U14" s="37" t="str">
        <f t="shared" ref="U14:U53" si="1">V78&amp;"-"&amp;W78</f>
        <v>DE00-FR00</v>
      </c>
      <c r="W14" s="215">
        <f t="shared" ref="W14:W36" si="2">R14</f>
        <v>4800</v>
      </c>
      <c r="X14" s="215">
        <f t="shared" ref="X14:X36" si="3">S14</f>
        <v>4800</v>
      </c>
      <c r="AC14" s="37" t="s">
        <v>710</v>
      </c>
      <c r="AD14" s="22" t="s">
        <v>666</v>
      </c>
      <c r="AE14" s="736">
        <v>6.6670000000000002E-3</v>
      </c>
    </row>
    <row r="15" spans="1:31">
      <c r="A15" s="223" t="s">
        <v>178</v>
      </c>
      <c r="B15" s="224" t="s">
        <v>180</v>
      </c>
      <c r="C15" s="261"/>
      <c r="D15" s="261"/>
      <c r="E15" s="363">
        <v>4800</v>
      </c>
      <c r="F15" s="363">
        <v>4800</v>
      </c>
      <c r="G15" s="738" t="b">
        <f t="shared" ref="G15:G72" si="4">E15=F15</f>
        <v>1</v>
      </c>
      <c r="I15" s="224" t="s">
        <v>178</v>
      </c>
      <c r="J15" s="224" t="s">
        <v>182</v>
      </c>
      <c r="K15" s="261"/>
      <c r="L15" s="261"/>
      <c r="M15" s="363">
        <v>1400</v>
      </c>
      <c r="N15" s="363">
        <v>1400</v>
      </c>
      <c r="P15" s="37" t="str">
        <f t="shared" si="0"/>
        <v>DE00-UK00</v>
      </c>
      <c r="R15" s="215">
        <f>M15+M77</f>
        <v>2800</v>
      </c>
      <c r="S15" s="215">
        <f>N15+N77</f>
        <v>2800</v>
      </c>
      <c r="U15" s="37" t="str">
        <f t="shared" si="1"/>
        <v>DE00-UK00</v>
      </c>
      <c r="W15" s="215">
        <f t="shared" si="2"/>
        <v>2800</v>
      </c>
      <c r="X15" s="215">
        <f t="shared" si="3"/>
        <v>2800</v>
      </c>
      <c r="AC15" s="37" t="s">
        <v>711</v>
      </c>
      <c r="AD15" s="22" t="s">
        <v>666</v>
      </c>
      <c r="AE15" s="736">
        <v>6.6670000000000002E-3</v>
      </c>
    </row>
    <row r="16" spans="1:31">
      <c r="A16" s="223" t="s">
        <v>178</v>
      </c>
      <c r="B16" s="224" t="s">
        <v>182</v>
      </c>
      <c r="C16" s="261"/>
      <c r="D16" s="261"/>
      <c r="E16" s="363">
        <v>1400</v>
      </c>
      <c r="F16" s="363">
        <v>1400</v>
      </c>
      <c r="G16" s="738" t="b">
        <f t="shared" si="4"/>
        <v>1</v>
      </c>
      <c r="I16" s="224" t="s">
        <v>178</v>
      </c>
      <c r="J16" s="224" t="s">
        <v>199</v>
      </c>
      <c r="K16" s="261"/>
      <c r="L16" s="261"/>
      <c r="M16" s="363">
        <v>2000</v>
      </c>
      <c r="N16" s="363">
        <v>3000</v>
      </c>
      <c r="P16" s="37" t="str">
        <f t="shared" si="0"/>
        <v>DE00-PL00</v>
      </c>
      <c r="R16" s="303">
        <f>M16</f>
        <v>2000</v>
      </c>
      <c r="S16" s="303">
        <f>N16</f>
        <v>3000</v>
      </c>
      <c r="U16" s="37" t="str">
        <f t="shared" si="1"/>
        <v>DE00-PL00</v>
      </c>
      <c r="W16" s="303">
        <f t="shared" si="2"/>
        <v>2000</v>
      </c>
      <c r="X16" s="303">
        <f t="shared" si="3"/>
        <v>3000</v>
      </c>
      <c r="AC16" s="37" t="s">
        <v>712</v>
      </c>
      <c r="AD16" s="22" t="s">
        <v>666</v>
      </c>
      <c r="AE16" s="736">
        <v>6.6670000000000002E-3</v>
      </c>
    </row>
    <row r="17" spans="1:31">
      <c r="A17" s="223" t="s">
        <v>178</v>
      </c>
      <c r="B17" s="224" t="s">
        <v>456</v>
      </c>
      <c r="C17" s="261"/>
      <c r="D17" s="261"/>
      <c r="E17" s="363">
        <v>2000</v>
      </c>
      <c r="F17" s="363">
        <v>0</v>
      </c>
      <c r="G17" s="738" t="b">
        <f t="shared" si="4"/>
        <v>0</v>
      </c>
      <c r="I17" s="224" t="s">
        <v>178</v>
      </c>
      <c r="J17" s="224" t="s">
        <v>184</v>
      </c>
      <c r="K17" s="261"/>
      <c r="L17" s="261"/>
      <c r="M17" s="363">
        <v>5000</v>
      </c>
      <c r="N17" s="363">
        <v>5000</v>
      </c>
      <c r="P17" s="37" t="str">
        <f t="shared" si="0"/>
        <v>DE00-NL00</v>
      </c>
      <c r="R17" s="303">
        <f>M17+M78</f>
        <v>6000</v>
      </c>
      <c r="S17" s="303">
        <f>N17+N78</f>
        <v>6000</v>
      </c>
      <c r="U17" s="37" t="str">
        <f t="shared" si="1"/>
        <v>DE00-NL00</v>
      </c>
      <c r="W17" s="303">
        <f t="shared" si="2"/>
        <v>6000</v>
      </c>
      <c r="X17" s="303">
        <f t="shared" si="3"/>
        <v>6000</v>
      </c>
      <c r="AC17" s="37" t="s">
        <v>713</v>
      </c>
      <c r="AD17" s="22" t="s">
        <v>666</v>
      </c>
      <c r="AE17" s="736">
        <v>6.6670000000000002E-3</v>
      </c>
    </row>
    <row r="18" spans="1:31">
      <c r="A18" s="79" t="s">
        <v>107</v>
      </c>
      <c r="B18" s="224" t="s">
        <v>457</v>
      </c>
      <c r="C18" s="218"/>
      <c r="D18" s="218"/>
      <c r="E18" s="363">
        <v>0</v>
      </c>
      <c r="F18" s="363">
        <v>3000</v>
      </c>
      <c r="G18" s="738" t="b">
        <f t="shared" si="4"/>
        <v>0</v>
      </c>
      <c r="I18" s="224" t="s">
        <v>178</v>
      </c>
      <c r="J18" s="224" t="s">
        <v>185</v>
      </c>
      <c r="K18" s="261"/>
      <c r="L18" s="261"/>
      <c r="M18" s="363">
        <v>1000</v>
      </c>
      <c r="N18" s="363">
        <v>1000</v>
      </c>
      <c r="P18" s="37" t="str">
        <f t="shared" si="0"/>
        <v>DE00-BE00</v>
      </c>
      <c r="R18" s="215">
        <f>M18</f>
        <v>1000</v>
      </c>
      <c r="S18" s="215">
        <f>N18</f>
        <v>1000</v>
      </c>
      <c r="U18" s="37" t="str">
        <f t="shared" si="1"/>
        <v>DE00-BE00</v>
      </c>
      <c r="W18" s="215">
        <f t="shared" si="2"/>
        <v>1000</v>
      </c>
      <c r="X18" s="215">
        <f t="shared" si="3"/>
        <v>1000</v>
      </c>
      <c r="AC18" s="37" t="s">
        <v>714</v>
      </c>
      <c r="AD18" s="22" t="s">
        <v>666</v>
      </c>
      <c r="AE18" s="736">
        <v>9.5930000000000008E-3</v>
      </c>
    </row>
    <row r="19" spans="1:31">
      <c r="A19" s="223" t="s">
        <v>178</v>
      </c>
      <c r="B19" s="224" t="s">
        <v>184</v>
      </c>
      <c r="C19" s="261"/>
      <c r="D19" s="261"/>
      <c r="E19" s="363">
        <v>5000</v>
      </c>
      <c r="F19" s="363">
        <v>5000</v>
      </c>
      <c r="G19" s="738" t="b">
        <f t="shared" si="4"/>
        <v>1</v>
      </c>
      <c r="I19" s="224" t="s">
        <v>178</v>
      </c>
      <c r="J19" s="37" t="s">
        <v>186</v>
      </c>
      <c r="K19" s="261"/>
      <c r="L19" s="261"/>
      <c r="M19" s="363">
        <v>1315</v>
      </c>
      <c r="N19" s="363">
        <v>1315</v>
      </c>
      <c r="P19" s="37" t="str">
        <f t="shared" si="0"/>
        <v>DE00-SE04</v>
      </c>
      <c r="R19" s="303">
        <f>M19+M81</f>
        <v>2015</v>
      </c>
      <c r="S19" s="303">
        <f>N19+N81</f>
        <v>2015</v>
      </c>
      <c r="U19" s="37" t="str">
        <f t="shared" si="1"/>
        <v>DE00-SE04</v>
      </c>
      <c r="W19" s="303">
        <f t="shared" si="2"/>
        <v>2015</v>
      </c>
      <c r="X19" s="303">
        <f t="shared" si="3"/>
        <v>2015</v>
      </c>
      <c r="AC19" s="37" t="s">
        <v>715</v>
      </c>
      <c r="AD19" s="22" t="s">
        <v>666</v>
      </c>
      <c r="AE19" s="736">
        <v>8.1300000000000001E-3</v>
      </c>
    </row>
    <row r="20" spans="1:31">
      <c r="A20" s="223" t="s">
        <v>178</v>
      </c>
      <c r="B20" s="224" t="s">
        <v>185</v>
      </c>
      <c r="C20" s="261"/>
      <c r="D20" s="261"/>
      <c r="E20" s="363">
        <v>1000</v>
      </c>
      <c r="F20" s="363">
        <v>1000</v>
      </c>
      <c r="G20" s="738" t="b">
        <f t="shared" si="4"/>
        <v>1</v>
      </c>
      <c r="I20" s="224" t="s">
        <v>178</v>
      </c>
      <c r="J20" s="224" t="s">
        <v>200</v>
      </c>
      <c r="K20" s="269">
        <f>MIN(E22,C63)+MIN(C23,C65)+E24</f>
        <v>2200</v>
      </c>
      <c r="L20" s="269">
        <f>MIN(F22,D63)+MIN(D23,D65)+F24</f>
        <v>2200</v>
      </c>
      <c r="M20" s="556">
        <f>MIN(E22,E63)+MIN(E23,E65)+E24</f>
        <v>1000</v>
      </c>
      <c r="N20" s="556">
        <f>MIN(F22,F63)+MIN(F23,F65)+F24</f>
        <v>1000</v>
      </c>
      <c r="P20" s="37" t="str">
        <f t="shared" si="0"/>
        <v>DE00-DKE1</v>
      </c>
      <c r="R20" s="303">
        <f>M20+M83</f>
        <v>1500</v>
      </c>
      <c r="S20" s="303">
        <f>N20+N83</f>
        <v>1500</v>
      </c>
      <c r="U20" s="37" t="str">
        <f t="shared" si="1"/>
        <v>DE00-DKE1</v>
      </c>
      <c r="W20" s="303">
        <f t="shared" si="2"/>
        <v>1500</v>
      </c>
      <c r="X20" s="303">
        <f t="shared" si="3"/>
        <v>1500</v>
      </c>
      <c r="AC20" s="37" t="s">
        <v>716</v>
      </c>
      <c r="AD20" s="22" t="s">
        <v>666</v>
      </c>
      <c r="AE20" s="736">
        <v>6.6670000000000002E-3</v>
      </c>
    </row>
    <row r="21" spans="1:31">
      <c r="A21" s="223" t="s">
        <v>178</v>
      </c>
      <c r="B21" s="37" t="s">
        <v>186</v>
      </c>
      <c r="C21" s="261"/>
      <c r="D21" s="261"/>
      <c r="E21" s="363">
        <v>1315</v>
      </c>
      <c r="F21" s="363">
        <v>1315</v>
      </c>
      <c r="G21" s="738" t="b">
        <f t="shared" si="4"/>
        <v>1</v>
      </c>
      <c r="I21" s="224" t="s">
        <v>178</v>
      </c>
      <c r="J21" s="37" t="s">
        <v>189</v>
      </c>
      <c r="K21" s="261"/>
      <c r="L21" s="261"/>
      <c r="M21" s="363">
        <v>3500</v>
      </c>
      <c r="N21" s="363">
        <v>3500</v>
      </c>
      <c r="P21" s="37" t="str">
        <f t="shared" si="0"/>
        <v>DE00-DKW1</v>
      </c>
      <c r="R21" s="215">
        <f t="shared" ref="R21:S23" si="5">M21</f>
        <v>3500</v>
      </c>
      <c r="S21" s="215">
        <f t="shared" si="5"/>
        <v>3500</v>
      </c>
      <c r="U21" s="37" t="str">
        <f t="shared" si="1"/>
        <v>DE00-DKW1</v>
      </c>
      <c r="W21" s="215">
        <f t="shared" si="2"/>
        <v>3500</v>
      </c>
      <c r="X21" s="215">
        <f t="shared" si="3"/>
        <v>3500</v>
      </c>
      <c r="AC21" s="37" t="s">
        <v>717</v>
      </c>
      <c r="AD21" s="22" t="s">
        <v>666</v>
      </c>
      <c r="AE21" s="736">
        <v>6.6670000000000002E-3</v>
      </c>
    </row>
    <row r="22" spans="1:31">
      <c r="A22" s="223" t="s">
        <v>455</v>
      </c>
      <c r="B22" s="224" t="s">
        <v>458</v>
      </c>
      <c r="C22" s="261"/>
      <c r="D22" s="261"/>
      <c r="E22" s="363">
        <v>400</v>
      </c>
      <c r="F22" s="363">
        <v>400</v>
      </c>
      <c r="G22" s="738" t="b">
        <f t="shared" si="4"/>
        <v>1</v>
      </c>
      <c r="I22" s="229" t="s">
        <v>178</v>
      </c>
      <c r="J22" s="229" t="s">
        <v>191</v>
      </c>
      <c r="K22" s="262"/>
      <c r="L22" s="262"/>
      <c r="M22" s="553">
        <v>1400</v>
      </c>
      <c r="N22" s="553">
        <v>1400</v>
      </c>
      <c r="P22" s="225" t="str">
        <f t="shared" si="0"/>
        <v>DE00-NOS0</v>
      </c>
      <c r="Q22" s="225"/>
      <c r="R22" s="554">
        <f t="shared" si="5"/>
        <v>1400</v>
      </c>
      <c r="S22" s="554">
        <f t="shared" si="5"/>
        <v>1400</v>
      </c>
      <c r="U22" s="225" t="str">
        <f t="shared" si="1"/>
        <v>DE00-NOS0</v>
      </c>
      <c r="V22" s="225"/>
      <c r="W22" s="554">
        <f t="shared" si="2"/>
        <v>1400</v>
      </c>
      <c r="X22" s="554">
        <f t="shared" si="3"/>
        <v>1400</v>
      </c>
      <c r="AC22" s="37" t="s">
        <v>718</v>
      </c>
      <c r="AD22" s="22" t="s">
        <v>666</v>
      </c>
      <c r="AE22" s="736">
        <v>6.6670000000000002E-3</v>
      </c>
    </row>
    <row r="23" spans="1:31">
      <c r="A23" s="223" t="s">
        <v>178</v>
      </c>
      <c r="B23" s="224" t="s">
        <v>459</v>
      </c>
      <c r="C23" s="261">
        <v>2000</v>
      </c>
      <c r="D23" s="261">
        <v>2000</v>
      </c>
      <c r="E23" s="215"/>
      <c r="F23" s="215"/>
      <c r="G23" s="738" t="b">
        <f t="shared" si="4"/>
        <v>1</v>
      </c>
      <c r="I23" s="224" t="s">
        <v>180</v>
      </c>
      <c r="J23" s="224" t="s">
        <v>182</v>
      </c>
      <c r="K23" s="261"/>
      <c r="L23" s="261"/>
      <c r="M23" s="363">
        <v>5600</v>
      </c>
      <c r="N23" s="363">
        <v>5600</v>
      </c>
      <c r="P23" s="37" t="str">
        <f t="shared" si="0"/>
        <v>FR00-UK00</v>
      </c>
      <c r="R23" s="215">
        <f t="shared" si="5"/>
        <v>5600</v>
      </c>
      <c r="S23" s="215">
        <f t="shared" si="5"/>
        <v>5600</v>
      </c>
      <c r="U23" s="37" t="str">
        <f t="shared" si="1"/>
        <v>FR00-UK00</v>
      </c>
      <c r="W23" s="215">
        <f t="shared" si="2"/>
        <v>5600</v>
      </c>
      <c r="X23" s="215">
        <f t="shared" si="3"/>
        <v>5600</v>
      </c>
      <c r="AC23" s="37" t="s">
        <v>719</v>
      </c>
      <c r="AD23" s="22" t="s">
        <v>666</v>
      </c>
      <c r="AE23" s="736">
        <v>6.6670000000000002E-3</v>
      </c>
    </row>
    <row r="24" spans="1:31">
      <c r="A24" s="223" t="s">
        <v>178</v>
      </c>
      <c r="B24" s="37" t="s">
        <v>188</v>
      </c>
      <c r="C24" s="261"/>
      <c r="D24" s="261"/>
      <c r="E24" s="363">
        <v>600</v>
      </c>
      <c r="F24" s="363">
        <v>600</v>
      </c>
      <c r="G24" s="738" t="b">
        <f t="shared" si="4"/>
        <v>1</v>
      </c>
      <c r="I24" s="224" t="s">
        <v>180</v>
      </c>
      <c r="J24" s="224" t="s">
        <v>195</v>
      </c>
      <c r="K24" s="261"/>
      <c r="L24" s="261"/>
      <c r="M24" s="363">
        <v>5000</v>
      </c>
      <c r="N24" s="363">
        <v>5000</v>
      </c>
      <c r="P24" s="37" t="str">
        <f t="shared" si="0"/>
        <v>FR00-ES00</v>
      </c>
      <c r="R24" s="303">
        <f>M24+M85+M86</f>
        <v>8000</v>
      </c>
      <c r="S24" s="303">
        <f>N24+N85+N86</f>
        <v>8000</v>
      </c>
      <c r="U24" s="37" t="str">
        <f t="shared" si="1"/>
        <v>FR00-ES00</v>
      </c>
      <c r="W24" s="303">
        <f t="shared" si="2"/>
        <v>8000</v>
      </c>
      <c r="X24" s="303">
        <f t="shared" si="3"/>
        <v>8000</v>
      </c>
      <c r="AC24" s="37" t="s">
        <v>720</v>
      </c>
      <c r="AD24" s="22" t="s">
        <v>666</v>
      </c>
      <c r="AE24" s="736">
        <v>6.6670000000000002E-3</v>
      </c>
    </row>
    <row r="25" spans="1:31">
      <c r="A25" s="223" t="s">
        <v>178</v>
      </c>
      <c r="B25" s="37" t="s">
        <v>189</v>
      </c>
      <c r="C25" s="261"/>
      <c r="D25" s="261"/>
      <c r="E25" s="363">
        <v>3500</v>
      </c>
      <c r="F25" s="363">
        <v>3500</v>
      </c>
      <c r="G25" s="738" t="b">
        <f t="shared" si="4"/>
        <v>1</v>
      </c>
      <c r="I25" s="229" t="s">
        <v>180</v>
      </c>
      <c r="J25" s="229" t="s">
        <v>185</v>
      </c>
      <c r="K25" s="262"/>
      <c r="L25" s="262"/>
      <c r="M25" s="553">
        <v>4300</v>
      </c>
      <c r="N25" s="553">
        <v>2800</v>
      </c>
      <c r="P25" s="225" t="str">
        <f t="shared" si="0"/>
        <v>FR00-BE00</v>
      </c>
      <c r="Q25" s="225"/>
      <c r="R25" s="304">
        <f>M25+M87</f>
        <v>5300</v>
      </c>
      <c r="S25" s="304">
        <f>N25+N87</f>
        <v>3800</v>
      </c>
      <c r="U25" s="225" t="str">
        <f t="shared" si="1"/>
        <v>FR00-BE00</v>
      </c>
      <c r="V25" s="225"/>
      <c r="W25" s="304">
        <f t="shared" si="2"/>
        <v>5300</v>
      </c>
      <c r="X25" s="304">
        <f t="shared" si="3"/>
        <v>3800</v>
      </c>
      <c r="AC25" s="37" t="s">
        <v>721</v>
      </c>
      <c r="AD25" s="22" t="s">
        <v>666</v>
      </c>
      <c r="AE25" s="736">
        <v>6.6670000000000002E-3</v>
      </c>
    </row>
    <row r="26" spans="1:31">
      <c r="A26" s="228" t="s">
        <v>178</v>
      </c>
      <c r="B26" s="229" t="s">
        <v>191</v>
      </c>
      <c r="C26" s="262"/>
      <c r="D26" s="262"/>
      <c r="E26" s="553">
        <v>1400</v>
      </c>
      <c r="F26" s="553">
        <v>1400</v>
      </c>
      <c r="G26" s="738" t="b">
        <f t="shared" si="4"/>
        <v>1</v>
      </c>
      <c r="I26" s="224" t="s">
        <v>182</v>
      </c>
      <c r="J26" s="224" t="s">
        <v>184</v>
      </c>
      <c r="K26" s="270">
        <f>C31+C32</f>
        <v>1800</v>
      </c>
      <c r="L26" s="270">
        <f>D31+D32</f>
        <v>1800</v>
      </c>
      <c r="M26" s="215">
        <v>1000</v>
      </c>
      <c r="N26" s="215">
        <v>1000</v>
      </c>
      <c r="P26" s="37" t="str">
        <f t="shared" si="0"/>
        <v>UK00-NL00</v>
      </c>
      <c r="R26" s="215">
        <f>M26</f>
        <v>1000</v>
      </c>
      <c r="S26" s="215">
        <f>N26</f>
        <v>1000</v>
      </c>
      <c r="U26" s="37" t="str">
        <f t="shared" si="1"/>
        <v>UK00-NL00</v>
      </c>
      <c r="W26" s="215">
        <f t="shared" si="2"/>
        <v>1000</v>
      </c>
      <c r="X26" s="215">
        <f t="shared" si="3"/>
        <v>1000</v>
      </c>
      <c r="AC26" s="37" t="s">
        <v>722</v>
      </c>
      <c r="AD26" s="22" t="s">
        <v>666</v>
      </c>
      <c r="AE26" s="736">
        <v>9.7680000000000006E-3</v>
      </c>
    </row>
    <row r="27" spans="1:31">
      <c r="A27" s="223" t="s">
        <v>180</v>
      </c>
      <c r="B27" s="224" t="s">
        <v>182</v>
      </c>
      <c r="C27" s="261"/>
      <c r="D27" s="261"/>
      <c r="E27" s="363">
        <v>5600</v>
      </c>
      <c r="F27" s="363">
        <v>5600</v>
      </c>
      <c r="G27" s="738" t="b">
        <f t="shared" si="4"/>
        <v>1</v>
      </c>
      <c r="I27" s="224" t="s">
        <v>182</v>
      </c>
      <c r="J27" s="224" t="s">
        <v>185</v>
      </c>
      <c r="K27" s="270">
        <f>C33+C34</f>
        <v>1400</v>
      </c>
      <c r="L27" s="270">
        <f>D33+D34</f>
        <v>1400</v>
      </c>
      <c r="M27" s="215">
        <v>1000</v>
      </c>
      <c r="N27" s="215">
        <v>1000</v>
      </c>
      <c r="P27" s="37" t="str">
        <f t="shared" si="0"/>
        <v>UK00-BE00</v>
      </c>
      <c r="R27" s="215">
        <f>M27</f>
        <v>1000</v>
      </c>
      <c r="S27" s="215">
        <f>N27</f>
        <v>1000</v>
      </c>
      <c r="U27" s="37" t="str">
        <f t="shared" si="1"/>
        <v>UK00-BE00</v>
      </c>
      <c r="W27" s="215">
        <f t="shared" si="2"/>
        <v>1000</v>
      </c>
      <c r="X27" s="215">
        <f t="shared" si="3"/>
        <v>1000</v>
      </c>
      <c r="AC27" s="37" t="s">
        <v>723</v>
      </c>
      <c r="AD27" s="22" t="s">
        <v>666</v>
      </c>
      <c r="AE27" s="736">
        <v>8.4419999999999999E-3</v>
      </c>
    </row>
    <row r="28" spans="1:31">
      <c r="A28" s="223" t="s">
        <v>180</v>
      </c>
      <c r="B28" s="224" t="s">
        <v>195</v>
      </c>
      <c r="C28" s="261"/>
      <c r="D28" s="261"/>
      <c r="E28" s="363">
        <v>5000</v>
      </c>
      <c r="F28" s="363">
        <v>5000</v>
      </c>
      <c r="G28" s="738" t="b">
        <f t="shared" si="4"/>
        <v>1</v>
      </c>
      <c r="I28" s="37" t="s">
        <v>197</v>
      </c>
      <c r="J28" s="37" t="s">
        <v>189</v>
      </c>
      <c r="K28" s="218"/>
      <c r="L28" s="218"/>
      <c r="M28" s="215">
        <v>1400</v>
      </c>
      <c r="N28" s="215">
        <v>1400</v>
      </c>
      <c r="P28" s="37" t="str">
        <f t="shared" si="0"/>
        <v>UK00-DKW1</v>
      </c>
      <c r="R28" s="303">
        <f>M28+M91</f>
        <v>2800</v>
      </c>
      <c r="S28" s="303">
        <f>N28+N91</f>
        <v>2800</v>
      </c>
      <c r="U28" s="37" t="str">
        <f t="shared" si="1"/>
        <v>UK00-DKW1</v>
      </c>
      <c r="W28" s="303">
        <f t="shared" si="2"/>
        <v>2800</v>
      </c>
      <c r="X28" s="303">
        <f t="shared" si="3"/>
        <v>2800</v>
      </c>
      <c r="AC28" s="37" t="s">
        <v>724</v>
      </c>
      <c r="AD28" s="22" t="s">
        <v>666</v>
      </c>
      <c r="AE28" s="736">
        <v>6.6670000000000002E-3</v>
      </c>
    </row>
    <row r="29" spans="1:31">
      <c r="A29" s="223" t="s">
        <v>180</v>
      </c>
      <c r="B29" s="224" t="s">
        <v>185</v>
      </c>
      <c r="C29" s="261"/>
      <c r="D29" s="261"/>
      <c r="E29" s="363">
        <v>4300</v>
      </c>
      <c r="F29" s="363">
        <v>2800</v>
      </c>
      <c r="G29" s="738" t="b">
        <f t="shared" si="4"/>
        <v>0</v>
      </c>
      <c r="I29" s="229" t="s">
        <v>182</v>
      </c>
      <c r="J29" s="229" t="s">
        <v>191</v>
      </c>
      <c r="K29" s="262"/>
      <c r="L29" s="262"/>
      <c r="M29" s="554">
        <v>1400</v>
      </c>
      <c r="N29" s="554">
        <v>1400</v>
      </c>
      <c r="P29" s="225" t="str">
        <f t="shared" si="0"/>
        <v>UK00-NOS0</v>
      </c>
      <c r="Q29" s="225"/>
      <c r="R29" s="554">
        <f t="shared" ref="R29:S31" si="6">M29</f>
        <v>1400</v>
      </c>
      <c r="S29" s="554">
        <f t="shared" si="6"/>
        <v>1400</v>
      </c>
      <c r="U29" s="225" t="str">
        <f t="shared" si="1"/>
        <v>UK00-NOS0</v>
      </c>
      <c r="V29" s="225"/>
      <c r="W29" s="554">
        <f t="shared" si="2"/>
        <v>1400</v>
      </c>
      <c r="X29" s="554">
        <f t="shared" si="3"/>
        <v>1400</v>
      </c>
      <c r="AC29" s="37" t="s">
        <v>725</v>
      </c>
      <c r="AD29" s="22" t="s">
        <v>666</v>
      </c>
      <c r="AE29" s="736">
        <v>6.6670000000000002E-3</v>
      </c>
    </row>
    <row r="30" spans="1:31">
      <c r="A30" s="221" t="s">
        <v>182</v>
      </c>
      <c r="B30" s="222" t="s">
        <v>460</v>
      </c>
      <c r="C30" s="260"/>
      <c r="D30" s="260"/>
      <c r="E30" s="537">
        <v>450</v>
      </c>
      <c r="F30" s="537">
        <v>400</v>
      </c>
      <c r="G30" s="738" t="b">
        <f t="shared" si="4"/>
        <v>0</v>
      </c>
      <c r="I30" s="224" t="s">
        <v>199</v>
      </c>
      <c r="J30" s="37" t="s">
        <v>186</v>
      </c>
      <c r="K30" s="261"/>
      <c r="L30" s="261"/>
      <c r="M30" s="363">
        <v>600</v>
      </c>
      <c r="N30" s="363">
        <v>600</v>
      </c>
      <c r="P30" s="37" t="str">
        <f t="shared" si="0"/>
        <v>PL00-SE04</v>
      </c>
      <c r="R30" s="215">
        <f t="shared" si="6"/>
        <v>600</v>
      </c>
      <c r="S30" s="215">
        <f t="shared" si="6"/>
        <v>600</v>
      </c>
      <c r="U30" s="37" t="str">
        <f t="shared" si="1"/>
        <v>PL00-SE04</v>
      </c>
      <c r="W30" s="215">
        <f t="shared" si="2"/>
        <v>600</v>
      </c>
      <c r="X30" s="215">
        <f t="shared" si="3"/>
        <v>600</v>
      </c>
      <c r="AC30" s="37" t="s">
        <v>726</v>
      </c>
      <c r="AD30" s="22" t="s">
        <v>666</v>
      </c>
      <c r="AE30" s="736">
        <v>8.3330000000000001E-3</v>
      </c>
    </row>
    <row r="31" spans="1:31">
      <c r="A31" s="223" t="s">
        <v>182</v>
      </c>
      <c r="B31" s="224" t="s">
        <v>184</v>
      </c>
      <c r="C31" s="261"/>
      <c r="D31" s="261"/>
      <c r="E31" s="215">
        <v>1000</v>
      </c>
      <c r="F31" s="215">
        <v>1000</v>
      </c>
      <c r="G31" s="738" t="b">
        <f t="shared" si="4"/>
        <v>1</v>
      </c>
      <c r="I31" s="229" t="s">
        <v>199</v>
      </c>
      <c r="J31" s="229" t="s">
        <v>201</v>
      </c>
      <c r="K31" s="262"/>
      <c r="L31" s="262"/>
      <c r="M31" s="553">
        <v>700</v>
      </c>
      <c r="N31" s="553">
        <v>700</v>
      </c>
      <c r="P31" s="225" t="str">
        <f t="shared" si="0"/>
        <v>PL00-LT00</v>
      </c>
      <c r="Q31" s="225"/>
      <c r="R31" s="554">
        <f t="shared" si="6"/>
        <v>700</v>
      </c>
      <c r="S31" s="554">
        <f t="shared" si="6"/>
        <v>700</v>
      </c>
      <c r="U31" s="225" t="str">
        <f t="shared" si="1"/>
        <v>PL00-LT00</v>
      </c>
      <c r="V31" s="225"/>
      <c r="W31" s="554">
        <f t="shared" si="2"/>
        <v>700</v>
      </c>
      <c r="X31" s="554">
        <f t="shared" si="3"/>
        <v>700</v>
      </c>
      <c r="AC31" s="37" t="s">
        <v>727</v>
      </c>
      <c r="AD31" s="22" t="s">
        <v>666</v>
      </c>
      <c r="AE31" s="736">
        <v>8.796E-3</v>
      </c>
    </row>
    <row r="32" spans="1:31">
      <c r="A32" s="223" t="s">
        <v>182</v>
      </c>
      <c r="B32" s="224" t="s">
        <v>461</v>
      </c>
      <c r="C32" s="261">
        <v>1800</v>
      </c>
      <c r="D32" s="261">
        <v>1800</v>
      </c>
      <c r="E32" s="215"/>
      <c r="F32" s="215"/>
      <c r="G32" s="738" t="b">
        <f t="shared" si="4"/>
        <v>1</v>
      </c>
      <c r="I32" s="224" t="s">
        <v>184</v>
      </c>
      <c r="J32" s="224" t="s">
        <v>185</v>
      </c>
      <c r="K32" s="261"/>
      <c r="L32" s="261"/>
      <c r="M32" s="215">
        <v>3400</v>
      </c>
      <c r="N32" s="215">
        <v>3400</v>
      </c>
      <c r="P32" s="37" t="str">
        <f t="shared" si="0"/>
        <v>NL00-BE00</v>
      </c>
      <c r="R32" s="303">
        <f>M32+M93</f>
        <v>4400</v>
      </c>
      <c r="S32" s="303">
        <f>N32+N93</f>
        <v>4400</v>
      </c>
      <c r="U32" s="37" t="str">
        <f t="shared" si="1"/>
        <v>NL00-BE00</v>
      </c>
      <c r="W32" s="303">
        <f t="shared" si="2"/>
        <v>4400</v>
      </c>
      <c r="X32" s="303">
        <f t="shared" si="3"/>
        <v>4400</v>
      </c>
      <c r="AC32" s="37" t="s">
        <v>728</v>
      </c>
      <c r="AD32" s="22" t="s">
        <v>666</v>
      </c>
      <c r="AE32" s="736">
        <v>6.6670000000000002E-3</v>
      </c>
    </row>
    <row r="33" spans="1:31">
      <c r="A33" s="223" t="s">
        <v>182</v>
      </c>
      <c r="B33" s="224" t="s">
        <v>185</v>
      </c>
      <c r="C33" s="261"/>
      <c r="D33" s="261"/>
      <c r="E33" s="215">
        <v>1000</v>
      </c>
      <c r="F33" s="215">
        <v>1000</v>
      </c>
      <c r="G33" s="738" t="b">
        <f t="shared" si="4"/>
        <v>1</v>
      </c>
      <c r="I33" s="224" t="s">
        <v>465</v>
      </c>
      <c r="J33" s="224" t="s">
        <v>203</v>
      </c>
      <c r="K33" s="261"/>
      <c r="L33" s="261"/>
      <c r="M33" s="363">
        <v>700</v>
      </c>
      <c r="N33" s="363">
        <v>700</v>
      </c>
      <c r="P33" s="37" t="str">
        <f t="shared" si="0"/>
        <v>NL00-DKW1</v>
      </c>
      <c r="R33" s="215">
        <f t="shared" ref="R33:S35" si="7">M33</f>
        <v>700</v>
      </c>
      <c r="S33" s="215">
        <f t="shared" si="7"/>
        <v>700</v>
      </c>
      <c r="U33" s="37" t="str">
        <f t="shared" si="1"/>
        <v>NL00-DKW1</v>
      </c>
      <c r="W33" s="215">
        <f t="shared" si="2"/>
        <v>700</v>
      </c>
      <c r="X33" s="215">
        <f t="shared" si="3"/>
        <v>700</v>
      </c>
      <c r="AC33" s="37" t="s">
        <v>729</v>
      </c>
      <c r="AD33" s="22" t="s">
        <v>666</v>
      </c>
      <c r="AE33" s="736">
        <v>6.6670000000000002E-3</v>
      </c>
    </row>
    <row r="34" spans="1:31">
      <c r="A34" s="223" t="s">
        <v>182</v>
      </c>
      <c r="B34" s="224" t="s">
        <v>462</v>
      </c>
      <c r="C34" s="261">
        <v>1400</v>
      </c>
      <c r="D34" s="261">
        <v>1400</v>
      </c>
      <c r="E34" s="215"/>
      <c r="F34" s="215"/>
      <c r="G34" s="738" t="b">
        <f t="shared" si="4"/>
        <v>1</v>
      </c>
      <c r="I34" s="229" t="s">
        <v>184</v>
      </c>
      <c r="J34" s="229" t="s">
        <v>191</v>
      </c>
      <c r="K34" s="262"/>
      <c r="L34" s="262"/>
      <c r="M34" s="554">
        <v>700</v>
      </c>
      <c r="N34" s="554">
        <v>700</v>
      </c>
      <c r="P34" s="225" t="str">
        <f t="shared" si="0"/>
        <v>NL00-NOS0</v>
      </c>
      <c r="Q34" s="225"/>
      <c r="R34" s="554">
        <f t="shared" si="7"/>
        <v>700</v>
      </c>
      <c r="S34" s="554">
        <f t="shared" si="7"/>
        <v>700</v>
      </c>
      <c r="U34" s="225" t="str">
        <f t="shared" si="1"/>
        <v>NL00-NOS0</v>
      </c>
      <c r="V34" s="225"/>
      <c r="W34" s="554">
        <f t="shared" si="2"/>
        <v>700</v>
      </c>
      <c r="X34" s="554">
        <f t="shared" si="3"/>
        <v>700</v>
      </c>
      <c r="AC34" s="37" t="s">
        <v>730</v>
      </c>
      <c r="AD34" s="22" t="s">
        <v>666</v>
      </c>
      <c r="AE34" s="736">
        <v>6.6670000000000002E-3</v>
      </c>
    </row>
    <row r="35" spans="1:31">
      <c r="A35" s="79" t="s">
        <v>197</v>
      </c>
      <c r="B35" s="37" t="s">
        <v>189</v>
      </c>
      <c r="C35" s="218"/>
      <c r="D35" s="218"/>
      <c r="E35" s="215">
        <v>1400</v>
      </c>
      <c r="F35" s="215">
        <v>1400</v>
      </c>
      <c r="G35" s="738" t="b">
        <f t="shared" si="4"/>
        <v>1</v>
      </c>
      <c r="I35" s="224" t="s">
        <v>204</v>
      </c>
      <c r="J35" s="37" t="s">
        <v>205</v>
      </c>
      <c r="K35" s="261"/>
      <c r="L35" s="261"/>
      <c r="M35" s="363">
        <v>3300</v>
      </c>
      <c r="N35" s="363">
        <v>3300</v>
      </c>
      <c r="P35" s="37" t="str">
        <f t="shared" si="0"/>
        <v>SE01-SE02</v>
      </c>
      <c r="R35" s="215">
        <f t="shared" si="7"/>
        <v>3300</v>
      </c>
      <c r="S35" s="215">
        <f t="shared" si="7"/>
        <v>3300</v>
      </c>
      <c r="U35" s="37" t="str">
        <f t="shared" si="1"/>
        <v>SE01-SE02</v>
      </c>
      <c r="W35" s="215">
        <f t="shared" si="2"/>
        <v>3300</v>
      </c>
      <c r="X35" s="215">
        <f t="shared" si="3"/>
        <v>3300</v>
      </c>
      <c r="AC35" s="37" t="s">
        <v>731</v>
      </c>
      <c r="AD35" s="22" t="s">
        <v>666</v>
      </c>
      <c r="AE35" s="736">
        <v>6.6670000000000002E-3</v>
      </c>
    </row>
    <row r="36" spans="1:31">
      <c r="A36" s="223" t="s">
        <v>182</v>
      </c>
      <c r="B36" s="224" t="s">
        <v>191</v>
      </c>
      <c r="C36" s="261"/>
      <c r="D36" s="261"/>
      <c r="E36" s="215">
        <v>1400</v>
      </c>
      <c r="F36" s="215">
        <v>1400</v>
      </c>
      <c r="G36" s="738" t="b">
        <f t="shared" si="4"/>
        <v>1</v>
      </c>
      <c r="I36" s="224" t="s">
        <v>206</v>
      </c>
      <c r="J36" s="37" t="s">
        <v>207</v>
      </c>
      <c r="K36" s="261"/>
      <c r="L36" s="261"/>
      <c r="M36" s="363">
        <v>7300</v>
      </c>
      <c r="N36" s="363">
        <v>7300</v>
      </c>
      <c r="P36" s="37" t="str">
        <f t="shared" si="0"/>
        <v>SE02-SE03</v>
      </c>
      <c r="R36" s="303">
        <f>M36+M96</f>
        <v>9300</v>
      </c>
      <c r="S36" s="303">
        <f>N36+N96</f>
        <v>9300</v>
      </c>
      <c r="U36" s="37" t="str">
        <f t="shared" si="1"/>
        <v>SE02-SE03</v>
      </c>
      <c r="W36" s="303">
        <f t="shared" si="2"/>
        <v>9300</v>
      </c>
      <c r="X36" s="303">
        <f t="shared" si="3"/>
        <v>9300</v>
      </c>
      <c r="AC36" s="37" t="s">
        <v>732</v>
      </c>
      <c r="AD36" s="22" t="s">
        <v>666</v>
      </c>
      <c r="AE36" s="736">
        <v>6.6670000000000002E-3</v>
      </c>
    </row>
    <row r="37" spans="1:31">
      <c r="A37" s="221" t="s">
        <v>199</v>
      </c>
      <c r="B37" s="222" t="s">
        <v>457</v>
      </c>
      <c r="C37" s="260"/>
      <c r="D37" s="260"/>
      <c r="E37" s="536">
        <v>3000</v>
      </c>
      <c r="F37" s="536">
        <v>0</v>
      </c>
      <c r="G37" s="738" t="b">
        <f t="shared" si="4"/>
        <v>0</v>
      </c>
      <c r="I37" s="224" t="s">
        <v>208</v>
      </c>
      <c r="J37" s="37" t="s">
        <v>186</v>
      </c>
      <c r="K37" s="261"/>
      <c r="L37" s="261"/>
      <c r="M37" s="363">
        <v>6200</v>
      </c>
      <c r="N37" s="363">
        <v>2800</v>
      </c>
      <c r="P37" s="37" t="str">
        <f t="shared" si="0"/>
        <v>SE03-SE04</v>
      </c>
      <c r="R37" s="184">
        <f>M37</f>
        <v>6200</v>
      </c>
      <c r="S37" s="184">
        <f>N37</f>
        <v>2800</v>
      </c>
      <c r="U37" s="37" t="str">
        <f t="shared" si="1"/>
        <v>SE03-SE04</v>
      </c>
      <c r="W37" s="215">
        <f>X101</f>
        <v>7200</v>
      </c>
      <c r="X37" s="215">
        <f>Y101</f>
        <v>3600</v>
      </c>
      <c r="AC37" s="37" t="s">
        <v>733</v>
      </c>
      <c r="AD37" s="22" t="s">
        <v>666</v>
      </c>
      <c r="AE37" s="736">
        <v>6.6670000000000002E-3</v>
      </c>
    </row>
    <row r="38" spans="1:31">
      <c r="A38" s="223" t="s">
        <v>456</v>
      </c>
      <c r="B38" s="224" t="s">
        <v>199</v>
      </c>
      <c r="C38" s="261"/>
      <c r="D38" s="261"/>
      <c r="E38" s="363">
        <v>3000</v>
      </c>
      <c r="F38" s="363">
        <v>0</v>
      </c>
      <c r="G38" s="738" t="b">
        <f t="shared" si="4"/>
        <v>0</v>
      </c>
      <c r="I38" s="37" t="s">
        <v>186</v>
      </c>
      <c r="J38" s="224" t="s">
        <v>200</v>
      </c>
      <c r="K38" s="261"/>
      <c r="L38" s="261"/>
      <c r="M38" s="363">
        <v>1300</v>
      </c>
      <c r="N38" s="363">
        <v>1700</v>
      </c>
      <c r="P38" s="37" t="str">
        <f t="shared" si="0"/>
        <v>SE04-DKE1</v>
      </c>
      <c r="R38" s="303">
        <f>M38+M98</f>
        <v>1800</v>
      </c>
      <c r="S38" s="303">
        <f>N38+N98</f>
        <v>2200</v>
      </c>
      <c r="U38" s="37" t="str">
        <f t="shared" si="1"/>
        <v>SE04-DKE1</v>
      </c>
      <c r="W38" s="303">
        <f t="shared" ref="W38:W49" si="8">R38</f>
        <v>1800</v>
      </c>
      <c r="X38" s="303">
        <f t="shared" ref="X38:X49" si="9">S38</f>
        <v>2200</v>
      </c>
      <c r="AC38" s="37" t="s">
        <v>734</v>
      </c>
      <c r="AD38" s="22" t="s">
        <v>666</v>
      </c>
      <c r="AE38" s="736">
        <v>6.6670000000000002E-3</v>
      </c>
    </row>
    <row r="39" spans="1:31">
      <c r="A39" s="223" t="s">
        <v>199</v>
      </c>
      <c r="B39" s="37" t="s">
        <v>186</v>
      </c>
      <c r="C39" s="261"/>
      <c r="D39" s="261"/>
      <c r="E39" s="363">
        <v>600</v>
      </c>
      <c r="F39" s="363">
        <v>600</v>
      </c>
      <c r="G39" s="738" t="b">
        <f t="shared" si="4"/>
        <v>1</v>
      </c>
      <c r="I39" s="37" t="s">
        <v>207</v>
      </c>
      <c r="J39" s="224" t="s">
        <v>203</v>
      </c>
      <c r="K39" s="261"/>
      <c r="L39" s="261"/>
      <c r="M39" s="363">
        <v>715</v>
      </c>
      <c r="N39" s="363">
        <v>715</v>
      </c>
      <c r="P39" s="37" t="str">
        <f t="shared" si="0"/>
        <v>SE03-DKW1</v>
      </c>
      <c r="R39" s="303">
        <f>M39+M97</f>
        <v>1415</v>
      </c>
      <c r="S39" s="303">
        <f>N39+N97</f>
        <v>1415</v>
      </c>
      <c r="U39" s="37" t="str">
        <f t="shared" si="1"/>
        <v>SE03-DKW1</v>
      </c>
      <c r="W39" s="303">
        <f t="shared" si="8"/>
        <v>1415</v>
      </c>
      <c r="X39" s="303">
        <f t="shared" si="9"/>
        <v>1415</v>
      </c>
      <c r="AC39" s="37" t="s">
        <v>735</v>
      </c>
      <c r="AD39" s="22" t="s">
        <v>666</v>
      </c>
      <c r="AE39" s="736">
        <v>6.8729999999999998E-3</v>
      </c>
    </row>
    <row r="40" spans="1:31">
      <c r="A40" s="223" t="s">
        <v>199</v>
      </c>
      <c r="B40" s="224" t="s">
        <v>200</v>
      </c>
      <c r="C40" s="261"/>
      <c r="D40" s="261"/>
      <c r="E40" s="363">
        <v>0</v>
      </c>
      <c r="F40" s="363">
        <v>0</v>
      </c>
      <c r="G40" s="738" t="b">
        <f t="shared" si="4"/>
        <v>1</v>
      </c>
      <c r="I40" s="37" t="s">
        <v>209</v>
      </c>
      <c r="J40" s="224" t="s">
        <v>210</v>
      </c>
      <c r="K40" s="261"/>
      <c r="L40" s="261"/>
      <c r="M40" s="363">
        <v>2000</v>
      </c>
      <c r="N40" s="363">
        <v>2000</v>
      </c>
      <c r="P40" s="37" t="str">
        <f t="shared" si="0"/>
        <v>SE01-FI00</v>
      </c>
      <c r="R40" s="303">
        <f>M40+SUM(M105:M107)</f>
        <v>4500</v>
      </c>
      <c r="S40" s="303">
        <f>N40+SUM(N105:N107)</f>
        <v>4400</v>
      </c>
      <c r="U40" s="37" t="str">
        <f t="shared" si="1"/>
        <v>SE01-FI00</v>
      </c>
      <c r="W40" s="303">
        <f t="shared" si="8"/>
        <v>4500</v>
      </c>
      <c r="X40" s="303">
        <f t="shared" si="9"/>
        <v>4400</v>
      </c>
      <c r="AC40" s="37" t="s">
        <v>736</v>
      </c>
      <c r="AD40" s="22" t="s">
        <v>666</v>
      </c>
      <c r="AE40" s="736">
        <v>6.6670000000000002E-3</v>
      </c>
    </row>
    <row r="41" spans="1:31">
      <c r="A41" s="228" t="s">
        <v>199</v>
      </c>
      <c r="B41" s="229" t="s">
        <v>201</v>
      </c>
      <c r="C41" s="262"/>
      <c r="D41" s="262"/>
      <c r="E41" s="553">
        <v>700</v>
      </c>
      <c r="F41" s="553">
        <v>700</v>
      </c>
      <c r="G41" s="738" t="b">
        <f t="shared" si="4"/>
        <v>1</v>
      </c>
      <c r="I41" s="37" t="s">
        <v>207</v>
      </c>
      <c r="J41" s="224" t="s">
        <v>210</v>
      </c>
      <c r="K41" s="261"/>
      <c r="L41" s="261"/>
      <c r="M41" s="363">
        <v>1200</v>
      </c>
      <c r="N41" s="363">
        <v>1200</v>
      </c>
      <c r="P41" s="37" t="str">
        <f t="shared" si="0"/>
        <v>SE03-FI00</v>
      </c>
      <c r="R41" s="303">
        <f>M41+M109</f>
        <v>1700</v>
      </c>
      <c r="S41" s="303">
        <f>N41+N109</f>
        <v>1700</v>
      </c>
      <c r="U41" s="37" t="str">
        <f t="shared" si="1"/>
        <v>SE03-FI00</v>
      </c>
      <c r="W41" s="303">
        <f t="shared" si="8"/>
        <v>1700</v>
      </c>
      <c r="X41" s="303">
        <f t="shared" si="9"/>
        <v>1700</v>
      </c>
      <c r="AC41" s="37" t="s">
        <v>737</v>
      </c>
      <c r="AD41" s="22" t="s">
        <v>666</v>
      </c>
      <c r="AE41" s="736">
        <v>6.6670000000000002E-3</v>
      </c>
    </row>
    <row r="42" spans="1:31">
      <c r="A42" s="223" t="s">
        <v>184</v>
      </c>
      <c r="B42" s="224" t="s">
        <v>196</v>
      </c>
      <c r="C42" s="261">
        <v>2000</v>
      </c>
      <c r="D42" s="261">
        <v>2000</v>
      </c>
      <c r="E42" s="215"/>
      <c r="F42" s="215"/>
      <c r="G42" s="738" t="b">
        <f t="shared" si="4"/>
        <v>1</v>
      </c>
      <c r="I42" s="37" t="s">
        <v>209</v>
      </c>
      <c r="J42" s="224" t="s">
        <v>212</v>
      </c>
      <c r="K42" s="261"/>
      <c r="L42" s="261"/>
      <c r="M42" s="363">
        <v>600</v>
      </c>
      <c r="N42" s="363">
        <v>700</v>
      </c>
      <c r="P42" s="37" t="str">
        <f t="shared" si="0"/>
        <v>SE01-NON1</v>
      </c>
      <c r="R42" s="215">
        <f t="shared" ref="R42:S45" si="10">M42</f>
        <v>600</v>
      </c>
      <c r="S42" s="215">
        <f t="shared" si="10"/>
        <v>700</v>
      </c>
      <c r="U42" s="37" t="str">
        <f t="shared" si="1"/>
        <v>SE01-NON1</v>
      </c>
      <c r="W42" s="215">
        <f t="shared" si="8"/>
        <v>600</v>
      </c>
      <c r="X42" s="215">
        <f t="shared" si="9"/>
        <v>700</v>
      </c>
      <c r="AC42" s="37" t="s">
        <v>738</v>
      </c>
      <c r="AD42" s="22" t="s">
        <v>666</v>
      </c>
      <c r="AE42" s="736">
        <v>6.6670000000000002E-3</v>
      </c>
    </row>
    <row r="43" spans="1:31">
      <c r="A43" s="223" t="s">
        <v>184</v>
      </c>
      <c r="B43" s="224" t="s">
        <v>185</v>
      </c>
      <c r="C43" s="261"/>
      <c r="D43" s="261"/>
      <c r="E43" s="215">
        <v>3400</v>
      </c>
      <c r="F43" s="215">
        <v>3400</v>
      </c>
      <c r="G43" s="738" t="b">
        <f t="shared" si="4"/>
        <v>1</v>
      </c>
      <c r="I43" s="37" t="s">
        <v>205</v>
      </c>
      <c r="J43" s="224" t="s">
        <v>212</v>
      </c>
      <c r="K43" s="261"/>
      <c r="L43" s="261"/>
      <c r="M43" s="363">
        <v>300</v>
      </c>
      <c r="N43" s="363">
        <v>250</v>
      </c>
      <c r="P43" s="37" t="str">
        <f t="shared" si="0"/>
        <v>SE02-NON1</v>
      </c>
      <c r="R43" s="215">
        <f t="shared" si="10"/>
        <v>300</v>
      </c>
      <c r="S43" s="215">
        <f t="shared" si="10"/>
        <v>250</v>
      </c>
      <c r="U43" s="37" t="str">
        <f t="shared" si="1"/>
        <v>SE02-NON1</v>
      </c>
      <c r="W43" s="215">
        <f t="shared" si="8"/>
        <v>300</v>
      </c>
      <c r="X43" s="215">
        <f t="shared" si="9"/>
        <v>250</v>
      </c>
      <c r="AC43" s="37" t="s">
        <v>739</v>
      </c>
      <c r="AD43" s="22" t="s">
        <v>666</v>
      </c>
      <c r="AE43" s="736">
        <v>6.6670000000000002E-3</v>
      </c>
    </row>
    <row r="44" spans="1:31">
      <c r="A44" s="223" t="s">
        <v>202</v>
      </c>
      <c r="B44" s="224" t="s">
        <v>203</v>
      </c>
      <c r="C44" s="261"/>
      <c r="D44" s="261"/>
      <c r="E44" s="363">
        <v>700</v>
      </c>
      <c r="F44" s="363">
        <v>700</v>
      </c>
      <c r="G44" s="738" t="b">
        <f t="shared" si="4"/>
        <v>1</v>
      </c>
      <c r="I44" s="37" t="s">
        <v>205</v>
      </c>
      <c r="J44" s="224" t="s">
        <v>211</v>
      </c>
      <c r="K44" s="261"/>
      <c r="L44" s="261"/>
      <c r="M44" s="363">
        <v>1000</v>
      </c>
      <c r="N44" s="363">
        <v>600</v>
      </c>
      <c r="P44" s="37" t="str">
        <f t="shared" si="0"/>
        <v>SE02-NOM1</v>
      </c>
      <c r="R44" s="215">
        <f t="shared" si="10"/>
        <v>1000</v>
      </c>
      <c r="S44" s="215">
        <f t="shared" si="10"/>
        <v>600</v>
      </c>
      <c r="U44" s="37" t="str">
        <f t="shared" si="1"/>
        <v>SE02-NOM1</v>
      </c>
      <c r="W44" s="215">
        <f t="shared" si="8"/>
        <v>1000</v>
      </c>
      <c r="X44" s="215">
        <f t="shared" si="9"/>
        <v>600</v>
      </c>
      <c r="AC44" s="37" t="s">
        <v>740</v>
      </c>
      <c r="AD44" s="22" t="s">
        <v>666</v>
      </c>
      <c r="AE44" s="736">
        <v>6.6670000000000002E-3</v>
      </c>
    </row>
    <row r="45" spans="1:31">
      <c r="A45" s="223" t="s">
        <v>184</v>
      </c>
      <c r="B45" s="224" t="s">
        <v>191</v>
      </c>
      <c r="C45" s="261"/>
      <c r="D45" s="261"/>
      <c r="E45" s="215">
        <v>700</v>
      </c>
      <c r="F45" s="215">
        <v>700</v>
      </c>
      <c r="G45" s="738" t="b">
        <f t="shared" si="4"/>
        <v>1</v>
      </c>
      <c r="I45" s="37" t="s">
        <v>207</v>
      </c>
      <c r="J45" s="224" t="s">
        <v>191</v>
      </c>
      <c r="K45" s="261"/>
      <c r="L45" s="261"/>
      <c r="M45" s="363">
        <v>2095</v>
      </c>
      <c r="N45" s="363">
        <v>2145</v>
      </c>
      <c r="P45" s="37" t="str">
        <f t="shared" si="0"/>
        <v>SE03-NOS0</v>
      </c>
      <c r="R45" s="215">
        <f t="shared" si="10"/>
        <v>2095</v>
      </c>
      <c r="S45" s="215">
        <f t="shared" si="10"/>
        <v>2145</v>
      </c>
      <c r="U45" s="37" t="str">
        <f t="shared" si="1"/>
        <v>SE03-NOS0</v>
      </c>
      <c r="W45" s="215">
        <f t="shared" si="8"/>
        <v>2095</v>
      </c>
      <c r="X45" s="215">
        <f t="shared" si="9"/>
        <v>2145</v>
      </c>
      <c r="AC45" s="37" t="s">
        <v>741</v>
      </c>
      <c r="AD45" s="22" t="s">
        <v>666</v>
      </c>
      <c r="AE45" s="736">
        <v>6.6670000000000002E-3</v>
      </c>
    </row>
    <row r="46" spans="1:31">
      <c r="A46" s="228" t="s">
        <v>184</v>
      </c>
      <c r="B46" s="229" t="s">
        <v>463</v>
      </c>
      <c r="C46" s="262">
        <v>0</v>
      </c>
      <c r="D46" s="262">
        <v>0</v>
      </c>
      <c r="E46" s="554"/>
      <c r="F46" s="554"/>
      <c r="G46" s="738" t="b">
        <f t="shared" si="4"/>
        <v>1</v>
      </c>
      <c r="I46" s="225" t="s">
        <v>186</v>
      </c>
      <c r="J46" s="229" t="s">
        <v>201</v>
      </c>
      <c r="K46" s="262"/>
      <c r="L46" s="262"/>
      <c r="M46" s="553">
        <v>700</v>
      </c>
      <c r="N46" s="553">
        <v>700</v>
      </c>
      <c r="P46" s="225" t="str">
        <f t="shared" si="0"/>
        <v>SE04-LT00</v>
      </c>
      <c r="Q46" s="225"/>
      <c r="R46" s="304">
        <f>M46+M110</f>
        <v>1300</v>
      </c>
      <c r="S46" s="304">
        <f>N46+N110</f>
        <v>1300</v>
      </c>
      <c r="U46" s="225" t="str">
        <f t="shared" si="1"/>
        <v>SE04-LT00</v>
      </c>
      <c r="V46" s="225"/>
      <c r="W46" s="304">
        <f t="shared" si="8"/>
        <v>1300</v>
      </c>
      <c r="X46" s="304">
        <f t="shared" si="9"/>
        <v>1300</v>
      </c>
      <c r="AC46" s="37" t="s">
        <v>742</v>
      </c>
      <c r="AD46" s="22" t="s">
        <v>666</v>
      </c>
      <c r="AE46" s="736">
        <v>6.6670000000000002E-3</v>
      </c>
    </row>
    <row r="47" spans="1:31">
      <c r="A47" s="223" t="s">
        <v>185</v>
      </c>
      <c r="B47" s="224" t="s">
        <v>462</v>
      </c>
      <c r="C47" s="261">
        <v>1400</v>
      </c>
      <c r="D47" s="261">
        <v>1400</v>
      </c>
      <c r="E47" s="215"/>
      <c r="F47" s="215"/>
      <c r="G47" s="738" t="b">
        <f t="shared" si="4"/>
        <v>1</v>
      </c>
      <c r="I47" s="224" t="s">
        <v>200</v>
      </c>
      <c r="J47" s="37" t="s">
        <v>189</v>
      </c>
      <c r="K47" s="261"/>
      <c r="L47" s="261"/>
      <c r="M47" s="363">
        <v>600</v>
      </c>
      <c r="N47" s="363">
        <v>590</v>
      </c>
      <c r="P47" s="37" t="str">
        <f t="shared" si="0"/>
        <v>DKE1-DKW1</v>
      </c>
      <c r="R47" s="215">
        <f>M47</f>
        <v>600</v>
      </c>
      <c r="S47" s="215">
        <f>N47</f>
        <v>590</v>
      </c>
      <c r="U47" s="37" t="str">
        <f t="shared" si="1"/>
        <v>DKE1-DKW1</v>
      </c>
      <c r="W47" s="215">
        <f t="shared" si="8"/>
        <v>600</v>
      </c>
      <c r="X47" s="215">
        <f t="shared" si="9"/>
        <v>590</v>
      </c>
      <c r="AC47" s="37" t="s">
        <v>743</v>
      </c>
      <c r="AD47" s="22" t="s">
        <v>666</v>
      </c>
      <c r="AE47" s="736">
        <v>8.4030000000000007E-3</v>
      </c>
    </row>
    <row r="48" spans="1:31">
      <c r="A48" s="223" t="s">
        <v>462</v>
      </c>
      <c r="B48" s="224" t="s">
        <v>463</v>
      </c>
      <c r="C48" s="261">
        <v>0</v>
      </c>
      <c r="D48" s="261">
        <v>0</v>
      </c>
      <c r="E48" s="215"/>
      <c r="F48" s="215"/>
      <c r="G48" s="738" t="b">
        <f t="shared" si="4"/>
        <v>1</v>
      </c>
      <c r="I48" s="229" t="s">
        <v>203</v>
      </c>
      <c r="J48" s="229" t="s">
        <v>191</v>
      </c>
      <c r="K48" s="262"/>
      <c r="L48" s="262"/>
      <c r="M48" s="553">
        <v>1632</v>
      </c>
      <c r="N48" s="553">
        <v>1632</v>
      </c>
      <c r="P48" s="225" t="str">
        <f t="shared" si="0"/>
        <v>DKW1-NOS0</v>
      </c>
      <c r="Q48" s="225"/>
      <c r="R48" s="554">
        <f>M48</f>
        <v>1632</v>
      </c>
      <c r="S48" s="554">
        <f>N48</f>
        <v>1632</v>
      </c>
      <c r="U48" s="225" t="str">
        <f t="shared" si="1"/>
        <v>DKW1-NOS0</v>
      </c>
      <c r="V48" s="225"/>
      <c r="W48" s="554">
        <f t="shared" si="8"/>
        <v>1632</v>
      </c>
      <c r="X48" s="554">
        <f t="shared" si="9"/>
        <v>1632</v>
      </c>
      <c r="AC48" s="37" t="s">
        <v>744</v>
      </c>
      <c r="AD48" s="22" t="s">
        <v>666</v>
      </c>
      <c r="AE48" s="736">
        <v>6.6670000000000002E-3</v>
      </c>
    </row>
    <row r="49" spans="1:31">
      <c r="A49" s="221" t="s">
        <v>204</v>
      </c>
      <c r="B49" s="226" t="s">
        <v>205</v>
      </c>
      <c r="C49" s="260"/>
      <c r="D49" s="260"/>
      <c r="E49" s="536">
        <v>3300</v>
      </c>
      <c r="F49" s="536">
        <v>3300</v>
      </c>
      <c r="G49" s="738" t="b">
        <f t="shared" si="4"/>
        <v>1</v>
      </c>
      <c r="I49" s="229" t="s">
        <v>210</v>
      </c>
      <c r="J49" s="229" t="s">
        <v>214</v>
      </c>
      <c r="K49" s="262"/>
      <c r="L49" s="262"/>
      <c r="M49" s="553">
        <v>1016</v>
      </c>
      <c r="N49" s="553">
        <v>1016</v>
      </c>
      <c r="P49" s="282" t="str">
        <f t="shared" si="0"/>
        <v>FI00-EE00</v>
      </c>
      <c r="Q49" s="282"/>
      <c r="R49" s="305">
        <f>M49+M113</f>
        <v>1716</v>
      </c>
      <c r="S49" s="305">
        <f>N49+N113</f>
        <v>1716</v>
      </c>
      <c r="U49" s="225" t="str">
        <f t="shared" si="1"/>
        <v>FI00-EE00</v>
      </c>
      <c r="V49" s="225"/>
      <c r="W49" s="304">
        <f t="shared" si="8"/>
        <v>1716</v>
      </c>
      <c r="X49" s="304">
        <f t="shared" si="9"/>
        <v>1716</v>
      </c>
      <c r="AC49" s="37" t="s">
        <v>745</v>
      </c>
      <c r="AD49" s="22" t="s">
        <v>666</v>
      </c>
      <c r="AE49" s="736">
        <v>6.6670000000000002E-3</v>
      </c>
    </row>
    <row r="50" spans="1:31">
      <c r="A50" s="223" t="s">
        <v>206</v>
      </c>
      <c r="B50" s="37" t="s">
        <v>207</v>
      </c>
      <c r="C50" s="261"/>
      <c r="D50" s="261"/>
      <c r="E50" s="363">
        <v>7300</v>
      </c>
      <c r="F50" s="363">
        <v>7300</v>
      </c>
      <c r="G50" s="738" t="b">
        <f t="shared" si="4"/>
        <v>1</v>
      </c>
      <c r="I50" s="224" t="s">
        <v>211</v>
      </c>
      <c r="J50" s="37" t="s">
        <v>213</v>
      </c>
      <c r="K50" s="261"/>
      <c r="L50" s="261"/>
      <c r="M50" s="215">
        <v>350</v>
      </c>
      <c r="N50" s="537">
        <v>1300</v>
      </c>
      <c r="P50" s="37" t="str">
        <f t="shared" si="0"/>
        <v>NOM1-NON1</v>
      </c>
      <c r="R50" s="184">
        <f t="shared" ref="R50:S53" si="11">M50</f>
        <v>350</v>
      </c>
      <c r="S50" s="215">
        <f t="shared" si="11"/>
        <v>1300</v>
      </c>
      <c r="U50" s="37" t="str">
        <f t="shared" si="1"/>
        <v>NOM1-NON1</v>
      </c>
      <c r="W50" s="215">
        <f>X114</f>
        <v>1300</v>
      </c>
      <c r="X50" s="215">
        <f>S50</f>
        <v>1300</v>
      </c>
      <c r="AC50" s="37" t="s">
        <v>746</v>
      </c>
      <c r="AD50" s="22" t="s">
        <v>666</v>
      </c>
      <c r="AE50" s="736">
        <v>6.6670000000000002E-3</v>
      </c>
    </row>
    <row r="51" spans="1:31">
      <c r="A51" s="223" t="s">
        <v>208</v>
      </c>
      <c r="B51" s="37" t="s">
        <v>186</v>
      </c>
      <c r="C51" s="261"/>
      <c r="D51" s="261"/>
      <c r="E51" s="363">
        <v>6200</v>
      </c>
      <c r="F51" s="363">
        <v>2800</v>
      </c>
      <c r="G51" s="738" t="b">
        <f t="shared" si="4"/>
        <v>0</v>
      </c>
      <c r="I51" s="229" t="s">
        <v>211</v>
      </c>
      <c r="J51" s="229" t="s">
        <v>191</v>
      </c>
      <c r="K51" s="262"/>
      <c r="L51" s="262"/>
      <c r="M51" s="554">
        <v>800</v>
      </c>
      <c r="N51" s="554">
        <v>600</v>
      </c>
      <c r="P51" s="225" t="str">
        <f t="shared" si="0"/>
        <v>NOM1-NOS0</v>
      </c>
      <c r="Q51" s="225"/>
      <c r="R51" s="272">
        <f t="shared" si="11"/>
        <v>800</v>
      </c>
      <c r="S51" s="272">
        <f t="shared" si="11"/>
        <v>600</v>
      </c>
      <c r="U51" s="225" t="str">
        <f t="shared" si="1"/>
        <v>NOM1-NOS0</v>
      </c>
      <c r="V51" s="225"/>
      <c r="W51" s="554">
        <f>X115</f>
        <v>1400</v>
      </c>
      <c r="X51" s="554">
        <f>Y115</f>
        <v>1400</v>
      </c>
      <c r="AC51" s="37" t="s">
        <v>747</v>
      </c>
      <c r="AD51" s="22" t="s">
        <v>666</v>
      </c>
      <c r="AE51" s="736">
        <v>6.6670000000000002E-3</v>
      </c>
    </row>
    <row r="52" spans="1:31">
      <c r="A52" s="79" t="s">
        <v>186</v>
      </c>
      <c r="B52" s="224" t="s">
        <v>200</v>
      </c>
      <c r="C52" s="261"/>
      <c r="D52" s="261"/>
      <c r="E52" s="363">
        <v>1300</v>
      </c>
      <c r="F52" s="363">
        <v>1700</v>
      </c>
      <c r="G52" s="738" t="b">
        <f t="shared" si="4"/>
        <v>0</v>
      </c>
      <c r="I52" s="224" t="s">
        <v>201</v>
      </c>
      <c r="J52" s="224" t="s">
        <v>215</v>
      </c>
      <c r="K52" s="261"/>
      <c r="L52" s="261"/>
      <c r="M52" s="553">
        <v>950</v>
      </c>
      <c r="N52" s="555">
        <v>950</v>
      </c>
      <c r="P52" s="282" t="str">
        <f t="shared" si="0"/>
        <v>LT00-LV00</v>
      </c>
      <c r="Q52" s="282"/>
      <c r="R52" s="562">
        <f t="shared" si="11"/>
        <v>950</v>
      </c>
      <c r="S52" s="562">
        <f t="shared" si="11"/>
        <v>950</v>
      </c>
      <c r="U52" s="282" t="str">
        <f t="shared" si="1"/>
        <v>LT00-LV00</v>
      </c>
      <c r="V52" s="282"/>
      <c r="W52" s="562">
        <f>R52</f>
        <v>950</v>
      </c>
      <c r="X52" s="562">
        <f>S52</f>
        <v>950</v>
      </c>
      <c r="AC52" s="37" t="s">
        <v>748</v>
      </c>
      <c r="AD52" s="22" t="s">
        <v>666</v>
      </c>
      <c r="AE52" s="736">
        <v>6.6670000000000002E-3</v>
      </c>
    </row>
    <row r="53" spans="1:31">
      <c r="A53" s="79" t="s">
        <v>207</v>
      </c>
      <c r="B53" s="224" t="s">
        <v>203</v>
      </c>
      <c r="C53" s="261"/>
      <c r="D53" s="261"/>
      <c r="E53" s="363">
        <v>715</v>
      </c>
      <c r="F53" s="363">
        <v>715</v>
      </c>
      <c r="G53" s="738" t="b">
        <f t="shared" si="4"/>
        <v>1</v>
      </c>
      <c r="I53" s="231" t="s">
        <v>215</v>
      </c>
      <c r="J53" s="231" t="s">
        <v>214</v>
      </c>
      <c r="K53" s="263"/>
      <c r="L53" s="263"/>
      <c r="M53" s="553">
        <v>879</v>
      </c>
      <c r="N53" s="555">
        <v>950</v>
      </c>
      <c r="P53" s="225" t="str">
        <f t="shared" si="0"/>
        <v>LV00-EE00</v>
      </c>
      <c r="Q53" s="225"/>
      <c r="R53" s="273">
        <f t="shared" si="11"/>
        <v>879</v>
      </c>
      <c r="S53" s="273">
        <f t="shared" si="11"/>
        <v>950</v>
      </c>
      <c r="U53" s="225" t="str">
        <f t="shared" si="1"/>
        <v>LV00-EE00</v>
      </c>
      <c r="V53" s="225"/>
      <c r="W53" s="554">
        <f>X117</f>
        <v>900</v>
      </c>
      <c r="X53" s="554">
        <f>Y117</f>
        <v>1100</v>
      </c>
      <c r="AC53" s="225" t="s">
        <v>749</v>
      </c>
      <c r="AD53" s="372" t="s">
        <v>666</v>
      </c>
      <c r="AE53" s="737">
        <v>6.6670000000000002E-3</v>
      </c>
    </row>
    <row r="54" spans="1:31">
      <c r="A54" s="79" t="s">
        <v>209</v>
      </c>
      <c r="B54" s="224" t="s">
        <v>210</v>
      </c>
      <c r="C54" s="261"/>
      <c r="D54" s="261"/>
      <c r="E54" s="363">
        <v>2000</v>
      </c>
      <c r="F54" s="363">
        <v>2000</v>
      </c>
      <c r="G54" s="738" t="b">
        <f t="shared" si="4"/>
        <v>1</v>
      </c>
      <c r="M54" s="70">
        <f>SUM(M14:M53)</f>
        <v>80152</v>
      </c>
      <c r="N54" s="70">
        <f t="shared" ref="N54" si="12">SUM(N14:N53)</f>
        <v>77163</v>
      </c>
      <c r="R54" s="70">
        <f>SUM(R14:R53)</f>
        <v>97652</v>
      </c>
      <c r="S54" s="70">
        <f>SUM(S14:S53)</f>
        <v>94563</v>
      </c>
    </row>
    <row r="55" spans="1:31">
      <c r="A55" s="79" t="s">
        <v>205</v>
      </c>
      <c r="B55" s="224" t="s">
        <v>210</v>
      </c>
      <c r="C55" s="261"/>
      <c r="D55" s="261"/>
      <c r="E55" s="363">
        <v>0</v>
      </c>
      <c r="F55" s="363">
        <v>0</v>
      </c>
      <c r="G55" s="738" t="b">
        <f t="shared" si="4"/>
        <v>1</v>
      </c>
    </row>
    <row r="56" spans="1:31">
      <c r="A56" s="79" t="s">
        <v>207</v>
      </c>
      <c r="B56" s="224" t="s">
        <v>210</v>
      </c>
      <c r="C56" s="261"/>
      <c r="D56" s="261"/>
      <c r="E56" s="363">
        <v>1200</v>
      </c>
      <c r="F56" s="363">
        <v>1200</v>
      </c>
      <c r="G56" s="738" t="b">
        <f t="shared" si="4"/>
        <v>1</v>
      </c>
    </row>
    <row r="57" spans="1:31">
      <c r="A57" s="79" t="s">
        <v>207</v>
      </c>
      <c r="B57" s="224" t="s">
        <v>191</v>
      </c>
      <c r="C57" s="261"/>
      <c r="D57" s="261"/>
      <c r="E57" s="363">
        <v>2095</v>
      </c>
      <c r="F57" s="363">
        <v>2145</v>
      </c>
      <c r="G57" s="738" t="b">
        <f t="shared" si="4"/>
        <v>0</v>
      </c>
    </row>
    <row r="58" spans="1:31">
      <c r="A58" s="79" t="s">
        <v>205</v>
      </c>
      <c r="B58" s="224" t="s">
        <v>211</v>
      </c>
      <c r="C58" s="261"/>
      <c r="D58" s="261"/>
      <c r="E58" s="363">
        <v>1000</v>
      </c>
      <c r="F58" s="363">
        <v>600</v>
      </c>
      <c r="G58" s="738" t="b">
        <f t="shared" si="4"/>
        <v>0</v>
      </c>
      <c r="H58" s="224"/>
      <c r="I58" s="224"/>
      <c r="J58" s="224"/>
      <c r="K58" s="224"/>
      <c r="L58" s="224"/>
    </row>
    <row r="59" spans="1:31">
      <c r="A59" s="79" t="s">
        <v>205</v>
      </c>
      <c r="B59" s="224" t="s">
        <v>212</v>
      </c>
      <c r="C59" s="261"/>
      <c r="D59" s="261"/>
      <c r="E59" s="363">
        <v>300</v>
      </c>
      <c r="F59" s="363">
        <v>250</v>
      </c>
      <c r="G59" s="738" t="b">
        <f t="shared" si="4"/>
        <v>0</v>
      </c>
      <c r="H59" s="224"/>
      <c r="I59" s="224"/>
      <c r="J59" s="224"/>
      <c r="K59" s="224"/>
      <c r="L59" s="224"/>
    </row>
    <row r="60" spans="1:31">
      <c r="A60" s="79" t="s">
        <v>209</v>
      </c>
      <c r="B60" s="224" t="s">
        <v>212</v>
      </c>
      <c r="C60" s="261"/>
      <c r="D60" s="261"/>
      <c r="E60" s="363">
        <v>600</v>
      </c>
      <c r="F60" s="363">
        <v>700</v>
      </c>
      <c r="G60" s="738" t="b">
        <f t="shared" si="4"/>
        <v>0</v>
      </c>
      <c r="H60" s="224"/>
      <c r="I60" s="224"/>
      <c r="J60" s="224"/>
      <c r="K60" s="224"/>
      <c r="L60" s="224"/>
    </row>
    <row r="61" spans="1:31">
      <c r="A61" s="79" t="s">
        <v>186</v>
      </c>
      <c r="B61" s="224" t="s">
        <v>201</v>
      </c>
      <c r="C61" s="261"/>
      <c r="D61" s="261"/>
      <c r="E61" s="553">
        <v>700</v>
      </c>
      <c r="F61" s="553">
        <v>700</v>
      </c>
      <c r="G61" s="738" t="b">
        <f t="shared" si="4"/>
        <v>1</v>
      </c>
      <c r="H61" s="224"/>
      <c r="I61" s="224"/>
      <c r="J61" s="224"/>
      <c r="K61" s="224"/>
      <c r="L61" s="224"/>
    </row>
    <row r="62" spans="1:31">
      <c r="A62" s="221" t="s">
        <v>200</v>
      </c>
      <c r="B62" s="226" t="s">
        <v>189</v>
      </c>
      <c r="C62" s="260"/>
      <c r="D62" s="260"/>
      <c r="E62" s="536">
        <v>600</v>
      </c>
      <c r="F62" s="536">
        <v>590</v>
      </c>
      <c r="G62" s="738" t="b">
        <f t="shared" si="4"/>
        <v>0</v>
      </c>
      <c r="H62" s="224"/>
      <c r="I62" s="224"/>
      <c r="J62" s="224"/>
      <c r="K62" s="224"/>
      <c r="L62" s="224"/>
    </row>
    <row r="63" spans="1:31">
      <c r="A63" s="223" t="s">
        <v>200</v>
      </c>
      <c r="B63" s="224" t="s">
        <v>458</v>
      </c>
      <c r="C63" s="261"/>
      <c r="D63" s="261"/>
      <c r="E63" s="363">
        <v>600</v>
      </c>
      <c r="F63" s="363">
        <v>600</v>
      </c>
      <c r="G63" s="738" t="b">
        <f t="shared" si="4"/>
        <v>1</v>
      </c>
      <c r="H63" s="224"/>
      <c r="I63" s="224"/>
      <c r="J63" s="224"/>
      <c r="K63" s="224"/>
      <c r="L63" s="224"/>
    </row>
    <row r="64" spans="1:31">
      <c r="A64" s="223" t="s">
        <v>463</v>
      </c>
      <c r="B64" s="37" t="s">
        <v>189</v>
      </c>
      <c r="C64" s="261">
        <v>0</v>
      </c>
      <c r="D64" s="261">
        <v>0</v>
      </c>
      <c r="E64" s="215"/>
      <c r="F64" s="215"/>
      <c r="G64" s="738" t="b">
        <f t="shared" si="4"/>
        <v>1</v>
      </c>
    </row>
    <row r="65" spans="1:27">
      <c r="A65" s="223" t="s">
        <v>459</v>
      </c>
      <c r="B65" s="37" t="s">
        <v>188</v>
      </c>
      <c r="C65" s="261">
        <v>1200</v>
      </c>
      <c r="D65" s="261">
        <v>1200</v>
      </c>
      <c r="E65" s="215"/>
      <c r="F65" s="215"/>
      <c r="G65" s="738" t="b">
        <f t="shared" si="4"/>
        <v>1</v>
      </c>
    </row>
    <row r="66" spans="1:27">
      <c r="A66" s="223" t="s">
        <v>203</v>
      </c>
      <c r="B66" s="224" t="s">
        <v>191</v>
      </c>
      <c r="C66" s="261"/>
      <c r="D66" s="262"/>
      <c r="E66" s="553">
        <v>1632</v>
      </c>
      <c r="F66" s="553">
        <v>1632</v>
      </c>
      <c r="G66" s="738" t="b">
        <f t="shared" si="4"/>
        <v>1</v>
      </c>
      <c r="H66" s="224"/>
      <c r="I66" s="224"/>
      <c r="J66" s="224"/>
      <c r="K66" s="224"/>
      <c r="L66" s="224"/>
    </row>
    <row r="67" spans="1:27">
      <c r="A67" s="221" t="s">
        <v>210</v>
      </c>
      <c r="B67" s="226" t="s">
        <v>213</v>
      </c>
      <c r="C67" s="260"/>
      <c r="D67" s="260"/>
      <c r="E67" s="536">
        <v>0</v>
      </c>
      <c r="F67" s="536">
        <v>0</v>
      </c>
      <c r="G67" s="738" t="b">
        <f t="shared" si="4"/>
        <v>1</v>
      </c>
      <c r="H67" s="224"/>
      <c r="I67" s="224"/>
      <c r="J67" s="224"/>
      <c r="K67" s="224"/>
      <c r="L67" s="224"/>
    </row>
    <row r="68" spans="1:27">
      <c r="A68" s="228" t="s">
        <v>210</v>
      </c>
      <c r="B68" s="229" t="s">
        <v>214</v>
      </c>
      <c r="C68" s="262"/>
      <c r="D68" s="262"/>
      <c r="E68" s="553">
        <v>1016</v>
      </c>
      <c r="F68" s="553">
        <v>1016</v>
      </c>
      <c r="G68" s="738" t="b">
        <f t="shared" si="4"/>
        <v>1</v>
      </c>
      <c r="H68" s="224"/>
      <c r="I68" s="224"/>
      <c r="J68" s="224"/>
      <c r="K68" s="224"/>
      <c r="L68" s="224"/>
    </row>
    <row r="69" spans="1:27">
      <c r="A69" s="223" t="s">
        <v>211</v>
      </c>
      <c r="B69" s="37" t="s">
        <v>213</v>
      </c>
      <c r="C69" s="261"/>
      <c r="D69" s="261"/>
      <c r="E69" s="537">
        <v>350</v>
      </c>
      <c r="F69" s="537">
        <v>1300</v>
      </c>
      <c r="G69" s="738" t="b">
        <f t="shared" si="4"/>
        <v>0</v>
      </c>
    </row>
    <row r="70" spans="1:27">
      <c r="A70" s="228" t="s">
        <v>211</v>
      </c>
      <c r="B70" s="229" t="s">
        <v>191</v>
      </c>
      <c r="C70" s="262"/>
      <c r="D70" s="262"/>
      <c r="E70" s="554">
        <v>800</v>
      </c>
      <c r="F70" s="554">
        <v>600</v>
      </c>
      <c r="G70" s="738" t="b">
        <f t="shared" si="4"/>
        <v>0</v>
      </c>
    </row>
    <row r="71" spans="1:27">
      <c r="A71" s="223" t="s">
        <v>201</v>
      </c>
      <c r="B71" s="224" t="s">
        <v>215</v>
      </c>
      <c r="C71" s="261"/>
      <c r="D71" s="261"/>
      <c r="E71" s="555">
        <v>950</v>
      </c>
      <c r="F71" s="555">
        <v>950</v>
      </c>
      <c r="G71" s="738" t="b">
        <f t="shared" si="4"/>
        <v>1</v>
      </c>
      <c r="H71" s="224"/>
      <c r="I71" s="224"/>
      <c r="J71" s="224"/>
      <c r="K71" s="224"/>
      <c r="L71" s="224"/>
    </row>
    <row r="72" spans="1:27">
      <c r="A72" s="230" t="s">
        <v>215</v>
      </c>
      <c r="B72" s="231" t="s">
        <v>214</v>
      </c>
      <c r="C72" s="263"/>
      <c r="D72" s="263"/>
      <c r="E72" s="555">
        <v>879</v>
      </c>
      <c r="F72" s="555">
        <v>950</v>
      </c>
      <c r="G72" s="738" t="b">
        <f t="shared" si="4"/>
        <v>0</v>
      </c>
      <c r="H72" s="224"/>
      <c r="I72" s="224"/>
      <c r="J72" s="224"/>
      <c r="K72" s="224"/>
      <c r="L72" s="224"/>
    </row>
    <row r="73" spans="1:27">
      <c r="C73" s="70">
        <f>SUM(C14:C72)</f>
        <v>9800</v>
      </c>
      <c r="D73" s="70">
        <f>SUM(D14:D72)</f>
        <v>9800</v>
      </c>
      <c r="E73" s="70">
        <f>SUM(E14:E72)</f>
        <v>87602</v>
      </c>
      <c r="F73" s="70">
        <f>SUM(F14:F72)</f>
        <v>78563</v>
      </c>
    </row>
    <row r="75" spans="1:27">
      <c r="A75" s="763" t="s">
        <v>492</v>
      </c>
      <c r="B75" s="763"/>
      <c r="C75" s="763"/>
      <c r="D75" s="763"/>
      <c r="E75" s="763"/>
      <c r="F75" s="763"/>
      <c r="G75" s="763"/>
      <c r="I75" s="763" t="s">
        <v>491</v>
      </c>
      <c r="J75" s="763"/>
      <c r="K75" s="763"/>
      <c r="L75" s="763"/>
      <c r="M75" s="763"/>
      <c r="N75" s="763"/>
      <c r="P75" s="763" t="s">
        <v>864</v>
      </c>
      <c r="Q75" s="763"/>
      <c r="R75" s="763"/>
      <c r="S75" s="763"/>
      <c r="T75" s="763"/>
      <c r="V75" s="763" t="s">
        <v>485</v>
      </c>
      <c r="W75" s="763"/>
      <c r="X75" s="763"/>
      <c r="Y75" s="763"/>
      <c r="Z75" s="763"/>
      <c r="AA75" s="763"/>
    </row>
    <row r="76" spans="1:27">
      <c r="A76" s="19" t="s">
        <v>172</v>
      </c>
      <c r="B76" s="19" t="s">
        <v>173</v>
      </c>
      <c r="C76" s="19" t="s">
        <v>176</v>
      </c>
      <c r="D76" s="19" t="s">
        <v>177</v>
      </c>
      <c r="E76" s="19" t="s">
        <v>174</v>
      </c>
      <c r="F76" s="19" t="s">
        <v>175</v>
      </c>
      <c r="G76" s="19" t="s">
        <v>971</v>
      </c>
      <c r="I76" s="19" t="s">
        <v>172</v>
      </c>
      <c r="J76" s="19" t="s">
        <v>173</v>
      </c>
      <c r="K76" s="19" t="s">
        <v>176</v>
      </c>
      <c r="L76" s="19" t="s">
        <v>177</v>
      </c>
      <c r="M76" s="19" t="s">
        <v>174</v>
      </c>
      <c r="N76" s="19" t="s">
        <v>175</v>
      </c>
      <c r="P76" s="19"/>
      <c r="Q76" s="19"/>
      <c r="R76" s="19"/>
      <c r="S76" s="19" t="s">
        <v>351</v>
      </c>
      <c r="T76" s="19" t="s">
        <v>448</v>
      </c>
      <c r="V76" s="19"/>
      <c r="W76" s="732" t="s">
        <v>677</v>
      </c>
      <c r="X76" s="220"/>
      <c r="Y76" s="220"/>
      <c r="Z76" s="220" t="s">
        <v>486</v>
      </c>
      <c r="AA76" s="220"/>
    </row>
    <row r="77" spans="1:27">
      <c r="A77" s="235" t="s">
        <v>107</v>
      </c>
      <c r="B77" s="236" t="s">
        <v>109</v>
      </c>
      <c r="C77" s="237" t="s">
        <v>179</v>
      </c>
      <c r="D77" s="288">
        <v>2040</v>
      </c>
      <c r="E77" s="278">
        <v>1000</v>
      </c>
      <c r="F77" s="278">
        <v>1000</v>
      </c>
      <c r="G77" s="738" t="b">
        <f>E77=F77</f>
        <v>1</v>
      </c>
      <c r="I77" s="248" t="s">
        <v>107</v>
      </c>
      <c r="J77" s="248" t="s">
        <v>110</v>
      </c>
      <c r="K77" s="249" t="s">
        <v>183</v>
      </c>
      <c r="L77" s="292">
        <v>2030</v>
      </c>
      <c r="M77" s="544">
        <v>1400</v>
      </c>
      <c r="N77" s="544">
        <v>1400</v>
      </c>
      <c r="P77" s="37" t="s">
        <v>471</v>
      </c>
      <c r="S77" s="215">
        <v>1400</v>
      </c>
      <c r="T77" s="215">
        <v>-1400</v>
      </c>
      <c r="V77" s="41" t="s">
        <v>172</v>
      </c>
      <c r="W77" s="41" t="s">
        <v>173</v>
      </c>
      <c r="X77" s="19" t="s">
        <v>454</v>
      </c>
      <c r="Y77" s="19" t="s">
        <v>453</v>
      </c>
      <c r="Z77" s="19" t="s">
        <v>454</v>
      </c>
      <c r="AA77" s="19" t="s">
        <v>453</v>
      </c>
    </row>
    <row r="78" spans="1:27">
      <c r="A78" s="240" t="s">
        <v>107</v>
      </c>
      <c r="B78" s="241" t="s">
        <v>109</v>
      </c>
      <c r="C78" s="242" t="s">
        <v>181</v>
      </c>
      <c r="D78" s="289">
        <v>2040</v>
      </c>
      <c r="E78" s="279">
        <v>1000</v>
      </c>
      <c r="F78" s="279">
        <v>1000</v>
      </c>
      <c r="G78" s="738" t="b">
        <f t="shared" ref="G78:G141" si="13">E78=F78</f>
        <v>1</v>
      </c>
      <c r="I78" s="224" t="s">
        <v>107</v>
      </c>
      <c r="J78" s="224" t="s">
        <v>114</v>
      </c>
      <c r="K78" s="45" t="s">
        <v>183</v>
      </c>
      <c r="L78" s="44">
        <v>2035</v>
      </c>
      <c r="M78" s="363">
        <v>1000</v>
      </c>
      <c r="N78" s="363">
        <v>1000</v>
      </c>
      <c r="P78" s="37" t="s">
        <v>469</v>
      </c>
      <c r="S78" s="215">
        <v>1000</v>
      </c>
      <c r="T78" s="215">
        <v>-1000</v>
      </c>
      <c r="V78" s="224" t="s">
        <v>178</v>
      </c>
      <c r="W78" s="224" t="s">
        <v>180</v>
      </c>
      <c r="X78" s="184">
        <v>3000</v>
      </c>
      <c r="Y78" s="184">
        <v>3000</v>
      </c>
      <c r="Z78" s="70">
        <f t="shared" ref="Z78:Z117" si="14">R14-X78</f>
        <v>1800</v>
      </c>
      <c r="AA78" s="70">
        <f t="shared" ref="AA78:AA117" si="15">Y78-S14</f>
        <v>-1800</v>
      </c>
    </row>
    <row r="79" spans="1:27">
      <c r="A79" s="243" t="s">
        <v>107</v>
      </c>
      <c r="B79" s="244" t="s">
        <v>110</v>
      </c>
      <c r="C79" s="245" t="s">
        <v>183</v>
      </c>
      <c r="D79" s="290">
        <v>2030</v>
      </c>
      <c r="E79" s="280">
        <v>1400</v>
      </c>
      <c r="F79" s="280">
        <v>1400</v>
      </c>
      <c r="G79" s="738" t="b">
        <f t="shared" si="13"/>
        <v>1</v>
      </c>
      <c r="I79" s="224" t="s">
        <v>107</v>
      </c>
      <c r="J79" s="224" t="s">
        <v>114</v>
      </c>
      <c r="K79" s="45" t="s">
        <v>179</v>
      </c>
      <c r="L79" s="44">
        <v>2030</v>
      </c>
      <c r="M79" s="261">
        <v>1000</v>
      </c>
      <c r="N79" s="261">
        <v>1000</v>
      </c>
      <c r="P79" s="37" t="s">
        <v>470</v>
      </c>
      <c r="S79" s="215">
        <v>700</v>
      </c>
      <c r="T79" s="215">
        <v>-700</v>
      </c>
      <c r="V79" s="224" t="s">
        <v>178</v>
      </c>
      <c r="W79" s="224" t="s">
        <v>182</v>
      </c>
      <c r="X79" s="184">
        <v>0</v>
      </c>
      <c r="Y79" s="184">
        <v>0</v>
      </c>
      <c r="Z79" s="70">
        <f t="shared" si="14"/>
        <v>2800</v>
      </c>
      <c r="AA79" s="70">
        <f t="shared" si="15"/>
        <v>-2800</v>
      </c>
    </row>
    <row r="80" spans="1:27">
      <c r="A80" s="238" t="s">
        <v>107</v>
      </c>
      <c r="B80" s="224" t="s">
        <v>113</v>
      </c>
      <c r="C80" s="45" t="s">
        <v>179</v>
      </c>
      <c r="D80" s="44">
        <v>2040</v>
      </c>
      <c r="E80" s="261">
        <v>2000</v>
      </c>
      <c r="F80" s="261">
        <v>2000</v>
      </c>
      <c r="G80" s="738" t="b">
        <f t="shared" si="13"/>
        <v>1</v>
      </c>
      <c r="I80" s="224" t="s">
        <v>107</v>
      </c>
      <c r="J80" s="224" t="s">
        <v>115</v>
      </c>
      <c r="K80" s="45" t="s">
        <v>179</v>
      </c>
      <c r="L80" s="44">
        <v>2030</v>
      </c>
      <c r="M80" s="261">
        <v>1000</v>
      </c>
      <c r="N80" s="261">
        <v>1000</v>
      </c>
      <c r="P80" s="274" t="s">
        <v>468</v>
      </c>
      <c r="Q80" s="274"/>
      <c r="R80" s="274"/>
      <c r="S80" s="319">
        <v>157</v>
      </c>
      <c r="T80" s="319">
        <v>-157</v>
      </c>
      <c r="V80" s="224" t="s">
        <v>178</v>
      </c>
      <c r="W80" s="224" t="s">
        <v>199</v>
      </c>
      <c r="X80" s="184">
        <v>2000</v>
      </c>
      <c r="Y80" s="184">
        <v>3000</v>
      </c>
      <c r="Z80" s="70">
        <f t="shared" si="14"/>
        <v>0</v>
      </c>
      <c r="AA80" s="70">
        <f t="shared" si="15"/>
        <v>0</v>
      </c>
    </row>
    <row r="81" spans="1:27">
      <c r="A81" s="240" t="s">
        <v>107</v>
      </c>
      <c r="B81" s="241" t="s">
        <v>113</v>
      </c>
      <c r="C81" s="242" t="s">
        <v>181</v>
      </c>
      <c r="D81" s="289">
        <v>2040</v>
      </c>
      <c r="E81" s="279">
        <v>2000</v>
      </c>
      <c r="F81" s="279">
        <v>2000</v>
      </c>
      <c r="G81" s="738" t="b">
        <f t="shared" si="13"/>
        <v>1</v>
      </c>
      <c r="I81" s="224" t="s">
        <v>107</v>
      </c>
      <c r="J81" s="224" t="s">
        <v>106</v>
      </c>
      <c r="K81" s="45" t="s">
        <v>183</v>
      </c>
      <c r="L81" s="44">
        <v>2035</v>
      </c>
      <c r="M81" s="363">
        <v>700</v>
      </c>
      <c r="N81" s="363">
        <v>700</v>
      </c>
      <c r="P81" s="37" t="s">
        <v>476</v>
      </c>
      <c r="S81" s="215">
        <v>1500</v>
      </c>
      <c r="T81" s="215">
        <v>-1500</v>
      </c>
      <c r="V81" s="224" t="s">
        <v>178</v>
      </c>
      <c r="W81" s="224" t="s">
        <v>184</v>
      </c>
      <c r="X81" s="184">
        <v>5000</v>
      </c>
      <c r="Y81" s="184">
        <v>5000</v>
      </c>
      <c r="Z81" s="70">
        <f t="shared" si="14"/>
        <v>1000</v>
      </c>
      <c r="AA81" s="70">
        <f t="shared" si="15"/>
        <v>-1000</v>
      </c>
    </row>
    <row r="82" spans="1:27">
      <c r="A82" s="238" t="s">
        <v>107</v>
      </c>
      <c r="B82" s="224" t="s">
        <v>114</v>
      </c>
      <c r="C82" s="45" t="s">
        <v>183</v>
      </c>
      <c r="D82" s="44">
        <v>2035</v>
      </c>
      <c r="E82" s="261">
        <v>1000</v>
      </c>
      <c r="F82" s="261">
        <v>1000</v>
      </c>
      <c r="G82" s="738" t="b">
        <f t="shared" si="13"/>
        <v>1</v>
      </c>
      <c r="I82" s="224" t="s">
        <v>107</v>
      </c>
      <c r="J82" s="224" t="s">
        <v>99</v>
      </c>
      <c r="K82" s="45" t="s">
        <v>179</v>
      </c>
      <c r="L82" s="44">
        <v>2030</v>
      </c>
      <c r="M82" s="261">
        <v>500</v>
      </c>
      <c r="N82" s="261">
        <v>500</v>
      </c>
      <c r="P82" s="37" t="s">
        <v>477</v>
      </c>
      <c r="S82" s="215">
        <v>1500</v>
      </c>
      <c r="T82" s="215">
        <v>-1500</v>
      </c>
      <c r="V82" s="224" t="s">
        <v>178</v>
      </c>
      <c r="W82" s="224" t="s">
        <v>185</v>
      </c>
      <c r="X82" s="184">
        <v>1000</v>
      </c>
      <c r="Y82" s="184">
        <v>1000</v>
      </c>
      <c r="Z82" s="70">
        <f t="shared" si="14"/>
        <v>0</v>
      </c>
      <c r="AA82" s="70">
        <f t="shared" si="15"/>
        <v>0</v>
      </c>
    </row>
    <row r="83" spans="1:27">
      <c r="A83" s="238" t="s">
        <v>107</v>
      </c>
      <c r="B83" s="224" t="s">
        <v>114</v>
      </c>
      <c r="C83" s="45" t="s">
        <v>179</v>
      </c>
      <c r="D83" s="44">
        <v>2030</v>
      </c>
      <c r="E83" s="261">
        <v>1000</v>
      </c>
      <c r="F83" s="261">
        <v>1000</v>
      </c>
      <c r="G83" s="738" t="b">
        <f t="shared" si="13"/>
        <v>1</v>
      </c>
      <c r="I83" s="233" t="s">
        <v>107</v>
      </c>
      <c r="J83" s="233" t="s">
        <v>99</v>
      </c>
      <c r="K83" s="234" t="s">
        <v>181</v>
      </c>
      <c r="L83" s="291">
        <v>2030</v>
      </c>
      <c r="M83" s="545">
        <v>500</v>
      </c>
      <c r="N83" s="545">
        <v>500</v>
      </c>
      <c r="P83" s="274" t="s">
        <v>466</v>
      </c>
      <c r="Q83" s="274"/>
      <c r="R83" s="274"/>
      <c r="S83" s="319">
        <v>1000</v>
      </c>
      <c r="T83" s="319">
        <v>-1000</v>
      </c>
      <c r="V83" s="224" t="s">
        <v>178</v>
      </c>
      <c r="W83" s="37" t="s">
        <v>186</v>
      </c>
      <c r="X83" s="184">
        <v>615</v>
      </c>
      <c r="Y83" s="184">
        <v>615</v>
      </c>
      <c r="Z83" s="70">
        <f t="shared" si="14"/>
        <v>1400</v>
      </c>
      <c r="AA83" s="70">
        <f t="shared" si="15"/>
        <v>-1400</v>
      </c>
    </row>
    <row r="84" spans="1:27">
      <c r="A84" s="240" t="s">
        <v>107</v>
      </c>
      <c r="B84" s="241" t="s">
        <v>114</v>
      </c>
      <c r="C84" s="242" t="s">
        <v>181</v>
      </c>
      <c r="D84" s="289">
        <v>2040</v>
      </c>
      <c r="E84" s="279">
        <v>1000</v>
      </c>
      <c r="F84" s="279">
        <v>1000</v>
      </c>
      <c r="G84" s="738" t="b">
        <f t="shared" si="13"/>
        <v>1</v>
      </c>
      <c r="I84" s="236" t="s">
        <v>109</v>
      </c>
      <c r="J84" s="236" t="s">
        <v>110</v>
      </c>
      <c r="K84" s="237" t="s">
        <v>183</v>
      </c>
      <c r="L84" s="288">
        <v>2035</v>
      </c>
      <c r="M84" s="278">
        <v>1250</v>
      </c>
      <c r="N84" s="278">
        <v>1250</v>
      </c>
      <c r="P84" s="275" t="s">
        <v>474</v>
      </c>
      <c r="Q84" s="275"/>
      <c r="R84" s="275"/>
      <c r="S84" s="543">
        <v>335</v>
      </c>
      <c r="T84" s="543">
        <v>-335</v>
      </c>
      <c r="V84" s="224" t="s">
        <v>178</v>
      </c>
      <c r="W84" s="224" t="s">
        <v>200</v>
      </c>
      <c r="X84" s="184">
        <v>600</v>
      </c>
      <c r="Y84" s="184">
        <v>585</v>
      </c>
      <c r="Z84" s="70">
        <f t="shared" si="14"/>
        <v>900</v>
      </c>
      <c r="AA84" s="70">
        <f t="shared" si="15"/>
        <v>-915</v>
      </c>
    </row>
    <row r="85" spans="1:27">
      <c r="A85" s="238" t="s">
        <v>107</v>
      </c>
      <c r="B85" s="224" t="s">
        <v>115</v>
      </c>
      <c r="C85" s="45" t="s">
        <v>183</v>
      </c>
      <c r="D85" s="44">
        <v>2040</v>
      </c>
      <c r="E85" s="261">
        <v>1000</v>
      </c>
      <c r="F85" s="261">
        <v>1000</v>
      </c>
      <c r="G85" s="738" t="b">
        <f t="shared" si="13"/>
        <v>1</v>
      </c>
      <c r="I85" s="224" t="s">
        <v>109</v>
      </c>
      <c r="J85" s="224" t="s">
        <v>112</v>
      </c>
      <c r="K85" s="45" t="s">
        <v>183</v>
      </c>
      <c r="L85" s="44">
        <v>2030</v>
      </c>
      <c r="M85" s="363">
        <v>1500</v>
      </c>
      <c r="N85" s="363">
        <v>1500</v>
      </c>
      <c r="P85" s="275" t="s">
        <v>467</v>
      </c>
      <c r="Q85" s="275"/>
      <c r="R85" s="275"/>
      <c r="S85" s="543">
        <v>1000</v>
      </c>
      <c r="T85" s="543">
        <v>-1000</v>
      </c>
      <c r="V85" s="224" t="s">
        <v>178</v>
      </c>
      <c r="W85" s="37" t="s">
        <v>189</v>
      </c>
      <c r="X85" s="184">
        <v>3500</v>
      </c>
      <c r="Y85" s="184">
        <v>3500</v>
      </c>
      <c r="Z85" s="70">
        <f t="shared" si="14"/>
        <v>0</v>
      </c>
      <c r="AA85" s="70">
        <f t="shared" si="15"/>
        <v>0</v>
      </c>
    </row>
    <row r="86" spans="1:27">
      <c r="A86" s="238" t="s">
        <v>107</v>
      </c>
      <c r="B86" s="224" t="s">
        <v>115</v>
      </c>
      <c r="C86" s="45" t="s">
        <v>179</v>
      </c>
      <c r="D86" s="44">
        <v>2030</v>
      </c>
      <c r="E86" s="261">
        <v>1000</v>
      </c>
      <c r="F86" s="261">
        <v>1000</v>
      </c>
      <c r="G86" s="738" t="b">
        <f t="shared" si="13"/>
        <v>1</v>
      </c>
      <c r="I86" s="224" t="s">
        <v>109</v>
      </c>
      <c r="J86" s="224" t="s">
        <v>112</v>
      </c>
      <c r="K86" s="45" t="s">
        <v>198</v>
      </c>
      <c r="L86" s="44">
        <v>2030</v>
      </c>
      <c r="M86" s="363">
        <v>1500</v>
      </c>
      <c r="N86" s="363">
        <v>1500</v>
      </c>
      <c r="P86" s="37" t="s">
        <v>483</v>
      </c>
      <c r="S86" s="215">
        <v>2000</v>
      </c>
      <c r="T86" s="215">
        <v>-1354</v>
      </c>
      <c r="U86" s="733"/>
      <c r="V86" s="229" t="s">
        <v>178</v>
      </c>
      <c r="W86" s="229" t="s">
        <v>191</v>
      </c>
      <c r="X86" s="272">
        <v>1400</v>
      </c>
      <c r="Y86" s="272">
        <v>1400</v>
      </c>
      <c r="Z86" s="70">
        <f t="shared" si="14"/>
        <v>0</v>
      </c>
      <c r="AA86" s="70">
        <f t="shared" si="15"/>
        <v>0</v>
      </c>
    </row>
    <row r="87" spans="1:27">
      <c r="A87" s="240" t="s">
        <v>107</v>
      </c>
      <c r="B87" s="241" t="s">
        <v>115</v>
      </c>
      <c r="C87" s="242" t="s">
        <v>181</v>
      </c>
      <c r="D87" s="289">
        <v>2040</v>
      </c>
      <c r="E87" s="279">
        <v>1000</v>
      </c>
      <c r="F87" s="279">
        <v>1000</v>
      </c>
      <c r="G87" s="738" t="b">
        <f t="shared" si="13"/>
        <v>1</v>
      </c>
      <c r="I87" s="233" t="s">
        <v>109</v>
      </c>
      <c r="J87" s="233" t="s">
        <v>115</v>
      </c>
      <c r="K87" s="234" t="s">
        <v>183</v>
      </c>
      <c r="L87" s="291">
        <v>2030</v>
      </c>
      <c r="M87" s="545">
        <v>1000</v>
      </c>
      <c r="N87" s="545">
        <v>1000</v>
      </c>
      <c r="P87" s="37" t="s">
        <v>472</v>
      </c>
      <c r="S87" s="215">
        <v>394</v>
      </c>
      <c r="T87" s="215">
        <v>-394</v>
      </c>
      <c r="V87" s="224" t="s">
        <v>180</v>
      </c>
      <c r="W87" s="224" t="s">
        <v>182</v>
      </c>
      <c r="X87" s="184">
        <v>4000</v>
      </c>
      <c r="Y87" s="184">
        <v>4000</v>
      </c>
      <c r="Z87" s="70">
        <f t="shared" si="14"/>
        <v>1600</v>
      </c>
      <c r="AA87" s="70">
        <f t="shared" si="15"/>
        <v>-1600</v>
      </c>
    </row>
    <row r="88" spans="1:27">
      <c r="A88" s="238" t="s">
        <v>107</v>
      </c>
      <c r="B88" s="224" t="s">
        <v>106</v>
      </c>
      <c r="C88" s="45" t="s">
        <v>183</v>
      </c>
      <c r="D88" s="44">
        <v>2035</v>
      </c>
      <c r="E88" s="261">
        <v>700</v>
      </c>
      <c r="F88" s="261">
        <v>700</v>
      </c>
      <c r="G88" s="738" t="b">
        <f t="shared" si="13"/>
        <v>1</v>
      </c>
      <c r="I88" s="224" t="s">
        <v>110</v>
      </c>
      <c r="J88" s="224" t="s">
        <v>114</v>
      </c>
      <c r="K88" s="45" t="s">
        <v>179</v>
      </c>
      <c r="L88" s="44">
        <v>2030</v>
      </c>
      <c r="M88" s="261">
        <v>1000</v>
      </c>
      <c r="N88" s="261">
        <v>1000</v>
      </c>
      <c r="P88" s="37" t="s">
        <v>473</v>
      </c>
      <c r="S88" s="215">
        <v>700</v>
      </c>
      <c r="T88" s="215">
        <v>-700</v>
      </c>
      <c r="V88" s="224" t="s">
        <v>180</v>
      </c>
      <c r="W88" s="224" t="s">
        <v>195</v>
      </c>
      <c r="X88" s="184">
        <v>2800</v>
      </c>
      <c r="Y88" s="184">
        <v>2800</v>
      </c>
      <c r="Z88" s="70">
        <f t="shared" si="14"/>
        <v>5200</v>
      </c>
      <c r="AA88" s="70">
        <f t="shared" si="15"/>
        <v>-5200</v>
      </c>
    </row>
    <row r="89" spans="1:27">
      <c r="A89" s="238" t="s">
        <v>107</v>
      </c>
      <c r="B89" s="224" t="s">
        <v>106</v>
      </c>
      <c r="C89" s="45" t="s">
        <v>179</v>
      </c>
      <c r="D89" s="44">
        <v>2040</v>
      </c>
      <c r="E89" s="261">
        <v>500</v>
      </c>
      <c r="F89" s="261">
        <v>500</v>
      </c>
      <c r="G89" s="738" t="b">
        <f t="shared" si="13"/>
        <v>1</v>
      </c>
      <c r="I89" s="241" t="s">
        <v>110</v>
      </c>
      <c r="J89" s="241" t="s">
        <v>114</v>
      </c>
      <c r="K89" s="242" t="s">
        <v>181</v>
      </c>
      <c r="L89" s="289">
        <v>2030</v>
      </c>
      <c r="M89" s="279">
        <v>1000</v>
      </c>
      <c r="N89" s="279">
        <v>1000</v>
      </c>
      <c r="P89" s="37" t="s">
        <v>478</v>
      </c>
      <c r="S89" s="215">
        <v>671</v>
      </c>
      <c r="T89" s="215">
        <v>-671</v>
      </c>
      <c r="V89" s="229" t="s">
        <v>180</v>
      </c>
      <c r="W89" s="229" t="s">
        <v>185</v>
      </c>
      <c r="X89" s="272">
        <v>650</v>
      </c>
      <c r="Y89" s="272">
        <v>1800</v>
      </c>
      <c r="Z89" s="70">
        <f t="shared" si="14"/>
        <v>4650</v>
      </c>
      <c r="AA89" s="70">
        <f t="shared" si="15"/>
        <v>-2000</v>
      </c>
    </row>
    <row r="90" spans="1:27">
      <c r="A90" s="238" t="s">
        <v>107</v>
      </c>
      <c r="B90" s="224" t="s">
        <v>106</v>
      </c>
      <c r="C90" s="45" t="s">
        <v>181</v>
      </c>
      <c r="D90" s="44">
        <v>2040</v>
      </c>
      <c r="E90" s="261">
        <v>500</v>
      </c>
      <c r="F90" s="261">
        <v>500</v>
      </c>
      <c r="G90" s="738" t="b">
        <f t="shared" si="13"/>
        <v>1</v>
      </c>
      <c r="I90" s="224" t="s">
        <v>110</v>
      </c>
      <c r="J90" s="224" t="s">
        <v>115</v>
      </c>
      <c r="K90" s="45" t="s">
        <v>183</v>
      </c>
      <c r="L90" s="44">
        <v>2035</v>
      </c>
      <c r="M90" s="261">
        <v>1400</v>
      </c>
      <c r="N90" s="261">
        <v>1400</v>
      </c>
      <c r="P90" s="37" t="s">
        <v>479</v>
      </c>
      <c r="S90" s="215">
        <v>800</v>
      </c>
      <c r="T90" s="215">
        <v>-800</v>
      </c>
      <c r="V90" s="224" t="s">
        <v>182</v>
      </c>
      <c r="W90" s="224" t="s">
        <v>184</v>
      </c>
      <c r="X90" s="184">
        <v>1000</v>
      </c>
      <c r="Y90" s="184">
        <v>1000</v>
      </c>
      <c r="Z90" s="70">
        <f t="shared" si="14"/>
        <v>0</v>
      </c>
      <c r="AA90" s="70">
        <f t="shared" si="15"/>
        <v>0</v>
      </c>
    </row>
    <row r="91" spans="1:27">
      <c r="A91" s="238" t="s">
        <v>107</v>
      </c>
      <c r="B91" s="224" t="s">
        <v>106</v>
      </c>
      <c r="C91" s="45" t="s">
        <v>190</v>
      </c>
      <c r="D91" s="44">
        <v>2040</v>
      </c>
      <c r="E91" s="261">
        <v>500</v>
      </c>
      <c r="F91" s="261">
        <v>500</v>
      </c>
      <c r="G91" s="738" t="b">
        <f t="shared" si="13"/>
        <v>1</v>
      </c>
      <c r="I91" s="244" t="s">
        <v>110</v>
      </c>
      <c r="J91" s="244" t="s">
        <v>101</v>
      </c>
      <c r="K91" s="245" t="s">
        <v>183</v>
      </c>
      <c r="L91" s="290">
        <v>2035</v>
      </c>
      <c r="M91" s="546">
        <v>1400</v>
      </c>
      <c r="N91" s="546">
        <v>1400</v>
      </c>
      <c r="P91" s="37" t="s">
        <v>480</v>
      </c>
      <c r="S91" s="215">
        <v>900</v>
      </c>
      <c r="T91" s="215">
        <v>-800</v>
      </c>
      <c r="U91" s="733"/>
      <c r="V91" s="224" t="s">
        <v>182</v>
      </c>
      <c r="W91" s="224" t="s">
        <v>185</v>
      </c>
      <c r="X91" s="184">
        <v>1000</v>
      </c>
      <c r="Y91" s="184">
        <v>1000</v>
      </c>
      <c r="Z91" s="70">
        <f t="shared" si="14"/>
        <v>0</v>
      </c>
      <c r="AA91" s="70">
        <f t="shared" si="15"/>
        <v>0</v>
      </c>
    </row>
    <row r="92" spans="1:27">
      <c r="A92" s="238" t="s">
        <v>107</v>
      </c>
      <c r="B92" s="224" t="s">
        <v>106</v>
      </c>
      <c r="C92" s="45" t="s">
        <v>192</v>
      </c>
      <c r="D92" s="44">
        <v>2040</v>
      </c>
      <c r="E92" s="261">
        <v>500</v>
      </c>
      <c r="F92" s="261">
        <v>500</v>
      </c>
      <c r="G92" s="738" t="b">
        <f t="shared" si="13"/>
        <v>1</v>
      </c>
      <c r="I92" s="236" t="s">
        <v>114</v>
      </c>
      <c r="J92" s="236" t="s">
        <v>115</v>
      </c>
      <c r="K92" s="237" t="s">
        <v>183</v>
      </c>
      <c r="L92" s="288">
        <v>2035</v>
      </c>
      <c r="M92" s="278">
        <v>1000</v>
      </c>
      <c r="N92" s="278">
        <v>1000</v>
      </c>
      <c r="P92" s="37" t="s">
        <v>481</v>
      </c>
      <c r="S92" s="215">
        <v>500</v>
      </c>
      <c r="T92" s="215">
        <v>-500</v>
      </c>
      <c r="V92" s="37" t="s">
        <v>197</v>
      </c>
      <c r="W92" s="37" t="s">
        <v>189</v>
      </c>
      <c r="X92" s="184">
        <v>1400</v>
      </c>
      <c r="Y92" s="184">
        <v>1400</v>
      </c>
      <c r="Z92" s="70">
        <f t="shared" si="14"/>
        <v>1400</v>
      </c>
      <c r="AA92" s="70">
        <f t="shared" si="15"/>
        <v>-1400</v>
      </c>
    </row>
    <row r="93" spans="1:27">
      <c r="A93" s="238" t="s">
        <v>107</v>
      </c>
      <c r="B93" s="224" t="s">
        <v>106</v>
      </c>
      <c r="C93" s="45" t="s">
        <v>193</v>
      </c>
      <c r="D93" s="44">
        <v>2040</v>
      </c>
      <c r="E93" s="261">
        <v>500</v>
      </c>
      <c r="F93" s="261">
        <v>500</v>
      </c>
      <c r="G93" s="738" t="b">
        <f t="shared" si="13"/>
        <v>1</v>
      </c>
      <c r="I93" s="224" t="s">
        <v>114</v>
      </c>
      <c r="J93" s="224" t="s">
        <v>115</v>
      </c>
      <c r="K93" s="45" t="s">
        <v>198</v>
      </c>
      <c r="L93" s="44">
        <v>2035</v>
      </c>
      <c r="M93" s="363">
        <v>1000</v>
      </c>
      <c r="N93" s="363">
        <v>1000</v>
      </c>
      <c r="P93" s="274" t="s">
        <v>482</v>
      </c>
      <c r="Q93" s="274"/>
      <c r="R93" s="274"/>
      <c r="S93" s="319">
        <v>600</v>
      </c>
      <c r="T93" s="319">
        <v>-600</v>
      </c>
      <c r="V93" s="229" t="s">
        <v>182</v>
      </c>
      <c r="W93" s="252" t="s">
        <v>191</v>
      </c>
      <c r="X93" s="272">
        <v>1400</v>
      </c>
      <c r="Y93" s="272">
        <v>1400</v>
      </c>
      <c r="Z93" s="70">
        <f t="shared" si="14"/>
        <v>0</v>
      </c>
      <c r="AA93" s="70">
        <f t="shared" si="15"/>
        <v>0</v>
      </c>
    </row>
    <row r="94" spans="1:27">
      <c r="A94" s="240" t="s">
        <v>107</v>
      </c>
      <c r="B94" s="241" t="s">
        <v>106</v>
      </c>
      <c r="C94" s="242" t="s">
        <v>194</v>
      </c>
      <c r="D94" s="289">
        <v>2040</v>
      </c>
      <c r="E94" s="279">
        <v>500</v>
      </c>
      <c r="F94" s="279">
        <v>500</v>
      </c>
      <c r="G94" s="738" t="b">
        <f t="shared" si="13"/>
        <v>1</v>
      </c>
      <c r="I94" s="224" t="s">
        <v>114</v>
      </c>
      <c r="J94" s="224" t="s">
        <v>115</v>
      </c>
      <c r="K94" s="45" t="s">
        <v>179</v>
      </c>
      <c r="L94" s="44">
        <v>2030</v>
      </c>
      <c r="M94" s="261">
        <v>1000</v>
      </c>
      <c r="N94" s="261">
        <v>1000</v>
      </c>
      <c r="P94" s="275" t="s">
        <v>475</v>
      </c>
      <c r="Q94" s="275"/>
      <c r="R94" s="275"/>
      <c r="S94" s="543">
        <v>687</v>
      </c>
      <c r="T94" s="543">
        <v>-687</v>
      </c>
      <c r="V94" s="224" t="s">
        <v>199</v>
      </c>
      <c r="W94" s="37" t="s">
        <v>186</v>
      </c>
      <c r="X94" s="184">
        <v>600</v>
      </c>
      <c r="Y94" s="184">
        <v>600</v>
      </c>
      <c r="Z94" s="70">
        <f t="shared" si="14"/>
        <v>0</v>
      </c>
      <c r="AA94" s="70">
        <f t="shared" si="15"/>
        <v>0</v>
      </c>
    </row>
    <row r="95" spans="1:27">
      <c r="A95" s="238" t="s">
        <v>107</v>
      </c>
      <c r="B95" s="224" t="s">
        <v>99</v>
      </c>
      <c r="C95" s="45" t="s">
        <v>179</v>
      </c>
      <c r="D95" s="44">
        <v>2030</v>
      </c>
      <c r="E95" s="261">
        <v>500</v>
      </c>
      <c r="F95" s="261">
        <v>500</v>
      </c>
      <c r="G95" s="738" t="b">
        <f t="shared" si="13"/>
        <v>1</v>
      </c>
      <c r="I95" s="233" t="s">
        <v>114</v>
      </c>
      <c r="J95" s="233" t="s">
        <v>115</v>
      </c>
      <c r="K95" s="234" t="s">
        <v>181</v>
      </c>
      <c r="L95" s="291">
        <v>2030</v>
      </c>
      <c r="M95" s="277">
        <v>1000</v>
      </c>
      <c r="N95" s="277">
        <v>1000</v>
      </c>
      <c r="S95" s="70">
        <f>SUM(S77:S94)</f>
        <v>15844</v>
      </c>
      <c r="T95" s="70">
        <f>SUM(T77:T94)</f>
        <v>-15098</v>
      </c>
      <c r="V95" s="229" t="s">
        <v>199</v>
      </c>
      <c r="W95" s="229" t="s">
        <v>201</v>
      </c>
      <c r="X95" s="272">
        <v>500</v>
      </c>
      <c r="Y95" s="272">
        <v>500</v>
      </c>
      <c r="Z95" s="70">
        <f t="shared" si="14"/>
        <v>200</v>
      </c>
      <c r="AA95" s="70">
        <f t="shared" si="15"/>
        <v>-200</v>
      </c>
    </row>
    <row r="96" spans="1:27">
      <c r="A96" s="238" t="s">
        <v>107</v>
      </c>
      <c r="B96" s="224" t="s">
        <v>99</v>
      </c>
      <c r="C96" s="45" t="s">
        <v>181</v>
      </c>
      <c r="D96" s="44">
        <v>2030</v>
      </c>
      <c r="E96" s="261">
        <v>500</v>
      </c>
      <c r="F96" s="261">
        <v>500</v>
      </c>
      <c r="G96" s="738" t="b">
        <f t="shared" si="13"/>
        <v>1</v>
      </c>
      <c r="I96" s="224" t="s">
        <v>104</v>
      </c>
      <c r="J96" s="224" t="s">
        <v>105</v>
      </c>
      <c r="K96" s="45" t="s">
        <v>183</v>
      </c>
      <c r="L96" s="44">
        <v>2035</v>
      </c>
      <c r="M96" s="363">
        <v>2000</v>
      </c>
      <c r="N96" s="363">
        <v>2000</v>
      </c>
      <c r="P96" s="45"/>
      <c r="V96" s="224" t="s">
        <v>184</v>
      </c>
      <c r="W96" s="224" t="s">
        <v>185</v>
      </c>
      <c r="X96" s="184">
        <v>2400</v>
      </c>
      <c r="Y96" s="184">
        <v>2400</v>
      </c>
      <c r="Z96" s="70">
        <f t="shared" si="14"/>
        <v>2000</v>
      </c>
      <c r="AA96" s="70">
        <f t="shared" si="15"/>
        <v>-2000</v>
      </c>
    </row>
    <row r="97" spans="1:27">
      <c r="A97" s="238" t="s">
        <v>107</v>
      </c>
      <c r="B97" s="224" t="s">
        <v>99</v>
      </c>
      <c r="C97" s="45" t="s">
        <v>190</v>
      </c>
      <c r="D97" s="44">
        <v>2040</v>
      </c>
      <c r="E97" s="261">
        <v>500</v>
      </c>
      <c r="F97" s="261">
        <v>500</v>
      </c>
      <c r="G97" s="738" t="b">
        <f t="shared" si="13"/>
        <v>1</v>
      </c>
      <c r="I97" s="224" t="s">
        <v>105</v>
      </c>
      <c r="J97" s="224" t="s">
        <v>101</v>
      </c>
      <c r="K97" s="45" t="s">
        <v>183</v>
      </c>
      <c r="L97" s="44">
        <v>2035</v>
      </c>
      <c r="M97" s="363">
        <v>700</v>
      </c>
      <c r="N97" s="363">
        <v>700</v>
      </c>
      <c r="P97" s="45"/>
      <c r="V97" s="224" t="s">
        <v>465</v>
      </c>
      <c r="W97" s="224" t="s">
        <v>203</v>
      </c>
      <c r="X97" s="184">
        <v>700</v>
      </c>
      <c r="Y97" s="184">
        <v>700</v>
      </c>
      <c r="Z97" s="70">
        <f t="shared" si="14"/>
        <v>0</v>
      </c>
      <c r="AA97" s="70">
        <f t="shared" si="15"/>
        <v>0</v>
      </c>
    </row>
    <row r="98" spans="1:27">
      <c r="A98" s="238" t="s">
        <v>107</v>
      </c>
      <c r="B98" s="224" t="s">
        <v>99</v>
      </c>
      <c r="C98" s="45" t="s">
        <v>192</v>
      </c>
      <c r="D98" s="44">
        <v>2040</v>
      </c>
      <c r="E98" s="261">
        <v>500</v>
      </c>
      <c r="F98" s="261">
        <v>500</v>
      </c>
      <c r="G98" s="738" t="b">
        <f t="shared" si="13"/>
        <v>1</v>
      </c>
      <c r="I98" s="224" t="s">
        <v>106</v>
      </c>
      <c r="J98" s="224" t="s">
        <v>99</v>
      </c>
      <c r="K98" s="45" t="s">
        <v>190</v>
      </c>
      <c r="L98" s="44">
        <v>2030</v>
      </c>
      <c r="M98" s="363">
        <v>500</v>
      </c>
      <c r="N98" s="363">
        <v>500</v>
      </c>
      <c r="P98" s="45"/>
      <c r="V98" s="229" t="s">
        <v>184</v>
      </c>
      <c r="W98" s="229" t="s">
        <v>191</v>
      </c>
      <c r="X98" s="272">
        <v>700</v>
      </c>
      <c r="Y98" s="272">
        <v>700</v>
      </c>
      <c r="Z98" s="70">
        <f t="shared" si="14"/>
        <v>0</v>
      </c>
      <c r="AA98" s="70">
        <f t="shared" si="15"/>
        <v>0</v>
      </c>
    </row>
    <row r="99" spans="1:27">
      <c r="A99" s="238" t="s">
        <v>107</v>
      </c>
      <c r="B99" s="224" t="s">
        <v>99</v>
      </c>
      <c r="C99" s="45" t="s">
        <v>193</v>
      </c>
      <c r="D99" s="44">
        <v>2040</v>
      </c>
      <c r="E99" s="261">
        <v>500</v>
      </c>
      <c r="F99" s="261">
        <v>500</v>
      </c>
      <c r="G99" s="738" t="b">
        <f t="shared" si="13"/>
        <v>1</v>
      </c>
      <c r="I99" s="224" t="s">
        <v>105</v>
      </c>
      <c r="J99" s="224" t="s">
        <v>101</v>
      </c>
      <c r="K99" s="45" t="s">
        <v>179</v>
      </c>
      <c r="L99" s="44">
        <v>2030</v>
      </c>
      <c r="M99" s="261">
        <v>500</v>
      </c>
      <c r="N99" s="261">
        <v>500</v>
      </c>
      <c r="P99" s="45"/>
      <c r="V99" s="224" t="s">
        <v>204</v>
      </c>
      <c r="W99" s="37" t="s">
        <v>205</v>
      </c>
      <c r="X99" s="184">
        <v>3300</v>
      </c>
      <c r="Y99" s="184">
        <v>3300</v>
      </c>
      <c r="Z99" s="70">
        <f t="shared" si="14"/>
        <v>0</v>
      </c>
      <c r="AA99" s="70">
        <f t="shared" si="15"/>
        <v>0</v>
      </c>
    </row>
    <row r="100" spans="1:27">
      <c r="A100" s="238" t="s">
        <v>107</v>
      </c>
      <c r="B100" s="224" t="s">
        <v>99</v>
      </c>
      <c r="C100" s="45" t="s">
        <v>194</v>
      </c>
      <c r="D100" s="44">
        <v>2040</v>
      </c>
      <c r="E100" s="261">
        <v>500</v>
      </c>
      <c r="F100" s="261">
        <v>500</v>
      </c>
      <c r="G100" s="738" t="b">
        <f t="shared" si="13"/>
        <v>1</v>
      </c>
      <c r="I100" s="224" t="s">
        <v>105</v>
      </c>
      <c r="J100" s="224" t="s">
        <v>101</v>
      </c>
      <c r="K100" s="45" t="s">
        <v>181</v>
      </c>
      <c r="L100" s="44">
        <v>2030</v>
      </c>
      <c r="M100" s="261">
        <v>500</v>
      </c>
      <c r="N100" s="261">
        <v>500</v>
      </c>
      <c r="P100" s="45"/>
      <c r="V100" s="224" t="s">
        <v>206</v>
      </c>
      <c r="W100" s="37" t="s">
        <v>207</v>
      </c>
      <c r="X100" s="184">
        <v>8100</v>
      </c>
      <c r="Y100" s="184">
        <v>8100</v>
      </c>
      <c r="Z100" s="70">
        <f t="shared" si="14"/>
        <v>1200</v>
      </c>
      <c r="AA100" s="70">
        <f t="shared" si="15"/>
        <v>-1200</v>
      </c>
    </row>
    <row r="101" spans="1:27">
      <c r="A101" s="240" t="s">
        <v>107</v>
      </c>
      <c r="B101" s="241" t="s">
        <v>101</v>
      </c>
      <c r="C101" s="242" t="s">
        <v>179</v>
      </c>
      <c r="D101" s="289">
        <v>2040</v>
      </c>
      <c r="E101" s="279">
        <v>2000</v>
      </c>
      <c r="F101" s="279">
        <v>2000</v>
      </c>
      <c r="G101" s="738" t="b">
        <f t="shared" si="13"/>
        <v>1</v>
      </c>
      <c r="I101" s="224" t="s">
        <v>105</v>
      </c>
      <c r="J101" s="224" t="s">
        <v>101</v>
      </c>
      <c r="K101" s="45" t="s">
        <v>190</v>
      </c>
      <c r="L101" s="44">
        <v>2030</v>
      </c>
      <c r="M101" s="261">
        <v>500</v>
      </c>
      <c r="N101" s="261">
        <v>500</v>
      </c>
      <c r="P101" s="45"/>
      <c r="V101" s="224" t="s">
        <v>208</v>
      </c>
      <c r="W101" s="37" t="s">
        <v>186</v>
      </c>
      <c r="X101" s="215">
        <v>7200</v>
      </c>
      <c r="Y101" s="215">
        <v>3600</v>
      </c>
      <c r="Z101" s="306">
        <f t="shared" si="14"/>
        <v>-1000</v>
      </c>
      <c r="AA101" s="306">
        <f t="shared" si="15"/>
        <v>800</v>
      </c>
    </row>
    <row r="102" spans="1:27">
      <c r="A102" s="238" t="s">
        <v>107</v>
      </c>
      <c r="B102" s="224" t="s">
        <v>120</v>
      </c>
      <c r="C102" s="45" t="s">
        <v>179</v>
      </c>
      <c r="D102" s="44">
        <v>2040</v>
      </c>
      <c r="E102" s="261">
        <v>1000</v>
      </c>
      <c r="F102" s="261">
        <v>1000</v>
      </c>
      <c r="G102" s="738" t="b">
        <f t="shared" si="13"/>
        <v>1</v>
      </c>
      <c r="I102" s="224" t="s">
        <v>105</v>
      </c>
      <c r="J102" s="224" t="s">
        <v>101</v>
      </c>
      <c r="K102" s="45" t="s">
        <v>192</v>
      </c>
      <c r="L102" s="44">
        <v>2030</v>
      </c>
      <c r="M102" s="261">
        <v>500</v>
      </c>
      <c r="N102" s="261">
        <v>500</v>
      </c>
      <c r="P102" s="45"/>
      <c r="V102" s="37" t="s">
        <v>186</v>
      </c>
      <c r="W102" s="224" t="s">
        <v>200</v>
      </c>
      <c r="X102" s="184">
        <v>1300</v>
      </c>
      <c r="Y102" s="184">
        <v>1700</v>
      </c>
      <c r="Z102" s="70">
        <f t="shared" si="14"/>
        <v>500</v>
      </c>
      <c r="AA102" s="70">
        <f t="shared" si="15"/>
        <v>-500</v>
      </c>
    </row>
    <row r="103" spans="1:27">
      <c r="A103" s="239" t="s">
        <v>107</v>
      </c>
      <c r="B103" s="233" t="s">
        <v>120</v>
      </c>
      <c r="C103" s="234" t="s">
        <v>181</v>
      </c>
      <c r="D103" s="291">
        <v>2040</v>
      </c>
      <c r="E103" s="277">
        <v>1000</v>
      </c>
      <c r="F103" s="277">
        <v>1000</v>
      </c>
      <c r="G103" s="738" t="b">
        <f t="shared" si="13"/>
        <v>1</v>
      </c>
      <c r="I103" s="224" t="s">
        <v>105</v>
      </c>
      <c r="J103" s="224" t="s">
        <v>101</v>
      </c>
      <c r="K103" s="45" t="s">
        <v>193</v>
      </c>
      <c r="L103" s="44">
        <v>2035</v>
      </c>
      <c r="M103" s="261">
        <v>500</v>
      </c>
      <c r="N103" s="261">
        <v>500</v>
      </c>
      <c r="P103" s="45"/>
      <c r="V103" s="37" t="s">
        <v>207</v>
      </c>
      <c r="W103" s="224" t="s">
        <v>203</v>
      </c>
      <c r="X103" s="184">
        <v>680</v>
      </c>
      <c r="Y103" s="184">
        <v>740</v>
      </c>
      <c r="Z103" s="70">
        <f t="shared" si="14"/>
        <v>735</v>
      </c>
      <c r="AA103" s="70">
        <f t="shared" si="15"/>
        <v>-675</v>
      </c>
    </row>
    <row r="104" spans="1:27">
      <c r="A104" s="235" t="s">
        <v>109</v>
      </c>
      <c r="B104" s="236" t="s">
        <v>110</v>
      </c>
      <c r="C104" s="237" t="s">
        <v>183</v>
      </c>
      <c r="D104" s="288">
        <v>2035</v>
      </c>
      <c r="E104" s="278">
        <v>1250</v>
      </c>
      <c r="F104" s="278">
        <v>1250</v>
      </c>
      <c r="G104" s="738" t="b">
        <f t="shared" si="13"/>
        <v>1</v>
      </c>
      <c r="I104" s="241" t="s">
        <v>105</v>
      </c>
      <c r="J104" s="241" t="s">
        <v>101</v>
      </c>
      <c r="K104" s="242" t="s">
        <v>194</v>
      </c>
      <c r="L104" s="289">
        <v>2035</v>
      </c>
      <c r="M104" s="279">
        <v>500</v>
      </c>
      <c r="N104" s="279">
        <v>500</v>
      </c>
      <c r="P104" s="45"/>
      <c r="V104" s="37" t="s">
        <v>209</v>
      </c>
      <c r="W104" s="224" t="s">
        <v>210</v>
      </c>
      <c r="X104" s="184">
        <v>2000</v>
      </c>
      <c r="Y104" s="184">
        <v>2000</v>
      </c>
      <c r="Z104" s="70">
        <f t="shared" si="14"/>
        <v>2500</v>
      </c>
      <c r="AA104" s="70">
        <f t="shared" si="15"/>
        <v>-2400</v>
      </c>
    </row>
    <row r="105" spans="1:27">
      <c r="A105" s="238" t="s">
        <v>109</v>
      </c>
      <c r="B105" s="224" t="s">
        <v>110</v>
      </c>
      <c r="C105" s="45" t="s">
        <v>179</v>
      </c>
      <c r="D105" s="44">
        <v>2040</v>
      </c>
      <c r="E105" s="261">
        <v>1300</v>
      </c>
      <c r="F105" s="261">
        <v>1300</v>
      </c>
      <c r="G105" s="738" t="b">
        <f t="shared" si="13"/>
        <v>1</v>
      </c>
      <c r="I105" s="224" t="s">
        <v>103</v>
      </c>
      <c r="J105" s="224" t="s">
        <v>117</v>
      </c>
      <c r="K105" s="45" t="s">
        <v>183</v>
      </c>
      <c r="L105" s="44">
        <v>2035</v>
      </c>
      <c r="M105" s="363">
        <v>800</v>
      </c>
      <c r="N105" s="363">
        <v>800</v>
      </c>
      <c r="P105" s="45"/>
      <c r="V105" s="37" t="s">
        <v>207</v>
      </c>
      <c r="W105" s="224" t="s">
        <v>210</v>
      </c>
      <c r="X105" s="184">
        <v>700</v>
      </c>
      <c r="Y105" s="184">
        <v>1200</v>
      </c>
      <c r="Z105" s="70">
        <f t="shared" si="14"/>
        <v>1000</v>
      </c>
      <c r="AA105" s="70">
        <f t="shared" si="15"/>
        <v>-500</v>
      </c>
    </row>
    <row r="106" spans="1:27">
      <c r="A106" s="240" t="s">
        <v>109</v>
      </c>
      <c r="B106" s="241" t="s">
        <v>110</v>
      </c>
      <c r="C106" s="242" t="s">
        <v>181</v>
      </c>
      <c r="D106" s="289">
        <v>2040</v>
      </c>
      <c r="E106" s="279">
        <v>1300</v>
      </c>
      <c r="F106" s="279">
        <v>1300</v>
      </c>
      <c r="G106" s="738" t="b">
        <f t="shared" si="13"/>
        <v>1</v>
      </c>
      <c r="I106" s="224" t="s">
        <v>103</v>
      </c>
      <c r="J106" s="224" t="s">
        <v>117</v>
      </c>
      <c r="K106" s="45" t="s">
        <v>198</v>
      </c>
      <c r="L106" s="44">
        <v>2030</v>
      </c>
      <c r="M106" s="363">
        <v>900</v>
      </c>
      <c r="N106" s="363">
        <v>800</v>
      </c>
      <c r="O106" s="733"/>
      <c r="P106" s="45"/>
      <c r="V106" s="37" t="s">
        <v>209</v>
      </c>
      <c r="W106" s="224" t="s">
        <v>212</v>
      </c>
      <c r="X106" s="184">
        <v>600</v>
      </c>
      <c r="Y106" s="184">
        <v>700</v>
      </c>
      <c r="Z106" s="70">
        <f t="shared" si="14"/>
        <v>0</v>
      </c>
      <c r="AA106" s="70">
        <f t="shared" si="15"/>
        <v>0</v>
      </c>
    </row>
    <row r="107" spans="1:27">
      <c r="A107" s="238" t="s">
        <v>109</v>
      </c>
      <c r="B107" s="224" t="s">
        <v>112</v>
      </c>
      <c r="C107" s="45" t="s">
        <v>183</v>
      </c>
      <c r="D107" s="44">
        <v>2030</v>
      </c>
      <c r="E107" s="261">
        <v>1500</v>
      </c>
      <c r="F107" s="261">
        <v>1500</v>
      </c>
      <c r="G107" s="738" t="b">
        <f t="shared" si="13"/>
        <v>1</v>
      </c>
      <c r="I107" s="224" t="s">
        <v>103</v>
      </c>
      <c r="J107" s="224" t="s">
        <v>117</v>
      </c>
      <c r="K107" s="45" t="s">
        <v>179</v>
      </c>
      <c r="L107" s="44">
        <v>2030</v>
      </c>
      <c r="M107" s="363">
        <v>800</v>
      </c>
      <c r="N107" s="363">
        <v>800</v>
      </c>
      <c r="P107" s="45"/>
      <c r="V107" s="37" t="s">
        <v>205</v>
      </c>
      <c r="W107" s="224" t="s">
        <v>212</v>
      </c>
      <c r="X107" s="184">
        <v>300</v>
      </c>
      <c r="Y107" s="184">
        <v>250</v>
      </c>
      <c r="Z107" s="70">
        <f t="shared" si="14"/>
        <v>0</v>
      </c>
      <c r="AA107" s="70">
        <f t="shared" si="15"/>
        <v>0</v>
      </c>
    </row>
    <row r="108" spans="1:27">
      <c r="A108" s="238" t="s">
        <v>109</v>
      </c>
      <c r="B108" s="224" t="s">
        <v>112</v>
      </c>
      <c r="C108" s="45" t="s">
        <v>198</v>
      </c>
      <c r="D108" s="44">
        <v>2030</v>
      </c>
      <c r="E108" s="261">
        <v>1500</v>
      </c>
      <c r="F108" s="261">
        <v>1500</v>
      </c>
      <c r="G108" s="738" t="b">
        <f t="shared" si="13"/>
        <v>1</v>
      </c>
      <c r="I108" s="224" t="s">
        <v>104</v>
      </c>
      <c r="J108" s="224" t="s">
        <v>117</v>
      </c>
      <c r="K108" s="45" t="s">
        <v>179</v>
      </c>
      <c r="L108" s="44">
        <v>2030</v>
      </c>
      <c r="M108" s="261">
        <v>500</v>
      </c>
      <c r="N108" s="261">
        <v>500</v>
      </c>
      <c r="P108" s="45"/>
      <c r="V108" s="37" t="s">
        <v>205</v>
      </c>
      <c r="W108" s="224" t="s">
        <v>211</v>
      </c>
      <c r="X108" s="184">
        <v>1000</v>
      </c>
      <c r="Y108" s="184">
        <v>600</v>
      </c>
      <c r="Z108" s="70">
        <f t="shared" si="14"/>
        <v>0</v>
      </c>
      <c r="AA108" s="70">
        <f t="shared" si="15"/>
        <v>0</v>
      </c>
    </row>
    <row r="109" spans="1:27">
      <c r="A109" s="238" t="s">
        <v>109</v>
      </c>
      <c r="B109" s="224" t="s">
        <v>112</v>
      </c>
      <c r="C109" s="45" t="s">
        <v>179</v>
      </c>
      <c r="D109" s="44">
        <v>2040</v>
      </c>
      <c r="E109" s="261">
        <v>1500</v>
      </c>
      <c r="F109" s="261">
        <v>1500</v>
      </c>
      <c r="G109" s="738" t="b">
        <f t="shared" si="13"/>
        <v>1</v>
      </c>
      <c r="I109" s="224" t="s">
        <v>105</v>
      </c>
      <c r="J109" s="224" t="s">
        <v>117</v>
      </c>
      <c r="K109" s="45" t="s">
        <v>179</v>
      </c>
      <c r="L109" s="44">
        <v>2030</v>
      </c>
      <c r="M109" s="363">
        <v>500</v>
      </c>
      <c r="N109" s="363">
        <v>500</v>
      </c>
      <c r="P109" s="45"/>
      <c r="V109" s="37" t="s">
        <v>207</v>
      </c>
      <c r="W109" s="224" t="s">
        <v>191</v>
      </c>
      <c r="X109" s="184">
        <v>2095</v>
      </c>
      <c r="Y109" s="184">
        <v>2145</v>
      </c>
      <c r="Z109" s="70">
        <f t="shared" si="14"/>
        <v>0</v>
      </c>
      <c r="AA109" s="70">
        <f t="shared" si="15"/>
        <v>0</v>
      </c>
    </row>
    <row r="110" spans="1:27">
      <c r="A110" s="240" t="s">
        <v>109</v>
      </c>
      <c r="B110" s="241" t="s">
        <v>112</v>
      </c>
      <c r="C110" s="242" t="s">
        <v>181</v>
      </c>
      <c r="D110" s="289">
        <v>2040</v>
      </c>
      <c r="E110" s="279">
        <v>1500</v>
      </c>
      <c r="F110" s="279">
        <v>1500</v>
      </c>
      <c r="G110" s="738" t="b">
        <f t="shared" si="13"/>
        <v>1</v>
      </c>
      <c r="I110" s="224" t="s">
        <v>106</v>
      </c>
      <c r="J110" s="224" t="s">
        <v>121</v>
      </c>
      <c r="K110" s="45" t="s">
        <v>183</v>
      </c>
      <c r="L110" s="44">
        <v>2030</v>
      </c>
      <c r="M110" s="363">
        <v>600</v>
      </c>
      <c r="N110" s="363">
        <v>600</v>
      </c>
      <c r="P110" s="45"/>
      <c r="V110" s="225" t="s">
        <v>186</v>
      </c>
      <c r="W110" s="229" t="s">
        <v>201</v>
      </c>
      <c r="X110" s="272">
        <v>700</v>
      </c>
      <c r="Y110" s="272">
        <v>700</v>
      </c>
      <c r="Z110" s="70">
        <f t="shared" si="14"/>
        <v>600</v>
      </c>
      <c r="AA110" s="70">
        <f t="shared" si="15"/>
        <v>-600</v>
      </c>
    </row>
    <row r="111" spans="1:27">
      <c r="A111" s="238" t="s">
        <v>109</v>
      </c>
      <c r="B111" s="224" t="s">
        <v>115</v>
      </c>
      <c r="C111" s="45" t="s">
        <v>183</v>
      </c>
      <c r="D111" s="44">
        <v>2030</v>
      </c>
      <c r="E111" s="261">
        <v>1000</v>
      </c>
      <c r="F111" s="261">
        <v>1000</v>
      </c>
      <c r="G111" s="738" t="b">
        <f t="shared" si="13"/>
        <v>1</v>
      </c>
      <c r="I111" s="233" t="s">
        <v>105</v>
      </c>
      <c r="J111" s="233" t="s">
        <v>122</v>
      </c>
      <c r="K111" s="234" t="s">
        <v>183</v>
      </c>
      <c r="L111" s="291">
        <v>2035</v>
      </c>
      <c r="M111" s="277">
        <v>500</v>
      </c>
      <c r="N111" s="277">
        <v>500</v>
      </c>
      <c r="P111" s="45"/>
      <c r="V111" s="224" t="s">
        <v>200</v>
      </c>
      <c r="W111" s="37" t="s">
        <v>189</v>
      </c>
      <c r="X111" s="184">
        <v>600</v>
      </c>
      <c r="Y111" s="184">
        <v>590</v>
      </c>
      <c r="Z111" s="70">
        <f t="shared" si="14"/>
        <v>0</v>
      </c>
      <c r="AA111" s="70">
        <f t="shared" si="15"/>
        <v>0</v>
      </c>
    </row>
    <row r="112" spans="1:27">
      <c r="A112" s="238" t="s">
        <v>109</v>
      </c>
      <c r="B112" s="224" t="s">
        <v>115</v>
      </c>
      <c r="C112" s="45" t="s">
        <v>179</v>
      </c>
      <c r="D112" s="44">
        <v>2040</v>
      </c>
      <c r="E112" s="261">
        <v>1000</v>
      </c>
      <c r="F112" s="261">
        <v>1000</v>
      </c>
      <c r="G112" s="738" t="b">
        <f t="shared" si="13"/>
        <v>1</v>
      </c>
      <c r="I112" s="248" t="s">
        <v>99</v>
      </c>
      <c r="J112" s="248" t="s">
        <v>101</v>
      </c>
      <c r="K112" s="249" t="s">
        <v>179</v>
      </c>
      <c r="L112" s="292">
        <v>2030</v>
      </c>
      <c r="M112" s="276">
        <v>600</v>
      </c>
      <c r="N112" s="276">
        <v>600</v>
      </c>
      <c r="P112" s="45"/>
      <c r="V112" s="229" t="s">
        <v>203</v>
      </c>
      <c r="W112" s="229" t="s">
        <v>191</v>
      </c>
      <c r="X112" s="272">
        <v>1640</v>
      </c>
      <c r="Y112" s="272">
        <v>1640</v>
      </c>
      <c r="Z112" s="70">
        <f t="shared" si="14"/>
        <v>-8</v>
      </c>
      <c r="AA112" s="70">
        <f t="shared" si="15"/>
        <v>8</v>
      </c>
    </row>
    <row r="113" spans="1:27">
      <c r="A113" s="239" t="s">
        <v>109</v>
      </c>
      <c r="B113" s="233" t="s">
        <v>115</v>
      </c>
      <c r="C113" s="234" t="s">
        <v>181</v>
      </c>
      <c r="D113" s="291">
        <v>2040</v>
      </c>
      <c r="E113" s="277">
        <v>1000</v>
      </c>
      <c r="F113" s="277">
        <v>1000</v>
      </c>
      <c r="G113" s="738" t="b">
        <f t="shared" si="13"/>
        <v>1</v>
      </c>
      <c r="I113" s="236" t="s">
        <v>117</v>
      </c>
      <c r="J113" s="236" t="s">
        <v>123</v>
      </c>
      <c r="K113" s="237" t="s">
        <v>183</v>
      </c>
      <c r="L113" s="288">
        <v>2035</v>
      </c>
      <c r="M113" s="547">
        <v>700</v>
      </c>
      <c r="N113" s="547">
        <v>700</v>
      </c>
      <c r="P113" s="45"/>
      <c r="V113" s="229" t="s">
        <v>210</v>
      </c>
      <c r="W113" s="229" t="s">
        <v>214</v>
      </c>
      <c r="X113" s="273">
        <v>1000</v>
      </c>
      <c r="Y113" s="273">
        <v>1016</v>
      </c>
      <c r="Z113" s="70">
        <f t="shared" si="14"/>
        <v>716</v>
      </c>
      <c r="AA113" s="70">
        <f t="shared" si="15"/>
        <v>-700</v>
      </c>
    </row>
    <row r="114" spans="1:27">
      <c r="A114" s="238" t="s">
        <v>110</v>
      </c>
      <c r="B114" s="224" t="s">
        <v>114</v>
      </c>
      <c r="C114" s="45" t="s">
        <v>179</v>
      </c>
      <c r="D114" s="44">
        <v>2030</v>
      </c>
      <c r="E114" s="261">
        <v>1000</v>
      </c>
      <c r="F114" s="261">
        <v>1000</v>
      </c>
      <c r="G114" s="738" t="b">
        <f t="shared" si="13"/>
        <v>1</v>
      </c>
      <c r="I114" s="224" t="s">
        <v>117</v>
      </c>
      <c r="J114" s="224" t="s">
        <v>123</v>
      </c>
      <c r="K114" s="45" t="s">
        <v>179</v>
      </c>
      <c r="L114" s="44">
        <v>2030</v>
      </c>
      <c r="M114" s="261">
        <v>700</v>
      </c>
      <c r="N114" s="261">
        <v>700</v>
      </c>
      <c r="P114" s="45"/>
      <c r="V114" s="224" t="s">
        <v>211</v>
      </c>
      <c r="W114" s="37" t="s">
        <v>213</v>
      </c>
      <c r="X114" s="215">
        <v>1300</v>
      </c>
      <c r="Y114" s="184">
        <v>1300</v>
      </c>
      <c r="Z114" s="306">
        <f t="shared" si="14"/>
        <v>-950</v>
      </c>
      <c r="AA114" s="70">
        <f t="shared" si="15"/>
        <v>0</v>
      </c>
    </row>
    <row r="115" spans="1:27">
      <c r="A115" s="240" t="s">
        <v>110</v>
      </c>
      <c r="B115" s="241" t="s">
        <v>114</v>
      </c>
      <c r="C115" s="242" t="s">
        <v>181</v>
      </c>
      <c r="D115" s="289">
        <v>2030</v>
      </c>
      <c r="E115" s="279">
        <v>1000</v>
      </c>
      <c r="F115" s="279">
        <v>1000</v>
      </c>
      <c r="G115" s="738" t="b">
        <f t="shared" si="13"/>
        <v>1</v>
      </c>
      <c r="I115" s="236" t="s">
        <v>121</v>
      </c>
      <c r="J115" s="236" t="s">
        <v>122</v>
      </c>
      <c r="K115" s="237" t="s">
        <v>179</v>
      </c>
      <c r="L115" s="288">
        <v>2030</v>
      </c>
      <c r="M115" s="278">
        <v>500</v>
      </c>
      <c r="N115" s="278">
        <v>500</v>
      </c>
      <c r="P115" s="45"/>
      <c r="V115" s="229" t="s">
        <v>211</v>
      </c>
      <c r="W115" s="229" t="s">
        <v>191</v>
      </c>
      <c r="X115" s="554">
        <v>1400</v>
      </c>
      <c r="Y115" s="554">
        <v>1400</v>
      </c>
      <c r="Z115" s="306">
        <f t="shared" si="14"/>
        <v>-600</v>
      </c>
      <c r="AA115" s="306">
        <f t="shared" si="15"/>
        <v>800</v>
      </c>
    </row>
    <row r="116" spans="1:27">
      <c r="A116" s="238" t="s">
        <v>110</v>
      </c>
      <c r="B116" s="224" t="s">
        <v>115</v>
      </c>
      <c r="C116" s="45" t="s">
        <v>183</v>
      </c>
      <c r="D116" s="44">
        <v>2035</v>
      </c>
      <c r="E116" s="261">
        <v>1400</v>
      </c>
      <c r="F116" s="261">
        <v>1400</v>
      </c>
      <c r="G116" s="738" t="b">
        <f t="shared" si="13"/>
        <v>1</v>
      </c>
      <c r="I116" s="224" t="s">
        <v>121</v>
      </c>
      <c r="J116" s="224" t="s">
        <v>122</v>
      </c>
      <c r="K116" s="45" t="s">
        <v>181</v>
      </c>
      <c r="L116" s="44">
        <v>2030</v>
      </c>
      <c r="M116" s="261">
        <v>500</v>
      </c>
      <c r="N116" s="261">
        <v>500</v>
      </c>
      <c r="P116" s="45"/>
      <c r="V116" s="224" t="s">
        <v>201</v>
      </c>
      <c r="W116" s="224" t="s">
        <v>215</v>
      </c>
      <c r="X116" s="273">
        <v>950</v>
      </c>
      <c r="Y116" s="273">
        <v>950</v>
      </c>
      <c r="Z116" s="70">
        <f t="shared" si="14"/>
        <v>0</v>
      </c>
      <c r="AA116" s="70">
        <f t="shared" si="15"/>
        <v>0</v>
      </c>
    </row>
    <row r="117" spans="1:27">
      <c r="A117" s="240" t="s">
        <v>110</v>
      </c>
      <c r="B117" s="241" t="s">
        <v>115</v>
      </c>
      <c r="C117" s="242" t="s">
        <v>179</v>
      </c>
      <c r="D117" s="289">
        <v>2040</v>
      </c>
      <c r="E117" s="279">
        <v>2000</v>
      </c>
      <c r="F117" s="279">
        <v>2000</v>
      </c>
      <c r="G117" s="738" t="b">
        <f t="shared" si="13"/>
        <v>1</v>
      </c>
      <c r="I117" s="233" t="s">
        <v>121</v>
      </c>
      <c r="J117" s="233" t="s">
        <v>122</v>
      </c>
      <c r="K117" s="234" t="s">
        <v>190</v>
      </c>
      <c r="L117" s="291">
        <v>2030</v>
      </c>
      <c r="M117" s="277">
        <v>500</v>
      </c>
      <c r="N117" s="277">
        <v>500</v>
      </c>
      <c r="P117" s="45"/>
      <c r="V117" s="231" t="s">
        <v>215</v>
      </c>
      <c r="W117" s="231" t="s">
        <v>214</v>
      </c>
      <c r="X117" s="562">
        <v>900</v>
      </c>
      <c r="Y117" s="562">
        <v>1100</v>
      </c>
      <c r="Z117" s="306">
        <f t="shared" si="14"/>
        <v>-21</v>
      </c>
      <c r="AA117" s="306">
        <f t="shared" si="15"/>
        <v>150</v>
      </c>
    </row>
    <row r="118" spans="1:27">
      <c r="A118" s="243" t="s">
        <v>110</v>
      </c>
      <c r="B118" s="244" t="s">
        <v>101</v>
      </c>
      <c r="C118" s="245" t="s">
        <v>183</v>
      </c>
      <c r="D118" s="290">
        <v>2035</v>
      </c>
      <c r="E118" s="280">
        <v>1400</v>
      </c>
      <c r="F118" s="280">
        <v>1400</v>
      </c>
      <c r="G118" s="738" t="b">
        <f t="shared" si="13"/>
        <v>1</v>
      </c>
      <c r="I118" s="236" t="s">
        <v>122</v>
      </c>
      <c r="J118" s="236" t="s">
        <v>123</v>
      </c>
      <c r="K118" s="237" t="s">
        <v>183</v>
      </c>
      <c r="L118" s="288">
        <v>2035</v>
      </c>
      <c r="M118" s="278">
        <v>1000</v>
      </c>
      <c r="N118" s="278">
        <v>1000</v>
      </c>
      <c r="P118" s="45"/>
      <c r="X118" s="70">
        <f>SUM(X78:X117)</f>
        <v>70030</v>
      </c>
      <c r="Y118" s="70">
        <f>SUM(Y78:Y117)</f>
        <v>69431</v>
      </c>
      <c r="Z118" s="70">
        <f>SUM(Z78:Z117)</f>
        <v>27622</v>
      </c>
      <c r="AA118" s="70">
        <f>SUM(AA78:AA117)</f>
        <v>-25132</v>
      </c>
    </row>
    <row r="119" spans="1:27">
      <c r="A119" s="238" t="s">
        <v>110</v>
      </c>
      <c r="B119" s="224" t="s">
        <v>120</v>
      </c>
      <c r="C119" s="45" t="s">
        <v>179</v>
      </c>
      <c r="D119" s="44">
        <v>2040</v>
      </c>
      <c r="E119" s="261">
        <v>1000</v>
      </c>
      <c r="F119" s="261">
        <v>1000</v>
      </c>
      <c r="G119" s="738" t="b">
        <f t="shared" si="13"/>
        <v>1</v>
      </c>
      <c r="I119" s="233" t="s">
        <v>122</v>
      </c>
      <c r="J119" s="224" t="s">
        <v>123</v>
      </c>
      <c r="K119" s="45" t="s">
        <v>179</v>
      </c>
      <c r="L119" s="44">
        <v>2030</v>
      </c>
      <c r="M119" s="261">
        <v>1000</v>
      </c>
      <c r="N119" s="261">
        <v>1000</v>
      </c>
      <c r="P119" s="45"/>
    </row>
    <row r="120" spans="1:27">
      <c r="A120" s="238" t="s">
        <v>110</v>
      </c>
      <c r="B120" s="224" t="s">
        <v>120</v>
      </c>
      <c r="C120" s="45" t="s">
        <v>181</v>
      </c>
      <c r="D120" s="44">
        <v>2040</v>
      </c>
      <c r="E120" s="261">
        <v>1000</v>
      </c>
      <c r="F120" s="261">
        <v>1000</v>
      </c>
      <c r="G120" s="738" t="b">
        <f t="shared" si="13"/>
        <v>1</v>
      </c>
      <c r="I120" s="224"/>
      <c r="J120" s="236"/>
      <c r="K120" s="237"/>
      <c r="L120" s="237"/>
      <c r="M120" s="293">
        <f>SUM(M77:M119)</f>
        <v>36450</v>
      </c>
      <c r="N120" s="293">
        <f>SUM(N77:N119)</f>
        <v>36350</v>
      </c>
    </row>
    <row r="121" spans="1:27">
      <c r="A121" s="235" t="s">
        <v>113</v>
      </c>
      <c r="B121" s="236" t="s">
        <v>106</v>
      </c>
      <c r="C121" s="237" t="s">
        <v>179</v>
      </c>
      <c r="D121" s="288">
        <v>2040</v>
      </c>
      <c r="E121" s="278">
        <v>500</v>
      </c>
      <c r="F121" s="278">
        <v>500</v>
      </c>
      <c r="G121" s="738" t="b">
        <f t="shared" si="13"/>
        <v>1</v>
      </c>
      <c r="H121" s="224"/>
      <c r="I121" s="224"/>
      <c r="J121" s="246"/>
      <c r="K121" s="45"/>
      <c r="N121" s="246"/>
    </row>
    <row r="122" spans="1:27">
      <c r="A122" s="239" t="s">
        <v>113</v>
      </c>
      <c r="B122" s="233" t="s">
        <v>106</v>
      </c>
      <c r="C122" s="234" t="s">
        <v>181</v>
      </c>
      <c r="D122" s="291">
        <v>2040</v>
      </c>
      <c r="E122" s="277">
        <v>500</v>
      </c>
      <c r="F122" s="277">
        <v>500</v>
      </c>
      <c r="G122" s="738" t="b">
        <f t="shared" si="13"/>
        <v>1</v>
      </c>
      <c r="H122" s="224"/>
      <c r="I122" s="224"/>
      <c r="J122" s="246"/>
      <c r="K122" s="45"/>
      <c r="N122" s="246"/>
    </row>
    <row r="123" spans="1:27">
      <c r="A123" s="235" t="s">
        <v>114</v>
      </c>
      <c r="B123" s="236" t="s">
        <v>115</v>
      </c>
      <c r="C123" s="237" t="s">
        <v>183</v>
      </c>
      <c r="D123" s="288">
        <v>2035</v>
      </c>
      <c r="E123" s="278">
        <v>1000</v>
      </c>
      <c r="F123" s="278">
        <v>1000</v>
      </c>
      <c r="G123" s="738" t="b">
        <f t="shared" si="13"/>
        <v>1</v>
      </c>
      <c r="H123" s="224"/>
      <c r="I123" s="224"/>
      <c r="J123" s="45"/>
      <c r="K123" s="45"/>
      <c r="N123" s="45"/>
    </row>
    <row r="124" spans="1:27">
      <c r="A124" s="238" t="s">
        <v>114</v>
      </c>
      <c r="B124" s="224" t="s">
        <v>115</v>
      </c>
      <c r="C124" s="45" t="s">
        <v>198</v>
      </c>
      <c r="D124" s="44">
        <v>2035</v>
      </c>
      <c r="E124" s="261">
        <v>1000</v>
      </c>
      <c r="F124" s="261">
        <v>1000</v>
      </c>
      <c r="G124" s="738" t="b">
        <f t="shared" si="13"/>
        <v>1</v>
      </c>
      <c r="H124" s="224"/>
      <c r="I124" s="224"/>
      <c r="J124" s="45"/>
      <c r="K124" s="45"/>
      <c r="N124" s="45"/>
    </row>
    <row r="125" spans="1:27">
      <c r="A125" s="238" t="s">
        <v>114</v>
      </c>
      <c r="B125" s="224" t="s">
        <v>115</v>
      </c>
      <c r="C125" s="45" t="s">
        <v>179</v>
      </c>
      <c r="D125" s="44">
        <v>2030</v>
      </c>
      <c r="E125" s="261">
        <v>1000</v>
      </c>
      <c r="F125" s="261">
        <v>1000</v>
      </c>
      <c r="G125" s="738" t="b">
        <f t="shared" si="13"/>
        <v>1</v>
      </c>
      <c r="H125" s="224"/>
      <c r="I125" s="224"/>
      <c r="J125" s="45"/>
      <c r="K125" s="45"/>
      <c r="N125" s="45"/>
    </row>
    <row r="126" spans="1:27">
      <c r="A126" s="240" t="s">
        <v>114</v>
      </c>
      <c r="B126" s="241" t="s">
        <v>115</v>
      </c>
      <c r="C126" s="242" t="s">
        <v>181</v>
      </c>
      <c r="D126" s="289">
        <v>2030</v>
      </c>
      <c r="E126" s="279">
        <v>1000</v>
      </c>
      <c r="F126" s="279">
        <v>1000</v>
      </c>
      <c r="G126" s="738" t="b">
        <f t="shared" si="13"/>
        <v>1</v>
      </c>
      <c r="H126" s="224"/>
      <c r="I126" s="224"/>
      <c r="J126" s="45"/>
      <c r="K126" s="45"/>
      <c r="N126" s="45"/>
    </row>
    <row r="127" spans="1:27">
      <c r="A127" s="238" t="s">
        <v>114</v>
      </c>
      <c r="B127" s="224" t="s">
        <v>101</v>
      </c>
      <c r="C127" s="45" t="s">
        <v>179</v>
      </c>
      <c r="D127" s="44">
        <v>2040</v>
      </c>
      <c r="E127" s="261">
        <v>1000</v>
      </c>
      <c r="F127" s="261">
        <v>1000</v>
      </c>
      <c r="G127" s="738" t="b">
        <f t="shared" si="13"/>
        <v>1</v>
      </c>
      <c r="H127" s="224"/>
      <c r="I127" s="224"/>
      <c r="J127" s="45"/>
      <c r="K127" s="45"/>
      <c r="N127" s="45"/>
    </row>
    <row r="128" spans="1:27">
      <c r="A128" s="240" t="s">
        <v>114</v>
      </c>
      <c r="B128" s="241" t="s">
        <v>101</v>
      </c>
      <c r="C128" s="242" t="s">
        <v>181</v>
      </c>
      <c r="D128" s="289">
        <v>2040</v>
      </c>
      <c r="E128" s="279">
        <v>1000</v>
      </c>
      <c r="F128" s="279">
        <v>1000</v>
      </c>
      <c r="G128" s="738" t="b">
        <f t="shared" si="13"/>
        <v>1</v>
      </c>
      <c r="H128" s="224"/>
      <c r="I128" s="224"/>
      <c r="J128" s="45"/>
      <c r="K128" s="45"/>
      <c r="N128" s="45"/>
      <c r="U128" s="224"/>
    </row>
    <row r="129" spans="1:14">
      <c r="A129" s="238" t="s">
        <v>114</v>
      </c>
      <c r="B129" s="224" t="s">
        <v>120</v>
      </c>
      <c r="C129" s="45" t="s">
        <v>179</v>
      </c>
      <c r="D129" s="44">
        <v>2040</v>
      </c>
      <c r="E129" s="261">
        <v>1000</v>
      </c>
      <c r="F129" s="261">
        <v>1000</v>
      </c>
      <c r="G129" s="738" t="b">
        <f t="shared" si="13"/>
        <v>1</v>
      </c>
      <c r="H129" s="224"/>
      <c r="I129" s="224"/>
      <c r="J129" s="246"/>
      <c r="K129" s="45"/>
      <c r="N129" s="246"/>
    </row>
    <row r="130" spans="1:14">
      <c r="A130" s="239" t="s">
        <v>114</v>
      </c>
      <c r="B130" s="233" t="s">
        <v>120</v>
      </c>
      <c r="C130" s="234" t="s">
        <v>181</v>
      </c>
      <c r="D130" s="291">
        <v>2040</v>
      </c>
      <c r="E130" s="277">
        <v>1000</v>
      </c>
      <c r="F130" s="277">
        <v>1000</v>
      </c>
      <c r="G130" s="738" t="b">
        <f t="shared" si="13"/>
        <v>1</v>
      </c>
      <c r="H130" s="224"/>
      <c r="I130" s="224"/>
      <c r="J130" s="246"/>
      <c r="K130" s="45"/>
      <c r="N130" s="246"/>
    </row>
    <row r="131" spans="1:14">
      <c r="A131" s="238" t="s">
        <v>104</v>
      </c>
      <c r="B131" s="224" t="s">
        <v>105</v>
      </c>
      <c r="C131" s="45" t="s">
        <v>183</v>
      </c>
      <c r="D131" s="44">
        <v>2035</v>
      </c>
      <c r="E131" s="261">
        <v>2000</v>
      </c>
      <c r="F131" s="261">
        <v>2000</v>
      </c>
      <c r="G131" s="738" t="b">
        <f t="shared" si="13"/>
        <v>1</v>
      </c>
      <c r="H131" s="224"/>
      <c r="I131" s="224"/>
      <c r="J131" s="45"/>
      <c r="K131" s="45"/>
      <c r="N131" s="45"/>
    </row>
    <row r="132" spans="1:14">
      <c r="A132" s="238" t="s">
        <v>104</v>
      </c>
      <c r="B132" s="224" t="s">
        <v>105</v>
      </c>
      <c r="C132" s="45" t="s">
        <v>198</v>
      </c>
      <c r="D132" s="44">
        <v>2040</v>
      </c>
      <c r="E132" s="261">
        <v>1000</v>
      </c>
      <c r="F132" s="261">
        <v>1000</v>
      </c>
      <c r="G132" s="738" t="b">
        <f t="shared" si="13"/>
        <v>1</v>
      </c>
      <c r="H132" s="224"/>
      <c r="I132" s="224"/>
      <c r="J132" s="45"/>
      <c r="K132" s="45"/>
      <c r="N132" s="45"/>
    </row>
    <row r="133" spans="1:14">
      <c r="A133" s="238" t="s">
        <v>103</v>
      </c>
      <c r="B133" s="224" t="s">
        <v>104</v>
      </c>
      <c r="C133" s="45" t="s">
        <v>179</v>
      </c>
      <c r="D133" s="44">
        <v>2040</v>
      </c>
      <c r="E133" s="261">
        <v>1000</v>
      </c>
      <c r="F133" s="261">
        <v>1000</v>
      </c>
      <c r="G133" s="738" t="b">
        <f t="shared" si="13"/>
        <v>1</v>
      </c>
      <c r="H133" s="224"/>
      <c r="I133" s="224"/>
      <c r="J133" s="246"/>
      <c r="K133" s="45"/>
      <c r="N133" s="246"/>
    </row>
    <row r="134" spans="1:14">
      <c r="A134" s="238" t="s">
        <v>103</v>
      </c>
      <c r="B134" s="224" t="s">
        <v>104</v>
      </c>
      <c r="C134" s="45" t="s">
        <v>181</v>
      </c>
      <c r="D134" s="44">
        <v>2040</v>
      </c>
      <c r="E134" s="261">
        <v>1000</v>
      </c>
      <c r="F134" s="261">
        <v>1000</v>
      </c>
      <c r="G134" s="738" t="b">
        <f t="shared" si="13"/>
        <v>1</v>
      </c>
      <c r="H134" s="224"/>
      <c r="I134" s="224"/>
      <c r="J134" s="246"/>
      <c r="K134" s="45"/>
      <c r="N134" s="246"/>
    </row>
    <row r="135" spans="1:14">
      <c r="A135" s="238" t="s">
        <v>104</v>
      </c>
      <c r="B135" s="224" t="s">
        <v>105</v>
      </c>
      <c r="C135" s="45" t="s">
        <v>179</v>
      </c>
      <c r="D135" s="44">
        <v>2040</v>
      </c>
      <c r="E135" s="261">
        <v>1000</v>
      </c>
      <c r="F135" s="261">
        <v>1000</v>
      </c>
      <c r="G135" s="738" t="b">
        <f t="shared" si="13"/>
        <v>1</v>
      </c>
      <c r="H135" s="224"/>
      <c r="I135" s="224"/>
      <c r="J135" s="246"/>
      <c r="K135" s="45"/>
    </row>
    <row r="136" spans="1:14">
      <c r="A136" s="238" t="s">
        <v>104</v>
      </c>
      <c r="B136" s="224" t="s">
        <v>105</v>
      </c>
      <c r="C136" s="45" t="s">
        <v>181</v>
      </c>
      <c r="D136" s="44">
        <v>2040</v>
      </c>
      <c r="E136" s="261">
        <v>1000</v>
      </c>
      <c r="F136" s="261">
        <v>1000</v>
      </c>
      <c r="G136" s="738" t="b">
        <f t="shared" si="13"/>
        <v>1</v>
      </c>
      <c r="H136" s="224"/>
      <c r="I136" s="224"/>
      <c r="J136" s="246"/>
      <c r="K136" s="45"/>
    </row>
    <row r="137" spans="1:14">
      <c r="A137" s="238" t="s">
        <v>105</v>
      </c>
      <c r="B137" s="224" t="s">
        <v>106</v>
      </c>
      <c r="C137" s="45" t="s">
        <v>179</v>
      </c>
      <c r="D137" s="44">
        <v>2040</v>
      </c>
      <c r="E137" s="261">
        <v>1000</v>
      </c>
      <c r="F137" s="261">
        <v>1000</v>
      </c>
      <c r="G137" s="738" t="b">
        <f t="shared" si="13"/>
        <v>1</v>
      </c>
      <c r="H137" s="224"/>
      <c r="I137" s="224"/>
      <c r="J137" s="246"/>
      <c r="K137" s="45"/>
    </row>
    <row r="138" spans="1:14">
      <c r="A138" s="240" t="s">
        <v>105</v>
      </c>
      <c r="B138" s="241" t="s">
        <v>106</v>
      </c>
      <c r="C138" s="242" t="s">
        <v>181</v>
      </c>
      <c r="D138" s="289">
        <v>2040</v>
      </c>
      <c r="E138" s="279">
        <v>1000</v>
      </c>
      <c r="F138" s="279">
        <v>1000</v>
      </c>
      <c r="G138" s="738" t="b">
        <f t="shared" si="13"/>
        <v>1</v>
      </c>
      <c r="H138" s="224"/>
      <c r="I138" s="224"/>
      <c r="J138" s="246"/>
      <c r="K138" s="45"/>
    </row>
    <row r="139" spans="1:14">
      <c r="A139" s="238" t="s">
        <v>105</v>
      </c>
      <c r="B139" s="224" t="s">
        <v>101</v>
      </c>
      <c r="C139" s="45" t="s">
        <v>183</v>
      </c>
      <c r="D139" s="44">
        <v>2035</v>
      </c>
      <c r="E139" s="261">
        <v>700</v>
      </c>
      <c r="F139" s="261">
        <v>700</v>
      </c>
      <c r="G139" s="738" t="b">
        <f t="shared" si="13"/>
        <v>1</v>
      </c>
      <c r="H139" s="224"/>
      <c r="I139" s="224"/>
      <c r="J139" s="45"/>
      <c r="K139" s="45"/>
    </row>
    <row r="140" spans="1:14">
      <c r="A140" s="238" t="s">
        <v>106</v>
      </c>
      <c r="B140" s="224" t="s">
        <v>99</v>
      </c>
      <c r="C140" s="45" t="s">
        <v>179</v>
      </c>
      <c r="D140" s="44">
        <v>2040</v>
      </c>
      <c r="E140" s="261">
        <v>500</v>
      </c>
      <c r="F140" s="261">
        <v>500</v>
      </c>
      <c r="G140" s="738" t="b">
        <f t="shared" si="13"/>
        <v>1</v>
      </c>
      <c r="H140" s="224"/>
      <c r="I140" s="224"/>
      <c r="J140" s="45"/>
      <c r="K140" s="45"/>
    </row>
    <row r="141" spans="1:14">
      <c r="A141" s="238" t="s">
        <v>106</v>
      </c>
      <c r="B141" s="224" t="s">
        <v>99</v>
      </c>
      <c r="C141" s="45" t="s">
        <v>181</v>
      </c>
      <c r="D141" s="44">
        <v>2040</v>
      </c>
      <c r="E141" s="261">
        <v>500</v>
      </c>
      <c r="F141" s="261">
        <v>500</v>
      </c>
      <c r="G141" s="738" t="b">
        <f t="shared" si="13"/>
        <v>1</v>
      </c>
      <c r="H141" s="224"/>
      <c r="I141" s="224"/>
      <c r="J141" s="45"/>
      <c r="K141" s="45"/>
    </row>
    <row r="142" spans="1:14">
      <c r="A142" s="238" t="s">
        <v>106</v>
      </c>
      <c r="B142" s="224" t="s">
        <v>99</v>
      </c>
      <c r="C142" s="45" t="s">
        <v>190</v>
      </c>
      <c r="D142" s="44">
        <v>2030</v>
      </c>
      <c r="E142" s="261">
        <v>500</v>
      </c>
      <c r="F142" s="261">
        <v>500</v>
      </c>
      <c r="G142" s="738" t="b">
        <f t="shared" ref="G142:G191" si="16">E142=F142</f>
        <v>1</v>
      </c>
      <c r="H142" s="224"/>
      <c r="I142" s="224"/>
      <c r="J142" s="45"/>
      <c r="K142" s="45"/>
    </row>
    <row r="143" spans="1:14">
      <c r="A143" s="238" t="s">
        <v>106</v>
      </c>
      <c r="B143" s="224" t="s">
        <v>99</v>
      </c>
      <c r="C143" s="45" t="s">
        <v>192</v>
      </c>
      <c r="D143" s="44">
        <v>2040</v>
      </c>
      <c r="E143" s="261">
        <v>500</v>
      </c>
      <c r="F143" s="261">
        <v>500</v>
      </c>
      <c r="G143" s="738" t="b">
        <f t="shared" si="16"/>
        <v>1</v>
      </c>
      <c r="H143" s="224"/>
      <c r="I143" s="224"/>
      <c r="J143" s="45"/>
      <c r="K143" s="45"/>
    </row>
    <row r="144" spans="1:14">
      <c r="A144" s="238" t="s">
        <v>105</v>
      </c>
      <c r="B144" s="224" t="s">
        <v>101</v>
      </c>
      <c r="C144" s="45" t="s">
        <v>179</v>
      </c>
      <c r="D144" s="44">
        <v>2030</v>
      </c>
      <c r="E144" s="261">
        <v>500</v>
      </c>
      <c r="F144" s="261">
        <v>500</v>
      </c>
      <c r="G144" s="738" t="b">
        <f t="shared" si="16"/>
        <v>1</v>
      </c>
      <c r="H144" s="224"/>
      <c r="I144" s="224"/>
      <c r="J144" s="45"/>
      <c r="K144" s="45"/>
    </row>
    <row r="145" spans="1:24">
      <c r="A145" s="238" t="s">
        <v>105</v>
      </c>
      <c r="B145" s="224" t="s">
        <v>101</v>
      </c>
      <c r="C145" s="45" t="s">
        <v>181</v>
      </c>
      <c r="D145" s="44">
        <v>2030</v>
      </c>
      <c r="E145" s="261">
        <v>500</v>
      </c>
      <c r="F145" s="261">
        <v>500</v>
      </c>
      <c r="G145" s="738" t="b">
        <f t="shared" si="16"/>
        <v>1</v>
      </c>
      <c r="H145" s="224"/>
      <c r="I145" s="224"/>
      <c r="J145" s="45"/>
      <c r="K145" s="45"/>
    </row>
    <row r="146" spans="1:24">
      <c r="A146" s="238" t="s">
        <v>105</v>
      </c>
      <c r="B146" s="224" t="s">
        <v>101</v>
      </c>
      <c r="C146" s="45" t="s">
        <v>190</v>
      </c>
      <c r="D146" s="44">
        <v>2030</v>
      </c>
      <c r="E146" s="261">
        <v>500</v>
      </c>
      <c r="F146" s="261">
        <v>500</v>
      </c>
      <c r="G146" s="738" t="b">
        <f t="shared" si="16"/>
        <v>1</v>
      </c>
      <c r="H146" s="224"/>
      <c r="I146" s="224"/>
      <c r="J146" s="45"/>
      <c r="K146" s="45"/>
    </row>
    <row r="147" spans="1:24">
      <c r="A147" s="238" t="s">
        <v>105</v>
      </c>
      <c r="B147" s="224" t="s">
        <v>101</v>
      </c>
      <c r="C147" s="45" t="s">
        <v>192</v>
      </c>
      <c r="D147" s="44">
        <v>2030</v>
      </c>
      <c r="E147" s="261">
        <v>500</v>
      </c>
      <c r="F147" s="261">
        <v>500</v>
      </c>
      <c r="G147" s="738" t="b">
        <f t="shared" si="16"/>
        <v>1</v>
      </c>
      <c r="H147" s="224"/>
      <c r="I147" s="224"/>
      <c r="J147" s="45"/>
      <c r="K147" s="45"/>
    </row>
    <row r="148" spans="1:24">
      <c r="A148" s="238" t="s">
        <v>105</v>
      </c>
      <c r="B148" s="224" t="s">
        <v>101</v>
      </c>
      <c r="C148" s="45" t="s">
        <v>193</v>
      </c>
      <c r="D148" s="44">
        <v>2035</v>
      </c>
      <c r="E148" s="261">
        <v>500</v>
      </c>
      <c r="F148" s="261">
        <v>500</v>
      </c>
      <c r="G148" s="738" t="b">
        <f t="shared" si="16"/>
        <v>1</v>
      </c>
      <c r="H148" s="224"/>
      <c r="I148" s="224"/>
      <c r="J148" s="45"/>
      <c r="K148" s="45"/>
    </row>
    <row r="149" spans="1:24">
      <c r="A149" s="240" t="s">
        <v>105</v>
      </c>
      <c r="B149" s="241" t="s">
        <v>101</v>
      </c>
      <c r="C149" s="242" t="s">
        <v>194</v>
      </c>
      <c r="D149" s="289">
        <v>2035</v>
      </c>
      <c r="E149" s="279">
        <v>500</v>
      </c>
      <c r="F149" s="279">
        <v>500</v>
      </c>
      <c r="G149" s="738" t="b">
        <f t="shared" si="16"/>
        <v>1</v>
      </c>
      <c r="H149" s="224"/>
      <c r="I149" s="224"/>
      <c r="J149" s="45"/>
      <c r="K149" s="45"/>
    </row>
    <row r="150" spans="1:24">
      <c r="A150" s="238" t="s">
        <v>103</v>
      </c>
      <c r="B150" s="224" t="s">
        <v>117</v>
      </c>
      <c r="C150" s="45" t="s">
        <v>183</v>
      </c>
      <c r="D150" s="44">
        <v>2035</v>
      </c>
      <c r="E150" s="261">
        <v>800</v>
      </c>
      <c r="F150" s="261">
        <v>800</v>
      </c>
      <c r="G150" s="738" t="b">
        <f t="shared" si="16"/>
        <v>1</v>
      </c>
      <c r="H150" s="224"/>
      <c r="I150" s="224"/>
      <c r="J150" s="45"/>
      <c r="K150" s="45"/>
    </row>
    <row r="151" spans="1:24">
      <c r="A151" s="238" t="s">
        <v>103</v>
      </c>
      <c r="B151" s="224" t="s">
        <v>117</v>
      </c>
      <c r="C151" s="45" t="s">
        <v>198</v>
      </c>
      <c r="D151" s="44">
        <v>2030</v>
      </c>
      <c r="E151" s="261">
        <v>900</v>
      </c>
      <c r="F151" s="261">
        <v>800</v>
      </c>
      <c r="G151" s="738" t="b">
        <f t="shared" si="16"/>
        <v>0</v>
      </c>
      <c r="H151" s="224"/>
      <c r="I151" s="224"/>
      <c r="J151" s="45"/>
      <c r="K151" s="45"/>
    </row>
    <row r="152" spans="1:24">
      <c r="A152" s="238" t="s">
        <v>105</v>
      </c>
      <c r="B152" s="224" t="s">
        <v>117</v>
      </c>
      <c r="C152" s="45" t="s">
        <v>183</v>
      </c>
      <c r="D152" s="44">
        <v>2040</v>
      </c>
      <c r="E152" s="261">
        <v>800</v>
      </c>
      <c r="F152" s="261">
        <v>800</v>
      </c>
      <c r="G152" s="738" t="b">
        <f t="shared" si="16"/>
        <v>1</v>
      </c>
      <c r="H152" s="224"/>
      <c r="I152" s="224"/>
      <c r="J152" s="45"/>
      <c r="K152" s="45"/>
    </row>
    <row r="153" spans="1:24">
      <c r="A153" s="238" t="s">
        <v>103</v>
      </c>
      <c r="B153" s="224" t="s">
        <v>117</v>
      </c>
      <c r="C153" s="45" t="s">
        <v>179</v>
      </c>
      <c r="D153" s="44">
        <v>2030</v>
      </c>
      <c r="E153" s="261">
        <v>800</v>
      </c>
      <c r="F153" s="261">
        <v>800</v>
      </c>
      <c r="G153" s="738" t="b">
        <f t="shared" si="16"/>
        <v>1</v>
      </c>
      <c r="H153" s="224"/>
      <c r="I153" s="224"/>
      <c r="J153" s="45"/>
      <c r="K153" s="45"/>
    </row>
    <row r="154" spans="1:24">
      <c r="A154" s="238" t="s">
        <v>103</v>
      </c>
      <c r="B154" s="224" t="s">
        <v>117</v>
      </c>
      <c r="C154" s="45" t="s">
        <v>181</v>
      </c>
      <c r="D154" s="44">
        <v>2040</v>
      </c>
      <c r="E154" s="261">
        <v>800</v>
      </c>
      <c r="F154" s="261">
        <v>800</v>
      </c>
      <c r="G154" s="738" t="b">
        <f t="shared" si="16"/>
        <v>1</v>
      </c>
      <c r="H154" s="224"/>
      <c r="I154" s="224"/>
      <c r="J154" s="45"/>
      <c r="K154" s="45"/>
    </row>
    <row r="155" spans="1:24">
      <c r="A155" s="238" t="s">
        <v>104</v>
      </c>
      <c r="B155" s="224" t="s">
        <v>117</v>
      </c>
      <c r="C155" s="45" t="s">
        <v>179</v>
      </c>
      <c r="D155" s="44">
        <v>2030</v>
      </c>
      <c r="E155" s="261">
        <v>500</v>
      </c>
      <c r="F155" s="261">
        <v>500</v>
      </c>
      <c r="G155" s="738" t="b">
        <f t="shared" si="16"/>
        <v>1</v>
      </c>
      <c r="H155" s="224"/>
      <c r="I155" s="224"/>
      <c r="J155" s="45"/>
      <c r="K155" s="45"/>
    </row>
    <row r="156" spans="1:24">
      <c r="A156" s="238" t="s">
        <v>104</v>
      </c>
      <c r="B156" s="224" t="s">
        <v>117</v>
      </c>
      <c r="C156" s="45" t="s">
        <v>181</v>
      </c>
      <c r="D156" s="44">
        <v>2040</v>
      </c>
      <c r="E156" s="261">
        <v>500</v>
      </c>
      <c r="F156" s="261">
        <v>500</v>
      </c>
      <c r="G156" s="738" t="b">
        <f t="shared" si="16"/>
        <v>1</v>
      </c>
      <c r="H156" s="224"/>
      <c r="I156" s="224"/>
      <c r="J156" s="45"/>
      <c r="K156" s="45"/>
    </row>
    <row r="157" spans="1:24">
      <c r="A157" s="238" t="s">
        <v>105</v>
      </c>
      <c r="B157" s="224" t="s">
        <v>117</v>
      </c>
      <c r="C157" s="45" t="s">
        <v>179</v>
      </c>
      <c r="D157" s="44">
        <v>2030</v>
      </c>
      <c r="E157" s="261">
        <v>500</v>
      </c>
      <c r="F157" s="261">
        <v>500</v>
      </c>
      <c r="G157" s="738" t="b">
        <f t="shared" si="16"/>
        <v>1</v>
      </c>
      <c r="H157" s="224"/>
      <c r="I157" s="224"/>
      <c r="J157" s="45"/>
      <c r="K157" s="45"/>
      <c r="R157" s="46"/>
      <c r="S157" s="46"/>
      <c r="T157" s="47"/>
      <c r="U157" s="46"/>
      <c r="V157" s="47"/>
      <c r="W157" s="47"/>
      <c r="X157" s="47"/>
    </row>
    <row r="158" spans="1:24">
      <c r="A158" s="238" t="s">
        <v>105</v>
      </c>
      <c r="B158" s="224" t="s">
        <v>117</v>
      </c>
      <c r="C158" s="45" t="s">
        <v>181</v>
      </c>
      <c r="D158" s="44">
        <v>2040</v>
      </c>
      <c r="E158" s="261">
        <v>500</v>
      </c>
      <c r="F158" s="261">
        <v>500</v>
      </c>
      <c r="G158" s="738" t="b">
        <f t="shared" si="16"/>
        <v>1</v>
      </c>
      <c r="H158" s="224"/>
      <c r="I158" s="224"/>
      <c r="J158" s="45"/>
      <c r="K158" s="45"/>
      <c r="R158" s="46"/>
      <c r="S158" s="46"/>
      <c r="T158" s="47"/>
      <c r="U158" s="46"/>
      <c r="V158" s="47"/>
      <c r="W158" s="47"/>
      <c r="X158" s="47"/>
    </row>
    <row r="159" spans="1:24">
      <c r="A159" s="238" t="s">
        <v>103</v>
      </c>
      <c r="B159" s="224" t="s">
        <v>117</v>
      </c>
      <c r="C159" s="45" t="s">
        <v>190</v>
      </c>
      <c r="D159" s="44">
        <v>2040</v>
      </c>
      <c r="E159" s="261">
        <v>800</v>
      </c>
      <c r="F159" s="261">
        <v>800</v>
      </c>
      <c r="G159" s="738" t="b">
        <f t="shared" si="16"/>
        <v>1</v>
      </c>
      <c r="H159" s="224"/>
      <c r="I159" s="224"/>
      <c r="J159" s="45"/>
      <c r="K159" s="45"/>
      <c r="R159" s="46"/>
      <c r="S159" s="46"/>
      <c r="T159" s="47"/>
      <c r="U159" s="46"/>
      <c r="V159" s="47"/>
      <c r="W159" s="47"/>
      <c r="X159" s="47"/>
    </row>
    <row r="160" spans="1:24">
      <c r="A160" s="238" t="s">
        <v>104</v>
      </c>
      <c r="B160" s="224" t="s">
        <v>117</v>
      </c>
      <c r="C160" s="45" t="s">
        <v>190</v>
      </c>
      <c r="D160" s="44">
        <v>2040</v>
      </c>
      <c r="E160" s="261">
        <v>500</v>
      </c>
      <c r="F160" s="261">
        <v>500</v>
      </c>
      <c r="G160" s="738" t="b">
        <f t="shared" si="16"/>
        <v>1</v>
      </c>
      <c r="H160" s="224"/>
      <c r="I160" s="224"/>
      <c r="J160" s="45"/>
      <c r="K160" s="45"/>
      <c r="R160" s="46"/>
      <c r="S160" s="46"/>
      <c r="T160" s="47"/>
      <c r="U160" s="46"/>
      <c r="V160" s="47"/>
      <c r="W160" s="47"/>
      <c r="X160" s="47"/>
    </row>
    <row r="161" spans="1:21">
      <c r="A161" s="238" t="s">
        <v>104</v>
      </c>
      <c r="B161" s="224" t="s">
        <v>117</v>
      </c>
      <c r="C161" s="45" t="s">
        <v>192</v>
      </c>
      <c r="D161" s="44">
        <v>2040</v>
      </c>
      <c r="E161" s="261">
        <v>500</v>
      </c>
      <c r="F161" s="261">
        <v>500</v>
      </c>
      <c r="G161" s="738" t="b">
        <f t="shared" si="16"/>
        <v>1</v>
      </c>
      <c r="H161" s="224"/>
      <c r="I161" s="224"/>
      <c r="J161" s="45"/>
      <c r="K161" s="45"/>
      <c r="R161" s="224"/>
      <c r="S161" s="224"/>
      <c r="U161" s="224"/>
    </row>
    <row r="162" spans="1:21">
      <c r="A162" s="238" t="s">
        <v>105</v>
      </c>
      <c r="B162" s="224" t="s">
        <v>117</v>
      </c>
      <c r="C162" s="45" t="s">
        <v>190</v>
      </c>
      <c r="D162" s="44">
        <v>2040</v>
      </c>
      <c r="E162" s="261">
        <v>500</v>
      </c>
      <c r="F162" s="261">
        <v>500</v>
      </c>
      <c r="G162" s="738" t="b">
        <f t="shared" si="16"/>
        <v>1</v>
      </c>
      <c r="H162" s="224"/>
      <c r="I162" s="224"/>
      <c r="J162" s="45"/>
      <c r="K162" s="45"/>
      <c r="N162" s="45"/>
      <c r="R162" s="224"/>
      <c r="S162" s="224"/>
      <c r="U162" s="224"/>
    </row>
    <row r="163" spans="1:21">
      <c r="A163" s="240" t="s">
        <v>105</v>
      </c>
      <c r="B163" s="241" t="s">
        <v>117</v>
      </c>
      <c r="C163" s="242" t="s">
        <v>192</v>
      </c>
      <c r="D163" s="289">
        <v>2040</v>
      </c>
      <c r="E163" s="279">
        <v>500</v>
      </c>
      <c r="F163" s="279">
        <v>500</v>
      </c>
      <c r="G163" s="738" t="b">
        <f t="shared" si="16"/>
        <v>1</v>
      </c>
      <c r="H163" s="224"/>
      <c r="I163" s="224"/>
      <c r="J163" s="45"/>
      <c r="K163" s="45"/>
      <c r="N163" s="45"/>
      <c r="R163" s="224"/>
      <c r="S163" s="224"/>
      <c r="U163" s="224"/>
    </row>
    <row r="164" spans="1:21">
      <c r="A164" s="238" t="s">
        <v>104</v>
      </c>
      <c r="B164" s="224" t="s">
        <v>118</v>
      </c>
      <c r="C164" s="45" t="s">
        <v>179</v>
      </c>
      <c r="D164" s="44">
        <v>2040</v>
      </c>
      <c r="E164" s="261">
        <v>500</v>
      </c>
      <c r="F164" s="261">
        <v>500</v>
      </c>
      <c r="G164" s="738" t="b">
        <f t="shared" si="16"/>
        <v>1</v>
      </c>
      <c r="H164" s="224"/>
      <c r="I164" s="224"/>
      <c r="J164" s="246"/>
      <c r="K164" s="45"/>
      <c r="N164" s="246"/>
      <c r="R164" s="224"/>
      <c r="S164" s="224"/>
      <c r="U164" s="224"/>
    </row>
    <row r="165" spans="1:21">
      <c r="A165" s="238" t="s">
        <v>104</v>
      </c>
      <c r="B165" s="224" t="s">
        <v>118</v>
      </c>
      <c r="C165" s="45" t="s">
        <v>181</v>
      </c>
      <c r="D165" s="44">
        <v>2040</v>
      </c>
      <c r="E165" s="261">
        <v>500</v>
      </c>
      <c r="F165" s="261">
        <v>500</v>
      </c>
      <c r="G165" s="738" t="b">
        <f t="shared" si="16"/>
        <v>1</v>
      </c>
      <c r="H165" s="224"/>
      <c r="I165" s="224"/>
      <c r="J165" s="246"/>
      <c r="K165" s="45"/>
      <c r="N165" s="246"/>
      <c r="R165" s="224"/>
      <c r="S165" s="224"/>
      <c r="U165" s="224"/>
    </row>
    <row r="166" spans="1:21">
      <c r="A166" s="238" t="s">
        <v>103</v>
      </c>
      <c r="B166" s="224" t="s">
        <v>119</v>
      </c>
      <c r="C166" s="45" t="s">
        <v>179</v>
      </c>
      <c r="D166" s="44">
        <v>2040</v>
      </c>
      <c r="E166" s="261">
        <v>500</v>
      </c>
      <c r="F166" s="261">
        <v>500</v>
      </c>
      <c r="G166" s="738" t="b">
        <f t="shared" si="16"/>
        <v>1</v>
      </c>
      <c r="H166" s="224"/>
      <c r="I166" s="224"/>
      <c r="J166" s="246"/>
      <c r="K166" s="45"/>
      <c r="N166" s="246"/>
      <c r="R166" s="224"/>
      <c r="S166" s="224"/>
      <c r="U166" s="224"/>
    </row>
    <row r="167" spans="1:21">
      <c r="A167" s="238" t="s">
        <v>103</v>
      </c>
      <c r="B167" s="224" t="s">
        <v>119</v>
      </c>
      <c r="C167" s="45" t="s">
        <v>181</v>
      </c>
      <c r="D167" s="44">
        <v>2040</v>
      </c>
      <c r="E167" s="261">
        <v>500</v>
      </c>
      <c r="F167" s="261">
        <v>500</v>
      </c>
      <c r="G167" s="738" t="b">
        <f t="shared" si="16"/>
        <v>1</v>
      </c>
      <c r="H167" s="224"/>
      <c r="I167" s="224"/>
      <c r="J167" s="246"/>
      <c r="K167" s="45"/>
      <c r="N167" s="246"/>
      <c r="R167" s="224"/>
      <c r="S167" s="224"/>
      <c r="U167" s="224"/>
    </row>
    <row r="168" spans="1:21">
      <c r="A168" s="238" t="s">
        <v>104</v>
      </c>
      <c r="B168" s="224" t="s">
        <v>119</v>
      </c>
      <c r="C168" s="45" t="s">
        <v>179</v>
      </c>
      <c r="D168" s="44">
        <v>2040</v>
      </c>
      <c r="E168" s="261">
        <v>500</v>
      </c>
      <c r="F168" s="261">
        <v>500</v>
      </c>
      <c r="G168" s="738" t="b">
        <f t="shared" si="16"/>
        <v>1</v>
      </c>
      <c r="H168" s="224"/>
      <c r="I168" s="224"/>
      <c r="N168" s="246"/>
      <c r="R168" s="224"/>
      <c r="S168" s="224"/>
      <c r="U168" s="224"/>
    </row>
    <row r="169" spans="1:21">
      <c r="A169" s="238" t="s">
        <v>104</v>
      </c>
      <c r="B169" s="224" t="s">
        <v>119</v>
      </c>
      <c r="C169" s="45" t="s">
        <v>181</v>
      </c>
      <c r="D169" s="44">
        <v>2040</v>
      </c>
      <c r="E169" s="261">
        <v>500</v>
      </c>
      <c r="F169" s="261">
        <v>500</v>
      </c>
      <c r="G169" s="738" t="b">
        <f t="shared" si="16"/>
        <v>1</v>
      </c>
      <c r="H169" s="224"/>
      <c r="I169" s="224"/>
      <c r="N169" s="246"/>
      <c r="R169" s="224"/>
      <c r="S169" s="224"/>
      <c r="U169" s="224"/>
    </row>
    <row r="170" spans="1:21">
      <c r="A170" s="238" t="s">
        <v>105</v>
      </c>
      <c r="B170" s="224" t="s">
        <v>120</v>
      </c>
      <c r="C170" s="45" t="s">
        <v>179</v>
      </c>
      <c r="D170" s="44">
        <v>2040</v>
      </c>
      <c r="E170" s="261">
        <v>500</v>
      </c>
      <c r="F170" s="261">
        <v>500</v>
      </c>
      <c r="G170" s="738" t="b">
        <f t="shared" si="16"/>
        <v>1</v>
      </c>
      <c r="H170" s="224"/>
      <c r="I170" s="224"/>
      <c r="N170" s="246"/>
      <c r="R170" s="224"/>
      <c r="S170" s="224"/>
      <c r="U170" s="224"/>
    </row>
    <row r="171" spans="1:21">
      <c r="A171" s="238" t="s">
        <v>105</v>
      </c>
      <c r="B171" s="224" t="s">
        <v>120</v>
      </c>
      <c r="C171" s="45" t="s">
        <v>181</v>
      </c>
      <c r="D171" s="44">
        <v>2040</v>
      </c>
      <c r="E171" s="261">
        <v>500</v>
      </c>
      <c r="F171" s="261">
        <v>500</v>
      </c>
      <c r="G171" s="738" t="b">
        <f t="shared" si="16"/>
        <v>1</v>
      </c>
      <c r="H171" s="224"/>
      <c r="I171" s="224"/>
      <c r="N171" s="246"/>
      <c r="R171" s="224"/>
      <c r="S171" s="224"/>
      <c r="U171" s="224"/>
    </row>
    <row r="172" spans="1:21">
      <c r="A172" s="238" t="s">
        <v>105</v>
      </c>
      <c r="B172" s="224" t="s">
        <v>120</v>
      </c>
      <c r="C172" s="45" t="s">
        <v>190</v>
      </c>
      <c r="D172" s="44">
        <v>2040</v>
      </c>
      <c r="E172" s="261">
        <v>500</v>
      </c>
      <c r="F172" s="261">
        <v>500</v>
      </c>
      <c r="G172" s="738" t="b">
        <f t="shared" si="16"/>
        <v>1</v>
      </c>
      <c r="H172" s="224"/>
      <c r="I172" s="224"/>
      <c r="N172" s="246"/>
      <c r="R172" s="224"/>
      <c r="S172" s="224"/>
      <c r="U172" s="224"/>
    </row>
    <row r="173" spans="1:21">
      <c r="A173" s="240" t="s">
        <v>105</v>
      </c>
      <c r="B173" s="241" t="s">
        <v>120</v>
      </c>
      <c r="C173" s="242" t="s">
        <v>192</v>
      </c>
      <c r="D173" s="289">
        <v>2040</v>
      </c>
      <c r="E173" s="279">
        <v>500</v>
      </c>
      <c r="F173" s="279">
        <v>500</v>
      </c>
      <c r="G173" s="738" t="b">
        <f t="shared" si="16"/>
        <v>1</v>
      </c>
      <c r="H173" s="224"/>
      <c r="I173" s="224"/>
      <c r="N173" s="246"/>
      <c r="R173" s="224"/>
      <c r="S173" s="224"/>
      <c r="U173" s="224"/>
    </row>
    <row r="174" spans="1:21">
      <c r="A174" s="238" t="s">
        <v>106</v>
      </c>
      <c r="B174" s="224" t="s">
        <v>121</v>
      </c>
      <c r="C174" s="45" t="s">
        <v>183</v>
      </c>
      <c r="D174" s="44">
        <v>2030</v>
      </c>
      <c r="E174" s="261">
        <v>600</v>
      </c>
      <c r="F174" s="261">
        <v>600</v>
      </c>
      <c r="G174" s="738" t="b">
        <f t="shared" si="16"/>
        <v>1</v>
      </c>
      <c r="H174" s="224"/>
      <c r="I174" s="224"/>
      <c r="N174" s="45"/>
      <c r="R174" s="224"/>
      <c r="S174" s="224"/>
      <c r="U174" s="224"/>
    </row>
    <row r="175" spans="1:21">
      <c r="A175" s="238" t="s">
        <v>106</v>
      </c>
      <c r="B175" s="224" t="s">
        <v>121</v>
      </c>
      <c r="C175" s="45" t="s">
        <v>179</v>
      </c>
      <c r="D175" s="44">
        <v>2040</v>
      </c>
      <c r="E175" s="261">
        <v>500</v>
      </c>
      <c r="F175" s="261">
        <v>500</v>
      </c>
      <c r="G175" s="738" t="b">
        <f t="shared" si="16"/>
        <v>1</v>
      </c>
      <c r="H175" s="224"/>
      <c r="I175" s="224"/>
      <c r="N175" s="246"/>
      <c r="R175" s="224"/>
      <c r="S175" s="224"/>
      <c r="U175" s="224"/>
    </row>
    <row r="176" spans="1:21">
      <c r="A176" s="240" t="s">
        <v>106</v>
      </c>
      <c r="B176" s="241" t="s">
        <v>121</v>
      </c>
      <c r="C176" s="242" t="s">
        <v>181</v>
      </c>
      <c r="D176" s="289">
        <v>2040</v>
      </c>
      <c r="E176" s="279">
        <v>500</v>
      </c>
      <c r="F176" s="279">
        <v>500</v>
      </c>
      <c r="G176" s="738" t="b">
        <f t="shared" si="16"/>
        <v>1</v>
      </c>
      <c r="H176" s="224"/>
      <c r="I176" s="224"/>
      <c r="N176" s="246"/>
      <c r="R176" s="224"/>
      <c r="S176" s="224"/>
      <c r="U176" s="224"/>
    </row>
    <row r="177" spans="1:21">
      <c r="A177" s="239" t="s">
        <v>105</v>
      </c>
      <c r="B177" s="233" t="s">
        <v>122</v>
      </c>
      <c r="C177" s="234" t="s">
        <v>183</v>
      </c>
      <c r="D177" s="291">
        <v>2035</v>
      </c>
      <c r="E177" s="277">
        <v>500</v>
      </c>
      <c r="F177" s="277">
        <v>500</v>
      </c>
      <c r="G177" s="738" t="b">
        <f t="shared" si="16"/>
        <v>1</v>
      </c>
      <c r="H177" s="224"/>
      <c r="I177" s="224"/>
      <c r="N177" s="45"/>
      <c r="R177" s="224"/>
      <c r="S177" s="224"/>
      <c r="U177" s="224"/>
    </row>
    <row r="178" spans="1:21">
      <c r="A178" s="247" t="s">
        <v>99</v>
      </c>
      <c r="B178" s="248" t="s">
        <v>101</v>
      </c>
      <c r="C178" s="249" t="s">
        <v>179</v>
      </c>
      <c r="D178" s="292">
        <v>2030</v>
      </c>
      <c r="E178" s="276">
        <v>600</v>
      </c>
      <c r="F178" s="276">
        <v>600</v>
      </c>
      <c r="G178" s="738" t="b">
        <f t="shared" si="16"/>
        <v>1</v>
      </c>
      <c r="H178" s="224"/>
      <c r="I178" s="224"/>
      <c r="N178" s="45"/>
      <c r="R178" s="224"/>
      <c r="S178" s="224"/>
      <c r="U178" s="224"/>
    </row>
    <row r="179" spans="1:21">
      <c r="A179" s="238" t="s">
        <v>101</v>
      </c>
      <c r="B179" s="224" t="s">
        <v>120</v>
      </c>
      <c r="C179" s="45" t="s">
        <v>179</v>
      </c>
      <c r="D179" s="44">
        <v>2040</v>
      </c>
      <c r="E179" s="261">
        <v>1000</v>
      </c>
      <c r="F179" s="261">
        <v>1000</v>
      </c>
      <c r="G179" s="738" t="b">
        <f t="shared" si="16"/>
        <v>1</v>
      </c>
      <c r="H179" s="224"/>
      <c r="I179" s="224"/>
      <c r="N179" s="45"/>
      <c r="R179" s="224"/>
      <c r="S179" s="224"/>
      <c r="U179" s="224"/>
    </row>
    <row r="180" spans="1:21">
      <c r="A180" s="239" t="s">
        <v>101</v>
      </c>
      <c r="B180" s="233" t="s">
        <v>120</v>
      </c>
      <c r="C180" s="234" t="s">
        <v>181</v>
      </c>
      <c r="D180" s="291">
        <v>2040</v>
      </c>
      <c r="E180" s="277">
        <v>1000</v>
      </c>
      <c r="F180" s="277">
        <v>1000</v>
      </c>
      <c r="G180" s="738" t="b">
        <f t="shared" si="16"/>
        <v>1</v>
      </c>
      <c r="H180" s="224"/>
      <c r="I180" s="224"/>
      <c r="N180" s="45"/>
      <c r="R180" s="224"/>
      <c r="S180" s="224"/>
      <c r="U180" s="224"/>
    </row>
    <row r="181" spans="1:21">
      <c r="A181" s="235" t="s">
        <v>117</v>
      </c>
      <c r="B181" s="236" t="s">
        <v>119</v>
      </c>
      <c r="C181" s="237" t="s">
        <v>179</v>
      </c>
      <c r="D181" s="288">
        <v>2040</v>
      </c>
      <c r="E181" s="278">
        <v>500</v>
      </c>
      <c r="F181" s="278">
        <v>500</v>
      </c>
      <c r="G181" s="738" t="b">
        <f t="shared" si="16"/>
        <v>1</v>
      </c>
      <c r="H181" s="224"/>
      <c r="I181" s="224"/>
      <c r="N181" s="45"/>
    </row>
    <row r="182" spans="1:21">
      <c r="A182" s="239" t="s">
        <v>117</v>
      </c>
      <c r="B182" s="233" t="s">
        <v>119</v>
      </c>
      <c r="C182" s="234" t="s">
        <v>181</v>
      </c>
      <c r="D182" s="291">
        <v>2040</v>
      </c>
      <c r="E182" s="277">
        <v>500</v>
      </c>
      <c r="F182" s="277">
        <v>500</v>
      </c>
      <c r="G182" s="738" t="b">
        <f t="shared" si="16"/>
        <v>1</v>
      </c>
      <c r="H182" s="224"/>
      <c r="I182" s="224"/>
      <c r="N182" s="45"/>
    </row>
    <row r="183" spans="1:21">
      <c r="A183" s="235" t="s">
        <v>117</v>
      </c>
      <c r="B183" s="236" t="s">
        <v>123</v>
      </c>
      <c r="C183" s="237" t="s">
        <v>183</v>
      </c>
      <c r="D183" s="288">
        <v>2035</v>
      </c>
      <c r="E183" s="278">
        <v>700</v>
      </c>
      <c r="F183" s="278">
        <v>700</v>
      </c>
      <c r="G183" s="738" t="b">
        <f t="shared" si="16"/>
        <v>1</v>
      </c>
      <c r="H183" s="224"/>
      <c r="I183" s="224"/>
      <c r="N183" s="45"/>
    </row>
    <row r="184" spans="1:21">
      <c r="A184" s="238" t="s">
        <v>117</v>
      </c>
      <c r="B184" s="224" t="s">
        <v>123</v>
      </c>
      <c r="C184" s="45" t="s">
        <v>179</v>
      </c>
      <c r="D184" s="44">
        <v>2030</v>
      </c>
      <c r="E184" s="261">
        <v>700</v>
      </c>
      <c r="F184" s="261">
        <v>700</v>
      </c>
      <c r="G184" s="738" t="b">
        <f t="shared" si="16"/>
        <v>1</v>
      </c>
      <c r="H184" s="224"/>
      <c r="I184" s="224"/>
      <c r="N184" s="45"/>
    </row>
    <row r="185" spans="1:21">
      <c r="A185" s="239" t="s">
        <v>117</v>
      </c>
      <c r="B185" s="233" t="s">
        <v>123</v>
      </c>
      <c r="C185" s="234" t="s">
        <v>181</v>
      </c>
      <c r="D185" s="291">
        <v>2040</v>
      </c>
      <c r="E185" s="277">
        <v>700</v>
      </c>
      <c r="F185" s="277">
        <v>700</v>
      </c>
      <c r="G185" s="738" t="b">
        <f t="shared" si="16"/>
        <v>1</v>
      </c>
      <c r="H185" s="224"/>
      <c r="I185" s="224"/>
      <c r="N185" s="45"/>
    </row>
    <row r="186" spans="1:21">
      <c r="A186" s="235" t="s">
        <v>121</v>
      </c>
      <c r="B186" s="236" t="s">
        <v>122</v>
      </c>
      <c r="C186" s="237" t="s">
        <v>179</v>
      </c>
      <c r="D186" s="288">
        <v>2030</v>
      </c>
      <c r="E186" s="278">
        <v>500</v>
      </c>
      <c r="F186" s="278">
        <v>500</v>
      </c>
      <c r="G186" s="738" t="b">
        <f t="shared" si="16"/>
        <v>1</v>
      </c>
      <c r="H186" s="224"/>
      <c r="I186" s="224"/>
      <c r="N186" s="246"/>
    </row>
    <row r="187" spans="1:21">
      <c r="A187" s="238" t="s">
        <v>121</v>
      </c>
      <c r="B187" s="224" t="s">
        <v>122</v>
      </c>
      <c r="C187" s="45" t="s">
        <v>181</v>
      </c>
      <c r="D187" s="44">
        <v>2030</v>
      </c>
      <c r="E187" s="261">
        <v>500</v>
      </c>
      <c r="F187" s="261">
        <v>500</v>
      </c>
      <c r="G187" s="738" t="b">
        <f t="shared" si="16"/>
        <v>1</v>
      </c>
      <c r="H187" s="224"/>
      <c r="I187" s="224"/>
      <c r="N187" s="246"/>
    </row>
    <row r="188" spans="1:21">
      <c r="A188" s="239" t="s">
        <v>121</v>
      </c>
      <c r="B188" s="233" t="s">
        <v>122</v>
      </c>
      <c r="C188" s="234" t="s">
        <v>190</v>
      </c>
      <c r="D188" s="291">
        <v>2030</v>
      </c>
      <c r="E188" s="277">
        <v>500</v>
      </c>
      <c r="F188" s="277">
        <v>500</v>
      </c>
      <c r="G188" s="738" t="b">
        <f t="shared" si="16"/>
        <v>1</v>
      </c>
      <c r="H188" s="224"/>
      <c r="I188" s="224"/>
      <c r="N188" s="246"/>
    </row>
    <row r="189" spans="1:21">
      <c r="A189" s="235" t="s">
        <v>122</v>
      </c>
      <c r="B189" s="236" t="s">
        <v>123</v>
      </c>
      <c r="C189" s="237" t="s">
        <v>183</v>
      </c>
      <c r="D189" s="288">
        <v>2035</v>
      </c>
      <c r="E189" s="278">
        <v>1000</v>
      </c>
      <c r="F189" s="278">
        <v>1000</v>
      </c>
      <c r="G189" s="738" t="b">
        <f t="shared" si="16"/>
        <v>1</v>
      </c>
      <c r="H189" s="224"/>
      <c r="I189" s="224"/>
      <c r="N189" s="45"/>
    </row>
    <row r="190" spans="1:21">
      <c r="A190" s="238" t="s">
        <v>122</v>
      </c>
      <c r="B190" s="224" t="s">
        <v>123</v>
      </c>
      <c r="C190" s="45" t="s">
        <v>179</v>
      </c>
      <c r="D190" s="44">
        <v>2030</v>
      </c>
      <c r="E190" s="261">
        <v>1000</v>
      </c>
      <c r="F190" s="261">
        <v>1000</v>
      </c>
      <c r="G190" s="738" t="b">
        <f t="shared" si="16"/>
        <v>1</v>
      </c>
      <c r="H190" s="224"/>
      <c r="I190" s="224"/>
      <c r="N190" s="45"/>
    </row>
    <row r="191" spans="1:21">
      <c r="A191" s="239" t="s">
        <v>122</v>
      </c>
      <c r="B191" s="233" t="s">
        <v>123</v>
      </c>
      <c r="C191" s="234" t="s">
        <v>181</v>
      </c>
      <c r="D191" s="291">
        <v>2040</v>
      </c>
      <c r="E191" s="277">
        <v>1000</v>
      </c>
      <c r="F191" s="277">
        <v>1000</v>
      </c>
      <c r="G191" s="738" t="b">
        <f t="shared" si="16"/>
        <v>1</v>
      </c>
      <c r="H191" s="224"/>
      <c r="I191" s="224"/>
      <c r="N191" s="45"/>
    </row>
    <row r="192" spans="1:21">
      <c r="E192" s="70">
        <f>SUM(E77:E191)</f>
        <v>95650</v>
      </c>
      <c r="F192" s="70">
        <f>SUM(F77:F191)</f>
        <v>95550</v>
      </c>
      <c r="G192" s="45"/>
    </row>
    <row r="193" spans="1:23">
      <c r="E193" s="70"/>
      <c r="F193" s="70"/>
      <c r="G193" s="45"/>
    </row>
    <row r="194" spans="1:23">
      <c r="A194" s="87" t="s">
        <v>464</v>
      </c>
      <c r="B194" s="77"/>
      <c r="C194" s="77"/>
      <c r="D194" s="77"/>
      <c r="E194" s="77"/>
      <c r="G194" s="45"/>
      <c r="H194" s="73" t="s">
        <v>970</v>
      </c>
      <c r="I194" s="73"/>
      <c r="J194" s="73"/>
      <c r="K194" s="73"/>
      <c r="L194" s="73"/>
      <c r="M194" s="73"/>
      <c r="N194" s="73"/>
      <c r="O194" s="73"/>
      <c r="P194" s="73"/>
      <c r="Q194" s="73"/>
      <c r="R194" s="73"/>
      <c r="S194" s="73"/>
      <c r="T194" s="73"/>
      <c r="U194" s="73"/>
    </row>
    <row r="195" spans="1:23" ht="14.4" customHeight="1">
      <c r="A195" s="271" t="s">
        <v>973</v>
      </c>
      <c r="B195" s="220" t="s">
        <v>974</v>
      </c>
      <c r="C195" s="220" t="s">
        <v>174</v>
      </c>
      <c r="D195" s="220" t="s">
        <v>175</v>
      </c>
      <c r="E195" s="19"/>
      <c r="G195" s="45"/>
      <c r="H195" s="77" t="s">
        <v>968</v>
      </c>
      <c r="I195" s="77"/>
      <c r="J195" s="77"/>
      <c r="K195" s="77"/>
      <c r="M195" s="77" t="s">
        <v>981</v>
      </c>
      <c r="N195" s="77"/>
      <c r="O195" s="77"/>
      <c r="P195" s="77"/>
      <c r="R195" s="778" t="s">
        <v>984</v>
      </c>
      <c r="S195" s="778"/>
      <c r="T195" s="778"/>
      <c r="U195" s="778"/>
    </row>
    <row r="196" spans="1:23">
      <c r="A196" s="250" t="s">
        <v>26</v>
      </c>
      <c r="B196" s="46" t="s">
        <v>126</v>
      </c>
      <c r="C196" s="270">
        <f>SUM(E77:E78)</f>
        <v>2000</v>
      </c>
      <c r="D196" s="270">
        <f>SUM(F77:F78)</f>
        <v>2000</v>
      </c>
      <c r="E196" s="270"/>
      <c r="G196" s="45"/>
      <c r="H196" s="776" t="s">
        <v>978</v>
      </c>
      <c r="I196" s="776"/>
      <c r="J196" s="776"/>
      <c r="K196" s="776"/>
      <c r="R196" s="778"/>
      <c r="S196" s="778"/>
      <c r="T196" s="778"/>
      <c r="U196" s="778"/>
    </row>
    <row r="197" spans="1:23">
      <c r="A197" s="250" t="s">
        <v>26</v>
      </c>
      <c r="B197" s="46" t="s">
        <v>75</v>
      </c>
      <c r="C197" s="270">
        <f>E79</f>
        <v>1400</v>
      </c>
      <c r="D197" s="270">
        <f>F79</f>
        <v>1400</v>
      </c>
      <c r="E197" s="270"/>
      <c r="G197" s="45"/>
      <c r="H197" s="776"/>
      <c r="I197" s="776"/>
      <c r="J197" s="776"/>
      <c r="K197" s="776"/>
      <c r="R197" s="18" t="s">
        <v>982</v>
      </c>
      <c r="S197" s="18" t="s">
        <v>983</v>
      </c>
      <c r="T197" s="18" t="s">
        <v>454</v>
      </c>
      <c r="U197" s="18" t="s">
        <v>453</v>
      </c>
    </row>
    <row r="198" spans="1:23">
      <c r="A198" s="250" t="s">
        <v>26</v>
      </c>
      <c r="B198" s="46" t="s">
        <v>138</v>
      </c>
      <c r="C198" s="270">
        <f>SUM(E80:E81)</f>
        <v>4000</v>
      </c>
      <c r="D198" s="270">
        <f>SUM(F80:F81)</f>
        <v>4000</v>
      </c>
      <c r="E198" s="270"/>
      <c r="G198" s="45"/>
      <c r="H198" s="776" t="s">
        <v>979</v>
      </c>
      <c r="I198" s="776"/>
      <c r="J198" s="776"/>
      <c r="K198" s="776"/>
      <c r="R198" s="224" t="s">
        <v>178</v>
      </c>
      <c r="S198" s="224" t="s">
        <v>180</v>
      </c>
      <c r="T198" s="527">
        <f>M14+O198</f>
        <v>4800</v>
      </c>
      <c r="U198" s="527">
        <f>N14+P198</f>
        <v>4800</v>
      </c>
      <c r="V198" s="215"/>
      <c r="W198" s="215"/>
    </row>
    <row r="199" spans="1:23">
      <c r="A199" s="250" t="s">
        <v>26</v>
      </c>
      <c r="B199" s="46" t="s">
        <v>129</v>
      </c>
      <c r="C199" s="270">
        <f>SUM(E82:E84)</f>
        <v>3000</v>
      </c>
      <c r="D199" s="270">
        <f>SUM(F82:F84)</f>
        <v>3000</v>
      </c>
      <c r="E199" s="270"/>
      <c r="G199" s="45"/>
      <c r="H199" s="776"/>
      <c r="I199" s="776"/>
      <c r="J199" s="776"/>
      <c r="K199" s="776"/>
      <c r="M199" s="46" t="s">
        <v>26</v>
      </c>
      <c r="N199" s="46" t="s">
        <v>75</v>
      </c>
      <c r="O199" s="556">
        <v>1400</v>
      </c>
      <c r="P199" s="303">
        <v>1400</v>
      </c>
      <c r="R199" s="224" t="s">
        <v>178</v>
      </c>
      <c r="S199" s="224" t="s">
        <v>182</v>
      </c>
      <c r="T199" s="526">
        <f t="shared" ref="T199:U199" si="17">M15+O199</f>
        <v>2800</v>
      </c>
      <c r="U199" s="526">
        <f t="shared" si="17"/>
        <v>2800</v>
      </c>
      <c r="V199" s="215"/>
      <c r="W199" s="215"/>
    </row>
    <row r="200" spans="1:23">
      <c r="A200" s="250" t="s">
        <v>26</v>
      </c>
      <c r="B200" s="46" t="s">
        <v>130</v>
      </c>
      <c r="C200" s="270">
        <f>SUM(E85:E87)</f>
        <v>3000</v>
      </c>
      <c r="D200" s="270">
        <f>SUM(F85:F87)</f>
        <v>3000</v>
      </c>
      <c r="E200" s="270"/>
      <c r="G200" s="45"/>
      <c r="H200" s="46" t="s">
        <v>26</v>
      </c>
      <c r="I200" s="46" t="s">
        <v>75</v>
      </c>
      <c r="J200" s="556">
        <f>D197</f>
        <v>1400</v>
      </c>
      <c r="K200" s="303">
        <f>C197</f>
        <v>1400</v>
      </c>
      <c r="R200" s="224" t="s">
        <v>178</v>
      </c>
      <c r="S200" s="224" t="s">
        <v>199</v>
      </c>
      <c r="T200" s="527">
        <f t="shared" ref="T200:U200" si="18">M16+O200</f>
        <v>2000</v>
      </c>
      <c r="U200" s="527">
        <f t="shared" si="18"/>
        <v>3000</v>
      </c>
      <c r="V200" s="303"/>
      <c r="W200" s="303"/>
    </row>
    <row r="201" spans="1:23">
      <c r="A201" s="250" t="s">
        <v>26</v>
      </c>
      <c r="B201" s="46" t="s">
        <v>131</v>
      </c>
      <c r="C201" s="270">
        <f>SUM(E88:E94)</f>
        <v>3700</v>
      </c>
      <c r="D201" s="270">
        <f>SUM(F88:F94)</f>
        <v>3700</v>
      </c>
      <c r="E201" s="270"/>
      <c r="G201" s="45"/>
      <c r="H201" s="46" t="s">
        <v>126</v>
      </c>
      <c r="I201" s="46" t="s">
        <v>75</v>
      </c>
      <c r="J201" s="556">
        <f>D204</f>
        <v>3850</v>
      </c>
      <c r="K201" s="303">
        <f>C204</f>
        <v>3850</v>
      </c>
      <c r="M201" s="46" t="s">
        <v>107</v>
      </c>
      <c r="N201" s="46" t="s">
        <v>114</v>
      </c>
      <c r="O201" s="363">
        <v>1000</v>
      </c>
      <c r="P201" s="363">
        <v>1000</v>
      </c>
      <c r="R201" s="224" t="s">
        <v>178</v>
      </c>
      <c r="S201" s="224" t="s">
        <v>184</v>
      </c>
      <c r="T201" s="526">
        <f t="shared" ref="T201:U201" si="19">M17+O201</f>
        <v>6000</v>
      </c>
      <c r="U201" s="526">
        <f t="shared" si="19"/>
        <v>6000</v>
      </c>
      <c r="V201" s="303"/>
      <c r="W201" s="303"/>
    </row>
    <row r="202" spans="1:23">
      <c r="A202" s="250" t="s">
        <v>26</v>
      </c>
      <c r="B202" s="46" t="s">
        <v>132</v>
      </c>
      <c r="C202" s="270">
        <f>SUM(E95:E101)</f>
        <v>5000</v>
      </c>
      <c r="D202" s="270">
        <f>SUM(F95:F101)</f>
        <v>5000</v>
      </c>
      <c r="E202" s="270"/>
      <c r="G202" s="45"/>
      <c r="H202" s="37" t="s">
        <v>75</v>
      </c>
      <c r="I202" s="37" t="s">
        <v>129</v>
      </c>
      <c r="J202" s="303">
        <f t="shared" ref="J202:K205" si="20">C207</f>
        <v>2000</v>
      </c>
      <c r="K202" s="303">
        <f t="shared" si="20"/>
        <v>2000</v>
      </c>
      <c r="R202" s="224" t="s">
        <v>178</v>
      </c>
      <c r="S202" s="224" t="s">
        <v>185</v>
      </c>
      <c r="T202" s="527">
        <f t="shared" ref="T202:U202" si="21">M18+O202</f>
        <v>1000</v>
      </c>
      <c r="U202" s="527">
        <f t="shared" si="21"/>
        <v>1000</v>
      </c>
      <c r="V202" s="215"/>
      <c r="W202" s="215"/>
    </row>
    <row r="203" spans="1:23" ht="14.4" customHeight="1">
      <c r="A203" s="251" t="s">
        <v>26</v>
      </c>
      <c r="B203" s="252" t="s">
        <v>134</v>
      </c>
      <c r="C203" s="283">
        <f>SUM(E102:E103)</f>
        <v>2000</v>
      </c>
      <c r="D203" s="283">
        <f>SUM(F102:F103)</f>
        <v>2000</v>
      </c>
      <c r="E203" s="283">
        <f>SUM(D196:D203)</f>
        <v>24100</v>
      </c>
      <c r="G203" s="45"/>
      <c r="H203" s="37" t="s">
        <v>75</v>
      </c>
      <c r="I203" s="37" t="s">
        <v>130</v>
      </c>
      <c r="J203" s="303">
        <f t="shared" si="20"/>
        <v>3400</v>
      </c>
      <c r="K203" s="303">
        <f t="shared" si="20"/>
        <v>3400</v>
      </c>
      <c r="M203" s="46" t="s">
        <v>107</v>
      </c>
      <c r="N203" s="46" t="s">
        <v>106</v>
      </c>
      <c r="O203" s="363">
        <v>700</v>
      </c>
      <c r="P203" s="363">
        <v>700</v>
      </c>
      <c r="R203" s="224" t="s">
        <v>178</v>
      </c>
      <c r="S203" s="37" t="s">
        <v>186</v>
      </c>
      <c r="T203" s="526">
        <f t="shared" ref="T203:U203" si="22">M19+O203</f>
        <v>2015</v>
      </c>
      <c r="U203" s="526">
        <f t="shared" si="22"/>
        <v>2015</v>
      </c>
      <c r="V203" s="303"/>
      <c r="W203" s="303"/>
    </row>
    <row r="204" spans="1:23">
      <c r="A204" s="253" t="s">
        <v>126</v>
      </c>
      <c r="B204" s="227" t="s">
        <v>75</v>
      </c>
      <c r="C204" s="284">
        <f>SUM(E104:E106)</f>
        <v>3850</v>
      </c>
      <c r="D204" s="284">
        <f>SUM(F104:F106)</f>
        <v>3850</v>
      </c>
      <c r="E204" s="284"/>
      <c r="G204" s="45"/>
      <c r="H204" s="37" t="s">
        <v>75</v>
      </c>
      <c r="I204" s="37" t="s">
        <v>101</v>
      </c>
      <c r="J204" s="303">
        <f t="shared" si="20"/>
        <v>1400</v>
      </c>
      <c r="K204" s="303">
        <f t="shared" si="20"/>
        <v>1400</v>
      </c>
      <c r="M204" s="224" t="s">
        <v>107</v>
      </c>
      <c r="N204" s="224" t="s">
        <v>99</v>
      </c>
      <c r="O204" s="363">
        <v>500</v>
      </c>
      <c r="P204" s="363">
        <v>500</v>
      </c>
      <c r="R204" s="224" t="s">
        <v>178</v>
      </c>
      <c r="S204" s="224" t="s">
        <v>200</v>
      </c>
      <c r="T204" s="526">
        <f t="shared" ref="T204:U204" si="23">M20+O204</f>
        <v>1500</v>
      </c>
      <c r="U204" s="526">
        <f t="shared" si="23"/>
        <v>1500</v>
      </c>
      <c r="V204" s="303"/>
      <c r="W204" s="303"/>
    </row>
    <row r="205" spans="1:23">
      <c r="A205" s="250" t="s">
        <v>126</v>
      </c>
      <c r="B205" s="46" t="s">
        <v>127</v>
      </c>
      <c r="C205" s="270">
        <f>SUM(E107:E110)</f>
        <v>6000</v>
      </c>
      <c r="D205" s="270">
        <f>SUM(F107:F110)</f>
        <v>6000</v>
      </c>
      <c r="E205" s="270"/>
      <c r="G205" s="45"/>
      <c r="H205" s="37" t="s">
        <v>75</v>
      </c>
      <c r="I205" s="37" t="s">
        <v>120</v>
      </c>
      <c r="J205" s="303">
        <f t="shared" si="20"/>
        <v>2000</v>
      </c>
      <c r="K205" s="303">
        <f t="shared" si="20"/>
        <v>2000</v>
      </c>
      <c r="M205" s="46" t="s">
        <v>26</v>
      </c>
      <c r="N205" s="46" t="s">
        <v>101</v>
      </c>
      <c r="O205" s="556">
        <v>2000</v>
      </c>
      <c r="P205" s="556">
        <v>2000</v>
      </c>
      <c r="R205" s="224" t="s">
        <v>178</v>
      </c>
      <c r="S205" s="37" t="s">
        <v>189</v>
      </c>
      <c r="T205" s="526">
        <f t="shared" ref="T205:U205" si="24">M21+O205</f>
        <v>5500</v>
      </c>
      <c r="U205" s="526">
        <f t="shared" si="24"/>
        <v>5500</v>
      </c>
      <c r="V205" s="215"/>
      <c r="W205" s="215"/>
    </row>
    <row r="206" spans="1:23">
      <c r="A206" s="250" t="s">
        <v>126</v>
      </c>
      <c r="B206" s="46" t="s">
        <v>130</v>
      </c>
      <c r="C206" s="270">
        <f>SUM(E111:E113)</f>
        <v>3000</v>
      </c>
      <c r="D206" s="270">
        <f>SUM(F111:F113)</f>
        <v>3000</v>
      </c>
      <c r="E206" s="270">
        <f>SUM(D204:D206)</f>
        <v>12850</v>
      </c>
      <c r="G206" s="45"/>
      <c r="H206" s="77" t="s">
        <v>969</v>
      </c>
      <c r="I206" s="77"/>
      <c r="J206" s="77"/>
      <c r="K206" s="77"/>
      <c r="M206" s="252" t="s">
        <v>26</v>
      </c>
      <c r="N206" s="252" t="s">
        <v>120</v>
      </c>
      <c r="O206" s="550">
        <v>2000</v>
      </c>
      <c r="P206" s="550">
        <v>2000</v>
      </c>
      <c r="R206" s="229" t="s">
        <v>178</v>
      </c>
      <c r="S206" s="229" t="s">
        <v>191</v>
      </c>
      <c r="T206" s="551">
        <f t="shared" ref="T206:U206" si="25">M22+O206</f>
        <v>3400</v>
      </c>
      <c r="U206" s="551">
        <f t="shared" si="25"/>
        <v>3400</v>
      </c>
      <c r="V206" s="215"/>
      <c r="W206" s="215"/>
    </row>
    <row r="207" spans="1:23">
      <c r="A207" s="254" t="s">
        <v>75</v>
      </c>
      <c r="B207" s="226" t="s">
        <v>129</v>
      </c>
      <c r="C207" s="285">
        <f>SUM(E114:E115)</f>
        <v>2000</v>
      </c>
      <c r="D207" s="285">
        <f>SUM(F114:F115)</f>
        <v>2000</v>
      </c>
      <c r="E207" s="284"/>
      <c r="G207" s="45"/>
      <c r="H207" s="776" t="s">
        <v>975</v>
      </c>
      <c r="I207" s="776"/>
      <c r="J207" s="776"/>
      <c r="K207" s="776"/>
      <c r="M207" s="46" t="s">
        <v>126</v>
      </c>
      <c r="N207" s="46" t="s">
        <v>75</v>
      </c>
      <c r="O207" s="556">
        <v>3850</v>
      </c>
      <c r="P207" s="303">
        <v>3850</v>
      </c>
      <c r="R207" s="224" t="s">
        <v>180</v>
      </c>
      <c r="S207" s="224" t="s">
        <v>182</v>
      </c>
      <c r="T207" s="526">
        <f t="shared" ref="T207:U207" si="26">M23+O207</f>
        <v>9450</v>
      </c>
      <c r="U207" s="526">
        <f t="shared" si="26"/>
        <v>9450</v>
      </c>
      <c r="V207" s="215"/>
      <c r="W207" s="215"/>
    </row>
    <row r="208" spans="1:23">
      <c r="A208" s="255" t="s">
        <v>75</v>
      </c>
      <c r="B208" s="37" t="s">
        <v>130</v>
      </c>
      <c r="C208" s="70">
        <f>SUM(E116:E117)</f>
        <v>3400</v>
      </c>
      <c r="D208" s="70">
        <f>SUM(F116:F117)</f>
        <v>3400</v>
      </c>
      <c r="E208" s="270"/>
      <c r="G208" s="45"/>
      <c r="H208" s="776"/>
      <c r="I208" s="776"/>
      <c r="J208" s="776"/>
      <c r="K208" s="776"/>
      <c r="M208" s="224" t="s">
        <v>109</v>
      </c>
      <c r="N208" s="224" t="s">
        <v>112</v>
      </c>
      <c r="O208" s="363">
        <v>3000</v>
      </c>
      <c r="P208" s="363">
        <v>3000</v>
      </c>
      <c r="R208" s="224" t="s">
        <v>180</v>
      </c>
      <c r="S208" s="224" t="s">
        <v>195</v>
      </c>
      <c r="T208" s="526">
        <f t="shared" ref="T208:U208" si="27">M24+O208</f>
        <v>8000</v>
      </c>
      <c r="U208" s="526">
        <f t="shared" si="27"/>
        <v>8000</v>
      </c>
      <c r="V208" s="303"/>
      <c r="W208" s="303"/>
    </row>
    <row r="209" spans="1:23">
      <c r="A209" s="255" t="s">
        <v>75</v>
      </c>
      <c r="B209" s="37" t="s">
        <v>132</v>
      </c>
      <c r="C209" s="70">
        <f>E118</f>
        <v>1400</v>
      </c>
      <c r="D209" s="70">
        <f>F118</f>
        <v>1400</v>
      </c>
      <c r="E209" s="270"/>
      <c r="G209" s="45"/>
      <c r="H209" s="776"/>
      <c r="I209" s="776"/>
      <c r="J209" s="776"/>
      <c r="K209" s="776"/>
      <c r="M209" s="229" t="s">
        <v>109</v>
      </c>
      <c r="N209" s="229" t="s">
        <v>115</v>
      </c>
      <c r="O209" s="553">
        <v>1000</v>
      </c>
      <c r="P209" s="553">
        <v>1000</v>
      </c>
      <c r="R209" s="229" t="s">
        <v>180</v>
      </c>
      <c r="S209" s="229" t="s">
        <v>185</v>
      </c>
      <c r="T209" s="551">
        <f t="shared" ref="T209:U209" si="28">M25+O209</f>
        <v>5300</v>
      </c>
      <c r="U209" s="551">
        <f t="shared" si="28"/>
        <v>3800</v>
      </c>
      <c r="V209" s="303"/>
      <c r="W209" s="303"/>
    </row>
    <row r="210" spans="1:23">
      <c r="A210" s="255" t="s">
        <v>75</v>
      </c>
      <c r="B210" s="37" t="s">
        <v>134</v>
      </c>
      <c r="C210" s="70">
        <f>SUM(E119:E120)</f>
        <v>2000</v>
      </c>
      <c r="D210" s="70">
        <f>SUM(F119:F120)</f>
        <v>2000</v>
      </c>
      <c r="E210" s="270">
        <f>SUM(D197,D204,D207:D210)</f>
        <v>14050</v>
      </c>
      <c r="G210" s="45"/>
      <c r="H210" s="776" t="s">
        <v>976</v>
      </c>
      <c r="I210" s="776"/>
      <c r="J210" s="776"/>
      <c r="K210" s="776"/>
      <c r="M210" s="37" t="s">
        <v>75</v>
      </c>
      <c r="N210" s="37" t="s">
        <v>129</v>
      </c>
      <c r="O210" s="303">
        <v>2000</v>
      </c>
      <c r="P210" s="303">
        <v>2000</v>
      </c>
      <c r="R210" s="224" t="s">
        <v>182</v>
      </c>
      <c r="S210" s="224" t="s">
        <v>184</v>
      </c>
      <c r="T210" s="526">
        <f t="shared" ref="T210:U210" si="29">M26+O210</f>
        <v>3000</v>
      </c>
      <c r="U210" s="526">
        <f t="shared" si="29"/>
        <v>3000</v>
      </c>
      <c r="V210" s="215"/>
      <c r="W210" s="215"/>
    </row>
    <row r="211" spans="1:23">
      <c r="A211" s="253" t="s">
        <v>128</v>
      </c>
      <c r="B211" s="227" t="s">
        <v>131</v>
      </c>
      <c r="C211" s="284">
        <f>SUM(E121:E122)</f>
        <v>1000</v>
      </c>
      <c r="D211" s="284">
        <f>SUM(F121:F122)</f>
        <v>1000</v>
      </c>
      <c r="E211" s="284"/>
      <c r="G211" s="45"/>
      <c r="H211" s="776"/>
      <c r="I211" s="776"/>
      <c r="J211" s="776"/>
      <c r="K211" s="776"/>
      <c r="M211" s="37" t="s">
        <v>75</v>
      </c>
      <c r="N211" s="37" t="s">
        <v>130</v>
      </c>
      <c r="O211" s="303">
        <v>3400</v>
      </c>
      <c r="P211" s="303">
        <v>3400</v>
      </c>
      <c r="R211" s="224" t="s">
        <v>182</v>
      </c>
      <c r="S211" s="224" t="s">
        <v>185</v>
      </c>
      <c r="T211" s="526">
        <f t="shared" ref="T211:U211" si="30">M27+O211</f>
        <v>4400</v>
      </c>
      <c r="U211" s="526">
        <f t="shared" si="30"/>
        <v>4400</v>
      </c>
      <c r="V211" s="215"/>
      <c r="W211" s="215"/>
    </row>
    <row r="212" spans="1:23">
      <c r="A212" s="253" t="s">
        <v>129</v>
      </c>
      <c r="B212" s="227" t="s">
        <v>130</v>
      </c>
      <c r="C212" s="284">
        <f>SUM(E123:E126)</f>
        <v>4000</v>
      </c>
      <c r="D212" s="284">
        <f>SUM(F123:F126)</f>
        <v>4000</v>
      </c>
      <c r="E212" s="284"/>
      <c r="G212" s="45"/>
      <c r="H212" s="46" t="s">
        <v>26</v>
      </c>
      <c r="I212" s="46" t="s">
        <v>101</v>
      </c>
      <c r="J212" s="556">
        <v>2000</v>
      </c>
      <c r="K212" s="556">
        <v>2000</v>
      </c>
      <c r="M212" s="37" t="s">
        <v>75</v>
      </c>
      <c r="N212" s="37" t="s">
        <v>101</v>
      </c>
      <c r="O212" s="303">
        <v>1400</v>
      </c>
      <c r="P212" s="303">
        <v>1400</v>
      </c>
      <c r="R212" s="37" t="s">
        <v>197</v>
      </c>
      <c r="S212" s="37" t="s">
        <v>189</v>
      </c>
      <c r="T212" s="526">
        <f t="shared" ref="T212:U212" si="31">M28+O212</f>
        <v>2800</v>
      </c>
      <c r="U212" s="526">
        <f t="shared" si="31"/>
        <v>2800</v>
      </c>
      <c r="V212" s="303"/>
      <c r="W212" s="303"/>
    </row>
    <row r="213" spans="1:23" ht="14.4" customHeight="1">
      <c r="A213" s="37" t="s">
        <v>129</v>
      </c>
      <c r="B213" s="37" t="s">
        <v>132</v>
      </c>
      <c r="C213" s="70">
        <f>SUM(E127:E128)</f>
        <v>2000</v>
      </c>
      <c r="D213" s="70">
        <f>SUM(F127:F128)</f>
        <v>2000</v>
      </c>
      <c r="G213" s="45"/>
      <c r="H213" s="46" t="s">
        <v>26</v>
      </c>
      <c r="I213" s="46" t="s">
        <v>120</v>
      </c>
      <c r="J213" s="556">
        <v>2000</v>
      </c>
      <c r="K213" s="556">
        <v>2000</v>
      </c>
      <c r="M213" s="225" t="s">
        <v>75</v>
      </c>
      <c r="N213" s="225" t="s">
        <v>120</v>
      </c>
      <c r="O213" s="304">
        <v>2000</v>
      </c>
      <c r="P213" s="304">
        <v>2000</v>
      </c>
      <c r="R213" s="229" t="s">
        <v>182</v>
      </c>
      <c r="S213" s="252" t="s">
        <v>191</v>
      </c>
      <c r="T213" s="551">
        <f t="shared" ref="T213:U213" si="32">M29+O213</f>
        <v>3400</v>
      </c>
      <c r="U213" s="551">
        <f t="shared" si="32"/>
        <v>3400</v>
      </c>
      <c r="V213" s="215"/>
      <c r="W213" s="215"/>
    </row>
    <row r="214" spans="1:23">
      <c r="A214" s="37" t="s">
        <v>129</v>
      </c>
      <c r="B214" s="37" t="s">
        <v>134</v>
      </c>
      <c r="C214" s="70">
        <f>SUM(E129:E130)</f>
        <v>2000</v>
      </c>
      <c r="D214" s="70">
        <f>SUM(F129:F130)</f>
        <v>2000</v>
      </c>
      <c r="E214" s="283">
        <f>SUM(D199,D207,D212:D214)</f>
        <v>13000</v>
      </c>
      <c r="G214" s="45"/>
      <c r="H214" s="37" t="s">
        <v>129</v>
      </c>
      <c r="I214" s="37" t="s">
        <v>120</v>
      </c>
      <c r="J214" s="556">
        <v>2000</v>
      </c>
      <c r="K214" s="556">
        <v>2000</v>
      </c>
      <c r="R214" s="224" t="s">
        <v>199</v>
      </c>
      <c r="S214" s="37" t="s">
        <v>186</v>
      </c>
      <c r="T214" s="527">
        <f t="shared" ref="T214:U214" si="33">M30+O214</f>
        <v>600</v>
      </c>
      <c r="U214" s="527">
        <f t="shared" si="33"/>
        <v>600</v>
      </c>
      <c r="V214" s="215"/>
      <c r="W214" s="215"/>
    </row>
    <row r="215" spans="1:23">
      <c r="A215" s="253" t="s">
        <v>131</v>
      </c>
      <c r="B215" s="227" t="s">
        <v>132</v>
      </c>
      <c r="C215" s="284">
        <f>SUM(E139:E149)</f>
        <v>5700</v>
      </c>
      <c r="D215" s="284">
        <f>SUM(F139:F149)</f>
        <v>5700</v>
      </c>
      <c r="E215" s="284"/>
      <c r="G215" s="45"/>
      <c r="H215" s="46" t="s">
        <v>101</v>
      </c>
      <c r="I215" s="46" t="s">
        <v>120</v>
      </c>
      <c r="J215" s="556">
        <v>2000</v>
      </c>
      <c r="K215" s="556">
        <v>2000</v>
      </c>
      <c r="M215" s="225"/>
      <c r="N215" s="225"/>
      <c r="O215" s="225"/>
      <c r="P215" s="225"/>
      <c r="R215" s="229" t="s">
        <v>199</v>
      </c>
      <c r="S215" s="229" t="s">
        <v>201</v>
      </c>
      <c r="T215" s="548">
        <f t="shared" ref="T215:U215" si="34">M31+O215</f>
        <v>700</v>
      </c>
      <c r="U215" s="548">
        <f t="shared" si="34"/>
        <v>700</v>
      </c>
      <c r="V215" s="215"/>
      <c r="W215" s="215"/>
    </row>
    <row r="216" spans="1:23">
      <c r="A216" s="250" t="s">
        <v>131</v>
      </c>
      <c r="B216" s="46" t="s">
        <v>133</v>
      </c>
      <c r="C216" s="270">
        <f>SUM(E150:E163)</f>
        <v>8900</v>
      </c>
      <c r="D216" s="270">
        <f>SUM(F150:F163)</f>
        <v>8800</v>
      </c>
      <c r="E216" s="270"/>
      <c r="G216" s="45"/>
      <c r="J216" s="70">
        <f>SUM(J200:J205,J212:J215)</f>
        <v>22050</v>
      </c>
      <c r="K216" s="70">
        <f>SUM(K200:K205,K212:K215)</f>
        <v>22050</v>
      </c>
      <c r="M216" s="224" t="s">
        <v>114</v>
      </c>
      <c r="N216" s="224" t="s">
        <v>115</v>
      </c>
      <c r="O216" s="363">
        <v>1000</v>
      </c>
      <c r="P216" s="363">
        <v>1000</v>
      </c>
      <c r="R216" s="224" t="s">
        <v>184</v>
      </c>
      <c r="S216" s="224" t="s">
        <v>185</v>
      </c>
      <c r="T216" s="526">
        <f t="shared" ref="T216:U216" si="35">M32+O216</f>
        <v>4400</v>
      </c>
      <c r="U216" s="526">
        <f t="shared" si="35"/>
        <v>4400</v>
      </c>
      <c r="V216" s="303"/>
      <c r="W216" s="303"/>
    </row>
    <row r="217" spans="1:23" ht="14.4" customHeight="1">
      <c r="A217" s="250" t="s">
        <v>131</v>
      </c>
      <c r="B217" s="46" t="s">
        <v>134</v>
      </c>
      <c r="C217" s="270">
        <f>SUM(E164:E176)</f>
        <v>6600</v>
      </c>
      <c r="D217" s="270">
        <f>SUM(F164:F176)</f>
        <v>6600</v>
      </c>
      <c r="E217" s="270"/>
      <c r="G217" s="45"/>
      <c r="H217" s="763" t="s">
        <v>977</v>
      </c>
      <c r="I217" s="763"/>
      <c r="J217" s="763"/>
      <c r="K217" s="763"/>
      <c r="R217" s="224" t="s">
        <v>465</v>
      </c>
      <c r="S217" s="224" t="s">
        <v>203</v>
      </c>
      <c r="T217" s="527">
        <f t="shared" ref="T217:U217" si="36">M33+O217</f>
        <v>700</v>
      </c>
      <c r="U217" s="527">
        <f t="shared" si="36"/>
        <v>700</v>
      </c>
      <c r="V217" s="215"/>
      <c r="W217" s="215"/>
    </row>
    <row r="218" spans="1:23">
      <c r="A218" s="251" t="s">
        <v>131</v>
      </c>
      <c r="B218" s="252" t="s">
        <v>136</v>
      </c>
      <c r="C218" s="283">
        <f>E177</f>
        <v>500</v>
      </c>
      <c r="D218" s="283">
        <f>F177</f>
        <v>500</v>
      </c>
      <c r="E218" s="283">
        <f>SUM(D201,D211,D215:D218)</f>
        <v>26300</v>
      </c>
      <c r="G218" s="45"/>
      <c r="H218" s="776" t="s">
        <v>980</v>
      </c>
      <c r="I218" s="776"/>
      <c r="J218" s="776"/>
      <c r="K218" s="776"/>
      <c r="M218" s="225" t="s">
        <v>129</v>
      </c>
      <c r="N218" s="225" t="s">
        <v>120</v>
      </c>
      <c r="O218" s="550">
        <v>2000</v>
      </c>
      <c r="P218" s="550">
        <v>2000</v>
      </c>
      <c r="R218" s="229" t="s">
        <v>184</v>
      </c>
      <c r="S218" s="229" t="s">
        <v>191</v>
      </c>
      <c r="T218" s="551">
        <f t="shared" ref="T218:U218" si="37">M34+O218</f>
        <v>2700</v>
      </c>
      <c r="U218" s="551">
        <f t="shared" si="37"/>
        <v>2700</v>
      </c>
      <c r="V218" s="215"/>
      <c r="W218" s="215"/>
    </row>
    <row r="219" spans="1:23">
      <c r="A219" s="256" t="s">
        <v>132</v>
      </c>
      <c r="B219" s="257" t="s">
        <v>134</v>
      </c>
      <c r="C219" s="286">
        <f>SUM(E179:E180)</f>
        <v>2000</v>
      </c>
      <c r="D219" s="286">
        <f>SUM(F179:F180)</f>
        <v>2000</v>
      </c>
      <c r="E219" s="286">
        <f>SUM(D202,D209,D215,D219)</f>
        <v>14100</v>
      </c>
      <c r="G219" s="45"/>
      <c r="H219" s="776"/>
      <c r="I219" s="776"/>
      <c r="J219" s="776"/>
      <c r="K219" s="776"/>
      <c r="R219" s="224" t="s">
        <v>204</v>
      </c>
      <c r="S219" s="37" t="s">
        <v>205</v>
      </c>
      <c r="T219" s="527">
        <f t="shared" ref="T219:U219" si="38">M35+O219</f>
        <v>3300</v>
      </c>
      <c r="U219" s="527">
        <f t="shared" si="38"/>
        <v>3300</v>
      </c>
      <c r="V219" s="215"/>
      <c r="W219" s="215"/>
    </row>
    <row r="220" spans="1:23">
      <c r="A220" s="253" t="s">
        <v>133</v>
      </c>
      <c r="B220" s="227" t="s">
        <v>134</v>
      </c>
      <c r="C220" s="284">
        <f>SUM(E181:E182)</f>
        <v>1000</v>
      </c>
      <c r="D220" s="284">
        <f>SUM(F181:F182)</f>
        <v>1000</v>
      </c>
      <c r="E220" s="284"/>
      <c r="G220" s="45"/>
      <c r="H220" s="738" t="s">
        <v>107</v>
      </c>
      <c r="I220" s="738" t="s">
        <v>110</v>
      </c>
      <c r="J220" s="261">
        <v>1400</v>
      </c>
      <c r="K220" s="261">
        <v>1400</v>
      </c>
      <c r="M220" s="224" t="s">
        <v>104</v>
      </c>
      <c r="N220" s="224" t="s">
        <v>105</v>
      </c>
      <c r="O220" s="363">
        <v>2000</v>
      </c>
      <c r="P220" s="363">
        <v>2000</v>
      </c>
      <c r="R220" s="224" t="s">
        <v>206</v>
      </c>
      <c r="S220" s="37" t="s">
        <v>207</v>
      </c>
      <c r="T220" s="526">
        <f t="shared" ref="T220:U220" si="39">M36+O220</f>
        <v>9300</v>
      </c>
      <c r="U220" s="526">
        <f t="shared" si="39"/>
        <v>9300</v>
      </c>
      <c r="V220" s="303"/>
      <c r="W220" s="303"/>
    </row>
    <row r="221" spans="1:23">
      <c r="A221" s="251" t="s">
        <v>133</v>
      </c>
      <c r="B221" s="252" t="s">
        <v>137</v>
      </c>
      <c r="C221" s="283">
        <f>SUM(E183:E185)</f>
        <v>2100</v>
      </c>
      <c r="D221" s="283">
        <f>SUM(F183:F185)</f>
        <v>2100</v>
      </c>
      <c r="E221" s="283">
        <f>SUM(D216,D220:D221)</f>
        <v>11900</v>
      </c>
      <c r="G221" s="45"/>
      <c r="H221" s="46" t="s">
        <v>107</v>
      </c>
      <c r="I221" s="46" t="s">
        <v>114</v>
      </c>
      <c r="J221" s="363">
        <v>1000</v>
      </c>
      <c r="K221" s="363">
        <v>1000</v>
      </c>
      <c r="R221" s="224" t="s">
        <v>208</v>
      </c>
      <c r="S221" s="37" t="s">
        <v>186</v>
      </c>
      <c r="T221" s="526">
        <f>X101</f>
        <v>7200</v>
      </c>
      <c r="U221" s="526">
        <f>Y101</f>
        <v>3600</v>
      </c>
      <c r="V221" s="184"/>
      <c r="W221" s="184"/>
    </row>
    <row r="222" spans="1:23">
      <c r="A222" s="256" t="s">
        <v>135</v>
      </c>
      <c r="B222" s="257" t="s">
        <v>136</v>
      </c>
      <c r="C222" s="286">
        <f>SUM(E186:E188)</f>
        <v>1500</v>
      </c>
      <c r="D222" s="286">
        <f>SUM(F186:F188)</f>
        <v>1500</v>
      </c>
      <c r="E222" s="286">
        <f>D222</f>
        <v>1500</v>
      </c>
      <c r="G222" s="45"/>
      <c r="H222" s="46" t="s">
        <v>107</v>
      </c>
      <c r="I222" s="46" t="s">
        <v>106</v>
      </c>
      <c r="J222" s="363">
        <v>700</v>
      </c>
      <c r="K222" s="363">
        <v>700</v>
      </c>
      <c r="M222" s="224" t="s">
        <v>106</v>
      </c>
      <c r="N222" s="224" t="s">
        <v>99</v>
      </c>
      <c r="O222" s="363">
        <v>500</v>
      </c>
      <c r="P222" s="363">
        <v>500</v>
      </c>
      <c r="R222" s="37" t="s">
        <v>186</v>
      </c>
      <c r="S222" s="224" t="s">
        <v>200</v>
      </c>
      <c r="T222" s="526">
        <f t="shared" ref="T222:U222" si="40">M38+O222</f>
        <v>1800</v>
      </c>
      <c r="U222" s="526">
        <f t="shared" si="40"/>
        <v>2200</v>
      </c>
      <c r="V222" s="303"/>
      <c r="W222" s="303"/>
    </row>
    <row r="223" spans="1:23">
      <c r="A223" s="258" t="s">
        <v>136</v>
      </c>
      <c r="B223" s="259" t="s">
        <v>137</v>
      </c>
      <c r="C223" s="287">
        <f>SUM(E189:E191)</f>
        <v>3000</v>
      </c>
      <c r="D223" s="287">
        <f>SUM(F189:F191)</f>
        <v>3000</v>
      </c>
      <c r="E223" s="287">
        <f>SUM(D221,D223)</f>
        <v>5100</v>
      </c>
      <c r="G223" s="45"/>
      <c r="H223" s="229" t="s">
        <v>107</v>
      </c>
      <c r="I223" s="229" t="s">
        <v>99</v>
      </c>
      <c r="J223" s="553">
        <v>500</v>
      </c>
      <c r="K223" s="553">
        <v>500</v>
      </c>
      <c r="M223" s="224" t="s">
        <v>105</v>
      </c>
      <c r="N223" s="224" t="s">
        <v>101</v>
      </c>
      <c r="O223" s="363">
        <v>700</v>
      </c>
      <c r="P223" s="363">
        <v>700</v>
      </c>
      <c r="R223" s="37" t="s">
        <v>207</v>
      </c>
      <c r="S223" s="224" t="s">
        <v>203</v>
      </c>
      <c r="T223" s="526">
        <f t="shared" ref="T223:U223" si="41">M39+O223</f>
        <v>1415</v>
      </c>
      <c r="U223" s="526">
        <f t="shared" si="41"/>
        <v>1415</v>
      </c>
      <c r="V223" s="303"/>
      <c r="W223" s="303"/>
    </row>
    <row r="224" spans="1:23">
      <c r="C224" s="70">
        <f>SUM(C196:C223)</f>
        <v>86050</v>
      </c>
      <c r="G224" s="45"/>
      <c r="H224" s="224" t="s">
        <v>109</v>
      </c>
      <c r="I224" s="224" t="s">
        <v>112</v>
      </c>
      <c r="J224" s="363">
        <v>1500</v>
      </c>
      <c r="K224" s="363">
        <v>1500</v>
      </c>
      <c r="M224" s="224" t="s">
        <v>103</v>
      </c>
      <c r="N224" s="224" t="s">
        <v>117</v>
      </c>
      <c r="O224" s="363">
        <v>2500</v>
      </c>
      <c r="P224" s="363">
        <v>2400</v>
      </c>
      <c r="Q224" s="690"/>
      <c r="R224" s="37" t="s">
        <v>209</v>
      </c>
      <c r="S224" s="224" t="s">
        <v>210</v>
      </c>
      <c r="T224" s="526">
        <f t="shared" ref="T224:U224" si="42">M40+O224</f>
        <v>4500</v>
      </c>
      <c r="U224" s="526">
        <f t="shared" si="42"/>
        <v>4400</v>
      </c>
      <c r="V224" s="303"/>
      <c r="W224" s="303"/>
    </row>
    <row r="225" spans="7:23">
      <c r="G225" s="45"/>
      <c r="H225" s="224" t="s">
        <v>109</v>
      </c>
      <c r="I225" s="224" t="s">
        <v>112</v>
      </c>
      <c r="J225" s="363">
        <v>1500</v>
      </c>
      <c r="K225" s="363">
        <v>1500</v>
      </c>
      <c r="M225" s="224" t="s">
        <v>105</v>
      </c>
      <c r="N225" s="224" t="s">
        <v>117</v>
      </c>
      <c r="O225" s="363">
        <v>500</v>
      </c>
      <c r="P225" s="363">
        <v>500</v>
      </c>
      <c r="Q225" s="215"/>
      <c r="R225" s="37" t="s">
        <v>207</v>
      </c>
      <c r="S225" s="224" t="s">
        <v>210</v>
      </c>
      <c r="T225" s="526">
        <f t="shared" ref="T225:U225" si="43">M41+O225</f>
        <v>1700</v>
      </c>
      <c r="U225" s="526">
        <f t="shared" si="43"/>
        <v>1700</v>
      </c>
      <c r="V225" s="303"/>
      <c r="W225" s="303"/>
    </row>
    <row r="226" spans="7:23">
      <c r="G226" s="45"/>
      <c r="H226" s="229" t="s">
        <v>109</v>
      </c>
      <c r="I226" s="229" t="s">
        <v>115</v>
      </c>
      <c r="J226" s="553">
        <v>1000</v>
      </c>
      <c r="K226" s="553">
        <v>1000</v>
      </c>
      <c r="Q226" s="215"/>
      <c r="R226" s="37" t="s">
        <v>209</v>
      </c>
      <c r="S226" s="224" t="s">
        <v>212</v>
      </c>
      <c r="T226" s="527">
        <f t="shared" ref="T226:U226" si="44">M42+O226</f>
        <v>600</v>
      </c>
      <c r="U226" s="527">
        <f t="shared" si="44"/>
        <v>700</v>
      </c>
      <c r="V226" s="215"/>
      <c r="W226" s="215"/>
    </row>
    <row r="227" spans="7:23">
      <c r="G227" s="45"/>
      <c r="H227" s="739" t="s">
        <v>110</v>
      </c>
      <c r="I227" s="739" t="s">
        <v>101</v>
      </c>
      <c r="J227" s="263">
        <v>1400</v>
      </c>
      <c r="K227" s="263">
        <v>1400</v>
      </c>
      <c r="Q227" s="215"/>
      <c r="R227" s="37" t="s">
        <v>205</v>
      </c>
      <c r="S227" s="224" t="s">
        <v>212</v>
      </c>
      <c r="T227" s="527">
        <f t="shared" ref="T227:U227" si="45">M43+O227</f>
        <v>300</v>
      </c>
      <c r="U227" s="527">
        <f t="shared" si="45"/>
        <v>250</v>
      </c>
      <c r="V227" s="215"/>
      <c r="W227" s="215"/>
    </row>
    <row r="228" spans="7:23">
      <c r="G228" s="45"/>
      <c r="H228" s="231" t="s">
        <v>114</v>
      </c>
      <c r="I228" s="231" t="s">
        <v>115</v>
      </c>
      <c r="J228" s="555">
        <v>1000</v>
      </c>
      <c r="K228" s="555">
        <v>1000</v>
      </c>
      <c r="Q228" s="215"/>
      <c r="R228" s="37" t="s">
        <v>205</v>
      </c>
      <c r="S228" s="224" t="s">
        <v>211</v>
      </c>
      <c r="T228" s="527">
        <f t="shared" ref="T228:U228" si="46">M44+O228</f>
        <v>1000</v>
      </c>
      <c r="U228" s="527">
        <f t="shared" si="46"/>
        <v>600</v>
      </c>
      <c r="V228" s="215"/>
      <c r="W228" s="215"/>
    </row>
    <row r="229" spans="7:23">
      <c r="G229" s="45"/>
      <c r="H229" s="224" t="s">
        <v>104</v>
      </c>
      <c r="I229" s="224" t="s">
        <v>105</v>
      </c>
      <c r="J229" s="363">
        <v>2000</v>
      </c>
      <c r="K229" s="363">
        <v>2000</v>
      </c>
      <c r="Q229" s="215"/>
      <c r="R229" s="37" t="s">
        <v>207</v>
      </c>
      <c r="S229" s="224" t="s">
        <v>191</v>
      </c>
      <c r="T229" s="527">
        <f t="shared" ref="T229:U229" si="47">M45+O229</f>
        <v>2095</v>
      </c>
      <c r="U229" s="527">
        <f t="shared" si="47"/>
        <v>2145</v>
      </c>
      <c r="V229" s="215"/>
      <c r="W229" s="215"/>
    </row>
    <row r="230" spans="7:23">
      <c r="G230" s="45"/>
      <c r="H230" s="224" t="s">
        <v>105</v>
      </c>
      <c r="I230" s="224" t="s">
        <v>101</v>
      </c>
      <c r="J230" s="363">
        <v>700</v>
      </c>
      <c r="K230" s="363">
        <v>700</v>
      </c>
      <c r="M230" s="229" t="s">
        <v>106</v>
      </c>
      <c r="N230" s="229" t="s">
        <v>121</v>
      </c>
      <c r="O230" s="553">
        <v>600</v>
      </c>
      <c r="P230" s="553">
        <v>600</v>
      </c>
      <c r="Q230" s="215"/>
      <c r="R230" s="225" t="s">
        <v>186</v>
      </c>
      <c r="S230" s="229" t="s">
        <v>201</v>
      </c>
      <c r="T230" s="551">
        <f t="shared" ref="T230:U230" si="48">M46+O230</f>
        <v>1300</v>
      </c>
      <c r="U230" s="551">
        <f t="shared" si="48"/>
        <v>1300</v>
      </c>
      <c r="V230" s="303"/>
      <c r="W230" s="303"/>
    </row>
    <row r="231" spans="7:23">
      <c r="G231" s="45"/>
      <c r="H231" s="224" t="s">
        <v>106</v>
      </c>
      <c r="I231" s="224" t="s">
        <v>99</v>
      </c>
      <c r="J231" s="363">
        <v>500</v>
      </c>
      <c r="K231" s="363">
        <v>500</v>
      </c>
      <c r="Q231" s="215"/>
      <c r="R231" s="224" t="s">
        <v>200</v>
      </c>
      <c r="S231" s="37" t="s">
        <v>189</v>
      </c>
      <c r="T231" s="527">
        <f t="shared" ref="T231:U231" si="49">M47+O231</f>
        <v>600</v>
      </c>
      <c r="U231" s="527">
        <f t="shared" si="49"/>
        <v>590</v>
      </c>
      <c r="V231" s="215"/>
      <c r="W231" s="215"/>
    </row>
    <row r="232" spans="7:23">
      <c r="G232" s="45"/>
      <c r="H232" s="224" t="s">
        <v>103</v>
      </c>
      <c r="I232" s="224" t="s">
        <v>117</v>
      </c>
      <c r="J232" s="363">
        <v>800</v>
      </c>
      <c r="K232" s="363">
        <v>800</v>
      </c>
      <c r="M232" s="252" t="s">
        <v>101</v>
      </c>
      <c r="N232" s="252" t="s">
        <v>120</v>
      </c>
      <c r="O232" s="550">
        <v>2000</v>
      </c>
      <c r="P232" s="550">
        <v>2000</v>
      </c>
      <c r="Q232" s="556"/>
      <c r="R232" s="229" t="s">
        <v>203</v>
      </c>
      <c r="S232" s="229" t="s">
        <v>191</v>
      </c>
      <c r="T232" s="551">
        <f t="shared" ref="T232:U232" si="50">M48+O232</f>
        <v>3632</v>
      </c>
      <c r="U232" s="551">
        <f t="shared" si="50"/>
        <v>3632</v>
      </c>
      <c r="V232" s="215"/>
      <c r="W232" s="215"/>
    </row>
    <row r="233" spans="7:23">
      <c r="G233" s="45"/>
      <c r="H233" s="224" t="s">
        <v>103</v>
      </c>
      <c r="I233" s="224" t="s">
        <v>117</v>
      </c>
      <c r="J233" s="363">
        <v>900</v>
      </c>
      <c r="K233" s="363">
        <v>800</v>
      </c>
      <c r="M233" s="231" t="s">
        <v>117</v>
      </c>
      <c r="N233" s="231" t="s">
        <v>123</v>
      </c>
      <c r="O233" s="555">
        <v>700</v>
      </c>
      <c r="P233" s="555">
        <v>700</v>
      </c>
      <c r="Q233" s="556"/>
      <c r="R233" s="229" t="s">
        <v>210</v>
      </c>
      <c r="S233" s="229" t="s">
        <v>214</v>
      </c>
      <c r="T233" s="552">
        <f t="shared" ref="T233:U233" si="51">M49+O233</f>
        <v>1716</v>
      </c>
      <c r="U233" s="552">
        <f t="shared" si="51"/>
        <v>1716</v>
      </c>
      <c r="V233" s="303"/>
      <c r="W233" s="303"/>
    </row>
    <row r="234" spans="7:23">
      <c r="G234" s="45"/>
      <c r="H234" s="224" t="s">
        <v>103</v>
      </c>
      <c r="I234" s="224" t="s">
        <v>117</v>
      </c>
      <c r="J234" s="363">
        <v>800</v>
      </c>
      <c r="K234" s="363">
        <v>800</v>
      </c>
      <c r="P234" s="215"/>
      <c r="Q234" s="215"/>
      <c r="R234" s="224" t="s">
        <v>211</v>
      </c>
      <c r="S234" s="37" t="s">
        <v>213</v>
      </c>
      <c r="T234" s="526">
        <f>X114</f>
        <v>1300</v>
      </c>
      <c r="U234" s="526">
        <f>Y114</f>
        <v>1300</v>
      </c>
      <c r="V234" s="184"/>
      <c r="W234" s="215"/>
    </row>
    <row r="235" spans="7:23">
      <c r="G235" s="45"/>
      <c r="H235" s="224" t="s">
        <v>105</v>
      </c>
      <c r="I235" s="224" t="s">
        <v>117</v>
      </c>
      <c r="J235" s="363">
        <v>500</v>
      </c>
      <c r="K235" s="363">
        <v>500</v>
      </c>
      <c r="M235" s="225"/>
      <c r="N235" s="225"/>
      <c r="O235" s="225"/>
      <c r="P235" s="554"/>
      <c r="Q235" s="215"/>
      <c r="R235" s="229" t="s">
        <v>211</v>
      </c>
      <c r="S235" s="229" t="s">
        <v>191</v>
      </c>
      <c r="T235" s="551">
        <f>X115</f>
        <v>1400</v>
      </c>
      <c r="U235" s="551">
        <f>Y115</f>
        <v>1400</v>
      </c>
      <c r="V235" s="184"/>
      <c r="W235" s="184"/>
    </row>
    <row r="236" spans="7:23">
      <c r="G236" s="45"/>
      <c r="H236" s="229" t="s">
        <v>106</v>
      </c>
      <c r="I236" s="229" t="s">
        <v>121</v>
      </c>
      <c r="J236" s="553">
        <v>600</v>
      </c>
      <c r="K236" s="553">
        <v>600</v>
      </c>
      <c r="M236" s="282"/>
      <c r="N236" s="282"/>
      <c r="O236" s="282"/>
      <c r="P236" s="562"/>
      <c r="Q236" s="215"/>
      <c r="R236" s="224" t="s">
        <v>201</v>
      </c>
      <c r="S236" s="224" t="s">
        <v>215</v>
      </c>
      <c r="T236" s="549">
        <f t="shared" ref="T236:U236" si="52">M52+O236</f>
        <v>950</v>
      </c>
      <c r="U236" s="549">
        <f t="shared" si="52"/>
        <v>950</v>
      </c>
      <c r="V236" s="215"/>
      <c r="W236" s="215"/>
    </row>
    <row r="237" spans="7:23">
      <c r="G237" s="45"/>
      <c r="H237" s="231" t="s">
        <v>117</v>
      </c>
      <c r="I237" s="231" t="s">
        <v>123</v>
      </c>
      <c r="J237" s="555">
        <v>700</v>
      </c>
      <c r="K237" s="555">
        <v>700</v>
      </c>
      <c r="M237" s="282"/>
      <c r="N237" s="282"/>
      <c r="O237" s="282"/>
      <c r="P237" s="562"/>
      <c r="Q237" s="215"/>
      <c r="R237" s="231" t="s">
        <v>215</v>
      </c>
      <c r="S237" s="231" t="s">
        <v>214</v>
      </c>
      <c r="T237" s="551">
        <f>X117</f>
        <v>900</v>
      </c>
      <c r="U237" s="551">
        <f>Y117</f>
        <v>1100</v>
      </c>
      <c r="V237" s="184"/>
      <c r="W237" s="184"/>
    </row>
    <row r="238" spans="7:23">
      <c r="J238" s="70">
        <f>SUM(J220:J237)</f>
        <v>17500</v>
      </c>
      <c r="K238" s="70">
        <f>SUM(K220:K237)</f>
        <v>17400</v>
      </c>
      <c r="P238" s="215"/>
      <c r="Q238" s="215"/>
    </row>
  </sheetData>
  <autoFilter ref="V77:AA118" xr:uid="{9C591483-C946-493E-8937-403CF23A1352}"/>
  <mergeCells count="32">
    <mergeCell ref="H218:K219"/>
    <mergeCell ref="AC9:AE9"/>
    <mergeCell ref="AC11:AE12"/>
    <mergeCell ref="H207:K209"/>
    <mergeCell ref="H210:K211"/>
    <mergeCell ref="H217:K217"/>
    <mergeCell ref="H196:K197"/>
    <mergeCell ref="H198:K199"/>
    <mergeCell ref="R195:U196"/>
    <mergeCell ref="U11:X12"/>
    <mergeCell ref="P11:S11"/>
    <mergeCell ref="A9:Z9"/>
    <mergeCell ref="A11:G11"/>
    <mergeCell ref="A75:G75"/>
    <mergeCell ref="I75:N75"/>
    <mergeCell ref="P75:T75"/>
    <mergeCell ref="V75:AA75"/>
    <mergeCell ref="C12:D12"/>
    <mergeCell ref="E12:F12"/>
    <mergeCell ref="A1:B1"/>
    <mergeCell ref="A4:B4"/>
    <mergeCell ref="A3:B3"/>
    <mergeCell ref="C1:X1"/>
    <mergeCell ref="C4:X4"/>
    <mergeCell ref="C3:X3"/>
    <mergeCell ref="A2:B2"/>
    <mergeCell ref="C2:X2"/>
    <mergeCell ref="C7:X7"/>
    <mergeCell ref="A5:B5"/>
    <mergeCell ref="C5:X5"/>
    <mergeCell ref="A6:B7"/>
    <mergeCell ref="C6:X6"/>
  </mergeCells>
  <phoneticPr fontId="20" type="noConversion"/>
  <conditionalFormatting sqref="G14:G72">
    <cfRule type="cellIs" dxfId="17" priority="1" operator="equal">
      <formula>FALSE</formula>
    </cfRule>
  </conditionalFormatting>
  <conditionalFormatting sqref="G77:G191">
    <cfRule type="cellIs" dxfId="16" priority="2" operator="equal">
      <formula>FALSE</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4"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5" operator="containsText" id="{F084F4C3-AA8E-442F-8202-86A395C74311}">
            <xm:f>NOT(ISERROR(SEARCH(CHAR(3),A196)))</xm:f>
            <xm:f>CHAR(3)</xm:f>
            <x14:dxf>
              <font>
                <color rgb="FF9C0006"/>
              </font>
              <fill>
                <patternFill>
                  <bgColor rgb="FFFFC7CE"/>
                </patternFill>
              </fill>
            </x14:dxf>
          </x14:cfRule>
          <xm:sqref>A196</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V140"/>
  <sheetViews>
    <sheetView showZeros="0" topLeftCell="A5" zoomScaleNormal="100" workbookViewId="0">
      <selection activeCell="W27" sqref="W27"/>
    </sheetView>
  </sheetViews>
  <sheetFormatPr defaultColWidth="9.109375" defaultRowHeight="14.4"/>
  <cols>
    <col min="1" max="2" width="7.109375" style="37" customWidth="1"/>
    <col min="3" max="6" width="7.44140625" style="37" bestFit="1" customWidth="1"/>
    <col min="7" max="7" width="6.88671875" style="37" bestFit="1" customWidth="1"/>
    <col min="8" max="9" width="7.109375" style="37" customWidth="1"/>
    <col min="10" max="15" width="6.5546875" style="37" customWidth="1"/>
    <col min="16" max="19" width="6.6640625" style="37" customWidth="1"/>
    <col min="20" max="16384" width="9.109375" style="37"/>
  </cols>
  <sheetData>
    <row r="1" spans="1:22">
      <c r="A1" s="770" t="s">
        <v>504</v>
      </c>
      <c r="B1" s="770"/>
      <c r="C1" s="770" t="s">
        <v>490</v>
      </c>
      <c r="D1" s="770"/>
      <c r="E1" s="770"/>
      <c r="F1" s="770"/>
      <c r="G1" s="770"/>
      <c r="H1" s="770"/>
      <c r="I1" s="770"/>
      <c r="J1" s="770"/>
      <c r="K1" s="770"/>
      <c r="L1" s="770"/>
      <c r="M1" s="770"/>
      <c r="N1" s="770"/>
      <c r="O1" s="770"/>
      <c r="P1" s="770"/>
      <c r="Q1" s="770"/>
      <c r="R1" s="770"/>
      <c r="S1" s="770"/>
      <c r="T1" s="770"/>
    </row>
    <row r="2" spans="1:22" ht="14.4" customHeight="1">
      <c r="A2" s="770" t="s">
        <v>166</v>
      </c>
      <c r="B2" s="770"/>
      <c r="C2" s="773" t="s">
        <v>502</v>
      </c>
      <c r="D2" s="773"/>
      <c r="E2" s="773"/>
      <c r="F2" s="773"/>
      <c r="G2" s="773"/>
      <c r="H2" s="773"/>
      <c r="I2" s="773"/>
      <c r="J2" s="773"/>
      <c r="K2" s="773"/>
      <c r="L2" s="773"/>
      <c r="M2" s="773"/>
      <c r="N2" s="773"/>
      <c r="O2" s="773"/>
      <c r="P2" s="773"/>
      <c r="Q2" s="773"/>
      <c r="R2" s="773"/>
      <c r="S2" s="773"/>
      <c r="T2" s="773"/>
      <c r="U2" s="20"/>
      <c r="V2" s="20"/>
    </row>
    <row r="3" spans="1:22" ht="15" customHeight="1">
      <c r="A3" s="776" t="s">
        <v>167</v>
      </c>
      <c r="B3" s="776"/>
      <c r="C3" s="776" t="s">
        <v>168</v>
      </c>
      <c r="D3" s="776"/>
      <c r="E3" s="776"/>
      <c r="F3" s="776"/>
      <c r="G3" s="776"/>
      <c r="H3" s="776"/>
      <c r="I3" s="776"/>
      <c r="J3" s="776"/>
      <c r="K3" s="776"/>
      <c r="L3" s="776"/>
      <c r="M3" s="776"/>
      <c r="N3" s="776"/>
      <c r="O3" s="776"/>
      <c r="P3" s="776"/>
      <c r="Q3" s="776"/>
      <c r="R3" s="776"/>
      <c r="S3" s="776"/>
      <c r="T3" s="776"/>
    </row>
    <row r="4" spans="1:22" ht="43.95" customHeight="1">
      <c r="A4" s="774" t="s">
        <v>169</v>
      </c>
      <c r="B4" s="774"/>
      <c r="C4" s="774" t="s">
        <v>503</v>
      </c>
      <c r="D4" s="774"/>
      <c r="E4" s="774"/>
      <c r="F4" s="774"/>
      <c r="G4" s="774"/>
      <c r="H4" s="774"/>
      <c r="I4" s="774"/>
      <c r="J4" s="774"/>
      <c r="K4" s="774"/>
      <c r="L4" s="774"/>
      <c r="M4" s="774"/>
      <c r="N4" s="774"/>
      <c r="O4" s="774"/>
      <c r="P4" s="774"/>
      <c r="Q4" s="774"/>
      <c r="R4" s="774"/>
      <c r="S4" s="774"/>
      <c r="T4" s="774"/>
    </row>
    <row r="5" spans="1:22" ht="30.6" customHeight="1">
      <c r="A5" s="774" t="s">
        <v>489</v>
      </c>
      <c r="B5" s="774"/>
      <c r="C5" s="774" t="s">
        <v>508</v>
      </c>
      <c r="D5" s="774"/>
      <c r="E5" s="774"/>
      <c r="F5" s="774"/>
      <c r="G5" s="774"/>
      <c r="H5" s="774"/>
      <c r="I5" s="774"/>
      <c r="J5" s="774"/>
      <c r="K5" s="774"/>
      <c r="L5" s="774"/>
      <c r="M5" s="774"/>
      <c r="N5" s="774"/>
      <c r="O5" s="774"/>
      <c r="P5" s="774"/>
      <c r="Q5" s="774"/>
      <c r="R5" s="774"/>
      <c r="S5" s="774"/>
      <c r="T5" s="774"/>
    </row>
    <row r="6" spans="1:22" ht="61.5" customHeight="1">
      <c r="A6" s="774" t="s">
        <v>501</v>
      </c>
      <c r="B6" s="774"/>
      <c r="C6" s="774" t="s">
        <v>507</v>
      </c>
      <c r="D6" s="774"/>
      <c r="E6" s="774"/>
      <c r="F6" s="774"/>
      <c r="G6" s="774"/>
      <c r="H6" s="774"/>
      <c r="I6" s="774"/>
      <c r="J6" s="774"/>
      <c r="K6" s="774"/>
      <c r="L6" s="774"/>
      <c r="M6" s="774"/>
      <c r="N6" s="774"/>
      <c r="O6" s="774"/>
      <c r="P6" s="774"/>
      <c r="Q6" s="774"/>
      <c r="R6" s="774"/>
      <c r="S6" s="774"/>
      <c r="T6" s="774"/>
    </row>
    <row r="7" spans="1:22">
      <c r="A7" s="775" t="s">
        <v>657</v>
      </c>
      <c r="B7" s="775"/>
      <c r="C7" s="779" t="s">
        <v>658</v>
      </c>
      <c r="D7" s="779"/>
      <c r="E7" s="779"/>
      <c r="F7" s="779"/>
      <c r="G7" s="779"/>
      <c r="H7" s="779"/>
      <c r="I7" s="779"/>
      <c r="J7" s="779"/>
      <c r="K7" s="779"/>
      <c r="L7" s="779"/>
      <c r="M7" s="779"/>
      <c r="N7" s="779"/>
      <c r="O7" s="779"/>
      <c r="P7" s="779"/>
      <c r="Q7" s="779"/>
      <c r="R7" s="779"/>
      <c r="S7" s="779"/>
      <c r="T7" s="779"/>
      <c r="U7" s="557"/>
      <c r="V7" s="557"/>
    </row>
    <row r="9" spans="1:22">
      <c r="A9" s="763" t="s">
        <v>505</v>
      </c>
      <c r="B9" s="763"/>
      <c r="C9" s="763"/>
      <c r="D9" s="763"/>
      <c r="F9" s="763" t="s">
        <v>492</v>
      </c>
      <c r="G9" s="763"/>
      <c r="H9" s="763"/>
      <c r="I9" s="763"/>
      <c r="J9" s="763"/>
      <c r="L9" s="763" t="s">
        <v>500</v>
      </c>
      <c r="M9" s="763"/>
      <c r="N9" s="763"/>
      <c r="O9" s="763"/>
      <c r="Q9" s="763" t="s">
        <v>501</v>
      </c>
      <c r="R9" s="763"/>
      <c r="S9" s="763"/>
      <c r="T9" s="763"/>
      <c r="U9" s="763"/>
      <c r="V9" s="763"/>
    </row>
    <row r="10" spans="1:22">
      <c r="A10" s="19" t="s">
        <v>172</v>
      </c>
      <c r="B10" s="19" t="s">
        <v>173</v>
      </c>
      <c r="C10" s="19" t="s">
        <v>174</v>
      </c>
      <c r="D10" s="19" t="s">
        <v>175</v>
      </c>
      <c r="F10" s="42" t="s">
        <v>172</v>
      </c>
      <c r="G10" s="42" t="s">
        <v>173</v>
      </c>
      <c r="H10" s="301" t="s">
        <v>177</v>
      </c>
      <c r="I10" s="42" t="s">
        <v>174</v>
      </c>
      <c r="J10" s="42" t="s">
        <v>175</v>
      </c>
      <c r="K10" s="43"/>
      <c r="L10" s="19" t="s">
        <v>172</v>
      </c>
      <c r="M10" s="19" t="s">
        <v>173</v>
      </c>
      <c r="N10" s="19" t="s">
        <v>174</v>
      </c>
      <c r="O10" s="19" t="s">
        <v>175</v>
      </c>
      <c r="Q10" s="19" t="s">
        <v>172</v>
      </c>
      <c r="R10" s="19" t="s">
        <v>173</v>
      </c>
      <c r="S10" s="19" t="s">
        <v>678</v>
      </c>
      <c r="T10" s="19"/>
      <c r="U10" s="19" t="s">
        <v>174</v>
      </c>
      <c r="V10" s="19" t="s">
        <v>175</v>
      </c>
    </row>
    <row r="11" spans="1:22">
      <c r="A11" s="79" t="s">
        <v>26</v>
      </c>
      <c r="B11" s="37" t="s">
        <v>126</v>
      </c>
      <c r="C11" s="113">
        <v>8000</v>
      </c>
      <c r="D11" s="113">
        <v>8500</v>
      </c>
      <c r="F11" s="43" t="s">
        <v>26</v>
      </c>
      <c r="G11" s="43" t="s">
        <v>126</v>
      </c>
      <c r="H11" s="44">
        <v>2030</v>
      </c>
      <c r="I11" s="261">
        <v>2125</v>
      </c>
      <c r="J11" s="261">
        <v>1625</v>
      </c>
      <c r="K11" s="224"/>
      <c r="L11" s="37" t="s">
        <v>26</v>
      </c>
      <c r="M11" s="37" t="s">
        <v>126</v>
      </c>
      <c r="N11" s="113">
        <f t="shared" ref="N11:O14" si="0">C11</f>
        <v>8000</v>
      </c>
      <c r="O11" s="113">
        <f t="shared" si="0"/>
        <v>8500</v>
      </c>
      <c r="Q11" s="37" t="s">
        <v>107</v>
      </c>
      <c r="R11" s="37" t="s">
        <v>109</v>
      </c>
      <c r="S11" s="37" t="str">
        <f>Q11&amp;"-"&amp;R11</f>
        <v>DE00-FR00</v>
      </c>
      <c r="U11" s="718">
        <f t="shared" ref="U11:V15" si="1">N11</f>
        <v>8000</v>
      </c>
      <c r="V11" s="718">
        <f t="shared" si="1"/>
        <v>8500</v>
      </c>
    </row>
    <row r="12" spans="1:22">
      <c r="A12" s="79" t="s">
        <v>26</v>
      </c>
      <c r="B12" s="37" t="s">
        <v>128</v>
      </c>
      <c r="C12" s="113">
        <v>4170</v>
      </c>
      <c r="D12" s="113">
        <v>8330</v>
      </c>
      <c r="F12" s="43" t="s">
        <v>26</v>
      </c>
      <c r="G12" s="43" t="s">
        <v>128</v>
      </c>
      <c r="H12" s="44">
        <v>2030</v>
      </c>
      <c r="I12" s="261">
        <v>833</v>
      </c>
      <c r="J12" s="261">
        <v>0</v>
      </c>
      <c r="K12" s="224"/>
      <c r="L12" s="37" t="s">
        <v>26</v>
      </c>
      <c r="M12" s="37" t="s">
        <v>128</v>
      </c>
      <c r="N12" s="113">
        <f t="shared" si="0"/>
        <v>4170</v>
      </c>
      <c r="O12" s="113">
        <f t="shared" si="0"/>
        <v>8330</v>
      </c>
      <c r="Q12" s="37" t="s">
        <v>107</v>
      </c>
      <c r="R12" s="37" t="s">
        <v>113</v>
      </c>
      <c r="S12" s="37" t="str">
        <f t="shared" ref="S12:S30" si="2">Q12&amp;"-"&amp;R12</f>
        <v>DE00-PL00</v>
      </c>
      <c r="U12" s="718">
        <f t="shared" si="1"/>
        <v>4170</v>
      </c>
      <c r="V12" s="718">
        <f t="shared" si="1"/>
        <v>8330</v>
      </c>
    </row>
    <row r="13" spans="1:22">
      <c r="A13" s="79" t="s">
        <v>26</v>
      </c>
      <c r="B13" s="37" t="s">
        <v>129</v>
      </c>
      <c r="C13" s="113">
        <v>500</v>
      </c>
      <c r="D13" s="113">
        <v>15630</v>
      </c>
      <c r="F13" s="43" t="s">
        <v>26</v>
      </c>
      <c r="G13" s="43" t="s">
        <v>128</v>
      </c>
      <c r="H13" s="44">
        <v>2040</v>
      </c>
      <c r="I13" s="261">
        <v>4464</v>
      </c>
      <c r="J13" s="261">
        <v>1131</v>
      </c>
      <c r="K13" s="224"/>
      <c r="L13" s="37" t="s">
        <v>26</v>
      </c>
      <c r="M13" s="37" t="s">
        <v>129</v>
      </c>
      <c r="N13" s="113">
        <f t="shared" si="0"/>
        <v>500</v>
      </c>
      <c r="O13" s="113">
        <f t="shared" si="0"/>
        <v>15630</v>
      </c>
      <c r="Q13" s="37" t="s">
        <v>107</v>
      </c>
      <c r="R13" s="37" t="s">
        <v>114</v>
      </c>
      <c r="S13" s="37" t="str">
        <f t="shared" si="2"/>
        <v>DE00-NL00</v>
      </c>
      <c r="U13" s="718">
        <f t="shared" si="1"/>
        <v>500</v>
      </c>
      <c r="V13" s="718">
        <f t="shared" si="1"/>
        <v>15630</v>
      </c>
    </row>
    <row r="14" spans="1:22">
      <c r="A14" s="79" t="s">
        <v>26</v>
      </c>
      <c r="B14" s="37" t="s">
        <v>130</v>
      </c>
      <c r="C14" s="113">
        <v>3790</v>
      </c>
      <c r="D14" s="113">
        <v>3790</v>
      </c>
      <c r="F14" s="43" t="s">
        <v>26</v>
      </c>
      <c r="G14" s="43" t="s">
        <v>129</v>
      </c>
      <c r="H14" s="44">
        <v>2040</v>
      </c>
      <c r="I14" s="261">
        <v>7467</v>
      </c>
      <c r="J14" s="261">
        <v>7458</v>
      </c>
      <c r="K14" s="224"/>
      <c r="L14" s="37" t="s">
        <v>26</v>
      </c>
      <c r="M14" s="37" t="s">
        <v>130</v>
      </c>
      <c r="N14" s="113">
        <f t="shared" si="0"/>
        <v>3790</v>
      </c>
      <c r="O14" s="113">
        <f t="shared" si="0"/>
        <v>3790</v>
      </c>
      <c r="Q14" s="37" t="s">
        <v>107</v>
      </c>
      <c r="R14" s="37" t="s">
        <v>115</v>
      </c>
      <c r="S14" s="37" t="str">
        <f t="shared" si="2"/>
        <v>DE00-BE00</v>
      </c>
      <c r="U14" s="718">
        <f t="shared" si="1"/>
        <v>3790</v>
      </c>
      <c r="V14" s="718">
        <f t="shared" si="1"/>
        <v>3790</v>
      </c>
    </row>
    <row r="15" spans="1:22">
      <c r="A15" s="79" t="s">
        <v>26</v>
      </c>
      <c r="B15" s="37" t="s">
        <v>132</v>
      </c>
      <c r="C15" s="113">
        <v>2100</v>
      </c>
      <c r="D15" s="113">
        <v>2100</v>
      </c>
      <c r="F15" s="43" t="s">
        <v>26</v>
      </c>
      <c r="G15" s="43" t="s">
        <v>129</v>
      </c>
      <c r="H15" s="44">
        <v>2030</v>
      </c>
      <c r="I15" s="261">
        <v>15333</v>
      </c>
      <c r="J15" s="261">
        <v>208</v>
      </c>
      <c r="K15" s="224"/>
      <c r="L15" s="37" t="s">
        <v>26</v>
      </c>
      <c r="M15" s="37" t="s">
        <v>132</v>
      </c>
      <c r="N15" s="303">
        <f>C15+I17</f>
        <v>7892</v>
      </c>
      <c r="O15" s="303">
        <f>D15+J17</f>
        <v>7892</v>
      </c>
      <c r="Q15" s="37" t="s">
        <v>107</v>
      </c>
      <c r="R15" s="37" t="s">
        <v>101</v>
      </c>
      <c r="S15" s="37" t="str">
        <f t="shared" si="2"/>
        <v>DE00-DKW1</v>
      </c>
      <c r="U15" s="526">
        <f t="shared" si="1"/>
        <v>7892</v>
      </c>
      <c r="V15" s="526">
        <f t="shared" si="1"/>
        <v>7892</v>
      </c>
    </row>
    <row r="16" spans="1:22">
      <c r="A16" s="295" t="s">
        <v>26</v>
      </c>
      <c r="B16" s="225" t="s">
        <v>187</v>
      </c>
      <c r="C16" s="266">
        <v>21000</v>
      </c>
      <c r="D16" s="266">
        <v>21000</v>
      </c>
      <c r="F16" s="43" t="s">
        <v>26</v>
      </c>
      <c r="G16" s="43" t="s">
        <v>130</v>
      </c>
      <c r="H16" s="44">
        <v>2040</v>
      </c>
      <c r="I16" s="261">
        <v>1208</v>
      </c>
      <c r="J16" s="261">
        <v>1208</v>
      </c>
      <c r="K16" s="224"/>
      <c r="L16" s="225" t="s">
        <v>26</v>
      </c>
      <c r="M16" s="225" t="s">
        <v>187</v>
      </c>
      <c r="N16" s="266">
        <f t="shared" ref="N16:O18" si="3">C16</f>
        <v>21000</v>
      </c>
      <c r="O16" s="266">
        <f t="shared" si="3"/>
        <v>21000</v>
      </c>
      <c r="Q16" s="225" t="s">
        <v>107</v>
      </c>
      <c r="R16" s="225" t="s">
        <v>187</v>
      </c>
      <c r="S16" s="225" t="str">
        <f t="shared" si="2"/>
        <v>DE00-IBFI</v>
      </c>
      <c r="T16" s="225"/>
      <c r="U16" s="719">
        <f>N16</f>
        <v>21000</v>
      </c>
      <c r="V16" s="719">
        <f>O16</f>
        <v>21000</v>
      </c>
    </row>
    <row r="17" spans="1:22">
      <c r="A17" s="294" t="s">
        <v>126</v>
      </c>
      <c r="B17" s="226" t="s">
        <v>127</v>
      </c>
      <c r="C17" s="113">
        <v>9000</v>
      </c>
      <c r="D17" s="265">
        <v>9000</v>
      </c>
      <c r="F17" s="297" t="s">
        <v>26</v>
      </c>
      <c r="G17" s="297" t="s">
        <v>132</v>
      </c>
      <c r="H17" s="298">
        <v>2030</v>
      </c>
      <c r="I17" s="267">
        <v>5792</v>
      </c>
      <c r="J17" s="267">
        <v>5792</v>
      </c>
      <c r="K17" s="224"/>
      <c r="L17" s="226" t="s">
        <v>126</v>
      </c>
      <c r="M17" s="226" t="s">
        <v>127</v>
      </c>
      <c r="N17" s="113">
        <f t="shared" si="3"/>
        <v>9000</v>
      </c>
      <c r="O17" s="113">
        <f t="shared" si="3"/>
        <v>9000</v>
      </c>
      <c r="Q17" s="226" t="s">
        <v>109</v>
      </c>
      <c r="R17" s="226" t="s">
        <v>112</v>
      </c>
      <c r="S17" s="37" t="str">
        <f t="shared" si="2"/>
        <v>FR00-ES00</v>
      </c>
      <c r="U17" s="718">
        <f t="shared" ref="U17:V21" si="4">N17</f>
        <v>9000</v>
      </c>
      <c r="V17" s="718">
        <f t="shared" si="4"/>
        <v>9000</v>
      </c>
    </row>
    <row r="18" spans="1:22">
      <c r="A18" s="295" t="s">
        <v>126</v>
      </c>
      <c r="B18" s="225" t="s">
        <v>130</v>
      </c>
      <c r="C18" s="266">
        <v>4500</v>
      </c>
      <c r="D18" s="266">
        <v>4500</v>
      </c>
      <c r="F18" s="300" t="s">
        <v>126</v>
      </c>
      <c r="G18" s="300" t="s">
        <v>130</v>
      </c>
      <c r="H18" s="299">
        <v>2030</v>
      </c>
      <c r="I18" s="263">
        <v>3833</v>
      </c>
      <c r="J18" s="263">
        <v>3833</v>
      </c>
      <c r="K18" s="224"/>
      <c r="L18" s="225" t="s">
        <v>126</v>
      </c>
      <c r="M18" s="225" t="s">
        <v>130</v>
      </c>
      <c r="N18" s="266">
        <f t="shared" si="3"/>
        <v>4500</v>
      </c>
      <c r="O18" s="266">
        <f t="shared" si="3"/>
        <v>4500</v>
      </c>
      <c r="Q18" s="225" t="s">
        <v>109</v>
      </c>
      <c r="R18" s="225" t="s">
        <v>115</v>
      </c>
      <c r="S18" s="225" t="str">
        <f t="shared" si="2"/>
        <v>FR00-BE00</v>
      </c>
      <c r="T18" s="225"/>
      <c r="U18" s="719">
        <f t="shared" si="4"/>
        <v>4500</v>
      </c>
      <c r="V18" s="719">
        <f t="shared" si="4"/>
        <v>4500</v>
      </c>
    </row>
    <row r="19" spans="1:22">
      <c r="A19" s="296" t="s">
        <v>128</v>
      </c>
      <c r="B19" s="282" t="s">
        <v>135</v>
      </c>
      <c r="C19" s="281">
        <v>4170</v>
      </c>
      <c r="D19" s="281">
        <v>8330</v>
      </c>
      <c r="F19" s="300" t="s">
        <v>75</v>
      </c>
      <c r="G19" s="300" t="s">
        <v>130</v>
      </c>
      <c r="H19" s="299">
        <v>2030</v>
      </c>
      <c r="I19" s="268">
        <v>8333</v>
      </c>
      <c r="J19" s="268">
        <v>8333</v>
      </c>
      <c r="K19" s="224"/>
      <c r="L19" s="37" t="s">
        <v>75</v>
      </c>
      <c r="M19" s="37" t="s">
        <v>130</v>
      </c>
      <c r="N19" s="305">
        <f>I19</f>
        <v>8333</v>
      </c>
      <c r="O19" s="305">
        <f>J19</f>
        <v>8333</v>
      </c>
      <c r="Q19" s="37" t="s">
        <v>110</v>
      </c>
      <c r="R19" s="37" t="s">
        <v>115</v>
      </c>
      <c r="S19" s="225" t="str">
        <f t="shared" si="2"/>
        <v>UK00-BE00</v>
      </c>
      <c r="T19" s="225"/>
      <c r="U19" s="552">
        <f>N19</f>
        <v>8333</v>
      </c>
      <c r="V19" s="552">
        <f t="shared" si="4"/>
        <v>8333</v>
      </c>
    </row>
    <row r="20" spans="1:22">
      <c r="A20" s="296" t="s">
        <v>129</v>
      </c>
      <c r="B20" s="282" t="s">
        <v>130</v>
      </c>
      <c r="C20" s="266">
        <v>2000</v>
      </c>
      <c r="D20" s="281">
        <v>2000</v>
      </c>
      <c r="F20" s="300" t="s">
        <v>128</v>
      </c>
      <c r="G20" s="300" t="s">
        <v>135</v>
      </c>
      <c r="H20" s="299">
        <v>2030</v>
      </c>
      <c r="I20" s="263">
        <v>2980</v>
      </c>
      <c r="J20" s="263">
        <v>0</v>
      </c>
      <c r="K20" s="224"/>
      <c r="L20" s="282" t="s">
        <v>128</v>
      </c>
      <c r="M20" s="282" t="s">
        <v>135</v>
      </c>
      <c r="N20" s="266">
        <f>C19</f>
        <v>4170</v>
      </c>
      <c r="O20" s="266">
        <f>D19</f>
        <v>8330</v>
      </c>
      <c r="Q20" s="282" t="s">
        <v>113</v>
      </c>
      <c r="R20" s="282" t="s">
        <v>121</v>
      </c>
      <c r="S20" s="282" t="str">
        <f t="shared" si="2"/>
        <v>PL00-LT00</v>
      </c>
      <c r="T20" s="282"/>
      <c r="U20" s="720">
        <f t="shared" si="4"/>
        <v>4170</v>
      </c>
      <c r="V20" s="720">
        <f t="shared" si="4"/>
        <v>8330</v>
      </c>
    </row>
    <row r="21" spans="1:22">
      <c r="A21" s="294" t="s">
        <v>131</v>
      </c>
      <c r="B21" s="226" t="s">
        <v>133</v>
      </c>
      <c r="C21" s="113">
        <v>6750</v>
      </c>
      <c r="D21" s="265">
        <v>6750</v>
      </c>
      <c r="F21" s="43" t="s">
        <v>129</v>
      </c>
      <c r="G21" s="43" t="s">
        <v>130</v>
      </c>
      <c r="H21" s="44">
        <v>2030</v>
      </c>
      <c r="I21" s="264">
        <v>6000</v>
      </c>
      <c r="J21" s="264">
        <v>6000</v>
      </c>
      <c r="K21" s="224"/>
      <c r="L21" s="282" t="s">
        <v>129</v>
      </c>
      <c r="M21" s="282" t="s">
        <v>130</v>
      </c>
      <c r="N21" s="305">
        <f>C20+I21</f>
        <v>8000</v>
      </c>
      <c r="O21" s="305">
        <f>D20+J21</f>
        <v>8000</v>
      </c>
      <c r="Q21" s="282" t="s">
        <v>114</v>
      </c>
      <c r="R21" s="282" t="s">
        <v>115</v>
      </c>
      <c r="S21" s="225" t="str">
        <f t="shared" si="2"/>
        <v>NL00-BE00</v>
      </c>
      <c r="T21" s="225"/>
      <c r="U21" s="552">
        <f t="shared" si="4"/>
        <v>8000</v>
      </c>
      <c r="V21" s="552">
        <f t="shared" si="4"/>
        <v>8000</v>
      </c>
    </row>
    <row r="22" spans="1:22">
      <c r="A22" s="295" t="s">
        <v>131</v>
      </c>
      <c r="B22" s="225" t="s">
        <v>187</v>
      </c>
      <c r="C22" s="266">
        <v>21000</v>
      </c>
      <c r="D22" s="266">
        <v>21000</v>
      </c>
      <c r="F22" s="297" t="s">
        <v>129</v>
      </c>
      <c r="G22" s="297" t="s">
        <v>130</v>
      </c>
      <c r="H22" s="298">
        <v>2040</v>
      </c>
      <c r="I22" s="262">
        <v>2000</v>
      </c>
      <c r="J22" s="262">
        <v>2000</v>
      </c>
      <c r="K22" s="224"/>
      <c r="L22" s="226" t="s">
        <v>131</v>
      </c>
      <c r="M22" s="226" t="s">
        <v>133</v>
      </c>
      <c r="N22" s="303">
        <f>C21-G34</f>
        <v>7546</v>
      </c>
      <c r="O22" s="303">
        <f>D21+H34</f>
        <v>7899</v>
      </c>
      <c r="Q22" s="37" t="s">
        <v>103</v>
      </c>
      <c r="R22" s="37" t="s">
        <v>104</v>
      </c>
      <c r="S22" s="37" t="str">
        <f t="shared" si="2"/>
        <v>SE01-SE02</v>
      </c>
      <c r="U22" s="526">
        <f>U24</f>
        <v>7546</v>
      </c>
      <c r="V22" s="526">
        <f>V24</f>
        <v>7899</v>
      </c>
    </row>
    <row r="23" spans="1:22">
      <c r="A23" s="294" t="s">
        <v>133</v>
      </c>
      <c r="B23" s="226" t="s">
        <v>187</v>
      </c>
      <c r="C23" s="113">
        <v>21000</v>
      </c>
      <c r="D23" s="265">
        <v>21000</v>
      </c>
      <c r="F23" s="43" t="s">
        <v>133</v>
      </c>
      <c r="G23" s="43" t="s">
        <v>131</v>
      </c>
      <c r="H23" s="44">
        <v>2030</v>
      </c>
      <c r="I23" s="264">
        <v>10167</v>
      </c>
      <c r="J23" s="264">
        <v>10167</v>
      </c>
      <c r="K23" s="224"/>
      <c r="L23" s="225" t="s">
        <v>131</v>
      </c>
      <c r="M23" s="225" t="s">
        <v>187</v>
      </c>
      <c r="N23" s="266">
        <f>C22</f>
        <v>21000</v>
      </c>
      <c r="O23" s="266">
        <f>D22</f>
        <v>21000</v>
      </c>
      <c r="Q23" s="37" t="s">
        <v>105</v>
      </c>
      <c r="R23" s="37" t="s">
        <v>106</v>
      </c>
      <c r="S23" s="37" t="str">
        <f t="shared" si="2"/>
        <v>SE03-SE04</v>
      </c>
      <c r="U23" s="526">
        <f>U24</f>
        <v>7546</v>
      </c>
      <c r="V23" s="526">
        <f>V24</f>
        <v>7899</v>
      </c>
    </row>
    <row r="24" spans="1:22">
      <c r="A24" s="295" t="s">
        <v>133</v>
      </c>
      <c r="B24" s="225" t="s">
        <v>137</v>
      </c>
      <c r="C24" s="266">
        <v>8330</v>
      </c>
      <c r="D24" s="266">
        <v>4170</v>
      </c>
      <c r="F24" s="297" t="s">
        <v>133</v>
      </c>
      <c r="G24" s="297" t="s">
        <v>137</v>
      </c>
      <c r="H24" s="298">
        <v>2030</v>
      </c>
      <c r="I24" s="267">
        <v>0</v>
      </c>
      <c r="J24" s="267">
        <v>4167</v>
      </c>
      <c r="K24" s="224"/>
      <c r="L24" s="226" t="s">
        <v>133</v>
      </c>
      <c r="M24" s="226" t="s">
        <v>187</v>
      </c>
      <c r="N24" s="113">
        <f>C23</f>
        <v>21000</v>
      </c>
      <c r="O24" s="113">
        <f>D23</f>
        <v>21000</v>
      </c>
      <c r="Q24" s="37" t="s">
        <v>103</v>
      </c>
      <c r="R24" s="37" t="s">
        <v>117</v>
      </c>
      <c r="S24" s="37" t="str">
        <f t="shared" si="2"/>
        <v>SE01-FI00</v>
      </c>
      <c r="U24" s="526">
        <f>N22</f>
        <v>7546</v>
      </c>
      <c r="V24" s="526">
        <f>O22</f>
        <v>7899</v>
      </c>
    </row>
    <row r="25" spans="1:22">
      <c r="A25" s="296" t="s">
        <v>135</v>
      </c>
      <c r="B25" s="282" t="s">
        <v>136</v>
      </c>
      <c r="C25" s="281">
        <v>4170</v>
      </c>
      <c r="D25" s="281">
        <v>8330</v>
      </c>
      <c r="F25" s="300" t="s">
        <v>135</v>
      </c>
      <c r="G25" s="300" t="s">
        <v>136</v>
      </c>
      <c r="H25" s="299">
        <v>2030</v>
      </c>
      <c r="I25" s="263">
        <v>3733</v>
      </c>
      <c r="J25" s="263">
        <v>0</v>
      </c>
      <c r="K25" s="224"/>
      <c r="L25" s="225" t="s">
        <v>133</v>
      </c>
      <c r="M25" s="225" t="s">
        <v>137</v>
      </c>
      <c r="N25" s="266">
        <f>C24</f>
        <v>8330</v>
      </c>
      <c r="O25" s="304">
        <f>D24+H35</f>
        <v>4205</v>
      </c>
      <c r="Q25" s="225" t="s">
        <v>105</v>
      </c>
      <c r="R25" s="225" t="s">
        <v>187</v>
      </c>
      <c r="S25" s="225" t="str">
        <f t="shared" si="2"/>
        <v>SE03-IBFI</v>
      </c>
      <c r="T25" s="225"/>
      <c r="U25" s="719">
        <f>N23</f>
        <v>21000</v>
      </c>
      <c r="V25" s="719">
        <f>O23</f>
        <v>21000</v>
      </c>
    </row>
    <row r="26" spans="1:22">
      <c r="A26" s="296" t="s">
        <v>136</v>
      </c>
      <c r="B26" s="282" t="s">
        <v>137</v>
      </c>
      <c r="C26" s="266">
        <v>4170</v>
      </c>
      <c r="D26" s="281">
        <v>8330</v>
      </c>
      <c r="F26" s="297" t="s">
        <v>136</v>
      </c>
      <c r="G26" s="297" t="s">
        <v>137</v>
      </c>
      <c r="H26" s="298">
        <v>2040</v>
      </c>
      <c r="I26" s="262">
        <v>1115</v>
      </c>
      <c r="J26" s="262">
        <v>0</v>
      </c>
      <c r="K26" s="224"/>
      <c r="L26" s="282" t="s">
        <v>135</v>
      </c>
      <c r="M26" s="282" t="s">
        <v>136</v>
      </c>
      <c r="N26" s="281">
        <f>C25</f>
        <v>4170</v>
      </c>
      <c r="O26" s="281">
        <f>D25</f>
        <v>8330</v>
      </c>
      <c r="Q26" s="37" t="s">
        <v>101</v>
      </c>
      <c r="R26" s="37" t="s">
        <v>99</v>
      </c>
      <c r="S26" s="225" t="str">
        <f t="shared" si="2"/>
        <v>DKW1-DKE1</v>
      </c>
      <c r="T26" s="225"/>
      <c r="U26" s="551">
        <f>U15</f>
        <v>7892</v>
      </c>
      <c r="V26" s="552">
        <f>V15</f>
        <v>7892</v>
      </c>
    </row>
    <row r="27" spans="1:22">
      <c r="C27" s="70">
        <f>SUM(C11:C26)</f>
        <v>124650</v>
      </c>
      <c r="D27" s="70">
        <f>SUM(D11:D26)</f>
        <v>152760</v>
      </c>
      <c r="F27" s="44"/>
      <c r="G27" s="44"/>
      <c r="H27" s="44"/>
      <c r="I27" s="68">
        <f t="shared" ref="I27:J27" si="5">SUM(I11:I26)/1000</f>
        <v>75.382999999999996</v>
      </c>
      <c r="J27" s="68">
        <f t="shared" si="5"/>
        <v>51.921999999999997</v>
      </c>
      <c r="K27" s="20"/>
      <c r="L27" s="282" t="s">
        <v>136</v>
      </c>
      <c r="M27" s="282" t="s">
        <v>137</v>
      </c>
      <c r="N27" s="266">
        <f>C26</f>
        <v>4170</v>
      </c>
      <c r="O27" s="266">
        <f>D26</f>
        <v>8330</v>
      </c>
      <c r="Q27" s="226" t="s">
        <v>117</v>
      </c>
      <c r="R27" s="226" t="s">
        <v>187</v>
      </c>
      <c r="S27" s="37" t="str">
        <f t="shared" si="2"/>
        <v>FI00-IBFI</v>
      </c>
      <c r="U27" s="718">
        <f t="shared" ref="U27:V30" si="6">N24</f>
        <v>21000</v>
      </c>
      <c r="V27" s="718">
        <f t="shared" si="6"/>
        <v>21000</v>
      </c>
    </row>
    <row r="28" spans="1:22">
      <c r="Q28" s="225" t="s">
        <v>117</v>
      </c>
      <c r="R28" s="225" t="s">
        <v>123</v>
      </c>
      <c r="S28" s="225" t="str">
        <f t="shared" si="2"/>
        <v>FI00-EE00</v>
      </c>
      <c r="T28" s="225"/>
      <c r="U28" s="719">
        <f t="shared" si="6"/>
        <v>8330</v>
      </c>
      <c r="V28" s="551">
        <f t="shared" si="6"/>
        <v>4205</v>
      </c>
    </row>
    <row r="29" spans="1:22">
      <c r="F29" s="763" t="s">
        <v>506</v>
      </c>
      <c r="G29" s="763"/>
      <c r="H29" s="763"/>
      <c r="Q29" s="282" t="s">
        <v>121</v>
      </c>
      <c r="R29" s="282" t="s">
        <v>122</v>
      </c>
      <c r="S29" s="282" t="str">
        <f t="shared" si="2"/>
        <v>LT00-LV00</v>
      </c>
      <c r="T29" s="282"/>
      <c r="U29" s="720">
        <f t="shared" si="6"/>
        <v>4170</v>
      </c>
      <c r="V29" s="720">
        <f t="shared" si="6"/>
        <v>8330</v>
      </c>
    </row>
    <row r="30" spans="1:22">
      <c r="F30" s="19"/>
      <c r="G30" s="19" t="s">
        <v>448</v>
      </c>
      <c r="H30" s="19" t="s">
        <v>351</v>
      </c>
      <c r="Q30" s="282" t="s">
        <v>122</v>
      </c>
      <c r="R30" s="282" t="s">
        <v>123</v>
      </c>
      <c r="S30" s="225" t="str">
        <f t="shared" si="2"/>
        <v>LV00-EE00</v>
      </c>
      <c r="T30" s="225"/>
      <c r="U30" s="720">
        <f t="shared" si="6"/>
        <v>4170</v>
      </c>
      <c r="V30" s="720">
        <f t="shared" si="6"/>
        <v>8330</v>
      </c>
    </row>
    <row r="31" spans="1:22">
      <c r="F31" s="37" t="s">
        <v>496</v>
      </c>
      <c r="G31" s="113">
        <v>-2283</v>
      </c>
      <c r="H31" s="113">
        <v>3586</v>
      </c>
    </row>
    <row r="32" spans="1:22">
      <c r="F32" s="37" t="s">
        <v>495</v>
      </c>
      <c r="G32" s="113">
        <v>-8333</v>
      </c>
      <c r="H32" s="113">
        <v>8333</v>
      </c>
      <c r="J32" s="44"/>
      <c r="K32" s="224"/>
      <c r="L32" s="224"/>
      <c r="M32" s="45"/>
      <c r="N32" s="44"/>
      <c r="O32" s="224"/>
      <c r="P32" s="224"/>
      <c r="Q32" s="45"/>
    </row>
    <row r="33" spans="1:17">
      <c r="A33" s="224"/>
      <c r="B33" s="224"/>
      <c r="E33" s="43"/>
      <c r="F33" s="224" t="s">
        <v>494</v>
      </c>
      <c r="G33" s="113">
        <v>-4836</v>
      </c>
      <c r="H33" s="302">
        <v>5016</v>
      </c>
      <c r="J33" s="44"/>
      <c r="K33" s="224"/>
      <c r="L33" s="224"/>
      <c r="M33" s="45"/>
      <c r="N33" s="44"/>
      <c r="O33" s="224"/>
      <c r="P33" s="224"/>
      <c r="Q33" s="45"/>
    </row>
    <row r="34" spans="1:17">
      <c r="A34" s="224"/>
      <c r="B34" s="224"/>
      <c r="E34" s="43"/>
      <c r="F34" s="37" t="s">
        <v>498</v>
      </c>
      <c r="G34" s="113">
        <v>-796</v>
      </c>
      <c r="H34" s="113">
        <v>1149</v>
      </c>
    </row>
    <row r="35" spans="1:17">
      <c r="A35" s="224"/>
      <c r="B35" s="224"/>
      <c r="E35" s="43"/>
      <c r="F35" s="37" t="s">
        <v>497</v>
      </c>
      <c r="G35" s="113">
        <v>0</v>
      </c>
      <c r="H35" s="113">
        <v>35</v>
      </c>
    </row>
    <row r="36" spans="1:17">
      <c r="A36" s="232"/>
      <c r="E36" s="43"/>
    </row>
    <row r="37" spans="1:17">
      <c r="A37" s="224"/>
      <c r="B37" s="224"/>
    </row>
    <row r="38" spans="1:17">
      <c r="A38" s="224"/>
      <c r="B38" s="224"/>
    </row>
    <row r="39" spans="1:17">
      <c r="A39" s="224"/>
      <c r="B39" s="224"/>
    </row>
    <row r="40" spans="1:17">
      <c r="A40" s="224"/>
      <c r="B40" s="224"/>
    </row>
    <row r="41" spans="1:17">
      <c r="A41" s="224"/>
      <c r="B41" s="224"/>
    </row>
    <row r="42" spans="1:17">
      <c r="H42" s="43"/>
      <c r="I42" s="43"/>
      <c r="J42" s="44"/>
      <c r="K42" s="43"/>
      <c r="L42" s="43"/>
      <c r="M42" s="45"/>
    </row>
    <row r="43" spans="1:17">
      <c r="A43" s="224"/>
      <c r="B43" s="224"/>
    </row>
    <row r="44" spans="1:17">
      <c r="A44" s="224"/>
      <c r="B44" s="224"/>
    </row>
    <row r="45" spans="1:17">
      <c r="A45" s="224"/>
      <c r="B45" s="224"/>
    </row>
    <row r="46" spans="1:17">
      <c r="A46" s="224"/>
      <c r="B46" s="224"/>
    </row>
    <row r="47" spans="1:17">
      <c r="A47" s="224"/>
      <c r="B47" s="224"/>
      <c r="C47" s="45"/>
      <c r="D47" s="45"/>
      <c r="E47" s="43"/>
      <c r="F47" s="43"/>
    </row>
    <row r="48" spans="1:17">
      <c r="A48" s="224"/>
      <c r="B48" s="43"/>
      <c r="C48" s="44"/>
      <c r="D48" s="44"/>
      <c r="E48" s="43"/>
      <c r="F48" s="43"/>
    </row>
    <row r="49" spans="1:6">
      <c r="A49" s="224"/>
      <c r="B49" s="224"/>
      <c r="C49" s="45"/>
      <c r="D49" s="45"/>
      <c r="E49" s="43"/>
      <c r="F49" s="43"/>
    </row>
    <row r="50" spans="1:6">
      <c r="A50" s="224"/>
      <c r="B50" s="224"/>
      <c r="C50" s="45"/>
      <c r="D50" s="45"/>
      <c r="E50" s="43"/>
      <c r="F50" s="43"/>
    </row>
    <row r="51" spans="1:6">
      <c r="A51" s="224"/>
      <c r="B51" s="224"/>
      <c r="C51" s="46"/>
      <c r="D51" s="46"/>
      <c r="E51" s="43"/>
      <c r="F51" s="43"/>
    </row>
    <row r="52" spans="1:6">
      <c r="A52" s="224"/>
      <c r="C52" s="45"/>
      <c r="D52" s="45"/>
      <c r="E52" s="43"/>
      <c r="F52" s="43"/>
    </row>
    <row r="53" spans="1:6">
      <c r="A53" s="224"/>
      <c r="B53" s="224"/>
      <c r="C53" s="45"/>
      <c r="D53" s="45"/>
      <c r="E53" s="43"/>
      <c r="F53" s="43"/>
    </row>
    <row r="54" spans="1:6">
      <c r="A54" s="224"/>
      <c r="B54" s="224"/>
      <c r="C54" s="45"/>
      <c r="D54" s="45"/>
      <c r="E54" s="43"/>
      <c r="F54" s="43"/>
    </row>
    <row r="55" spans="1:6">
      <c r="A55" s="224"/>
      <c r="B55" s="224"/>
      <c r="C55" s="45"/>
      <c r="D55" s="45"/>
      <c r="E55" s="43"/>
      <c r="F55" s="43"/>
    </row>
    <row r="56" spans="1:6">
      <c r="A56" s="224"/>
      <c r="B56" s="224"/>
      <c r="C56" s="45"/>
      <c r="D56" s="45"/>
      <c r="E56" s="43"/>
      <c r="F56" s="43"/>
    </row>
    <row r="57" spans="1:6">
      <c r="A57" s="224"/>
      <c r="B57" s="224"/>
      <c r="C57" s="45"/>
      <c r="D57" s="45"/>
      <c r="E57" s="43"/>
      <c r="F57" s="43"/>
    </row>
    <row r="58" spans="1:6">
      <c r="A58" s="224"/>
      <c r="B58" s="224"/>
      <c r="C58" s="45"/>
      <c r="D58" s="45"/>
      <c r="E58" s="43"/>
      <c r="F58" s="43"/>
    </row>
    <row r="59" spans="1:6">
      <c r="A59" s="224"/>
      <c r="B59" s="224"/>
      <c r="C59" s="46"/>
      <c r="D59" s="46"/>
    </row>
    <row r="60" spans="1:6">
      <c r="A60" s="224"/>
      <c r="B60" s="224"/>
      <c r="C60" s="45"/>
      <c r="D60" s="45"/>
    </row>
    <row r="61" spans="1:6">
      <c r="A61" s="224"/>
      <c r="B61" s="224"/>
      <c r="C61" s="45"/>
      <c r="D61" s="45"/>
      <c r="E61" s="46"/>
      <c r="F61" s="46"/>
    </row>
    <row r="62" spans="1:6">
      <c r="A62" s="224"/>
      <c r="B62" s="224"/>
      <c r="C62" s="45"/>
      <c r="D62" s="45"/>
    </row>
    <row r="63" spans="1:6">
      <c r="A63" s="224"/>
      <c r="B63" s="224"/>
      <c r="C63" s="45"/>
      <c r="D63" s="45"/>
    </row>
    <row r="64" spans="1:6">
      <c r="A64" s="224"/>
      <c r="B64" s="224"/>
      <c r="C64" s="46"/>
      <c r="D64" s="46"/>
    </row>
    <row r="65" spans="1:6">
      <c r="A65" s="224"/>
      <c r="B65" s="224"/>
      <c r="C65" s="46"/>
      <c r="D65" s="46"/>
    </row>
    <row r="66" spans="1:6">
      <c r="A66" s="232"/>
      <c r="C66" s="45"/>
      <c r="D66" s="45"/>
    </row>
    <row r="67" spans="1:6">
      <c r="A67" s="232"/>
      <c r="C67" s="45"/>
      <c r="D67" s="45"/>
    </row>
    <row r="68" spans="1:6">
      <c r="A68" s="224"/>
      <c r="C68" s="45"/>
      <c r="D68" s="45"/>
      <c r="E68" s="43"/>
      <c r="F68" s="43"/>
    </row>
    <row r="69" spans="1:6">
      <c r="A69" s="224"/>
      <c r="C69" s="45"/>
      <c r="D69" s="45"/>
      <c r="E69" s="43"/>
      <c r="F69" s="43"/>
    </row>
    <row r="70" spans="1:6">
      <c r="A70" s="224"/>
      <c r="C70" s="45"/>
      <c r="D70" s="45"/>
      <c r="E70" s="43"/>
      <c r="F70" s="43"/>
    </row>
    <row r="71" spans="1:6">
      <c r="B71" s="224"/>
      <c r="C71" s="45"/>
      <c r="D71" s="45"/>
      <c r="E71" s="43"/>
      <c r="F71" s="43"/>
    </row>
    <row r="72" spans="1:6">
      <c r="B72" s="224"/>
      <c r="C72" s="45"/>
      <c r="D72" s="45"/>
      <c r="E72" s="43"/>
      <c r="F72" s="43"/>
    </row>
    <row r="73" spans="1:6">
      <c r="B73" s="224"/>
      <c r="C73" s="45"/>
      <c r="D73" s="45"/>
      <c r="E73" s="43"/>
      <c r="F73" s="43"/>
    </row>
    <row r="74" spans="1:6">
      <c r="B74" s="224"/>
      <c r="C74" s="45"/>
      <c r="D74" s="45"/>
      <c r="E74" s="43"/>
      <c r="F74" s="43"/>
    </row>
    <row r="75" spans="1:6">
      <c r="B75" s="224"/>
      <c r="C75" s="45"/>
      <c r="D75" s="45"/>
      <c r="E75" s="43"/>
      <c r="F75" s="43"/>
    </row>
    <row r="76" spans="1:6">
      <c r="B76" s="224"/>
      <c r="C76" s="45"/>
      <c r="D76" s="45"/>
      <c r="E76" s="43"/>
      <c r="F76" s="43"/>
    </row>
    <row r="77" spans="1:6">
      <c r="B77" s="224"/>
      <c r="C77" s="45"/>
      <c r="D77" s="45"/>
      <c r="E77" s="43"/>
      <c r="F77" s="43"/>
    </row>
    <row r="78" spans="1:6">
      <c r="B78" s="224"/>
      <c r="C78" s="45"/>
      <c r="D78" s="45"/>
      <c r="E78" s="43"/>
      <c r="F78" s="43"/>
    </row>
    <row r="79" spans="1:6">
      <c r="B79" s="224"/>
      <c r="C79" s="45"/>
      <c r="D79" s="45"/>
      <c r="E79" s="43"/>
      <c r="F79" s="43"/>
    </row>
    <row r="80" spans="1:6">
      <c r="B80" s="224"/>
      <c r="C80" s="45"/>
      <c r="D80" s="45"/>
      <c r="E80" s="43"/>
      <c r="F80" s="43"/>
    </row>
    <row r="81" spans="1:6">
      <c r="A81" s="224"/>
      <c r="C81" s="45"/>
      <c r="D81" s="45"/>
      <c r="E81" s="43"/>
      <c r="F81" s="43"/>
    </row>
    <row r="82" spans="1:6">
      <c r="A82" s="224"/>
      <c r="B82" s="224"/>
      <c r="C82" s="45"/>
      <c r="D82" s="45"/>
      <c r="E82" s="43"/>
      <c r="F82" s="43"/>
    </row>
    <row r="83" spans="1:6">
      <c r="A83" s="224"/>
      <c r="C83" s="46"/>
      <c r="D83" s="46"/>
    </row>
    <row r="84" spans="1:6">
      <c r="A84" s="224"/>
      <c r="C84" s="46"/>
      <c r="D84" s="46"/>
    </row>
    <row r="85" spans="1:6">
      <c r="A85" s="224"/>
      <c r="B85" s="224"/>
      <c r="C85" s="45"/>
      <c r="D85" s="45"/>
      <c r="E85" s="43"/>
      <c r="F85" s="43"/>
    </row>
    <row r="86" spans="1:6">
      <c r="A86" s="224"/>
      <c r="C86" s="45"/>
      <c r="D86" s="45"/>
      <c r="E86" s="43"/>
      <c r="F86" s="43"/>
    </row>
    <row r="87" spans="1:6">
      <c r="A87" s="224"/>
      <c r="B87" s="224"/>
      <c r="C87" s="45"/>
      <c r="D87" s="45"/>
      <c r="E87" s="43"/>
      <c r="F87" s="43"/>
    </row>
    <row r="88" spans="1:6">
      <c r="A88" s="224"/>
      <c r="C88" s="45"/>
      <c r="D88" s="45"/>
    </row>
    <row r="89" spans="1:6">
      <c r="A89" s="224"/>
      <c r="B89" s="224"/>
      <c r="C89" s="45"/>
      <c r="D89" s="45"/>
    </row>
    <row r="90" spans="1:6">
      <c r="A90" s="224"/>
      <c r="B90" s="224"/>
      <c r="C90" s="45"/>
      <c r="D90" s="45"/>
      <c r="E90" s="43"/>
      <c r="F90" s="43"/>
    </row>
    <row r="91" spans="1:6">
      <c r="A91" s="224"/>
      <c r="B91" s="224"/>
      <c r="C91" s="45"/>
      <c r="D91" s="45"/>
      <c r="E91" s="224"/>
      <c r="F91" s="224"/>
    </row>
    <row r="102" spans="3:5">
      <c r="C102" s="215"/>
      <c r="E102" s="215"/>
    </row>
    <row r="103" spans="3:5">
      <c r="C103" s="215"/>
      <c r="E103" s="215"/>
    </row>
    <row r="104" spans="3:5">
      <c r="C104" s="215"/>
      <c r="E104" s="215"/>
    </row>
    <row r="105" spans="3:5">
      <c r="C105" s="215"/>
      <c r="E105" s="215"/>
    </row>
    <row r="106" spans="3:5">
      <c r="C106" s="215"/>
      <c r="E106" s="215"/>
    </row>
    <row r="107" spans="3:5">
      <c r="C107" s="215"/>
      <c r="E107" s="215"/>
    </row>
    <row r="108" spans="3:5">
      <c r="C108" s="215"/>
    </row>
    <row r="109" spans="3:5">
      <c r="C109" s="215"/>
    </row>
    <row r="110" spans="3:5">
      <c r="C110" s="215"/>
      <c r="E110" s="215"/>
    </row>
    <row r="111" spans="3:5">
      <c r="C111" s="215"/>
      <c r="E111" s="215"/>
    </row>
    <row r="112" spans="3:5">
      <c r="C112" s="215"/>
      <c r="E112" s="215"/>
    </row>
    <row r="113" spans="3:5">
      <c r="C113" s="215"/>
      <c r="E113" s="215"/>
    </row>
    <row r="114" spans="3:5">
      <c r="C114" s="215"/>
      <c r="E114" s="215"/>
    </row>
    <row r="115" spans="3:5">
      <c r="C115" s="215"/>
      <c r="D115" s="215"/>
      <c r="E115" s="215"/>
    </row>
    <row r="116" spans="3:5">
      <c r="C116" s="215"/>
      <c r="D116" s="215"/>
      <c r="E116" s="215"/>
    </row>
    <row r="117" spans="3:5">
      <c r="C117" s="215"/>
      <c r="D117" s="215"/>
      <c r="E117" s="215"/>
    </row>
    <row r="118" spans="3:5">
      <c r="C118" s="215"/>
      <c r="D118" s="215"/>
      <c r="E118" s="215"/>
    </row>
    <row r="119" spans="3:5">
      <c r="C119" s="215"/>
      <c r="D119" s="215"/>
    </row>
    <row r="120" spans="3:5">
      <c r="C120" s="215"/>
      <c r="D120" s="215"/>
    </row>
    <row r="121" spans="3:5">
      <c r="C121" s="215"/>
      <c r="D121" s="215"/>
      <c r="E121" s="216"/>
    </row>
    <row r="122" spans="3:5">
      <c r="C122" s="215"/>
    </row>
    <row r="123" spans="3:5">
      <c r="C123" s="215"/>
    </row>
    <row r="124" spans="3:5">
      <c r="C124" s="215"/>
    </row>
    <row r="125" spans="3:5">
      <c r="C125" s="215"/>
    </row>
    <row r="126" spans="3:5">
      <c r="C126" s="215"/>
    </row>
    <row r="127" spans="3:5">
      <c r="C127" s="215"/>
    </row>
    <row r="128" spans="3:5">
      <c r="C128" s="215"/>
    </row>
    <row r="129" spans="3:3">
      <c r="C129" s="215"/>
    </row>
    <row r="130" spans="3:3">
      <c r="C130" s="215"/>
    </row>
    <row r="131" spans="3:3">
      <c r="C131" s="215"/>
    </row>
    <row r="132" spans="3:3">
      <c r="C132" s="215"/>
    </row>
    <row r="133" spans="3:3">
      <c r="C133" s="215"/>
    </row>
    <row r="134" spans="3:3">
      <c r="C134" s="215"/>
    </row>
    <row r="135" spans="3:3">
      <c r="C135" s="215"/>
    </row>
    <row r="136" spans="3:3">
      <c r="C136" s="215"/>
    </row>
    <row r="137" spans="3:3">
      <c r="C137" s="215"/>
    </row>
    <row r="138" spans="3:3">
      <c r="C138" s="215"/>
    </row>
    <row r="139" spans="3:3">
      <c r="C139" s="215"/>
    </row>
    <row r="140" spans="3:3">
      <c r="C140" s="215"/>
    </row>
  </sheetData>
  <mergeCells count="19">
    <mergeCell ref="A1:B1"/>
    <mergeCell ref="A2:B2"/>
    <mergeCell ref="A3:B3"/>
    <mergeCell ref="C1:T1"/>
    <mergeCell ref="C2:T2"/>
    <mergeCell ref="A4:B4"/>
    <mergeCell ref="A9:D9"/>
    <mergeCell ref="F9:J9"/>
    <mergeCell ref="A6:B6"/>
    <mergeCell ref="A5:B5"/>
    <mergeCell ref="A7:B7"/>
    <mergeCell ref="C7:T7"/>
    <mergeCell ref="F29:H29"/>
    <mergeCell ref="C4:T4"/>
    <mergeCell ref="C3:T3"/>
    <mergeCell ref="C6:T6"/>
    <mergeCell ref="C5:T5"/>
    <mergeCell ref="L9:O9"/>
    <mergeCell ref="Q9:V9"/>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2" customWidth="1"/>
    <col min="2" max="2" width="11.5546875" style="22" customWidth="1"/>
    <col min="3" max="16384" width="8.88671875" style="22"/>
  </cols>
  <sheetData>
    <row r="1" spans="1:25">
      <c r="A1" s="173" t="s">
        <v>627</v>
      </c>
      <c r="B1" s="172"/>
      <c r="C1" s="172"/>
      <c r="D1" s="172"/>
      <c r="E1" s="172"/>
      <c r="F1" s="172"/>
      <c r="G1" s="172"/>
      <c r="H1" s="172"/>
      <c r="I1" s="172"/>
      <c r="J1" s="172"/>
      <c r="K1" s="172"/>
      <c r="L1" s="172"/>
      <c r="M1" s="172"/>
      <c r="N1" s="172"/>
      <c r="O1" s="172"/>
      <c r="P1" s="172"/>
      <c r="Q1" s="172"/>
      <c r="R1" s="172"/>
      <c r="S1" s="172"/>
      <c r="T1" s="172"/>
      <c r="U1" s="172"/>
      <c r="V1" s="172"/>
      <c r="Y1" s="23"/>
    </row>
    <row r="2" spans="1:25" ht="15" customHeight="1">
      <c r="A2" s="3" t="s">
        <v>253</v>
      </c>
      <c r="B2" s="781" t="s">
        <v>621</v>
      </c>
      <c r="C2" s="781"/>
      <c r="D2" s="781"/>
      <c r="E2" s="781"/>
      <c r="F2" s="781"/>
      <c r="G2" s="781"/>
      <c r="H2" s="781"/>
      <c r="I2" s="781"/>
      <c r="J2" s="781"/>
      <c r="K2" s="781"/>
      <c r="L2" s="781"/>
      <c r="M2" s="781"/>
      <c r="N2" s="781"/>
      <c r="O2" s="781"/>
      <c r="P2" s="781"/>
      <c r="Q2" s="781"/>
      <c r="R2" s="781"/>
      <c r="S2" s="781"/>
      <c r="T2" s="781"/>
      <c r="U2" s="781"/>
      <c r="V2" s="781"/>
    </row>
    <row r="3" spans="1:25">
      <c r="A3" s="3"/>
      <c r="B3" s="781"/>
      <c r="C3" s="781"/>
      <c r="D3" s="781"/>
      <c r="E3" s="781"/>
      <c r="F3" s="781"/>
      <c r="G3" s="781"/>
      <c r="H3" s="781"/>
      <c r="I3" s="781"/>
      <c r="J3" s="781"/>
      <c r="K3" s="781"/>
      <c r="L3" s="781"/>
      <c r="M3" s="781"/>
      <c r="N3" s="781"/>
      <c r="O3" s="781"/>
      <c r="P3" s="781"/>
      <c r="Q3" s="781"/>
      <c r="R3" s="781"/>
      <c r="S3" s="781"/>
      <c r="T3" s="781"/>
      <c r="U3" s="781"/>
      <c r="V3" s="781"/>
    </row>
    <row r="4" spans="1:25">
      <c r="A4" s="3"/>
      <c r="B4" s="781"/>
      <c r="C4" s="781"/>
      <c r="D4" s="781"/>
      <c r="E4" s="781"/>
      <c r="F4" s="781"/>
      <c r="G4" s="781"/>
      <c r="H4" s="781"/>
      <c r="I4" s="781"/>
      <c r="J4" s="781"/>
      <c r="K4" s="781"/>
      <c r="L4" s="781"/>
      <c r="M4" s="781"/>
      <c r="N4" s="781"/>
      <c r="O4" s="781"/>
      <c r="P4" s="781"/>
      <c r="Q4" s="781"/>
      <c r="R4" s="781"/>
      <c r="S4" s="781"/>
      <c r="T4" s="781"/>
      <c r="U4" s="781"/>
      <c r="V4" s="781"/>
    </row>
    <row r="5" spans="1:25">
      <c r="A5" s="3"/>
      <c r="B5" s="781"/>
      <c r="C5" s="781"/>
      <c r="D5" s="781"/>
      <c r="E5" s="781"/>
      <c r="F5" s="781"/>
      <c r="G5" s="781"/>
      <c r="H5" s="781"/>
      <c r="I5" s="781"/>
      <c r="J5" s="781"/>
      <c r="K5" s="781"/>
      <c r="L5" s="781"/>
      <c r="M5" s="781"/>
      <c r="N5" s="781"/>
      <c r="O5" s="781"/>
      <c r="P5" s="781"/>
      <c r="Q5" s="781"/>
      <c r="R5" s="781"/>
      <c r="S5" s="781"/>
      <c r="T5" s="781"/>
      <c r="U5" s="781"/>
      <c r="V5" s="781"/>
    </row>
    <row r="6" spans="1:25" ht="15" customHeight="1">
      <c r="A6" s="3" t="s">
        <v>581</v>
      </c>
      <c r="B6" s="782" t="s">
        <v>622</v>
      </c>
      <c r="C6" s="782"/>
      <c r="D6" s="782"/>
      <c r="E6" s="782"/>
      <c r="F6" s="782"/>
      <c r="G6" s="782"/>
      <c r="H6" s="782"/>
      <c r="I6" s="782"/>
      <c r="J6" s="782"/>
      <c r="K6" s="782"/>
      <c r="L6" s="782"/>
      <c r="M6" s="782"/>
      <c r="N6" s="782"/>
      <c r="O6" s="782"/>
      <c r="P6" s="782"/>
      <c r="Q6" s="782"/>
      <c r="R6" s="782"/>
      <c r="S6" s="782"/>
      <c r="T6" s="782"/>
      <c r="U6" s="782"/>
      <c r="V6" s="782"/>
    </row>
    <row r="7" spans="1:25">
      <c r="A7" s="3"/>
      <c r="B7" s="782"/>
      <c r="C7" s="782"/>
      <c r="D7" s="782"/>
      <c r="E7" s="782"/>
      <c r="F7" s="782"/>
      <c r="G7" s="782"/>
      <c r="H7" s="782"/>
      <c r="I7" s="782"/>
      <c r="J7" s="782"/>
      <c r="K7" s="782"/>
      <c r="L7" s="782"/>
      <c r="M7" s="782"/>
      <c r="N7" s="782"/>
      <c r="O7" s="782"/>
      <c r="P7" s="782"/>
      <c r="Q7" s="782"/>
      <c r="R7" s="782"/>
      <c r="S7" s="782"/>
      <c r="T7" s="782"/>
      <c r="U7" s="782"/>
      <c r="V7" s="782"/>
    </row>
    <row r="8" spans="1:25">
      <c r="A8" s="3"/>
      <c r="B8" s="782"/>
      <c r="C8" s="782"/>
      <c r="D8" s="782"/>
      <c r="E8" s="782"/>
      <c r="F8" s="782"/>
      <c r="G8" s="782"/>
      <c r="H8" s="782"/>
      <c r="I8" s="782"/>
      <c r="J8" s="782"/>
      <c r="K8" s="782"/>
      <c r="L8" s="782"/>
      <c r="M8" s="782"/>
      <c r="N8" s="782"/>
      <c r="O8" s="782"/>
      <c r="P8" s="782"/>
      <c r="Q8" s="782"/>
      <c r="R8" s="782"/>
      <c r="S8" s="782"/>
      <c r="T8" s="782"/>
      <c r="U8" s="782"/>
      <c r="V8" s="782"/>
    </row>
    <row r="9" spans="1:25">
      <c r="A9" s="3"/>
      <c r="B9" s="782"/>
      <c r="C9" s="782"/>
      <c r="D9" s="782"/>
      <c r="E9" s="782"/>
      <c r="F9" s="782"/>
      <c r="G9" s="782"/>
      <c r="H9" s="782"/>
      <c r="I9" s="782"/>
      <c r="J9" s="782"/>
      <c r="K9" s="782"/>
      <c r="L9" s="782"/>
      <c r="M9" s="782"/>
      <c r="N9" s="782"/>
      <c r="O9" s="782"/>
      <c r="P9" s="782"/>
      <c r="Q9" s="782"/>
      <c r="R9" s="782"/>
      <c r="S9" s="782"/>
      <c r="T9" s="782"/>
      <c r="U9" s="782"/>
      <c r="V9" s="782"/>
    </row>
    <row r="10" spans="1:25">
      <c r="A10" s="3"/>
      <c r="B10" s="782"/>
      <c r="C10" s="782"/>
      <c r="D10" s="782"/>
      <c r="E10" s="782"/>
      <c r="F10" s="782"/>
      <c r="G10" s="782"/>
      <c r="H10" s="782"/>
      <c r="I10" s="782"/>
      <c r="J10" s="782"/>
      <c r="K10" s="782"/>
      <c r="L10" s="782"/>
      <c r="M10" s="782"/>
      <c r="N10" s="782"/>
      <c r="O10" s="782"/>
      <c r="P10" s="782"/>
      <c r="Q10" s="782"/>
      <c r="R10" s="782"/>
      <c r="S10" s="782"/>
      <c r="T10" s="782"/>
      <c r="U10" s="782"/>
      <c r="V10" s="782"/>
    </row>
    <row r="11" spans="1:25">
      <c r="A11" s="3" t="s">
        <v>623</v>
      </c>
      <c r="B11" s="780" t="s">
        <v>624</v>
      </c>
      <c r="C11" s="780"/>
      <c r="D11" s="780"/>
      <c r="E11" s="780"/>
      <c r="F11" s="780"/>
      <c r="G11" s="780"/>
      <c r="H11" s="780"/>
      <c r="I11" s="780"/>
      <c r="J11" s="780"/>
      <c r="K11" s="780"/>
      <c r="L11" s="780"/>
      <c r="M11" s="780"/>
      <c r="N11" s="780"/>
      <c r="O11" s="780"/>
      <c r="P11" s="780"/>
      <c r="Q11" s="780"/>
      <c r="R11" s="780"/>
      <c r="S11" s="780"/>
      <c r="T11" s="780"/>
      <c r="U11" s="780"/>
      <c r="V11" s="780"/>
    </row>
    <row r="12" spans="1:25">
      <c r="A12" s="3" t="s">
        <v>629</v>
      </c>
      <c r="B12" s="780" t="s">
        <v>628</v>
      </c>
      <c r="C12" s="780"/>
      <c r="D12" s="780"/>
      <c r="E12" s="780"/>
      <c r="F12" s="780"/>
      <c r="G12" s="780"/>
      <c r="H12" s="780"/>
      <c r="I12" s="780"/>
      <c r="J12" s="780"/>
      <c r="K12" s="780"/>
      <c r="L12" s="780"/>
      <c r="M12" s="780"/>
      <c r="N12" s="780"/>
      <c r="O12" s="780"/>
      <c r="P12" s="780"/>
      <c r="Q12" s="780"/>
      <c r="R12" s="780"/>
      <c r="S12" s="780"/>
      <c r="T12" s="780"/>
      <c r="U12" s="780"/>
      <c r="V12" s="780"/>
    </row>
    <row r="13" spans="1:25">
      <c r="B13" s="86"/>
      <c r="C13" s="514"/>
      <c r="D13" s="514"/>
      <c r="E13" s="514"/>
      <c r="F13" s="514"/>
      <c r="G13" s="514"/>
      <c r="H13" s="514"/>
      <c r="I13" s="514"/>
      <c r="J13" s="514"/>
      <c r="K13" s="514"/>
      <c r="L13" s="514"/>
      <c r="M13" s="514"/>
      <c r="N13" s="514"/>
      <c r="O13" s="514"/>
      <c r="P13" s="514"/>
      <c r="Q13" s="514"/>
      <c r="R13" s="514"/>
      <c r="S13" s="514"/>
      <c r="T13" s="514"/>
      <c r="U13" s="514"/>
      <c r="V13" s="514"/>
    </row>
    <row r="14" spans="1:25">
      <c r="A14" s="437" t="s">
        <v>631</v>
      </c>
      <c r="B14" s="40"/>
      <c r="C14" s="40"/>
      <c r="D14" s="40"/>
      <c r="E14" s="40"/>
      <c r="F14" s="40"/>
      <c r="G14" s="40"/>
      <c r="H14" s="40"/>
      <c r="I14" s="40"/>
      <c r="J14" s="40"/>
      <c r="K14" s="40"/>
      <c r="L14" s="40"/>
      <c r="M14" s="40"/>
      <c r="N14" s="40"/>
      <c r="O14" s="40"/>
      <c r="P14" s="40"/>
      <c r="Q14" s="40"/>
      <c r="R14" s="40"/>
      <c r="S14" s="40"/>
      <c r="T14" s="40"/>
      <c r="U14" s="40"/>
      <c r="V14" s="40"/>
    </row>
    <row r="15" spans="1:25">
      <c r="A15" s="57" t="s">
        <v>626</v>
      </c>
      <c r="B15" s="55"/>
      <c r="C15" s="55"/>
      <c r="D15" s="55"/>
      <c r="E15" s="55"/>
      <c r="F15" s="55"/>
      <c r="G15" s="55"/>
      <c r="H15" s="55"/>
      <c r="I15" s="55"/>
      <c r="J15" s="55"/>
      <c r="K15" s="55"/>
      <c r="L15" s="55"/>
      <c r="M15" s="55"/>
      <c r="N15" s="55"/>
      <c r="O15" s="55"/>
      <c r="P15" s="55"/>
      <c r="Q15" s="55"/>
      <c r="R15" s="55"/>
      <c r="S15" s="55"/>
      <c r="T15" s="55"/>
      <c r="U15" s="55"/>
      <c r="V15" s="55"/>
    </row>
    <row r="16" spans="1:25" s="20" customFormat="1">
      <c r="A16" s="517"/>
      <c r="B16" s="159"/>
      <c r="C16" s="517" t="s">
        <v>107</v>
      </c>
      <c r="D16" s="517" t="s">
        <v>109</v>
      </c>
      <c r="E16" s="517" t="s">
        <v>110</v>
      </c>
      <c r="F16" s="517" t="s">
        <v>112</v>
      </c>
      <c r="G16" s="517" t="s">
        <v>113</v>
      </c>
      <c r="H16" s="517" t="s">
        <v>114</v>
      </c>
      <c r="I16" s="517" t="s">
        <v>115</v>
      </c>
      <c r="J16" s="517" t="s">
        <v>103</v>
      </c>
      <c r="K16" s="517" t="s">
        <v>104</v>
      </c>
      <c r="L16" s="517" t="s">
        <v>105</v>
      </c>
      <c r="M16" s="517" t="s">
        <v>106</v>
      </c>
      <c r="N16" s="517" t="s">
        <v>99</v>
      </c>
      <c r="O16" s="517" t="s">
        <v>101</v>
      </c>
      <c r="P16" s="517" t="s">
        <v>117</v>
      </c>
      <c r="Q16" s="517" t="s">
        <v>118</v>
      </c>
      <c r="R16" s="517" t="s">
        <v>119</v>
      </c>
      <c r="S16" s="517" t="s">
        <v>120</v>
      </c>
      <c r="T16" s="517" t="s">
        <v>121</v>
      </c>
      <c r="U16" s="517" t="s">
        <v>122</v>
      </c>
      <c r="V16" s="517" t="s">
        <v>123</v>
      </c>
    </row>
    <row r="17" spans="1:23" s="20" customFormat="1">
      <c r="A17" s="3" t="s">
        <v>238</v>
      </c>
      <c r="B17" s="55" t="s">
        <v>217</v>
      </c>
      <c r="C17" s="184">
        <v>8564</v>
      </c>
      <c r="D17" s="184">
        <v>2415</v>
      </c>
      <c r="E17" s="184">
        <v>3053</v>
      </c>
      <c r="F17" s="184">
        <v>1730</v>
      </c>
      <c r="G17" s="184">
        <v>2183</v>
      </c>
      <c r="H17" s="184">
        <v>415</v>
      </c>
      <c r="I17" s="184">
        <v>615</v>
      </c>
      <c r="J17" s="184">
        <v>199</v>
      </c>
      <c r="K17" s="184">
        <v>744</v>
      </c>
      <c r="L17" s="184">
        <v>2554</v>
      </c>
      <c r="M17" s="184">
        <v>698</v>
      </c>
      <c r="N17" s="184">
        <v>0</v>
      </c>
      <c r="O17" s="184">
        <v>7</v>
      </c>
      <c r="P17" s="184">
        <v>2625</v>
      </c>
      <c r="Q17" s="184">
        <v>0</v>
      </c>
      <c r="R17" s="184">
        <v>0</v>
      </c>
      <c r="S17" s="184">
        <v>0</v>
      </c>
      <c r="T17" s="184">
        <v>210</v>
      </c>
      <c r="U17" s="184">
        <v>159</v>
      </c>
      <c r="V17" s="184">
        <v>168</v>
      </c>
      <c r="W17" s="70">
        <f>SUM(C17:V17)</f>
        <v>26339</v>
      </c>
    </row>
    <row r="18" spans="1:23" s="20" customFormat="1">
      <c r="A18" s="55"/>
      <c r="B18" s="55" t="s">
        <v>351</v>
      </c>
      <c r="C18" s="184">
        <v>5130</v>
      </c>
      <c r="D18" s="184">
        <v>1391</v>
      </c>
      <c r="E18" s="184">
        <v>2770</v>
      </c>
      <c r="F18" s="184">
        <v>1049</v>
      </c>
      <c r="G18" s="184">
        <v>1474</v>
      </c>
      <c r="H18" s="184">
        <v>166</v>
      </c>
      <c r="I18" s="184">
        <v>389</v>
      </c>
      <c r="J18" s="184">
        <v>90</v>
      </c>
      <c r="K18" s="184">
        <v>479</v>
      </c>
      <c r="L18" s="184">
        <v>2137</v>
      </c>
      <c r="M18" s="184">
        <v>531</v>
      </c>
      <c r="N18" s="184"/>
      <c r="O18" s="184">
        <v>3</v>
      </c>
      <c r="P18" s="184">
        <v>1646</v>
      </c>
      <c r="Q18" s="184"/>
      <c r="R18" s="184"/>
      <c r="S18" s="184"/>
      <c r="T18" s="184">
        <v>210</v>
      </c>
      <c r="U18" s="184">
        <v>159</v>
      </c>
      <c r="V18" s="184">
        <v>84</v>
      </c>
      <c r="W18" s="70">
        <f>SUM(C18:V18)</f>
        <v>17708</v>
      </c>
    </row>
    <row r="19" spans="1:23" s="20" customFormat="1">
      <c r="A19" s="55"/>
      <c r="B19" s="55" t="s">
        <v>447</v>
      </c>
      <c r="C19" s="184">
        <v>5077.9111721611725</v>
      </c>
      <c r="D19" s="184">
        <v>1384.0747481684982</v>
      </c>
      <c r="E19" s="184">
        <v>2767.4172390109889</v>
      </c>
      <c r="F19" s="184">
        <v>852.1253434065934</v>
      </c>
      <c r="G19" s="184">
        <v>1167.493131868132</v>
      </c>
      <c r="H19" s="184">
        <v>158.77358058608058</v>
      </c>
      <c r="I19" s="184">
        <v>287.36332417582418</v>
      </c>
      <c r="J19" s="184">
        <v>65.086309523809518</v>
      </c>
      <c r="K19" s="184">
        <v>290.97756410256409</v>
      </c>
      <c r="L19" s="184">
        <v>1306.2164606227107</v>
      </c>
      <c r="M19" s="184">
        <v>297.65384615384613</v>
      </c>
      <c r="N19" s="184"/>
      <c r="O19" s="184">
        <v>1.8198260073260073</v>
      </c>
      <c r="P19" s="184">
        <v>1180.6810897435898</v>
      </c>
      <c r="Q19" s="184"/>
      <c r="R19" s="184"/>
      <c r="S19" s="184"/>
      <c r="T19" s="184">
        <v>203.37328296703296</v>
      </c>
      <c r="U19" s="184">
        <v>159</v>
      </c>
      <c r="V19" s="184">
        <v>83.754464285714292</v>
      </c>
    </row>
    <row r="20" spans="1:23" s="20" customFormat="1">
      <c r="A20" s="55"/>
      <c r="B20" s="55" t="s">
        <v>448</v>
      </c>
      <c r="C20" s="184">
        <v>0</v>
      </c>
      <c r="D20" s="184"/>
      <c r="E20" s="184"/>
      <c r="F20" s="184"/>
      <c r="G20" s="184"/>
      <c r="H20" s="184"/>
      <c r="I20" s="184"/>
      <c r="J20" s="184">
        <v>16</v>
      </c>
      <c r="K20" s="184"/>
      <c r="L20" s="184"/>
      <c r="M20" s="184"/>
      <c r="N20" s="184"/>
      <c r="O20" s="184"/>
      <c r="P20" s="184"/>
      <c r="Q20" s="184"/>
      <c r="R20" s="184"/>
      <c r="S20" s="184"/>
      <c r="T20" s="184"/>
      <c r="U20" s="184">
        <v>159</v>
      </c>
      <c r="V20" s="184"/>
    </row>
    <row r="21" spans="1:23" s="20" customFormat="1">
      <c r="A21" s="159"/>
      <c r="B21" s="519" t="s">
        <v>625</v>
      </c>
      <c r="C21" s="518" t="s">
        <v>450</v>
      </c>
      <c r="D21" s="518" t="s">
        <v>450</v>
      </c>
      <c r="E21" s="518" t="s">
        <v>450</v>
      </c>
      <c r="F21" s="518" t="s">
        <v>451</v>
      </c>
      <c r="G21" s="518" t="s">
        <v>451</v>
      </c>
      <c r="H21" s="518" t="s">
        <v>450</v>
      </c>
      <c r="I21" s="518" t="s">
        <v>451</v>
      </c>
      <c r="J21" s="518" t="s">
        <v>451</v>
      </c>
      <c r="K21" s="518" t="s">
        <v>451</v>
      </c>
      <c r="L21" s="518" t="s">
        <v>451</v>
      </c>
      <c r="M21" s="518" t="s">
        <v>451</v>
      </c>
      <c r="N21" s="518"/>
      <c r="O21" s="518" t="s">
        <v>450</v>
      </c>
      <c r="P21" s="518" t="s">
        <v>451</v>
      </c>
      <c r="Q21" s="518"/>
      <c r="R21" s="518"/>
      <c r="S21" s="518"/>
      <c r="T21" s="518" t="s">
        <v>450</v>
      </c>
      <c r="U21" s="518" t="s">
        <v>450</v>
      </c>
      <c r="V21" s="518" t="s">
        <v>450</v>
      </c>
    </row>
    <row r="22" spans="1:23" s="20" customFormat="1">
      <c r="A22" s="3" t="s">
        <v>252</v>
      </c>
      <c r="B22" s="55" t="s">
        <v>217</v>
      </c>
      <c r="C22" s="184">
        <v>4825</v>
      </c>
      <c r="D22" s="184">
        <v>2600</v>
      </c>
      <c r="E22" s="184">
        <v>17361</v>
      </c>
      <c r="F22" s="184">
        <v>3980</v>
      </c>
      <c r="G22" s="184">
        <v>4678</v>
      </c>
      <c r="H22" s="184">
        <v>3664</v>
      </c>
      <c r="I22" s="184">
        <v>1594</v>
      </c>
      <c r="J22" s="184">
        <v>0</v>
      </c>
      <c r="K22" s="184">
        <v>0</v>
      </c>
      <c r="L22" s="184">
        <v>0</v>
      </c>
      <c r="M22" s="184">
        <v>0</v>
      </c>
      <c r="N22" s="184">
        <v>0</v>
      </c>
      <c r="O22" s="184">
        <v>0</v>
      </c>
      <c r="P22" s="184">
        <v>133</v>
      </c>
      <c r="Q22" s="184">
        <v>20</v>
      </c>
      <c r="R22" s="184">
        <v>195</v>
      </c>
      <c r="S22" s="184">
        <v>50</v>
      </c>
      <c r="T22" s="184">
        <v>107</v>
      </c>
      <c r="U22" s="184">
        <v>0</v>
      </c>
      <c r="V22" s="184">
        <v>135</v>
      </c>
      <c r="W22" s="70">
        <f>SUM(C22:V22)</f>
        <v>39342</v>
      </c>
    </row>
    <row r="23" spans="1:23" s="20" customFormat="1">
      <c r="A23" s="55"/>
      <c r="B23" s="55" t="s">
        <v>351</v>
      </c>
      <c r="C23" s="184">
        <v>4825</v>
      </c>
      <c r="D23" s="184">
        <v>1651</v>
      </c>
      <c r="E23" s="184">
        <v>17362</v>
      </c>
      <c r="F23" s="184">
        <v>2477</v>
      </c>
      <c r="G23" s="184">
        <v>2807</v>
      </c>
      <c r="H23" s="184">
        <v>2785</v>
      </c>
      <c r="I23" s="184">
        <v>1010</v>
      </c>
      <c r="J23" s="184"/>
      <c r="K23" s="184"/>
      <c r="L23" s="184"/>
      <c r="M23" s="184"/>
      <c r="N23" s="184"/>
      <c r="O23" s="184"/>
      <c r="P23" s="184">
        <v>85</v>
      </c>
      <c r="Q23" s="184">
        <v>20</v>
      </c>
      <c r="R23" s="184">
        <v>195</v>
      </c>
      <c r="S23" s="184">
        <v>50</v>
      </c>
      <c r="T23" s="184">
        <v>107</v>
      </c>
      <c r="U23" s="184"/>
      <c r="V23" s="184">
        <v>23</v>
      </c>
    </row>
    <row r="24" spans="1:23" s="20" customFormat="1">
      <c r="A24" s="55"/>
      <c r="B24" s="55" t="s">
        <v>447</v>
      </c>
      <c r="C24" s="184">
        <v>24.290636446886445</v>
      </c>
      <c r="D24" s="184">
        <v>185.4217032967033</v>
      </c>
      <c r="E24" s="184">
        <v>5643.8988095238092</v>
      </c>
      <c r="F24" s="184">
        <v>24.987637362637361</v>
      </c>
      <c r="G24" s="184">
        <v>269.29361263736263</v>
      </c>
      <c r="H24" s="184">
        <v>531.41185897435901</v>
      </c>
      <c r="I24" s="184">
        <v>253.2356913919414</v>
      </c>
      <c r="J24" s="184"/>
      <c r="K24" s="184"/>
      <c r="L24" s="184"/>
      <c r="M24" s="184"/>
      <c r="N24" s="184"/>
      <c r="O24" s="184"/>
      <c r="P24" s="184">
        <v>3.1133241758241756</v>
      </c>
      <c r="Q24" s="184">
        <v>0.80311355311355315</v>
      </c>
      <c r="R24" s="184">
        <v>4.5323946886446889</v>
      </c>
      <c r="S24" s="184">
        <v>5.7234432234432235</v>
      </c>
      <c r="T24" s="184">
        <v>21.883241758241759</v>
      </c>
      <c r="U24" s="184"/>
      <c r="V24" s="184">
        <v>3.8677884615384617</v>
      </c>
    </row>
    <row r="25" spans="1:23" s="20" customFormat="1">
      <c r="A25" s="55"/>
      <c r="B25" s="55" t="s">
        <v>448</v>
      </c>
      <c r="C25" s="184">
        <v>0</v>
      </c>
      <c r="D25" s="184"/>
      <c r="E25" s="184"/>
      <c r="F25" s="184"/>
      <c r="G25" s="184"/>
      <c r="H25" s="184"/>
      <c r="I25" s="184"/>
      <c r="J25" s="184"/>
      <c r="K25" s="184"/>
      <c r="L25" s="184"/>
      <c r="M25" s="184"/>
      <c r="N25" s="184"/>
      <c r="O25" s="184"/>
      <c r="P25" s="184"/>
      <c r="Q25" s="184"/>
      <c r="R25" s="184"/>
      <c r="S25" s="184"/>
      <c r="T25" s="184"/>
      <c r="U25" s="184"/>
      <c r="V25" s="184"/>
    </row>
    <row r="26" spans="1:23" s="20" customFormat="1">
      <c r="A26" s="159"/>
      <c r="B26" s="519" t="s">
        <v>625</v>
      </c>
      <c r="C26" s="518" t="s">
        <v>450</v>
      </c>
      <c r="D26" s="518" t="s">
        <v>450</v>
      </c>
      <c r="E26" s="518" t="s">
        <v>452</v>
      </c>
      <c r="F26" s="518" t="s">
        <v>451</v>
      </c>
      <c r="G26" s="518" t="s">
        <v>451</v>
      </c>
      <c r="H26" s="518" t="s">
        <v>451</v>
      </c>
      <c r="I26" s="518" t="s">
        <v>451</v>
      </c>
      <c r="J26" s="518"/>
      <c r="K26" s="518"/>
      <c r="L26" s="518"/>
      <c r="M26" s="518"/>
      <c r="N26" s="518"/>
      <c r="O26" s="518"/>
      <c r="P26" s="518" t="s">
        <v>451</v>
      </c>
      <c r="Q26" s="518" t="s">
        <v>450</v>
      </c>
      <c r="R26" s="518" t="s">
        <v>450</v>
      </c>
      <c r="S26" s="518" t="s">
        <v>450</v>
      </c>
      <c r="T26" s="518" t="s">
        <v>450</v>
      </c>
      <c r="U26" s="518"/>
      <c r="V26" s="518" t="s">
        <v>450</v>
      </c>
    </row>
    <row r="27" spans="1:23" s="20" customFormat="1">
      <c r="C27" s="111"/>
      <c r="D27" s="111"/>
      <c r="E27" s="111"/>
      <c r="F27" s="111"/>
      <c r="G27" s="111"/>
      <c r="H27" s="111"/>
      <c r="I27" s="111"/>
      <c r="J27" s="111"/>
      <c r="K27" s="111"/>
      <c r="L27" s="111"/>
      <c r="M27" s="111"/>
      <c r="N27" s="111"/>
      <c r="O27" s="70"/>
      <c r="P27" s="111"/>
      <c r="Q27" s="70"/>
      <c r="R27" s="70"/>
      <c r="S27" s="70"/>
      <c r="T27" s="111"/>
      <c r="U27" s="111"/>
      <c r="V27" s="111"/>
      <c r="W27" s="70"/>
    </row>
    <row r="28" spans="1:23" s="20" customFormat="1"/>
    <row r="29" spans="1:23" s="20" customFormat="1">
      <c r="A29" s="170" t="s">
        <v>630</v>
      </c>
      <c r="B29" s="516"/>
      <c r="C29" s="516"/>
      <c r="D29" s="516"/>
      <c r="E29" s="516"/>
      <c r="F29" s="516"/>
      <c r="G29" s="516"/>
      <c r="H29" s="516"/>
      <c r="I29" s="516"/>
      <c r="J29" s="516"/>
      <c r="K29" s="516"/>
      <c r="L29" s="516"/>
      <c r="M29" s="516"/>
      <c r="N29" s="516"/>
      <c r="O29" s="516"/>
      <c r="P29" s="516"/>
      <c r="Q29" s="516"/>
      <c r="R29" s="516"/>
      <c r="S29" s="516"/>
      <c r="T29" s="516"/>
      <c r="U29" s="516"/>
      <c r="V29" s="171"/>
    </row>
    <row r="30" spans="1:23" s="20" customFormat="1">
      <c r="A30" s="55" t="s">
        <v>632</v>
      </c>
      <c r="B30" s="55" t="s">
        <v>634</v>
      </c>
      <c r="C30" s="55"/>
      <c r="D30" s="55"/>
      <c r="E30" s="55"/>
      <c r="F30" s="55"/>
      <c r="G30" s="55"/>
      <c r="H30" s="55"/>
      <c r="I30" s="55"/>
      <c r="J30" s="55"/>
      <c r="K30" s="55"/>
      <c r="L30" s="55"/>
      <c r="M30" s="55"/>
      <c r="N30" s="55"/>
      <c r="O30" s="55"/>
      <c r="P30" s="55"/>
      <c r="Q30" s="55"/>
      <c r="R30" s="55"/>
      <c r="S30" s="55"/>
      <c r="T30" s="55"/>
      <c r="U30" s="55"/>
      <c r="V30" s="55"/>
    </row>
    <row r="31" spans="1:23">
      <c r="A31" s="3"/>
      <c r="B31" s="3" t="s">
        <v>635</v>
      </c>
      <c r="C31" s="3"/>
      <c r="D31" s="3"/>
      <c r="E31" s="3"/>
      <c r="F31" s="3"/>
      <c r="G31" s="3"/>
      <c r="H31" s="3"/>
      <c r="I31" s="3"/>
      <c r="J31" s="3"/>
      <c r="K31" s="3"/>
      <c r="L31" s="3"/>
      <c r="M31" s="3"/>
      <c r="N31" s="3"/>
      <c r="O31" s="3"/>
      <c r="P31" s="3"/>
      <c r="Q31" s="3"/>
      <c r="R31" s="3"/>
      <c r="S31" s="3"/>
      <c r="T31" s="3"/>
      <c r="U31" s="3"/>
      <c r="V31" s="3"/>
      <c r="W31" s="20"/>
    </row>
    <row r="32" spans="1:23">
      <c r="A32" s="55" t="s">
        <v>633</v>
      </c>
      <c r="B32" s="3" t="s">
        <v>636</v>
      </c>
      <c r="C32" s="3"/>
      <c r="D32" s="3"/>
      <c r="E32" s="3"/>
      <c r="F32" s="3"/>
      <c r="G32" s="3"/>
      <c r="H32" s="3"/>
      <c r="I32" s="3"/>
      <c r="J32" s="3"/>
      <c r="K32" s="3"/>
      <c r="L32" s="3"/>
      <c r="M32" s="3"/>
      <c r="N32" s="3"/>
      <c r="O32" s="3"/>
      <c r="P32" s="3"/>
      <c r="Q32" s="3"/>
      <c r="R32" s="3"/>
      <c r="S32" s="3"/>
      <c r="T32" s="3"/>
      <c r="U32" s="3"/>
      <c r="V32" s="3"/>
      <c r="W32" s="20"/>
    </row>
    <row r="33" spans="1:29">
      <c r="A33" s="3"/>
      <c r="B33" s="3" t="s">
        <v>637</v>
      </c>
      <c r="C33" s="3"/>
      <c r="D33" s="3"/>
      <c r="E33" s="3"/>
      <c r="F33" s="3"/>
      <c r="G33" s="3"/>
      <c r="H33" s="3"/>
      <c r="I33" s="3"/>
      <c r="J33" s="3"/>
      <c r="K33" s="3"/>
      <c r="L33" s="3"/>
      <c r="M33" s="3"/>
      <c r="N33" s="3"/>
      <c r="O33" s="3"/>
      <c r="P33" s="3"/>
      <c r="Q33" s="3"/>
      <c r="R33" s="3"/>
      <c r="S33" s="3"/>
      <c r="T33" s="3"/>
      <c r="U33" s="3"/>
      <c r="V33" s="3"/>
      <c r="W33" s="20"/>
    </row>
    <row r="34" spans="1:29">
      <c r="A34" s="3"/>
      <c r="B34" s="17" t="s">
        <v>639</v>
      </c>
      <c r="C34" s="17"/>
      <c r="D34" s="17"/>
      <c r="E34" s="17"/>
      <c r="F34" s="17"/>
      <c r="G34" s="17"/>
      <c r="H34" s="17"/>
      <c r="I34" s="213" t="s">
        <v>638</v>
      </c>
      <c r="J34" s="17"/>
      <c r="K34" s="3"/>
      <c r="L34" s="3"/>
      <c r="M34" s="3"/>
      <c r="N34" s="3"/>
      <c r="O34" s="3"/>
      <c r="P34" s="3"/>
      <c r="Q34" s="3"/>
      <c r="R34" s="3"/>
      <c r="S34" s="3"/>
      <c r="T34" s="3"/>
      <c r="U34" s="3"/>
      <c r="V34" s="3"/>
      <c r="W34" s="20"/>
    </row>
    <row r="35" spans="1:29">
      <c r="A35" s="3" t="s">
        <v>640</v>
      </c>
      <c r="B35" s="3" t="s">
        <v>641</v>
      </c>
      <c r="C35" s="3" t="s">
        <v>642</v>
      </c>
      <c r="D35" s="3"/>
      <c r="E35" s="3"/>
      <c r="F35" s="3"/>
      <c r="G35" s="3"/>
      <c r="H35" s="3"/>
      <c r="I35" s="3"/>
      <c r="J35" s="3"/>
      <c r="K35" s="3"/>
      <c r="L35" s="3"/>
      <c r="M35" s="3"/>
      <c r="N35" s="3"/>
      <c r="O35" s="3"/>
      <c r="P35" s="3"/>
      <c r="Q35" s="3"/>
      <c r="R35" s="3"/>
      <c r="S35" s="3"/>
      <c r="T35" s="3"/>
      <c r="U35" s="3"/>
      <c r="V35" s="3"/>
      <c r="W35" s="20"/>
    </row>
    <row r="36" spans="1:29">
      <c r="A36" s="3"/>
      <c r="B36" s="3" t="s">
        <v>601</v>
      </c>
      <c r="C36" s="3" t="s">
        <v>646</v>
      </c>
      <c r="D36" s="3"/>
      <c r="E36" s="3"/>
      <c r="F36" s="3"/>
      <c r="G36" s="3"/>
      <c r="H36" s="3"/>
      <c r="I36" s="3"/>
      <c r="J36" s="3"/>
      <c r="K36" s="3"/>
      <c r="L36" s="3"/>
      <c r="M36" s="3"/>
      <c r="N36" s="3"/>
      <c r="O36" s="3"/>
      <c r="P36" s="3"/>
      <c r="Q36" s="3"/>
      <c r="R36" s="3"/>
      <c r="S36" s="3"/>
      <c r="T36" s="3"/>
      <c r="U36" s="3"/>
      <c r="V36" s="3"/>
      <c r="W36" s="20"/>
    </row>
    <row r="38" spans="1:29">
      <c r="A38" s="437" t="s">
        <v>216</v>
      </c>
      <c r="B38" s="40"/>
      <c r="C38" s="40"/>
      <c r="D38" s="40"/>
      <c r="E38" s="40"/>
      <c r="F38" s="40"/>
      <c r="G38" s="40"/>
      <c r="H38" s="40"/>
      <c r="I38" s="40"/>
      <c r="J38" s="40"/>
      <c r="K38" s="40"/>
      <c r="L38" s="40"/>
      <c r="M38" s="40"/>
      <c r="N38" s="40"/>
      <c r="O38" s="40"/>
      <c r="P38" s="40"/>
      <c r="Q38" s="40"/>
      <c r="R38" s="40"/>
      <c r="S38" s="40"/>
      <c r="T38" s="40"/>
      <c r="U38" s="40"/>
      <c r="V38" s="40"/>
    </row>
    <row r="39" spans="1:29">
      <c r="A39" s="3" t="s">
        <v>640</v>
      </c>
      <c r="B39" s="3" t="s">
        <v>645</v>
      </c>
      <c r="C39" s="3"/>
      <c r="D39" s="3"/>
      <c r="E39" s="3"/>
      <c r="F39" s="3"/>
      <c r="G39" s="3"/>
      <c r="H39" s="3"/>
      <c r="I39" s="3"/>
      <c r="J39" s="3"/>
      <c r="K39" s="3"/>
      <c r="L39" s="3"/>
      <c r="M39" s="3"/>
      <c r="N39" s="3"/>
      <c r="O39" s="3"/>
      <c r="P39" s="3"/>
      <c r="Q39" s="3"/>
      <c r="R39" s="3"/>
      <c r="S39" s="3"/>
      <c r="T39" s="3"/>
      <c r="U39" s="3"/>
      <c r="V39" s="3"/>
    </row>
    <row r="40" spans="1:29">
      <c r="A40" s="517"/>
      <c r="B40" s="517" t="s">
        <v>643</v>
      </c>
      <c r="C40" s="517"/>
      <c r="D40" s="517"/>
      <c r="E40" s="517"/>
      <c r="F40" s="517"/>
      <c r="G40" s="517"/>
      <c r="H40" s="517"/>
      <c r="I40" s="517"/>
      <c r="J40" s="517"/>
      <c r="K40" s="517"/>
      <c r="L40" s="517"/>
      <c r="M40" s="517"/>
      <c r="N40" s="517"/>
      <c r="O40" s="517"/>
      <c r="P40" s="517"/>
      <c r="Q40" s="517"/>
      <c r="R40" s="517"/>
      <c r="S40" s="517"/>
      <c r="T40" s="517"/>
      <c r="U40" s="517"/>
      <c r="V40" s="517"/>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0" t="s">
        <v>644</v>
      </c>
      <c r="B42" s="3" t="s">
        <v>262</v>
      </c>
      <c r="C42" s="70">
        <f t="shared" ref="C42:V42" si="0">C19+C24</f>
        <v>5102.2018086080589</v>
      </c>
      <c r="D42" s="70">
        <f t="shared" si="0"/>
        <v>1569.4964514652015</v>
      </c>
      <c r="E42" s="70">
        <f t="shared" si="0"/>
        <v>8411.316048534798</v>
      </c>
      <c r="F42" s="70">
        <f t="shared" si="0"/>
        <v>877.11298076923072</v>
      </c>
      <c r="G42" s="70">
        <f t="shared" si="0"/>
        <v>1436.7867445054947</v>
      </c>
      <c r="H42" s="70">
        <f t="shared" si="0"/>
        <v>690.18543956043959</v>
      </c>
      <c r="I42" s="70">
        <f t="shared" si="0"/>
        <v>540.5990155677656</v>
      </c>
      <c r="J42" s="70">
        <f t="shared" si="0"/>
        <v>65.086309523809518</v>
      </c>
      <c r="K42" s="70">
        <f t="shared" si="0"/>
        <v>290.97756410256409</v>
      </c>
      <c r="L42" s="70">
        <f t="shared" si="0"/>
        <v>1306.2164606227107</v>
      </c>
      <c r="M42" s="70">
        <f t="shared" si="0"/>
        <v>297.65384615384613</v>
      </c>
      <c r="N42" s="70">
        <f t="shared" si="0"/>
        <v>0</v>
      </c>
      <c r="O42" s="70">
        <f t="shared" si="0"/>
        <v>1.8198260073260073</v>
      </c>
      <c r="P42" s="70">
        <f t="shared" si="0"/>
        <v>1183.794413919414</v>
      </c>
      <c r="Q42" s="70">
        <f t="shared" si="0"/>
        <v>0.80311355311355315</v>
      </c>
      <c r="R42" s="70">
        <f t="shared" si="0"/>
        <v>4.5323946886446889</v>
      </c>
      <c r="S42" s="70">
        <f t="shared" si="0"/>
        <v>5.7234432234432235</v>
      </c>
      <c r="T42" s="70">
        <f t="shared" si="0"/>
        <v>225.25652472527472</v>
      </c>
      <c r="U42" s="70">
        <f t="shared" si="0"/>
        <v>159</v>
      </c>
      <c r="V42" s="70">
        <f t="shared" si="0"/>
        <v>87.622252747252759</v>
      </c>
      <c r="W42" s="70">
        <f>SUM(C42:V42)</f>
        <v>22256.184638278388</v>
      </c>
    </row>
    <row r="43" spans="1:29">
      <c r="A43" s="3" t="s">
        <v>449</v>
      </c>
      <c r="B43" s="3" t="s">
        <v>262</v>
      </c>
      <c r="C43" s="70">
        <f>C42*2</f>
        <v>10204.403617216118</v>
      </c>
      <c r="D43" s="70">
        <f t="shared" ref="D43:V43" si="1">D42*2</f>
        <v>3138.992902930403</v>
      </c>
      <c r="E43" s="70">
        <f t="shared" si="1"/>
        <v>16822.632097069596</v>
      </c>
      <c r="F43" s="70">
        <f t="shared" si="1"/>
        <v>1754.2259615384614</v>
      </c>
      <c r="G43" s="70">
        <f t="shared" si="1"/>
        <v>2873.5734890109893</v>
      </c>
      <c r="H43" s="70">
        <f t="shared" si="1"/>
        <v>1380.3708791208792</v>
      </c>
      <c r="I43" s="70">
        <f t="shared" si="1"/>
        <v>1081.1980311355312</v>
      </c>
      <c r="J43" s="70">
        <f t="shared" si="1"/>
        <v>130.17261904761904</v>
      </c>
      <c r="K43" s="70">
        <f t="shared" si="1"/>
        <v>581.95512820512818</v>
      </c>
      <c r="L43" s="70">
        <f t="shared" si="1"/>
        <v>2612.4329212454213</v>
      </c>
      <c r="M43" s="70">
        <f t="shared" si="1"/>
        <v>595.30769230769226</v>
      </c>
      <c r="N43" s="70">
        <f t="shared" si="1"/>
        <v>0</v>
      </c>
      <c r="O43" s="70">
        <f t="shared" si="1"/>
        <v>3.6396520146520146</v>
      </c>
      <c r="P43" s="70">
        <f t="shared" si="1"/>
        <v>2367.5888278388279</v>
      </c>
      <c r="Q43" s="70">
        <f t="shared" si="1"/>
        <v>1.6062271062271063</v>
      </c>
      <c r="R43" s="70">
        <f t="shared" si="1"/>
        <v>9.0647893772893777</v>
      </c>
      <c r="S43" s="70">
        <f t="shared" si="1"/>
        <v>11.446886446886447</v>
      </c>
      <c r="T43" s="70">
        <f t="shared" si="1"/>
        <v>450.51304945054943</v>
      </c>
      <c r="U43" s="70">
        <f t="shared" si="1"/>
        <v>318</v>
      </c>
      <c r="V43" s="70">
        <f t="shared" si="1"/>
        <v>175.24450549450552</v>
      </c>
      <c r="W43" s="70">
        <f>SUM(C43:V43)</f>
        <v>44512.369276556776</v>
      </c>
      <c r="Y43" s="70"/>
      <c r="Z43" s="70"/>
      <c r="AB43" s="509"/>
      <c r="AC43" s="509"/>
    </row>
    <row r="44" spans="1:29">
      <c r="A44" s="3" t="s">
        <v>449</v>
      </c>
      <c r="B44" s="3" t="s">
        <v>321</v>
      </c>
      <c r="C44" s="70">
        <f>C43*0.00876</f>
        <v>89.390575686813193</v>
      </c>
      <c r="D44" s="70">
        <f t="shared" ref="D44:V44" si="2">D43*0.00876</f>
        <v>27.49757782967033</v>
      </c>
      <c r="E44" s="70">
        <f t="shared" si="2"/>
        <v>147.36625717032967</v>
      </c>
      <c r="F44" s="70">
        <f t="shared" si="2"/>
        <v>15.367019423076924</v>
      </c>
      <c r="G44" s="70">
        <f t="shared" si="2"/>
        <v>25.172503763736266</v>
      </c>
      <c r="H44" s="70">
        <f t="shared" si="2"/>
        <v>12.092048901098902</v>
      </c>
      <c r="I44" s="70">
        <f t="shared" si="2"/>
        <v>9.4712947527472533</v>
      </c>
      <c r="J44" s="70">
        <f t="shared" si="2"/>
        <v>1.1403121428571428</v>
      </c>
      <c r="K44" s="70">
        <f t="shared" si="2"/>
        <v>5.0979269230769226</v>
      </c>
      <c r="L44" s="70">
        <f t="shared" si="2"/>
        <v>22.884912390109893</v>
      </c>
      <c r="M44" s="70">
        <f t="shared" si="2"/>
        <v>5.2148953846153843</v>
      </c>
      <c r="N44" s="70">
        <f t="shared" si="2"/>
        <v>0</v>
      </c>
      <c r="O44" s="70">
        <f t="shared" si="2"/>
        <v>3.1883351648351647E-2</v>
      </c>
      <c r="P44" s="70">
        <f t="shared" si="2"/>
        <v>20.740078131868135</v>
      </c>
      <c r="Q44" s="70">
        <f t="shared" si="2"/>
        <v>1.4070549450549452E-2</v>
      </c>
      <c r="R44" s="70">
        <f t="shared" si="2"/>
        <v>7.9407554945054956E-2</v>
      </c>
      <c r="S44" s="70">
        <f t="shared" si="2"/>
        <v>0.10027472527472528</v>
      </c>
      <c r="T44" s="70">
        <f>T43*0.00876</f>
        <v>3.9464943131868133</v>
      </c>
      <c r="U44" s="70">
        <f>(V64-1)*0.00876</f>
        <v>2.2378212295793301</v>
      </c>
      <c r="V44" s="70">
        <f t="shared" si="2"/>
        <v>1.5351418681318685</v>
      </c>
      <c r="W44" s="70"/>
      <c r="Y44" s="70"/>
      <c r="Z44" s="70"/>
      <c r="AB44" s="509"/>
      <c r="AC44" s="509"/>
    </row>
    <row r="45" spans="1:29">
      <c r="C45" s="92">
        <f t="shared" ref="C45:M45" si="3">C42/(D63+D67)</f>
        <v>0.38107415106490844</v>
      </c>
      <c r="D45" s="92">
        <f t="shared" si="3"/>
        <v>0.31296040906584277</v>
      </c>
      <c r="E45" s="92">
        <f t="shared" si="3"/>
        <v>0.41203664389805028</v>
      </c>
      <c r="F45" s="92">
        <f t="shared" si="3"/>
        <v>0.1536099791189546</v>
      </c>
      <c r="G45" s="92">
        <f t="shared" si="3"/>
        <v>0.20941360508752291</v>
      </c>
      <c r="H45" s="92">
        <f t="shared" si="3"/>
        <v>0.16920456963972533</v>
      </c>
      <c r="I45" s="92">
        <f t="shared" si="3"/>
        <v>0.24472567477037827</v>
      </c>
      <c r="J45" s="92">
        <f t="shared" si="3"/>
        <v>0.32706688202919354</v>
      </c>
      <c r="K45" s="92">
        <f t="shared" si="3"/>
        <v>0.39109887648194097</v>
      </c>
      <c r="L45" s="92">
        <f t="shared" si="3"/>
        <v>0.51143949123833621</v>
      </c>
      <c r="M45" s="92">
        <f t="shared" si="3"/>
        <v>0.42643817500551023</v>
      </c>
      <c r="N45" s="92"/>
      <c r="O45" s="92">
        <f t="shared" ref="O45:W45" si="4">O42/(P63+P67)</f>
        <v>0.25997514390371534</v>
      </c>
      <c r="P45" s="92">
        <f t="shared" si="4"/>
        <v>0.42922205000703917</v>
      </c>
      <c r="Q45" s="92">
        <f t="shared" si="4"/>
        <v>4.0155677655677659E-2</v>
      </c>
      <c r="R45" s="92">
        <f t="shared" si="4"/>
        <v>2.324304968535738E-2</v>
      </c>
      <c r="S45" s="92">
        <f t="shared" si="4"/>
        <v>0.11446886446886446</v>
      </c>
      <c r="T45" s="92">
        <f t="shared" si="4"/>
        <v>0.71058840607342177</v>
      </c>
      <c r="U45" s="92">
        <f t="shared" si="4"/>
        <v>1</v>
      </c>
      <c r="V45" s="92">
        <f t="shared" si="4"/>
        <v>0.28918235230116424</v>
      </c>
      <c r="W45" s="92">
        <f t="shared" si="4"/>
        <v>0.33885270684487734</v>
      </c>
      <c r="Y45" s="70"/>
      <c r="Z45" s="70"/>
      <c r="AA45" s="508"/>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2"/>
      <c r="S46" s="92"/>
      <c r="T46" s="92"/>
      <c r="U46" s="92"/>
      <c r="V46" s="92"/>
      <c r="W46" s="92"/>
      <c r="Y46" s="70"/>
      <c r="Z46" s="70"/>
      <c r="AA46" s="508"/>
    </row>
    <row r="47" spans="1:29">
      <c r="A47" s="3" t="s">
        <v>449</v>
      </c>
      <c r="B47" s="3" t="s">
        <v>321</v>
      </c>
      <c r="C47" s="526">
        <f>C44</f>
        <v>89.390575686813193</v>
      </c>
      <c r="D47" s="526">
        <f t="shared" ref="D47:M47" si="5">D44</f>
        <v>27.49757782967033</v>
      </c>
      <c r="E47" s="526">
        <f t="shared" si="5"/>
        <v>147.36625717032967</v>
      </c>
      <c r="F47" s="526">
        <f t="shared" si="5"/>
        <v>15.367019423076924</v>
      </c>
      <c r="G47" s="526">
        <f t="shared" si="5"/>
        <v>25.172503763736266</v>
      </c>
      <c r="H47" s="526">
        <f t="shared" si="5"/>
        <v>12.092048901098902</v>
      </c>
      <c r="I47" s="526">
        <f t="shared" si="5"/>
        <v>9.4712947527472533</v>
      </c>
      <c r="J47" s="526">
        <f t="shared" si="5"/>
        <v>1.1403121428571428</v>
      </c>
      <c r="K47" s="526">
        <f t="shared" si="5"/>
        <v>5.0979269230769226</v>
      </c>
      <c r="L47" s="526">
        <f t="shared" si="5"/>
        <v>22.884912390109893</v>
      </c>
      <c r="M47" s="526">
        <f t="shared" si="5"/>
        <v>5.2148953846153843</v>
      </c>
      <c r="N47" s="526">
        <f>P44</f>
        <v>20.740078131868135</v>
      </c>
      <c r="O47" s="526">
        <f>T44</f>
        <v>3.9464943131868133</v>
      </c>
      <c r="P47" s="526">
        <f>U44</f>
        <v>2.2378212295793301</v>
      </c>
      <c r="Q47" s="526">
        <f t="shared" ref="Q47" si="6">V44</f>
        <v>1.5351418681318685</v>
      </c>
      <c r="R47" s="92"/>
      <c r="S47" s="92"/>
      <c r="T47" s="92"/>
      <c r="U47" s="92"/>
      <c r="V47" s="92"/>
      <c r="W47" s="92"/>
      <c r="Y47" s="70"/>
      <c r="Z47" s="70"/>
      <c r="AA47" s="508"/>
    </row>
    <row r="48" spans="1:29">
      <c r="J48" s="409"/>
      <c r="K48" s="402"/>
      <c r="O48" s="402"/>
      <c r="P48" s="410"/>
      <c r="T48" s="409"/>
      <c r="U48" s="410"/>
      <c r="Y48" s="410"/>
      <c r="Z48" s="70"/>
    </row>
    <row r="49" spans="1:24">
      <c r="A49" s="437" t="s">
        <v>600</v>
      </c>
      <c r="B49" s="40"/>
      <c r="C49" s="40"/>
      <c r="D49" s="40"/>
      <c r="E49" s="40"/>
      <c r="F49" s="40"/>
      <c r="G49" s="40"/>
      <c r="H49" s="40"/>
      <c r="I49" s="40"/>
      <c r="J49" s="40"/>
      <c r="K49" s="40"/>
      <c r="L49" s="40"/>
      <c r="M49" s="40"/>
      <c r="N49" s="40"/>
      <c r="O49" s="40"/>
      <c r="P49" s="40"/>
      <c r="Q49" s="40"/>
      <c r="R49" s="40"/>
      <c r="S49" s="40"/>
      <c r="T49" s="40"/>
      <c r="U49" s="40"/>
      <c r="V49" s="40"/>
    </row>
    <row r="50" spans="1:24">
      <c r="A50" s="3" t="s">
        <v>640</v>
      </c>
      <c r="B50" s="3" t="s">
        <v>648</v>
      </c>
      <c r="C50" s="3"/>
      <c r="D50" s="3"/>
      <c r="E50" s="3"/>
      <c r="F50" s="3"/>
      <c r="G50" s="3"/>
      <c r="H50" s="3"/>
      <c r="I50" s="3"/>
      <c r="J50" s="3"/>
      <c r="K50" s="3"/>
      <c r="L50" s="3"/>
      <c r="M50" s="3"/>
      <c r="N50" s="3"/>
      <c r="O50" s="3"/>
      <c r="P50" s="3"/>
      <c r="Q50" s="3"/>
      <c r="R50" s="3"/>
      <c r="S50" s="3"/>
      <c r="T50" s="3"/>
      <c r="U50" s="3"/>
      <c r="V50" s="3"/>
    </row>
    <row r="51" spans="1:24">
      <c r="A51" s="3"/>
      <c r="B51" s="3" t="s">
        <v>649</v>
      </c>
      <c r="C51" s="3"/>
      <c r="D51" s="3"/>
      <c r="E51" s="3"/>
      <c r="F51" s="3"/>
      <c r="G51" s="3"/>
      <c r="H51" s="3"/>
      <c r="I51" s="3"/>
      <c r="J51" s="3"/>
      <c r="K51" s="3"/>
      <c r="L51" s="3"/>
      <c r="M51" s="3"/>
      <c r="N51" s="3"/>
      <c r="O51" s="3"/>
      <c r="P51" s="3"/>
      <c r="Q51" s="3"/>
      <c r="R51" s="3"/>
      <c r="S51" s="3"/>
      <c r="T51" s="3"/>
      <c r="U51" s="3"/>
      <c r="V51" s="3"/>
    </row>
    <row r="52" spans="1:24">
      <c r="A52" s="517"/>
      <c r="B52" s="517" t="s">
        <v>650</v>
      </c>
      <c r="C52" s="517"/>
      <c r="D52" s="517"/>
      <c r="E52" s="517"/>
      <c r="F52" s="517"/>
      <c r="G52" s="517"/>
      <c r="H52" s="517"/>
      <c r="I52" s="517"/>
      <c r="J52" s="517"/>
      <c r="K52" s="517"/>
      <c r="L52" s="517"/>
      <c r="M52" s="517"/>
      <c r="N52" s="517"/>
      <c r="O52" s="517"/>
      <c r="P52" s="517"/>
      <c r="Q52" s="517"/>
      <c r="R52" s="517"/>
      <c r="S52" s="517"/>
      <c r="T52" s="517"/>
      <c r="U52" s="517"/>
      <c r="V52" s="517"/>
      <c r="X52" s="70"/>
    </row>
    <row r="53" spans="1:24">
      <c r="B53" s="3" t="s">
        <v>647</v>
      </c>
      <c r="C53" s="3"/>
      <c r="D53" s="3"/>
      <c r="X53" s="70"/>
    </row>
    <row r="54" spans="1:24" ht="15" customHeight="1">
      <c r="B54" s="3"/>
      <c r="C54" s="3" t="s">
        <v>530</v>
      </c>
      <c r="D54" s="3" t="s">
        <v>602</v>
      </c>
      <c r="X54" s="92"/>
    </row>
    <row r="55" spans="1:24" ht="15" customHeight="1">
      <c r="B55" s="3" t="s">
        <v>603</v>
      </c>
      <c r="C55" s="454">
        <v>44.512</v>
      </c>
      <c r="D55" s="409">
        <f>C55/2</f>
        <v>22.256</v>
      </c>
      <c r="X55" s="70"/>
    </row>
    <row r="56" spans="1:24" ht="15" customHeight="1">
      <c r="B56" s="3" t="s">
        <v>605</v>
      </c>
      <c r="C56" s="454">
        <f>C55</f>
        <v>44.512</v>
      </c>
      <c r="D56" s="507">
        <v>65.680999999999997</v>
      </c>
      <c r="X56" s="70"/>
    </row>
    <row r="57" spans="1:24" ht="15" customHeight="1">
      <c r="B57" s="3" t="s">
        <v>606</v>
      </c>
      <c r="C57" s="409">
        <f>D56*3/2+C56/6</f>
        <v>105.94016666666667</v>
      </c>
      <c r="D57" s="409">
        <f>C57/2</f>
        <v>52.970083333333335</v>
      </c>
      <c r="X57" s="70"/>
    </row>
    <row r="58" spans="1:24" ht="15" customHeight="1">
      <c r="B58" s="3" t="s">
        <v>607</v>
      </c>
      <c r="C58" s="506">
        <v>0</v>
      </c>
      <c r="D58" s="510">
        <f>D57*4/3</f>
        <v>70.626777777777775</v>
      </c>
      <c r="X58" s="70"/>
    </row>
    <row r="59" spans="1:24" ht="15" customHeight="1">
      <c r="D59" s="508">
        <f>D56/C57</f>
        <v>0.61998203388390616</v>
      </c>
      <c r="X59" s="70"/>
    </row>
    <row r="60" spans="1:24" ht="15" customHeight="1">
      <c r="B60" s="565" t="s">
        <v>687</v>
      </c>
      <c r="C60" s="566">
        <f>D57/C57</f>
        <v>0.5</v>
      </c>
      <c r="D60" s="565" t="s">
        <v>688</v>
      </c>
      <c r="E60" s="565">
        <f>(D58-D57)/C57</f>
        <v>0.16666666666666663</v>
      </c>
      <c r="X60" s="70"/>
    </row>
    <row r="61" spans="1:24" ht="15" customHeight="1">
      <c r="A61" s="437" t="s">
        <v>300</v>
      </c>
      <c r="B61" s="40"/>
      <c r="C61" s="522"/>
      <c r="D61" s="40"/>
      <c r="E61" s="40"/>
      <c r="F61" s="40"/>
      <c r="G61" s="40"/>
      <c r="H61" s="40"/>
      <c r="I61" s="40"/>
      <c r="J61" s="40"/>
      <c r="K61" s="40"/>
      <c r="L61" s="40"/>
      <c r="M61" s="40"/>
      <c r="N61" s="40"/>
      <c r="O61" s="40"/>
      <c r="P61" s="40"/>
      <c r="Q61" s="40"/>
      <c r="R61" s="40"/>
      <c r="S61" s="40"/>
      <c r="T61" s="40"/>
      <c r="U61" s="40"/>
      <c r="V61" s="40"/>
      <c r="W61" s="40"/>
      <c r="X61" s="70"/>
    </row>
    <row r="62" spans="1:24" ht="15" customHeight="1">
      <c r="A62" s="517"/>
      <c r="B62" s="517"/>
      <c r="C62" s="524" t="s">
        <v>651</v>
      </c>
      <c r="D62" s="517" t="s">
        <v>107</v>
      </c>
      <c r="E62" s="517" t="s">
        <v>109</v>
      </c>
      <c r="F62" s="517" t="s">
        <v>110</v>
      </c>
      <c r="G62" s="517" t="s">
        <v>112</v>
      </c>
      <c r="H62" s="517" t="s">
        <v>113</v>
      </c>
      <c r="I62" s="517" t="s">
        <v>114</v>
      </c>
      <c r="J62" s="517" t="s">
        <v>115</v>
      </c>
      <c r="K62" s="517" t="s">
        <v>103</v>
      </c>
      <c r="L62" s="517" t="s">
        <v>104</v>
      </c>
      <c r="M62" s="517" t="s">
        <v>105</v>
      </c>
      <c r="N62" s="517" t="s">
        <v>106</v>
      </c>
      <c r="O62" s="517" t="s">
        <v>99</v>
      </c>
      <c r="P62" s="517" t="s">
        <v>101</v>
      </c>
      <c r="Q62" s="517" t="s">
        <v>117</v>
      </c>
      <c r="R62" s="517" t="s">
        <v>118</v>
      </c>
      <c r="S62" s="517" t="s">
        <v>119</v>
      </c>
      <c r="T62" s="517" t="s">
        <v>120</v>
      </c>
      <c r="U62" s="517" t="s">
        <v>121</v>
      </c>
      <c r="V62" s="517" t="s">
        <v>122</v>
      </c>
      <c r="W62" s="517" t="s">
        <v>123</v>
      </c>
    </row>
    <row r="63" spans="1:24" ht="15" customHeight="1">
      <c r="A63" s="515" t="s">
        <v>238</v>
      </c>
      <c r="B63" s="55" t="s">
        <v>602</v>
      </c>
      <c r="C63" s="17" t="s">
        <v>605</v>
      </c>
      <c r="D63" s="215">
        <f t="shared" ref="D63:W63" si="7">C17</f>
        <v>8564</v>
      </c>
      <c r="E63" s="215">
        <f t="shared" si="7"/>
        <v>2415</v>
      </c>
      <c r="F63" s="215">
        <f t="shared" si="7"/>
        <v>3053</v>
      </c>
      <c r="G63" s="215">
        <f t="shared" si="7"/>
        <v>1730</v>
      </c>
      <c r="H63" s="215">
        <f t="shared" si="7"/>
        <v>2183</v>
      </c>
      <c r="I63" s="215">
        <f t="shared" si="7"/>
        <v>415</v>
      </c>
      <c r="J63" s="215">
        <f t="shared" si="7"/>
        <v>615</v>
      </c>
      <c r="K63" s="215">
        <f t="shared" si="7"/>
        <v>199</v>
      </c>
      <c r="L63" s="215">
        <f t="shared" si="7"/>
        <v>744</v>
      </c>
      <c r="M63" s="215">
        <f t="shared" si="7"/>
        <v>2554</v>
      </c>
      <c r="N63" s="215">
        <f t="shared" si="7"/>
        <v>698</v>
      </c>
      <c r="O63" s="215">
        <f t="shared" si="7"/>
        <v>0</v>
      </c>
      <c r="P63" s="215">
        <f t="shared" si="7"/>
        <v>7</v>
      </c>
      <c r="Q63" s="215">
        <f t="shared" si="7"/>
        <v>2625</v>
      </c>
      <c r="R63" s="215">
        <f t="shared" si="7"/>
        <v>0</v>
      </c>
      <c r="S63" s="215">
        <f t="shared" si="7"/>
        <v>0</v>
      </c>
      <c r="T63" s="215">
        <f t="shared" si="7"/>
        <v>0</v>
      </c>
      <c r="U63" s="215">
        <f t="shared" si="7"/>
        <v>210</v>
      </c>
      <c r="V63" s="215">
        <f t="shared" si="7"/>
        <v>159</v>
      </c>
      <c r="W63" s="215">
        <f t="shared" si="7"/>
        <v>168</v>
      </c>
      <c r="X63" s="70">
        <f>SUM(D63:W63)</f>
        <v>26339</v>
      </c>
    </row>
    <row r="64" spans="1:24" ht="15" customHeight="1">
      <c r="A64" s="515"/>
      <c r="B64" s="3" t="s">
        <v>530</v>
      </c>
      <c r="C64" s="17" t="s">
        <v>606</v>
      </c>
      <c r="D64" s="526">
        <f t="shared" ref="D64:W64" si="8">D63*$C$57/$D$56</f>
        <v>13813.303502281229</v>
      </c>
      <c r="E64" s="526">
        <f t="shared" si="8"/>
        <v>3895.2741660449751</v>
      </c>
      <c r="F64" s="526">
        <f t="shared" si="8"/>
        <v>4924.3362438655522</v>
      </c>
      <c r="G64" s="526">
        <f t="shared" si="8"/>
        <v>2790.4034398583053</v>
      </c>
      <c r="H64" s="526">
        <f t="shared" si="8"/>
        <v>3521.0697741102194</v>
      </c>
      <c r="I64" s="526">
        <f t="shared" si="8"/>
        <v>669.37423557294608</v>
      </c>
      <c r="J64" s="526">
        <f t="shared" si="8"/>
        <v>991.9642286201489</v>
      </c>
      <c r="K64" s="526">
        <f t="shared" si="8"/>
        <v>320.97704308196688</v>
      </c>
      <c r="L64" s="526">
        <f t="shared" si="8"/>
        <v>1200.0347741355947</v>
      </c>
      <c r="M64" s="526">
        <f t="shared" si="8"/>
        <v>4119.4742112127806</v>
      </c>
      <c r="N64" s="526">
        <f t="shared" si="8"/>
        <v>1125.8390757347381</v>
      </c>
      <c r="O64" s="526">
        <f t="shared" si="8"/>
        <v>0</v>
      </c>
      <c r="P64" s="526">
        <f t="shared" si="8"/>
        <v>11.290649756652103</v>
      </c>
      <c r="Q64" s="526">
        <f t="shared" si="8"/>
        <v>4233.9936587445382</v>
      </c>
      <c r="R64" s="526">
        <f t="shared" si="8"/>
        <v>0</v>
      </c>
      <c r="S64" s="526">
        <f t="shared" si="8"/>
        <v>0</v>
      </c>
      <c r="T64" s="526">
        <f t="shared" si="8"/>
        <v>0</v>
      </c>
      <c r="U64" s="526">
        <f t="shared" si="8"/>
        <v>338.71949269956309</v>
      </c>
      <c r="V64" s="660">
        <f>V63*$C$57/$D$56</f>
        <v>256.45904447252627</v>
      </c>
      <c r="W64" s="526">
        <f t="shared" si="8"/>
        <v>270.97559415965043</v>
      </c>
      <c r="X64" s="70">
        <f t="shared" ref="X64:X69" si="9">SUM(D64:W64)</f>
        <v>42483.489134351388</v>
      </c>
    </row>
    <row r="65" spans="1:25" ht="15" customHeight="1">
      <c r="A65" s="515"/>
      <c r="B65" s="3" t="s">
        <v>602</v>
      </c>
      <c r="C65" s="17" t="s">
        <v>607</v>
      </c>
      <c r="D65" s="526">
        <f t="shared" ref="D65:W65" si="10">D63*$D$58/$D$56</f>
        <v>9208.8690015208194</v>
      </c>
      <c r="E65" s="526">
        <f t="shared" si="10"/>
        <v>2596.8494440299833</v>
      </c>
      <c r="F65" s="526">
        <f t="shared" si="10"/>
        <v>3282.8908292437013</v>
      </c>
      <c r="G65" s="526">
        <f t="shared" si="10"/>
        <v>1860.2689599055368</v>
      </c>
      <c r="H65" s="526">
        <f t="shared" si="10"/>
        <v>2347.3798494068128</v>
      </c>
      <c r="I65" s="526">
        <f t="shared" si="10"/>
        <v>446.24949038196399</v>
      </c>
      <c r="J65" s="526">
        <f t="shared" si="10"/>
        <v>661.30948574676597</v>
      </c>
      <c r="K65" s="526">
        <f t="shared" si="10"/>
        <v>213.98469538797792</v>
      </c>
      <c r="L65" s="526">
        <f t="shared" si="10"/>
        <v>800.02318275706318</v>
      </c>
      <c r="M65" s="526">
        <f t="shared" si="10"/>
        <v>2746.3161408085207</v>
      </c>
      <c r="N65" s="526">
        <f t="shared" si="10"/>
        <v>750.55938382315878</v>
      </c>
      <c r="O65" s="526">
        <f t="shared" si="10"/>
        <v>0</v>
      </c>
      <c r="P65" s="526">
        <f t="shared" si="10"/>
        <v>7.527099837768068</v>
      </c>
      <c r="Q65" s="526">
        <f t="shared" si="10"/>
        <v>2822.6624391630253</v>
      </c>
      <c r="R65" s="526">
        <f t="shared" si="10"/>
        <v>0</v>
      </c>
      <c r="S65" s="526">
        <f t="shared" si="10"/>
        <v>0</v>
      </c>
      <c r="T65" s="526">
        <f t="shared" si="10"/>
        <v>0</v>
      </c>
      <c r="U65" s="526">
        <f t="shared" si="10"/>
        <v>225.81299513304202</v>
      </c>
      <c r="V65" s="526">
        <f t="shared" si="10"/>
        <v>170.97269631501754</v>
      </c>
      <c r="W65" s="526">
        <f t="shared" si="10"/>
        <v>180.65039610643362</v>
      </c>
      <c r="X65" s="70">
        <f t="shared" si="9"/>
        <v>28322.326089567592</v>
      </c>
    </row>
    <row r="66" spans="1:25">
      <c r="A66" s="523"/>
      <c r="B66" s="517" t="s">
        <v>604</v>
      </c>
      <c r="C66" s="524"/>
      <c r="D66" s="661">
        <f>D65/0.4</f>
        <v>23022.172503802049</v>
      </c>
      <c r="E66" s="661">
        <f t="shared" ref="E66:W66" si="11">E65/0.4</f>
        <v>6492.1236100749575</v>
      </c>
      <c r="F66" s="661">
        <f t="shared" si="11"/>
        <v>8207.2270731092522</v>
      </c>
      <c r="G66" s="661">
        <f t="shared" si="11"/>
        <v>4650.6723997638419</v>
      </c>
      <c r="H66" s="661">
        <f t="shared" si="11"/>
        <v>5868.4496235170318</v>
      </c>
      <c r="I66" s="661">
        <f t="shared" si="11"/>
        <v>1115.62372595491</v>
      </c>
      <c r="J66" s="661">
        <f t="shared" si="11"/>
        <v>1653.2737143669149</v>
      </c>
      <c r="K66" s="661">
        <f t="shared" si="11"/>
        <v>534.96173846994475</v>
      </c>
      <c r="L66" s="661">
        <f t="shared" si="11"/>
        <v>2000.0579568926578</v>
      </c>
      <c r="M66" s="661">
        <f t="shared" si="11"/>
        <v>6865.7903520213013</v>
      </c>
      <c r="N66" s="661">
        <f t="shared" si="11"/>
        <v>1876.3984595578968</v>
      </c>
      <c r="O66" s="661">
        <f t="shared" si="11"/>
        <v>0</v>
      </c>
      <c r="P66" s="661">
        <f t="shared" si="11"/>
        <v>18.817749594420167</v>
      </c>
      <c r="Q66" s="661">
        <f t="shared" si="11"/>
        <v>7056.656097907563</v>
      </c>
      <c r="R66" s="661">
        <f t="shared" si="11"/>
        <v>0</v>
      </c>
      <c r="S66" s="661">
        <f t="shared" si="11"/>
        <v>0</v>
      </c>
      <c r="T66" s="661">
        <f t="shared" si="11"/>
        <v>0</v>
      </c>
      <c r="U66" s="661">
        <f t="shared" si="11"/>
        <v>564.53248783260506</v>
      </c>
      <c r="V66" s="661">
        <f t="shared" si="11"/>
        <v>427.43174078754384</v>
      </c>
      <c r="W66" s="661">
        <f t="shared" si="11"/>
        <v>451.62599026608405</v>
      </c>
      <c r="X66" s="70"/>
      <c r="Y66" s="37"/>
    </row>
    <row r="67" spans="1:25">
      <c r="A67" s="513" t="s">
        <v>252</v>
      </c>
      <c r="B67" s="55" t="s">
        <v>608</v>
      </c>
      <c r="C67" s="17" t="s">
        <v>605</v>
      </c>
      <c r="D67" s="215">
        <f t="shared" ref="D67:W67" si="12">C22</f>
        <v>4825</v>
      </c>
      <c r="E67" s="215">
        <f t="shared" si="12"/>
        <v>2600</v>
      </c>
      <c r="F67" s="215">
        <f t="shared" si="12"/>
        <v>17361</v>
      </c>
      <c r="G67" s="215">
        <f t="shared" si="12"/>
        <v>3980</v>
      </c>
      <c r="H67" s="215">
        <f t="shared" si="12"/>
        <v>4678</v>
      </c>
      <c r="I67" s="215">
        <f t="shared" si="12"/>
        <v>3664</v>
      </c>
      <c r="J67" s="215">
        <f t="shared" si="12"/>
        <v>1594</v>
      </c>
      <c r="K67" s="215">
        <f t="shared" si="12"/>
        <v>0</v>
      </c>
      <c r="L67" s="215">
        <f t="shared" si="12"/>
        <v>0</v>
      </c>
      <c r="M67" s="215">
        <f t="shared" si="12"/>
        <v>0</v>
      </c>
      <c r="N67" s="215">
        <f t="shared" si="12"/>
        <v>0</v>
      </c>
      <c r="O67" s="215">
        <f t="shared" si="12"/>
        <v>0</v>
      </c>
      <c r="P67" s="215">
        <f t="shared" si="12"/>
        <v>0</v>
      </c>
      <c r="Q67" s="215">
        <f t="shared" si="12"/>
        <v>133</v>
      </c>
      <c r="R67" s="215">
        <f t="shared" si="12"/>
        <v>20</v>
      </c>
      <c r="S67" s="215">
        <f t="shared" si="12"/>
        <v>195</v>
      </c>
      <c r="T67" s="215">
        <f t="shared" si="12"/>
        <v>50</v>
      </c>
      <c r="U67" s="215">
        <f t="shared" si="12"/>
        <v>107</v>
      </c>
      <c r="V67" s="215">
        <f t="shared" si="12"/>
        <v>0</v>
      </c>
      <c r="W67" s="215">
        <f t="shared" si="12"/>
        <v>135</v>
      </c>
      <c r="X67" s="70">
        <f t="shared" si="9"/>
        <v>39342</v>
      </c>
    </row>
    <row r="68" spans="1:25">
      <c r="A68" s="513"/>
      <c r="B68" s="3" t="s">
        <v>530</v>
      </c>
      <c r="C68" s="17" t="s">
        <v>606</v>
      </c>
      <c r="D68" s="526">
        <f t="shared" ref="D68:W68" si="13">D67*$C$57/$D$56</f>
        <v>7782.4835822637706</v>
      </c>
      <c r="E68" s="526">
        <f t="shared" si="13"/>
        <v>4193.6699096136381</v>
      </c>
      <c r="F68" s="526">
        <f t="shared" si="13"/>
        <v>28002.424346462449</v>
      </c>
      <c r="G68" s="526">
        <f t="shared" si="13"/>
        <v>6419.5408616393379</v>
      </c>
      <c r="H68" s="526">
        <f t="shared" si="13"/>
        <v>7545.3799373740767</v>
      </c>
      <c r="I68" s="526">
        <f t="shared" si="13"/>
        <v>5909.8486726247575</v>
      </c>
      <c r="J68" s="526">
        <f t="shared" si="13"/>
        <v>2571.0422445862073</v>
      </c>
      <c r="K68" s="526">
        <f t="shared" si="13"/>
        <v>0</v>
      </c>
      <c r="L68" s="526">
        <f t="shared" si="13"/>
        <v>0</v>
      </c>
      <c r="M68" s="526">
        <f t="shared" si="13"/>
        <v>0</v>
      </c>
      <c r="N68" s="526">
        <f t="shared" si="13"/>
        <v>0</v>
      </c>
      <c r="O68" s="526">
        <f t="shared" si="13"/>
        <v>0</v>
      </c>
      <c r="P68" s="526">
        <f t="shared" si="13"/>
        <v>0</v>
      </c>
      <c r="Q68" s="526">
        <f t="shared" si="13"/>
        <v>214.52234537638995</v>
      </c>
      <c r="R68" s="526">
        <f t="shared" si="13"/>
        <v>32.258999304720291</v>
      </c>
      <c r="S68" s="526">
        <f t="shared" si="13"/>
        <v>314.52524322102283</v>
      </c>
      <c r="T68" s="526">
        <f t="shared" si="13"/>
        <v>80.64749826180072</v>
      </c>
      <c r="U68" s="526">
        <f t="shared" si="13"/>
        <v>172.58564628025354</v>
      </c>
      <c r="V68" s="526">
        <f t="shared" si="13"/>
        <v>0</v>
      </c>
      <c r="W68" s="526">
        <f t="shared" si="13"/>
        <v>217.74824530686197</v>
      </c>
      <c r="X68" s="70">
        <f t="shared" si="9"/>
        <v>63456.677532315291</v>
      </c>
    </row>
    <row r="69" spans="1:25">
      <c r="A69" s="513"/>
      <c r="B69" s="3" t="s">
        <v>602</v>
      </c>
      <c r="C69" s="17" t="s">
        <v>607</v>
      </c>
      <c r="D69" s="526">
        <f t="shared" ref="D69:W69" si="14">D67*$D$58/$D$56</f>
        <v>5188.3223881758458</v>
      </c>
      <c r="E69" s="526">
        <f t="shared" si="14"/>
        <v>2795.7799397424251</v>
      </c>
      <c r="F69" s="526">
        <f t="shared" si="14"/>
        <v>18668.282897641635</v>
      </c>
      <c r="G69" s="526">
        <f t="shared" si="14"/>
        <v>4279.693907759558</v>
      </c>
      <c r="H69" s="526">
        <f t="shared" si="14"/>
        <v>5030.2532915827169</v>
      </c>
      <c r="I69" s="526">
        <f t="shared" si="14"/>
        <v>3939.8991150831712</v>
      </c>
      <c r="J69" s="526">
        <f t="shared" si="14"/>
        <v>1714.0281630574714</v>
      </c>
      <c r="K69" s="526">
        <f t="shared" si="14"/>
        <v>0</v>
      </c>
      <c r="L69" s="526">
        <f t="shared" si="14"/>
        <v>0</v>
      </c>
      <c r="M69" s="526">
        <f t="shared" si="14"/>
        <v>0</v>
      </c>
      <c r="N69" s="526">
        <f t="shared" si="14"/>
        <v>0</v>
      </c>
      <c r="O69" s="526">
        <f t="shared" si="14"/>
        <v>0</v>
      </c>
      <c r="P69" s="526">
        <f t="shared" si="14"/>
        <v>0</v>
      </c>
      <c r="Q69" s="526">
        <f t="shared" si="14"/>
        <v>143.01489691759329</v>
      </c>
      <c r="R69" s="526">
        <f t="shared" si="14"/>
        <v>21.505999536480193</v>
      </c>
      <c r="S69" s="526">
        <f t="shared" si="14"/>
        <v>209.6834954806819</v>
      </c>
      <c r="T69" s="526">
        <f t="shared" si="14"/>
        <v>53.764998841200487</v>
      </c>
      <c r="U69" s="526">
        <f t="shared" si="14"/>
        <v>115.05709752016902</v>
      </c>
      <c r="V69" s="526">
        <f t="shared" si="14"/>
        <v>0</v>
      </c>
      <c r="W69" s="526">
        <f t="shared" si="14"/>
        <v>145.16549687124132</v>
      </c>
      <c r="X69" s="70">
        <f t="shared" si="9"/>
        <v>42304.451688210189</v>
      </c>
    </row>
    <row r="70" spans="1:25">
      <c r="A70" s="525"/>
      <c r="B70" s="517" t="s">
        <v>604</v>
      </c>
      <c r="C70" s="524"/>
      <c r="D70" s="661">
        <f>D69/0.4</f>
        <v>12970.805970439615</v>
      </c>
      <c r="E70" s="661">
        <f t="shared" ref="E70:W70" si="15">E69/0.4</f>
        <v>6989.4498493560623</v>
      </c>
      <c r="F70" s="661">
        <f t="shared" si="15"/>
        <v>46670.707244104087</v>
      </c>
      <c r="G70" s="661">
        <f t="shared" si="15"/>
        <v>10699.234769398894</v>
      </c>
      <c r="H70" s="661">
        <f t="shared" si="15"/>
        <v>12575.633228956791</v>
      </c>
      <c r="I70" s="661">
        <f t="shared" si="15"/>
        <v>9849.7477877079273</v>
      </c>
      <c r="J70" s="661">
        <f t="shared" si="15"/>
        <v>4285.0704076436778</v>
      </c>
      <c r="K70" s="661">
        <f t="shared" si="15"/>
        <v>0</v>
      </c>
      <c r="L70" s="661">
        <f t="shared" si="15"/>
        <v>0</v>
      </c>
      <c r="M70" s="661">
        <f t="shared" si="15"/>
        <v>0</v>
      </c>
      <c r="N70" s="661">
        <f t="shared" si="15"/>
        <v>0</v>
      </c>
      <c r="O70" s="661">
        <f t="shared" si="15"/>
        <v>0</v>
      </c>
      <c r="P70" s="661">
        <f t="shared" si="15"/>
        <v>0</v>
      </c>
      <c r="Q70" s="661">
        <f t="shared" si="15"/>
        <v>357.53724229398318</v>
      </c>
      <c r="R70" s="661">
        <f t="shared" si="15"/>
        <v>53.76499884120048</v>
      </c>
      <c r="S70" s="661">
        <f t="shared" si="15"/>
        <v>524.20873870170476</v>
      </c>
      <c r="T70" s="661">
        <f t="shared" si="15"/>
        <v>134.41249710300121</v>
      </c>
      <c r="U70" s="661">
        <f t="shared" si="15"/>
        <v>287.64274380042252</v>
      </c>
      <c r="V70" s="661">
        <f t="shared" si="15"/>
        <v>0</v>
      </c>
      <c r="W70" s="661">
        <f t="shared" si="15"/>
        <v>362.91374217810329</v>
      </c>
    </row>
    <row r="71" spans="1:25">
      <c r="A71" s="3" t="s">
        <v>652</v>
      </c>
      <c r="B71" s="3"/>
      <c r="C71" s="3"/>
      <c r="D71" s="86" t="b">
        <f t="shared" ref="D71:W71" si="16">(D64+D68)&gt;C43</f>
        <v>1</v>
      </c>
      <c r="E71" s="86" t="b">
        <f t="shared" si="16"/>
        <v>1</v>
      </c>
      <c r="F71" s="86" t="b">
        <f t="shared" si="16"/>
        <v>1</v>
      </c>
      <c r="G71" s="86" t="b">
        <f t="shared" si="16"/>
        <v>1</v>
      </c>
      <c r="H71" s="86" t="b">
        <f t="shared" si="16"/>
        <v>1</v>
      </c>
      <c r="I71" s="86" t="b">
        <f t="shared" si="16"/>
        <v>1</v>
      </c>
      <c r="J71" s="86" t="b">
        <f t="shared" si="16"/>
        <v>1</v>
      </c>
      <c r="K71" s="86" t="b">
        <f t="shared" si="16"/>
        <v>1</v>
      </c>
      <c r="L71" s="86" t="b">
        <f t="shared" si="16"/>
        <v>1</v>
      </c>
      <c r="M71" s="86" t="b">
        <f t="shared" si="16"/>
        <v>1</v>
      </c>
      <c r="N71" s="86" t="b">
        <f t="shared" si="16"/>
        <v>1</v>
      </c>
      <c r="O71" s="86" t="b">
        <f t="shared" si="16"/>
        <v>0</v>
      </c>
      <c r="P71" s="86" t="b">
        <f t="shared" si="16"/>
        <v>1</v>
      </c>
      <c r="Q71" s="86" t="b">
        <f t="shared" si="16"/>
        <v>1</v>
      </c>
      <c r="R71" s="86" t="b">
        <f t="shared" si="16"/>
        <v>1</v>
      </c>
      <c r="S71" s="86" t="b">
        <f t="shared" si="16"/>
        <v>1</v>
      </c>
      <c r="T71" s="86" t="b">
        <f t="shared" si="16"/>
        <v>1</v>
      </c>
      <c r="U71" s="86" t="b">
        <f t="shared" si="16"/>
        <v>1</v>
      </c>
      <c r="V71" s="38" t="b">
        <f t="shared" si="16"/>
        <v>0</v>
      </c>
      <c r="W71" s="86" t="b">
        <f t="shared" si="16"/>
        <v>1</v>
      </c>
    </row>
    <row r="72" spans="1:25">
      <c r="A72" s="86" t="s">
        <v>709</v>
      </c>
      <c r="B72" s="86"/>
      <c r="C72" s="86"/>
      <c r="D72" s="582">
        <f t="shared" ref="D72:N72" si="17">(D64+D68)/C43</f>
        <v>2.1163203548819043</v>
      </c>
      <c r="E72" s="582">
        <f t="shared" si="17"/>
        <v>2.576923340000925</v>
      </c>
      <c r="F72" s="582">
        <f t="shared" si="17"/>
        <v>1.9572894657824471</v>
      </c>
      <c r="G72" s="582">
        <f t="shared" si="17"/>
        <v>5.2501470753633663</v>
      </c>
      <c r="H72" s="582">
        <f t="shared" si="17"/>
        <v>3.8511107350496494</v>
      </c>
      <c r="I72" s="582">
        <f t="shared" si="17"/>
        <v>4.7662718822261976</v>
      </c>
      <c r="J72" s="582">
        <f t="shared" si="17"/>
        <v>3.2954244926475669</v>
      </c>
      <c r="K72" s="582">
        <f t="shared" si="17"/>
        <v>2.4657800191033172</v>
      </c>
      <c r="L72" s="582">
        <f t="shared" si="17"/>
        <v>2.0620744039781109</v>
      </c>
      <c r="M72" s="582">
        <f t="shared" si="17"/>
        <v>1.5768727218645329</v>
      </c>
      <c r="N72" s="582">
        <f t="shared" si="17"/>
        <v>1.8911885236531329</v>
      </c>
      <c r="O72" s="582"/>
      <c r="P72" s="582">
        <f t="shared" ref="P72:W72" si="18">(P64+P68)/O43</f>
        <v>3.1021234203708885</v>
      </c>
      <c r="Q72" s="582">
        <f t="shared" si="18"/>
        <v>1.8789225357941917</v>
      </c>
      <c r="R72" s="582">
        <f t="shared" si="18"/>
        <v>20.083709943417649</v>
      </c>
      <c r="S72" s="582">
        <f t="shared" si="18"/>
        <v>34.697468427564786</v>
      </c>
      <c r="T72" s="582">
        <f t="shared" si="18"/>
        <v>7.0453654481509105</v>
      </c>
      <c r="U72" s="582">
        <f t="shared" si="18"/>
        <v>1.1349396862164369</v>
      </c>
      <c r="V72" s="582">
        <f t="shared" si="18"/>
        <v>0.8064749826180071</v>
      </c>
      <c r="W72" s="582">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7"/>
    <col min="8" max="8" width="9.109375" style="70"/>
    <col min="9" max="19" width="9.109375" style="37"/>
    <col min="20" max="20" width="9.109375" style="37" customWidth="1"/>
    <col min="21" max="24" width="9.109375" style="37"/>
    <col min="25" max="25" width="9.109375" style="70"/>
    <col min="26" max="16384" width="9.109375" style="37"/>
  </cols>
  <sheetData>
    <row r="1" spans="1:25">
      <c r="A1" s="77" t="s">
        <v>588</v>
      </c>
      <c r="B1" s="77"/>
      <c r="C1" s="77"/>
      <c r="D1" s="77"/>
      <c r="E1" s="77"/>
      <c r="F1" s="77"/>
      <c r="G1" s="77"/>
      <c r="H1" s="366"/>
      <c r="I1" s="77"/>
      <c r="J1" s="77"/>
      <c r="K1" s="77"/>
      <c r="L1" s="77" t="s">
        <v>620</v>
      </c>
      <c r="M1" s="512" t="s">
        <v>619</v>
      </c>
      <c r="N1" s="77"/>
      <c r="O1" s="77"/>
      <c r="P1" s="77"/>
      <c r="Q1" s="77"/>
      <c r="R1" s="77"/>
      <c r="S1" s="77"/>
      <c r="T1" s="77"/>
      <c r="U1" s="77"/>
      <c r="V1" s="77"/>
      <c r="W1" s="77"/>
      <c r="X1" s="77"/>
      <c r="Y1" s="366"/>
    </row>
    <row r="2" spans="1:25">
      <c r="A2" s="90" t="s">
        <v>589</v>
      </c>
      <c r="B2" s="77"/>
      <c r="C2" s="77"/>
      <c r="D2" s="77"/>
      <c r="E2" s="77"/>
      <c r="F2" s="77"/>
      <c r="G2" s="77"/>
      <c r="H2" s="366"/>
      <c r="I2" s="77"/>
      <c r="J2" s="77"/>
      <c r="K2" s="77"/>
      <c r="L2" s="77"/>
      <c r="M2" s="77"/>
      <c r="N2" s="77"/>
      <c r="O2" s="77"/>
      <c r="P2" s="77"/>
      <c r="Q2" s="77"/>
      <c r="R2" s="77"/>
      <c r="S2" s="77"/>
      <c r="T2" s="77"/>
      <c r="U2" s="77"/>
      <c r="V2" s="77"/>
      <c r="W2" s="77"/>
      <c r="X2" s="77"/>
      <c r="Y2" s="366"/>
    </row>
    <row r="4" spans="1:25">
      <c r="A4" s="365" t="s">
        <v>590</v>
      </c>
      <c r="B4" s="77"/>
      <c r="C4" s="77"/>
      <c r="D4" s="77"/>
      <c r="E4" s="77"/>
      <c r="F4" s="77"/>
      <c r="G4" s="77"/>
      <c r="H4" s="366"/>
      <c r="I4" s="77"/>
      <c r="J4" s="77"/>
      <c r="K4" s="77"/>
      <c r="L4" s="77"/>
      <c r="M4" s="77"/>
      <c r="N4" s="77"/>
      <c r="O4" s="77"/>
      <c r="P4" s="77"/>
      <c r="Q4" s="77"/>
      <c r="R4" s="77"/>
      <c r="S4" s="77"/>
      <c r="T4" s="77"/>
      <c r="U4" s="77"/>
      <c r="V4" s="77"/>
      <c r="W4" s="77"/>
      <c r="X4" s="77"/>
      <c r="Y4" s="366"/>
    </row>
    <row r="5" spans="1:25">
      <c r="A5" s="308" t="s">
        <v>531</v>
      </c>
      <c r="B5" s="307" t="s">
        <v>519</v>
      </c>
      <c r="C5" s="307" t="s">
        <v>517</v>
      </c>
      <c r="D5" s="307" t="s">
        <v>510</v>
      </c>
      <c r="E5" s="307" t="s">
        <v>533</v>
      </c>
      <c r="F5" s="307" t="s">
        <v>520</v>
      </c>
      <c r="G5" s="307" t="s">
        <v>516</v>
      </c>
      <c r="I5" s="308" t="s">
        <v>530</v>
      </c>
      <c r="J5" s="307" t="s">
        <v>519</v>
      </c>
      <c r="K5" s="307" t="s">
        <v>517</v>
      </c>
      <c r="L5" s="307" t="s">
        <v>511</v>
      </c>
      <c r="M5" s="307" t="s">
        <v>512</v>
      </c>
      <c r="N5" s="307" t="s">
        <v>533</v>
      </c>
      <c r="O5" s="307" t="s">
        <v>510</v>
      </c>
      <c r="P5" s="307" t="s">
        <v>536</v>
      </c>
      <c r="Q5" s="307" t="s">
        <v>520</v>
      </c>
      <c r="R5" s="307" t="s">
        <v>513</v>
      </c>
      <c r="S5" s="307" t="s">
        <v>516</v>
      </c>
      <c r="T5" s="307" t="s">
        <v>514</v>
      </c>
      <c r="U5" s="307" t="s">
        <v>515</v>
      </c>
      <c r="V5" s="307" t="s">
        <v>532</v>
      </c>
      <c r="W5" s="307" t="s">
        <v>534</v>
      </c>
      <c r="X5" s="307" t="s">
        <v>535</v>
      </c>
    </row>
    <row r="6" spans="1:25">
      <c r="A6" s="19" t="s">
        <v>521</v>
      </c>
      <c r="B6" s="184">
        <v>586</v>
      </c>
      <c r="C6" s="184"/>
      <c r="D6" s="184"/>
      <c r="E6" s="184"/>
      <c r="F6" s="184"/>
      <c r="G6" s="184"/>
      <c r="H6" s="70">
        <f t="shared" ref="H6:H21" si="0">SUM(B6:G6)</f>
        <v>586</v>
      </c>
      <c r="I6" s="19" t="s">
        <v>521</v>
      </c>
      <c r="J6" s="184">
        <v>1172</v>
      </c>
      <c r="K6" s="184"/>
      <c r="L6" s="184"/>
      <c r="M6" s="184"/>
      <c r="N6" s="184"/>
      <c r="O6" s="184"/>
      <c r="P6" s="184"/>
      <c r="Q6" s="184"/>
      <c r="R6" s="184"/>
      <c r="S6" s="184"/>
      <c r="T6" s="184"/>
      <c r="U6" s="184"/>
      <c r="V6" s="184"/>
      <c r="W6" s="184"/>
      <c r="X6" s="184"/>
      <c r="Y6" s="70">
        <f>SUM(J6:X6)</f>
        <v>1172</v>
      </c>
    </row>
    <row r="7" spans="1:25">
      <c r="A7" s="307" t="s">
        <v>518</v>
      </c>
      <c r="B7" s="189">
        <v>1500</v>
      </c>
      <c r="C7" s="189"/>
      <c r="D7" s="189"/>
      <c r="E7" s="189"/>
      <c r="F7" s="189"/>
      <c r="G7" s="189"/>
      <c r="H7" s="70">
        <f t="shared" si="0"/>
        <v>1500</v>
      </c>
      <c r="I7" s="307" t="s">
        <v>518</v>
      </c>
      <c r="J7" s="189">
        <v>3000</v>
      </c>
      <c r="K7" s="189"/>
      <c r="L7" s="189"/>
      <c r="M7" s="189"/>
      <c r="N7" s="189"/>
      <c r="O7" s="189"/>
      <c r="P7" s="189"/>
      <c r="Q7" s="189"/>
      <c r="R7" s="189"/>
      <c r="S7" s="189"/>
      <c r="T7" s="189"/>
      <c r="U7" s="189"/>
      <c r="V7" s="189"/>
      <c r="W7" s="189"/>
      <c r="X7" s="189"/>
      <c r="Y7" s="70">
        <f t="shared" ref="Y7:Y21" si="1">SUM(J7:X7)</f>
        <v>3000</v>
      </c>
    </row>
    <row r="8" spans="1:25">
      <c r="A8" s="19" t="s">
        <v>107</v>
      </c>
      <c r="B8" s="184"/>
      <c r="C8" s="184">
        <v>3750</v>
      </c>
      <c r="D8" s="184">
        <v>7929</v>
      </c>
      <c r="E8" s="184"/>
      <c r="F8" s="184">
        <v>300</v>
      </c>
      <c r="G8" s="184"/>
      <c r="H8" s="70">
        <f t="shared" si="0"/>
        <v>11979</v>
      </c>
      <c r="I8" s="19" t="s">
        <v>107</v>
      </c>
      <c r="J8" s="184"/>
      <c r="K8" s="184">
        <v>7512</v>
      </c>
      <c r="L8" s="184"/>
      <c r="M8" s="184">
        <v>23300</v>
      </c>
      <c r="N8" s="184"/>
      <c r="O8" s="184">
        <v>7929</v>
      </c>
      <c r="P8" s="184"/>
      <c r="Q8" s="184">
        <v>900</v>
      </c>
      <c r="R8" s="184"/>
      <c r="S8" s="184"/>
      <c r="T8" s="184"/>
      <c r="U8" s="184"/>
      <c r="V8" s="184"/>
      <c r="W8" s="184"/>
      <c r="X8" s="184"/>
      <c r="Y8" s="70">
        <f t="shared" si="1"/>
        <v>39641</v>
      </c>
    </row>
    <row r="9" spans="1:25">
      <c r="A9" s="19" t="s">
        <v>113</v>
      </c>
      <c r="B9" s="184"/>
      <c r="C9" s="184">
        <v>5300</v>
      </c>
      <c r="D9" s="184">
        <v>960</v>
      </c>
      <c r="E9" s="184"/>
      <c r="F9" s="184"/>
      <c r="G9" s="184"/>
      <c r="H9" s="70">
        <f t="shared" si="0"/>
        <v>6260</v>
      </c>
      <c r="I9" s="19" t="s">
        <v>113</v>
      </c>
      <c r="J9" s="184"/>
      <c r="K9" s="184">
        <v>10650</v>
      </c>
      <c r="L9" s="184">
        <v>22000</v>
      </c>
      <c r="M9" s="184">
        <v>11000</v>
      </c>
      <c r="N9" s="184"/>
      <c r="O9" s="184">
        <v>960</v>
      </c>
      <c r="P9" s="184"/>
      <c r="Q9" s="184"/>
      <c r="R9" s="184"/>
      <c r="S9" s="184"/>
      <c r="T9" s="184"/>
      <c r="U9" s="184"/>
      <c r="V9" s="184"/>
      <c r="W9" s="184"/>
      <c r="X9" s="184"/>
      <c r="Y9" s="70">
        <f t="shared" si="1"/>
        <v>44610</v>
      </c>
    </row>
    <row r="10" spans="1:25">
      <c r="A10" s="19" t="s">
        <v>104</v>
      </c>
      <c r="B10" s="184"/>
      <c r="C10" s="184"/>
      <c r="D10" s="184"/>
      <c r="E10" s="184"/>
      <c r="F10" s="184">
        <v>70</v>
      </c>
      <c r="G10" s="184">
        <v>135</v>
      </c>
      <c r="H10" s="70">
        <f t="shared" si="0"/>
        <v>205</v>
      </c>
      <c r="I10" s="19" t="s">
        <v>104</v>
      </c>
      <c r="J10" s="184"/>
      <c r="K10" s="184"/>
      <c r="L10" s="184">
        <v>1200</v>
      </c>
      <c r="M10" s="184"/>
      <c r="N10" s="184"/>
      <c r="O10" s="184"/>
      <c r="P10" s="184"/>
      <c r="Q10" s="184">
        <v>140</v>
      </c>
      <c r="R10" s="184">
        <v>550</v>
      </c>
      <c r="S10" s="184">
        <v>270</v>
      </c>
      <c r="T10" s="184"/>
      <c r="U10" s="184"/>
      <c r="V10" s="184"/>
      <c r="W10" s="184"/>
      <c r="X10" s="184"/>
      <c r="Y10" s="70">
        <f t="shared" si="1"/>
        <v>2160</v>
      </c>
    </row>
    <row r="11" spans="1:25">
      <c r="A11" s="19" t="s">
        <v>105</v>
      </c>
      <c r="B11" s="184"/>
      <c r="C11" s="184">
        <v>289</v>
      </c>
      <c r="D11" s="184"/>
      <c r="E11" s="184"/>
      <c r="F11" s="184">
        <v>200</v>
      </c>
      <c r="G11" s="184">
        <v>1020</v>
      </c>
      <c r="H11" s="70">
        <f t="shared" si="0"/>
        <v>1509</v>
      </c>
      <c r="I11" s="19" t="s">
        <v>105</v>
      </c>
      <c r="J11" s="184"/>
      <c r="K11" s="184">
        <v>578</v>
      </c>
      <c r="L11" s="184">
        <v>12000</v>
      </c>
      <c r="M11" s="184"/>
      <c r="N11" s="184"/>
      <c r="O11" s="184"/>
      <c r="P11" s="184"/>
      <c r="Q11" s="184">
        <v>400</v>
      </c>
      <c r="R11" s="184">
        <v>4158</v>
      </c>
      <c r="S11" s="184">
        <v>2045</v>
      </c>
      <c r="T11" s="184">
        <v>700</v>
      </c>
      <c r="U11" s="184"/>
      <c r="V11" s="184"/>
      <c r="W11" s="184"/>
      <c r="X11" s="184"/>
      <c r="Y11" s="70">
        <f t="shared" si="1"/>
        <v>19881</v>
      </c>
    </row>
    <row r="12" spans="1:25">
      <c r="A12" s="19" t="s">
        <v>106</v>
      </c>
      <c r="B12" s="184"/>
      <c r="C12" s="184"/>
      <c r="D12" s="184"/>
      <c r="E12" s="184"/>
      <c r="F12" s="184">
        <v>80</v>
      </c>
      <c r="G12" s="184">
        <v>360</v>
      </c>
      <c r="H12" s="70">
        <f t="shared" si="0"/>
        <v>440</v>
      </c>
      <c r="I12" s="19" t="s">
        <v>106</v>
      </c>
      <c r="J12" s="184"/>
      <c r="K12" s="184"/>
      <c r="L12" s="184">
        <v>2500</v>
      </c>
      <c r="M12" s="184"/>
      <c r="N12" s="184"/>
      <c r="O12" s="184"/>
      <c r="P12" s="184"/>
      <c r="Q12" s="184">
        <v>160</v>
      </c>
      <c r="R12" s="184">
        <v>1200</v>
      </c>
      <c r="S12" s="184">
        <v>720</v>
      </c>
      <c r="T12" s="184"/>
      <c r="U12" s="184"/>
      <c r="V12" s="184"/>
      <c r="W12" s="184"/>
      <c r="X12" s="184"/>
      <c r="Y12" s="70">
        <f t="shared" si="1"/>
        <v>4580</v>
      </c>
    </row>
    <row r="13" spans="1:25">
      <c r="A13" s="307" t="s">
        <v>99</v>
      </c>
      <c r="B13" s="189"/>
      <c r="C13" s="189">
        <v>600</v>
      </c>
      <c r="D13" s="189">
        <v>967</v>
      </c>
      <c r="E13" s="189"/>
      <c r="F13" s="189">
        <v>300</v>
      </c>
      <c r="G13" s="189">
        <v>900</v>
      </c>
      <c r="H13" s="70">
        <f t="shared" si="0"/>
        <v>2767</v>
      </c>
      <c r="I13" s="307" t="s">
        <v>99</v>
      </c>
      <c r="J13" s="189"/>
      <c r="K13" s="189">
        <v>1166</v>
      </c>
      <c r="L13" s="189">
        <v>1300</v>
      </c>
      <c r="M13" s="189">
        <v>2600</v>
      </c>
      <c r="N13" s="189"/>
      <c r="O13" s="189">
        <v>967</v>
      </c>
      <c r="P13" s="189"/>
      <c r="Q13" s="189">
        <v>600</v>
      </c>
      <c r="R13" s="189">
        <v>820</v>
      </c>
      <c r="S13" s="189">
        <v>1800</v>
      </c>
      <c r="T13" s="189"/>
      <c r="U13" s="189"/>
      <c r="V13" s="189"/>
      <c r="W13" s="189"/>
      <c r="X13" s="189"/>
      <c r="Y13" s="70">
        <f t="shared" si="1"/>
        <v>9253</v>
      </c>
    </row>
    <row r="14" spans="1:25">
      <c r="A14" s="19" t="s">
        <v>529</v>
      </c>
      <c r="B14" s="184"/>
      <c r="C14" s="184"/>
      <c r="D14" s="184">
        <v>200</v>
      </c>
      <c r="E14" s="184"/>
      <c r="F14" s="184">
        <v>35</v>
      </c>
      <c r="G14" s="184">
        <v>500</v>
      </c>
      <c r="H14" s="70">
        <f t="shared" si="0"/>
        <v>735</v>
      </c>
      <c r="I14" s="19" t="s">
        <v>529</v>
      </c>
      <c r="J14" s="184"/>
      <c r="K14" s="184"/>
      <c r="L14" s="184">
        <v>1000</v>
      </c>
      <c r="M14" s="184"/>
      <c r="N14" s="184"/>
      <c r="O14" s="184">
        <v>200</v>
      </c>
      <c r="P14" s="184"/>
      <c r="Q14" s="184">
        <v>110</v>
      </c>
      <c r="R14" s="184">
        <v>200</v>
      </c>
      <c r="S14" s="184">
        <v>1000</v>
      </c>
      <c r="T14" s="184"/>
      <c r="U14" s="184">
        <v>100</v>
      </c>
      <c r="V14" s="184"/>
      <c r="W14" s="184"/>
      <c r="X14" s="184"/>
      <c r="Y14" s="70">
        <f t="shared" si="1"/>
        <v>2610</v>
      </c>
    </row>
    <row r="15" spans="1:25">
      <c r="A15" s="19" t="s">
        <v>522</v>
      </c>
      <c r="B15" s="184"/>
      <c r="C15" s="184"/>
      <c r="D15" s="184">
        <v>470</v>
      </c>
      <c r="E15" s="184"/>
      <c r="F15" s="184"/>
      <c r="G15" s="184"/>
      <c r="H15" s="70">
        <f t="shared" si="0"/>
        <v>470</v>
      </c>
      <c r="I15" s="19" t="s">
        <v>522</v>
      </c>
      <c r="J15" s="184"/>
      <c r="K15" s="184"/>
      <c r="L15" s="184">
        <v>1300</v>
      </c>
      <c r="M15" s="184">
        <v>580</v>
      </c>
      <c r="N15" s="184"/>
      <c r="O15" s="184">
        <v>431</v>
      </c>
      <c r="P15" s="184"/>
      <c r="Q15" s="184"/>
      <c r="R15" s="184">
        <v>220</v>
      </c>
      <c r="S15" s="184"/>
      <c r="T15" s="184">
        <v>110</v>
      </c>
      <c r="U15" s="184">
        <v>240</v>
      </c>
      <c r="V15" s="184"/>
      <c r="W15" s="184"/>
      <c r="X15" s="184"/>
      <c r="Y15" s="70">
        <f t="shared" si="1"/>
        <v>2881</v>
      </c>
    </row>
    <row r="16" spans="1:25">
      <c r="A16" s="19" t="s">
        <v>528</v>
      </c>
      <c r="B16" s="184"/>
      <c r="C16" s="184"/>
      <c r="D16" s="184">
        <v>234</v>
      </c>
      <c r="E16" s="184"/>
      <c r="F16" s="184"/>
      <c r="G16" s="184"/>
      <c r="H16" s="70">
        <f t="shared" si="0"/>
        <v>234</v>
      </c>
      <c r="I16" s="19" t="s">
        <v>528</v>
      </c>
      <c r="J16" s="184"/>
      <c r="K16" s="184"/>
      <c r="L16" s="184">
        <v>240</v>
      </c>
      <c r="M16" s="184">
        <v>500</v>
      </c>
      <c r="N16" s="184"/>
      <c r="O16" s="184">
        <v>214</v>
      </c>
      <c r="P16" s="184"/>
      <c r="Q16" s="184"/>
      <c r="R16" s="184"/>
      <c r="S16" s="184"/>
      <c r="T16" s="184"/>
      <c r="U16" s="184"/>
      <c r="V16" s="184"/>
      <c r="W16" s="184"/>
      <c r="X16" s="184"/>
      <c r="Y16" s="70">
        <f t="shared" si="1"/>
        <v>954</v>
      </c>
    </row>
    <row r="17" spans="1:25">
      <c r="A17" s="19" t="s">
        <v>523</v>
      </c>
      <c r="B17" s="184"/>
      <c r="C17" s="184"/>
      <c r="D17" s="184">
        <v>140</v>
      </c>
      <c r="E17" s="184"/>
      <c r="F17" s="184"/>
      <c r="G17" s="184">
        <v>60</v>
      </c>
      <c r="H17" s="70">
        <f t="shared" si="0"/>
        <v>200</v>
      </c>
      <c r="I17" s="19" t="s">
        <v>523</v>
      </c>
      <c r="J17" s="184"/>
      <c r="K17" s="184"/>
      <c r="L17" s="184">
        <v>465</v>
      </c>
      <c r="M17" s="184">
        <v>75</v>
      </c>
      <c r="N17" s="184"/>
      <c r="O17" s="184">
        <v>160</v>
      </c>
      <c r="P17" s="184"/>
      <c r="Q17" s="184"/>
      <c r="R17" s="184"/>
      <c r="S17" s="184">
        <v>130</v>
      </c>
      <c r="T17" s="184"/>
      <c r="U17" s="184">
        <v>45</v>
      </c>
      <c r="V17" s="184"/>
      <c r="W17" s="184"/>
      <c r="X17" s="184"/>
      <c r="Y17" s="70">
        <f t="shared" si="1"/>
        <v>875</v>
      </c>
    </row>
    <row r="18" spans="1:25">
      <c r="A18" s="19" t="s">
        <v>526</v>
      </c>
      <c r="B18" s="184"/>
      <c r="C18" s="184"/>
      <c r="D18" s="184">
        <v>90</v>
      </c>
      <c r="E18" s="184"/>
      <c r="F18" s="184">
        <v>35</v>
      </c>
      <c r="G18" s="184">
        <v>30</v>
      </c>
      <c r="H18" s="70">
        <f t="shared" si="0"/>
        <v>155</v>
      </c>
      <c r="I18" s="19" t="s">
        <v>526</v>
      </c>
      <c r="J18" s="184"/>
      <c r="K18" s="184"/>
      <c r="L18" s="184">
        <v>200</v>
      </c>
      <c r="M18" s="184">
        <v>432</v>
      </c>
      <c r="N18" s="184"/>
      <c r="O18" s="184">
        <v>100</v>
      </c>
      <c r="P18" s="184"/>
      <c r="Q18" s="184">
        <v>110</v>
      </c>
      <c r="R18" s="184"/>
      <c r="S18" s="184">
        <v>80</v>
      </c>
      <c r="T18" s="184"/>
      <c r="U18" s="184"/>
      <c r="V18" s="184"/>
      <c r="W18" s="184"/>
      <c r="X18" s="184"/>
      <c r="Y18" s="70">
        <f t="shared" si="1"/>
        <v>922</v>
      </c>
    </row>
    <row r="19" spans="1:25">
      <c r="A19" s="19" t="s">
        <v>527</v>
      </c>
      <c r="B19" s="184"/>
      <c r="C19" s="184"/>
      <c r="D19" s="184"/>
      <c r="E19" s="184"/>
      <c r="F19" s="184"/>
      <c r="G19" s="184">
        <v>100</v>
      </c>
      <c r="H19" s="70">
        <f t="shared" si="0"/>
        <v>100</v>
      </c>
      <c r="I19" s="19" t="s">
        <v>527</v>
      </c>
      <c r="J19" s="184"/>
      <c r="K19" s="184"/>
      <c r="L19" s="184">
        <v>600</v>
      </c>
      <c r="M19" s="184"/>
      <c r="N19" s="184"/>
      <c r="O19" s="184"/>
      <c r="P19" s="184"/>
      <c r="Q19" s="184"/>
      <c r="R19" s="184">
        <v>220</v>
      </c>
      <c r="S19" s="184"/>
      <c r="T19" s="184"/>
      <c r="U19" s="184">
        <v>40</v>
      </c>
      <c r="V19" s="184"/>
      <c r="W19" s="184"/>
      <c r="X19" s="184"/>
      <c r="Y19" s="70">
        <f t="shared" si="1"/>
        <v>860</v>
      </c>
    </row>
    <row r="20" spans="1:25">
      <c r="A20" s="19" t="s">
        <v>525</v>
      </c>
      <c r="B20" s="184"/>
      <c r="C20" s="184">
        <v>160</v>
      </c>
      <c r="D20" s="184"/>
      <c r="E20" s="184"/>
      <c r="F20" s="184"/>
      <c r="G20" s="184">
        <v>146</v>
      </c>
      <c r="H20" s="70">
        <f t="shared" si="0"/>
        <v>306</v>
      </c>
      <c r="I20" s="19" t="s">
        <v>525</v>
      </c>
      <c r="J20" s="184"/>
      <c r="K20" s="184">
        <v>380</v>
      </c>
      <c r="L20" s="184">
        <v>620</v>
      </c>
      <c r="M20" s="184"/>
      <c r="N20" s="184"/>
      <c r="O20" s="184"/>
      <c r="P20" s="184"/>
      <c r="Q20" s="184"/>
      <c r="R20" s="184"/>
      <c r="S20" s="184">
        <v>250</v>
      </c>
      <c r="T20" s="184">
        <v>30</v>
      </c>
      <c r="U20" s="184"/>
      <c r="V20" s="184"/>
      <c r="W20" s="184"/>
      <c r="X20" s="184"/>
      <c r="Y20" s="70">
        <f t="shared" si="1"/>
        <v>1280</v>
      </c>
    </row>
    <row r="21" spans="1:25">
      <c r="A21" s="307" t="s">
        <v>524</v>
      </c>
      <c r="B21" s="189"/>
      <c r="C21" s="189"/>
      <c r="D21" s="189"/>
      <c r="E21" s="189"/>
      <c r="F21" s="189"/>
      <c r="G21" s="189">
        <v>280</v>
      </c>
      <c r="H21" s="70">
        <f t="shared" si="0"/>
        <v>280</v>
      </c>
      <c r="I21" s="307" t="s">
        <v>524</v>
      </c>
      <c r="J21" s="189"/>
      <c r="K21" s="189"/>
      <c r="L21" s="189">
        <v>400</v>
      </c>
      <c r="M21" s="189"/>
      <c r="N21" s="189"/>
      <c r="O21" s="189"/>
      <c r="P21" s="189"/>
      <c r="Q21" s="189"/>
      <c r="R21" s="189"/>
      <c r="S21" s="189">
        <v>420</v>
      </c>
      <c r="T21" s="189"/>
      <c r="U21" s="189"/>
      <c r="V21" s="189"/>
      <c r="W21" s="189"/>
      <c r="X21" s="189"/>
      <c r="Y21" s="70">
        <f t="shared" si="1"/>
        <v>820</v>
      </c>
    </row>
    <row r="22" spans="1:25">
      <c r="H22" s="70">
        <f>SUM(H6:H21)</f>
        <v>27726</v>
      </c>
      <c r="Y22" s="70">
        <f>SUM(Y6:Y21)</f>
        <v>135499</v>
      </c>
    </row>
    <row r="23" spans="1:25">
      <c r="A23" s="365" t="s">
        <v>591</v>
      </c>
      <c r="B23" s="77"/>
      <c r="C23" s="77"/>
      <c r="D23" s="77"/>
      <c r="E23" s="77"/>
      <c r="F23" s="77"/>
      <c r="G23" s="77"/>
      <c r="H23" s="366"/>
      <c r="I23" s="77"/>
      <c r="J23" s="77"/>
      <c r="K23" s="77"/>
      <c r="L23" s="77"/>
      <c r="M23" s="77"/>
      <c r="N23" s="77"/>
      <c r="O23" s="77"/>
      <c r="P23" s="77"/>
      <c r="Q23" s="77"/>
      <c r="R23" s="77"/>
      <c r="S23" s="77"/>
      <c r="T23" s="77"/>
      <c r="U23" s="77"/>
      <c r="V23" s="77"/>
      <c r="W23" s="77"/>
      <c r="X23" s="77"/>
      <c r="Y23" s="366"/>
    </row>
    <row r="24" spans="1:25">
      <c r="A24" s="308" t="s">
        <v>531</v>
      </c>
      <c r="B24" s="307" t="s">
        <v>519</v>
      </c>
      <c r="C24" s="307" t="s">
        <v>517</v>
      </c>
      <c r="D24" s="307" t="s">
        <v>510</v>
      </c>
      <c r="E24" s="307" t="s">
        <v>533</v>
      </c>
      <c r="F24" s="307" t="s">
        <v>520</v>
      </c>
      <c r="G24" s="307" t="s">
        <v>516</v>
      </c>
      <c r="I24" s="308" t="s">
        <v>530</v>
      </c>
      <c r="J24" s="307" t="s">
        <v>519</v>
      </c>
      <c r="K24" s="307" t="s">
        <v>517</v>
      </c>
      <c r="L24" s="307" t="s">
        <v>511</v>
      </c>
      <c r="M24" s="307" t="s">
        <v>512</v>
      </c>
      <c r="N24" s="307" t="s">
        <v>533</v>
      </c>
      <c r="O24" s="307" t="s">
        <v>510</v>
      </c>
      <c r="P24" s="307" t="s">
        <v>536</v>
      </c>
      <c r="Q24" s="307" t="s">
        <v>520</v>
      </c>
      <c r="R24" s="307" t="s">
        <v>513</v>
      </c>
      <c r="S24" s="307" t="s">
        <v>516</v>
      </c>
      <c r="T24" s="307" t="s">
        <v>514</v>
      </c>
      <c r="U24" s="307" t="s">
        <v>515</v>
      </c>
      <c r="V24" s="307" t="s">
        <v>532</v>
      </c>
      <c r="W24" s="307" t="s">
        <v>534</v>
      </c>
      <c r="X24" s="307" t="s">
        <v>535</v>
      </c>
    </row>
    <row r="25" spans="1:25">
      <c r="A25" s="19" t="s">
        <v>521</v>
      </c>
      <c r="B25" s="184">
        <v>586</v>
      </c>
      <c r="C25" s="184"/>
      <c r="D25" s="184"/>
      <c r="E25" s="184"/>
      <c r="F25" s="184"/>
      <c r="G25" s="184"/>
      <c r="H25" s="70">
        <f t="shared" ref="H25:H40" si="2">SUM(B25:G25)</f>
        <v>586</v>
      </c>
      <c r="I25" s="19" t="s">
        <v>521</v>
      </c>
      <c r="J25" s="184">
        <v>1172</v>
      </c>
      <c r="K25" s="184"/>
      <c r="L25" s="184"/>
      <c r="M25" s="184"/>
      <c r="N25" s="184"/>
      <c r="O25" s="184"/>
      <c r="P25" s="184"/>
      <c r="Q25" s="184"/>
      <c r="R25" s="184"/>
      <c r="S25" s="184"/>
      <c r="T25" s="184"/>
      <c r="U25" s="184"/>
      <c r="V25" s="184"/>
      <c r="W25" s="184"/>
      <c r="X25" s="184"/>
      <c r="Y25" s="70">
        <f>SUM(J25:X25)</f>
        <v>1172</v>
      </c>
    </row>
    <row r="26" spans="1:25">
      <c r="A26" s="307" t="s">
        <v>518</v>
      </c>
      <c r="B26" s="189">
        <v>1500</v>
      </c>
      <c r="C26" s="189"/>
      <c r="D26" s="189"/>
      <c r="E26" s="189"/>
      <c r="F26" s="189"/>
      <c r="G26" s="189"/>
      <c r="H26" s="70">
        <f t="shared" si="2"/>
        <v>1500</v>
      </c>
      <c r="I26" s="307" t="s">
        <v>518</v>
      </c>
      <c r="J26" s="189">
        <v>3000</v>
      </c>
      <c r="K26" s="189"/>
      <c r="L26" s="189"/>
      <c r="M26" s="189"/>
      <c r="N26" s="189"/>
      <c r="O26" s="189"/>
      <c r="P26" s="189"/>
      <c r="Q26" s="189"/>
      <c r="R26" s="189"/>
      <c r="S26" s="189"/>
      <c r="T26" s="189"/>
      <c r="U26" s="189"/>
      <c r="V26" s="189"/>
      <c r="W26" s="189"/>
      <c r="X26" s="189"/>
      <c r="Y26" s="70">
        <f t="shared" ref="Y26:Y40" si="3">SUM(J26:X26)</f>
        <v>3000</v>
      </c>
    </row>
    <row r="27" spans="1:25">
      <c r="A27" s="19" t="s">
        <v>107</v>
      </c>
      <c r="B27" s="184"/>
      <c r="C27" s="184">
        <v>3750</v>
      </c>
      <c r="D27" s="184">
        <v>7929</v>
      </c>
      <c r="E27" s="184"/>
      <c r="F27" s="184">
        <v>300</v>
      </c>
      <c r="G27" s="184"/>
      <c r="H27" s="70">
        <f t="shared" si="2"/>
        <v>11979</v>
      </c>
      <c r="I27" s="19" t="s">
        <v>107</v>
      </c>
      <c r="J27" s="184"/>
      <c r="K27" s="184">
        <v>7512</v>
      </c>
      <c r="L27" s="184"/>
      <c r="M27" s="184">
        <v>23300</v>
      </c>
      <c r="N27" s="184"/>
      <c r="O27" s="184">
        <v>7929</v>
      </c>
      <c r="P27" s="184"/>
      <c r="Q27" s="184">
        <v>900</v>
      </c>
      <c r="R27" s="184"/>
      <c r="S27" s="184"/>
      <c r="T27" s="184"/>
      <c r="U27" s="184"/>
      <c r="V27" s="184">
        <v>999</v>
      </c>
      <c r="W27" s="184"/>
      <c r="X27" s="184"/>
      <c r="Y27" s="70">
        <f t="shared" si="3"/>
        <v>40640</v>
      </c>
    </row>
    <row r="28" spans="1:25">
      <c r="A28" s="19" t="s">
        <v>113</v>
      </c>
      <c r="B28" s="184"/>
      <c r="C28" s="184">
        <v>5300</v>
      </c>
      <c r="D28" s="184">
        <v>960</v>
      </c>
      <c r="E28" s="184"/>
      <c r="F28" s="184"/>
      <c r="G28" s="184"/>
      <c r="H28" s="70">
        <f t="shared" si="2"/>
        <v>6260</v>
      </c>
      <c r="I28" s="19" t="s">
        <v>113</v>
      </c>
      <c r="J28" s="184"/>
      <c r="K28" s="184">
        <v>10650</v>
      </c>
      <c r="L28" s="184">
        <v>22000</v>
      </c>
      <c r="M28" s="184">
        <v>11000</v>
      </c>
      <c r="N28" s="184"/>
      <c r="O28" s="184">
        <v>960</v>
      </c>
      <c r="P28" s="184"/>
      <c r="Q28" s="184"/>
      <c r="R28" s="184"/>
      <c r="S28" s="184"/>
      <c r="T28" s="184"/>
      <c r="U28" s="184"/>
      <c r="V28" s="184">
        <v>1060</v>
      </c>
      <c r="W28" s="184"/>
      <c r="X28" s="184"/>
      <c r="Y28" s="70">
        <f t="shared" si="3"/>
        <v>45670</v>
      </c>
    </row>
    <row r="29" spans="1:25">
      <c r="A29" s="19" t="s">
        <v>104</v>
      </c>
      <c r="B29" s="184"/>
      <c r="C29" s="184"/>
      <c r="D29" s="184"/>
      <c r="E29" s="184"/>
      <c r="F29" s="184">
        <v>70</v>
      </c>
      <c r="G29" s="184">
        <v>135</v>
      </c>
      <c r="H29" s="70">
        <f t="shared" si="2"/>
        <v>205</v>
      </c>
      <c r="I29" s="19" t="s">
        <v>104</v>
      </c>
      <c r="J29" s="184"/>
      <c r="K29" s="184"/>
      <c r="L29" s="184">
        <v>1200</v>
      </c>
      <c r="M29" s="184"/>
      <c r="N29" s="184"/>
      <c r="O29" s="184"/>
      <c r="P29" s="184"/>
      <c r="Q29" s="184">
        <v>140</v>
      </c>
      <c r="R29" s="184">
        <v>550</v>
      </c>
      <c r="S29" s="184">
        <v>270</v>
      </c>
      <c r="T29" s="184"/>
      <c r="U29" s="184"/>
      <c r="V29" s="184">
        <v>49</v>
      </c>
      <c r="W29" s="184"/>
      <c r="X29" s="184"/>
      <c r="Y29" s="70">
        <f t="shared" si="3"/>
        <v>2209</v>
      </c>
    </row>
    <row r="30" spans="1:25">
      <c r="A30" s="19" t="s">
        <v>105</v>
      </c>
      <c r="B30" s="184"/>
      <c r="C30" s="184">
        <v>289</v>
      </c>
      <c r="D30" s="184"/>
      <c r="E30" s="184"/>
      <c r="F30" s="184">
        <v>200</v>
      </c>
      <c r="G30" s="184">
        <v>1020</v>
      </c>
      <c r="H30" s="70">
        <f t="shared" si="2"/>
        <v>1509</v>
      </c>
      <c r="I30" s="19" t="s">
        <v>105</v>
      </c>
      <c r="J30" s="184"/>
      <c r="K30" s="184">
        <v>578</v>
      </c>
      <c r="L30" s="184">
        <v>12000</v>
      </c>
      <c r="M30" s="184"/>
      <c r="N30" s="184"/>
      <c r="O30" s="184"/>
      <c r="P30" s="184"/>
      <c r="Q30" s="184">
        <v>400</v>
      </c>
      <c r="R30" s="184">
        <v>4158</v>
      </c>
      <c r="S30" s="184">
        <v>2045</v>
      </c>
      <c r="T30" s="184">
        <v>700</v>
      </c>
      <c r="U30" s="184"/>
      <c r="V30" s="184">
        <v>380</v>
      </c>
      <c r="W30" s="184"/>
      <c r="X30" s="184"/>
      <c r="Y30" s="70">
        <f t="shared" si="3"/>
        <v>20261</v>
      </c>
    </row>
    <row r="31" spans="1:25">
      <c r="A31" s="19" t="s">
        <v>106</v>
      </c>
      <c r="B31" s="184"/>
      <c r="C31" s="184"/>
      <c r="D31" s="184"/>
      <c r="E31" s="184"/>
      <c r="F31" s="184">
        <v>80</v>
      </c>
      <c r="G31" s="184">
        <v>360</v>
      </c>
      <c r="H31" s="70">
        <f t="shared" si="2"/>
        <v>440</v>
      </c>
      <c r="I31" s="19" t="s">
        <v>106</v>
      </c>
      <c r="J31" s="184"/>
      <c r="K31" s="184"/>
      <c r="L31" s="184">
        <v>2500</v>
      </c>
      <c r="M31" s="184"/>
      <c r="N31" s="184"/>
      <c r="O31" s="184"/>
      <c r="P31" s="184"/>
      <c r="Q31" s="184">
        <v>160</v>
      </c>
      <c r="R31" s="184">
        <v>1200</v>
      </c>
      <c r="S31" s="184">
        <v>720</v>
      </c>
      <c r="T31" s="184"/>
      <c r="U31" s="184"/>
      <c r="V31" s="184">
        <v>112</v>
      </c>
      <c r="W31" s="184"/>
      <c r="X31" s="184"/>
      <c r="Y31" s="70">
        <f t="shared" si="3"/>
        <v>4692</v>
      </c>
    </row>
    <row r="32" spans="1:25">
      <c r="A32" s="307" t="s">
        <v>99</v>
      </c>
      <c r="B32" s="189"/>
      <c r="C32" s="189">
        <v>600</v>
      </c>
      <c r="D32" s="189">
        <v>967</v>
      </c>
      <c r="E32" s="189"/>
      <c r="F32" s="189">
        <v>300</v>
      </c>
      <c r="G32" s="189">
        <v>900</v>
      </c>
      <c r="H32" s="70">
        <f t="shared" si="2"/>
        <v>2767</v>
      </c>
      <c r="I32" s="307" t="s">
        <v>99</v>
      </c>
      <c r="J32" s="189"/>
      <c r="K32" s="189">
        <v>1166</v>
      </c>
      <c r="L32" s="189">
        <v>1300</v>
      </c>
      <c r="M32" s="189">
        <v>2600</v>
      </c>
      <c r="N32" s="189"/>
      <c r="O32" s="189">
        <v>967</v>
      </c>
      <c r="P32" s="189"/>
      <c r="Q32" s="189">
        <v>600</v>
      </c>
      <c r="R32" s="189">
        <v>820</v>
      </c>
      <c r="S32" s="189">
        <v>1800</v>
      </c>
      <c r="T32" s="189"/>
      <c r="U32" s="189"/>
      <c r="V32" s="189">
        <v>187</v>
      </c>
      <c r="W32" s="189"/>
      <c r="X32" s="189"/>
      <c r="Y32" s="70">
        <f t="shared" si="3"/>
        <v>9440</v>
      </c>
    </row>
    <row r="33" spans="1:25">
      <c r="A33" s="19" t="s">
        <v>529</v>
      </c>
      <c r="B33" s="184"/>
      <c r="C33" s="184"/>
      <c r="D33" s="184">
        <v>233</v>
      </c>
      <c r="E33" s="184"/>
      <c r="F33" s="184">
        <v>46</v>
      </c>
      <c r="G33" s="184">
        <v>1574</v>
      </c>
      <c r="H33" s="70">
        <f t="shared" si="2"/>
        <v>1853</v>
      </c>
      <c r="I33" s="19" t="s">
        <v>529</v>
      </c>
      <c r="J33" s="184"/>
      <c r="K33" s="184"/>
      <c r="L33" s="184">
        <v>4064</v>
      </c>
      <c r="M33" s="184">
        <v>1998</v>
      </c>
      <c r="N33" s="184"/>
      <c r="O33" s="184">
        <v>253</v>
      </c>
      <c r="P33" s="184"/>
      <c r="Q33" s="184">
        <v>195</v>
      </c>
      <c r="R33" s="184">
        <v>2947</v>
      </c>
      <c r="S33" s="184">
        <v>3446</v>
      </c>
      <c r="T33" s="184"/>
      <c r="U33" s="184">
        <v>536</v>
      </c>
      <c r="V33" s="184">
        <v>192</v>
      </c>
      <c r="W33" s="184">
        <v>90</v>
      </c>
      <c r="X33" s="184"/>
      <c r="Y33" s="70">
        <f t="shared" si="3"/>
        <v>13721</v>
      </c>
    </row>
    <row r="34" spans="1:25">
      <c r="A34" s="19" t="s">
        <v>522</v>
      </c>
      <c r="B34" s="184"/>
      <c r="C34" s="184"/>
      <c r="D34" s="184">
        <v>630</v>
      </c>
      <c r="E34" s="184"/>
      <c r="F34" s="184"/>
      <c r="G34" s="184"/>
      <c r="H34" s="70">
        <f t="shared" si="2"/>
        <v>630</v>
      </c>
      <c r="I34" s="19" t="s">
        <v>522</v>
      </c>
      <c r="J34" s="184"/>
      <c r="K34" s="184"/>
      <c r="L34" s="184">
        <v>1003</v>
      </c>
      <c r="M34" s="184">
        <v>580</v>
      </c>
      <c r="N34" s="184"/>
      <c r="O34" s="184">
        <v>593</v>
      </c>
      <c r="P34" s="184"/>
      <c r="Q34" s="184"/>
      <c r="R34" s="184">
        <v>352</v>
      </c>
      <c r="S34" s="184"/>
      <c r="T34" s="184">
        <v>321</v>
      </c>
      <c r="U34" s="184">
        <v>220</v>
      </c>
      <c r="V34" s="184">
        <v>120</v>
      </c>
      <c r="W34" s="184">
        <v>120</v>
      </c>
      <c r="X34" s="184"/>
      <c r="Y34" s="70">
        <f t="shared" si="3"/>
        <v>3309</v>
      </c>
    </row>
    <row r="35" spans="1:25">
      <c r="A35" s="19" t="s">
        <v>528</v>
      </c>
      <c r="B35" s="184"/>
      <c r="C35" s="184"/>
      <c r="D35" s="184">
        <v>234</v>
      </c>
      <c r="E35" s="184">
        <v>45</v>
      </c>
      <c r="F35" s="184"/>
      <c r="G35" s="184"/>
      <c r="H35" s="70">
        <f t="shared" si="2"/>
        <v>279</v>
      </c>
      <c r="I35" s="19" t="s">
        <v>528</v>
      </c>
      <c r="J35" s="184"/>
      <c r="K35" s="184"/>
      <c r="L35" s="184">
        <v>88</v>
      </c>
      <c r="M35" s="184">
        <v>555</v>
      </c>
      <c r="N35" s="184">
        <v>75</v>
      </c>
      <c r="O35" s="184">
        <v>214</v>
      </c>
      <c r="P35" s="184"/>
      <c r="Q35" s="184"/>
      <c r="R35" s="184"/>
      <c r="S35" s="184">
        <v>132</v>
      </c>
      <c r="T35" s="184">
        <v>219</v>
      </c>
      <c r="U35" s="184">
        <v>150</v>
      </c>
      <c r="V35" s="184">
        <v>80</v>
      </c>
      <c r="W35" s="184"/>
      <c r="X35" s="184"/>
      <c r="Y35" s="70">
        <f t="shared" si="3"/>
        <v>1513</v>
      </c>
    </row>
    <row r="36" spans="1:25">
      <c r="A36" s="19" t="s">
        <v>523</v>
      </c>
      <c r="B36" s="184"/>
      <c r="C36" s="184"/>
      <c r="D36" s="184">
        <v>147</v>
      </c>
      <c r="E36" s="184"/>
      <c r="F36" s="184"/>
      <c r="G36" s="184">
        <v>50</v>
      </c>
      <c r="H36" s="70">
        <f t="shared" si="2"/>
        <v>197</v>
      </c>
      <c r="I36" s="19" t="s">
        <v>523</v>
      </c>
      <c r="J36" s="184"/>
      <c r="K36" s="184"/>
      <c r="L36" s="184">
        <v>305</v>
      </c>
      <c r="M36" s="184">
        <v>235</v>
      </c>
      <c r="N36" s="184"/>
      <c r="O36" s="184">
        <v>160</v>
      </c>
      <c r="P36" s="184"/>
      <c r="Q36" s="184"/>
      <c r="R36" s="184">
        <v>92</v>
      </c>
      <c r="S36" s="184">
        <v>160</v>
      </c>
      <c r="T36" s="184"/>
      <c r="U36" s="184">
        <v>45</v>
      </c>
      <c r="V36" s="184">
        <v>45</v>
      </c>
      <c r="W36" s="184"/>
      <c r="X36" s="184"/>
      <c r="Y36" s="70">
        <f t="shared" si="3"/>
        <v>1042</v>
      </c>
    </row>
    <row r="37" spans="1:25">
      <c r="A37" s="19" t="s">
        <v>526</v>
      </c>
      <c r="B37" s="184"/>
      <c r="C37" s="184"/>
      <c r="D37" s="184">
        <v>88</v>
      </c>
      <c r="E37" s="184"/>
      <c r="F37" s="184">
        <v>76</v>
      </c>
      <c r="G37" s="184">
        <v>28</v>
      </c>
      <c r="H37" s="70">
        <f t="shared" si="2"/>
        <v>192</v>
      </c>
      <c r="I37" s="19" t="s">
        <v>526</v>
      </c>
      <c r="J37" s="184"/>
      <c r="K37" s="184"/>
      <c r="L37" s="184">
        <v>152</v>
      </c>
      <c r="M37" s="184">
        <v>427</v>
      </c>
      <c r="N37" s="184"/>
      <c r="O37" s="184">
        <v>90</v>
      </c>
      <c r="P37" s="184">
        <v>80</v>
      </c>
      <c r="Q37" s="184">
        <v>147</v>
      </c>
      <c r="R37" s="184">
        <v>23</v>
      </c>
      <c r="S37" s="184">
        <v>105</v>
      </c>
      <c r="T37" s="184">
        <v>5</v>
      </c>
      <c r="U37" s="184">
        <v>180</v>
      </c>
      <c r="V37" s="184">
        <v>60</v>
      </c>
      <c r="W37" s="184"/>
      <c r="X37" s="184">
        <v>200</v>
      </c>
      <c r="Y37" s="70">
        <f t="shared" si="3"/>
        <v>1469</v>
      </c>
    </row>
    <row r="38" spans="1:25">
      <c r="A38" s="19" t="s">
        <v>527</v>
      </c>
      <c r="B38" s="184"/>
      <c r="C38" s="184"/>
      <c r="D38" s="184"/>
      <c r="E38" s="184"/>
      <c r="F38" s="184"/>
      <c r="G38" s="184">
        <v>192</v>
      </c>
      <c r="H38" s="70">
        <f t="shared" si="2"/>
        <v>192</v>
      </c>
      <c r="I38" s="19" t="s">
        <v>527</v>
      </c>
      <c r="J38" s="184"/>
      <c r="K38" s="184"/>
      <c r="L38" s="184">
        <v>345</v>
      </c>
      <c r="M38" s="184"/>
      <c r="N38" s="184"/>
      <c r="O38" s="184"/>
      <c r="P38" s="184"/>
      <c r="Q38" s="184"/>
      <c r="R38" s="184"/>
      <c r="S38" s="184">
        <v>345</v>
      </c>
      <c r="T38" s="184">
        <v>1</v>
      </c>
      <c r="U38" s="184">
        <v>40</v>
      </c>
      <c r="V38" s="184">
        <v>28</v>
      </c>
      <c r="W38" s="184">
        <v>55</v>
      </c>
      <c r="X38" s="184"/>
      <c r="Y38" s="70">
        <f t="shared" si="3"/>
        <v>814</v>
      </c>
    </row>
    <row r="39" spans="1:25">
      <c r="A39" s="19" t="s">
        <v>525</v>
      </c>
      <c r="B39" s="184"/>
      <c r="C39" s="184">
        <v>86</v>
      </c>
      <c r="D39" s="184"/>
      <c r="E39" s="184"/>
      <c r="F39" s="184"/>
      <c r="G39" s="184">
        <v>160</v>
      </c>
      <c r="H39" s="70">
        <f t="shared" si="2"/>
        <v>246</v>
      </c>
      <c r="I39" s="19" t="s">
        <v>525</v>
      </c>
      <c r="J39" s="184"/>
      <c r="K39" s="184">
        <v>174</v>
      </c>
      <c r="L39" s="184">
        <v>383</v>
      </c>
      <c r="M39" s="184"/>
      <c r="N39" s="184"/>
      <c r="O39" s="184"/>
      <c r="P39" s="184"/>
      <c r="Q39" s="184"/>
      <c r="R39" s="184">
        <v>104</v>
      </c>
      <c r="S39" s="184">
        <v>260</v>
      </c>
      <c r="T39" s="184">
        <v>52</v>
      </c>
      <c r="U39" s="184">
        <v>50</v>
      </c>
      <c r="V39" s="184">
        <v>38</v>
      </c>
      <c r="W39" s="184"/>
      <c r="X39" s="184"/>
      <c r="Y39" s="70">
        <f t="shared" si="3"/>
        <v>1061</v>
      </c>
    </row>
    <row r="40" spans="1:25">
      <c r="A40" s="307" t="s">
        <v>524</v>
      </c>
      <c r="B40" s="189"/>
      <c r="C40" s="189"/>
      <c r="D40" s="189"/>
      <c r="E40" s="189"/>
      <c r="F40" s="189"/>
      <c r="G40" s="189">
        <v>250</v>
      </c>
      <c r="H40" s="70">
        <f t="shared" si="2"/>
        <v>250</v>
      </c>
      <c r="I40" s="307" t="s">
        <v>524</v>
      </c>
      <c r="J40" s="189"/>
      <c r="K40" s="189"/>
      <c r="L40" s="189">
        <v>203</v>
      </c>
      <c r="M40" s="189"/>
      <c r="N40" s="189"/>
      <c r="O40" s="189"/>
      <c r="P40" s="189"/>
      <c r="Q40" s="189"/>
      <c r="R40" s="189">
        <v>27</v>
      </c>
      <c r="S40" s="189">
        <v>435</v>
      </c>
      <c r="T40" s="189">
        <v>45</v>
      </c>
      <c r="U40" s="189">
        <v>120</v>
      </c>
      <c r="V40" s="189">
        <v>40</v>
      </c>
      <c r="W40" s="189"/>
      <c r="X40" s="189"/>
      <c r="Y40" s="70">
        <f t="shared" si="3"/>
        <v>870</v>
      </c>
    </row>
    <row r="41" spans="1:25">
      <c r="H41" s="70">
        <f>SUM(H25:H40)</f>
        <v>29085</v>
      </c>
      <c r="Y41" s="70">
        <f>SUM(Y25:Y40)</f>
        <v>150883</v>
      </c>
    </row>
    <row r="42" spans="1:25">
      <c r="A42" s="365" t="s">
        <v>440</v>
      </c>
      <c r="B42" s="77"/>
      <c r="C42" s="77"/>
      <c r="D42" s="77"/>
      <c r="E42" s="77"/>
      <c r="F42" s="77"/>
      <c r="G42" s="77"/>
      <c r="H42" s="366"/>
      <c r="I42" s="77"/>
      <c r="J42" s="77"/>
      <c r="K42" s="77"/>
      <c r="L42" s="77"/>
      <c r="M42" s="77"/>
      <c r="N42" s="77"/>
      <c r="O42" s="77"/>
      <c r="P42" s="77"/>
      <c r="Q42" s="77"/>
      <c r="R42" s="77"/>
      <c r="S42" s="77"/>
      <c r="T42" s="77"/>
      <c r="U42" s="77"/>
      <c r="V42" s="77"/>
      <c r="W42" s="77"/>
      <c r="X42" s="77"/>
      <c r="Y42" s="366"/>
    </row>
    <row r="43" spans="1:25">
      <c r="A43" s="308" t="s">
        <v>531</v>
      </c>
      <c r="B43" s="307" t="s">
        <v>519</v>
      </c>
      <c r="C43" s="307" t="s">
        <v>517</v>
      </c>
      <c r="D43" s="307" t="s">
        <v>510</v>
      </c>
      <c r="E43" s="307" t="s">
        <v>533</v>
      </c>
      <c r="F43" s="307" t="s">
        <v>520</v>
      </c>
      <c r="G43" s="307" t="s">
        <v>516</v>
      </c>
      <c r="I43" s="308" t="s">
        <v>530</v>
      </c>
      <c r="J43" s="307" t="s">
        <v>519</v>
      </c>
      <c r="K43" s="307" t="s">
        <v>517</v>
      </c>
      <c r="L43" s="307" t="s">
        <v>511</v>
      </c>
      <c r="M43" s="307" t="s">
        <v>512</v>
      </c>
      <c r="N43" s="307" t="s">
        <v>533</v>
      </c>
      <c r="O43" s="307" t="s">
        <v>510</v>
      </c>
      <c r="P43" s="307" t="s">
        <v>536</v>
      </c>
      <c r="Q43" s="307" t="s">
        <v>520</v>
      </c>
      <c r="R43" s="307" t="s">
        <v>513</v>
      </c>
      <c r="S43" s="307" t="s">
        <v>516</v>
      </c>
      <c r="T43" s="307" t="s">
        <v>514</v>
      </c>
      <c r="U43" s="307" t="s">
        <v>515</v>
      </c>
      <c r="V43" s="307" t="s">
        <v>532</v>
      </c>
      <c r="W43" s="307" t="s">
        <v>534</v>
      </c>
      <c r="X43" s="307" t="s">
        <v>535</v>
      </c>
    </row>
    <row r="44" spans="1:25">
      <c r="A44" s="19" t="s">
        <v>521</v>
      </c>
      <c r="B44" s="184">
        <f>B25-B6</f>
        <v>0</v>
      </c>
      <c r="C44" s="184">
        <f t="shared" ref="C44:H44" si="4">C25-C6</f>
        <v>0</v>
      </c>
      <c r="D44" s="184">
        <f t="shared" si="4"/>
        <v>0</v>
      </c>
      <c r="E44" s="184">
        <f t="shared" si="4"/>
        <v>0</v>
      </c>
      <c r="F44" s="184">
        <f t="shared" si="4"/>
        <v>0</v>
      </c>
      <c r="G44" s="184">
        <f t="shared" si="4"/>
        <v>0</v>
      </c>
      <c r="H44" s="70">
        <f t="shared" si="4"/>
        <v>0</v>
      </c>
      <c r="I44" s="19" t="s">
        <v>521</v>
      </c>
      <c r="J44" s="184">
        <f>J25-J6</f>
        <v>0</v>
      </c>
      <c r="K44" s="184">
        <f t="shared" ref="K44:Y44" si="5">K25-K6</f>
        <v>0</v>
      </c>
      <c r="L44" s="184">
        <f t="shared" si="5"/>
        <v>0</v>
      </c>
      <c r="M44" s="184">
        <f t="shared" si="5"/>
        <v>0</v>
      </c>
      <c r="N44" s="184">
        <f t="shared" si="5"/>
        <v>0</v>
      </c>
      <c r="O44" s="184">
        <f t="shared" si="5"/>
        <v>0</v>
      </c>
      <c r="P44" s="184">
        <f t="shared" si="5"/>
        <v>0</v>
      </c>
      <c r="Q44" s="184">
        <f t="shared" si="5"/>
        <v>0</v>
      </c>
      <c r="R44" s="184">
        <f t="shared" si="5"/>
        <v>0</v>
      </c>
      <c r="S44" s="184">
        <f t="shared" si="5"/>
        <v>0</v>
      </c>
      <c r="T44" s="184">
        <f t="shared" si="5"/>
        <v>0</v>
      </c>
      <c r="U44" s="184">
        <f t="shared" si="5"/>
        <v>0</v>
      </c>
      <c r="V44" s="184">
        <f t="shared" si="5"/>
        <v>0</v>
      </c>
      <c r="W44" s="184">
        <f t="shared" si="5"/>
        <v>0</v>
      </c>
      <c r="X44" s="184">
        <f t="shared" si="5"/>
        <v>0</v>
      </c>
      <c r="Y44" s="70">
        <f t="shared" si="5"/>
        <v>0</v>
      </c>
    </row>
    <row r="45" spans="1:25">
      <c r="A45" s="307" t="s">
        <v>518</v>
      </c>
      <c r="B45" s="189">
        <f t="shared" ref="B45:H60" si="6">B26-B7</f>
        <v>0</v>
      </c>
      <c r="C45" s="189">
        <f t="shared" si="6"/>
        <v>0</v>
      </c>
      <c r="D45" s="189">
        <f t="shared" si="6"/>
        <v>0</v>
      </c>
      <c r="E45" s="189">
        <f t="shared" si="6"/>
        <v>0</v>
      </c>
      <c r="F45" s="189">
        <f t="shared" si="6"/>
        <v>0</v>
      </c>
      <c r="G45" s="189">
        <f t="shared" si="6"/>
        <v>0</v>
      </c>
      <c r="H45" s="70">
        <f t="shared" si="6"/>
        <v>0</v>
      </c>
      <c r="I45" s="307" t="s">
        <v>518</v>
      </c>
      <c r="J45" s="189">
        <f t="shared" ref="J45:Y60" si="7">J26-J7</f>
        <v>0</v>
      </c>
      <c r="K45" s="189">
        <f t="shared" si="7"/>
        <v>0</v>
      </c>
      <c r="L45" s="189">
        <f t="shared" si="7"/>
        <v>0</v>
      </c>
      <c r="M45" s="189">
        <f t="shared" si="7"/>
        <v>0</v>
      </c>
      <c r="N45" s="189">
        <f t="shared" si="7"/>
        <v>0</v>
      </c>
      <c r="O45" s="189">
        <f t="shared" si="7"/>
        <v>0</v>
      </c>
      <c r="P45" s="189">
        <f t="shared" si="7"/>
        <v>0</v>
      </c>
      <c r="Q45" s="189">
        <f t="shared" si="7"/>
        <v>0</v>
      </c>
      <c r="R45" s="189">
        <f t="shared" si="7"/>
        <v>0</v>
      </c>
      <c r="S45" s="189">
        <f t="shared" si="7"/>
        <v>0</v>
      </c>
      <c r="T45" s="189">
        <f t="shared" si="7"/>
        <v>0</v>
      </c>
      <c r="U45" s="189">
        <f t="shared" si="7"/>
        <v>0</v>
      </c>
      <c r="V45" s="189">
        <f t="shared" si="7"/>
        <v>0</v>
      </c>
      <c r="W45" s="189">
        <f t="shared" si="7"/>
        <v>0</v>
      </c>
      <c r="X45" s="189">
        <f t="shared" si="7"/>
        <v>0</v>
      </c>
      <c r="Y45" s="70">
        <f t="shared" si="7"/>
        <v>0</v>
      </c>
    </row>
    <row r="46" spans="1:25">
      <c r="A46" s="19" t="s">
        <v>107</v>
      </c>
      <c r="B46" s="184">
        <f t="shared" si="6"/>
        <v>0</v>
      </c>
      <c r="C46" s="184">
        <f t="shared" si="6"/>
        <v>0</v>
      </c>
      <c r="D46" s="184">
        <f t="shared" si="6"/>
        <v>0</v>
      </c>
      <c r="E46" s="184">
        <f t="shared" si="6"/>
        <v>0</v>
      </c>
      <c r="F46" s="184">
        <f t="shared" si="6"/>
        <v>0</v>
      </c>
      <c r="G46" s="184">
        <f t="shared" si="6"/>
        <v>0</v>
      </c>
      <c r="H46" s="70">
        <f t="shared" si="6"/>
        <v>0</v>
      </c>
      <c r="I46" s="19" t="s">
        <v>107</v>
      </c>
      <c r="J46" s="184">
        <f t="shared" si="7"/>
        <v>0</v>
      </c>
      <c r="K46" s="184">
        <f t="shared" si="7"/>
        <v>0</v>
      </c>
      <c r="L46" s="184">
        <f t="shared" si="7"/>
        <v>0</v>
      </c>
      <c r="M46" s="184">
        <f t="shared" si="7"/>
        <v>0</v>
      </c>
      <c r="N46" s="184">
        <f t="shared" si="7"/>
        <v>0</v>
      </c>
      <c r="O46" s="184">
        <f t="shared" si="7"/>
        <v>0</v>
      </c>
      <c r="P46" s="184">
        <f t="shared" si="7"/>
        <v>0</v>
      </c>
      <c r="Q46" s="184">
        <f t="shared" si="7"/>
        <v>0</v>
      </c>
      <c r="R46" s="184">
        <f t="shared" si="7"/>
        <v>0</v>
      </c>
      <c r="S46" s="184">
        <f t="shared" si="7"/>
        <v>0</v>
      </c>
      <c r="T46" s="184">
        <f t="shared" si="7"/>
        <v>0</v>
      </c>
      <c r="U46" s="184">
        <f t="shared" si="7"/>
        <v>0</v>
      </c>
      <c r="V46" s="184">
        <f t="shared" si="7"/>
        <v>999</v>
      </c>
      <c r="W46" s="184">
        <f t="shared" si="7"/>
        <v>0</v>
      </c>
      <c r="X46" s="184">
        <f t="shared" si="7"/>
        <v>0</v>
      </c>
      <c r="Y46" s="70">
        <f t="shared" si="7"/>
        <v>999</v>
      </c>
    </row>
    <row r="47" spans="1:25">
      <c r="A47" s="19" t="s">
        <v>113</v>
      </c>
      <c r="B47" s="184">
        <f t="shared" si="6"/>
        <v>0</v>
      </c>
      <c r="C47" s="184">
        <f t="shared" si="6"/>
        <v>0</v>
      </c>
      <c r="D47" s="184">
        <f t="shared" si="6"/>
        <v>0</v>
      </c>
      <c r="E47" s="184">
        <f t="shared" si="6"/>
        <v>0</v>
      </c>
      <c r="F47" s="184">
        <f t="shared" si="6"/>
        <v>0</v>
      </c>
      <c r="G47" s="184">
        <f t="shared" si="6"/>
        <v>0</v>
      </c>
      <c r="H47" s="70">
        <f t="shared" si="6"/>
        <v>0</v>
      </c>
      <c r="I47" s="19" t="s">
        <v>113</v>
      </c>
      <c r="J47" s="184">
        <f t="shared" si="7"/>
        <v>0</v>
      </c>
      <c r="K47" s="184">
        <f t="shared" si="7"/>
        <v>0</v>
      </c>
      <c r="L47" s="184">
        <f t="shared" si="7"/>
        <v>0</v>
      </c>
      <c r="M47" s="184">
        <f t="shared" si="7"/>
        <v>0</v>
      </c>
      <c r="N47" s="184">
        <f t="shared" si="7"/>
        <v>0</v>
      </c>
      <c r="O47" s="184">
        <f t="shared" si="7"/>
        <v>0</v>
      </c>
      <c r="P47" s="184">
        <f t="shared" si="7"/>
        <v>0</v>
      </c>
      <c r="Q47" s="184">
        <f t="shared" si="7"/>
        <v>0</v>
      </c>
      <c r="R47" s="184">
        <f t="shared" si="7"/>
        <v>0</v>
      </c>
      <c r="S47" s="184">
        <f t="shared" si="7"/>
        <v>0</v>
      </c>
      <c r="T47" s="184">
        <f t="shared" si="7"/>
        <v>0</v>
      </c>
      <c r="U47" s="184">
        <f t="shared" si="7"/>
        <v>0</v>
      </c>
      <c r="V47" s="184">
        <f t="shared" si="7"/>
        <v>1060</v>
      </c>
      <c r="W47" s="184">
        <f t="shared" si="7"/>
        <v>0</v>
      </c>
      <c r="X47" s="184">
        <f t="shared" si="7"/>
        <v>0</v>
      </c>
      <c r="Y47" s="70">
        <f t="shared" si="7"/>
        <v>1060</v>
      </c>
    </row>
    <row r="48" spans="1:25">
      <c r="A48" s="19" t="s">
        <v>104</v>
      </c>
      <c r="B48" s="184">
        <f t="shared" si="6"/>
        <v>0</v>
      </c>
      <c r="C48" s="184">
        <f t="shared" si="6"/>
        <v>0</v>
      </c>
      <c r="D48" s="184">
        <f t="shared" si="6"/>
        <v>0</v>
      </c>
      <c r="E48" s="184">
        <f t="shared" si="6"/>
        <v>0</v>
      </c>
      <c r="F48" s="184">
        <f t="shared" si="6"/>
        <v>0</v>
      </c>
      <c r="G48" s="184">
        <f t="shared" si="6"/>
        <v>0</v>
      </c>
      <c r="H48" s="70">
        <f t="shared" si="6"/>
        <v>0</v>
      </c>
      <c r="I48" s="19" t="s">
        <v>104</v>
      </c>
      <c r="J48" s="184">
        <f t="shared" si="7"/>
        <v>0</v>
      </c>
      <c r="K48" s="184">
        <f t="shared" si="7"/>
        <v>0</v>
      </c>
      <c r="L48" s="184">
        <f t="shared" si="7"/>
        <v>0</v>
      </c>
      <c r="M48" s="184">
        <f t="shared" si="7"/>
        <v>0</v>
      </c>
      <c r="N48" s="184">
        <f t="shared" si="7"/>
        <v>0</v>
      </c>
      <c r="O48" s="184">
        <f t="shared" si="7"/>
        <v>0</v>
      </c>
      <c r="P48" s="184">
        <f t="shared" si="7"/>
        <v>0</v>
      </c>
      <c r="Q48" s="184">
        <f t="shared" si="7"/>
        <v>0</v>
      </c>
      <c r="R48" s="184">
        <f t="shared" si="7"/>
        <v>0</v>
      </c>
      <c r="S48" s="184">
        <f t="shared" si="7"/>
        <v>0</v>
      </c>
      <c r="T48" s="184">
        <f t="shared" si="7"/>
        <v>0</v>
      </c>
      <c r="U48" s="184">
        <f t="shared" si="7"/>
        <v>0</v>
      </c>
      <c r="V48" s="184">
        <f t="shared" si="7"/>
        <v>49</v>
      </c>
      <c r="W48" s="184">
        <f t="shared" si="7"/>
        <v>0</v>
      </c>
      <c r="X48" s="184">
        <f t="shared" si="7"/>
        <v>0</v>
      </c>
      <c r="Y48" s="70">
        <f t="shared" si="7"/>
        <v>49</v>
      </c>
    </row>
    <row r="49" spans="1:25">
      <c r="A49" s="19" t="s">
        <v>105</v>
      </c>
      <c r="B49" s="184">
        <f t="shared" si="6"/>
        <v>0</v>
      </c>
      <c r="C49" s="184">
        <f t="shared" si="6"/>
        <v>0</v>
      </c>
      <c r="D49" s="184">
        <f t="shared" si="6"/>
        <v>0</v>
      </c>
      <c r="E49" s="184">
        <f t="shared" si="6"/>
        <v>0</v>
      </c>
      <c r="F49" s="184">
        <f t="shared" si="6"/>
        <v>0</v>
      </c>
      <c r="G49" s="184">
        <f t="shared" si="6"/>
        <v>0</v>
      </c>
      <c r="H49" s="70">
        <f t="shared" si="6"/>
        <v>0</v>
      </c>
      <c r="I49" s="19" t="s">
        <v>105</v>
      </c>
      <c r="J49" s="184">
        <f t="shared" si="7"/>
        <v>0</v>
      </c>
      <c r="K49" s="184">
        <f t="shared" si="7"/>
        <v>0</v>
      </c>
      <c r="L49" s="184">
        <f t="shared" si="7"/>
        <v>0</v>
      </c>
      <c r="M49" s="184">
        <f t="shared" si="7"/>
        <v>0</v>
      </c>
      <c r="N49" s="184">
        <f t="shared" si="7"/>
        <v>0</v>
      </c>
      <c r="O49" s="184">
        <f t="shared" si="7"/>
        <v>0</v>
      </c>
      <c r="P49" s="184">
        <f t="shared" si="7"/>
        <v>0</v>
      </c>
      <c r="Q49" s="184">
        <f t="shared" si="7"/>
        <v>0</v>
      </c>
      <c r="R49" s="184">
        <f t="shared" si="7"/>
        <v>0</v>
      </c>
      <c r="S49" s="184">
        <f t="shared" si="7"/>
        <v>0</v>
      </c>
      <c r="T49" s="184">
        <f t="shared" si="7"/>
        <v>0</v>
      </c>
      <c r="U49" s="184">
        <f t="shared" si="7"/>
        <v>0</v>
      </c>
      <c r="V49" s="184">
        <f t="shared" si="7"/>
        <v>380</v>
      </c>
      <c r="W49" s="184">
        <f t="shared" si="7"/>
        <v>0</v>
      </c>
      <c r="X49" s="184">
        <f t="shared" si="7"/>
        <v>0</v>
      </c>
      <c r="Y49" s="70">
        <f t="shared" si="7"/>
        <v>380</v>
      </c>
    </row>
    <row r="50" spans="1:25">
      <c r="A50" s="19" t="s">
        <v>106</v>
      </c>
      <c r="B50" s="184">
        <f t="shared" si="6"/>
        <v>0</v>
      </c>
      <c r="C50" s="184">
        <f t="shared" si="6"/>
        <v>0</v>
      </c>
      <c r="D50" s="184">
        <f t="shared" si="6"/>
        <v>0</v>
      </c>
      <c r="E50" s="184">
        <f t="shared" si="6"/>
        <v>0</v>
      </c>
      <c r="F50" s="184">
        <f t="shared" si="6"/>
        <v>0</v>
      </c>
      <c r="G50" s="184">
        <f t="shared" si="6"/>
        <v>0</v>
      </c>
      <c r="H50" s="70">
        <f t="shared" si="6"/>
        <v>0</v>
      </c>
      <c r="I50" s="19" t="s">
        <v>106</v>
      </c>
      <c r="J50" s="184">
        <f t="shared" si="7"/>
        <v>0</v>
      </c>
      <c r="K50" s="184">
        <f t="shared" si="7"/>
        <v>0</v>
      </c>
      <c r="L50" s="184">
        <f t="shared" si="7"/>
        <v>0</v>
      </c>
      <c r="M50" s="184">
        <f t="shared" si="7"/>
        <v>0</v>
      </c>
      <c r="N50" s="184">
        <f t="shared" si="7"/>
        <v>0</v>
      </c>
      <c r="O50" s="184">
        <f t="shared" si="7"/>
        <v>0</v>
      </c>
      <c r="P50" s="184">
        <f t="shared" si="7"/>
        <v>0</v>
      </c>
      <c r="Q50" s="184">
        <f t="shared" si="7"/>
        <v>0</v>
      </c>
      <c r="R50" s="184">
        <f t="shared" si="7"/>
        <v>0</v>
      </c>
      <c r="S50" s="184">
        <f t="shared" si="7"/>
        <v>0</v>
      </c>
      <c r="T50" s="184">
        <f t="shared" si="7"/>
        <v>0</v>
      </c>
      <c r="U50" s="184">
        <f t="shared" si="7"/>
        <v>0</v>
      </c>
      <c r="V50" s="184">
        <f t="shared" si="7"/>
        <v>112</v>
      </c>
      <c r="W50" s="184">
        <f t="shared" si="7"/>
        <v>0</v>
      </c>
      <c r="X50" s="184">
        <f t="shared" si="7"/>
        <v>0</v>
      </c>
      <c r="Y50" s="70">
        <f t="shared" si="7"/>
        <v>112</v>
      </c>
    </row>
    <row r="51" spans="1:25">
      <c r="A51" s="307" t="s">
        <v>99</v>
      </c>
      <c r="B51" s="189">
        <f t="shared" si="6"/>
        <v>0</v>
      </c>
      <c r="C51" s="189">
        <f t="shared" si="6"/>
        <v>0</v>
      </c>
      <c r="D51" s="189">
        <f t="shared" si="6"/>
        <v>0</v>
      </c>
      <c r="E51" s="189">
        <f t="shared" si="6"/>
        <v>0</v>
      </c>
      <c r="F51" s="189">
        <f t="shared" si="6"/>
        <v>0</v>
      </c>
      <c r="G51" s="189">
        <f t="shared" si="6"/>
        <v>0</v>
      </c>
      <c r="H51" s="70">
        <f t="shared" si="6"/>
        <v>0</v>
      </c>
      <c r="I51" s="307" t="s">
        <v>99</v>
      </c>
      <c r="J51" s="189">
        <f t="shared" si="7"/>
        <v>0</v>
      </c>
      <c r="K51" s="189">
        <f t="shared" si="7"/>
        <v>0</v>
      </c>
      <c r="L51" s="189">
        <f t="shared" si="7"/>
        <v>0</v>
      </c>
      <c r="M51" s="189">
        <f t="shared" si="7"/>
        <v>0</v>
      </c>
      <c r="N51" s="189">
        <f t="shared" si="7"/>
        <v>0</v>
      </c>
      <c r="O51" s="189">
        <f t="shared" si="7"/>
        <v>0</v>
      </c>
      <c r="P51" s="189">
        <f t="shared" si="7"/>
        <v>0</v>
      </c>
      <c r="Q51" s="189">
        <f t="shared" si="7"/>
        <v>0</v>
      </c>
      <c r="R51" s="189">
        <f t="shared" si="7"/>
        <v>0</v>
      </c>
      <c r="S51" s="189">
        <f t="shared" si="7"/>
        <v>0</v>
      </c>
      <c r="T51" s="189">
        <f t="shared" si="7"/>
        <v>0</v>
      </c>
      <c r="U51" s="189">
        <f t="shared" si="7"/>
        <v>0</v>
      </c>
      <c r="V51" s="189">
        <f t="shared" si="7"/>
        <v>187</v>
      </c>
      <c r="W51" s="189">
        <f t="shared" si="7"/>
        <v>0</v>
      </c>
      <c r="X51" s="189">
        <f t="shared" si="7"/>
        <v>0</v>
      </c>
      <c r="Y51" s="70">
        <f t="shared" si="7"/>
        <v>187</v>
      </c>
    </row>
    <row r="52" spans="1:25">
      <c r="A52" s="19" t="s">
        <v>529</v>
      </c>
      <c r="B52" s="184">
        <f t="shared" si="6"/>
        <v>0</v>
      </c>
      <c r="C52" s="184">
        <f t="shared" si="6"/>
        <v>0</v>
      </c>
      <c r="D52" s="184">
        <f t="shared" si="6"/>
        <v>33</v>
      </c>
      <c r="E52" s="184">
        <f t="shared" si="6"/>
        <v>0</v>
      </c>
      <c r="F52" s="184">
        <f t="shared" si="6"/>
        <v>11</v>
      </c>
      <c r="G52" s="184">
        <f t="shared" si="6"/>
        <v>1074</v>
      </c>
      <c r="H52" s="70">
        <f t="shared" si="6"/>
        <v>1118</v>
      </c>
      <c r="I52" s="19" t="s">
        <v>529</v>
      </c>
      <c r="J52" s="184">
        <f t="shared" si="7"/>
        <v>0</v>
      </c>
      <c r="K52" s="184">
        <f t="shared" si="7"/>
        <v>0</v>
      </c>
      <c r="L52" s="184">
        <f t="shared" si="7"/>
        <v>3064</v>
      </c>
      <c r="M52" s="184">
        <f t="shared" si="7"/>
        <v>1998</v>
      </c>
      <c r="N52" s="184">
        <f t="shared" si="7"/>
        <v>0</v>
      </c>
      <c r="O52" s="184">
        <f t="shared" si="7"/>
        <v>53</v>
      </c>
      <c r="P52" s="184">
        <f t="shared" si="7"/>
        <v>0</v>
      </c>
      <c r="Q52" s="184">
        <f t="shared" si="7"/>
        <v>85</v>
      </c>
      <c r="R52" s="184">
        <f t="shared" si="7"/>
        <v>2747</v>
      </c>
      <c r="S52" s="184">
        <f t="shared" si="7"/>
        <v>2446</v>
      </c>
      <c r="T52" s="184">
        <f t="shared" si="7"/>
        <v>0</v>
      </c>
      <c r="U52" s="184">
        <f t="shared" si="7"/>
        <v>436</v>
      </c>
      <c r="V52" s="184">
        <f t="shared" si="7"/>
        <v>192</v>
      </c>
      <c r="W52" s="184">
        <f t="shared" si="7"/>
        <v>90</v>
      </c>
      <c r="X52" s="184">
        <f t="shared" si="7"/>
        <v>0</v>
      </c>
      <c r="Y52" s="70">
        <f t="shared" si="7"/>
        <v>11111</v>
      </c>
    </row>
    <row r="53" spans="1:25">
      <c r="A53" s="19" t="s">
        <v>522</v>
      </c>
      <c r="B53" s="184">
        <f t="shared" si="6"/>
        <v>0</v>
      </c>
      <c r="C53" s="184">
        <f t="shared" si="6"/>
        <v>0</v>
      </c>
      <c r="D53" s="184">
        <f t="shared" si="6"/>
        <v>160</v>
      </c>
      <c r="E53" s="184">
        <f t="shared" si="6"/>
        <v>0</v>
      </c>
      <c r="F53" s="184">
        <f t="shared" si="6"/>
        <v>0</v>
      </c>
      <c r="G53" s="184">
        <f t="shared" si="6"/>
        <v>0</v>
      </c>
      <c r="H53" s="70">
        <f t="shared" si="6"/>
        <v>160</v>
      </c>
      <c r="I53" s="19" t="s">
        <v>522</v>
      </c>
      <c r="J53" s="184">
        <f t="shared" si="7"/>
        <v>0</v>
      </c>
      <c r="K53" s="184">
        <f t="shared" si="7"/>
        <v>0</v>
      </c>
      <c r="L53" s="184">
        <f t="shared" si="7"/>
        <v>-297</v>
      </c>
      <c r="M53" s="184">
        <f t="shared" si="7"/>
        <v>0</v>
      </c>
      <c r="N53" s="184">
        <f t="shared" si="7"/>
        <v>0</v>
      </c>
      <c r="O53" s="184">
        <f t="shared" si="7"/>
        <v>162</v>
      </c>
      <c r="P53" s="184">
        <f t="shared" si="7"/>
        <v>0</v>
      </c>
      <c r="Q53" s="184">
        <f t="shared" si="7"/>
        <v>0</v>
      </c>
      <c r="R53" s="184">
        <f t="shared" si="7"/>
        <v>132</v>
      </c>
      <c r="S53" s="184">
        <f t="shared" si="7"/>
        <v>0</v>
      </c>
      <c r="T53" s="184">
        <f t="shared" si="7"/>
        <v>211</v>
      </c>
      <c r="U53" s="184">
        <f t="shared" si="7"/>
        <v>-20</v>
      </c>
      <c r="V53" s="184">
        <f t="shared" si="7"/>
        <v>120</v>
      </c>
      <c r="W53" s="184">
        <f t="shared" si="7"/>
        <v>120</v>
      </c>
      <c r="X53" s="184">
        <f t="shared" si="7"/>
        <v>0</v>
      </c>
      <c r="Y53" s="70">
        <f t="shared" si="7"/>
        <v>428</v>
      </c>
    </row>
    <row r="54" spans="1:25">
      <c r="A54" s="19" t="s">
        <v>528</v>
      </c>
      <c r="B54" s="184">
        <f t="shared" si="6"/>
        <v>0</v>
      </c>
      <c r="C54" s="184">
        <f t="shared" si="6"/>
        <v>0</v>
      </c>
      <c r="D54" s="184">
        <f t="shared" si="6"/>
        <v>0</v>
      </c>
      <c r="E54" s="184">
        <f t="shared" si="6"/>
        <v>45</v>
      </c>
      <c r="F54" s="184">
        <f t="shared" si="6"/>
        <v>0</v>
      </c>
      <c r="G54" s="184">
        <f t="shared" si="6"/>
        <v>0</v>
      </c>
      <c r="H54" s="70">
        <f t="shared" si="6"/>
        <v>45</v>
      </c>
      <c r="I54" s="19" t="s">
        <v>528</v>
      </c>
      <c r="J54" s="184">
        <f t="shared" si="7"/>
        <v>0</v>
      </c>
      <c r="K54" s="184">
        <f t="shared" si="7"/>
        <v>0</v>
      </c>
      <c r="L54" s="184">
        <f t="shared" si="7"/>
        <v>-152</v>
      </c>
      <c r="M54" s="184">
        <f t="shared" si="7"/>
        <v>55</v>
      </c>
      <c r="N54" s="184">
        <f t="shared" si="7"/>
        <v>75</v>
      </c>
      <c r="O54" s="184">
        <f t="shared" si="7"/>
        <v>0</v>
      </c>
      <c r="P54" s="184">
        <f t="shared" si="7"/>
        <v>0</v>
      </c>
      <c r="Q54" s="184">
        <f t="shared" si="7"/>
        <v>0</v>
      </c>
      <c r="R54" s="184">
        <f t="shared" si="7"/>
        <v>0</v>
      </c>
      <c r="S54" s="184">
        <f t="shared" si="7"/>
        <v>132</v>
      </c>
      <c r="T54" s="184">
        <f t="shared" si="7"/>
        <v>219</v>
      </c>
      <c r="U54" s="184">
        <f t="shared" si="7"/>
        <v>150</v>
      </c>
      <c r="V54" s="184">
        <f t="shared" si="7"/>
        <v>80</v>
      </c>
      <c r="W54" s="184">
        <f t="shared" si="7"/>
        <v>0</v>
      </c>
      <c r="X54" s="184">
        <f t="shared" si="7"/>
        <v>0</v>
      </c>
      <c r="Y54" s="70">
        <f t="shared" si="7"/>
        <v>559</v>
      </c>
    </row>
    <row r="55" spans="1:25">
      <c r="A55" s="19" t="s">
        <v>523</v>
      </c>
      <c r="B55" s="184">
        <f t="shared" si="6"/>
        <v>0</v>
      </c>
      <c r="C55" s="184">
        <f t="shared" si="6"/>
        <v>0</v>
      </c>
      <c r="D55" s="184">
        <f t="shared" si="6"/>
        <v>7</v>
      </c>
      <c r="E55" s="184">
        <f t="shared" si="6"/>
        <v>0</v>
      </c>
      <c r="F55" s="184">
        <f t="shared" si="6"/>
        <v>0</v>
      </c>
      <c r="G55" s="184">
        <f t="shared" si="6"/>
        <v>-10</v>
      </c>
      <c r="H55" s="70">
        <f t="shared" si="6"/>
        <v>-3</v>
      </c>
      <c r="I55" s="19" t="s">
        <v>523</v>
      </c>
      <c r="J55" s="184">
        <f t="shared" si="7"/>
        <v>0</v>
      </c>
      <c r="K55" s="184">
        <f t="shared" si="7"/>
        <v>0</v>
      </c>
      <c r="L55" s="184">
        <f t="shared" si="7"/>
        <v>-160</v>
      </c>
      <c r="M55" s="184">
        <f t="shared" si="7"/>
        <v>160</v>
      </c>
      <c r="N55" s="184">
        <f t="shared" si="7"/>
        <v>0</v>
      </c>
      <c r="O55" s="184">
        <f t="shared" si="7"/>
        <v>0</v>
      </c>
      <c r="P55" s="184">
        <f t="shared" si="7"/>
        <v>0</v>
      </c>
      <c r="Q55" s="184">
        <f t="shared" si="7"/>
        <v>0</v>
      </c>
      <c r="R55" s="184">
        <f t="shared" si="7"/>
        <v>92</v>
      </c>
      <c r="S55" s="184">
        <f t="shared" si="7"/>
        <v>30</v>
      </c>
      <c r="T55" s="184">
        <f t="shared" si="7"/>
        <v>0</v>
      </c>
      <c r="U55" s="184">
        <f t="shared" si="7"/>
        <v>0</v>
      </c>
      <c r="V55" s="184">
        <f t="shared" si="7"/>
        <v>45</v>
      </c>
      <c r="W55" s="184">
        <f t="shared" si="7"/>
        <v>0</v>
      </c>
      <c r="X55" s="184">
        <f t="shared" si="7"/>
        <v>0</v>
      </c>
      <c r="Y55" s="70">
        <f t="shared" si="7"/>
        <v>167</v>
      </c>
    </row>
    <row r="56" spans="1:25">
      <c r="A56" s="19" t="s">
        <v>526</v>
      </c>
      <c r="B56" s="184">
        <f t="shared" si="6"/>
        <v>0</v>
      </c>
      <c r="C56" s="184">
        <f t="shared" si="6"/>
        <v>0</v>
      </c>
      <c r="D56" s="184">
        <f t="shared" si="6"/>
        <v>-2</v>
      </c>
      <c r="E56" s="184">
        <f t="shared" si="6"/>
        <v>0</v>
      </c>
      <c r="F56" s="184">
        <f t="shared" si="6"/>
        <v>41</v>
      </c>
      <c r="G56" s="184">
        <f t="shared" si="6"/>
        <v>-2</v>
      </c>
      <c r="H56" s="70">
        <f t="shared" si="6"/>
        <v>37</v>
      </c>
      <c r="I56" s="19" t="s">
        <v>526</v>
      </c>
      <c r="J56" s="184">
        <f t="shared" si="7"/>
        <v>0</v>
      </c>
      <c r="K56" s="184">
        <f t="shared" si="7"/>
        <v>0</v>
      </c>
      <c r="L56" s="184">
        <f t="shared" si="7"/>
        <v>-48</v>
      </c>
      <c r="M56" s="184">
        <f t="shared" si="7"/>
        <v>-5</v>
      </c>
      <c r="N56" s="184">
        <f t="shared" si="7"/>
        <v>0</v>
      </c>
      <c r="O56" s="184">
        <f t="shared" si="7"/>
        <v>-10</v>
      </c>
      <c r="P56" s="184">
        <f t="shared" si="7"/>
        <v>80</v>
      </c>
      <c r="Q56" s="184">
        <f t="shared" si="7"/>
        <v>37</v>
      </c>
      <c r="R56" s="184">
        <f t="shared" si="7"/>
        <v>23</v>
      </c>
      <c r="S56" s="184">
        <f t="shared" si="7"/>
        <v>25</v>
      </c>
      <c r="T56" s="184">
        <f t="shared" si="7"/>
        <v>5</v>
      </c>
      <c r="U56" s="184">
        <f t="shared" si="7"/>
        <v>180</v>
      </c>
      <c r="V56" s="184">
        <f t="shared" si="7"/>
        <v>60</v>
      </c>
      <c r="W56" s="184">
        <f t="shared" si="7"/>
        <v>0</v>
      </c>
      <c r="X56" s="184">
        <f t="shared" si="7"/>
        <v>200</v>
      </c>
      <c r="Y56" s="70">
        <f t="shared" si="7"/>
        <v>547</v>
      </c>
    </row>
    <row r="57" spans="1:25">
      <c r="A57" s="19" t="s">
        <v>527</v>
      </c>
      <c r="B57" s="184">
        <f t="shared" si="6"/>
        <v>0</v>
      </c>
      <c r="C57" s="184">
        <f t="shared" si="6"/>
        <v>0</v>
      </c>
      <c r="D57" s="184">
        <f t="shared" si="6"/>
        <v>0</v>
      </c>
      <c r="E57" s="184">
        <f t="shared" si="6"/>
        <v>0</v>
      </c>
      <c r="F57" s="184">
        <f t="shared" si="6"/>
        <v>0</v>
      </c>
      <c r="G57" s="184">
        <f t="shared" si="6"/>
        <v>92</v>
      </c>
      <c r="H57" s="70">
        <f t="shared" si="6"/>
        <v>92</v>
      </c>
      <c r="I57" s="19" t="s">
        <v>527</v>
      </c>
      <c r="J57" s="184">
        <f t="shared" si="7"/>
        <v>0</v>
      </c>
      <c r="K57" s="184">
        <f t="shared" si="7"/>
        <v>0</v>
      </c>
      <c r="L57" s="184">
        <f t="shared" si="7"/>
        <v>-255</v>
      </c>
      <c r="M57" s="184">
        <f t="shared" si="7"/>
        <v>0</v>
      </c>
      <c r="N57" s="184">
        <f t="shared" si="7"/>
        <v>0</v>
      </c>
      <c r="O57" s="184">
        <f t="shared" si="7"/>
        <v>0</v>
      </c>
      <c r="P57" s="184">
        <f t="shared" si="7"/>
        <v>0</v>
      </c>
      <c r="Q57" s="184">
        <f t="shared" si="7"/>
        <v>0</v>
      </c>
      <c r="R57" s="184">
        <f t="shared" si="7"/>
        <v>-220</v>
      </c>
      <c r="S57" s="184">
        <f t="shared" si="7"/>
        <v>345</v>
      </c>
      <c r="T57" s="184">
        <f t="shared" si="7"/>
        <v>1</v>
      </c>
      <c r="U57" s="184">
        <f t="shared" si="7"/>
        <v>0</v>
      </c>
      <c r="V57" s="184">
        <f t="shared" si="7"/>
        <v>28</v>
      </c>
      <c r="W57" s="184">
        <f t="shared" si="7"/>
        <v>55</v>
      </c>
      <c r="X57" s="184">
        <f t="shared" si="7"/>
        <v>0</v>
      </c>
      <c r="Y57" s="70">
        <f t="shared" si="7"/>
        <v>-46</v>
      </c>
    </row>
    <row r="58" spans="1:25">
      <c r="A58" s="19" t="s">
        <v>525</v>
      </c>
      <c r="B58" s="184">
        <f t="shared" si="6"/>
        <v>0</v>
      </c>
      <c r="C58" s="184">
        <f t="shared" si="6"/>
        <v>-74</v>
      </c>
      <c r="D58" s="184">
        <f t="shared" si="6"/>
        <v>0</v>
      </c>
      <c r="E58" s="184">
        <f t="shared" si="6"/>
        <v>0</v>
      </c>
      <c r="F58" s="184">
        <f t="shared" si="6"/>
        <v>0</v>
      </c>
      <c r="G58" s="184">
        <f t="shared" si="6"/>
        <v>14</v>
      </c>
      <c r="H58" s="70">
        <f t="shared" si="6"/>
        <v>-60</v>
      </c>
      <c r="I58" s="19" t="s">
        <v>525</v>
      </c>
      <c r="J58" s="184">
        <f t="shared" si="7"/>
        <v>0</v>
      </c>
      <c r="K58" s="184">
        <f t="shared" si="7"/>
        <v>-206</v>
      </c>
      <c r="L58" s="184">
        <f t="shared" si="7"/>
        <v>-237</v>
      </c>
      <c r="M58" s="184">
        <f t="shared" si="7"/>
        <v>0</v>
      </c>
      <c r="N58" s="184">
        <f t="shared" si="7"/>
        <v>0</v>
      </c>
      <c r="O58" s="184">
        <f t="shared" si="7"/>
        <v>0</v>
      </c>
      <c r="P58" s="184">
        <f t="shared" si="7"/>
        <v>0</v>
      </c>
      <c r="Q58" s="184">
        <f t="shared" si="7"/>
        <v>0</v>
      </c>
      <c r="R58" s="184">
        <f t="shared" si="7"/>
        <v>104</v>
      </c>
      <c r="S58" s="184">
        <f t="shared" si="7"/>
        <v>10</v>
      </c>
      <c r="T58" s="184">
        <f t="shared" si="7"/>
        <v>22</v>
      </c>
      <c r="U58" s="184">
        <f t="shared" si="7"/>
        <v>50</v>
      </c>
      <c r="V58" s="184">
        <f t="shared" si="7"/>
        <v>38</v>
      </c>
      <c r="W58" s="184">
        <f t="shared" si="7"/>
        <v>0</v>
      </c>
      <c r="X58" s="184">
        <f t="shared" si="7"/>
        <v>0</v>
      </c>
      <c r="Y58" s="70">
        <f t="shared" si="7"/>
        <v>-219</v>
      </c>
    </row>
    <row r="59" spans="1:25">
      <c r="A59" s="307" t="s">
        <v>524</v>
      </c>
      <c r="B59" s="189">
        <f t="shared" si="6"/>
        <v>0</v>
      </c>
      <c r="C59" s="189">
        <f t="shared" si="6"/>
        <v>0</v>
      </c>
      <c r="D59" s="189">
        <f t="shared" si="6"/>
        <v>0</v>
      </c>
      <c r="E59" s="189">
        <f t="shared" si="6"/>
        <v>0</v>
      </c>
      <c r="F59" s="189">
        <f t="shared" si="6"/>
        <v>0</v>
      </c>
      <c r="G59" s="189">
        <f t="shared" si="6"/>
        <v>-30</v>
      </c>
      <c r="H59" s="70">
        <f t="shared" si="6"/>
        <v>-30</v>
      </c>
      <c r="I59" s="307" t="s">
        <v>524</v>
      </c>
      <c r="J59" s="189">
        <f t="shared" si="7"/>
        <v>0</v>
      </c>
      <c r="K59" s="189">
        <f t="shared" si="7"/>
        <v>0</v>
      </c>
      <c r="L59" s="189">
        <f t="shared" si="7"/>
        <v>-197</v>
      </c>
      <c r="M59" s="189">
        <f t="shared" si="7"/>
        <v>0</v>
      </c>
      <c r="N59" s="189">
        <f t="shared" si="7"/>
        <v>0</v>
      </c>
      <c r="O59" s="189">
        <f t="shared" si="7"/>
        <v>0</v>
      </c>
      <c r="P59" s="189">
        <f t="shared" si="7"/>
        <v>0</v>
      </c>
      <c r="Q59" s="189">
        <f t="shared" si="7"/>
        <v>0</v>
      </c>
      <c r="R59" s="189">
        <f t="shared" si="7"/>
        <v>27</v>
      </c>
      <c r="S59" s="189">
        <f t="shared" si="7"/>
        <v>15</v>
      </c>
      <c r="T59" s="189">
        <f t="shared" si="7"/>
        <v>45</v>
      </c>
      <c r="U59" s="189">
        <f t="shared" si="7"/>
        <v>120</v>
      </c>
      <c r="V59" s="189">
        <f t="shared" si="7"/>
        <v>40</v>
      </c>
      <c r="W59" s="189">
        <f t="shared" si="7"/>
        <v>0</v>
      </c>
      <c r="X59" s="189">
        <f t="shared" si="7"/>
        <v>0</v>
      </c>
      <c r="Y59" s="70">
        <f t="shared" si="7"/>
        <v>50</v>
      </c>
    </row>
    <row r="60" spans="1:25">
      <c r="H60" s="70">
        <f t="shared" si="6"/>
        <v>1359</v>
      </c>
      <c r="J60" s="246">
        <f>SUM(J44:J59)</f>
        <v>0</v>
      </c>
      <c r="K60" s="70">
        <f t="shared" ref="K60:X60" si="8">SUM(K44:K59)</f>
        <v>-206</v>
      </c>
      <c r="L60" s="70">
        <f t="shared" si="8"/>
        <v>1718</v>
      </c>
      <c r="M60" s="70">
        <f t="shared" si="8"/>
        <v>2208</v>
      </c>
      <c r="N60" s="70">
        <f t="shared" si="8"/>
        <v>75</v>
      </c>
      <c r="O60" s="70">
        <f t="shared" si="8"/>
        <v>205</v>
      </c>
      <c r="P60" s="70">
        <f t="shared" si="8"/>
        <v>80</v>
      </c>
      <c r="Q60" s="70">
        <f t="shared" si="8"/>
        <v>122</v>
      </c>
      <c r="R60" s="70">
        <f t="shared" si="8"/>
        <v>2905</v>
      </c>
      <c r="S60" s="70">
        <f t="shared" si="8"/>
        <v>3003</v>
      </c>
      <c r="T60" s="70">
        <f t="shared" si="8"/>
        <v>503</v>
      </c>
      <c r="U60" s="70">
        <f t="shared" si="8"/>
        <v>916</v>
      </c>
      <c r="V60" s="70">
        <f t="shared" si="8"/>
        <v>3390</v>
      </c>
      <c r="W60" s="70">
        <f t="shared" si="8"/>
        <v>265</v>
      </c>
      <c r="X60" s="70">
        <f t="shared" si="8"/>
        <v>200</v>
      </c>
      <c r="Y60" s="70">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55" zoomScaleNormal="100" workbookViewId="0">
      <pane xSplit="1" topLeftCell="B1" activePane="topRight" state="frozen"/>
      <selection activeCell="A9" sqref="A9"/>
      <selection pane="topRight" activeCell="B70" sqref="B70"/>
    </sheetView>
  </sheetViews>
  <sheetFormatPr defaultColWidth="9.109375" defaultRowHeight="14.4"/>
  <cols>
    <col min="1" max="1" width="14" style="22" customWidth="1"/>
    <col min="2" max="2" width="5.6640625" style="22" customWidth="1"/>
    <col min="3" max="3" width="7" style="22" customWidth="1"/>
    <col min="4" max="5" width="5.6640625" style="22" customWidth="1"/>
    <col min="6" max="6" width="6.33203125" style="22" customWidth="1"/>
    <col min="7" max="7" width="7.33203125" style="22" customWidth="1"/>
    <col min="8" max="11" width="5.6640625" style="22" customWidth="1"/>
    <col min="12" max="12" width="6.109375" style="22" customWidth="1"/>
    <col min="13" max="13" width="5.6640625" style="22" customWidth="1"/>
    <col min="14" max="14" width="6.109375" style="22" customWidth="1"/>
    <col min="15" max="43" width="5.6640625" style="22" customWidth="1"/>
    <col min="44" max="44" width="6.33203125" style="22" customWidth="1"/>
    <col min="45" max="53" width="5.6640625" style="22" customWidth="1"/>
    <col min="54" max="16384" width="9.109375" style="22"/>
  </cols>
  <sheetData>
    <row r="1" spans="1:47">
      <c r="A1" s="367" t="s">
        <v>0</v>
      </c>
      <c r="B1" s="367"/>
      <c r="C1" s="367"/>
      <c r="D1" s="367"/>
      <c r="E1" s="367"/>
      <c r="F1" s="367"/>
      <c r="G1" s="367"/>
      <c r="H1" s="367"/>
      <c r="I1" s="367"/>
      <c r="J1" s="367"/>
      <c r="K1" s="367"/>
      <c r="L1" s="367"/>
      <c r="M1" s="367"/>
      <c r="N1" s="367"/>
      <c r="O1" s="367"/>
      <c r="P1" s="367"/>
      <c r="Q1" s="367"/>
      <c r="R1" s="367"/>
      <c r="S1" s="367"/>
      <c r="T1" s="367"/>
      <c r="U1" s="367"/>
      <c r="V1" s="367"/>
      <c r="W1" s="367"/>
      <c r="X1" s="367"/>
      <c r="Y1" s="367"/>
      <c r="Z1" s="367"/>
      <c r="AA1" s="367"/>
      <c r="AB1" s="367"/>
      <c r="AC1" s="367"/>
      <c r="AD1" s="367"/>
      <c r="AE1" s="367"/>
      <c r="AF1" s="367"/>
      <c r="AG1" s="367"/>
      <c r="AH1" s="367"/>
      <c r="AI1" s="367"/>
      <c r="AJ1" s="367"/>
      <c r="AK1" s="367"/>
      <c r="AL1" s="367"/>
      <c r="AM1" s="367"/>
      <c r="AN1" s="367"/>
      <c r="AO1" s="367"/>
      <c r="AP1" s="367"/>
      <c r="AQ1" s="367"/>
    </row>
    <row r="2" spans="1:47">
      <c r="A2" s="367" t="s">
        <v>592</v>
      </c>
      <c r="B2" s="367"/>
      <c r="C2" s="367"/>
      <c r="D2" s="367"/>
      <c r="E2" s="367"/>
      <c r="F2" s="367"/>
      <c r="G2" s="367"/>
      <c r="H2" s="367"/>
      <c r="I2" s="367"/>
      <c r="J2" s="367"/>
      <c r="K2" s="367"/>
      <c r="L2" s="367"/>
      <c r="M2" s="367"/>
      <c r="N2" s="367"/>
      <c r="O2" s="367"/>
      <c r="P2" s="367"/>
      <c r="Q2" s="367"/>
      <c r="R2" s="367"/>
      <c r="S2" s="367"/>
      <c r="T2" s="367"/>
      <c r="U2" s="367"/>
      <c r="V2" s="367"/>
      <c r="W2" s="367"/>
      <c r="X2" s="367"/>
      <c r="Y2" s="367"/>
      <c r="Z2" s="367"/>
      <c r="AA2" s="367"/>
      <c r="AB2" s="367"/>
      <c r="AC2" s="367"/>
      <c r="AD2" s="367"/>
      <c r="AE2" s="367"/>
      <c r="AF2" s="367"/>
      <c r="AG2" s="367"/>
      <c r="AH2" s="367"/>
      <c r="AI2" s="367"/>
      <c r="AJ2" s="367"/>
      <c r="AK2" s="367"/>
      <c r="AL2" s="367"/>
      <c r="AM2" s="367"/>
      <c r="AN2" s="367"/>
      <c r="AO2" s="367"/>
      <c r="AP2" s="367"/>
      <c r="AQ2" s="367"/>
    </row>
    <row r="3" spans="1:47">
      <c r="A3" s="61" t="s">
        <v>594</v>
      </c>
      <c r="B3" s="367"/>
      <c r="C3" s="367"/>
      <c r="D3" s="367"/>
      <c r="E3" s="367"/>
      <c r="F3" s="367"/>
      <c r="G3" s="367"/>
      <c r="H3" s="367"/>
      <c r="I3" s="367"/>
      <c r="J3" s="367"/>
      <c r="K3" s="367"/>
      <c r="L3" s="367"/>
      <c r="M3" s="367"/>
      <c r="N3" s="367"/>
      <c r="O3" s="367"/>
      <c r="P3" s="367"/>
      <c r="Q3" s="367"/>
      <c r="R3" s="367"/>
      <c r="S3" s="367"/>
      <c r="T3" s="367"/>
      <c r="U3" s="367"/>
      <c r="V3" s="367"/>
      <c r="W3" s="367"/>
      <c r="X3" s="367"/>
      <c r="Y3" s="367"/>
      <c r="Z3" s="367"/>
      <c r="AA3" s="367"/>
      <c r="AB3" s="367"/>
      <c r="AC3" s="367"/>
      <c r="AD3" s="367"/>
      <c r="AE3" s="367"/>
      <c r="AF3" s="367"/>
      <c r="AG3" s="367"/>
      <c r="AH3" s="367"/>
      <c r="AI3" s="367"/>
      <c r="AJ3" s="367"/>
      <c r="AK3" s="367"/>
      <c r="AL3" s="367"/>
      <c r="AM3" s="367"/>
      <c r="AN3" s="367"/>
      <c r="AO3" s="367"/>
      <c r="AP3" s="367"/>
      <c r="AQ3" s="367"/>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6" t="s">
        <v>10</v>
      </c>
    </row>
    <row r="15" spans="1:47">
      <c r="K15" s="24"/>
    </row>
    <row r="16" spans="1:47">
      <c r="B16" s="783" t="s">
        <v>11</v>
      </c>
      <c r="C16" s="783"/>
      <c r="D16" s="783"/>
      <c r="E16" s="783" t="s">
        <v>12</v>
      </c>
      <c r="F16" s="783"/>
      <c r="G16" s="783"/>
      <c r="H16" s="783" t="s">
        <v>13</v>
      </c>
      <c r="I16" s="783"/>
      <c r="J16" s="783"/>
      <c r="K16" s="783" t="s">
        <v>14</v>
      </c>
      <c r="L16" s="783"/>
      <c r="M16" s="783"/>
      <c r="N16" s="783" t="s">
        <v>15</v>
      </c>
      <c r="O16" s="783"/>
      <c r="P16" s="783"/>
      <c r="Q16" s="783" t="s">
        <v>16</v>
      </c>
      <c r="R16" s="783"/>
      <c r="S16" s="783"/>
      <c r="T16" s="783" t="s">
        <v>17</v>
      </c>
      <c r="U16" s="783"/>
      <c r="V16" s="783"/>
      <c r="W16" s="783" t="s">
        <v>18</v>
      </c>
      <c r="X16" s="783"/>
      <c r="Y16" s="783"/>
      <c r="Z16" s="783" t="s">
        <v>19</v>
      </c>
      <c r="AA16" s="783"/>
      <c r="AB16" s="783"/>
      <c r="AC16" s="783" t="s">
        <v>20</v>
      </c>
      <c r="AD16" s="783"/>
      <c r="AE16" s="783"/>
      <c r="AF16" s="783" t="s">
        <v>21</v>
      </c>
      <c r="AG16" s="783"/>
      <c r="AH16" s="783"/>
      <c r="AI16" s="783" t="s">
        <v>22</v>
      </c>
      <c r="AJ16" s="783"/>
      <c r="AK16" s="783"/>
      <c r="AL16" s="783" t="s">
        <v>23</v>
      </c>
      <c r="AM16" s="783"/>
      <c r="AN16" s="783"/>
      <c r="AO16" s="783" t="s">
        <v>24</v>
      </c>
      <c r="AP16" s="783"/>
      <c r="AQ16" s="783"/>
      <c r="AR16" s="783" t="s">
        <v>35</v>
      </c>
      <c r="AS16" s="783"/>
      <c r="AT16" s="783"/>
      <c r="AU16" s="783"/>
    </row>
    <row r="17" spans="1:53">
      <c r="A17" s="25"/>
      <c r="B17" s="368" t="s">
        <v>25</v>
      </c>
      <c r="C17" s="368" t="s">
        <v>26</v>
      </c>
      <c r="D17" s="368" t="s">
        <v>27</v>
      </c>
      <c r="E17" s="368" t="s">
        <v>25</v>
      </c>
      <c r="F17" s="368" t="s">
        <v>26</v>
      </c>
      <c r="G17" s="368" t="s">
        <v>27</v>
      </c>
      <c r="H17" s="368" t="s">
        <v>25</v>
      </c>
      <c r="I17" s="368" t="s">
        <v>26</v>
      </c>
      <c r="J17" s="368" t="s">
        <v>27</v>
      </c>
      <c r="K17" s="368" t="s">
        <v>25</v>
      </c>
      <c r="L17" s="368" t="s">
        <v>26</v>
      </c>
      <c r="M17" s="368" t="s">
        <v>27</v>
      </c>
      <c r="N17" s="368" t="s">
        <v>25</v>
      </c>
      <c r="O17" s="368" t="s">
        <v>26</v>
      </c>
      <c r="P17" s="368" t="s">
        <v>27</v>
      </c>
      <c r="Q17" s="368" t="s">
        <v>25</v>
      </c>
      <c r="R17" s="368" t="s">
        <v>26</v>
      </c>
      <c r="S17" s="368" t="s">
        <v>27</v>
      </c>
      <c r="T17" s="368" t="s">
        <v>25</v>
      </c>
      <c r="U17" s="368" t="s">
        <v>26</v>
      </c>
      <c r="V17" s="368" t="s">
        <v>27</v>
      </c>
      <c r="W17" s="368" t="s">
        <v>25</v>
      </c>
      <c r="X17" s="368" t="s">
        <v>26</v>
      </c>
      <c r="Y17" s="368" t="s">
        <v>27</v>
      </c>
      <c r="Z17" s="368" t="s">
        <v>25</v>
      </c>
      <c r="AA17" s="368" t="s">
        <v>26</v>
      </c>
      <c r="AB17" s="368" t="s">
        <v>27</v>
      </c>
      <c r="AC17" s="368" t="s">
        <v>25</v>
      </c>
      <c r="AD17" s="368" t="s">
        <v>26</v>
      </c>
      <c r="AE17" s="368" t="s">
        <v>27</v>
      </c>
      <c r="AF17" s="368" t="s">
        <v>25</v>
      </c>
      <c r="AG17" s="368" t="s">
        <v>26</v>
      </c>
      <c r="AH17" s="368" t="s">
        <v>27</v>
      </c>
      <c r="AI17" s="368" t="s">
        <v>25</v>
      </c>
      <c r="AJ17" s="368" t="s">
        <v>26</v>
      </c>
      <c r="AK17" s="368" t="s">
        <v>27</v>
      </c>
      <c r="AL17" s="368" t="s">
        <v>25</v>
      </c>
      <c r="AM17" s="368" t="s">
        <v>26</v>
      </c>
      <c r="AN17" s="368" t="s">
        <v>27</v>
      </c>
      <c r="AO17" s="368" t="s">
        <v>25</v>
      </c>
      <c r="AP17" s="368" t="s">
        <v>26</v>
      </c>
      <c r="AQ17" s="368" t="s">
        <v>27</v>
      </c>
      <c r="AR17" s="22" t="s">
        <v>26</v>
      </c>
      <c r="AS17" s="22" t="s">
        <v>27</v>
      </c>
    </row>
    <row r="18" spans="1:53">
      <c r="A18" s="27" t="s">
        <v>28</v>
      </c>
      <c r="B18" s="394">
        <v>125.26950242051855</v>
      </c>
      <c r="C18" s="395">
        <v>162.54198156819476</v>
      </c>
      <c r="D18" s="396">
        <v>191.94921761708341</v>
      </c>
      <c r="E18" s="394">
        <v>147.54933996614554</v>
      </c>
      <c r="F18" s="395">
        <v>142.88604777815996</v>
      </c>
      <c r="G18" s="396">
        <v>142.64759550847481</v>
      </c>
      <c r="H18" s="395">
        <v>105.41376793036197</v>
      </c>
      <c r="I18" s="395">
        <v>126.41677594696898</v>
      </c>
      <c r="J18" s="396">
        <v>126.91876364552984</v>
      </c>
      <c r="K18" s="394">
        <v>72.986245663576753</v>
      </c>
      <c r="L18" s="395">
        <v>79.849147210280833</v>
      </c>
      <c r="M18" s="396">
        <v>87.85883626913386</v>
      </c>
      <c r="N18" s="395">
        <v>27.808623684300141</v>
      </c>
      <c r="O18" s="395">
        <v>38.574407526141329</v>
      </c>
      <c r="P18" s="396">
        <v>32.57192888507447</v>
      </c>
      <c r="Q18" s="394">
        <v>23.020608525803496</v>
      </c>
      <c r="R18" s="395">
        <v>31.90674452396911</v>
      </c>
      <c r="S18" s="396">
        <v>32.709427913028001</v>
      </c>
      <c r="T18" s="395">
        <v>16.848878942666087</v>
      </c>
      <c r="U18" s="395">
        <v>22.950449245943684</v>
      </c>
      <c r="V18" s="396">
        <v>22.040112076220304</v>
      </c>
      <c r="W18" s="394">
        <v>45.961397149719552</v>
      </c>
      <c r="X18" s="395">
        <v>40.638927356216136</v>
      </c>
      <c r="Y18" s="396">
        <v>38.32951148382206</v>
      </c>
      <c r="Z18" s="395">
        <v>9.758237114062764</v>
      </c>
      <c r="AA18" s="395">
        <v>9.6826024742945727</v>
      </c>
      <c r="AB18" s="396">
        <v>9.7857824827550033</v>
      </c>
      <c r="AC18" s="394">
        <v>24.142483306732149</v>
      </c>
      <c r="AD18" s="395">
        <v>29.821686839316584</v>
      </c>
      <c r="AE18" s="396">
        <v>31.831114700442637</v>
      </c>
      <c r="AF18" s="397"/>
      <c r="AG18" s="397"/>
      <c r="AH18" s="398"/>
      <c r="AI18" s="394">
        <v>2.9127387221315666</v>
      </c>
      <c r="AJ18" s="395">
        <v>2.7777266431809342</v>
      </c>
      <c r="AK18" s="396">
        <v>2.289437856908227</v>
      </c>
      <c r="AL18" s="395">
        <v>1.6523386281414354</v>
      </c>
      <c r="AM18" s="395">
        <v>2.0245099268947437</v>
      </c>
      <c r="AN18" s="396">
        <v>1.581436752463516</v>
      </c>
      <c r="AO18" s="394">
        <v>2.111576813110585</v>
      </c>
      <c r="AP18" s="395">
        <v>2.86124121179575</v>
      </c>
      <c r="AQ18" s="396">
        <v>2.7773489838341554</v>
      </c>
      <c r="AR18" s="420">
        <f>SUM(C18,F18,I18,L18,O18,R18,U18,X18,AA18,AD18,AG18,AJ18,AM18,AP18)</f>
        <v>692.93224825135746</v>
      </c>
      <c r="AS18" s="285">
        <f>SUM(D18,G18,J18,M18,P18,S18,V18,Y18,AB18,AE18,AH18,AK18,AN18,AQ18)</f>
        <v>723.29051417477046</v>
      </c>
      <c r="AT18" s="421">
        <f t="shared" ref="AT18:AT23" si="0">AR18/$AR$40</f>
        <v>0.87209397432018498</v>
      </c>
      <c r="AU18" s="422">
        <f>AS18/$AS$40</f>
        <v>0.62763520982872001</v>
      </c>
      <c r="BA18" s="34"/>
    </row>
    <row r="19" spans="1:53">
      <c r="A19" s="27" t="s">
        <v>29</v>
      </c>
      <c r="B19" s="399">
        <v>112.18381084093178</v>
      </c>
      <c r="C19" s="400">
        <v>102.95056691755134</v>
      </c>
      <c r="D19" s="401">
        <v>104.38196255433739</v>
      </c>
      <c r="E19" s="399">
        <v>127.44248196798941</v>
      </c>
      <c r="F19" s="400">
        <v>83.392732461225663</v>
      </c>
      <c r="G19" s="401">
        <v>83.393229566826577</v>
      </c>
      <c r="H19" s="400">
        <v>89.178913906190502</v>
      </c>
      <c r="I19" s="400">
        <v>107.95228087074216</v>
      </c>
      <c r="J19" s="401">
        <v>81.027240409651725</v>
      </c>
      <c r="K19" s="399">
        <v>68.405060171341333</v>
      </c>
      <c r="L19" s="400">
        <v>53.503556744461804</v>
      </c>
      <c r="M19" s="401">
        <v>53.576461365383302</v>
      </c>
      <c r="N19" s="400">
        <v>44.395861473465111</v>
      </c>
      <c r="O19" s="400">
        <v>35.452883927089779</v>
      </c>
      <c r="P19" s="401">
        <v>36.262815668613108</v>
      </c>
      <c r="Q19" s="399">
        <v>32.629185559677026</v>
      </c>
      <c r="R19" s="400">
        <v>26.962146150130756</v>
      </c>
      <c r="S19" s="401">
        <v>31.38161289610283</v>
      </c>
      <c r="T19" s="400">
        <v>19.90063035145856</v>
      </c>
      <c r="U19" s="400">
        <v>18.841142372752607</v>
      </c>
      <c r="V19" s="401">
        <v>18.184580377204711</v>
      </c>
      <c r="W19" s="399">
        <v>25.860808652649304</v>
      </c>
      <c r="X19" s="400">
        <v>20.498775598211825</v>
      </c>
      <c r="Y19" s="401">
        <v>19.680568400576487</v>
      </c>
      <c r="Z19" s="400">
        <v>8.5369914127732667</v>
      </c>
      <c r="AA19" s="400">
        <v>8.2814420968560114</v>
      </c>
      <c r="AB19" s="401">
        <v>8.0123975594580141</v>
      </c>
      <c r="AC19" s="399">
        <v>18.496723118567548</v>
      </c>
      <c r="AD19" s="400">
        <v>16.269531415944623</v>
      </c>
      <c r="AE19" s="401">
        <v>17.731223650585438</v>
      </c>
      <c r="AF19" s="402"/>
      <c r="AG19" s="402"/>
      <c r="AH19" s="403"/>
      <c r="AI19" s="399">
        <v>3.0953999568750752</v>
      </c>
      <c r="AJ19" s="400">
        <v>2.837483694339253</v>
      </c>
      <c r="AK19" s="401">
        <v>2.8626618006933833</v>
      </c>
      <c r="AL19" s="400">
        <v>2.4259820996468116</v>
      </c>
      <c r="AM19" s="400">
        <v>2.0574988883702026</v>
      </c>
      <c r="AN19" s="401">
        <v>2.0807662464879786</v>
      </c>
      <c r="AO19" s="399">
        <v>2.6073906524463841</v>
      </c>
      <c r="AP19" s="400">
        <v>2.4712672795169861</v>
      </c>
      <c r="AQ19" s="401">
        <v>2.4161387778123196</v>
      </c>
      <c r="AR19" s="423">
        <f t="shared" ref="AR19:AR26" si="1">SUM(C19,F19,I19,L19,O19,R19,U19,X19,AA19,AD19,AG19,AJ19,AM19,AP19)</f>
        <v>481.47130841719303</v>
      </c>
      <c r="AS19" s="70">
        <f t="shared" ref="AS19:AS26" si="2">SUM(D19,G19,J19,M19,P19,S19,V19,Y19,AB19,AE19,AH19,AK19,AN19,AQ19)</f>
        <v>460.99165927373321</v>
      </c>
      <c r="AT19" s="69">
        <f t="shared" si="0"/>
        <v>0.60595855935164555</v>
      </c>
      <c r="AU19" s="424">
        <f>AS19/$AS$40</f>
        <v>0.40002542702730198</v>
      </c>
      <c r="BA19" s="35"/>
    </row>
    <row r="20" spans="1:53">
      <c r="A20" s="27" t="s">
        <v>30</v>
      </c>
      <c r="B20" s="399">
        <v>252.63388888901002</v>
      </c>
      <c r="C20" s="400">
        <v>404.80161997813832</v>
      </c>
      <c r="D20" s="401">
        <v>245.778541948786</v>
      </c>
      <c r="E20" s="399">
        <v>135.61282805559642</v>
      </c>
      <c r="F20" s="400">
        <v>159.94762252741947</v>
      </c>
      <c r="G20" s="401">
        <v>149.69964887900596</v>
      </c>
      <c r="H20" s="400">
        <v>99.852868611171687</v>
      </c>
      <c r="I20" s="400">
        <v>101.94773429213723</v>
      </c>
      <c r="J20" s="401">
        <v>99.013444879185201</v>
      </c>
      <c r="K20" s="399">
        <v>89.951833333411074</v>
      </c>
      <c r="L20" s="400">
        <v>87.432860152458304</v>
      </c>
      <c r="M20" s="401">
        <v>65.941989821002338</v>
      </c>
      <c r="N20" s="400">
        <v>73.352501666753241</v>
      </c>
      <c r="O20" s="400">
        <v>88.600238937393925</v>
      </c>
      <c r="P20" s="401">
        <v>76.865118761506352</v>
      </c>
      <c r="Q20" s="399">
        <v>45.331309203355609</v>
      </c>
      <c r="R20" s="400">
        <v>104.83306957206436</v>
      </c>
      <c r="S20" s="401">
        <v>77.763423333505884</v>
      </c>
      <c r="T20" s="400">
        <v>41.908422222246053</v>
      </c>
      <c r="U20" s="400">
        <v>80.734987900211962</v>
      </c>
      <c r="V20" s="401">
        <v>74.800697401694663</v>
      </c>
      <c r="W20" s="399">
        <v>55.423944444485777</v>
      </c>
      <c r="X20" s="400">
        <v>122.80563671744828</v>
      </c>
      <c r="Y20" s="401">
        <v>106.04855938273889</v>
      </c>
      <c r="Z20" s="400">
        <v>10.935953333337894</v>
      </c>
      <c r="AA20" s="400">
        <v>14.348489812821514</v>
      </c>
      <c r="AB20" s="401">
        <v>7.0163905699143694</v>
      </c>
      <c r="AC20" s="399">
        <v>41.166333333363887</v>
      </c>
      <c r="AD20" s="400">
        <v>85.806024454732665</v>
      </c>
      <c r="AE20" s="401">
        <v>68.747276085863803</v>
      </c>
      <c r="AF20" s="402"/>
      <c r="AG20" s="402"/>
      <c r="AH20" s="403"/>
      <c r="AI20" s="399">
        <v>5.1172666666694697</v>
      </c>
      <c r="AJ20" s="400">
        <v>5.5121749431690992</v>
      </c>
      <c r="AK20" s="401">
        <v>4.4400661255302394</v>
      </c>
      <c r="AL20" s="400">
        <v>2.2929183333391974</v>
      </c>
      <c r="AM20" s="400">
        <v>2.3978904262270229</v>
      </c>
      <c r="AN20" s="401">
        <v>2.1510544126732065</v>
      </c>
      <c r="AO20" s="399">
        <v>2.9439000000015945</v>
      </c>
      <c r="AP20" s="400">
        <v>2.1941507824699373</v>
      </c>
      <c r="AQ20" s="401">
        <v>2.0372836240959571</v>
      </c>
      <c r="AR20" s="423">
        <f t="shared" si="1"/>
        <v>1261.3625004966918</v>
      </c>
      <c r="AS20" s="70">
        <f t="shared" si="2"/>
        <v>980.30349522550307</v>
      </c>
      <c r="AT20" s="69">
        <f t="shared" si="0"/>
        <v>1.5874952261098656</v>
      </c>
      <c r="AU20" s="424">
        <f t="shared" ref="AU20:AU23" si="3">AS20/$AS$40</f>
        <v>0.85065817657469844</v>
      </c>
      <c r="BA20" s="34"/>
    </row>
    <row r="21" spans="1:53">
      <c r="A21" s="27" t="s">
        <v>31</v>
      </c>
      <c r="B21" s="399">
        <v>11.676000000195845</v>
      </c>
      <c r="C21" s="400">
        <v>157.36239860798611</v>
      </c>
      <c r="D21" s="401">
        <v>121.60535715756389</v>
      </c>
      <c r="E21" s="399">
        <v>9.0084611112165938</v>
      </c>
      <c r="F21" s="400">
        <v>88.65186730620627</v>
      </c>
      <c r="G21" s="401">
        <v>84.514006542096666</v>
      </c>
      <c r="H21" s="400">
        <v>6.5071830557322414</v>
      </c>
      <c r="I21" s="400">
        <v>81.154643369338558</v>
      </c>
      <c r="J21" s="401">
        <v>61.960324553465298</v>
      </c>
      <c r="K21" s="399">
        <v>3.7390000001372554</v>
      </c>
      <c r="L21" s="400">
        <v>79.61914807402222</v>
      </c>
      <c r="M21" s="401">
        <v>60.018807431625973</v>
      </c>
      <c r="N21" s="400">
        <v>3.1881597223481135</v>
      </c>
      <c r="O21" s="400">
        <v>34.446731742698582</v>
      </c>
      <c r="P21" s="401">
        <v>23.730717819714698</v>
      </c>
      <c r="Q21" s="399">
        <v>2.3635881600947357</v>
      </c>
      <c r="R21" s="400">
        <v>46.491732242945247</v>
      </c>
      <c r="S21" s="401">
        <v>26.466493890100629</v>
      </c>
      <c r="T21" s="400">
        <v>1.7066000000879824</v>
      </c>
      <c r="U21" s="400">
        <v>21.948233686531644</v>
      </c>
      <c r="V21" s="401">
        <v>19.988691609340847</v>
      </c>
      <c r="W21" s="399">
        <v>2.7380000000200972</v>
      </c>
      <c r="X21" s="400">
        <v>16.511565416471736</v>
      </c>
      <c r="Y21" s="401">
        <v>14.898170230489409</v>
      </c>
      <c r="Z21" s="400">
        <v>0.46218805557782139</v>
      </c>
      <c r="AA21" s="400">
        <v>11.280374723453521</v>
      </c>
      <c r="AB21" s="401">
        <v>3.5555080095868168</v>
      </c>
      <c r="AC21" s="399">
        <v>0.85900000001979415</v>
      </c>
      <c r="AD21" s="400">
        <v>9.9373888423200487</v>
      </c>
      <c r="AE21" s="401">
        <v>7.9535049198090837</v>
      </c>
      <c r="AF21" s="402"/>
      <c r="AG21" s="402"/>
      <c r="AH21" s="403"/>
      <c r="AI21" s="399">
        <v>5.5000000002317466E-2</v>
      </c>
      <c r="AJ21" s="400">
        <v>3.1268390818550307</v>
      </c>
      <c r="AK21" s="401">
        <v>1.818251945038063</v>
      </c>
      <c r="AL21" s="400">
        <v>0.10679694445020754</v>
      </c>
      <c r="AM21" s="400">
        <v>1.8340270433846715</v>
      </c>
      <c r="AN21" s="401">
        <v>0.97428589127424003</v>
      </c>
      <c r="AO21" s="399">
        <v>3.3000000003937026E-2</v>
      </c>
      <c r="AP21" s="400">
        <v>0.9905797808446366</v>
      </c>
      <c r="AQ21" s="401">
        <v>1.0195906892952997</v>
      </c>
      <c r="AR21" s="423">
        <f t="shared" si="1"/>
        <v>553.35552991805832</v>
      </c>
      <c r="AS21" s="70">
        <f t="shared" si="2"/>
        <v>428.50371068940092</v>
      </c>
      <c r="AT21" s="69">
        <f t="shared" si="0"/>
        <v>0.69642887095541683</v>
      </c>
      <c r="AU21" s="424">
        <f t="shared" si="3"/>
        <v>0.37183401565521113</v>
      </c>
      <c r="BA21" s="36"/>
    </row>
    <row r="22" spans="1:53">
      <c r="A22" s="27" t="s">
        <v>32</v>
      </c>
      <c r="B22" s="399">
        <v>5.0589999999999993</v>
      </c>
      <c r="C22" s="400">
        <v>6.7304034785481832</v>
      </c>
      <c r="D22" s="401">
        <v>5.7252090008770384</v>
      </c>
      <c r="E22" s="399">
        <v>8.2687249999999999</v>
      </c>
      <c r="F22" s="400">
        <v>9.4188662918830222</v>
      </c>
      <c r="G22" s="401">
        <v>9.4188410410722607</v>
      </c>
      <c r="H22" s="400">
        <v>3.1539988888888888</v>
      </c>
      <c r="I22" s="400">
        <v>3.9092320550397917</v>
      </c>
      <c r="J22" s="401">
        <v>3.2806300430583302</v>
      </c>
      <c r="K22" s="399">
        <v>5.3769999999999998</v>
      </c>
      <c r="L22" s="400">
        <v>6.9687681711302272</v>
      </c>
      <c r="M22" s="401">
        <v>5.4615370114063193</v>
      </c>
      <c r="N22" s="400">
        <v>1.8322511111111113</v>
      </c>
      <c r="O22" s="400">
        <v>2.4038847455212551</v>
      </c>
      <c r="P22" s="401">
        <v>1.8868434786141959</v>
      </c>
      <c r="Q22" s="399">
        <v>11.446234369445026</v>
      </c>
      <c r="R22" s="400">
        <v>13.70941422475256</v>
      </c>
      <c r="S22" s="401">
        <v>13.766020122246717</v>
      </c>
      <c r="T22" s="400">
        <v>1.7981</v>
      </c>
      <c r="U22" s="400">
        <v>2.2063711787895302</v>
      </c>
      <c r="V22" s="401">
        <v>1.8553998889902668</v>
      </c>
      <c r="W22" s="399">
        <v>1.024</v>
      </c>
      <c r="X22" s="400">
        <v>1.3077474233844177</v>
      </c>
      <c r="Y22" s="401">
        <v>1.0869081053796994</v>
      </c>
      <c r="Z22" s="400">
        <v>1.8264880555555556</v>
      </c>
      <c r="AA22" s="400">
        <v>2.3558234115047401</v>
      </c>
      <c r="AB22" s="401">
        <v>1.8612930978583475</v>
      </c>
      <c r="AC22" s="399">
        <v>1.4749999999999999</v>
      </c>
      <c r="AD22" s="400">
        <v>1.9803153581245232</v>
      </c>
      <c r="AE22" s="401">
        <v>1.631231474790958</v>
      </c>
      <c r="AF22" s="402"/>
      <c r="AG22" s="402"/>
      <c r="AH22" s="403"/>
      <c r="AI22" s="399">
        <v>0.21109999999999998</v>
      </c>
      <c r="AJ22" s="400">
        <v>0.25958996599257073</v>
      </c>
      <c r="AK22" s="401">
        <v>0.21696960559875897</v>
      </c>
      <c r="AL22" s="400">
        <v>0.17919805555555557</v>
      </c>
      <c r="AM22" s="400">
        <v>0.22762964131068011</v>
      </c>
      <c r="AN22" s="401">
        <v>0.18623523567036351</v>
      </c>
      <c r="AO22" s="399">
        <v>0.13400000000000001</v>
      </c>
      <c r="AP22" s="400">
        <v>0.16885622993127436</v>
      </c>
      <c r="AQ22" s="401">
        <v>0.13919569365316226</v>
      </c>
      <c r="AR22" s="423">
        <f t="shared" si="1"/>
        <v>51.646902175912764</v>
      </c>
      <c r="AS22" s="70">
        <f t="shared" si="2"/>
        <v>46.516313799216427</v>
      </c>
      <c r="AT22" s="69">
        <f t="shared" si="0"/>
        <v>6.500051382163298E-2</v>
      </c>
      <c r="AU22" s="424">
        <f t="shared" si="3"/>
        <v>4.036452269132796E-2</v>
      </c>
      <c r="BA22" s="34"/>
    </row>
    <row r="23" spans="1:53">
      <c r="A23" s="27" t="s">
        <v>33</v>
      </c>
      <c r="B23" s="399">
        <v>0</v>
      </c>
      <c r="C23" s="400">
        <v>0</v>
      </c>
      <c r="D23" s="401">
        <v>0</v>
      </c>
      <c r="E23" s="399">
        <v>1.1570119444444444</v>
      </c>
      <c r="F23" s="400">
        <v>2.636561874167854</v>
      </c>
      <c r="G23" s="401">
        <v>2.636561874167854</v>
      </c>
      <c r="H23" s="400">
        <v>0</v>
      </c>
      <c r="I23" s="400">
        <v>0</v>
      </c>
      <c r="J23" s="401">
        <v>0</v>
      </c>
      <c r="K23" s="399">
        <v>1.5760000000000001</v>
      </c>
      <c r="L23" s="400">
        <v>1.5760000000000001</v>
      </c>
      <c r="M23" s="401">
        <v>1.5760000000000001</v>
      </c>
      <c r="N23" s="400">
        <v>0</v>
      </c>
      <c r="O23" s="400">
        <v>0</v>
      </c>
      <c r="P23" s="401">
        <v>0</v>
      </c>
      <c r="Q23" s="399">
        <v>0</v>
      </c>
      <c r="R23" s="400">
        <v>0</v>
      </c>
      <c r="S23" s="401">
        <v>0</v>
      </c>
      <c r="T23" s="400">
        <v>5.0199999999999995E-2</v>
      </c>
      <c r="U23" s="400">
        <v>5.0199999999999995E-2</v>
      </c>
      <c r="V23" s="401">
        <v>5.0199999999999995E-2</v>
      </c>
      <c r="W23" s="399">
        <v>0</v>
      </c>
      <c r="X23" s="400">
        <v>0</v>
      </c>
      <c r="Y23" s="401">
        <v>0</v>
      </c>
      <c r="Z23" s="400">
        <v>0</v>
      </c>
      <c r="AA23" s="400">
        <v>0</v>
      </c>
      <c r="AB23" s="401">
        <v>0</v>
      </c>
      <c r="AC23" s="399">
        <v>0</v>
      </c>
      <c r="AD23" s="400">
        <v>0</v>
      </c>
      <c r="AE23" s="401">
        <v>0</v>
      </c>
      <c r="AF23" s="402"/>
      <c r="AG23" s="402"/>
      <c r="AH23" s="403"/>
      <c r="AI23" s="399">
        <v>0</v>
      </c>
      <c r="AJ23" s="400">
        <v>0</v>
      </c>
      <c r="AK23" s="401">
        <v>0</v>
      </c>
      <c r="AL23" s="400">
        <v>2.3388888888888887E-4</v>
      </c>
      <c r="AM23" s="400">
        <v>2.3388888888888887E-4</v>
      </c>
      <c r="AN23" s="401">
        <v>2.3388888888888887E-4</v>
      </c>
      <c r="AO23" s="399">
        <v>0</v>
      </c>
      <c r="AP23" s="400">
        <v>0</v>
      </c>
      <c r="AQ23" s="401">
        <v>0</v>
      </c>
      <c r="AR23" s="423">
        <f t="shared" si="1"/>
        <v>4.2629957630567432</v>
      </c>
      <c r="AS23" s="70">
        <f t="shared" si="2"/>
        <v>4.2629957630567432</v>
      </c>
      <c r="AT23" s="69">
        <f t="shared" si="0"/>
        <v>5.3652184999271055E-3</v>
      </c>
      <c r="AU23" s="424">
        <f t="shared" si="3"/>
        <v>3.6992137845161207E-3</v>
      </c>
      <c r="BA23" s="34"/>
    </row>
    <row r="24" spans="1:53">
      <c r="A24" s="27" t="s">
        <v>34</v>
      </c>
      <c r="B24" s="404">
        <v>31.053000000000001</v>
      </c>
      <c r="C24" s="405">
        <v>31.053000000000001</v>
      </c>
      <c r="D24" s="406">
        <v>31.053000000000001</v>
      </c>
      <c r="E24" s="404">
        <v>23.869743055555556</v>
      </c>
      <c r="F24" s="405">
        <v>23.869743055555556</v>
      </c>
      <c r="G24" s="406">
        <v>23.869743055555556</v>
      </c>
      <c r="H24" s="405">
        <v>12.505419999999999</v>
      </c>
      <c r="I24" s="405">
        <v>12.505419999999999</v>
      </c>
      <c r="J24" s="406">
        <v>12.505419999999999</v>
      </c>
      <c r="K24" s="404">
        <v>9.4610000000000003</v>
      </c>
      <c r="L24" s="405">
        <v>9.4610000000000003</v>
      </c>
      <c r="M24" s="406">
        <v>9.4610000000000003</v>
      </c>
      <c r="N24" s="405">
        <v>12.625531944444443</v>
      </c>
      <c r="O24" s="405">
        <v>12.625531944444443</v>
      </c>
      <c r="P24" s="406">
        <v>12.625531944444443</v>
      </c>
      <c r="Q24" s="404">
        <v>3.4897908388888887</v>
      </c>
      <c r="R24" s="405">
        <v>3.4897908388888887</v>
      </c>
      <c r="S24" s="406">
        <v>3.4897908388888887</v>
      </c>
      <c r="T24" s="405">
        <v>3.7263999999999999</v>
      </c>
      <c r="U24" s="405">
        <v>3.7263999999999999</v>
      </c>
      <c r="V24" s="406">
        <v>3.7263999999999999</v>
      </c>
      <c r="W24" s="404">
        <v>2.794</v>
      </c>
      <c r="X24" s="405">
        <v>2.794</v>
      </c>
      <c r="Y24" s="406">
        <v>2.794</v>
      </c>
      <c r="Z24" s="405">
        <v>0.83323888888888886</v>
      </c>
      <c r="AA24" s="405">
        <v>0.83323888888888886</v>
      </c>
      <c r="AB24" s="406">
        <v>0.83323888888888886</v>
      </c>
      <c r="AC24" s="404">
        <v>2.597</v>
      </c>
      <c r="AD24" s="405">
        <v>2.597</v>
      </c>
      <c r="AE24" s="406">
        <v>2.597</v>
      </c>
      <c r="AF24" s="407"/>
      <c r="AG24" s="407"/>
      <c r="AH24" s="408"/>
      <c r="AI24" s="404">
        <v>0.20699999999999999</v>
      </c>
      <c r="AJ24" s="405">
        <v>0.20699999999999999</v>
      </c>
      <c r="AK24" s="406">
        <v>0.20699999999999999</v>
      </c>
      <c r="AL24" s="405">
        <v>0.4910788888888889</v>
      </c>
      <c r="AM24" s="405">
        <v>0.4910788888888889</v>
      </c>
      <c r="AN24" s="406">
        <v>0.4910788888888889</v>
      </c>
      <c r="AO24" s="404">
        <v>1.015485</v>
      </c>
      <c r="AP24" s="405">
        <v>1.015485</v>
      </c>
      <c r="AQ24" s="406">
        <v>1.015485</v>
      </c>
      <c r="AR24" s="423">
        <f t="shared" si="1"/>
        <v>104.66868861666666</v>
      </c>
      <c r="AS24" s="70">
        <f t="shared" si="2"/>
        <v>104.66868861666666</v>
      </c>
      <c r="AT24" s="410"/>
      <c r="AU24" s="425"/>
      <c r="BA24" s="34"/>
    </row>
    <row r="25" spans="1:53">
      <c r="A25" s="27" t="s">
        <v>35</v>
      </c>
      <c r="B25" s="409">
        <f t="shared" ref="B25:G25" si="4">SUM(B18:B24)</f>
        <v>537.87520215065626</v>
      </c>
      <c r="C25" s="409">
        <f t="shared" si="4"/>
        <v>865.43997055041871</v>
      </c>
      <c r="D25" s="409">
        <f t="shared" si="4"/>
        <v>700.4932882786477</v>
      </c>
      <c r="E25" s="409">
        <f t="shared" si="4"/>
        <v>452.90859110094794</v>
      </c>
      <c r="F25" s="409">
        <f t="shared" si="4"/>
        <v>510.80344129461781</v>
      </c>
      <c r="G25" s="409">
        <f t="shared" si="4"/>
        <v>496.17962646719963</v>
      </c>
      <c r="H25" s="409">
        <f t="shared" ref="H25" si="5">SUM(H18:H24)</f>
        <v>316.61215239234531</v>
      </c>
      <c r="I25" s="409">
        <f t="shared" ref="I25" si="6">SUM(I18:I24)</f>
        <v>433.88608653422676</v>
      </c>
      <c r="J25" s="409">
        <f t="shared" ref="J25" si="7">SUM(J18:J24)</f>
        <v>384.70582353089043</v>
      </c>
      <c r="K25" s="409">
        <f t="shared" ref="K25:AE25" si="8">SUM(K18:K24)</f>
        <v>251.49613916846644</v>
      </c>
      <c r="L25" s="409">
        <f t="shared" si="8"/>
        <v>318.41048035235349</v>
      </c>
      <c r="M25" s="409">
        <f t="shared" si="8"/>
        <v>283.89463189855184</v>
      </c>
      <c r="N25" s="409">
        <f t="shared" si="8"/>
        <v>163.20292960242216</v>
      </c>
      <c r="O25" s="409">
        <f t="shared" si="8"/>
        <v>212.1036788232893</v>
      </c>
      <c r="P25" s="409">
        <f t="shared" si="8"/>
        <v>183.94295655796728</v>
      </c>
      <c r="Q25" s="409">
        <f t="shared" si="8"/>
        <v>118.28071665726478</v>
      </c>
      <c r="R25" s="409">
        <f t="shared" si="8"/>
        <v>227.39289755275092</v>
      </c>
      <c r="S25" s="409">
        <f t="shared" si="8"/>
        <v>185.57676899387295</v>
      </c>
      <c r="T25" s="409">
        <f t="shared" si="8"/>
        <v>85.93923151645869</v>
      </c>
      <c r="U25" s="409">
        <f t="shared" si="8"/>
        <v>150.45778438422943</v>
      </c>
      <c r="V25" s="409">
        <f t="shared" si="8"/>
        <v>140.64608135345077</v>
      </c>
      <c r="W25" s="409">
        <f t="shared" si="8"/>
        <v>133.80215024687473</v>
      </c>
      <c r="X25" s="409">
        <f t="shared" si="8"/>
        <v>204.55665251173241</v>
      </c>
      <c r="Y25" s="409">
        <f t="shared" si="8"/>
        <v>182.83771760300655</v>
      </c>
      <c r="Z25" s="409">
        <f t="shared" si="8"/>
        <v>32.353096860196189</v>
      </c>
      <c r="AA25" s="409">
        <f t="shared" si="8"/>
        <v>46.781971407819242</v>
      </c>
      <c r="AB25" s="409">
        <f t="shared" si="8"/>
        <v>31.064610608461443</v>
      </c>
      <c r="AC25" s="409">
        <f t="shared" si="8"/>
        <v>88.736539758683364</v>
      </c>
      <c r="AD25" s="409">
        <f t="shared" si="8"/>
        <v>146.41194691043845</v>
      </c>
      <c r="AE25" s="409">
        <f t="shared" si="8"/>
        <v>130.4913508314919</v>
      </c>
      <c r="AF25" s="402">
        <v>151.04149000000001</v>
      </c>
      <c r="AG25" s="402">
        <v>183.12366165896</v>
      </c>
      <c r="AH25" s="402">
        <v>183.12366165896</v>
      </c>
      <c r="AI25" s="409">
        <f t="shared" ref="AI25:AN25" si="9">SUM(AI18:AI24)</f>
        <v>11.598505345678429</v>
      </c>
      <c r="AJ25" s="409">
        <f t="shared" si="9"/>
        <v>14.720814328536889</v>
      </c>
      <c r="AK25" s="409">
        <f t="shared" si="9"/>
        <v>11.834387333768674</v>
      </c>
      <c r="AL25" s="409">
        <f t="shared" si="9"/>
        <v>7.1485468389109856</v>
      </c>
      <c r="AM25" s="409">
        <f t="shared" si="9"/>
        <v>9.0328687039650983</v>
      </c>
      <c r="AN25" s="409">
        <f t="shared" si="9"/>
        <v>7.465091316347082</v>
      </c>
      <c r="AO25" s="409">
        <f t="shared" ref="AO25:AQ25" si="10">SUM(AO18:AO24)</f>
        <v>8.8453524655625007</v>
      </c>
      <c r="AP25" s="409">
        <f t="shared" si="10"/>
        <v>9.7015802845585846</v>
      </c>
      <c r="AQ25" s="409">
        <f t="shared" si="10"/>
        <v>9.405042768690894</v>
      </c>
      <c r="AR25" s="426">
        <f t="shared" si="1"/>
        <v>3332.8238352978965</v>
      </c>
      <c r="AS25" s="322">
        <f t="shared" si="2"/>
        <v>2931.6610392013067</v>
      </c>
      <c r="AT25" s="427"/>
      <c r="AU25" s="428"/>
    </row>
    <row r="26" spans="1:53">
      <c r="A26" s="25"/>
      <c r="W26" s="26"/>
      <c r="AR26" s="70">
        <f t="shared" si="1"/>
        <v>0</v>
      </c>
      <c r="AS26" s="70">
        <f t="shared" si="2"/>
        <v>0</v>
      </c>
      <c r="AT26" s="410"/>
      <c r="AU26" s="410"/>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29" t="e">
        <f t="shared" ref="AR27:AS27" si="11">(AR20+AR21)/AR26</f>
        <v>#DIV/0!</v>
      </c>
      <c r="AS27" s="429" t="e">
        <f t="shared" si="11"/>
        <v>#DIV/0!</v>
      </c>
      <c r="AT27" s="410"/>
      <c r="AU27" s="410"/>
    </row>
    <row r="28" spans="1:53">
      <c r="A28" s="86" t="s">
        <v>37</v>
      </c>
    </row>
    <row r="30" spans="1:53">
      <c r="B30" s="783" t="s">
        <v>38</v>
      </c>
      <c r="C30" s="783"/>
      <c r="D30" s="783"/>
      <c r="E30" s="783" t="s">
        <v>39</v>
      </c>
      <c r="F30" s="783"/>
      <c r="G30" s="783"/>
      <c r="H30" s="783" t="s">
        <v>40</v>
      </c>
      <c r="I30" s="783"/>
      <c r="J30" s="783"/>
      <c r="K30" s="783" t="s">
        <v>41</v>
      </c>
      <c r="L30" s="783"/>
      <c r="M30" s="783"/>
      <c r="N30" s="783" t="s">
        <v>42</v>
      </c>
      <c r="O30" s="783"/>
      <c r="P30" s="783"/>
      <c r="Q30" s="783" t="s">
        <v>43</v>
      </c>
      <c r="R30" s="783"/>
      <c r="S30" s="783"/>
      <c r="T30" s="783" t="s">
        <v>44</v>
      </c>
      <c r="U30" s="783"/>
      <c r="V30" s="783"/>
      <c r="W30" s="783" t="s">
        <v>45</v>
      </c>
      <c r="X30" s="783"/>
      <c r="Y30" s="783"/>
      <c r="Z30" s="783" t="s">
        <v>46</v>
      </c>
      <c r="AA30" s="783"/>
      <c r="AB30" s="783"/>
      <c r="AC30" s="783" t="s">
        <v>47</v>
      </c>
      <c r="AD30" s="783"/>
      <c r="AE30" s="783"/>
      <c r="AF30" s="783" t="s">
        <v>48</v>
      </c>
      <c r="AG30" s="783"/>
      <c r="AH30" s="783"/>
      <c r="AI30" s="783" t="s">
        <v>49</v>
      </c>
      <c r="AJ30" s="783"/>
      <c r="AK30" s="783"/>
      <c r="AL30" s="783" t="s">
        <v>50</v>
      </c>
      <c r="AM30" s="783"/>
      <c r="AN30" s="783"/>
      <c r="AO30" s="783" t="s">
        <v>51</v>
      </c>
      <c r="AP30" s="783"/>
      <c r="AQ30" s="783"/>
      <c r="AR30" s="783" t="s">
        <v>35</v>
      </c>
      <c r="AS30" s="783"/>
      <c r="AT30" s="783"/>
      <c r="AU30" s="783"/>
    </row>
    <row r="31" spans="1:53">
      <c r="A31" s="25"/>
      <c r="B31" s="374" t="s">
        <v>25</v>
      </c>
      <c r="C31" s="374" t="s">
        <v>26</v>
      </c>
      <c r="D31" s="374" t="s">
        <v>27</v>
      </c>
      <c r="E31" s="374" t="s">
        <v>25</v>
      </c>
      <c r="F31" s="374" t="s">
        <v>26</v>
      </c>
      <c r="G31" s="374" t="s">
        <v>27</v>
      </c>
      <c r="H31" s="368" t="s">
        <v>25</v>
      </c>
      <c r="I31" s="368" t="s">
        <v>26</v>
      </c>
      <c r="J31" s="368" t="s">
        <v>27</v>
      </c>
      <c r="K31" s="374" t="s">
        <v>25</v>
      </c>
      <c r="L31" s="374" t="s">
        <v>26</v>
      </c>
      <c r="M31" s="374" t="s">
        <v>27</v>
      </c>
      <c r="N31" s="374" t="s">
        <v>25</v>
      </c>
      <c r="O31" s="374" t="s">
        <v>26</v>
      </c>
      <c r="P31" s="374" t="s">
        <v>27</v>
      </c>
      <c r="Q31" s="374" t="s">
        <v>25</v>
      </c>
      <c r="R31" s="374" t="s">
        <v>26</v>
      </c>
      <c r="S31" s="374" t="s">
        <v>27</v>
      </c>
      <c r="T31" s="374" t="s">
        <v>25</v>
      </c>
      <c r="U31" s="374" t="s">
        <v>26</v>
      </c>
      <c r="V31" s="374" t="s">
        <v>27</v>
      </c>
      <c r="W31" s="374" t="s">
        <v>25</v>
      </c>
      <c r="X31" s="374" t="s">
        <v>26</v>
      </c>
      <c r="Y31" s="374" t="s">
        <v>27</v>
      </c>
      <c r="Z31" s="374" t="s">
        <v>25</v>
      </c>
      <c r="AA31" s="374" t="s">
        <v>26</v>
      </c>
      <c r="AB31" s="374" t="s">
        <v>27</v>
      </c>
      <c r="AC31" s="374" t="s">
        <v>25</v>
      </c>
      <c r="AD31" s="374" t="s">
        <v>26</v>
      </c>
      <c r="AE31" s="374" t="s">
        <v>27</v>
      </c>
      <c r="AF31" s="368" t="s">
        <v>25</v>
      </c>
      <c r="AG31" s="368" t="s">
        <v>26</v>
      </c>
      <c r="AH31" s="368" t="s">
        <v>27</v>
      </c>
      <c r="AI31" s="374" t="s">
        <v>25</v>
      </c>
      <c r="AJ31" s="374" t="s">
        <v>26</v>
      </c>
      <c r="AK31" s="374" t="s">
        <v>27</v>
      </c>
      <c r="AL31" s="374" t="s">
        <v>25</v>
      </c>
      <c r="AM31" s="374" t="s">
        <v>26</v>
      </c>
      <c r="AN31" s="374" t="s">
        <v>27</v>
      </c>
      <c r="AO31" s="374" t="s">
        <v>25</v>
      </c>
      <c r="AP31" s="374" t="s">
        <v>26</v>
      </c>
      <c r="AQ31" s="374" t="s">
        <v>27</v>
      </c>
      <c r="AR31" s="22" t="s">
        <v>26</v>
      </c>
      <c r="AS31" s="22" t="s">
        <v>27</v>
      </c>
    </row>
    <row r="32" spans="1:53">
      <c r="A32" s="27" t="s">
        <v>28</v>
      </c>
      <c r="B32" s="411">
        <v>0</v>
      </c>
      <c r="C32" s="412">
        <v>29.622123488274219</v>
      </c>
      <c r="D32" s="413">
        <v>75.210858552488233</v>
      </c>
      <c r="E32" s="411">
        <v>0</v>
      </c>
      <c r="F32" s="412">
        <v>0</v>
      </c>
      <c r="G32" s="413">
        <v>2.4959849578530466</v>
      </c>
      <c r="H32" s="412">
        <v>0</v>
      </c>
      <c r="I32" s="412">
        <v>54.032016867523133</v>
      </c>
      <c r="J32" s="413">
        <v>58.94312341588639</v>
      </c>
      <c r="K32" s="411">
        <v>0</v>
      </c>
      <c r="L32" s="412">
        <v>0</v>
      </c>
      <c r="M32" s="413">
        <v>0</v>
      </c>
      <c r="N32" s="412">
        <v>0</v>
      </c>
      <c r="O32" s="412">
        <v>4.7190439634378771</v>
      </c>
      <c r="P32" s="413">
        <v>17.672877550994848</v>
      </c>
      <c r="Q32" s="411">
        <v>0</v>
      </c>
      <c r="R32" s="412">
        <v>0</v>
      </c>
      <c r="S32" s="413">
        <v>9.4149877607292947</v>
      </c>
      <c r="T32" s="412">
        <v>0</v>
      </c>
      <c r="U32" s="412">
        <v>0</v>
      </c>
      <c r="V32" s="413">
        <v>5.8707774816590055</v>
      </c>
      <c r="W32" s="411">
        <v>0</v>
      </c>
      <c r="X32" s="412">
        <v>1.3794050401862439</v>
      </c>
      <c r="Y32" s="413">
        <v>5.7925803774942866</v>
      </c>
      <c r="Z32" s="412">
        <v>0</v>
      </c>
      <c r="AA32" s="412">
        <v>0</v>
      </c>
      <c r="AB32" s="413">
        <v>0</v>
      </c>
      <c r="AC32" s="411">
        <v>0</v>
      </c>
      <c r="AD32" s="412">
        <v>1.918359112250928E-2</v>
      </c>
      <c r="AE32" s="413">
        <v>0</v>
      </c>
      <c r="AF32" s="397"/>
      <c r="AG32" s="397"/>
      <c r="AH32" s="398"/>
      <c r="AI32" s="411">
        <v>0</v>
      </c>
      <c r="AJ32" s="412">
        <v>0.23604360588326337</v>
      </c>
      <c r="AK32" s="413">
        <v>0.86149771282596166</v>
      </c>
      <c r="AL32" s="412">
        <v>0</v>
      </c>
      <c r="AM32" s="412">
        <v>0.1954620729999014</v>
      </c>
      <c r="AN32" s="413">
        <v>0.89497083096857111</v>
      </c>
      <c r="AO32" s="411">
        <v>0</v>
      </c>
      <c r="AP32" s="412">
        <v>0</v>
      </c>
      <c r="AQ32" s="412">
        <v>0</v>
      </c>
      <c r="AR32" s="420">
        <f>SUM(C32,F32,I32,L32,O32,R32,U32,X32,AA32,AD32,AG32,AJ32,AM32,AP32)</f>
        <v>90.20327862942716</v>
      </c>
      <c r="AS32" s="285">
        <f>SUM(D32,G32,J32,M32,P32,S32,V32,Y32,AB32,AE32,AH32,AK32,AN32,AQ32)</f>
        <v>177.15765864089965</v>
      </c>
      <c r="AT32" s="421">
        <f t="shared" ref="AT32:AT37" si="12">AR32/$AR$40</f>
        <v>0.11352586916710011</v>
      </c>
      <c r="AU32" s="422">
        <f>AS32/$AS$40</f>
        <v>0.15372852550224184</v>
      </c>
    </row>
    <row r="33" spans="1:47">
      <c r="A33" s="27" t="s">
        <v>29</v>
      </c>
      <c r="B33" s="414">
        <v>0</v>
      </c>
      <c r="C33" s="415">
        <v>6.9944646331278326</v>
      </c>
      <c r="D33" s="416">
        <v>15.30678521062196</v>
      </c>
      <c r="E33" s="414">
        <v>0</v>
      </c>
      <c r="F33" s="415">
        <v>0</v>
      </c>
      <c r="G33" s="416">
        <v>0</v>
      </c>
      <c r="H33" s="415">
        <v>0</v>
      </c>
      <c r="I33" s="415">
        <v>8.9005865421505597</v>
      </c>
      <c r="J33" s="416">
        <v>9.6128907601149631</v>
      </c>
      <c r="K33" s="414">
        <v>0</v>
      </c>
      <c r="L33" s="415">
        <v>0</v>
      </c>
      <c r="M33" s="416">
        <v>0</v>
      </c>
      <c r="N33" s="415">
        <v>0</v>
      </c>
      <c r="O33" s="415">
        <v>1.1773932668972997</v>
      </c>
      <c r="P33" s="416">
        <v>3.9263516579508524</v>
      </c>
      <c r="Q33" s="414">
        <v>0</v>
      </c>
      <c r="R33" s="415">
        <v>0</v>
      </c>
      <c r="S33" s="416">
        <v>2.7726290206351898</v>
      </c>
      <c r="T33" s="415">
        <v>0</v>
      </c>
      <c r="U33" s="415">
        <v>0</v>
      </c>
      <c r="V33" s="416">
        <v>1.1104076218200594</v>
      </c>
      <c r="W33" s="414">
        <v>0</v>
      </c>
      <c r="X33" s="415">
        <v>0.44183349871323691</v>
      </c>
      <c r="Y33" s="416">
        <v>1.0809889252500815</v>
      </c>
      <c r="Z33" s="415">
        <v>0</v>
      </c>
      <c r="AA33" s="415">
        <v>0</v>
      </c>
      <c r="AB33" s="416">
        <v>0</v>
      </c>
      <c r="AC33" s="414">
        <v>0</v>
      </c>
      <c r="AD33" s="415">
        <v>0</v>
      </c>
      <c r="AE33" s="416">
        <v>0.54985841036424332</v>
      </c>
      <c r="AF33" s="402"/>
      <c r="AG33" s="402"/>
      <c r="AH33" s="403"/>
      <c r="AI33" s="414">
        <v>0</v>
      </c>
      <c r="AJ33" s="415">
        <v>6.1054047232720107E-2</v>
      </c>
      <c r="AK33" s="416">
        <v>0.18865727118931822</v>
      </c>
      <c r="AL33" s="415">
        <v>0</v>
      </c>
      <c r="AM33" s="415">
        <v>8.2254385143835776E-2</v>
      </c>
      <c r="AN33" s="416">
        <v>0.26379228951644029</v>
      </c>
      <c r="AO33" s="414">
        <v>0</v>
      </c>
      <c r="AP33" s="415">
        <v>0</v>
      </c>
      <c r="AQ33" s="415">
        <v>4.8108563745822779E-2</v>
      </c>
      <c r="AR33" s="423">
        <f t="shared" ref="AR33:AS40" si="13">SUM(C33,F33,I33,L33,O33,R33,U33,X33,AA33,AD33,AG33,AJ33,AM33,AP33)</f>
        <v>17.657586373265488</v>
      </c>
      <c r="AS33" s="70">
        <f t="shared" si="13"/>
        <v>34.860469731208937</v>
      </c>
      <c r="AT33" s="69">
        <f t="shared" si="12"/>
        <v>2.2223059636816193E-2</v>
      </c>
      <c r="AU33" s="424">
        <f>AS33/$AS$40</f>
        <v>3.0250166158253017E-2</v>
      </c>
    </row>
    <row r="34" spans="1:47">
      <c r="A34" s="27" t="s">
        <v>30</v>
      </c>
      <c r="B34" s="414">
        <v>0</v>
      </c>
      <c r="C34" s="415">
        <v>115.25015876536847</v>
      </c>
      <c r="D34" s="416">
        <v>199.48535445670308</v>
      </c>
      <c r="E34" s="414">
        <v>0</v>
      </c>
      <c r="F34" s="415">
        <v>11.720603912396314</v>
      </c>
      <c r="G34" s="416">
        <v>11.367822750335355</v>
      </c>
      <c r="H34" s="415">
        <v>0</v>
      </c>
      <c r="I34" s="415">
        <v>33.066865985350027</v>
      </c>
      <c r="J34" s="416">
        <v>31.824398376161863</v>
      </c>
      <c r="K34" s="414">
        <v>0</v>
      </c>
      <c r="L34" s="415">
        <v>56.593385538806665</v>
      </c>
      <c r="M34" s="416">
        <v>93.61977525234586</v>
      </c>
      <c r="N34" s="415">
        <v>0</v>
      </c>
      <c r="O34" s="415">
        <v>16.12421106452534</v>
      </c>
      <c r="P34" s="416">
        <v>21.972881413165595</v>
      </c>
      <c r="Q34" s="414">
        <v>0</v>
      </c>
      <c r="R34" s="415">
        <v>39.656250672336192</v>
      </c>
      <c r="S34" s="416">
        <v>56.053675395670332</v>
      </c>
      <c r="T34" s="415">
        <v>0</v>
      </c>
      <c r="U34" s="415">
        <v>19.138909622179252</v>
      </c>
      <c r="V34" s="416">
        <v>27.745049630577817</v>
      </c>
      <c r="W34" s="414">
        <v>0</v>
      </c>
      <c r="X34" s="415">
        <v>16.172779512915707</v>
      </c>
      <c r="Y34" s="416">
        <v>17.541615536111401</v>
      </c>
      <c r="Z34" s="415">
        <v>0</v>
      </c>
      <c r="AA34" s="415">
        <v>1.5328061362570233</v>
      </c>
      <c r="AB34" s="416">
        <v>5.0915264178090416</v>
      </c>
      <c r="AC34" s="414">
        <v>0</v>
      </c>
      <c r="AD34" s="415">
        <v>9.6561741736438567</v>
      </c>
      <c r="AE34" s="416">
        <v>15.66407024325725</v>
      </c>
      <c r="AF34" s="402"/>
      <c r="AG34" s="402"/>
      <c r="AH34" s="403"/>
      <c r="AI34" s="414">
        <v>0</v>
      </c>
      <c r="AJ34" s="415">
        <v>1.9337408429739147</v>
      </c>
      <c r="AK34" s="416">
        <v>2.2693259603580103</v>
      </c>
      <c r="AL34" s="415">
        <v>0</v>
      </c>
      <c r="AM34" s="415">
        <v>2.2247481010290213E-2</v>
      </c>
      <c r="AN34" s="416">
        <v>0.71706083531723563</v>
      </c>
      <c r="AO34" s="414">
        <v>0</v>
      </c>
      <c r="AP34" s="415">
        <v>0.63541775999001915</v>
      </c>
      <c r="AQ34" s="415">
        <v>0.57534640895642419</v>
      </c>
      <c r="AR34" s="423">
        <f t="shared" si="13"/>
        <v>321.50355146775308</v>
      </c>
      <c r="AS34" s="70">
        <f t="shared" si="13"/>
        <v>483.92790267676924</v>
      </c>
      <c r="AT34" s="69">
        <f t="shared" si="12"/>
        <v>0.40463019388276489</v>
      </c>
      <c r="AU34" s="424">
        <f t="shared" ref="AU34:AU37" si="14">AS34/$AS$40</f>
        <v>0.41992834799588619</v>
      </c>
    </row>
    <row r="35" spans="1:47" ht="15.6">
      <c r="A35" s="27" t="s">
        <v>52</v>
      </c>
      <c r="B35" s="414">
        <v>0</v>
      </c>
      <c r="C35" s="415">
        <v>113.79543001259256</v>
      </c>
      <c r="D35" s="416">
        <v>88.131728373252471</v>
      </c>
      <c r="E35" s="414">
        <v>0</v>
      </c>
      <c r="F35" s="415">
        <v>28.959773643063279</v>
      </c>
      <c r="G35" s="416">
        <v>28.959773643063279</v>
      </c>
      <c r="H35" s="415">
        <v>0</v>
      </c>
      <c r="I35" s="415">
        <v>22.431063369605425</v>
      </c>
      <c r="J35" s="416">
        <v>17.082121787499997</v>
      </c>
      <c r="K35" s="414">
        <v>0</v>
      </c>
      <c r="L35" s="415">
        <v>5.8340913507782046</v>
      </c>
      <c r="M35" s="416">
        <v>7.9644817955941987</v>
      </c>
      <c r="N35" s="415">
        <v>0</v>
      </c>
      <c r="O35" s="415">
        <v>23.66356295275677</v>
      </c>
      <c r="P35" s="416">
        <v>22.088303946816453</v>
      </c>
      <c r="Q35" s="414">
        <v>0</v>
      </c>
      <c r="R35" s="415">
        <v>11.002575599846612</v>
      </c>
      <c r="S35" s="416">
        <v>16.923100889075503</v>
      </c>
      <c r="T35" s="415">
        <v>0</v>
      </c>
      <c r="U35" s="415">
        <v>19.757027475555503</v>
      </c>
      <c r="V35" s="416">
        <v>30.28004025480076</v>
      </c>
      <c r="W35" s="414">
        <v>0</v>
      </c>
      <c r="X35" s="415">
        <v>18.491687377777776</v>
      </c>
      <c r="Y35" s="416">
        <v>18.491687377777776</v>
      </c>
      <c r="Z35" s="415">
        <v>0</v>
      </c>
      <c r="AA35" s="415">
        <v>2.4441666666666579E-3</v>
      </c>
      <c r="AB35" s="416">
        <v>4.0736111111110947E-3</v>
      </c>
      <c r="AC35" s="414">
        <v>0</v>
      </c>
      <c r="AD35" s="415">
        <v>14.799834559999999</v>
      </c>
      <c r="AE35" s="416">
        <v>12.333195466666666</v>
      </c>
      <c r="AF35" s="402"/>
      <c r="AG35" s="402"/>
      <c r="AH35" s="403"/>
      <c r="AI35" s="414">
        <v>0</v>
      </c>
      <c r="AJ35" s="415">
        <v>7.1088272520447706</v>
      </c>
      <c r="AK35" s="416">
        <v>6.6080449918700541</v>
      </c>
      <c r="AL35" s="415">
        <v>0</v>
      </c>
      <c r="AM35" s="415">
        <v>4.8162727083333329E-3</v>
      </c>
      <c r="AN35" s="416">
        <v>4.5540687500000001E-3</v>
      </c>
      <c r="AO35" s="414">
        <v>0</v>
      </c>
      <c r="AP35" s="415">
        <v>0</v>
      </c>
      <c r="AQ35" s="415">
        <v>0</v>
      </c>
      <c r="AR35" s="423">
        <f t="shared" si="13"/>
        <v>265.85113403339591</v>
      </c>
      <c r="AS35" s="70">
        <f t="shared" si="13"/>
        <v>248.87110620627828</v>
      </c>
      <c r="AT35" s="69">
        <f t="shared" si="12"/>
        <v>0.33458851517127125</v>
      </c>
      <c r="AU35" s="424">
        <f t="shared" si="14"/>
        <v>0.21595785635637424</v>
      </c>
    </row>
    <row r="36" spans="1:47">
      <c r="A36" s="27" t="s">
        <v>31</v>
      </c>
      <c r="B36" s="414">
        <v>0</v>
      </c>
      <c r="C36" s="415">
        <v>42.318274905716855</v>
      </c>
      <c r="D36" s="416">
        <v>73.02674677694867</v>
      </c>
      <c r="E36" s="414">
        <v>0</v>
      </c>
      <c r="F36" s="415">
        <v>5.5723998401820056</v>
      </c>
      <c r="G36" s="416">
        <v>9.3542866680407002</v>
      </c>
      <c r="H36" s="415">
        <v>0</v>
      </c>
      <c r="I36" s="415">
        <v>12.291704068706656</v>
      </c>
      <c r="J36" s="416">
        <v>15.098153987400835</v>
      </c>
      <c r="K36" s="414">
        <v>0</v>
      </c>
      <c r="L36" s="415">
        <v>11.661252615200022</v>
      </c>
      <c r="M36" s="416">
        <v>19.137627550998548</v>
      </c>
      <c r="N36" s="415">
        <v>0</v>
      </c>
      <c r="O36" s="415">
        <v>9.1373633978232291</v>
      </c>
      <c r="P36" s="416">
        <v>23.651588246219685</v>
      </c>
      <c r="Q36" s="414">
        <v>0</v>
      </c>
      <c r="R36" s="415">
        <v>4.0626652961016552</v>
      </c>
      <c r="S36" s="416">
        <v>22.928477768378393</v>
      </c>
      <c r="T36" s="415">
        <v>0</v>
      </c>
      <c r="U36" s="415">
        <v>0.79500626248768835</v>
      </c>
      <c r="V36" s="416">
        <v>7.0364213753266602</v>
      </c>
      <c r="W36" s="414">
        <v>0</v>
      </c>
      <c r="X36" s="415">
        <v>0.47455847744122082</v>
      </c>
      <c r="Y36" s="416">
        <v>13.160912991176883</v>
      </c>
      <c r="Z36" s="415">
        <v>0</v>
      </c>
      <c r="AA36" s="415">
        <v>5.8151224586525334</v>
      </c>
      <c r="AB36" s="416">
        <v>3.2727482601822304</v>
      </c>
      <c r="AC36" s="414">
        <v>0</v>
      </c>
      <c r="AD36" s="415">
        <v>1.4041311012907429</v>
      </c>
      <c r="AE36" s="416">
        <v>5.4211018331197049</v>
      </c>
      <c r="AF36" s="402"/>
      <c r="AG36" s="402"/>
      <c r="AH36" s="403"/>
      <c r="AI36" s="414">
        <v>0</v>
      </c>
      <c r="AJ36" s="415">
        <v>1.5202293123391728</v>
      </c>
      <c r="AK36" s="416">
        <v>2.3912131207275622</v>
      </c>
      <c r="AL36" s="415">
        <v>0</v>
      </c>
      <c r="AM36" s="415">
        <v>0.83154383285670441</v>
      </c>
      <c r="AN36" s="416">
        <v>1.1412919818482476</v>
      </c>
      <c r="AO36" s="414">
        <v>0</v>
      </c>
      <c r="AP36" s="415">
        <v>0.24758104191448055</v>
      </c>
      <c r="AQ36" s="415">
        <v>0.28141810555061919</v>
      </c>
      <c r="AR36" s="423">
        <f t="shared" si="13"/>
        <v>96.131832610712976</v>
      </c>
      <c r="AS36" s="70">
        <f t="shared" si="13"/>
        <v>195.90198866591871</v>
      </c>
      <c r="AT36" s="69">
        <f t="shared" si="12"/>
        <v>0.12098728580135065</v>
      </c>
      <c r="AU36" s="424">
        <f t="shared" si="14"/>
        <v>0.16999391441277428</v>
      </c>
    </row>
    <row r="37" spans="1:47">
      <c r="A37" s="27" t="s">
        <v>32</v>
      </c>
      <c r="B37" s="414">
        <v>0</v>
      </c>
      <c r="C37" s="415">
        <v>3.1316061962766777</v>
      </c>
      <c r="D37" s="416">
        <v>8.2783920711626582</v>
      </c>
      <c r="E37" s="414">
        <v>0</v>
      </c>
      <c r="F37" s="415">
        <v>8.2455505379347635E-2</v>
      </c>
      <c r="G37" s="416">
        <v>8.1671627900725463E-2</v>
      </c>
      <c r="H37" s="415">
        <v>0</v>
      </c>
      <c r="I37" s="415">
        <v>0</v>
      </c>
      <c r="J37" s="416">
        <v>0</v>
      </c>
      <c r="K37" s="414">
        <v>0</v>
      </c>
      <c r="L37" s="415">
        <v>0</v>
      </c>
      <c r="M37" s="416">
        <v>0</v>
      </c>
      <c r="N37" s="415">
        <v>0</v>
      </c>
      <c r="O37" s="415">
        <v>0</v>
      </c>
      <c r="P37" s="416">
        <v>0</v>
      </c>
      <c r="Q37" s="414">
        <v>0</v>
      </c>
      <c r="R37" s="415">
        <v>0</v>
      </c>
      <c r="S37" s="416">
        <v>3.3267029239631301</v>
      </c>
      <c r="T37" s="415">
        <v>0</v>
      </c>
      <c r="U37" s="415">
        <v>0</v>
      </c>
      <c r="V37" s="416">
        <v>0</v>
      </c>
      <c r="W37" s="414">
        <v>0</v>
      </c>
      <c r="X37" s="415">
        <v>0</v>
      </c>
      <c r="Y37" s="416">
        <v>0</v>
      </c>
      <c r="Z37" s="415">
        <v>0</v>
      </c>
      <c r="AA37" s="415">
        <v>0</v>
      </c>
      <c r="AB37" s="416">
        <v>0</v>
      </c>
      <c r="AC37" s="414">
        <v>0</v>
      </c>
      <c r="AD37" s="415">
        <v>0</v>
      </c>
      <c r="AE37" s="416">
        <v>0</v>
      </c>
      <c r="AF37" s="402"/>
      <c r="AG37" s="402"/>
      <c r="AH37" s="403"/>
      <c r="AI37" s="414">
        <v>0</v>
      </c>
      <c r="AJ37" s="415">
        <v>0</v>
      </c>
      <c r="AK37" s="416">
        <v>0</v>
      </c>
      <c r="AL37" s="415">
        <v>0</v>
      </c>
      <c r="AM37" s="415">
        <v>0</v>
      </c>
      <c r="AN37" s="416">
        <v>0</v>
      </c>
      <c r="AO37" s="414">
        <v>0</v>
      </c>
      <c r="AP37" s="415">
        <v>0</v>
      </c>
      <c r="AQ37" s="415">
        <v>0</v>
      </c>
      <c r="AR37" s="423">
        <f t="shared" si="13"/>
        <v>3.2140617016560253</v>
      </c>
      <c r="AS37" s="70">
        <f t="shared" si="13"/>
        <v>11.686766623026514</v>
      </c>
      <c r="AT37" s="69">
        <f t="shared" si="12"/>
        <v>4.0450763406969332E-3</v>
      </c>
      <c r="AU37" s="424">
        <f t="shared" si="14"/>
        <v>1.0141189574470416E-2</v>
      </c>
    </row>
    <row r="38" spans="1:47">
      <c r="A38" s="27" t="s">
        <v>33</v>
      </c>
      <c r="B38" s="414">
        <v>0</v>
      </c>
      <c r="C38" s="415">
        <v>0</v>
      </c>
      <c r="D38" s="416">
        <v>0</v>
      </c>
      <c r="E38" s="414">
        <v>0</v>
      </c>
      <c r="F38" s="415">
        <v>0</v>
      </c>
      <c r="G38" s="416">
        <v>0</v>
      </c>
      <c r="H38" s="415">
        <v>0</v>
      </c>
      <c r="I38" s="415">
        <v>0</v>
      </c>
      <c r="J38" s="416">
        <v>0</v>
      </c>
      <c r="K38" s="414">
        <v>0</v>
      </c>
      <c r="L38" s="415">
        <v>0</v>
      </c>
      <c r="M38" s="416">
        <v>0</v>
      </c>
      <c r="N38" s="415">
        <v>0</v>
      </c>
      <c r="O38" s="415">
        <v>0</v>
      </c>
      <c r="P38" s="416">
        <v>0</v>
      </c>
      <c r="Q38" s="414">
        <v>0</v>
      </c>
      <c r="R38" s="415">
        <v>0</v>
      </c>
      <c r="S38" s="416">
        <v>0</v>
      </c>
      <c r="T38" s="415">
        <v>0</v>
      </c>
      <c r="U38" s="415">
        <v>0</v>
      </c>
      <c r="V38" s="416">
        <v>0</v>
      </c>
      <c r="W38" s="414">
        <v>0</v>
      </c>
      <c r="X38" s="415">
        <v>0</v>
      </c>
      <c r="Y38" s="416">
        <v>0</v>
      </c>
      <c r="Z38" s="415">
        <v>0</v>
      </c>
      <c r="AA38" s="415">
        <v>0</v>
      </c>
      <c r="AB38" s="416">
        <v>0</v>
      </c>
      <c r="AC38" s="414">
        <v>0</v>
      </c>
      <c r="AD38" s="415">
        <v>0</v>
      </c>
      <c r="AE38" s="416">
        <v>0</v>
      </c>
      <c r="AF38" s="402"/>
      <c r="AG38" s="402"/>
      <c r="AH38" s="403"/>
      <c r="AI38" s="414">
        <v>0</v>
      </c>
      <c r="AJ38" s="415">
        <v>0</v>
      </c>
      <c r="AK38" s="416">
        <v>0</v>
      </c>
      <c r="AL38" s="415">
        <v>0</v>
      </c>
      <c r="AM38" s="415">
        <v>0</v>
      </c>
      <c r="AN38" s="416">
        <v>0</v>
      </c>
      <c r="AO38" s="414">
        <v>0</v>
      </c>
      <c r="AP38" s="415">
        <v>0</v>
      </c>
      <c r="AQ38" s="415">
        <v>0</v>
      </c>
      <c r="AR38" s="423">
        <f t="shared" si="13"/>
        <v>0</v>
      </c>
      <c r="AS38" s="70">
        <f t="shared" si="13"/>
        <v>0</v>
      </c>
      <c r="AT38" s="410"/>
      <c r="AU38" s="425"/>
    </row>
    <row r="39" spans="1:47">
      <c r="A39" s="27" t="s">
        <v>34</v>
      </c>
      <c r="B39" s="417">
        <v>0</v>
      </c>
      <c r="C39" s="418">
        <v>0</v>
      </c>
      <c r="D39" s="419">
        <v>0</v>
      </c>
      <c r="E39" s="417">
        <v>0</v>
      </c>
      <c r="F39" s="418">
        <v>0</v>
      </c>
      <c r="G39" s="419">
        <v>0</v>
      </c>
      <c r="H39" s="418">
        <v>0</v>
      </c>
      <c r="I39" s="418">
        <v>0</v>
      </c>
      <c r="J39" s="419">
        <v>0</v>
      </c>
      <c r="K39" s="417">
        <v>0</v>
      </c>
      <c r="L39" s="418">
        <v>0</v>
      </c>
      <c r="M39" s="419">
        <v>0</v>
      </c>
      <c r="N39" s="418">
        <v>0</v>
      </c>
      <c r="O39" s="418">
        <v>0</v>
      </c>
      <c r="P39" s="419">
        <v>0</v>
      </c>
      <c r="Q39" s="417">
        <v>0</v>
      </c>
      <c r="R39" s="418">
        <v>0</v>
      </c>
      <c r="S39" s="419">
        <v>0</v>
      </c>
      <c r="T39" s="418">
        <v>0</v>
      </c>
      <c r="U39" s="418">
        <v>0</v>
      </c>
      <c r="V39" s="419">
        <v>0</v>
      </c>
      <c r="W39" s="417">
        <v>0</v>
      </c>
      <c r="X39" s="418">
        <v>0</v>
      </c>
      <c r="Y39" s="419">
        <v>0</v>
      </c>
      <c r="Z39" s="418">
        <v>0</v>
      </c>
      <c r="AA39" s="418">
        <v>0</v>
      </c>
      <c r="AB39" s="419">
        <v>0</v>
      </c>
      <c r="AC39" s="417">
        <v>0</v>
      </c>
      <c r="AD39" s="418">
        <v>0</v>
      </c>
      <c r="AE39" s="419">
        <v>0</v>
      </c>
      <c r="AF39" s="407"/>
      <c r="AG39" s="407"/>
      <c r="AH39" s="408"/>
      <c r="AI39" s="417">
        <v>0</v>
      </c>
      <c r="AJ39" s="418">
        <v>0</v>
      </c>
      <c r="AK39" s="419">
        <v>0</v>
      </c>
      <c r="AL39" s="418">
        <v>0</v>
      </c>
      <c r="AM39" s="418">
        <v>0</v>
      </c>
      <c r="AN39" s="419">
        <v>0</v>
      </c>
      <c r="AO39" s="417">
        <v>0</v>
      </c>
      <c r="AP39" s="418">
        <v>0</v>
      </c>
      <c r="AQ39" s="418">
        <v>0</v>
      </c>
      <c r="AR39" s="426">
        <f t="shared" si="13"/>
        <v>0</v>
      </c>
      <c r="AS39" s="322">
        <f t="shared" si="13"/>
        <v>0</v>
      </c>
      <c r="AT39" s="427"/>
      <c r="AU39" s="428"/>
    </row>
    <row r="40" spans="1:47">
      <c r="A40" s="27" t="s">
        <v>35</v>
      </c>
      <c r="B40" s="430">
        <f t="shared" ref="B40:G40" si="15">SUM(B32:B39)</f>
        <v>0</v>
      </c>
      <c r="C40" s="430">
        <f t="shared" si="15"/>
        <v>311.11205800135662</v>
      </c>
      <c r="D40" s="430">
        <f t="shared" si="15"/>
        <v>459.43986544117706</v>
      </c>
      <c r="E40" s="430">
        <f t="shared" si="15"/>
        <v>0</v>
      </c>
      <c r="F40" s="430">
        <f t="shared" si="15"/>
        <v>46.335232901020952</v>
      </c>
      <c r="G40" s="430">
        <f t="shared" si="15"/>
        <v>52.259539647193108</v>
      </c>
      <c r="H40" s="430">
        <f t="shared" ref="H40" si="16">SUM(H32:H39)</f>
        <v>0</v>
      </c>
      <c r="I40" s="430">
        <f t="shared" ref="I40" si="17">SUM(I32:I39)</f>
        <v>130.72223683333578</v>
      </c>
      <c r="J40" s="430">
        <f t="shared" ref="J40" si="18">SUM(J32:J39)</f>
        <v>132.56068832706404</v>
      </c>
      <c r="K40" s="430">
        <f t="shared" ref="K40:AE40" si="19">SUM(K32:K39)</f>
        <v>0</v>
      </c>
      <c r="L40" s="430">
        <f t="shared" si="19"/>
        <v>74.088729504784894</v>
      </c>
      <c r="M40" s="430">
        <f t="shared" si="19"/>
        <v>120.7218845989386</v>
      </c>
      <c r="N40" s="430">
        <f t="shared" si="19"/>
        <v>0</v>
      </c>
      <c r="O40" s="430">
        <f t="shared" si="19"/>
        <v>54.821574645440514</v>
      </c>
      <c r="P40" s="430">
        <f t="shared" si="19"/>
        <v>89.312002815147437</v>
      </c>
      <c r="Q40" s="430">
        <f t="shared" si="19"/>
        <v>0</v>
      </c>
      <c r="R40" s="430">
        <f t="shared" si="19"/>
        <v>54.721491568284463</v>
      </c>
      <c r="S40" s="430">
        <f t="shared" si="19"/>
        <v>111.41957375845183</v>
      </c>
      <c r="T40" s="430">
        <f t="shared" si="19"/>
        <v>0</v>
      </c>
      <c r="U40" s="430">
        <f t="shared" si="19"/>
        <v>39.690943360222448</v>
      </c>
      <c r="V40" s="430">
        <f t="shared" si="19"/>
        <v>72.042696364184295</v>
      </c>
      <c r="W40" s="430">
        <f t="shared" si="19"/>
        <v>0</v>
      </c>
      <c r="X40" s="430">
        <f t="shared" si="19"/>
        <v>36.960263907034189</v>
      </c>
      <c r="Y40" s="430">
        <f t="shared" si="19"/>
        <v>56.067785207810431</v>
      </c>
      <c r="Z40" s="430">
        <f t="shared" si="19"/>
        <v>0</v>
      </c>
      <c r="AA40" s="430">
        <f t="shared" si="19"/>
        <v>7.3503727615762235</v>
      </c>
      <c r="AB40" s="430">
        <f t="shared" si="19"/>
        <v>8.3683482891023822</v>
      </c>
      <c r="AC40" s="430">
        <f t="shared" si="19"/>
        <v>0</v>
      </c>
      <c r="AD40" s="430">
        <f t="shared" si="19"/>
        <v>25.879323426057109</v>
      </c>
      <c r="AE40" s="430">
        <f t="shared" si="19"/>
        <v>33.968225953407867</v>
      </c>
      <c r="AF40" s="410"/>
      <c r="AG40" s="410"/>
      <c r="AH40" s="410"/>
      <c r="AI40" s="430">
        <f t="shared" ref="AI40:AN40" si="20">SUM(AI32:AI39)</f>
        <v>0</v>
      </c>
      <c r="AJ40" s="430">
        <f t="shared" si="20"/>
        <v>10.859895060473843</v>
      </c>
      <c r="AK40" s="430">
        <f t="shared" si="20"/>
        <v>12.318739056970907</v>
      </c>
      <c r="AL40" s="430">
        <f t="shared" si="20"/>
        <v>0</v>
      </c>
      <c r="AM40" s="430">
        <f t="shared" si="20"/>
        <v>1.1363240447190652</v>
      </c>
      <c r="AN40" s="430">
        <f t="shared" si="20"/>
        <v>3.0216700064004947</v>
      </c>
      <c r="AO40" s="430">
        <f t="shared" ref="AO40:AQ40" si="21">SUM(AO32:AO39)</f>
        <v>0</v>
      </c>
      <c r="AP40" s="430">
        <f t="shared" si="21"/>
        <v>0.88299880190449964</v>
      </c>
      <c r="AQ40" s="430">
        <f t="shared" si="21"/>
        <v>0.90487307825286611</v>
      </c>
      <c r="AR40" s="70">
        <f t="shared" si="13"/>
        <v>794.56144481621061</v>
      </c>
      <c r="AS40" s="70">
        <f t="shared" si="13"/>
        <v>1152.4058925441013</v>
      </c>
      <c r="AT40" s="410"/>
      <c r="AU40" s="410"/>
    </row>
    <row r="41" spans="1:47">
      <c r="A41" s="27" t="s">
        <v>53</v>
      </c>
      <c r="B41" s="430"/>
      <c r="C41" s="429">
        <f t="shared" ref="C41:AS41" si="22">(C34+C35)/C40</f>
        <v>0.73621572320080975</v>
      </c>
      <c r="D41" s="429">
        <f t="shared" si="22"/>
        <v>0.62601681844428392</v>
      </c>
      <c r="E41" s="429"/>
      <c r="F41" s="429">
        <f t="shared" si="22"/>
        <v>0.87795776579690488</v>
      </c>
      <c r="G41" s="429">
        <f t="shared" si="22"/>
        <v>0.7716791358219447</v>
      </c>
      <c r="H41" s="429"/>
      <c r="I41" s="429">
        <f t="shared" si="22"/>
        <v>0.42454849839903286</v>
      </c>
      <c r="J41" s="429">
        <f t="shared" si="22"/>
        <v>0.36893683022372281</v>
      </c>
      <c r="K41" s="429"/>
      <c r="L41" s="429">
        <f t="shared" si="22"/>
        <v>0.84260423018258257</v>
      </c>
      <c r="M41" s="429">
        <f t="shared" si="22"/>
        <v>0.84147341954959176</v>
      </c>
      <c r="N41" s="429"/>
      <c r="O41" s="429">
        <f t="shared" si="22"/>
        <v>0.72576853683262899</v>
      </c>
      <c r="P41" s="429">
        <f t="shared" si="22"/>
        <v>0.49334002117472625</v>
      </c>
      <c r="Q41" s="429"/>
      <c r="R41" s="429">
        <f t="shared" si="22"/>
        <v>0.92575740938947104</v>
      </c>
      <c r="S41" s="429">
        <f t="shared" si="22"/>
        <v>0.65497267511499624</v>
      </c>
      <c r="T41" s="429"/>
      <c r="U41" s="429">
        <f t="shared" si="22"/>
        <v>0.97997008397425922</v>
      </c>
      <c r="V41" s="429">
        <f t="shared" si="22"/>
        <v>0.80542640425415135</v>
      </c>
      <c r="W41" s="429"/>
      <c r="X41" s="429">
        <f t="shared" si="22"/>
        <v>0.93788472338521978</v>
      </c>
      <c r="Y41" s="429">
        <f t="shared" si="22"/>
        <v>0.64267391302037047</v>
      </c>
      <c r="Z41" s="429"/>
      <c r="AA41" s="429">
        <f t="shared" si="22"/>
        <v>0.2088669993648688</v>
      </c>
      <c r="AB41" s="429">
        <f t="shared" si="22"/>
        <v>0.60891347406702212</v>
      </c>
      <c r="AC41" s="429"/>
      <c r="AD41" s="429">
        <f t="shared" si="22"/>
        <v>0.94500185847284701</v>
      </c>
      <c r="AE41" s="429">
        <f t="shared" si="22"/>
        <v>0.82421924972843885</v>
      </c>
      <c r="AF41" s="429"/>
      <c r="AG41" s="429"/>
      <c r="AH41" s="429"/>
      <c r="AI41" s="429"/>
      <c r="AJ41" s="429">
        <f t="shared" si="22"/>
        <v>0.83265704177293742</v>
      </c>
      <c r="AK41" s="429">
        <f t="shared" si="22"/>
        <v>0.72063958098085967</v>
      </c>
      <c r="AL41" s="429"/>
      <c r="AM41" s="429">
        <f t="shared" si="22"/>
        <v>2.3816933069751727E-2</v>
      </c>
      <c r="AN41" s="429">
        <f t="shared" si="22"/>
        <v>0.23881327297114263</v>
      </c>
      <c r="AO41" s="429"/>
      <c r="AP41" s="429">
        <f t="shared" si="22"/>
        <v>0.71961338862466828</v>
      </c>
      <c r="AQ41" s="429">
        <f t="shared" si="22"/>
        <v>0.63583106049226945</v>
      </c>
      <c r="AR41" s="429">
        <f t="shared" si="22"/>
        <v>0.73921870905403619</v>
      </c>
      <c r="AS41" s="429">
        <f t="shared" si="22"/>
        <v>0.6358862043522604</v>
      </c>
      <c r="AT41" s="410"/>
      <c r="AU41" s="410"/>
    </row>
    <row r="42" spans="1:47">
      <c r="A42" s="25"/>
      <c r="W42" s="26"/>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6" t="s">
        <v>37</v>
      </c>
    </row>
    <row r="46" spans="1:47">
      <c r="B46" s="783" t="s">
        <v>38</v>
      </c>
      <c r="C46" s="783"/>
      <c r="D46" s="783"/>
      <c r="E46" s="783" t="s">
        <v>39</v>
      </c>
      <c r="F46" s="783"/>
      <c r="G46" s="783"/>
      <c r="H46" s="783" t="s">
        <v>40</v>
      </c>
      <c r="I46" s="783"/>
      <c r="J46" s="783"/>
      <c r="K46" s="783" t="s">
        <v>41</v>
      </c>
      <c r="L46" s="783"/>
      <c r="M46" s="783"/>
      <c r="N46" s="783" t="s">
        <v>42</v>
      </c>
      <c r="O46" s="783"/>
      <c r="P46" s="783"/>
      <c r="Q46" s="783" t="s">
        <v>43</v>
      </c>
      <c r="R46" s="783"/>
      <c r="S46" s="783"/>
      <c r="T46" s="783" t="s">
        <v>44</v>
      </c>
      <c r="U46" s="783"/>
      <c r="V46" s="783"/>
      <c r="W46" s="783" t="s">
        <v>45</v>
      </c>
      <c r="X46" s="783"/>
      <c r="Y46" s="783"/>
      <c r="Z46" s="783" t="s">
        <v>46</v>
      </c>
      <c r="AA46" s="783"/>
      <c r="AB46" s="783"/>
      <c r="AC46" s="783" t="s">
        <v>47</v>
      </c>
      <c r="AD46" s="783"/>
      <c r="AE46" s="783"/>
      <c r="AF46" s="783" t="s">
        <v>48</v>
      </c>
      <c r="AG46" s="783"/>
      <c r="AH46" s="783"/>
      <c r="AI46" s="783" t="s">
        <v>49</v>
      </c>
      <c r="AJ46" s="783"/>
      <c r="AK46" s="783"/>
      <c r="AL46" s="783" t="s">
        <v>50</v>
      </c>
      <c r="AM46" s="783"/>
      <c r="AN46" s="783"/>
      <c r="AO46" s="783" t="s">
        <v>51</v>
      </c>
      <c r="AP46" s="783"/>
      <c r="AQ46" s="783"/>
    </row>
    <row r="47" spans="1:47">
      <c r="A47" s="25"/>
      <c r="B47" s="368" t="s">
        <v>25</v>
      </c>
      <c r="C47" s="368" t="s">
        <v>26</v>
      </c>
      <c r="D47" s="368" t="s">
        <v>27</v>
      </c>
      <c r="E47" s="368" t="s">
        <v>25</v>
      </c>
      <c r="F47" s="368" t="s">
        <v>26</v>
      </c>
      <c r="G47" s="368" t="s">
        <v>27</v>
      </c>
      <c r="H47" s="368" t="s">
        <v>25</v>
      </c>
      <c r="I47" s="368" t="s">
        <v>26</v>
      </c>
      <c r="J47" s="368" t="s">
        <v>27</v>
      </c>
      <c r="K47" s="368" t="s">
        <v>25</v>
      </c>
      <c r="L47" s="368" t="s">
        <v>26</v>
      </c>
      <c r="M47" s="368" t="s">
        <v>27</v>
      </c>
      <c r="N47" s="368" t="s">
        <v>25</v>
      </c>
      <c r="O47" s="368" t="s">
        <v>26</v>
      </c>
      <c r="P47" s="368" t="s">
        <v>27</v>
      </c>
      <c r="Q47" s="368" t="s">
        <v>25</v>
      </c>
      <c r="R47" s="368" t="s">
        <v>26</v>
      </c>
      <c r="S47" s="368" t="s">
        <v>27</v>
      </c>
      <c r="T47" s="368" t="s">
        <v>25</v>
      </c>
      <c r="U47" s="368" t="s">
        <v>26</v>
      </c>
      <c r="V47" s="368" t="s">
        <v>27</v>
      </c>
      <c r="W47" s="368" t="s">
        <v>25</v>
      </c>
      <c r="X47" s="368" t="s">
        <v>26</v>
      </c>
      <c r="Y47" s="368" t="s">
        <v>27</v>
      </c>
      <c r="Z47" s="368" t="s">
        <v>25</v>
      </c>
      <c r="AA47" s="368" t="s">
        <v>26</v>
      </c>
      <c r="AB47" s="368" t="s">
        <v>27</v>
      </c>
      <c r="AC47" s="368" t="s">
        <v>25</v>
      </c>
      <c r="AD47" s="368" t="s">
        <v>26</v>
      </c>
      <c r="AE47" s="368" t="s">
        <v>27</v>
      </c>
      <c r="AF47" s="368" t="s">
        <v>25</v>
      </c>
      <c r="AG47" s="368" t="s">
        <v>26</v>
      </c>
      <c r="AH47" s="368" t="s">
        <v>27</v>
      </c>
      <c r="AI47" s="368" t="s">
        <v>25</v>
      </c>
      <c r="AJ47" s="368" t="s">
        <v>26</v>
      </c>
      <c r="AK47" s="368" t="s">
        <v>27</v>
      </c>
      <c r="AL47" s="368" t="s">
        <v>25</v>
      </c>
      <c r="AM47" s="368" t="s">
        <v>26</v>
      </c>
      <c r="AN47" s="368" t="s">
        <v>27</v>
      </c>
      <c r="AO47" s="368" t="s">
        <v>25</v>
      </c>
      <c r="AP47" s="368" t="s">
        <v>26</v>
      </c>
      <c r="AQ47" s="368" t="s">
        <v>27</v>
      </c>
    </row>
    <row r="48" spans="1:47">
      <c r="A48" s="27" t="s">
        <v>55</v>
      </c>
      <c r="B48" s="394">
        <v>0</v>
      </c>
      <c r="C48" s="395">
        <v>0</v>
      </c>
      <c r="D48" s="396">
        <v>0</v>
      </c>
      <c r="E48" s="394">
        <v>0</v>
      </c>
      <c r="F48" s="395">
        <v>0</v>
      </c>
      <c r="G48" s="396">
        <v>0</v>
      </c>
      <c r="H48" s="395">
        <v>0</v>
      </c>
      <c r="I48" s="395">
        <v>0</v>
      </c>
      <c r="J48" s="396">
        <v>0</v>
      </c>
      <c r="K48" s="394">
        <v>0</v>
      </c>
      <c r="L48" s="395">
        <v>0</v>
      </c>
      <c r="M48" s="396">
        <v>0</v>
      </c>
      <c r="N48" s="395">
        <v>0</v>
      </c>
      <c r="O48" s="395">
        <v>0</v>
      </c>
      <c r="P48" s="396">
        <v>0</v>
      </c>
      <c r="Q48" s="394">
        <v>0</v>
      </c>
      <c r="R48" s="395">
        <v>0</v>
      </c>
      <c r="S48" s="396">
        <v>0</v>
      </c>
      <c r="T48" s="395">
        <v>0</v>
      </c>
      <c r="U48" s="395">
        <v>0</v>
      </c>
      <c r="V48" s="396">
        <v>0</v>
      </c>
      <c r="W48" s="394">
        <v>0</v>
      </c>
      <c r="X48" s="395">
        <v>0</v>
      </c>
      <c r="Y48" s="396">
        <v>0</v>
      </c>
      <c r="Z48" s="395">
        <v>0</v>
      </c>
      <c r="AA48" s="395">
        <v>0</v>
      </c>
      <c r="AB48" s="396">
        <v>0</v>
      </c>
      <c r="AC48" s="394">
        <v>0</v>
      </c>
      <c r="AD48" s="395">
        <v>0</v>
      </c>
      <c r="AE48" s="396">
        <v>0</v>
      </c>
      <c r="AF48" s="397"/>
      <c r="AG48" s="397"/>
      <c r="AH48" s="398"/>
      <c r="AI48" s="394">
        <v>0</v>
      </c>
      <c r="AJ48" s="395">
        <v>0</v>
      </c>
      <c r="AK48" s="396">
        <v>0</v>
      </c>
      <c r="AL48" s="395">
        <v>0</v>
      </c>
      <c r="AM48" s="395">
        <v>0</v>
      </c>
      <c r="AN48" s="396">
        <v>0</v>
      </c>
      <c r="AO48" s="394">
        <v>0</v>
      </c>
      <c r="AP48" s="395">
        <v>0</v>
      </c>
      <c r="AQ48" s="396">
        <v>0</v>
      </c>
    </row>
    <row r="49" spans="1:43">
      <c r="A49" s="27" t="s">
        <v>56</v>
      </c>
      <c r="B49" s="399">
        <v>0</v>
      </c>
      <c r="C49" s="400">
        <v>11.801552132137342</v>
      </c>
      <c r="D49" s="401">
        <v>31.309305030848527</v>
      </c>
      <c r="E49" s="399">
        <v>0</v>
      </c>
      <c r="F49" s="400">
        <v>2.1712441640653508</v>
      </c>
      <c r="G49" s="401">
        <v>2.6054929968784202</v>
      </c>
      <c r="H49" s="400">
        <v>0</v>
      </c>
      <c r="I49" s="400">
        <v>2.0439870735467216</v>
      </c>
      <c r="J49" s="401">
        <v>1.9466543557587817</v>
      </c>
      <c r="K49" s="399">
        <v>0</v>
      </c>
      <c r="L49" s="400">
        <v>9.4766226042092274</v>
      </c>
      <c r="M49" s="401">
        <v>9.6609432316552812</v>
      </c>
      <c r="N49" s="400">
        <v>0</v>
      </c>
      <c r="O49" s="400">
        <v>2.1615788070830355</v>
      </c>
      <c r="P49" s="401">
        <v>2.0586464829362243</v>
      </c>
      <c r="Q49" s="399">
        <v>0</v>
      </c>
      <c r="R49" s="400">
        <v>6.7971789019374089</v>
      </c>
      <c r="S49" s="401">
        <v>13.430950399121652</v>
      </c>
      <c r="T49" s="400">
        <v>0</v>
      </c>
      <c r="U49" s="400">
        <v>0.48493949503678419</v>
      </c>
      <c r="V49" s="401">
        <v>4.8493949503678415</v>
      </c>
      <c r="W49" s="399">
        <v>0</v>
      </c>
      <c r="X49" s="400">
        <v>0.20777118591546992</v>
      </c>
      <c r="Y49" s="401">
        <v>0.20777118591546992</v>
      </c>
      <c r="Z49" s="400">
        <v>0</v>
      </c>
      <c r="AA49" s="400">
        <v>9.4605874580482349E-2</v>
      </c>
      <c r="AB49" s="401">
        <v>0.2254007149761956</v>
      </c>
      <c r="AC49" s="399">
        <v>0</v>
      </c>
      <c r="AD49" s="400">
        <v>0</v>
      </c>
      <c r="AE49" s="401">
        <v>0.78616738544052411</v>
      </c>
      <c r="AF49" s="402"/>
      <c r="AG49" s="402"/>
      <c r="AH49" s="403"/>
      <c r="AI49" s="399">
        <v>0</v>
      </c>
      <c r="AJ49" s="400">
        <v>0.27894448911316083</v>
      </c>
      <c r="AK49" s="401">
        <v>0.2656614182030102</v>
      </c>
      <c r="AL49" s="400">
        <v>0</v>
      </c>
      <c r="AM49" s="400">
        <v>1.8408365383052037E-2</v>
      </c>
      <c r="AN49" s="401">
        <v>1.7531776555287652E-2</v>
      </c>
      <c r="AO49" s="399">
        <v>0</v>
      </c>
      <c r="AP49" s="400">
        <v>2.8792402105497973E-2</v>
      </c>
      <c r="AQ49" s="401">
        <v>2.7421335338569504E-2</v>
      </c>
    </row>
    <row r="50" spans="1:43" ht="15.6">
      <c r="A50" s="27" t="s">
        <v>57</v>
      </c>
      <c r="B50" s="399">
        <v>0</v>
      </c>
      <c r="C50" s="400">
        <v>98.631930012592591</v>
      </c>
      <c r="D50" s="401">
        <v>75.31892837325249</v>
      </c>
      <c r="E50" s="399">
        <v>0</v>
      </c>
      <c r="F50" s="400">
        <v>24.095773643063289</v>
      </c>
      <c r="G50" s="401">
        <v>24.095773643063289</v>
      </c>
      <c r="H50" s="400">
        <v>0</v>
      </c>
      <c r="I50" s="400">
        <v>18.065637890416664</v>
      </c>
      <c r="J50" s="401">
        <v>17.082121787499997</v>
      </c>
      <c r="K50" s="399">
        <v>0</v>
      </c>
      <c r="L50" s="400">
        <v>3.1040913507782082</v>
      </c>
      <c r="M50" s="401">
        <v>6.8844817955942004</v>
      </c>
      <c r="N50" s="400">
        <v>0</v>
      </c>
      <c r="O50" s="400">
        <v>10.898366280008705</v>
      </c>
      <c r="P50" s="401">
        <v>10.305045479664392</v>
      </c>
      <c r="Q50" s="399">
        <v>0</v>
      </c>
      <c r="R50" s="400">
        <v>3.7629083157215195</v>
      </c>
      <c r="S50" s="401">
        <v>3.4307499839428113</v>
      </c>
      <c r="T50" s="400">
        <v>0</v>
      </c>
      <c r="U50" s="400">
        <v>16.525027475555508</v>
      </c>
      <c r="V50" s="401">
        <v>27.048040254800764</v>
      </c>
      <c r="W50" s="399">
        <v>0</v>
      </c>
      <c r="X50" s="400">
        <v>18.491687377777776</v>
      </c>
      <c r="Y50" s="401">
        <v>18.491687377777776</v>
      </c>
      <c r="Z50" s="400">
        <v>0</v>
      </c>
      <c r="AA50" s="400">
        <v>2.4441666666666579E-3</v>
      </c>
      <c r="AB50" s="401">
        <v>4.0736111111110947E-3</v>
      </c>
      <c r="AC50" s="399">
        <v>0</v>
      </c>
      <c r="AD50" s="400">
        <v>14.799834559999999</v>
      </c>
      <c r="AE50" s="401">
        <v>12.333195466666666</v>
      </c>
      <c r="AF50" s="402"/>
      <c r="AG50" s="402"/>
      <c r="AH50" s="403"/>
      <c r="AI50" s="399">
        <v>0</v>
      </c>
      <c r="AJ50" s="400">
        <v>2.0483489857935449</v>
      </c>
      <c r="AK50" s="401">
        <v>1.9368342845612314</v>
      </c>
      <c r="AL50" s="400">
        <v>0</v>
      </c>
      <c r="AM50" s="400">
        <v>4.8162727083333329E-3</v>
      </c>
      <c r="AN50" s="401">
        <v>4.5540687500000001E-3</v>
      </c>
      <c r="AO50" s="399">
        <v>0</v>
      </c>
      <c r="AP50" s="400">
        <v>0</v>
      </c>
      <c r="AQ50" s="401">
        <v>0</v>
      </c>
    </row>
    <row r="51" spans="1:43">
      <c r="A51" s="27" t="s">
        <v>58</v>
      </c>
      <c r="B51" s="399">
        <v>0</v>
      </c>
      <c r="C51" s="400">
        <v>1.8650118428639415</v>
      </c>
      <c r="D51" s="401">
        <v>1.8134496272488432</v>
      </c>
      <c r="E51" s="399">
        <v>0</v>
      </c>
      <c r="F51" s="400">
        <v>0.57368536326553476</v>
      </c>
      <c r="G51" s="401">
        <v>0.56775074017296578</v>
      </c>
      <c r="H51" s="400">
        <v>0</v>
      </c>
      <c r="I51" s="400">
        <v>0.71774377298398107</v>
      </c>
      <c r="J51" s="401">
        <v>1.1732851215837827</v>
      </c>
      <c r="K51" s="399">
        <v>0</v>
      </c>
      <c r="L51" s="400">
        <v>0.48520197562149053</v>
      </c>
      <c r="M51" s="401">
        <v>0.761614727536577</v>
      </c>
      <c r="N51" s="400">
        <v>0</v>
      </c>
      <c r="O51" s="400">
        <v>1.4149790560716295</v>
      </c>
      <c r="P51" s="401">
        <v>1.3061345132968887</v>
      </c>
      <c r="Q51" s="399">
        <v>0</v>
      </c>
      <c r="R51" s="400">
        <v>0.91043024844273968</v>
      </c>
      <c r="S51" s="401">
        <v>0.41763226380402974</v>
      </c>
      <c r="T51" s="400">
        <v>0</v>
      </c>
      <c r="U51" s="400">
        <v>0.21782790108954522</v>
      </c>
      <c r="V51" s="401">
        <v>0.44654719723356778</v>
      </c>
      <c r="W51" s="399">
        <v>0</v>
      </c>
      <c r="X51" s="400">
        <v>0</v>
      </c>
      <c r="Y51" s="401">
        <v>0</v>
      </c>
      <c r="Z51" s="400">
        <v>0</v>
      </c>
      <c r="AA51" s="400">
        <v>0</v>
      </c>
      <c r="AB51" s="401">
        <v>0</v>
      </c>
      <c r="AC51" s="399">
        <v>0</v>
      </c>
      <c r="AD51" s="400">
        <v>0</v>
      </c>
      <c r="AE51" s="401">
        <v>0</v>
      </c>
      <c r="AF51" s="402"/>
      <c r="AG51" s="402"/>
      <c r="AH51" s="403"/>
      <c r="AI51" s="399">
        <v>0</v>
      </c>
      <c r="AJ51" s="400">
        <v>0.55083147390813214</v>
      </c>
      <c r="AK51" s="401">
        <v>0.50845982206904494</v>
      </c>
      <c r="AL51" s="400">
        <v>0</v>
      </c>
      <c r="AM51" s="400">
        <v>0</v>
      </c>
      <c r="AN51" s="401">
        <v>0</v>
      </c>
      <c r="AO51" s="399">
        <v>0</v>
      </c>
      <c r="AP51" s="400">
        <v>0</v>
      </c>
      <c r="AQ51" s="401">
        <v>0</v>
      </c>
    </row>
    <row r="52" spans="1:43" ht="15.6">
      <c r="A52" s="27" t="s">
        <v>59</v>
      </c>
      <c r="B52" s="399">
        <v>0</v>
      </c>
      <c r="C52" s="400">
        <v>15.163499999999971</v>
      </c>
      <c r="D52" s="401">
        <v>12.812799999999976</v>
      </c>
      <c r="E52" s="399">
        <v>0</v>
      </c>
      <c r="F52" s="400">
        <v>4.863999999999991</v>
      </c>
      <c r="G52" s="401">
        <v>4.863999999999991</v>
      </c>
      <c r="H52" s="400">
        <v>0</v>
      </c>
      <c r="I52" s="400">
        <v>4.3654254791887608</v>
      </c>
      <c r="J52" s="401">
        <v>0</v>
      </c>
      <c r="K52" s="399">
        <v>0</v>
      </c>
      <c r="L52" s="400">
        <v>2.7299999999999964</v>
      </c>
      <c r="M52" s="401">
        <v>1.0799999999999985</v>
      </c>
      <c r="N52" s="400">
        <v>0</v>
      </c>
      <c r="O52" s="400">
        <v>12.765196672748065</v>
      </c>
      <c r="P52" s="401">
        <v>11.783258467152061</v>
      </c>
      <c r="Q52" s="399">
        <v>0</v>
      </c>
      <c r="R52" s="400">
        <v>7.2396672841250913</v>
      </c>
      <c r="S52" s="401">
        <v>13.492350905132692</v>
      </c>
      <c r="T52" s="400">
        <v>0</v>
      </c>
      <c r="U52" s="400">
        <v>3.2319999999999944</v>
      </c>
      <c r="V52" s="401">
        <v>3.2319999999999944</v>
      </c>
      <c r="W52" s="399">
        <v>0</v>
      </c>
      <c r="X52" s="400">
        <v>0</v>
      </c>
      <c r="Y52" s="401">
        <v>0</v>
      </c>
      <c r="Z52" s="400">
        <v>0</v>
      </c>
      <c r="AA52" s="400">
        <v>0</v>
      </c>
      <c r="AB52" s="401">
        <v>0</v>
      </c>
      <c r="AC52" s="399">
        <v>0</v>
      </c>
      <c r="AD52" s="400">
        <v>0</v>
      </c>
      <c r="AE52" s="401">
        <v>0</v>
      </c>
      <c r="AF52" s="402"/>
      <c r="AG52" s="402"/>
      <c r="AH52" s="403"/>
      <c r="AI52" s="399">
        <v>0</v>
      </c>
      <c r="AJ52" s="400">
        <v>5.0604782662512253</v>
      </c>
      <c r="AK52" s="401">
        <v>4.6712107073088225</v>
      </c>
      <c r="AL52" s="400">
        <v>0</v>
      </c>
      <c r="AM52" s="400">
        <v>0</v>
      </c>
      <c r="AN52" s="401">
        <v>0</v>
      </c>
      <c r="AO52" s="399">
        <v>0</v>
      </c>
      <c r="AP52" s="400">
        <v>0</v>
      </c>
      <c r="AQ52" s="401">
        <v>0</v>
      </c>
    </row>
    <row r="53" spans="1:43">
      <c r="A53" s="27" t="s">
        <v>60</v>
      </c>
      <c r="B53" s="399">
        <v>0</v>
      </c>
      <c r="C53" s="400">
        <v>1.9167960733099885</v>
      </c>
      <c r="D53" s="401">
        <v>12.340518032575522</v>
      </c>
      <c r="E53" s="399">
        <v>0</v>
      </c>
      <c r="F53" s="400">
        <v>0</v>
      </c>
      <c r="G53" s="401">
        <v>0</v>
      </c>
      <c r="H53" s="400">
        <v>0</v>
      </c>
      <c r="I53" s="400">
        <v>0</v>
      </c>
      <c r="J53" s="401">
        <v>0</v>
      </c>
      <c r="K53" s="399">
        <v>0</v>
      </c>
      <c r="L53" s="400">
        <v>0</v>
      </c>
      <c r="M53" s="401">
        <v>2.5820989189584611</v>
      </c>
      <c r="N53" s="400">
        <v>0</v>
      </c>
      <c r="O53" s="400">
        <v>0</v>
      </c>
      <c r="P53" s="401">
        <v>0</v>
      </c>
      <c r="Q53" s="399">
        <v>0</v>
      </c>
      <c r="R53" s="400">
        <v>0.57416516730284473</v>
      </c>
      <c r="S53" s="401">
        <v>0.58794534022239997</v>
      </c>
      <c r="T53" s="400">
        <v>0</v>
      </c>
      <c r="U53" s="400">
        <v>0</v>
      </c>
      <c r="V53" s="401">
        <v>0.68635492611976134</v>
      </c>
      <c r="W53" s="399">
        <v>0</v>
      </c>
      <c r="X53" s="400">
        <v>0</v>
      </c>
      <c r="Y53" s="401">
        <v>0</v>
      </c>
      <c r="Z53" s="400">
        <v>0</v>
      </c>
      <c r="AA53" s="400">
        <v>0</v>
      </c>
      <c r="AB53" s="401">
        <v>0</v>
      </c>
      <c r="AC53" s="399">
        <v>0</v>
      </c>
      <c r="AD53" s="400">
        <v>0.12052118164771007</v>
      </c>
      <c r="AE53" s="401">
        <v>0.24901070588369853</v>
      </c>
      <c r="AF53" s="402"/>
      <c r="AG53" s="402"/>
      <c r="AH53" s="403"/>
      <c r="AI53" s="399">
        <v>0</v>
      </c>
      <c r="AJ53" s="400">
        <v>0</v>
      </c>
      <c r="AK53" s="401">
        <v>0</v>
      </c>
      <c r="AL53" s="400">
        <v>0</v>
      </c>
      <c r="AM53" s="400">
        <v>0</v>
      </c>
      <c r="AN53" s="401">
        <v>0</v>
      </c>
      <c r="AO53" s="399">
        <v>0</v>
      </c>
      <c r="AP53" s="400">
        <v>0</v>
      </c>
      <c r="AQ53" s="401">
        <v>0</v>
      </c>
    </row>
    <row r="54" spans="1:43">
      <c r="A54" s="27" t="s">
        <v>61</v>
      </c>
      <c r="B54" s="399">
        <v>0</v>
      </c>
      <c r="C54" s="400">
        <v>0</v>
      </c>
      <c r="D54" s="401">
        <v>0</v>
      </c>
      <c r="E54" s="399">
        <v>0</v>
      </c>
      <c r="F54" s="400">
        <v>0</v>
      </c>
      <c r="G54" s="401">
        <v>0</v>
      </c>
      <c r="H54" s="400">
        <v>0</v>
      </c>
      <c r="I54" s="400">
        <v>0</v>
      </c>
      <c r="J54" s="401">
        <v>0</v>
      </c>
      <c r="K54" s="399">
        <v>0</v>
      </c>
      <c r="L54" s="400">
        <v>0</v>
      </c>
      <c r="M54" s="401">
        <v>0</v>
      </c>
      <c r="N54" s="400">
        <v>0</v>
      </c>
      <c r="O54" s="400">
        <v>0</v>
      </c>
      <c r="P54" s="401">
        <v>0</v>
      </c>
      <c r="Q54" s="399">
        <v>0</v>
      </c>
      <c r="R54" s="400">
        <v>0</v>
      </c>
      <c r="S54" s="401">
        <v>0</v>
      </c>
      <c r="T54" s="400">
        <v>0</v>
      </c>
      <c r="U54" s="400">
        <v>0</v>
      </c>
      <c r="V54" s="401">
        <v>0</v>
      </c>
      <c r="W54" s="399">
        <v>0</v>
      </c>
      <c r="X54" s="400">
        <v>0</v>
      </c>
      <c r="Y54" s="401">
        <v>0</v>
      </c>
      <c r="Z54" s="400">
        <v>0</v>
      </c>
      <c r="AA54" s="400">
        <v>0</v>
      </c>
      <c r="AB54" s="401">
        <v>0</v>
      </c>
      <c r="AC54" s="399">
        <v>0</v>
      </c>
      <c r="AD54" s="400">
        <v>0</v>
      </c>
      <c r="AE54" s="401">
        <v>0</v>
      </c>
      <c r="AF54" s="402"/>
      <c r="AG54" s="402"/>
      <c r="AH54" s="403"/>
      <c r="AI54" s="399">
        <v>0</v>
      </c>
      <c r="AJ54" s="400">
        <v>0</v>
      </c>
      <c r="AK54" s="401">
        <v>0</v>
      </c>
      <c r="AL54" s="400">
        <v>0</v>
      </c>
      <c r="AM54" s="400">
        <v>0</v>
      </c>
      <c r="AN54" s="401">
        <v>0</v>
      </c>
      <c r="AO54" s="399">
        <v>0</v>
      </c>
      <c r="AP54" s="400">
        <v>0</v>
      </c>
      <c r="AQ54" s="401">
        <v>0</v>
      </c>
    </row>
    <row r="55" spans="1:43">
      <c r="A55" s="22" t="s">
        <v>62</v>
      </c>
      <c r="B55" s="399">
        <v>0</v>
      </c>
      <c r="C55" s="400">
        <v>50.275549842375</v>
      </c>
      <c r="D55" s="401">
        <v>96.358215186111082</v>
      </c>
      <c r="E55" s="399">
        <v>0</v>
      </c>
      <c r="F55" s="400">
        <v>2.9210157322499999</v>
      </c>
      <c r="G55" s="401">
        <v>2.9210157322499999</v>
      </c>
      <c r="H55" s="400">
        <v>0</v>
      </c>
      <c r="I55" s="400">
        <v>20.808791119999999</v>
      </c>
      <c r="J55" s="401">
        <v>19.208114879999997</v>
      </c>
      <c r="K55" s="399">
        <v>0</v>
      </c>
      <c r="L55" s="400">
        <v>19.888483949999998</v>
      </c>
      <c r="M55" s="401">
        <v>35.909762687499999</v>
      </c>
      <c r="N55" s="400">
        <v>0</v>
      </c>
      <c r="O55" s="400">
        <v>2.87795111658275</v>
      </c>
      <c r="P55" s="401">
        <v>8.9383983321445584</v>
      </c>
      <c r="Q55" s="399">
        <v>0</v>
      </c>
      <c r="R55" s="400">
        <v>1.4915957362011272</v>
      </c>
      <c r="S55" s="401">
        <v>4.8261408709085361</v>
      </c>
      <c r="T55" s="400">
        <v>0</v>
      </c>
      <c r="U55" s="400">
        <v>7.236028928333333</v>
      </c>
      <c r="V55" s="401">
        <v>10.337184183333333</v>
      </c>
      <c r="W55" s="399">
        <v>0</v>
      </c>
      <c r="X55" s="400">
        <v>0</v>
      </c>
      <c r="Y55" s="401">
        <v>0</v>
      </c>
      <c r="Z55" s="400">
        <v>0</v>
      </c>
      <c r="AA55" s="400">
        <v>1.229684661333333</v>
      </c>
      <c r="AB55" s="401">
        <v>4.4715805866716556</v>
      </c>
      <c r="AC55" s="399">
        <v>0</v>
      </c>
      <c r="AD55" s="400">
        <v>0</v>
      </c>
      <c r="AE55" s="401">
        <v>0</v>
      </c>
      <c r="AF55" s="402"/>
      <c r="AG55" s="402"/>
      <c r="AH55" s="403"/>
      <c r="AI55" s="399">
        <v>0</v>
      </c>
      <c r="AJ55" s="400">
        <v>0.62609504999999999</v>
      </c>
      <c r="AK55" s="401">
        <v>1.0173348901333332</v>
      </c>
      <c r="AL55" s="400">
        <v>0</v>
      </c>
      <c r="AM55" s="400">
        <v>0</v>
      </c>
      <c r="AN55" s="401">
        <v>0.69602010707865225</v>
      </c>
      <c r="AO55" s="399">
        <v>0</v>
      </c>
      <c r="AP55" s="400">
        <v>0.56473721760000029</v>
      </c>
      <c r="AQ55" s="401">
        <v>0.50603693333333355</v>
      </c>
    </row>
    <row r="56" spans="1:43" ht="16.2">
      <c r="A56" s="22" t="s">
        <v>63</v>
      </c>
      <c r="B56" s="399">
        <v>0</v>
      </c>
      <c r="C56" s="400">
        <v>0</v>
      </c>
      <c r="D56" s="401">
        <v>0</v>
      </c>
      <c r="E56" s="399">
        <v>0</v>
      </c>
      <c r="F56" s="400">
        <v>0</v>
      </c>
      <c r="G56" s="401">
        <v>0</v>
      </c>
      <c r="H56" s="400">
        <v>0</v>
      </c>
      <c r="I56" s="400">
        <v>0</v>
      </c>
      <c r="J56" s="401">
        <v>0</v>
      </c>
      <c r="K56" s="399">
        <v>0</v>
      </c>
      <c r="L56" s="400">
        <v>0</v>
      </c>
      <c r="M56" s="401">
        <v>0</v>
      </c>
      <c r="N56" s="400">
        <v>0</v>
      </c>
      <c r="O56" s="400">
        <v>0</v>
      </c>
      <c r="P56" s="401">
        <v>0</v>
      </c>
      <c r="Q56" s="399">
        <v>0</v>
      </c>
      <c r="R56" s="400">
        <v>0</v>
      </c>
      <c r="S56" s="401">
        <v>0</v>
      </c>
      <c r="T56" s="400">
        <v>0</v>
      </c>
      <c r="U56" s="400">
        <v>0</v>
      </c>
      <c r="V56" s="401">
        <v>0</v>
      </c>
      <c r="W56" s="399">
        <v>0</v>
      </c>
      <c r="X56" s="400">
        <v>0</v>
      </c>
      <c r="Y56" s="401">
        <v>0</v>
      </c>
      <c r="Z56" s="400">
        <v>0</v>
      </c>
      <c r="AA56" s="400">
        <v>0</v>
      </c>
      <c r="AB56" s="401">
        <v>0</v>
      </c>
      <c r="AC56" s="399">
        <v>0</v>
      </c>
      <c r="AD56" s="400">
        <v>0</v>
      </c>
      <c r="AE56" s="401">
        <v>0</v>
      </c>
      <c r="AF56" s="402"/>
      <c r="AG56" s="402"/>
      <c r="AH56" s="403"/>
      <c r="AI56" s="399">
        <v>0</v>
      </c>
      <c r="AJ56" s="400">
        <v>0</v>
      </c>
      <c r="AK56" s="401">
        <v>0</v>
      </c>
      <c r="AL56" s="400">
        <v>0</v>
      </c>
      <c r="AM56" s="400">
        <v>0</v>
      </c>
      <c r="AN56" s="401">
        <v>0</v>
      </c>
      <c r="AO56" s="399">
        <v>0</v>
      </c>
      <c r="AP56" s="400">
        <v>0</v>
      </c>
      <c r="AQ56" s="401">
        <v>0</v>
      </c>
    </row>
    <row r="57" spans="1:43">
      <c r="A57" s="22" t="s">
        <v>64</v>
      </c>
      <c r="B57" s="399">
        <v>0</v>
      </c>
      <c r="C57" s="400">
        <v>6.5755194022701504</v>
      </c>
      <c r="D57" s="401">
        <v>11.853471909924847</v>
      </c>
      <c r="E57" s="399">
        <v>0</v>
      </c>
      <c r="F57" s="400">
        <v>0.48177499446874111</v>
      </c>
      <c r="G57" s="401">
        <v>0.48177499446874111</v>
      </c>
      <c r="H57" s="400">
        <v>0</v>
      </c>
      <c r="I57" s="400">
        <v>1.0643777042750924</v>
      </c>
      <c r="J57" s="401">
        <v>1.0643777042750924</v>
      </c>
      <c r="K57" s="399">
        <v>0</v>
      </c>
      <c r="L57" s="400">
        <v>1.2669712930477852</v>
      </c>
      <c r="M57" s="401">
        <v>5.9622178496366329</v>
      </c>
      <c r="N57" s="400">
        <v>0</v>
      </c>
      <c r="O57" s="400">
        <v>1.7813883247895728</v>
      </c>
      <c r="P57" s="401">
        <v>1.7813883247895728</v>
      </c>
      <c r="Q57" s="399">
        <v>0</v>
      </c>
      <c r="R57" s="400">
        <v>0.16938670294149036</v>
      </c>
      <c r="S57" s="401">
        <v>0.29523693952791918</v>
      </c>
      <c r="T57" s="400">
        <v>0</v>
      </c>
      <c r="U57" s="400">
        <v>0</v>
      </c>
      <c r="V57" s="401">
        <v>0.22545507580372454</v>
      </c>
      <c r="W57" s="399">
        <v>0</v>
      </c>
      <c r="X57" s="400">
        <v>7.9729170444739417</v>
      </c>
      <c r="Y57" s="401">
        <v>7.9729170444739417</v>
      </c>
      <c r="Z57" s="400">
        <v>0</v>
      </c>
      <c r="AA57" s="400">
        <v>8.0187418822080969E-2</v>
      </c>
      <c r="AB57" s="401">
        <v>7.3512968903330519E-2</v>
      </c>
      <c r="AC57" s="399">
        <v>0</v>
      </c>
      <c r="AD57" s="400">
        <v>1.8102774839431826</v>
      </c>
      <c r="AE57" s="401">
        <v>7.1059475292769561</v>
      </c>
      <c r="AF57" s="402"/>
      <c r="AG57" s="402"/>
      <c r="AH57" s="403"/>
      <c r="AI57" s="399">
        <v>0</v>
      </c>
      <c r="AJ57" s="400">
        <v>4.52920565939985E-2</v>
      </c>
      <c r="AK57" s="401">
        <v>4.52920565939985E-2</v>
      </c>
      <c r="AL57" s="400">
        <v>0</v>
      </c>
      <c r="AM57" s="400">
        <v>3.8391156272381778E-3</v>
      </c>
      <c r="AN57" s="401">
        <v>3.5089516832956945E-3</v>
      </c>
      <c r="AO57" s="399">
        <v>0</v>
      </c>
      <c r="AP57" s="400">
        <v>4.188814028452114E-2</v>
      </c>
      <c r="AQ57" s="401">
        <v>4.188814028452114E-2</v>
      </c>
    </row>
    <row r="58" spans="1:43">
      <c r="A58" s="22" t="s">
        <v>65</v>
      </c>
      <c r="B58" s="399">
        <v>0</v>
      </c>
      <c r="C58" s="400">
        <v>13.417421738184423</v>
      </c>
      <c r="D58" s="401">
        <v>12.09649502225566</v>
      </c>
      <c r="E58" s="399">
        <v>0</v>
      </c>
      <c r="F58" s="400">
        <v>1.7602360652495037</v>
      </c>
      <c r="G58" s="401">
        <v>1.7416702120874814</v>
      </c>
      <c r="H58" s="400">
        <v>0</v>
      </c>
      <c r="I58" s="400">
        <v>3.4075629602738444</v>
      </c>
      <c r="J58" s="401">
        <v>3.4075629602738444</v>
      </c>
      <c r="K58" s="399">
        <v>0</v>
      </c>
      <c r="L58" s="400">
        <v>13.652956509472498</v>
      </c>
      <c r="M58" s="401">
        <v>15.359576073156555</v>
      </c>
      <c r="N58" s="400">
        <v>0</v>
      </c>
      <c r="O58" s="400">
        <v>1.6540997892522351</v>
      </c>
      <c r="P58" s="401">
        <v>1.6540997892522351</v>
      </c>
      <c r="Q58" s="399">
        <v>0</v>
      </c>
      <c r="R58" s="400">
        <v>22.906268463658524</v>
      </c>
      <c r="S58" s="401">
        <v>23.113040068101601</v>
      </c>
      <c r="T58" s="400">
        <v>0</v>
      </c>
      <c r="U58" s="400">
        <v>2.6136999541391637</v>
      </c>
      <c r="V58" s="401">
        <v>2.6136999541391637</v>
      </c>
      <c r="W58" s="399">
        <v>0</v>
      </c>
      <c r="X58" s="400">
        <v>0.23535381775068351</v>
      </c>
      <c r="Y58" s="401">
        <v>0.23535381775068351</v>
      </c>
      <c r="Z58" s="400">
        <v>0</v>
      </c>
      <c r="AA58" s="400">
        <v>0.12832818152112666</v>
      </c>
      <c r="AB58" s="401">
        <v>0.3210321472578575</v>
      </c>
      <c r="AC58" s="399">
        <v>0</v>
      </c>
      <c r="AD58" s="400">
        <v>1.0121544269844733</v>
      </c>
      <c r="AE58" s="401">
        <v>0.80972354158757853</v>
      </c>
      <c r="AF58" s="402"/>
      <c r="AG58" s="402"/>
      <c r="AH58" s="403"/>
      <c r="AI58" s="399">
        <v>0</v>
      </c>
      <c r="AJ58" s="400">
        <v>0.43257777335862335</v>
      </c>
      <c r="AK58" s="401">
        <v>0.43257777335862335</v>
      </c>
      <c r="AL58" s="400">
        <v>0</v>
      </c>
      <c r="AM58" s="400">
        <v>0</v>
      </c>
      <c r="AN58" s="401">
        <v>0</v>
      </c>
      <c r="AO58" s="399">
        <v>0</v>
      </c>
      <c r="AP58" s="400">
        <v>0</v>
      </c>
      <c r="AQ58" s="401">
        <v>0</v>
      </c>
    </row>
    <row r="59" spans="1:43" ht="16.2">
      <c r="A59" s="22" t="s">
        <v>66</v>
      </c>
      <c r="B59" s="399">
        <v>0</v>
      </c>
      <c r="C59" s="400">
        <v>0</v>
      </c>
      <c r="D59" s="401">
        <v>0</v>
      </c>
      <c r="E59" s="399">
        <v>0</v>
      </c>
      <c r="F59" s="400">
        <v>0</v>
      </c>
      <c r="G59" s="401">
        <v>0</v>
      </c>
      <c r="H59" s="400">
        <v>0</v>
      </c>
      <c r="I59" s="400">
        <v>0</v>
      </c>
      <c r="J59" s="401">
        <v>0</v>
      </c>
      <c r="K59" s="399">
        <v>0</v>
      </c>
      <c r="L59" s="400">
        <v>0</v>
      </c>
      <c r="M59" s="401">
        <v>0</v>
      </c>
      <c r="N59" s="400">
        <v>0</v>
      </c>
      <c r="O59" s="400">
        <v>0</v>
      </c>
      <c r="P59" s="401">
        <v>0</v>
      </c>
      <c r="Q59" s="399">
        <v>0</v>
      </c>
      <c r="R59" s="400">
        <v>0</v>
      </c>
      <c r="S59" s="401">
        <v>0</v>
      </c>
      <c r="T59" s="400">
        <v>0</v>
      </c>
      <c r="U59" s="400">
        <v>0</v>
      </c>
      <c r="V59" s="401">
        <v>0</v>
      </c>
      <c r="W59" s="399">
        <v>0</v>
      </c>
      <c r="X59" s="400">
        <v>0</v>
      </c>
      <c r="Y59" s="401">
        <v>0</v>
      </c>
      <c r="Z59" s="400">
        <v>0</v>
      </c>
      <c r="AA59" s="400">
        <v>0</v>
      </c>
      <c r="AB59" s="401">
        <v>0</v>
      </c>
      <c r="AC59" s="399">
        <v>0</v>
      </c>
      <c r="AD59" s="400">
        <v>0</v>
      </c>
      <c r="AE59" s="401">
        <v>0</v>
      </c>
      <c r="AF59" s="402"/>
      <c r="AG59" s="402"/>
      <c r="AH59" s="403"/>
      <c r="AI59" s="399">
        <v>0</v>
      </c>
      <c r="AJ59" s="400">
        <v>0</v>
      </c>
      <c r="AK59" s="401">
        <v>0</v>
      </c>
      <c r="AL59" s="400">
        <v>0</v>
      </c>
      <c r="AM59" s="400">
        <v>0</v>
      </c>
      <c r="AN59" s="401">
        <v>0</v>
      </c>
      <c r="AO59" s="399">
        <v>0</v>
      </c>
      <c r="AP59" s="400">
        <v>0</v>
      </c>
      <c r="AQ59" s="401">
        <v>0</v>
      </c>
    </row>
    <row r="60" spans="1:43">
      <c r="A60" s="22" t="s">
        <v>67</v>
      </c>
      <c r="B60" s="404">
        <v>0</v>
      </c>
      <c r="C60" s="405">
        <v>29.39830773422764</v>
      </c>
      <c r="D60" s="406">
        <v>33.713899647738586</v>
      </c>
      <c r="E60" s="404">
        <v>0</v>
      </c>
      <c r="F60" s="405">
        <v>3.812647593097183</v>
      </c>
      <c r="G60" s="406">
        <v>3.0501180744777474</v>
      </c>
      <c r="H60" s="405">
        <v>0</v>
      </c>
      <c r="I60" s="405">
        <v>5.024403354270377</v>
      </c>
      <c r="J60" s="406">
        <v>5.024403354270377</v>
      </c>
      <c r="K60" s="404">
        <v>0</v>
      </c>
      <c r="L60" s="405">
        <v>11.823149206455669</v>
      </c>
      <c r="M60" s="406">
        <v>23.383561763902367</v>
      </c>
      <c r="N60" s="405">
        <v>0</v>
      </c>
      <c r="O60" s="405">
        <v>6.2342139707461168</v>
      </c>
      <c r="P60" s="406">
        <v>6.2342139707461168</v>
      </c>
      <c r="Q60" s="404">
        <v>0</v>
      </c>
      <c r="R60" s="405">
        <v>6.8072254518520605</v>
      </c>
      <c r="S60" s="406">
        <v>13.38272951398419</v>
      </c>
      <c r="T60" s="405">
        <v>0</v>
      </c>
      <c r="U60" s="405">
        <v>8.5864133435804302</v>
      </c>
      <c r="V60" s="406">
        <v>8.5864133435804302</v>
      </c>
      <c r="W60" s="404">
        <v>0</v>
      </c>
      <c r="X60" s="405">
        <v>7.7567374647756138</v>
      </c>
      <c r="Y60" s="406">
        <v>9.1255734879713124</v>
      </c>
      <c r="Z60" s="405">
        <v>0</v>
      </c>
      <c r="AA60" s="405">
        <v>0</v>
      </c>
      <c r="AB60" s="406">
        <v>0</v>
      </c>
      <c r="AC60" s="404">
        <v>0</v>
      </c>
      <c r="AD60" s="405">
        <v>6.7132210810684914</v>
      </c>
      <c r="AE60" s="406">
        <v>6.7132210810684914</v>
      </c>
      <c r="AF60" s="407"/>
      <c r="AG60" s="407"/>
      <c r="AH60" s="408"/>
      <c r="AI60" s="404">
        <v>0</v>
      </c>
      <c r="AJ60" s="405">
        <v>0</v>
      </c>
      <c r="AK60" s="406">
        <v>0</v>
      </c>
      <c r="AL60" s="405">
        <v>0</v>
      </c>
      <c r="AM60" s="405">
        <v>0</v>
      </c>
      <c r="AN60" s="406">
        <v>0</v>
      </c>
      <c r="AO60" s="404">
        <v>0</v>
      </c>
      <c r="AP60" s="405">
        <v>0</v>
      </c>
      <c r="AQ60" s="406">
        <v>0</v>
      </c>
    </row>
    <row r="62" spans="1:43">
      <c r="A62" s="39"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89" t="s">
        <v>35</v>
      </c>
      <c r="N64" s="789"/>
      <c r="O64" s="784" t="s">
        <v>70</v>
      </c>
      <c r="P64" s="784"/>
      <c r="Q64" s="784" t="s">
        <v>71</v>
      </c>
      <c r="R64" s="784"/>
      <c r="S64" s="784"/>
    </row>
    <row r="65" spans="1:19">
      <c r="A65" s="7"/>
      <c r="B65" s="3"/>
      <c r="C65" s="3"/>
      <c r="D65" s="3"/>
      <c r="E65" s="3"/>
      <c r="F65" s="784" t="s">
        <v>26</v>
      </c>
      <c r="G65" s="784"/>
      <c r="H65" s="784" t="s">
        <v>27</v>
      </c>
      <c r="I65" s="784"/>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7" t="s">
        <v>38</v>
      </c>
      <c r="M66" s="430">
        <f>C40</f>
        <v>311.11205800135662</v>
      </c>
      <c r="N66" s="430">
        <f>D40</f>
        <v>459.43986544117706</v>
      </c>
      <c r="O66" s="409">
        <f>M66*$F$72</f>
        <v>172.01778222614712</v>
      </c>
      <c r="P66" s="409">
        <f>N66*$H$72</f>
        <v>225.51218084579901</v>
      </c>
      <c r="Q66" s="409">
        <f>M66-O66</f>
        <v>139.0942757752095</v>
      </c>
      <c r="R66" s="409">
        <f>N66-P66</f>
        <v>233.92768459537805</v>
      </c>
      <c r="S66" s="410">
        <v>118.086</v>
      </c>
    </row>
    <row r="67" spans="1:19">
      <c r="A67" s="786" t="s">
        <v>71</v>
      </c>
      <c r="B67" s="369" t="s">
        <v>73</v>
      </c>
      <c r="C67" s="369"/>
      <c r="D67" s="369"/>
      <c r="E67" s="369"/>
      <c r="F67" s="431">
        <v>468.60405229702383</v>
      </c>
      <c r="G67" s="375">
        <v>223.45256481907882</v>
      </c>
      <c r="H67" s="431">
        <v>474.8694838274364</v>
      </c>
      <c r="I67" s="376">
        <v>457.10804500834865</v>
      </c>
      <c r="K67" s="27" t="s">
        <v>39</v>
      </c>
      <c r="M67" s="430">
        <f>F40</f>
        <v>46.335232901020952</v>
      </c>
      <c r="N67" s="430">
        <f>G40</f>
        <v>52.259539647193108</v>
      </c>
      <c r="O67" s="409">
        <f t="shared" ref="O67:O75" si="23">M67*$F$72</f>
        <v>25.619334891002115</v>
      </c>
      <c r="P67" s="409">
        <f t="shared" ref="P67:P79" si="24">N67*$H$72</f>
        <v>25.651154029742969</v>
      </c>
      <c r="Q67" s="409"/>
      <c r="R67" s="409"/>
      <c r="S67" s="410"/>
    </row>
    <row r="68" spans="1:19">
      <c r="A68" s="787"/>
      <c r="B68" s="372" t="s">
        <v>74</v>
      </c>
      <c r="C68" s="372"/>
      <c r="D68" s="372"/>
      <c r="E68" s="372"/>
      <c r="F68" s="432">
        <v>340</v>
      </c>
      <c r="G68" s="377">
        <v>684</v>
      </c>
      <c r="H68" s="432">
        <v>550</v>
      </c>
      <c r="I68" s="378">
        <v>1000</v>
      </c>
      <c r="K68" s="27" t="s">
        <v>75</v>
      </c>
      <c r="M68" s="430">
        <f>I40</f>
        <v>130.72223683333578</v>
      </c>
      <c r="N68" s="430">
        <f>J40</f>
        <v>132.56068832706404</v>
      </c>
      <c r="O68" s="409">
        <f t="shared" si="23"/>
        <v>72.277974091295192</v>
      </c>
      <c r="P68" s="409">
        <f t="shared" si="24"/>
        <v>65.066295216569216</v>
      </c>
      <c r="Q68" s="409"/>
      <c r="R68" s="409"/>
      <c r="S68" s="410"/>
    </row>
    <row r="69" spans="1:19">
      <c r="A69" s="786" t="s">
        <v>76</v>
      </c>
      <c r="B69" s="369" t="s">
        <v>77</v>
      </c>
      <c r="C69" s="369"/>
      <c r="D69" s="369"/>
      <c r="E69" s="369"/>
      <c r="F69" s="431">
        <v>0</v>
      </c>
      <c r="G69" s="375">
        <v>0</v>
      </c>
      <c r="H69" s="431">
        <v>0</v>
      </c>
      <c r="I69" s="376">
        <v>0</v>
      </c>
      <c r="K69" s="27" t="s">
        <v>41</v>
      </c>
      <c r="M69" s="430">
        <f>L40</f>
        <v>74.088729504784894</v>
      </c>
      <c r="N69" s="430">
        <f>M40</f>
        <v>120.7218845989386</v>
      </c>
      <c r="O69" s="409">
        <f t="shared" si="23"/>
        <v>40.964593334117687</v>
      </c>
      <c r="P69" s="409">
        <f t="shared" si="24"/>
        <v>59.255318311525784</v>
      </c>
      <c r="Q69" s="409">
        <f t="shared" ref="Q69:R72" si="25">M69-O69</f>
        <v>33.124136170667207</v>
      </c>
      <c r="R69" s="409">
        <f t="shared" si="25"/>
        <v>61.466566287412817</v>
      </c>
      <c r="S69" s="410">
        <v>46.62</v>
      </c>
    </row>
    <row r="70" spans="1:19">
      <c r="A70" s="788"/>
      <c r="B70" s="22" t="s">
        <v>78</v>
      </c>
      <c r="F70" s="433">
        <v>87</v>
      </c>
      <c r="G70" s="379">
        <v>0</v>
      </c>
      <c r="H70" s="433">
        <v>184</v>
      </c>
      <c r="I70" s="380">
        <v>138</v>
      </c>
      <c r="K70" s="27" t="s">
        <v>42</v>
      </c>
      <c r="M70" s="430">
        <f>O40</f>
        <v>54.821574645440514</v>
      </c>
      <c r="N70" s="430">
        <f>P40</f>
        <v>89.312002815147437</v>
      </c>
      <c r="O70" s="409">
        <f t="shared" si="23"/>
        <v>30.311540315202869</v>
      </c>
      <c r="P70" s="409">
        <f t="shared" si="24"/>
        <v>43.838042898627663</v>
      </c>
      <c r="Q70" s="409"/>
      <c r="R70" s="409"/>
      <c r="S70" s="410"/>
    </row>
    <row r="71" spans="1:19">
      <c r="A71" s="787"/>
      <c r="B71" s="372" t="s">
        <v>79</v>
      </c>
      <c r="C71" s="372"/>
      <c r="D71" s="372"/>
      <c r="E71" s="372"/>
      <c r="F71" s="432">
        <v>913</v>
      </c>
      <c r="G71" s="377">
        <v>1385</v>
      </c>
      <c r="H71" s="432">
        <v>804</v>
      </c>
      <c r="I71" s="378">
        <v>1388</v>
      </c>
      <c r="K71" s="27" t="s">
        <v>43</v>
      </c>
      <c r="M71" s="430">
        <f>R40</f>
        <v>54.721491568284463</v>
      </c>
      <c r="N71" s="430">
        <f>S40</f>
        <v>111.41957375845183</v>
      </c>
      <c r="O71" s="409">
        <f t="shared" si="23"/>
        <v>30.256203119076975</v>
      </c>
      <c r="P71" s="409">
        <f t="shared" si="24"/>
        <v>54.689357535507156</v>
      </c>
      <c r="Q71" s="409"/>
      <c r="R71" s="409"/>
      <c r="S71" s="410"/>
    </row>
    <row r="72" spans="1:19">
      <c r="A72" s="381" t="s">
        <v>80</v>
      </c>
      <c r="B72" s="382"/>
      <c r="C72" s="382"/>
      <c r="D72" s="382"/>
      <c r="E72" s="382"/>
      <c r="F72" s="434">
        <f>SUM(F69:F71)/SUM(F67:F71)</f>
        <v>0.55291261718116058</v>
      </c>
      <c r="G72" s="383">
        <f t="shared" ref="G72:I72" si="26">SUM(G69:G71)/SUM(G67:G71)</f>
        <v>0.60415644853672457</v>
      </c>
      <c r="H72" s="434">
        <f t="shared" si="26"/>
        <v>0.49084156123293954</v>
      </c>
      <c r="I72" s="384">
        <f t="shared" si="26"/>
        <v>0.51154700968792077</v>
      </c>
      <c r="K72" s="27" t="s">
        <v>44</v>
      </c>
      <c r="M72" s="430">
        <f>U40</f>
        <v>39.690943360222448</v>
      </c>
      <c r="N72" s="430">
        <f>V40</f>
        <v>72.042696364184295</v>
      </c>
      <c r="O72" s="409">
        <f t="shared" si="23"/>
        <v>21.945623371689802</v>
      </c>
      <c r="P72" s="409">
        <f t="shared" si="24"/>
        <v>35.361549558826837</v>
      </c>
      <c r="Q72" s="409">
        <f t="shared" si="25"/>
        <v>17.745319988532646</v>
      </c>
      <c r="R72" s="409">
        <f t="shared" si="25"/>
        <v>36.681146805357457</v>
      </c>
      <c r="S72" s="410">
        <v>20</v>
      </c>
    </row>
    <row r="73" spans="1:19">
      <c r="A73" s="27"/>
      <c r="B73" s="26"/>
      <c r="K73" s="27" t="s">
        <v>45</v>
      </c>
      <c r="M73" s="430">
        <f>X40</f>
        <v>36.960263907034189</v>
      </c>
      <c r="N73" s="430">
        <f>Y40</f>
        <v>56.067785207810431</v>
      </c>
      <c r="O73" s="409">
        <f t="shared" si="23"/>
        <v>20.435796248544662</v>
      </c>
      <c r="P73" s="409">
        <f t="shared" si="24"/>
        <v>27.520399226274787</v>
      </c>
      <c r="Q73" s="410"/>
      <c r="R73" s="410"/>
      <c r="S73" s="410"/>
    </row>
    <row r="74" spans="1:19">
      <c r="A74" s="28"/>
      <c r="B74" s="29"/>
      <c r="K74" s="27" t="s">
        <v>46</v>
      </c>
      <c r="M74" s="430">
        <f>AA40</f>
        <v>7.3503727615762235</v>
      </c>
      <c r="N74" s="430">
        <f>AB40</f>
        <v>8.3683482891023822</v>
      </c>
      <c r="O74" s="409">
        <f t="shared" si="23"/>
        <v>4.0641138408602249</v>
      </c>
      <c r="P74" s="409">
        <f t="shared" si="24"/>
        <v>4.107533139164012</v>
      </c>
      <c r="Q74" s="410"/>
      <c r="R74" s="410"/>
      <c r="S74" s="410"/>
    </row>
    <row r="75" spans="1:19">
      <c r="A75" s="27"/>
      <c r="B75" s="26"/>
      <c r="K75" s="27" t="s">
        <v>47</v>
      </c>
      <c r="M75" s="430">
        <f>AD40</f>
        <v>25.879323426057109</v>
      </c>
      <c r="N75" s="430">
        <f>AE40</f>
        <v>33.968225953407867</v>
      </c>
      <c r="O75" s="409">
        <f t="shared" si="23"/>
        <v>14.309004446378955</v>
      </c>
      <c r="P75" s="409">
        <f t="shared" si="24"/>
        <v>16.673017059283975</v>
      </c>
      <c r="Q75" s="410"/>
      <c r="R75" s="410"/>
      <c r="S75" s="410"/>
    </row>
    <row r="76" spans="1:19">
      <c r="A76" s="27"/>
      <c r="B76" s="30"/>
      <c r="K76" s="27" t="s">
        <v>48</v>
      </c>
      <c r="M76" s="430"/>
      <c r="N76" s="430"/>
      <c r="O76" s="409"/>
      <c r="P76" s="409"/>
      <c r="Q76" s="410"/>
      <c r="R76" s="410"/>
      <c r="S76" s="410"/>
    </row>
    <row r="77" spans="1:19">
      <c r="A77" s="27"/>
      <c r="B77" s="30"/>
      <c r="K77" s="27" t="s">
        <v>49</v>
      </c>
      <c r="M77" s="430">
        <f>AJ40</f>
        <v>10.859895060473843</v>
      </c>
      <c r="N77" s="430">
        <f>AK40</f>
        <v>12.318739056970907</v>
      </c>
      <c r="O77" s="409">
        <f>M77*$F$72</f>
        <v>6.0045730001993505</v>
      </c>
      <c r="P77" s="409">
        <f t="shared" si="24"/>
        <v>6.0465491111447891</v>
      </c>
      <c r="Q77" s="410"/>
      <c r="R77" s="410"/>
      <c r="S77" s="410"/>
    </row>
    <row r="78" spans="1:19">
      <c r="A78" s="27"/>
      <c r="B78" s="30"/>
      <c r="K78" s="27" t="s">
        <v>50</v>
      </c>
      <c r="M78" s="430">
        <f>AM40</f>
        <v>1.1363240447190652</v>
      </c>
      <c r="N78" s="430">
        <f>AN40</f>
        <v>3.0216700064004947</v>
      </c>
      <c r="O78" s="409">
        <f t="shared" ref="O78:O79" si="27">M78*$F$72</f>
        <v>0.62828790153150049</v>
      </c>
      <c r="P78" s="409">
        <f t="shared" si="24"/>
        <v>1.4831612234723652</v>
      </c>
      <c r="Q78" s="410"/>
      <c r="R78" s="410"/>
      <c r="S78" s="410"/>
    </row>
    <row r="79" spans="1:19">
      <c r="A79" s="31"/>
      <c r="K79" s="27" t="s">
        <v>51</v>
      </c>
      <c r="M79" s="430">
        <f>AP40</f>
        <v>0.88299880190449964</v>
      </c>
      <c r="N79" s="430">
        <f>AQ40</f>
        <v>0.90487307825286611</v>
      </c>
      <c r="O79" s="409">
        <f t="shared" si="27"/>
        <v>0.48822117852884606</v>
      </c>
      <c r="P79" s="409">
        <f t="shared" si="24"/>
        <v>0.44414931444729266</v>
      </c>
      <c r="Q79" s="410"/>
      <c r="R79" s="410"/>
      <c r="S79" s="410"/>
    </row>
    <row r="80" spans="1:19">
      <c r="A80" s="27"/>
      <c r="B80" s="26"/>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2"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2" t="s">
        <v>10</v>
      </c>
    </row>
    <row r="87" spans="1:43">
      <c r="B87" s="783" t="s">
        <v>11</v>
      </c>
      <c r="C87" s="783"/>
      <c r="D87" s="783"/>
      <c r="E87" s="783" t="s">
        <v>12</v>
      </c>
      <c r="F87" s="783"/>
      <c r="G87" s="783"/>
      <c r="H87" s="783" t="s">
        <v>84</v>
      </c>
      <c r="I87" s="783"/>
      <c r="J87" s="783"/>
      <c r="K87" s="783" t="s">
        <v>14</v>
      </c>
      <c r="L87" s="783"/>
      <c r="M87" s="783"/>
      <c r="N87" s="783" t="s">
        <v>15</v>
      </c>
      <c r="O87" s="783"/>
      <c r="P87" s="783"/>
      <c r="Q87" s="783" t="s">
        <v>16</v>
      </c>
      <c r="R87" s="783"/>
      <c r="S87" s="783"/>
      <c r="T87" s="783" t="s">
        <v>17</v>
      </c>
      <c r="U87" s="783"/>
      <c r="V87" s="783"/>
      <c r="W87" s="783" t="s">
        <v>18</v>
      </c>
      <c r="X87" s="783"/>
      <c r="Y87" s="783"/>
      <c r="Z87" s="783" t="s">
        <v>19</v>
      </c>
      <c r="AA87" s="783"/>
      <c r="AB87" s="783"/>
      <c r="AC87" s="783" t="s">
        <v>20</v>
      </c>
      <c r="AD87" s="783"/>
      <c r="AE87" s="783"/>
      <c r="AF87" s="783" t="s">
        <v>85</v>
      </c>
      <c r="AG87" s="783"/>
      <c r="AH87" s="783"/>
      <c r="AI87" s="783" t="s">
        <v>22</v>
      </c>
      <c r="AJ87" s="783"/>
      <c r="AK87" s="783"/>
      <c r="AL87" s="783" t="s">
        <v>23</v>
      </c>
      <c r="AM87" s="783"/>
      <c r="AN87" s="783"/>
      <c r="AO87" s="783" t="s">
        <v>24</v>
      </c>
      <c r="AP87" s="783"/>
      <c r="AQ87" s="783"/>
    </row>
    <row r="88" spans="1:43">
      <c r="A88" s="25"/>
      <c r="B88" s="368" t="s">
        <v>25</v>
      </c>
      <c r="C88" s="368" t="s">
        <v>26</v>
      </c>
      <c r="D88" s="368" t="s">
        <v>27</v>
      </c>
      <c r="E88" s="368" t="s">
        <v>25</v>
      </c>
      <c r="F88" s="368" t="s">
        <v>26</v>
      </c>
      <c r="G88" s="368" t="s">
        <v>27</v>
      </c>
      <c r="H88" s="368" t="s">
        <v>25</v>
      </c>
      <c r="I88" s="368" t="s">
        <v>26</v>
      </c>
      <c r="J88" s="368" t="s">
        <v>27</v>
      </c>
      <c r="K88" s="368" t="s">
        <v>25</v>
      </c>
      <c r="L88" s="368" t="s">
        <v>26</v>
      </c>
      <c r="M88" s="368" t="s">
        <v>27</v>
      </c>
      <c r="N88" s="368" t="s">
        <v>25</v>
      </c>
      <c r="O88" s="368" t="s">
        <v>26</v>
      </c>
      <c r="P88" s="368" t="s">
        <v>27</v>
      </c>
      <c r="Q88" s="368" t="s">
        <v>25</v>
      </c>
      <c r="R88" s="368" t="s">
        <v>26</v>
      </c>
      <c r="S88" s="368" t="s">
        <v>27</v>
      </c>
      <c r="T88" s="368" t="s">
        <v>25</v>
      </c>
      <c r="U88" s="368" t="s">
        <v>26</v>
      </c>
      <c r="V88" s="368" t="s">
        <v>27</v>
      </c>
      <c r="W88" s="368" t="s">
        <v>25</v>
      </c>
      <c r="X88" s="368" t="s">
        <v>26</v>
      </c>
      <c r="Y88" s="368" t="s">
        <v>27</v>
      </c>
      <c r="Z88" s="368" t="s">
        <v>25</v>
      </c>
      <c r="AA88" s="368" t="s">
        <v>26</v>
      </c>
      <c r="AB88" s="368" t="s">
        <v>27</v>
      </c>
      <c r="AC88" s="368" t="s">
        <v>25</v>
      </c>
      <c r="AD88" s="368" t="s">
        <v>26</v>
      </c>
      <c r="AE88" s="368" t="s">
        <v>27</v>
      </c>
      <c r="AF88" s="368" t="s">
        <v>25</v>
      </c>
      <c r="AG88" s="368" t="s">
        <v>26</v>
      </c>
      <c r="AH88" s="368" t="s">
        <v>27</v>
      </c>
      <c r="AI88" s="368" t="s">
        <v>25</v>
      </c>
      <c r="AJ88" s="368" t="s">
        <v>26</v>
      </c>
      <c r="AK88" s="368" t="s">
        <v>27</v>
      </c>
      <c r="AL88" s="368" t="s">
        <v>25</v>
      </c>
      <c r="AM88" s="368" t="s">
        <v>26</v>
      </c>
      <c r="AN88" s="368" t="s">
        <v>27</v>
      </c>
      <c r="AO88" s="368" t="s">
        <v>25</v>
      </c>
      <c r="AP88" s="368" t="s">
        <v>26</v>
      </c>
      <c r="AQ88" s="368" t="s">
        <v>27</v>
      </c>
    </row>
    <row r="89" spans="1:43">
      <c r="A89" s="27" t="s">
        <v>28</v>
      </c>
      <c r="B89" s="388">
        <v>125.26950242051855</v>
      </c>
      <c r="C89" s="395">
        <f t="shared" ref="C89:C95" si="28">B18+(C18-B18)*16/21</f>
        <v>153.66758177112899</v>
      </c>
      <c r="D89" s="396">
        <f t="shared" ref="D89:D95" si="29">B18+(D18-B18)*16/21</f>
        <v>176.07309495123462</v>
      </c>
      <c r="E89" s="388">
        <v>147.54933996614554</v>
      </c>
      <c r="F89" s="395">
        <f t="shared" ref="F89:F95" si="30">E18+(F18-E18)*16/21</f>
        <v>143.99635544196605</v>
      </c>
      <c r="G89" s="396">
        <f t="shared" ref="G89:G95" si="31">E18+(G18-E18)*16/21</f>
        <v>143.81467752220593</v>
      </c>
      <c r="H89" s="389">
        <v>105.41376793036197</v>
      </c>
      <c r="I89" s="395">
        <f t="shared" ref="I89:I95" si="32">H18+(I18-H18)*16/21</f>
        <v>121.41605975253874</v>
      </c>
      <c r="J89" s="396">
        <f t="shared" ref="J89:J95" si="33">H18+(J18-H18)*16/21</f>
        <v>121.79852657048987</v>
      </c>
      <c r="K89" s="388">
        <v>72.986245663576753</v>
      </c>
      <c r="L89" s="395">
        <f t="shared" ref="L89:L95" si="34">K18+(L18-K18)*16/21</f>
        <v>78.215123032494148</v>
      </c>
      <c r="M89" s="396">
        <f t="shared" ref="M89:M95" si="35">K18+(M18-K18)*16/21</f>
        <v>84.317743267810741</v>
      </c>
      <c r="N89" s="388">
        <v>27.808623684300141</v>
      </c>
      <c r="O89" s="395">
        <f t="shared" ref="O89:O95" si="36">N18+(O18-N18)*16/21</f>
        <v>36.011125659036281</v>
      </c>
      <c r="P89" s="396">
        <f t="shared" ref="P89:P95" si="37">N18+(P18-N18)*16/21</f>
        <v>31.43780859917582</v>
      </c>
      <c r="Q89" s="388">
        <v>23.020608525803496</v>
      </c>
      <c r="R89" s="395">
        <f t="shared" ref="R89:R95" si="38">Q18+(R18-Q18)*16/21</f>
        <v>29.7909978577392</v>
      </c>
      <c r="S89" s="396">
        <f t="shared" ref="S89:S95" si="39">Q18+(S18-Q18)*16/21</f>
        <v>30.402566154165022</v>
      </c>
      <c r="T89" s="388">
        <v>16.848878942666087</v>
      </c>
      <c r="U89" s="395">
        <f t="shared" ref="U89:U95" si="40">T18+(U18-T18)*16/21</f>
        <v>21.497694411829968</v>
      </c>
      <c r="V89" s="396">
        <f t="shared" ref="V89:V95" si="41">T18+(V18-T18)*16/21</f>
        <v>20.804104187278824</v>
      </c>
      <c r="W89" s="388">
        <v>45.961397149719552</v>
      </c>
      <c r="X89" s="395">
        <f t="shared" ref="X89:X95" si="42">W18+(X18-W18)*16/21</f>
        <v>41.906182068955047</v>
      </c>
      <c r="Y89" s="396">
        <f t="shared" ref="Y89:Y95" si="43">W18+(Y18-W18)*16/21</f>
        <v>40.146627118559557</v>
      </c>
      <c r="Z89" s="388">
        <v>9.758237114062764</v>
      </c>
      <c r="AA89" s="395">
        <f t="shared" ref="AA89:AA95" si="44">Z18+(AA18-Z18)*16/21</f>
        <v>9.7006107218584283</v>
      </c>
      <c r="AB89" s="396">
        <f t="shared" ref="AB89:AB95" si="45">Z18+(AB18-Z18)*16/21</f>
        <v>9.7792240616378034</v>
      </c>
      <c r="AC89" s="388">
        <v>24.142483306732149</v>
      </c>
      <c r="AD89" s="395">
        <f t="shared" ref="AD89:AD95" si="46">AC18+(AD18-AC18)*16/21</f>
        <v>28.469495522034578</v>
      </c>
      <c r="AE89" s="396">
        <f t="shared" ref="AE89:AE95" si="47">AC18+(AE18-AC18)*16/21</f>
        <v>30.000488178130617</v>
      </c>
      <c r="AF89" s="385"/>
      <c r="AG89" s="369"/>
      <c r="AH89" s="370"/>
      <c r="AI89" s="388">
        <v>2.9127387221315666</v>
      </c>
      <c r="AJ89" s="395">
        <f t="shared" ref="AJ89:AJ95" si="48">AI18+(AJ18-AI18)*16/21</f>
        <v>2.8098723762644182</v>
      </c>
      <c r="AK89" s="396">
        <f t="shared" ref="AK89:AK95" si="49">AI18+(AK18-AI18)*16/21</f>
        <v>2.4378428248185458</v>
      </c>
      <c r="AL89" s="388">
        <v>1.6523386281414354</v>
      </c>
      <c r="AM89" s="395">
        <f t="shared" ref="AM89:AM95" si="50">AL18+(AM18-AL18)*16/21</f>
        <v>1.9358977129058608</v>
      </c>
      <c r="AN89" s="396">
        <f t="shared" ref="AN89:AN95" si="51">AL18+(AN18-AL18)*16/21</f>
        <v>1.5983181514344491</v>
      </c>
      <c r="AO89" s="388">
        <v>2.111576813110585</v>
      </c>
      <c r="AP89" s="395">
        <f t="shared" ref="AP89:AP95" si="52">AO18+(AP18-AO18)*16/21</f>
        <v>2.6827496882992818</v>
      </c>
      <c r="AQ89" s="396">
        <f t="shared" ref="AQ89:AQ95" si="53">AO18+(AQ18-AO18)*16/21</f>
        <v>2.6188318003285431</v>
      </c>
    </row>
    <row r="90" spans="1:43">
      <c r="A90" s="27" t="s">
        <v>29</v>
      </c>
      <c r="B90" s="390">
        <v>112.18381084093178</v>
      </c>
      <c r="C90" s="400">
        <f t="shared" si="28"/>
        <v>105.14895832788002</v>
      </c>
      <c r="D90" s="401">
        <f t="shared" si="29"/>
        <v>106.23954547971701</v>
      </c>
      <c r="E90" s="390">
        <v>127.44248196798941</v>
      </c>
      <c r="F90" s="400">
        <f t="shared" si="30"/>
        <v>93.880768058074182</v>
      </c>
      <c r="G90" s="401">
        <f t="shared" si="31"/>
        <v>93.881146805198682</v>
      </c>
      <c r="H90" s="391">
        <v>89.178913906190502</v>
      </c>
      <c r="I90" s="400">
        <f t="shared" si="32"/>
        <v>103.48243159346795</v>
      </c>
      <c r="J90" s="401">
        <f t="shared" si="33"/>
        <v>82.968115051684762</v>
      </c>
      <c r="K90" s="390">
        <v>68.405060171341333</v>
      </c>
      <c r="L90" s="400">
        <f t="shared" si="34"/>
        <v>57.051533750861694</v>
      </c>
      <c r="M90" s="401">
        <f t="shared" si="35"/>
        <v>57.107080128706642</v>
      </c>
      <c r="N90" s="390">
        <v>44.395861473465111</v>
      </c>
      <c r="O90" s="400">
        <f t="shared" si="36"/>
        <v>37.582164295274382</v>
      </c>
      <c r="P90" s="401">
        <f t="shared" si="37"/>
        <v>38.199255145958823</v>
      </c>
      <c r="Q90" s="390">
        <v>32.629185559677026</v>
      </c>
      <c r="R90" s="400">
        <f t="shared" si="38"/>
        <v>28.311441247641774</v>
      </c>
      <c r="S90" s="401">
        <f t="shared" si="39"/>
        <v>31.67865400647764</v>
      </c>
      <c r="T90" s="390">
        <v>19.90063035145856</v>
      </c>
      <c r="U90" s="400">
        <f t="shared" si="40"/>
        <v>19.093401415301642</v>
      </c>
      <c r="V90" s="401">
        <f t="shared" si="41"/>
        <v>18.593163704408006</v>
      </c>
      <c r="W90" s="390">
        <v>25.860808652649304</v>
      </c>
      <c r="X90" s="400">
        <f t="shared" si="42"/>
        <v>21.775450134982655</v>
      </c>
      <c r="Y90" s="401">
        <f t="shared" si="43"/>
        <v>21.152054174879538</v>
      </c>
      <c r="Z90" s="390">
        <v>8.5369914127732667</v>
      </c>
      <c r="AA90" s="400">
        <f t="shared" si="44"/>
        <v>8.3422871720744052</v>
      </c>
      <c r="AB90" s="401">
        <f t="shared" si="45"/>
        <v>8.137300857866407</v>
      </c>
      <c r="AC90" s="390">
        <v>18.496723118567548</v>
      </c>
      <c r="AD90" s="400">
        <f t="shared" si="46"/>
        <v>16.799815154664365</v>
      </c>
      <c r="AE90" s="401">
        <f t="shared" si="47"/>
        <v>17.913485428676417</v>
      </c>
      <c r="AF90" s="386"/>
      <c r="AH90" s="371"/>
      <c r="AI90" s="390">
        <v>3.0953999568750752</v>
      </c>
      <c r="AJ90" s="400">
        <f t="shared" si="48"/>
        <v>2.8988923282763537</v>
      </c>
      <c r="AK90" s="401">
        <f t="shared" si="49"/>
        <v>2.91807564740331</v>
      </c>
      <c r="AL90" s="390">
        <v>2.4259820996468116</v>
      </c>
      <c r="AM90" s="400">
        <f t="shared" si="50"/>
        <v>2.1452329862932045</v>
      </c>
      <c r="AN90" s="401">
        <f t="shared" si="51"/>
        <v>2.1629604972400815</v>
      </c>
      <c r="AO90" s="390">
        <v>2.6073906524463841</v>
      </c>
      <c r="AP90" s="400">
        <f t="shared" si="52"/>
        <v>2.503677606404938</v>
      </c>
      <c r="AQ90" s="401">
        <f t="shared" si="53"/>
        <v>2.4616749384394776</v>
      </c>
    </row>
    <row r="91" spans="1:43">
      <c r="A91" s="27" t="s">
        <v>30</v>
      </c>
      <c r="B91" s="390">
        <v>252.63388888901002</v>
      </c>
      <c r="C91" s="400">
        <f t="shared" si="28"/>
        <v>368.57120781406013</v>
      </c>
      <c r="D91" s="401">
        <f t="shared" si="29"/>
        <v>247.41076741074411</v>
      </c>
      <c r="E91" s="390">
        <v>135.61282805559642</v>
      </c>
      <c r="F91" s="400">
        <f t="shared" si="30"/>
        <v>154.15362384365207</v>
      </c>
      <c r="G91" s="401">
        <f t="shared" si="31"/>
        <v>146.34564392105131</v>
      </c>
      <c r="H91" s="391">
        <v>99.852868611171687</v>
      </c>
      <c r="I91" s="400">
        <f t="shared" si="32"/>
        <v>101.4489567490502</v>
      </c>
      <c r="J91" s="401">
        <f t="shared" si="33"/>
        <v>99.213307672515313</v>
      </c>
      <c r="K91" s="390">
        <v>89.951833333411074</v>
      </c>
      <c r="L91" s="400">
        <f t="shared" si="34"/>
        <v>88.032615671732771</v>
      </c>
      <c r="M91" s="401">
        <f t="shared" si="35"/>
        <v>71.658619228718706</v>
      </c>
      <c r="N91" s="390">
        <v>73.352501666753241</v>
      </c>
      <c r="O91" s="400">
        <f t="shared" si="36"/>
        <v>84.969825301527095</v>
      </c>
      <c r="P91" s="401">
        <f t="shared" si="37"/>
        <v>76.028781357993708</v>
      </c>
      <c r="Q91" s="390">
        <v>45.331309203355609</v>
      </c>
      <c r="R91" s="400">
        <f t="shared" si="38"/>
        <v>90.665983769990845</v>
      </c>
      <c r="S91" s="401">
        <f t="shared" si="39"/>
        <v>70.04149139775582</v>
      </c>
      <c r="T91" s="390">
        <v>41.908422222246053</v>
      </c>
      <c r="U91" s="400">
        <f t="shared" si="40"/>
        <v>71.490567500696272</v>
      </c>
      <c r="V91" s="401">
        <f t="shared" si="41"/>
        <v>66.969203311349759</v>
      </c>
      <c r="W91" s="390">
        <v>55.423944444485777</v>
      </c>
      <c r="X91" s="400">
        <f t="shared" si="42"/>
        <v>106.76237665245722</v>
      </c>
      <c r="Y91" s="401">
        <f t="shared" si="43"/>
        <v>93.995079635535774</v>
      </c>
      <c r="Z91" s="390">
        <v>10.935953333337894</v>
      </c>
      <c r="AA91" s="400">
        <f t="shared" si="44"/>
        <v>13.535981127230176</v>
      </c>
      <c r="AB91" s="401">
        <f t="shared" si="45"/>
        <v>7.9496197993009226</v>
      </c>
      <c r="AC91" s="390">
        <v>41.166333333363887</v>
      </c>
      <c r="AD91" s="400">
        <f t="shared" si="46"/>
        <v>75.177526568692485</v>
      </c>
      <c r="AE91" s="401">
        <f t="shared" si="47"/>
        <v>62.180384954316203</v>
      </c>
      <c r="AF91" s="386"/>
      <c r="AH91" s="371"/>
      <c r="AI91" s="390">
        <v>5.1172666666694697</v>
      </c>
      <c r="AJ91" s="400">
        <f t="shared" si="48"/>
        <v>5.4181491630501402</v>
      </c>
      <c r="AK91" s="401">
        <f t="shared" si="49"/>
        <v>4.6013043496110084</v>
      </c>
      <c r="AL91" s="390">
        <v>2.2929183333391974</v>
      </c>
      <c r="AM91" s="400">
        <f t="shared" si="50"/>
        <v>2.3728970707775408</v>
      </c>
      <c r="AN91" s="401">
        <f t="shared" si="51"/>
        <v>2.1848315366412994</v>
      </c>
      <c r="AO91" s="390">
        <v>2.9439000000015945</v>
      </c>
      <c r="AP91" s="400">
        <f t="shared" si="52"/>
        <v>2.3726625009298559</v>
      </c>
      <c r="AQ91" s="401">
        <f t="shared" si="53"/>
        <v>2.2531446659782519</v>
      </c>
    </row>
    <row r="92" spans="1:43">
      <c r="A92" s="27" t="s">
        <v>31</v>
      </c>
      <c r="B92" s="390">
        <v>11.676000000195845</v>
      </c>
      <c r="C92" s="400">
        <f t="shared" si="28"/>
        <v>122.67516084422653</v>
      </c>
      <c r="D92" s="401">
        <f t="shared" si="29"/>
        <v>95.431700691523872</v>
      </c>
      <c r="E92" s="390">
        <v>9.0084611112165938</v>
      </c>
      <c r="F92" s="400">
        <f t="shared" si="30"/>
        <v>69.68915154549444</v>
      </c>
      <c r="G92" s="401">
        <f t="shared" si="31"/>
        <v>66.536495725220462</v>
      </c>
      <c r="H92" s="391">
        <v>6.5071830557322414</v>
      </c>
      <c r="I92" s="400">
        <f t="shared" si="32"/>
        <v>63.381438532765628</v>
      </c>
      <c r="J92" s="401">
        <f t="shared" si="33"/>
        <v>48.757195625433617</v>
      </c>
      <c r="K92" s="390">
        <v>3.7390000001372554</v>
      </c>
      <c r="L92" s="400">
        <f t="shared" si="34"/>
        <v>61.552446151668654</v>
      </c>
      <c r="M92" s="401">
        <f t="shared" si="35"/>
        <v>46.618853281271512</v>
      </c>
      <c r="N92" s="390">
        <v>3.1881597223481135</v>
      </c>
      <c r="O92" s="400">
        <f t="shared" si="36"/>
        <v>27.004214594996089</v>
      </c>
      <c r="P92" s="401">
        <f t="shared" si="37"/>
        <v>18.839632558436939</v>
      </c>
      <c r="Q92" s="390">
        <v>2.3635881600947357</v>
      </c>
      <c r="R92" s="400">
        <f t="shared" si="38"/>
        <v>35.985031270837979</v>
      </c>
      <c r="S92" s="401">
        <f t="shared" si="39"/>
        <v>20.727706811527799</v>
      </c>
      <c r="T92" s="390">
        <v>1.7066000000879824</v>
      </c>
      <c r="U92" s="400">
        <f t="shared" si="40"/>
        <v>17.12879709452125</v>
      </c>
      <c r="V92" s="401">
        <f t="shared" si="41"/>
        <v>15.635812654756833</v>
      </c>
      <c r="W92" s="390">
        <v>2.7380000000200972</v>
      </c>
      <c r="X92" s="400">
        <f t="shared" si="42"/>
        <v>13.232145079221347</v>
      </c>
      <c r="Y92" s="401">
        <f t="shared" si="43"/>
        <v>12.002891604187193</v>
      </c>
      <c r="Z92" s="390">
        <v>0.46218805557782139</v>
      </c>
      <c r="AA92" s="400">
        <f t="shared" si="44"/>
        <v>8.7046159930069251</v>
      </c>
      <c r="AB92" s="401">
        <f t="shared" si="45"/>
        <v>2.8190032586322942</v>
      </c>
      <c r="AC92" s="390">
        <v>0.85900000001979415</v>
      </c>
      <c r="AD92" s="400">
        <f t="shared" si="46"/>
        <v>7.7758676893914167</v>
      </c>
      <c r="AE92" s="401">
        <f t="shared" si="47"/>
        <v>6.2643370817640145</v>
      </c>
      <c r="AF92" s="386"/>
      <c r="AH92" s="371"/>
      <c r="AI92" s="390">
        <v>5.5000000002317466E-2</v>
      </c>
      <c r="AJ92" s="400">
        <f t="shared" si="48"/>
        <v>2.3954488242710514</v>
      </c>
      <c r="AK92" s="401">
        <f t="shared" si="49"/>
        <v>1.3984300533628855</v>
      </c>
      <c r="AL92" s="390">
        <v>0.10679694445020754</v>
      </c>
      <c r="AM92" s="400">
        <f t="shared" si="50"/>
        <v>1.4227817817336086</v>
      </c>
      <c r="AN92" s="401">
        <f t="shared" si="51"/>
        <v>0.76774090393518479</v>
      </c>
      <c r="AO92" s="390">
        <v>3.3000000003937026E-2</v>
      </c>
      <c r="AP92" s="400">
        <f t="shared" si="52"/>
        <v>0.76258459493018427</v>
      </c>
      <c r="AQ92" s="401">
        <f t="shared" si="53"/>
        <v>0.7846881442259277</v>
      </c>
    </row>
    <row r="93" spans="1:43">
      <c r="A93" s="27" t="s">
        <v>32</v>
      </c>
      <c r="B93" s="390">
        <v>5.0589999999999993</v>
      </c>
      <c r="C93" s="400">
        <f t="shared" si="28"/>
        <v>6.3324502693700442</v>
      </c>
      <c r="D93" s="401">
        <f t="shared" si="29"/>
        <v>5.5665878101920292</v>
      </c>
      <c r="E93" s="390">
        <v>8.2687249999999999</v>
      </c>
      <c r="F93" s="400">
        <f t="shared" si="30"/>
        <v>9.1450231271489688</v>
      </c>
      <c r="G93" s="401">
        <f t="shared" si="31"/>
        <v>9.1450038884360083</v>
      </c>
      <c r="H93" s="391">
        <v>3.1539988888888888</v>
      </c>
      <c r="I93" s="400">
        <f t="shared" si="32"/>
        <v>3.729414634527672</v>
      </c>
      <c r="J93" s="401">
        <f t="shared" si="33"/>
        <v>3.2504797682560822</v>
      </c>
      <c r="K93" s="390">
        <v>5.3769999999999998</v>
      </c>
      <c r="L93" s="400">
        <f t="shared" si="34"/>
        <v>6.5897757494325537</v>
      </c>
      <c r="M93" s="401">
        <f t="shared" si="35"/>
        <v>5.4414091515476715</v>
      </c>
      <c r="N93" s="390">
        <v>1.8322511111111113</v>
      </c>
      <c r="O93" s="400">
        <f t="shared" si="36"/>
        <v>2.2677814992331258</v>
      </c>
      <c r="P93" s="401">
        <f t="shared" si="37"/>
        <v>1.8738452958753662</v>
      </c>
      <c r="Q93" s="390">
        <v>11.446234369445026</v>
      </c>
      <c r="R93" s="400">
        <f t="shared" si="38"/>
        <v>13.170561878250766</v>
      </c>
      <c r="S93" s="401">
        <f t="shared" si="39"/>
        <v>13.213690181103457</v>
      </c>
      <c r="T93" s="390">
        <v>1.7981</v>
      </c>
      <c r="U93" s="400">
        <f t="shared" si="40"/>
        <v>2.1091637552682134</v>
      </c>
      <c r="V93" s="401">
        <f t="shared" si="41"/>
        <v>1.8417570582782985</v>
      </c>
      <c r="W93" s="390">
        <v>1.024</v>
      </c>
      <c r="X93" s="400">
        <f t="shared" si="42"/>
        <v>1.2401885130547945</v>
      </c>
      <c r="Y93" s="401">
        <f t="shared" si="43"/>
        <v>1.0719299850511996</v>
      </c>
      <c r="Z93" s="390">
        <v>1.8264880555555556</v>
      </c>
      <c r="AA93" s="400">
        <f t="shared" si="44"/>
        <v>2.2297911838977913</v>
      </c>
      <c r="AB93" s="401">
        <f t="shared" si="45"/>
        <v>1.8530061830243494</v>
      </c>
      <c r="AC93" s="390">
        <v>1.4749999999999999</v>
      </c>
      <c r="AD93" s="400">
        <f t="shared" si="46"/>
        <v>1.8600021776186844</v>
      </c>
      <c r="AE93" s="401">
        <f t="shared" si="47"/>
        <v>1.5940335046026346</v>
      </c>
      <c r="AF93" s="386"/>
      <c r="AH93" s="371"/>
      <c r="AI93" s="390">
        <v>0.21109999999999998</v>
      </c>
      <c r="AJ93" s="400">
        <f t="shared" si="48"/>
        <v>0.2480447359943396</v>
      </c>
      <c r="AK93" s="401">
        <f t="shared" si="49"/>
        <v>0.2155720804561973</v>
      </c>
      <c r="AL93" s="390">
        <v>0.17919805555555557</v>
      </c>
      <c r="AM93" s="400">
        <f t="shared" si="50"/>
        <v>0.2160983113689838</v>
      </c>
      <c r="AN93" s="401">
        <f t="shared" si="51"/>
        <v>0.18455971659540923</v>
      </c>
      <c r="AO93" s="390">
        <v>0.13400000000000001</v>
      </c>
      <c r="AP93" s="400">
        <f t="shared" si="52"/>
        <v>0.16055712756668522</v>
      </c>
      <c r="AQ93" s="401">
        <f t="shared" si="53"/>
        <v>0.13795862373574266</v>
      </c>
    </row>
    <row r="94" spans="1:43">
      <c r="A94" s="27" t="s">
        <v>33</v>
      </c>
      <c r="B94" s="390">
        <v>0</v>
      </c>
      <c r="C94" s="400">
        <f t="shared" si="28"/>
        <v>0</v>
      </c>
      <c r="D94" s="401">
        <f t="shared" si="29"/>
        <v>0</v>
      </c>
      <c r="E94" s="390">
        <v>1.1570119444444444</v>
      </c>
      <c r="F94" s="400">
        <f t="shared" si="30"/>
        <v>2.284288081376566</v>
      </c>
      <c r="G94" s="401">
        <f t="shared" si="31"/>
        <v>2.284288081376566</v>
      </c>
      <c r="H94" s="391">
        <v>0</v>
      </c>
      <c r="I94" s="400">
        <f t="shared" si="32"/>
        <v>0</v>
      </c>
      <c r="J94" s="401">
        <f t="shared" si="33"/>
        <v>0</v>
      </c>
      <c r="K94" s="390">
        <v>1.5760000000000001</v>
      </c>
      <c r="L94" s="400">
        <f t="shared" si="34"/>
        <v>1.5760000000000001</v>
      </c>
      <c r="M94" s="401">
        <f t="shared" si="35"/>
        <v>1.5760000000000001</v>
      </c>
      <c r="N94" s="390">
        <v>0</v>
      </c>
      <c r="O94" s="400">
        <f t="shared" si="36"/>
        <v>0</v>
      </c>
      <c r="P94" s="401">
        <f t="shared" si="37"/>
        <v>0</v>
      </c>
      <c r="Q94" s="390">
        <v>0</v>
      </c>
      <c r="R94" s="400">
        <f t="shared" si="38"/>
        <v>0</v>
      </c>
      <c r="S94" s="401">
        <f t="shared" si="39"/>
        <v>0</v>
      </c>
      <c r="T94" s="390">
        <v>5.0199999999999995E-2</v>
      </c>
      <c r="U94" s="400">
        <f t="shared" si="40"/>
        <v>5.0199999999999995E-2</v>
      </c>
      <c r="V94" s="401">
        <f t="shared" si="41"/>
        <v>5.0199999999999995E-2</v>
      </c>
      <c r="W94" s="390">
        <v>0</v>
      </c>
      <c r="X94" s="400">
        <f t="shared" si="42"/>
        <v>0</v>
      </c>
      <c r="Y94" s="401">
        <f t="shared" si="43"/>
        <v>0</v>
      </c>
      <c r="Z94" s="390">
        <v>0</v>
      </c>
      <c r="AA94" s="400">
        <f t="shared" si="44"/>
        <v>0</v>
      </c>
      <c r="AB94" s="401">
        <f t="shared" si="45"/>
        <v>0</v>
      </c>
      <c r="AC94" s="390">
        <v>0</v>
      </c>
      <c r="AD94" s="400">
        <f t="shared" si="46"/>
        <v>0</v>
      </c>
      <c r="AE94" s="401">
        <f t="shared" si="47"/>
        <v>0</v>
      </c>
      <c r="AF94" s="386"/>
      <c r="AH94" s="371"/>
      <c r="AI94" s="390">
        <v>0</v>
      </c>
      <c r="AJ94" s="400">
        <f t="shared" si="48"/>
        <v>0</v>
      </c>
      <c r="AK94" s="401">
        <f t="shared" si="49"/>
        <v>0</v>
      </c>
      <c r="AL94" s="390">
        <v>2.3388888888888887E-4</v>
      </c>
      <c r="AM94" s="400">
        <f t="shared" si="50"/>
        <v>2.3388888888888887E-4</v>
      </c>
      <c r="AN94" s="401">
        <f t="shared" si="51"/>
        <v>2.3388888888888887E-4</v>
      </c>
      <c r="AO94" s="390">
        <v>0</v>
      </c>
      <c r="AP94" s="400">
        <f t="shared" si="52"/>
        <v>0</v>
      </c>
      <c r="AQ94" s="401">
        <f t="shared" si="53"/>
        <v>0</v>
      </c>
    </row>
    <row r="95" spans="1:43">
      <c r="A95" s="27" t="s">
        <v>34</v>
      </c>
      <c r="B95" s="392">
        <v>31.053000000000001</v>
      </c>
      <c r="C95" s="405">
        <f t="shared" si="28"/>
        <v>31.053000000000001</v>
      </c>
      <c r="D95" s="406">
        <f t="shared" si="29"/>
        <v>31.053000000000001</v>
      </c>
      <c r="E95" s="392">
        <v>23.869743055555556</v>
      </c>
      <c r="F95" s="405">
        <f t="shared" si="30"/>
        <v>23.869743055555556</v>
      </c>
      <c r="G95" s="406">
        <f t="shared" si="31"/>
        <v>23.869743055555556</v>
      </c>
      <c r="H95" s="393">
        <v>12.505419999999999</v>
      </c>
      <c r="I95" s="405">
        <f t="shared" si="32"/>
        <v>12.505419999999999</v>
      </c>
      <c r="J95" s="406">
        <f t="shared" si="33"/>
        <v>12.505419999999999</v>
      </c>
      <c r="K95" s="392">
        <v>9.4610000000000003</v>
      </c>
      <c r="L95" s="405">
        <f t="shared" si="34"/>
        <v>9.4610000000000003</v>
      </c>
      <c r="M95" s="406">
        <f t="shared" si="35"/>
        <v>9.4610000000000003</v>
      </c>
      <c r="N95" s="392">
        <v>12.625531944444443</v>
      </c>
      <c r="O95" s="405">
        <f t="shared" si="36"/>
        <v>12.625531944444443</v>
      </c>
      <c r="P95" s="406">
        <f t="shared" si="37"/>
        <v>12.625531944444443</v>
      </c>
      <c r="Q95" s="392">
        <v>3.4897908388888887</v>
      </c>
      <c r="R95" s="405">
        <f t="shared" si="38"/>
        <v>3.4897908388888887</v>
      </c>
      <c r="S95" s="406">
        <f t="shared" si="39"/>
        <v>3.4897908388888887</v>
      </c>
      <c r="T95" s="392">
        <v>3.7263999999999999</v>
      </c>
      <c r="U95" s="405">
        <f t="shared" si="40"/>
        <v>3.7263999999999999</v>
      </c>
      <c r="V95" s="406">
        <f t="shared" si="41"/>
        <v>3.7263999999999999</v>
      </c>
      <c r="W95" s="392">
        <v>2.794</v>
      </c>
      <c r="X95" s="405">
        <f t="shared" si="42"/>
        <v>2.794</v>
      </c>
      <c r="Y95" s="406">
        <f t="shared" si="43"/>
        <v>2.794</v>
      </c>
      <c r="Z95" s="392">
        <v>0.83323888888888886</v>
      </c>
      <c r="AA95" s="405">
        <f t="shared" si="44"/>
        <v>0.83323888888888886</v>
      </c>
      <c r="AB95" s="406">
        <f t="shared" si="45"/>
        <v>0.83323888888888886</v>
      </c>
      <c r="AC95" s="392">
        <v>2.597</v>
      </c>
      <c r="AD95" s="405">
        <f t="shared" si="46"/>
        <v>2.597</v>
      </c>
      <c r="AE95" s="406">
        <f t="shared" si="47"/>
        <v>2.597</v>
      </c>
      <c r="AF95" s="387"/>
      <c r="AG95" s="372"/>
      <c r="AH95" s="373"/>
      <c r="AI95" s="392">
        <v>0.20699999999999999</v>
      </c>
      <c r="AJ95" s="405">
        <f t="shared" si="48"/>
        <v>0.20699999999999999</v>
      </c>
      <c r="AK95" s="406">
        <f t="shared" si="49"/>
        <v>0.20699999999999999</v>
      </c>
      <c r="AL95" s="392">
        <v>0.4910788888888889</v>
      </c>
      <c r="AM95" s="405">
        <f t="shared" si="50"/>
        <v>0.4910788888888889</v>
      </c>
      <c r="AN95" s="406">
        <f t="shared" si="51"/>
        <v>0.4910788888888889</v>
      </c>
      <c r="AO95" s="392">
        <v>1.015485</v>
      </c>
      <c r="AP95" s="405">
        <f t="shared" si="52"/>
        <v>1.015485</v>
      </c>
      <c r="AQ95" s="406">
        <f t="shared" si="53"/>
        <v>1.015485</v>
      </c>
    </row>
    <row r="96" spans="1:43">
      <c r="A96" s="27" t="s">
        <v>35</v>
      </c>
      <c r="B96" s="435">
        <f t="shared" ref="B96:AQ96" si="54">SUM(B88:B95)</f>
        <v>537.87520215065626</v>
      </c>
      <c r="C96" s="430">
        <f t="shared" si="54"/>
        <v>787.44835902666568</v>
      </c>
      <c r="D96" s="430">
        <f t="shared" si="54"/>
        <v>661.77469634341162</v>
      </c>
      <c r="E96" s="435">
        <f t="shared" si="54"/>
        <v>452.90859110094794</v>
      </c>
      <c r="F96" s="430">
        <f t="shared" si="54"/>
        <v>497.01895315326783</v>
      </c>
      <c r="G96" s="430">
        <f t="shared" si="54"/>
        <v>485.87699899904447</v>
      </c>
      <c r="H96" s="435">
        <f t="shared" si="54"/>
        <v>316.61215239234531</v>
      </c>
      <c r="I96" s="430">
        <f t="shared" si="54"/>
        <v>405.96372126235025</v>
      </c>
      <c r="J96" s="430">
        <f t="shared" si="54"/>
        <v>368.49304468837965</v>
      </c>
      <c r="K96" s="435">
        <f t="shared" si="54"/>
        <v>251.49613916846644</v>
      </c>
      <c r="L96" s="430">
        <f t="shared" si="54"/>
        <v>302.47849435618986</v>
      </c>
      <c r="M96" s="430">
        <f t="shared" si="54"/>
        <v>276.18070505805531</v>
      </c>
      <c r="N96" s="435">
        <f t="shared" si="54"/>
        <v>163.20292960242216</v>
      </c>
      <c r="O96" s="430">
        <f t="shared" si="54"/>
        <v>200.46064329451144</v>
      </c>
      <c r="P96" s="430">
        <f t="shared" si="54"/>
        <v>179.00485490188507</v>
      </c>
      <c r="Q96" s="435">
        <f t="shared" si="54"/>
        <v>118.28071665726478</v>
      </c>
      <c r="R96" s="430">
        <f t="shared" si="54"/>
        <v>201.41380686334944</v>
      </c>
      <c r="S96" s="430">
        <f t="shared" si="54"/>
        <v>169.55389938991863</v>
      </c>
      <c r="T96" s="435">
        <f t="shared" si="54"/>
        <v>85.93923151645869</v>
      </c>
      <c r="U96" s="430">
        <f t="shared" si="54"/>
        <v>135.09622417761736</v>
      </c>
      <c r="V96" s="430">
        <f t="shared" si="54"/>
        <v>127.62064091607172</v>
      </c>
      <c r="W96" s="435">
        <f t="shared" si="54"/>
        <v>133.80215024687473</v>
      </c>
      <c r="X96" s="430">
        <f t="shared" si="54"/>
        <v>187.71034244867107</v>
      </c>
      <c r="Y96" s="430">
        <f t="shared" si="54"/>
        <v>171.1625825182133</v>
      </c>
      <c r="Z96" s="435">
        <f t="shared" si="54"/>
        <v>32.353096860196189</v>
      </c>
      <c r="AA96" s="430">
        <f t="shared" si="54"/>
        <v>43.346525086956603</v>
      </c>
      <c r="AB96" s="430">
        <f t="shared" si="54"/>
        <v>31.371393049350665</v>
      </c>
      <c r="AC96" s="435">
        <f t="shared" si="54"/>
        <v>88.736539758683364</v>
      </c>
      <c r="AD96" s="430">
        <f t="shared" si="54"/>
        <v>132.67970711240156</v>
      </c>
      <c r="AE96" s="430">
        <f t="shared" si="54"/>
        <v>120.54972914748988</v>
      </c>
      <c r="AF96" s="33"/>
      <c r="AG96" s="33"/>
      <c r="AH96" s="33"/>
      <c r="AI96" s="435">
        <f t="shared" si="54"/>
        <v>11.598505345678429</v>
      </c>
      <c r="AJ96" s="430">
        <f t="shared" si="54"/>
        <v>13.977407427856303</v>
      </c>
      <c r="AK96" s="430">
        <f t="shared" si="54"/>
        <v>11.778224955651948</v>
      </c>
      <c r="AL96" s="435">
        <f t="shared" si="54"/>
        <v>7.1485468389109856</v>
      </c>
      <c r="AM96" s="430">
        <f t="shared" si="54"/>
        <v>8.5842206408569766</v>
      </c>
      <c r="AN96" s="430">
        <f t="shared" si="54"/>
        <v>7.3897235836242023</v>
      </c>
      <c r="AO96" s="435">
        <f t="shared" si="54"/>
        <v>8.8453524655625007</v>
      </c>
      <c r="AP96" s="430">
        <f t="shared" si="54"/>
        <v>9.4977165181309449</v>
      </c>
      <c r="AQ96" s="430">
        <f t="shared" si="54"/>
        <v>9.2717831727079432</v>
      </c>
    </row>
    <row r="97" spans="1:43">
      <c r="A97" s="25"/>
      <c r="B97" s="30"/>
      <c r="C97" s="30"/>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I97" s="32"/>
      <c r="AJ97" s="32"/>
      <c r="AK97" s="32"/>
      <c r="AL97" s="32"/>
      <c r="AM97" s="32"/>
      <c r="AN97" s="32"/>
      <c r="AO97" s="32"/>
      <c r="AP97" s="32"/>
      <c r="AQ97" s="32"/>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2" t="s">
        <v>37</v>
      </c>
    </row>
    <row r="101" spans="1:43">
      <c r="B101" s="783" t="s">
        <v>38</v>
      </c>
      <c r="C101" s="783"/>
      <c r="D101" s="783"/>
      <c r="E101" s="783" t="s">
        <v>39</v>
      </c>
      <c r="F101" s="783"/>
      <c r="G101" s="783"/>
      <c r="H101" s="783" t="s">
        <v>87</v>
      </c>
      <c r="I101" s="783"/>
      <c r="J101" s="783"/>
      <c r="K101" s="783" t="s">
        <v>41</v>
      </c>
      <c r="L101" s="783"/>
      <c r="M101" s="783"/>
      <c r="N101" s="783" t="s">
        <v>42</v>
      </c>
      <c r="O101" s="783"/>
      <c r="P101" s="783"/>
      <c r="Q101" s="783" t="s">
        <v>43</v>
      </c>
      <c r="R101" s="783"/>
      <c r="S101" s="783"/>
      <c r="T101" s="783" t="s">
        <v>44</v>
      </c>
      <c r="U101" s="783"/>
      <c r="V101" s="783"/>
      <c r="W101" s="783" t="s">
        <v>45</v>
      </c>
      <c r="X101" s="783"/>
      <c r="Y101" s="783"/>
      <c r="Z101" s="783" t="s">
        <v>46</v>
      </c>
      <c r="AA101" s="783"/>
      <c r="AB101" s="783"/>
      <c r="AC101" s="783" t="s">
        <v>47</v>
      </c>
      <c r="AD101" s="783"/>
      <c r="AE101" s="783"/>
      <c r="AF101" s="783" t="s">
        <v>48</v>
      </c>
      <c r="AG101" s="783"/>
      <c r="AH101" s="783"/>
      <c r="AI101" s="783" t="s">
        <v>49</v>
      </c>
      <c r="AJ101" s="783"/>
      <c r="AK101" s="783"/>
      <c r="AL101" s="783" t="s">
        <v>50</v>
      </c>
      <c r="AM101" s="783"/>
      <c r="AN101" s="783"/>
      <c r="AO101" s="783" t="s">
        <v>51</v>
      </c>
      <c r="AP101" s="783"/>
      <c r="AQ101" s="783"/>
    </row>
    <row r="102" spans="1:43">
      <c r="A102" s="25"/>
      <c r="B102" s="374" t="s">
        <v>25</v>
      </c>
      <c r="C102" s="374" t="s">
        <v>26</v>
      </c>
      <c r="D102" s="374" t="s">
        <v>27</v>
      </c>
      <c r="E102" s="374" t="s">
        <v>25</v>
      </c>
      <c r="F102" s="374" t="s">
        <v>26</v>
      </c>
      <c r="G102" s="374" t="s">
        <v>27</v>
      </c>
      <c r="H102" s="368" t="s">
        <v>25</v>
      </c>
      <c r="I102" s="368" t="s">
        <v>26</v>
      </c>
      <c r="J102" s="368" t="s">
        <v>27</v>
      </c>
      <c r="K102" s="374" t="s">
        <v>25</v>
      </c>
      <c r="L102" s="374" t="s">
        <v>26</v>
      </c>
      <c r="M102" s="374" t="s">
        <v>27</v>
      </c>
      <c r="N102" s="374" t="s">
        <v>25</v>
      </c>
      <c r="O102" s="374" t="s">
        <v>26</v>
      </c>
      <c r="P102" s="374" t="s">
        <v>27</v>
      </c>
      <c r="Q102" s="374" t="s">
        <v>25</v>
      </c>
      <c r="R102" s="374" t="s">
        <v>26</v>
      </c>
      <c r="S102" s="374" t="s">
        <v>27</v>
      </c>
      <c r="T102" s="374" t="s">
        <v>25</v>
      </c>
      <c r="U102" s="374" t="s">
        <v>26</v>
      </c>
      <c r="V102" s="374" t="s">
        <v>27</v>
      </c>
      <c r="W102" s="374" t="s">
        <v>25</v>
      </c>
      <c r="X102" s="374" t="s">
        <v>26</v>
      </c>
      <c r="Y102" s="374" t="s">
        <v>27</v>
      </c>
      <c r="Z102" s="374" t="s">
        <v>25</v>
      </c>
      <c r="AA102" s="374" t="s">
        <v>26</v>
      </c>
      <c r="AB102" s="374" t="s">
        <v>27</v>
      </c>
      <c r="AC102" s="374" t="s">
        <v>25</v>
      </c>
      <c r="AD102" s="374" t="s">
        <v>26</v>
      </c>
      <c r="AE102" s="374" t="s">
        <v>27</v>
      </c>
      <c r="AF102" s="368" t="s">
        <v>25</v>
      </c>
      <c r="AG102" s="368" t="s">
        <v>26</v>
      </c>
      <c r="AH102" s="368" t="s">
        <v>27</v>
      </c>
      <c r="AI102" s="374" t="s">
        <v>25</v>
      </c>
      <c r="AJ102" s="374" t="s">
        <v>26</v>
      </c>
      <c r="AK102" s="374" t="s">
        <v>27</v>
      </c>
      <c r="AL102" s="374" t="s">
        <v>25</v>
      </c>
      <c r="AM102" s="374" t="s">
        <v>26</v>
      </c>
      <c r="AN102" s="374" t="s">
        <v>27</v>
      </c>
      <c r="AO102" s="374" t="s">
        <v>25</v>
      </c>
      <c r="AP102" s="374" t="s">
        <v>26</v>
      </c>
      <c r="AQ102" s="374" t="s">
        <v>27</v>
      </c>
    </row>
    <row r="103" spans="1:43">
      <c r="A103" s="27" t="s">
        <v>28</v>
      </c>
      <c r="B103" s="411">
        <v>0</v>
      </c>
      <c r="C103" s="412">
        <f>B32+(C32-B32)*16/21*$F$72</f>
        <v>12.47881586618303</v>
      </c>
      <c r="D103" s="413">
        <f t="shared" ref="D103:D110" si="55">B32+(D32-B32)*16/21*$H$72</f>
        <v>28.126944939865226</v>
      </c>
      <c r="E103" s="412">
        <v>0</v>
      </c>
      <c r="F103" s="412">
        <f t="shared" ref="F103:F110" si="56">E32+(F32-E32)*16/21*$F$72</f>
        <v>0</v>
      </c>
      <c r="G103" s="413">
        <f t="shared" ref="G103:G110" si="57">E32+(G32-E32)*16/21*$H$72</f>
        <v>0.93343478363925503</v>
      </c>
      <c r="H103" s="412">
        <v>0</v>
      </c>
      <c r="I103" s="412">
        <f t="shared" ref="I103:I110" si="58">H32+(I32-H32)*16/21*$F$72</f>
        <v>22.761892463084823</v>
      </c>
      <c r="J103" s="413">
        <f t="shared" ref="J103:J110" si="59">H32+(J32-H32)*16/21*$H$72</f>
        <v>22.04322645439963</v>
      </c>
      <c r="K103" s="411">
        <v>0</v>
      </c>
      <c r="L103" s="412">
        <f t="shared" ref="L103:L110" si="60">K32+(L32-K32)*16/21*$F$72</f>
        <v>0</v>
      </c>
      <c r="M103" s="413">
        <f t="shared" ref="M103:M110" si="61">K32+(M32-K32)*16/21*$H$72</f>
        <v>0</v>
      </c>
      <c r="N103" s="412">
        <v>0</v>
      </c>
      <c r="O103" s="412">
        <f t="shared" ref="O103:O110" si="62">N32+(O32-N32)*16/21*$F$72</f>
        <v>1.9879763416513476</v>
      </c>
      <c r="P103" s="413">
        <f t="shared" ref="P103:P110" si="63">N32+(P32-N32)*16/21*$H$72</f>
        <v>6.6092059494162898</v>
      </c>
      <c r="Q103" s="411">
        <v>0</v>
      </c>
      <c r="R103" s="412">
        <f t="shared" ref="R103:R110" si="64">Q32+(R32-Q32)*16/21*$F$72</f>
        <v>0</v>
      </c>
      <c r="S103" s="413">
        <f t="shared" ref="S103:S110" si="65">Q32+(S32-Q32)*16/21*$H$72</f>
        <v>3.5209655554021979</v>
      </c>
      <c r="T103" s="412">
        <v>0</v>
      </c>
      <c r="U103" s="412">
        <f t="shared" ref="U103:U110" si="66">T32+(U32-T32)*16/21*$F$72</f>
        <v>0</v>
      </c>
      <c r="V103" s="413">
        <f t="shared" ref="V103:V110" si="67">T32+(V32-T32)*16/21*$H$72</f>
        <v>2.1955212074275745</v>
      </c>
      <c r="W103" s="411">
        <v>0</v>
      </c>
      <c r="X103" s="412">
        <f t="shared" ref="X103:X110" si="68">W32+(X32-W32)*16/21*$F$72</f>
        <v>0.58109748641696013</v>
      </c>
      <c r="Y103" s="413">
        <f t="shared" ref="Y103:Y110" si="69">W32+(Y32-W32)*16/21*$H$72</f>
        <v>2.1662774827097797</v>
      </c>
      <c r="Z103" s="412">
        <v>0</v>
      </c>
      <c r="AA103" s="412">
        <f t="shared" ref="AA103:AA110" si="70">Z32+(AA32-Z32)*16/21*$F$72</f>
        <v>0</v>
      </c>
      <c r="AB103" s="413">
        <f t="shared" ref="AB103:AB110" si="71">Z32+(AB32-Z32)*16/21*$H$72</f>
        <v>0</v>
      </c>
      <c r="AC103" s="411">
        <v>0</v>
      </c>
      <c r="AD103" s="412">
        <f t="shared" ref="AD103:AD110" si="72">AC32+(AD32-AC32)*16/21*$F$72</f>
        <v>8.0814091996037219E-3</v>
      </c>
      <c r="AE103" s="413">
        <f t="shared" ref="AE103:AE110" si="73">AC32+(AE32-AC32)*16/21*$H$72</f>
        <v>0</v>
      </c>
      <c r="AF103" s="397"/>
      <c r="AG103" s="397"/>
      <c r="AH103" s="398"/>
      <c r="AI103" s="411">
        <v>0</v>
      </c>
      <c r="AJ103" s="412">
        <f t="shared" ref="AJ103:AJ110" si="74">AI32+(AJ32-AI32)*16/21*$F$72</f>
        <v>9.9437324112604614E-2</v>
      </c>
      <c r="AK103" s="413">
        <f t="shared" ref="AK103:AK110" si="75">AI32+(AK32-AI32)*16/21*$H$72</f>
        <v>0.32217819608541076</v>
      </c>
      <c r="AL103" s="412">
        <v>0</v>
      </c>
      <c r="AM103" s="412">
        <f t="shared" ref="AM103:AM110" si="76">AL32+(AM32-AL32)*16/21*$F$72</f>
        <v>8.2341673403451845E-2</v>
      </c>
      <c r="AN103" s="413">
        <f t="shared" ref="AN103:AN110" si="77">AL32+(AN32-AL32)*16/21*$H$72</f>
        <v>0.3346962894708988</v>
      </c>
      <c r="AO103" s="411">
        <v>0</v>
      </c>
      <c r="AP103" s="412">
        <f t="shared" ref="AP103:AP110" si="78">AO32+(AP32-AO32)*16/21*$F$72</f>
        <v>0</v>
      </c>
      <c r="AQ103" s="413">
        <f t="shared" ref="AQ103:AQ110" si="79">AO32+(AQ32-AO32)*16/21*$H$72</f>
        <v>0</v>
      </c>
    </row>
    <row r="104" spans="1:43">
      <c r="A104" s="27" t="s">
        <v>29</v>
      </c>
      <c r="B104" s="414">
        <v>0</v>
      </c>
      <c r="C104" s="415">
        <f>B33+(C33-B33)*16/21*$F$72</f>
        <v>2.9465354255876388</v>
      </c>
      <c r="D104" s="416">
        <f t="shared" si="55"/>
        <v>5.7243476954201542</v>
      </c>
      <c r="E104" s="415">
        <v>0</v>
      </c>
      <c r="F104" s="415">
        <f t="shared" si="56"/>
        <v>0</v>
      </c>
      <c r="G104" s="416">
        <f t="shared" si="57"/>
        <v>0</v>
      </c>
      <c r="H104" s="415">
        <v>0</v>
      </c>
      <c r="I104" s="415">
        <f t="shared" si="58"/>
        <v>3.749521218642196</v>
      </c>
      <c r="J104" s="416">
        <f t="shared" si="59"/>
        <v>3.5949762351668779</v>
      </c>
      <c r="K104" s="414">
        <v>0</v>
      </c>
      <c r="L104" s="415">
        <f t="shared" si="60"/>
        <v>0</v>
      </c>
      <c r="M104" s="416">
        <f t="shared" si="61"/>
        <v>0</v>
      </c>
      <c r="N104" s="415">
        <v>0</v>
      </c>
      <c r="O104" s="415">
        <f t="shared" si="62"/>
        <v>0.49599664202031446</v>
      </c>
      <c r="P104" s="416">
        <f t="shared" si="63"/>
        <v>1.4683554878004854</v>
      </c>
      <c r="Q104" s="414">
        <v>0</v>
      </c>
      <c r="R104" s="415">
        <f t="shared" si="64"/>
        <v>0</v>
      </c>
      <c r="S104" s="416">
        <f t="shared" si="65"/>
        <v>1.0368926150158726</v>
      </c>
      <c r="T104" s="415">
        <v>0</v>
      </c>
      <c r="U104" s="415">
        <f t="shared" si="66"/>
        <v>0</v>
      </c>
      <c r="V104" s="416">
        <f t="shared" si="67"/>
        <v>0.41526416053265786</v>
      </c>
      <c r="W104" s="414">
        <v>0</v>
      </c>
      <c r="X104" s="415">
        <f t="shared" si="68"/>
        <v>0.18612976467188172</v>
      </c>
      <c r="Y104" s="416">
        <f t="shared" si="69"/>
        <v>0.40426231752020375</v>
      </c>
      <c r="Z104" s="415">
        <v>0</v>
      </c>
      <c r="AA104" s="415">
        <f t="shared" si="70"/>
        <v>0</v>
      </c>
      <c r="AB104" s="416">
        <f t="shared" si="71"/>
        <v>0</v>
      </c>
      <c r="AC104" s="414">
        <v>0</v>
      </c>
      <c r="AD104" s="415">
        <f t="shared" si="72"/>
        <v>0</v>
      </c>
      <c r="AE104" s="416">
        <f t="shared" si="73"/>
        <v>0.20563303664780766</v>
      </c>
      <c r="AF104" s="402"/>
      <c r="AG104" s="402"/>
      <c r="AH104" s="403"/>
      <c r="AI104" s="414">
        <v>0</v>
      </c>
      <c r="AJ104" s="415">
        <f t="shared" si="74"/>
        <v>2.5720040415196547E-2</v>
      </c>
      <c r="AK104" s="416">
        <f t="shared" si="75"/>
        <v>7.0553012974103629E-2</v>
      </c>
      <c r="AL104" s="415">
        <v>0</v>
      </c>
      <c r="AM104" s="415">
        <f t="shared" si="76"/>
        <v>3.465103799200412E-2</v>
      </c>
      <c r="AN104" s="416">
        <f t="shared" si="77"/>
        <v>9.8651595601875156E-2</v>
      </c>
      <c r="AO104" s="414">
        <v>0</v>
      </c>
      <c r="AP104" s="415">
        <f t="shared" si="78"/>
        <v>0</v>
      </c>
      <c r="AQ104" s="416">
        <f t="shared" si="79"/>
        <v>1.7991377171561181E-2</v>
      </c>
    </row>
    <row r="105" spans="1:43">
      <c r="A105" s="27" t="s">
        <v>30</v>
      </c>
      <c r="B105" s="414">
        <v>0</v>
      </c>
      <c r="C105" s="415">
        <f t="shared" ref="C105:C110" si="80">B34+(C34-B34)*16/21*$F$72</f>
        <v>48.551060505526976</v>
      </c>
      <c r="D105" s="416">
        <f t="shared" si="55"/>
        <v>74.602440247340553</v>
      </c>
      <c r="E105" s="415">
        <v>0</v>
      </c>
      <c r="F105" s="415">
        <f t="shared" si="56"/>
        <v>4.9375007879213682</v>
      </c>
      <c r="G105" s="416">
        <f t="shared" si="57"/>
        <v>4.2512760888334737</v>
      </c>
      <c r="H105" s="415">
        <v>0</v>
      </c>
      <c r="I105" s="415">
        <f t="shared" si="58"/>
        <v>13.929971363000822</v>
      </c>
      <c r="J105" s="416">
        <f t="shared" si="59"/>
        <v>11.901514197527097</v>
      </c>
      <c r="K105" s="414">
        <v>0</v>
      </c>
      <c r="L105" s="415">
        <f t="shared" si="60"/>
        <v>23.840911934022124</v>
      </c>
      <c r="M105" s="416">
        <f t="shared" si="61"/>
        <v>35.011410778772088</v>
      </c>
      <c r="N105" s="415">
        <v>0</v>
      </c>
      <c r="O105" s="415">
        <f t="shared" si="62"/>
        <v>6.7925940873661963</v>
      </c>
      <c r="P105" s="416">
        <f t="shared" si="63"/>
        <v>8.2172978419995726</v>
      </c>
      <c r="Q105" s="414">
        <v>0</v>
      </c>
      <c r="R105" s="415">
        <f t="shared" si="64"/>
        <v>16.705860073777952</v>
      </c>
      <c r="S105" s="416">
        <f t="shared" si="65"/>
        <v>20.962646509756368</v>
      </c>
      <c r="T105" s="415">
        <v>0</v>
      </c>
      <c r="U105" s="415">
        <f t="shared" si="66"/>
        <v>8.0625863689088213</v>
      </c>
      <c r="V105" s="416">
        <f t="shared" si="67"/>
        <v>10.375941696882444</v>
      </c>
      <c r="W105" s="414">
        <v>0</v>
      </c>
      <c r="X105" s="415">
        <f t="shared" si="68"/>
        <v>6.8130543600610123</v>
      </c>
      <c r="Y105" s="416">
        <f t="shared" si="69"/>
        <v>6.5601173000326911</v>
      </c>
      <c r="Z105" s="415">
        <v>0</v>
      </c>
      <c r="AA105" s="415">
        <f t="shared" si="70"/>
        <v>0.64572026851749598</v>
      </c>
      <c r="AB105" s="416">
        <f t="shared" si="71"/>
        <v>1.9041011626484923</v>
      </c>
      <c r="AC105" s="414">
        <v>0</v>
      </c>
      <c r="AD105" s="415">
        <f t="shared" si="72"/>
        <v>4.067825168995471</v>
      </c>
      <c r="AE105" s="416">
        <f t="shared" si="73"/>
        <v>5.8579631950192912</v>
      </c>
      <c r="AF105" s="402"/>
      <c r="AG105" s="402"/>
      <c r="AH105" s="403"/>
      <c r="AI105" s="414">
        <v>0</v>
      </c>
      <c r="AJ105" s="415">
        <f t="shared" si="74"/>
        <v>0.8146207317629035</v>
      </c>
      <c r="AK105" s="416">
        <f t="shared" si="75"/>
        <v>0.84867009320271669</v>
      </c>
      <c r="AL105" s="415">
        <v>0</v>
      </c>
      <c r="AM105" s="415">
        <f t="shared" si="76"/>
        <v>9.3721241532097009E-3</v>
      </c>
      <c r="AN105" s="416">
        <f t="shared" si="77"/>
        <v>0.26816248373798679</v>
      </c>
      <c r="AO105" s="414">
        <v>0</v>
      </c>
      <c r="AP105" s="415">
        <f t="shared" si="78"/>
        <v>0.26768037842245485</v>
      </c>
      <c r="AQ105" s="416">
        <f t="shared" si="79"/>
        <v>0.21516489875957073</v>
      </c>
    </row>
    <row r="106" spans="1:43" ht="15.6">
      <c r="A106" s="27" t="s">
        <v>52</v>
      </c>
      <c r="B106" s="414">
        <v>0</v>
      </c>
      <c r="C106" s="415">
        <f t="shared" si="80"/>
        <v>47.938231643061442</v>
      </c>
      <c r="D106" s="416">
        <f t="shared" si="55"/>
        <v>32.959021065816835</v>
      </c>
      <c r="E106" s="415">
        <v>0</v>
      </c>
      <c r="F106" s="415">
        <f t="shared" si="56"/>
        <v>12.199789895588655</v>
      </c>
      <c r="G106" s="416">
        <f t="shared" si="57"/>
        <v>10.830217529839018</v>
      </c>
      <c r="H106" s="415">
        <v>0</v>
      </c>
      <c r="I106" s="415">
        <f t="shared" si="58"/>
        <v>9.4494612981676163</v>
      </c>
      <c r="J106" s="416">
        <f t="shared" si="59"/>
        <v>6.3882783446458742</v>
      </c>
      <c r="K106" s="414">
        <v>0</v>
      </c>
      <c r="L106" s="415">
        <f t="shared" si="60"/>
        <v>2.4577087372439999</v>
      </c>
      <c r="M106" s="416">
        <f t="shared" si="61"/>
        <v>2.9785132792082147</v>
      </c>
      <c r="N106" s="415">
        <v>0</v>
      </c>
      <c r="O106" s="415">
        <f t="shared" si="62"/>
        <v>9.9686723992684936</v>
      </c>
      <c r="P106" s="416">
        <f t="shared" si="63"/>
        <v>8.2604629289471152</v>
      </c>
      <c r="Q106" s="414">
        <v>0</v>
      </c>
      <c r="R106" s="415">
        <f t="shared" si="64"/>
        <v>4.6350193300150613</v>
      </c>
      <c r="S106" s="416">
        <f t="shared" si="65"/>
        <v>6.3288085800353278</v>
      </c>
      <c r="T106" s="415">
        <v>0</v>
      </c>
      <c r="U106" s="415">
        <f t="shared" si="66"/>
        <v>8.3229788717938984</v>
      </c>
      <c r="V106" s="416">
        <f t="shared" si="67"/>
        <v>11.323963605990599</v>
      </c>
      <c r="W106" s="414">
        <v>0</v>
      </c>
      <c r="X106" s="415">
        <f t="shared" si="68"/>
        <v>7.7899331536327185</v>
      </c>
      <c r="Y106" s="416">
        <f t="shared" si="69"/>
        <v>6.9154199636875315</v>
      </c>
      <c r="Z106" s="415">
        <v>0</v>
      </c>
      <c r="AA106" s="415">
        <f t="shared" si="70"/>
        <v>1.0296461626618019E-3</v>
      </c>
      <c r="AB106" s="416">
        <f t="shared" si="71"/>
        <v>1.5234267715303765E-3</v>
      </c>
      <c r="AC106" s="414">
        <v>0</v>
      </c>
      <c r="AD106" s="415">
        <f t="shared" si="72"/>
        <v>6.2346782936516494</v>
      </c>
      <c r="AE106" s="416">
        <f t="shared" si="73"/>
        <v>4.6123008897902311</v>
      </c>
      <c r="AF106" s="402"/>
      <c r="AG106" s="402"/>
      <c r="AH106" s="403"/>
      <c r="AI106" s="414">
        <v>0</v>
      </c>
      <c r="AJ106" s="415">
        <f t="shared" si="74"/>
        <v>2.9947125950604434</v>
      </c>
      <c r="AK106" s="416">
        <f t="shared" si="75"/>
        <v>2.4712404727672417</v>
      </c>
      <c r="AL106" s="415">
        <v>0</v>
      </c>
      <c r="AM106" s="415">
        <f t="shared" si="76"/>
        <v>2.0289355795983081E-3</v>
      </c>
      <c r="AN106" s="416">
        <f t="shared" si="77"/>
        <v>1.7031056877806793E-3</v>
      </c>
      <c r="AO106" s="414">
        <v>0</v>
      </c>
      <c r="AP106" s="415">
        <f t="shared" si="78"/>
        <v>0</v>
      </c>
      <c r="AQ106" s="416">
        <f t="shared" si="79"/>
        <v>0</v>
      </c>
    </row>
    <row r="107" spans="1:43">
      <c r="A107" s="27" t="s">
        <v>31</v>
      </c>
      <c r="B107" s="414">
        <v>0</v>
      </c>
      <c r="C107" s="415">
        <f t="shared" si="80"/>
        <v>17.827282386827992</v>
      </c>
      <c r="D107" s="416">
        <f t="shared" si="55"/>
        <v>27.310142780769539</v>
      </c>
      <c r="E107" s="415">
        <v>0</v>
      </c>
      <c r="F107" s="415">
        <f t="shared" si="56"/>
        <v>2.347466803516125</v>
      </c>
      <c r="G107" s="416">
        <f t="shared" si="57"/>
        <v>3.4982648932278626</v>
      </c>
      <c r="H107" s="415">
        <v>0</v>
      </c>
      <c r="I107" s="415">
        <f t="shared" si="58"/>
        <v>5.1780862980913662</v>
      </c>
      <c r="J107" s="416">
        <f t="shared" si="59"/>
        <v>5.6463249332656433</v>
      </c>
      <c r="K107" s="414">
        <v>0</v>
      </c>
      <c r="L107" s="415">
        <f t="shared" si="60"/>
        <v>4.9124980594902077</v>
      </c>
      <c r="M107" s="416">
        <f t="shared" si="61"/>
        <v>7.1569851317536344</v>
      </c>
      <c r="N107" s="415">
        <v>0</v>
      </c>
      <c r="O107" s="415">
        <f t="shared" si="62"/>
        <v>3.8492674365148827</v>
      </c>
      <c r="P107" s="416">
        <f t="shared" si="63"/>
        <v>8.8450914288861817</v>
      </c>
      <c r="Q107" s="414">
        <v>0</v>
      </c>
      <c r="R107" s="415">
        <f t="shared" si="64"/>
        <v>1.7114658297894405</v>
      </c>
      <c r="S107" s="416">
        <f t="shared" si="65"/>
        <v>8.5746665329718823</v>
      </c>
      <c r="T107" s="415">
        <v>0</v>
      </c>
      <c r="U107" s="415">
        <f t="shared" si="66"/>
        <v>0.33490970915617563</v>
      </c>
      <c r="V107" s="416">
        <f t="shared" si="67"/>
        <v>2.6314423263681261</v>
      </c>
      <c r="W107" s="414">
        <v>0</v>
      </c>
      <c r="X107" s="415">
        <f t="shared" si="68"/>
        <v>0.19991571029907212</v>
      </c>
      <c r="Y107" s="416">
        <f t="shared" si="69"/>
        <v>4.9218461560686757</v>
      </c>
      <c r="Z107" s="415">
        <v>0</v>
      </c>
      <c r="AA107" s="415">
        <f t="shared" si="70"/>
        <v>2.4497177735942994</v>
      </c>
      <c r="AB107" s="416">
        <f t="shared" si="71"/>
        <v>1.2239244689906532</v>
      </c>
      <c r="AC107" s="414">
        <v>0</v>
      </c>
      <c r="AD107" s="415">
        <f t="shared" si="72"/>
        <v>0.59151375396581329</v>
      </c>
      <c r="AE107" s="416">
        <f t="shared" si="73"/>
        <v>2.027353971330458</v>
      </c>
      <c r="AF107" s="402"/>
      <c r="AG107" s="402"/>
      <c r="AH107" s="403"/>
      <c r="AI107" s="414">
        <v>0</v>
      </c>
      <c r="AJ107" s="415">
        <f t="shared" si="74"/>
        <v>0.6404220707054995</v>
      </c>
      <c r="AK107" s="416">
        <f t="shared" si="75"/>
        <v>0.89425278584274759</v>
      </c>
      <c r="AL107" s="415">
        <v>0</v>
      </c>
      <c r="AM107" s="415">
        <f t="shared" si="76"/>
        <v>0.35030177289573633</v>
      </c>
      <c r="AN107" s="416">
        <f t="shared" si="77"/>
        <v>0.42681412433754634</v>
      </c>
      <c r="AO107" s="414">
        <v>0</v>
      </c>
      <c r="AP107" s="415">
        <f t="shared" si="78"/>
        <v>0.10429766236142786</v>
      </c>
      <c r="AQ107" s="416">
        <f t="shared" si="79"/>
        <v>0.10524320174299588</v>
      </c>
    </row>
    <row r="108" spans="1:43">
      <c r="A108" s="27" t="s">
        <v>32</v>
      </c>
      <c r="B108" s="414">
        <v>0</v>
      </c>
      <c r="C108" s="415">
        <f t="shared" si="80"/>
        <v>1.3192415832107254</v>
      </c>
      <c r="D108" s="416">
        <f t="shared" si="55"/>
        <v>3.0959077247298032</v>
      </c>
      <c r="E108" s="415">
        <v>0</v>
      </c>
      <c r="F108" s="415">
        <f t="shared" si="56"/>
        <v>3.4735763261173613E-2</v>
      </c>
      <c r="G108" s="416">
        <f t="shared" si="57"/>
        <v>3.0543108074078316E-2</v>
      </c>
      <c r="H108" s="415">
        <v>0</v>
      </c>
      <c r="I108" s="415">
        <f t="shared" si="58"/>
        <v>0</v>
      </c>
      <c r="J108" s="416">
        <f t="shared" si="59"/>
        <v>0</v>
      </c>
      <c r="K108" s="414">
        <v>0</v>
      </c>
      <c r="L108" s="415">
        <f t="shared" si="60"/>
        <v>0</v>
      </c>
      <c r="M108" s="416">
        <f t="shared" si="61"/>
        <v>0</v>
      </c>
      <c r="N108" s="415">
        <v>0</v>
      </c>
      <c r="O108" s="415">
        <f t="shared" si="62"/>
        <v>0</v>
      </c>
      <c r="P108" s="416">
        <f t="shared" si="63"/>
        <v>0</v>
      </c>
      <c r="Q108" s="414">
        <v>0</v>
      </c>
      <c r="R108" s="415">
        <f t="shared" si="64"/>
        <v>0</v>
      </c>
      <c r="S108" s="416">
        <f t="shared" si="65"/>
        <v>1.2441021386333315</v>
      </c>
      <c r="T108" s="415">
        <v>0</v>
      </c>
      <c r="U108" s="415">
        <f t="shared" si="66"/>
        <v>0</v>
      </c>
      <c r="V108" s="416">
        <f t="shared" si="67"/>
        <v>0</v>
      </c>
      <c r="W108" s="414">
        <v>0</v>
      </c>
      <c r="X108" s="415">
        <f t="shared" si="68"/>
        <v>0</v>
      </c>
      <c r="Y108" s="416">
        <f t="shared" si="69"/>
        <v>0</v>
      </c>
      <c r="Z108" s="415">
        <v>0</v>
      </c>
      <c r="AA108" s="415">
        <f t="shared" si="70"/>
        <v>0</v>
      </c>
      <c r="AB108" s="416">
        <f t="shared" si="71"/>
        <v>0</v>
      </c>
      <c r="AC108" s="414">
        <v>0</v>
      </c>
      <c r="AD108" s="415">
        <f t="shared" si="72"/>
        <v>0</v>
      </c>
      <c r="AE108" s="416">
        <f t="shared" si="73"/>
        <v>0</v>
      </c>
      <c r="AF108" s="402"/>
      <c r="AG108" s="402"/>
      <c r="AH108" s="403"/>
      <c r="AI108" s="414">
        <v>0</v>
      </c>
      <c r="AJ108" s="415">
        <f t="shared" si="74"/>
        <v>0</v>
      </c>
      <c r="AK108" s="416">
        <f t="shared" si="75"/>
        <v>0</v>
      </c>
      <c r="AL108" s="415">
        <v>0</v>
      </c>
      <c r="AM108" s="415">
        <f t="shared" si="76"/>
        <v>0</v>
      </c>
      <c r="AN108" s="416">
        <f t="shared" si="77"/>
        <v>0</v>
      </c>
      <c r="AO108" s="414">
        <v>0</v>
      </c>
      <c r="AP108" s="415">
        <f t="shared" si="78"/>
        <v>0</v>
      </c>
      <c r="AQ108" s="416">
        <f t="shared" si="79"/>
        <v>0</v>
      </c>
    </row>
    <row r="109" spans="1:43">
      <c r="A109" s="27" t="s">
        <v>33</v>
      </c>
      <c r="B109" s="414">
        <v>0</v>
      </c>
      <c r="C109" s="415">
        <f t="shared" si="80"/>
        <v>0</v>
      </c>
      <c r="D109" s="416">
        <f t="shared" si="55"/>
        <v>0</v>
      </c>
      <c r="E109" s="415">
        <v>0</v>
      </c>
      <c r="F109" s="415">
        <f t="shared" si="56"/>
        <v>0</v>
      </c>
      <c r="G109" s="416">
        <f t="shared" si="57"/>
        <v>0</v>
      </c>
      <c r="H109" s="415">
        <v>0</v>
      </c>
      <c r="I109" s="415">
        <f t="shared" si="58"/>
        <v>0</v>
      </c>
      <c r="J109" s="416">
        <f t="shared" si="59"/>
        <v>0</v>
      </c>
      <c r="K109" s="414">
        <v>0</v>
      </c>
      <c r="L109" s="415">
        <f t="shared" si="60"/>
        <v>0</v>
      </c>
      <c r="M109" s="416">
        <f t="shared" si="61"/>
        <v>0</v>
      </c>
      <c r="N109" s="415">
        <v>0</v>
      </c>
      <c r="O109" s="415">
        <f t="shared" si="62"/>
        <v>0</v>
      </c>
      <c r="P109" s="416">
        <f t="shared" si="63"/>
        <v>0</v>
      </c>
      <c r="Q109" s="414">
        <v>0</v>
      </c>
      <c r="R109" s="415">
        <f t="shared" si="64"/>
        <v>0</v>
      </c>
      <c r="S109" s="416">
        <f t="shared" si="65"/>
        <v>0</v>
      </c>
      <c r="T109" s="415">
        <v>0</v>
      </c>
      <c r="U109" s="415">
        <f t="shared" si="66"/>
        <v>0</v>
      </c>
      <c r="V109" s="416">
        <f t="shared" si="67"/>
        <v>0</v>
      </c>
      <c r="W109" s="414">
        <v>0</v>
      </c>
      <c r="X109" s="415">
        <f t="shared" si="68"/>
        <v>0</v>
      </c>
      <c r="Y109" s="416">
        <f t="shared" si="69"/>
        <v>0</v>
      </c>
      <c r="Z109" s="415">
        <v>0</v>
      </c>
      <c r="AA109" s="415">
        <f t="shared" si="70"/>
        <v>0</v>
      </c>
      <c r="AB109" s="416">
        <f t="shared" si="71"/>
        <v>0</v>
      </c>
      <c r="AC109" s="414">
        <v>0</v>
      </c>
      <c r="AD109" s="415">
        <f t="shared" si="72"/>
        <v>0</v>
      </c>
      <c r="AE109" s="416">
        <f t="shared" si="73"/>
        <v>0</v>
      </c>
      <c r="AF109" s="402"/>
      <c r="AG109" s="402"/>
      <c r="AH109" s="403"/>
      <c r="AI109" s="414">
        <v>0</v>
      </c>
      <c r="AJ109" s="415">
        <f t="shared" si="74"/>
        <v>0</v>
      </c>
      <c r="AK109" s="416">
        <f t="shared" si="75"/>
        <v>0</v>
      </c>
      <c r="AL109" s="415">
        <v>0</v>
      </c>
      <c r="AM109" s="415">
        <f t="shared" si="76"/>
        <v>0</v>
      </c>
      <c r="AN109" s="416">
        <f t="shared" si="77"/>
        <v>0</v>
      </c>
      <c r="AO109" s="414">
        <v>0</v>
      </c>
      <c r="AP109" s="415">
        <f t="shared" si="78"/>
        <v>0</v>
      </c>
      <c r="AQ109" s="416">
        <f t="shared" si="79"/>
        <v>0</v>
      </c>
    </row>
    <row r="110" spans="1:43">
      <c r="A110" s="27" t="s">
        <v>34</v>
      </c>
      <c r="B110" s="417">
        <v>0</v>
      </c>
      <c r="C110" s="418">
        <f t="shared" si="80"/>
        <v>0</v>
      </c>
      <c r="D110" s="419">
        <f t="shared" si="55"/>
        <v>0</v>
      </c>
      <c r="E110" s="418">
        <v>0</v>
      </c>
      <c r="F110" s="418">
        <f t="shared" si="56"/>
        <v>0</v>
      </c>
      <c r="G110" s="419">
        <f t="shared" si="57"/>
        <v>0</v>
      </c>
      <c r="H110" s="418">
        <v>0</v>
      </c>
      <c r="I110" s="418">
        <f t="shared" si="58"/>
        <v>0</v>
      </c>
      <c r="J110" s="419">
        <f t="shared" si="59"/>
        <v>0</v>
      </c>
      <c r="K110" s="417">
        <v>0</v>
      </c>
      <c r="L110" s="418">
        <f t="shared" si="60"/>
        <v>0</v>
      </c>
      <c r="M110" s="419">
        <f t="shared" si="61"/>
        <v>0</v>
      </c>
      <c r="N110" s="418">
        <v>0</v>
      </c>
      <c r="O110" s="418">
        <f t="shared" si="62"/>
        <v>0</v>
      </c>
      <c r="P110" s="419">
        <f t="shared" si="63"/>
        <v>0</v>
      </c>
      <c r="Q110" s="417">
        <v>0</v>
      </c>
      <c r="R110" s="418">
        <f t="shared" si="64"/>
        <v>0</v>
      </c>
      <c r="S110" s="419">
        <f t="shared" si="65"/>
        <v>0</v>
      </c>
      <c r="T110" s="418">
        <v>0</v>
      </c>
      <c r="U110" s="418">
        <f t="shared" si="66"/>
        <v>0</v>
      </c>
      <c r="V110" s="419">
        <f t="shared" si="67"/>
        <v>0</v>
      </c>
      <c r="W110" s="417">
        <v>0</v>
      </c>
      <c r="X110" s="418">
        <f t="shared" si="68"/>
        <v>0</v>
      </c>
      <c r="Y110" s="419">
        <f t="shared" si="69"/>
        <v>0</v>
      </c>
      <c r="Z110" s="418">
        <v>0</v>
      </c>
      <c r="AA110" s="418">
        <f t="shared" si="70"/>
        <v>0</v>
      </c>
      <c r="AB110" s="419">
        <f t="shared" si="71"/>
        <v>0</v>
      </c>
      <c r="AC110" s="417">
        <v>0</v>
      </c>
      <c r="AD110" s="418">
        <f t="shared" si="72"/>
        <v>0</v>
      </c>
      <c r="AE110" s="419">
        <f t="shared" si="73"/>
        <v>0</v>
      </c>
      <c r="AF110" s="407"/>
      <c r="AG110" s="407"/>
      <c r="AH110" s="408"/>
      <c r="AI110" s="417">
        <v>0</v>
      </c>
      <c r="AJ110" s="418">
        <f t="shared" si="74"/>
        <v>0</v>
      </c>
      <c r="AK110" s="419">
        <f t="shared" si="75"/>
        <v>0</v>
      </c>
      <c r="AL110" s="418">
        <v>0</v>
      </c>
      <c r="AM110" s="418">
        <f t="shared" si="76"/>
        <v>0</v>
      </c>
      <c r="AN110" s="419">
        <f t="shared" si="77"/>
        <v>0</v>
      </c>
      <c r="AO110" s="417">
        <v>0</v>
      </c>
      <c r="AP110" s="418">
        <f t="shared" si="78"/>
        <v>0</v>
      </c>
      <c r="AQ110" s="419">
        <f t="shared" si="79"/>
        <v>0</v>
      </c>
    </row>
    <row r="111" spans="1:43">
      <c r="A111" s="27" t="s">
        <v>35</v>
      </c>
      <c r="B111" s="436">
        <f>SUM(B103:B110)</f>
        <v>0</v>
      </c>
      <c r="C111" s="409">
        <f t="shared" ref="C111:AE111" si="81">SUM(C103:C110)</f>
        <v>131.06116741039781</v>
      </c>
      <c r="D111" s="409">
        <f t="shared" si="81"/>
        <v>171.81880445394214</v>
      </c>
      <c r="E111" s="436">
        <f t="shared" si="81"/>
        <v>0</v>
      </c>
      <c r="F111" s="409">
        <f t="shared" si="81"/>
        <v>19.519493250287322</v>
      </c>
      <c r="G111" s="409">
        <f t="shared" si="81"/>
        <v>19.543736403613686</v>
      </c>
      <c r="H111" s="436">
        <f t="shared" si="81"/>
        <v>0</v>
      </c>
      <c r="I111" s="409">
        <f t="shared" si="81"/>
        <v>55.068932640986823</v>
      </c>
      <c r="J111" s="409">
        <f t="shared" si="81"/>
        <v>49.574320165005126</v>
      </c>
      <c r="K111" s="436">
        <f t="shared" si="81"/>
        <v>0</v>
      </c>
      <c r="L111" s="409">
        <f t="shared" si="81"/>
        <v>31.211118730756333</v>
      </c>
      <c r="M111" s="409">
        <f t="shared" si="81"/>
        <v>45.14690918973394</v>
      </c>
      <c r="N111" s="436">
        <f t="shared" si="81"/>
        <v>0</v>
      </c>
      <c r="O111" s="409">
        <f t="shared" si="81"/>
        <v>23.094506906821234</v>
      </c>
      <c r="P111" s="409">
        <f t="shared" si="81"/>
        <v>33.400413637049638</v>
      </c>
      <c r="Q111" s="436">
        <f t="shared" si="81"/>
        <v>0</v>
      </c>
      <c r="R111" s="409">
        <f t="shared" si="81"/>
        <v>23.052345233582454</v>
      </c>
      <c r="S111" s="409">
        <f t="shared" si="81"/>
        <v>41.668081931814982</v>
      </c>
      <c r="T111" s="436">
        <f t="shared" si="81"/>
        <v>0</v>
      </c>
      <c r="U111" s="409">
        <f t="shared" si="81"/>
        <v>16.720474949858893</v>
      </c>
      <c r="V111" s="409">
        <f t="shared" si="81"/>
        <v>26.942132997201401</v>
      </c>
      <c r="W111" s="436">
        <f t="shared" si="81"/>
        <v>0</v>
      </c>
      <c r="X111" s="409">
        <f t="shared" si="81"/>
        <v>15.570130475081644</v>
      </c>
      <c r="Y111" s="409">
        <f t="shared" si="81"/>
        <v>20.967923220018882</v>
      </c>
      <c r="Z111" s="436">
        <f t="shared" si="81"/>
        <v>0</v>
      </c>
      <c r="AA111" s="409">
        <f t="shared" si="81"/>
        <v>3.0964676882744571</v>
      </c>
      <c r="AB111" s="409">
        <f t="shared" si="81"/>
        <v>3.1295490584106758</v>
      </c>
      <c r="AC111" s="436">
        <f t="shared" si="81"/>
        <v>0</v>
      </c>
      <c r="AD111" s="409">
        <f t="shared" si="81"/>
        <v>10.902098625812538</v>
      </c>
      <c r="AE111" s="409">
        <f t="shared" si="81"/>
        <v>12.703251092787788</v>
      </c>
      <c r="AF111" s="32"/>
      <c r="AG111" s="32"/>
      <c r="AH111" s="32"/>
      <c r="AI111" s="436">
        <f t="shared" ref="AI111:AQ111" si="82">SUM(AI103:AI110)</f>
        <v>0</v>
      </c>
      <c r="AJ111" s="409">
        <f t="shared" si="82"/>
        <v>4.5749127620566474</v>
      </c>
      <c r="AK111" s="409">
        <f t="shared" si="82"/>
        <v>4.6068945608722203</v>
      </c>
      <c r="AL111" s="436">
        <f t="shared" si="82"/>
        <v>0</v>
      </c>
      <c r="AM111" s="409">
        <f t="shared" si="82"/>
        <v>0.47869554402400027</v>
      </c>
      <c r="AN111" s="409">
        <f t="shared" si="82"/>
        <v>1.1300275988360877</v>
      </c>
      <c r="AO111" s="436">
        <f t="shared" si="82"/>
        <v>0</v>
      </c>
      <c r="AP111" s="409">
        <f t="shared" si="82"/>
        <v>0.37197804078388269</v>
      </c>
      <c r="AQ111" s="409">
        <f t="shared" si="82"/>
        <v>0.33839947767412781</v>
      </c>
    </row>
    <row r="112" spans="1:43">
      <c r="C112" s="409">
        <f>SUM(C111,F111,I111,L111,O111,R111,U111,X111,AA111,AD111,AJ111,AM111,AP111)</f>
        <v>334.72232225872403</v>
      </c>
      <c r="D112" s="410"/>
    </row>
    <row r="113" spans="1:43">
      <c r="A113" s="785" t="s">
        <v>88</v>
      </c>
      <c r="B113" s="785"/>
      <c r="C113" s="785"/>
      <c r="D113" s="785"/>
      <c r="E113" s="785"/>
      <c r="F113" s="785"/>
      <c r="G113" s="785"/>
      <c r="H113" s="785"/>
      <c r="I113" s="785"/>
      <c r="J113" s="785"/>
      <c r="K113" s="785"/>
      <c r="L113" s="785"/>
      <c r="M113" s="785"/>
      <c r="N113" s="785"/>
      <c r="O113" s="785"/>
      <c r="P113" s="785"/>
      <c r="Q113" s="785"/>
      <c r="R113" s="785"/>
      <c r="S113" s="785"/>
      <c r="T113" s="785"/>
      <c r="U113" s="785"/>
      <c r="V113" s="785"/>
      <c r="W113" s="785"/>
      <c r="X113" s="785"/>
      <c r="Y113" s="785"/>
      <c r="Z113" s="785"/>
      <c r="AA113" s="785"/>
      <c r="AB113" s="785"/>
      <c r="AC113" s="785"/>
      <c r="AD113" s="785"/>
      <c r="AE113" s="785"/>
      <c r="AF113" s="785"/>
      <c r="AG113" s="785"/>
      <c r="AH113" s="785"/>
      <c r="AI113" s="785"/>
      <c r="AJ113" s="785"/>
      <c r="AK113" s="785"/>
      <c r="AL113" s="785"/>
      <c r="AM113" s="785"/>
      <c r="AN113" s="785"/>
      <c r="AO113" s="785"/>
      <c r="AP113" s="785"/>
      <c r="AQ113" s="785"/>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83">
        <v>2019</v>
      </c>
      <c r="C117" s="783"/>
      <c r="D117" s="783"/>
      <c r="E117" s="783"/>
      <c r="F117" s="783"/>
      <c r="G117" s="783"/>
      <c r="H117" s="783"/>
      <c r="I117" s="783">
        <v>2035</v>
      </c>
      <c r="J117" s="783"/>
      <c r="K117" s="783"/>
      <c r="L117" s="783"/>
      <c r="M117" s="783"/>
      <c r="N117" s="783"/>
      <c r="O117" s="783"/>
      <c r="P117" s="783" t="s">
        <v>90</v>
      </c>
      <c r="Q117" s="783"/>
      <c r="R117" s="783"/>
      <c r="S117" s="783"/>
      <c r="T117" s="783"/>
      <c r="U117" s="783"/>
      <c r="V117" s="783"/>
      <c r="W117" s="33"/>
      <c r="AE117" s="33"/>
      <c r="AF117" s="33"/>
      <c r="AG117" s="33"/>
      <c r="AH117" s="33"/>
      <c r="AI117" s="33"/>
      <c r="AJ117" s="33"/>
      <c r="AK117" s="33"/>
      <c r="AL117" s="33"/>
      <c r="AM117" s="33"/>
      <c r="AN117" s="33"/>
      <c r="AO117" s="33"/>
      <c r="AP117" s="33"/>
      <c r="AQ117" s="33"/>
    </row>
    <row r="118" spans="1:43">
      <c r="B118" s="27" t="s">
        <v>28</v>
      </c>
      <c r="C118" s="27" t="s">
        <v>29</v>
      </c>
      <c r="D118" s="27" t="s">
        <v>30</v>
      </c>
      <c r="E118" s="27" t="s">
        <v>31</v>
      </c>
      <c r="F118" s="27" t="s">
        <v>32</v>
      </c>
      <c r="G118" s="27" t="s">
        <v>33</v>
      </c>
      <c r="H118" s="27" t="s">
        <v>34</v>
      </c>
      <c r="I118" s="27" t="s">
        <v>28</v>
      </c>
      <c r="J118" s="27" t="s">
        <v>29</v>
      </c>
      <c r="K118" s="27" t="s">
        <v>30</v>
      </c>
      <c r="L118" s="27" t="s">
        <v>31</v>
      </c>
      <c r="M118" s="27" t="s">
        <v>32</v>
      </c>
      <c r="N118" s="27" t="s">
        <v>33</v>
      </c>
      <c r="O118" s="27" t="s">
        <v>34</v>
      </c>
      <c r="P118" s="27" t="s">
        <v>28</v>
      </c>
      <c r="Q118" s="27" t="s">
        <v>29</v>
      </c>
      <c r="R118" s="27" t="s">
        <v>30</v>
      </c>
      <c r="S118" s="27" t="s">
        <v>31</v>
      </c>
      <c r="T118" s="27" t="s">
        <v>32</v>
      </c>
      <c r="U118" s="27" t="s">
        <v>33</v>
      </c>
      <c r="V118" s="27" t="s">
        <v>34</v>
      </c>
      <c r="W118" s="33"/>
      <c r="AL118" s="33"/>
      <c r="AM118" s="33"/>
      <c r="AN118" s="33"/>
      <c r="AO118" s="33"/>
      <c r="AP118" s="33"/>
      <c r="AQ118" s="33"/>
    </row>
    <row r="119" spans="1:43">
      <c r="A119" s="37" t="s">
        <v>51</v>
      </c>
      <c r="B119" s="438">
        <v>2.111576813110585</v>
      </c>
      <c r="C119" s="439">
        <v>2.6073906524463841</v>
      </c>
      <c r="D119" s="439">
        <v>2.9439000000015945</v>
      </c>
      <c r="E119" s="439">
        <v>3.3000000003937026E-2</v>
      </c>
      <c r="F119" s="439">
        <v>0.13400000000000001</v>
      </c>
      <c r="G119" s="439">
        <v>0</v>
      </c>
      <c r="H119" s="440">
        <v>1.015485</v>
      </c>
      <c r="I119" s="438">
        <v>2.6827496882992818</v>
      </c>
      <c r="J119" s="439">
        <v>2.503677606404938</v>
      </c>
      <c r="K119" s="439">
        <v>2.3726625009298559</v>
      </c>
      <c r="L119" s="439">
        <v>0.76258459493018427</v>
      </c>
      <c r="M119" s="439">
        <v>0.16055712756668522</v>
      </c>
      <c r="N119" s="439">
        <v>0</v>
      </c>
      <c r="O119" s="440">
        <v>1.015485</v>
      </c>
      <c r="P119" s="438">
        <v>0</v>
      </c>
      <c r="Q119" s="439">
        <v>0</v>
      </c>
      <c r="R119" s="441">
        <v>0.26768037842245485</v>
      </c>
      <c r="S119" s="439">
        <v>0.10429766236142786</v>
      </c>
      <c r="T119" s="439">
        <v>0</v>
      </c>
      <c r="U119" s="439">
        <v>0</v>
      </c>
      <c r="V119" s="440">
        <v>0</v>
      </c>
      <c r="W119" s="33"/>
    </row>
    <row r="120" spans="1:43">
      <c r="A120" s="37" t="s">
        <v>50</v>
      </c>
      <c r="B120" s="442">
        <v>1.6523386281414354</v>
      </c>
      <c r="C120" s="443">
        <v>2.4259820996468116</v>
      </c>
      <c r="D120" s="443">
        <v>2.2929183333391974</v>
      </c>
      <c r="E120" s="443">
        <v>0.10679694445020754</v>
      </c>
      <c r="F120" s="443">
        <v>0.17919805555555557</v>
      </c>
      <c r="G120" s="443">
        <v>2.3388888888888887E-4</v>
      </c>
      <c r="H120" s="444">
        <v>0.4910788888888889</v>
      </c>
      <c r="I120" s="442">
        <v>1.9358977129058608</v>
      </c>
      <c r="J120" s="443">
        <v>2.1452329862932045</v>
      </c>
      <c r="K120" s="443">
        <v>2.3728970707775408</v>
      </c>
      <c r="L120" s="443">
        <v>1.4227817817336086</v>
      </c>
      <c r="M120" s="443">
        <v>0.2160983113689838</v>
      </c>
      <c r="N120" s="443">
        <v>2.3388888888888887E-4</v>
      </c>
      <c r="O120" s="444">
        <v>0.4910788888888889</v>
      </c>
      <c r="P120" s="442">
        <v>8.2341673403451845E-2</v>
      </c>
      <c r="Q120" s="443">
        <v>3.465103799200412E-2</v>
      </c>
      <c r="R120" s="402">
        <v>1.1401059732808009E-2</v>
      </c>
      <c r="S120" s="443">
        <v>0.35030177289573633</v>
      </c>
      <c r="T120" s="443">
        <v>0</v>
      </c>
      <c r="U120" s="443">
        <v>0</v>
      </c>
      <c r="V120" s="444">
        <v>0</v>
      </c>
      <c r="W120" s="33"/>
    </row>
    <row r="121" spans="1:43">
      <c r="A121" s="37" t="s">
        <v>49</v>
      </c>
      <c r="B121" s="442">
        <v>2.9127387221315666</v>
      </c>
      <c r="C121" s="443">
        <v>3.0953999568750752</v>
      </c>
      <c r="D121" s="443">
        <v>5.1172666666694697</v>
      </c>
      <c r="E121" s="443">
        <v>5.5000000002317466E-2</v>
      </c>
      <c r="F121" s="443">
        <v>0.21109999999999998</v>
      </c>
      <c r="G121" s="443">
        <v>0</v>
      </c>
      <c r="H121" s="444">
        <v>0.20699999999999999</v>
      </c>
      <c r="I121" s="442">
        <v>2.8098723762644182</v>
      </c>
      <c r="J121" s="443">
        <v>2.8988923282763537</v>
      </c>
      <c r="K121" s="443">
        <v>5.4181491630501402</v>
      </c>
      <c r="L121" s="443">
        <v>2.3954488242710514</v>
      </c>
      <c r="M121" s="443">
        <v>0.2480447359943396</v>
      </c>
      <c r="N121" s="443">
        <v>0</v>
      </c>
      <c r="O121" s="444">
        <v>0.20699999999999999</v>
      </c>
      <c r="P121" s="442">
        <v>9.9437324112604614E-2</v>
      </c>
      <c r="Q121" s="443">
        <v>2.5720040415196547E-2</v>
      </c>
      <c r="R121" s="402">
        <v>3.8093333268233467</v>
      </c>
      <c r="S121" s="443">
        <v>0.6404220707054995</v>
      </c>
      <c r="T121" s="443">
        <v>0</v>
      </c>
      <c r="U121" s="443">
        <v>0</v>
      </c>
      <c r="V121" s="444">
        <v>0</v>
      </c>
      <c r="W121" s="33"/>
    </row>
    <row r="122" spans="1:43">
      <c r="A122" s="37" t="s">
        <v>48</v>
      </c>
      <c r="B122" s="442"/>
      <c r="C122" s="443"/>
      <c r="D122" s="443"/>
      <c r="E122" s="443"/>
      <c r="F122" s="443"/>
      <c r="G122" s="443"/>
      <c r="H122" s="444"/>
      <c r="I122" s="442"/>
      <c r="J122" s="443"/>
      <c r="K122" s="443"/>
      <c r="L122" s="443"/>
      <c r="M122" s="443"/>
      <c r="N122" s="443"/>
      <c r="O122" s="444"/>
      <c r="P122" s="442"/>
      <c r="Q122" s="443"/>
      <c r="R122" s="443"/>
      <c r="S122" s="443"/>
      <c r="T122" s="443"/>
      <c r="U122" s="443"/>
      <c r="V122" s="444"/>
      <c r="W122" s="33"/>
    </row>
    <row r="123" spans="1:43">
      <c r="A123" s="37" t="s">
        <v>47</v>
      </c>
      <c r="B123" s="442">
        <v>24.142483306732149</v>
      </c>
      <c r="C123" s="443">
        <v>18.496723118567548</v>
      </c>
      <c r="D123" s="443">
        <v>41.166333333363887</v>
      </c>
      <c r="E123" s="443">
        <v>0.85900000001979415</v>
      </c>
      <c r="F123" s="443">
        <v>1.4749999999999999</v>
      </c>
      <c r="G123" s="443">
        <v>0</v>
      </c>
      <c r="H123" s="444">
        <v>2.597</v>
      </c>
      <c r="I123" s="442">
        <v>28.469495522034578</v>
      </c>
      <c r="J123" s="443">
        <v>16.799815154664365</v>
      </c>
      <c r="K123" s="443">
        <v>75.177526568692485</v>
      </c>
      <c r="L123" s="443">
        <v>7.7758676893914167</v>
      </c>
      <c r="M123" s="443">
        <v>1.8600021776186844</v>
      </c>
      <c r="N123" s="443">
        <v>0</v>
      </c>
      <c r="O123" s="444">
        <v>2.597</v>
      </c>
      <c r="P123" s="442">
        <v>8.0814091996037219E-3</v>
      </c>
      <c r="Q123" s="443">
        <v>0</v>
      </c>
      <c r="R123" s="402">
        <v>10.30250346264712</v>
      </c>
      <c r="S123" s="443">
        <v>0.59151375396581329</v>
      </c>
      <c r="T123" s="443">
        <v>0</v>
      </c>
      <c r="U123" s="443">
        <v>0</v>
      </c>
      <c r="V123" s="444">
        <v>0</v>
      </c>
      <c r="W123" s="33"/>
    </row>
    <row r="124" spans="1:43">
      <c r="A124" s="37" t="s">
        <v>46</v>
      </c>
      <c r="B124" s="442">
        <v>9.758237114062764</v>
      </c>
      <c r="C124" s="443">
        <v>8.5369914127732667</v>
      </c>
      <c r="D124" s="443">
        <v>10.935953333337894</v>
      </c>
      <c r="E124" s="443">
        <v>0.46218805557782139</v>
      </c>
      <c r="F124" s="443">
        <v>1.8264880555555556</v>
      </c>
      <c r="G124" s="443">
        <v>0</v>
      </c>
      <c r="H124" s="444">
        <v>0.83323888888888886</v>
      </c>
      <c r="I124" s="442">
        <v>9.7006107218584283</v>
      </c>
      <c r="J124" s="443">
        <v>8.3422871720744052</v>
      </c>
      <c r="K124" s="443">
        <v>13.535981127230176</v>
      </c>
      <c r="L124" s="443">
        <v>8.7046159930069251</v>
      </c>
      <c r="M124" s="443">
        <v>2.2297911838977913</v>
      </c>
      <c r="N124" s="443">
        <v>0</v>
      </c>
      <c r="O124" s="444">
        <v>0.83323888888888886</v>
      </c>
      <c r="P124" s="442">
        <v>0</v>
      </c>
      <c r="Q124" s="443">
        <v>0</v>
      </c>
      <c r="R124" s="402">
        <v>0.64674991468015774</v>
      </c>
      <c r="S124" s="443">
        <v>2.4497177735942994</v>
      </c>
      <c r="T124" s="443">
        <v>0</v>
      </c>
      <c r="U124" s="443">
        <v>0</v>
      </c>
      <c r="V124" s="444">
        <v>0</v>
      </c>
      <c r="W124" s="33"/>
    </row>
    <row r="125" spans="1:43">
      <c r="A125" s="37" t="s">
        <v>45</v>
      </c>
      <c r="B125" s="442">
        <v>45.961397149719552</v>
      </c>
      <c r="C125" s="443">
        <v>25.860808652649304</v>
      </c>
      <c r="D125" s="443">
        <v>55.423944444485777</v>
      </c>
      <c r="E125" s="443">
        <v>2.7380000000200972</v>
      </c>
      <c r="F125" s="443">
        <v>1.024</v>
      </c>
      <c r="G125" s="443">
        <v>0</v>
      </c>
      <c r="H125" s="444">
        <v>2.794</v>
      </c>
      <c r="I125" s="442">
        <v>41.906182068955047</v>
      </c>
      <c r="J125" s="443">
        <v>21.775450134982655</v>
      </c>
      <c r="K125" s="443">
        <v>106.76237665245722</v>
      </c>
      <c r="L125" s="443">
        <v>13.232145079221347</v>
      </c>
      <c r="M125" s="443">
        <v>1.2401885130547945</v>
      </c>
      <c r="N125" s="443">
        <v>0</v>
      </c>
      <c r="O125" s="444">
        <v>2.794</v>
      </c>
      <c r="P125" s="442">
        <v>0.58109748641696013</v>
      </c>
      <c r="Q125" s="443">
        <v>0.18612976467188172</v>
      </c>
      <c r="R125" s="402">
        <v>14.60298751369373</v>
      </c>
      <c r="S125" s="443">
        <v>0.19991571029907212</v>
      </c>
      <c r="T125" s="443">
        <v>0</v>
      </c>
      <c r="U125" s="443">
        <v>0</v>
      </c>
      <c r="V125" s="444">
        <v>0</v>
      </c>
      <c r="W125" s="33"/>
    </row>
    <row r="126" spans="1:43">
      <c r="A126" s="37" t="s">
        <v>44</v>
      </c>
      <c r="B126" s="442">
        <v>16.848878942666087</v>
      </c>
      <c r="C126" s="443">
        <v>19.90063035145856</v>
      </c>
      <c r="D126" s="443">
        <v>41.908422222246053</v>
      </c>
      <c r="E126" s="443">
        <v>1.7066000000879824</v>
      </c>
      <c r="F126" s="443">
        <v>1.7981</v>
      </c>
      <c r="G126" s="443">
        <v>5.0199999999999995E-2</v>
      </c>
      <c r="H126" s="444">
        <v>3.7263999999999999</v>
      </c>
      <c r="I126" s="442">
        <v>21.497694411829968</v>
      </c>
      <c r="J126" s="443">
        <v>19.093401415301642</v>
      </c>
      <c r="K126" s="443">
        <v>71.490567500696272</v>
      </c>
      <c r="L126" s="443">
        <v>17.12879709452125</v>
      </c>
      <c r="M126" s="443">
        <v>2.1091637552682134</v>
      </c>
      <c r="N126" s="443">
        <v>5.0199999999999995E-2</v>
      </c>
      <c r="O126" s="444">
        <v>3.7263999999999999</v>
      </c>
      <c r="P126" s="442">
        <v>0</v>
      </c>
      <c r="Q126" s="443">
        <v>0</v>
      </c>
      <c r="R126" s="402">
        <v>16.385565240702718</v>
      </c>
      <c r="S126" s="443">
        <v>0.33490970915617563</v>
      </c>
      <c r="T126" s="443">
        <v>0</v>
      </c>
      <c r="U126" s="443">
        <v>0</v>
      </c>
      <c r="V126" s="444">
        <v>0</v>
      </c>
      <c r="W126" s="33"/>
    </row>
    <row r="127" spans="1:43">
      <c r="A127" s="37" t="s">
        <v>43</v>
      </c>
      <c r="B127" s="442">
        <v>23.020608525803496</v>
      </c>
      <c r="C127" s="443">
        <v>32.629185559677026</v>
      </c>
      <c r="D127" s="443">
        <v>45.331309203355609</v>
      </c>
      <c r="E127" s="443">
        <v>2.3635881600947357</v>
      </c>
      <c r="F127" s="443">
        <v>11.446234369445026</v>
      </c>
      <c r="G127" s="443">
        <v>0</v>
      </c>
      <c r="H127" s="444">
        <v>3.4897908388888887</v>
      </c>
      <c r="I127" s="442">
        <v>29.7909978577392</v>
      </c>
      <c r="J127" s="443">
        <v>28.311441247641774</v>
      </c>
      <c r="K127" s="443">
        <v>90.665983769990845</v>
      </c>
      <c r="L127" s="443">
        <v>35.985031270837979</v>
      </c>
      <c r="M127" s="443">
        <v>13.170561878250766</v>
      </c>
      <c r="N127" s="443">
        <v>0</v>
      </c>
      <c r="O127" s="444">
        <v>3.4897908388888887</v>
      </c>
      <c r="P127" s="442">
        <v>0</v>
      </c>
      <c r="Q127" s="443">
        <v>0</v>
      </c>
      <c r="R127" s="402">
        <v>21.340879403793014</v>
      </c>
      <c r="S127" s="443">
        <v>1.7114658297894405</v>
      </c>
      <c r="T127" s="443">
        <v>0</v>
      </c>
      <c r="U127" s="443">
        <v>0</v>
      </c>
      <c r="V127" s="444">
        <v>0</v>
      </c>
      <c r="W127" s="33"/>
    </row>
    <row r="128" spans="1:43">
      <c r="A128" s="37" t="s">
        <v>42</v>
      </c>
      <c r="B128" s="442">
        <v>27.808623684300141</v>
      </c>
      <c r="C128" s="443">
        <v>44.395861473465111</v>
      </c>
      <c r="D128" s="443">
        <v>73.352501666753241</v>
      </c>
      <c r="E128" s="443">
        <v>3.1881597223481135</v>
      </c>
      <c r="F128" s="443">
        <v>1.8322511111111113</v>
      </c>
      <c r="G128" s="443">
        <v>0</v>
      </c>
      <c r="H128" s="444">
        <v>12.625531944444443</v>
      </c>
      <c r="I128" s="442">
        <v>36.011125659036281</v>
      </c>
      <c r="J128" s="443">
        <v>37.582164295274382</v>
      </c>
      <c r="K128" s="443">
        <v>84.969825301527095</v>
      </c>
      <c r="L128" s="443">
        <v>27.004214594996089</v>
      </c>
      <c r="M128" s="443">
        <v>2.2677814992331258</v>
      </c>
      <c r="N128" s="443">
        <v>0</v>
      </c>
      <c r="O128" s="444">
        <v>12.625531944444443</v>
      </c>
      <c r="P128" s="442">
        <v>1.9879763416513476</v>
      </c>
      <c r="Q128" s="443">
        <v>0.49599664202031446</v>
      </c>
      <c r="R128" s="402">
        <v>16.761266486634689</v>
      </c>
      <c r="S128" s="443">
        <v>3.8492674365148827</v>
      </c>
      <c r="T128" s="443">
        <v>0</v>
      </c>
      <c r="U128" s="443">
        <v>0</v>
      </c>
      <c r="V128" s="444">
        <v>0</v>
      </c>
      <c r="W128" s="33"/>
    </row>
    <row r="129" spans="1:23">
      <c r="A129" s="37" t="s">
        <v>41</v>
      </c>
      <c r="B129" s="442">
        <v>72.986245663576753</v>
      </c>
      <c r="C129" s="443">
        <v>68.405060171341333</v>
      </c>
      <c r="D129" s="443">
        <v>89.951833333411074</v>
      </c>
      <c r="E129" s="443">
        <v>3.7390000001372554</v>
      </c>
      <c r="F129" s="443">
        <v>5.3769999999999998</v>
      </c>
      <c r="G129" s="443">
        <v>1.5760000000000001</v>
      </c>
      <c r="H129" s="444">
        <v>9.4610000000000003</v>
      </c>
      <c r="I129" s="442">
        <v>78.215123032494148</v>
      </c>
      <c r="J129" s="443">
        <v>57.051533750861694</v>
      </c>
      <c r="K129" s="443">
        <v>88.032615671732771</v>
      </c>
      <c r="L129" s="443">
        <v>61.552446151668654</v>
      </c>
      <c r="M129" s="443">
        <v>6.5897757494325537</v>
      </c>
      <c r="N129" s="443">
        <v>1.5760000000000001</v>
      </c>
      <c r="O129" s="444">
        <v>9.4610000000000003</v>
      </c>
      <c r="P129" s="442">
        <v>0</v>
      </c>
      <c r="Q129" s="443">
        <v>0</v>
      </c>
      <c r="R129" s="402">
        <v>26.298620671266125</v>
      </c>
      <c r="S129" s="443">
        <v>4.9124980594902077</v>
      </c>
      <c r="T129" s="443">
        <v>0</v>
      </c>
      <c r="U129" s="443">
        <v>0</v>
      </c>
      <c r="V129" s="444">
        <v>0</v>
      </c>
      <c r="W129" s="33"/>
    </row>
    <row r="130" spans="1:23">
      <c r="A130" s="37" t="s">
        <v>75</v>
      </c>
      <c r="B130" s="442">
        <v>105.41376793036197</v>
      </c>
      <c r="C130" s="443">
        <v>89.178913906190502</v>
      </c>
      <c r="D130" s="443">
        <v>99.852868611171687</v>
      </c>
      <c r="E130" s="443">
        <v>6.5071830557322414</v>
      </c>
      <c r="F130" s="443">
        <v>3.1539988888888888</v>
      </c>
      <c r="G130" s="443">
        <v>0</v>
      </c>
      <c r="H130" s="444">
        <v>12.505419999999999</v>
      </c>
      <c r="I130" s="442">
        <v>121.41605975253874</v>
      </c>
      <c r="J130" s="443">
        <v>103.48243159346795</v>
      </c>
      <c r="K130" s="443">
        <v>101.4489567490502</v>
      </c>
      <c r="L130" s="443">
        <v>63.381438532765628</v>
      </c>
      <c r="M130" s="443">
        <v>3.729414634527672</v>
      </c>
      <c r="N130" s="443">
        <v>0</v>
      </c>
      <c r="O130" s="444">
        <v>12.505419999999999</v>
      </c>
      <c r="P130" s="442">
        <v>22.761892463084823</v>
      </c>
      <c r="Q130" s="443">
        <v>3.749521218642196</v>
      </c>
      <c r="R130" s="402">
        <v>23.379432661168437</v>
      </c>
      <c r="S130" s="443">
        <v>5.1780862980913662</v>
      </c>
      <c r="T130" s="443">
        <v>0</v>
      </c>
      <c r="U130" s="443">
        <v>0</v>
      </c>
      <c r="V130" s="444">
        <v>0</v>
      </c>
      <c r="W130" s="33"/>
    </row>
    <row r="131" spans="1:23">
      <c r="A131" s="37" t="s">
        <v>39</v>
      </c>
      <c r="B131" s="442">
        <v>147.54933996614554</v>
      </c>
      <c r="C131" s="443">
        <v>127.44248196798941</v>
      </c>
      <c r="D131" s="443">
        <v>135.61282805559642</v>
      </c>
      <c r="E131" s="443">
        <v>9.0084611112165938</v>
      </c>
      <c r="F131" s="443">
        <v>8.2687249999999999</v>
      </c>
      <c r="G131" s="443">
        <v>1.1570119444444444</v>
      </c>
      <c r="H131" s="444">
        <v>23.869743055555556</v>
      </c>
      <c r="I131" s="442">
        <v>143.99635544196605</v>
      </c>
      <c r="J131" s="443">
        <v>93.880768058074182</v>
      </c>
      <c r="K131" s="443">
        <v>154.15362384365207</v>
      </c>
      <c r="L131" s="443">
        <v>69.68915154549444</v>
      </c>
      <c r="M131" s="443">
        <v>9.1450231271489688</v>
      </c>
      <c r="N131" s="443">
        <v>2.284288081376566</v>
      </c>
      <c r="O131" s="444">
        <v>23.869743055555556</v>
      </c>
      <c r="P131" s="442">
        <v>0</v>
      </c>
      <c r="Q131" s="443">
        <v>0</v>
      </c>
      <c r="R131" s="402">
        <v>17.137290683510024</v>
      </c>
      <c r="S131" s="443">
        <v>2.347466803516125</v>
      </c>
      <c r="T131" s="443">
        <v>3.4735763261173613E-2</v>
      </c>
      <c r="U131" s="443">
        <v>0</v>
      </c>
      <c r="V131" s="444">
        <v>0</v>
      </c>
      <c r="W131" s="33"/>
    </row>
    <row r="132" spans="1:23">
      <c r="A132" s="37" t="s">
        <v>38</v>
      </c>
      <c r="B132" s="445">
        <v>125.26950242051855</v>
      </c>
      <c r="C132" s="446">
        <v>112.18381084093178</v>
      </c>
      <c r="D132" s="446">
        <v>252.63388888901002</v>
      </c>
      <c r="E132" s="446">
        <v>11.676000000195845</v>
      </c>
      <c r="F132" s="446">
        <v>5.0589999999999993</v>
      </c>
      <c r="G132" s="446">
        <v>0</v>
      </c>
      <c r="H132" s="447">
        <v>31.053000000000001</v>
      </c>
      <c r="I132" s="445">
        <v>153.66758177112899</v>
      </c>
      <c r="J132" s="446">
        <v>105.14895832788002</v>
      </c>
      <c r="K132" s="446">
        <v>368.57120781406013</v>
      </c>
      <c r="L132" s="446">
        <v>122.67516084422653</v>
      </c>
      <c r="M132" s="446">
        <v>6.3324502693700442</v>
      </c>
      <c r="N132" s="446">
        <v>0</v>
      </c>
      <c r="O132" s="447">
        <v>31.053000000000001</v>
      </c>
      <c r="P132" s="445">
        <v>12.47881586618303</v>
      </c>
      <c r="Q132" s="446">
        <v>2.9465354255876388</v>
      </c>
      <c r="R132" s="448">
        <v>96.489292148588419</v>
      </c>
      <c r="S132" s="446">
        <v>17.827282386827992</v>
      </c>
      <c r="T132" s="446">
        <v>1.3192415832107254</v>
      </c>
      <c r="U132" s="446">
        <v>0</v>
      </c>
      <c r="V132" s="447">
        <v>0</v>
      </c>
      <c r="W132" s="430">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83">
        <v>2019</v>
      </c>
      <c r="C136" s="783"/>
      <c r="D136" s="783"/>
      <c r="E136" s="783"/>
      <c r="F136" s="783"/>
      <c r="G136" s="783"/>
      <c r="H136" s="783"/>
      <c r="I136" s="783">
        <v>2035</v>
      </c>
      <c r="J136" s="783"/>
      <c r="K136" s="783"/>
      <c r="L136" s="783"/>
      <c r="M136" s="783"/>
      <c r="N136" s="783"/>
      <c r="O136" s="783"/>
      <c r="P136" s="783" t="s">
        <v>90</v>
      </c>
      <c r="Q136" s="783"/>
      <c r="R136" s="783"/>
      <c r="S136" s="783"/>
      <c r="T136" s="783"/>
      <c r="U136" s="783"/>
      <c r="V136" s="783"/>
    </row>
    <row r="137" spans="1:23">
      <c r="B137" s="27" t="s">
        <v>28</v>
      </c>
      <c r="C137" s="27" t="s">
        <v>29</v>
      </c>
      <c r="D137" s="27" t="s">
        <v>30</v>
      </c>
      <c r="E137" s="27" t="s">
        <v>31</v>
      </c>
      <c r="F137" s="27" t="s">
        <v>32</v>
      </c>
      <c r="G137" s="27" t="s">
        <v>33</v>
      </c>
      <c r="H137" s="27" t="s">
        <v>34</v>
      </c>
      <c r="I137" s="27" t="s">
        <v>28</v>
      </c>
      <c r="J137" s="27" t="s">
        <v>29</v>
      </c>
      <c r="K137" s="27" t="s">
        <v>30</v>
      </c>
      <c r="L137" s="27" t="s">
        <v>31</v>
      </c>
      <c r="M137" s="27" t="s">
        <v>32</v>
      </c>
      <c r="N137" s="27" t="s">
        <v>33</v>
      </c>
      <c r="O137" s="27" t="s">
        <v>34</v>
      </c>
      <c r="P137" s="27" t="s">
        <v>28</v>
      </c>
      <c r="Q137" s="27" t="s">
        <v>29</v>
      </c>
      <c r="R137" s="27" t="s">
        <v>30</v>
      </c>
      <c r="S137" s="27" t="s">
        <v>31</v>
      </c>
      <c r="T137" s="27" t="s">
        <v>32</v>
      </c>
      <c r="U137" s="27" t="s">
        <v>33</v>
      </c>
      <c r="V137" s="27" t="s">
        <v>34</v>
      </c>
    </row>
    <row r="138" spans="1:23">
      <c r="A138" s="37" t="s">
        <v>51</v>
      </c>
      <c r="B138" s="449">
        <f>B119</f>
        <v>2.111576813110585</v>
      </c>
      <c r="C138" s="450">
        <f t="shared" ref="C138:H138" si="83">C119</f>
        <v>2.6073906524463841</v>
      </c>
      <c r="D138" s="450">
        <f t="shared" si="83"/>
        <v>2.9439000000015945</v>
      </c>
      <c r="E138" s="450">
        <f t="shared" si="83"/>
        <v>3.3000000003937026E-2</v>
      </c>
      <c r="F138" s="450">
        <f t="shared" si="83"/>
        <v>0.13400000000000001</v>
      </c>
      <c r="G138" s="450">
        <f t="shared" si="83"/>
        <v>0</v>
      </c>
      <c r="H138" s="450">
        <f t="shared" si="83"/>
        <v>1.015485</v>
      </c>
      <c r="I138" s="449">
        <f>I119-B138</f>
        <v>0.57117287518869686</v>
      </c>
      <c r="J138" s="450">
        <f t="shared" ref="J138:O151" si="84">J119-C138</f>
        <v>-0.10371304604144616</v>
      </c>
      <c r="K138" s="450">
        <f t="shared" si="84"/>
        <v>-0.5712374990717386</v>
      </c>
      <c r="L138" s="450">
        <f t="shared" si="84"/>
        <v>0.72958459492624728</v>
      </c>
      <c r="M138" s="450">
        <f t="shared" si="84"/>
        <v>2.6557127566685212E-2</v>
      </c>
      <c r="N138" s="450">
        <f t="shared" si="84"/>
        <v>0</v>
      </c>
      <c r="O138" s="451">
        <f t="shared" si="84"/>
        <v>0</v>
      </c>
      <c r="P138" s="441">
        <f>P119/0.7</f>
        <v>0</v>
      </c>
      <c r="Q138" s="441">
        <f t="shared" ref="Q138:V138" si="85">Q119/0.7</f>
        <v>0</v>
      </c>
      <c r="R138" s="441">
        <f t="shared" si="85"/>
        <v>0.38240054060350692</v>
      </c>
      <c r="S138" s="441">
        <f t="shared" si="85"/>
        <v>0.14899666051632551</v>
      </c>
      <c r="T138" s="441">
        <f t="shared" si="85"/>
        <v>0</v>
      </c>
      <c r="U138" s="441">
        <f t="shared" si="85"/>
        <v>0</v>
      </c>
      <c r="V138" s="452">
        <f t="shared" si="85"/>
        <v>0</v>
      </c>
    </row>
    <row r="139" spans="1:23">
      <c r="A139" s="37" t="s">
        <v>50</v>
      </c>
      <c r="B139" s="453">
        <f t="shared" ref="B139:H139" si="86">B120</f>
        <v>1.6523386281414354</v>
      </c>
      <c r="C139" s="454">
        <f t="shared" si="86"/>
        <v>2.4259820996468116</v>
      </c>
      <c r="D139" s="454">
        <f t="shared" si="86"/>
        <v>2.2929183333391974</v>
      </c>
      <c r="E139" s="454">
        <f t="shared" si="86"/>
        <v>0.10679694445020754</v>
      </c>
      <c r="F139" s="454">
        <f t="shared" si="86"/>
        <v>0.17919805555555557</v>
      </c>
      <c r="G139" s="454">
        <f t="shared" si="86"/>
        <v>2.3388888888888887E-4</v>
      </c>
      <c r="H139" s="454">
        <f t="shared" si="86"/>
        <v>0.4910788888888889</v>
      </c>
      <c r="I139" s="453">
        <f t="shared" ref="I139:I151" si="87">I120-B139</f>
        <v>0.28355908476442537</v>
      </c>
      <c r="J139" s="454">
        <f t="shared" si="84"/>
        <v>-0.28074911335360708</v>
      </c>
      <c r="K139" s="454">
        <f t="shared" si="84"/>
        <v>7.9978737438343384E-2</v>
      </c>
      <c r="L139" s="454">
        <f t="shared" si="84"/>
        <v>1.3159848372834011</v>
      </c>
      <c r="M139" s="454">
        <f t="shared" si="84"/>
        <v>3.6900255813428234E-2</v>
      </c>
      <c r="N139" s="454">
        <f t="shared" si="84"/>
        <v>0</v>
      </c>
      <c r="O139" s="455">
        <f t="shared" si="84"/>
        <v>0</v>
      </c>
      <c r="P139" s="402">
        <f t="shared" ref="P139:V151" si="88">P120/0.7</f>
        <v>0.11763096200493121</v>
      </c>
      <c r="Q139" s="402">
        <f t="shared" si="88"/>
        <v>4.9501482845720174E-2</v>
      </c>
      <c r="R139" s="402">
        <f t="shared" si="88"/>
        <v>1.6287228189725729E-2</v>
      </c>
      <c r="S139" s="402">
        <f t="shared" si="88"/>
        <v>0.50043110413676617</v>
      </c>
      <c r="T139" s="402">
        <f t="shared" si="88"/>
        <v>0</v>
      </c>
      <c r="U139" s="402">
        <f t="shared" si="88"/>
        <v>0</v>
      </c>
      <c r="V139" s="456">
        <f t="shared" si="88"/>
        <v>0</v>
      </c>
    </row>
    <row r="140" spans="1:23">
      <c r="A140" s="37" t="s">
        <v>49</v>
      </c>
      <c r="B140" s="453">
        <f t="shared" ref="B140:H140" si="89">B121</f>
        <v>2.9127387221315666</v>
      </c>
      <c r="C140" s="454">
        <f t="shared" si="89"/>
        <v>3.0953999568750752</v>
      </c>
      <c r="D140" s="454">
        <f t="shared" si="89"/>
        <v>5.1172666666694697</v>
      </c>
      <c r="E140" s="454">
        <f t="shared" si="89"/>
        <v>5.5000000002317466E-2</v>
      </c>
      <c r="F140" s="454">
        <f t="shared" si="89"/>
        <v>0.21109999999999998</v>
      </c>
      <c r="G140" s="454">
        <f t="shared" si="89"/>
        <v>0</v>
      </c>
      <c r="H140" s="454">
        <f t="shared" si="89"/>
        <v>0.20699999999999999</v>
      </c>
      <c r="I140" s="453">
        <f t="shared" si="87"/>
        <v>-0.10286634586714838</v>
      </c>
      <c r="J140" s="454">
        <f t="shared" si="84"/>
        <v>-0.19650762859872151</v>
      </c>
      <c r="K140" s="454">
        <f t="shared" si="84"/>
        <v>0.30088249638067044</v>
      </c>
      <c r="L140" s="454">
        <f t="shared" si="84"/>
        <v>2.340448824268734</v>
      </c>
      <c r="M140" s="454">
        <f t="shared" si="84"/>
        <v>3.6944735994339617E-2</v>
      </c>
      <c r="N140" s="454">
        <f t="shared" si="84"/>
        <v>0</v>
      </c>
      <c r="O140" s="455">
        <f t="shared" si="84"/>
        <v>0</v>
      </c>
      <c r="P140" s="402">
        <f t="shared" si="88"/>
        <v>0.14205332016086375</v>
      </c>
      <c r="Q140" s="402">
        <f t="shared" si="88"/>
        <v>3.6742914878852215E-2</v>
      </c>
      <c r="R140" s="402">
        <f t="shared" si="88"/>
        <v>5.4419047526047812</v>
      </c>
      <c r="S140" s="402">
        <f t="shared" si="88"/>
        <v>0.91488867243642791</v>
      </c>
      <c r="T140" s="402">
        <f t="shared" si="88"/>
        <v>0</v>
      </c>
      <c r="U140" s="402">
        <f t="shared" si="88"/>
        <v>0</v>
      </c>
      <c r="V140" s="456">
        <f t="shared" si="88"/>
        <v>0</v>
      </c>
    </row>
    <row r="141" spans="1:23">
      <c r="A141" s="37" t="s">
        <v>48</v>
      </c>
      <c r="B141" s="453">
        <f t="shared" ref="B141:H141" si="90">B122</f>
        <v>0</v>
      </c>
      <c r="C141" s="454">
        <f t="shared" si="90"/>
        <v>0</v>
      </c>
      <c r="D141" s="454">
        <f t="shared" si="90"/>
        <v>0</v>
      </c>
      <c r="E141" s="454">
        <f t="shared" si="90"/>
        <v>0</v>
      </c>
      <c r="F141" s="454">
        <f t="shared" si="90"/>
        <v>0</v>
      </c>
      <c r="G141" s="454">
        <f t="shared" si="90"/>
        <v>0</v>
      </c>
      <c r="H141" s="454">
        <f t="shared" si="90"/>
        <v>0</v>
      </c>
      <c r="I141" s="453">
        <f t="shared" si="87"/>
        <v>0</v>
      </c>
      <c r="J141" s="454">
        <f t="shared" si="84"/>
        <v>0</v>
      </c>
      <c r="K141" s="454">
        <f t="shared" si="84"/>
        <v>0</v>
      </c>
      <c r="L141" s="454">
        <f t="shared" si="84"/>
        <v>0</v>
      </c>
      <c r="M141" s="454">
        <f t="shared" si="84"/>
        <v>0</v>
      </c>
      <c r="N141" s="454">
        <f t="shared" si="84"/>
        <v>0</v>
      </c>
      <c r="O141" s="455">
        <f t="shared" si="84"/>
        <v>0</v>
      </c>
      <c r="P141" s="402">
        <f t="shared" si="88"/>
        <v>0</v>
      </c>
      <c r="Q141" s="402">
        <f t="shared" si="88"/>
        <v>0</v>
      </c>
      <c r="R141" s="402">
        <f t="shared" si="88"/>
        <v>0</v>
      </c>
      <c r="S141" s="402">
        <f t="shared" si="88"/>
        <v>0</v>
      </c>
      <c r="T141" s="402">
        <f t="shared" si="88"/>
        <v>0</v>
      </c>
      <c r="U141" s="402">
        <f t="shared" si="88"/>
        <v>0</v>
      </c>
      <c r="V141" s="456">
        <f t="shared" si="88"/>
        <v>0</v>
      </c>
    </row>
    <row r="142" spans="1:23">
      <c r="A142" s="37" t="s">
        <v>47</v>
      </c>
      <c r="B142" s="453">
        <f t="shared" ref="B142:H142" si="91">B123</f>
        <v>24.142483306732149</v>
      </c>
      <c r="C142" s="454">
        <f t="shared" si="91"/>
        <v>18.496723118567548</v>
      </c>
      <c r="D142" s="454">
        <f t="shared" si="91"/>
        <v>41.166333333363887</v>
      </c>
      <c r="E142" s="454">
        <f t="shared" si="91"/>
        <v>0.85900000001979415</v>
      </c>
      <c r="F142" s="454">
        <f t="shared" si="91"/>
        <v>1.4749999999999999</v>
      </c>
      <c r="G142" s="454">
        <f t="shared" si="91"/>
        <v>0</v>
      </c>
      <c r="H142" s="454">
        <f t="shared" si="91"/>
        <v>2.597</v>
      </c>
      <c r="I142" s="453">
        <f t="shared" si="87"/>
        <v>4.3270122153024282</v>
      </c>
      <c r="J142" s="454">
        <f t="shared" si="84"/>
        <v>-1.6969079639031825</v>
      </c>
      <c r="K142" s="454">
        <f t="shared" si="84"/>
        <v>34.011193235328598</v>
      </c>
      <c r="L142" s="454">
        <f t="shared" si="84"/>
        <v>6.9168676893716228</v>
      </c>
      <c r="M142" s="454">
        <f t="shared" si="84"/>
        <v>0.38500217761868449</v>
      </c>
      <c r="N142" s="454">
        <f t="shared" si="84"/>
        <v>0</v>
      </c>
      <c r="O142" s="455">
        <f t="shared" si="84"/>
        <v>0</v>
      </c>
      <c r="P142" s="402">
        <f t="shared" si="88"/>
        <v>1.1544870285148175E-2</v>
      </c>
      <c r="Q142" s="402">
        <f t="shared" si="88"/>
        <v>0</v>
      </c>
      <c r="R142" s="402">
        <f t="shared" si="88"/>
        <v>14.717862089495886</v>
      </c>
      <c r="S142" s="402">
        <f t="shared" si="88"/>
        <v>0.84501964852259048</v>
      </c>
      <c r="T142" s="402">
        <f t="shared" si="88"/>
        <v>0</v>
      </c>
      <c r="U142" s="402">
        <f t="shared" si="88"/>
        <v>0</v>
      </c>
      <c r="V142" s="456">
        <f t="shared" si="88"/>
        <v>0</v>
      </c>
    </row>
    <row r="143" spans="1:23">
      <c r="A143" s="37" t="s">
        <v>46</v>
      </c>
      <c r="B143" s="453">
        <f t="shared" ref="B143:H143" si="92">B124</f>
        <v>9.758237114062764</v>
      </c>
      <c r="C143" s="454">
        <f t="shared" si="92"/>
        <v>8.5369914127732667</v>
      </c>
      <c r="D143" s="454">
        <f t="shared" si="92"/>
        <v>10.935953333337894</v>
      </c>
      <c r="E143" s="454">
        <f t="shared" si="92"/>
        <v>0.46218805557782139</v>
      </c>
      <c r="F143" s="454">
        <f t="shared" si="92"/>
        <v>1.8264880555555556</v>
      </c>
      <c r="G143" s="454">
        <f t="shared" si="92"/>
        <v>0</v>
      </c>
      <c r="H143" s="454">
        <f t="shared" si="92"/>
        <v>0.83323888888888886</v>
      </c>
      <c r="I143" s="453">
        <f t="shared" si="87"/>
        <v>-5.762639220433563E-2</v>
      </c>
      <c r="J143" s="454">
        <f t="shared" si="84"/>
        <v>-0.1947042406988615</v>
      </c>
      <c r="K143" s="454">
        <f t="shared" si="84"/>
        <v>2.6000277938922824</v>
      </c>
      <c r="L143" s="454">
        <f t="shared" si="84"/>
        <v>8.2424279374291043</v>
      </c>
      <c r="M143" s="454">
        <f t="shared" si="84"/>
        <v>0.40330312834223569</v>
      </c>
      <c r="N143" s="454">
        <f t="shared" si="84"/>
        <v>0</v>
      </c>
      <c r="O143" s="455">
        <f t="shared" si="84"/>
        <v>0</v>
      </c>
      <c r="P143" s="402">
        <f t="shared" si="88"/>
        <v>0</v>
      </c>
      <c r="Q143" s="402">
        <f t="shared" si="88"/>
        <v>0</v>
      </c>
      <c r="R143" s="402">
        <f t="shared" si="88"/>
        <v>0.92392844954308251</v>
      </c>
      <c r="S143" s="402">
        <f t="shared" si="88"/>
        <v>3.4995968194204279</v>
      </c>
      <c r="T143" s="402">
        <f t="shared" si="88"/>
        <v>0</v>
      </c>
      <c r="U143" s="402">
        <f t="shared" si="88"/>
        <v>0</v>
      </c>
      <c r="V143" s="456">
        <f t="shared" si="88"/>
        <v>0</v>
      </c>
    </row>
    <row r="144" spans="1:23">
      <c r="A144" s="37" t="s">
        <v>45</v>
      </c>
      <c r="B144" s="453">
        <f t="shared" ref="B144:H144" si="93">B125</f>
        <v>45.961397149719552</v>
      </c>
      <c r="C144" s="454">
        <f t="shared" si="93"/>
        <v>25.860808652649304</v>
      </c>
      <c r="D144" s="454">
        <f t="shared" si="93"/>
        <v>55.423944444485777</v>
      </c>
      <c r="E144" s="454">
        <f t="shared" si="93"/>
        <v>2.7380000000200972</v>
      </c>
      <c r="F144" s="454">
        <f t="shared" si="93"/>
        <v>1.024</v>
      </c>
      <c r="G144" s="454">
        <f t="shared" si="93"/>
        <v>0</v>
      </c>
      <c r="H144" s="454">
        <f t="shared" si="93"/>
        <v>2.794</v>
      </c>
      <c r="I144" s="453">
        <f t="shared" si="87"/>
        <v>-4.0552150807645049</v>
      </c>
      <c r="J144" s="454">
        <f t="shared" si="84"/>
        <v>-4.0853585176666485</v>
      </c>
      <c r="K144" s="454">
        <f t="shared" si="84"/>
        <v>51.338432207971444</v>
      </c>
      <c r="L144" s="454">
        <f t="shared" si="84"/>
        <v>10.49414507920125</v>
      </c>
      <c r="M144" s="454">
        <f t="shared" si="84"/>
        <v>0.21618851305479447</v>
      </c>
      <c r="N144" s="454">
        <f t="shared" si="84"/>
        <v>0</v>
      </c>
      <c r="O144" s="455">
        <f t="shared" si="84"/>
        <v>0</v>
      </c>
      <c r="P144" s="402">
        <f t="shared" si="88"/>
        <v>0.83013926630994306</v>
      </c>
      <c r="Q144" s="402">
        <f t="shared" si="88"/>
        <v>0.26589966381697389</v>
      </c>
      <c r="R144" s="402">
        <f t="shared" si="88"/>
        <v>20.861410733848189</v>
      </c>
      <c r="S144" s="402">
        <f t="shared" si="88"/>
        <v>0.28559387185581736</v>
      </c>
      <c r="T144" s="402">
        <f t="shared" si="88"/>
        <v>0</v>
      </c>
      <c r="U144" s="402">
        <f t="shared" si="88"/>
        <v>0</v>
      </c>
      <c r="V144" s="456">
        <f t="shared" si="88"/>
        <v>0</v>
      </c>
    </row>
    <row r="145" spans="1:43">
      <c r="A145" s="37" t="s">
        <v>44</v>
      </c>
      <c r="B145" s="453">
        <f t="shared" ref="B145:H145" si="94">B126</f>
        <v>16.848878942666087</v>
      </c>
      <c r="C145" s="454">
        <f t="shared" si="94"/>
        <v>19.90063035145856</v>
      </c>
      <c r="D145" s="454">
        <f t="shared" si="94"/>
        <v>41.908422222246053</v>
      </c>
      <c r="E145" s="454">
        <f t="shared" si="94"/>
        <v>1.7066000000879824</v>
      </c>
      <c r="F145" s="454">
        <f t="shared" si="94"/>
        <v>1.7981</v>
      </c>
      <c r="G145" s="454">
        <f t="shared" si="94"/>
        <v>5.0199999999999995E-2</v>
      </c>
      <c r="H145" s="454">
        <f t="shared" si="94"/>
        <v>3.7263999999999999</v>
      </c>
      <c r="I145" s="453">
        <f t="shared" si="87"/>
        <v>4.6488154691638819</v>
      </c>
      <c r="J145" s="454">
        <f t="shared" si="84"/>
        <v>-0.8072289361569176</v>
      </c>
      <c r="K145" s="454">
        <f t="shared" si="84"/>
        <v>29.58214527845022</v>
      </c>
      <c r="L145" s="454">
        <f t="shared" si="84"/>
        <v>15.422197094433267</v>
      </c>
      <c r="M145" s="454">
        <f t="shared" si="84"/>
        <v>0.31106375526821339</v>
      </c>
      <c r="N145" s="454">
        <f t="shared" si="84"/>
        <v>0</v>
      </c>
      <c r="O145" s="455">
        <f t="shared" si="84"/>
        <v>0</v>
      </c>
      <c r="P145" s="402">
        <f t="shared" si="88"/>
        <v>0</v>
      </c>
      <c r="Q145" s="402">
        <f t="shared" si="88"/>
        <v>0</v>
      </c>
      <c r="R145" s="402">
        <f t="shared" si="88"/>
        <v>23.407950343861028</v>
      </c>
      <c r="S145" s="402">
        <f t="shared" si="88"/>
        <v>0.47844244165167948</v>
      </c>
      <c r="T145" s="402">
        <f t="shared" si="88"/>
        <v>0</v>
      </c>
      <c r="U145" s="402">
        <f t="shared" si="88"/>
        <v>0</v>
      </c>
      <c r="V145" s="456">
        <f t="shared" si="88"/>
        <v>0</v>
      </c>
    </row>
    <row r="146" spans="1:43">
      <c r="A146" s="37" t="s">
        <v>43</v>
      </c>
      <c r="B146" s="453">
        <f t="shared" ref="B146:H146" si="95">B127</f>
        <v>23.020608525803496</v>
      </c>
      <c r="C146" s="454">
        <f t="shared" si="95"/>
        <v>32.629185559677026</v>
      </c>
      <c r="D146" s="454">
        <f t="shared" si="95"/>
        <v>45.331309203355609</v>
      </c>
      <c r="E146" s="454">
        <f t="shared" si="95"/>
        <v>2.3635881600947357</v>
      </c>
      <c r="F146" s="454">
        <f t="shared" si="95"/>
        <v>11.446234369445026</v>
      </c>
      <c r="G146" s="454">
        <f t="shared" si="95"/>
        <v>0</v>
      </c>
      <c r="H146" s="454">
        <f t="shared" si="95"/>
        <v>3.4897908388888887</v>
      </c>
      <c r="I146" s="453">
        <f t="shared" si="87"/>
        <v>6.7703893319357036</v>
      </c>
      <c r="J146" s="454">
        <f t="shared" si="84"/>
        <v>-4.3177443120352521</v>
      </c>
      <c r="K146" s="454">
        <f t="shared" si="84"/>
        <v>45.334674566635236</v>
      </c>
      <c r="L146" s="454">
        <f t="shared" si="84"/>
        <v>33.621443110743243</v>
      </c>
      <c r="M146" s="454">
        <f t="shared" si="84"/>
        <v>1.7243275088057395</v>
      </c>
      <c r="N146" s="454">
        <f t="shared" si="84"/>
        <v>0</v>
      </c>
      <c r="O146" s="455">
        <f t="shared" si="84"/>
        <v>0</v>
      </c>
      <c r="P146" s="402">
        <f t="shared" si="88"/>
        <v>0</v>
      </c>
      <c r="Q146" s="402">
        <f t="shared" si="88"/>
        <v>0</v>
      </c>
      <c r="R146" s="402">
        <f t="shared" si="88"/>
        <v>30.486970576847167</v>
      </c>
      <c r="S146" s="402">
        <f t="shared" si="88"/>
        <v>2.4449511854134864</v>
      </c>
      <c r="T146" s="402">
        <f t="shared" si="88"/>
        <v>0</v>
      </c>
      <c r="U146" s="402">
        <f t="shared" si="88"/>
        <v>0</v>
      </c>
      <c r="V146" s="456">
        <f t="shared" si="88"/>
        <v>0</v>
      </c>
    </row>
    <row r="147" spans="1:43">
      <c r="A147" s="37" t="s">
        <v>42</v>
      </c>
      <c r="B147" s="453">
        <f t="shared" ref="B147:H147" si="96">B128</f>
        <v>27.808623684300141</v>
      </c>
      <c r="C147" s="454">
        <f t="shared" si="96"/>
        <v>44.395861473465111</v>
      </c>
      <c r="D147" s="454">
        <f t="shared" si="96"/>
        <v>73.352501666753241</v>
      </c>
      <c r="E147" s="454">
        <f t="shared" si="96"/>
        <v>3.1881597223481135</v>
      </c>
      <c r="F147" s="454">
        <f t="shared" si="96"/>
        <v>1.8322511111111113</v>
      </c>
      <c r="G147" s="454">
        <f t="shared" si="96"/>
        <v>0</v>
      </c>
      <c r="H147" s="454">
        <f t="shared" si="96"/>
        <v>12.625531944444443</v>
      </c>
      <c r="I147" s="453">
        <f t="shared" si="87"/>
        <v>8.2025019747361405</v>
      </c>
      <c r="J147" s="454">
        <f t="shared" si="84"/>
        <v>-6.8136971781907292</v>
      </c>
      <c r="K147" s="454">
        <f t="shared" si="84"/>
        <v>11.617323634773854</v>
      </c>
      <c r="L147" s="454">
        <f t="shared" si="84"/>
        <v>23.816054872647975</v>
      </c>
      <c r="M147" s="454">
        <f t="shared" si="84"/>
        <v>0.4355303881220145</v>
      </c>
      <c r="N147" s="454">
        <f t="shared" si="84"/>
        <v>0</v>
      </c>
      <c r="O147" s="455">
        <f t="shared" si="84"/>
        <v>0</v>
      </c>
      <c r="P147" s="402">
        <f t="shared" si="88"/>
        <v>2.8399662023590682</v>
      </c>
      <c r="Q147" s="402">
        <f t="shared" si="88"/>
        <v>0.70856663145759213</v>
      </c>
      <c r="R147" s="402">
        <f t="shared" si="88"/>
        <v>23.944666409478128</v>
      </c>
      <c r="S147" s="402">
        <f t="shared" si="88"/>
        <v>5.4989534807355467</v>
      </c>
      <c r="T147" s="402">
        <f t="shared" si="88"/>
        <v>0</v>
      </c>
      <c r="U147" s="402">
        <f t="shared" si="88"/>
        <v>0</v>
      </c>
      <c r="V147" s="456">
        <f t="shared" si="88"/>
        <v>0</v>
      </c>
    </row>
    <row r="148" spans="1:43">
      <c r="A148" s="37" t="s">
        <v>41</v>
      </c>
      <c r="B148" s="453">
        <f t="shared" ref="B148:H148" si="97">B129</f>
        <v>72.986245663576753</v>
      </c>
      <c r="C148" s="454">
        <f t="shared" si="97"/>
        <v>68.405060171341333</v>
      </c>
      <c r="D148" s="454">
        <f t="shared" si="97"/>
        <v>89.951833333411074</v>
      </c>
      <c r="E148" s="454">
        <f t="shared" si="97"/>
        <v>3.7390000001372554</v>
      </c>
      <c r="F148" s="454">
        <f t="shared" si="97"/>
        <v>5.3769999999999998</v>
      </c>
      <c r="G148" s="454">
        <f t="shared" si="97"/>
        <v>1.5760000000000001</v>
      </c>
      <c r="H148" s="454">
        <f t="shared" si="97"/>
        <v>9.4610000000000003</v>
      </c>
      <c r="I148" s="453">
        <f t="shared" si="87"/>
        <v>5.2288773689173951</v>
      </c>
      <c r="J148" s="454">
        <f t="shared" si="84"/>
        <v>-11.353526420479639</v>
      </c>
      <c r="K148" s="454">
        <f t="shared" si="84"/>
        <v>-1.919217661678303</v>
      </c>
      <c r="L148" s="454">
        <f t="shared" si="84"/>
        <v>57.813446151531402</v>
      </c>
      <c r="M148" s="454">
        <f t="shared" si="84"/>
        <v>1.212775749432554</v>
      </c>
      <c r="N148" s="454">
        <f t="shared" si="84"/>
        <v>0</v>
      </c>
      <c r="O148" s="455">
        <f t="shared" si="84"/>
        <v>0</v>
      </c>
      <c r="P148" s="402">
        <f t="shared" si="88"/>
        <v>0</v>
      </c>
      <c r="Q148" s="402">
        <f t="shared" si="88"/>
        <v>0</v>
      </c>
      <c r="R148" s="402">
        <f t="shared" si="88"/>
        <v>37.569458101808749</v>
      </c>
      <c r="S148" s="402">
        <f t="shared" si="88"/>
        <v>7.0178543707002969</v>
      </c>
      <c r="T148" s="402">
        <f t="shared" si="88"/>
        <v>0</v>
      </c>
      <c r="U148" s="402">
        <f t="shared" si="88"/>
        <v>0</v>
      </c>
      <c r="V148" s="456">
        <f t="shared" si="88"/>
        <v>0</v>
      </c>
    </row>
    <row r="149" spans="1:43">
      <c r="A149" s="37" t="s">
        <v>75</v>
      </c>
      <c r="B149" s="453">
        <f t="shared" ref="B149:H149" si="98">B130</f>
        <v>105.41376793036197</v>
      </c>
      <c r="C149" s="454">
        <f t="shared" si="98"/>
        <v>89.178913906190502</v>
      </c>
      <c r="D149" s="454">
        <f t="shared" si="98"/>
        <v>99.852868611171687</v>
      </c>
      <c r="E149" s="454">
        <f t="shared" si="98"/>
        <v>6.5071830557322414</v>
      </c>
      <c r="F149" s="454">
        <f t="shared" si="98"/>
        <v>3.1539988888888888</v>
      </c>
      <c r="G149" s="454">
        <f t="shared" si="98"/>
        <v>0</v>
      </c>
      <c r="H149" s="454">
        <f t="shared" si="98"/>
        <v>12.505419999999999</v>
      </c>
      <c r="I149" s="453">
        <f t="shared" si="87"/>
        <v>16.002291822176772</v>
      </c>
      <c r="J149" s="454">
        <f t="shared" si="84"/>
        <v>14.303517687277449</v>
      </c>
      <c r="K149" s="454">
        <f t="shared" si="84"/>
        <v>1.5960881378785103</v>
      </c>
      <c r="L149" s="454">
        <f t="shared" si="84"/>
        <v>56.874255477033387</v>
      </c>
      <c r="M149" s="454">
        <f t="shared" si="84"/>
        <v>0.57541574563878317</v>
      </c>
      <c r="N149" s="454">
        <f t="shared" si="84"/>
        <v>0</v>
      </c>
      <c r="O149" s="455">
        <f t="shared" si="84"/>
        <v>0</v>
      </c>
      <c r="P149" s="402">
        <f t="shared" si="88"/>
        <v>32.516989232978318</v>
      </c>
      <c r="Q149" s="402">
        <f t="shared" si="88"/>
        <v>5.3564588837745664</v>
      </c>
      <c r="R149" s="402">
        <f t="shared" si="88"/>
        <v>33.399189515954909</v>
      </c>
      <c r="S149" s="402">
        <f t="shared" si="88"/>
        <v>7.3972661401305233</v>
      </c>
      <c r="T149" s="402">
        <f t="shared" si="88"/>
        <v>0</v>
      </c>
      <c r="U149" s="402">
        <f t="shared" si="88"/>
        <v>0</v>
      </c>
      <c r="V149" s="456">
        <f t="shared" si="88"/>
        <v>0</v>
      </c>
    </row>
    <row r="150" spans="1:43">
      <c r="A150" s="37" t="s">
        <v>39</v>
      </c>
      <c r="B150" s="453">
        <f t="shared" ref="B150:H150" si="99">B131</f>
        <v>147.54933996614554</v>
      </c>
      <c r="C150" s="454">
        <f t="shared" si="99"/>
        <v>127.44248196798941</v>
      </c>
      <c r="D150" s="454">
        <f t="shared" si="99"/>
        <v>135.61282805559642</v>
      </c>
      <c r="E150" s="454">
        <f t="shared" si="99"/>
        <v>9.0084611112165938</v>
      </c>
      <c r="F150" s="454">
        <f t="shared" si="99"/>
        <v>8.2687249999999999</v>
      </c>
      <c r="G150" s="454">
        <f t="shared" si="99"/>
        <v>1.1570119444444444</v>
      </c>
      <c r="H150" s="454">
        <f t="shared" si="99"/>
        <v>23.869743055555556</v>
      </c>
      <c r="I150" s="453">
        <f t="shared" si="87"/>
        <v>-3.5529845241794931</v>
      </c>
      <c r="J150" s="454">
        <f t="shared" si="84"/>
        <v>-33.561713909915227</v>
      </c>
      <c r="K150" s="454">
        <f t="shared" si="84"/>
        <v>18.540795788055647</v>
      </c>
      <c r="L150" s="454">
        <f t="shared" si="84"/>
        <v>60.680690434277849</v>
      </c>
      <c r="M150" s="454">
        <f t="shared" si="84"/>
        <v>0.87629812714896893</v>
      </c>
      <c r="N150" s="454">
        <f t="shared" si="84"/>
        <v>1.1272761369321216</v>
      </c>
      <c r="O150" s="455">
        <f t="shared" si="84"/>
        <v>0</v>
      </c>
      <c r="P150" s="402">
        <f t="shared" si="88"/>
        <v>0</v>
      </c>
      <c r="Q150" s="402">
        <f t="shared" si="88"/>
        <v>0</v>
      </c>
      <c r="R150" s="402">
        <f t="shared" si="88"/>
        <v>24.481843833585749</v>
      </c>
      <c r="S150" s="402">
        <f t="shared" si="88"/>
        <v>3.3535240050230359</v>
      </c>
      <c r="T150" s="402">
        <f t="shared" si="88"/>
        <v>4.9622518944533733E-2</v>
      </c>
      <c r="U150" s="402">
        <f t="shared" si="88"/>
        <v>0</v>
      </c>
      <c r="V150" s="456">
        <f t="shared" si="88"/>
        <v>0</v>
      </c>
    </row>
    <row r="151" spans="1:43">
      <c r="A151" s="37" t="s">
        <v>38</v>
      </c>
      <c r="B151" s="457">
        <f t="shared" ref="B151:H151" si="100">B132</f>
        <v>125.26950242051855</v>
      </c>
      <c r="C151" s="458">
        <f t="shared" si="100"/>
        <v>112.18381084093178</v>
      </c>
      <c r="D151" s="458">
        <f t="shared" si="100"/>
        <v>252.63388888901002</v>
      </c>
      <c r="E151" s="458">
        <f t="shared" si="100"/>
        <v>11.676000000195845</v>
      </c>
      <c r="F151" s="458">
        <f t="shared" si="100"/>
        <v>5.0589999999999993</v>
      </c>
      <c r="G151" s="458">
        <f t="shared" si="100"/>
        <v>0</v>
      </c>
      <c r="H151" s="458">
        <f t="shared" si="100"/>
        <v>31.053000000000001</v>
      </c>
      <c r="I151" s="457">
        <f t="shared" si="87"/>
        <v>28.398079350610445</v>
      </c>
      <c r="J151" s="458">
        <f t="shared" si="84"/>
        <v>-7.0348525130517601</v>
      </c>
      <c r="K151" s="458">
        <f t="shared" si="84"/>
        <v>115.93731892505011</v>
      </c>
      <c r="L151" s="458">
        <f t="shared" si="84"/>
        <v>110.99916084403068</v>
      </c>
      <c r="M151" s="458">
        <f t="shared" si="84"/>
        <v>1.2734502693700449</v>
      </c>
      <c r="N151" s="458">
        <f t="shared" si="84"/>
        <v>0</v>
      </c>
      <c r="O151" s="459">
        <f t="shared" si="84"/>
        <v>0</v>
      </c>
      <c r="P151" s="448">
        <f t="shared" si="88"/>
        <v>17.826879808832903</v>
      </c>
      <c r="Q151" s="448">
        <f t="shared" si="88"/>
        <v>4.2093363222680553</v>
      </c>
      <c r="R151" s="448">
        <f t="shared" si="88"/>
        <v>137.8418459265549</v>
      </c>
      <c r="S151" s="448">
        <f t="shared" si="88"/>
        <v>25.467546266897134</v>
      </c>
      <c r="T151" s="448">
        <f t="shared" si="88"/>
        <v>1.8846308331581791</v>
      </c>
      <c r="U151" s="448">
        <f t="shared" si="88"/>
        <v>0</v>
      </c>
      <c r="V151" s="460">
        <f t="shared" si="88"/>
        <v>0</v>
      </c>
      <c r="W151" s="410">
        <f>SUM(P151:V151)</f>
        <v>187.23023915771117</v>
      </c>
    </row>
    <row r="153" spans="1:43">
      <c r="A153" s="790" t="s">
        <v>595</v>
      </c>
      <c r="B153" s="790"/>
      <c r="C153" s="790"/>
      <c r="D153" s="790"/>
      <c r="E153" s="790"/>
      <c r="F153" s="790"/>
      <c r="G153" s="790"/>
      <c r="H153" s="790"/>
      <c r="I153" s="790"/>
      <c r="J153" s="790"/>
      <c r="K153" s="790"/>
      <c r="L153" s="790"/>
      <c r="M153" s="790"/>
      <c r="N153" s="790"/>
      <c r="O153" s="790"/>
      <c r="P153" s="790"/>
      <c r="Q153" s="790"/>
      <c r="R153" s="790"/>
      <c r="S153" s="790"/>
      <c r="T153" s="790"/>
      <c r="U153" s="790"/>
      <c r="V153" s="790"/>
      <c r="W153" s="790"/>
      <c r="X153" s="790"/>
      <c r="Y153" s="790"/>
      <c r="Z153" s="790"/>
      <c r="AA153" s="790"/>
      <c r="AB153" s="790"/>
      <c r="AC153" s="790"/>
      <c r="AD153" s="790"/>
      <c r="AE153" s="790"/>
      <c r="AF153" s="790"/>
      <c r="AG153" s="790"/>
      <c r="AH153" s="790"/>
      <c r="AI153" s="790"/>
      <c r="AJ153" s="790"/>
      <c r="AK153" s="790"/>
      <c r="AL153" s="790"/>
      <c r="AM153" s="790"/>
      <c r="AN153" s="790"/>
      <c r="AO153" s="790"/>
      <c r="AP153" s="790"/>
      <c r="AQ153" s="790"/>
    </row>
    <row r="155" spans="1:43">
      <c r="B155" s="791" t="s">
        <v>92</v>
      </c>
      <c r="C155" s="791"/>
      <c r="D155" s="791"/>
      <c r="E155" s="791"/>
      <c r="F155" s="86"/>
      <c r="G155" s="86" t="s">
        <v>93</v>
      </c>
    </row>
    <row r="156" spans="1:43">
      <c r="B156" s="86">
        <v>2019</v>
      </c>
      <c r="C156" s="474">
        <v>2035</v>
      </c>
      <c r="D156" s="475" t="s">
        <v>94</v>
      </c>
      <c r="E156" s="86" t="s">
        <v>95</v>
      </c>
      <c r="F156" s="476" t="s">
        <v>96</v>
      </c>
      <c r="G156" s="435"/>
      <c r="K156" s="86" t="s">
        <v>97</v>
      </c>
      <c r="O156" s="86" t="s">
        <v>98</v>
      </c>
      <c r="P156" s="86"/>
      <c r="Q156" s="86"/>
    </row>
    <row r="157" spans="1:43">
      <c r="A157" s="246" t="s">
        <v>51</v>
      </c>
      <c r="B157" s="461">
        <f>SUM(B119:H119)</f>
        <v>8.8453524655625007</v>
      </c>
      <c r="C157" s="464">
        <f>SUM(I119:O119)</f>
        <v>9.4977165181309449</v>
      </c>
      <c r="D157" s="465">
        <f t="shared" ref="D157:D171" si="101">(C157-B157)/B157</f>
        <v>7.3752182867588931E-2</v>
      </c>
      <c r="E157" s="464">
        <f>SUM(P119:V119)/0.7</f>
        <v>0.53139720111983246</v>
      </c>
      <c r="F157" s="311">
        <f>E157/(E157+C157)</f>
        <v>5.2985459732081928E-2</v>
      </c>
      <c r="G157" s="466">
        <f>E157/0.00876</f>
        <v>60.661780949752561</v>
      </c>
      <c r="K157" s="246" t="s">
        <v>99</v>
      </c>
      <c r="L157" s="311">
        <v>0.60239600170255581</v>
      </c>
      <c r="M157" s="70">
        <f>$G$162*L157</f>
        <v>304.19108852212804</v>
      </c>
      <c r="O157" s="86" t="s">
        <v>100</v>
      </c>
      <c r="P157" s="86"/>
      <c r="Q157" s="86"/>
    </row>
    <row r="158" spans="1:43">
      <c r="A158" s="246" t="s">
        <v>50</v>
      </c>
      <c r="B158" s="462">
        <f>SUM(B120:H120)</f>
        <v>7.1485468389109856</v>
      </c>
      <c r="C158" s="409">
        <f>SUM(I120:O120)</f>
        <v>8.5842206408569766</v>
      </c>
      <c r="D158" s="467">
        <f t="shared" si="101"/>
        <v>0.20083435617030979</v>
      </c>
      <c r="E158" s="409">
        <f>SUM(P120:V120)/0.7</f>
        <v>0.68385077717714327</v>
      </c>
      <c r="F158" s="311">
        <f t="shared" ref="F158:F169" si="102">E158/(E158+C158)</f>
        <v>7.3785661151303153E-2</v>
      </c>
      <c r="G158" s="468">
        <f t="shared" ref="G158:G169" si="103">E158/0.00876</f>
        <v>78.065157212002646</v>
      </c>
      <c r="K158" s="246" t="s">
        <v>101</v>
      </c>
      <c r="L158" s="311">
        <v>0.39760399829744425</v>
      </c>
      <c r="M158" s="70">
        <f>$G$162*L158</f>
        <v>200.77754948740517</v>
      </c>
      <c r="O158" s="86" t="s">
        <v>102</v>
      </c>
      <c r="P158" s="86"/>
      <c r="Q158" s="86"/>
    </row>
    <row r="159" spans="1:43">
      <c r="A159" s="246" t="s">
        <v>49</v>
      </c>
      <c r="B159" s="462">
        <f>SUM(B121:H121)</f>
        <v>11.598505345678429</v>
      </c>
      <c r="C159" s="409">
        <f>SUM(I121:O121)</f>
        <v>13.977407427856303</v>
      </c>
      <c r="D159" s="467">
        <f t="shared" si="101"/>
        <v>0.20510419327989066</v>
      </c>
      <c r="E159" s="409">
        <f t="shared" ref="E159:E169" si="104">SUM(P121:V121)/0.7</f>
        <v>6.5355896600809249</v>
      </c>
      <c r="F159" s="311">
        <f t="shared" si="102"/>
        <v>0.31860725334593898</v>
      </c>
      <c r="G159" s="468">
        <f t="shared" si="103"/>
        <v>746.0718790046717</v>
      </c>
      <c r="K159" s="246" t="s">
        <v>103</v>
      </c>
      <c r="L159" s="311">
        <v>7.1748315048637726E-2</v>
      </c>
      <c r="M159" s="70">
        <f>$G$163*L159</f>
        <v>182.18046749421939</v>
      </c>
    </row>
    <row r="160" spans="1:43">
      <c r="A160" s="246" t="s">
        <v>48</v>
      </c>
      <c r="B160" s="462">
        <f>AF25</f>
        <v>151.04149000000001</v>
      </c>
      <c r="C160" s="409">
        <f>AF25+(AG25-AF25)*16/21</f>
        <v>175.48504935920764</v>
      </c>
      <c r="D160" s="467">
        <f t="shared" si="101"/>
        <v>0.16183340987438369</v>
      </c>
      <c r="E160" s="409">
        <f t="shared" si="104"/>
        <v>0</v>
      </c>
      <c r="F160" s="311"/>
      <c r="G160" s="468">
        <f t="shared" si="103"/>
        <v>0</v>
      </c>
      <c r="K160" s="246" t="s">
        <v>104</v>
      </c>
      <c r="L160" s="311">
        <v>0.1202242320773565</v>
      </c>
      <c r="M160" s="70">
        <f>$G$163*L160</f>
        <v>305.26858768932431</v>
      </c>
    </row>
    <row r="161" spans="1:13">
      <c r="A161" s="246" t="s">
        <v>47</v>
      </c>
      <c r="B161" s="462">
        <f t="shared" ref="B161:B169" si="105">SUM(B123:H123)</f>
        <v>88.736539758683364</v>
      </c>
      <c r="C161" s="409">
        <f t="shared" ref="C161:C169" si="106">SUM(I123:O123)</f>
        <v>132.67970711240156</v>
      </c>
      <c r="D161" s="467">
        <f t="shared" si="101"/>
        <v>0.49520938582032226</v>
      </c>
      <c r="E161" s="409">
        <f t="shared" si="104"/>
        <v>15.574426608303625</v>
      </c>
      <c r="F161" s="311">
        <f t="shared" si="102"/>
        <v>0.10505222496961986</v>
      </c>
      <c r="G161" s="468">
        <f t="shared" si="103"/>
        <v>1777.9025808565782</v>
      </c>
      <c r="K161" s="246" t="s">
        <v>105</v>
      </c>
      <c r="L161" s="311">
        <v>0.63184699664533395</v>
      </c>
      <c r="M161" s="70">
        <f>$G$163*L161</f>
        <v>1604.360759630842</v>
      </c>
    </row>
    <row r="162" spans="1:13">
      <c r="A162" s="246" t="s">
        <v>46</v>
      </c>
      <c r="B162" s="462">
        <f t="shared" si="105"/>
        <v>32.353096860196189</v>
      </c>
      <c r="C162" s="409">
        <f t="shared" si="106"/>
        <v>43.346525086956603</v>
      </c>
      <c r="D162" s="467">
        <f t="shared" si="101"/>
        <v>0.33979523735440487</v>
      </c>
      <c r="E162" s="409">
        <f t="shared" si="104"/>
        <v>4.4235252689635107</v>
      </c>
      <c r="F162" s="311">
        <f t="shared" si="102"/>
        <v>9.2600389491013083E-2</v>
      </c>
      <c r="G162" s="468">
        <f t="shared" si="103"/>
        <v>504.96863800953315</v>
      </c>
      <c r="K162" s="37" t="s">
        <v>106</v>
      </c>
      <c r="L162" s="311">
        <v>0.17618045622867171</v>
      </c>
      <c r="M162" s="70">
        <f>$G$163*L162</f>
        <v>447.35040617087884</v>
      </c>
    </row>
    <row r="163" spans="1:13">
      <c r="A163" s="246" t="s">
        <v>45</v>
      </c>
      <c r="B163" s="462">
        <f t="shared" si="105"/>
        <v>133.80215024687473</v>
      </c>
      <c r="C163" s="409">
        <f t="shared" si="106"/>
        <v>187.71034244867107</v>
      </c>
      <c r="D163" s="467">
        <f t="shared" si="101"/>
        <v>0.40289481224578072</v>
      </c>
      <c r="E163" s="409">
        <f t="shared" si="104"/>
        <v>22.243043535830921</v>
      </c>
      <c r="F163" s="311">
        <f t="shared" si="102"/>
        <v>0.10594277120861877</v>
      </c>
      <c r="G163" s="468">
        <f t="shared" si="103"/>
        <v>2539.1602209852649</v>
      </c>
      <c r="H163" s="37"/>
    </row>
    <row r="164" spans="1:13">
      <c r="A164" s="246" t="s">
        <v>44</v>
      </c>
      <c r="B164" s="462">
        <f t="shared" si="105"/>
        <v>85.93923151645869</v>
      </c>
      <c r="C164" s="409">
        <f t="shared" si="106"/>
        <v>135.09622417761736</v>
      </c>
      <c r="D164" s="467">
        <f t="shared" si="101"/>
        <v>0.5719971169598409</v>
      </c>
      <c r="E164" s="409">
        <f t="shared" si="104"/>
        <v>23.886392785512705</v>
      </c>
      <c r="F164" s="311">
        <f t="shared" si="102"/>
        <v>0.15024531135408495</v>
      </c>
      <c r="G164" s="468">
        <f t="shared" si="103"/>
        <v>2726.7571672959707</v>
      </c>
      <c r="H164" s="37"/>
    </row>
    <row r="165" spans="1:13">
      <c r="A165" s="246" t="s">
        <v>43</v>
      </c>
      <c r="B165" s="462">
        <f t="shared" si="105"/>
        <v>118.28071665726478</v>
      </c>
      <c r="C165" s="409">
        <f t="shared" si="106"/>
        <v>201.41380686334944</v>
      </c>
      <c r="D165" s="467">
        <f t="shared" si="101"/>
        <v>0.7028456755717386</v>
      </c>
      <c r="E165" s="409">
        <f t="shared" si="104"/>
        <v>32.93192176226065</v>
      </c>
      <c r="F165" s="311">
        <f t="shared" si="102"/>
        <v>0.14052708344803064</v>
      </c>
      <c r="G165" s="468">
        <f t="shared" si="103"/>
        <v>3759.3517993448231</v>
      </c>
      <c r="H165" s="37"/>
    </row>
    <row r="166" spans="1:13">
      <c r="A166" s="246" t="s">
        <v>42</v>
      </c>
      <c r="B166" s="462">
        <f t="shared" si="105"/>
        <v>163.20292960242216</v>
      </c>
      <c r="C166" s="409">
        <f t="shared" si="106"/>
        <v>200.46064329451144</v>
      </c>
      <c r="D166" s="467">
        <f t="shared" si="101"/>
        <v>0.22829071624420352</v>
      </c>
      <c r="E166" s="409">
        <f t="shared" si="104"/>
        <v>32.992152724030333</v>
      </c>
      <c r="F166" s="311">
        <f t="shared" si="102"/>
        <v>0.14132258549351434</v>
      </c>
      <c r="G166" s="468">
        <f t="shared" si="103"/>
        <v>3766.2274799121383</v>
      </c>
      <c r="H166" s="37"/>
    </row>
    <row r="167" spans="1:13">
      <c r="A167" s="246" t="s">
        <v>41</v>
      </c>
      <c r="B167" s="462">
        <f t="shared" si="105"/>
        <v>251.49613916846644</v>
      </c>
      <c r="C167" s="409">
        <f t="shared" si="106"/>
        <v>302.47849435618986</v>
      </c>
      <c r="D167" s="467">
        <f t="shared" si="101"/>
        <v>0.20271625384106803</v>
      </c>
      <c r="E167" s="409">
        <f t="shared" si="104"/>
        <v>44.587312472509048</v>
      </c>
      <c r="F167" s="311">
        <f t="shared" si="102"/>
        <v>0.1284693323145947</v>
      </c>
      <c r="G167" s="468">
        <f t="shared" si="103"/>
        <v>5089.8758530261466</v>
      </c>
      <c r="H167" s="37"/>
    </row>
    <row r="168" spans="1:13">
      <c r="A168" s="246" t="s">
        <v>75</v>
      </c>
      <c r="B168" s="462">
        <f t="shared" si="105"/>
        <v>316.61215239234531</v>
      </c>
      <c r="C168" s="409">
        <f t="shared" si="106"/>
        <v>405.96372126235025</v>
      </c>
      <c r="D168" s="467">
        <f t="shared" si="101"/>
        <v>0.2822114318571089</v>
      </c>
      <c r="E168" s="409">
        <f t="shared" si="104"/>
        <v>78.669903772838325</v>
      </c>
      <c r="F168" s="311">
        <f t="shared" si="102"/>
        <v>0.16232861219055161</v>
      </c>
      <c r="G168" s="468">
        <f t="shared" si="103"/>
        <v>8980.5826224701286</v>
      </c>
      <c r="H168" s="37"/>
    </row>
    <row r="169" spans="1:13">
      <c r="A169" s="246" t="s">
        <v>39</v>
      </c>
      <c r="B169" s="462">
        <f t="shared" si="105"/>
        <v>452.90859110094794</v>
      </c>
      <c r="C169" s="409">
        <f t="shared" si="106"/>
        <v>497.01895315326783</v>
      </c>
      <c r="D169" s="467">
        <f t="shared" si="101"/>
        <v>9.7393520279875218E-2</v>
      </c>
      <c r="E169" s="409">
        <f t="shared" si="104"/>
        <v>27.88499035755332</v>
      </c>
      <c r="F169" s="311">
        <f t="shared" si="102"/>
        <v>5.312398716428858E-2</v>
      </c>
      <c r="G169" s="468">
        <f t="shared" si="103"/>
        <v>3183.2180773462692</v>
      </c>
      <c r="H169" s="37"/>
    </row>
    <row r="170" spans="1:13">
      <c r="A170" s="246" t="s">
        <v>38</v>
      </c>
      <c r="B170" s="463">
        <f>SUM(B132:H132)</f>
        <v>537.87520215065626</v>
      </c>
      <c r="C170" s="469">
        <f>SUM(I132:O132)</f>
        <v>787.44835902666568</v>
      </c>
      <c r="D170" s="470">
        <f t="shared" si="101"/>
        <v>0.46399825810542794</v>
      </c>
      <c r="E170" s="471">
        <f>SUM(P132:V132)/0.7</f>
        <v>187.23023915771117</v>
      </c>
      <c r="F170" s="470">
        <f>E170/(E170+C170)</f>
        <v>0.19209433705272907</v>
      </c>
      <c r="G170" s="472">
        <f>E170/0.00876</f>
        <v>21373.314972341457</v>
      </c>
      <c r="H170" s="37"/>
    </row>
    <row r="171" spans="1:13">
      <c r="A171" s="246" t="s">
        <v>35</v>
      </c>
      <c r="B171" s="379">
        <f>SUM(B157:B170)</f>
        <v>2359.8406441044676</v>
      </c>
      <c r="C171" s="473">
        <f>SUM(C157:C170)</f>
        <v>3101.1611707280326</v>
      </c>
      <c r="D171" s="311">
        <f t="shared" si="101"/>
        <v>0.31414007910898051</v>
      </c>
      <c r="E171" s="473">
        <f>SUM(E157:E170)</f>
        <v>478.17474608389148</v>
      </c>
      <c r="F171" s="311">
        <f>E171/(E171+C171)</f>
        <v>0.13359314610230733</v>
      </c>
      <c r="G171" s="473">
        <f>SUM(G157:G170)</f>
        <v>54586.158228754735</v>
      </c>
    </row>
    <row r="172" spans="1:13">
      <c r="A172" s="37"/>
    </row>
  </sheetData>
  <mergeCells count="88">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 ref="N101:P101"/>
    <mergeCell ref="T87:V87"/>
    <mergeCell ref="W87:Y87"/>
    <mergeCell ref="Z87:AB87"/>
    <mergeCell ref="AC87:AE87"/>
    <mergeCell ref="Q101:S101"/>
    <mergeCell ref="T101:V101"/>
    <mergeCell ref="W101:Y101"/>
    <mergeCell ref="Z101:AB101"/>
    <mergeCell ref="AC101:AE101"/>
    <mergeCell ref="A67:A68"/>
    <mergeCell ref="A69:A71"/>
    <mergeCell ref="B87:D87"/>
    <mergeCell ref="E87:G87"/>
    <mergeCell ref="M64:N64"/>
    <mergeCell ref="H87:J87"/>
    <mergeCell ref="K87:M87"/>
    <mergeCell ref="N87:P87"/>
    <mergeCell ref="O64:P64"/>
    <mergeCell ref="Z46:AB46"/>
    <mergeCell ref="W46:Y46"/>
    <mergeCell ref="AC46:AE46"/>
    <mergeCell ref="Z30:AB30"/>
    <mergeCell ref="W30:Y30"/>
    <mergeCell ref="AC30:AE30"/>
    <mergeCell ref="AF16:AH16"/>
    <mergeCell ref="AF30:AH30"/>
    <mergeCell ref="AF46:AH46"/>
    <mergeCell ref="AO16:AQ16"/>
    <mergeCell ref="AI16:AK16"/>
    <mergeCell ref="AL16:AN16"/>
    <mergeCell ref="AL46:AN46"/>
    <mergeCell ref="AO30:AQ30"/>
    <mergeCell ref="AI30:AK30"/>
    <mergeCell ref="AC16:AE16"/>
    <mergeCell ref="W16:Y16"/>
    <mergeCell ref="Z16:AB16"/>
    <mergeCell ref="H16:J16"/>
    <mergeCell ref="K16:M16"/>
    <mergeCell ref="N16:P16"/>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s>
  <phoneticPr fontId="20" type="noConversion"/>
  <conditionalFormatting sqref="B138:V151">
    <cfRule type="cellIs" dxfId="15" priority="1" operator="lessThan">
      <formula>0</formula>
    </cfRule>
  </conditionalFormatting>
  <conditionalFormatting sqref="B18:AE24 AI18:AQ24">
    <cfRule type="cellIs" dxfId="14" priority="23" operator="lessThan">
      <formula>0.1</formula>
    </cfRule>
    <cfRule type="cellIs" dxfId="13" priority="26" operator="lessThan">
      <formula>1</formula>
    </cfRule>
  </conditionalFormatting>
  <conditionalFormatting sqref="B32:AE39 AI32:AQ39 B48:AE60 AI48:AQ60">
    <cfRule type="cellIs" dxfId="12" priority="24" operator="lessThan">
      <formula>0.1</formula>
    </cfRule>
    <cfRule type="cellIs" dxfId="11" priority="25" operator="lessThan">
      <formula>1</formula>
    </cfRule>
  </conditionalFormatting>
  <conditionalFormatting sqref="B89:AE95 AI89:AQ95">
    <cfRule type="cellIs" dxfId="10" priority="15" operator="lessThan">
      <formula>0.1</formula>
    </cfRule>
    <cfRule type="cellIs" dxfId="9" priority="16" operator="lessThan">
      <formula>1</formula>
    </cfRule>
  </conditionalFormatting>
  <conditionalFormatting sqref="B103:AE110 AI103:AQ110">
    <cfRule type="cellIs" dxfId="8" priority="13" operator="lessThan">
      <formula>0.1</formula>
    </cfRule>
    <cfRule type="cellIs" dxfId="7"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R74" zoomScaleNormal="100" workbookViewId="0">
      <selection activeCell="AH102" sqref="AH102"/>
    </sheetView>
  </sheetViews>
  <sheetFormatPr defaultColWidth="9.109375" defaultRowHeight="14.4"/>
  <cols>
    <col min="1" max="1" width="12" style="20" bestFit="1" customWidth="1"/>
    <col min="2" max="7" width="8.5546875" style="20" customWidth="1"/>
    <col min="8" max="8" width="9" style="20" customWidth="1"/>
    <col min="9" max="11" width="8.5546875" style="20" customWidth="1"/>
    <col min="12" max="12" width="9.44140625" style="20" customWidth="1"/>
    <col min="13" max="13" width="8.5546875" style="20" customWidth="1"/>
    <col min="14" max="14" width="8.88671875" style="20" bestFit="1" customWidth="1"/>
    <col min="15" max="22" width="8.5546875" style="20" customWidth="1"/>
    <col min="23" max="23" width="9.109375" style="20"/>
    <col min="24" max="24" width="10.44140625" style="20" bestFit="1" customWidth="1"/>
    <col min="25" max="16384" width="9.109375" style="20"/>
  </cols>
  <sheetData>
    <row r="1" spans="1:22">
      <c r="A1" s="483" t="s">
        <v>947</v>
      </c>
      <c r="B1" s="483"/>
      <c r="C1" s="483"/>
      <c r="D1" s="483"/>
      <c r="E1" s="483"/>
      <c r="F1" s="483"/>
      <c r="G1" s="483"/>
      <c r="H1" s="483"/>
      <c r="I1" s="483"/>
      <c r="J1" s="483"/>
      <c r="K1" s="483"/>
      <c r="L1" s="483"/>
      <c r="M1" s="483"/>
      <c r="N1" s="483"/>
      <c r="O1" s="483"/>
      <c r="P1" s="483"/>
      <c r="Q1" s="483"/>
      <c r="R1" s="483"/>
      <c r="S1" s="483"/>
      <c r="T1" s="483"/>
      <c r="U1" s="483"/>
      <c r="V1" s="483"/>
    </row>
    <row r="3" spans="1:22">
      <c r="A3" s="793" t="s">
        <v>599</v>
      </c>
      <c r="B3" s="793"/>
      <c r="C3" s="793"/>
      <c r="D3" s="793"/>
      <c r="E3" s="793"/>
      <c r="F3" s="793"/>
      <c r="G3" s="793"/>
      <c r="H3" s="793"/>
      <c r="I3" s="793"/>
      <c r="J3" s="793"/>
      <c r="K3" s="793"/>
      <c r="L3" s="793"/>
      <c r="M3" s="793"/>
      <c r="N3" s="793"/>
      <c r="O3" s="793"/>
      <c r="P3" s="793"/>
      <c r="Q3" s="793"/>
      <c r="R3" s="793"/>
      <c r="S3" s="793"/>
      <c r="T3" s="793"/>
      <c r="U3" s="793"/>
      <c r="V3" s="793"/>
    </row>
    <row r="4" spans="1:22">
      <c r="A4" s="55"/>
      <c r="B4" s="784">
        <v>2019</v>
      </c>
      <c r="C4" s="784"/>
      <c r="D4" s="784"/>
      <c r="E4" s="784"/>
      <c r="F4" s="784"/>
      <c r="G4" s="784"/>
      <c r="H4" s="784"/>
      <c r="I4" s="784">
        <v>2035</v>
      </c>
      <c r="J4" s="784"/>
      <c r="K4" s="784"/>
      <c r="L4" s="784"/>
      <c r="M4" s="784"/>
      <c r="N4" s="784"/>
      <c r="O4" s="784"/>
      <c r="P4" s="784" t="s">
        <v>90</v>
      </c>
      <c r="Q4" s="784"/>
      <c r="R4" s="784"/>
      <c r="S4" s="784"/>
      <c r="T4" s="784"/>
      <c r="U4" s="784"/>
      <c r="V4" s="784"/>
    </row>
    <row r="5" spans="1:22">
      <c r="A5" s="55"/>
      <c r="B5" s="482" t="s">
        <v>28</v>
      </c>
      <c r="C5" s="482" t="s">
        <v>29</v>
      </c>
      <c r="D5" s="482" t="s">
        <v>30</v>
      </c>
      <c r="E5" s="482" t="s">
        <v>31</v>
      </c>
      <c r="F5" s="482" t="s">
        <v>32</v>
      </c>
      <c r="G5" s="482" t="s">
        <v>33</v>
      </c>
      <c r="H5" s="482" t="s">
        <v>34</v>
      </c>
      <c r="I5" s="482" t="s">
        <v>28</v>
      </c>
      <c r="J5" s="482" t="s">
        <v>29</v>
      </c>
      <c r="K5" s="482" t="s">
        <v>30</v>
      </c>
      <c r="L5" s="482" t="s">
        <v>31</v>
      </c>
      <c r="M5" s="482" t="s">
        <v>32</v>
      </c>
      <c r="N5" s="482" t="s">
        <v>33</v>
      </c>
      <c r="O5" s="482" t="s">
        <v>34</v>
      </c>
      <c r="P5" s="482" t="s">
        <v>28</v>
      </c>
      <c r="Q5" s="482" t="s">
        <v>29</v>
      </c>
      <c r="R5" s="482" t="s">
        <v>30</v>
      </c>
      <c r="S5" s="482" t="s">
        <v>31</v>
      </c>
      <c r="T5" s="482" t="s">
        <v>32</v>
      </c>
      <c r="U5" s="482" t="s">
        <v>33</v>
      </c>
      <c r="V5" s="482" t="s">
        <v>34</v>
      </c>
    </row>
    <row r="6" spans="1:22">
      <c r="A6" s="20" t="s">
        <v>51</v>
      </c>
      <c r="B6" s="486">
        <v>2.111576813110585</v>
      </c>
      <c r="C6" s="487">
        <v>2.6073906524463841</v>
      </c>
      <c r="D6" s="487">
        <v>2.9439000000015945</v>
      </c>
      <c r="E6" s="487">
        <v>3.3000000003937026E-2</v>
      </c>
      <c r="F6" s="487">
        <v>0.13400000000000001</v>
      </c>
      <c r="G6" s="487">
        <v>0</v>
      </c>
      <c r="H6" s="487">
        <v>1.015485</v>
      </c>
      <c r="I6" s="486">
        <v>0.57117287518869686</v>
      </c>
      <c r="J6" s="487">
        <v>-0.10371304604144616</v>
      </c>
      <c r="K6" s="487">
        <v>-0.5712374990717386</v>
      </c>
      <c r="L6" s="487">
        <v>0.72958459492624728</v>
      </c>
      <c r="M6" s="487">
        <v>2.6557127566685212E-2</v>
      </c>
      <c r="N6" s="487">
        <v>0</v>
      </c>
      <c r="O6" s="488">
        <v>0</v>
      </c>
      <c r="P6" s="487">
        <v>0</v>
      </c>
      <c r="Q6" s="487">
        <v>0</v>
      </c>
      <c r="R6" s="487">
        <v>0.38240054060350692</v>
      </c>
      <c r="S6" s="487">
        <v>0.14899666051632551</v>
      </c>
      <c r="T6" s="487">
        <v>0</v>
      </c>
      <c r="U6" s="487">
        <v>0</v>
      </c>
      <c r="V6" s="488">
        <v>0</v>
      </c>
    </row>
    <row r="7" spans="1:22">
      <c r="A7" s="20" t="s">
        <v>50</v>
      </c>
      <c r="B7" s="489">
        <v>1.6523386281414354</v>
      </c>
      <c r="C7" s="310">
        <v>2.4259820996468116</v>
      </c>
      <c r="D7" s="310">
        <v>2.2929183333391974</v>
      </c>
      <c r="E7" s="310">
        <v>0.10679694445020754</v>
      </c>
      <c r="F7" s="310">
        <v>0.17919805555555557</v>
      </c>
      <c r="G7" s="310">
        <v>2.3388888888888887E-4</v>
      </c>
      <c r="H7" s="310">
        <v>0.4910788888888889</v>
      </c>
      <c r="I7" s="489">
        <v>0.28355908476442537</v>
      </c>
      <c r="J7" s="310">
        <v>-0.28074911335360708</v>
      </c>
      <c r="K7" s="310">
        <v>7.9978737438343384E-2</v>
      </c>
      <c r="L7" s="310">
        <v>1.3159848372834011</v>
      </c>
      <c r="M7" s="310">
        <v>3.6900255813428234E-2</v>
      </c>
      <c r="N7" s="310">
        <v>0</v>
      </c>
      <c r="O7" s="490">
        <v>0</v>
      </c>
      <c r="P7" s="310">
        <v>0.11763096200493121</v>
      </c>
      <c r="Q7" s="310">
        <v>4.9501482845720174E-2</v>
      </c>
      <c r="R7" s="310">
        <v>1.6287228189725729E-2</v>
      </c>
      <c r="S7" s="310">
        <v>0.50043110413676617</v>
      </c>
      <c r="T7" s="310">
        <v>0</v>
      </c>
      <c r="U7" s="310">
        <v>0</v>
      </c>
      <c r="V7" s="490">
        <v>0</v>
      </c>
    </row>
    <row r="8" spans="1:22">
      <c r="A8" s="20" t="s">
        <v>49</v>
      </c>
      <c r="B8" s="489">
        <v>2.9127387221315666</v>
      </c>
      <c r="C8" s="310">
        <v>3.0953999568750752</v>
      </c>
      <c r="D8" s="310">
        <v>5.1172666666694697</v>
      </c>
      <c r="E8" s="310">
        <v>5.5000000002317466E-2</v>
      </c>
      <c r="F8" s="310">
        <v>0.21109999999999998</v>
      </c>
      <c r="G8" s="310">
        <v>0</v>
      </c>
      <c r="H8" s="310">
        <v>0.20699999999999999</v>
      </c>
      <c r="I8" s="489">
        <v>-0.10286634586714838</v>
      </c>
      <c r="J8" s="310">
        <v>-0.19650762859872151</v>
      </c>
      <c r="K8" s="310">
        <v>0.30088249638067044</v>
      </c>
      <c r="L8" s="310">
        <v>2.340448824268734</v>
      </c>
      <c r="M8" s="310">
        <v>3.6944735994339617E-2</v>
      </c>
      <c r="N8" s="310">
        <v>0</v>
      </c>
      <c r="O8" s="490">
        <v>0</v>
      </c>
      <c r="P8" s="310">
        <v>0.14205332016086375</v>
      </c>
      <c r="Q8" s="310">
        <v>3.6742914878852215E-2</v>
      </c>
      <c r="R8" s="310">
        <v>5.4419047526047812</v>
      </c>
      <c r="S8" s="310">
        <v>0.91488867243642791</v>
      </c>
      <c r="T8" s="310">
        <v>0</v>
      </c>
      <c r="U8" s="310">
        <v>0</v>
      </c>
      <c r="V8" s="490">
        <v>0</v>
      </c>
    </row>
    <row r="9" spans="1:22">
      <c r="A9" s="20" t="s">
        <v>48</v>
      </c>
      <c r="B9" s="489">
        <v>0</v>
      </c>
      <c r="C9" s="310">
        <v>0</v>
      </c>
      <c r="D9" s="310">
        <v>0</v>
      </c>
      <c r="E9" s="310">
        <v>0</v>
      </c>
      <c r="F9" s="310">
        <v>0</v>
      </c>
      <c r="G9" s="310">
        <v>0</v>
      </c>
      <c r="H9" s="310">
        <v>0</v>
      </c>
      <c r="I9" s="489">
        <v>0</v>
      </c>
      <c r="J9" s="310">
        <v>0</v>
      </c>
      <c r="K9" s="310">
        <v>0</v>
      </c>
      <c r="L9" s="310">
        <v>0</v>
      </c>
      <c r="M9" s="310">
        <v>0</v>
      </c>
      <c r="N9" s="310">
        <v>0</v>
      </c>
      <c r="O9" s="490">
        <v>0</v>
      </c>
      <c r="P9" s="310">
        <v>0</v>
      </c>
      <c r="Q9" s="310">
        <v>0</v>
      </c>
      <c r="R9" s="310">
        <v>0</v>
      </c>
      <c r="S9" s="310">
        <v>0</v>
      </c>
      <c r="T9" s="310">
        <v>0</v>
      </c>
      <c r="U9" s="310">
        <v>0</v>
      </c>
      <c r="V9" s="490">
        <v>0</v>
      </c>
    </row>
    <row r="10" spans="1:22">
      <c r="A10" s="20" t="s">
        <v>47</v>
      </c>
      <c r="B10" s="489">
        <v>24.142483306732149</v>
      </c>
      <c r="C10" s="310">
        <v>18.496723118567548</v>
      </c>
      <c r="D10" s="310">
        <v>41.166333333363887</v>
      </c>
      <c r="E10" s="310">
        <v>0.85900000001979415</v>
      </c>
      <c r="F10" s="310">
        <v>1.4749999999999999</v>
      </c>
      <c r="G10" s="310">
        <v>0</v>
      </c>
      <c r="H10" s="310">
        <v>2.597</v>
      </c>
      <c r="I10" s="489">
        <v>4.3270122153024282</v>
      </c>
      <c r="J10" s="310">
        <v>-1.6969079639031825</v>
      </c>
      <c r="K10" s="310">
        <v>34.011193235328598</v>
      </c>
      <c r="L10" s="310">
        <v>6.9168676893716228</v>
      </c>
      <c r="M10" s="310">
        <v>0.38500217761868449</v>
      </c>
      <c r="N10" s="310">
        <v>0</v>
      </c>
      <c r="O10" s="490">
        <v>0</v>
      </c>
      <c r="P10" s="310">
        <v>1.1544870285148175E-2</v>
      </c>
      <c r="Q10" s="310">
        <v>0</v>
      </c>
      <c r="R10" s="310">
        <v>14.717862089495886</v>
      </c>
      <c r="S10" s="310">
        <v>0.84501964852259048</v>
      </c>
      <c r="T10" s="310">
        <v>0</v>
      </c>
      <c r="U10" s="310">
        <v>0</v>
      </c>
      <c r="V10" s="490">
        <v>0</v>
      </c>
    </row>
    <row r="11" spans="1:22">
      <c r="A11" s="20" t="s">
        <v>46</v>
      </c>
      <c r="B11" s="489">
        <v>9.758237114062764</v>
      </c>
      <c r="C11" s="310">
        <v>8.5369914127732667</v>
      </c>
      <c r="D11" s="310">
        <v>10.935953333337894</v>
      </c>
      <c r="E11" s="310">
        <v>0.46218805557782139</v>
      </c>
      <c r="F11" s="310">
        <v>1.8264880555555556</v>
      </c>
      <c r="G11" s="310">
        <v>0</v>
      </c>
      <c r="H11" s="310">
        <v>0.83323888888888886</v>
      </c>
      <c r="I11" s="489">
        <v>-5.762639220433563E-2</v>
      </c>
      <c r="J11" s="310">
        <v>-0.1947042406988615</v>
      </c>
      <c r="K11" s="310">
        <v>2.6000277938922824</v>
      </c>
      <c r="L11" s="310">
        <v>8.2424279374291043</v>
      </c>
      <c r="M11" s="310">
        <v>0.40330312834223569</v>
      </c>
      <c r="N11" s="310">
        <v>0</v>
      </c>
      <c r="O11" s="490">
        <v>0</v>
      </c>
      <c r="P11" s="310">
        <v>0</v>
      </c>
      <c r="Q11" s="310">
        <v>0</v>
      </c>
      <c r="R11" s="310">
        <v>0.92392844954308251</v>
      </c>
      <c r="S11" s="310">
        <v>3.4995968194204279</v>
      </c>
      <c r="T11" s="310">
        <v>0</v>
      </c>
      <c r="U11" s="310">
        <v>0</v>
      </c>
      <c r="V11" s="490">
        <v>0</v>
      </c>
    </row>
    <row r="12" spans="1:22">
      <c r="A12" s="20" t="s">
        <v>45</v>
      </c>
      <c r="B12" s="489">
        <v>45.961397149719552</v>
      </c>
      <c r="C12" s="310">
        <v>25.860808652649304</v>
      </c>
      <c r="D12" s="310">
        <v>55.423944444485777</v>
      </c>
      <c r="E12" s="310">
        <v>2.7380000000200972</v>
      </c>
      <c r="F12" s="310">
        <v>1.024</v>
      </c>
      <c r="G12" s="310">
        <v>0</v>
      </c>
      <c r="H12" s="310">
        <v>2.794</v>
      </c>
      <c r="I12" s="489">
        <v>-4.0552150807645049</v>
      </c>
      <c r="J12" s="310">
        <v>-4.0853585176666485</v>
      </c>
      <c r="K12" s="310">
        <v>51.338432207971444</v>
      </c>
      <c r="L12" s="310">
        <v>10.49414507920125</v>
      </c>
      <c r="M12" s="310">
        <v>0.21618851305479447</v>
      </c>
      <c r="N12" s="310">
        <v>0</v>
      </c>
      <c r="O12" s="490">
        <v>0</v>
      </c>
      <c r="P12" s="310">
        <v>0.83013926630994306</v>
      </c>
      <c r="Q12" s="310">
        <v>0.26589966381697389</v>
      </c>
      <c r="R12" s="310">
        <v>20.861410733848189</v>
      </c>
      <c r="S12" s="310">
        <v>0.28559387185581736</v>
      </c>
      <c r="T12" s="310">
        <v>0</v>
      </c>
      <c r="U12" s="310">
        <v>0</v>
      </c>
      <c r="V12" s="490">
        <v>0</v>
      </c>
    </row>
    <row r="13" spans="1:22">
      <c r="A13" s="20" t="s">
        <v>44</v>
      </c>
      <c r="B13" s="489">
        <v>16.848878942666087</v>
      </c>
      <c r="C13" s="310">
        <v>19.90063035145856</v>
      </c>
      <c r="D13" s="310">
        <v>41.908422222246053</v>
      </c>
      <c r="E13" s="310">
        <v>1.7066000000879824</v>
      </c>
      <c r="F13" s="310">
        <v>1.7981</v>
      </c>
      <c r="G13" s="310">
        <v>5.0199999999999995E-2</v>
      </c>
      <c r="H13" s="310">
        <v>3.7263999999999999</v>
      </c>
      <c r="I13" s="489">
        <v>4.6488154691638819</v>
      </c>
      <c r="J13" s="310">
        <v>-0.8072289361569176</v>
      </c>
      <c r="K13" s="310">
        <v>29.58214527845022</v>
      </c>
      <c r="L13" s="310">
        <v>15.422197094433267</v>
      </c>
      <c r="M13" s="310">
        <v>0.31106375526821339</v>
      </c>
      <c r="N13" s="310">
        <v>0</v>
      </c>
      <c r="O13" s="490">
        <v>0</v>
      </c>
      <c r="P13" s="310">
        <v>0</v>
      </c>
      <c r="Q13" s="310">
        <v>0</v>
      </c>
      <c r="R13" s="310">
        <v>23.407950343861028</v>
      </c>
      <c r="S13" s="310">
        <v>0.47844244165167948</v>
      </c>
      <c r="T13" s="310">
        <v>0</v>
      </c>
      <c r="U13" s="310">
        <v>0</v>
      </c>
      <c r="V13" s="490">
        <v>0</v>
      </c>
    </row>
    <row r="14" spans="1:22">
      <c r="A14" s="20" t="s">
        <v>43</v>
      </c>
      <c r="B14" s="489">
        <v>23.020608525803496</v>
      </c>
      <c r="C14" s="310">
        <v>32.629185559677026</v>
      </c>
      <c r="D14" s="310">
        <v>45.331309203355609</v>
      </c>
      <c r="E14" s="310">
        <v>2.3635881600947357</v>
      </c>
      <c r="F14" s="310">
        <v>11.446234369445026</v>
      </c>
      <c r="G14" s="310">
        <v>0</v>
      </c>
      <c r="H14" s="310">
        <v>3.4897908388888887</v>
      </c>
      <c r="I14" s="489">
        <v>6.7703893319357036</v>
      </c>
      <c r="J14" s="310">
        <v>-4.3177443120352521</v>
      </c>
      <c r="K14" s="310">
        <v>45.334674566635236</v>
      </c>
      <c r="L14" s="310">
        <v>33.621443110743243</v>
      </c>
      <c r="M14" s="310">
        <v>1.7243275088057395</v>
      </c>
      <c r="N14" s="310">
        <v>0</v>
      </c>
      <c r="O14" s="490">
        <v>0</v>
      </c>
      <c r="P14" s="310">
        <v>0</v>
      </c>
      <c r="Q14" s="310">
        <v>0</v>
      </c>
      <c r="R14" s="310">
        <v>30.486970576847167</v>
      </c>
      <c r="S14" s="310">
        <v>2.4449511854134864</v>
      </c>
      <c r="T14" s="310">
        <v>0</v>
      </c>
      <c r="U14" s="310">
        <v>0</v>
      </c>
      <c r="V14" s="490">
        <v>0</v>
      </c>
    </row>
    <row r="15" spans="1:22">
      <c r="A15" s="20" t="s">
        <v>42</v>
      </c>
      <c r="B15" s="489">
        <v>27.808623684300141</v>
      </c>
      <c r="C15" s="310">
        <v>44.395861473465111</v>
      </c>
      <c r="D15" s="310">
        <v>73.352501666753241</v>
      </c>
      <c r="E15" s="310">
        <v>3.1881597223481135</v>
      </c>
      <c r="F15" s="310">
        <v>1.8322511111111113</v>
      </c>
      <c r="G15" s="310">
        <v>0</v>
      </c>
      <c r="H15" s="310">
        <v>12.625531944444443</v>
      </c>
      <c r="I15" s="489">
        <v>8.2025019747361405</v>
      </c>
      <c r="J15" s="310">
        <v>-6.8136971781907292</v>
      </c>
      <c r="K15" s="310">
        <v>11.617323634773854</v>
      </c>
      <c r="L15" s="310">
        <v>23.816054872647975</v>
      </c>
      <c r="M15" s="310">
        <v>0.4355303881220145</v>
      </c>
      <c r="N15" s="310">
        <v>0</v>
      </c>
      <c r="O15" s="490">
        <v>0</v>
      </c>
      <c r="P15" s="310">
        <v>2.8399662023590682</v>
      </c>
      <c r="Q15" s="310">
        <v>0.70856663145759213</v>
      </c>
      <c r="R15" s="310">
        <v>23.944666409478128</v>
      </c>
      <c r="S15" s="310">
        <v>5.4989534807355467</v>
      </c>
      <c r="T15" s="310">
        <v>0</v>
      </c>
      <c r="U15" s="310">
        <v>0</v>
      </c>
      <c r="V15" s="490">
        <v>0</v>
      </c>
    </row>
    <row r="16" spans="1:22">
      <c r="A16" s="20" t="s">
        <v>41</v>
      </c>
      <c r="B16" s="489">
        <v>72.986245663576753</v>
      </c>
      <c r="C16" s="310">
        <v>68.405060171341333</v>
      </c>
      <c r="D16" s="310">
        <v>89.951833333411074</v>
      </c>
      <c r="E16" s="310">
        <v>3.7390000001372554</v>
      </c>
      <c r="F16" s="310">
        <v>5.3769999999999998</v>
      </c>
      <c r="G16" s="310">
        <v>1.5760000000000001</v>
      </c>
      <c r="H16" s="310">
        <v>9.4610000000000003</v>
      </c>
      <c r="I16" s="489">
        <v>5.2288773689173951</v>
      </c>
      <c r="J16" s="310">
        <v>-11.353526420479639</v>
      </c>
      <c r="K16" s="310">
        <v>-1.919217661678303</v>
      </c>
      <c r="L16" s="310">
        <v>57.813446151531402</v>
      </c>
      <c r="M16" s="310">
        <v>1.212775749432554</v>
      </c>
      <c r="N16" s="310">
        <v>0</v>
      </c>
      <c r="O16" s="490">
        <v>0</v>
      </c>
      <c r="P16" s="310">
        <v>0</v>
      </c>
      <c r="Q16" s="310">
        <v>0</v>
      </c>
      <c r="R16" s="310">
        <v>37.569458101808749</v>
      </c>
      <c r="S16" s="310">
        <v>7.0178543707002969</v>
      </c>
      <c r="T16" s="310">
        <v>0</v>
      </c>
      <c r="U16" s="310">
        <v>0</v>
      </c>
      <c r="V16" s="490">
        <v>0</v>
      </c>
    </row>
    <row r="17" spans="1:22">
      <c r="A17" s="20" t="s">
        <v>75</v>
      </c>
      <c r="B17" s="489">
        <v>105.41376793036197</v>
      </c>
      <c r="C17" s="310">
        <v>89.178913906190502</v>
      </c>
      <c r="D17" s="310">
        <v>99.852868611171687</v>
      </c>
      <c r="E17" s="310">
        <v>6.5071830557322414</v>
      </c>
      <c r="F17" s="310">
        <v>3.1539988888888888</v>
      </c>
      <c r="G17" s="310">
        <v>0</v>
      </c>
      <c r="H17" s="310">
        <v>12.505419999999999</v>
      </c>
      <c r="I17" s="489">
        <v>16.002291822176772</v>
      </c>
      <c r="J17" s="310">
        <v>14.303517687277449</v>
      </c>
      <c r="K17" s="310">
        <v>1.5960881378785103</v>
      </c>
      <c r="L17" s="310">
        <v>56.874255477033387</v>
      </c>
      <c r="M17" s="310">
        <v>0.57541574563878317</v>
      </c>
      <c r="N17" s="310">
        <v>0</v>
      </c>
      <c r="O17" s="490">
        <v>0</v>
      </c>
      <c r="P17" s="310">
        <v>32.516989232978318</v>
      </c>
      <c r="Q17" s="310">
        <v>5.3564588837745664</v>
      </c>
      <c r="R17" s="310">
        <v>33.399189515954909</v>
      </c>
      <c r="S17" s="310">
        <v>7.3972661401305233</v>
      </c>
      <c r="T17" s="310">
        <v>0</v>
      </c>
      <c r="U17" s="310">
        <v>0</v>
      </c>
      <c r="V17" s="490">
        <v>0</v>
      </c>
    </row>
    <row r="18" spans="1:22">
      <c r="A18" s="20" t="s">
        <v>39</v>
      </c>
      <c r="B18" s="489">
        <v>147.54933996614554</v>
      </c>
      <c r="C18" s="310">
        <v>127.44248196798941</v>
      </c>
      <c r="D18" s="310">
        <v>135.61282805559642</v>
      </c>
      <c r="E18" s="310">
        <v>9.0084611112165938</v>
      </c>
      <c r="F18" s="310">
        <v>8.2687249999999999</v>
      </c>
      <c r="G18" s="310">
        <v>1.1570119444444444</v>
      </c>
      <c r="H18" s="310">
        <v>23.869743055555556</v>
      </c>
      <c r="I18" s="489">
        <v>-3.5529845241794931</v>
      </c>
      <c r="J18" s="310">
        <v>-33.561713909915227</v>
      </c>
      <c r="K18" s="310">
        <v>18.540795788055647</v>
      </c>
      <c r="L18" s="310">
        <v>60.680690434277849</v>
      </c>
      <c r="M18" s="310">
        <v>0.87629812714896893</v>
      </c>
      <c r="N18" s="310">
        <v>1.1272761369321216</v>
      </c>
      <c r="O18" s="490">
        <v>0</v>
      </c>
      <c r="P18" s="310">
        <v>0</v>
      </c>
      <c r="Q18" s="310">
        <v>0</v>
      </c>
      <c r="R18" s="310">
        <v>24.481843833585749</v>
      </c>
      <c r="S18" s="310">
        <v>3.3535240050230359</v>
      </c>
      <c r="T18" s="310">
        <v>4.9622518944533733E-2</v>
      </c>
      <c r="U18" s="310">
        <v>0</v>
      </c>
      <c r="V18" s="490">
        <v>0</v>
      </c>
    </row>
    <row r="19" spans="1:22">
      <c r="A19" s="20" t="s">
        <v>38</v>
      </c>
      <c r="B19" s="491">
        <v>125.26950242051855</v>
      </c>
      <c r="C19" s="492">
        <v>112.18381084093178</v>
      </c>
      <c r="D19" s="492">
        <v>252.63388888901002</v>
      </c>
      <c r="E19" s="492">
        <v>11.676000000195845</v>
      </c>
      <c r="F19" s="492">
        <v>5.0589999999999993</v>
      </c>
      <c r="G19" s="492">
        <v>0</v>
      </c>
      <c r="H19" s="492">
        <v>31.053000000000001</v>
      </c>
      <c r="I19" s="491">
        <v>28.398079350610445</v>
      </c>
      <c r="J19" s="492">
        <v>-7.0348525130517601</v>
      </c>
      <c r="K19" s="492">
        <v>115.93731892505011</v>
      </c>
      <c r="L19" s="492">
        <v>110.99916084403068</v>
      </c>
      <c r="M19" s="492">
        <v>1.2734502693700449</v>
      </c>
      <c r="N19" s="492">
        <v>0</v>
      </c>
      <c r="O19" s="493">
        <v>0</v>
      </c>
      <c r="P19" s="492">
        <v>17.826879808832903</v>
      </c>
      <c r="Q19" s="492">
        <v>4.2093363222680553</v>
      </c>
      <c r="R19" s="492">
        <v>137.8418459265549</v>
      </c>
      <c r="S19" s="492">
        <v>25.467546266897134</v>
      </c>
      <c r="T19" s="492">
        <v>1.8846308331581791</v>
      </c>
      <c r="U19" s="492">
        <v>0</v>
      </c>
      <c r="V19" s="493">
        <v>0</v>
      </c>
    </row>
    <row r="20" spans="1:22">
      <c r="B20" s="346">
        <f>SUM(B6:B19)</f>
        <v>605.43573886727052</v>
      </c>
      <c r="C20" s="346">
        <f t="shared" ref="C20:V20" si="0">SUM(C6:C19)</f>
        <v>555.15924016401209</v>
      </c>
      <c r="D20" s="346">
        <f t="shared" si="0"/>
        <v>856.52396809274182</v>
      </c>
      <c r="E20" s="346">
        <f t="shared" si="0"/>
        <v>42.442977049886949</v>
      </c>
      <c r="F20" s="346">
        <f t="shared" si="0"/>
        <v>41.785095480556137</v>
      </c>
      <c r="G20" s="346">
        <f t="shared" si="0"/>
        <v>2.7834458333333334</v>
      </c>
      <c r="H20" s="346">
        <f t="shared" si="0"/>
        <v>104.66868861666666</v>
      </c>
      <c r="I20" s="346">
        <f t="shared" si="0"/>
        <v>66.664007149780403</v>
      </c>
      <c r="J20" s="346">
        <f t="shared" si="0"/>
        <v>-56.143186092814545</v>
      </c>
      <c r="K20" s="346">
        <f t="shared" si="0"/>
        <v>308.44840564110484</v>
      </c>
      <c r="L20" s="346">
        <f t="shared" si="0"/>
        <v>389.26670694717814</v>
      </c>
      <c r="M20" s="346">
        <f t="shared" si="0"/>
        <v>7.5137574821764863</v>
      </c>
      <c r="N20" s="346">
        <f t="shared" si="0"/>
        <v>1.1272761369321216</v>
      </c>
      <c r="O20" s="346">
        <f t="shared" si="0"/>
        <v>0</v>
      </c>
      <c r="P20" s="346">
        <f t="shared" si="0"/>
        <v>54.285203662931181</v>
      </c>
      <c r="Q20" s="346">
        <f t="shared" si="0"/>
        <v>10.62650589904176</v>
      </c>
      <c r="R20" s="346">
        <f t="shared" si="0"/>
        <v>353.4757185023758</v>
      </c>
      <c r="S20" s="346">
        <f t="shared" si="0"/>
        <v>57.853064667440051</v>
      </c>
      <c r="T20" s="346">
        <f t="shared" si="0"/>
        <v>1.9342533521027128</v>
      </c>
      <c r="U20" s="346">
        <f t="shared" si="0"/>
        <v>0</v>
      </c>
      <c r="V20" s="346">
        <f t="shared" si="0"/>
        <v>0</v>
      </c>
    </row>
    <row r="21" spans="1:22">
      <c r="A21" s="793" t="s">
        <v>598</v>
      </c>
      <c r="B21" s="793"/>
      <c r="C21" s="793"/>
      <c r="D21" s="793"/>
      <c r="E21" s="793"/>
      <c r="F21" s="793"/>
      <c r="G21" s="793"/>
      <c r="H21" s="793"/>
      <c r="I21" s="793"/>
      <c r="J21" s="793"/>
      <c r="K21" s="793"/>
      <c r="L21" s="793"/>
      <c r="M21" s="793"/>
      <c r="N21" s="793"/>
      <c r="O21" s="793"/>
      <c r="P21" s="793"/>
      <c r="Q21" s="793"/>
      <c r="R21" s="793"/>
      <c r="S21" s="793"/>
      <c r="T21" s="793"/>
      <c r="U21" s="793"/>
      <c r="V21" s="793"/>
    </row>
    <row r="22" spans="1:22">
      <c r="A22" s="485"/>
      <c r="B22" s="794" t="s">
        <v>218</v>
      </c>
      <c r="C22" s="794"/>
      <c r="D22" s="794"/>
      <c r="E22" s="784" t="s">
        <v>219</v>
      </c>
      <c r="F22" s="784"/>
      <c r="G22" s="784"/>
      <c r="H22" s="784"/>
      <c r="I22" s="784"/>
      <c r="J22" s="784"/>
    </row>
    <row r="23" spans="1:22">
      <c r="A23" s="485"/>
      <c r="B23" s="784">
        <v>2030</v>
      </c>
      <c r="C23" s="784"/>
      <c r="D23" s="784"/>
      <c r="E23" s="784">
        <v>2040</v>
      </c>
      <c r="F23" s="784"/>
      <c r="G23" s="784"/>
      <c r="H23" s="784">
        <v>2050</v>
      </c>
      <c r="I23" s="784"/>
      <c r="J23" s="784"/>
    </row>
    <row r="24" spans="1:22">
      <c r="A24" s="485"/>
      <c r="B24" s="484" t="s">
        <v>139</v>
      </c>
      <c r="C24" s="484" t="s">
        <v>220</v>
      </c>
      <c r="D24" s="484" t="s">
        <v>221</v>
      </c>
      <c r="E24" s="484" t="s">
        <v>139</v>
      </c>
      <c r="F24" s="484" t="s">
        <v>220</v>
      </c>
      <c r="G24" s="484" t="s">
        <v>221</v>
      </c>
      <c r="H24" s="484" t="s">
        <v>139</v>
      </c>
      <c r="I24" s="484" t="s">
        <v>220</v>
      </c>
      <c r="J24" s="484" t="s">
        <v>221</v>
      </c>
    </row>
    <row r="25" spans="1:22">
      <c r="A25" s="31" t="s">
        <v>51</v>
      </c>
      <c r="B25" s="494">
        <v>1160</v>
      </c>
      <c r="C25" s="495">
        <v>696</v>
      </c>
      <c r="D25" s="495">
        <v>1000</v>
      </c>
      <c r="E25" s="494">
        <v>540</v>
      </c>
      <c r="F25" s="495">
        <v>304</v>
      </c>
      <c r="G25" s="496">
        <v>2500</v>
      </c>
      <c r="H25" s="495">
        <v>800</v>
      </c>
      <c r="I25" s="495">
        <v>0</v>
      </c>
      <c r="J25" s="496">
        <v>3500</v>
      </c>
    </row>
    <row r="26" spans="1:22">
      <c r="A26" s="31" t="s">
        <v>50</v>
      </c>
      <c r="B26" s="497">
        <v>300</v>
      </c>
      <c r="C26" s="498">
        <v>400</v>
      </c>
      <c r="D26" s="498">
        <v>500</v>
      </c>
      <c r="E26" s="497">
        <v>700</v>
      </c>
      <c r="F26" s="498">
        <v>100</v>
      </c>
      <c r="G26" s="499">
        <v>500</v>
      </c>
      <c r="H26" s="498">
        <v>500</v>
      </c>
      <c r="I26" s="498">
        <v>100</v>
      </c>
      <c r="J26" s="499">
        <v>1000</v>
      </c>
    </row>
    <row r="27" spans="1:22">
      <c r="A27" s="31" t="s">
        <v>49</v>
      </c>
      <c r="B27" s="500">
        <v>5000</v>
      </c>
      <c r="C27" s="501">
        <v>5000</v>
      </c>
      <c r="D27" s="501">
        <v>1400</v>
      </c>
      <c r="E27" s="500">
        <v>320</v>
      </c>
      <c r="F27" s="501">
        <v>430</v>
      </c>
      <c r="G27" s="502">
        <v>1400</v>
      </c>
      <c r="H27" s="501">
        <v>580</v>
      </c>
      <c r="I27" s="501">
        <v>220</v>
      </c>
      <c r="J27" s="502">
        <v>1700</v>
      </c>
    </row>
    <row r="28" spans="1:22">
      <c r="A28" s="31" t="s">
        <v>48</v>
      </c>
      <c r="B28" s="494">
        <v>5150</v>
      </c>
      <c r="C28" s="495">
        <v>5356.1</v>
      </c>
      <c r="D28" s="495">
        <v>3000</v>
      </c>
      <c r="E28" s="494">
        <v>5990</v>
      </c>
      <c r="F28" s="495">
        <v>752.09999999999945</v>
      </c>
      <c r="G28" s="496">
        <v>7500</v>
      </c>
      <c r="H28" s="495">
        <v>1000</v>
      </c>
      <c r="I28" s="495">
        <v>600</v>
      </c>
      <c r="J28" s="496">
        <v>0</v>
      </c>
    </row>
    <row r="29" spans="1:22">
      <c r="A29" s="31" t="s">
        <v>47</v>
      </c>
      <c r="B29" s="497">
        <v>10695.1871657754</v>
      </c>
      <c r="C29" s="498">
        <v>25424.0288135593</v>
      </c>
      <c r="D29" s="498">
        <v>1250</v>
      </c>
      <c r="E29" s="497">
        <v>10695.187165775389</v>
      </c>
      <c r="F29" s="498">
        <v>28797.582661850502</v>
      </c>
      <c r="G29" s="499">
        <v>3813.3</v>
      </c>
      <c r="H29" s="498">
        <v>10695.187165775391</v>
      </c>
      <c r="I29" s="498">
        <v>14528.688524590201</v>
      </c>
      <c r="J29" s="499">
        <v>7244.4000000000005</v>
      </c>
    </row>
    <row r="30" spans="1:22">
      <c r="A30" s="31" t="s">
        <v>46</v>
      </c>
      <c r="B30" s="497">
        <v>17744.41</v>
      </c>
      <c r="C30" s="498">
        <v>7305.6119999999992</v>
      </c>
      <c r="D30" s="498">
        <v>8250.5999999999985</v>
      </c>
      <c r="E30" s="497">
        <v>9227.7199999999975</v>
      </c>
      <c r="F30" s="498">
        <v>-1359.1769999999988</v>
      </c>
      <c r="G30" s="499">
        <v>16000.000000000004</v>
      </c>
      <c r="H30" s="498">
        <v>7139.4800000000032</v>
      </c>
      <c r="I30" s="498">
        <v>124.92000000000007</v>
      </c>
      <c r="J30" s="499">
        <v>15999.999999999989</v>
      </c>
    </row>
    <row r="31" spans="1:22">
      <c r="A31" s="31" t="s">
        <v>45</v>
      </c>
      <c r="B31" s="500">
        <v>7648.0475926871331</v>
      </c>
      <c r="C31" s="501">
        <v>17952.152438596491</v>
      </c>
      <c r="D31" s="501">
        <v>39514.300000000003</v>
      </c>
      <c r="E31" s="500">
        <v>7648.047592687135</v>
      </c>
      <c r="F31" s="501">
        <v>4670.7860706329047</v>
      </c>
      <c r="G31" s="502">
        <v>64738</v>
      </c>
      <c r="H31" s="501">
        <v>7648.0475926871422</v>
      </c>
      <c r="I31" s="501">
        <v>5557.3333333333321</v>
      </c>
      <c r="J31" s="502">
        <v>33720.449999999997</v>
      </c>
    </row>
    <row r="32" spans="1:22">
      <c r="A32" s="31" t="s">
        <v>42</v>
      </c>
      <c r="B32" s="494">
        <v>21663</v>
      </c>
      <c r="C32" s="495">
        <v>13767.84</v>
      </c>
      <c r="D32" s="495">
        <v>10004</v>
      </c>
      <c r="E32" s="494">
        <v>4337</v>
      </c>
      <c r="F32" s="495">
        <v>0</v>
      </c>
      <c r="G32" s="496">
        <v>896</v>
      </c>
      <c r="H32" s="495">
        <v>4000</v>
      </c>
      <c r="I32" s="495">
        <v>0</v>
      </c>
      <c r="J32" s="496">
        <v>0</v>
      </c>
    </row>
    <row r="33" spans="1:23">
      <c r="A33" s="31" t="s">
        <v>75</v>
      </c>
      <c r="B33" s="497">
        <v>35016.42</v>
      </c>
      <c r="C33" s="498">
        <v>31983.18</v>
      </c>
      <c r="D33" s="498">
        <v>52467.47</v>
      </c>
      <c r="E33" s="497">
        <v>24862.020000000004</v>
      </c>
      <c r="F33" s="498">
        <v>12306.900000000001</v>
      </c>
      <c r="G33" s="499">
        <v>43690.100000000006</v>
      </c>
      <c r="H33" s="498">
        <v>19999.899999999994</v>
      </c>
      <c r="I33" s="498">
        <v>8064.489999999998</v>
      </c>
      <c r="J33" s="499">
        <v>1809.6699999999983</v>
      </c>
    </row>
    <row r="34" spans="1:23">
      <c r="A34" s="31" t="s">
        <v>39</v>
      </c>
      <c r="B34" s="497">
        <v>43441</v>
      </c>
      <c r="C34" s="498">
        <v>35959</v>
      </c>
      <c r="D34" s="498">
        <v>3893</v>
      </c>
      <c r="E34" s="497">
        <v>33382.099999999991</v>
      </c>
      <c r="F34" s="498">
        <v>11120.899999999987</v>
      </c>
      <c r="G34" s="499">
        <v>18100</v>
      </c>
      <c r="H34" s="498">
        <v>38286.900000000009</v>
      </c>
      <c r="I34" s="498">
        <v>11730.100000000006</v>
      </c>
      <c r="J34" s="499">
        <v>18000</v>
      </c>
    </row>
    <row r="35" spans="1:23">
      <c r="A35" s="31" t="s">
        <v>38</v>
      </c>
      <c r="B35" s="500">
        <v>215002</v>
      </c>
      <c r="C35" s="501">
        <v>115000.7</v>
      </c>
      <c r="D35" s="501">
        <v>33521.300000000003</v>
      </c>
      <c r="E35" s="500">
        <v>150873.40000000002</v>
      </c>
      <c r="F35" s="501">
        <v>43877.590000000011</v>
      </c>
      <c r="G35" s="502">
        <v>31538</v>
      </c>
      <c r="H35" s="501">
        <v>68251.239999999991</v>
      </c>
      <c r="I35" s="501">
        <v>2251.2299999999814</v>
      </c>
      <c r="J35" s="502">
        <v>3720.4499999999971</v>
      </c>
    </row>
    <row r="36" spans="1:23">
      <c r="B36" s="111">
        <f>SUM(B25:B35)</f>
        <v>362820.06475846254</v>
      </c>
      <c r="C36" s="111">
        <f t="shared" ref="C36:J36" si="1">SUM(C25:C35)</f>
        <v>258844.61325215577</v>
      </c>
      <c r="D36" s="111">
        <f t="shared" si="1"/>
        <v>154800.66999999998</v>
      </c>
      <c r="E36" s="111">
        <f t="shared" si="1"/>
        <v>248575.47475846254</v>
      </c>
      <c r="F36" s="111">
        <f t="shared" si="1"/>
        <v>101000.68173248341</v>
      </c>
      <c r="G36" s="111">
        <f t="shared" si="1"/>
        <v>190675.40000000002</v>
      </c>
      <c r="H36" s="111">
        <f t="shared" si="1"/>
        <v>158900.75475846254</v>
      </c>
      <c r="I36" s="111">
        <f t="shared" si="1"/>
        <v>43176.76185792352</v>
      </c>
      <c r="J36" s="111">
        <f t="shared" si="1"/>
        <v>86694.969999999987</v>
      </c>
      <c r="K36" s="37"/>
    </row>
    <row r="37" spans="1:23">
      <c r="A37" s="793" t="s">
        <v>596</v>
      </c>
      <c r="B37" s="793"/>
      <c r="C37" s="793"/>
      <c r="D37" s="793"/>
      <c r="E37" s="793"/>
      <c r="F37" s="793"/>
      <c r="G37" s="793"/>
      <c r="H37" s="793"/>
      <c r="I37" s="793"/>
      <c r="J37" s="793"/>
      <c r="K37" s="793"/>
      <c r="L37" s="793"/>
      <c r="M37" s="793"/>
      <c r="N37" s="793"/>
      <c r="O37" s="793"/>
      <c r="P37" s="793"/>
      <c r="Q37" s="793"/>
      <c r="R37" s="54"/>
      <c r="S37" s="54"/>
      <c r="T37" s="54"/>
      <c r="U37" s="54"/>
      <c r="V37" s="54"/>
    </row>
    <row r="38" spans="1:23">
      <c r="A38" s="19"/>
      <c r="B38" s="792" t="s">
        <v>223</v>
      </c>
      <c r="C38" s="792"/>
      <c r="D38" s="792"/>
      <c r="E38" s="792"/>
      <c r="F38" s="784">
        <v>2030</v>
      </c>
      <c r="G38" s="784"/>
      <c r="H38" s="784"/>
      <c r="I38" s="784"/>
      <c r="J38" s="8">
        <v>2040</v>
      </c>
      <c r="K38" s="8"/>
      <c r="L38" s="8"/>
      <c r="M38" s="8"/>
      <c r="N38" s="8">
        <v>2050</v>
      </c>
      <c r="O38" s="8"/>
      <c r="P38" s="8"/>
      <c r="Q38" s="8"/>
      <c r="R38" s="503"/>
      <c r="S38" s="503"/>
      <c r="T38" s="503"/>
      <c r="U38" s="477"/>
      <c r="V38" s="477"/>
      <c r="W38" s="477"/>
    </row>
    <row r="39" spans="1:23">
      <c r="A39" s="19"/>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4"/>
      <c r="S39" s="504"/>
      <c r="T39" s="504"/>
      <c r="U39" s="478"/>
      <c r="V39" s="478"/>
      <c r="W39" s="478"/>
    </row>
    <row r="40" spans="1:23">
      <c r="A40" s="37" t="s">
        <v>51</v>
      </c>
      <c r="B40" s="246">
        <v>0</v>
      </c>
      <c r="C40" s="184">
        <v>60</v>
      </c>
      <c r="D40" s="184"/>
      <c r="E40" s="184"/>
      <c r="F40" s="215">
        <v>0</v>
      </c>
      <c r="G40" s="215">
        <v>90</v>
      </c>
      <c r="H40" s="215">
        <v>543.65438052594357</v>
      </c>
      <c r="I40" s="215">
        <v>0</v>
      </c>
      <c r="J40" s="215">
        <v>0</v>
      </c>
      <c r="K40" s="215">
        <v>83.333333299999993</v>
      </c>
      <c r="L40" s="215">
        <v>132.49168973429977</v>
      </c>
      <c r="M40" s="215">
        <v>0</v>
      </c>
      <c r="N40" s="215">
        <v>0</v>
      </c>
      <c r="O40" s="215">
        <v>22.533333400000004</v>
      </c>
      <c r="P40" s="215">
        <v>51.95993537941979</v>
      </c>
      <c r="Q40" s="215">
        <v>419.3234746</v>
      </c>
      <c r="R40" s="504"/>
      <c r="S40" s="504"/>
      <c r="T40" s="504"/>
      <c r="U40" s="478"/>
      <c r="V40" s="478"/>
      <c r="W40" s="478"/>
    </row>
    <row r="41" spans="1:23">
      <c r="A41" s="37" t="s">
        <v>50</v>
      </c>
      <c r="B41" s="246">
        <v>0</v>
      </c>
      <c r="C41" s="184"/>
      <c r="D41" s="184"/>
      <c r="E41" s="184"/>
      <c r="F41" s="215">
        <v>0</v>
      </c>
      <c r="G41" s="215">
        <v>36.799999999999997</v>
      </c>
      <c r="H41" s="215">
        <v>38.4376914997356</v>
      </c>
      <c r="I41" s="215">
        <v>0</v>
      </c>
      <c r="J41" s="215">
        <v>0</v>
      </c>
      <c r="K41" s="215">
        <v>0</v>
      </c>
      <c r="L41" s="215">
        <v>84.71406856942383</v>
      </c>
      <c r="M41" s="215">
        <v>0</v>
      </c>
      <c r="N41" s="215">
        <v>0</v>
      </c>
      <c r="O41" s="215">
        <v>4.784000000000006</v>
      </c>
      <c r="P41" s="215">
        <v>4.1985872742530717</v>
      </c>
      <c r="Q41" s="215">
        <v>552.12907099999995</v>
      </c>
      <c r="R41" s="504"/>
      <c r="S41" s="504"/>
      <c r="T41" s="504"/>
      <c r="U41" s="478"/>
      <c r="V41" s="478"/>
      <c r="W41" s="478"/>
    </row>
    <row r="42" spans="1:23">
      <c r="A42" s="37" t="s">
        <v>49</v>
      </c>
      <c r="B42" s="306">
        <v>930</v>
      </c>
      <c r="C42" s="184">
        <v>10</v>
      </c>
      <c r="D42" s="184"/>
      <c r="E42" s="184"/>
      <c r="F42" s="215">
        <v>930</v>
      </c>
      <c r="G42" s="215">
        <v>40</v>
      </c>
      <c r="H42" s="215">
        <v>661.82331915377836</v>
      </c>
      <c r="I42" s="215">
        <v>0</v>
      </c>
      <c r="J42" s="215">
        <v>0</v>
      </c>
      <c r="K42" s="215">
        <v>10</v>
      </c>
      <c r="L42" s="215">
        <v>204.00624053079491</v>
      </c>
      <c r="M42" s="215">
        <v>808</v>
      </c>
      <c r="N42" s="215">
        <v>0</v>
      </c>
      <c r="O42" s="215">
        <v>6.5</v>
      </c>
      <c r="P42" s="215">
        <v>82.751927662716525</v>
      </c>
      <c r="Q42" s="215">
        <v>0</v>
      </c>
      <c r="R42" s="478"/>
      <c r="S42" s="478"/>
      <c r="T42" s="478"/>
      <c r="U42" s="478"/>
      <c r="V42" s="478"/>
      <c r="W42" s="478"/>
    </row>
    <row r="43" spans="1:23">
      <c r="A43" s="37" t="s">
        <v>48</v>
      </c>
      <c r="B43" s="306">
        <v>33360.68115235</v>
      </c>
      <c r="C43" s="184">
        <f>1424+1296+3584</f>
        <v>6304</v>
      </c>
      <c r="D43" s="184"/>
      <c r="E43" s="184"/>
      <c r="F43" s="215">
        <v>33360.68115235</v>
      </c>
      <c r="G43" s="215">
        <v>6294</v>
      </c>
      <c r="H43" s="215">
        <v>408.08068980522171</v>
      </c>
      <c r="I43" s="215">
        <v>0</v>
      </c>
      <c r="J43" s="215">
        <v>-140</v>
      </c>
      <c r="K43" s="215">
        <v>0</v>
      </c>
      <c r="L43" s="215">
        <v>-110.5192215169908</v>
      </c>
      <c r="M43" s="215">
        <v>878</v>
      </c>
      <c r="N43" s="215">
        <v>0</v>
      </c>
      <c r="O43" s="215">
        <v>818.22000000000025</v>
      </c>
      <c r="P43" s="215">
        <v>-34.056476980517687</v>
      </c>
      <c r="Q43" s="215">
        <v>0</v>
      </c>
      <c r="R43" s="478"/>
      <c r="S43" s="478"/>
      <c r="T43" s="478"/>
      <c r="U43" s="478"/>
      <c r="V43" s="478"/>
      <c r="W43" s="478"/>
    </row>
    <row r="44" spans="1:23">
      <c r="A44" s="37" t="s">
        <v>47</v>
      </c>
      <c r="B44" s="246">
        <v>0</v>
      </c>
      <c r="C44" s="184">
        <v>1831.29</v>
      </c>
      <c r="D44" s="184">
        <v>76.2</v>
      </c>
      <c r="E44" s="184">
        <v>274</v>
      </c>
      <c r="F44" s="215">
        <v>0</v>
      </c>
      <c r="G44" s="215">
        <v>4490.8315430000002</v>
      </c>
      <c r="H44" s="215">
        <v>1487.8230566433542</v>
      </c>
      <c r="I44" s="215">
        <v>215.00000001000001</v>
      </c>
      <c r="J44" s="215">
        <v>0</v>
      </c>
      <c r="K44" s="215">
        <v>5433.3435050000007</v>
      </c>
      <c r="L44" s="215">
        <v>736.48877680529199</v>
      </c>
      <c r="M44" s="215">
        <v>-90.000000010000008</v>
      </c>
      <c r="N44" s="215">
        <v>0</v>
      </c>
      <c r="O44" s="215">
        <v>1290.1427559999975</v>
      </c>
      <c r="P44" s="215">
        <v>278.98964961758202</v>
      </c>
      <c r="Q44" s="215">
        <v>6.6118322899999953</v>
      </c>
      <c r="R44" s="478"/>
      <c r="S44" s="478"/>
      <c r="T44" s="478"/>
      <c r="U44" s="478"/>
      <c r="V44" s="478"/>
      <c r="W44" s="478"/>
    </row>
    <row r="45" spans="1:23">
      <c r="A45" s="37" t="s">
        <v>46</v>
      </c>
      <c r="B45" s="246">
        <v>0</v>
      </c>
      <c r="C45" s="184"/>
      <c r="D45" s="184"/>
      <c r="E45" s="184">
        <f>144.53+157.85</f>
        <v>302.38</v>
      </c>
      <c r="F45" s="215">
        <v>0</v>
      </c>
      <c r="G45" s="215">
        <v>0</v>
      </c>
      <c r="H45" s="215">
        <v>133.75171869125762</v>
      </c>
      <c r="I45" s="215">
        <v>263.91000001999998</v>
      </c>
      <c r="J45" s="215">
        <v>0</v>
      </c>
      <c r="K45" s="215">
        <v>0</v>
      </c>
      <c r="L45" s="215">
        <v>146.77705864654416</v>
      </c>
      <c r="M45" s="215">
        <v>4810.12</v>
      </c>
      <c r="N45" s="215">
        <v>0</v>
      </c>
      <c r="O45" s="215">
        <v>0</v>
      </c>
      <c r="P45" s="215">
        <v>185.13849826904959</v>
      </c>
      <c r="Q45" s="215">
        <v>873.34166200000072</v>
      </c>
      <c r="R45" s="478"/>
      <c r="S45" s="478"/>
      <c r="T45" s="478"/>
      <c r="U45" s="478"/>
      <c r="V45" s="478"/>
      <c r="W45" s="478"/>
    </row>
    <row r="46" spans="1:23">
      <c r="A46" s="37" t="s">
        <v>45</v>
      </c>
      <c r="B46" s="246">
        <v>0</v>
      </c>
      <c r="C46" s="184">
        <f>170.49+257.4+745.46+210.6</f>
        <v>1383.9499999999998</v>
      </c>
      <c r="D46" s="184"/>
      <c r="E46" s="184">
        <f>53.75+57.04</f>
        <v>110.78999999999999</v>
      </c>
      <c r="F46" s="215">
        <v>0</v>
      </c>
      <c r="G46" s="215">
        <v>1738.80004134</v>
      </c>
      <c r="H46" s="215">
        <v>5353.0410027126254</v>
      </c>
      <c r="I46" s="215">
        <v>110.78899999999999</v>
      </c>
      <c r="J46" s="215">
        <v>0</v>
      </c>
      <c r="K46" s="215">
        <v>0</v>
      </c>
      <c r="L46" s="215">
        <v>-1529.2779221014084</v>
      </c>
      <c r="M46" s="215">
        <v>9839</v>
      </c>
      <c r="N46" s="215">
        <v>0</v>
      </c>
      <c r="O46" s="215">
        <v>226.04400501000009</v>
      </c>
      <c r="P46" s="215">
        <v>365.45733777139822</v>
      </c>
      <c r="Q46" s="215">
        <v>-6493.1105200000011</v>
      </c>
      <c r="R46" s="478"/>
      <c r="S46" s="478"/>
      <c r="T46" s="478"/>
      <c r="U46" s="478"/>
      <c r="V46" s="478"/>
      <c r="W46" s="478"/>
    </row>
    <row r="47" spans="1:23">
      <c r="A47" s="37" t="s">
        <v>44</v>
      </c>
      <c r="B47" s="306">
        <v>1224</v>
      </c>
      <c r="C47" s="184">
        <v>1460.06</v>
      </c>
      <c r="D47" s="184">
        <v>288.8</v>
      </c>
      <c r="E47" s="184">
        <v>294</v>
      </c>
      <c r="F47" s="215">
        <v>1224</v>
      </c>
      <c r="G47" s="215">
        <v>2047.8045348000001</v>
      </c>
      <c r="H47" s="215">
        <v>4254.2954078537796</v>
      </c>
      <c r="I47" s="215">
        <v>294</v>
      </c>
      <c r="J47" s="215">
        <v>0</v>
      </c>
      <c r="K47" s="215">
        <v>143.34637459999976</v>
      </c>
      <c r="L47" s="215">
        <v>4668.5977024315589</v>
      </c>
      <c r="M47" s="215">
        <v>6331</v>
      </c>
      <c r="N47" s="215">
        <v>0</v>
      </c>
      <c r="O47" s="215">
        <v>284.84961840000005</v>
      </c>
      <c r="P47" s="215">
        <v>1966.82236446155</v>
      </c>
      <c r="Q47" s="215">
        <v>8492.2644600000003</v>
      </c>
      <c r="R47" s="478"/>
      <c r="S47" s="478"/>
      <c r="T47" s="478"/>
      <c r="U47" s="478"/>
      <c r="V47" s="478"/>
      <c r="W47" s="478"/>
    </row>
    <row r="48" spans="1:23">
      <c r="A48" s="37" t="s">
        <v>43</v>
      </c>
      <c r="B48" s="246">
        <v>0</v>
      </c>
      <c r="C48" s="184">
        <v>700</v>
      </c>
      <c r="D48" s="184">
        <v>2560</v>
      </c>
      <c r="E48" s="184">
        <v>901.8</v>
      </c>
      <c r="F48" s="215">
        <v>0</v>
      </c>
      <c r="G48" s="215">
        <v>700</v>
      </c>
      <c r="H48" s="215">
        <v>13749.676681461286</v>
      </c>
      <c r="I48" s="215">
        <v>2835.8000001400001</v>
      </c>
      <c r="J48" s="215">
        <v>0</v>
      </c>
      <c r="K48" s="215">
        <v>0</v>
      </c>
      <c r="L48" s="215">
        <v>10574.993921895068</v>
      </c>
      <c r="M48" s="215">
        <v>7497.0000000300006</v>
      </c>
      <c r="N48" s="215">
        <v>0</v>
      </c>
      <c r="O48" s="215">
        <v>91</v>
      </c>
      <c r="P48" s="215">
        <v>3988.820495490465</v>
      </c>
      <c r="Q48" s="215">
        <v>3430.0768100000005</v>
      </c>
    </row>
    <row r="49" spans="1:22">
      <c r="A49" s="37" t="s">
        <v>42</v>
      </c>
      <c r="B49" s="306">
        <v>1535.27997559</v>
      </c>
      <c r="C49" s="184"/>
      <c r="D49" s="184"/>
      <c r="E49" s="184"/>
      <c r="F49" s="215">
        <v>1535.27997559</v>
      </c>
      <c r="G49" s="215">
        <v>0</v>
      </c>
      <c r="H49" s="215">
        <v>3963.0138871483741</v>
      </c>
      <c r="I49" s="215">
        <v>6210</v>
      </c>
      <c r="J49" s="215">
        <v>0</v>
      </c>
      <c r="K49" s="215">
        <v>0</v>
      </c>
      <c r="L49" s="215">
        <v>1985.0620219727061</v>
      </c>
      <c r="M49" s="215">
        <v>11390</v>
      </c>
      <c r="N49" s="215">
        <v>0</v>
      </c>
      <c r="O49" s="215">
        <v>0</v>
      </c>
      <c r="P49" s="215">
        <v>568.48919265733093</v>
      </c>
      <c r="Q49" s="215">
        <v>7063.3700700000009</v>
      </c>
    </row>
    <row r="50" spans="1:22">
      <c r="A50" s="37" t="s">
        <v>41</v>
      </c>
      <c r="B50" s="306">
        <v>9549.7199707</v>
      </c>
      <c r="C50" s="184"/>
      <c r="D50" s="184">
        <v>500</v>
      </c>
      <c r="E50" s="184"/>
      <c r="F50" s="215">
        <v>9549.7199707</v>
      </c>
      <c r="G50" s="215">
        <v>0</v>
      </c>
      <c r="H50" s="215">
        <v>12389.299012036365</v>
      </c>
      <c r="I50" s="215">
        <v>0</v>
      </c>
      <c r="J50" s="215">
        <v>0</v>
      </c>
      <c r="K50" s="215">
        <v>1600</v>
      </c>
      <c r="L50" s="215">
        <v>7989.9575608505438</v>
      </c>
      <c r="M50" s="215">
        <v>377</v>
      </c>
      <c r="N50" s="215">
        <v>0</v>
      </c>
      <c r="O50" s="215">
        <v>208</v>
      </c>
      <c r="P50" s="215">
        <v>8117.2292453973132</v>
      </c>
      <c r="Q50" s="215">
        <v>0</v>
      </c>
    </row>
    <row r="51" spans="1:22">
      <c r="A51" s="37" t="s">
        <v>75</v>
      </c>
      <c r="B51" s="306">
        <v>2744</v>
      </c>
      <c r="C51" s="184">
        <f>2800+60</f>
        <v>2860</v>
      </c>
      <c r="D51" s="184">
        <f>4068.22+210</f>
        <v>4278.2199999999993</v>
      </c>
      <c r="E51" s="184">
        <f>866.79+407</f>
        <v>1273.79</v>
      </c>
      <c r="F51" s="215">
        <v>2744</v>
      </c>
      <c r="G51" s="215">
        <v>4357.12</v>
      </c>
      <c r="H51" s="215">
        <v>20392.219873670234</v>
      </c>
      <c r="I51" s="215">
        <v>5810.7899999199999</v>
      </c>
      <c r="J51" s="215">
        <v>0</v>
      </c>
      <c r="K51" s="215">
        <v>3673.96</v>
      </c>
      <c r="L51" s="215">
        <v>6919.3093248960249</v>
      </c>
      <c r="M51" s="215">
        <v>28495.484622299999</v>
      </c>
      <c r="N51" s="215">
        <v>0</v>
      </c>
      <c r="O51" s="215">
        <v>1044.0403999999999</v>
      </c>
      <c r="P51" s="215">
        <v>3719.7904060628643</v>
      </c>
      <c r="Q51" s="215">
        <v>19971.107500699996</v>
      </c>
    </row>
    <row r="52" spans="1:22">
      <c r="A52" s="37" t="s">
        <v>39</v>
      </c>
      <c r="B52" s="306">
        <v>3800</v>
      </c>
      <c r="C52" s="184">
        <v>3900</v>
      </c>
      <c r="D52" s="184">
        <v>253</v>
      </c>
      <c r="E52" s="184">
        <v>636</v>
      </c>
      <c r="F52" s="215">
        <v>3800</v>
      </c>
      <c r="G52" s="215">
        <v>5481.5</v>
      </c>
      <c r="H52" s="215">
        <v>1304.7727783626831</v>
      </c>
      <c r="I52" s="215">
        <v>636.00000010000008</v>
      </c>
      <c r="J52" s="215">
        <v>1043.1372070300004</v>
      </c>
      <c r="K52" s="215">
        <v>0</v>
      </c>
      <c r="L52" s="215">
        <v>1436.4765906784717</v>
      </c>
      <c r="M52" s="215">
        <v>16233</v>
      </c>
      <c r="N52" s="215">
        <v>0</v>
      </c>
      <c r="O52" s="215">
        <v>712.59499999999935</v>
      </c>
      <c r="P52" s="215">
        <v>1788.3997915990803</v>
      </c>
      <c r="Q52" s="215">
        <v>22937.894370000002</v>
      </c>
    </row>
    <row r="53" spans="1:22">
      <c r="A53" s="37" t="s">
        <v>38</v>
      </c>
      <c r="B53" s="306">
        <v>9025.7401123099989</v>
      </c>
      <c r="C53" s="184">
        <v>1250</v>
      </c>
      <c r="D53" s="184">
        <v>2831.25</v>
      </c>
      <c r="E53" s="184">
        <v>3373.27</v>
      </c>
      <c r="F53" s="215">
        <v>9025.7401123099989</v>
      </c>
      <c r="G53" s="215">
        <v>1758.8649520500001</v>
      </c>
      <c r="H53" s="215">
        <v>18249.678950318259</v>
      </c>
      <c r="I53" s="215">
        <v>12224.56800033</v>
      </c>
      <c r="J53" s="215">
        <v>270</v>
      </c>
      <c r="K53" s="215">
        <v>1415.7350233499999</v>
      </c>
      <c r="L53" s="215">
        <v>20026.914224217362</v>
      </c>
      <c r="M53" s="215">
        <v>27676.299999969997</v>
      </c>
      <c r="N53" s="215">
        <v>0</v>
      </c>
      <c r="O53" s="215">
        <v>412.69799620000003</v>
      </c>
      <c r="P53" s="215">
        <v>25261.119541599212</v>
      </c>
      <c r="Q53" s="215">
        <v>8433.2499996500046</v>
      </c>
    </row>
    <row r="54" spans="1:22">
      <c r="B54" s="70">
        <f t="shared" ref="B54:E54" si="2">SUM(B40:B53)</f>
        <v>62169.421210949993</v>
      </c>
      <c r="C54" s="70">
        <f t="shared" si="2"/>
        <v>19759.300000000003</v>
      </c>
      <c r="D54" s="70">
        <f t="shared" si="2"/>
        <v>10787.47</v>
      </c>
      <c r="E54" s="70">
        <f t="shared" si="2"/>
        <v>7166.03</v>
      </c>
      <c r="F54" s="70">
        <f>SUM(F40:F53)</f>
        <v>62169.421210949993</v>
      </c>
      <c r="G54" s="70">
        <f t="shared" ref="G54:Q54" si="3">SUM(G40:G53)</f>
        <v>27035.721071190001</v>
      </c>
      <c r="H54" s="70">
        <f t="shared" si="3"/>
        <v>82929.568449882907</v>
      </c>
      <c r="I54" s="70">
        <f t="shared" si="3"/>
        <v>28600.857000520002</v>
      </c>
      <c r="J54" s="70">
        <f t="shared" si="3"/>
        <v>1173.1372070300004</v>
      </c>
      <c r="K54" s="70">
        <f t="shared" si="3"/>
        <v>12359.718236250001</v>
      </c>
      <c r="L54" s="70">
        <f t="shared" si="3"/>
        <v>53265.992037609692</v>
      </c>
      <c r="M54" s="70">
        <f t="shared" si="3"/>
        <v>114244.90462228999</v>
      </c>
      <c r="N54" s="70">
        <f t="shared" si="3"/>
        <v>0</v>
      </c>
      <c r="O54" s="70">
        <f t="shared" si="3"/>
        <v>5121.4071090099969</v>
      </c>
      <c r="P54" s="70">
        <f t="shared" si="3"/>
        <v>46345.110496261717</v>
      </c>
      <c r="Q54" s="70">
        <f t="shared" si="3"/>
        <v>65686.258730240006</v>
      </c>
    </row>
    <row r="56" spans="1:22">
      <c r="A56" s="505" t="s">
        <v>917</v>
      </c>
      <c r="B56" s="54"/>
      <c r="C56" s="54"/>
      <c r="D56" s="54"/>
      <c r="E56" s="54"/>
      <c r="F56" s="54"/>
      <c r="G56" s="54"/>
      <c r="H56" s="54"/>
      <c r="I56" s="54"/>
      <c r="J56" s="54"/>
      <c r="K56" s="54"/>
      <c r="L56" s="54"/>
      <c r="M56" s="54"/>
      <c r="N56" s="54"/>
      <c r="O56" s="54"/>
      <c r="P56" s="54"/>
      <c r="Q56" s="54"/>
      <c r="R56" s="54"/>
      <c r="S56" s="54"/>
      <c r="T56" s="54"/>
      <c r="U56" s="54"/>
      <c r="V56" s="54"/>
    </row>
    <row r="57" spans="1:22">
      <c r="A57" s="792" t="s">
        <v>216</v>
      </c>
      <c r="B57" s="792"/>
      <c r="C57" s="792"/>
      <c r="E57" s="792" t="s">
        <v>222</v>
      </c>
      <c r="F57" s="792"/>
      <c r="G57" s="792"/>
      <c r="I57" s="792" t="s">
        <v>217</v>
      </c>
      <c r="J57" s="792"/>
      <c r="K57" s="792"/>
    </row>
    <row r="58" spans="1:22">
      <c r="A58" s="795">
        <v>2019</v>
      </c>
      <c r="B58" s="480" t="s">
        <v>28</v>
      </c>
      <c r="C58" s="310">
        <v>605.43573886727097</v>
      </c>
      <c r="D58" s="22"/>
      <c r="E58" s="479">
        <v>2025</v>
      </c>
      <c r="F58" s="22" t="s">
        <v>162</v>
      </c>
      <c r="G58" s="310">
        <f>B54</f>
        <v>62169.421210949993</v>
      </c>
      <c r="H58" s="22"/>
      <c r="I58" s="479">
        <v>2025</v>
      </c>
      <c r="J58" s="20" t="s">
        <v>139</v>
      </c>
      <c r="K58" s="215">
        <v>174621.22</v>
      </c>
    </row>
    <row r="59" spans="1:22">
      <c r="A59" s="795"/>
      <c r="B59" s="480" t="s">
        <v>29</v>
      </c>
      <c r="C59" s="310">
        <v>555.15924016401209</v>
      </c>
      <c r="E59" s="479"/>
      <c r="F59" s="22" t="s">
        <v>144</v>
      </c>
      <c r="G59" s="310">
        <f>C54</f>
        <v>19759.300000000003</v>
      </c>
      <c r="I59" s="479"/>
      <c r="J59" s="20" t="s">
        <v>220</v>
      </c>
      <c r="K59" s="215">
        <v>203570.42</v>
      </c>
    </row>
    <row r="60" spans="1:22">
      <c r="A60" s="795"/>
      <c r="B60" s="480" t="s">
        <v>30</v>
      </c>
      <c r="C60" s="310">
        <v>856.52396809274182</v>
      </c>
      <c r="E60" s="479"/>
      <c r="F60" s="22" t="s">
        <v>143</v>
      </c>
      <c r="G60" s="310">
        <f>D54</f>
        <v>10787.47</v>
      </c>
      <c r="I60" s="479"/>
      <c r="J60" s="20" t="s">
        <v>916</v>
      </c>
      <c r="K60" s="215">
        <v>46143.86</v>
      </c>
    </row>
    <row r="61" spans="1:22">
      <c r="A61" s="795"/>
      <c r="B61" s="480" t="s">
        <v>31</v>
      </c>
      <c r="C61" s="310">
        <v>42.442977049886949</v>
      </c>
      <c r="E61" s="479"/>
      <c r="F61" s="22" t="s">
        <v>145</v>
      </c>
      <c r="G61" s="310">
        <f>E54</f>
        <v>7166.03</v>
      </c>
      <c r="I61" s="479">
        <v>2035</v>
      </c>
      <c r="J61" s="20" t="s">
        <v>139</v>
      </c>
      <c r="K61" s="215">
        <f>B36+0.5*E36-K58</f>
        <v>312486.58213769377</v>
      </c>
    </row>
    <row r="62" spans="1:22">
      <c r="A62" s="795"/>
      <c r="B62" s="480" t="s">
        <v>33</v>
      </c>
      <c r="C62" s="310">
        <f>SUM(F20:H20)</f>
        <v>149.23722993055611</v>
      </c>
      <c r="D62" s="20">
        <f>SUM(C58:C62)</f>
        <v>2208.799154104468</v>
      </c>
      <c r="E62" s="479">
        <v>2035</v>
      </c>
      <c r="F62" s="22" t="s">
        <v>162</v>
      </c>
      <c r="G62" s="215">
        <f>F54+0.5*J54-B54</f>
        <v>586.56860351499927</v>
      </c>
      <c r="I62" s="479"/>
      <c r="J62" s="20" t="s">
        <v>220</v>
      </c>
      <c r="K62" s="215">
        <f>C36+0.5*F36-K59</f>
        <v>105774.53411839748</v>
      </c>
    </row>
    <row r="63" spans="1:22">
      <c r="A63" s="795">
        <v>2035</v>
      </c>
      <c r="B63" s="480" t="s">
        <v>28</v>
      </c>
      <c r="C63" s="310">
        <v>66.664007149780403</v>
      </c>
      <c r="E63" s="479"/>
      <c r="F63" s="22" t="s">
        <v>144</v>
      </c>
      <c r="G63" s="215">
        <f>G54+0.5*K54-C54</f>
        <v>13456.280189314995</v>
      </c>
      <c r="I63" s="479"/>
      <c r="J63" s="20" t="s">
        <v>221</v>
      </c>
      <c r="K63" s="215">
        <f>D36+0.5*G36-K60</f>
        <v>203994.51</v>
      </c>
    </row>
    <row r="64" spans="1:22">
      <c r="A64" s="795"/>
      <c r="B64" s="480" t="s">
        <v>29</v>
      </c>
      <c r="C64" s="310">
        <v>-56.143186092814545</v>
      </c>
      <c r="E64" s="479"/>
      <c r="F64" s="22" t="s">
        <v>143</v>
      </c>
      <c r="G64" s="215">
        <f>H54+0.5*L54-D54</f>
        <v>98775.094468687748</v>
      </c>
      <c r="K64" s="70">
        <f>SUM(K58:K63)</f>
        <v>1046591.1262560913</v>
      </c>
    </row>
    <row r="65" spans="1:22">
      <c r="A65" s="795"/>
      <c r="B65" s="480" t="s">
        <v>30</v>
      </c>
      <c r="C65" s="310">
        <v>308.44840564110484</v>
      </c>
      <c r="E65" s="479"/>
      <c r="F65" s="22" t="s">
        <v>145</v>
      </c>
      <c r="G65" s="215">
        <f>I54+0.5*M54-E54</f>
        <v>78557.279311664999</v>
      </c>
    </row>
    <row r="66" spans="1:22">
      <c r="A66" s="795"/>
      <c r="B66" s="480" t="s">
        <v>31</v>
      </c>
      <c r="C66" s="310">
        <v>389.26670694717814</v>
      </c>
      <c r="G66" s="70">
        <f>SUM(G58:G65)</f>
        <v>291257.44378413272</v>
      </c>
    </row>
    <row r="67" spans="1:22">
      <c r="A67" s="795"/>
      <c r="B67" s="480" t="s">
        <v>33</v>
      </c>
      <c r="C67" s="310">
        <f>SUM(M20:O20)</f>
        <v>8.6410336191086081</v>
      </c>
    </row>
    <row r="68" spans="1:22">
      <c r="A68" s="795" t="s">
        <v>90</v>
      </c>
      <c r="B68" s="480" t="s">
        <v>28</v>
      </c>
      <c r="C68" s="310">
        <v>54.285203662931181</v>
      </c>
      <c r="D68" s="22"/>
    </row>
    <row r="69" spans="1:22">
      <c r="A69" s="795"/>
      <c r="B69" s="480" t="s">
        <v>29</v>
      </c>
      <c r="C69" s="310">
        <v>10.62650589904176</v>
      </c>
    </row>
    <row r="70" spans="1:22">
      <c r="A70" s="795"/>
      <c r="B70" s="480" t="s">
        <v>30</v>
      </c>
      <c r="C70" s="310">
        <v>353.4757185023758</v>
      </c>
    </row>
    <row r="71" spans="1:22">
      <c r="A71" s="795"/>
      <c r="B71" s="480" t="s">
        <v>31</v>
      </c>
      <c r="C71" s="310">
        <v>57.853064667440051</v>
      </c>
    </row>
    <row r="72" spans="1:22">
      <c r="A72" s="795"/>
      <c r="B72" s="480" t="s">
        <v>33</v>
      </c>
      <c r="C72" s="310">
        <v>1.9342533521027128</v>
      </c>
      <c r="D72" s="20">
        <f>SUM(C58:C72)</f>
        <v>3403.8508674527161</v>
      </c>
      <c r="E72" s="20">
        <f>SUM(C70:C72)</f>
        <v>413.26303652191854</v>
      </c>
      <c r="F72" s="706">
        <f>E72/D72</f>
        <v>0.12141044147189251</v>
      </c>
    </row>
    <row r="73" spans="1:22">
      <c r="A73" s="481"/>
      <c r="B73" s="480"/>
      <c r="D73" s="93"/>
    </row>
    <row r="75" spans="1:22">
      <c r="A75" s="481"/>
    </row>
    <row r="76" spans="1:22">
      <c r="A76" s="481"/>
    </row>
    <row r="77" spans="1:22">
      <c r="A77" s="481"/>
    </row>
    <row r="78" spans="1:22">
      <c r="A78" s="481"/>
    </row>
    <row r="80" spans="1:22">
      <c r="A80" s="505" t="s">
        <v>918</v>
      </c>
      <c r="B80" s="54"/>
      <c r="C80" s="54"/>
      <c r="D80" s="54"/>
      <c r="E80" s="54"/>
      <c r="F80" s="54"/>
      <c r="G80" s="54"/>
      <c r="H80" s="54"/>
      <c r="I80" s="54"/>
      <c r="J80" s="54"/>
      <c r="K80" s="54"/>
      <c r="L80" s="54"/>
      <c r="M80" s="54"/>
      <c r="N80" s="54"/>
      <c r="O80" s="54"/>
      <c r="P80" s="54"/>
      <c r="Q80" s="54"/>
      <c r="R80" s="54"/>
      <c r="S80" s="54"/>
      <c r="T80" s="54"/>
      <c r="U80" s="54"/>
      <c r="V80" s="54"/>
    </row>
    <row r="81" spans="1:17">
      <c r="A81" s="792" t="s">
        <v>942</v>
      </c>
      <c r="B81" s="792"/>
      <c r="C81" s="792"/>
      <c r="E81" s="792" t="s">
        <v>943</v>
      </c>
      <c r="F81" s="792"/>
      <c r="G81" s="792"/>
      <c r="H81" s="792"/>
      <c r="J81" s="792" t="s">
        <v>944</v>
      </c>
      <c r="K81" s="792"/>
      <c r="L81" s="792"/>
      <c r="M81" s="792"/>
      <c r="O81" s="55" t="s">
        <v>946</v>
      </c>
      <c r="P81" s="55"/>
      <c r="Q81" s="55"/>
    </row>
    <row r="82" spans="1:17">
      <c r="A82" s="795">
        <v>2019</v>
      </c>
      <c r="B82" s="480" t="s">
        <v>28</v>
      </c>
      <c r="C82" s="310">
        <v>605.43573886727097</v>
      </c>
      <c r="E82" s="479">
        <v>2025</v>
      </c>
      <c r="F82" s="20" t="s">
        <v>139</v>
      </c>
      <c r="G82" s="215">
        <f>P100</f>
        <v>218.02784000000003</v>
      </c>
      <c r="J82" s="55" t="s">
        <v>281</v>
      </c>
      <c r="K82" s="55"/>
      <c r="L82" s="710" t="s">
        <v>938</v>
      </c>
      <c r="M82" s="710" t="s">
        <v>939</v>
      </c>
      <c r="O82" s="37" t="s">
        <v>932</v>
      </c>
      <c r="Q82" s="303">
        <f>Q87+Q88</f>
        <v>35820.97</v>
      </c>
    </row>
    <row r="83" spans="1:17">
      <c r="A83" s="795"/>
      <c r="B83" s="480" t="s">
        <v>29</v>
      </c>
      <c r="C83" s="310">
        <v>555.15924016401209</v>
      </c>
      <c r="E83" s="479"/>
      <c r="F83" s="20" t="s">
        <v>220</v>
      </c>
      <c r="G83" s="215">
        <f>P101</f>
        <v>191.81692999999999</v>
      </c>
      <c r="J83" s="55" t="s">
        <v>937</v>
      </c>
      <c r="K83" s="55"/>
      <c r="L83" s="3">
        <v>2020</v>
      </c>
      <c r="M83" s="3">
        <v>2024</v>
      </c>
      <c r="O83" s="37" t="s">
        <v>933</v>
      </c>
      <c r="Q83" s="303">
        <f>Q89</f>
        <v>18478.876000000004</v>
      </c>
    </row>
    <row r="84" spans="1:17">
      <c r="A84" s="795"/>
      <c r="B84" s="480" t="s">
        <v>30</v>
      </c>
      <c r="C84" s="310">
        <v>856.52396809274182</v>
      </c>
      <c r="E84" s="479"/>
      <c r="F84" s="20" t="s">
        <v>916</v>
      </c>
      <c r="G84" s="215">
        <f>P102</f>
        <v>31.027999999999999</v>
      </c>
      <c r="J84" s="20" t="s">
        <v>922</v>
      </c>
      <c r="L84" s="37">
        <f>Production!D146</f>
        <v>15297.12252074</v>
      </c>
      <c r="M84" s="37">
        <f>Production!G146</f>
        <v>6892</v>
      </c>
      <c r="O84" s="37" t="s">
        <v>867</v>
      </c>
      <c r="Q84" s="303">
        <f>Q85+Q86</f>
        <v>27812.832938741813</v>
      </c>
    </row>
    <row r="85" spans="1:17">
      <c r="A85" s="795"/>
      <c r="B85" s="480" t="s">
        <v>31</v>
      </c>
      <c r="C85" s="310">
        <v>42.442977049886949</v>
      </c>
      <c r="E85" s="479">
        <v>2035</v>
      </c>
      <c r="F85" s="20" t="s">
        <v>139</v>
      </c>
      <c r="G85" s="303">
        <f>H85-G82</f>
        <v>570.33215999999993</v>
      </c>
      <c r="H85" s="215">
        <f>Production!P6</f>
        <v>788.3599999999999</v>
      </c>
      <c r="J85" s="20" t="s">
        <v>145</v>
      </c>
      <c r="L85" s="37">
        <f>Production!N149</f>
        <v>108422.37100498</v>
      </c>
      <c r="M85" s="37">
        <f>Production!Q149</f>
        <v>91430</v>
      </c>
      <c r="O85" s="20" t="s">
        <v>927</v>
      </c>
      <c r="Q85" s="310">
        <v>27619.667650621814</v>
      </c>
    </row>
    <row r="86" spans="1:17">
      <c r="A86" s="795"/>
      <c r="B86" s="480" t="s">
        <v>33</v>
      </c>
      <c r="C86" s="310">
        <f>SUM(F44:H44)</f>
        <v>5978.6545996433542</v>
      </c>
      <c r="E86" s="479"/>
      <c r="F86" s="20" t="s">
        <v>220</v>
      </c>
      <c r="G86" s="303">
        <f t="shared" ref="G86:G87" si="4">H86-G83</f>
        <v>269.28306999999995</v>
      </c>
      <c r="H86" s="215">
        <f>Production!P8</f>
        <v>461.09999999999997</v>
      </c>
      <c r="J86" s="20" t="s">
        <v>923</v>
      </c>
      <c r="L86" s="37">
        <f>Production!D157</f>
        <v>51370.884028729997</v>
      </c>
      <c r="M86" s="37">
        <f>Production!G157</f>
        <v>12832</v>
      </c>
      <c r="O86" s="20" t="s">
        <v>929</v>
      </c>
      <c r="Q86" s="310">
        <v>193.16528811999996</v>
      </c>
    </row>
    <row r="87" spans="1:17">
      <c r="A87" s="795">
        <v>2035</v>
      </c>
      <c r="B87" s="480" t="s">
        <v>28</v>
      </c>
      <c r="C87" s="310">
        <v>66.664007149780403</v>
      </c>
      <c r="E87" s="479"/>
      <c r="F87" s="20" t="s">
        <v>221</v>
      </c>
      <c r="G87" s="303">
        <f t="shared" si="4"/>
        <v>209.642</v>
      </c>
      <c r="H87" s="215">
        <f>Production!P9</f>
        <v>240.67</v>
      </c>
      <c r="J87" s="20" t="s">
        <v>940</v>
      </c>
      <c r="L87" s="37">
        <f>Production!D147</f>
        <v>26620.833756299999</v>
      </c>
      <c r="M87" s="37">
        <f>Production!G147</f>
        <v>26339</v>
      </c>
      <c r="O87" s="20" t="s">
        <v>928</v>
      </c>
      <c r="Q87" s="310">
        <v>35311.64</v>
      </c>
    </row>
    <row r="88" spans="1:17">
      <c r="A88" s="795"/>
      <c r="B88" s="480" t="s">
        <v>29</v>
      </c>
      <c r="C88" s="310">
        <v>-56.143186092814545</v>
      </c>
      <c r="G88" s="70">
        <f>SUM(G82:G87)</f>
        <v>1490.1299999999999</v>
      </c>
      <c r="H88" s="70"/>
      <c r="J88" s="20" t="s">
        <v>941</v>
      </c>
      <c r="L88" s="37">
        <f>Production!N157</f>
        <v>48145.03372983</v>
      </c>
      <c r="M88" s="37">
        <f>Production!Q150</f>
        <v>39342</v>
      </c>
      <c r="O88" s="20" t="s">
        <v>930</v>
      </c>
      <c r="Q88" s="310">
        <v>509.33</v>
      </c>
    </row>
    <row r="89" spans="1:17">
      <c r="A89" s="795"/>
      <c r="B89" s="480" t="s">
        <v>30</v>
      </c>
      <c r="C89" s="310">
        <v>308.44840564110484</v>
      </c>
      <c r="O89" s="20" t="s">
        <v>371</v>
      </c>
      <c r="Q89" s="310">
        <v>18478.876000000004</v>
      </c>
    </row>
    <row r="90" spans="1:17">
      <c r="A90" s="795"/>
      <c r="B90" s="480" t="s">
        <v>31</v>
      </c>
      <c r="C90" s="310">
        <v>389.26670694717814</v>
      </c>
      <c r="O90" s="20" t="s">
        <v>931</v>
      </c>
      <c r="Q90" s="109">
        <v>128.52999999999997</v>
      </c>
    </row>
    <row r="91" spans="1:17">
      <c r="A91" s="795"/>
      <c r="B91" s="480" t="s">
        <v>33</v>
      </c>
      <c r="C91" s="310">
        <f>SUM(M44:O44)</f>
        <v>1200.1427559899976</v>
      </c>
      <c r="O91" s="20" t="s">
        <v>227</v>
      </c>
      <c r="Q91" s="109">
        <v>346.71999999999997</v>
      </c>
    </row>
    <row r="92" spans="1:17">
      <c r="A92" s="795" t="s">
        <v>90</v>
      </c>
      <c r="B92" s="480" t="s">
        <v>28</v>
      </c>
      <c r="C92" s="310">
        <v>54.285203662931181</v>
      </c>
      <c r="O92" s="20" t="s">
        <v>530</v>
      </c>
      <c r="Q92" s="109">
        <v>199.01500000000001</v>
      </c>
    </row>
    <row r="93" spans="1:17">
      <c r="A93" s="795"/>
      <c r="B93" s="480" t="s">
        <v>29</v>
      </c>
      <c r="C93" s="310">
        <v>10.62650589904176</v>
      </c>
    </row>
    <row r="94" spans="1:17">
      <c r="A94" s="795"/>
      <c r="B94" s="480" t="s">
        <v>30</v>
      </c>
      <c r="C94" s="310">
        <v>353.4757185023758</v>
      </c>
    </row>
    <row r="95" spans="1:17">
      <c r="A95" s="795"/>
      <c r="B95" s="480" t="s">
        <v>31</v>
      </c>
      <c r="C95" s="310">
        <v>57.853064667440051</v>
      </c>
    </row>
    <row r="96" spans="1:17">
      <c r="A96" s="795"/>
      <c r="B96" s="480" t="s">
        <v>33</v>
      </c>
      <c r="C96" s="310">
        <v>1.9342533521027128</v>
      </c>
    </row>
    <row r="97" spans="1:27">
      <c r="AA97" s="175"/>
    </row>
    <row r="98" spans="1:27">
      <c r="A98" s="708" t="s">
        <v>936</v>
      </c>
      <c r="B98" s="708"/>
      <c r="C98" s="708"/>
      <c r="D98" s="708"/>
      <c r="E98" s="709" t="s">
        <v>919</v>
      </c>
      <c r="F98" s="708"/>
      <c r="G98" s="708"/>
      <c r="H98" s="75">
        <v>2025</v>
      </c>
      <c r="I98" s="708"/>
      <c r="J98" s="708"/>
      <c r="K98" s="708"/>
      <c r="L98" s="708"/>
      <c r="M98" s="708"/>
      <c r="N98" s="708"/>
      <c r="O98" s="708"/>
    </row>
    <row r="99" spans="1:27">
      <c r="A99" s="55"/>
      <c r="B99" s="55" t="s">
        <v>26</v>
      </c>
      <c r="C99" s="55" t="s">
        <v>126</v>
      </c>
      <c r="D99" s="55" t="s">
        <v>920</v>
      </c>
      <c r="E99" s="55" t="s">
        <v>127</v>
      </c>
      <c r="F99" s="55" t="s">
        <v>128</v>
      </c>
      <c r="G99" s="55" t="s">
        <v>129</v>
      </c>
      <c r="H99" s="55" t="s">
        <v>130</v>
      </c>
      <c r="I99" s="55" t="s">
        <v>131</v>
      </c>
      <c r="J99" s="55" t="s">
        <v>921</v>
      </c>
      <c r="K99" s="55" t="s">
        <v>133</v>
      </c>
      <c r="L99" s="55" t="s">
        <v>134</v>
      </c>
      <c r="M99" s="55" t="s">
        <v>135</v>
      </c>
      <c r="N99" s="55" t="s">
        <v>136</v>
      </c>
      <c r="O99" s="55" t="s">
        <v>137</v>
      </c>
    </row>
    <row r="100" spans="1:27">
      <c r="A100" s="20" t="s">
        <v>139</v>
      </c>
      <c r="B100" s="711">
        <v>86407.58</v>
      </c>
      <c r="C100" s="364">
        <v>21237.97</v>
      </c>
      <c r="D100" s="364">
        <v>13470.42</v>
      </c>
      <c r="E100" s="215">
        <v>29047</v>
      </c>
      <c r="F100" s="215">
        <v>17705.36</v>
      </c>
      <c r="G100" s="215">
        <v>27259</v>
      </c>
      <c r="H100" s="215">
        <v>10696.21</v>
      </c>
      <c r="I100" s="215">
        <v>5000</v>
      </c>
      <c r="J100" s="215">
        <v>3730</v>
      </c>
      <c r="K100" s="215">
        <v>46.6</v>
      </c>
      <c r="L100" s="215">
        <v>16.7</v>
      </c>
      <c r="M100" s="215">
        <v>1787</v>
      </c>
      <c r="N100" s="215">
        <v>450</v>
      </c>
      <c r="O100" s="215">
        <v>1174</v>
      </c>
      <c r="P100" s="535">
        <f>SUM(B100:O100)/1000</f>
        <v>218.02784000000003</v>
      </c>
    </row>
    <row r="101" spans="1:27">
      <c r="A101" s="481" t="s">
        <v>140</v>
      </c>
      <c r="B101" s="711">
        <v>63192.17</v>
      </c>
      <c r="C101" s="364">
        <v>24606.27</v>
      </c>
      <c r="D101" s="364">
        <v>13932.25</v>
      </c>
      <c r="E101" s="215">
        <v>30931.9</v>
      </c>
      <c r="F101" s="215">
        <v>10292.56</v>
      </c>
      <c r="G101" s="215">
        <v>6967</v>
      </c>
      <c r="H101" s="215">
        <v>3177.08</v>
      </c>
      <c r="I101" s="215">
        <v>18000</v>
      </c>
      <c r="J101" s="215">
        <v>4860</v>
      </c>
      <c r="K101" s="215">
        <v>8224</v>
      </c>
      <c r="L101" s="215">
        <v>5132.7</v>
      </c>
      <c r="M101" s="215">
        <v>1683</v>
      </c>
      <c r="N101" s="215">
        <v>136</v>
      </c>
      <c r="O101" s="215">
        <v>682</v>
      </c>
      <c r="P101" s="535">
        <f>SUM(B101:O101)/1000</f>
        <v>191.81692999999999</v>
      </c>
    </row>
    <row r="102" spans="1:27">
      <c r="A102" s="481" t="s">
        <v>141</v>
      </c>
      <c r="B102" s="711">
        <v>9215</v>
      </c>
      <c r="C102" s="364"/>
      <c r="D102" s="364">
        <v>12160</v>
      </c>
      <c r="E102" s="215"/>
      <c r="F102" s="215"/>
      <c r="G102" s="215">
        <v>4739</v>
      </c>
      <c r="H102" s="215">
        <v>2262.1</v>
      </c>
      <c r="I102" s="215"/>
      <c r="J102" s="215">
        <v>2646</v>
      </c>
      <c r="K102" s="215"/>
      <c r="L102" s="215">
        <v>5.9</v>
      </c>
      <c r="M102" s="215"/>
      <c r="N102" s="215"/>
      <c r="O102" s="215"/>
      <c r="P102" s="535">
        <f>SUM(B102:O102)/1000</f>
        <v>31.027999999999999</v>
      </c>
    </row>
    <row r="104" spans="1:27">
      <c r="A104" s="708" t="s">
        <v>945</v>
      </c>
      <c r="B104" s="708"/>
      <c r="C104" s="708"/>
      <c r="D104" s="708"/>
    </row>
    <row r="105" spans="1:27">
      <c r="A105" s="55" t="s">
        <v>281</v>
      </c>
      <c r="B105" s="55"/>
      <c r="C105" s="710" t="s">
        <v>938</v>
      </c>
      <c r="D105" s="710" t="s">
        <v>939</v>
      </c>
    </row>
    <row r="106" spans="1:27">
      <c r="A106" s="708" t="s">
        <v>937</v>
      </c>
      <c r="B106" s="708"/>
      <c r="C106" s="75">
        <v>2020</v>
      </c>
      <c r="D106" s="75">
        <v>2024</v>
      </c>
    </row>
    <row r="107" spans="1:27">
      <c r="A107" s="31">
        <v>2025</v>
      </c>
      <c r="B107" s="20" t="s">
        <v>145</v>
      </c>
      <c r="C107" s="215">
        <f>L85+SUM(Production!D144:D145)</f>
        <v>109372.37100498</v>
      </c>
      <c r="D107" s="215">
        <f>M85+Production!G144</f>
        <v>92121</v>
      </c>
    </row>
    <row r="108" spans="1:27">
      <c r="B108" s="20" t="s">
        <v>924</v>
      </c>
      <c r="C108" s="215">
        <f>L84+L86-SUM(Production!D144:D145)</f>
        <v>65718.006549469996</v>
      </c>
      <c r="D108" s="215">
        <f>M84+M86-Production!G144</f>
        <v>19033</v>
      </c>
    </row>
    <row r="109" spans="1:27">
      <c r="B109" s="20" t="s">
        <v>925</v>
      </c>
      <c r="C109" s="215">
        <f>L87+L88</f>
        <v>74765.867486129995</v>
      </c>
      <c r="D109" s="215">
        <f>M87+M88</f>
        <v>65681</v>
      </c>
    </row>
    <row r="110" spans="1:27">
      <c r="B110" s="20" t="s">
        <v>142</v>
      </c>
      <c r="C110" s="215">
        <f>Production!V95</f>
        <v>87741.950087000005</v>
      </c>
      <c r="D110" s="215">
        <f>Production!V50</f>
        <v>70751</v>
      </c>
    </row>
    <row r="111" spans="1:27">
      <c r="B111" s="20" t="s">
        <v>429</v>
      </c>
      <c r="C111" s="215">
        <f>Production!W44</f>
        <v>129865</v>
      </c>
      <c r="D111" s="215">
        <f>Production!W44</f>
        <v>129865</v>
      </c>
    </row>
    <row r="112" spans="1:27">
      <c r="A112" s="339"/>
      <c r="B112" s="339" t="s">
        <v>227</v>
      </c>
      <c r="C112" s="554">
        <f>Production!V122</f>
        <v>1431</v>
      </c>
      <c r="D112" s="554">
        <f>Flexibility!S95</f>
        <v>86680</v>
      </c>
    </row>
    <row r="113" spans="1:22">
      <c r="A113" s="641" t="s">
        <v>926</v>
      </c>
      <c r="B113" s="20" t="s">
        <v>145</v>
      </c>
      <c r="C113" s="303">
        <f>D107-C107</f>
        <v>-17251.371004979999</v>
      </c>
      <c r="D113" s="37"/>
    </row>
    <row r="114" spans="1:22">
      <c r="B114" s="20" t="s">
        <v>924</v>
      </c>
      <c r="C114" s="303">
        <f t="shared" ref="C114:C116" si="5">D108-C108</f>
        <v>-46685.006549469996</v>
      </c>
      <c r="D114" s="37"/>
    </row>
    <row r="115" spans="1:22">
      <c r="B115" s="20" t="s">
        <v>925</v>
      </c>
      <c r="C115" s="303">
        <f t="shared" si="5"/>
        <v>-9084.8674861299951</v>
      </c>
      <c r="D115" s="37"/>
    </row>
    <row r="116" spans="1:22">
      <c r="B116" s="20" t="s">
        <v>142</v>
      </c>
      <c r="C116" s="303">
        <f t="shared" si="5"/>
        <v>-16990.950087000005</v>
      </c>
    </row>
    <row r="117" spans="1:22">
      <c r="B117" s="20" t="s">
        <v>227</v>
      </c>
      <c r="C117" s="303">
        <f>D112-C112</f>
        <v>85249</v>
      </c>
    </row>
    <row r="118" spans="1:22">
      <c r="C118" s="328">
        <f>SUM(C107:C117)</f>
        <v>464131</v>
      </c>
    </row>
    <row r="120" spans="1:22">
      <c r="A120" s="714" t="s">
        <v>955</v>
      </c>
      <c r="B120" s="483"/>
      <c r="C120" s="483"/>
      <c r="D120" s="483"/>
      <c r="E120" s="483"/>
      <c r="F120" s="483"/>
      <c r="G120" s="483"/>
      <c r="H120" s="483"/>
      <c r="I120" s="483"/>
      <c r="J120" s="483"/>
      <c r="K120" s="483"/>
      <c r="L120" s="483"/>
      <c r="M120" s="483"/>
      <c r="N120" s="483"/>
      <c r="O120" s="483"/>
      <c r="P120" s="483"/>
      <c r="Q120" s="483"/>
      <c r="R120" s="483"/>
      <c r="S120" s="483"/>
      <c r="T120" s="483"/>
      <c r="U120" s="483"/>
      <c r="V120" s="483"/>
    </row>
    <row r="121" spans="1:22">
      <c r="A121" s="153" t="s">
        <v>262</v>
      </c>
      <c r="B121" s="153" t="s">
        <v>26</v>
      </c>
      <c r="C121" s="153" t="s">
        <v>126</v>
      </c>
      <c r="D121" s="153" t="s">
        <v>75</v>
      </c>
      <c r="E121" s="153" t="s">
        <v>127</v>
      </c>
      <c r="F121" s="153" t="s">
        <v>128</v>
      </c>
      <c r="G121" s="153" t="s">
        <v>129</v>
      </c>
      <c r="H121" s="153" t="s">
        <v>130</v>
      </c>
      <c r="I121" s="153" t="s">
        <v>103</v>
      </c>
      <c r="J121" s="153" t="s">
        <v>104</v>
      </c>
      <c r="K121" s="153" t="s">
        <v>105</v>
      </c>
      <c r="L121" s="153" t="s">
        <v>106</v>
      </c>
      <c r="M121" s="153" t="s">
        <v>99</v>
      </c>
      <c r="N121" s="153" t="s">
        <v>101</v>
      </c>
      <c r="O121" s="153" t="s">
        <v>133</v>
      </c>
      <c r="P121" s="153" t="s">
        <v>118</v>
      </c>
      <c r="Q121" s="153" t="s">
        <v>119</v>
      </c>
      <c r="R121" s="153" t="s">
        <v>120</v>
      </c>
      <c r="S121" s="153" t="s">
        <v>135</v>
      </c>
      <c r="T121" s="153" t="s">
        <v>136</v>
      </c>
      <c r="U121" s="153" t="s">
        <v>137</v>
      </c>
    </row>
    <row r="122" spans="1:22">
      <c r="A122" s="112" t="s">
        <v>139</v>
      </c>
      <c r="B122" s="527">
        <v>299470</v>
      </c>
      <c r="C122" s="527">
        <v>100400</v>
      </c>
      <c r="D122" s="527">
        <v>54790</v>
      </c>
      <c r="E122" s="527">
        <v>128949.99999999999</v>
      </c>
      <c r="F122" s="527">
        <v>36740</v>
      </c>
      <c r="G122" s="527">
        <v>59320</v>
      </c>
      <c r="H122" s="527">
        <v>23300</v>
      </c>
      <c r="I122" s="521">
        <v>0</v>
      </c>
      <c r="J122" s="521">
        <v>1208.1011915693161</v>
      </c>
      <c r="K122" s="521">
        <v>17554.88799595719</v>
      </c>
      <c r="L122" s="521">
        <v>7657.0108124734952</v>
      </c>
      <c r="M122" s="521">
        <v>6195.4816941224781</v>
      </c>
      <c r="N122" s="521">
        <v>15514.518305877522</v>
      </c>
      <c r="O122" s="527">
        <v>21270</v>
      </c>
      <c r="P122" s="521">
        <v>1562.5</v>
      </c>
      <c r="Q122" s="521">
        <v>0</v>
      </c>
      <c r="R122" s="527">
        <v>4687.5</v>
      </c>
      <c r="S122" s="527">
        <v>6540</v>
      </c>
      <c r="T122" s="527">
        <v>800</v>
      </c>
      <c r="U122" s="527">
        <v>2400</v>
      </c>
      <c r="V122" s="37">
        <f>SUM(B122:U122)</f>
        <v>788360</v>
      </c>
    </row>
    <row r="123" spans="1:22">
      <c r="A123" s="112" t="s">
        <v>140</v>
      </c>
      <c r="B123" s="527">
        <v>142000</v>
      </c>
      <c r="C123" s="527">
        <v>50000</v>
      </c>
      <c r="D123" s="527">
        <v>43480</v>
      </c>
      <c r="E123" s="527">
        <v>75050</v>
      </c>
      <c r="F123" s="527">
        <v>29500</v>
      </c>
      <c r="G123" s="527">
        <v>12700</v>
      </c>
      <c r="H123" s="527">
        <v>8900</v>
      </c>
      <c r="I123" s="521">
        <v>7018.4769305581794</v>
      </c>
      <c r="J123" s="521">
        <v>12727.578281810482</v>
      </c>
      <c r="K123" s="521">
        <v>5408.5475171000035</v>
      </c>
      <c r="L123" s="521">
        <v>3095.3972705313349</v>
      </c>
      <c r="M123" s="521">
        <v>4639.3817913564608</v>
      </c>
      <c r="N123" s="521">
        <v>23610.61820864354</v>
      </c>
      <c r="O123" s="527">
        <v>46000</v>
      </c>
      <c r="P123" s="521">
        <v>2429.0722209751543</v>
      </c>
      <c r="Q123" s="521">
        <v>1485.8409082853868</v>
      </c>
      <c r="R123" s="527">
        <v>2445.0868707394588</v>
      </c>
      <c r="S123" s="527">
        <v>5210</v>
      </c>
      <c r="T123" s="527">
        <v>290</v>
      </c>
      <c r="U123" s="527">
        <v>860</v>
      </c>
      <c r="V123" s="37">
        <f t="shared" ref="V123:V124" si="6">SUM(B123:U123)</f>
        <v>476850</v>
      </c>
    </row>
    <row r="124" spans="1:22">
      <c r="A124" s="212" t="s">
        <v>141</v>
      </c>
      <c r="B124" s="528">
        <v>50520</v>
      </c>
      <c r="C124" s="528">
        <v>17980</v>
      </c>
      <c r="D124" s="528">
        <v>75030</v>
      </c>
      <c r="E124" s="528">
        <v>5040</v>
      </c>
      <c r="F124" s="528">
        <v>10900</v>
      </c>
      <c r="G124" s="528">
        <v>33300</v>
      </c>
      <c r="H124" s="528">
        <v>6860</v>
      </c>
      <c r="I124" s="529">
        <v>0</v>
      </c>
      <c r="J124" s="529">
        <v>1000</v>
      </c>
      <c r="K124" s="529">
        <v>1400</v>
      </c>
      <c r="L124" s="529">
        <v>4200</v>
      </c>
      <c r="M124" s="529">
        <v>6847.153565820272</v>
      </c>
      <c r="N124" s="529">
        <v>14392.846434179728</v>
      </c>
      <c r="O124" s="528">
        <v>3600</v>
      </c>
      <c r="P124" s="529">
        <v>0</v>
      </c>
      <c r="Q124" s="529">
        <v>0</v>
      </c>
      <c r="R124" s="528">
        <v>6000</v>
      </c>
      <c r="S124" s="528">
        <v>2100</v>
      </c>
      <c r="T124" s="528">
        <v>500</v>
      </c>
      <c r="U124" s="528">
        <v>1000</v>
      </c>
      <c r="V124" s="37">
        <f t="shared" si="6"/>
        <v>240670</v>
      </c>
    </row>
    <row r="125" spans="1:22">
      <c r="A125" s="20" t="s">
        <v>371</v>
      </c>
      <c r="B125" s="527">
        <v>1296.6278335699999</v>
      </c>
      <c r="C125" s="527">
        <v>8000</v>
      </c>
      <c r="D125" s="527">
        <v>0</v>
      </c>
      <c r="E125" s="527">
        <v>6426.3509999999997</v>
      </c>
      <c r="F125" s="527">
        <v>198.3</v>
      </c>
      <c r="G125" s="527">
        <v>0</v>
      </c>
      <c r="H125" s="527">
        <v>0</v>
      </c>
      <c r="I125" s="527">
        <v>5315</v>
      </c>
      <c r="J125" s="527">
        <v>6795</v>
      </c>
      <c r="K125" s="527">
        <v>1972</v>
      </c>
      <c r="L125" s="527">
        <v>237</v>
      </c>
      <c r="M125" s="527">
        <v>0</v>
      </c>
      <c r="N125" s="527">
        <v>0</v>
      </c>
      <c r="O125" s="527">
        <v>2400</v>
      </c>
      <c r="P125" s="527">
        <v>0</v>
      </c>
      <c r="Q125" s="527">
        <v>0</v>
      </c>
      <c r="R125" s="527">
        <v>0</v>
      </c>
      <c r="S125" s="527">
        <v>0</v>
      </c>
      <c r="T125" s="527">
        <v>0</v>
      </c>
      <c r="U125" s="527">
        <v>0</v>
      </c>
    </row>
    <row r="126" spans="1:22">
      <c r="A126" s="131" t="s">
        <v>373</v>
      </c>
      <c r="B126" s="530">
        <v>4036</v>
      </c>
      <c r="C126" s="530">
        <v>13600</v>
      </c>
      <c r="D126" s="530">
        <v>1938.1020000000001</v>
      </c>
      <c r="E126" s="530">
        <v>3500</v>
      </c>
      <c r="F126" s="530">
        <v>536.5</v>
      </c>
      <c r="G126" s="530">
        <v>43</v>
      </c>
      <c r="H126" s="530">
        <v>134.25</v>
      </c>
      <c r="I126" s="530">
        <v>0</v>
      </c>
      <c r="J126" s="530">
        <v>0</v>
      </c>
      <c r="K126" s="530">
        <v>0</v>
      </c>
      <c r="L126" s="530">
        <v>0</v>
      </c>
      <c r="M126" s="530">
        <v>0</v>
      </c>
      <c r="N126" s="530">
        <v>0</v>
      </c>
      <c r="O126" s="530">
        <v>0</v>
      </c>
      <c r="P126" s="530">
        <v>0</v>
      </c>
      <c r="Q126" s="530">
        <v>0</v>
      </c>
      <c r="R126" s="530">
        <v>0</v>
      </c>
      <c r="S126" s="530">
        <v>128</v>
      </c>
      <c r="T126" s="530">
        <v>1608.13508419</v>
      </c>
      <c r="U126" s="530">
        <v>0</v>
      </c>
    </row>
    <row r="127" spans="1:22">
      <c r="A127" s="20" t="s">
        <v>443</v>
      </c>
      <c r="B127" s="527">
        <v>2144</v>
      </c>
      <c r="C127" s="527"/>
      <c r="D127" s="527">
        <v>0</v>
      </c>
      <c r="E127" s="527">
        <v>4223</v>
      </c>
      <c r="F127" s="527">
        <v>216</v>
      </c>
      <c r="G127" s="527">
        <v>0</v>
      </c>
      <c r="H127" s="527">
        <v>0</v>
      </c>
      <c r="I127" s="527">
        <v>0</v>
      </c>
      <c r="J127" s="527">
        <v>0</v>
      </c>
      <c r="K127" s="527">
        <v>0</v>
      </c>
      <c r="L127" s="527">
        <v>0</v>
      </c>
      <c r="M127" s="527">
        <v>0</v>
      </c>
      <c r="N127" s="527">
        <v>0</v>
      </c>
      <c r="O127" s="527">
        <v>0</v>
      </c>
      <c r="P127" s="527">
        <v>4522</v>
      </c>
      <c r="Q127" s="527">
        <v>5552</v>
      </c>
      <c r="R127" s="527">
        <v>28045</v>
      </c>
      <c r="S127" s="527">
        <v>0</v>
      </c>
      <c r="T127" s="527">
        <v>0</v>
      </c>
      <c r="U127" s="527">
        <v>0</v>
      </c>
    </row>
    <row r="128" spans="1:22">
      <c r="A128" s="211" t="s">
        <v>825</v>
      </c>
      <c r="B128" s="528">
        <v>7230</v>
      </c>
      <c r="C128" s="528">
        <v>4247</v>
      </c>
      <c r="D128" s="528">
        <v>2744</v>
      </c>
      <c r="E128" s="528">
        <v>6908</v>
      </c>
      <c r="F128" s="528">
        <v>1333</v>
      </c>
      <c r="G128" s="528">
        <v>0</v>
      </c>
      <c r="H128" s="528">
        <v>1305</v>
      </c>
      <c r="I128" s="528">
        <v>0</v>
      </c>
      <c r="J128" s="528">
        <v>0</v>
      </c>
      <c r="K128" s="528">
        <v>0</v>
      </c>
      <c r="L128" s="528">
        <v>0</v>
      </c>
      <c r="M128" s="528">
        <v>0</v>
      </c>
      <c r="N128" s="528">
        <v>0</v>
      </c>
      <c r="O128" s="528">
        <v>0</v>
      </c>
      <c r="P128" s="528">
        <v>0</v>
      </c>
      <c r="Q128" s="528">
        <v>0</v>
      </c>
      <c r="R128" s="528">
        <v>0</v>
      </c>
      <c r="S128" s="528">
        <v>938</v>
      </c>
      <c r="T128" s="528">
        <v>0</v>
      </c>
      <c r="U128" s="528">
        <v>0</v>
      </c>
      <c r="V128" s="37">
        <f>SUM(B125:U128)</f>
        <v>127571.26591776</v>
      </c>
    </row>
    <row r="129" spans="1:22">
      <c r="A129" s="31" t="s">
        <v>406</v>
      </c>
      <c r="B129" s="527">
        <v>0</v>
      </c>
      <c r="C129" s="527">
        <v>0</v>
      </c>
      <c r="D129" s="527">
        <v>0</v>
      </c>
      <c r="E129" s="527">
        <v>0</v>
      </c>
      <c r="F129" s="527">
        <v>3213</v>
      </c>
      <c r="G129" s="527">
        <v>0</v>
      </c>
      <c r="H129" s="527">
        <v>354</v>
      </c>
      <c r="I129" s="527">
        <v>0</v>
      </c>
      <c r="J129" s="527">
        <v>0</v>
      </c>
      <c r="K129" s="527">
        <v>0</v>
      </c>
      <c r="L129" s="527">
        <v>0</v>
      </c>
      <c r="M129" s="527">
        <v>831</v>
      </c>
      <c r="N129" s="527">
        <v>411</v>
      </c>
      <c r="O129" s="527">
        <v>928</v>
      </c>
      <c r="P129" s="527">
        <v>0</v>
      </c>
      <c r="Q129" s="527">
        <v>0</v>
      </c>
      <c r="R129" s="527">
        <v>0</v>
      </c>
      <c r="S129" s="527">
        <v>0</v>
      </c>
      <c r="T129" s="527">
        <v>0</v>
      </c>
      <c r="U129" s="527">
        <v>0</v>
      </c>
      <c r="V129" s="37">
        <f>SUM(B129:U130)</f>
        <v>6201</v>
      </c>
    </row>
    <row r="130" spans="1:22">
      <c r="A130" s="31" t="s">
        <v>411</v>
      </c>
      <c r="B130" s="531"/>
      <c r="C130" s="531"/>
      <c r="D130" s="531"/>
      <c r="E130" s="531"/>
      <c r="F130" s="531"/>
      <c r="G130" s="531"/>
      <c r="H130" s="531"/>
      <c r="I130" s="531"/>
      <c r="J130" s="531"/>
      <c r="K130" s="531"/>
      <c r="L130" s="531"/>
      <c r="M130" s="531"/>
      <c r="N130" s="531"/>
      <c r="O130" s="531"/>
      <c r="P130" s="531"/>
      <c r="Q130" s="531"/>
      <c r="R130" s="531"/>
      <c r="S130" s="531"/>
      <c r="T130" s="531"/>
      <c r="U130" s="527">
        <v>464</v>
      </c>
      <c r="V130" s="37"/>
    </row>
    <row r="131" spans="1:22">
      <c r="A131" s="31" t="s">
        <v>445</v>
      </c>
      <c r="B131" s="215">
        <v>8564</v>
      </c>
      <c r="C131" s="215">
        <v>2415</v>
      </c>
      <c r="D131" s="215">
        <v>3053</v>
      </c>
      <c r="E131" s="215">
        <v>1730</v>
      </c>
      <c r="F131" s="215">
        <v>2183</v>
      </c>
      <c r="G131" s="215">
        <v>415</v>
      </c>
      <c r="H131" s="215">
        <v>615</v>
      </c>
      <c r="I131" s="215">
        <v>199</v>
      </c>
      <c r="J131" s="215">
        <v>744</v>
      </c>
      <c r="K131" s="215">
        <v>2554</v>
      </c>
      <c r="L131" s="215">
        <v>698</v>
      </c>
      <c r="M131" s="215">
        <v>0</v>
      </c>
      <c r="N131" s="215">
        <v>7</v>
      </c>
      <c r="O131" s="215">
        <v>2625</v>
      </c>
      <c r="P131" s="215">
        <v>0</v>
      </c>
      <c r="Q131" s="215">
        <v>0</v>
      </c>
      <c r="R131" s="215">
        <v>0</v>
      </c>
      <c r="S131" s="215">
        <v>210</v>
      </c>
      <c r="T131" s="215">
        <v>159</v>
      </c>
      <c r="U131" s="215">
        <v>168</v>
      </c>
      <c r="V131" s="37">
        <f t="shared" ref="V131:V151" si="7">SUM(B131:U131)</f>
        <v>26339</v>
      </c>
    </row>
    <row r="132" spans="1:22">
      <c r="A132" s="186" t="s">
        <v>142</v>
      </c>
      <c r="B132" s="532">
        <v>0</v>
      </c>
      <c r="C132" s="532">
        <v>54700</v>
      </c>
      <c r="D132" s="532">
        <v>4500</v>
      </c>
      <c r="E132" s="532">
        <v>0</v>
      </c>
      <c r="F132" s="532">
        <v>2220</v>
      </c>
      <c r="G132" s="532">
        <v>243</v>
      </c>
      <c r="H132" s="532">
        <v>1038</v>
      </c>
      <c r="I132" s="532">
        <v>0</v>
      </c>
      <c r="J132" s="532">
        <v>0</v>
      </c>
      <c r="K132" s="532">
        <v>4800</v>
      </c>
      <c r="L132" s="532">
        <v>0</v>
      </c>
      <c r="M132" s="532">
        <v>0</v>
      </c>
      <c r="N132" s="532">
        <v>0</v>
      </c>
      <c r="O132" s="532">
        <v>3250</v>
      </c>
      <c r="P132" s="532">
        <v>0</v>
      </c>
      <c r="Q132" s="532">
        <v>0</v>
      </c>
      <c r="R132" s="532">
        <v>0</v>
      </c>
      <c r="S132" s="532">
        <v>0</v>
      </c>
      <c r="T132" s="532">
        <v>0</v>
      </c>
      <c r="U132" s="532">
        <v>0</v>
      </c>
      <c r="V132" s="37">
        <f t="shared" si="7"/>
        <v>70751</v>
      </c>
    </row>
    <row r="133" spans="1:22">
      <c r="A133" s="20" t="s">
        <v>378</v>
      </c>
      <c r="B133" s="531">
        <v>0</v>
      </c>
      <c r="C133" s="531">
        <v>0</v>
      </c>
      <c r="D133" s="531">
        <v>0</v>
      </c>
      <c r="E133" s="531">
        <v>0</v>
      </c>
      <c r="F133" s="527">
        <v>1873</v>
      </c>
      <c r="G133" s="531">
        <v>0</v>
      </c>
      <c r="H133" s="531">
        <v>0</v>
      </c>
      <c r="I133" s="531">
        <v>0</v>
      </c>
      <c r="J133" s="531">
        <v>0</v>
      </c>
      <c r="K133" s="531">
        <v>0</v>
      </c>
      <c r="L133" s="531">
        <v>0</v>
      </c>
      <c r="M133" s="531">
        <v>0</v>
      </c>
      <c r="N133" s="531">
        <v>0</v>
      </c>
      <c r="O133" s="531">
        <v>0</v>
      </c>
      <c r="P133" s="531">
        <v>0</v>
      </c>
      <c r="Q133" s="531">
        <v>0</v>
      </c>
      <c r="R133" s="531">
        <v>0</v>
      </c>
      <c r="S133" s="531">
        <v>0</v>
      </c>
      <c r="T133" s="531">
        <v>0</v>
      </c>
      <c r="U133" s="531">
        <v>0</v>
      </c>
      <c r="V133" s="246">
        <f>SUM(B133:U134)</f>
        <v>3337</v>
      </c>
    </row>
    <row r="134" spans="1:22">
      <c r="A134" s="131" t="s">
        <v>379</v>
      </c>
      <c r="B134" s="533">
        <v>0</v>
      </c>
      <c r="C134" s="533">
        <v>0</v>
      </c>
      <c r="D134" s="533">
        <v>0</v>
      </c>
      <c r="E134" s="533">
        <v>0</v>
      </c>
      <c r="F134" s="530">
        <v>1464</v>
      </c>
      <c r="G134" s="533">
        <v>0</v>
      </c>
      <c r="H134" s="533">
        <v>0</v>
      </c>
      <c r="I134" s="533">
        <v>0</v>
      </c>
      <c r="J134" s="533">
        <v>0</v>
      </c>
      <c r="K134" s="533">
        <v>0</v>
      </c>
      <c r="L134" s="533">
        <v>0</v>
      </c>
      <c r="M134" s="533">
        <v>0</v>
      </c>
      <c r="N134" s="533">
        <v>0</v>
      </c>
      <c r="O134" s="533">
        <v>0</v>
      </c>
      <c r="P134" s="533">
        <v>0</v>
      </c>
      <c r="Q134" s="533">
        <v>0</v>
      </c>
      <c r="R134" s="533">
        <v>0</v>
      </c>
      <c r="S134" s="533">
        <v>0</v>
      </c>
      <c r="T134" s="533">
        <v>0</v>
      </c>
      <c r="U134" s="533">
        <v>0</v>
      </c>
      <c r="V134" s="37"/>
    </row>
    <row r="135" spans="1:22">
      <c r="A135" s="114" t="s">
        <v>380</v>
      </c>
      <c r="B135" s="527">
        <v>0</v>
      </c>
      <c r="C135" s="527">
        <v>0</v>
      </c>
      <c r="D135" s="527">
        <v>0</v>
      </c>
      <c r="E135" s="527">
        <v>0</v>
      </c>
      <c r="F135" s="527">
        <v>3213</v>
      </c>
      <c r="G135" s="527">
        <v>0</v>
      </c>
      <c r="H135" s="527">
        <v>0</v>
      </c>
      <c r="I135" s="527">
        <v>0</v>
      </c>
      <c r="J135" s="527">
        <v>0</v>
      </c>
      <c r="K135" s="527">
        <v>0</v>
      </c>
      <c r="L135" s="527">
        <v>0</v>
      </c>
      <c r="M135" s="527">
        <v>0</v>
      </c>
      <c r="N135" s="527">
        <v>0</v>
      </c>
      <c r="O135" s="527">
        <v>0</v>
      </c>
      <c r="P135" s="527">
        <v>0</v>
      </c>
      <c r="Q135" s="527">
        <v>0</v>
      </c>
      <c r="R135" s="527">
        <v>0</v>
      </c>
      <c r="S135" s="527">
        <v>0</v>
      </c>
      <c r="T135" s="527">
        <v>0</v>
      </c>
      <c r="U135" s="527">
        <v>0</v>
      </c>
      <c r="V135" s="37">
        <f>SUM(B135:U137)</f>
        <v>7473</v>
      </c>
    </row>
    <row r="136" spans="1:22">
      <c r="A136" s="114" t="s">
        <v>381</v>
      </c>
      <c r="B136" s="527">
        <v>0</v>
      </c>
      <c r="C136" s="527">
        <v>0</v>
      </c>
      <c r="D136" s="527">
        <v>0</v>
      </c>
      <c r="E136" s="527">
        <v>0</v>
      </c>
      <c r="F136" s="527">
        <v>2597</v>
      </c>
      <c r="G136" s="527">
        <v>0</v>
      </c>
      <c r="H136" s="527">
        <v>0</v>
      </c>
      <c r="I136" s="527">
        <v>0</v>
      </c>
      <c r="J136" s="527">
        <v>0</v>
      </c>
      <c r="K136" s="527">
        <v>0</v>
      </c>
      <c r="L136" s="527">
        <v>0</v>
      </c>
      <c r="M136" s="527">
        <v>0</v>
      </c>
      <c r="N136" s="527">
        <v>0</v>
      </c>
      <c r="O136" s="527">
        <v>0</v>
      </c>
      <c r="P136" s="527">
        <v>0</v>
      </c>
      <c r="Q136" s="527">
        <v>0</v>
      </c>
      <c r="R136" s="527">
        <v>0</v>
      </c>
      <c r="S136" s="527">
        <v>0</v>
      </c>
      <c r="T136" s="527">
        <v>0</v>
      </c>
      <c r="U136" s="527">
        <v>0</v>
      </c>
      <c r="V136" s="37"/>
    </row>
    <row r="137" spans="1:22">
      <c r="A137" s="120" t="s">
        <v>382</v>
      </c>
      <c r="B137" s="530">
        <v>0</v>
      </c>
      <c r="C137" s="530">
        <v>0</v>
      </c>
      <c r="D137" s="530">
        <v>0</v>
      </c>
      <c r="E137" s="530">
        <v>0</v>
      </c>
      <c r="F137" s="530">
        <v>1663</v>
      </c>
      <c r="G137" s="530">
        <v>0</v>
      </c>
      <c r="H137" s="530">
        <v>0</v>
      </c>
      <c r="I137" s="530">
        <v>0</v>
      </c>
      <c r="J137" s="530">
        <v>0</v>
      </c>
      <c r="K137" s="530">
        <v>0</v>
      </c>
      <c r="L137" s="530">
        <v>0</v>
      </c>
      <c r="M137" s="530">
        <v>0</v>
      </c>
      <c r="N137" s="530">
        <v>0</v>
      </c>
      <c r="O137" s="530">
        <v>0</v>
      </c>
      <c r="P137" s="530">
        <v>0</v>
      </c>
      <c r="Q137" s="530">
        <v>0</v>
      </c>
      <c r="R137" s="530">
        <v>0</v>
      </c>
      <c r="S137" s="530">
        <v>0</v>
      </c>
      <c r="T137" s="530">
        <v>0</v>
      </c>
      <c r="U137" s="530">
        <v>0</v>
      </c>
      <c r="V137" s="37"/>
    </row>
    <row r="138" spans="1:22">
      <c r="A138" s="114" t="s">
        <v>248</v>
      </c>
      <c r="B138" s="527">
        <v>745</v>
      </c>
      <c r="C138" s="527">
        <v>0</v>
      </c>
      <c r="D138" s="527">
        <v>389</v>
      </c>
      <c r="E138" s="527">
        <v>0</v>
      </c>
      <c r="F138" s="527">
        <v>0</v>
      </c>
      <c r="G138" s="527">
        <v>0</v>
      </c>
      <c r="H138" s="527">
        <v>0</v>
      </c>
      <c r="I138" s="527">
        <v>0</v>
      </c>
      <c r="J138" s="527">
        <v>0</v>
      </c>
      <c r="K138" s="527">
        <v>0</v>
      </c>
      <c r="L138" s="527">
        <v>0</v>
      </c>
      <c r="M138" s="527">
        <v>531</v>
      </c>
      <c r="N138" s="527">
        <v>152</v>
      </c>
      <c r="O138" s="527">
        <v>0</v>
      </c>
      <c r="P138" s="527">
        <v>0</v>
      </c>
      <c r="Q138" s="527">
        <v>0</v>
      </c>
      <c r="R138" s="527">
        <v>0</v>
      </c>
      <c r="S138" s="527">
        <v>0</v>
      </c>
      <c r="T138" s="527">
        <v>0</v>
      </c>
      <c r="U138" s="527">
        <v>0</v>
      </c>
      <c r="V138" s="705">
        <f>SUM(B138:U138)</f>
        <v>1817</v>
      </c>
    </row>
    <row r="139" spans="1:22">
      <c r="A139" s="120" t="s">
        <v>383</v>
      </c>
      <c r="B139" s="530">
        <v>0</v>
      </c>
      <c r="C139" s="530">
        <v>0</v>
      </c>
      <c r="D139" s="530">
        <v>0</v>
      </c>
      <c r="E139" s="530">
        <v>0</v>
      </c>
      <c r="F139" s="530">
        <v>0</v>
      </c>
      <c r="G139" s="530">
        <v>0</v>
      </c>
      <c r="H139" s="530">
        <v>140</v>
      </c>
      <c r="I139" s="530">
        <v>0</v>
      </c>
      <c r="J139" s="530">
        <v>0</v>
      </c>
      <c r="K139" s="530">
        <v>0</v>
      </c>
      <c r="L139" s="530">
        <v>0</v>
      </c>
      <c r="M139" s="530">
        <v>65</v>
      </c>
      <c r="N139" s="530">
        <v>0</v>
      </c>
      <c r="O139" s="530">
        <v>0</v>
      </c>
      <c r="P139" s="530">
        <v>0</v>
      </c>
      <c r="Q139" s="530">
        <v>0</v>
      </c>
      <c r="R139" s="530">
        <v>0</v>
      </c>
      <c r="S139" s="530">
        <v>0</v>
      </c>
      <c r="T139" s="530">
        <v>0</v>
      </c>
      <c r="U139" s="530">
        <v>0</v>
      </c>
      <c r="V139" s="705">
        <f t="shared" si="7"/>
        <v>205</v>
      </c>
    </row>
    <row r="140" spans="1:22">
      <c r="A140" s="20" t="s">
        <v>384</v>
      </c>
      <c r="B140" s="527">
        <v>0</v>
      </c>
      <c r="C140" s="527">
        <v>0</v>
      </c>
      <c r="D140" s="527">
        <v>1234</v>
      </c>
      <c r="E140" s="527">
        <v>0</v>
      </c>
      <c r="F140" s="527">
        <v>0</v>
      </c>
      <c r="G140" s="527">
        <v>0</v>
      </c>
      <c r="H140" s="527">
        <v>0</v>
      </c>
      <c r="I140" s="527">
        <v>0</v>
      </c>
      <c r="J140" s="527">
        <v>0</v>
      </c>
      <c r="K140" s="527">
        <v>0</v>
      </c>
      <c r="L140" s="527">
        <v>0</v>
      </c>
      <c r="M140" s="527">
        <v>0</v>
      </c>
      <c r="N140" s="527">
        <v>0</v>
      </c>
      <c r="O140" s="527">
        <v>0</v>
      </c>
      <c r="P140" s="527">
        <v>0</v>
      </c>
      <c r="Q140" s="527">
        <v>0</v>
      </c>
      <c r="R140" s="527">
        <v>0</v>
      </c>
      <c r="S140" s="527">
        <v>0</v>
      </c>
      <c r="T140" s="527">
        <v>0</v>
      </c>
      <c r="U140" s="527">
        <v>0</v>
      </c>
      <c r="V140" s="37">
        <f>SUM(B140:U149)</f>
        <v>91430</v>
      </c>
    </row>
    <row r="141" spans="1:22">
      <c r="A141" s="20" t="s">
        <v>385</v>
      </c>
      <c r="B141" s="527">
        <v>149</v>
      </c>
      <c r="C141" s="527">
        <v>0</v>
      </c>
      <c r="D141" s="527">
        <v>2458</v>
      </c>
      <c r="E141" s="527">
        <v>0</v>
      </c>
      <c r="F141" s="527">
        <v>0</v>
      </c>
      <c r="G141" s="527">
        <v>0</v>
      </c>
      <c r="H141" s="527">
        <v>828</v>
      </c>
      <c r="I141" s="527">
        <v>0</v>
      </c>
      <c r="J141" s="527">
        <v>0</v>
      </c>
      <c r="K141" s="527">
        <v>0</v>
      </c>
      <c r="L141" s="527">
        <v>0</v>
      </c>
      <c r="M141" s="527">
        <v>0</v>
      </c>
      <c r="N141" s="527">
        <v>0</v>
      </c>
      <c r="O141" s="527">
        <v>0</v>
      </c>
      <c r="P141" s="527">
        <v>0</v>
      </c>
      <c r="Q141" s="527">
        <v>0</v>
      </c>
      <c r="R141" s="527">
        <v>0</v>
      </c>
      <c r="S141" s="527">
        <v>110</v>
      </c>
      <c r="T141" s="527">
        <v>0</v>
      </c>
      <c r="U141" s="527">
        <v>0</v>
      </c>
      <c r="V141" s="37"/>
    </row>
    <row r="142" spans="1:22">
      <c r="A142" s="20" t="s">
        <v>389</v>
      </c>
      <c r="B142" s="527">
        <v>23</v>
      </c>
      <c r="C142" s="527">
        <v>0</v>
      </c>
      <c r="D142" s="527">
        <v>1209</v>
      </c>
      <c r="E142" s="527">
        <v>0</v>
      </c>
      <c r="F142" s="527">
        <v>0</v>
      </c>
      <c r="G142" s="527">
        <v>165</v>
      </c>
      <c r="H142" s="527">
        <v>0</v>
      </c>
      <c r="I142" s="527">
        <v>97</v>
      </c>
      <c r="J142" s="527">
        <v>0</v>
      </c>
      <c r="K142" s="527">
        <v>0</v>
      </c>
      <c r="L142" s="527">
        <v>0</v>
      </c>
      <c r="M142" s="527">
        <v>128</v>
      </c>
      <c r="N142" s="527">
        <v>420</v>
      </c>
      <c r="O142" s="527">
        <v>38</v>
      </c>
      <c r="P142" s="527">
        <v>0</v>
      </c>
      <c r="Q142" s="527">
        <v>0</v>
      </c>
      <c r="R142" s="527">
        <v>0</v>
      </c>
      <c r="S142" s="527">
        <v>0</v>
      </c>
      <c r="T142" s="527">
        <v>0</v>
      </c>
      <c r="U142" s="527">
        <v>0</v>
      </c>
      <c r="V142" s="37"/>
    </row>
    <row r="143" spans="1:22">
      <c r="A143" s="20" t="s">
        <v>386</v>
      </c>
      <c r="B143" s="527">
        <v>54</v>
      </c>
      <c r="C143" s="527">
        <v>0</v>
      </c>
      <c r="D143" s="527">
        <v>0</v>
      </c>
      <c r="E143" s="527">
        <v>0</v>
      </c>
      <c r="F143" s="527">
        <v>0</v>
      </c>
      <c r="G143" s="527">
        <v>0</v>
      </c>
      <c r="H143" s="527">
        <v>0</v>
      </c>
      <c r="I143" s="527">
        <v>0</v>
      </c>
      <c r="J143" s="527">
        <v>0</v>
      </c>
      <c r="K143" s="527">
        <v>0</v>
      </c>
      <c r="L143" s="527">
        <v>0</v>
      </c>
      <c r="M143" s="527">
        <v>38</v>
      </c>
      <c r="N143" s="527">
        <v>47</v>
      </c>
      <c r="O143" s="527">
        <v>0</v>
      </c>
      <c r="P143" s="527">
        <v>0</v>
      </c>
      <c r="Q143" s="527">
        <v>0</v>
      </c>
      <c r="R143" s="527">
        <v>0</v>
      </c>
      <c r="S143" s="527">
        <v>0</v>
      </c>
      <c r="T143" s="527">
        <v>0</v>
      </c>
      <c r="U143" s="527">
        <v>0</v>
      </c>
      <c r="V143" s="37"/>
    </row>
    <row r="144" spans="1:22">
      <c r="A144" s="20" t="s">
        <v>387</v>
      </c>
      <c r="B144" s="527">
        <v>274</v>
      </c>
      <c r="C144" s="527">
        <v>0</v>
      </c>
      <c r="D144" s="527">
        <v>539</v>
      </c>
      <c r="E144" s="527">
        <v>0</v>
      </c>
      <c r="F144" s="527">
        <v>0</v>
      </c>
      <c r="G144" s="527">
        <v>2073</v>
      </c>
      <c r="H144" s="527">
        <v>0</v>
      </c>
      <c r="I144" s="527">
        <v>0</v>
      </c>
      <c r="J144" s="527">
        <v>0</v>
      </c>
      <c r="K144" s="527">
        <v>0</v>
      </c>
      <c r="L144" s="527">
        <v>0</v>
      </c>
      <c r="M144" s="527">
        <v>0</v>
      </c>
      <c r="N144" s="527">
        <v>54</v>
      </c>
      <c r="O144" s="527">
        <v>640</v>
      </c>
      <c r="P144" s="527">
        <v>0</v>
      </c>
      <c r="Q144" s="527">
        <v>0</v>
      </c>
      <c r="R144" s="527">
        <v>0</v>
      </c>
      <c r="S144" s="527">
        <v>0</v>
      </c>
      <c r="T144" s="527">
        <v>0</v>
      </c>
      <c r="U144" s="527">
        <v>0</v>
      </c>
      <c r="V144" s="37"/>
    </row>
    <row r="145" spans="1:24">
      <c r="A145" s="20" t="s">
        <v>391</v>
      </c>
      <c r="B145" s="527">
        <v>869</v>
      </c>
      <c r="C145" s="527">
        <v>792</v>
      </c>
      <c r="D145" s="527">
        <v>13117</v>
      </c>
      <c r="E145" s="527">
        <v>20518</v>
      </c>
      <c r="F145" s="527">
        <v>0</v>
      </c>
      <c r="G145" s="527">
        <v>0</v>
      </c>
      <c r="H145" s="527">
        <v>0</v>
      </c>
      <c r="I145" s="527">
        <v>0</v>
      </c>
      <c r="J145" s="527">
        <v>0</v>
      </c>
      <c r="K145" s="527">
        <v>0</v>
      </c>
      <c r="L145" s="527">
        <v>0</v>
      </c>
      <c r="M145" s="527">
        <v>0</v>
      </c>
      <c r="N145" s="527">
        <v>0</v>
      </c>
      <c r="O145" s="527">
        <v>234</v>
      </c>
      <c r="P145" s="527">
        <v>0</v>
      </c>
      <c r="Q145" s="527">
        <v>0</v>
      </c>
      <c r="R145" s="527">
        <v>0</v>
      </c>
      <c r="S145" s="527">
        <v>0</v>
      </c>
      <c r="T145" s="527">
        <v>73</v>
      </c>
      <c r="U145" s="527">
        <v>0</v>
      </c>
      <c r="V145" s="37"/>
    </row>
    <row r="146" spans="1:24">
      <c r="A146" s="20" t="s">
        <v>392</v>
      </c>
      <c r="B146" s="527">
        <v>12072</v>
      </c>
      <c r="C146" s="527">
        <v>5347</v>
      </c>
      <c r="D146" s="527">
        <v>408</v>
      </c>
      <c r="E146" s="527">
        <v>0</v>
      </c>
      <c r="F146" s="527">
        <v>0</v>
      </c>
      <c r="G146" s="527">
        <v>3924</v>
      </c>
      <c r="H146" s="527">
        <v>1732</v>
      </c>
      <c r="I146" s="527">
        <v>0</v>
      </c>
      <c r="J146" s="527">
        <v>0</v>
      </c>
      <c r="K146" s="527">
        <v>0</v>
      </c>
      <c r="L146" s="527">
        <v>0</v>
      </c>
      <c r="M146" s="527">
        <v>0</v>
      </c>
      <c r="N146" s="527">
        <v>0</v>
      </c>
      <c r="O146" s="527">
        <v>0</v>
      </c>
      <c r="P146" s="527">
        <v>0</v>
      </c>
      <c r="Q146" s="527">
        <v>0</v>
      </c>
      <c r="R146" s="527">
        <v>0</v>
      </c>
      <c r="S146" s="527">
        <v>403</v>
      </c>
      <c r="T146" s="527">
        <v>0</v>
      </c>
      <c r="U146" s="527">
        <v>0</v>
      </c>
      <c r="V146" s="37"/>
    </row>
    <row r="147" spans="1:24">
      <c r="A147" s="20" t="s">
        <v>390</v>
      </c>
      <c r="B147" s="527">
        <v>1467</v>
      </c>
      <c r="C147" s="527">
        <v>368</v>
      </c>
      <c r="D147" s="527">
        <v>0</v>
      </c>
      <c r="E147" s="527">
        <v>0</v>
      </c>
      <c r="F147" s="527">
        <v>0</v>
      </c>
      <c r="G147" s="527">
        <v>232</v>
      </c>
      <c r="H147" s="527">
        <v>244</v>
      </c>
      <c r="I147" s="527">
        <v>0</v>
      </c>
      <c r="J147" s="527">
        <v>0</v>
      </c>
      <c r="K147" s="527">
        <v>0</v>
      </c>
      <c r="L147" s="527">
        <v>0</v>
      </c>
      <c r="M147" s="527">
        <v>90</v>
      </c>
      <c r="N147" s="527">
        <v>54</v>
      </c>
      <c r="O147" s="527">
        <v>87</v>
      </c>
      <c r="P147" s="527">
        <v>0</v>
      </c>
      <c r="Q147" s="527">
        <v>0</v>
      </c>
      <c r="R147" s="527">
        <v>0</v>
      </c>
      <c r="S147" s="527">
        <v>0</v>
      </c>
      <c r="T147" s="527">
        <v>0</v>
      </c>
      <c r="U147" s="527">
        <v>0</v>
      </c>
      <c r="V147" s="37"/>
    </row>
    <row r="148" spans="1:24">
      <c r="A148" s="20" t="s">
        <v>388</v>
      </c>
      <c r="B148" s="527">
        <v>1507</v>
      </c>
      <c r="C148" s="527">
        <v>0</v>
      </c>
      <c r="D148" s="527">
        <v>1030</v>
      </c>
      <c r="E148" s="527">
        <v>0</v>
      </c>
      <c r="F148" s="527">
        <v>9642</v>
      </c>
      <c r="G148" s="527">
        <v>0</v>
      </c>
      <c r="H148" s="527">
        <v>2368</v>
      </c>
      <c r="I148" s="527">
        <v>0</v>
      </c>
      <c r="J148" s="527">
        <v>0</v>
      </c>
      <c r="K148" s="527">
        <v>0</v>
      </c>
      <c r="L148" s="527">
        <v>0</v>
      </c>
      <c r="M148" s="527">
        <v>0</v>
      </c>
      <c r="N148" s="527">
        <v>0</v>
      </c>
      <c r="O148" s="527">
        <v>0</v>
      </c>
      <c r="P148" s="527">
        <v>0</v>
      </c>
      <c r="Q148" s="527">
        <v>0</v>
      </c>
      <c r="R148" s="527">
        <v>0</v>
      </c>
      <c r="S148" s="527">
        <v>0</v>
      </c>
      <c r="T148" s="527">
        <v>1004</v>
      </c>
      <c r="U148" s="527">
        <v>0</v>
      </c>
      <c r="V148" s="37"/>
    </row>
    <row r="149" spans="1:24">
      <c r="A149" s="20" t="s">
        <v>240</v>
      </c>
      <c r="B149" s="527">
        <v>0</v>
      </c>
      <c r="C149" s="527">
        <v>0</v>
      </c>
      <c r="D149" s="527">
        <v>3270</v>
      </c>
      <c r="E149" s="527">
        <v>0</v>
      </c>
      <c r="F149" s="527">
        <v>0</v>
      </c>
      <c r="G149" s="527">
        <v>0</v>
      </c>
      <c r="H149" s="527">
        <v>0</v>
      </c>
      <c r="I149" s="527">
        <v>0</v>
      </c>
      <c r="J149" s="527">
        <v>0</v>
      </c>
      <c r="K149" s="527">
        <v>0</v>
      </c>
      <c r="L149" s="527">
        <v>0</v>
      </c>
      <c r="M149" s="527">
        <v>0</v>
      </c>
      <c r="N149" s="527">
        <v>0</v>
      </c>
      <c r="O149" s="527">
        <v>0</v>
      </c>
      <c r="P149" s="527">
        <v>0</v>
      </c>
      <c r="Q149" s="527">
        <v>0</v>
      </c>
      <c r="R149" s="527">
        <v>0</v>
      </c>
      <c r="S149" s="527">
        <v>0</v>
      </c>
      <c r="T149" s="527">
        <v>0</v>
      </c>
      <c r="U149" s="527">
        <v>0</v>
      </c>
      <c r="V149" s="37"/>
    </row>
    <row r="150" spans="1:24">
      <c r="A150" s="145" t="s">
        <v>446</v>
      </c>
      <c r="B150" s="319">
        <v>4825</v>
      </c>
      <c r="C150" s="319">
        <v>2600</v>
      </c>
      <c r="D150" s="319">
        <v>17361</v>
      </c>
      <c r="E150" s="319">
        <v>3980</v>
      </c>
      <c r="F150" s="319">
        <v>4678</v>
      </c>
      <c r="G150" s="319">
        <v>3664</v>
      </c>
      <c r="H150" s="319">
        <v>1594</v>
      </c>
      <c r="I150" s="319">
        <v>0</v>
      </c>
      <c r="J150" s="319">
        <v>0</v>
      </c>
      <c r="K150" s="319">
        <v>0</v>
      </c>
      <c r="L150" s="319">
        <v>0</v>
      </c>
      <c r="M150" s="319">
        <v>0</v>
      </c>
      <c r="N150" s="319">
        <v>0</v>
      </c>
      <c r="O150" s="319">
        <v>133</v>
      </c>
      <c r="P150" s="319">
        <v>20</v>
      </c>
      <c r="Q150" s="319">
        <v>195</v>
      </c>
      <c r="R150" s="319">
        <v>50</v>
      </c>
      <c r="S150" s="319">
        <v>107</v>
      </c>
      <c r="T150" s="319">
        <v>0</v>
      </c>
      <c r="U150" s="319">
        <v>135</v>
      </c>
      <c r="V150" s="37">
        <f t="shared" si="7"/>
        <v>39342</v>
      </c>
    </row>
    <row r="151" spans="1:24">
      <c r="A151" s="20" t="s">
        <v>243</v>
      </c>
      <c r="B151" s="215">
        <v>17134</v>
      </c>
      <c r="C151" s="215">
        <v>784</v>
      </c>
      <c r="D151" s="215">
        <v>0</v>
      </c>
      <c r="E151" s="215">
        <v>0</v>
      </c>
      <c r="F151" s="215">
        <v>450</v>
      </c>
      <c r="G151" s="215">
        <v>5795</v>
      </c>
      <c r="H151" s="215">
        <v>1695</v>
      </c>
      <c r="I151" s="215">
        <v>0</v>
      </c>
      <c r="J151" s="215">
        <v>0</v>
      </c>
      <c r="K151" s="215">
        <v>0</v>
      </c>
      <c r="L151" s="215">
        <v>0</v>
      </c>
      <c r="M151" s="215">
        <v>0</v>
      </c>
      <c r="N151" s="215">
        <v>0</v>
      </c>
      <c r="O151" s="215">
        <v>0</v>
      </c>
      <c r="P151" s="215">
        <v>0</v>
      </c>
      <c r="Q151" s="215">
        <v>0</v>
      </c>
      <c r="R151" s="215">
        <v>0</v>
      </c>
      <c r="S151" s="215">
        <v>0</v>
      </c>
      <c r="T151" s="215">
        <v>0</v>
      </c>
      <c r="U151" s="215">
        <v>0</v>
      </c>
      <c r="V151" s="37">
        <f t="shared" si="7"/>
        <v>25858</v>
      </c>
      <c r="W151" s="20">
        <f>SUM(V128:V151)</f>
        <v>400324.26591775997</v>
      </c>
      <c r="X151" s="37">
        <f>SUM(V122:V124,W151)</f>
        <v>1906204.2659177599</v>
      </c>
    </row>
    <row r="153" spans="1:24">
      <c r="A153" s="153" t="s">
        <v>262</v>
      </c>
      <c r="B153" s="153" t="s">
        <v>26</v>
      </c>
      <c r="C153" s="153" t="s">
        <v>126</v>
      </c>
      <c r="D153" s="153" t="s">
        <v>75</v>
      </c>
      <c r="E153" s="153" t="s">
        <v>127</v>
      </c>
      <c r="F153" s="153" t="s">
        <v>128</v>
      </c>
      <c r="G153" s="153" t="s">
        <v>129</v>
      </c>
      <c r="H153" s="153" t="s">
        <v>130</v>
      </c>
      <c r="I153" s="153" t="s">
        <v>131</v>
      </c>
      <c r="J153" s="153" t="s">
        <v>132</v>
      </c>
      <c r="K153" s="153" t="s">
        <v>133</v>
      </c>
      <c r="L153" s="153" t="s">
        <v>134</v>
      </c>
      <c r="M153" s="153" t="s">
        <v>956</v>
      </c>
    </row>
    <row r="154" spans="1:24">
      <c r="A154" s="112" t="s">
        <v>139</v>
      </c>
      <c r="B154" s="215">
        <f>B122</f>
        <v>299470</v>
      </c>
      <c r="C154" s="215">
        <f t="shared" ref="C154:H154" si="8">C122</f>
        <v>100400</v>
      </c>
      <c r="D154" s="215">
        <f t="shared" si="8"/>
        <v>54790</v>
      </c>
      <c r="E154" s="215">
        <f t="shared" si="8"/>
        <v>128949.99999999999</v>
      </c>
      <c r="F154" s="215">
        <f t="shared" si="8"/>
        <v>36740</v>
      </c>
      <c r="G154" s="215">
        <f t="shared" si="8"/>
        <v>59320</v>
      </c>
      <c r="H154" s="215">
        <f t="shared" si="8"/>
        <v>23300</v>
      </c>
      <c r="I154" s="215">
        <f>SUM(I122:L122)</f>
        <v>26420</v>
      </c>
      <c r="J154" s="215">
        <f>SUM(M122:N122)</f>
        <v>21710</v>
      </c>
      <c r="K154" s="215">
        <f>O122</f>
        <v>21270</v>
      </c>
      <c r="L154" s="215">
        <f>SUM(P122:R122)</f>
        <v>6250</v>
      </c>
      <c r="M154" s="215">
        <f>SUM(S122:U122)</f>
        <v>9740</v>
      </c>
      <c r="N154" s="70">
        <f>SUM(B154:M154)</f>
        <v>788360</v>
      </c>
    </row>
    <row r="155" spans="1:24">
      <c r="A155" s="112" t="s">
        <v>140</v>
      </c>
      <c r="B155" s="215">
        <f>B123</f>
        <v>142000</v>
      </c>
      <c r="C155" s="215">
        <f t="shared" ref="C155:H156" si="9">C123</f>
        <v>50000</v>
      </c>
      <c r="D155" s="215">
        <f t="shared" si="9"/>
        <v>43480</v>
      </c>
      <c r="E155" s="215">
        <f t="shared" si="9"/>
        <v>75050</v>
      </c>
      <c r="F155" s="215">
        <f t="shared" si="9"/>
        <v>29500</v>
      </c>
      <c r="G155" s="215">
        <f t="shared" si="9"/>
        <v>12700</v>
      </c>
      <c r="H155" s="215">
        <f t="shared" si="9"/>
        <v>8900</v>
      </c>
      <c r="I155" s="215">
        <f>SUM(I123:L123)</f>
        <v>28250</v>
      </c>
      <c r="J155" s="215">
        <f>SUM(M123:N123)</f>
        <v>28250</v>
      </c>
      <c r="K155" s="215">
        <f>O123</f>
        <v>46000</v>
      </c>
      <c r="L155" s="215">
        <f>SUM(P123:R123)</f>
        <v>6360</v>
      </c>
      <c r="M155" s="215">
        <f>SUM(S123:U123)</f>
        <v>6360</v>
      </c>
      <c r="N155" s="70">
        <f t="shared" ref="N155:N163" si="10">SUM(B155:M155)</f>
        <v>476850</v>
      </c>
    </row>
    <row r="156" spans="1:24">
      <c r="A156" s="112" t="s">
        <v>141</v>
      </c>
      <c r="B156" s="215">
        <f>B124</f>
        <v>50520</v>
      </c>
      <c r="C156" s="215">
        <f t="shared" si="9"/>
        <v>17980</v>
      </c>
      <c r="D156" s="215">
        <f t="shared" si="9"/>
        <v>75030</v>
      </c>
      <c r="E156" s="215">
        <f t="shared" si="9"/>
        <v>5040</v>
      </c>
      <c r="F156" s="215">
        <f t="shared" si="9"/>
        <v>10900</v>
      </c>
      <c r="G156" s="215">
        <f t="shared" si="9"/>
        <v>33300</v>
      </c>
      <c r="H156" s="215">
        <f t="shared" si="9"/>
        <v>6860</v>
      </c>
      <c r="I156" s="215">
        <f>SUM(I124:L124)</f>
        <v>6600</v>
      </c>
      <c r="J156" s="215">
        <f>SUM(M124:N124)</f>
        <v>21240</v>
      </c>
      <c r="K156" s="215">
        <f>O124</f>
        <v>3600</v>
      </c>
      <c r="L156" s="215">
        <f>SUM(P124:R124)</f>
        <v>6000</v>
      </c>
      <c r="M156" s="215">
        <f>SUM(S124:U124)</f>
        <v>3600</v>
      </c>
      <c r="N156" s="70">
        <f t="shared" si="10"/>
        <v>240670</v>
      </c>
    </row>
    <row r="157" spans="1:24">
      <c r="A157" s="20" t="s">
        <v>429</v>
      </c>
      <c r="B157" s="215">
        <f>SUM(B125:B128)</f>
        <v>14706.627833570001</v>
      </c>
      <c r="C157" s="215">
        <f t="shared" ref="C157:H157" si="11">SUM(C125:C128)</f>
        <v>25847</v>
      </c>
      <c r="D157" s="215">
        <f t="shared" si="11"/>
        <v>4682.1019999999999</v>
      </c>
      <c r="E157" s="215">
        <f t="shared" si="11"/>
        <v>21057.350999999999</v>
      </c>
      <c r="F157" s="215">
        <f t="shared" si="11"/>
        <v>2283.8000000000002</v>
      </c>
      <c r="G157" s="215">
        <f t="shared" si="11"/>
        <v>43</v>
      </c>
      <c r="H157" s="215">
        <f t="shared" si="11"/>
        <v>1439.25</v>
      </c>
      <c r="I157" s="215">
        <f>SUM(I125:L128)</f>
        <v>14319</v>
      </c>
      <c r="J157" s="215">
        <f>SUM(M125:N128)</f>
        <v>0</v>
      </c>
      <c r="K157" s="215">
        <f>SUM(O125:O128)</f>
        <v>2400</v>
      </c>
      <c r="L157" s="215">
        <f>SUM(P125:R128)</f>
        <v>38119</v>
      </c>
      <c r="M157" s="215">
        <f>SUM(S125:U128)</f>
        <v>2674.1350841900003</v>
      </c>
      <c r="N157" s="70">
        <f t="shared" si="10"/>
        <v>127571.26591776</v>
      </c>
    </row>
    <row r="158" spans="1:24">
      <c r="A158" s="20" t="s">
        <v>922</v>
      </c>
      <c r="B158" s="215">
        <f t="shared" ref="B158:H158" si="12">SUM(B129:B131)</f>
        <v>8564</v>
      </c>
      <c r="C158" s="215">
        <f t="shared" si="12"/>
        <v>2415</v>
      </c>
      <c r="D158" s="215">
        <f t="shared" si="12"/>
        <v>3053</v>
      </c>
      <c r="E158" s="215">
        <f t="shared" si="12"/>
        <v>1730</v>
      </c>
      <c r="F158" s="215">
        <f t="shared" si="12"/>
        <v>5396</v>
      </c>
      <c r="G158" s="215">
        <f t="shared" si="12"/>
        <v>415</v>
      </c>
      <c r="H158" s="215">
        <f t="shared" si="12"/>
        <v>969</v>
      </c>
      <c r="I158" s="215">
        <f>SUM(I129:L131)</f>
        <v>4195</v>
      </c>
      <c r="J158" s="215">
        <f>SUM(M129:N131)</f>
        <v>1249</v>
      </c>
      <c r="K158" s="215">
        <f>SUM(O129:O131)</f>
        <v>3553</v>
      </c>
      <c r="L158" s="215">
        <f>SUM(P129:R131)</f>
        <v>0</v>
      </c>
      <c r="M158" s="215">
        <f>SUM(S129:U131)</f>
        <v>1001</v>
      </c>
      <c r="N158" s="70">
        <f t="shared" si="10"/>
        <v>32540</v>
      </c>
    </row>
    <row r="159" spans="1:24">
      <c r="A159" s="20" t="s">
        <v>142</v>
      </c>
      <c r="B159" s="310">
        <f t="shared" ref="B159:H159" si="13">B132</f>
        <v>0</v>
      </c>
      <c r="C159" s="215">
        <f t="shared" si="13"/>
        <v>54700</v>
      </c>
      <c r="D159" s="215">
        <f t="shared" si="13"/>
        <v>4500</v>
      </c>
      <c r="E159" s="215">
        <f t="shared" si="13"/>
        <v>0</v>
      </c>
      <c r="F159" s="215">
        <f t="shared" si="13"/>
        <v>2220</v>
      </c>
      <c r="G159" s="215">
        <f t="shared" si="13"/>
        <v>243</v>
      </c>
      <c r="H159" s="215">
        <f t="shared" si="13"/>
        <v>1038</v>
      </c>
      <c r="I159" s="215">
        <f>K132</f>
        <v>4800</v>
      </c>
      <c r="J159" s="215"/>
      <c r="K159" s="215">
        <f>O132</f>
        <v>3250</v>
      </c>
      <c r="L159" s="310"/>
      <c r="M159" s="310"/>
      <c r="N159" s="70">
        <f t="shared" si="10"/>
        <v>70751</v>
      </c>
    </row>
    <row r="160" spans="1:24">
      <c r="A160" s="20" t="s">
        <v>957</v>
      </c>
      <c r="B160" s="215">
        <f t="shared" ref="B160:H160" si="14">SUM(B133:B150)</f>
        <v>21985</v>
      </c>
      <c r="C160" s="215">
        <f t="shared" si="14"/>
        <v>9107</v>
      </c>
      <c r="D160" s="215">
        <f t="shared" si="14"/>
        <v>41015</v>
      </c>
      <c r="E160" s="215">
        <f t="shared" si="14"/>
        <v>24498</v>
      </c>
      <c r="F160" s="215">
        <f t="shared" si="14"/>
        <v>25130</v>
      </c>
      <c r="G160" s="215">
        <f t="shared" si="14"/>
        <v>10058</v>
      </c>
      <c r="H160" s="215">
        <f t="shared" si="14"/>
        <v>6906</v>
      </c>
      <c r="I160" s="215">
        <f>SUM(I133:L150)</f>
        <v>97</v>
      </c>
      <c r="J160" s="215">
        <f>SUM(M133:N150)</f>
        <v>1579</v>
      </c>
      <c r="K160" s="215">
        <f>SUM(O133:O150)</f>
        <v>1132</v>
      </c>
      <c r="L160" s="215">
        <f>SUM(P133:R150)</f>
        <v>265</v>
      </c>
      <c r="M160" s="215">
        <f>SUM(S133:U150)</f>
        <v>1832</v>
      </c>
      <c r="N160" s="70">
        <f t="shared" si="10"/>
        <v>143604</v>
      </c>
    </row>
    <row r="161" spans="1:14">
      <c r="A161" s="20" t="s">
        <v>90</v>
      </c>
      <c r="B161" s="215">
        <f t="shared" ref="B161:H161" si="15">B151</f>
        <v>17134</v>
      </c>
      <c r="C161" s="215">
        <f t="shared" si="15"/>
        <v>784</v>
      </c>
      <c r="D161" s="215">
        <f t="shared" si="15"/>
        <v>0</v>
      </c>
      <c r="E161" s="215">
        <f t="shared" si="15"/>
        <v>0</v>
      </c>
      <c r="F161" s="215">
        <f t="shared" si="15"/>
        <v>450</v>
      </c>
      <c r="G161" s="215">
        <f t="shared" si="15"/>
        <v>5795</v>
      </c>
      <c r="H161" s="215">
        <f t="shared" si="15"/>
        <v>1695</v>
      </c>
      <c r="I161" s="215"/>
      <c r="J161" s="215"/>
      <c r="K161" s="215"/>
      <c r="L161" s="215"/>
      <c r="M161" s="215"/>
      <c r="N161" s="70">
        <f t="shared" si="10"/>
        <v>25858</v>
      </c>
    </row>
    <row r="162" spans="1:14">
      <c r="A162" s="20" t="s">
        <v>143</v>
      </c>
      <c r="B162" s="215">
        <v>50180</v>
      </c>
      <c r="C162" s="215">
        <v>3360</v>
      </c>
      <c r="D162" s="215">
        <v>3150</v>
      </c>
      <c r="E162" s="215">
        <v>4610</v>
      </c>
      <c r="F162" s="215">
        <v>0</v>
      </c>
      <c r="G162" s="215">
        <v>21330</v>
      </c>
      <c r="H162" s="215">
        <v>690</v>
      </c>
      <c r="I162" s="215">
        <v>580</v>
      </c>
      <c r="J162" s="215">
        <v>530</v>
      </c>
      <c r="K162" s="215">
        <v>1270</v>
      </c>
      <c r="L162" s="215">
        <v>0</v>
      </c>
      <c r="M162" s="215">
        <v>980</v>
      </c>
      <c r="N162" s="70">
        <f t="shared" si="10"/>
        <v>86680</v>
      </c>
    </row>
    <row r="163" spans="1:14">
      <c r="A163" s="20" t="s">
        <v>216</v>
      </c>
      <c r="B163" s="215">
        <f>Demand!B9/0.00876</f>
        <v>91394.977168949772</v>
      </c>
      <c r="C163" s="215">
        <f>Demand!C9/0.00876</f>
        <v>59133.561643835616</v>
      </c>
      <c r="D163" s="215">
        <f>Demand!D9/0.00876</f>
        <v>52198.630136986299</v>
      </c>
      <c r="E163" s="215">
        <f>Demand!E9/0.00876</f>
        <v>33872.146118721459</v>
      </c>
      <c r="F163" s="215">
        <f>Demand!F9/0.00876</f>
        <v>22408.675799086759</v>
      </c>
      <c r="G163" s="215">
        <f>Demand!G9/0.00876</f>
        <v>21364.155251141554</v>
      </c>
      <c r="H163" s="215">
        <f>Demand!H9/0.00876</f>
        <v>13539.954337899542</v>
      </c>
      <c r="I163" s="215">
        <f>Demand!I9/0.00876</f>
        <v>20631.278538812785</v>
      </c>
      <c r="J163" s="215">
        <f>Demand!J9/0.00876</f>
        <v>5011.4155251141547</v>
      </c>
      <c r="K163" s="215">
        <f>Demand!K9/0.00876</f>
        <v>15166.666666666668</v>
      </c>
      <c r="L163" s="215">
        <f>Demand!L9/0.00876</f>
        <v>20254.566210045661</v>
      </c>
      <c r="M163" s="215">
        <f>SUM(Demand!M9:O9)/0.00876</f>
        <v>3937.2146118721453</v>
      </c>
      <c r="N163" s="70">
        <f t="shared" si="10"/>
        <v>358913.2420091324</v>
      </c>
    </row>
    <row r="164" spans="1:14">
      <c r="B164" s="70">
        <f>SUM(B154:B162)</f>
        <v>604559.62783357</v>
      </c>
      <c r="C164" s="70">
        <f t="shared" ref="C164:M164" si="16">SUM(C154:C162)</f>
        <v>264593</v>
      </c>
      <c r="D164" s="70">
        <f t="shared" si="16"/>
        <v>229700.10200000001</v>
      </c>
      <c r="E164" s="70">
        <f t="shared" si="16"/>
        <v>260935.351</v>
      </c>
      <c r="F164" s="70">
        <f t="shared" si="16"/>
        <v>112619.8</v>
      </c>
      <c r="G164" s="70">
        <f t="shared" si="16"/>
        <v>143204</v>
      </c>
      <c r="H164" s="70">
        <f t="shared" si="16"/>
        <v>51797.25</v>
      </c>
      <c r="I164" s="70">
        <f t="shared" si="16"/>
        <v>85261</v>
      </c>
      <c r="J164" s="70">
        <f t="shared" si="16"/>
        <v>74558</v>
      </c>
      <c r="K164" s="70">
        <f t="shared" si="16"/>
        <v>82475</v>
      </c>
      <c r="L164" s="70">
        <f t="shared" si="16"/>
        <v>56994</v>
      </c>
      <c r="M164" s="70">
        <f t="shared" si="16"/>
        <v>26187.135084189998</v>
      </c>
      <c r="N164" s="70">
        <f>SUM(B164:M164)</f>
        <v>1992884.2659177601</v>
      </c>
    </row>
    <row r="166" spans="1:14">
      <c r="A166" s="153" t="s">
        <v>262</v>
      </c>
      <c r="B166" s="153" t="s">
        <v>26</v>
      </c>
      <c r="C166" s="153" t="s">
        <v>126</v>
      </c>
      <c r="D166" s="153" t="s">
        <v>75</v>
      </c>
      <c r="E166" s="153" t="s">
        <v>127</v>
      </c>
      <c r="F166" s="153" t="s">
        <v>128</v>
      </c>
      <c r="G166" s="153" t="s">
        <v>129</v>
      </c>
      <c r="H166" s="153" t="s">
        <v>130</v>
      </c>
      <c r="I166" s="153" t="s">
        <v>131</v>
      </c>
      <c r="J166" s="153" t="s">
        <v>132</v>
      </c>
      <c r="K166" s="153" t="s">
        <v>133</v>
      </c>
      <c r="L166" s="153" t="s">
        <v>134</v>
      </c>
      <c r="M166" s="153" t="s">
        <v>956</v>
      </c>
    </row>
    <row r="167" spans="1:14">
      <c r="A167" s="112" t="s">
        <v>139</v>
      </c>
      <c r="B167" s="215">
        <f>B154*0.1</f>
        <v>29947</v>
      </c>
      <c r="C167" s="215">
        <f t="shared" ref="C167:M167" si="17">C154*0.1</f>
        <v>10040</v>
      </c>
      <c r="D167" s="215">
        <f t="shared" si="17"/>
        <v>5479</v>
      </c>
      <c r="E167" s="215">
        <f t="shared" si="17"/>
        <v>12895</v>
      </c>
      <c r="F167" s="215">
        <f t="shared" si="17"/>
        <v>3674</v>
      </c>
      <c r="G167" s="215">
        <f t="shared" si="17"/>
        <v>5932</v>
      </c>
      <c r="H167" s="215">
        <f t="shared" si="17"/>
        <v>2330</v>
      </c>
      <c r="I167" s="215">
        <f t="shared" si="17"/>
        <v>2642</v>
      </c>
      <c r="J167" s="215">
        <f t="shared" si="17"/>
        <v>2171</v>
      </c>
      <c r="K167" s="215">
        <f t="shared" si="17"/>
        <v>2127</v>
      </c>
      <c r="L167" s="215">
        <f t="shared" si="17"/>
        <v>625</v>
      </c>
      <c r="M167" s="215">
        <f t="shared" si="17"/>
        <v>974</v>
      </c>
      <c r="N167" s="70">
        <f>SUM(B167:M167)</f>
        <v>78836</v>
      </c>
    </row>
    <row r="168" spans="1:14">
      <c r="A168" s="112" t="s">
        <v>140</v>
      </c>
      <c r="B168" s="215">
        <f>B155*0.3</f>
        <v>42600</v>
      </c>
      <c r="C168" s="215">
        <f t="shared" ref="C168:M168" si="18">C155*0.3</f>
        <v>15000</v>
      </c>
      <c r="D168" s="215">
        <f t="shared" si="18"/>
        <v>13044</v>
      </c>
      <c r="E168" s="215">
        <f t="shared" si="18"/>
        <v>22515</v>
      </c>
      <c r="F168" s="215">
        <f t="shared" si="18"/>
        <v>8850</v>
      </c>
      <c r="G168" s="215">
        <f t="shared" si="18"/>
        <v>3810</v>
      </c>
      <c r="H168" s="215">
        <f t="shared" si="18"/>
        <v>2670</v>
      </c>
      <c r="I168" s="215">
        <f t="shared" si="18"/>
        <v>8475</v>
      </c>
      <c r="J168" s="215">
        <f t="shared" si="18"/>
        <v>8475</v>
      </c>
      <c r="K168" s="215">
        <f t="shared" si="18"/>
        <v>13800</v>
      </c>
      <c r="L168" s="215">
        <f t="shared" si="18"/>
        <v>1908</v>
      </c>
      <c r="M168" s="215">
        <f t="shared" si="18"/>
        <v>1908</v>
      </c>
      <c r="N168" s="70">
        <f t="shared" ref="N168:N175" si="19">SUM(B168:M168)</f>
        <v>143055</v>
      </c>
    </row>
    <row r="169" spans="1:14">
      <c r="A169" s="112" t="s">
        <v>141</v>
      </c>
      <c r="B169" s="215">
        <f>B156*0.4</f>
        <v>20208</v>
      </c>
      <c r="C169" s="215">
        <f t="shared" ref="C169:M169" si="20">C156*0.4</f>
        <v>7192</v>
      </c>
      <c r="D169" s="215">
        <f t="shared" si="20"/>
        <v>30012</v>
      </c>
      <c r="E169" s="215">
        <f t="shared" si="20"/>
        <v>2016</v>
      </c>
      <c r="F169" s="215">
        <f t="shared" si="20"/>
        <v>4360</v>
      </c>
      <c r="G169" s="215">
        <f t="shared" si="20"/>
        <v>13320</v>
      </c>
      <c r="H169" s="215">
        <f t="shared" si="20"/>
        <v>2744</v>
      </c>
      <c r="I169" s="215">
        <f t="shared" si="20"/>
        <v>2640</v>
      </c>
      <c r="J169" s="215">
        <f t="shared" si="20"/>
        <v>8496</v>
      </c>
      <c r="K169" s="215">
        <f t="shared" si="20"/>
        <v>1440</v>
      </c>
      <c r="L169" s="215">
        <f t="shared" si="20"/>
        <v>2400</v>
      </c>
      <c r="M169" s="215">
        <f t="shared" si="20"/>
        <v>1440</v>
      </c>
      <c r="N169" s="70">
        <f t="shared" si="19"/>
        <v>96268</v>
      </c>
    </row>
    <row r="170" spans="1:14">
      <c r="A170" s="20" t="s">
        <v>429</v>
      </c>
      <c r="B170" s="215">
        <v>14706.627833570001</v>
      </c>
      <c r="C170" s="215">
        <v>25847</v>
      </c>
      <c r="D170" s="215">
        <v>4682.1019999999999</v>
      </c>
      <c r="E170" s="215">
        <v>21057.350999999999</v>
      </c>
      <c r="F170" s="215">
        <v>2283.8000000000002</v>
      </c>
      <c r="G170" s="215">
        <v>43</v>
      </c>
      <c r="H170" s="215">
        <v>1439.25</v>
      </c>
      <c r="I170" s="215">
        <v>14319</v>
      </c>
      <c r="J170" s="215">
        <v>0</v>
      </c>
      <c r="K170" s="215">
        <v>2400</v>
      </c>
      <c r="L170" s="215">
        <v>38119</v>
      </c>
      <c r="M170" s="215">
        <v>2674.1350841900003</v>
      </c>
      <c r="N170" s="70">
        <f t="shared" si="19"/>
        <v>127571.26591776</v>
      </c>
    </row>
    <row r="171" spans="1:14">
      <c r="A171" s="20" t="s">
        <v>922</v>
      </c>
      <c r="B171" s="215">
        <v>8564</v>
      </c>
      <c r="C171" s="215">
        <v>2415</v>
      </c>
      <c r="D171" s="215">
        <v>3053</v>
      </c>
      <c r="E171" s="215">
        <v>1730</v>
      </c>
      <c r="F171" s="215">
        <v>5396</v>
      </c>
      <c r="G171" s="215">
        <v>415</v>
      </c>
      <c r="H171" s="215">
        <v>969</v>
      </c>
      <c r="I171" s="215">
        <v>4195</v>
      </c>
      <c r="J171" s="215">
        <v>1249</v>
      </c>
      <c r="K171" s="215">
        <v>3553</v>
      </c>
      <c r="L171" s="215">
        <v>0</v>
      </c>
      <c r="M171" s="215">
        <v>1001</v>
      </c>
      <c r="N171" s="70">
        <f t="shared" si="19"/>
        <v>32540</v>
      </c>
    </row>
    <row r="172" spans="1:14">
      <c r="A172" s="20" t="s">
        <v>142</v>
      </c>
      <c r="B172" s="310">
        <v>0</v>
      </c>
      <c r="C172" s="215">
        <v>54700</v>
      </c>
      <c r="D172" s="215">
        <v>4500</v>
      </c>
      <c r="E172" s="215">
        <v>0</v>
      </c>
      <c r="F172" s="215">
        <v>2220</v>
      </c>
      <c r="G172" s="215">
        <v>243</v>
      </c>
      <c r="H172" s="215">
        <v>1038</v>
      </c>
      <c r="I172" s="215">
        <v>4800</v>
      </c>
      <c r="J172" s="215"/>
      <c r="K172" s="215">
        <v>3250</v>
      </c>
      <c r="L172" s="310"/>
      <c r="M172" s="310"/>
      <c r="N172" s="70">
        <f t="shared" si="19"/>
        <v>70751</v>
      </c>
    </row>
    <row r="173" spans="1:14">
      <c r="A173" s="20" t="s">
        <v>957</v>
      </c>
      <c r="B173" s="215">
        <v>21985</v>
      </c>
      <c r="C173" s="215">
        <v>9107</v>
      </c>
      <c r="D173" s="215">
        <v>41015</v>
      </c>
      <c r="E173" s="215">
        <v>24498</v>
      </c>
      <c r="F173" s="215">
        <v>25130</v>
      </c>
      <c r="G173" s="215">
        <v>10058</v>
      </c>
      <c r="H173" s="215">
        <v>6906</v>
      </c>
      <c r="I173" s="215">
        <v>97</v>
      </c>
      <c r="J173" s="215">
        <v>1579</v>
      </c>
      <c r="K173" s="215">
        <v>1132</v>
      </c>
      <c r="L173" s="215">
        <v>265</v>
      </c>
      <c r="M173" s="215">
        <v>1832</v>
      </c>
      <c r="N173" s="70">
        <f t="shared" si="19"/>
        <v>143604</v>
      </c>
    </row>
    <row r="174" spans="1:14">
      <c r="A174" s="20" t="s">
        <v>90</v>
      </c>
      <c r="B174" s="215">
        <v>17134</v>
      </c>
      <c r="C174" s="215">
        <v>784</v>
      </c>
      <c r="D174" s="215">
        <v>0</v>
      </c>
      <c r="E174" s="215">
        <v>0</v>
      </c>
      <c r="F174" s="215">
        <v>450</v>
      </c>
      <c r="G174" s="215">
        <v>5795</v>
      </c>
      <c r="H174" s="215">
        <v>1695</v>
      </c>
      <c r="I174" s="215"/>
      <c r="J174" s="215"/>
      <c r="K174" s="215"/>
      <c r="L174" s="215"/>
      <c r="M174" s="215"/>
      <c r="N174" s="70">
        <f t="shared" si="19"/>
        <v>25858</v>
      </c>
    </row>
    <row r="175" spans="1:14">
      <c r="B175" s="70">
        <f>SUM(B167:B174)</f>
        <v>155144.62783357</v>
      </c>
      <c r="C175" s="70">
        <f t="shared" ref="C175" si="21">SUM(C167:C174)</f>
        <v>125085</v>
      </c>
      <c r="D175" s="70">
        <f t="shared" ref="D175" si="22">SUM(D167:D174)</f>
        <v>101785.102</v>
      </c>
      <c r="E175" s="70">
        <f t="shared" ref="E175" si="23">SUM(E167:E174)</f>
        <v>84711.350999999995</v>
      </c>
      <c r="F175" s="70">
        <f t="shared" ref="F175" si="24">SUM(F167:F174)</f>
        <v>52363.8</v>
      </c>
      <c r="G175" s="70">
        <f t="shared" ref="G175" si="25">SUM(G167:G174)</f>
        <v>39616</v>
      </c>
      <c r="H175" s="70">
        <f t="shared" ref="H175" si="26">SUM(H167:H174)</f>
        <v>19791.25</v>
      </c>
      <c r="I175" s="70">
        <f t="shared" ref="I175" si="27">SUM(I167:I174)</f>
        <v>37168</v>
      </c>
      <c r="J175" s="70">
        <f t="shared" ref="J175" si="28">SUM(J167:J174)</f>
        <v>21970</v>
      </c>
      <c r="K175" s="70">
        <f t="shared" ref="K175" si="29">SUM(K167:K174)</f>
        <v>27702</v>
      </c>
      <c r="L175" s="70">
        <f t="shared" ref="L175" si="30">SUM(L167:L174)</f>
        <v>43317</v>
      </c>
      <c r="M175" s="70">
        <f t="shared" ref="M175" si="31">SUM(M167:M174)</f>
        <v>9829.1350841900003</v>
      </c>
      <c r="N175" s="70">
        <f t="shared" si="19"/>
        <v>718483.26591775997</v>
      </c>
    </row>
  </sheetData>
  <mergeCells count="25">
    <mergeCell ref="B38:E38"/>
    <mergeCell ref="A82:A86"/>
    <mergeCell ref="E81:H81"/>
    <mergeCell ref="A87:A91"/>
    <mergeCell ref="A92:A96"/>
    <mergeCell ref="A58:A62"/>
    <mergeCell ref="A63:A67"/>
    <mergeCell ref="A68:A72"/>
    <mergeCell ref="A81:C81"/>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s>
  <conditionalFormatting sqref="B53">
    <cfRule type="cellIs" dxfId="6" priority="4" operator="lessThan">
      <formula>0</formula>
    </cfRule>
    <cfRule type="cellIs" dxfId="5" priority="5" operator="lessThan">
      <formula>1</formula>
    </cfRule>
  </conditionalFormatting>
  <conditionalFormatting sqref="B6:V19">
    <cfRule type="cellIs" dxfId="4" priority="3" operator="lessThan">
      <formula>0.1</formula>
    </cfRule>
    <cfRule type="cellIs" dxfId="3" priority="8" operator="lessThan">
      <formula>0</formula>
    </cfRule>
  </conditionalFormatting>
  <conditionalFormatting sqref="F40:Q53">
    <cfRule type="cellIs" dxfId="2" priority="6" operator="lessThan">
      <formula>0</formula>
    </cfRule>
    <cfRule type="cellIs" dxfId="1" priority="7" operator="lessThan">
      <formula>1</formula>
    </cfRule>
  </conditionalFormatting>
  <conditionalFormatting sqref="O82:O84 Q82:Q84">
    <cfRule type="cellIs" dxfId="0"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unitdata_H2</vt:lpstr>
      <vt:lpstr>unitdata_DH</vt:lpstr>
      <vt:lpstr>nodedata</vt:lpstr>
      <vt:lpstr>Demand</vt:lpstr>
      <vt:lpstr>Production</vt:lpstr>
      <vt:lpstr>H2</vt:lpstr>
      <vt:lpstr>Flexibility</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2026-09-16T13:16:32Z</dcterms:modified>
  <cp:category/>
  <cp:contentStatus/>
</cp:coreProperties>
</file>