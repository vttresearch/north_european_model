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EE7FC5CF-E44A-4080-8F7D-F18D5C439DB5}" xr6:coauthVersionLast="47" xr6:coauthVersionMax="47" xr10:uidLastSave="{00000000-0000-0000-0000-000000000000}"/>
  <bookViews>
    <workbookView xWindow="-120" yWindow="-120" windowWidth="29040" windowHeight="17520" tabRatio="854" activeTab="1" xr2:uid="{3FAE13E1-8810-491E-8373-B01BC9956BE7}"/>
  </bookViews>
  <sheets>
    <sheet name="Readme" sheetId="14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others" sheetId="12" r:id="rId10"/>
    <sheet name="DH demand, eurostat" sheetId="1" r:id="rId11"/>
    <sheet name="waterHeatingShare" sheetId="6" r:id="rId12"/>
    <sheet name="POP" sheetId="2" r:id="rId13"/>
    <sheet name="HDD" sheetId="3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5" i="13" l="1"/>
  <c r="F135" i="13"/>
  <c r="E135" i="13"/>
  <c r="C135" i="13"/>
  <c r="B135" i="13"/>
  <c r="A135" i="13"/>
  <c r="G134" i="13"/>
  <c r="F134" i="13"/>
  <c r="E134" i="13"/>
  <c r="C134" i="13"/>
  <c r="B134" i="13"/>
  <c r="A134" i="13"/>
  <c r="G129" i="13"/>
  <c r="F129" i="13"/>
  <c r="E129" i="13"/>
  <c r="C129" i="13"/>
  <c r="B129" i="13"/>
  <c r="A129" i="13"/>
  <c r="G128" i="13"/>
  <c r="F128" i="13"/>
  <c r="E128" i="13"/>
  <c r="C128" i="13"/>
  <c r="B128" i="13"/>
  <c r="A128" i="13"/>
  <c r="G123" i="13"/>
  <c r="F123" i="13"/>
  <c r="E123" i="13"/>
  <c r="C123" i="13"/>
  <c r="B123" i="13"/>
  <c r="A123" i="13"/>
  <c r="G122" i="13"/>
  <c r="F122" i="13"/>
  <c r="E122" i="13"/>
  <c r="C122" i="13"/>
  <c r="B122" i="13"/>
  <c r="A122" i="13"/>
  <c r="G22" i="12" a="1"/>
  <c r="G22" i="12" s="1"/>
  <c r="G21" i="12" a="1"/>
  <c r="G21" i="12" s="1"/>
  <c r="G20" i="12" a="1"/>
  <c r="G20" i="12" s="1"/>
  <c r="G19" i="12" a="1"/>
  <c r="G19" i="12" s="1"/>
  <c r="G18" i="12" a="1"/>
  <c r="G18" i="12" s="1"/>
  <c r="G17" i="12" a="1"/>
  <c r="G17" i="12" s="1"/>
  <c r="F22" i="12"/>
  <c r="F21" i="12"/>
  <c r="F20" i="12"/>
  <c r="F19" i="12"/>
  <c r="F18" i="12"/>
  <c r="F17" i="12"/>
  <c r="G16" i="12" a="1"/>
  <c r="G16" i="12" s="1"/>
  <c r="G15" i="12" a="1"/>
  <c r="G15" i="12" s="1"/>
  <c r="G14" i="12" a="1"/>
  <c r="G14" i="12" s="1"/>
  <c r="G13" i="12" a="1"/>
  <c r="G13" i="12" s="1"/>
  <c r="G12" i="12" a="1"/>
  <c r="G12" i="12" s="1"/>
  <c r="G11" i="12" a="1"/>
  <c r="G11" i="12" s="1"/>
  <c r="F16" i="12"/>
  <c r="F15" i="12"/>
  <c r="F14" i="12"/>
  <c r="F13" i="12"/>
  <c r="F12" i="12"/>
  <c r="F11" i="12"/>
  <c r="G10" i="12" a="1"/>
  <c r="G10" i="12" s="1"/>
  <c r="G9" i="12" a="1"/>
  <c r="G9" i="12" s="1"/>
  <c r="G8" i="12"/>
  <c r="G8" i="12" a="1"/>
  <c r="G7" i="12" a="1"/>
  <c r="G7" i="12" s="1"/>
  <c r="G6" i="12" a="1"/>
  <c r="G6" i="12" s="1"/>
  <c r="G5" i="12" a="1"/>
  <c r="G5" i="12" s="1"/>
  <c r="F8" i="12"/>
  <c r="F9" i="12" s="1"/>
  <c r="F10" i="12" s="1"/>
  <c r="F7" i="12"/>
  <c r="F6" i="12"/>
  <c r="G117" i="13"/>
  <c r="F117" i="13"/>
  <c r="E117" i="13"/>
  <c r="C117" i="13"/>
  <c r="B117" i="13"/>
  <c r="A117" i="13"/>
  <c r="G116" i="13"/>
  <c r="F116" i="13"/>
  <c r="E116" i="13"/>
  <c r="C116" i="13"/>
  <c r="B116" i="13"/>
  <c r="A116" i="13"/>
  <c r="G115" i="13"/>
  <c r="F115" i="13"/>
  <c r="E115" i="13"/>
  <c r="C115" i="13"/>
  <c r="B115" i="13"/>
  <c r="A115" i="13"/>
  <c r="G114" i="13"/>
  <c r="F114" i="13"/>
  <c r="E114" i="13"/>
  <c r="C114" i="13"/>
  <c r="B114" i="13"/>
  <c r="A114" i="13"/>
  <c r="G109" i="13"/>
  <c r="F109" i="13"/>
  <c r="E109" i="13"/>
  <c r="C109" i="13"/>
  <c r="B109" i="13"/>
  <c r="A109" i="13"/>
  <c r="G108" i="13"/>
  <c r="F108" i="13"/>
  <c r="E108" i="13"/>
  <c r="C108" i="13"/>
  <c r="B108" i="13"/>
  <c r="A108" i="13"/>
  <c r="G103" i="13"/>
  <c r="F103" i="13"/>
  <c r="E103" i="13"/>
  <c r="C103" i="13"/>
  <c r="B103" i="13"/>
  <c r="A103" i="13"/>
  <c r="G102" i="13"/>
  <c r="F102" i="13"/>
  <c r="E102" i="13"/>
  <c r="C102" i="13"/>
  <c r="B102" i="13"/>
  <c r="A102" i="13"/>
  <c r="G101" i="13"/>
  <c r="F101" i="13"/>
  <c r="E101" i="13"/>
  <c r="C101" i="13"/>
  <c r="B101" i="13"/>
  <c r="A101" i="13"/>
  <c r="G100" i="13"/>
  <c r="F100" i="13"/>
  <c r="E100" i="13"/>
  <c r="C100" i="13"/>
  <c r="B100" i="13"/>
  <c r="A100" i="13"/>
  <c r="G75" i="13"/>
  <c r="F75" i="13"/>
  <c r="E75" i="13"/>
  <c r="C75" i="13"/>
  <c r="B75" i="13"/>
  <c r="A75" i="13"/>
  <c r="G74" i="13"/>
  <c r="F74" i="13"/>
  <c r="E74" i="13"/>
  <c r="C74" i="13"/>
  <c r="B74" i="13"/>
  <c r="A74" i="13"/>
  <c r="G73" i="13"/>
  <c r="F73" i="13"/>
  <c r="E73" i="13"/>
  <c r="C73" i="13"/>
  <c r="B73" i="13"/>
  <c r="A73" i="13"/>
  <c r="G72" i="13"/>
  <c r="F72" i="13"/>
  <c r="E72" i="13"/>
  <c r="C72" i="13"/>
  <c r="B72" i="13"/>
  <c r="A72" i="13"/>
  <c r="G71" i="13"/>
  <c r="F71" i="13"/>
  <c r="E71" i="13"/>
  <c r="C71" i="13"/>
  <c r="B71" i="13"/>
  <c r="A71" i="13"/>
  <c r="G70" i="13"/>
  <c r="F70" i="13"/>
  <c r="E70" i="13"/>
  <c r="C70" i="13"/>
  <c r="B70" i="13"/>
  <c r="A70" i="13"/>
  <c r="G69" i="13"/>
  <c r="F69" i="13"/>
  <c r="E69" i="13"/>
  <c r="C69" i="13"/>
  <c r="B69" i="13"/>
  <c r="A69" i="13"/>
  <c r="G68" i="13"/>
  <c r="F68" i="13"/>
  <c r="E68" i="13"/>
  <c r="C68" i="13"/>
  <c r="B68" i="13"/>
  <c r="A68" i="13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F52" i="13" s="1"/>
  <c r="G6" i="5"/>
  <c r="G5" i="5"/>
  <c r="F50" i="13" s="1"/>
  <c r="G55" i="13"/>
  <c r="F55" i="13"/>
  <c r="E55" i="13"/>
  <c r="C55" i="13"/>
  <c r="B55" i="13"/>
  <c r="A55" i="13"/>
  <c r="G54" i="13"/>
  <c r="F54" i="13"/>
  <c r="E54" i="13"/>
  <c r="C54" i="13"/>
  <c r="B54" i="13"/>
  <c r="A54" i="13"/>
  <c r="G53" i="13"/>
  <c r="F53" i="13"/>
  <c r="E53" i="13"/>
  <c r="C53" i="13"/>
  <c r="B53" i="13"/>
  <c r="A53" i="13"/>
  <c r="G52" i="13"/>
  <c r="E52" i="13"/>
  <c r="C52" i="13"/>
  <c r="B52" i="13"/>
  <c r="A52" i="13"/>
  <c r="G51" i="13"/>
  <c r="F51" i="13"/>
  <c r="E51" i="13"/>
  <c r="C51" i="13"/>
  <c r="B51" i="13"/>
  <c r="A51" i="13"/>
  <c r="G50" i="13"/>
  <c r="E50" i="13"/>
  <c r="C50" i="13"/>
  <c r="B50" i="13"/>
  <c r="A50" i="13"/>
  <c r="G17" i="13"/>
  <c r="F17" i="13"/>
  <c r="E17" i="13"/>
  <c r="C17" i="13"/>
  <c r="B17" i="13"/>
  <c r="A17" i="13"/>
  <c r="G16" i="13"/>
  <c r="F16" i="13"/>
  <c r="E16" i="13"/>
  <c r="C16" i="13"/>
  <c r="B16" i="13"/>
  <c r="A16" i="13"/>
  <c r="G15" i="13"/>
  <c r="F15" i="13"/>
  <c r="E15" i="13"/>
  <c r="C15" i="13"/>
  <c r="B15" i="13"/>
  <c r="A15" i="13"/>
  <c r="G14" i="13"/>
  <c r="F14" i="13"/>
  <c r="E14" i="13"/>
  <c r="C14" i="13"/>
  <c r="B14" i="13"/>
  <c r="A14" i="13"/>
  <c r="G13" i="13"/>
  <c r="F13" i="13"/>
  <c r="E13" i="13"/>
  <c r="C13" i="13"/>
  <c r="B13" i="13"/>
  <c r="A13" i="13"/>
  <c r="G12" i="13"/>
  <c r="F12" i="13"/>
  <c r="E12" i="13"/>
  <c r="C12" i="13"/>
  <c r="B12" i="13"/>
  <c r="A12" i="13"/>
  <c r="G11" i="13"/>
  <c r="F11" i="13"/>
  <c r="E11" i="13"/>
  <c r="C11" i="13"/>
  <c r="B11" i="13"/>
  <c r="A11" i="13"/>
  <c r="G10" i="13"/>
  <c r="F10" i="13"/>
  <c r="E10" i="13"/>
  <c r="C10" i="13"/>
  <c r="B10" i="13"/>
  <c r="A10" i="13"/>
  <c r="G9" i="13"/>
  <c r="F9" i="13"/>
  <c r="E9" i="13"/>
  <c r="C9" i="13"/>
  <c r="B9" i="13"/>
  <c r="A9" i="13"/>
  <c r="G8" i="13"/>
  <c r="F8" i="13"/>
  <c r="E8" i="13"/>
  <c r="C8" i="13"/>
  <c r="B8" i="13"/>
  <c r="A8" i="13"/>
  <c r="G7" i="13"/>
  <c r="F7" i="13"/>
  <c r="E7" i="13"/>
  <c r="C7" i="13"/>
  <c r="B7" i="13"/>
  <c r="A7" i="13"/>
  <c r="G6" i="13"/>
  <c r="F6" i="13"/>
  <c r="E6" i="13"/>
  <c r="C6" i="13"/>
  <c r="B6" i="13"/>
  <c r="A6" i="13"/>
  <c r="G5" i="13"/>
  <c r="F5" i="13"/>
  <c r="E5" i="13"/>
  <c r="C5" i="13"/>
  <c r="B5" i="13"/>
  <c r="A5" i="13"/>
  <c r="G4" i="13"/>
  <c r="F4" i="13"/>
  <c r="E4" i="13"/>
  <c r="C4" i="13"/>
  <c r="B4" i="13"/>
  <c r="A4" i="13"/>
  <c r="G3" i="13"/>
  <c r="F3" i="13"/>
  <c r="E3" i="13"/>
  <c r="C3" i="13"/>
  <c r="B3" i="13"/>
  <c r="A3" i="13"/>
  <c r="G2" i="13"/>
  <c r="F2" i="13"/>
  <c r="E2" i="13"/>
  <c r="C2" i="13"/>
  <c r="B2" i="13"/>
  <c r="A2" i="13"/>
  <c r="O7" i="12"/>
  <c r="N7" i="12" s="1"/>
  <c r="M7" i="12" s="1"/>
  <c r="O6" i="12"/>
  <c r="N6" i="12" s="1"/>
  <c r="M6" i="12" s="1"/>
  <c r="O5" i="12"/>
  <c r="N5" i="12" s="1"/>
  <c r="M5" i="12" s="1"/>
  <c r="G16" i="9" a="1"/>
  <c r="G16" i="9" s="1"/>
  <c r="G15" i="9" a="1"/>
  <c r="G15" i="9" s="1"/>
  <c r="G14" i="9" a="1"/>
  <c r="G14" i="9" s="1"/>
  <c r="G13" i="9" a="1"/>
  <c r="G13" i="9" s="1"/>
  <c r="G12" i="9" a="1"/>
  <c r="G12" i="9" s="1"/>
  <c r="G11" i="9" a="1"/>
  <c r="G11" i="9" s="1"/>
  <c r="G10" i="9" a="1"/>
  <c r="G10" i="9" s="1"/>
  <c r="G9" i="9" a="1"/>
  <c r="G9" i="9" s="1"/>
  <c r="G8" i="9" a="1"/>
  <c r="G8" i="9" s="1"/>
  <c r="G7" i="9" a="1"/>
  <c r="G7" i="9" s="1"/>
  <c r="G6" i="9" a="1"/>
  <c r="G6" i="9" s="1"/>
  <c r="G5" i="9" a="1"/>
  <c r="G5" i="9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M11" i="9"/>
  <c r="N11" i="9"/>
  <c r="AB71" i="9"/>
  <c r="AC71" i="9"/>
  <c r="AC75" i="9" a="1"/>
  <c r="AC75" i="9" s="1"/>
  <c r="AB75" i="9" a="1"/>
  <c r="AB75" i="9" s="1"/>
  <c r="AB73" i="9"/>
  <c r="AC73" i="9"/>
  <c r="AB72" i="9"/>
  <c r="AC72" i="9"/>
  <c r="AD72" i="9"/>
  <c r="G28" i="8" a="1"/>
  <c r="G28" i="8" s="1"/>
  <c r="G27" i="8" a="1"/>
  <c r="G27" i="8" s="1"/>
  <c r="G26" i="8" a="1"/>
  <c r="G26" i="8" s="1"/>
  <c r="G25" i="8" a="1"/>
  <c r="G25" i="8" s="1"/>
  <c r="G24" i="8" a="1"/>
  <c r="G24" i="8" s="1"/>
  <c r="G23" i="8" a="1"/>
  <c r="G23" i="8" s="1"/>
  <c r="G22" i="8" a="1"/>
  <c r="G22" i="8" s="1"/>
  <c r="G21" i="8" a="1"/>
  <c r="G21" i="8" s="1"/>
  <c r="G20" i="8" a="1"/>
  <c r="G20" i="8" s="1"/>
  <c r="G19" i="8" a="1"/>
  <c r="G19" i="8" s="1"/>
  <c r="G18" i="8" a="1"/>
  <c r="G18" i="8" s="1"/>
  <c r="G17" i="8" a="1"/>
  <c r="G17" i="8" s="1"/>
  <c r="G16" i="8" a="1"/>
  <c r="G16" i="8" s="1"/>
  <c r="G15" i="8" a="1"/>
  <c r="G15" i="8" s="1"/>
  <c r="G14" i="8" a="1"/>
  <c r="G14" i="8" s="1"/>
  <c r="G13" i="8" a="1"/>
  <c r="G13" i="8" s="1"/>
  <c r="G12" i="8" a="1"/>
  <c r="G12" i="8" s="1"/>
  <c r="G11" i="8" a="1"/>
  <c r="G11" i="8" s="1"/>
  <c r="G10" i="8" a="1"/>
  <c r="G10" i="8" s="1"/>
  <c r="G9" i="8" a="1"/>
  <c r="G9" i="8" s="1"/>
  <c r="G8" i="8" a="1"/>
  <c r="G8" i="8" s="1"/>
  <c r="G7" i="8" a="1"/>
  <c r="G7" i="8" s="1"/>
  <c r="G6" i="8" a="1"/>
  <c r="G6" i="8" s="1"/>
  <c r="G5" i="8" a="1"/>
  <c r="G5" i="8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G5" i="15" a="1"/>
  <c r="G6" i="15" s="1"/>
  <c r="F7" i="15"/>
  <c r="F8" i="15" s="1"/>
  <c r="F9" i="15" s="1"/>
  <c r="F10" i="15" s="1"/>
  <c r="H8" i="15"/>
  <c r="H9" i="15"/>
  <c r="H10" i="15"/>
  <c r="M15" i="15"/>
  <c r="N15" i="15"/>
  <c r="L33" i="15"/>
  <c r="M33" i="15"/>
  <c r="L37" i="15" a="1"/>
  <c r="L37" i="15" s="1"/>
  <c r="M37" i="15" a="1"/>
  <c r="M37" i="15" s="1"/>
  <c r="L35" i="15"/>
  <c r="M35" i="15"/>
  <c r="L34" i="15"/>
  <c r="M34" i="15"/>
  <c r="N34" i="15"/>
  <c r="G5" i="16" a="1"/>
  <c r="G5" i="16" s="1"/>
  <c r="F7" i="16"/>
  <c r="F8" i="16" s="1"/>
  <c r="F9" i="16" s="1"/>
  <c r="F10" i="16" s="1"/>
  <c r="H8" i="16"/>
  <c r="H9" i="16"/>
  <c r="H10" i="16"/>
  <c r="R33" i="16"/>
  <c r="Q33" i="16"/>
  <c r="R37" i="16"/>
  <c r="R37" i="16" a="1"/>
  <c r="Q37" i="16" a="1"/>
  <c r="Q37" i="16"/>
  <c r="Q35" i="16"/>
  <c r="R35" i="16"/>
  <c r="V34" i="16"/>
  <c r="U34" i="16"/>
  <c r="T34" i="16"/>
  <c r="S34" i="16"/>
  <c r="Q34" i="16"/>
  <c r="R34" i="16"/>
  <c r="M15" i="16"/>
  <c r="N15" i="16"/>
  <c r="G5" i="17" a="1"/>
  <c r="G7" i="17" s="1"/>
  <c r="G5" i="17"/>
  <c r="G6" i="17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G52" i="10" a="1"/>
  <c r="G52" i="10" s="1"/>
  <c r="G51" i="10"/>
  <c r="G51" i="10" a="1"/>
  <c r="G50" i="10" a="1"/>
  <c r="G50" i="10" s="1"/>
  <c r="G49" i="10" a="1"/>
  <c r="G49" i="10" s="1"/>
  <c r="G48" i="10" a="1"/>
  <c r="G48" i="10" s="1"/>
  <c r="G47" i="10" a="1"/>
  <c r="G47" i="10" s="1"/>
  <c r="G46" i="10" a="1"/>
  <c r="G46" i="10" s="1"/>
  <c r="G45" i="10"/>
  <c r="G45" i="10" a="1"/>
  <c r="G44" i="10" a="1"/>
  <c r="G44" i="10" s="1"/>
  <c r="G43" i="10" a="1"/>
  <c r="G43" i="10" s="1"/>
  <c r="G42" i="10" a="1"/>
  <c r="G42" i="10" s="1"/>
  <c r="G41" i="10" a="1"/>
  <c r="G41" i="10" s="1"/>
  <c r="G40" i="10" a="1"/>
  <c r="G40" i="10" s="1"/>
  <c r="G39" i="10"/>
  <c r="G39" i="10" a="1"/>
  <c r="G38" i="10" a="1"/>
  <c r="G38" i="10" s="1"/>
  <c r="G37" i="10" a="1"/>
  <c r="G37" i="10" s="1"/>
  <c r="G36" i="10" a="1"/>
  <c r="G36" i="10" s="1"/>
  <c r="G35" i="10" a="1"/>
  <c r="G35" i="10" s="1"/>
  <c r="G34" i="10" a="1"/>
  <c r="G34" i="10" s="1"/>
  <c r="G33" i="10"/>
  <c r="G33" i="10" a="1"/>
  <c r="G32" i="10" a="1"/>
  <c r="G32" i="10" s="1"/>
  <c r="G31" i="10" a="1"/>
  <c r="G31" i="10" s="1"/>
  <c r="G30" i="10" a="1"/>
  <c r="G30" i="10" s="1"/>
  <c r="G29" i="10" a="1"/>
  <c r="G29" i="10" s="1"/>
  <c r="G28" i="10" a="1"/>
  <c r="G28" i="10" s="1"/>
  <c r="G27" i="10"/>
  <c r="G27" i="10" a="1"/>
  <c r="G26" i="10" a="1"/>
  <c r="G26" i="10" s="1"/>
  <c r="G25" i="10" a="1"/>
  <c r="G25" i="10" s="1"/>
  <c r="G24" i="10" a="1"/>
  <c r="G24" i="10" s="1"/>
  <c r="G23" i="10" a="1"/>
  <c r="G23" i="10" s="1"/>
  <c r="G22" i="10" a="1"/>
  <c r="G22" i="10" s="1"/>
  <c r="G21" i="10"/>
  <c r="G21" i="10" a="1"/>
  <c r="G20" i="10" a="1"/>
  <c r="G20" i="10" s="1"/>
  <c r="G19" i="10" a="1"/>
  <c r="G19" i="10" s="1"/>
  <c r="G18" i="10" a="1"/>
  <c r="G18" i="10" s="1"/>
  <c r="G17" i="10" a="1"/>
  <c r="G17" i="10" s="1"/>
  <c r="G16" i="10" a="1"/>
  <c r="G16" i="10" s="1"/>
  <c r="G15" i="10"/>
  <c r="G15" i="10" a="1"/>
  <c r="G14" i="10" a="1"/>
  <c r="G14" i="10" s="1"/>
  <c r="G13" i="10" a="1"/>
  <c r="G13" i="10" s="1"/>
  <c r="G12" i="10" a="1"/>
  <c r="G12" i="10" s="1"/>
  <c r="G11" i="10" a="1"/>
  <c r="G11" i="10" s="1"/>
  <c r="G10" i="10" a="1"/>
  <c r="G10" i="10" s="1"/>
  <c r="G9" i="10"/>
  <c r="G9" i="10" a="1"/>
  <c r="G8" i="10" a="1"/>
  <c r="G8" i="10" s="1"/>
  <c r="G7" i="10" a="1"/>
  <c r="G7" i="10" s="1"/>
  <c r="G6" i="10" a="1"/>
  <c r="G6" i="10" s="1"/>
  <c r="G5" i="10" a="1"/>
  <c r="G5" i="10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F15" i="9" l="1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G8" i="15"/>
  <c r="G5" i="15"/>
  <c r="G10" i="15"/>
  <c r="G9" i="15"/>
  <c r="G7" i="15"/>
  <c r="G8" i="16"/>
  <c r="G7" i="16"/>
  <c r="G6" i="16"/>
  <c r="G10" i="16"/>
  <c r="G9" i="16"/>
  <c r="G10" i="17"/>
  <c r="G9" i="17"/>
  <c r="G8" i="17"/>
  <c r="A119" i="13"/>
  <c r="B119" i="13"/>
  <c r="C119" i="13"/>
  <c r="E119" i="13"/>
  <c r="G119" i="13"/>
  <c r="A120" i="13"/>
  <c r="B120" i="13"/>
  <c r="C120" i="13"/>
  <c r="A121" i="13"/>
  <c r="B121" i="13"/>
  <c r="C121" i="13"/>
  <c r="B118" i="13"/>
  <c r="C118" i="13"/>
  <c r="E118" i="13"/>
  <c r="G118" i="13"/>
  <c r="A118" i="13"/>
  <c r="A110" i="13"/>
  <c r="A111" i="13"/>
  <c r="B111" i="13"/>
  <c r="C111" i="13"/>
  <c r="E111" i="13"/>
  <c r="G111" i="13"/>
  <c r="A112" i="13"/>
  <c r="B112" i="13"/>
  <c r="C112" i="13"/>
  <c r="E112" i="13"/>
  <c r="G112" i="13"/>
  <c r="A113" i="13"/>
  <c r="B113" i="13"/>
  <c r="C113" i="13"/>
  <c r="E113" i="13"/>
  <c r="G113" i="13"/>
  <c r="B110" i="13"/>
  <c r="C110" i="13"/>
  <c r="E110" i="13"/>
  <c r="G110" i="13"/>
  <c r="A104" i="13"/>
  <c r="A105" i="13"/>
  <c r="B105" i="13"/>
  <c r="C105" i="13"/>
  <c r="G105" i="13"/>
  <c r="A106" i="13"/>
  <c r="B106" i="13"/>
  <c r="C106" i="13"/>
  <c r="E106" i="13"/>
  <c r="G106" i="13"/>
  <c r="A107" i="13"/>
  <c r="B107" i="13"/>
  <c r="C107" i="13"/>
  <c r="E107" i="13"/>
  <c r="G107" i="13"/>
  <c r="B104" i="13"/>
  <c r="C104" i="13"/>
  <c r="E104" i="13"/>
  <c r="G104" i="13"/>
  <c r="A99" i="13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G121" i="13" s="1"/>
  <c r="F8" i="17"/>
  <c r="F9" i="17" s="1"/>
  <c r="F10" i="17" s="1"/>
  <c r="E121" i="13" s="1"/>
  <c r="D33" i="16"/>
  <c r="E33" i="16"/>
  <c r="F33" i="16"/>
  <c r="G33" i="16"/>
  <c r="H33" i="16"/>
  <c r="I33" i="16"/>
  <c r="J33" i="16"/>
  <c r="K33" i="16"/>
  <c r="L33" i="16"/>
  <c r="M33" i="16"/>
  <c r="N33" i="16"/>
  <c r="C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F34" i="16"/>
  <c r="E34" i="16"/>
  <c r="D34" i="16"/>
  <c r="C34" i="16"/>
  <c r="H6" i="16"/>
  <c r="F6" i="16"/>
  <c r="AB37" i="2" a="1"/>
  <c r="AB37" i="2" s="1"/>
  <c r="AB38" i="2" a="1"/>
  <c r="AB38" i="2" s="1"/>
  <c r="E120" i="13" l="1"/>
  <c r="G120" i="13"/>
  <c r="L36" i="16"/>
  <c r="L37" i="16" s="1"/>
  <c r="J36" i="16"/>
  <c r="J37" i="16" s="1"/>
  <c r="M36" i="16"/>
  <c r="M37" i="16" s="1"/>
  <c r="H36" i="16"/>
  <c r="H37" i="16" s="1"/>
  <c r="I36" i="16"/>
  <c r="I37" i="16" s="1"/>
  <c r="G36" i="16"/>
  <c r="G37" i="16" s="1"/>
  <c r="N36" i="16"/>
  <c r="N37" i="16" s="1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6" i="16"/>
  <c r="K37" i="16" s="1"/>
  <c r="C36" i="16"/>
  <c r="C37" i="16" s="1"/>
  <c r="D36" i="16"/>
  <c r="D37" i="16" s="1"/>
  <c r="E36" i="16"/>
  <c r="E37" i="16" s="1"/>
  <c r="F36" i="16"/>
  <c r="F37" i="16" s="1"/>
  <c r="Q39" i="17" l="1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N35" i="15" l="1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E105" i="13" s="1"/>
  <c r="H6" i="15"/>
  <c r="C36" i="15" l="1"/>
  <c r="C37" i="15" s="1"/>
  <c r="F36" i="15"/>
  <c r="F37" i="15" s="1"/>
  <c r="E36" i="15"/>
  <c r="E37" i="15" s="1"/>
  <c r="D36" i="15"/>
  <c r="D37" i="15" s="1"/>
  <c r="N37" i="15" l="1" a="1"/>
  <c r="N37" i="15" s="1"/>
  <c r="O37" i="15" a="1"/>
  <c r="O37" i="15" s="1"/>
  <c r="P37" i="15" a="1"/>
  <c r="P37" i="15" s="1"/>
  <c r="Q37" i="15" a="1"/>
  <c r="Q37" i="15" s="1"/>
  <c r="G92" i="13"/>
  <c r="G136" i="13"/>
  <c r="G137" i="13"/>
  <c r="G138" i="13"/>
  <c r="G139" i="13"/>
  <c r="G56" i="13"/>
  <c r="E139" i="13"/>
  <c r="C139" i="13"/>
  <c r="B139" i="13"/>
  <c r="A139" i="13"/>
  <c r="E138" i="13"/>
  <c r="C138" i="13"/>
  <c r="B138" i="13"/>
  <c r="A138" i="13"/>
  <c r="E137" i="13"/>
  <c r="C137" i="13"/>
  <c r="B137" i="13"/>
  <c r="A137" i="13"/>
  <c r="E136" i="13"/>
  <c r="C136" i="13"/>
  <c r="B136" i="13"/>
  <c r="A136" i="13"/>
  <c r="G133" i="13"/>
  <c r="E133" i="13"/>
  <c r="C133" i="13"/>
  <c r="B133" i="13"/>
  <c r="A133" i="13"/>
  <c r="G132" i="13"/>
  <c r="E132" i="13"/>
  <c r="C132" i="13"/>
  <c r="B132" i="13"/>
  <c r="A132" i="13"/>
  <c r="G131" i="13"/>
  <c r="E131" i="13"/>
  <c r="C131" i="13"/>
  <c r="B131" i="13"/>
  <c r="A131" i="13"/>
  <c r="G130" i="13"/>
  <c r="E130" i="13"/>
  <c r="C130" i="13"/>
  <c r="B130" i="13"/>
  <c r="A130" i="13"/>
  <c r="G127" i="13"/>
  <c r="E127" i="13"/>
  <c r="C127" i="13"/>
  <c r="B127" i="13"/>
  <c r="A127" i="13"/>
  <c r="G126" i="13"/>
  <c r="E126" i="13"/>
  <c r="C126" i="13"/>
  <c r="B126" i="13"/>
  <c r="A126" i="13"/>
  <c r="G125" i="13"/>
  <c r="E125" i="13"/>
  <c r="C125" i="13"/>
  <c r="B125" i="13"/>
  <c r="A125" i="13"/>
  <c r="G124" i="13"/>
  <c r="E124" i="13"/>
  <c r="C124" i="13"/>
  <c r="B124" i="13"/>
  <c r="A124" i="13"/>
  <c r="C99" i="13"/>
  <c r="B99" i="13"/>
  <c r="C98" i="13"/>
  <c r="B98" i="13"/>
  <c r="A98" i="13"/>
  <c r="C97" i="13"/>
  <c r="B97" i="13"/>
  <c r="A97" i="13"/>
  <c r="C96" i="13"/>
  <c r="B96" i="13"/>
  <c r="A96" i="13"/>
  <c r="C95" i="13"/>
  <c r="B95" i="13"/>
  <c r="A95" i="13"/>
  <c r="C94" i="13"/>
  <c r="B94" i="13"/>
  <c r="A94" i="13"/>
  <c r="E93" i="13"/>
  <c r="C93" i="13"/>
  <c r="B93" i="13"/>
  <c r="A93" i="13"/>
  <c r="E92" i="13"/>
  <c r="C92" i="13"/>
  <c r="B92" i="13"/>
  <c r="A92" i="13"/>
  <c r="C91" i="13"/>
  <c r="B91" i="13"/>
  <c r="A91" i="13"/>
  <c r="C90" i="13"/>
  <c r="B90" i="13"/>
  <c r="A90" i="13"/>
  <c r="C89" i="13"/>
  <c r="B89" i="13"/>
  <c r="A89" i="13"/>
  <c r="C88" i="13"/>
  <c r="B88" i="13"/>
  <c r="A88" i="13"/>
  <c r="C87" i="13"/>
  <c r="B87" i="13"/>
  <c r="A87" i="13"/>
  <c r="C86" i="13"/>
  <c r="B86" i="13"/>
  <c r="A86" i="13"/>
  <c r="C85" i="13"/>
  <c r="B85" i="13"/>
  <c r="A85" i="13"/>
  <c r="C84" i="13"/>
  <c r="B84" i="13"/>
  <c r="A84" i="13"/>
  <c r="C83" i="13"/>
  <c r="B83" i="13"/>
  <c r="A83" i="13"/>
  <c r="C82" i="13"/>
  <c r="B82" i="13"/>
  <c r="A82" i="13"/>
  <c r="C81" i="13"/>
  <c r="B81" i="13"/>
  <c r="A81" i="13"/>
  <c r="C80" i="13"/>
  <c r="B80" i="13"/>
  <c r="A80" i="13"/>
  <c r="E79" i="13"/>
  <c r="C79" i="13"/>
  <c r="B79" i="13"/>
  <c r="A79" i="13"/>
  <c r="E78" i="13"/>
  <c r="C78" i="13"/>
  <c r="B78" i="13"/>
  <c r="A78" i="13"/>
  <c r="E77" i="13"/>
  <c r="C77" i="13"/>
  <c r="B77" i="13"/>
  <c r="A77" i="13"/>
  <c r="G76" i="13"/>
  <c r="E76" i="13"/>
  <c r="C76" i="13"/>
  <c r="B76" i="13"/>
  <c r="A76" i="13"/>
  <c r="E67" i="13"/>
  <c r="C67" i="13"/>
  <c r="B67" i="13"/>
  <c r="A67" i="13"/>
  <c r="E66" i="13"/>
  <c r="C66" i="13"/>
  <c r="B66" i="13"/>
  <c r="A66" i="13"/>
  <c r="E65" i="13"/>
  <c r="C65" i="13"/>
  <c r="B65" i="13"/>
  <c r="A65" i="13"/>
  <c r="E64" i="13"/>
  <c r="C64" i="13"/>
  <c r="B64" i="13"/>
  <c r="A64" i="13"/>
  <c r="E63" i="13"/>
  <c r="C63" i="13"/>
  <c r="B63" i="13"/>
  <c r="A63" i="13"/>
  <c r="E62" i="13"/>
  <c r="C62" i="13"/>
  <c r="B62" i="13"/>
  <c r="A62" i="13"/>
  <c r="E61" i="13"/>
  <c r="C61" i="13"/>
  <c r="B61" i="13"/>
  <c r="A61" i="13"/>
  <c r="E60" i="13"/>
  <c r="C60" i="13"/>
  <c r="B60" i="13"/>
  <c r="A60" i="13"/>
  <c r="E59" i="13"/>
  <c r="C59" i="13"/>
  <c r="B59" i="13"/>
  <c r="A59" i="13"/>
  <c r="E58" i="13"/>
  <c r="C58" i="13"/>
  <c r="B58" i="13"/>
  <c r="A58" i="13"/>
  <c r="E57" i="13"/>
  <c r="C57" i="13"/>
  <c r="B57" i="13"/>
  <c r="A57" i="13"/>
  <c r="E56" i="13"/>
  <c r="C56" i="13"/>
  <c r="B56" i="13"/>
  <c r="A56" i="13"/>
  <c r="C49" i="13"/>
  <c r="B49" i="13"/>
  <c r="A49" i="13"/>
  <c r="C48" i="13"/>
  <c r="B48" i="13"/>
  <c r="A48" i="13"/>
  <c r="C47" i="13"/>
  <c r="B47" i="13"/>
  <c r="A47" i="13"/>
  <c r="C46" i="13"/>
  <c r="B46" i="13"/>
  <c r="A46" i="13"/>
  <c r="C45" i="13"/>
  <c r="B45" i="13"/>
  <c r="A45" i="13"/>
  <c r="C44" i="13"/>
  <c r="B44" i="13"/>
  <c r="A44" i="13"/>
  <c r="C43" i="13"/>
  <c r="B43" i="13"/>
  <c r="A43" i="13"/>
  <c r="C42" i="13"/>
  <c r="B42" i="13"/>
  <c r="A42" i="13"/>
  <c r="C41" i="13"/>
  <c r="B41" i="13"/>
  <c r="A41" i="13"/>
  <c r="C40" i="13"/>
  <c r="B40" i="13"/>
  <c r="A40" i="13"/>
  <c r="C39" i="13"/>
  <c r="B39" i="13"/>
  <c r="A39" i="13"/>
  <c r="C38" i="13"/>
  <c r="B38" i="13"/>
  <c r="A38" i="13"/>
  <c r="C37" i="13"/>
  <c r="B37" i="13"/>
  <c r="A37" i="13"/>
  <c r="C36" i="13"/>
  <c r="B36" i="13"/>
  <c r="A36" i="13"/>
  <c r="C35" i="13"/>
  <c r="B35" i="13"/>
  <c r="A35" i="13"/>
  <c r="C34" i="13"/>
  <c r="B34" i="13"/>
  <c r="A34" i="13"/>
  <c r="C33" i="13"/>
  <c r="B33" i="13"/>
  <c r="A33" i="13"/>
  <c r="C32" i="13"/>
  <c r="B32" i="13"/>
  <c r="A32" i="13"/>
  <c r="C31" i="13"/>
  <c r="B31" i="13"/>
  <c r="A31" i="13"/>
  <c r="C30" i="13"/>
  <c r="B30" i="13"/>
  <c r="A30" i="13"/>
  <c r="C29" i="13"/>
  <c r="B29" i="13"/>
  <c r="A29" i="13"/>
  <c r="C28" i="13"/>
  <c r="B28" i="13"/>
  <c r="A28" i="13"/>
  <c r="C27" i="13"/>
  <c r="B27" i="13"/>
  <c r="A27" i="13"/>
  <c r="C26" i="13"/>
  <c r="B26" i="13"/>
  <c r="A26" i="13"/>
  <c r="E25" i="13"/>
  <c r="C25" i="13"/>
  <c r="B25" i="13"/>
  <c r="A25" i="13"/>
  <c r="E24" i="13"/>
  <c r="C24" i="13"/>
  <c r="B24" i="13"/>
  <c r="A24" i="13"/>
  <c r="E23" i="13"/>
  <c r="C23" i="13"/>
  <c r="B23" i="13"/>
  <c r="A23" i="13"/>
  <c r="E22" i="13"/>
  <c r="C22" i="13"/>
  <c r="B22" i="13"/>
  <c r="A22" i="13"/>
  <c r="E21" i="13"/>
  <c r="C21" i="13"/>
  <c r="B21" i="13"/>
  <c r="A21" i="13"/>
  <c r="E20" i="13"/>
  <c r="C20" i="13"/>
  <c r="B20" i="13"/>
  <c r="A20" i="13"/>
  <c r="E19" i="13"/>
  <c r="C19" i="13"/>
  <c r="B19" i="13"/>
  <c r="A19" i="13"/>
  <c r="G18" i="13"/>
  <c r="E18" i="13"/>
  <c r="C18" i="13"/>
  <c r="B18" i="13"/>
  <c r="A18" i="13"/>
  <c r="Q7" i="12"/>
  <c r="R7" i="12" s="1"/>
  <c r="J14" i="12" s="1"/>
  <c r="Q6" i="12"/>
  <c r="R6" i="12" s="1"/>
  <c r="J12" i="12" s="1"/>
  <c r="Q5" i="12"/>
  <c r="J10" i="12" l="1"/>
  <c r="J15" i="12"/>
  <c r="J16" i="12"/>
  <c r="J9" i="12"/>
  <c r="J13" i="12"/>
  <c r="J11" i="12"/>
  <c r="R5" i="12"/>
  <c r="F124" i="13"/>
  <c r="F132" i="13"/>
  <c r="F138" i="13"/>
  <c r="F139" i="13"/>
  <c r="AG55" i="3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F127" i="13" l="1"/>
  <c r="J8" i="12"/>
  <c r="J6" i="12"/>
  <c r="J7" i="12"/>
  <c r="J5" i="12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F104" i="13"/>
  <c r="O15" i="15"/>
  <c r="F130" i="13"/>
  <c r="F136" i="13"/>
  <c r="F137" i="13"/>
  <c r="F133" i="13"/>
  <c r="F125" i="13"/>
  <c r="F126" i="13"/>
  <c r="F131" i="13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E94" i="13"/>
  <c r="E95" i="13"/>
  <c r="F70" i="8"/>
  <c r="P13" i="8" s="1"/>
  <c r="F21" i="8"/>
  <c r="E80" i="13"/>
  <c r="F22" i="8"/>
  <c r="E81" i="13"/>
  <c r="F24" i="8"/>
  <c r="E83" i="13"/>
  <c r="F23" i="8"/>
  <c r="E82" i="13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F107" i="13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F106" i="13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F110" i="13"/>
  <c r="O15" i="16"/>
  <c r="F111" i="13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F118" i="13"/>
  <c r="O17" i="17"/>
  <c r="M19" i="17" s="1"/>
  <c r="AG62" i="2"/>
  <c r="AE45" i="2" a="1"/>
  <c r="AE45" i="2" s="1"/>
  <c r="V35" i="16" s="1"/>
  <c r="V33" i="16" s="1"/>
  <c r="E27" i="13"/>
  <c r="E29" i="13"/>
  <c r="E30" i="13"/>
  <c r="E31" i="13"/>
  <c r="E28" i="13"/>
  <c r="E32" i="13"/>
  <c r="E33" i="13"/>
  <c r="E26" i="13"/>
  <c r="H15" i="8"/>
  <c r="G77" i="13"/>
  <c r="H13" i="5"/>
  <c r="G57" i="13"/>
  <c r="H23" i="10"/>
  <c r="G19" i="13"/>
  <c r="H7" i="9"/>
  <c r="G93" i="13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L50" i="9" l="1"/>
  <c r="E99" i="13"/>
  <c r="E97" i="13"/>
  <c r="X49" i="9"/>
  <c r="E98" i="13"/>
  <c r="E96" i="13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E90" i="13" s="1"/>
  <c r="E86" i="13"/>
  <c r="F28" i="8"/>
  <c r="E91" i="13" s="1"/>
  <c r="E87" i="13"/>
  <c r="F26" i="8"/>
  <c r="E89" i="13" s="1"/>
  <c r="E85" i="13"/>
  <c r="F25" i="8"/>
  <c r="E88" i="13" s="1"/>
  <c r="E84" i="13"/>
  <c r="AC71" i="5" a="1"/>
  <c r="AC71" i="5" s="1"/>
  <c r="N11" i="5" s="1"/>
  <c r="AB71" i="5" a="1"/>
  <c r="AB71" i="5" s="1"/>
  <c r="M11" i="5" s="1"/>
  <c r="AH58" i="2"/>
  <c r="AH37" i="2"/>
  <c r="AH45" i="2"/>
  <c r="R15" i="15"/>
  <c r="F105" i="13"/>
  <c r="P15" i="15"/>
  <c r="Q15" i="16"/>
  <c r="F112" i="13"/>
  <c r="F120" i="13"/>
  <c r="Q17" i="17"/>
  <c r="AH46" i="2"/>
  <c r="U37" i="17"/>
  <c r="U35" i="17" s="1"/>
  <c r="R15" i="16"/>
  <c r="F113" i="13"/>
  <c r="AH35" i="2"/>
  <c r="AG73" i="9"/>
  <c r="F119" i="13"/>
  <c r="P17" i="17"/>
  <c r="E48" i="13"/>
  <c r="E40" i="13"/>
  <c r="E44" i="13"/>
  <c r="E36" i="13"/>
  <c r="E47" i="13"/>
  <c r="E39" i="13"/>
  <c r="E46" i="13"/>
  <c r="E38" i="13"/>
  <c r="E42" i="13"/>
  <c r="E34" i="13"/>
  <c r="E45" i="13"/>
  <c r="E37" i="13"/>
  <c r="E49" i="13"/>
  <c r="E41" i="13"/>
  <c r="E43" i="13"/>
  <c r="E35" i="13"/>
  <c r="P116" i="10"/>
  <c r="O102" i="10"/>
  <c r="T102" i="10"/>
  <c r="S109" i="10"/>
  <c r="AD75" i="9" a="1"/>
  <c r="AD75" i="9" s="1"/>
  <c r="AD71" i="9" s="1"/>
  <c r="O11" i="9" s="1"/>
  <c r="H16" i="8"/>
  <c r="G78" i="13"/>
  <c r="H14" i="5"/>
  <c r="G58" i="13"/>
  <c r="H24" i="10"/>
  <c r="G20" i="13"/>
  <c r="H8" i="9"/>
  <c r="G94" i="13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AE102" i="10" s="1"/>
  <c r="AE98" i="10" s="1"/>
  <c r="N10" i="10" s="1"/>
  <c r="R88" i="10"/>
  <c r="AD88" i="10" s="1"/>
  <c r="AD84" i="10" s="1"/>
  <c r="M8" i="10" s="1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AD102" i="10" s="1"/>
  <c r="AD98" i="10" s="1"/>
  <c r="M10" i="10" s="1"/>
  <c r="T116" i="10"/>
  <c r="Q95" i="10"/>
  <c r="X109" i="10"/>
  <c r="AA116" i="10"/>
  <c r="U102" i="10"/>
  <c r="O116" i="10"/>
  <c r="K109" i="10"/>
  <c r="X102" i="10"/>
  <c r="V102" i="10"/>
  <c r="T109" i="10"/>
  <c r="W116" i="10"/>
  <c r="AE116" i="10" s="1"/>
  <c r="AE112" i="10" s="1"/>
  <c r="N12" i="10" s="1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O118" i="8" s="1" a="1"/>
  <c r="O118" i="8" s="1"/>
  <c r="O114" i="8" s="1"/>
  <c r="N8" i="8" s="1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N118" i="8" l="1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F121" i="13"/>
  <c r="P118" i="8" a="1"/>
  <c r="P118" i="8" s="1"/>
  <c r="P114" i="8" s="1"/>
  <c r="O8" i="8" s="1"/>
  <c r="AD74" i="5" a="1"/>
  <c r="AD74" i="5" s="1"/>
  <c r="AD71" i="5" s="1"/>
  <c r="O11" i="5" s="1"/>
  <c r="H17" i="8"/>
  <c r="G79" i="13"/>
  <c r="H15" i="5"/>
  <c r="G59" i="13"/>
  <c r="H25" i="10"/>
  <c r="G21" i="13"/>
  <c r="G95" i="13"/>
  <c r="AI77" i="10"/>
  <c r="R7" i="10" s="1"/>
  <c r="AF116" i="10" a="1"/>
  <c r="AF116" i="10" s="1"/>
  <c r="AF109" i="10" a="1"/>
  <c r="AF109" i="10" s="1"/>
  <c r="AF102" i="10" a="1"/>
  <c r="AF102" i="10" s="1"/>
  <c r="Z49" i="9"/>
  <c r="F92" i="13" s="1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F97" i="13" l="1"/>
  <c r="F98" i="13"/>
  <c r="F95" i="13"/>
  <c r="F94" i="13"/>
  <c r="F96" i="13"/>
  <c r="F99" i="13"/>
  <c r="F93" i="13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G80" i="13"/>
  <c r="H16" i="5"/>
  <c r="G60" i="13"/>
  <c r="H26" i="10"/>
  <c r="G22" i="13"/>
  <c r="F58" i="13"/>
  <c r="F57" i="13"/>
  <c r="F56" i="13"/>
  <c r="G96" i="13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R118" i="8" l="1" a="1"/>
  <c r="R118" i="8" s="1"/>
  <c r="AE64" i="10"/>
  <c r="N6" i="10"/>
  <c r="AD64" i="10"/>
  <c r="M6" i="10"/>
  <c r="AG123" i="10" a="1"/>
  <c r="AG123" i="10" s="1"/>
  <c r="H19" i="8"/>
  <c r="G81" i="13"/>
  <c r="H17" i="5"/>
  <c r="G61" i="13"/>
  <c r="H27" i="10"/>
  <c r="G23" i="13"/>
  <c r="F59" i="13"/>
  <c r="F61" i="13"/>
  <c r="F60" i="13"/>
  <c r="F81" i="13"/>
  <c r="F80" i="13"/>
  <c r="F83" i="13"/>
  <c r="F82" i="13"/>
  <c r="F76" i="13"/>
  <c r="G97" i="13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F79" i="13" l="1"/>
  <c r="F77" i="13"/>
  <c r="F78" i="13"/>
  <c r="AH123" i="10" a="1"/>
  <c r="AH123" i="10" s="1"/>
  <c r="H20" i="8"/>
  <c r="G82" i="13"/>
  <c r="H18" i="5"/>
  <c r="G62" i="13"/>
  <c r="H28" i="10"/>
  <c r="G24" i="13"/>
  <c r="F87" i="13"/>
  <c r="F86" i="13"/>
  <c r="F85" i="13"/>
  <c r="F84" i="13"/>
  <c r="F91" i="13"/>
  <c r="F89" i="13"/>
  <c r="F90" i="13"/>
  <c r="F88" i="13"/>
  <c r="G99" i="13"/>
  <c r="G98" i="13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G83" i="13"/>
  <c r="H19" i="5"/>
  <c r="G63" i="13"/>
  <c r="H29" i="10"/>
  <c r="G25" i="13"/>
  <c r="F62" i="13"/>
  <c r="F63" i="13"/>
  <c r="F64" i="13"/>
  <c r="F66" i="13"/>
  <c r="F67" i="13"/>
  <c r="F65" i="13"/>
  <c r="R10" i="10"/>
  <c r="AH64" i="10"/>
  <c r="AI64" i="10" l="1"/>
  <c r="H22" i="8"/>
  <c r="G84" i="13"/>
  <c r="H20" i="5"/>
  <c r="G64" i="13"/>
  <c r="H30" i="10"/>
  <c r="G26" i="13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G85" i="13"/>
  <c r="H21" i="5"/>
  <c r="G65" i="13"/>
  <c r="H31" i="10"/>
  <c r="G27" i="13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G86" i="13"/>
  <c r="H22" i="5"/>
  <c r="G67" i="13" s="1"/>
  <c r="G66" i="13"/>
  <c r="H32" i="10"/>
  <c r="G28" i="13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G87" i="13"/>
  <c r="H33" i="10"/>
  <c r="G29" i="13"/>
  <c r="AF77" i="10"/>
  <c r="AG77" i="10"/>
  <c r="H26" i="8" l="1"/>
  <c r="G88" i="13"/>
  <c r="H34" i="10"/>
  <c r="G30" i="13"/>
  <c r="P7" i="10"/>
  <c r="AG64" i="10"/>
  <c r="O7" i="10"/>
  <c r="AF64" i="10"/>
  <c r="H27" i="8" l="1"/>
  <c r="G89" i="13"/>
  <c r="H35" i="10"/>
  <c r="G31" i="13"/>
  <c r="F48" i="13"/>
  <c r="F20" i="13"/>
  <c r="F26" i="13"/>
  <c r="F33" i="13"/>
  <c r="F41" i="13"/>
  <c r="F24" i="13"/>
  <c r="F21" i="13"/>
  <c r="F40" i="13"/>
  <c r="F25" i="13"/>
  <c r="F38" i="13"/>
  <c r="F42" i="13"/>
  <c r="F31" i="13"/>
  <c r="F45" i="13"/>
  <c r="F18" i="13"/>
  <c r="F22" i="13"/>
  <c r="F23" i="13"/>
  <c r="F47" i="13"/>
  <c r="F32" i="13"/>
  <c r="F39" i="13"/>
  <c r="F37" i="13"/>
  <c r="F28" i="13"/>
  <c r="F49" i="13"/>
  <c r="F43" i="13"/>
  <c r="F36" i="13"/>
  <c r="F27" i="13"/>
  <c r="F46" i="13"/>
  <c r="F35" i="13"/>
  <c r="F19" i="13"/>
  <c r="F44" i="13"/>
  <c r="F30" i="13"/>
  <c r="F34" i="13"/>
  <c r="F29" i="13"/>
  <c r="H28" i="8" l="1"/>
  <c r="G91" i="13" s="1"/>
  <c r="G90" i="13"/>
  <c r="H36" i="10"/>
  <c r="G32" i="13"/>
  <c r="H37" i="10" l="1"/>
  <c r="G33" i="13"/>
  <c r="H38" i="10" l="1"/>
  <c r="G34" i="13"/>
  <c r="H39" i="10" l="1"/>
  <c r="G35" i="13"/>
  <c r="H40" i="10" l="1"/>
  <c r="G36" i="13"/>
  <c r="H41" i="10" l="1"/>
  <c r="G37" i="13"/>
  <c r="H42" i="10" l="1"/>
  <c r="G38" i="13"/>
  <c r="H43" i="10" l="1"/>
  <c r="G39" i="13"/>
  <c r="H44" i="10" l="1"/>
  <c r="G40" i="13"/>
  <c r="H45" i="10" l="1"/>
  <c r="G41" i="13"/>
  <c r="H46" i="10" l="1"/>
  <c r="G42" i="13"/>
  <c r="H47" i="10" l="1"/>
  <c r="G43" i="13"/>
  <c r="H48" i="10" l="1"/>
  <c r="G44" i="13"/>
  <c r="H49" i="10" l="1"/>
  <c r="G45" i="13"/>
  <c r="H50" i="10" l="1"/>
  <c r="G46" i="13"/>
  <c r="H51" i="10" l="1"/>
  <c r="G47" i="13"/>
  <c r="H52" i="10" l="1"/>
  <c r="G49" i="13" s="1"/>
  <c r="G4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<sst xmlns="http://schemas.openxmlformats.org/spreadsheetml/2006/main" count="1725" uniqueCount="358">
  <si>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</si>
  <si>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</si>
  <si>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</si>
  <si>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</si>
  <si>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</si>
  <si>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</si>
  <si>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</si>
  <si>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</si>
  <si>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</si>
  <si>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</si>
  <si>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</si>
  <si>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</si>
  <si>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</si>
  <si>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</si>
  <si>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</si>
  <si>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</si>
  <si>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</si>
  <si>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</si>
  <si>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</si>
  <si>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</si>
  <si>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</si>
  <si>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</si>
  <si>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</si>
  <si>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</si>
  <si>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</si>
  <si>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</si>
  <si>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</si>
  <si>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</si>
  <si>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</si>
  <si>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</si>
  <si>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</si>
  <si>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</si>
  <si>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</si>
  <si>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</si>
  <si>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</si>
  <si>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</si>
  <si>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</si>
  <si>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</si>
  <si>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</si>
  <si>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</si>
  <si>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</si>
  <si>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</si>
  <si>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</si>
  <si>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</si>
  <si>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</si>
  <si>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</si>
  <si>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</si>
  <si>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</si>
  <si>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</si>
  <si>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</si>
  <si>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</si>
  <si>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</si>
  <si>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</si>
  <si>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</si>
  <si>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</si>
  <si>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</si>
  <si>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</si>
  <si>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</si>
  <si>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</si>
  <si>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</si>
  <si>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</si>
  <si>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</si>
  <si>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</si>
  <si>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</si>
  <si>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</si>
  <si>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</si>
  <si>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</si>
  <si>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</si>
  <si>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</si>
  <si>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</si>
  <si>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</si>
  <si>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</si>
  <si>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</si>
  <si>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</si>
  <si>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</si>
  <si>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</si>
  <si>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</si>
  <si>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</si>
  <si>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</si>
  <si>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</si>
  <si>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</si>
  <si>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</si>
  <si>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</si>
  <si>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</si>
  <si>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</si>
  <si>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</si>
  <si>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</si>
  <si>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</si>
  <si>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</si>
  <si>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</si>
  <si>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</si>
  <si>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</si>
  <si>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</si>
  <si>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</si>
  <si>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</si>
  <si>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</si>
  <si>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</si>
  <si>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</si>
  <si>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</si>
  <si>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</si>
  <si>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</si>
  <si>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</si>
  <si>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</si>
  <si>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</si>
  <si>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</si>
  <si>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</si>
  <si>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</si>
  <si>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</si>
  <si>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</si>
  <si>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</si>
  <si>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</si>
  <si>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</si>
  <si>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</si>
  <si>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</si>
  <si>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</si>
  <si>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</si>
  <si>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</si>
  <si>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</si>
  <si>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</si>
  <si>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</si>
  <si>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</si>
  <si>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</si>
  <si>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</si>
  <si>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</si>
  <si>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</si>
  <si>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</si>
  <si>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</si>
  <si>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</si>
  <si>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</si>
  <si>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</si>
  <si>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</si>
  <si>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</si>
  <si>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</si>
  <si>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</si>
  <si>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</si>
  <si>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</si>
  <si>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</si>
  <si>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</si>
  <si>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</si>
  <si>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</si>
  <si>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</si>
  <si>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</si>
  <si>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</si>
  <si>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</si>
  <si>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</si>
  <si>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</si>
  <si>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</si>
  <si>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</si>
  <si>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</si>
  <si>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</si>
  <si>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</si>
  <si>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</si>
  <si>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</si>
  <si>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</si>
  <si>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</si>
  <si>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</si>
  <si>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</si>
  <si>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</si>
  <si>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</si>
  <si>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</si>
  <si>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</si>
  <si>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</si>
  <si>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</si>
  <si>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</si>
  <si>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</si>
  <si>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</si>
  <si>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</si>
  <si>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</si>
  <si>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</si>
  <si>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</si>
  <si>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</si>
  <si>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</si>
  <si>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</si>
  <si>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</si>
  <si>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</si>
  <si>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</si>
  <si>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</si>
  <si>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</si>
  <si>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heat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</si>
  <si>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</si>
  <si>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</si>
  <si>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</si>
  <si>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</si>
  <si>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</si>
  <si>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</si>
  <si>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</si>
  <si>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</si>
  <si>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</si>
  <si>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</si>
  <si>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</si>
  <si>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</si>
  <si>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</si>
  <si>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</si>
  <si>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</si>
  <si>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</si>
  <si>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</si>
  <si>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</si>
  <si>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</si>
  <si>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</si>
  <si>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</si>
  <si>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</si>
  <si>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</si>
  <si>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</si>
  <si>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</si>
  <si>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</si>
  <si>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</si>
  <si>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</si>
  <si>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</si>
  <si>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</si>
  <si>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</si>
  <si>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</si>
  <si>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</si>
  <si>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</si>
  <si>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</si>
  <si>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</si>
  <si>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</si>
  <si>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</si>
  <si>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</si>
  <si>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</si>
  <si>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</si>
  <si>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</si>
  <si>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</si>
  <si>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</si>
  <si>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</si>
  <si>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</si>
  <si>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</si>
  <si>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</si>
  <si>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</si>
  <si>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</si>
  <si>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</si>
  <si>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</si>
  <si>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</si>
  <si>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</si>
  <si>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</si>
  <si>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</si>
  <si>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</si>
  <si>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</si>
  <si>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</si>
  <si>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</si>
  <si>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</si>
  <si>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</si>
  <si>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</si>
  <si>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</si>
  <si>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</si>
  <si>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</si>
  <si>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</si>
  <si>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</si>
  <si>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</si>
  <si>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</si>
  <si>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</si>
  <si>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</si>
  <si>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</si>
  <si>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</si>
  <si>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</si>
  <si>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</si>
  <si>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</si>
  <si>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</si>
  <si>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</si>
  <si>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</si>
  <si>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</si>
  <si>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</si>
  <si>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</si>
  <si>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</si>
  <si>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</si>
  <si>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</si>
  <si>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</si>
  <si>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</si>
  <si>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</si>
  <si>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</si>
  <si>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</si>
  <si>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</si>
  <si>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</si>
  <si>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</si>
  <si>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</si>
  <si>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</si>
  <si>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</si>
  <si>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</si>
  <si>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</si>
  <si>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</si>
  <si>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</si>
  <si>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</si>
  <si>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</si>
  <si>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</si>
  <si>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</si>
  <si>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</si>
  <si>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</si>
  <si>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</si>
  <si>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</si>
  <si>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</si>
  <si>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</si>
  <si>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</si>
  <si>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</si>
  <si>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</si>
  <si>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</si>
  <si>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</si>
  <si>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</si>
  <si>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</si>
  <si>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</si>
  <si>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</si>
  <si>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</si>
  <si>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</si>
  <si>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</si>
  <si>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</si>
  <si>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</si>
  <si>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Updated version of annual demands for Northern European model</t>
  </si>
  <si>
    <t xml:space="preserve">The code processes multiple demand files by:
</t>
  </si>
  <si>
    <t xml:space="preserve">          1. Python code reads only sheets start with "demands_" from each listed annual demands file.</t>
  </si>
  <si>
    <t xml:space="preserve">          2. Merging sheets into a single DataFrame.</t>
  </si>
  <si>
    <t xml:space="preserve">          3. Checking for duplicate entries based on key columns.</t>
  </si>
  <si>
    <t>Mandatory columns:</t>
  </si>
  <si>
    <t>E.g. FI00</t>
  </si>
  <si>
    <t>Modelled energy carrier, e.g. electricity, heat, H2</t>
  </si>
  <si>
    <t>Additional identifier used when creating the node name, see below</t>
  </si>
  <si>
    <t>scenario identifier, e.g. National Trends</t>
  </si>
  <si>
    <t>scenario year, e.g. 2025</t>
  </si>
  <si>
    <t>Annual demand in TWh</t>
  </si>
  <si>
    <t>Share of the annual demand that is constant at every hour. Accepts values [0-1]</t>
  </si>
  <si>
    <t>Reserved grid names</t>
  </si>
  <si>
    <t>elec</t>
  </si>
  <si>
    <t>for electricity demand</t>
  </si>
  <si>
    <t>for district heating</t>
  </si>
  <si>
    <t>Processing</t>
  </si>
  <si>
    <t>Calculate hourly demands = Ax + B, where</t>
  </si>
  <si>
    <t>A = annual_demand * (1 - constant_share)</t>
  </si>
  <si>
    <t>x = hourly profile</t>
  </si>
  <si>
    <t>B = annual_demand * constant_share / 8760</t>
  </si>
  <si>
    <t>Electricity has national profiles read from TYNDP scenarios</t>
  </si>
  <si>
    <t>DH has national profiles from outdoor temperature data</t>
  </si>
  <si>
    <t>Node name</t>
  </si>
  <si>
    <t>The code will construct node name with following formula</t>
  </si>
  <si>
    <t>&lt;country&gt;_&lt;grid&gt;_&lt;node_suffix&gt;</t>
  </si>
  <si>
    <t>This allows constructing either national grids for e.g. electricity,</t>
  </si>
  <si>
    <t>city-level grids for district heating, and other specific applications.</t>
  </si>
  <si>
    <t>Raises errors from:</t>
  </si>
  <si>
    <t>underscore in grid name</t>
  </si>
  <si>
    <t>Constant_share must be between [0-1]</t>
  </si>
  <si>
    <t>country</t>
  </si>
  <si>
    <t>grid</t>
  </si>
  <si>
    <t>node_suffix</t>
  </si>
  <si>
    <t>scenario</t>
  </si>
  <si>
    <t>year</t>
  </si>
  <si>
    <t>constant_share</t>
  </si>
  <si>
    <t>Duplicate entries in any of the sheets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</si>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</sst>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</numFmts>
  <fonts count="50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</cellStyleXfs>
  <cellXfs count="181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13" fillId="0" borderId="25" xfId="0" applyFont="1" applyBorder="1" applyAlignment="1">
      <alignment horizontal="center" vertical="top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3" fontId="47" fillId="0" borderId="0" xfId="0" applyNumberFormat="1" applyFont="1" applyAlignment="1">
      <alignment horizontal="center"/>
    </xf>
    <xf numFmtId="0" fontId="47" fillId="0" borderId="0" xfId="7" applyFont="1"/>
    <xf numFmtId="0" fontId="40" fillId="0" borderId="0" xfId="7"/>
    <xf numFmtId="0" fontId="28" fillId="22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3" fillId="0" borderId="0" xfId="0" applyFont="1" applyAlignment="1">
      <alignment horizontal="center" vertical="top"/>
    </xf>
    <xf numFmtId="165" fontId="49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4" fontId="45" fillId="0" borderId="0" xfId="0" applyNumberFormat="1" applyFont="1"/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</cellXfs>
  <cellStyles count="8">
    <cellStyle name="Normal" xfId="0" builtinId="0"/>
    <cellStyle name="Normal 2" xfId="3" xr:uid="{EB7E4859-B597-418D-8917-C0C11DCC4AF2}"/>
    <cellStyle name="Normal 2 2" xfId="6" xr:uid="{E104007E-4351-41C4-9294-169981886840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Percent" xfId="1" builtinId="5"/>
  </cellStyles>
  <dxfs count="6"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692E51-874A-4116-9FAB-235EBB839C6A}" name="Table14" displayName="Table14" ref="A1:G139" totalsRowShown="0" headerRowDxfId="5">
  <autoFilter ref="A1:G139" xr:uid="{D7B78CD3-9163-4D7D-A618-E78F3E3A8C29}"/>
  <tableColumns count="7">
    <tableColumn id="1" xr3:uid="{A34C2B7C-1E62-4F39-8ACD-FC06973DA1F0}" name="Country"/>
    <tableColumn id="2" xr3:uid="{33B41603-38CE-4E82-977F-F20E173EEB2D}" name="Grid"/>
    <tableColumn id="3" xr3:uid="{F198ADAF-A4A3-4FEC-98FE-8A7AD6D0D0FC}" name="Node_suffix" dataDxfId="4">
      <calculatedColumnFormula>Finland!D21</calculatedColumnFormula>
    </tableColumn>
    <tableColumn id="4" xr3:uid="{F104636E-BC53-4928-A778-55DAAD8DD700}" name="Scenario" dataDxfId="3"/>
    <tableColumn id="5" xr3:uid="{935E4556-77BC-4CF1-B711-A1E896E75803}" name="Year" dataDxfId="2"/>
    <tableColumn id="6" xr3:uid="{5EAB6DBC-B641-49D3-BDBE-A57753EC055B}" name="TWh/year" dataDxfId="1"/>
    <tableColumn id="7" xr3:uid="{586E1A04-57AE-4D02-8FEA-85245B8FF78F}" name="Constant_shar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9DA26-0083-477E-BBAB-35759AF9B3B2}">
  <sheetPr>
    <tabColor theme="0"/>
  </sheetPr>
  <dimension ref="B4:D45"/>
  <sheetViews>
    <sheetView workbookViewId="0">
      <selection activeCell="N13" sqref="N13"/>
    </sheetView>
  </sheetViews>
  <sheetFormatPr defaultColWidth="9.140625" defaultRowHeight="12.75"/>
  <cols>
    <col min="1" max="2" width="9.140625" style="158"/>
    <col min="3" max="3" width="14.42578125" style="158" customWidth="1"/>
    <col min="4" max="16384" width="9.140625" style="158"/>
  </cols>
  <sheetData>
    <row r="4" spans="2:4">
      <c r="B4" s="157" t="s">
        <v>304</v>
      </c>
    </row>
    <row r="6" spans="2:4">
      <c r="B6" s="157" t="s">
        <v>305</v>
      </c>
    </row>
    <row r="7" spans="2:4">
      <c r="B7" s="158" t="s">
        <v>306</v>
      </c>
    </row>
    <row r="8" spans="2:4">
      <c r="B8" s="158" t="s">
        <v>307</v>
      </c>
    </row>
    <row r="9" spans="2:4">
      <c r="B9" s="158" t="s">
        <v>308</v>
      </c>
    </row>
    <row r="11" spans="2:4">
      <c r="B11" s="157" t="s">
        <v>309</v>
      </c>
    </row>
    <row r="12" spans="2:4">
      <c r="C12" s="158" t="s">
        <v>336</v>
      </c>
      <c r="D12" s="158" t="s">
        <v>310</v>
      </c>
    </row>
    <row r="13" spans="2:4">
      <c r="C13" s="158" t="s">
        <v>337</v>
      </c>
      <c r="D13" s="158" t="s">
        <v>311</v>
      </c>
    </row>
    <row r="14" spans="2:4">
      <c r="C14" s="158" t="s">
        <v>338</v>
      </c>
      <c r="D14" s="158" t="s">
        <v>312</v>
      </c>
    </row>
    <row r="15" spans="2:4">
      <c r="C15" s="158" t="s">
        <v>339</v>
      </c>
      <c r="D15" s="158" t="s">
        <v>313</v>
      </c>
    </row>
    <row r="16" spans="2:4">
      <c r="C16" s="158" t="s">
        <v>340</v>
      </c>
      <c r="D16" s="158" t="s">
        <v>314</v>
      </c>
    </row>
    <row r="17" spans="2:4">
      <c r="C17" s="158" t="s">
        <v>303</v>
      </c>
      <c r="D17" s="158" t="s">
        <v>315</v>
      </c>
    </row>
    <row r="18" spans="2:4">
      <c r="C18" s="158" t="s">
        <v>341</v>
      </c>
      <c r="D18" s="158" t="s">
        <v>316</v>
      </c>
    </row>
    <row r="20" spans="2:4">
      <c r="B20" s="157" t="s">
        <v>317</v>
      </c>
    </row>
    <row r="21" spans="2:4">
      <c r="C21" s="158" t="s">
        <v>318</v>
      </c>
      <c r="D21" s="158" t="s">
        <v>319</v>
      </c>
    </row>
    <row r="22" spans="2:4">
      <c r="C22" s="158" t="s">
        <v>178</v>
      </c>
      <c r="D22" s="158" t="s">
        <v>320</v>
      </c>
    </row>
    <row r="24" spans="2:4">
      <c r="B24" s="157" t="s">
        <v>321</v>
      </c>
    </row>
    <row r="26" spans="2:4">
      <c r="C26" s="158" t="s">
        <v>322</v>
      </c>
    </row>
    <row r="27" spans="2:4">
      <c r="C27" s="158" t="s">
        <v>323</v>
      </c>
    </row>
    <row r="28" spans="2:4">
      <c r="C28" s="158" t="s">
        <v>324</v>
      </c>
    </row>
    <row r="29" spans="2:4">
      <c r="C29" s="158" t="s">
        <v>325</v>
      </c>
    </row>
    <row r="31" spans="2:4">
      <c r="C31" s="158" t="s">
        <v>326</v>
      </c>
    </row>
    <row r="32" spans="2:4">
      <c r="C32" s="158" t="s">
        <v>327</v>
      </c>
    </row>
    <row r="35" spans="2:3">
      <c r="B35" s="157" t="s">
        <v>328</v>
      </c>
    </row>
    <row r="36" spans="2:3">
      <c r="C36" s="158" t="s">
        <v>329</v>
      </c>
    </row>
    <row r="37" spans="2:3">
      <c r="C37" s="158" t="s">
        <v>330</v>
      </c>
    </row>
    <row r="39" spans="2:3">
      <c r="C39" s="158" t="s">
        <v>331</v>
      </c>
    </row>
    <row r="40" spans="2:3">
      <c r="C40" s="158" t="s">
        <v>332</v>
      </c>
    </row>
    <row r="42" spans="2:3">
      <c r="B42" s="157" t="s">
        <v>333</v>
      </c>
    </row>
    <row r="43" spans="2:3">
      <c r="C43" s="158" t="s">
        <v>342</v>
      </c>
    </row>
    <row r="44" spans="2:3">
      <c r="C44" s="158" t="s">
        <v>334</v>
      </c>
    </row>
    <row r="45" spans="2:3">
      <c r="C45" s="158" t="s">
        <v>335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39"/>
  <sheetViews>
    <sheetView tabSelected="1" workbookViewId="0">
      <pane ySplit="1" topLeftCell="A107" activePane="bottomLeft" state="frozen"/>
      <selection pane="bottomLeft" activeCell="A134" sqref="A134:G135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7">
      <c r="A1" s="151" t="s">
        <v>171</v>
      </c>
      <c r="B1" s="151" t="s">
        <v>172</v>
      </c>
      <c r="C1" s="151" t="s">
        <v>173</v>
      </c>
      <c r="D1" s="151" t="s">
        <v>174</v>
      </c>
      <c r="E1" s="151" t="s">
        <v>175</v>
      </c>
      <c r="F1" s="151" t="s">
        <v>303</v>
      </c>
      <c r="G1" s="156" t="s">
        <v>176</v>
      </c>
    </row>
    <row r="2" spans="1:7">
      <c r="A2" s="147" t="str">
        <f>IF(Finland!B5="","",Finland!B5)</f>
        <v>FI00</v>
      </c>
      <c r="B2" t="str">
        <f>IF(Finland!C5="","",Finland!C5)</f>
        <v>dheat</v>
      </c>
      <c r="C2" t="str">
        <f>IF(Finland!D5="","",Finland!D5)</f>
        <v>HKI</v>
      </c>
      <c r="D2" s="149" t="s">
        <v>357</v>
      </c>
      <c r="E2" s="149">
        <f>IF(Finland!F5="","",Finland!F5)</f>
        <v>2015</v>
      </c>
      <c r="F2" s="150">
        <f>IF(Finland!G5="","",Finland!G5)</f>
        <v>7.0736040298090908</v>
      </c>
      <c r="G2" s="150">
        <f>IF(Finland!H5="","",Finland!H5)</f>
        <v>0.3</v>
      </c>
    </row>
    <row r="3" spans="1:7">
      <c r="A3" s="147" t="str">
        <f>IF(Finland!B6="","",Finland!B6)</f>
        <v>FI00</v>
      </c>
      <c r="B3" t="str">
        <f>IF(Finland!C6="","",Finland!C6)</f>
        <v>dheat</v>
      </c>
      <c r="C3" t="str">
        <f>IF(Finland!D6="","",Finland!D6)</f>
        <v>ESP</v>
      </c>
      <c r="D3" s="149" t="s">
        <v>357</v>
      </c>
      <c r="E3" s="149">
        <f>IF(Finland!F6="","",Finland!F6)</f>
        <v>2015</v>
      </c>
      <c r="F3" s="150">
        <f>IF(Finland!G6="","",Finland!G6)</f>
        <v>2.3605086565648401</v>
      </c>
      <c r="G3" s="150">
        <f>IF(Finland!H6="","",Finland!H6)</f>
        <v>0.3</v>
      </c>
    </row>
    <row r="4" spans="1:7">
      <c r="A4" s="147" t="str">
        <f>IF(Finland!B7="","",Finland!B7)</f>
        <v>FI00</v>
      </c>
      <c r="B4" t="str">
        <f>IF(Finland!C7="","",Finland!C7)</f>
        <v>dheat</v>
      </c>
      <c r="C4" t="str">
        <f>IF(Finland!D7="","",Finland!D7)</f>
        <v>VAN</v>
      </c>
      <c r="D4" s="149" t="s">
        <v>357</v>
      </c>
      <c r="E4" s="149">
        <f>IF(Finland!F7="","",Finland!F7)</f>
        <v>2015</v>
      </c>
      <c r="F4" s="150">
        <f>IF(Finland!G7="","",Finland!G7)</f>
        <v>1.8955076088234648</v>
      </c>
      <c r="G4" s="150">
        <f>IF(Finland!H7="","",Finland!H7)</f>
        <v>0.3</v>
      </c>
    </row>
    <row r="5" spans="1:7">
      <c r="A5" s="147" t="str">
        <f>IF(Finland!B8="","",Finland!B8)</f>
        <v>FI00</v>
      </c>
      <c r="B5" t="str">
        <f>IF(Finland!C8="","",Finland!C8)</f>
        <v>dheat</v>
      </c>
      <c r="C5" t="str">
        <f>IF(Finland!D8="","",Finland!D8)</f>
        <v>TKU</v>
      </c>
      <c r="D5" s="149" t="s">
        <v>357</v>
      </c>
      <c r="E5" s="149">
        <f>IF(Finland!F8="","",Finland!F8)</f>
        <v>2015</v>
      </c>
      <c r="F5" s="150">
        <f>IF(Finland!G8="","",Finland!G8)</f>
        <v>2.2187058356179667</v>
      </c>
      <c r="G5" s="150">
        <f>IF(Finland!H8="","",Finland!H8)</f>
        <v>0.3</v>
      </c>
    </row>
    <row r="6" spans="1:7">
      <c r="A6" s="147" t="str">
        <f>IF(Finland!B9="","",Finland!B9)</f>
        <v>FI00</v>
      </c>
      <c r="B6" t="str">
        <f>IF(Finland!C9="","",Finland!C9)</f>
        <v>dheat</v>
      </c>
      <c r="C6" t="str">
        <f>IF(Finland!D9="","",Finland!D9)</f>
        <v>TRE</v>
      </c>
      <c r="D6" s="149" t="s">
        <v>357</v>
      </c>
      <c r="E6" s="149">
        <f>IF(Finland!F9="","",Finland!F9)</f>
        <v>2015</v>
      </c>
      <c r="F6" s="150">
        <f>IF(Finland!G9="","",Finland!G9)</f>
        <v>2.2249793654609449</v>
      </c>
      <c r="G6" s="150">
        <f>IF(Finland!H9="","",Finland!H9)</f>
        <v>0.3</v>
      </c>
    </row>
    <row r="7" spans="1:7">
      <c r="A7" s="147" t="str">
        <f>IF(Finland!B10="","",Finland!B10)</f>
        <v>FI00</v>
      </c>
      <c r="B7" t="str">
        <f>IF(Finland!C10="","",Finland!C10)</f>
        <v>dheat</v>
      </c>
      <c r="C7" t="str">
        <f>IF(Finland!D10="","",Finland!D10)</f>
        <v>OUL</v>
      </c>
      <c r="D7" s="149" t="s">
        <v>357</v>
      </c>
      <c r="E7" s="149">
        <f>IF(Finland!F10="","",Finland!F10)</f>
        <v>2015</v>
      </c>
      <c r="F7" s="150">
        <f>IF(Finland!G10="","",Finland!G10)</f>
        <v>1.7214878369103304</v>
      </c>
      <c r="G7" s="150">
        <f>IF(Finland!H10="","",Finland!H10)</f>
        <v>0.3</v>
      </c>
    </row>
    <row r="8" spans="1:7">
      <c r="A8" s="147" t="str">
        <f>IF(Finland!B11="","",Finland!B11)</f>
        <v>FI00</v>
      </c>
      <c r="B8" t="str">
        <f>IF(Finland!C11="","",Finland!C11)</f>
        <v>dheat</v>
      </c>
      <c r="C8" t="str">
        <f>IF(Finland!D11="","",Finland!D11)</f>
        <v>JKL</v>
      </c>
      <c r="D8" s="149" t="s">
        <v>357</v>
      </c>
      <c r="E8" s="149">
        <f>IF(Finland!F11="","",Finland!F11)</f>
        <v>2015</v>
      </c>
      <c r="F8" s="150">
        <f>IF(Finland!G11="","",Finland!G11)</f>
        <v>1.1858506273683131</v>
      </c>
      <c r="G8" s="150">
        <f>IF(Finland!H11="","",Finland!H11)</f>
        <v>0.3</v>
      </c>
    </row>
    <row r="9" spans="1:7">
      <c r="A9" s="147" t="str">
        <f>IF(Finland!B12="","",Finland!B12)</f>
        <v>FI00</v>
      </c>
      <c r="B9" t="str">
        <f>IF(Finland!C12="","",Finland!C12)</f>
        <v>dheat</v>
      </c>
      <c r="C9" t="str">
        <f>IF(Finland!D12="","",Finland!D12)</f>
        <v>ROF</v>
      </c>
      <c r="D9" s="149" t="s">
        <v>357</v>
      </c>
      <c r="E9" s="149">
        <f>IF(Finland!F12="","",Finland!F12)</f>
        <v>2015</v>
      </c>
      <c r="F9" s="150">
        <f>IF(Finland!G12="","",Finland!G12)</f>
        <v>19.449074188534723</v>
      </c>
      <c r="G9" s="150">
        <f>IF(Finland!H12="","",Finland!H12)</f>
        <v>0.3</v>
      </c>
    </row>
    <row r="10" spans="1:7">
      <c r="A10" s="147" t="str">
        <f>IF(Finland!B13="","",Finland!B13)</f>
        <v>FI00</v>
      </c>
      <c r="B10" t="str">
        <f>IF(Finland!C13="","",Finland!C13)</f>
        <v>dheat</v>
      </c>
      <c r="C10" t="str">
        <f>IF(Finland!D13="","",Finland!D13)</f>
        <v>HKI</v>
      </c>
      <c r="D10" s="149" t="s">
        <v>357</v>
      </c>
      <c r="E10" s="149">
        <f>IF(Finland!F13="","",Finland!F13)</f>
        <v>2020</v>
      </c>
      <c r="F10" s="150">
        <f>IF(Finland!G13="","",Finland!G13)</f>
        <v>7.0888236484949978</v>
      </c>
      <c r="G10" s="150">
        <f>IF(Finland!H13="","",Finland!H13)</f>
        <v>0.3</v>
      </c>
    </row>
    <row r="11" spans="1:7">
      <c r="A11" s="147" t="str">
        <f>IF(Finland!B14="","",Finland!B14)</f>
        <v>FI00</v>
      </c>
      <c r="B11" t="str">
        <f>IF(Finland!C14="","",Finland!C14)</f>
        <v>dheat</v>
      </c>
      <c r="C11" t="str">
        <f>IF(Finland!D14="","",Finland!D14)</f>
        <v>ESP</v>
      </c>
      <c r="D11" s="149" t="s">
        <v>357</v>
      </c>
      <c r="E11" s="149">
        <f>IF(Finland!F14="","",Finland!F14)</f>
        <v>2020</v>
      </c>
      <c r="F11" s="150">
        <f>IF(Finland!G14="","",Finland!G14)</f>
        <v>2.3674261149782323</v>
      </c>
      <c r="G11" s="150">
        <f>IF(Finland!H14="","",Finland!H14)</f>
        <v>0.3</v>
      </c>
    </row>
    <row r="12" spans="1:7">
      <c r="A12" s="147" t="str">
        <f>IF(Finland!B15="","",Finland!B15)</f>
        <v>FI00</v>
      </c>
      <c r="B12" t="str">
        <f>IF(Finland!C15="","",Finland!C15)</f>
        <v>dheat</v>
      </c>
      <c r="C12" t="str">
        <f>IF(Finland!D15="","",Finland!D15)</f>
        <v>VAN</v>
      </c>
      <c r="D12" s="149" t="s">
        <v>357</v>
      </c>
      <c r="E12" s="149">
        <f>IF(Finland!F15="","",Finland!F15)</f>
        <v>2020</v>
      </c>
      <c r="F12" s="150">
        <f>IF(Finland!G15="","",Finland!G15)</f>
        <v>1.9443747944752376</v>
      </c>
      <c r="G12" s="150">
        <f>IF(Finland!H15="","",Finland!H15)</f>
        <v>0.3</v>
      </c>
    </row>
    <row r="13" spans="1:7">
      <c r="A13" s="147" t="str">
        <f>IF(Finland!B16="","",Finland!B16)</f>
        <v>FI00</v>
      </c>
      <c r="B13" t="str">
        <f>IF(Finland!C16="","",Finland!C16)</f>
        <v>dheat</v>
      </c>
      <c r="C13" t="str">
        <f>IF(Finland!D16="","",Finland!D16)</f>
        <v>TKU</v>
      </c>
      <c r="D13" s="149" t="s">
        <v>357</v>
      </c>
      <c r="E13" s="149">
        <f>IF(Finland!F16="","",Finland!F16)</f>
        <v>2020</v>
      </c>
      <c r="F13" s="150">
        <f>IF(Finland!G16="","",Finland!G16)</f>
        <v>2.0964712483910621</v>
      </c>
      <c r="G13" s="150">
        <f>IF(Finland!H16="","",Finland!H16)</f>
        <v>0.3</v>
      </c>
    </row>
    <row r="14" spans="1:7">
      <c r="A14" s="147" t="str">
        <f>IF(Finland!B17="","",Finland!B17)</f>
        <v>FI00</v>
      </c>
      <c r="B14" t="str">
        <f>IF(Finland!C17="","",Finland!C17)</f>
        <v>dheat</v>
      </c>
      <c r="C14" t="str">
        <f>IF(Finland!D17="","",Finland!D17)</f>
        <v>TRE</v>
      </c>
      <c r="D14" s="149" t="s">
        <v>357</v>
      </c>
      <c r="E14" s="149">
        <f>IF(Finland!F17="","",Finland!F17)</f>
        <v>2020</v>
      </c>
      <c r="F14" s="150">
        <f>IF(Finland!G17="","",Finland!G17)</f>
        <v>2.234376775914841</v>
      </c>
      <c r="G14" s="150">
        <f>IF(Finland!H17="","",Finland!H17)</f>
        <v>0.3</v>
      </c>
    </row>
    <row r="15" spans="1:7">
      <c r="A15" s="147" t="str">
        <f>IF(Finland!B18="","",Finland!B18)</f>
        <v>FI00</v>
      </c>
      <c r="B15" t="str">
        <f>IF(Finland!C18="","",Finland!C18)</f>
        <v>dheat</v>
      </c>
      <c r="C15" t="str">
        <f>IF(Finland!D18="","",Finland!D18)</f>
        <v>OUL</v>
      </c>
      <c r="D15" s="149" t="s">
        <v>357</v>
      </c>
      <c r="E15" s="149">
        <f>IF(Finland!F18="","",Finland!F18)</f>
        <v>2020</v>
      </c>
      <c r="F15" s="150">
        <f>IF(Finland!G18="","",Finland!G18)</f>
        <v>1.821833974895485</v>
      </c>
      <c r="G15" s="150">
        <f>IF(Finland!H18="","",Finland!H18)</f>
        <v>0.3</v>
      </c>
    </row>
    <row r="16" spans="1:7">
      <c r="A16" s="147" t="str">
        <f>IF(Finland!B19="","",Finland!B19)</f>
        <v>FI00</v>
      </c>
      <c r="B16" t="str">
        <f>IF(Finland!C19="","",Finland!C19)</f>
        <v>dheat</v>
      </c>
      <c r="C16" t="str">
        <f>IF(Finland!D19="","",Finland!D19)</f>
        <v>JKL</v>
      </c>
      <c r="D16" s="149" t="s">
        <v>357</v>
      </c>
      <c r="E16" s="149">
        <f>IF(Finland!F19="","",Finland!F19)</f>
        <v>2020</v>
      </c>
      <c r="F16" s="150">
        <f>IF(Finland!G19="","",Finland!G19)</f>
        <v>1.2041924563777713</v>
      </c>
      <c r="G16" s="150">
        <f>IF(Finland!H19="","",Finland!H19)</f>
        <v>0.3</v>
      </c>
    </row>
    <row r="17" spans="1:7">
      <c r="A17" s="147" t="str">
        <f>IF(Finland!B20="","",Finland!B20)</f>
        <v>FI00</v>
      </c>
      <c r="B17" t="str">
        <f>IF(Finland!C20="","",Finland!C20)</f>
        <v>dheat</v>
      </c>
      <c r="C17" t="str">
        <f>IF(Finland!D20="","",Finland!D20)</f>
        <v>ROF</v>
      </c>
      <c r="D17" s="149" t="s">
        <v>357</v>
      </c>
      <c r="E17" s="149">
        <f>IF(Finland!F20="","",Finland!F20)</f>
        <v>2020</v>
      </c>
      <c r="F17" s="150">
        <f>IF(Finland!G20="","",Finland!G20)</f>
        <v>19.732749807732993</v>
      </c>
      <c r="G17" s="150">
        <f>IF(Finland!H20="","",Finland!H20)</f>
        <v>0.3</v>
      </c>
    </row>
    <row r="18" spans="1:7">
      <c r="A18" s="147" t="str">
        <f>IF(Finland!B21="","",Finland!B21)</f>
        <v>FI00</v>
      </c>
      <c r="B18" t="str">
        <f>IF(Finland!C21="","",Finland!C21)</f>
        <v>dheat</v>
      </c>
      <c r="C18" t="str">
        <f>IF(Finland!D21="","",Finland!D21)</f>
        <v>HKI</v>
      </c>
      <c r="D18" s="149" t="s">
        <v>357</v>
      </c>
      <c r="E18" s="149">
        <f>IF(Finland!F21="","",Finland!F21)</f>
        <v>2025</v>
      </c>
      <c r="F18" s="150">
        <f>IF(Finland!G21="","",Finland!G21)</f>
        <v>6.8940564264295006</v>
      </c>
      <c r="G18" s="150">
        <f>IF(Finland!H21="","",Finland!H21)</f>
        <v>0.3</v>
      </c>
    </row>
    <row r="19" spans="1:7">
      <c r="A19" s="147" t="str">
        <f>IF(Finland!B22="","",Finland!B22)</f>
        <v>FI00</v>
      </c>
      <c r="B19" t="str">
        <f>IF(Finland!C22="","",Finland!C22)</f>
        <v>dheat</v>
      </c>
      <c r="C19" t="str">
        <f>IF(Finland!D22="","",Finland!D22)</f>
        <v>ESP</v>
      </c>
      <c r="D19" s="149" t="s">
        <v>357</v>
      </c>
      <c r="E19" s="149">
        <f>IF(Finland!F22="","",Finland!F22)</f>
        <v>2025</v>
      </c>
      <c r="F19" s="150">
        <f>IF(Finland!G22="","",Finland!G22)</f>
        <v>2.3116653064160797</v>
      </c>
      <c r="G19" s="150">
        <f>IF(Finland!H22="","",Finland!H22)</f>
        <v>0.3</v>
      </c>
    </row>
    <row r="20" spans="1:7">
      <c r="A20" s="147" t="str">
        <f>IF(Finland!B23="","",Finland!B23)</f>
        <v>FI00</v>
      </c>
      <c r="B20" t="str">
        <f>IF(Finland!C23="","",Finland!C23)</f>
        <v>dheat</v>
      </c>
      <c r="C20" t="str">
        <f>IF(Finland!D23="","",Finland!D23)</f>
        <v>VAN</v>
      </c>
      <c r="D20" s="149" t="s">
        <v>357</v>
      </c>
      <c r="E20" s="149">
        <f>IF(Finland!F23="","",Finland!F23)</f>
        <v>2025</v>
      </c>
      <c r="F20" s="150">
        <f>IF(Finland!G23="","",Finland!G23)</f>
        <v>1.9534342636259119</v>
      </c>
      <c r="G20" s="150">
        <f>IF(Finland!H23="","",Finland!H23)</f>
        <v>0.3</v>
      </c>
    </row>
    <row r="21" spans="1:7">
      <c r="A21" s="147" t="str">
        <f>IF(Finland!B24="","",Finland!B24)</f>
        <v>FI00</v>
      </c>
      <c r="B21" t="str">
        <f>IF(Finland!C24="","",Finland!C24)</f>
        <v>dheat</v>
      </c>
      <c r="C21" t="str">
        <f>IF(Finland!D24="","",Finland!D24)</f>
        <v>TKU</v>
      </c>
      <c r="D21" s="149" t="s">
        <v>357</v>
      </c>
      <c r="E21" s="149">
        <f>IF(Finland!F24="","",Finland!F24)</f>
        <v>2025</v>
      </c>
      <c r="F21" s="150">
        <f>IF(Finland!G24="","",Finland!G24)</f>
        <v>2.0365952811144408</v>
      </c>
      <c r="G21" s="150">
        <f>IF(Finland!H24="","",Finland!H24)</f>
        <v>0.3</v>
      </c>
    </row>
    <row r="22" spans="1:7">
      <c r="A22" s="147" t="str">
        <f>IF(Finland!B25="","",Finland!B25)</f>
        <v>FI00</v>
      </c>
      <c r="B22" t="str">
        <f>IF(Finland!C25="","",Finland!C25)</f>
        <v>dheat</v>
      </c>
      <c r="C22" t="str">
        <f>IF(Finland!D25="","",Finland!D25)</f>
        <v>TRE</v>
      </c>
      <c r="D22" s="149" t="s">
        <v>357</v>
      </c>
      <c r="E22" s="149">
        <f>IF(Finland!F25="","",Finland!F25)</f>
        <v>2025</v>
      </c>
      <c r="F22" s="150">
        <f>IF(Finland!G25="","",Finland!G25)</f>
        <v>2.2303641536293948</v>
      </c>
      <c r="G22" s="150">
        <f>IF(Finland!H25="","",Finland!H25)</f>
        <v>0.3</v>
      </c>
    </row>
    <row r="23" spans="1:7">
      <c r="A23" s="147" t="str">
        <f>IF(Finland!B26="","",Finland!B26)</f>
        <v>FI00</v>
      </c>
      <c r="B23" t="str">
        <f>IF(Finland!C26="","",Finland!C26)</f>
        <v>dheat</v>
      </c>
      <c r="C23" t="str">
        <f>IF(Finland!D26="","",Finland!D26)</f>
        <v>OUL</v>
      </c>
      <c r="D23" s="149" t="s">
        <v>357</v>
      </c>
      <c r="E23" s="149">
        <f>IF(Finland!F26="","",Finland!F26)</f>
        <v>2025</v>
      </c>
      <c r="F23" s="150">
        <f>IF(Finland!G26="","",Finland!G26)</f>
        <v>1.9174791297331568</v>
      </c>
      <c r="G23" s="150">
        <f>IF(Finland!H26="","",Finland!H26)</f>
        <v>0.3</v>
      </c>
    </row>
    <row r="24" spans="1:7">
      <c r="A24" s="147" t="str">
        <f>IF(Finland!B27="","",Finland!B27)</f>
        <v>FI00</v>
      </c>
      <c r="B24" t="str">
        <f>IF(Finland!C27="","",Finland!C27)</f>
        <v>dheat</v>
      </c>
      <c r="C24" t="str">
        <f>IF(Finland!D27="","",Finland!D27)</f>
        <v>JKL</v>
      </c>
      <c r="D24" s="149" t="s">
        <v>357</v>
      </c>
      <c r="E24" s="149">
        <f>IF(Finland!F27="","",Finland!F27)</f>
        <v>2025</v>
      </c>
      <c r="F24" s="150">
        <f>IF(Finland!G27="","",Finland!G27)</f>
        <v>1.2125035647713862</v>
      </c>
      <c r="G24" s="150">
        <f>IF(Finland!H27="","",Finland!H27)</f>
        <v>0.3</v>
      </c>
    </row>
    <row r="25" spans="1:7">
      <c r="A25" s="147" t="str">
        <f>IF(Finland!B28="","",Finland!B28)</f>
        <v>FI00</v>
      </c>
      <c r="B25" t="str">
        <f>IF(Finland!C28="","",Finland!C28)</f>
        <v>dheat</v>
      </c>
      <c r="C25" t="str">
        <f>IF(Finland!D28="","",Finland!D28)</f>
        <v>ROF</v>
      </c>
      <c r="D25" s="149" t="s">
        <v>357</v>
      </c>
      <c r="E25" s="149">
        <f>IF(Finland!F28="","",Finland!F28)</f>
        <v>2025</v>
      </c>
      <c r="F25" s="150">
        <f>IF(Finland!G28="","",Finland!G28)</f>
        <v>20.045262703680852</v>
      </c>
      <c r="G25" s="150">
        <f>IF(Finland!H28="","",Finland!H28)</f>
        <v>0.3</v>
      </c>
    </row>
    <row r="26" spans="1:7">
      <c r="A26" s="147" t="str">
        <f>IF(Finland!B29="","",Finland!B29)</f>
        <v>FI00</v>
      </c>
      <c r="B26" t="str">
        <f>IF(Finland!C29="","",Finland!C29)</f>
        <v>dheat</v>
      </c>
      <c r="C26" t="str">
        <f>IF(Finland!D29="","",Finland!D29)</f>
        <v>HKI</v>
      </c>
      <c r="D26" s="149" t="s">
        <v>357</v>
      </c>
      <c r="E26" s="149">
        <f>IF(Finland!F29="","",Finland!F29)</f>
        <v>2030</v>
      </c>
      <c r="F26" s="150">
        <f>IF(Finland!G29="","",Finland!G29)</f>
        <v>6.7488075488799648</v>
      </c>
      <c r="G26" s="150">
        <f>IF(Finland!H29="","",Finland!H29)</f>
        <v>0.3</v>
      </c>
    </row>
    <row r="27" spans="1:7">
      <c r="A27" s="147" t="str">
        <f>IF(Finland!B30="","",Finland!B30)</f>
        <v>FI00</v>
      </c>
      <c r="B27" t="str">
        <f>IF(Finland!C30="","",Finland!C30)</f>
        <v>dheat</v>
      </c>
      <c r="C27" t="str">
        <f>IF(Finland!D30="","",Finland!D30)</f>
        <v>ESP</v>
      </c>
      <c r="D27" s="149" t="s">
        <v>357</v>
      </c>
      <c r="E27" s="149">
        <f>IF(Finland!F30="","",Finland!F30)</f>
        <v>2030</v>
      </c>
      <c r="F27" s="150">
        <f>IF(Finland!G30="","",Finland!G30)</f>
        <v>2.2889008612304806</v>
      </c>
      <c r="G27" s="150">
        <f>IF(Finland!H30="","",Finland!H30)</f>
        <v>0.3</v>
      </c>
    </row>
    <row r="28" spans="1:7">
      <c r="A28" s="147" t="str">
        <f>IF(Finland!B31="","",Finland!B31)</f>
        <v>FI00</v>
      </c>
      <c r="B28" t="str">
        <f>IF(Finland!C31="","",Finland!C31)</f>
        <v>dheat</v>
      </c>
      <c r="C28" t="str">
        <f>IF(Finland!D31="","",Finland!D31)</f>
        <v>VAN</v>
      </c>
      <c r="D28" s="149" t="s">
        <v>357</v>
      </c>
      <c r="E28" s="149">
        <f>IF(Finland!F31="","",Finland!F31)</f>
        <v>2030</v>
      </c>
      <c r="F28" s="150">
        <f>IF(Finland!G31="","",Finland!G31)</f>
        <v>1.9356427810578116</v>
      </c>
      <c r="G28" s="150">
        <f>IF(Finland!H31="","",Finland!H31)</f>
        <v>0.3</v>
      </c>
    </row>
    <row r="29" spans="1:7">
      <c r="A29" s="147" t="str">
        <f>IF(Finland!B32="","",Finland!B32)</f>
        <v>FI00</v>
      </c>
      <c r="B29" t="str">
        <f>IF(Finland!C32="","",Finland!C32)</f>
        <v>dheat</v>
      </c>
      <c r="C29" t="str">
        <f>IF(Finland!D32="","",Finland!D32)</f>
        <v>TKU</v>
      </c>
      <c r="D29" s="149" t="s">
        <v>357</v>
      </c>
      <c r="E29" s="149">
        <f>IF(Finland!F32="","",Finland!F32)</f>
        <v>2030</v>
      </c>
      <c r="F29" s="150">
        <f>IF(Finland!G32="","",Finland!G32)</f>
        <v>2.0207279338237871</v>
      </c>
      <c r="G29" s="150">
        <f>IF(Finland!H32="","",Finland!H32)</f>
        <v>0.3</v>
      </c>
    </row>
    <row r="30" spans="1:7">
      <c r="A30" s="147" t="str">
        <f>IF(Finland!B33="","",Finland!B33)</f>
        <v>FI00</v>
      </c>
      <c r="B30" t="str">
        <f>IF(Finland!C33="","",Finland!C33)</f>
        <v>dheat</v>
      </c>
      <c r="C30" t="str">
        <f>IF(Finland!D33="","",Finland!D33)</f>
        <v>TRE</v>
      </c>
      <c r="D30" s="149" t="s">
        <v>357</v>
      </c>
      <c r="E30" s="149">
        <f>IF(Finland!F33="","",Finland!F33)</f>
        <v>2030</v>
      </c>
      <c r="F30" s="150">
        <f>IF(Finland!G33="","",Finland!G33)</f>
        <v>2.2163180096673005</v>
      </c>
      <c r="G30" s="150">
        <f>IF(Finland!H33="","",Finland!H33)</f>
        <v>0.3</v>
      </c>
    </row>
    <row r="31" spans="1:7">
      <c r="A31" s="147" t="str">
        <f>IF(Finland!B34="","",Finland!B34)</f>
        <v>FI00</v>
      </c>
      <c r="B31" t="str">
        <f>IF(Finland!C34="","",Finland!C34)</f>
        <v>dheat</v>
      </c>
      <c r="C31" t="str">
        <f>IF(Finland!D34="","",Finland!D34)</f>
        <v>OUL</v>
      </c>
      <c r="D31" s="149" t="s">
        <v>357</v>
      </c>
      <c r="E31" s="149">
        <f>IF(Finland!F34="","",Finland!F34)</f>
        <v>2030</v>
      </c>
      <c r="F31" s="150">
        <f>IF(Finland!G34="","",Finland!G34)</f>
        <v>1.9497430328172036</v>
      </c>
      <c r="G31" s="150">
        <f>IF(Finland!H34="","",Finland!H34)</f>
        <v>0.3</v>
      </c>
    </row>
    <row r="32" spans="1:7">
      <c r="A32" s="147" t="str">
        <f>IF(Finland!B35="","",Finland!B35)</f>
        <v>FI00</v>
      </c>
      <c r="B32" t="str">
        <f>IF(Finland!C35="","",Finland!C35)</f>
        <v>dheat</v>
      </c>
      <c r="C32" t="str">
        <f>IF(Finland!D35="","",Finland!D35)</f>
        <v>JKL</v>
      </c>
      <c r="D32" s="149" t="s">
        <v>357</v>
      </c>
      <c r="E32" s="149">
        <f>IF(Finland!F35="","",Finland!F35)</f>
        <v>2030</v>
      </c>
      <c r="F32" s="150">
        <f>IF(Finland!G35="","",Finland!G35)</f>
        <v>1.2184677184417412</v>
      </c>
      <c r="G32" s="150">
        <f>IF(Finland!H35="","",Finland!H35)</f>
        <v>0.3</v>
      </c>
    </row>
    <row r="33" spans="1:7">
      <c r="A33" s="147" t="str">
        <f>IF(Finland!B36="","",Finland!B36)</f>
        <v>FI00</v>
      </c>
      <c r="B33" t="str">
        <f>IF(Finland!C36="","",Finland!C36)</f>
        <v>dheat</v>
      </c>
      <c r="C33" t="str">
        <f>IF(Finland!D36="","",Finland!D36)</f>
        <v>ROF</v>
      </c>
      <c r="D33" s="149" t="s">
        <v>357</v>
      </c>
      <c r="E33" s="149">
        <f>IF(Finland!F36="","",Finland!F36)</f>
        <v>2030</v>
      </c>
      <c r="F33" s="150">
        <f>IF(Finland!G36="","",Finland!G36)</f>
        <v>20.388968037364851</v>
      </c>
      <c r="G33" s="150">
        <f>IF(Finland!H36="","",Finland!H36)</f>
        <v>0.3</v>
      </c>
    </row>
    <row r="34" spans="1:7">
      <c r="A34" s="147" t="str">
        <f>IF(Finland!B37="","",Finland!B37)</f>
        <v>FI00</v>
      </c>
      <c r="B34" t="str">
        <f>IF(Finland!C37="","",Finland!C37)</f>
        <v>dheat</v>
      </c>
      <c r="C34" t="str">
        <f>IF(Finland!D37="","",Finland!D37)</f>
        <v>HKI</v>
      </c>
      <c r="D34" s="149" t="s">
        <v>357</v>
      </c>
      <c r="E34" s="149">
        <f>IF(Finland!F37="","",Finland!F37)</f>
        <v>2035</v>
      </c>
      <c r="F34" s="150">
        <f>IF(Finland!G37="","",Finland!G37)</f>
        <v>6.5466201846226735</v>
      </c>
      <c r="G34" s="150">
        <f>IF(Finland!H37="","",Finland!H37)</f>
        <v>0.3</v>
      </c>
    </row>
    <row r="35" spans="1:7">
      <c r="A35" s="147" t="str">
        <f>IF(Finland!B38="","",Finland!B38)</f>
        <v>FI00</v>
      </c>
      <c r="B35" t="str">
        <f>IF(Finland!C38="","",Finland!C38)</f>
        <v>dheat</v>
      </c>
      <c r="C35" t="str">
        <f>IF(Finland!D38="","",Finland!D38)</f>
        <v>ESP</v>
      </c>
      <c r="D35" s="149" t="s">
        <v>357</v>
      </c>
      <c r="E35" s="149">
        <f>IF(Finland!F38="","",Finland!F38)</f>
        <v>2035</v>
      </c>
      <c r="F35" s="150">
        <f>IF(Finland!G38="","",Finland!G38)</f>
        <v>2.2342092575747032</v>
      </c>
      <c r="G35" s="150">
        <f>IF(Finland!H38="","",Finland!H38)</f>
        <v>0.3</v>
      </c>
    </row>
    <row r="36" spans="1:7">
      <c r="A36" s="147" t="str">
        <f>IF(Finland!B39="","",Finland!B39)</f>
        <v>FI00</v>
      </c>
      <c r="B36" t="str">
        <f>IF(Finland!C39="","",Finland!C39)</f>
        <v>dheat</v>
      </c>
      <c r="C36" t="str">
        <f>IF(Finland!D39="","",Finland!D39)</f>
        <v>VAN</v>
      </c>
      <c r="D36" s="149" t="s">
        <v>357</v>
      </c>
      <c r="E36" s="149">
        <f>IF(Finland!F39="","",Finland!F39)</f>
        <v>2035</v>
      </c>
      <c r="F36" s="150">
        <f>IF(Finland!G39="","",Finland!G39)</f>
        <v>1.8913769365150044</v>
      </c>
      <c r="G36" s="150">
        <f>IF(Finland!H39="","",Finland!H39)</f>
        <v>0.3</v>
      </c>
    </row>
    <row r="37" spans="1:7">
      <c r="A37" s="147" t="str">
        <f>IF(Finland!B40="","",Finland!B40)</f>
        <v>FI00</v>
      </c>
      <c r="B37" t="str">
        <f>IF(Finland!C40="","",Finland!C40)</f>
        <v>dheat</v>
      </c>
      <c r="C37" t="str">
        <f>IF(Finland!D40="","",Finland!D40)</f>
        <v>TKU</v>
      </c>
      <c r="D37" s="149" t="s">
        <v>357</v>
      </c>
      <c r="E37" s="149">
        <f>IF(Finland!F40="","",Finland!F40)</f>
        <v>2035</v>
      </c>
      <c r="F37" s="150">
        <f>IF(Finland!G40="","",Finland!G40)</f>
        <v>1.9891835577382728</v>
      </c>
      <c r="G37" s="150">
        <f>IF(Finland!H40="","",Finland!H40)</f>
        <v>0.3</v>
      </c>
    </row>
    <row r="38" spans="1:7">
      <c r="A38" s="147" t="str">
        <f>IF(Finland!B41="","",Finland!B41)</f>
        <v>FI00</v>
      </c>
      <c r="B38" t="str">
        <f>IF(Finland!C41="","",Finland!C41)</f>
        <v>dheat</v>
      </c>
      <c r="C38" t="str">
        <f>IF(Finland!D41="","",Finland!D41)</f>
        <v>TRE</v>
      </c>
      <c r="D38" s="149" t="s">
        <v>357</v>
      </c>
      <c r="E38" s="149">
        <f>IF(Finland!F41="","",Finland!F41)</f>
        <v>2035</v>
      </c>
      <c r="F38" s="150">
        <f>IF(Finland!G41="","",Finland!G41)</f>
        <v>2.1785868062160931</v>
      </c>
      <c r="G38" s="150">
        <f>IF(Finland!H41="","",Finland!H41)</f>
        <v>0.3</v>
      </c>
    </row>
    <row r="39" spans="1:7">
      <c r="A39" s="147" t="str">
        <f>IF(Finland!B42="","",Finland!B42)</f>
        <v>FI00</v>
      </c>
      <c r="B39" t="str">
        <f>IF(Finland!C42="","",Finland!C42)</f>
        <v>dheat</v>
      </c>
      <c r="C39" t="str">
        <f>IF(Finland!D42="","",Finland!D42)</f>
        <v>OUL</v>
      </c>
      <c r="D39" s="149" t="s">
        <v>357</v>
      </c>
      <c r="E39" s="149">
        <f>IF(Finland!F42="","",Finland!F42)</f>
        <v>2035</v>
      </c>
      <c r="F39" s="150">
        <f>IF(Finland!G42="","",Finland!G42)</f>
        <v>1.9651785616096522</v>
      </c>
      <c r="G39" s="150">
        <f>IF(Finland!H42="","",Finland!H42)</f>
        <v>0.3</v>
      </c>
    </row>
    <row r="40" spans="1:7">
      <c r="A40" s="147" t="str">
        <f>IF(Finland!B43="","",Finland!B43)</f>
        <v>FI00</v>
      </c>
      <c r="B40" t="str">
        <f>IF(Finland!C43="","",Finland!C43)</f>
        <v>dheat</v>
      </c>
      <c r="C40" t="str">
        <f>IF(Finland!D43="","",Finland!D43)</f>
        <v>JKL</v>
      </c>
      <c r="D40" s="149" t="s">
        <v>357</v>
      </c>
      <c r="E40" s="149">
        <f>IF(Finland!F43="","",Finland!F43)</f>
        <v>2035</v>
      </c>
      <c r="F40" s="150">
        <f>IF(Finland!G43="","",Finland!G43)</f>
        <v>1.2152905512460432</v>
      </c>
      <c r="G40" s="150">
        <f>IF(Finland!H43="","",Finland!H43)</f>
        <v>0.3</v>
      </c>
    </row>
    <row r="41" spans="1:7">
      <c r="A41" s="147" t="str">
        <f>IF(Finland!B44="","",Finland!B44)</f>
        <v>FI00</v>
      </c>
      <c r="B41" t="str">
        <f>IF(Finland!C44="","",Finland!C44)</f>
        <v>dheat</v>
      </c>
      <c r="C41" t="str">
        <f>IF(Finland!D44="","",Finland!D44)</f>
        <v>ROF</v>
      </c>
      <c r="D41" s="149" t="s">
        <v>357</v>
      </c>
      <c r="E41" s="149">
        <f>IF(Finland!F44="","",Finland!F44)</f>
        <v>2035</v>
      </c>
      <c r="F41" s="150">
        <f>IF(Finland!G44="","",Finland!G44)</f>
        <v>20.381214206217507</v>
      </c>
      <c r="G41" s="150">
        <f>IF(Finland!H44="","",Finland!H44)</f>
        <v>0.3</v>
      </c>
    </row>
    <row r="42" spans="1:7">
      <c r="A42" s="147" t="str">
        <f>IF(Finland!B45="","",Finland!B45)</f>
        <v>FI00</v>
      </c>
      <c r="B42" t="str">
        <f>IF(Finland!C45="","",Finland!C45)</f>
        <v>dheat</v>
      </c>
      <c r="C42" t="str">
        <f>IF(Finland!D45="","",Finland!D45)</f>
        <v>HKI</v>
      </c>
      <c r="D42" s="149" t="s">
        <v>357</v>
      </c>
      <c r="E42" s="149">
        <f>IF(Finland!F45="","",Finland!F45)</f>
        <v>2040</v>
      </c>
      <c r="F42" s="150">
        <f>IF(Finland!G45="","",Finland!G45)</f>
        <v>6.342236238543344</v>
      </c>
      <c r="G42" s="150">
        <f>IF(Finland!H45="","",Finland!H45)</f>
        <v>0.3</v>
      </c>
    </row>
    <row r="43" spans="1:7">
      <c r="A43" s="147" t="str">
        <f>IF(Finland!B46="","",Finland!B46)</f>
        <v>FI00</v>
      </c>
      <c r="B43" t="str">
        <f>IF(Finland!C46="","",Finland!C46)</f>
        <v>dheat</v>
      </c>
      <c r="C43" t="str">
        <f>IF(Finland!D46="","",Finland!D46)</f>
        <v>ESP</v>
      </c>
      <c r="D43" s="149" t="s">
        <v>357</v>
      </c>
      <c r="E43" s="149">
        <f>IF(Finland!F46="","",Finland!F46)</f>
        <v>2040</v>
      </c>
      <c r="F43" s="150">
        <f>IF(Finland!G46="","",Finland!G46)</f>
        <v>2.1769856112614487</v>
      </c>
      <c r="G43" s="150">
        <f>IF(Finland!H46="","",Finland!H46)</f>
        <v>0.3</v>
      </c>
    </row>
    <row r="44" spans="1:7">
      <c r="A44" s="147" t="str">
        <f>IF(Finland!B47="","",Finland!B47)</f>
        <v>FI00</v>
      </c>
      <c r="B44" t="str">
        <f>IF(Finland!C47="","",Finland!C47)</f>
        <v>dheat</v>
      </c>
      <c r="C44" t="str">
        <f>IF(Finland!D47="","",Finland!D47)</f>
        <v>VAN</v>
      </c>
      <c r="D44" s="149" t="s">
        <v>357</v>
      </c>
      <c r="E44" s="149">
        <f>IF(Finland!F47="","",Finland!F47)</f>
        <v>2040</v>
      </c>
      <c r="F44" s="150">
        <f>IF(Finland!G47="","",Finland!G47)</f>
        <v>1.8447875411775885</v>
      </c>
      <c r="G44" s="150">
        <f>IF(Finland!H47="","",Finland!H47)</f>
        <v>0.3</v>
      </c>
    </row>
    <row r="45" spans="1:7">
      <c r="A45" s="147" t="str">
        <f>IF(Finland!B48="","",Finland!B48)</f>
        <v>FI00</v>
      </c>
      <c r="B45" t="str">
        <f>IF(Finland!C48="","",Finland!C48)</f>
        <v>dheat</v>
      </c>
      <c r="C45" t="str">
        <f>IF(Finland!D48="","",Finland!D48)</f>
        <v>TKU</v>
      </c>
      <c r="D45" s="149" t="s">
        <v>357</v>
      </c>
      <c r="E45" s="149">
        <f>IF(Finland!F48="","",Finland!F48)</f>
        <v>2040</v>
      </c>
      <c r="F45" s="150">
        <f>IF(Finland!G48="","",Finland!G48)</f>
        <v>1.9568543870152488</v>
      </c>
      <c r="G45" s="150">
        <f>IF(Finland!H48="","",Finland!H48)</f>
        <v>0.3</v>
      </c>
    </row>
    <row r="46" spans="1:7">
      <c r="A46" s="147" t="str">
        <f>IF(Finland!B49="","",Finland!B49)</f>
        <v>FI00</v>
      </c>
      <c r="B46" t="str">
        <f>IF(Finland!C49="","",Finland!C49)</f>
        <v>dheat</v>
      </c>
      <c r="C46" t="str">
        <f>IF(Finland!D49="","",Finland!D49)</f>
        <v>TRE</v>
      </c>
      <c r="D46" s="149" t="s">
        <v>357</v>
      </c>
      <c r="E46" s="149">
        <f>IF(Finland!F49="","",Finland!F49)</f>
        <v>2040</v>
      </c>
      <c r="F46" s="150">
        <f>IF(Finland!G49="","",Finland!G49)</f>
        <v>2.1392936893704038</v>
      </c>
      <c r="G46" s="150">
        <f>IF(Finland!H49="","",Finland!H49)</f>
        <v>0.3</v>
      </c>
    </row>
    <row r="47" spans="1:7">
      <c r="A47" s="147" t="str">
        <f>IF(Finland!B50="","",Finland!B50)</f>
        <v>FI00</v>
      </c>
      <c r="B47" t="str">
        <f>IF(Finland!C50="","",Finland!C50)</f>
        <v>dheat</v>
      </c>
      <c r="C47" t="str">
        <f>IF(Finland!D50="","",Finland!D50)</f>
        <v>OUL</v>
      </c>
      <c r="D47" s="149" t="s">
        <v>357</v>
      </c>
      <c r="E47" s="149">
        <f>IF(Finland!F50="","",Finland!F50)</f>
        <v>2040</v>
      </c>
      <c r="F47" s="150">
        <f>IF(Finland!G50="","",Finland!G50)</f>
        <v>1.979814793082014</v>
      </c>
      <c r="G47" s="150">
        <f>IF(Finland!H50="","",Finland!H50)</f>
        <v>0.3</v>
      </c>
    </row>
    <row r="48" spans="1:7">
      <c r="A48" s="147" t="str">
        <f>IF(Finland!B51="","",Finland!B51)</f>
        <v>FI00</v>
      </c>
      <c r="B48" t="str">
        <f>IF(Finland!C51="","",Finland!C51)</f>
        <v>dheat</v>
      </c>
      <c r="C48" t="str">
        <f>IF(Finland!D51="","",Finland!D51)</f>
        <v>JKL</v>
      </c>
      <c r="D48" s="149" t="s">
        <v>357</v>
      </c>
      <c r="E48" s="149">
        <f>IF(Finland!F51="","",Finland!F51)</f>
        <v>2040</v>
      </c>
      <c r="F48" s="150">
        <f>IF(Finland!G51="","",Finland!G51)</f>
        <v>1.2116176866883288</v>
      </c>
      <c r="G48" s="150">
        <f>IF(Finland!H51="","",Finland!H51)</f>
        <v>0.3</v>
      </c>
    </row>
    <row r="49" spans="1:7">
      <c r="A49" s="147" t="str">
        <f>IF(Finland!B52="","",Finland!B52)</f>
        <v>FI00</v>
      </c>
      <c r="B49" t="str">
        <f>IF(Finland!C52="","",Finland!C52)</f>
        <v>dheat</v>
      </c>
      <c r="C49" t="str">
        <f>IF(Finland!D52="","",Finland!D52)</f>
        <v>ROF</v>
      </c>
      <c r="D49" s="149" t="s">
        <v>357</v>
      </c>
      <c r="E49" s="149">
        <f>IF(Finland!F52="","",Finland!F52)</f>
        <v>2040</v>
      </c>
      <c r="F49" s="150">
        <f>IF(Finland!G52="","",Finland!G52)</f>
        <v>20.244298555893831</v>
      </c>
      <c r="G49" s="150">
        <f>IF(Finland!H52="","",Finland!H52)</f>
        <v>0.3</v>
      </c>
    </row>
    <row r="50" spans="1:7">
      <c r="A50" s="147" t="str">
        <f>IF(Norway!B5="","", Norway!B5)</f>
        <v>NOS0</v>
      </c>
      <c r="B50" t="str">
        <f>IF(Norway!C5="","", Norway!C5)</f>
        <v>dheat</v>
      </c>
      <c r="C50" t="str">
        <f>IF(Norway!D5="","", Norway!D5)</f>
        <v/>
      </c>
      <c r="D50" s="149" t="s">
        <v>357</v>
      </c>
      <c r="E50" s="149">
        <f>IF(Norway!F5="","", Norway!F5)</f>
        <v>2015</v>
      </c>
      <c r="F50" s="150">
        <f>IF(Norway!G5="","", Norway!G5)</f>
        <v>4.2784351545442956</v>
      </c>
      <c r="G50" s="150">
        <f>IF(Norway!H5="","", Norway!H5)</f>
        <v>0.3</v>
      </c>
    </row>
    <row r="51" spans="1:7">
      <c r="A51" t="str">
        <f>IF(Norway!B6="","", Norway!B6)</f>
        <v>NOM1</v>
      </c>
      <c r="B51" t="str">
        <f>IF(Norway!C6="","", Norway!C6)</f>
        <v>dheat</v>
      </c>
      <c r="C51" t="str">
        <f>IF(Norway!D6="","", Norway!D6)</f>
        <v/>
      </c>
      <c r="D51" s="149" t="s">
        <v>357</v>
      </c>
      <c r="E51" s="149">
        <f>IF(Norway!F6="","", Norway!F6)</f>
        <v>2015</v>
      </c>
      <c r="F51" s="150">
        <f>IF(Norway!G6="","", Norway!G6)</f>
        <v>0.6166086335255444</v>
      </c>
      <c r="G51" s="150">
        <f>IF(Norway!H6="","", Norway!H6)</f>
        <v>0.3</v>
      </c>
    </row>
    <row r="52" spans="1:7">
      <c r="A52" t="str">
        <f>IF(Norway!B7="","", Norway!B7)</f>
        <v>NON1</v>
      </c>
      <c r="B52" t="str">
        <f>IF(Norway!C7="","", Norway!C7)</f>
        <v>dheat</v>
      </c>
      <c r="C52" t="str">
        <f>IF(Norway!D7="","", Norway!D7)</f>
        <v/>
      </c>
      <c r="D52" s="149" t="s">
        <v>357</v>
      </c>
      <c r="E52" s="149">
        <f>IF(Norway!F7="","", Norway!F7)</f>
        <v>2015</v>
      </c>
      <c r="F52" s="150">
        <f>IF(Norway!G7="","", Norway!G7)</f>
        <v>0.65078861779954356</v>
      </c>
      <c r="G52" s="150">
        <f>IF(Norway!H7="","", Norway!H7)</f>
        <v>0.3</v>
      </c>
    </row>
    <row r="53" spans="1:7">
      <c r="A53" t="str">
        <f>IF(Norway!B8="","", Norway!B8)</f>
        <v>NOS0</v>
      </c>
      <c r="B53" t="str">
        <f>IF(Norway!C8="","", Norway!C8)</f>
        <v>dheat</v>
      </c>
      <c r="C53" t="str">
        <f>IF(Norway!D8="","", Norway!D8)</f>
        <v/>
      </c>
      <c r="D53" s="149" t="s">
        <v>357</v>
      </c>
      <c r="E53" s="149">
        <f>IF(Norway!F8="","", Norway!F8)</f>
        <v>2020</v>
      </c>
      <c r="F53" s="150">
        <f>IF(Norway!G8="","", Norway!G8)</f>
        <v>5.321436623578812</v>
      </c>
      <c r="G53" s="150">
        <f>IF(Norway!H8="","", Norway!H8)</f>
        <v>0.3</v>
      </c>
    </row>
    <row r="54" spans="1:7">
      <c r="A54" t="str">
        <f>IF(Norway!B9="","", Norway!B9)</f>
        <v>NOM1</v>
      </c>
      <c r="B54" t="str">
        <f>IF(Norway!C9="","", Norway!C9)</f>
        <v>dheat</v>
      </c>
      <c r="C54" t="str">
        <f>IF(Norway!D9="","", Norway!D9)</f>
        <v/>
      </c>
      <c r="D54" s="149" t="s">
        <v>357</v>
      </c>
      <c r="E54" s="149">
        <f>IF(Norway!F9="","", Norway!F9)</f>
        <v>2020</v>
      </c>
      <c r="F54" s="150">
        <f>IF(Norway!G9="","", Norway!G9)</f>
        <v>0.76692614152924088</v>
      </c>
      <c r="G54" s="150">
        <f>IF(Norway!H9="","", Norway!H9)</f>
        <v>0.3</v>
      </c>
    </row>
    <row r="55" spans="1:7">
      <c r="A55" t="str">
        <f>IF(Norway!B10="","", Norway!B10)</f>
        <v>NON1</v>
      </c>
      <c r="B55" t="str">
        <f>IF(Norway!C10="","", Norway!C10)</f>
        <v>dheat</v>
      </c>
      <c r="C55" t="str">
        <f>IF(Norway!D10="","", Norway!D10)</f>
        <v/>
      </c>
      <c r="D55" s="149" t="s">
        <v>357</v>
      </c>
      <c r="E55" s="149">
        <f>IF(Norway!F10="","", Norway!F10)</f>
        <v>2020</v>
      </c>
      <c r="F55" s="150">
        <f>IF(Norway!G10="","", Norway!G10)</f>
        <v>0.80943855869555426</v>
      </c>
      <c r="G55" s="150">
        <f>IF(Norway!H10="","", Norway!H10)</f>
        <v>0.3</v>
      </c>
    </row>
    <row r="56" spans="1:7">
      <c r="A56" s="147" t="str">
        <f>IF(Norway!B11="","", Norway!B11)</f>
        <v>NOS0</v>
      </c>
      <c r="B56" t="str">
        <f>IF(Norway!C11="","", Norway!C11)</f>
        <v>dheat</v>
      </c>
      <c r="C56" t="str">
        <f>IF(Norway!D11="","", Norway!D11)</f>
        <v/>
      </c>
      <c r="D56" s="149" t="s">
        <v>357</v>
      </c>
      <c r="E56" s="149">
        <f>IF(Norway!F11="","", Norway!F11)</f>
        <v>2025</v>
      </c>
      <c r="F56" s="150">
        <f>IF(Norway!G11="","", Norway!G11)</f>
        <v>6.1755444400323931</v>
      </c>
      <c r="G56" s="150">
        <f>IF(Norway!H11="","", Norway!H11)</f>
        <v>0.3</v>
      </c>
    </row>
    <row r="57" spans="1:7">
      <c r="A57" t="str">
        <f>IF(Norway!B12="","", Norway!B12)</f>
        <v>NOM1</v>
      </c>
      <c r="B57" t="str">
        <f>IF(Norway!C12="","", Norway!C12)</f>
        <v>dheat</v>
      </c>
      <c r="C57" t="str">
        <f>IF(Norway!D12="","", Norway!D12)</f>
        <v/>
      </c>
      <c r="D57" s="149" t="s">
        <v>357</v>
      </c>
      <c r="E57" s="149">
        <f>IF(Norway!F12="","", Norway!F12)</f>
        <v>2025</v>
      </c>
      <c r="F57" s="150">
        <f>IF(Norway!G12="","", Norway!G12)</f>
        <v>0.89002027164070296</v>
      </c>
      <c r="G57" s="150">
        <f>IF(Norway!H12="","", Norway!H12)</f>
        <v>0.3</v>
      </c>
    </row>
    <row r="58" spans="1:7">
      <c r="A58" t="str">
        <f>IF(Norway!B13="","", Norway!B13)</f>
        <v>NON1</v>
      </c>
      <c r="B58" t="str">
        <f>IF(Norway!C13="","", Norway!C13)</f>
        <v>dheat</v>
      </c>
      <c r="C58" t="str">
        <f>IF(Norway!D13="","", Norway!D13)</f>
        <v/>
      </c>
      <c r="D58" s="149" t="s">
        <v>357</v>
      </c>
      <c r="E58" s="149">
        <f>IF(Norway!F13="","", Norway!F13)</f>
        <v>2025</v>
      </c>
      <c r="F58" s="150">
        <f>IF(Norway!G13="","", Norway!G13)</f>
        <v>0.9393560694777916</v>
      </c>
      <c r="G58" s="150">
        <f>IF(Norway!H13="","", Norway!H13)</f>
        <v>0.3</v>
      </c>
    </row>
    <row r="59" spans="1:7">
      <c r="A59" t="str">
        <f>IF(Norway!B14="","", Norway!B14)</f>
        <v>NOS0</v>
      </c>
      <c r="B59" t="str">
        <f>IF(Norway!C14="","", Norway!C14)</f>
        <v>dheat</v>
      </c>
      <c r="C59" t="str">
        <f>IF(Norway!D14="","", Norway!D14)</f>
        <v/>
      </c>
      <c r="D59" s="149" t="s">
        <v>357</v>
      </c>
      <c r="E59" s="149">
        <f>IF(Norway!F14="","", Norway!F14)</f>
        <v>2030</v>
      </c>
      <c r="F59" s="150">
        <f>IF(Norway!G14="","", Norway!G14)</f>
        <v>6.515268558924121</v>
      </c>
      <c r="G59" s="150">
        <f>IF(Norway!H14="","", Norway!H14)</f>
        <v>0.3</v>
      </c>
    </row>
    <row r="60" spans="1:7">
      <c r="A60" t="str">
        <f>IF(Norway!B15="","", Norway!B15)</f>
        <v>NOM1</v>
      </c>
      <c r="B60" t="str">
        <f>IF(Norway!C15="","", Norway!C15)</f>
        <v>dheat</v>
      </c>
      <c r="C60" t="str">
        <f>IF(Norway!D15="","", Norway!D15)</f>
        <v/>
      </c>
      <c r="D60" s="149" t="s">
        <v>357</v>
      </c>
      <c r="E60" s="149">
        <f>IF(Norway!F15="","", Norway!F15)</f>
        <v>2030</v>
      </c>
      <c r="F60" s="150">
        <f>IF(Norway!G15="","", Norway!G15)</f>
        <v>0.93898135604629551</v>
      </c>
      <c r="G60" s="150">
        <f>IF(Norway!H15="","", Norway!H15)</f>
        <v>0.3</v>
      </c>
    </row>
    <row r="61" spans="1:7">
      <c r="A61" t="str">
        <f>IF(Norway!B16="","", Norway!B16)</f>
        <v>NON1</v>
      </c>
      <c r="B61" t="str">
        <f>IF(Norway!C16="","", Norway!C16)</f>
        <v>dheat</v>
      </c>
      <c r="C61" t="str">
        <f>IF(Norway!D16="","", Norway!D16)</f>
        <v/>
      </c>
      <c r="D61" s="149" t="s">
        <v>357</v>
      </c>
      <c r="E61" s="149">
        <f>IF(Norway!F16="","", Norway!F16)</f>
        <v>2030</v>
      </c>
      <c r="F61" s="150">
        <f>IF(Norway!G16="","", Norway!G16)</f>
        <v>0.99103117539400232</v>
      </c>
      <c r="G61" s="150">
        <f>IF(Norway!H16="","", Norway!H16)</f>
        <v>0.3</v>
      </c>
    </row>
    <row r="62" spans="1:7">
      <c r="A62" t="str">
        <f>IF(Norway!B17="","", Norway!B17)</f>
        <v>NOS0</v>
      </c>
      <c r="B62" t="str">
        <f>IF(Norway!C17="","", Norway!C17)</f>
        <v>dheat</v>
      </c>
      <c r="C62" t="str">
        <f>IF(Norway!D17="","", Norway!D17)</f>
        <v/>
      </c>
      <c r="D62" s="149" t="s">
        <v>357</v>
      </c>
      <c r="E62" s="149">
        <f>IF(Norway!F17="","", Norway!F17)</f>
        <v>2035</v>
      </c>
      <c r="F62" s="150">
        <f>IF(Norway!G17="","", Norway!G17)</f>
        <v>6.6925556853387214</v>
      </c>
      <c r="G62" s="150">
        <f>IF(Norway!H17="","", Norway!H17)</f>
        <v>0.3</v>
      </c>
    </row>
    <row r="63" spans="1:7">
      <c r="A63" t="str">
        <f>IF(Norway!B18="","", Norway!B18)</f>
        <v>NOM1</v>
      </c>
      <c r="B63" t="str">
        <f>IF(Norway!C18="","", Norway!C18)</f>
        <v>dheat</v>
      </c>
      <c r="C63" t="str">
        <f>IF(Norway!D18="","", Norway!D18)</f>
        <v/>
      </c>
      <c r="D63" s="149" t="s">
        <v>357</v>
      </c>
      <c r="E63" s="149">
        <f>IF(Norway!F18="","", Norway!F18)</f>
        <v>2035</v>
      </c>
      <c r="F63" s="150">
        <f>IF(Norway!G18="","", Norway!G18)</f>
        <v>0.96453199987084148</v>
      </c>
      <c r="G63" s="150">
        <f>IF(Norway!H18="","", Norway!H18)</f>
        <v>0.3</v>
      </c>
    </row>
    <row r="64" spans="1:7">
      <c r="A64" t="str">
        <f>IF(Norway!B19="","", Norway!B19)</f>
        <v>NON1</v>
      </c>
      <c r="B64" t="str">
        <f>IF(Norway!C19="","", Norway!C19)</f>
        <v>dheat</v>
      </c>
      <c r="C64" t="str">
        <f>IF(Norway!D19="","", Norway!D19)</f>
        <v/>
      </c>
      <c r="D64" s="149" t="s">
        <v>357</v>
      </c>
      <c r="E64" s="149">
        <f>IF(Norway!F19="","", Norway!F19)</f>
        <v>2035</v>
      </c>
      <c r="F64" s="150">
        <f>IF(Norway!G19="","", Norway!G19)</f>
        <v>1.0179981480803744</v>
      </c>
      <c r="G64" s="150">
        <f>IF(Norway!H19="","", Norway!H19)</f>
        <v>0.3</v>
      </c>
    </row>
    <row r="65" spans="1:7">
      <c r="A65" t="str">
        <f>IF(Norway!B20="","", Norway!B20)</f>
        <v>NOS0</v>
      </c>
      <c r="B65" t="str">
        <f>IF(Norway!C20="","", Norway!C20)</f>
        <v>dheat</v>
      </c>
      <c r="C65" t="str">
        <f>IF(Norway!D20="","", Norway!D20)</f>
        <v/>
      </c>
      <c r="D65" s="149" t="s">
        <v>357</v>
      </c>
      <c r="E65" s="149">
        <f>IF(Norway!F20="","", Norway!F20)</f>
        <v>2040</v>
      </c>
      <c r="F65" s="150">
        <f>IF(Norway!G20="","", Norway!G20)</f>
        <v>6.7831224158920334</v>
      </c>
      <c r="G65" s="150">
        <f>IF(Norway!H20="","", Norway!H20)</f>
        <v>0.3</v>
      </c>
    </row>
    <row r="66" spans="1:7">
      <c r="A66" t="str">
        <f>IF(Norway!B21="","", Norway!B21)</f>
        <v>NOM1</v>
      </c>
      <c r="B66" t="str">
        <f>IF(Norway!C21="","", Norway!C21)</f>
        <v>dheat</v>
      </c>
      <c r="C66" t="str">
        <f>IF(Norway!D21="","", Norway!D21)</f>
        <v/>
      </c>
      <c r="D66" s="149" t="s">
        <v>357</v>
      </c>
      <c r="E66" s="149">
        <f>IF(Norway!F21="","", Norway!F21)</f>
        <v>2040</v>
      </c>
      <c r="F66" s="150">
        <f>IF(Norway!G21="","", Norway!G21)</f>
        <v>0.97758448891231708</v>
      </c>
      <c r="G66" s="150">
        <f>IF(Norway!H21="","", Norway!H21)</f>
        <v>0.3</v>
      </c>
    </row>
    <row r="67" spans="1:7">
      <c r="A67" t="str">
        <f>IF(Norway!B22="","", Norway!B22)</f>
        <v>NON1</v>
      </c>
      <c r="B67" t="str">
        <f>IF(Norway!C22="","", Norway!C22)</f>
        <v>dheat</v>
      </c>
      <c r="C67" t="str">
        <f>IF(Norway!D22="","", Norway!D22)</f>
        <v/>
      </c>
      <c r="D67" s="149" t="s">
        <v>357</v>
      </c>
      <c r="E67" s="149">
        <f>IF(Norway!F22="","", Norway!F22)</f>
        <v>2040</v>
      </c>
      <c r="F67" s="150">
        <f>IF(Norway!G22="","", Norway!G22)</f>
        <v>1.0317741655415276</v>
      </c>
      <c r="G67" s="150">
        <f>IF(Norway!H22="","", Norway!H22)</f>
        <v>0.3</v>
      </c>
    </row>
    <row r="68" spans="1:7">
      <c r="A68" s="147" t="str">
        <f>IF(Sweden!B5="","",Sweden!B5)</f>
        <v>SE01</v>
      </c>
      <c r="B68" t="str">
        <f>IF(Sweden!C5="","",Sweden!C5)</f>
        <v>dheat</v>
      </c>
      <c r="C68" t="str">
        <f>IF(Sweden!D5="","",Sweden!D5)</f>
        <v/>
      </c>
      <c r="D68" s="149" t="s">
        <v>357</v>
      </c>
      <c r="E68" s="149">
        <f>IF(Sweden!F5="","",Sweden!F5)</f>
        <v>2015</v>
      </c>
      <c r="F68" s="150">
        <f>IF(Sweden!G5="","",Sweden!G5)</f>
        <v>1.4684666667656283</v>
      </c>
      <c r="G68" s="150">
        <f>IF(Sweden!H5="","",Sweden!H5)</f>
        <v>0.3</v>
      </c>
    </row>
    <row r="69" spans="1:7">
      <c r="A69" t="str">
        <f>IF(Sweden!B6="","",Sweden!B6)</f>
        <v>SE02</v>
      </c>
      <c r="B69" t="str">
        <f>IF(Sweden!C6="","",Sweden!C6)</f>
        <v>dheat</v>
      </c>
      <c r="C69" t="str">
        <f>IF(Sweden!D6="","",Sweden!D6)</f>
        <v/>
      </c>
      <c r="D69" s="149" t="s">
        <v>357</v>
      </c>
      <c r="E69" s="149">
        <f>IF(Sweden!F6="","",Sweden!F6)</f>
        <v>2015</v>
      </c>
      <c r="F69" s="150">
        <f>IF(Sweden!G6="","",Sweden!G6)</f>
        <v>5.3582964539100191</v>
      </c>
      <c r="G69" s="150">
        <f>IF(Sweden!H6="","",Sweden!H6)</f>
        <v>0.3</v>
      </c>
    </row>
    <row r="70" spans="1:7">
      <c r="A70" t="str">
        <f>IF(Sweden!B7="","",Sweden!B7)</f>
        <v>SE03</v>
      </c>
      <c r="B70" t="str">
        <f>IF(Sweden!C7="","",Sweden!C7)</f>
        <v>dheat</v>
      </c>
      <c r="C70" t="str">
        <f>IF(Sweden!D7="","",Sweden!D7)</f>
        <v/>
      </c>
      <c r="D70" s="149" t="s">
        <v>357</v>
      </c>
      <c r="E70" s="149">
        <f>IF(Sweden!F7="","",Sweden!F7)</f>
        <v>2015</v>
      </c>
      <c r="F70" s="150">
        <f>IF(Sweden!G7="","",Sweden!G7)</f>
        <v>39.018195598667141</v>
      </c>
      <c r="G70" s="150">
        <f>IF(Sweden!H7="","",Sweden!H7)</f>
        <v>0.3</v>
      </c>
    </row>
    <row r="71" spans="1:7">
      <c r="A71" t="str">
        <f>IF(Sweden!B8="","",Sweden!B8)</f>
        <v>SE04</v>
      </c>
      <c r="B71" t="str">
        <f>IF(Sweden!C8="","",Sweden!C8)</f>
        <v>dheat</v>
      </c>
      <c r="C71" t="str">
        <f>IF(Sweden!D8="","",Sweden!D8)</f>
        <v/>
      </c>
      <c r="D71" s="149" t="s">
        <v>357</v>
      </c>
      <c r="E71" s="149">
        <f>IF(Sweden!F8="","",Sweden!F8)</f>
        <v>2015</v>
      </c>
      <c r="F71" s="150">
        <f>IF(Sweden!G8="","",Sweden!G8)</f>
        <v>11.412682304515574</v>
      </c>
      <c r="G71" s="150">
        <f>IF(Sweden!H8="","",Sweden!H8)</f>
        <v>0.3</v>
      </c>
    </row>
    <row r="72" spans="1:7">
      <c r="A72" t="str">
        <f>IF(Sweden!B9="","",Sweden!B9)</f>
        <v>SE01</v>
      </c>
      <c r="B72" t="str">
        <f>IF(Sweden!C9="","",Sweden!C9)</f>
        <v>dheat</v>
      </c>
      <c r="C72" t="str">
        <f>IF(Sweden!D9="","",Sweden!D9)</f>
        <v/>
      </c>
      <c r="D72" s="149" t="s">
        <v>357</v>
      </c>
      <c r="E72" s="149">
        <f>IF(Sweden!F9="","",Sweden!F9)</f>
        <v>2020</v>
      </c>
      <c r="F72" s="150">
        <f>IF(Sweden!G9="","",Sweden!G9)</f>
        <v>1.4209678106219532</v>
      </c>
      <c r="G72" s="150">
        <f>IF(Sweden!H9="","",Sweden!H9)</f>
        <v>0.3</v>
      </c>
    </row>
    <row r="73" spans="1:7">
      <c r="A73" t="str">
        <f>IF(Sweden!B10="","",Sweden!B10)</f>
        <v>SE02</v>
      </c>
      <c r="B73" t="str">
        <f>IF(Sweden!C10="","",Sweden!C10)</f>
        <v>dheat</v>
      </c>
      <c r="C73" t="str">
        <f>IF(Sweden!D10="","",Sweden!D10)</f>
        <v/>
      </c>
      <c r="D73" s="149" t="s">
        <v>357</v>
      </c>
      <c r="E73" s="149">
        <f>IF(Sweden!F10="","",Sweden!F10)</f>
        <v>2020</v>
      </c>
      <c r="F73" s="150">
        <f>IF(Sweden!G10="","",Sweden!G10)</f>
        <v>5.3140058661355871</v>
      </c>
      <c r="G73" s="150">
        <f>IF(Sweden!H10="","",Sweden!H10)</f>
        <v>0.3</v>
      </c>
    </row>
    <row r="74" spans="1:7">
      <c r="A74" t="str">
        <f>IF(Sweden!B11="","",Sweden!B11)</f>
        <v>SE03</v>
      </c>
      <c r="B74" t="str">
        <f>IF(Sweden!C11="","",Sweden!C11)</f>
        <v>dheat</v>
      </c>
      <c r="C74" t="str">
        <f>IF(Sweden!D11="","",Sweden!D11)</f>
        <v/>
      </c>
      <c r="D74" s="149" t="s">
        <v>357</v>
      </c>
      <c r="E74" s="149">
        <f>IF(Sweden!F11="","",Sweden!F11)</f>
        <v>2020</v>
      </c>
      <c r="F74" s="150">
        <f>IF(Sweden!G11="","",Sweden!G11)</f>
        <v>40.167020784769626</v>
      </c>
      <c r="G74" s="150">
        <f>IF(Sweden!H11="","",Sweden!H11)</f>
        <v>0.3</v>
      </c>
    </row>
    <row r="75" spans="1:7">
      <c r="A75" t="str">
        <f>IF(Sweden!B12="","",Sweden!B12)</f>
        <v>SE04</v>
      </c>
      <c r="B75" t="str">
        <f>IF(Sweden!C12="","",Sweden!C12)</f>
        <v>dheat</v>
      </c>
      <c r="C75" t="str">
        <f>IF(Sweden!D12="","",Sweden!D12)</f>
        <v/>
      </c>
      <c r="D75" s="149" t="s">
        <v>357</v>
      </c>
      <c r="E75" s="149">
        <f>IF(Sweden!F12="","",Sweden!F12)</f>
        <v>2020</v>
      </c>
      <c r="F75" s="150">
        <f>IF(Sweden!G12="","",Sweden!G12)</f>
        <v>11.776863124784194</v>
      </c>
      <c r="G75" s="150">
        <f>IF(Sweden!H12="","",Sweden!H12)</f>
        <v>0.3</v>
      </c>
    </row>
    <row r="76" spans="1:7">
      <c r="A76" s="147" t="str">
        <f>IF(Sweden!B13="","",Sweden!B13)</f>
        <v>SE01</v>
      </c>
      <c r="B76" t="str">
        <f>IF(Sweden!C13="","",Sweden!C13)</f>
        <v>dheat</v>
      </c>
      <c r="C76" t="str">
        <f>IF(Sweden!D13="","",Sweden!D13)</f>
        <v/>
      </c>
      <c r="D76" s="149" t="s">
        <v>357</v>
      </c>
      <c r="E76" s="149">
        <f>IF(Sweden!F13="","",Sweden!F13)</f>
        <v>2025</v>
      </c>
      <c r="F76" s="150">
        <f>IF(Sweden!G13="","",Sweden!G13)</f>
        <v>1.3794215983109406</v>
      </c>
      <c r="G76" s="150">
        <f>IF(Sweden!H13="","",Sweden!H13)</f>
        <v>0.3</v>
      </c>
    </row>
    <row r="77" spans="1:7">
      <c r="A77" t="str">
        <f>IF(Sweden!B14="","",Sweden!B14)</f>
        <v>SE02</v>
      </c>
      <c r="B77" t="str">
        <f>IF(Sweden!C14="","",Sweden!C14)</f>
        <v>dheat</v>
      </c>
      <c r="C77" t="str">
        <f>IF(Sweden!D14="","",Sweden!D14)</f>
        <v/>
      </c>
      <c r="D77" s="149" t="s">
        <v>357</v>
      </c>
      <c r="E77" s="149">
        <f>IF(Sweden!F14="","",Sweden!F14)</f>
        <v>2025</v>
      </c>
      <c r="F77" s="150">
        <f>IF(Sweden!G14="","",Sweden!G14)</f>
        <v>5.2416206699348376</v>
      </c>
      <c r="G77" s="150">
        <f>IF(Sweden!H14="","",Sweden!H14)</f>
        <v>0.3</v>
      </c>
    </row>
    <row r="78" spans="1:7">
      <c r="A78" t="str">
        <f>IF(Sweden!B15="","",Sweden!B15)</f>
        <v>SE03</v>
      </c>
      <c r="B78" t="str">
        <f>IF(Sweden!C15="","",Sweden!C15)</f>
        <v>dheat</v>
      </c>
      <c r="C78" t="str">
        <f>IF(Sweden!D15="","",Sweden!D15)</f>
        <v/>
      </c>
      <c r="D78" s="149" t="s">
        <v>357</v>
      </c>
      <c r="E78" s="149">
        <f>IF(Sweden!F15="","",Sweden!F15)</f>
        <v>2025</v>
      </c>
      <c r="F78" s="150">
        <f>IF(Sweden!G15="","",Sweden!G15)</f>
        <v>40.799928201518647</v>
      </c>
      <c r="G78" s="150">
        <f>IF(Sweden!H15="","",Sweden!H15)</f>
        <v>0.3</v>
      </c>
    </row>
    <row r="79" spans="1:7">
      <c r="A79" t="str">
        <f>IF(Sweden!B16="","",Sweden!B16)</f>
        <v>SE04</v>
      </c>
      <c r="B79" t="str">
        <f>IF(Sweden!C16="","",Sweden!C16)</f>
        <v>dheat</v>
      </c>
      <c r="C79" t="str">
        <f>IF(Sweden!D16="","",Sweden!D16)</f>
        <v/>
      </c>
      <c r="D79" s="149" t="s">
        <v>357</v>
      </c>
      <c r="E79" s="149">
        <f>IF(Sweden!F16="","",Sweden!F16)</f>
        <v>2025</v>
      </c>
      <c r="F79" s="150">
        <f>IF(Sweden!G16="","",Sweden!G16)</f>
        <v>11.996147797261674</v>
      </c>
      <c r="G79" s="150">
        <f>IF(Sweden!H16="","",Sweden!H16)</f>
        <v>0.3</v>
      </c>
    </row>
    <row r="80" spans="1:7">
      <c r="A80" t="str">
        <f>IF(Sweden!B17="","",Sweden!B17)</f>
        <v>SE01</v>
      </c>
      <c r="B80" t="str">
        <f>IF(Sweden!C17="","",Sweden!C17)</f>
        <v>dheat</v>
      </c>
      <c r="C80" t="str">
        <f>IF(Sweden!D17="","",Sweden!D17)</f>
        <v/>
      </c>
      <c r="D80" s="149" t="s">
        <v>357</v>
      </c>
      <c r="E80" s="149">
        <f>IF(Sweden!F17="","",Sweden!F17)</f>
        <v>2030</v>
      </c>
      <c r="F80" s="150">
        <f>IF(Sweden!G17="","",Sweden!G17)</f>
        <v>1.3287457029054517</v>
      </c>
      <c r="G80" s="150">
        <f>IF(Sweden!H17="","",Sweden!H17)</f>
        <v>0.3</v>
      </c>
    </row>
    <row r="81" spans="1:7">
      <c r="A81" t="str">
        <f>IF(Sweden!B18="","",Sweden!B18)</f>
        <v>SE02</v>
      </c>
      <c r="B81" t="str">
        <f>IF(Sweden!C18="","",Sweden!C18)</f>
        <v>dheat</v>
      </c>
      <c r="C81" t="str">
        <f>IF(Sweden!D18="","",Sweden!D18)</f>
        <v/>
      </c>
      <c r="D81" s="149" t="s">
        <v>357</v>
      </c>
      <c r="E81" s="149">
        <f>IF(Sweden!F18="","",Sweden!F18)</f>
        <v>2030</v>
      </c>
      <c r="F81" s="150">
        <f>IF(Sweden!G18="","",Sweden!G18)</f>
        <v>5.1205653610896729</v>
      </c>
      <c r="G81" s="150">
        <f>IF(Sweden!H18="","",Sweden!H18)</f>
        <v>0.3</v>
      </c>
    </row>
    <row r="82" spans="1:7">
      <c r="A82" t="str">
        <f>IF(Sweden!B19="","",Sweden!B19)</f>
        <v>SE03</v>
      </c>
      <c r="B82" t="str">
        <f>IF(Sweden!C19="","",Sweden!C19)</f>
        <v>dheat</v>
      </c>
      <c r="C82" t="str">
        <f>IF(Sweden!D19="","",Sweden!D19)</f>
        <v/>
      </c>
      <c r="D82" s="149" t="s">
        <v>357</v>
      </c>
      <c r="E82" s="149">
        <f>IF(Sweden!F19="","",Sweden!F19)</f>
        <v>2030</v>
      </c>
      <c r="F82" s="150">
        <f>IF(Sweden!G19="","",Sweden!G19)</f>
        <v>41.020796727424077</v>
      </c>
      <c r="G82" s="150">
        <f>IF(Sweden!H19="","",Sweden!H19)</f>
        <v>0.3</v>
      </c>
    </row>
    <row r="83" spans="1:7">
      <c r="A83" t="str">
        <f>IF(Sweden!B20="","",Sweden!B20)</f>
        <v>SE04</v>
      </c>
      <c r="B83" t="str">
        <f>IF(Sweden!C20="","",Sweden!C20)</f>
        <v>dheat</v>
      </c>
      <c r="C83" t="str">
        <f>IF(Sweden!D20="","",Sweden!D20)</f>
        <v/>
      </c>
      <c r="D83" s="149" t="s">
        <v>357</v>
      </c>
      <c r="E83" s="149">
        <f>IF(Sweden!F20="","",Sweden!F20)</f>
        <v>2030</v>
      </c>
      <c r="F83" s="150">
        <f>IF(Sweden!G20="","",Sweden!G20)</f>
        <v>12.061438175335327</v>
      </c>
      <c r="G83" s="150">
        <f>IF(Sweden!H20="","",Sweden!H20)</f>
        <v>0.3</v>
      </c>
    </row>
    <row r="84" spans="1:7">
      <c r="A84" t="str">
        <f>IF(Sweden!B21="","",Sweden!B21)</f>
        <v>SE01</v>
      </c>
      <c r="B84" t="str">
        <f>IF(Sweden!C21="","",Sweden!C21)</f>
        <v>dheat</v>
      </c>
      <c r="C84" t="str">
        <f>IF(Sweden!D21="","",Sweden!D21)</f>
        <v/>
      </c>
      <c r="D84" s="149" t="s">
        <v>357</v>
      </c>
      <c r="E84" s="149">
        <f>IF(Sweden!F21="","",Sweden!F21)</f>
        <v>2035</v>
      </c>
      <c r="F84" s="150">
        <f>IF(Sweden!G21="","",Sweden!G21)</f>
        <v>1.2655567079150138</v>
      </c>
      <c r="G84" s="150">
        <f>IF(Sweden!H21="","",Sweden!H21)</f>
        <v>0.3</v>
      </c>
    </row>
    <row r="85" spans="1:7">
      <c r="A85" t="str">
        <f>IF(Sweden!B22="","",Sweden!B22)</f>
        <v>SE02</v>
      </c>
      <c r="B85" t="str">
        <f>IF(Sweden!C22="","",Sweden!C22)</f>
        <v>dheat</v>
      </c>
      <c r="C85" t="str">
        <f>IF(Sweden!D22="","",Sweden!D22)</f>
        <v/>
      </c>
      <c r="D85" s="149" t="s">
        <v>357</v>
      </c>
      <c r="E85" s="149">
        <f>IF(Sweden!F22="","",Sweden!F22)</f>
        <v>2035</v>
      </c>
      <c r="F85" s="150">
        <f>IF(Sweden!G22="","",Sweden!G22)</f>
        <v>4.9535854099056431</v>
      </c>
      <c r="G85" s="150">
        <f>IF(Sweden!H22="","",Sweden!H22)</f>
        <v>0.3</v>
      </c>
    </row>
    <row r="86" spans="1:7">
      <c r="A86" t="str">
        <f>IF(Sweden!B23="","",Sweden!B23)</f>
        <v>SE03</v>
      </c>
      <c r="B86" t="str">
        <f>IF(Sweden!C23="","",Sweden!C23)</f>
        <v>dheat</v>
      </c>
      <c r="C86" t="str">
        <f>IF(Sweden!D23="","",Sweden!D23)</f>
        <v/>
      </c>
      <c r="D86" s="149" t="s">
        <v>357</v>
      </c>
      <c r="E86" s="149">
        <f>IF(Sweden!F23="","",Sweden!F23)</f>
        <v>2035</v>
      </c>
      <c r="F86" s="150">
        <f>IF(Sweden!G23="","",Sweden!G23)</f>
        <v>40.939638927269975</v>
      </c>
      <c r="G86" s="150">
        <f>IF(Sweden!H23="","",Sweden!H23)</f>
        <v>0.3</v>
      </c>
    </row>
    <row r="87" spans="1:7">
      <c r="A87" t="str">
        <f>IF(Sweden!B24="","",Sweden!B24)</f>
        <v>SE04</v>
      </c>
      <c r="B87" t="str">
        <f>IF(Sweden!C24="","",Sweden!C24)</f>
        <v>dheat</v>
      </c>
      <c r="C87" t="str">
        <f>IF(Sweden!D24="","",Sweden!D24)</f>
        <v/>
      </c>
      <c r="D87" s="149" t="s">
        <v>357</v>
      </c>
      <c r="E87" s="149">
        <f>IF(Sweden!F24="","",Sweden!F24)</f>
        <v>2035</v>
      </c>
      <c r="F87" s="150">
        <f>IF(Sweden!G24="","",Sweden!G24)</f>
        <v>12.022024897575387</v>
      </c>
      <c r="G87" s="150">
        <f>IF(Sweden!H24="","",Sweden!H24)</f>
        <v>0.3</v>
      </c>
    </row>
    <row r="88" spans="1:7">
      <c r="A88" t="str">
        <f>IF(Sweden!B25="","",Sweden!B25)</f>
        <v>SE01</v>
      </c>
      <c r="B88" t="str">
        <f>IF(Sweden!C25="","",Sweden!C25)</f>
        <v>dheat</v>
      </c>
      <c r="C88" t="str">
        <f>IF(Sweden!D25="","",Sweden!D25)</f>
        <v/>
      </c>
      <c r="D88" s="149" t="s">
        <v>357</v>
      </c>
      <c r="E88" s="149">
        <f>IF(Sweden!F25="","",Sweden!F25)</f>
        <v>2040</v>
      </c>
      <c r="F88" s="150">
        <f>IF(Sweden!G25="","",Sweden!G25)</f>
        <v>1.207928410579487</v>
      </c>
      <c r="G88" s="150">
        <f>IF(Sweden!H25="","",Sweden!H25)</f>
        <v>0.3</v>
      </c>
    </row>
    <row r="89" spans="1:7">
      <c r="A89" t="str">
        <f>IF(Sweden!B26="","",Sweden!B26)</f>
        <v>SE02</v>
      </c>
      <c r="B89" t="str">
        <f>IF(Sweden!C26="","",Sweden!C26)</f>
        <v>dheat</v>
      </c>
      <c r="C89" t="str">
        <f>IF(Sweden!D26="","",Sweden!D26)</f>
        <v/>
      </c>
      <c r="D89" s="149" t="s">
        <v>357</v>
      </c>
      <c r="E89" s="149">
        <f>IF(Sweden!F26="","",Sweden!F26)</f>
        <v>2040</v>
      </c>
      <c r="F89" s="150">
        <f>IF(Sweden!G26="","",Sweden!G26)</f>
        <v>4.8029494773633141</v>
      </c>
      <c r="G89" s="150">
        <f>IF(Sweden!H26="","",Sweden!H26)</f>
        <v>0.3</v>
      </c>
    </row>
    <row r="90" spans="1:7">
      <c r="A90" t="str">
        <f>IF(Sweden!B27="","",Sweden!B27)</f>
        <v>SE03</v>
      </c>
      <c r="B90" t="str">
        <f>IF(Sweden!C27="","",Sweden!C27)</f>
        <v>dheat</v>
      </c>
      <c r="C90" t="str">
        <f>IF(Sweden!D27="","",Sweden!D27)</f>
        <v/>
      </c>
      <c r="D90" s="149" t="s">
        <v>357</v>
      </c>
      <c r="E90" s="149">
        <f>IF(Sweden!F27="","",Sweden!F27)</f>
        <v>2040</v>
      </c>
      <c r="F90" s="150">
        <f>IF(Sweden!G27="","",Sweden!G27)</f>
        <v>40.810906443935821</v>
      </c>
      <c r="G90" s="150">
        <f>IF(Sweden!H27="","",Sweden!H27)</f>
        <v>0.3</v>
      </c>
    </row>
    <row r="91" spans="1:7">
      <c r="A91" t="str">
        <f>IF(Sweden!B28="","",Sweden!B28)</f>
        <v>SE04</v>
      </c>
      <c r="B91" t="str">
        <f>IF(Sweden!C28="","",Sweden!C28)</f>
        <v>dheat</v>
      </c>
      <c r="C91" t="str">
        <f>IF(Sweden!D28="","",Sweden!D28)</f>
        <v/>
      </c>
      <c r="D91" s="149" t="s">
        <v>357</v>
      </c>
      <c r="E91" s="149">
        <f>IF(Sweden!F28="","",Sweden!F28)</f>
        <v>2040</v>
      </c>
      <c r="F91" s="150">
        <f>IF(Sweden!G28="","",Sweden!G28)</f>
        <v>11.98578336765374</v>
      </c>
      <c r="G91" s="150">
        <f>IF(Sweden!H28="","",Sweden!H28)</f>
        <v>0.3</v>
      </c>
    </row>
    <row r="92" spans="1:7">
      <c r="A92" s="147" t="str">
        <f>IF(Denmark!B5="","",Denmark!B5)</f>
        <v>DKW1</v>
      </c>
      <c r="B92" t="str">
        <f>IF(Denmark!C5="","",Denmark!C5)</f>
        <v>dheat</v>
      </c>
      <c r="C92" t="str">
        <f>IF(Denmark!D5="","",Denmark!D5)</f>
        <v/>
      </c>
      <c r="D92" s="149" t="s">
        <v>357</v>
      </c>
      <c r="E92" s="149">
        <f>IF(Denmark!F5="","",Denmark!F5)</f>
        <v>2015</v>
      </c>
      <c r="F92" s="150">
        <f>IF(Denmark!G5="","",Denmark!G5)</f>
        <v>19.805125480479287</v>
      </c>
      <c r="G92" s="150">
        <f>IF(Denmark!H5="","",Denmark!H5)</f>
        <v>0.3</v>
      </c>
    </row>
    <row r="93" spans="1:7">
      <c r="A93" t="str">
        <f>IF(Denmark!B6="","",Denmark!B6)</f>
        <v>DKE1</v>
      </c>
      <c r="B93" t="str">
        <f>IF(Denmark!C6="","",Denmark!C6)</f>
        <v>dheat</v>
      </c>
      <c r="C93" t="str">
        <f>IF(Denmark!D6="","",Denmark!D6)</f>
        <v/>
      </c>
      <c r="D93" s="149" t="s">
        <v>357</v>
      </c>
      <c r="E93" s="149">
        <f>IF(Denmark!F6="","",Denmark!F6)</f>
        <v>2015</v>
      </c>
      <c r="F93" s="150">
        <f>IF(Denmark!G6="","",Denmark!G6)</f>
        <v>16.693523463632395</v>
      </c>
      <c r="G93" s="150">
        <f>IF(Denmark!H6="","",Denmark!H6)</f>
        <v>0.3</v>
      </c>
    </row>
    <row r="94" spans="1:7">
      <c r="A94" t="str">
        <f>IF(Denmark!B7="","",Denmark!B7)</f>
        <v>DKW1</v>
      </c>
      <c r="B94" t="str">
        <f>IF(Denmark!C7="","",Denmark!C7)</f>
        <v>dheat</v>
      </c>
      <c r="C94" t="str">
        <f>IF(Denmark!D7="","",Denmark!D7)</f>
        <v/>
      </c>
      <c r="D94" s="149" t="s">
        <v>357</v>
      </c>
      <c r="E94" s="149">
        <f>IF(Denmark!F7="","",Denmark!F7)</f>
        <v>2020</v>
      </c>
      <c r="F94" s="150">
        <f>IF(Denmark!G7="","",Denmark!G7)</f>
        <v>19.979729692440433</v>
      </c>
      <c r="G94" s="150">
        <f>IF(Denmark!H7="","",Denmark!H7)</f>
        <v>0.3</v>
      </c>
    </row>
    <row r="95" spans="1:7">
      <c r="A95" t="str">
        <f>IF(Denmark!B8="","",Denmark!B8)</f>
        <v>DKE1</v>
      </c>
      <c r="B95" t="str">
        <f>IF(Denmark!C8="","",Denmark!C8)</f>
        <v>dheat</v>
      </c>
      <c r="C95" t="str">
        <f>IF(Denmark!D8="","",Denmark!D8)</f>
        <v/>
      </c>
      <c r="D95" s="149" t="s">
        <v>357</v>
      </c>
      <c r="E95" s="149">
        <f>IF(Denmark!F8="","",Denmark!F8)</f>
        <v>2020</v>
      </c>
      <c r="F95" s="150">
        <f>IF(Denmark!G8="","",Denmark!G8)</f>
        <v>17.077649072081471</v>
      </c>
      <c r="G95" s="150">
        <f>IF(Denmark!H8="","",Denmark!H8)</f>
        <v>0.3</v>
      </c>
    </row>
    <row r="96" spans="1:7">
      <c r="A96" t="str">
        <f>IF(Denmark!B9="","",Denmark!B9)</f>
        <v>DKW1</v>
      </c>
      <c r="B96" t="str">
        <f>IF(Denmark!C9="","",Denmark!C9)</f>
        <v>dheat</v>
      </c>
      <c r="C96" t="str">
        <f>IF(Denmark!D9="","",Denmark!D9)</f>
        <v/>
      </c>
      <c r="D96" s="149" t="s">
        <v>357</v>
      </c>
      <c r="E96" s="149">
        <f>IF(Denmark!F9="","",Denmark!F9)</f>
        <v>2025</v>
      </c>
      <c r="F96" s="150">
        <f>IF(Denmark!G9="","",Denmark!G9)</f>
        <v>20.030688780122464</v>
      </c>
      <c r="G96" s="150">
        <f>IF(Denmark!H9="","",Denmark!H9)</f>
        <v>0.3</v>
      </c>
    </row>
    <row r="97" spans="1:7">
      <c r="A97" t="str">
        <f>IF(Denmark!B10="","",Denmark!B10)</f>
        <v>DKE1</v>
      </c>
      <c r="B97" t="str">
        <f>IF(Denmark!C10="","",Denmark!C10)</f>
        <v>dheat</v>
      </c>
      <c r="C97" t="str">
        <f>IF(Denmark!D10="","",Denmark!D10)</f>
        <v/>
      </c>
      <c r="D97" s="149" t="s">
        <v>357</v>
      </c>
      <c r="E97" s="149">
        <f>IF(Denmark!F10="","",Denmark!F10)</f>
        <v>2025</v>
      </c>
      <c r="F97" s="150">
        <f>IF(Denmark!G10="","",Denmark!G10)</f>
        <v>17.39903680040787</v>
      </c>
      <c r="G97" s="150">
        <f>IF(Denmark!H10="","",Denmark!H10)</f>
        <v>0.3</v>
      </c>
    </row>
    <row r="98" spans="1:7">
      <c r="A98" t="str">
        <f>IF(Denmark!B11="","",Denmark!B11)</f>
        <v>DKW1</v>
      </c>
      <c r="B98" t="str">
        <f>IF(Denmark!C11="","",Denmark!C11)</f>
        <v>dheat</v>
      </c>
      <c r="C98" t="str">
        <f>IF(Denmark!D11="","",Denmark!D11)</f>
        <v/>
      </c>
      <c r="D98" s="149" t="s">
        <v>357</v>
      </c>
      <c r="E98" s="149">
        <f>IF(Denmark!F11="","",Denmark!F11)</f>
        <v>2030</v>
      </c>
      <c r="F98" s="150">
        <f>IF(Denmark!G11="","",Denmark!G11)</f>
        <v>19.905300634804135</v>
      </c>
      <c r="G98" s="150">
        <f>IF(Denmark!H11="","",Denmark!H11)</f>
        <v>0.3</v>
      </c>
    </row>
    <row r="99" spans="1:7">
      <c r="A99" t="str">
        <f>IF(Denmark!B12="","",Denmark!B12)</f>
        <v>DKE1</v>
      </c>
      <c r="B99" t="str">
        <f>IF(Denmark!C12="","",Denmark!C12)</f>
        <v>dheat</v>
      </c>
      <c r="C99" t="str">
        <f>IF(Denmark!D12="","",Denmark!D12)</f>
        <v/>
      </c>
      <c r="D99" s="149" t="s">
        <v>357</v>
      </c>
      <c r="E99" s="149">
        <f>IF(Denmark!F12="","",Denmark!F12)</f>
        <v>2030</v>
      </c>
      <c r="F99" s="150">
        <f>IF(Denmark!G12="","",Denmark!G12)</f>
        <v>17.441946930963606</v>
      </c>
      <c r="G99" s="150">
        <f>IF(Denmark!H12="","",Denmark!H12)</f>
        <v>0.3</v>
      </c>
    </row>
    <row r="100" spans="1:7">
      <c r="A100" t="str">
        <f>IF(Denmark!B13="","",Denmark!B13)</f>
        <v>DKW1</v>
      </c>
      <c r="B100" t="str">
        <f>IF(Denmark!C13="","",Denmark!C13)</f>
        <v>dheat</v>
      </c>
      <c r="C100" t="str">
        <f>IF(Denmark!D13="","",Denmark!D13)</f>
        <v/>
      </c>
      <c r="D100" s="149" t="s">
        <v>357</v>
      </c>
      <c r="E100" s="149">
        <f>IF(Denmark!F13="","",Denmark!F13)</f>
        <v>2035</v>
      </c>
      <c r="F100" s="150">
        <f>IF(Denmark!G13="","",Denmark!G13)</f>
        <v>19.664441809025575</v>
      </c>
      <c r="G100" s="150">
        <f>IF(Denmark!H13="","",Denmark!H13)</f>
        <v>0.3</v>
      </c>
    </row>
    <row r="101" spans="1:7">
      <c r="A101" t="str">
        <f>IF(Denmark!B14="","",Denmark!B14)</f>
        <v>DKE1</v>
      </c>
      <c r="B101" t="str">
        <f>IF(Denmark!C14="","",Denmark!C14)</f>
        <v>dheat</v>
      </c>
      <c r="C101" t="str">
        <f>IF(Denmark!D14="","",Denmark!D14)</f>
        <v/>
      </c>
      <c r="D101" s="149" t="s">
        <v>357</v>
      </c>
      <c r="E101" s="149">
        <f>IF(Denmark!F14="","",Denmark!F14)</f>
        <v>2035</v>
      </c>
      <c r="F101" s="150">
        <f>IF(Denmark!G14="","",Denmark!G14)</f>
        <v>17.427812122454487</v>
      </c>
      <c r="G101" s="150">
        <f>IF(Denmark!H14="","",Denmark!H14)</f>
        <v>0.3</v>
      </c>
    </row>
    <row r="102" spans="1:7">
      <c r="A102" t="str">
        <f>IF(Denmark!B15="","",Denmark!B15)</f>
        <v>DKW1</v>
      </c>
      <c r="B102" t="str">
        <f>IF(Denmark!C15="","",Denmark!C15)</f>
        <v>dheat</v>
      </c>
      <c r="C102" t="str">
        <f>IF(Denmark!D15="","",Denmark!D15)</f>
        <v/>
      </c>
      <c r="D102" s="149" t="s">
        <v>357</v>
      </c>
      <c r="E102" s="149">
        <f>IF(Denmark!F15="","",Denmark!F15)</f>
        <v>2040</v>
      </c>
      <c r="F102" s="150">
        <f>IF(Denmark!G15="","",Denmark!G15)</f>
        <v>19.42235977152265</v>
      </c>
      <c r="G102" s="150">
        <f>IF(Denmark!H15="","",Denmark!H15)</f>
        <v>0.3</v>
      </c>
    </row>
    <row r="103" spans="1:7">
      <c r="A103" t="str">
        <f>IF(Denmark!B16="","",Denmark!B16)</f>
        <v>DKE1</v>
      </c>
      <c r="B103" t="str">
        <f>IF(Denmark!C16="","",Denmark!C16)</f>
        <v>dheat</v>
      </c>
      <c r="C103" t="str">
        <f>IF(Denmark!D16="","",Denmark!D16)</f>
        <v/>
      </c>
      <c r="D103" s="149" t="s">
        <v>357</v>
      </c>
      <c r="E103" s="149">
        <f>IF(Denmark!F16="","",Denmark!F16)</f>
        <v>2040</v>
      </c>
      <c r="F103" s="150">
        <f>IF(Denmark!G16="","",Denmark!G16)</f>
        <v>17.400487291974336</v>
      </c>
      <c r="G103" s="150">
        <f>IF(Denmark!H16="","",Denmark!H16)</f>
        <v>0.3</v>
      </c>
    </row>
    <row r="104" spans="1:7">
      <c r="A104" t="str">
        <f>IF(Estonia!B5="","",Estonia!B5)</f>
        <v>EE00</v>
      </c>
      <c r="B104" t="str">
        <f>IF(Estonia!C5="","",Estonia!C5)</f>
        <v>dheat</v>
      </c>
      <c r="C104" t="str">
        <f>IF(Estonia!D5="","",Estonia!D5)</f>
        <v/>
      </c>
      <c r="D104" s="149" t="s">
        <v>357</v>
      </c>
      <c r="E104" s="149">
        <f>IF(Estonia!F5="","",Estonia!F5)</f>
        <v>2015</v>
      </c>
      <c r="F104" s="160">
        <f>IF(Estonia!G5="","",Estonia!G5)</f>
        <v>4.7203269575636932</v>
      </c>
      <c r="G104" s="160">
        <f>IF(Estonia!H5="","",Estonia!H5)</f>
        <v>0.3</v>
      </c>
    </row>
    <row r="105" spans="1:7">
      <c r="A105" t="str">
        <f>IF(Estonia!B6="","",Estonia!B6)</f>
        <v>EE00</v>
      </c>
      <c r="B105" t="str">
        <f>IF(Estonia!C6="","",Estonia!C6)</f>
        <v>dheat</v>
      </c>
      <c r="C105" t="str">
        <f>IF(Estonia!D6="","",Estonia!D6)</f>
        <v/>
      </c>
      <c r="D105" s="149" t="s">
        <v>357</v>
      </c>
      <c r="E105" s="149">
        <f>IF(Estonia!F6="","",Estonia!F6)</f>
        <v>2020</v>
      </c>
      <c r="F105" s="160">
        <f>IF(Estonia!G6="","",Estonia!G6)</f>
        <v>4.7842652390713267</v>
      </c>
      <c r="G105" s="160">
        <f>IF(Estonia!H6="","",Estonia!H6)</f>
        <v>0.3</v>
      </c>
    </row>
    <row r="106" spans="1:7">
      <c r="A106" t="str">
        <f>IF(Estonia!B7="","",Estonia!B7)</f>
        <v>EE00</v>
      </c>
      <c r="B106" t="str">
        <f>IF(Estonia!C7="","",Estonia!C7)</f>
        <v>dheat</v>
      </c>
      <c r="C106" t="str">
        <f>IF(Estonia!D7="","",Estonia!D7)</f>
        <v/>
      </c>
      <c r="D106" s="149" t="s">
        <v>357</v>
      </c>
      <c r="E106" s="149">
        <f>IF(Estonia!F7="","",Estonia!F7)</f>
        <v>2025</v>
      </c>
      <c r="F106" s="160">
        <f>IF(Estonia!G7="","",Estonia!G7)</f>
        <v>4.8362554516277791</v>
      </c>
      <c r="G106" s="160">
        <f>IF(Estonia!H7="","",Estonia!H7)</f>
        <v>0.3</v>
      </c>
    </row>
    <row r="107" spans="1:7">
      <c r="A107" t="str">
        <f>IF(Estonia!B8="","",Estonia!B8)</f>
        <v>EE00</v>
      </c>
      <c r="B107" t="str">
        <f>IF(Estonia!C8="","",Estonia!C8)</f>
        <v>dheat</v>
      </c>
      <c r="C107" t="str">
        <f>IF(Estonia!D8="","",Estonia!D8)</f>
        <v/>
      </c>
      <c r="D107" s="149" t="s">
        <v>357</v>
      </c>
      <c r="E107" s="149">
        <f>IF(Estonia!F8="","",Estonia!F8)</f>
        <v>2030</v>
      </c>
      <c r="F107" s="160">
        <f>IF(Estonia!G8="","",Estonia!G8)</f>
        <v>4.8582630881017828</v>
      </c>
      <c r="G107" s="160">
        <f>IF(Estonia!H8="","",Estonia!H8)</f>
        <v>0.3</v>
      </c>
    </row>
    <row r="108" spans="1:7">
      <c r="A108" t="str">
        <f>IF(Estonia!B9="","",Estonia!B9)</f>
        <v>EE00</v>
      </c>
      <c r="B108" t="str">
        <f>IF(Estonia!C9="","",Estonia!C9)</f>
        <v>dheat</v>
      </c>
      <c r="C108" t="str">
        <f>IF(Estonia!D9="","",Estonia!D9)</f>
        <v/>
      </c>
      <c r="D108" s="149" t="s">
        <v>357</v>
      </c>
      <c r="E108" s="149">
        <f>IF(Estonia!F9="","",Estonia!F9)</f>
        <v>2035</v>
      </c>
      <c r="F108" s="160">
        <f>IF(Estonia!G9="","",Estonia!G9)</f>
        <v>4.8726943250713131</v>
      </c>
      <c r="G108" s="160">
        <f>IF(Estonia!H9="","",Estonia!H9)</f>
        <v>0.3</v>
      </c>
    </row>
    <row r="109" spans="1:7">
      <c r="A109" t="str">
        <f>IF(Estonia!B10="","",Estonia!B10)</f>
        <v>EE00</v>
      </c>
      <c r="B109" t="str">
        <f>IF(Estonia!C10="","",Estonia!C10)</f>
        <v>dheat</v>
      </c>
      <c r="C109" t="str">
        <f>IF(Estonia!D10="","",Estonia!D10)</f>
        <v/>
      </c>
      <c r="D109" s="149" t="s">
        <v>357</v>
      </c>
      <c r="E109" s="149">
        <f>IF(Estonia!F10="","",Estonia!F10)</f>
        <v>2040</v>
      </c>
      <c r="F109" s="160">
        <f>IF(Estonia!G10="","",Estonia!G10)</f>
        <v>4.8842861616309046</v>
      </c>
      <c r="G109" s="160">
        <f>IF(Estonia!H10="","",Estonia!H10)</f>
        <v>0.3</v>
      </c>
    </row>
    <row r="110" spans="1:7">
      <c r="A110" t="str">
        <f>IF(Latvia!B5="","",Latvia!B5)</f>
        <v>LV00</v>
      </c>
      <c r="B110" t="str">
        <f>IF(Latvia!C5="","",Latvia!C5)</f>
        <v>dheat</v>
      </c>
      <c r="C110" t="str">
        <f>IF(Latvia!D5="","",Latvia!D5)</f>
        <v/>
      </c>
      <c r="D110" s="149" t="s">
        <v>357</v>
      </c>
      <c r="E110" s="149">
        <f>IF(Latvia!F5="","",Latvia!F5)</f>
        <v>2015</v>
      </c>
      <c r="F110" s="160">
        <f>IF(Latvia!G5="","",Latvia!G5)</f>
        <v>12.113744097029263</v>
      </c>
      <c r="G110" s="160">
        <f>IF(Latvia!H5="","",Latvia!H5)</f>
        <v>0.3</v>
      </c>
    </row>
    <row r="111" spans="1:7">
      <c r="A111" t="str">
        <f>IF(Latvia!B6="","",Latvia!B6)</f>
        <v>LV00</v>
      </c>
      <c r="B111" t="str">
        <f>IF(Latvia!C6="","",Latvia!C6)</f>
        <v>dheat</v>
      </c>
      <c r="C111" t="str">
        <f>IF(Latvia!D6="","",Latvia!D6)</f>
        <v/>
      </c>
      <c r="D111" s="149" t="s">
        <v>357</v>
      </c>
      <c r="E111" s="149">
        <f>IF(Latvia!F6="","",Latvia!F6)</f>
        <v>2020</v>
      </c>
      <c r="F111" s="160">
        <f>IF(Latvia!G6="","",Latvia!G6)</f>
        <v>11.273483422633314</v>
      </c>
      <c r="G111" s="160">
        <f>IF(Latvia!H6="","",Latvia!H6)</f>
        <v>0.3</v>
      </c>
    </row>
    <row r="112" spans="1:7">
      <c r="A112" t="str">
        <f>IF(Latvia!B7="","",Latvia!B7)</f>
        <v>LV00</v>
      </c>
      <c r="B112" t="str">
        <f>IF(Latvia!C7="","",Latvia!C7)</f>
        <v>dheat</v>
      </c>
      <c r="C112" t="str">
        <f>IF(Latvia!D7="","",Latvia!D7)</f>
        <v/>
      </c>
      <c r="D112" s="149" t="s">
        <v>357</v>
      </c>
      <c r="E112" s="149">
        <f>IF(Latvia!F7="","",Latvia!F7)</f>
        <v>2025</v>
      </c>
      <c r="F112" s="160">
        <f>IF(Latvia!G7="","",Latvia!G7)</f>
        <v>10.537035826323002</v>
      </c>
      <c r="G112" s="160">
        <f>IF(Latvia!H7="","",Latvia!H7)</f>
        <v>0.3</v>
      </c>
    </row>
    <row r="113" spans="1:7">
      <c r="A113" t="str">
        <f>IF(Latvia!B8="","",Latvia!B8)</f>
        <v>LV00</v>
      </c>
      <c r="B113" t="str">
        <f>IF(Latvia!C8="","",Latvia!C8)</f>
        <v>dheat</v>
      </c>
      <c r="C113" t="str">
        <f>IF(Latvia!D8="","",Latvia!D8)</f>
        <v/>
      </c>
      <c r="D113" s="149" t="s">
        <v>357</v>
      </c>
      <c r="E113" s="149">
        <f>IF(Latvia!F8="","",Latvia!F8)</f>
        <v>2030</v>
      </c>
      <c r="F113" s="160">
        <f>IF(Latvia!G8="","",Latvia!G8)</f>
        <v>10.021074168947218</v>
      </c>
      <c r="G113" s="160">
        <f>IF(Latvia!H8="","",Latvia!H8)</f>
        <v>0.3</v>
      </c>
    </row>
    <row r="114" spans="1:7">
      <c r="A114" t="str">
        <f>IF(Latvia!B9="","",Latvia!B9)</f>
        <v>LV00</v>
      </c>
      <c r="B114" t="str">
        <f>IF(Latvia!C9="","",Latvia!C9)</f>
        <v>dheat</v>
      </c>
      <c r="C114" t="str">
        <f>IF(Latvia!D9="","",Latvia!D9)</f>
        <v/>
      </c>
      <c r="D114" s="149" t="s">
        <v>357</v>
      </c>
      <c r="E114" s="149">
        <f>IF(Latvia!F9="","",Latvia!F9)</f>
        <v>2035</v>
      </c>
      <c r="F114" s="160">
        <f>IF(Latvia!G9="","",Latvia!G9)</f>
        <v>9.6027728287678915</v>
      </c>
      <c r="G114" s="160">
        <f>IF(Latvia!H9="","",Latvia!H9)</f>
        <v>0.3</v>
      </c>
    </row>
    <row r="115" spans="1:7">
      <c r="A115" t="str">
        <f>IF(Latvia!B10="","",Latvia!B10)</f>
        <v>LV00</v>
      </c>
      <c r="B115" t="str">
        <f>IF(Latvia!C10="","",Latvia!C10)</f>
        <v>dheat</v>
      </c>
      <c r="C115" t="str">
        <f>IF(Latvia!D10="","",Latvia!D10)</f>
        <v/>
      </c>
      <c r="D115" s="149" t="s">
        <v>357</v>
      </c>
      <c r="E115" s="149">
        <f>IF(Latvia!F10="","",Latvia!F10)</f>
        <v>2040</v>
      </c>
      <c r="F115" s="160">
        <f>IF(Latvia!G10="","",Latvia!G10)</f>
        <v>9.1956870318832813</v>
      </c>
      <c r="G115" s="160">
        <f>IF(Latvia!H10="","",Latvia!H10)</f>
        <v>0.3</v>
      </c>
    </row>
    <row r="116" spans="1:7">
      <c r="A116" t="str">
        <f>IF(Lithuania!B5="","",Lithuania!B5)</f>
        <v>LT00</v>
      </c>
      <c r="B116" t="str">
        <f>IF(Lithuania!C5="","",Lithuania!C5)</f>
        <v>dheat</v>
      </c>
      <c r="C116" t="str">
        <f>IF(Lithuania!D5="","",Lithuania!D5)</f>
        <v/>
      </c>
      <c r="D116" s="149" t="s">
        <v>357</v>
      </c>
      <c r="E116" s="149">
        <f>IF(Lithuania!F5="","",Lithuania!F5)</f>
        <v>2015</v>
      </c>
      <c r="F116" s="160">
        <f>IF(Lithuania!G5="","",Lithuania!G5)</f>
        <v>7.575341826489038</v>
      </c>
      <c r="G116" s="160">
        <f>IF(Lithuania!H5="","",Lithuania!H5)</f>
        <v>0.3</v>
      </c>
    </row>
    <row r="117" spans="1:7">
      <c r="A117" t="str">
        <f>IF(Lithuania!B6="","",Lithuania!B6)</f>
        <v>LT00</v>
      </c>
      <c r="B117" t="str">
        <f>IF(Lithuania!C6="","",Lithuania!C6)</f>
        <v>dheat</v>
      </c>
      <c r="C117" t="str">
        <f>IF(Lithuania!D6="","",Lithuania!D6)</f>
        <v/>
      </c>
      <c r="D117" s="149" t="s">
        <v>357</v>
      </c>
      <c r="E117" s="149">
        <f>IF(Lithuania!F6="","",Lithuania!F6)</f>
        <v>2020</v>
      </c>
      <c r="F117" s="160">
        <f>IF(Lithuania!G6="","",Lithuania!G6)</f>
        <v>7.8357264535507092</v>
      </c>
      <c r="G117" s="160">
        <f>IF(Lithuania!H6="","",Lithuania!H6)</f>
        <v>0.3</v>
      </c>
    </row>
    <row r="118" spans="1:7">
      <c r="A118" t="str">
        <f>IF(Lithuania!B7="","",Lithuania!B7)</f>
        <v>LT00</v>
      </c>
      <c r="B118" t="str">
        <f>IF(Lithuania!C7="","",Lithuania!C7)</f>
        <v>dheat</v>
      </c>
      <c r="C118" t="str">
        <f>IF(Lithuania!D7="","",Lithuania!D7)</f>
        <v/>
      </c>
      <c r="D118" s="149" t="s">
        <v>357</v>
      </c>
      <c r="E118" s="149">
        <f>IF(Lithuania!F7="","",Lithuania!F7)</f>
        <v>2025</v>
      </c>
      <c r="F118" s="160">
        <f>IF(Lithuania!G7="","",Lithuania!G7)</f>
        <v>7.994005023902564</v>
      </c>
      <c r="G118" s="160">
        <f>IF(Lithuania!H7="","",Lithuania!H7)</f>
        <v>0.3</v>
      </c>
    </row>
    <row r="119" spans="1:7">
      <c r="A119" t="str">
        <f>IF(Lithuania!B8="","",Lithuania!B8)</f>
        <v>LT00</v>
      </c>
      <c r="B119" t="str">
        <f>IF(Lithuania!C8="","",Lithuania!C8)</f>
        <v>dheat</v>
      </c>
      <c r="C119" t="str">
        <f>IF(Lithuania!D8="","",Lithuania!D8)</f>
        <v/>
      </c>
      <c r="D119" s="149" t="s">
        <v>357</v>
      </c>
      <c r="E119" s="149">
        <f>IF(Lithuania!F8="","",Lithuania!F8)</f>
        <v>2030</v>
      </c>
      <c r="F119" s="160">
        <f>IF(Lithuania!G8="","",Lithuania!G8)</f>
        <v>7.9739674653854458</v>
      </c>
      <c r="G119" s="160">
        <f>IF(Lithuania!H8="","",Lithuania!H8)</f>
        <v>0.3</v>
      </c>
    </row>
    <row r="120" spans="1:7">
      <c r="A120" t="str">
        <f>IF(Lithuania!B9="","",Lithuania!B9)</f>
        <v>LT00</v>
      </c>
      <c r="B120" t="str">
        <f>IF(Lithuania!C9="","",Lithuania!C9)</f>
        <v>dheat</v>
      </c>
      <c r="C120" t="str">
        <f>IF(Lithuania!D9="","",Lithuania!D9)</f>
        <v/>
      </c>
      <c r="D120" s="149" t="s">
        <v>357</v>
      </c>
      <c r="E120" s="149">
        <f>IF(Lithuania!F9="","",Lithuania!F9)</f>
        <v>2035</v>
      </c>
      <c r="F120" s="160">
        <f>IF(Lithuania!G9="","",Lithuania!G9)</f>
        <v>7.990793821888591</v>
      </c>
      <c r="G120" s="160">
        <f>IF(Lithuania!H9="","",Lithuania!H9)</f>
        <v>0.3</v>
      </c>
    </row>
    <row r="121" spans="1:7">
      <c r="A121" t="str">
        <f>IF(Lithuania!B10="","",Lithuania!B10)</f>
        <v>LT00</v>
      </c>
      <c r="B121" t="str">
        <f>IF(Lithuania!C10="","",Lithuania!C10)</f>
        <v>dheat</v>
      </c>
      <c r="C121" t="str">
        <f>IF(Lithuania!D10="","",Lithuania!D10)</f>
        <v/>
      </c>
      <c r="D121" s="149" t="s">
        <v>357</v>
      </c>
      <c r="E121" s="149">
        <f>IF(Lithuania!F10="","",Lithuania!F10)</f>
        <v>2040</v>
      </c>
      <c r="F121" s="160">
        <f>IF(Lithuania!G10="","",Lithuania!G10)</f>
        <v>7.9911810542945272</v>
      </c>
      <c r="G121" s="160">
        <f>IF(Lithuania!H10="","",Lithuania!H10)</f>
        <v>0.3</v>
      </c>
    </row>
    <row r="122" spans="1:7">
      <c r="A122" t="str">
        <f>IF(others!B5="","",others!B5)</f>
        <v>DE00</v>
      </c>
      <c r="B122" t="str">
        <f>IF(others!C5="","",others!C5)</f>
        <v>dheat</v>
      </c>
      <c r="C122" t="str">
        <f>IF(others!D5="","",others!D5)</f>
        <v/>
      </c>
      <c r="D122" s="149" t="s">
        <v>357</v>
      </c>
      <c r="E122" s="149">
        <f>IF(others!F5="","",others!F5)</f>
        <v>2015</v>
      </c>
      <c r="F122" s="150">
        <f>IF(others!G5="","",others!G5)</f>
        <v>92.710133259800728</v>
      </c>
      <c r="G122" s="150">
        <f>IF(others!H5="","",others!H5)</f>
        <v>0.3</v>
      </c>
    </row>
    <row r="123" spans="1:7">
      <c r="A123" t="str">
        <f>IF(others!B6="","",others!B6)</f>
        <v>DE00</v>
      </c>
      <c r="B123" t="str">
        <f>IF(others!C6="","",others!C6)</f>
        <v>dheat</v>
      </c>
      <c r="C123" t="str">
        <f>IF(others!D6="","",others!D6)</f>
        <v/>
      </c>
      <c r="D123" s="149" t="s">
        <v>357</v>
      </c>
      <c r="E123" s="149">
        <f>IF(others!F6="","",others!F6)</f>
        <v>2020</v>
      </c>
      <c r="F123" s="150">
        <f>IF(others!G6="","",others!G6)</f>
        <v>92.710133259800728</v>
      </c>
      <c r="G123" s="150">
        <f>IF(others!H6="","",others!H6)</f>
        <v>0.3</v>
      </c>
    </row>
    <row r="124" spans="1:7">
      <c r="A124" t="str">
        <f>IF(others!B7="","",others!B7)</f>
        <v>DE00</v>
      </c>
      <c r="B124" t="str">
        <f>IF(others!C7="","",others!C7)</f>
        <v>dheat</v>
      </c>
      <c r="C124" t="str">
        <f>IF(others!D7="","",others!D7)</f>
        <v/>
      </c>
      <c r="D124" s="149" t="s">
        <v>357</v>
      </c>
      <c r="E124" s="149">
        <f>IF(others!F7="","",others!F7)</f>
        <v>2025</v>
      </c>
      <c r="F124" s="150">
        <f>IF(others!G7="","",others!G7)</f>
        <v>92.710133259800728</v>
      </c>
      <c r="G124" s="150">
        <f>IF(others!H7="","",others!H7)</f>
        <v>0.3</v>
      </c>
    </row>
    <row r="125" spans="1:7">
      <c r="A125" t="str">
        <f>IF(others!B8="","",others!B8)</f>
        <v>DE00</v>
      </c>
      <c r="B125" t="str">
        <f>IF(others!C8="","",others!C8)</f>
        <v>dheat</v>
      </c>
      <c r="C125" t="str">
        <f>IF(others!D8="","",others!D8)</f>
        <v/>
      </c>
      <c r="D125" s="149" t="s">
        <v>357</v>
      </c>
      <c r="E125" s="149">
        <f>IF(others!F8="","",others!F8)</f>
        <v>2030</v>
      </c>
      <c r="F125" s="150">
        <f>IF(others!G8="","",others!G8)</f>
        <v>92.710133259800728</v>
      </c>
      <c r="G125" s="150">
        <f>IF(others!H8="","",others!H8)</f>
        <v>0.3</v>
      </c>
    </row>
    <row r="126" spans="1:7">
      <c r="A126" t="str">
        <f>IF(others!B9="","",others!B9)</f>
        <v>DE00</v>
      </c>
      <c r="B126" t="str">
        <f>IF(others!C9="","",others!C9)</f>
        <v>dheat</v>
      </c>
      <c r="C126" t="str">
        <f>IF(others!D9="","",others!D9)</f>
        <v/>
      </c>
      <c r="D126" s="149" t="s">
        <v>357</v>
      </c>
      <c r="E126" s="149">
        <f>IF(others!F9="","",others!F9)</f>
        <v>2035</v>
      </c>
      <c r="F126" s="150">
        <f>IF(others!G9="","",others!G9)</f>
        <v>92.710133259800728</v>
      </c>
      <c r="G126" s="150">
        <f>IF(others!H9="","",others!H9)</f>
        <v>0.3</v>
      </c>
    </row>
    <row r="127" spans="1:7">
      <c r="A127" t="str">
        <f>IF(others!B10="","",others!B10)</f>
        <v>DE00</v>
      </c>
      <c r="B127" t="str">
        <f>IF(others!C10="","",others!C10)</f>
        <v>dheat</v>
      </c>
      <c r="C127" t="str">
        <f>IF(others!D10="","",others!D10)</f>
        <v/>
      </c>
      <c r="D127" s="149" t="s">
        <v>357</v>
      </c>
      <c r="E127" s="149">
        <f>IF(others!F10="","",others!F10)</f>
        <v>2040</v>
      </c>
      <c r="F127" s="150">
        <f>IF(others!G10="","",others!G10)</f>
        <v>92.710133259800728</v>
      </c>
      <c r="G127" s="150">
        <f>IF(others!H10="","",others!H10)</f>
        <v>0.3</v>
      </c>
    </row>
    <row r="128" spans="1:7">
      <c r="A128" t="str">
        <f>IF(others!B11="","",others!B11)</f>
        <v>PL00</v>
      </c>
      <c r="B128" t="str">
        <f>IF(others!C11="","",others!C11)</f>
        <v>dheat</v>
      </c>
      <c r="C128" t="str">
        <f>IF(others!D11="","",others!D11)</f>
        <v/>
      </c>
      <c r="D128" s="149" t="s">
        <v>357</v>
      </c>
      <c r="E128" s="149">
        <f>IF(others!F11="","",others!F11)</f>
        <v>2015</v>
      </c>
      <c r="F128" s="150">
        <f>IF(others!G11="","",others!G11)</f>
        <v>101.35437969412678</v>
      </c>
      <c r="G128" s="150">
        <f>IF(others!H11="","",others!H11)</f>
        <v>0.3</v>
      </c>
    </row>
    <row r="129" spans="1:7">
      <c r="A129" t="str">
        <f>IF(others!B12="","",others!B12)</f>
        <v>PL00</v>
      </c>
      <c r="B129" t="str">
        <f>IF(others!C12="","",others!C12)</f>
        <v>dheat</v>
      </c>
      <c r="C129" t="str">
        <f>IF(others!D12="","",others!D12)</f>
        <v/>
      </c>
      <c r="D129" s="149" t="s">
        <v>357</v>
      </c>
      <c r="E129" s="149">
        <f>IF(others!F12="","",others!F12)</f>
        <v>2020</v>
      </c>
      <c r="F129" s="150">
        <f>IF(others!G12="","",others!G12)</f>
        <v>101.35437969412678</v>
      </c>
      <c r="G129" s="150">
        <f>IF(others!H12="","",others!H12)</f>
        <v>0.3</v>
      </c>
    </row>
    <row r="130" spans="1:7">
      <c r="A130" t="str">
        <f>IF(others!B13="","",others!B13)</f>
        <v>PL00</v>
      </c>
      <c r="B130" t="str">
        <f>IF(others!C13="","",others!C13)</f>
        <v>dheat</v>
      </c>
      <c r="C130" t="str">
        <f>IF(others!D13="","",others!D13)</f>
        <v/>
      </c>
      <c r="D130" s="149" t="s">
        <v>357</v>
      </c>
      <c r="E130" s="149">
        <f>IF(others!F13="","",others!F13)</f>
        <v>2025</v>
      </c>
      <c r="F130" s="150">
        <f>IF(others!G13="","",others!G13)</f>
        <v>101.35437969412678</v>
      </c>
      <c r="G130" s="150">
        <f>IF(others!H13="","",others!H13)</f>
        <v>0.3</v>
      </c>
    </row>
    <row r="131" spans="1:7">
      <c r="A131" t="str">
        <f>IF(others!B14="","",others!B14)</f>
        <v>PL00</v>
      </c>
      <c r="B131" t="str">
        <f>IF(others!C14="","",others!C14)</f>
        <v>dheat</v>
      </c>
      <c r="C131" t="str">
        <f>IF(others!D14="","",others!D14)</f>
        <v/>
      </c>
      <c r="D131" s="149" t="s">
        <v>357</v>
      </c>
      <c r="E131" s="149">
        <f>IF(others!F14="","",others!F14)</f>
        <v>2030</v>
      </c>
      <c r="F131" s="150">
        <f>IF(others!G14="","",others!G14)</f>
        <v>101.35437969412678</v>
      </c>
      <c r="G131" s="150">
        <f>IF(others!H14="","",others!H14)</f>
        <v>0.3</v>
      </c>
    </row>
    <row r="132" spans="1:7">
      <c r="A132" t="str">
        <f>IF(others!B15="","",others!B15)</f>
        <v>PL00</v>
      </c>
      <c r="B132" t="str">
        <f>IF(others!C15="","",others!C15)</f>
        <v>dheat</v>
      </c>
      <c r="C132" t="str">
        <f>IF(others!D15="","",others!D15)</f>
        <v/>
      </c>
      <c r="D132" s="149" t="s">
        <v>357</v>
      </c>
      <c r="E132" s="149">
        <f>IF(others!F15="","",others!F15)</f>
        <v>2035</v>
      </c>
      <c r="F132" s="150">
        <f>IF(others!G15="","",others!G15)</f>
        <v>101.35437969412678</v>
      </c>
      <c r="G132" s="150">
        <f>IF(others!H15="","",others!H15)</f>
        <v>0.3</v>
      </c>
    </row>
    <row r="133" spans="1:7">
      <c r="A133" t="str">
        <f>IF(others!B16="","",others!B16)</f>
        <v>PL00</v>
      </c>
      <c r="B133" t="str">
        <f>IF(others!C16="","",others!C16)</f>
        <v>dheat</v>
      </c>
      <c r="C133" t="str">
        <f>IF(others!D16="","",others!D16)</f>
        <v/>
      </c>
      <c r="D133" s="149" t="s">
        <v>357</v>
      </c>
      <c r="E133" s="149">
        <f>IF(others!F16="","",others!F16)</f>
        <v>2040</v>
      </c>
      <c r="F133" s="150">
        <f>IF(others!G16="","",others!G16)</f>
        <v>101.35437969412678</v>
      </c>
      <c r="G133" s="150">
        <f>IF(others!H16="","",others!H16)</f>
        <v>0.3</v>
      </c>
    </row>
    <row r="134" spans="1:7">
      <c r="A134" t="str">
        <f>IF(others!B17="","",others!B17)</f>
        <v>AT00</v>
      </c>
      <c r="B134" t="str">
        <f>IF(others!C17="","",others!C17)</f>
        <v>dheat</v>
      </c>
      <c r="C134" t="str">
        <f>IF(others!D17="","",others!D17)</f>
        <v/>
      </c>
      <c r="D134" s="149" t="s">
        <v>357</v>
      </c>
      <c r="E134" s="149">
        <f>IF(others!F17="","",others!F17)</f>
        <v>2015</v>
      </c>
      <c r="F134" s="150">
        <f>IF(others!G17="","",others!G17)</f>
        <v>9.9710144775995282</v>
      </c>
      <c r="G134" s="150">
        <f>IF(others!H17="","",others!H17)</f>
        <v>0.3</v>
      </c>
    </row>
    <row r="135" spans="1:7">
      <c r="A135" t="str">
        <f>IF(others!B18="","",others!B18)</f>
        <v>AT00</v>
      </c>
      <c r="B135" t="str">
        <f>IF(others!C18="","",others!C18)</f>
        <v>dheat</v>
      </c>
      <c r="C135" t="str">
        <f>IF(others!D18="","",others!D18)</f>
        <v/>
      </c>
      <c r="D135" s="149" t="s">
        <v>357</v>
      </c>
      <c r="E135" s="149">
        <f>IF(others!F18="","",others!F18)</f>
        <v>2020</v>
      </c>
      <c r="F135" s="150">
        <f>IF(others!G18="","",others!G18)</f>
        <v>9.9710144775995282</v>
      </c>
      <c r="G135" s="150">
        <f>IF(others!H18="","",others!H18)</f>
        <v>0.3</v>
      </c>
    </row>
    <row r="136" spans="1:7">
      <c r="A136" t="str">
        <f>IF(others!B19="","",others!B19)</f>
        <v>AT00</v>
      </c>
      <c r="B136" t="str">
        <f>IF(others!C19="","",others!C19)</f>
        <v>dheat</v>
      </c>
      <c r="C136" t="str">
        <f>IF(others!D19="","",others!D19)</f>
        <v/>
      </c>
      <c r="D136" s="149" t="s">
        <v>357</v>
      </c>
      <c r="E136" s="149">
        <f>IF(others!F19="","",others!F19)</f>
        <v>2025</v>
      </c>
      <c r="F136" s="150">
        <f>IF(others!G19="","",others!G19)</f>
        <v>9.9710144775995282</v>
      </c>
      <c r="G136" s="150">
        <f>IF(others!H19="","",others!H19)</f>
        <v>0.3</v>
      </c>
    </row>
    <row r="137" spans="1:7">
      <c r="A137" t="str">
        <f>IF(others!B20="","",others!B20)</f>
        <v>AT00</v>
      </c>
      <c r="B137" t="str">
        <f>IF(others!C20="","",others!C20)</f>
        <v>dheat</v>
      </c>
      <c r="C137" t="str">
        <f>IF(others!D20="","",others!D20)</f>
        <v/>
      </c>
      <c r="D137" s="149" t="s">
        <v>357</v>
      </c>
      <c r="E137" s="149">
        <f>IF(others!F20="","",others!F20)</f>
        <v>2030</v>
      </c>
      <c r="F137" s="150">
        <f>IF(others!G20="","",others!G20)</f>
        <v>9.9710144775995282</v>
      </c>
      <c r="G137" s="150">
        <f>IF(others!H20="","",others!H20)</f>
        <v>0.3</v>
      </c>
    </row>
    <row r="138" spans="1:7">
      <c r="A138" t="str">
        <f>IF(others!B21="","",others!B21)</f>
        <v>AT00</v>
      </c>
      <c r="B138" t="str">
        <f>IF(others!C21="","",others!C21)</f>
        <v>dheat</v>
      </c>
      <c r="C138" t="str">
        <f>IF(others!D21="","",others!D21)</f>
        <v/>
      </c>
      <c r="D138" s="149" t="s">
        <v>357</v>
      </c>
      <c r="E138" s="149">
        <f>IF(others!F21="","",others!F21)</f>
        <v>2035</v>
      </c>
      <c r="F138" s="150">
        <f>IF(others!G21="","",others!G21)</f>
        <v>9.9710144775995282</v>
      </c>
      <c r="G138" s="150">
        <f>IF(others!H21="","",others!H21)</f>
        <v>0.3</v>
      </c>
    </row>
    <row r="139" spans="1:7">
      <c r="A139" t="str">
        <f>IF(others!B22="","",others!B22)</f>
        <v>AT00</v>
      </c>
      <c r="B139" t="str">
        <f>IF(others!C22="","",others!C22)</f>
        <v>dheat</v>
      </c>
      <c r="C139" t="str">
        <f>IF(others!D22="","",others!D22)</f>
        <v/>
      </c>
      <c r="D139" s="149" t="s">
        <v>357</v>
      </c>
      <c r="E139" s="149">
        <f>IF(others!F22="","",others!F22)</f>
        <v>2040</v>
      </c>
      <c r="F139" s="150">
        <f>IF(others!G22="","",others!G22)</f>
        <v>9.9710144775995282</v>
      </c>
      <c r="G139" s="150">
        <f>IF(others!H22="","",others!H22)</f>
        <v>0.3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zoomScale="90" zoomScaleNormal="90" workbookViewId="0">
      <pane xSplit="3" topLeftCell="D1" activePane="topRight" state="frozen"/>
      <selection pane="topRight" activeCell="E5" sqref="E5:E52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177</v>
      </c>
      <c r="C5" s="70" t="s">
        <v>343</v>
      </c>
      <c r="D5" s="70" t="s">
        <v>348</v>
      </c>
      <c r="E5" s="70" t="s">
        <v>357</v>
      </c>
      <c r="F5" s="71">
        <v>2015</v>
      </c>
      <c r="G5" s="152" cm="1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343</v>
      </c>
      <c r="D6" s="75" t="s">
        <v>349</v>
      </c>
      <c r="E6" s="75" t="s">
        <v>357</v>
      </c>
      <c r="F6" s="76">
        <v>2015</v>
      </c>
      <c r="G6" s="153" cm="1">
        <f t="array" ref="G6">SUM($M$6:$R$13*($M$5:$R$5=$F6)*($L$6:$L$13=$D6)) / 1000</f>
        <v>2.3605086565648401</v>
      </c>
      <c r="H6" s="78">
        <f>H5</f>
        <v>0.3</v>
      </c>
      <c r="L6" s="122" t="s">
        <v>348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343</v>
      </c>
      <c r="D7" s="70" t="s">
        <v>350</v>
      </c>
      <c r="E7" s="70" t="s">
        <v>357</v>
      </c>
      <c r="F7" s="71">
        <v>2015</v>
      </c>
      <c r="G7" s="152" cm="1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349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343</v>
      </c>
      <c r="D8" s="75" t="s">
        <v>351</v>
      </c>
      <c r="E8" s="75" t="s">
        <v>357</v>
      </c>
      <c r="F8" s="76">
        <v>2015</v>
      </c>
      <c r="G8" s="153" cm="1">
        <f t="array" ref="G8">SUM($M$6:$R$13*($M$5:$R$5=$F8)*($L$6:$L$13=$D8)) / 1000</f>
        <v>2.2187058356179667</v>
      </c>
      <c r="H8" s="78">
        <f t="shared" si="1"/>
        <v>0.3</v>
      </c>
      <c r="L8" s="122" t="s">
        <v>350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343</v>
      </c>
      <c r="D9" s="70" t="s">
        <v>352</v>
      </c>
      <c r="E9" s="70" t="s">
        <v>357</v>
      </c>
      <c r="F9" s="71">
        <v>2015</v>
      </c>
      <c r="G9" s="152" cm="1">
        <f t="array" ref="G9">SUM($M$6:$R$13*($M$5:$R$5=$F9)*($L$6:$L$13=$D9)) / 1000</f>
        <v>2.2249793654609449</v>
      </c>
      <c r="H9" s="73">
        <f t="shared" si="1"/>
        <v>0.3</v>
      </c>
      <c r="L9" s="122" t="s">
        <v>351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343</v>
      </c>
      <c r="D10" s="75" t="s">
        <v>353</v>
      </c>
      <c r="E10" s="75" t="s">
        <v>357</v>
      </c>
      <c r="F10" s="76">
        <v>2015</v>
      </c>
      <c r="G10" s="153" cm="1">
        <f t="array" ref="G10">SUM($M$6:$R$13*($M$5:$R$5=$F10)*($L$6:$L$13=$D10)) / 1000</f>
        <v>1.7214878369103304</v>
      </c>
      <c r="H10" s="78">
        <f t="shared" si="1"/>
        <v>0.3</v>
      </c>
      <c r="L10" s="122" t="s">
        <v>352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343</v>
      </c>
      <c r="D11" s="70" t="s">
        <v>354</v>
      </c>
      <c r="E11" s="70" t="s">
        <v>357</v>
      </c>
      <c r="F11" s="71">
        <v>2015</v>
      </c>
      <c r="G11" s="152" cm="1">
        <f t="array" ref="G11">SUM($M$6:$R$13*($M$5:$R$5=$F11)*($L$6:$L$13=$D11)) / 1000</f>
        <v>1.1858506273683131</v>
      </c>
      <c r="H11" s="73">
        <f t="shared" si="1"/>
        <v>0.3</v>
      </c>
      <c r="L11" s="122" t="s">
        <v>353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343</v>
      </c>
      <c r="D12" s="75" t="s">
        <v>355</v>
      </c>
      <c r="E12" s="75" t="s">
        <v>357</v>
      </c>
      <c r="F12" s="76">
        <v>2015</v>
      </c>
      <c r="G12" s="153" cm="1">
        <f t="array" ref="G12">SUM($M$6:$R$13*($M$5:$R$5=$F12)*($L$6:$L$13=$D12)) / 1000</f>
        <v>19.449074188534723</v>
      </c>
      <c r="H12" s="78">
        <f t="shared" si="1"/>
        <v>0.3</v>
      </c>
      <c r="L12" s="122" t="s">
        <v>354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343</v>
      </c>
      <c r="D13" s="70" t="s">
        <v>348</v>
      </c>
      <c r="E13" s="70" t="s">
        <v>357</v>
      </c>
      <c r="F13" s="71">
        <f>F5+5</f>
        <v>2020</v>
      </c>
      <c r="G13" s="152" cm="1">
        <f t="array" ref="G13">SUM($M$6:$R$13*($M$5:$R$5=$F13)*($L$6:$L$13=$D13)) / 1000</f>
        <v>7.0888236484949978</v>
      </c>
      <c r="H13" s="135">
        <f t="shared" si="1"/>
        <v>0.3</v>
      </c>
      <c r="L13" s="122" t="s">
        <v>355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343</v>
      </c>
      <c r="D14" s="75" t="s">
        <v>349</v>
      </c>
      <c r="E14" s="75" t="s">
        <v>357</v>
      </c>
      <c r="F14" s="76">
        <f t="shared" ref="F14:F28" si="2">F6+5</f>
        <v>2020</v>
      </c>
      <c r="G14" s="153" cm="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343</v>
      </c>
      <c r="D15" s="70" t="s">
        <v>350</v>
      </c>
      <c r="E15" s="70" t="s">
        <v>357</v>
      </c>
      <c r="F15" s="71">
        <f t="shared" si="2"/>
        <v>2020</v>
      </c>
      <c r="G15" s="152" cm="1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343</v>
      </c>
      <c r="D16" s="75" t="s">
        <v>351</v>
      </c>
      <c r="E16" s="75" t="s">
        <v>357</v>
      </c>
      <c r="F16" s="76">
        <f t="shared" si="2"/>
        <v>2020</v>
      </c>
      <c r="G16" s="153" cm="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343</v>
      </c>
      <c r="D17" s="70" t="s">
        <v>352</v>
      </c>
      <c r="E17" s="70" t="s">
        <v>357</v>
      </c>
      <c r="F17" s="71">
        <f t="shared" si="2"/>
        <v>2020</v>
      </c>
      <c r="G17" s="152" cm="1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343</v>
      </c>
      <c r="D18" s="75" t="s">
        <v>353</v>
      </c>
      <c r="E18" s="75" t="s">
        <v>357</v>
      </c>
      <c r="F18" s="76">
        <f t="shared" si="2"/>
        <v>2020</v>
      </c>
      <c r="G18" s="153" cm="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343</v>
      </c>
      <c r="D19" s="70" t="s">
        <v>354</v>
      </c>
      <c r="E19" s="70" t="s">
        <v>357</v>
      </c>
      <c r="F19" s="71">
        <f t="shared" si="2"/>
        <v>2020</v>
      </c>
      <c r="G19" s="152" cm="1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343</v>
      </c>
      <c r="D20" s="75" t="s">
        <v>355</v>
      </c>
      <c r="E20" s="75" t="s">
        <v>357</v>
      </c>
      <c r="F20" s="76">
        <f t="shared" si="2"/>
        <v>2020</v>
      </c>
      <c r="G20" s="153" cm="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343</v>
      </c>
      <c r="D21" s="70" t="s">
        <v>348</v>
      </c>
      <c r="E21" s="70" t="s">
        <v>357</v>
      </c>
      <c r="F21" s="71">
        <f>F13+5</f>
        <v>2025</v>
      </c>
      <c r="G21" s="152" cm="1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343</v>
      </c>
      <c r="D22" s="75" t="s">
        <v>349</v>
      </c>
      <c r="E22" s="75" t="s">
        <v>357</v>
      </c>
      <c r="F22" s="76">
        <f t="shared" si="2"/>
        <v>2025</v>
      </c>
      <c r="G22" s="153" cm="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343</v>
      </c>
      <c r="D23" s="70" t="s">
        <v>350</v>
      </c>
      <c r="E23" s="70" t="s">
        <v>357</v>
      </c>
      <c r="F23" s="71">
        <f t="shared" si="2"/>
        <v>2025</v>
      </c>
      <c r="G23" s="152" cm="1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343</v>
      </c>
      <c r="D24" s="75" t="s">
        <v>351</v>
      </c>
      <c r="E24" s="75" t="s">
        <v>357</v>
      </c>
      <c r="F24" s="76">
        <f t="shared" si="2"/>
        <v>2025</v>
      </c>
      <c r="G24" s="153" cm="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343</v>
      </c>
      <c r="D25" s="70" t="s">
        <v>352</v>
      </c>
      <c r="E25" s="70" t="s">
        <v>357</v>
      </c>
      <c r="F25" s="71">
        <f t="shared" si="2"/>
        <v>2025</v>
      </c>
      <c r="G25" s="152" cm="1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343</v>
      </c>
      <c r="D26" s="75" t="s">
        <v>353</v>
      </c>
      <c r="E26" s="75" t="s">
        <v>357</v>
      </c>
      <c r="F26" s="76">
        <f t="shared" si="2"/>
        <v>2025</v>
      </c>
      <c r="G26" s="153" cm="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343</v>
      </c>
      <c r="D27" s="70" t="s">
        <v>354</v>
      </c>
      <c r="E27" s="70" t="s">
        <v>357</v>
      </c>
      <c r="F27" s="71">
        <f t="shared" si="2"/>
        <v>2025</v>
      </c>
      <c r="G27" s="152" cm="1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343</v>
      </c>
      <c r="D28" s="75" t="s">
        <v>355</v>
      </c>
      <c r="E28" s="75" t="s">
        <v>357</v>
      </c>
      <c r="F28" s="76">
        <f t="shared" si="2"/>
        <v>2025</v>
      </c>
      <c r="G28" s="153" cm="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343</v>
      </c>
      <c r="D29" s="70" t="s">
        <v>348</v>
      </c>
      <c r="E29" s="70" t="s">
        <v>357</v>
      </c>
      <c r="F29" s="71">
        <f>F21+5</f>
        <v>2030</v>
      </c>
      <c r="G29" s="152" cm="1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343</v>
      </c>
      <c r="D30" s="75" t="s">
        <v>349</v>
      </c>
      <c r="E30" s="75" t="s">
        <v>357</v>
      </c>
      <c r="F30" s="76">
        <f t="shared" ref="F30:F52" si="4">F22+5</f>
        <v>2030</v>
      </c>
      <c r="G30" s="153" cm="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343</v>
      </c>
      <c r="D31" s="70" t="s">
        <v>350</v>
      </c>
      <c r="E31" s="70" t="s">
        <v>357</v>
      </c>
      <c r="F31" s="71">
        <f t="shared" si="4"/>
        <v>2030</v>
      </c>
      <c r="G31" s="152" cm="1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343</v>
      </c>
      <c r="D32" s="75" t="s">
        <v>351</v>
      </c>
      <c r="E32" s="75" t="s">
        <v>357</v>
      </c>
      <c r="F32" s="76">
        <f t="shared" si="4"/>
        <v>2030</v>
      </c>
      <c r="G32" s="153" cm="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343</v>
      </c>
      <c r="D33" s="70" t="s">
        <v>352</v>
      </c>
      <c r="E33" s="70" t="s">
        <v>357</v>
      </c>
      <c r="F33" s="71">
        <f t="shared" si="4"/>
        <v>2030</v>
      </c>
      <c r="G33" s="152" cm="1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343</v>
      </c>
      <c r="D34" s="75" t="s">
        <v>353</v>
      </c>
      <c r="E34" s="75" t="s">
        <v>357</v>
      </c>
      <c r="F34" s="76">
        <f t="shared" si="4"/>
        <v>2030</v>
      </c>
      <c r="G34" s="153" cm="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343</v>
      </c>
      <c r="D35" s="70" t="s">
        <v>354</v>
      </c>
      <c r="E35" s="70" t="s">
        <v>357</v>
      </c>
      <c r="F35" s="71">
        <f t="shared" si="4"/>
        <v>2030</v>
      </c>
      <c r="G35" s="152" cm="1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343</v>
      </c>
      <c r="D36" s="75" t="s">
        <v>355</v>
      </c>
      <c r="E36" s="75" t="s">
        <v>357</v>
      </c>
      <c r="F36" s="76">
        <f t="shared" si="4"/>
        <v>2030</v>
      </c>
      <c r="G36" s="153" cm="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343</v>
      </c>
      <c r="D37" s="70" t="s">
        <v>348</v>
      </c>
      <c r="E37" s="70" t="s">
        <v>357</v>
      </c>
      <c r="F37" s="71">
        <f>F29+5</f>
        <v>2035</v>
      </c>
      <c r="G37" s="152" cm="1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343</v>
      </c>
      <c r="D38" s="75" t="s">
        <v>349</v>
      </c>
      <c r="E38" s="75" t="s">
        <v>357</v>
      </c>
      <c r="F38" s="76">
        <f t="shared" si="4"/>
        <v>2035</v>
      </c>
      <c r="G38" s="153" cm="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343</v>
      </c>
      <c r="D39" s="70" t="s">
        <v>350</v>
      </c>
      <c r="E39" s="70" t="s">
        <v>357</v>
      </c>
      <c r="F39" s="71">
        <f t="shared" si="4"/>
        <v>2035</v>
      </c>
      <c r="G39" s="152" cm="1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343</v>
      </c>
      <c r="D40" s="75" t="s">
        <v>351</v>
      </c>
      <c r="E40" s="75" t="s">
        <v>357</v>
      </c>
      <c r="F40" s="76">
        <f t="shared" si="4"/>
        <v>2035</v>
      </c>
      <c r="G40" s="153" cm="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343</v>
      </c>
      <c r="D41" s="70" t="s">
        <v>352</v>
      </c>
      <c r="E41" s="70" t="s">
        <v>357</v>
      </c>
      <c r="F41" s="71">
        <f t="shared" si="4"/>
        <v>2035</v>
      </c>
      <c r="G41" s="152" cm="1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343</v>
      </c>
      <c r="D42" s="75" t="s">
        <v>353</v>
      </c>
      <c r="E42" s="75" t="s">
        <v>357</v>
      </c>
      <c r="F42" s="76">
        <f t="shared" si="4"/>
        <v>2035</v>
      </c>
      <c r="G42" s="153" cm="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343</v>
      </c>
      <c r="D43" s="70" t="s">
        <v>354</v>
      </c>
      <c r="E43" s="70" t="s">
        <v>357</v>
      </c>
      <c r="F43" s="71">
        <f t="shared" si="4"/>
        <v>2035</v>
      </c>
      <c r="G43" s="152" cm="1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343</v>
      </c>
      <c r="D44" s="75" t="s">
        <v>355</v>
      </c>
      <c r="E44" s="75" t="s">
        <v>357</v>
      </c>
      <c r="F44" s="76">
        <f t="shared" si="4"/>
        <v>2035</v>
      </c>
      <c r="G44" s="153" cm="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343</v>
      </c>
      <c r="D45" s="70" t="s">
        <v>348</v>
      </c>
      <c r="E45" s="70" t="s">
        <v>357</v>
      </c>
      <c r="F45" s="71">
        <f>F37+5</f>
        <v>2040</v>
      </c>
      <c r="G45" s="152" cm="1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343</v>
      </c>
      <c r="D46" s="75" t="s">
        <v>349</v>
      </c>
      <c r="E46" s="75" t="s">
        <v>357</v>
      </c>
      <c r="F46" s="76">
        <f t="shared" si="4"/>
        <v>2040</v>
      </c>
      <c r="G46" s="153" cm="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343</v>
      </c>
      <c r="D47" s="70" t="s">
        <v>350</v>
      </c>
      <c r="E47" s="70" t="s">
        <v>357</v>
      </c>
      <c r="F47" s="71">
        <f t="shared" si="4"/>
        <v>2040</v>
      </c>
      <c r="G47" s="152" cm="1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343</v>
      </c>
      <c r="D48" s="75" t="s">
        <v>351</v>
      </c>
      <c r="E48" s="75" t="s">
        <v>357</v>
      </c>
      <c r="F48" s="76">
        <f t="shared" si="4"/>
        <v>2040</v>
      </c>
      <c r="G48" s="153" cm="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343</v>
      </c>
      <c r="D49" s="70" t="s">
        <v>352</v>
      </c>
      <c r="E49" s="70" t="s">
        <v>357</v>
      </c>
      <c r="F49" s="71">
        <f t="shared" si="4"/>
        <v>2040</v>
      </c>
      <c r="G49" s="152" cm="1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343</v>
      </c>
      <c r="D50" s="75" t="s">
        <v>353</v>
      </c>
      <c r="E50" s="75" t="s">
        <v>357</v>
      </c>
      <c r="F50" s="76">
        <f t="shared" si="4"/>
        <v>2040</v>
      </c>
      <c r="G50" s="153" cm="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343</v>
      </c>
      <c r="D51" s="70" t="s">
        <v>354</v>
      </c>
      <c r="E51" s="70" t="s">
        <v>357</v>
      </c>
      <c r="F51" s="71">
        <f t="shared" si="4"/>
        <v>2040</v>
      </c>
      <c r="G51" s="152" cm="1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343</v>
      </c>
      <c r="D52" s="75" t="s">
        <v>355</v>
      </c>
      <c r="E52" s="75" t="s">
        <v>357</v>
      </c>
      <c r="F52" s="76">
        <f t="shared" si="4"/>
        <v>2040</v>
      </c>
      <c r="G52" s="153" cm="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295</v>
      </c>
      <c r="B63" s="108" t="s">
        <v>263</v>
      </c>
      <c r="C63" s="108" t="s">
        <v>264</v>
      </c>
      <c r="D63" s="108" t="s">
        <v>265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274</v>
      </c>
      <c r="D64" s="109" t="s">
        <v>269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63">
        <f t="shared" ref="AD64:AE64" si="7">SUM(AD70,AD77,AD84,AD91,AD98,AD105,AD112,AD119)</f>
        <v>38129.718149089676</v>
      </c>
      <c r="AE64" s="163">
        <f t="shared" si="7"/>
        <v>38490.248821260626</v>
      </c>
      <c r="AF64" s="163">
        <f>SUM(AF70,AF77,AF84,AF91,AF98,AF105,AF112,AF119)</f>
        <v>38601.360829400721</v>
      </c>
      <c r="AG64" s="163">
        <f t="shared" ref="AG64:AI64" si="8">SUM(AG70,AG77,AG84,AG91,AG98,AG105,AG112,AG119)</f>
        <v>38767.575923283141</v>
      </c>
      <c r="AH64" s="163">
        <f t="shared" si="8"/>
        <v>38401.660061739953</v>
      </c>
      <c r="AI64" s="163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266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267</v>
      </c>
      <c r="D67" s="109" t="s">
        <v>268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348</v>
      </c>
      <c r="B70" s="108" t="s">
        <v>91</v>
      </c>
      <c r="C70" s="109" t="s">
        <v>274</v>
      </c>
      <c r="D70" s="109" t="s">
        <v>269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266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267</v>
      </c>
      <c r="D72" s="109" t="s">
        <v>268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296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62">
        <f>AVERAGE(R74:V74)</f>
        <v>11.427135190101188</v>
      </c>
      <c r="AE74" s="162">
        <f>AVERAGE(W74:AA74)</f>
        <v>11.186138756676176</v>
      </c>
      <c r="AF74" s="140" cm="1">
        <f t="array" ref="AF74">(TREND($J74:$AB74,$J$63:$AB$63,AF$63) - TREND($J74:$AB74,$J$63:$AB$63,AB$63)) + AVERAGE($Y74:$AB74)</f>
        <v>10.69450472545107</v>
      </c>
      <c r="AG74" s="140" cm="1">
        <f t="array" ref="AG74">(TREND($J74:$AB74,$J$63:$AB$63,AG$63) - TREND($J74:$AB74,$J$63:$AB$63,AF$63))/2 +AF74</f>
        <v>10.456220638358774</v>
      </c>
      <c r="AH74" s="140" cm="1">
        <f t="array" ref="AH74">(TREND($J74:$AB74,$J$63:$AB$63,AH$63) - TREND($J74:$AB74,$J$63:$AB$63,AG$63))/2 +AG74</f>
        <v>10.217936551266478</v>
      </c>
      <c r="AI74" s="140" cm="1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349</v>
      </c>
      <c r="B77" s="108" t="s">
        <v>92</v>
      </c>
      <c r="C77" s="109" t="s">
        <v>274</v>
      </c>
      <c r="D77" s="109" t="s">
        <v>269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266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267</v>
      </c>
      <c r="D79" s="109" t="s">
        <v>268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296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62">
        <f>AVERAGE(R81:V81)</f>
        <v>8.8789276226948992</v>
      </c>
      <c r="AE81" s="162">
        <f>AVERAGE(W81:AA81)</f>
        <v>8.3816555384498237</v>
      </c>
      <c r="AF81" s="140" cm="1">
        <f t="array" ref="AF81">(TREND($J81:$AB81,$J$63:$AB$63,AF$63) - TREND($J81:$AB81,$J$63:$AB$63,AB$63)) + AVERAGE($Y81:$AB81)</f>
        <v>7.8080424976519174</v>
      </c>
      <c r="AG81" s="140" cm="1">
        <f t="array" ref="AG81">(TREND($J81:$AB81,$J$63:$AB$63,AG$63) - TREND($J81:$AB81,$J$63:$AB$63,AF$63))/2 +AF81</f>
        <v>7.615787214134861</v>
      </c>
      <c r="AH81" s="140" cm="1">
        <f t="array" ref="AH81">(TREND($J81:$AB81,$J$63:$AB$63,AH$63) - TREND($J81:$AB81,$J$63:$AB$63,AG$63))/2 +AG81</f>
        <v>7.4235319306178047</v>
      </c>
      <c r="AI81" s="140" cm="1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350</v>
      </c>
      <c r="B84" s="108" t="s">
        <v>93</v>
      </c>
      <c r="C84" s="109" t="s">
        <v>274</v>
      </c>
      <c r="D84" s="109" t="s">
        <v>269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266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267</v>
      </c>
      <c r="D86" s="109" t="s">
        <v>268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296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62">
        <f>AVERAGE(R88:V88)</f>
        <v>8.9204959400700368</v>
      </c>
      <c r="AE88" s="162">
        <f>AVERAGE(W88:AA88)</f>
        <v>8.3950378659855343</v>
      </c>
      <c r="AF88" s="140" cm="1">
        <f t="array" ref="AF88">(TREND($J88:$AB88,$J$63:$AB$63,AF$63) - TREND($J88:$AB88,$J$63:$AB$63,AB$63)) + AVERAGE($Y88:$AB88)</f>
        <v>8.1103867787079125</v>
      </c>
      <c r="AG88" s="140" cm="1">
        <f t="array" ref="AG88">(TREND($J88:$AB88,$J$63:$AB$63,AG$63) - TREND($J88:$AB88,$J$63:$AB$63,AF$63))/2 +AF88</f>
        <v>7.8635833146316187</v>
      </c>
      <c r="AH88" s="140" cm="1">
        <f t="array" ref="AH88">(TREND($J88:$AB88,$J$63:$AB$63,AH$63) - TREND($J88:$AB88,$J$63:$AB$63,AG$63))/2 +AG88</f>
        <v>7.6167798505553108</v>
      </c>
      <c r="AI88" s="140" cm="1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351</v>
      </c>
      <c r="B91" s="108" t="s">
        <v>94</v>
      </c>
      <c r="C91" s="109" t="s">
        <v>274</v>
      </c>
      <c r="D91" s="109" t="s">
        <v>269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266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267</v>
      </c>
      <c r="D93" s="109" t="s">
        <v>268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294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296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62">
        <f>AVERAGE(R95:V95)</f>
        <v>12.056856201514655</v>
      </c>
      <c r="AE95" s="162">
        <f>AVERAGE(W95:AA95)</f>
        <v>11.048347820267724</v>
      </c>
      <c r="AF95" s="144" cm="1">
        <f t="array" ref="AF95">(TREND($P95:$AB95,$P$63:$AB$63,AF$63) - TREND($P95:$AB95,$P$63:$AB$63,AB$63)) + AVERAGE($Y95:$AB95)</f>
        <v>10.486366646368804</v>
      </c>
      <c r="AG95" s="145" cm="1">
        <f t="array" ref="AG95">(TREND($P95:$AB95,$P$63:$AB$63,AG$63) - TREND($P95:$AB95,$P$63:$AB$63,AF$63))/2 +AF95</f>
        <v>10.328887867015222</v>
      </c>
      <c r="AH95" s="145" cm="1">
        <f t="array" ref="AH95">(TREND($P95:$AB95,$P$63:$AB$63,AH$63) - TREND($P95:$AB95,$P$63:$AB$63,AG$63))/2 +AG95</f>
        <v>10.17140908766164</v>
      </c>
      <c r="AI95" s="145" cm="1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352</v>
      </c>
      <c r="B98" s="108" t="s">
        <v>95</v>
      </c>
      <c r="C98" s="109" t="s">
        <v>274</v>
      </c>
      <c r="D98" s="110" t="s">
        <v>269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266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267</v>
      </c>
      <c r="D100" s="109" t="s">
        <v>268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296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62">
        <f>AVERAGE(R102:V102)</f>
        <v>9.9944236427988926</v>
      </c>
      <c r="AE102" s="162">
        <f>AVERAGE(W102:AA102)</f>
        <v>9.5200941210512209</v>
      </c>
      <c r="AF102" s="140" cm="1">
        <f t="array" ref="AF102">(TREND($J102:$AB102,$J$63:$AB$63,AF$63) - TREND($J102:$AB102,$J$63:$AB$63,AB$63)) + AVERAGE($Y102:$AB102)</f>
        <v>9.1584465240187658</v>
      </c>
      <c r="AG102" s="140" cm="1">
        <f t="array" ref="AG102">(TREND($J102:$AB102,$J$63:$AB$63,AG$63) - TREND($J102:$AB102,$J$63:$AB$63,AF$63))/2 +AF102</f>
        <v>8.9800166555635119</v>
      </c>
      <c r="AH102" s="140" cm="1">
        <f t="array" ref="AH102">(TREND($J102:$AB102,$J$63:$AB$63,AH$63) - TREND($J102:$AB102,$J$63:$AB$63,AG$63))/2 +AG102</f>
        <v>8.801586787108258</v>
      </c>
      <c r="AI102" s="140" cm="1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353</v>
      </c>
      <c r="B105" s="108" t="s">
        <v>96</v>
      </c>
      <c r="C105" s="109" t="s">
        <v>274</v>
      </c>
      <c r="D105" s="110" t="s">
        <v>269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266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267</v>
      </c>
      <c r="D107" s="109" t="s">
        <v>268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296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62">
        <f>AVERAGE(R109:V109)</f>
        <v>8.7548122671951809</v>
      </c>
      <c r="AE109" s="162">
        <f>AVERAGE(W109:AA109)</f>
        <v>8.9867092620394438</v>
      </c>
      <c r="AF109" s="140" cm="1">
        <f t="array" ref="AF109">(TREND($J109:$AB109,$J$63:$AB$63,AF$63) - TREND($J109:$AB109,$J$63:$AB$63,AB$63)) + AVERAGE($Y109:$AB109)</f>
        <v>9.1655859505238162</v>
      </c>
      <c r="AG109" s="140" cm="1">
        <f t="array" ref="AG109">(TREND($J109:$AB109,$J$63:$AB$63,AG$63) - TREND($J109:$AB109,$J$63:$AB$63,AF$63))/2 +AF109</f>
        <v>9.2125251983806997</v>
      </c>
      <c r="AH109" s="140" cm="1">
        <f t="array" ref="AH109">(TREND($J109:$AB109,$J$63:$AB$63,AH$63) - TREND($J109:$AB109,$J$63:$AB$63,AG$63))/2 +AG109</f>
        <v>9.2594644462375797</v>
      </c>
      <c r="AI109" s="140" cm="1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354</v>
      </c>
      <c r="B112" s="108" t="s">
        <v>97</v>
      </c>
      <c r="C112" s="109" t="s">
        <v>274</v>
      </c>
      <c r="D112" s="110" t="s">
        <v>269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266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267</v>
      </c>
      <c r="D114" s="109" t="s">
        <v>268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296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62">
        <f>AVERAGE(R116:V116)</f>
        <v>8.7155896626331479</v>
      </c>
      <c r="AE116" s="162">
        <f>AVERAGE(W116:AA116)</f>
        <v>8.5982624323630805</v>
      </c>
      <c r="AF116" s="144" cm="1">
        <f t="array" ref="AF116">(TREND($O116:$AB116,$O$63:$AB$63,AF$63) - TREND($O116:$AB116,$O$63:$AB$63,AB$63)) + AVERAGE($Y116:$AB116)</f>
        <v>8.4706482571291399</v>
      </c>
      <c r="AG116" s="145" cm="1">
        <f t="array" ref="AG116">(TREND($O116:$AB116,$O$63:$AB$63,AG$63) - TREND($O116:$AB116,$O$63:$AB$63,AF$63))/2 +AF116</f>
        <v>8.4568932103500352</v>
      </c>
      <c r="AH116" s="145" cm="1">
        <f t="array" ref="AH116">(TREND($O116:$AB116,$O$63:$AB$63,AH$63) - TREND($O116:$AB116,$O$63:$AB$63,AG$63))/2 +AG116</f>
        <v>8.4431381635709322</v>
      </c>
      <c r="AI116" s="145" cm="1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355</v>
      </c>
      <c r="B119" s="108" t="s">
        <v>293</v>
      </c>
      <c r="C119" s="109" t="s">
        <v>274</v>
      </c>
      <c r="D119" s="110" t="s">
        <v>269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266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267</v>
      </c>
      <c r="D121" s="109" t="s">
        <v>268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296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62">
        <f>AVERAGE(R123:V123)</f>
        <v>5.4242923068057456</v>
      </c>
      <c r="AE123" s="162">
        <f>AVERAGE(W123:AA123)</f>
        <v>5.6819255186648743</v>
      </c>
      <c r="AF123" s="140" cm="1">
        <f t="array" ref="AF123">(TREND($J123:$AB123,$J$63:$AB$63,AF$63) - TREND($J123:$AB123,$J$63:$AB$63,AB$63)) + AVERAGE($Y123:$AB123)</f>
        <v>5.890029066363228</v>
      </c>
      <c r="AG123" s="140" cm="1">
        <f t="array" ref="AG123">(TREND($J123:$AB123,$J$63:$AB$63,AG$63) - TREND($J123:$AB123,$J$63:$AB$63,AF$63))/2 +AF123</f>
        <v>6.1101277482851959</v>
      </c>
      <c r="AH123" s="146" cm="1">
        <f t="array" ref="AH123">(TREND($J123:$AB123,$J$63:$AB$63,AH$63) - TREND($J123:$AB123,$J$63:$AB$63,AG$63))/4 +AG123</f>
        <v>6.2201770892461798</v>
      </c>
      <c r="AI123" s="143" cm="1">
        <f t="array" ref="AI123">(TREND($J123:$AB123,$J$63:$AB$63,AI$63) - TREND($J123:$AB123,$J$63:$AB$63,AH$63))/6 +AH123</f>
        <v>6.2935433165535022</v>
      </c>
      <c r="AM123" s="111"/>
    </row>
    <row r="125" spans="1:39">
      <c r="AF125" s="109" cm="1">
        <f t="array" ref="AF125">(TREND($J123:$AB123,$J$63:$AB$63,$AG$63) )</f>
        <v>6.5865844866276575</v>
      </c>
    </row>
    <row r="126" spans="1:39">
      <c r="AF126" s="109" cm="1">
        <f t="array" ref="AF126">(TREND($J123:$AB123,$J$63:$AB$63,AF$63))</f>
        <v>6.1463871227837217</v>
      </c>
    </row>
    <row r="128" spans="1:39">
      <c r="B128" s="108" t="s">
        <v>275</v>
      </c>
    </row>
    <row r="130" spans="2:37">
      <c r="B130" s="113" t="s">
        <v>276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270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271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272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273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293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292</v>
      </c>
    </row>
    <row r="151" spans="2:28" ht="16.5" thickBot="1">
      <c r="B151" s="172" t="s">
        <v>277</v>
      </c>
      <c r="C151" s="172"/>
      <c r="D151" s="172"/>
      <c r="E151" s="172"/>
      <c r="F151" s="172"/>
      <c r="G151" s="172"/>
      <c r="H151" s="172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  <c r="Z151" s="172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278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279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280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281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282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283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284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285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286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287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288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289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290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291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167</v>
      </c>
      <c r="C5" s="70" t="s">
        <v>343</v>
      </c>
      <c r="D5" s="70"/>
      <c r="E5" s="70" t="s">
        <v>357</v>
      </c>
      <c r="F5" s="71">
        <v>2015</v>
      </c>
      <c r="G5" s="165">
        <f>SUMIFS($M$6:$M$8,$L$6:$L$8,$B5) * SUMIFS($M$11:$R$11,$M$10:$R$10,$F5) / 1000</f>
        <v>4.2784351545442956</v>
      </c>
      <c r="H5" s="80">
        <v>0.3</v>
      </c>
      <c r="L5" s="46" t="s">
        <v>179</v>
      </c>
      <c r="M5" s="46" t="s">
        <v>170</v>
      </c>
    </row>
    <row r="6" spans="2:18">
      <c r="B6" s="74" t="s">
        <v>168</v>
      </c>
      <c r="C6" s="75" t="s">
        <v>343</v>
      </c>
      <c r="D6" s="75"/>
      <c r="E6" s="75" t="s">
        <v>357</v>
      </c>
      <c r="F6" s="76">
        <v>2015</v>
      </c>
      <c r="G6" s="166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343</v>
      </c>
      <c r="D7" s="70"/>
      <c r="E7" s="70" t="s">
        <v>357</v>
      </c>
      <c r="F7" s="71">
        <v>2015</v>
      </c>
      <c r="G7" s="165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343</v>
      </c>
      <c r="D8" s="75"/>
      <c r="E8" s="75" t="s">
        <v>357</v>
      </c>
      <c r="F8" s="76">
        <f>F5+5</f>
        <v>2020</v>
      </c>
      <c r="G8" s="166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343</v>
      </c>
      <c r="D9" s="70"/>
      <c r="E9" s="70" t="s">
        <v>357</v>
      </c>
      <c r="F9" s="71">
        <f t="shared" ref="F9:F22" si="2">F6+5</f>
        <v>2020</v>
      </c>
      <c r="G9" s="165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343</v>
      </c>
      <c r="D10" s="75"/>
      <c r="E10" s="75" t="s">
        <v>357</v>
      </c>
      <c r="F10" s="76">
        <f t="shared" si="2"/>
        <v>2020</v>
      </c>
      <c r="G10" s="166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343</v>
      </c>
      <c r="D11" s="70"/>
      <c r="E11" s="70" t="s">
        <v>357</v>
      </c>
      <c r="F11" s="71">
        <f t="shared" si="2"/>
        <v>2025</v>
      </c>
      <c r="G11" s="165">
        <f t="shared" si="0"/>
        <v>6.1755444400323931</v>
      </c>
      <c r="H11" s="80">
        <v>0.3</v>
      </c>
      <c r="L11" s="81" t="s">
        <v>180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343</v>
      </c>
      <c r="D12" s="75"/>
      <c r="E12" s="75" t="s">
        <v>357</v>
      </c>
      <c r="F12" s="76">
        <f t="shared" si="2"/>
        <v>2025</v>
      </c>
      <c r="G12" s="166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343</v>
      </c>
      <c r="D13" s="70"/>
      <c r="E13" s="70" t="s">
        <v>357</v>
      </c>
      <c r="F13" s="71">
        <f t="shared" si="2"/>
        <v>2025</v>
      </c>
      <c r="G13" s="165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343</v>
      </c>
      <c r="D14" s="75"/>
      <c r="E14" s="75" t="s">
        <v>357</v>
      </c>
      <c r="F14" s="76">
        <f t="shared" si="2"/>
        <v>2030</v>
      </c>
      <c r="G14" s="166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343</v>
      </c>
      <c r="D15" s="70"/>
      <c r="E15" s="70" t="s">
        <v>357</v>
      </c>
      <c r="F15" s="71">
        <f t="shared" si="2"/>
        <v>2030</v>
      </c>
      <c r="G15" s="165">
        <f t="shared" si="0"/>
        <v>0.93898135604629551</v>
      </c>
      <c r="H15" s="73">
        <f t="shared" si="4"/>
        <v>0.3</v>
      </c>
      <c r="M15" s="46" t="s">
        <v>184</v>
      </c>
    </row>
    <row r="16" spans="2:18">
      <c r="B16" s="75" t="s">
        <v>169</v>
      </c>
      <c r="C16" s="75" t="s">
        <v>343</v>
      </c>
      <c r="D16" s="75"/>
      <c r="E16" s="75" t="s">
        <v>357</v>
      </c>
      <c r="F16" s="76">
        <f t="shared" si="2"/>
        <v>2030</v>
      </c>
      <c r="G16" s="166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343</v>
      </c>
      <c r="D17" s="70"/>
      <c r="E17" s="70" t="s">
        <v>357</v>
      </c>
      <c r="F17" s="71">
        <f t="shared" si="2"/>
        <v>2035</v>
      </c>
      <c r="G17" s="165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343</v>
      </c>
      <c r="D18" s="75"/>
      <c r="E18" s="75" t="s">
        <v>357</v>
      </c>
      <c r="F18" s="76">
        <f t="shared" si="2"/>
        <v>2035</v>
      </c>
      <c r="G18" s="166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343</v>
      </c>
      <c r="D19" s="70"/>
      <c r="E19" s="70" t="s">
        <v>357</v>
      </c>
      <c r="F19" s="71">
        <f t="shared" si="2"/>
        <v>2035</v>
      </c>
      <c r="G19" s="165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343</v>
      </c>
      <c r="D20" s="75"/>
      <c r="E20" s="75" t="s">
        <v>357</v>
      </c>
      <c r="F20" s="76">
        <f t="shared" si="2"/>
        <v>2040</v>
      </c>
      <c r="G20" s="166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343</v>
      </c>
      <c r="D21" s="70"/>
      <c r="E21" s="70" t="s">
        <v>357</v>
      </c>
      <c r="F21" s="71">
        <f t="shared" si="2"/>
        <v>2040</v>
      </c>
      <c r="G21" s="165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343</v>
      </c>
      <c r="D22" s="75"/>
      <c r="E22" s="75" t="s">
        <v>357</v>
      </c>
      <c r="F22" s="76">
        <f t="shared" si="2"/>
        <v>2040</v>
      </c>
      <c r="G22" s="166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181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 cm="1">
        <f t="array" ref="U47">TREND($J47:$T47,$J$30:$T$30,U$30)</f>
        <v>321391.32727272715</v>
      </c>
      <c r="V47" s="56" cm="1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 cm="1">
        <f t="array" ref="U49">TREND($J49:$T49,$J$30:$T$30,U$30)</f>
        <v>138237.1272727272</v>
      </c>
      <c r="V49" s="56" cm="1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182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 cm="1">
        <f t="array" ref="AB70">TREND($C$70:$Z$70,$C$64:$Z$64,AB$64)</f>
        <v>5436.7197376811591</v>
      </c>
      <c r="AC70" cm="1">
        <f t="array" ref="AC70">TREND($C$70:$Z$70,$C$64:$Z$64,AC$64)</f>
        <v>5419.505672463767</v>
      </c>
      <c r="AD70" cm="1">
        <f t="array" ref="AD70">TREND($C$70:$Z$70,$C$64:$Z$64,AD$64)</f>
        <v>5402.2916072463759</v>
      </c>
      <c r="AE70" cm="1">
        <f t="array" ref="AE70">TREND($C$70:$Z$70,$C$64:$Z$64,AE$64)</f>
        <v>5385.0775420289847</v>
      </c>
      <c r="AF70" cm="1">
        <f t="array" ref="AF70">TREND($C$70:$Z$70,$C$64:$Z$64,AF$64)</f>
        <v>5367.8634768115935</v>
      </c>
      <c r="AG70" cm="1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 cm="1">
        <f t="array" ref="AB71">TREND($C$71:$Z$71,$C$64:$Z$64,AB$64)</f>
        <v>5545.8324058693834</v>
      </c>
      <c r="AC71" cm="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 cm="1">
        <f t="array" ref="AD74">(TREND($Q74:$Z74,$Q$64:$Z$64, AD$64) - TREND($Q74:$Z74,$Q$64:$Z$64, $Z$64))/2 + TREND($Q74:$Z74,$Q$64:$Z$64, $Z$64)</f>
        <v>2.2349243632830529E-2</v>
      </c>
      <c r="AE74" s="45" cm="1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183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workbookViewId="0">
      <selection activeCell="C5" sqref="C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301</v>
      </c>
      <c r="C5" s="70" t="s">
        <v>343</v>
      </c>
      <c r="D5" s="70"/>
      <c r="E5" s="70" t="s">
        <v>357</v>
      </c>
      <c r="F5" s="71">
        <v>2015</v>
      </c>
      <c r="G5" s="152">
        <f t="array" ref="G5:G10">TRANSPOSE(M17:R17)/1000</f>
        <v>7.575341826489038</v>
      </c>
      <c r="H5" s="80">
        <v>0.3</v>
      </c>
    </row>
    <row r="6" spans="2:18">
      <c r="B6" s="74" t="s">
        <v>301</v>
      </c>
      <c r="C6" s="75" t="s">
        <v>343</v>
      </c>
      <c r="D6" s="75"/>
      <c r="E6" s="75" t="s">
        <v>357</v>
      </c>
      <c r="F6" s="76">
        <f>F5+5</f>
        <v>2020</v>
      </c>
      <c r="G6" s="153">
        <v>7.8357264535507092</v>
      </c>
      <c r="H6" s="78">
        <f t="shared" ref="H6:H10" si="0">H5</f>
        <v>0.3</v>
      </c>
    </row>
    <row r="7" spans="2:18">
      <c r="B7" s="69" t="s">
        <v>301</v>
      </c>
      <c r="C7" s="70" t="s">
        <v>343</v>
      </c>
      <c r="D7" s="70"/>
      <c r="E7" s="70" t="s">
        <v>357</v>
      </c>
      <c r="F7" s="71">
        <f>F6+5</f>
        <v>2025</v>
      </c>
      <c r="G7" s="152">
        <v>7.994005023902564</v>
      </c>
      <c r="H7" s="80">
        <v>0.3</v>
      </c>
      <c r="L7" s="46"/>
      <c r="M7" s="46"/>
    </row>
    <row r="8" spans="2:18">
      <c r="B8" s="74" t="s">
        <v>301</v>
      </c>
      <c r="C8" s="75" t="s">
        <v>343</v>
      </c>
      <c r="D8" s="75"/>
      <c r="E8" s="75" t="s">
        <v>357</v>
      </c>
      <c r="F8" s="76">
        <f>F7+5</f>
        <v>2030</v>
      </c>
      <c r="G8" s="153">
        <v>7.9739674653854458</v>
      </c>
      <c r="H8" s="78">
        <f t="shared" si="0"/>
        <v>0.3</v>
      </c>
    </row>
    <row r="9" spans="2:18">
      <c r="B9" s="69" t="s">
        <v>301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52">
        <v>7.990793821888591</v>
      </c>
      <c r="H9" s="73">
        <f t="shared" si="0"/>
        <v>0.3</v>
      </c>
      <c r="M9" s="46"/>
      <c r="N9" s="46"/>
    </row>
    <row r="10" spans="2:18">
      <c r="B10" s="74" t="s">
        <v>301</v>
      </c>
      <c r="C10" s="75" t="s">
        <v>343</v>
      </c>
      <c r="D10" s="75"/>
      <c r="E10" s="75" t="s">
        <v>357</v>
      </c>
      <c r="F10" s="76">
        <f t="shared" si="1"/>
        <v>2040</v>
      </c>
      <c r="G10" s="153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4"/>
      <c r="H13" s="73"/>
      <c r="L13" s="46"/>
    </row>
    <row r="14" spans="2:18">
      <c r="B14" s="75"/>
      <c r="C14" s="75"/>
      <c r="D14" s="75"/>
      <c r="E14" s="75"/>
      <c r="F14" s="76"/>
      <c r="G14" s="155"/>
      <c r="H14" s="78"/>
    </row>
    <row r="15" spans="2:18">
      <c r="B15" s="70"/>
      <c r="C15" s="70"/>
      <c r="D15" s="70"/>
      <c r="E15" s="70"/>
      <c r="F15" s="71"/>
      <c r="G15" s="154"/>
      <c r="H15" s="73"/>
    </row>
    <row r="16" spans="2:18">
      <c r="B16" s="75"/>
      <c r="C16" s="75"/>
      <c r="D16" s="75"/>
      <c r="E16" s="75"/>
      <c r="F16" s="76"/>
      <c r="G16" s="155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4"/>
      <c r="H17" s="73"/>
      <c r="L17" s="98" t="s">
        <v>237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5"/>
      <c r="H18" s="78"/>
    </row>
    <row r="19" spans="2:21">
      <c r="B19" s="70"/>
      <c r="C19" s="70"/>
      <c r="D19" s="70"/>
      <c r="E19" s="70"/>
      <c r="F19" s="71"/>
      <c r="G19" s="154"/>
      <c r="H19" s="73"/>
      <c r="L19" t="s">
        <v>356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5"/>
      <c r="H20" s="78"/>
    </row>
    <row r="21" spans="2:21">
      <c r="B21" s="70"/>
      <c r="C21" s="70"/>
      <c r="D21" s="70"/>
      <c r="E21" s="70"/>
      <c r="F21" s="71"/>
      <c r="G21" s="154"/>
      <c r="H21" s="73"/>
    </row>
    <row r="22" spans="2:21">
      <c r="B22" s="75"/>
      <c r="C22" s="75"/>
      <c r="D22" s="75"/>
      <c r="E22" s="75"/>
      <c r="F22" s="76"/>
      <c r="G22" s="155"/>
      <c r="H22" s="78"/>
    </row>
    <row r="26" spans="2:21" ht="30">
      <c r="B26" s="91" t="s">
        <v>347</v>
      </c>
    </row>
    <row r="27" spans="2:21">
      <c r="B27" t="s">
        <v>346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213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229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233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236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64" cm="1">
        <f t="array" ref="P39">TREND($C$39:$N$39,$C$30:$N$30,P$30)</f>
        <v>2.5676104800582689E-3</v>
      </c>
      <c r="Q39" s="164" cm="1">
        <f t="array" ref="Q39">TREND($C$39:$N$39,$C$30:$N$30,Q$30)</f>
        <v>2.808057158302707E-3</v>
      </c>
      <c r="R39" s="96" cm="1">
        <f t="array" ref="R39">(TREND($C$39:$N$39,$C$30:$N$30,R$30)-TREND($C$39:$N$39,$C$30:$N$30,$N$30))/2+TREND($C$39:$N$39,$C$30:$N$30,$N$30)</f>
        <v>3.0004145008982533E-3</v>
      </c>
      <c r="S39" s="96" cm="1">
        <f t="array" ref="S39">(TREND($C$39:$N$39,$C$30:$N$30,S$30)-TREND($C$39:$N$39,$C$30:$N$30,$N$30))/2+TREND($C$39:$N$39,$C$30:$N$30,$N$30)</f>
        <v>3.1206378400204723E-3</v>
      </c>
      <c r="T39" s="96" cm="1">
        <f t="array" ref="T39">(TREND($C$39:$N$39,$C$30:$N$30,T$30)-TREND($C$39:$N$39,$C$30:$N$30,$N$30))/2+TREND($C$39:$N$39,$C$30:$N$30,$N$30)</f>
        <v>3.2408611791426845E-3</v>
      </c>
      <c r="U39" s="96" cm="1">
        <f t="array" ref="U39">(TREND($C$39:$N$39,$C$30:$N$30,U$30)-TREND($C$39:$N$39,$C$30:$N$30,$N$30))/2+TREND($C$39:$N$39,$C$30:$N$30,$N$30)</f>
        <v>3.3610845182649035E-3</v>
      </c>
    </row>
  </sheetData>
  <phoneticPr fontId="4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workbookViewId="0">
      <selection activeCell="E5" sqref="E5:E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300</v>
      </c>
      <c r="C5" s="70" t="s">
        <v>343</v>
      </c>
      <c r="D5" s="70"/>
      <c r="E5" s="70" t="s">
        <v>357</v>
      </c>
      <c r="F5" s="71">
        <v>2015</v>
      </c>
      <c r="G5" s="165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300</v>
      </c>
      <c r="C6" s="75" t="s">
        <v>343</v>
      </c>
      <c r="D6" s="75"/>
      <c r="E6" s="75" t="s">
        <v>357</v>
      </c>
      <c r="F6" s="76">
        <f>F5+5</f>
        <v>2020</v>
      </c>
      <c r="G6" s="166">
        <v>11.273483422633314</v>
      </c>
      <c r="H6" s="78">
        <f t="shared" ref="H6:H10" si="0">H5</f>
        <v>0.3</v>
      </c>
    </row>
    <row r="7" spans="2:18">
      <c r="B7" s="69" t="s">
        <v>300</v>
      </c>
      <c r="C7" s="70" t="s">
        <v>343</v>
      </c>
      <c r="D7" s="70"/>
      <c r="E7" s="70" t="s">
        <v>357</v>
      </c>
      <c r="F7" s="71">
        <f>F6+5</f>
        <v>2025</v>
      </c>
      <c r="G7" s="165">
        <v>10.537035826323002</v>
      </c>
      <c r="H7" s="80">
        <v>0.3</v>
      </c>
      <c r="M7" s="46"/>
      <c r="N7" s="46"/>
    </row>
    <row r="8" spans="2:18">
      <c r="B8" s="74" t="s">
        <v>300</v>
      </c>
      <c r="C8" s="75" t="s">
        <v>343</v>
      </c>
      <c r="D8" s="75"/>
      <c r="E8" s="75" t="s">
        <v>357</v>
      </c>
      <c r="F8" s="76">
        <f>F7+5</f>
        <v>2030</v>
      </c>
      <c r="G8" s="166">
        <v>10.021074168947218</v>
      </c>
      <c r="H8" s="78">
        <f t="shared" si="0"/>
        <v>0.3</v>
      </c>
      <c r="L8" s="46"/>
    </row>
    <row r="9" spans="2:18">
      <c r="B9" s="69" t="s">
        <v>300</v>
      </c>
      <c r="C9" s="70" t="s">
        <v>343</v>
      </c>
      <c r="D9" s="70"/>
      <c r="E9" s="70" t="s">
        <v>357</v>
      </c>
      <c r="F9" s="159">
        <f t="shared" ref="F9:F10" si="1">F8+5</f>
        <v>2035</v>
      </c>
      <c r="G9" s="165">
        <v>9.6027728287678915</v>
      </c>
      <c r="H9" s="73">
        <f t="shared" si="0"/>
        <v>0.3</v>
      </c>
      <c r="L9" s="46"/>
    </row>
    <row r="10" spans="2:18">
      <c r="B10" s="74" t="s">
        <v>300</v>
      </c>
      <c r="C10" s="75" t="s">
        <v>343</v>
      </c>
      <c r="D10" s="75"/>
      <c r="E10" s="75" t="s">
        <v>357</v>
      </c>
      <c r="F10" s="76">
        <f t="shared" si="1"/>
        <v>2040</v>
      </c>
      <c r="G10" s="166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 t="shared" ref="M15:R15" si="2">Q33</f>
        <v>12113.744097029263</v>
      </c>
      <c r="N15">
        <f t="shared" si="2"/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5"/>
      <c r="H16" s="78"/>
    </row>
    <row r="17" spans="2:22">
      <c r="B17" s="70"/>
      <c r="C17" s="70"/>
      <c r="D17" s="70"/>
      <c r="E17" s="70"/>
      <c r="F17" s="71"/>
      <c r="G17" s="154"/>
      <c r="H17" s="73"/>
    </row>
    <row r="18" spans="2:22">
      <c r="B18" s="75"/>
      <c r="C18" s="75"/>
      <c r="D18" s="75"/>
      <c r="E18" s="75"/>
      <c r="F18" s="76"/>
      <c r="G18" s="155"/>
      <c r="H18" s="78"/>
    </row>
    <row r="19" spans="2:22">
      <c r="B19" s="70"/>
      <c r="C19" s="70"/>
      <c r="D19" s="70"/>
      <c r="E19" s="70"/>
      <c r="F19" s="71"/>
      <c r="G19" s="154"/>
      <c r="H19" s="73"/>
    </row>
    <row r="20" spans="2:22">
      <c r="B20" s="75"/>
      <c r="C20" s="75"/>
      <c r="D20" s="75"/>
      <c r="E20" s="75"/>
      <c r="F20" s="76"/>
      <c r="G20" s="155"/>
      <c r="H20" s="78"/>
    </row>
    <row r="24" spans="2:22" ht="30">
      <c r="B24" s="91" t="s">
        <v>347</v>
      </c>
    </row>
    <row r="25" spans="2:22">
      <c r="B25" t="s">
        <v>346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213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229</v>
      </c>
      <c r="C33">
        <f>C29</f>
        <v>12904.2</v>
      </c>
      <c r="D33">
        <f t="shared" ref="D33:N33" si="3">D29</f>
        <v>12118.2</v>
      </c>
      <c r="E33">
        <f t="shared" si="3"/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 t="shared" ref="Q33:R33" si="4">Q35*Q37* Q34 / AVERAGE($C$34:$N$34)</f>
        <v>12113.744097029263</v>
      </c>
      <c r="R33" s="142">
        <f t="shared" si="4"/>
        <v>11273.483422633313</v>
      </c>
      <c r="S33" s="142">
        <f>S35*S37* S34 / AVERAGE($C$34:$N$34)</f>
        <v>10537.035826323003</v>
      </c>
      <c r="T33" s="142">
        <f t="shared" ref="T33:V33" si="5">T35*T37* T34 / AVERAGE($C$34:$N$34)</f>
        <v>10021.074168947218</v>
      </c>
      <c r="U33" s="142">
        <f t="shared" si="5"/>
        <v>9602.772828767891</v>
      </c>
      <c r="V33" s="142">
        <f t="shared" si="5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233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F36" si="6">C33/C34*AVERAGE($C$34:$K$34)</f>
        <v>11559.277274515158</v>
      </c>
      <c r="D36" s="64">
        <f t="shared" si="6"/>
        <v>11622.199516447476</v>
      </c>
      <c r="E36" s="64">
        <f t="shared" si="6"/>
        <v>11819.527081826298</v>
      </c>
      <c r="F36" s="64">
        <f t="shared" si="6"/>
        <v>12191.107166859429</v>
      </c>
      <c r="G36" s="64">
        <f t="shared" ref="G36:K36" si="7">G33/G34*AVERAGE($C$34:$K$34)</f>
        <v>11592.608564483451</v>
      </c>
      <c r="H36" s="64">
        <f t="shared" si="7"/>
        <v>12576.203094777078</v>
      </c>
      <c r="I36" s="64">
        <f t="shared" si="7"/>
        <v>12782.346981548464</v>
      </c>
      <c r="J36" s="64">
        <f t="shared" si="7"/>
        <v>12697.896766144437</v>
      </c>
      <c r="K36" s="64">
        <f t="shared" si="7"/>
        <v>11984.629372678328</v>
      </c>
      <c r="L36" s="64">
        <f t="shared" ref="L36:N36" si="8">L33/L34*AVERAGE($C$34:$K$34)</f>
        <v>11569.46866029555</v>
      </c>
      <c r="M36" s="64">
        <f t="shared" si="8"/>
        <v>9718.674722576885</v>
      </c>
      <c r="N36" s="64">
        <f t="shared" si="8"/>
        <v>9937.2318203526283</v>
      </c>
    </row>
    <row r="37" spans="2:22">
      <c r="B37" s="59" t="s">
        <v>236</v>
      </c>
      <c r="C37">
        <f t="shared" ref="C37:F37" si="9">C36/(C35)</f>
        <v>5.6821360241511567E-3</v>
      </c>
      <c r="D37">
        <f t="shared" si="9"/>
        <v>5.7745841751919115E-3</v>
      </c>
      <c r="E37">
        <f t="shared" si="9"/>
        <v>5.9281942969824676E-3</v>
      </c>
      <c r="F37">
        <f t="shared" si="9"/>
        <v>6.1648246354459018E-3</v>
      </c>
      <c r="G37">
        <f t="shared" ref="G37:K37" si="10">G36/(G35)</f>
        <v>5.9159937089646435E-3</v>
      </c>
      <c r="H37">
        <f t="shared" si="10"/>
        <v>6.4750758372654153E-3</v>
      </c>
      <c r="I37">
        <f t="shared" si="10"/>
        <v>6.6326896178282111E-3</v>
      </c>
      <c r="J37">
        <f t="shared" si="10"/>
        <v>6.6348368689169825E-3</v>
      </c>
      <c r="K37">
        <f t="shared" si="10"/>
        <v>6.306209412974685E-3</v>
      </c>
      <c r="L37">
        <f t="shared" ref="L37:N37" si="11">L36/(L35)</f>
        <v>6.1393101901817205E-3</v>
      </c>
      <c r="M37">
        <f t="shared" si="11"/>
        <v>5.1712049766209894E-3</v>
      </c>
      <c r="N37">
        <f t="shared" si="11"/>
        <v>5.2929549575900375E-3</v>
      </c>
      <c r="Q37" s="164" cm="1">
        <f t="array" ref="Q37">TREND($C$37:$N$37,$C$28:$N$28,Q$28)</f>
        <v>6.0553985980099645E-3</v>
      </c>
      <c r="R37" s="164" cm="1">
        <f t="array" ref="R37">TREND($C$37:$N$37,$C$28:$N$28,R$28)</f>
        <v>5.9642705190090517E-3</v>
      </c>
      <c r="S37" s="96" cm="1">
        <f t="array" ref="S37">(TREND($C$37:$N$37,$C$28:$N$28,S$28)-TREND($C$37:$N$37,$C$28:$N$28,$N$28))/2+TREND($C$37:$N$37,$C$28:$N$28,$N$28)</f>
        <v>5.8913680558083277E-3</v>
      </c>
      <c r="T37" s="96" cm="1">
        <f t="array" ref="T37">(TREND($C$37:$N$37,$C$28:$N$28,T$28)-TREND($C$37:$N$37,$C$28:$N$28,$N$28))/2+TREND($C$37:$N$37,$C$28:$N$28,$N$28)</f>
        <v>5.8458040163078713E-3</v>
      </c>
      <c r="U37" s="96" cm="1">
        <f t="array" ref="U37">(TREND($C$37:$N$37,$C$28:$N$28,U$28)-TREND($C$37:$N$37,$C$28:$N$28,$N$28))/2+TREND($C$37:$N$37,$C$28:$N$28,$N$28)</f>
        <v>5.8002399768074149E-3</v>
      </c>
      <c r="V37" s="96" cm="1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workbookViewId="0">
      <selection activeCell="K8" sqref="K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297</v>
      </c>
      <c r="C5" s="70" t="s">
        <v>343</v>
      </c>
      <c r="D5" s="70"/>
      <c r="E5" s="70" t="s">
        <v>357</v>
      </c>
      <c r="F5" s="71">
        <v>2015</v>
      </c>
      <c r="G5" s="152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297</v>
      </c>
      <c r="C6" s="75" t="s">
        <v>343</v>
      </c>
      <c r="D6" s="75"/>
      <c r="E6" s="75" t="s">
        <v>357</v>
      </c>
      <c r="F6" s="76">
        <f>F5+5</f>
        <v>2020</v>
      </c>
      <c r="G6" s="153">
        <v>4.7842652390713267</v>
      </c>
      <c r="H6" s="78">
        <f t="shared" ref="H6:H10" si="0">H5</f>
        <v>0.3</v>
      </c>
    </row>
    <row r="7" spans="2:18">
      <c r="B7" s="69" t="s">
        <v>297</v>
      </c>
      <c r="C7" s="70" t="s">
        <v>343</v>
      </c>
      <c r="D7" s="70"/>
      <c r="E7" s="70" t="s">
        <v>357</v>
      </c>
      <c r="F7" s="71">
        <f t="shared" ref="F7:F10" si="1">F6+5</f>
        <v>2025</v>
      </c>
      <c r="G7" s="152">
        <v>4.8362554516277791</v>
      </c>
      <c r="H7" s="80">
        <v>0.3</v>
      </c>
    </row>
    <row r="8" spans="2:18">
      <c r="B8" s="74" t="s">
        <v>297</v>
      </c>
      <c r="C8" s="75" t="s">
        <v>343</v>
      </c>
      <c r="D8" s="75"/>
      <c r="E8" s="75" t="s">
        <v>357</v>
      </c>
      <c r="F8" s="76">
        <f t="shared" si="1"/>
        <v>2030</v>
      </c>
      <c r="G8" s="153">
        <v>4.8582630881017828</v>
      </c>
      <c r="H8" s="78">
        <f t="shared" si="0"/>
        <v>0.3</v>
      </c>
    </row>
    <row r="9" spans="2:18">
      <c r="B9" s="69" t="s">
        <v>297</v>
      </c>
      <c r="C9" s="70" t="s">
        <v>343</v>
      </c>
      <c r="D9" s="70"/>
      <c r="E9" s="70" t="s">
        <v>357</v>
      </c>
      <c r="F9" s="159">
        <f t="shared" si="1"/>
        <v>2035</v>
      </c>
      <c r="G9" s="152">
        <v>4.8726943250713131</v>
      </c>
      <c r="H9" s="73">
        <f t="shared" si="0"/>
        <v>0.3</v>
      </c>
      <c r="L9" s="46"/>
    </row>
    <row r="10" spans="2:18">
      <c r="B10" s="74" t="s">
        <v>297</v>
      </c>
      <c r="C10" s="75" t="s">
        <v>343</v>
      </c>
      <c r="D10" s="75"/>
      <c r="E10" s="75" t="s">
        <v>357</v>
      </c>
      <c r="F10" s="76">
        <f t="shared" si="1"/>
        <v>2040</v>
      </c>
      <c r="G10" s="153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4"/>
      <c r="H11" s="73"/>
      <c r="L11" s="46"/>
    </row>
    <row r="12" spans="2:18">
      <c r="B12" s="75"/>
      <c r="C12" s="75"/>
      <c r="D12" s="75"/>
      <c r="E12" s="75"/>
      <c r="F12" s="76"/>
      <c r="G12" s="155"/>
      <c r="H12" s="78"/>
    </row>
    <row r="13" spans="2:18">
      <c r="B13" s="70"/>
      <c r="C13" s="70"/>
      <c r="D13" s="70"/>
      <c r="E13" s="70"/>
      <c r="F13" s="71"/>
      <c r="G13" s="154"/>
      <c r="H13" s="73"/>
    </row>
    <row r="14" spans="2:18">
      <c r="B14" s="75"/>
      <c r="C14" s="75"/>
      <c r="D14" s="75"/>
      <c r="E14" s="75"/>
      <c r="F14" s="76"/>
      <c r="G14" s="155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4"/>
      <c r="H15" s="73"/>
      <c r="L15" s="98" t="s">
        <v>237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5"/>
      <c r="H16" s="78"/>
    </row>
    <row r="17" spans="2:17">
      <c r="B17" s="70"/>
      <c r="C17" s="70"/>
      <c r="D17" s="70"/>
      <c r="E17" s="70"/>
      <c r="F17" s="71"/>
      <c r="G17" s="154"/>
      <c r="H17" s="73"/>
    </row>
    <row r="18" spans="2:17">
      <c r="B18" s="75"/>
      <c r="C18" s="75"/>
      <c r="D18" s="75"/>
      <c r="E18" s="75"/>
      <c r="F18" s="76"/>
      <c r="G18" s="155"/>
      <c r="H18" s="78"/>
    </row>
    <row r="19" spans="2:17">
      <c r="B19" s="70"/>
      <c r="C19" s="70"/>
      <c r="D19" s="70"/>
      <c r="E19" s="70"/>
      <c r="F19" s="71"/>
      <c r="G19" s="154"/>
      <c r="H19" s="73"/>
    </row>
    <row r="20" spans="2:17">
      <c r="B20" s="75"/>
      <c r="C20" s="75"/>
      <c r="D20" s="75"/>
      <c r="E20" s="75"/>
      <c r="F20" s="76"/>
      <c r="G20" s="155"/>
      <c r="H20" s="78"/>
    </row>
    <row r="24" spans="2:17" ht="30">
      <c r="B24" s="91" t="s">
        <v>344</v>
      </c>
    </row>
    <row r="25" spans="2:17">
      <c r="B25" t="s">
        <v>345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213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229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233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236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 cm="1">
        <f t="array" ref="L37">(TREND($C$37:$F$37,$C$28:$F$28,L$28)-TREND($C$37:$F$37,$C$28:$F$28,$F$28))/2+TREND($C$37:$F$37,$C$28:$F$28,$F$28)</f>
        <v>3.4466983709306974E-3</v>
      </c>
      <c r="M37" s="96" cm="1">
        <f t="array" ref="M37">(TREND($C$37:$F$37,$C$28:$F$28,M$28)-TREND($C$37:$F$37,$C$28:$F$28,$F$28))/2+TREND($C$37:$F$37,$C$28:$F$28,$F$28)</f>
        <v>3.5114406679190129E-3</v>
      </c>
      <c r="N37" s="96" cm="1">
        <f t="array" ref="N37">(TREND($C$37:$F$37,$C$28:$F$28,N$28)-TREND($C$37:$F$37,$C$28:$F$28,$F$28))/2+TREND($C$37:$F$37,$C$28:$F$28,$F$28)</f>
        <v>3.5761829649073283E-3</v>
      </c>
      <c r="O37" s="96" cm="1">
        <f t="array" ref="O37">(TREND($C$37:$F$37,$C$28:$F$28,O$28)-TREND($C$37:$F$37,$C$28:$F$28,$F$28))/2+TREND($C$37:$F$37,$C$28:$F$28,$F$28)</f>
        <v>3.6409252618956438E-3</v>
      </c>
      <c r="P37" s="96" cm="1">
        <f t="array" ref="P37">(TREND($C$37:$F$37,$C$28:$F$28,P$28)-TREND($C$37:$F$37,$C$28:$F$28,$F$28))/2+TREND($C$37:$F$37,$C$28:$F$28,$F$28)</f>
        <v>3.7056675588839592E-3</v>
      </c>
      <c r="Q37" s="96" cm="1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J4" s="161"/>
    </row>
    <row r="5" spans="2:18">
      <c r="B5" s="69" t="s">
        <v>188</v>
      </c>
      <c r="C5" s="71" t="s">
        <v>343</v>
      </c>
      <c r="D5" s="70"/>
      <c r="E5" s="71" t="s">
        <v>357</v>
      </c>
      <c r="F5" s="71">
        <v>2015</v>
      </c>
      <c r="G5" s="165">
        <f t="array" ref="G5">SUMIFS($M$8:$R$8,$M$7:$R$7,$F5) * SUM($M$12:$R$15 * ($M$11:$R$11=$F5) * ($L$12:$L$15=$B5)) / 1000</f>
        <v>1.4684666667656283</v>
      </c>
      <c r="H5" s="169">
        <v>0.3</v>
      </c>
      <c r="J5" s="161"/>
    </row>
    <row r="6" spans="2:18">
      <c r="B6" s="74" t="s">
        <v>193</v>
      </c>
      <c r="C6" s="76" t="s">
        <v>343</v>
      </c>
      <c r="D6" s="75"/>
      <c r="E6" s="76" t="s">
        <v>357</v>
      </c>
      <c r="F6" s="76">
        <v>2015</v>
      </c>
      <c r="G6" s="166">
        <f t="array" ref="G6">SUMIFS($M$8:$R$8,$M$7:$R$7,$F6) * SUM($M$12:$R$15 * ($M$11:$R$11=$F6) * ($L$12:$L$15=$B6)) / 1000</f>
        <v>5.3582964539100191</v>
      </c>
      <c r="H6" s="170">
        <f>H5</f>
        <v>0.3</v>
      </c>
      <c r="J6" s="161"/>
    </row>
    <row r="7" spans="2:18">
      <c r="B7" s="69" t="s">
        <v>206</v>
      </c>
      <c r="C7" s="71" t="s">
        <v>343</v>
      </c>
      <c r="D7" s="70"/>
      <c r="E7" s="71" t="s">
        <v>357</v>
      </c>
      <c r="F7" s="71">
        <v>2015</v>
      </c>
      <c r="G7" s="165">
        <f t="array" ref="G7">SUMIFS($M$8:$R$8,$M$7:$R$7,$F7) * SUM($M$12:$R$15 * ($M$11:$R$11=$F7) * ($L$12:$L$15=$B7)) / 1000</f>
        <v>39.018195598667141</v>
      </c>
      <c r="H7" s="169">
        <f t="shared" ref="H7:H12" si="0">H6</f>
        <v>0.3</v>
      </c>
      <c r="J7" s="161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211</v>
      </c>
      <c r="C8" s="76" t="s">
        <v>343</v>
      </c>
      <c r="D8" s="75"/>
      <c r="E8" s="76" t="s">
        <v>357</v>
      </c>
      <c r="F8" s="76">
        <v>2015</v>
      </c>
      <c r="G8" s="166">
        <f t="array" ref="G8">SUMIFS($M$8:$R$8,$M$7:$R$7,$F8) * SUM($M$12:$R$15 * ($M$11:$R$11=$F8) * ($L$12:$L$15=$B8)) / 1000</f>
        <v>11.412682304515574</v>
      </c>
      <c r="H8" s="170">
        <f t="shared" si="0"/>
        <v>0.3</v>
      </c>
      <c r="J8" s="161"/>
      <c r="L8" s="98" t="s">
        <v>237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188</v>
      </c>
      <c r="C9" s="71" t="s">
        <v>343</v>
      </c>
      <c r="D9" s="70"/>
      <c r="E9" s="71" t="s">
        <v>357</v>
      </c>
      <c r="F9" s="71">
        <f>F5+5</f>
        <v>2020</v>
      </c>
      <c r="G9" s="165">
        <f t="array" ref="G9">SUMIFS($M$8:$R$8,$M$7:$R$7,$F9) * SUM($M$12:$R$15 * ($M$11:$R$11=$F9) * ($L$12:$L$15=$B9)) / 1000</f>
        <v>1.4209678106219532</v>
      </c>
      <c r="H9" s="169">
        <f t="shared" si="0"/>
        <v>0.3</v>
      </c>
      <c r="J9" s="161"/>
    </row>
    <row r="10" spans="2:18">
      <c r="B10" s="75" t="s">
        <v>193</v>
      </c>
      <c r="C10" s="76" t="s">
        <v>343</v>
      </c>
      <c r="D10" s="75"/>
      <c r="E10" s="76" t="s">
        <v>357</v>
      </c>
      <c r="F10" s="76">
        <f t="shared" ref="F10:F16" si="2">F6+5</f>
        <v>2020</v>
      </c>
      <c r="G10" s="166">
        <f t="array" ref="G10">SUMIFS($M$8:$R$8,$M$7:$R$7,$F10) * SUM($M$12:$R$15 * ($M$11:$R$11=$F10) * ($L$12:$L$15=$B10)) / 1000</f>
        <v>5.3140058661355871</v>
      </c>
      <c r="H10" s="170">
        <f t="shared" si="0"/>
        <v>0.3</v>
      </c>
      <c r="J10" s="161"/>
    </row>
    <row r="11" spans="2:18">
      <c r="B11" s="70" t="s">
        <v>206</v>
      </c>
      <c r="C11" s="71" t="s">
        <v>343</v>
      </c>
      <c r="D11" s="70"/>
      <c r="E11" s="71" t="s">
        <v>357</v>
      </c>
      <c r="F11" s="71">
        <f t="shared" si="2"/>
        <v>2020</v>
      </c>
      <c r="G11" s="165">
        <f t="array" ref="G11">SUMIFS($M$8:$R$8,$M$7:$R$7,$F11) * SUM($M$12:$R$15 * ($M$11:$R$11=$F11) * ($L$12:$L$15=$B11)) / 1000</f>
        <v>40.167020784769626</v>
      </c>
      <c r="H11" s="169">
        <f t="shared" si="0"/>
        <v>0.3</v>
      </c>
      <c r="J11" s="161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211</v>
      </c>
      <c r="C12" s="76" t="s">
        <v>343</v>
      </c>
      <c r="D12" s="75"/>
      <c r="E12" s="76" t="s">
        <v>357</v>
      </c>
      <c r="F12" s="76">
        <f t="shared" si="2"/>
        <v>2020</v>
      </c>
      <c r="G12" s="166">
        <f t="array" ref="G12">SUMIFS($M$8:$R$8,$M$7:$R$7,$F12) * SUM($M$12:$R$15 * ($M$11:$R$11=$F12) * ($L$12:$L$15=$B12)) / 1000</f>
        <v>11.776863124784194</v>
      </c>
      <c r="H12" s="170">
        <f t="shared" si="0"/>
        <v>0.3</v>
      </c>
      <c r="J12" s="161"/>
      <c r="L12" s="46" t="s">
        <v>188</v>
      </c>
      <c r="M12" s="168">
        <f t="shared" ref="M12:R15" si="3">C69</f>
        <v>2.5646649783454076E-2</v>
      </c>
      <c r="N12" s="168">
        <f t="shared" si="3"/>
        <v>2.4216010145252681E-2</v>
      </c>
      <c r="O12" s="168">
        <f t="shared" si="3"/>
        <v>2.3215895326860025E-2</v>
      </c>
      <c r="P12" s="168">
        <f t="shared" si="3"/>
        <v>2.232002682489535E-2</v>
      </c>
      <c r="Q12" s="168">
        <f t="shared" si="3"/>
        <v>2.1384580486130532E-2</v>
      </c>
      <c r="R12" s="168">
        <f t="shared" si="3"/>
        <v>2.054035658728821E-2</v>
      </c>
    </row>
    <row r="13" spans="2:18">
      <c r="B13" s="69" t="s">
        <v>188</v>
      </c>
      <c r="C13" s="71" t="s">
        <v>343</v>
      </c>
      <c r="D13" s="70"/>
      <c r="E13" s="71" t="s">
        <v>357</v>
      </c>
      <c r="F13" s="71">
        <f>F9+5</f>
        <v>2025</v>
      </c>
      <c r="G13" s="165">
        <f t="array" ref="G13">SUMIFS($M$8:$R$8,$M$7:$R$7,$F13) * SUM($M$12:$R$15 * ($M$11:$R$11=$F13) * ($L$12:$L$15=$B13)) / 1000</f>
        <v>1.3794215983109406</v>
      </c>
      <c r="H13" s="169">
        <v>0.3</v>
      </c>
      <c r="L13" s="46" t="s">
        <v>193</v>
      </c>
      <c r="M13" s="168">
        <f t="shared" si="3"/>
        <v>9.3582207686085092E-2</v>
      </c>
      <c r="N13" s="168">
        <f t="shared" si="3"/>
        <v>9.0560826926788046E-2</v>
      </c>
      <c r="O13" s="168">
        <f t="shared" si="3"/>
        <v>8.8217349188469615E-2</v>
      </c>
      <c r="P13" s="168">
        <f t="shared" si="3"/>
        <v>8.6014318592519984E-2</v>
      </c>
      <c r="Q13" s="168">
        <f t="shared" si="3"/>
        <v>8.3702567597755323E-2</v>
      </c>
      <c r="R13" s="168">
        <f t="shared" si="3"/>
        <v>8.1672302821691217E-2</v>
      </c>
    </row>
    <row r="14" spans="2:18">
      <c r="B14" s="74" t="s">
        <v>193</v>
      </c>
      <c r="C14" s="76" t="s">
        <v>343</v>
      </c>
      <c r="D14" s="75"/>
      <c r="E14" s="76" t="s">
        <v>357</v>
      </c>
      <c r="F14" s="76">
        <f t="shared" si="2"/>
        <v>2025</v>
      </c>
      <c r="G14" s="166">
        <f t="array" ref="G14">SUMIFS($M$8:$R$8,$M$7:$R$7,$F14) * SUM($M$12:$R$15 * ($M$11:$R$11=$F14) * ($L$12:$L$15=$B14)) / 1000</f>
        <v>5.2416206699348376</v>
      </c>
      <c r="H14" s="153">
        <f>H13</f>
        <v>0.3</v>
      </c>
      <c r="L14" s="46" t="s">
        <v>206</v>
      </c>
      <c r="M14" s="168">
        <f t="shared" si="3"/>
        <v>0.68144958298943659</v>
      </c>
      <c r="N14" s="168">
        <f t="shared" si="3"/>
        <v>0.68452288331768429</v>
      </c>
      <c r="O14" s="168">
        <f t="shared" si="3"/>
        <v>0.68666958936244515</v>
      </c>
      <c r="P14" s="168">
        <f t="shared" si="3"/>
        <v>0.68905982637058005</v>
      </c>
      <c r="Q14" s="168">
        <f t="shared" si="3"/>
        <v>0.69177224397606252</v>
      </c>
      <c r="R14" s="168">
        <f t="shared" si="3"/>
        <v>0.69397371869641777</v>
      </c>
    </row>
    <row r="15" spans="2:18">
      <c r="B15" s="69" t="s">
        <v>206</v>
      </c>
      <c r="C15" s="71" t="s">
        <v>343</v>
      </c>
      <c r="D15" s="70"/>
      <c r="E15" s="71" t="s">
        <v>357</v>
      </c>
      <c r="F15" s="71">
        <f t="shared" si="2"/>
        <v>2025</v>
      </c>
      <c r="G15" s="165">
        <f t="array" ref="G15">SUMIFS($M$8:$R$8,$M$7:$R$7,$F15) * SUM($M$12:$R$15 * ($M$11:$R$11=$F15) * ($L$12:$L$15=$B15)) / 1000</f>
        <v>40.799928201518647</v>
      </c>
      <c r="H15" s="152">
        <f t="shared" ref="H15:H28" si="4">H14</f>
        <v>0.3</v>
      </c>
      <c r="L15" s="46" t="s">
        <v>211</v>
      </c>
      <c r="M15" s="168">
        <f t="shared" si="3"/>
        <v>0.19932155954102421</v>
      </c>
      <c r="N15" s="168">
        <f t="shared" si="3"/>
        <v>0.20070027961027495</v>
      </c>
      <c r="O15" s="168">
        <f t="shared" si="3"/>
        <v>0.20189716612222527</v>
      </c>
      <c r="P15" s="168">
        <f t="shared" si="3"/>
        <v>0.20260582821200468</v>
      </c>
      <c r="Q15" s="168">
        <f t="shared" si="3"/>
        <v>0.20314060794005143</v>
      </c>
      <c r="R15" s="168">
        <f t="shared" si="3"/>
        <v>0.20381362189460267</v>
      </c>
    </row>
    <row r="16" spans="2:18">
      <c r="B16" s="74" t="s">
        <v>211</v>
      </c>
      <c r="C16" s="76" t="s">
        <v>343</v>
      </c>
      <c r="D16" s="75"/>
      <c r="E16" s="76" t="s">
        <v>357</v>
      </c>
      <c r="F16" s="76">
        <f t="shared" si="2"/>
        <v>2025</v>
      </c>
      <c r="G16" s="166">
        <f t="array" ref="G16">SUMIFS($M$8:$R$8,$M$7:$R$7,$F16) * SUM($M$12:$R$15 * ($M$11:$R$11=$F16) * ($L$12:$L$15=$B16)) / 1000</f>
        <v>11.996147797261674</v>
      </c>
      <c r="H16" s="153">
        <f t="shared" si="4"/>
        <v>0.3</v>
      </c>
    </row>
    <row r="17" spans="2:18">
      <c r="B17" s="70" t="s">
        <v>188</v>
      </c>
      <c r="C17" s="71" t="s">
        <v>343</v>
      </c>
      <c r="D17" s="70"/>
      <c r="E17" s="71" t="s">
        <v>357</v>
      </c>
      <c r="F17" s="71">
        <f>F13+5</f>
        <v>2030</v>
      </c>
      <c r="G17" s="165">
        <f t="array" ref="G17">SUMIFS($M$8:$R$8,$M$7:$R$7,$F17) * SUM($M$12:$R$15 * ($M$11:$R$11=$F17) * ($L$12:$L$15=$B17)) / 1000</f>
        <v>1.3287457029054517</v>
      </c>
      <c r="H17" s="152">
        <f t="shared" si="4"/>
        <v>0.3</v>
      </c>
    </row>
    <row r="18" spans="2:18">
      <c r="B18" s="75" t="s">
        <v>193</v>
      </c>
      <c r="C18" s="76" t="s">
        <v>343</v>
      </c>
      <c r="D18" s="75"/>
      <c r="E18" s="76" t="s">
        <v>357</v>
      </c>
      <c r="F18" s="76">
        <f t="shared" ref="F18:F28" si="5">F14+5</f>
        <v>2030</v>
      </c>
      <c r="G18" s="166">
        <f t="array" ref="G18">SUMIFS($M$8:$R$8,$M$7:$R$7,$F18) * SUM($M$12:$R$15 * ($M$11:$R$11=$F18) * ($L$12:$L$15=$B18)) / 1000</f>
        <v>5.1205653610896729</v>
      </c>
      <c r="H18" s="153">
        <f t="shared" si="4"/>
        <v>0.3</v>
      </c>
    </row>
    <row r="19" spans="2:18">
      <c r="B19" s="70" t="s">
        <v>206</v>
      </c>
      <c r="C19" s="71" t="s">
        <v>343</v>
      </c>
      <c r="D19" s="70"/>
      <c r="E19" s="71" t="s">
        <v>357</v>
      </c>
      <c r="F19" s="71">
        <f t="shared" si="5"/>
        <v>2030</v>
      </c>
      <c r="G19" s="165">
        <f t="array" ref="G19">SUMIFS($M$8:$R$8,$M$7:$R$7,$F19) * SUM($M$12:$R$15 * ($M$11:$R$11=$F19) * ($L$12:$L$15=$B19)) / 1000</f>
        <v>41.020796727424077</v>
      </c>
      <c r="H19" s="152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211</v>
      </c>
      <c r="C20" s="76" t="s">
        <v>343</v>
      </c>
      <c r="D20" s="75"/>
      <c r="E20" s="76" t="s">
        <v>357</v>
      </c>
      <c r="F20" s="76">
        <f t="shared" si="5"/>
        <v>2030</v>
      </c>
      <c r="G20" s="166">
        <f t="array" ref="G20">SUMIFS($M$8:$R$8,$M$7:$R$7,$F20) * SUM($M$12:$R$15 * ($M$11:$R$11=$F20) * ($L$12:$L$15=$B20)) / 1000</f>
        <v>12.061438175335327</v>
      </c>
      <c r="H20" s="153">
        <f t="shared" si="4"/>
        <v>0.3</v>
      </c>
      <c r="L20" s="46"/>
    </row>
    <row r="21" spans="2:18">
      <c r="B21" s="70" t="s">
        <v>188</v>
      </c>
      <c r="C21" s="71" t="s">
        <v>343</v>
      </c>
      <c r="D21" s="70"/>
      <c r="E21" s="71" t="s">
        <v>357</v>
      </c>
      <c r="F21" s="71">
        <f t="shared" si="5"/>
        <v>2035</v>
      </c>
      <c r="G21" s="165">
        <f t="array" ref="G21">SUMIFS($M$8:$R$8,$M$7:$R$7,$F21) * SUM($M$12:$R$15 * ($M$11:$R$11=$F21) * ($L$12:$L$15=$B21)) / 1000</f>
        <v>1.2655567079150138</v>
      </c>
      <c r="H21" s="152">
        <f t="shared" si="4"/>
        <v>0.3</v>
      </c>
      <c r="L21" s="46"/>
    </row>
    <row r="22" spans="2:18">
      <c r="B22" s="75" t="s">
        <v>193</v>
      </c>
      <c r="C22" s="76" t="s">
        <v>343</v>
      </c>
      <c r="D22" s="75"/>
      <c r="E22" s="76" t="s">
        <v>357</v>
      </c>
      <c r="F22" s="76">
        <f t="shared" si="5"/>
        <v>2035</v>
      </c>
      <c r="G22" s="166">
        <f t="array" ref="G22">SUMIFS($M$8:$R$8,$M$7:$R$7,$F22) * SUM($M$12:$R$15 * ($M$11:$R$11=$F22) * ($L$12:$L$15=$B22)) / 1000</f>
        <v>4.9535854099056431</v>
      </c>
      <c r="H22" s="153">
        <f t="shared" si="4"/>
        <v>0.3</v>
      </c>
      <c r="L22" s="46"/>
    </row>
    <row r="23" spans="2:18">
      <c r="B23" s="70" t="s">
        <v>206</v>
      </c>
      <c r="C23" s="71" t="s">
        <v>343</v>
      </c>
      <c r="D23" s="70"/>
      <c r="E23" s="71" t="s">
        <v>357</v>
      </c>
      <c r="F23" s="71">
        <f t="shared" si="5"/>
        <v>2035</v>
      </c>
      <c r="G23" s="165">
        <f t="array" ref="G23">SUMIFS($M$8:$R$8,$M$7:$R$7,$F23) * SUM($M$12:$R$15 * ($M$11:$R$11=$F23) * ($L$12:$L$15=$B23)) / 1000</f>
        <v>40.939638927269975</v>
      </c>
      <c r="H23" s="152">
        <f t="shared" si="4"/>
        <v>0.3</v>
      </c>
      <c r="L23" s="46"/>
    </row>
    <row r="24" spans="2:18">
      <c r="B24" s="75" t="s">
        <v>211</v>
      </c>
      <c r="C24" s="76" t="s">
        <v>343</v>
      </c>
      <c r="D24" s="75"/>
      <c r="E24" s="76" t="s">
        <v>357</v>
      </c>
      <c r="F24" s="76">
        <f t="shared" si="5"/>
        <v>2035</v>
      </c>
      <c r="G24" s="166">
        <f t="array" ref="G24">SUMIFS($M$8:$R$8,$M$7:$R$7,$F24) * SUM($M$12:$R$15 * ($M$11:$R$11=$F24) * ($L$12:$L$15=$B24)) / 1000</f>
        <v>12.022024897575387</v>
      </c>
      <c r="H24" s="153">
        <f t="shared" si="4"/>
        <v>0.3</v>
      </c>
    </row>
    <row r="25" spans="2:18">
      <c r="B25" s="70" t="s">
        <v>188</v>
      </c>
      <c r="C25" s="71" t="s">
        <v>343</v>
      </c>
      <c r="D25" s="70"/>
      <c r="E25" s="71" t="s">
        <v>357</v>
      </c>
      <c r="F25" s="71">
        <f t="shared" si="5"/>
        <v>2040</v>
      </c>
      <c r="G25" s="165">
        <f t="array" ref="G25">SUMIFS($M$8:$R$8,$M$7:$R$7,$F25) * SUM($M$12:$R$15 * ($M$11:$R$11=$F25) * ($L$12:$L$15=$B25)) / 1000</f>
        <v>1.207928410579487</v>
      </c>
      <c r="H25" s="152">
        <f t="shared" si="4"/>
        <v>0.3</v>
      </c>
    </row>
    <row r="26" spans="2:18">
      <c r="B26" s="75" t="s">
        <v>193</v>
      </c>
      <c r="C26" s="76" t="s">
        <v>343</v>
      </c>
      <c r="D26" s="75"/>
      <c r="E26" s="76" t="s">
        <v>357</v>
      </c>
      <c r="F26" s="76">
        <f t="shared" si="5"/>
        <v>2040</v>
      </c>
      <c r="G26" s="166">
        <f t="array" ref="G26">SUMIFS($M$8:$R$8,$M$7:$R$7,$F26) * SUM($M$12:$R$15 * ($M$11:$R$11=$F26) * ($L$12:$L$15=$B26)) / 1000</f>
        <v>4.8029494773633141</v>
      </c>
      <c r="H26" s="153">
        <f t="shared" si="4"/>
        <v>0.3</v>
      </c>
    </row>
    <row r="27" spans="2:18">
      <c r="B27" s="70" t="s">
        <v>206</v>
      </c>
      <c r="C27" s="71" t="s">
        <v>343</v>
      </c>
      <c r="D27" s="70"/>
      <c r="E27" s="71" t="s">
        <v>357</v>
      </c>
      <c r="F27" s="71">
        <f t="shared" si="5"/>
        <v>2040</v>
      </c>
      <c r="G27" s="165">
        <f t="array" ref="G27">SUMIFS($M$8:$R$8,$M$7:$R$7,$F27) * SUM($M$12:$R$15 * ($M$11:$R$11=$F27) * ($L$12:$L$15=$B27)) / 1000</f>
        <v>40.810906443935821</v>
      </c>
      <c r="H27" s="152">
        <f t="shared" si="4"/>
        <v>0.3</v>
      </c>
    </row>
    <row r="28" spans="2:18">
      <c r="B28" s="75" t="s">
        <v>211</v>
      </c>
      <c r="C28" s="76" t="s">
        <v>343</v>
      </c>
      <c r="D28" s="75"/>
      <c r="E28" s="76" t="s">
        <v>357</v>
      </c>
      <c r="F28" s="76">
        <f t="shared" si="5"/>
        <v>2040</v>
      </c>
      <c r="G28" s="166">
        <f t="array" ref="G28">SUMIFS($M$8:$R$8,$M$7:$R$7,$F28) * SUM($M$12:$R$15 * ($M$11:$R$11=$F28) * ($L$12:$L$15=$B28)) / 1000</f>
        <v>11.98578336765374</v>
      </c>
      <c r="H28" s="153">
        <f t="shared" si="4"/>
        <v>0.3</v>
      </c>
    </row>
    <row r="36" spans="2:21">
      <c r="B36" t="s">
        <v>212</v>
      </c>
    </row>
    <row r="38" spans="2:21">
      <c r="B38" t="s">
        <v>185</v>
      </c>
    </row>
    <row r="39" spans="2:21">
      <c r="B39" s="46" t="s">
        <v>186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187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 cm="1">
        <f t="array" ref="T40">TREND($C40:$Q40,$C$39:$Q$39,T$39)</f>
        <v>245480.09631371929</v>
      </c>
      <c r="U40" s="28" cm="1">
        <f t="array" ref="U40">TREND($C40:$Q40,$C$39:$Q$39,U$39)</f>
        <v>244472.43108291377</v>
      </c>
    </row>
    <row r="41" spans="2:21">
      <c r="B41" t="s">
        <v>188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189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 cm="1">
        <f t="array" ref="T42">TREND($C42:$Q42,$C$39:$Q$39,T$39)</f>
        <v>295697.00214285729</v>
      </c>
      <c r="U42" s="28" cm="1">
        <f t="array" ref="U42">TREND($C42:$Q42,$C$39:$Q$39,U$39)</f>
        <v>299451.78621428576</v>
      </c>
    </row>
    <row r="43" spans="2:21">
      <c r="B43" t="s">
        <v>190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 cm="1">
        <f t="array" ref="T43">TREND($C43:$Q43,$C$39:$Q$39,T$39)</f>
        <v>240965.79869808059</v>
      </c>
      <c r="U43" s="28" cm="1">
        <f t="array" ref="U43">TREND($C43:$Q43,$C$39:$Q$39,U$39)</f>
        <v>240320.06834447768</v>
      </c>
    </row>
    <row r="44" spans="2:21">
      <c r="B44" t="s">
        <v>191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 cm="1">
        <f t="array" ref="T44">TREND($C44:$Q44,$C$39:$Q$39,T$39)</f>
        <v>135669.21379735682</v>
      </c>
      <c r="U44" s="28" cm="1">
        <f t="array" ref="U44">TREND($C44:$Q44,$C$39:$Q$39,U$39)</f>
        <v>137612.71672026429</v>
      </c>
    </row>
    <row r="45" spans="2:21">
      <c r="B45" t="s">
        <v>192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 cm="1">
        <f t="array" ref="T45">TREND($C45:$Q45,$C$39:$Q$39,T$39)</f>
        <v>288515.18874402158</v>
      </c>
      <c r="U45" s="28" cm="1">
        <f t="array" ref="U45">TREND($C45:$Q45,$C$39:$Q$39,U$39)</f>
        <v>294683.578468455</v>
      </c>
    </row>
    <row r="46" spans="2:21">
      <c r="B46" t="s">
        <v>193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194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 cm="1">
        <f t="array" ref="T47">TREND($C47:$Q47,$C$39:$Q$39,T$39)</f>
        <v>2788225.603074111</v>
      </c>
      <c r="U47" s="28" cm="1">
        <f t="array" ref="U47">TREND($C47:$Q47,$C$39:$Q$39,U$39)</f>
        <v>2936365.7069140226</v>
      </c>
    </row>
    <row r="48" spans="2:21">
      <c r="B48" t="s">
        <v>195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 cm="1">
        <f t="array" ref="T48">TREND($C48:$Q48,$C$39:$Q$39,T$39)</f>
        <v>456957.56984581426</v>
      </c>
      <c r="U48" s="28" cm="1">
        <f t="array" ref="U48">TREND($C48:$Q48,$C$39:$Q$39,U$39)</f>
        <v>482710.52851541899</v>
      </c>
    </row>
    <row r="49" spans="2:21">
      <c r="B49" t="s">
        <v>196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 cm="1">
        <f t="array" ref="T49">TREND($C49:$Q49,$C$39:$Q$39,T$39)</f>
        <v>330605.78915654495</v>
      </c>
      <c r="U49" s="28" cm="1">
        <f t="array" ref="U49">TREND($C49:$Q49,$C$39:$Q$39,U$39)</f>
        <v>342801.49577005953</v>
      </c>
    </row>
    <row r="50" spans="2:21">
      <c r="B50" t="s">
        <v>197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 cm="1">
        <f t="array" ref="T50">TREND($C50:$Q50,$C$39:$Q$39,T$39)</f>
        <v>510453.31958747655</v>
      </c>
      <c r="U50" s="28" cm="1">
        <f t="array" ref="U50">TREND($C50:$Q50,$C$39:$Q$39,U$39)</f>
        <v>527113.49719839543</v>
      </c>
    </row>
    <row r="51" spans="2:21">
      <c r="B51" t="s">
        <v>198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 cm="1">
        <f t="array" ref="T51">TREND($C51:$Q51,$C$39:$Q$39,T$39)</f>
        <v>395728.7322924789</v>
      </c>
      <c r="U51" s="28" cm="1">
        <f t="array" ref="U51">TREND($C51:$Q51,$C$39:$Q$39,U$39)</f>
        <v>407902.34201360866</v>
      </c>
    </row>
    <row r="52" spans="2:21">
      <c r="B52" t="s">
        <v>199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 cm="1">
        <f t="array" ref="T52">TREND($C52:$Q52,$C$39:$Q$39,T$39)</f>
        <v>1913465.8211450577</v>
      </c>
      <c r="U52" s="28" cm="1">
        <f t="array" ref="U52">TREND($C52:$Q52,$C$39:$Q$39,U$39)</f>
        <v>1982067.1653640643</v>
      </c>
    </row>
    <row r="53" spans="2:21">
      <c r="B53" t="s">
        <v>200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 cm="1">
        <f t="array" ref="T53">TREND($C53:$Q53,$C$39:$Q$39,T$39)</f>
        <v>289804.78605711134</v>
      </c>
      <c r="U53" s="28" cm="1">
        <f t="array" ref="U53">TREND($C53:$Q53,$C$39:$Q$39,U$39)</f>
        <v>293164.36575857457</v>
      </c>
    </row>
    <row r="54" spans="2:21">
      <c r="B54" t="s">
        <v>201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 cm="1">
        <f t="array" ref="T54">TREND($C54:$Q54,$C$39:$Q$39,T$39)</f>
        <v>331804.59243470756</v>
      </c>
      <c r="U54" s="28" cm="1">
        <f t="array" ref="U54">TREND($C54:$Q54,$C$39:$Q$39,U$39)</f>
        <v>342309.5371851013</v>
      </c>
    </row>
    <row r="55" spans="2:21">
      <c r="B55" t="s">
        <v>202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 cm="1">
        <f t="array" ref="T55">TREND($C55:$Q55,$C$39:$Q$39,T$39)</f>
        <v>304340.57027580263</v>
      </c>
      <c r="U55" s="28" cm="1">
        <f t="array" ref="U55">TREND($C55:$Q55,$C$39:$Q$39,U$39)</f>
        <v>314820.53862956306</v>
      </c>
    </row>
    <row r="56" spans="2:21">
      <c r="B56" t="s">
        <v>203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 cm="1">
        <f t="array" ref="T56">TREND($C56:$Q56,$C$39:$Q$39,T$39)</f>
        <v>297975.37224040274</v>
      </c>
      <c r="U56" s="28" cm="1">
        <f t="array" ref="U56">TREND($C56:$Q56,$C$39:$Q$39,U$39)</f>
        <v>302284.90484738816</v>
      </c>
    </row>
    <row r="57" spans="2:21">
      <c r="B57" t="s">
        <v>204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 cm="1">
        <f t="array" ref="T57">TREND($C57:$Q57,$C$39:$Q$39,T$39)</f>
        <v>256879.86669005663</v>
      </c>
      <c r="U57" s="28" cm="1">
        <f t="array" ref="U57">TREND($C57:$Q57,$C$39:$Q$39,U$39)</f>
        <v>261639.31517385156</v>
      </c>
    </row>
    <row r="58" spans="2:21">
      <c r="B58" t="s">
        <v>205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 cm="1">
        <f t="array" ref="T58">TREND($C58:$Q58,$C$39:$Q$39,T$39)</f>
        <v>64821.735198395327</v>
      </c>
      <c r="U58" s="28" cm="1">
        <f t="array" ref="U58">TREND($C58:$Q58,$C$39:$Q$39,U$39)</f>
        <v>66533.20286587486</v>
      </c>
    </row>
    <row r="59" spans="2:21">
      <c r="B59" t="s">
        <v>206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207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 cm="1">
        <f t="array" ref="T60">TREND($C60:$Q60,$C$39:$Q$39,T$39)</f>
        <v>163004.20997168031</v>
      </c>
      <c r="U60" s="28" cm="1">
        <f t="array" ref="U60">TREND($C60:$Q60,$C$39:$Q$39,U$39)</f>
        <v>164918.0808242606</v>
      </c>
    </row>
    <row r="61" spans="2:21">
      <c r="B61" t="s">
        <v>208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 cm="1">
        <f t="array" ref="T61">TREND($C61:$Q61,$C$39:$Q$39,T$39)</f>
        <v>1566291.3374842666</v>
      </c>
      <c r="U61" s="28" cm="1">
        <f t="array" ref="U61">TREND($C61:$Q61,$C$39:$Q$39,U$39)</f>
        <v>1633566.2721801437</v>
      </c>
    </row>
    <row r="62" spans="2:21">
      <c r="B62" t="s">
        <v>209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 cm="1">
        <f t="array" ref="T62">TREND($C62:$Q62,$C$39:$Q$39,T$39)</f>
        <v>382345.32420358807</v>
      </c>
      <c r="U62" s="28" cm="1">
        <f t="array" ref="U62">TREND($C62:$Q62,$C$39:$Q$39,U$39)</f>
        <v>399656.88859392796</v>
      </c>
    </row>
    <row r="63" spans="2:21">
      <c r="B63" t="s">
        <v>210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 cm="1">
        <f t="array" ref="T63">TREND($C63:$Q63,$C$39:$Q$39,T$39)</f>
        <v>220271.88364065439</v>
      </c>
      <c r="U63" s="28" cm="1">
        <f t="array" ref="U63">TREND($C63:$Q63,$C$39:$Q$39,U$39)</f>
        <v>227659.47031450598</v>
      </c>
    </row>
    <row r="64" spans="2:21">
      <c r="B64" t="s">
        <v>211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188</v>
      </c>
      <c r="C69" s="168">
        <f>H41/H$65</f>
        <v>2.5646649783454076E-2</v>
      </c>
      <c r="D69" s="168">
        <f>M41/M$65</f>
        <v>2.4216010145252681E-2</v>
      </c>
      <c r="E69" s="168">
        <f>P41/P$65</f>
        <v>2.3215895326860025E-2</v>
      </c>
      <c r="F69" s="168">
        <f>Q41/Q$65</f>
        <v>2.232002682489535E-2</v>
      </c>
      <c r="G69" s="168">
        <f>T41/T$65</f>
        <v>2.1384580486130532E-2</v>
      </c>
      <c r="H69" s="168">
        <f>U41/U$65</f>
        <v>2.054035658728821E-2</v>
      </c>
    </row>
    <row r="70" spans="2:21">
      <c r="B70" s="46" t="s">
        <v>193</v>
      </c>
      <c r="C70" s="168">
        <f>H46/H$65</f>
        <v>9.3582207686085092E-2</v>
      </c>
      <c r="D70" s="168">
        <f>M46/M$65</f>
        <v>9.0560826926788046E-2</v>
      </c>
      <c r="E70" s="168">
        <f>P46/P$65</f>
        <v>8.8217349188469615E-2</v>
      </c>
      <c r="F70" s="168">
        <f>Q46/Q$65</f>
        <v>8.6014318592519984E-2</v>
      </c>
      <c r="G70" s="168">
        <f>T46/T$65</f>
        <v>8.3702567597755323E-2</v>
      </c>
      <c r="H70" s="168">
        <f>U46/U$65</f>
        <v>8.1672302821691217E-2</v>
      </c>
    </row>
    <row r="71" spans="2:21">
      <c r="B71" s="46" t="s">
        <v>206</v>
      </c>
      <c r="C71" s="168">
        <f>H59/H$65</f>
        <v>0.68144958298943659</v>
      </c>
      <c r="D71" s="168">
        <f>M59/M$65</f>
        <v>0.68452288331768429</v>
      </c>
      <c r="E71" s="168">
        <f>P59/P$65</f>
        <v>0.68666958936244515</v>
      </c>
      <c r="F71" s="168">
        <f>Q59/Q$65</f>
        <v>0.68905982637058005</v>
      </c>
      <c r="G71" s="168">
        <f>T59/T$65</f>
        <v>0.69177224397606252</v>
      </c>
      <c r="H71" s="168">
        <f>U59/U$65</f>
        <v>0.69397371869641777</v>
      </c>
    </row>
    <row r="72" spans="2:21">
      <c r="B72" s="46" t="s">
        <v>211</v>
      </c>
      <c r="C72" s="168">
        <f>H64/H$65</f>
        <v>0.19932155954102421</v>
      </c>
      <c r="D72" s="168">
        <f>M64/M$65</f>
        <v>0.20070027961027495</v>
      </c>
      <c r="E72" s="168">
        <f>P64/P$65</f>
        <v>0.20189716612222527</v>
      </c>
      <c r="F72" s="168">
        <f>Q64/Q$65</f>
        <v>0.20260582821200468</v>
      </c>
      <c r="G72" s="168">
        <f>T64/T$65</f>
        <v>0.20314060794005143</v>
      </c>
      <c r="H72" s="168">
        <f>U64/U$65</f>
        <v>0.20381362189460267</v>
      </c>
    </row>
    <row r="73" spans="2:21">
      <c r="B73" s="46"/>
    </row>
    <row r="77" spans="2:21" ht="30">
      <c r="B77" s="91" t="s">
        <v>232</v>
      </c>
    </row>
    <row r="78" spans="2:21">
      <c r="B78" t="s">
        <v>228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214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215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216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217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218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219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220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221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222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223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224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225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226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227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230</v>
      </c>
    </row>
    <row r="106" spans="2:19">
      <c r="B106" t="s">
        <v>231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213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229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233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236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7" cm="1">
        <f t="array" ref="N118">TREND($C$118:$K$118,$C$109:$K$109,N$109)</f>
        <v>5.7619444238438122E-3</v>
      </c>
      <c r="O118" s="167" cm="1">
        <f t="array" ref="O118">TREND($C$118:$K$118,$C$109:$K$109,O$109)</f>
        <v>5.6387332019817785E-3</v>
      </c>
      <c r="P118" s="96" cm="1">
        <f t="array" ref="P118">(TREND($C118:$K118,$C$109:$K$109,P$109) - TREND($C118:$K118,$C$109:$K$109,$K$109)) + AVERAGE(I118:K118)</f>
        <v>5.5769646431834434E-3</v>
      </c>
      <c r="Q118" s="141" cm="1">
        <f t="array" ref="Q118">(TREND($C118:$K118,$C$109:$K$109,Q109) - TREND($C118:$K118,$C$109:$K$109,P109))/2 + P118</f>
        <v>5.5153590322524265E-3</v>
      </c>
      <c r="R118" s="141" cm="1">
        <f t="array" ref="R118">(TREND($C118:$K118,$C$109:$K$109,R109) - TREND($C118:$K118,$C$109:$K$109,Q109))/2 + Q118</f>
        <v>5.4537534213214131E-3</v>
      </c>
      <c r="S118" s="141" cm="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workbookViewId="0">
      <pane xSplit="2" topLeftCell="C1" activePane="topRight" state="frozen"/>
      <selection activeCell="A48" sqref="A48"/>
      <selection pane="topRight" activeCell="K9" sqref="K9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M4" s="46" t="s">
        <v>170</v>
      </c>
    </row>
    <row r="5" spans="2:18">
      <c r="B5" s="69" t="s">
        <v>238</v>
      </c>
      <c r="C5" s="70" t="s">
        <v>343</v>
      </c>
      <c r="D5" s="70"/>
      <c r="E5" s="70" t="s">
        <v>357</v>
      </c>
      <c r="F5" s="71">
        <v>2015</v>
      </c>
      <c r="G5" s="165" cm="1">
        <f t="array" ref="G5">SUM($M$6:$R$7*($M$5:$R$5=$F5)*($L$6:$L$7=$B5)) * SUMIFS($M$11:$R$11,$M$10:$R$10,$F5) / 1000</f>
        <v>19.805125480479287</v>
      </c>
      <c r="H5" s="80">
        <v>0.3</v>
      </c>
      <c r="L5" s="46" t="s">
        <v>179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239</v>
      </c>
      <c r="C6" s="75" t="s">
        <v>343</v>
      </c>
      <c r="D6" s="75"/>
      <c r="E6" s="75" t="s">
        <v>357</v>
      </c>
      <c r="F6" s="76">
        <v>2015</v>
      </c>
      <c r="G6" s="166" cm="1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238</v>
      </c>
      <c r="M6" s="168">
        <f t="shared" ref="M6:N6" si="0">HLOOKUP(M$5,$C$44:$Z$50,6,FALSE)</f>
        <v>0.54262626298320671</v>
      </c>
      <c r="N6" s="168">
        <f t="shared" si="0"/>
        <v>0.53915658253650367</v>
      </c>
      <c r="O6" s="168">
        <f>HLOOKUP(O$5,$C$44:$Z$50,6,FALSE)</f>
        <v>0.53515457218691831</v>
      </c>
      <c r="P6" s="168">
        <f t="shared" ref="P6:R6" si="1">HLOOKUP(P$5,$C$44:$Z$50,6,FALSE)</f>
        <v>0.53297905286731784</v>
      </c>
      <c r="Q6" s="168">
        <f t="shared" si="1"/>
        <v>0.53014955212350778</v>
      </c>
      <c r="R6" s="168">
        <f t="shared" si="1"/>
        <v>0.52745404878745272</v>
      </c>
    </row>
    <row r="7" spans="2:18">
      <c r="B7" s="69" t="s">
        <v>238</v>
      </c>
      <c r="C7" s="70" t="s">
        <v>343</v>
      </c>
      <c r="D7" s="70"/>
      <c r="E7" s="70" t="s">
        <v>357</v>
      </c>
      <c r="F7" s="71">
        <f>F5+5</f>
        <v>2020</v>
      </c>
      <c r="G7" s="165" cm="1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239</v>
      </c>
      <c r="M7" s="168">
        <f t="shared" ref="M7:N7" si="3">HLOOKUP(M$5,$C$44:$Z$50,7,FALSE)</f>
        <v>0.45737373701679324</v>
      </c>
      <c r="N7" s="168">
        <f t="shared" si="3"/>
        <v>0.46084341746349627</v>
      </c>
      <c r="O7" s="168">
        <f>HLOOKUP(O$5,$C$44:$Z$50,7,FALSE)</f>
        <v>0.46484542781308164</v>
      </c>
      <c r="P7" s="168">
        <f t="shared" ref="P7:R7" si="4">HLOOKUP(P$5,$C$44:$Z$50,7,FALSE)</f>
        <v>0.46702094713268216</v>
      </c>
      <c r="Q7" s="168">
        <f t="shared" si="4"/>
        <v>0.46985044787649227</v>
      </c>
      <c r="R7" s="168">
        <f t="shared" si="4"/>
        <v>0.47254595121254722</v>
      </c>
    </row>
    <row r="8" spans="2:18">
      <c r="B8" s="74" t="s">
        <v>239</v>
      </c>
      <c r="C8" s="75" t="s">
        <v>343</v>
      </c>
      <c r="D8" s="75"/>
      <c r="E8" s="75" t="s">
        <v>357</v>
      </c>
      <c r="F8" s="76">
        <f t="shared" ref="F8:F14" si="5">F6+5</f>
        <v>2020</v>
      </c>
      <c r="G8" s="166" cm="1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238</v>
      </c>
      <c r="C9" s="70" t="s">
        <v>343</v>
      </c>
      <c r="D9" s="70"/>
      <c r="E9" s="70" t="s">
        <v>357</v>
      </c>
      <c r="F9" s="71">
        <f>F7+5</f>
        <v>2025</v>
      </c>
      <c r="G9" s="165" cm="1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239</v>
      </c>
      <c r="C10" s="75" t="s">
        <v>343</v>
      </c>
      <c r="D10" s="75"/>
      <c r="E10" s="75" t="s">
        <v>357</v>
      </c>
      <c r="F10" s="76">
        <f t="shared" si="5"/>
        <v>2025</v>
      </c>
      <c r="G10" s="166" cm="1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238</v>
      </c>
      <c r="C11" s="70" t="s">
        <v>343</v>
      </c>
      <c r="D11" s="70"/>
      <c r="E11" s="70" t="s">
        <v>357</v>
      </c>
      <c r="F11" s="71">
        <f>F9+5</f>
        <v>2030</v>
      </c>
      <c r="G11" s="165" cm="1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180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239</v>
      </c>
      <c r="C12" s="75" t="s">
        <v>343</v>
      </c>
      <c r="D12" s="75"/>
      <c r="E12" s="75" t="s">
        <v>357</v>
      </c>
      <c r="F12" s="76">
        <f t="shared" si="5"/>
        <v>2030</v>
      </c>
      <c r="G12" s="166" cm="1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238</v>
      </c>
      <c r="C13" s="70" t="s">
        <v>343</v>
      </c>
      <c r="D13" s="70"/>
      <c r="E13" s="70" t="s">
        <v>357</v>
      </c>
      <c r="F13" s="71">
        <f t="shared" si="5"/>
        <v>2035</v>
      </c>
      <c r="G13" s="165" cm="1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239</v>
      </c>
      <c r="C14" s="75" t="s">
        <v>343</v>
      </c>
      <c r="D14" s="75"/>
      <c r="E14" s="75" t="s">
        <v>357</v>
      </c>
      <c r="F14" s="76">
        <f t="shared" si="5"/>
        <v>2035</v>
      </c>
      <c r="G14" s="166" cm="1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238</v>
      </c>
      <c r="C15" s="70" t="s">
        <v>343</v>
      </c>
      <c r="D15" s="70"/>
      <c r="E15" s="70" t="s">
        <v>357</v>
      </c>
      <c r="F15" s="71">
        <f t="shared" ref="F15:F16" si="7">F13+5</f>
        <v>2040</v>
      </c>
      <c r="G15" s="165" cm="1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239</v>
      </c>
      <c r="C16" s="75" t="s">
        <v>343</v>
      </c>
      <c r="D16" s="75"/>
      <c r="E16" s="75" t="s">
        <v>357</v>
      </c>
      <c r="F16" s="76">
        <f t="shared" si="7"/>
        <v>2040</v>
      </c>
      <c r="G16" s="166" cm="1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249</v>
      </c>
    </row>
    <row r="30" spans="2:23" ht="37.5" customHeight="1">
      <c r="P30" s="176" t="s">
        <v>247</v>
      </c>
      <c r="Q30" s="176"/>
      <c r="R30" s="176"/>
      <c r="S30" s="176"/>
      <c r="T30" s="176"/>
      <c r="U30" s="176"/>
      <c r="V30" s="176"/>
      <c r="W30" s="176"/>
    </row>
    <row r="31" spans="2:23" ht="19.5" thickBot="1">
      <c r="B31" s="173" t="s">
        <v>240</v>
      </c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 t="s">
        <v>248</v>
      </c>
      <c r="Q31" s="173"/>
      <c r="R31" s="173"/>
      <c r="S31" s="173"/>
      <c r="T31" s="173"/>
      <c r="U31" s="173"/>
      <c r="V31" s="173"/>
      <c r="W31" s="173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239</v>
      </c>
      <c r="B33" s="102" t="s">
        <v>241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239</v>
      </c>
      <c r="B34" s="102" t="s">
        <v>242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238</v>
      </c>
      <c r="B35" s="102" t="s">
        <v>243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238</v>
      </c>
      <c r="B36" s="102" t="s">
        <v>244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238</v>
      </c>
      <c r="B37" s="102" t="s">
        <v>245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</row>
    <row r="39" spans="1:26" ht="15.75" thickBot="1">
      <c r="B39" s="175" t="s">
        <v>246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238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 cm="1">
        <f t="array" ref="X45">TREND($M45:$V45,$M$44:$V$44,X$44)</f>
        <v>3270579.6727272719</v>
      </c>
      <c r="Y45" cm="1">
        <f t="array" ref="Y45">TREND($M45:$V45,$M$44:$V$44,Y$44)</f>
        <v>3334077.7636363655</v>
      </c>
      <c r="Z45" cm="1">
        <f t="array" ref="Z45">TREND($M45:$V45,$M$44:$V$44,Z$44)</f>
        <v>3397575.8545454554</v>
      </c>
    </row>
    <row r="46" spans="1:26">
      <c r="B46" t="s">
        <v>239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 cm="1">
        <f t="array" ref="X46">TREND($M46:$V46,$M$44:$V$44,X$44)</f>
        <v>2865833.4848484807</v>
      </c>
      <c r="Y46" cm="1">
        <f t="array" ref="Y46">TREND($M46:$V46,$M$44:$V$44,Y$44)</f>
        <v>2954860.4242424257</v>
      </c>
      <c r="Z46" cm="1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238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239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261</v>
      </c>
    </row>
    <row r="55" spans="2:33" ht="15.75" thickBot="1">
      <c r="B55" s="103"/>
    </row>
    <row r="56" spans="2:33" ht="19.5" thickTop="1">
      <c r="B56" s="176" t="s">
        <v>250</v>
      </c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spans="2:33" ht="19.5" thickBot="1">
      <c r="B57" s="173" t="s">
        <v>251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252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253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254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255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256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257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258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259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260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262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 t="shared" ref="AB71:AG71" si="19">AB73*AB75* AB72 / AVERAGE($C72:$Z72)</f>
        <v>36498.648944111686</v>
      </c>
      <c r="AC71" s="142">
        <f t="shared" si="19"/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233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236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64" cm="1">
        <f t="array" ref="AB75">TREND($C$75:$Z$75,$C$58:$Z$58, AB$58)</f>
        <v>6.5008842542315752E-3</v>
      </c>
      <c r="AC75" s="164" cm="1">
        <f t="array" ref="AC75">TREND($C$75:$Z$75,$C$58:$Z$58, AC$58)</f>
        <v>6.5480535889073828E-3</v>
      </c>
      <c r="AD75" s="96" cm="1">
        <f t="array" ref="AD75">(TREND($C75:$Z75,$C$58:$Z$58,AD$58) - TREND($C75:$Z75,$C$58:$Z$58,$Z$58))/2 + TREND($C75:$Z75,$C$58:$Z$58,$Z$58)</f>
        <v>6.5857890566480299E-3</v>
      </c>
      <c r="AE75" s="96" cm="1">
        <f t="array" ref="AE75">(TREND($C75:$Z75,$C$58:$Z$58,AE$58) - TREND($C75:$Z75,$C$58:$Z$58,$Z$58))/2 + TREND($C75:$Z75,$C$58:$Z$58,$Z$58)</f>
        <v>6.6093737239859354E-3</v>
      </c>
      <c r="AF75" s="96" cm="1">
        <f t="array" ref="AF75">(TREND($C75:$Z75,$C$58:$Z$58,AF$58) - TREND($C75:$Z75,$C$58:$Z$58,$Z$58))/2 + TREND($C75:$Z75,$C$58:$Z$58,$Z$58)</f>
        <v>6.6329583913238392E-3</v>
      </c>
      <c r="AG75" s="96" cm="1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81B76-DE69-42F3-8A48-697A1684097B}">
  <sheetPr>
    <tabColor theme="3" tint="0.89999084444715716"/>
  </sheetPr>
  <dimension ref="B4:T22"/>
  <sheetViews>
    <sheetView workbookViewId="0">
      <selection activeCell="K20" sqref="K20"/>
    </sheetView>
  </sheetViews>
  <sheetFormatPr defaultRowHeight="15"/>
  <cols>
    <col min="7" max="7" width="12.140625" customWidth="1"/>
    <col min="22" max="22" width="11.5703125" customWidth="1"/>
  </cols>
  <sheetData>
    <row r="4" spans="2:2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M4" s="46">
        <v>2015</v>
      </c>
      <c r="N4" s="46">
        <v>2020</v>
      </c>
      <c r="O4" s="46">
        <v>2025</v>
      </c>
      <c r="P4" s="46">
        <v>2030</v>
      </c>
      <c r="Q4" s="46">
        <v>2035</v>
      </c>
      <c r="R4" s="46">
        <v>2040</v>
      </c>
    </row>
    <row r="5" spans="2:20">
      <c r="B5" s="69" t="s">
        <v>298</v>
      </c>
      <c r="C5" s="70" t="s">
        <v>343</v>
      </c>
      <c r="D5" s="70"/>
      <c r="E5" s="70" t="s">
        <v>357</v>
      </c>
      <c r="F5" s="71">
        <v>2015</v>
      </c>
      <c r="G5" s="165" cm="1">
        <f t="array" ref="G5">SUM($M$5:$R$10 * ($L$5:$L$10=$B5) * ($M$4:$R$4=$F5))/1000</f>
        <v>92.710133259800728</v>
      </c>
      <c r="H5" s="135">
        <v>0.3</v>
      </c>
      <c r="J5">
        <f>VLOOKUP($B7,$L$5:$T$10,7,FALSE)</f>
        <v>92710.133259800728</v>
      </c>
      <c r="L5" s="46" t="s">
        <v>298</v>
      </c>
      <c r="M5">
        <f t="shared" ref="M5:N5" si="0">N5</f>
        <v>92710.133259800728</v>
      </c>
      <c r="N5">
        <f t="shared" si="0"/>
        <v>92710.133259800728</v>
      </c>
      <c r="O5">
        <f>P5</f>
        <v>92710.133259800728</v>
      </c>
      <c r="P5">
        <v>92710.133259800728</v>
      </c>
      <c r="Q5">
        <f>P5</f>
        <v>92710.133259800728</v>
      </c>
      <c r="R5">
        <f t="shared" ref="R5:R6" si="1">Q5</f>
        <v>92710.133259800728</v>
      </c>
      <c r="T5" t="s">
        <v>64</v>
      </c>
    </row>
    <row r="6" spans="2:20">
      <c r="B6" s="74" t="s">
        <v>298</v>
      </c>
      <c r="C6" s="75" t="s">
        <v>343</v>
      </c>
      <c r="D6" s="75"/>
      <c r="E6" s="75" t="s">
        <v>357</v>
      </c>
      <c r="F6" s="76">
        <f>F5+5</f>
        <v>2020</v>
      </c>
      <c r="G6" s="166" cm="1">
        <f t="array" ref="G6">SUM($M$5:$R$10 * ($L$5:$L$10=$B6) * ($M$4:$R$4=$F6))/1000</f>
        <v>92.710133259800728</v>
      </c>
      <c r="H6" s="171">
        <v>0.3</v>
      </c>
      <c r="J6">
        <f>VLOOKUP($B8,$L$5:$T$10,7,FALSE)</f>
        <v>92710.133259800728</v>
      </c>
      <c r="L6" s="46" t="s">
        <v>299</v>
      </c>
      <c r="M6">
        <f t="shared" ref="M6:O6" si="2">N6</f>
        <v>101354.37969412678</v>
      </c>
      <c r="N6">
        <f t="shared" si="2"/>
        <v>101354.37969412678</v>
      </c>
      <c r="O6">
        <f t="shared" si="2"/>
        <v>101354.37969412678</v>
      </c>
      <c r="P6">
        <v>101354.37969412678</v>
      </c>
      <c r="Q6">
        <f t="shared" ref="Q6" si="3">P6</f>
        <v>101354.37969412678</v>
      </c>
      <c r="R6">
        <f t="shared" si="1"/>
        <v>101354.37969412678</v>
      </c>
      <c r="T6" t="s">
        <v>71</v>
      </c>
    </row>
    <row r="7" spans="2:20">
      <c r="B7" s="69" t="s">
        <v>298</v>
      </c>
      <c r="C7" s="70" t="s">
        <v>343</v>
      </c>
      <c r="D7" s="70"/>
      <c r="E7" s="70" t="s">
        <v>357</v>
      </c>
      <c r="F7" s="71">
        <f>F6+5</f>
        <v>2025</v>
      </c>
      <c r="G7" s="165" cm="1">
        <f t="array" ref="G7">SUM($M$5:$R$10 * ($L$5:$L$10=$B7) * ($M$4:$R$4=$F7))/1000</f>
        <v>92.710133259800728</v>
      </c>
      <c r="H7" s="135">
        <v>0.3</v>
      </c>
      <c r="J7">
        <f>VLOOKUP($B9,$L$5:$T$10,7,FALSE)</f>
        <v>92710.133259800728</v>
      </c>
      <c r="L7" s="46" t="s">
        <v>302</v>
      </c>
      <c r="M7">
        <f t="shared" ref="M7:O7" si="4">N7</f>
        <v>9971.0144775995286</v>
      </c>
      <c r="N7">
        <f t="shared" si="4"/>
        <v>9971.0144775995286</v>
      </c>
      <c r="O7">
        <f t="shared" si="4"/>
        <v>9971.0144775995286</v>
      </c>
      <c r="P7">
        <v>9971.0144775995286</v>
      </c>
      <c r="Q7">
        <f t="shared" ref="Q7" si="5">P7</f>
        <v>9971.0144775995286</v>
      </c>
      <c r="R7">
        <f>Q7</f>
        <v>9971.0144775995286</v>
      </c>
      <c r="T7" t="s">
        <v>5</v>
      </c>
    </row>
    <row r="8" spans="2:20">
      <c r="B8" s="74" t="s">
        <v>298</v>
      </c>
      <c r="C8" s="75" t="s">
        <v>343</v>
      </c>
      <c r="D8" s="75"/>
      <c r="E8" s="75" t="s">
        <v>357</v>
      </c>
      <c r="F8" s="76">
        <f t="shared" ref="F8:F10" si="6">F7+5</f>
        <v>2030</v>
      </c>
      <c r="G8" s="166" cm="1">
        <f t="array" ref="G8">SUM($M$5:$R$10 * ($L$5:$L$10=$B8) * ($M$4:$R$4=$F8))/1000</f>
        <v>92.710133259800728</v>
      </c>
      <c r="H8" s="171">
        <v>0.3</v>
      </c>
      <c r="J8">
        <f>VLOOKUP($B10,$L$5:$T$10,7,FALSE)</f>
        <v>92710.133259800728</v>
      </c>
      <c r="L8" s="46"/>
    </row>
    <row r="9" spans="2:20">
      <c r="B9" s="69" t="s">
        <v>298</v>
      </c>
      <c r="C9" s="70" t="s">
        <v>343</v>
      </c>
      <c r="D9" s="70"/>
      <c r="E9" s="70" t="s">
        <v>357</v>
      </c>
      <c r="F9" s="71">
        <f t="shared" si="6"/>
        <v>2035</v>
      </c>
      <c r="G9" s="165" cm="1">
        <f t="array" ref="G9">SUM($M$5:$R$10 * ($L$5:$L$10=$B9) * ($M$4:$R$4=$F9))/1000</f>
        <v>92.710133259800728</v>
      </c>
      <c r="H9" s="135">
        <v>0.3</v>
      </c>
      <c r="J9">
        <f>VLOOKUP($B13,$L$5:$T$10,7,FALSE)</f>
        <v>101354.37969412678</v>
      </c>
    </row>
    <row r="10" spans="2:20">
      <c r="B10" s="74" t="s">
        <v>298</v>
      </c>
      <c r="C10" s="75" t="s">
        <v>343</v>
      </c>
      <c r="D10" s="75"/>
      <c r="E10" s="75" t="s">
        <v>357</v>
      </c>
      <c r="F10" s="76">
        <f t="shared" si="6"/>
        <v>2040</v>
      </c>
      <c r="G10" s="166" cm="1">
        <f t="array" ref="G10">SUM($M$5:$R$10 * ($L$5:$L$10=$B10) * ($M$4:$R$4=$F10))/1000</f>
        <v>92.710133259800728</v>
      </c>
      <c r="H10" s="171">
        <v>0.3</v>
      </c>
      <c r="J10">
        <f>VLOOKUP($B14,$L$5:$T$10,7,FALSE)</f>
        <v>101354.37969412678</v>
      </c>
      <c r="L10" s="46"/>
    </row>
    <row r="11" spans="2:20">
      <c r="B11" s="69" t="s">
        <v>299</v>
      </c>
      <c r="C11" s="70" t="s">
        <v>343</v>
      </c>
      <c r="D11" s="70"/>
      <c r="E11" s="70" t="s">
        <v>357</v>
      </c>
      <c r="F11" s="71">
        <f>F5</f>
        <v>2015</v>
      </c>
      <c r="G11" s="154" cm="1">
        <f t="array" ref="G11">SUM($M$5:$R$10 * ($L$5:$L$10=$B11) * ($M$4:$R$4=$F11))/1000</f>
        <v>101.35437969412678</v>
      </c>
      <c r="H11" s="135">
        <v>0.3</v>
      </c>
      <c r="J11">
        <f>VLOOKUP($B15,$L$5:$T$10,7,FALSE)</f>
        <v>101354.37969412678</v>
      </c>
    </row>
    <row r="12" spans="2:20">
      <c r="B12" s="74" t="s">
        <v>299</v>
      </c>
      <c r="C12" s="75" t="s">
        <v>343</v>
      </c>
      <c r="D12" s="75"/>
      <c r="E12" s="75" t="s">
        <v>357</v>
      </c>
      <c r="F12" s="76">
        <f t="shared" ref="F12:F22" si="7">F6</f>
        <v>2020</v>
      </c>
      <c r="G12" s="155" cm="1">
        <f t="array" ref="G12">SUM($M$5:$R$10 * ($L$5:$L$10=$B12) * ($M$4:$R$4=$F12))/1000</f>
        <v>101.35437969412678</v>
      </c>
      <c r="H12" s="171">
        <v>0.3</v>
      </c>
      <c r="J12">
        <f>VLOOKUP($B16,$L$5:$T$10,7,FALSE)</f>
        <v>101354.37969412678</v>
      </c>
    </row>
    <row r="13" spans="2:20">
      <c r="B13" s="69" t="s">
        <v>299</v>
      </c>
      <c r="C13" s="70" t="s">
        <v>343</v>
      </c>
      <c r="D13" s="70"/>
      <c r="E13" s="70" t="s">
        <v>357</v>
      </c>
      <c r="F13" s="71">
        <f t="shared" si="7"/>
        <v>2025</v>
      </c>
      <c r="G13" s="154" cm="1">
        <f t="array" ref="G13">SUM($M$5:$R$10 * ($L$5:$L$10=$B13) * ($M$4:$R$4=$F13))/1000</f>
        <v>101.35437969412678</v>
      </c>
      <c r="H13" s="135">
        <v>0.3</v>
      </c>
      <c r="J13">
        <f>VLOOKUP($B19,$L$5:$T$10,7,FALSE)</f>
        <v>9971.0144775995286</v>
      </c>
    </row>
    <row r="14" spans="2:20">
      <c r="B14" s="74" t="s">
        <v>299</v>
      </c>
      <c r="C14" s="75" t="s">
        <v>343</v>
      </c>
      <c r="D14" s="75"/>
      <c r="E14" s="75" t="s">
        <v>357</v>
      </c>
      <c r="F14" s="76">
        <f t="shared" si="7"/>
        <v>2030</v>
      </c>
      <c r="G14" s="155" cm="1">
        <f t="array" ref="G14">SUM($M$5:$R$10 * ($L$5:$L$10=$B14) * ($M$4:$R$4=$F14))/1000</f>
        <v>101.35437969412678</v>
      </c>
      <c r="H14" s="171">
        <v>0.3</v>
      </c>
      <c r="J14">
        <f>VLOOKUP($B20,$L$5:$T$10,7,FALSE)</f>
        <v>9971.0144775995286</v>
      </c>
    </row>
    <row r="15" spans="2:20">
      <c r="B15" s="69" t="s">
        <v>299</v>
      </c>
      <c r="C15" s="70" t="s">
        <v>343</v>
      </c>
      <c r="D15" s="70"/>
      <c r="E15" s="70" t="s">
        <v>357</v>
      </c>
      <c r="F15" s="71">
        <f t="shared" si="7"/>
        <v>2035</v>
      </c>
      <c r="G15" s="154" cm="1">
        <f t="array" ref="G15">SUM($M$5:$R$10 * ($L$5:$L$10=$B15) * ($M$4:$R$4=$F15))/1000</f>
        <v>101.35437969412678</v>
      </c>
      <c r="H15" s="135">
        <v>0.3</v>
      </c>
      <c r="J15">
        <f>VLOOKUP($B21,$L$5:$T$10,7,FALSE)</f>
        <v>9971.0144775995286</v>
      </c>
    </row>
    <row r="16" spans="2:20">
      <c r="B16" s="74" t="s">
        <v>299</v>
      </c>
      <c r="C16" s="75" t="s">
        <v>343</v>
      </c>
      <c r="D16" s="75"/>
      <c r="E16" s="75" t="s">
        <v>357</v>
      </c>
      <c r="F16" s="76">
        <f t="shared" si="7"/>
        <v>2040</v>
      </c>
      <c r="G16" s="155" cm="1">
        <f t="array" ref="G16">SUM($M$5:$R$10 * ($L$5:$L$10=$B16) * ($M$4:$R$4=$F16))/1000</f>
        <v>101.35437969412678</v>
      </c>
      <c r="H16" s="171">
        <v>0.3</v>
      </c>
      <c r="J16">
        <f>VLOOKUP($B22,$L$5:$T$10,7,FALSE)</f>
        <v>9971.0144775995286</v>
      </c>
    </row>
    <row r="17" spans="2:8">
      <c r="B17" s="70" t="s">
        <v>302</v>
      </c>
      <c r="C17" s="70" t="s">
        <v>343</v>
      </c>
      <c r="D17" s="70"/>
      <c r="E17" s="70" t="s">
        <v>357</v>
      </c>
      <c r="F17" s="71">
        <f>F11</f>
        <v>2015</v>
      </c>
      <c r="G17" s="154" cm="1">
        <f t="array" ref="G17">SUM($M$5:$R$10 * ($L$5:$L$10=$B17) * ($M$4:$R$4=$F17))/1000</f>
        <v>9.9710144775995282</v>
      </c>
      <c r="H17" s="135">
        <v>0.3</v>
      </c>
    </row>
    <row r="18" spans="2:8">
      <c r="B18" s="75" t="s">
        <v>302</v>
      </c>
      <c r="C18" s="75" t="s">
        <v>343</v>
      </c>
      <c r="D18" s="75"/>
      <c r="E18" s="75" t="s">
        <v>357</v>
      </c>
      <c r="F18" s="76">
        <f t="shared" si="7"/>
        <v>2020</v>
      </c>
      <c r="G18" s="155" cm="1">
        <f t="array" ref="G18">SUM($M$5:$R$10 * ($L$5:$L$10=$B18) * ($M$4:$R$4=$F18))/1000</f>
        <v>9.9710144775995282</v>
      </c>
      <c r="H18" s="171">
        <v>0.3</v>
      </c>
    </row>
    <row r="19" spans="2:8">
      <c r="B19" s="70" t="s">
        <v>302</v>
      </c>
      <c r="C19" s="70" t="s">
        <v>343</v>
      </c>
      <c r="D19" s="70"/>
      <c r="E19" s="70" t="s">
        <v>357</v>
      </c>
      <c r="F19" s="71">
        <f t="shared" si="7"/>
        <v>2025</v>
      </c>
      <c r="G19" s="154" cm="1">
        <f t="array" ref="G19">SUM($M$5:$R$10 * ($L$5:$L$10=$B19) * ($M$4:$R$4=$F19))/1000</f>
        <v>9.9710144775995282</v>
      </c>
      <c r="H19" s="135">
        <v>0.3</v>
      </c>
    </row>
    <row r="20" spans="2:8">
      <c r="B20" s="75" t="s">
        <v>302</v>
      </c>
      <c r="C20" s="75" t="s">
        <v>343</v>
      </c>
      <c r="D20" s="75"/>
      <c r="E20" s="75" t="s">
        <v>357</v>
      </c>
      <c r="F20" s="76">
        <f t="shared" si="7"/>
        <v>2030</v>
      </c>
      <c r="G20" s="155" cm="1">
        <f t="array" ref="G20">SUM($M$5:$R$10 * ($L$5:$L$10=$B20) * ($M$4:$R$4=$F20))/1000</f>
        <v>9.9710144775995282</v>
      </c>
      <c r="H20" s="171">
        <v>0.3</v>
      </c>
    </row>
    <row r="21" spans="2:8">
      <c r="B21" s="70" t="s">
        <v>302</v>
      </c>
      <c r="C21" s="70" t="s">
        <v>343</v>
      </c>
      <c r="D21" s="70"/>
      <c r="E21" s="70" t="s">
        <v>357</v>
      </c>
      <c r="F21" s="71">
        <f t="shared" si="7"/>
        <v>2035</v>
      </c>
      <c r="G21" s="154" cm="1">
        <f t="array" ref="G21">SUM($M$5:$R$10 * ($L$5:$L$10=$B21) * ($M$4:$R$4=$F21))/1000</f>
        <v>9.9710144775995282</v>
      </c>
      <c r="H21" s="135">
        <v>0.3</v>
      </c>
    </row>
    <row r="22" spans="2:8">
      <c r="B22" s="75" t="s">
        <v>302</v>
      </c>
      <c r="C22" s="75" t="s">
        <v>343</v>
      </c>
      <c r="D22" s="75"/>
      <c r="E22" s="75" t="s">
        <v>357</v>
      </c>
      <c r="F22" s="76">
        <f t="shared" si="7"/>
        <v>2040</v>
      </c>
      <c r="G22" s="155" cm="1">
        <f t="array" ref="G22">SUM($M$5:$R$10 * ($L$5:$L$10=$B22) * ($M$4:$R$4=$F22))/1000</f>
        <v>9.9710144775995282</v>
      </c>
      <c r="H22" s="171">
        <v>0.3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A56" sqref="A56:XFD56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78" t="s">
        <v>43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77" t="s">
        <v>29</v>
      </c>
      <c r="B13" s="177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92" activePane="bottomRight" state="frozen"/>
      <selection pane="topRight"/>
      <selection pane="bottomLeft"/>
      <selection pane="bottomRight" activeCell="O100" sqref="O100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78" t="s">
        <v>43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77" t="s">
        <v>29</v>
      </c>
      <c r="B12" s="177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N6" activePane="bottomRight" state="frozen"/>
      <selection pane="topRight" activeCell="B1" sqref="B1"/>
      <selection pane="bottomLeft" activeCell="A6" sqref="A6"/>
      <selection pane="bottomRight" activeCell="Z18" sqref="Z18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234</v>
      </c>
      <c r="AH5" t="s">
        <v>235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 cm="1">
        <f t="array" ref="AB7">(TREND($K7:$Y7,$K$5:$Y$5,AB$5) - TREND($K7:$Y7,$K$5:$Y$5,$Y$5))/2 + TREND($K7:$Y7,$K$5:$Y$5,$Y$5)</f>
        <v>313631.48571428657</v>
      </c>
      <c r="AC7" s="95" cm="1">
        <f t="array" ref="AC7">(TREND($K7:$Y7,$K$5:$Y$5,AC$5) - TREND($K7:$Y7,$K$5:$Y$5,$Y$5))/2 + TREND($K7:$Y7,$K$5:$Y$5,$Y$5)</f>
        <v>325518.88750000112</v>
      </c>
      <c r="AD7" s="97" cm="1">
        <f t="array" ref="AD7">(TREND($K7:$Y7,$K$5:$Y$5,AD$5) - TREND($K7:$Y7,$K$5:$Y$5,$AC$5))/3 + $AC7</f>
        <v>333443.82202381018</v>
      </c>
      <c r="AE7" s="97" cm="1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 cm="1">
        <f t="array" ref="AB8">(TREND($K8:$Y8,$K$5:$Y$5,AB$5) - TREND($K8:$Y8,$K$5:$Y$5,$Y$5))/2 + TREND($K8:$Y8,$K$5:$Y$5,$Y$5)</f>
        <v>682890.42857142724</v>
      </c>
      <c r="AC8" s="95" cm="1">
        <f t="array" ref="AC8">(TREND($K8:$Y8,$K$5:$Y$5,AC$5) - TREND($K8:$Y8,$K$5:$Y$5,$Y$5))/2 + TREND($K8:$Y8,$K$5:$Y$5,$Y$5)</f>
        <v>699062.99999999907</v>
      </c>
      <c r="AD8" s="97" cm="1">
        <f t="array" ref="AD8">(TREND($K8:$Y8,$K$5:$Y$5,AD$5) - TREND($K8:$Y8,$K$5:$Y$5,$AC$5))/3 + $AC8</f>
        <v>709844.71428571304</v>
      </c>
      <c r="AE8" s="97" cm="1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 cm="1">
        <f t="array" ref="AB9">(TREND($K9:$Y9,$K$5:$Y$5,AB$5) - TREND($K9:$Y9,$K$5:$Y$5,$Y$5))/2 + TREND($K9:$Y9,$K$5:$Y$5,$Y$5)</f>
        <v>148714.05714285746</v>
      </c>
      <c r="AC9" s="95" cm="1">
        <f t="array" ref="AC9">(TREND($K9:$Y9,$K$5:$Y$5,AC$5) - TREND($K9:$Y9,$K$5:$Y$5,$Y$5))/2 + TREND($K9:$Y9,$K$5:$Y$5,$Y$5)</f>
        <v>151894.32500000019</v>
      </c>
      <c r="AD9" s="97" cm="1">
        <f t="array" ref="AD9">(TREND($K9:$Y9,$K$5:$Y$5,AD$5) - TREND($K9:$Y9,$K$5:$Y$5,$AC$5))/3 + $AC9</f>
        <v>154014.50357142882</v>
      </c>
      <c r="AE9" s="97" cm="1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 cm="1">
        <f t="array" ref="AB10">(TREND($K10:$Y10,$K$5:$Y$5,AB$5) - TREND($K10:$Y10,$K$5:$Y$5,$Y$5))/2 + TREND($K10:$Y10,$K$5:$Y$5,$Y$5)</f>
        <v>216760.79047619086</v>
      </c>
      <c r="AC10" s="95" cm="1">
        <f t="array" ref="AC10">(TREND($K10:$Y10,$K$5:$Y$5,AC$5) - TREND($K10:$Y10,$K$5:$Y$5,$Y$5))/2 + TREND($K10:$Y10,$K$5:$Y$5,$Y$5)</f>
        <v>222201.18333333358</v>
      </c>
      <c r="AD10" s="97" cm="1">
        <f t="array" ref="AD10">(TREND($K10:$Y10,$K$5:$Y$5,AD$5) - TREND($K10:$Y10,$K$5:$Y$5,$AC$5))/3 + $AC10</f>
        <v>225828.11190476207</v>
      </c>
      <c r="AE10" s="97" cm="1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 cm="1">
        <f t="array" ref="AB11">(TREND($K11:$Y11,$K$5:$Y$5,AB$5) - TREND($K11:$Y11,$K$5:$Y$5,$Y$5))/2 + TREND($K11:$Y11,$K$5:$Y$5,$Y$5)</f>
        <v>254010.92380952369</v>
      </c>
      <c r="AC11" s="95" cm="1">
        <f t="array" ref="AC11">(TREND($K11:$Y11,$K$5:$Y$5,AC$5) - TREND($K11:$Y11,$K$5:$Y$5,$Y$5))/2 + TREND($K11:$Y11,$K$5:$Y$5,$Y$5)</f>
        <v>261541.87916666688</v>
      </c>
      <c r="AD11" s="97" cm="1">
        <f t="array" ref="AD11">(TREND($K11:$Y11,$K$5:$Y$5,AD$5) - TREND($K11:$Y11,$K$5:$Y$5,$AC$5))/3 + $AC11</f>
        <v>266562.51607142872</v>
      </c>
      <c r="AE11" s="97" cm="1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 cm="1">
        <f t="array" ref="AB12">(TREND($K12:$Y12,$K$5:$Y$5,AB$5) - TREND($K12:$Y12,$K$5:$Y$5,$Y$5))/2 + TREND($K12:$Y12,$K$5:$Y$5,$Y$5)</f>
        <v>201791.07619047584</v>
      </c>
      <c r="AC12" s="95" cm="1">
        <f t="array" ref="AC12">(TREND($K12:$Y12,$K$5:$Y$5,AC$5) - TREND($K12:$Y12,$K$5:$Y$5,$Y$5))/2 + TREND($K12:$Y12,$K$5:$Y$5,$Y$5)</f>
        <v>206206.43333333312</v>
      </c>
      <c r="AD12" s="97" cm="1">
        <f t="array" ref="AD12">(TREND($K12:$Y12,$K$5:$Y$5,AD$5) - TREND($K12:$Y12,$K$5:$Y$5,$AC$5))/3 + $AC12</f>
        <v>209150.00476190448</v>
      </c>
      <c r="AE12" s="97" cm="1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 cm="1">
        <f t="array" ref="AB13">(TREND($K13:$Y13,$K$5:$Y$5,AB$5) - TREND($K13:$Y13,$K$5:$Y$5,$Y$5))/2 + TREND($K13:$Y13,$K$5:$Y$5,$Y$5)</f>
        <v>250247.28571428591</v>
      </c>
      <c r="AC13" s="95" cm="1">
        <f t="array" ref="AC13">(TREND($K13:$Y13,$K$5:$Y$5,AC$5) - TREND($K13:$Y13,$K$5:$Y$5,$Y$5))/2 + TREND($K13:$Y13,$K$5:$Y$5,$Y$5)</f>
        <v>259480.43750000047</v>
      </c>
      <c r="AD13" s="97" cm="1">
        <f t="array" ref="AD13">(TREND($K13:$Y13,$K$5:$Y$5,AD$5) - TREND($K13:$Y13,$K$5:$Y$5,$AC$5))/3 + $AC13</f>
        <v>265635.87202380988</v>
      </c>
      <c r="AE13" s="97" cm="1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234</v>
      </c>
      <c r="AH27" t="s">
        <v>235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 cm="1">
        <f t="array" ref="AB29">(TREND($K29:$Y29,$K$5:$Y$5,AB$5) - TREND($K29:$Y29,$K$5:$Y$5,$Y$5))/2 + TREND($K29:$Y29,$K$5:$Y$5,$Y$5)</f>
        <v>448588015.38095236</v>
      </c>
      <c r="AC29" s="95" cm="1">
        <f t="array" ref="AC29">(TREND($K29:$Y29,$K$5:$Y$5,AC$5) - TREND($K29:$Y29,$K$5:$Y$5,$Y$5))/2 + TREND($K29:$Y29,$K$5:$Y$5,$Y$5)</f>
        <v>449963552.85416663</v>
      </c>
      <c r="AD29" s="97" cm="1">
        <f t="array" ref="AD29">(TREND($K29:$Y29,$K$5:$Y$5,AD$5) - TREND($K29:$Y29,$K$5:$Y$5,$AC$5))/3 + $AC29</f>
        <v>450880577.83630955</v>
      </c>
      <c r="AE29" s="97" cm="1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 cm="1">
        <f t="array" ref="AB30">(TREND($K30:$Y30,$K$5:$Y$5,AB$5) - TREND($K30:$Y30,$K$5:$Y$5,$Y$5))/2 + TREND($K30:$Y30,$K$5:$Y$5,$Y$5)</f>
        <v>#VALUE!</v>
      </c>
      <c r="AC30" s="95" t="e" cm="1">
        <f t="array" ref="AC30">(TREND($K30:$Y30,$K$5:$Y$5,AC$5) - TREND($K30:$Y30,$K$5:$Y$5,$Y$5))/2 + TREND($K30:$Y30,$K$5:$Y$5,$Y$5)</f>
        <v>#VALUE!</v>
      </c>
      <c r="AD30" s="97" t="e" cm="1">
        <f t="array" ref="AD30">(TREND($K30:$Y30,$K$5:$Y$5,AD$5) - TREND($K30:$Y30,$K$5:$Y$5,$AC$5))/3 + $AC30</f>
        <v>#VALUE!</v>
      </c>
      <c r="AE30" s="97" t="e" cm="1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 cm="1">
        <f t="array" ref="AB31">(TREND($K31:$Y31,$K$5:$Y$5,AB$5) - TREND($K31:$Y31,$K$5:$Y$5,$Y$5))/2 + TREND($K31:$Y31,$K$5:$Y$5,$Y$5)</f>
        <v>#VALUE!</v>
      </c>
      <c r="AC31" s="95" t="e" cm="1">
        <f t="array" ref="AC31">(TREND($K31:$Y31,$K$5:$Y$5,AC$5) - TREND($K31:$Y31,$K$5:$Y$5,$Y$5))/2 + TREND($K31:$Y31,$K$5:$Y$5,$Y$5)</f>
        <v>#VALUE!</v>
      </c>
      <c r="AD31" s="97" t="e" cm="1">
        <f t="array" ref="AD31">(TREND($K31:$Y31,$K$5:$Y$5,AD$5) - TREND($K31:$Y31,$K$5:$Y$5,$AC$5))/3 + $AC31</f>
        <v>#VALUE!</v>
      </c>
      <c r="AE31" s="97" t="e" cm="1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 cm="1">
        <f t="array" ref="AB32">(TREND($K32:$Y32,$K$5:$Y$5,AB$5) - TREND($K32:$Y32,$K$5:$Y$5,$Y$5))/2 + TREND($K32:$Y32,$K$5:$Y$5,$Y$5)</f>
        <v>11816892.219047621</v>
      </c>
      <c r="AC32" s="95" cm="1">
        <f t="array" ref="AC32">(TREND($K32:$Y32,$K$5:$Y$5,AC$5) - TREND($K32:$Y32,$K$5:$Y$5,$Y$5))/2 + TREND($K32:$Y32,$K$5:$Y$5,$Y$5)</f>
        <v>11974358.933333337</v>
      </c>
      <c r="AD32" s="97" cm="1">
        <f t="array" ref="AD32">(TREND($K32:$Y32,$K$5:$Y$5,AD$5) - TREND($K32:$Y32,$K$5:$Y$5,$AC$5))/3 + $AC32</f>
        <v>12079336.742857143</v>
      </c>
      <c r="AE32" s="97" cm="1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 cm="1">
        <f t="array" ref="AB33">(TREND($K33:$Y33,$K$5:$Y$5,AB$5) - TREND($K33:$Y33,$K$5:$Y$5,$Y$5))/2 + TREND($K33:$Y33,$K$5:$Y$5,$Y$5)</f>
        <v>6275792.4666666538</v>
      </c>
      <c r="AC33" s="95" cm="1">
        <f t="array" ref="AC33">(TREND($K33:$Y33,$K$5:$Y$5,AC$5) - TREND($K33:$Y33,$K$5:$Y$5,$Y$5))/2 + TREND($K33:$Y33,$K$5:$Y$5,$Y$5)</f>
        <v>6076417.5916666538</v>
      </c>
      <c r="AD33" s="97" cm="1">
        <f t="array" ref="AD33">(TREND($K33:$Y33,$K$5:$Y$5,AD$5) - TREND($K33:$Y33,$K$5:$Y$5,$AC$5))/3 + $AC33</f>
        <v>5943501.0083333207</v>
      </c>
      <c r="AE33" s="97" cm="1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 cm="1">
        <f t="array" ref="AB34">(TREND($K34:$Y34,$K$5:$Y$5,AB$5) - TREND($K34:$Y34,$K$5:$Y$5,$Y$5))/2 + TREND($K34:$Y34,$K$5:$Y$5,$Y$5)</f>
        <v>10742427.580952376</v>
      </c>
      <c r="AC34" s="95" cm="1">
        <f t="array" ref="AC34">(TREND($K34:$Y34,$K$5:$Y$5,AC$5) - TREND($K34:$Y34,$K$5:$Y$5,$Y$5))/2 + TREND($K34:$Y34,$K$5:$Y$5,$Y$5)</f>
        <v>10792910.054166663</v>
      </c>
      <c r="AD34" s="97" cm="1">
        <f t="array" ref="AD34">(TREND($K34:$Y34,$K$5:$Y$5,AD$5) - TREND($K34:$Y34,$K$5:$Y$5,$AC$5))/3 + $AC34</f>
        <v>10826565.03630952</v>
      </c>
      <c r="AE34" s="97" cm="1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 cm="1">
        <f t="array" ref="AB35">(TREND($K35:$Y35,$K$5:$Y$5,AB$5) - TREND($K35:$Y35,$K$5:$Y$5,$Y$5))/2 + TREND($K35:$Y35,$K$5:$Y$5,$Y$5)</f>
        <v>5962919.3999999985</v>
      </c>
      <c r="AC35" s="95" cm="1">
        <f t="array" ref="AC35">(TREND($K35:$Y35,$K$5:$Y$5,AC$5) - TREND($K35:$Y35,$K$5:$Y$5,$Y$5))/2 + TREND($K35:$Y35,$K$5:$Y$5,$Y$5)</f>
        <v>6038540.3374999985</v>
      </c>
      <c r="AD35" s="97" cm="1">
        <f t="array" ref="AD35">(TREND($K35:$Y35,$K$5:$Y$5,AD$5) - TREND($K35:$Y35,$K$5:$Y$5,$AC$5))/3 + $AC35</f>
        <v>6088954.2958333315</v>
      </c>
      <c r="AE35" s="97" cm="1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 cm="1">
        <f t="array" ref="AB36">(TREND($K36:$Y36,$K$5:$Y$5,AB$5) - TREND($K36:$Y36,$K$5:$Y$5,$Y$5))/2 + TREND($K36:$Y36,$K$5:$Y$5,$Y$5)</f>
        <v>84007402.114285767</v>
      </c>
      <c r="AC36" s="95" cm="1">
        <f t="array" ref="AC36">(TREND($K36:$Y36,$K$5:$Y$5,AC$5) - TREND($K36:$Y36,$K$5:$Y$5,$Y$5))/2 + TREND($K36:$Y36,$K$5:$Y$5,$Y$5)</f>
        <v>84577297.962500036</v>
      </c>
      <c r="AD36" s="97" cm="1">
        <f t="array" ref="AD36">(TREND($K36:$Y36,$K$5:$Y$5,AD$5) - TREND($K36:$Y36,$K$5:$Y$5,$AC$5))/3 + $AC36</f>
        <v>84957228.52797623</v>
      </c>
      <c r="AE36" s="97" cm="1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 cm="1">
        <f t="array" ref="AB37">(TREND($K37:$Y37,$K$5:$Y$5,AB$5) - TREND($K37:$Y37,$K$5:$Y$5,$Y$5))/2 + TREND($K37:$Y37,$K$5:$Y$5,$Y$5)</f>
        <v>1341034.4857142856</v>
      </c>
      <c r="AC37" s="95" cm="1">
        <f t="array" ref="AC37">(TREND($K37:$Y37,$K$5:$Y$5,AC$5) - TREND($K37:$Y37,$K$5:$Y$5,$Y$5))/2 + TREND($K37:$Y37,$K$5:$Y$5,$Y$5)</f>
        <v>1344988.95</v>
      </c>
      <c r="AD37" s="97" cm="1">
        <f t="array" ref="AD37">(TREND($K37:$Y37,$K$5:$Y$5,AD$5) - TREND($K37:$Y37,$K$5:$Y$5,$AC$5))/3 + $AC37</f>
        <v>1347625.2595238094</v>
      </c>
      <c r="AE37" s="97" cm="1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 cm="1">
        <f t="array" ref="AB38">(TREND($K38:$Y38,$K$5:$Y$5,AB$5) - TREND($K38:$Y38,$K$5:$Y$5,$Y$5))/2 + TREND($K38:$Y38,$K$5:$Y$5,$Y$5)</f>
        <v>5266242.7904761881</v>
      </c>
      <c r="AC38" s="95" cm="1">
        <f t="array" ref="AC38">(TREND($K38:$Y38,$K$5:$Y$5,AC$5) - TREND($K38:$Y38,$K$5:$Y$5,$Y$5))/2 + TREND($K38:$Y38,$K$5:$Y$5,$Y$5)</f>
        <v>5403733.8083333299</v>
      </c>
      <c r="AD38" s="97" cm="1">
        <f t="array" ref="AD38">(TREND($K38:$Y38,$K$5:$Y$5,AD$5) - TREND($K38:$Y38,$K$5:$Y$5,$AC$5))/3 + $AC38</f>
        <v>5495394.486904758</v>
      </c>
      <c r="AE38" s="97" cm="1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 cm="1">
        <f t="array" ref="AB39">(TREND($K39:$Y39,$K$5:$Y$5,AB$5) - TREND($K39:$Y39,$K$5:$Y$5,$Y$5))/2 + TREND($K39:$Y39,$K$5:$Y$5,$Y$5)</f>
        <v>10404515.247619048</v>
      </c>
      <c r="AC39" s="95" cm="1">
        <f t="array" ref="AC39">(TREND($K39:$Y39,$K$5:$Y$5,AC$5) - TREND($K39:$Y39,$K$5:$Y$5,$Y$5))/2 + TREND($K39:$Y39,$K$5:$Y$5,$Y$5)</f>
        <v>10277756.158333339</v>
      </c>
      <c r="AD39" s="97" cm="1">
        <f t="array" ref="AD39">(TREND($K39:$Y39,$K$5:$Y$5,AD$5) - TREND($K39:$Y39,$K$5:$Y$5,$AC$5))/3 + $AC39</f>
        <v>10193250.098809527</v>
      </c>
      <c r="AE39" s="97" cm="1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 cm="1">
        <f t="array" ref="AB40">(TREND($K40:$Y40,$K$5:$Y$5,AB$5) - TREND($K40:$Y40,$K$5:$Y$5,$Y$5))/2 + TREND($K40:$Y40,$K$5:$Y$5,$Y$5)</f>
        <v>47758820.847619027</v>
      </c>
      <c r="AC40" s="95" cm="1">
        <f t="array" ref="AC40">(TREND($K40:$Y40,$K$5:$Y$5,AC$5) - TREND($K40:$Y40,$K$5:$Y$5,$Y$5))/2 + TREND($K40:$Y40,$K$5:$Y$5,$Y$5)</f>
        <v>48020744.69583331</v>
      </c>
      <c r="AD40" s="97" cm="1">
        <f t="array" ref="AD40">(TREND($K40:$Y40,$K$5:$Y$5,AD$5) - TREND($K40:$Y40,$K$5:$Y$5,$AC$5))/3 + $AC40</f>
        <v>48195360.594642833</v>
      </c>
      <c r="AE40" s="97" cm="1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 cm="1">
        <f t="array" ref="AB41">(TREND($K41:$Y41,$K$5:$Y$5,AB$5) - TREND($K41:$Y41,$K$5:$Y$5,$Y$5))/2 + TREND($K41:$Y41,$K$5:$Y$5,$Y$5)</f>
        <v>68711757.18095243</v>
      </c>
      <c r="AC41" s="95" cm="1">
        <f t="array" ref="AC41">(TREND($K41:$Y41,$K$5:$Y$5,AC$5) - TREND($K41:$Y41,$K$5:$Y$5,$Y$5))/2 + TREND($K41:$Y41,$K$5:$Y$5,$Y$5)</f>
        <v>69382088.529166758</v>
      </c>
      <c r="AD41" s="97" cm="1">
        <f t="array" ref="AD41">(TREND($K41:$Y41,$K$5:$Y$5,AD$5) - TREND($K41:$Y41,$K$5:$Y$5,$AC$5))/3 + $AC41</f>
        <v>69828976.094642937</v>
      </c>
      <c r="AE41" s="97" cm="1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 cm="1">
        <f t="array" ref="AB42">(TREND($K42:$Y42,$K$5:$Y$5,AB$5) - TREND($K42:$Y42,$K$5:$Y$5,$Y$5))/2 + TREND($K42:$Y42,$K$5:$Y$5,$Y$5)</f>
        <v>3786323.1999999955</v>
      </c>
      <c r="AC42" s="95" cm="1">
        <f t="array" ref="AC42">(TREND($K42:$Y42,$K$5:$Y$5,AC$5) - TREND($K42:$Y42,$K$5:$Y$5,$Y$5))/2 + TREND($K42:$Y42,$K$5:$Y$5,$Y$5)</f>
        <v>3691617.3249999955</v>
      </c>
      <c r="AD42" s="97" cm="1">
        <f t="array" ref="AD42">(TREND($K42:$Y42,$K$5:$Y$5,AD$5) - TREND($K42:$Y42,$K$5:$Y$5,$AC$5))/3 + $AC42</f>
        <v>3628480.0749999955</v>
      </c>
      <c r="AE42" s="97" cm="1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 cm="1">
        <f t="array" ref="AB43">(TREND($K43:$Y43,$K$5:$Y$5,AB$5) - TREND($K43:$Y43,$K$5:$Y$5,$Y$5))/2 + TREND($K43:$Y43,$K$5:$Y$5,$Y$5)</f>
        <v>59271514.152380966</v>
      </c>
      <c r="AC43" s="95" cm="1">
        <f t="array" ref="AC43">(TREND($K43:$Y43,$K$5:$Y$5,AC$5) - TREND($K43:$Y43,$K$5:$Y$5,$Y$5))/2 + TREND($K43:$Y43,$K$5:$Y$5,$Y$5)</f>
        <v>59105752.866666682</v>
      </c>
      <c r="AD43" s="97" cm="1">
        <f t="array" ref="AD43">(TREND($K43:$Y43,$K$5:$Y$5,AD$5) - TREND($K43:$Y43,$K$5:$Y$5,$AC$5))/3 + $AC43</f>
        <v>58995245.342857152</v>
      </c>
      <c r="AE43" s="97" cm="1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 cm="1">
        <f t="array" ref="AB44">(TREND($K44:$Y44,$K$5:$Y$5,AB$5) - TREND($K44:$Y44,$K$5:$Y$5,$Y$5))/2 + TREND($K44:$Y44,$K$5:$Y$5,$Y$5)</f>
        <v>918730.96190476138</v>
      </c>
      <c r="AC44" s="95" cm="1">
        <f t="array" ref="AC44">(TREND($K44:$Y44,$K$5:$Y$5,AC$5) - TREND($K44:$Y44,$K$5:$Y$5,$Y$5))/2 + TREND($K44:$Y44,$K$5:$Y$5,$Y$5)</f>
        <v>934799.34583333228</v>
      </c>
      <c r="AD44" s="97" cm="1">
        <f t="array" ref="AD44">(TREND($K44:$Y44,$K$5:$Y$5,AD$5) - TREND($K44:$Y44,$K$5:$Y$5,$AC$5))/3 + $AC44</f>
        <v>945511.60178571346</v>
      </c>
      <c r="AE44" s="97" cm="1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 cm="1">
        <f t="array" ref="AB45">(TREND($K45:$Y45,$K$5:$Y$5,AB$5) - TREND($K45:$Y45,$K$5:$Y$5,$Y$5))/2 + TREND($K45:$Y45,$K$5:$Y$5,$Y$5)</f>
        <v>1829589.1142857149</v>
      </c>
      <c r="AC45" s="95" cm="1">
        <f t="array" ref="AC45">(TREND($K45:$Y45,$K$5:$Y$5,AC$5) - TREND($K45:$Y45,$K$5:$Y$5,$Y$5))/2 + TREND($K45:$Y45,$K$5:$Y$5,$Y$5)</f>
        <v>1784632.4624999985</v>
      </c>
      <c r="AD45" s="97" cm="1">
        <f t="array" ref="AD45">(TREND($K45:$Y45,$K$5:$Y$5,AD$5) - TREND($K45:$Y45,$K$5:$Y$5,$AC$5))/3 + $AC45</f>
        <v>1754661.3613095235</v>
      </c>
      <c r="AE45" s="97" cm="1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 cm="1">
        <f t="array" ref="AB46">(TREND($K46:$Y46,$K$5:$Y$5,AB$5) - TREND($K46:$Y46,$K$5:$Y$5,$Y$5))/2 + TREND($K46:$Y46,$K$5:$Y$5,$Y$5)</f>
        <v>2740086.3142857142</v>
      </c>
      <c r="AC46" s="95" cm="1">
        <f t="array" ref="AC46">(TREND($K46:$Y46,$K$5:$Y$5,AC$5) - TREND($K46:$Y46,$K$5:$Y$5,$Y$5))/2 + TREND($K46:$Y46,$K$5:$Y$5,$Y$5)</f>
        <v>2684711.4124999978</v>
      </c>
      <c r="AD46" s="97" cm="1">
        <f t="array" ref="AD46">(TREND($K46:$Y46,$K$5:$Y$5,AD$5) - TREND($K46:$Y46,$K$5:$Y$5,$AC$5))/3 + $AC46</f>
        <v>2647794.8113095225</v>
      </c>
      <c r="AE46" s="97" cm="1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 cm="1">
        <f t="array" ref="AB47">(TREND($K47:$Y47,$K$5:$Y$5,AB$5) - TREND($K47:$Y47,$K$5:$Y$5,$Y$5))/2 + TREND($K47:$Y47,$K$5:$Y$5,$Y$5)</f>
        <v>679132.11428571492</v>
      </c>
      <c r="AC47" s="95" cm="1">
        <f t="array" ref="AC47">(TREND($K47:$Y47,$K$5:$Y$5,AC$5) - TREND($K47:$Y47,$K$5:$Y$5,$Y$5))/2 + TREND($K47:$Y47,$K$5:$Y$5,$Y$5)</f>
        <v>709701.96250000037</v>
      </c>
      <c r="AD47" s="97" cm="1">
        <f t="array" ref="AD47">(TREND($K47:$Y47,$K$5:$Y$5,AD$5) - TREND($K47:$Y47,$K$5:$Y$5,$AC$5))/3 + $AC47</f>
        <v>730081.86130952521</v>
      </c>
      <c r="AE47" s="97" cm="1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 cm="1">
        <f t="array" ref="AB48">(TREND($K48:$Y48,$K$5:$Y$5,AB$5) - TREND($K48:$Y48,$K$5:$Y$5,$Y$5))/2 + TREND($K48:$Y48,$K$5:$Y$5,$Y$5)</f>
        <v>9531482.809523806</v>
      </c>
      <c r="AC48" s="95" cm="1">
        <f t="array" ref="AC48">(TREND($K48:$Y48,$K$5:$Y$5,AC$5) - TREND($K48:$Y48,$K$5:$Y$5,$Y$5))/2 + TREND($K48:$Y48,$K$5:$Y$5,$Y$5)</f>
        <v>9451629.5416666605</v>
      </c>
      <c r="AD48" s="97" cm="1">
        <f t="array" ref="AD48">(TREND($K48:$Y48,$K$5:$Y$5,AD$5) - TREND($K48:$Y48,$K$5:$Y$5,$AC$5))/3 + $AC48</f>
        <v>9398394.0297618993</v>
      </c>
      <c r="AE48" s="97" cm="1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 cm="1">
        <f t="array" ref="AB49">(TREND($K49:$Y49,$K$5:$Y$5,AB$5) - TREND($K49:$Y49,$K$5:$Y$5,$Y$5))/2 + TREND($K49:$Y49,$K$5:$Y$5,$Y$5)</f>
        <v>550004.45714285411</v>
      </c>
      <c r="AC49" s="95" cm="1">
        <f t="array" ref="AC49">(TREND($K49:$Y49,$K$5:$Y$5,AC$5) - TREND($K49:$Y49,$K$5:$Y$5,$Y$5))/2 + TREND($K49:$Y49,$K$5:$Y$5,$Y$5)</f>
        <v>576199.22499999776</v>
      </c>
      <c r="AD49" s="97" cm="1">
        <f t="array" ref="AD49">(TREND($K49:$Y49,$K$5:$Y$5,AD$5) - TREND($K49:$Y49,$K$5:$Y$5,$AC$5))/3 + $AC49</f>
        <v>593662.40357142559</v>
      </c>
      <c r="AE49" s="97" cm="1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 cm="1">
        <f t="array" ref="AB50">(TREND($K50:$Y50,$K$5:$Y$5,AB$5) - TREND($K50:$Y50,$K$5:$Y$5,$Y$5))/2 + TREND($K50:$Y50,$K$5:$Y$5,$Y$5)</f>
        <v>17826240.152380943</v>
      </c>
      <c r="AC50" s="95" cm="1">
        <f t="array" ref="AC50">(TREND($K50:$Y50,$K$5:$Y$5,AC$5) - TREND($K50:$Y50,$K$5:$Y$5,$Y$5))/2 + TREND($K50:$Y50,$K$5:$Y$5,$Y$5)</f>
        <v>18053316.61666666</v>
      </c>
      <c r="AD50" s="97" cm="1">
        <f t="array" ref="AD50">(TREND($K50:$Y50,$K$5:$Y$5,AD$5) - TREND($K50:$Y50,$K$5:$Y$5,$AC$5))/3 + $AC50</f>
        <v>18204700.926190469</v>
      </c>
      <c r="AE50" s="97" cm="1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 cm="1">
        <f t="array" ref="AB51">(TREND($K51:$Y51,$K$5:$Y$5,AB$5) - TREND($K51:$Y51,$K$5:$Y$5,$Y$5))/2 + TREND($K51:$Y51,$K$5:$Y$5,$Y$5)</f>
        <v>9165636.219047606</v>
      </c>
      <c r="AC51" s="95" cm="1">
        <f t="array" ref="AC51">(TREND($K51:$Y51,$K$5:$Y$5,AC$5) - TREND($K51:$Y51,$K$5:$Y$5,$Y$5))/2 + TREND($K51:$Y51,$K$5:$Y$5,$Y$5)</f>
        <v>9311185.308333315</v>
      </c>
      <c r="AD51" s="97" cm="1">
        <f t="array" ref="AD51">(TREND($K51:$Y51,$K$5:$Y$5,AD$5) - TREND($K51:$Y51,$K$5:$Y$5,$AC$5))/3 + $AC51</f>
        <v>9408218.0345237926</v>
      </c>
      <c r="AE51" s="97" cm="1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 cm="1">
        <f t="array" ref="AB52">(TREND($K52:$Y52,$K$5:$Y$5,AB$5) - TREND($K52:$Y52,$K$5:$Y$5,$Y$5))/2 + TREND($K52:$Y52,$K$5:$Y$5,$Y$5)</f>
        <v>37021936.123809502</v>
      </c>
      <c r="AC52" s="95" cm="1">
        <f t="array" ref="AC52">(TREND($K52:$Y52,$K$5:$Y$5,AC$5) - TREND($K52:$Y52,$K$5:$Y$5,$Y$5))/2 + TREND($K52:$Y52,$K$5:$Y$5,$Y$5)</f>
        <v>36794401.454166651</v>
      </c>
      <c r="AD52" s="97" cm="1">
        <f t="array" ref="AD52">(TREND($K52:$Y52,$K$5:$Y$5,AD$5) - TREND($K52:$Y52,$K$5:$Y$5,$AC$5))/3 + $AC52</f>
        <v>36642711.67440474</v>
      </c>
      <c r="AE52" s="97" cm="1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 cm="1">
        <f t="array" ref="AB53">(TREND($K53:$Y53,$K$5:$Y$5,AB$5) - TREND($K53:$Y53,$K$5:$Y$5,$Y$5))/2 + TREND($K53:$Y53,$K$5:$Y$5,$Y$5)</f>
        <v>10377772.123809528</v>
      </c>
      <c r="AC53" s="95" cm="1">
        <f t="array" ref="AC53">(TREND($K53:$Y53,$K$5:$Y$5,AC$5) - TREND($K53:$Y53,$K$5:$Y$5,$Y$5))/2 + TREND($K53:$Y53,$K$5:$Y$5,$Y$5)</f>
        <v>10355422.704166669</v>
      </c>
      <c r="AD53" s="97" cm="1">
        <f t="array" ref="AD53">(TREND($K53:$Y53,$K$5:$Y$5,AD$5) - TREND($K53:$Y53,$K$5:$Y$5,$AC$5))/3 + $AC53</f>
        <v>10340523.091071432</v>
      </c>
      <c r="AE53" s="97" cm="1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 cm="1">
        <f t="array" ref="AB54">(TREND($K54:$Y54,$K$5:$Y$5,AB$5) - TREND($K54:$Y54,$K$5:$Y$5,$Y$5))/2 + TREND($K54:$Y54,$K$5:$Y$5,$Y$5)</f>
        <v>18889402.533333346</v>
      </c>
      <c r="AC54" s="95" cm="1">
        <f t="array" ref="AC54">(TREND($K54:$Y54,$K$5:$Y$5,AC$5) - TREND($K54:$Y54,$K$5:$Y$5,$Y$5))/2 + TREND($K54:$Y54,$K$5:$Y$5,$Y$5)</f>
        <v>18643172.095833346</v>
      </c>
      <c r="AD54" s="97" cm="1">
        <f t="array" ref="AD54">(TREND($K54:$Y54,$K$5:$Y$5,AD$5) - TREND($K54:$Y54,$K$5:$Y$5,$AC$5))/3 + $AC54</f>
        <v>18479018.470833346</v>
      </c>
      <c r="AE54" s="97" cm="1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 cm="1">
        <f t="array" ref="AB55">(TREND($K55:$Y55,$K$5:$Y$5,AB$5) - TREND($K55:$Y55,$K$5:$Y$5,$Y$5))/2 + TREND($K55:$Y55,$K$5:$Y$5,$Y$5)</f>
        <v>2118003.2666666657</v>
      </c>
      <c r="AC55" s="95" cm="1">
        <f t="array" ref="AC55">(TREND($K55:$Y55,$K$5:$Y$5,AC$5) - TREND($K55:$Y55,$K$5:$Y$5,$Y$5))/2 + TREND($K55:$Y55,$K$5:$Y$5,$Y$5)</f>
        <v>2131536.3291666657</v>
      </c>
      <c r="AD55" s="97" cm="1">
        <f t="array" ref="AD55">(TREND($K55:$Y55,$K$5:$Y$5,AD$5) - TREND($K55:$Y55,$K$5:$Y$5,$AC$5))/3 + $AC55</f>
        <v>2140558.3708333322</v>
      </c>
      <c r="AE55" s="97" cm="1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 cm="1">
        <f t="array" ref="AB56">(TREND($K56:$Y56,$K$5:$Y$5,AB$5) - TREND($K56:$Y56,$K$5:$Y$5,$Y$5))/2 + TREND($K56:$Y56,$K$5:$Y$5,$Y$5)</f>
        <v>5458368.1523809517</v>
      </c>
      <c r="AC56" s="95" cm="1">
        <f t="array" ref="AC56">(TREND($K56:$Y56,$K$5:$Y$5,AC$5) - TREND($K56:$Y56,$K$5:$Y$5,$Y$5))/2 + TREND($K56:$Y56,$K$5:$Y$5,$Y$5)</f>
        <v>5468792.4916666653</v>
      </c>
      <c r="AD56" s="97" cm="1">
        <f t="array" ref="AD56">(TREND($K56:$Y56,$K$5:$Y$5,AD$5) - TREND($K56:$Y56,$K$5:$Y$5,$AC$5))/3 + $AC56</f>
        <v>5475742.051190475</v>
      </c>
      <c r="AE56" s="97" cm="1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 cm="1">
        <f t="array" ref="AB57">(TREND($K57:$Y57,$K$5:$Y$5,AB$5) - TREND($K57:$Y57,$K$5:$Y$5,$Y$5))/2 + TREND($K57:$Y57,$K$5:$Y$5,$Y$5)</f>
        <v>5603783.104761906</v>
      </c>
      <c r="AC57" s="95" cm="1">
        <f t="array" ref="AC57">(TREND($K57:$Y57,$K$5:$Y$5,AC$5) - TREND($K57:$Y57,$K$5:$Y$5,$Y$5))/2 + TREND($K57:$Y57,$K$5:$Y$5,$Y$5)</f>
        <v>5643804.7833333351</v>
      </c>
      <c r="AD57" s="97" cm="1">
        <f t="array" ref="AD57">(TREND($K57:$Y57,$K$5:$Y$5,AD$5) - TREND($K57:$Y57,$K$5:$Y$5,$AC$5))/3 + $AC57</f>
        <v>5670485.9023809535</v>
      </c>
      <c r="AE57" s="97" cm="1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 cm="1">
        <f t="array" ref="AB58">(TREND($K58:$Y58,$K$5:$Y$5,AB$5) - TREND($K58:$Y58,$K$5:$Y$5,$Y$5))/2 + TREND($K58:$Y58,$K$5:$Y$5,$Y$5)</f>
        <v>10695275.580952391</v>
      </c>
      <c r="AC58" s="95" cm="1">
        <f t="array" ref="AC58">(TREND($K58:$Y58,$K$5:$Y$5,AC$5) - TREND($K58:$Y58,$K$5:$Y$5,$Y$5))/2 + TREND($K58:$Y58,$K$5:$Y$5,$Y$5)</f>
        <v>10934036.429166675</v>
      </c>
      <c r="AD58" s="97" cm="1">
        <f t="array" ref="AD58">(TREND($K58:$Y58,$K$5:$Y$5,AD$5) - TREND($K58:$Y58,$K$5:$Y$5,$AC$5))/3 + $AC58</f>
        <v>11093210.327976197</v>
      </c>
      <c r="AE58" s="97" cm="1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 cm="1">
        <f t="array" ref="AB59">(TREND($K59:$Y59,$K$5:$Y$5,AB$5) - TREND($K59:$Y59,$K$5:$Y$5,$Y$5))/2 + TREND($K59:$Y59,$K$5:$Y$5,$Y$5)</f>
        <v>388081.20952381007</v>
      </c>
      <c r="AC59" s="95" cm="1">
        <f t="array" ref="AC59">(TREND($K59:$Y59,$K$5:$Y$5,AC$5) - TREND($K59:$Y59,$K$5:$Y$5,$Y$5))/2 + TREND($K59:$Y59,$K$5:$Y$5,$Y$5)</f>
        <v>401758.81666666735</v>
      </c>
      <c r="AD59" s="97" cm="1">
        <f t="array" ref="AD59">(TREND($K59:$Y59,$K$5:$Y$5,AD$5) - TREND($K59:$Y59,$K$5:$Y$5,$AC$5))/3 + $AC59</f>
        <v>410877.2214285722</v>
      </c>
      <c r="AE59" s="97" cm="1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 cm="1">
        <f t="array" ref="AB60">(TREND($K60:$Y60,$K$5:$Y$5,AB$5) - TREND($K60:$Y60,$K$5:$Y$5,$Y$5))/2 + TREND($K60:$Y60,$K$5:$Y$5,$Y$5)</f>
        <v>40046.961904761847</v>
      </c>
      <c r="AC60" s="95" cm="1">
        <f t="array" ref="AC60">(TREND($K60:$Y60,$K$5:$Y$5,AC$5) - TREND($K60:$Y60,$K$5:$Y$5,$Y$5))/2 + TREND($K60:$Y60,$K$5:$Y$5,$Y$5)</f>
        <v>40762.220833333267</v>
      </c>
      <c r="AD60" s="97" cm="1">
        <f t="array" ref="AD60">(TREND($K60:$Y60,$K$5:$Y$5,AD$5) - TREND($K60:$Y60,$K$5:$Y$5,$AC$5))/3 + $AC60</f>
        <v>41239.060119047586</v>
      </c>
      <c r="AE60" s="97" cm="1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 cm="1">
        <f t="array" ref="AB61">(TREND($K61:$Y61,$K$5:$Y$5,AB$5) - TREND($K61:$Y61,$K$5:$Y$5,$Y$5))/2 + TREND($K61:$Y61,$K$5:$Y$5,$Y$5)</f>
        <v>5579524.8285714164</v>
      </c>
      <c r="AC61" s="95" cm="1">
        <f t="array" ref="AC61">(TREND($K61:$Y61,$K$5:$Y$5,AC$5) - TREND($K61:$Y61,$K$5:$Y$5,$Y$5))/2 + TREND($K61:$Y61,$K$5:$Y$5,$Y$5)</f>
        <v>5697417.3374999911</v>
      </c>
      <c r="AD61" s="97" cm="1">
        <f t="array" ref="AD61">(TREND($K61:$Y61,$K$5:$Y$5,AD$5) - TREND($K61:$Y61,$K$5:$Y$5,$AC$5))/3 + $AC61</f>
        <v>5776012.3434523689</v>
      </c>
      <c r="AE61" s="97" cm="1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 cm="1">
        <f t="array" ref="AB62">(TREND($K62:$Y62,$K$5:$Y$5,AB$5) - TREND($K62:$Y62,$K$5:$Y$5,$Y$5))/2 + TREND($K62:$Y62,$K$5:$Y$5,$Y$5)</f>
        <v>8974380.2952381074</v>
      </c>
      <c r="AC62" s="95" cm="1">
        <f t="array" ref="AC62">(TREND($K62:$Y62,$K$5:$Y$5,AC$5) - TREND($K62:$Y62,$K$5:$Y$5,$Y$5))/2 + TREND($K62:$Y62,$K$5:$Y$5,$Y$5)</f>
        <v>9175518.4916666746</v>
      </c>
      <c r="AD62" s="97" cm="1">
        <f t="array" ref="AD62">(TREND($K62:$Y62,$K$5:$Y$5,AD$5) - TREND($K62:$Y62,$K$5:$Y$5,$AC$5))/3 + $AC62</f>
        <v>9309610.6226190533</v>
      </c>
      <c r="AE62" s="97" cm="1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 cm="1">
        <f t="array" ref="AB63">(TREND($K63:$Y63,$K$5:$Y$5,AB$5) - TREND($K63:$Y63,$K$5:$Y$5,$Y$5))/2 + TREND($K63:$Y63,$K$5:$Y$5,$Y$5)</f>
        <v>#VALUE!</v>
      </c>
      <c r="AC63" s="95" t="e" cm="1">
        <f t="array" ref="AC63">(TREND($K63:$Y63,$K$5:$Y$5,AC$5) - TREND($K63:$Y63,$K$5:$Y$5,$Y$5))/2 + TREND($K63:$Y63,$K$5:$Y$5,$Y$5)</f>
        <v>#VALUE!</v>
      </c>
      <c r="AD63" s="97" t="e" cm="1">
        <f t="array" ref="AD63">(TREND($K63:$Y63,$K$5:$Y$5,AD$5) - TREND($K63:$Y63,$K$5:$Y$5,$AC$5))/3 + $AC63</f>
        <v>#VALUE!</v>
      </c>
      <c r="AE63" s="97" t="e" cm="1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ht="15"/>
    <row r="66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AB18" sqref="AB1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234</v>
      </c>
      <c r="AJ4" t="s">
        <v>235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 cm="1">
        <f t="array" ref="AB5">TREND($B5:$Z5,$B$4:$Z$4,AB$4)</f>
        <v>3546.3308461538436</v>
      </c>
      <c r="AC5" s="28" cm="1">
        <f t="array" ref="AC5">TREND($B5:$Z5,$B$4:$Z$4,AC$4)</f>
        <v>3471.8489230769192</v>
      </c>
      <c r="AD5" s="28" cm="1">
        <f t="array" ref="AD5">TREND($B5:$Z5,$B$4:$Z$4,AD$4)</f>
        <v>3397.3669999999984</v>
      </c>
      <c r="AE5" s="28" cm="1">
        <f t="array" ref="AE5">TREND($B5:$Z5,$B$4:$Z$4,AE$4)</f>
        <v>3322.8850769230739</v>
      </c>
      <c r="AF5" s="28" cm="1">
        <f t="array" ref="AF5">TREND($B5:$Z5,$B$4:$Z$4,AF$4)</f>
        <v>3248.4031538461495</v>
      </c>
      <c r="AG5" s="28" cm="1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 cm="1">
        <f t="array" ref="AB6">TREND($B6:$Z6,$B$4:$Z$4,AB$4)</f>
        <v>3779.1423846153848</v>
      </c>
      <c r="AC6" s="28" cm="1">
        <f t="array" ref="AC6">TREND($B6:$Z6,$B$4:$Z$4,AC$4)</f>
        <v>3726.3396923076907</v>
      </c>
      <c r="AD6" s="28" cm="1">
        <f t="array" ref="AD6">TREND($B6:$Z6,$B$4:$Z$4,AD$4)</f>
        <v>3673.5370000000003</v>
      </c>
      <c r="AE6" s="28" cm="1">
        <f t="array" ref="AE6">TREND($B6:$Z6,$B$4:$Z$4,AE$4)</f>
        <v>3620.7343076923062</v>
      </c>
      <c r="AF6" s="28" cm="1">
        <f t="array" ref="AF6">TREND($B6:$Z6,$B$4:$Z$4,AF$4)</f>
        <v>3567.9316153846157</v>
      </c>
      <c r="AG6" s="28" cm="1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 cm="1">
        <f t="array" ref="AB7">TREND($B7:$Z7,$B$4:$Z$4,AB$4)</f>
        <v>3546.3308461538436</v>
      </c>
      <c r="AC7" s="28" cm="1">
        <f t="array" ref="AC7">TREND($B7:$Z7,$B$4:$Z$4,AC$4)</f>
        <v>3471.8489230769192</v>
      </c>
      <c r="AD7" s="28" cm="1">
        <f t="array" ref="AD7">TREND($B7:$Z7,$B$4:$Z$4,AD$4)</f>
        <v>3397.3669999999984</v>
      </c>
      <c r="AE7" s="28" cm="1">
        <f t="array" ref="AE7">TREND($B7:$Z7,$B$4:$Z$4,AE$4)</f>
        <v>3322.8850769230739</v>
      </c>
      <c r="AF7" s="28" cm="1">
        <f t="array" ref="AF7">TREND($B7:$Z7,$B$4:$Z$4,AF$4)</f>
        <v>3248.4031538461495</v>
      </c>
      <c r="AG7" s="28" cm="1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 cm="1">
        <f t="array" ref="AB8">TREND($B8:$Z8,$B$4:$Z$4,AB$4)</f>
        <v>3748.7606923076928</v>
      </c>
      <c r="AC8" s="28" cm="1">
        <f t="array" ref="AC8">TREND($B8:$Z8,$B$4:$Z$4,AC$4)</f>
        <v>3696.8818461538467</v>
      </c>
      <c r="AD8" s="28" cm="1">
        <f t="array" ref="AD8">TREND($B8:$Z8,$B$4:$Z$4,AD$4)</f>
        <v>3645.0030000000006</v>
      </c>
      <c r="AE8" s="28" cm="1">
        <f t="array" ref="AE8">TREND($B8:$Z8,$B$4:$Z$4,AE$4)</f>
        <v>3593.1241538461509</v>
      </c>
      <c r="AF8" s="28" cm="1">
        <f t="array" ref="AF8">TREND($B8:$Z8,$B$4:$Z$4,AF$4)</f>
        <v>3541.2453076923048</v>
      </c>
      <c r="AG8" s="28" cm="1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 cm="1">
        <f t="array" ref="AB9">TREND($B9:$Z9,$B$4:$Z$4,AB$4)</f>
        <v>4105.2532307692309</v>
      </c>
      <c r="AC9" s="28" cm="1">
        <f t="array" ref="AC9">TREND($B9:$Z9,$B$4:$Z$4,AC$4)</f>
        <v>4042.6286153846158</v>
      </c>
      <c r="AD9" s="28" cm="1">
        <f t="array" ref="AD9">TREND($B9:$Z9,$B$4:$Z$4,AD$4)</f>
        <v>3980.0040000000008</v>
      </c>
      <c r="AE9" s="28" cm="1">
        <f t="array" ref="AE9">TREND($B9:$Z9,$B$4:$Z$4,AE$4)</f>
        <v>3917.3793846153858</v>
      </c>
      <c r="AF9" s="28" cm="1">
        <f t="array" ref="AF9">TREND($B9:$Z9,$B$4:$Z$4,AF$4)</f>
        <v>3854.7547692307708</v>
      </c>
      <c r="AG9" s="28" cm="1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 cm="1">
        <f t="array" ref="AB10">TREND($B10:$Z10,$B$4:$Z$4,AB$4)</f>
        <v>4716.236615384616</v>
      </c>
      <c r="AC10" s="28" cm="1">
        <f t="array" ref="AC10">TREND($B10:$Z10,$B$4:$Z$4,AC$4)</f>
        <v>4655.9243076923085</v>
      </c>
      <c r="AD10" s="28" cm="1">
        <f t="array" ref="AD10">TREND($B10:$Z10,$B$4:$Z$4,AD$4)</f>
        <v>4595.612000000001</v>
      </c>
      <c r="AE10" s="28" cm="1">
        <f t="array" ref="AE10">TREND($B10:$Z10,$B$4:$Z$4,AE$4)</f>
        <v>4535.2996923076935</v>
      </c>
      <c r="AF10" s="28" cm="1">
        <f t="array" ref="AF10">TREND($B10:$Z10,$B$4:$Z$4,AF$4)</f>
        <v>4474.9873846153823</v>
      </c>
      <c r="AG10" s="28" cm="1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 cm="1">
        <f t="array" ref="AB11">TREND($B11:$Z11,$B$4:$Z$4,AB$4)</f>
        <v>4477.6167692307718</v>
      </c>
      <c r="AC11" s="28" cm="1">
        <f t="array" ref="AC11">TREND($B11:$Z11,$B$4:$Z$4,AC$4)</f>
        <v>4414.4313846153891</v>
      </c>
      <c r="AD11" s="28" cm="1">
        <f t="array" ref="AD11">TREND($B11:$Z11,$B$4:$Z$4,AD$4)</f>
        <v>4351.2460000000028</v>
      </c>
      <c r="AE11" s="28" cm="1">
        <f t="array" ref="AE11">TREND($B11:$Z11,$B$4:$Z$4,AE$4)</f>
        <v>4288.0606153846202</v>
      </c>
      <c r="AF11" s="28" cm="1">
        <f t="array" ref="AF11">TREND($B11:$Z11,$B$4:$Z$4,AF$4)</f>
        <v>4224.8752307692339</v>
      </c>
      <c r="AG11" s="28" cm="1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80" t="s">
        <v>43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234</v>
      </c>
      <c r="AJ25" s="46" t="s">
        <v>235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 cm="1">
        <f t="array" ref="AB27">TREND($B27:$Y27,$B$4:$Y$4,AB$4)</f>
        <v>3005.4977768115969</v>
      </c>
      <c r="AC27" s="28" cm="1">
        <f t="array" ref="AC27">TREND($B27:$Y27,$B$4:$Y$4,AC$4)</f>
        <v>2943.266624637683</v>
      </c>
      <c r="AD27" s="28" cm="1">
        <f t="array" ref="AD27">TREND($B27:$Y27,$B$4:$Y$4,AD$4)</f>
        <v>2881.0354724637691</v>
      </c>
      <c r="AE27" s="28" cm="1">
        <f t="array" ref="AE27">TREND($B27:$Y27,$B$4:$Y$4,AE$4)</f>
        <v>2818.8043202898589</v>
      </c>
      <c r="AF27" s="28" cm="1">
        <f t="array" ref="AF27">TREND($B27:$Y27,$B$4:$Y$4,AF$4)</f>
        <v>2756.573168115945</v>
      </c>
      <c r="AG27" s="28" cm="1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 cm="1">
        <f t="array" ref="AB28">TREND($B28:$Y28,$B$4:$Y$4,AB$4)</f>
        <v>2590.4126144927541</v>
      </c>
      <c r="AC28" s="28" cm="1">
        <f t="array" ref="AC28">TREND($B28:$Y28,$B$4:$Y$4,AC$4)</f>
        <v>2551.7853971014501</v>
      </c>
      <c r="AD28" s="28" cm="1">
        <f t="array" ref="AD28">TREND($B28:$Y28,$B$4:$Y$4,AD$4)</f>
        <v>2513.1581797101462</v>
      </c>
      <c r="AE28" s="28" cm="1">
        <f t="array" ref="AE28">TREND($B28:$Y28,$B$4:$Y$4,AE$4)</f>
        <v>2474.5309623188423</v>
      </c>
      <c r="AF28" s="28" cm="1">
        <f t="array" ref="AF28">TREND($B28:$Y28,$B$4:$Y$4,AF$4)</f>
        <v>2435.9037449275384</v>
      </c>
      <c r="AG28" s="28" cm="1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 cm="1">
        <f t="array" ref="AB29">TREND($B29:$Y29,$B$4:$Y$4,AB$4)</f>
        <v>2410.8331420289833</v>
      </c>
      <c r="AC29" s="28" cm="1">
        <f t="array" ref="AC29">TREND($B29:$Y29,$B$4:$Y$4,AC$4)</f>
        <v>2327.9025115941986</v>
      </c>
      <c r="AD29" s="28" cm="1">
        <f t="array" ref="AD29">TREND($B29:$Y29,$B$4:$Y$4,AD$4)</f>
        <v>2244.9718811594212</v>
      </c>
      <c r="AE29" s="28" cm="1">
        <f t="array" ref="AE29">TREND($B29:$Y29,$B$4:$Y$4,AE$4)</f>
        <v>2162.0412507246365</v>
      </c>
      <c r="AF29" s="28" cm="1">
        <f t="array" ref="AF29">TREND($B29:$Y29,$B$4:$Y$4,AF$4)</f>
        <v>2079.1106202898518</v>
      </c>
      <c r="AG29" s="28" cm="1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 cm="1">
        <f t="array" ref="AB30">TREND($B30:$Y30,$B$4:$Y$4,AB$4)</f>
        <v>3222.373020289855</v>
      </c>
      <c r="AC30" s="28" cm="1">
        <f t="array" ref="AC30">TREND($B30:$Y30,$B$4:$Y$4,AC$4)</f>
        <v>3144.4797159420268</v>
      </c>
      <c r="AD30" s="28" cm="1">
        <f t="array" ref="AD30">TREND($B30:$Y30,$B$4:$Y$4,AD$4)</f>
        <v>3066.5864115942022</v>
      </c>
      <c r="AE30" s="28" cm="1">
        <f t="array" ref="AE30">TREND($B30:$Y30,$B$4:$Y$4,AE$4)</f>
        <v>2988.6931072463776</v>
      </c>
      <c r="AF30" s="28" cm="1">
        <f t="array" ref="AF30">TREND($B30:$Y30,$B$4:$Y$4,AF$4)</f>
        <v>2910.7998028985494</v>
      </c>
      <c r="AG30" s="28" cm="1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 cm="1">
        <f t="array" ref="AB31">TREND($B31:$Y31,$B$4:$Y$4,AB$4)</f>
        <v>3148.5630304347833</v>
      </c>
      <c r="AC31" s="28" cm="1">
        <f t="array" ref="AC31">TREND($B31:$Y31,$B$4:$Y$4,AC$4)</f>
        <v>3093.2280739130438</v>
      </c>
      <c r="AD31" s="28" cm="1">
        <f t="array" ref="AD31">TREND($B31:$Y31,$B$4:$Y$4,AD$4)</f>
        <v>3037.8931173913043</v>
      </c>
      <c r="AE31" s="28" cm="1">
        <f t="array" ref="AE31">TREND($B31:$Y31,$B$4:$Y$4,AE$4)</f>
        <v>2982.5581608695647</v>
      </c>
      <c r="AF31" s="28" cm="1">
        <f t="array" ref="AF31">TREND($B31:$Y31,$B$4:$Y$4,AF$4)</f>
        <v>2927.2232043478289</v>
      </c>
      <c r="AG31" s="28" cm="1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 cm="1">
        <f t="array" ref="AB32">TREND($B32:$Y32,$B$4:$Y$4,AB$4)</f>
        <v>2942.6466449275395</v>
      </c>
      <c r="AC32" s="28" cm="1">
        <f t="array" ref="AC32">TREND($B32:$Y32,$B$4:$Y$4,AC$4)</f>
        <v>2868.5394710144938</v>
      </c>
      <c r="AD32" s="28" cm="1">
        <f t="array" ref="AD32">TREND($B32:$Y32,$B$4:$Y$4,AD$4)</f>
        <v>2794.4322971014517</v>
      </c>
      <c r="AE32" s="28" cm="1">
        <f t="array" ref="AE32">TREND($B32:$Y32,$B$4:$Y$4,AE$4)</f>
        <v>2720.3251231884096</v>
      </c>
      <c r="AF32" s="28" cm="1">
        <f t="array" ref="AF32">TREND($B32:$Y32,$B$4:$Y$4,AF$4)</f>
        <v>2646.2179492753639</v>
      </c>
      <c r="AG32" s="28" cm="1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 cm="1">
        <f t="array" ref="AB33">TREND($B33:$Y33,$B$4:$Y$4,AB$4)</f>
        <v>4122.4309362318818</v>
      </c>
      <c r="AC33" s="28" cm="1">
        <f t="array" ref="AC33">TREND($B33:$Y33,$B$4:$Y$4,AC$4)</f>
        <v>4057.6923927536227</v>
      </c>
      <c r="AD33" s="28" cm="1">
        <f t="array" ref="AD33">TREND($B33:$Y33,$B$4:$Y$4,AD$4)</f>
        <v>3992.95384927536</v>
      </c>
      <c r="AE33" s="28" cm="1">
        <f t="array" ref="AE33">TREND($B33:$Y33,$B$4:$Y$4,AE$4)</f>
        <v>3928.2153057971009</v>
      </c>
      <c r="AF33" s="28" cm="1">
        <f t="array" ref="AF33">TREND($B33:$Y33,$B$4:$Y$4,AF$4)</f>
        <v>3863.4767623188382</v>
      </c>
      <c r="AG33" s="28" cm="1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 cm="1">
        <f t="array" ref="AB34">TREND($B34:$Y34,$B$4:$Y$4,AB$4)</f>
        <v>2708.1387173913045</v>
      </c>
      <c r="AC34" s="28" cm="1">
        <f t="array" ref="AC34">TREND($B34:$Y34,$B$4:$Y$4,AC$4)</f>
        <v>2686.6404565217381</v>
      </c>
      <c r="AD34" s="28" cm="1">
        <f t="array" ref="AD34">TREND($B34:$Y34,$B$4:$Y$4,AD$4)</f>
        <v>2665.1421956521735</v>
      </c>
      <c r="AE34" s="28" cm="1">
        <f t="array" ref="AE34">TREND($B34:$Y34,$B$4:$Y$4,AE$4)</f>
        <v>2643.643934782609</v>
      </c>
      <c r="AF34" s="28" cm="1">
        <f t="array" ref="AF34">TREND($B34:$Y34,$B$4:$Y$4,AF$4)</f>
        <v>2622.1456739130426</v>
      </c>
      <c r="AG34" s="28" cm="1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 cm="1">
        <f t="array" ref="AB35">TREND($B35:$Y35,$B$4:$Y$4,AB$4)</f>
        <v>1518.6325536231889</v>
      </c>
      <c r="AC35" s="28" cm="1">
        <f t="array" ref="AC35">TREND($B35:$Y35,$B$4:$Y$4,AC$4)</f>
        <v>1473.0677492753603</v>
      </c>
      <c r="AD35" s="28" cm="1">
        <f t="array" ref="AD35">TREND($B35:$Y35,$B$4:$Y$4,AD$4)</f>
        <v>1427.5029449275353</v>
      </c>
      <c r="AE35" s="28" cm="1">
        <f t="array" ref="AE35">TREND($B35:$Y35,$B$4:$Y$4,AE$4)</f>
        <v>1381.9381405797103</v>
      </c>
      <c r="AF35" s="28" cm="1">
        <f t="array" ref="AF35">TREND($B35:$Y35,$B$4:$Y$4,AF$4)</f>
        <v>1336.3733362318853</v>
      </c>
      <c r="AG35" s="28" cm="1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 cm="1">
        <f t="array" ref="AB36">TREND($B36:$Y36,$B$4:$Y$4,AB$4)</f>
        <v>1686.4013782608672</v>
      </c>
      <c r="AC36" s="28" cm="1">
        <f t="array" ref="AC36">TREND($B36:$Y36,$B$4:$Y$4,AC$4)</f>
        <v>1624.2587043478234</v>
      </c>
      <c r="AD36" s="28" cm="1">
        <f t="array" ref="AD36">TREND($B36:$Y36,$B$4:$Y$4,AD$4)</f>
        <v>1562.1160304347795</v>
      </c>
      <c r="AE36" s="28" cm="1">
        <f t="array" ref="AE36">TREND($B36:$Y36,$B$4:$Y$4,AE$4)</f>
        <v>1499.9733565217357</v>
      </c>
      <c r="AF36" s="28" cm="1">
        <f t="array" ref="AF36">TREND($B36:$Y36,$B$4:$Y$4,AF$4)</f>
        <v>1437.8306826086919</v>
      </c>
      <c r="AG36" s="28" cm="1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 cm="1">
        <f t="array" ref="AB37">TREND($B37:$Y37,$B$4:$Y$4,AB$4)</f>
        <v>2279.7577260869548</v>
      </c>
      <c r="AC37" s="28" cm="1">
        <f t="array" ref="AC37">TREND($B37:$Y37,$B$4:$Y$4,AC$4)</f>
        <v>2226.7348347826082</v>
      </c>
      <c r="AD37" s="28" cm="1">
        <f t="array" ref="AD37">TREND($B37:$Y37,$B$4:$Y$4,AD$4)</f>
        <v>2173.711943478258</v>
      </c>
      <c r="AE37" s="28" cm="1">
        <f t="array" ref="AE37">TREND($B37:$Y37,$B$4:$Y$4,AE$4)</f>
        <v>2120.6890521739115</v>
      </c>
      <c r="AF37" s="28" cm="1">
        <f t="array" ref="AF37">TREND($B37:$Y37,$B$4:$Y$4,AF$4)</f>
        <v>2067.6661608695649</v>
      </c>
      <c r="AG37" s="28" cm="1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 cm="1">
        <f t="array" ref="AB38">TREND($B38:$Y38,$B$4:$Y$4,AB$4)</f>
        <v>2228.3562391304367</v>
      </c>
      <c r="AC38" s="28" cm="1">
        <f t="array" ref="AC38">TREND($B38:$Y38,$B$4:$Y$4,AC$4)</f>
        <v>2166.6776521739121</v>
      </c>
      <c r="AD38" s="28" cm="1">
        <f t="array" ref="AD38">TREND($B38:$Y38,$B$4:$Y$4,AD$4)</f>
        <v>2104.999065217391</v>
      </c>
      <c r="AE38" s="28" cm="1">
        <f t="array" ref="AE38">TREND($B38:$Y38,$B$4:$Y$4,AE$4)</f>
        <v>2043.32047826087</v>
      </c>
      <c r="AF38" s="28" cm="1">
        <f t="array" ref="AF38">TREND($B38:$Y38,$B$4:$Y$4,AF$4)</f>
        <v>1981.641891304349</v>
      </c>
      <c r="AG38" s="28" cm="1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 cm="1">
        <f t="array" ref="AB39">TREND($B39:$Y39,$B$4:$Y$4,AB$4)</f>
        <v>1838.1268362318842</v>
      </c>
      <c r="AC39" s="28" cm="1">
        <f t="array" ref="AC39">TREND($B39:$Y39,$B$4:$Y$4,AC$4)</f>
        <v>1792.1502927536239</v>
      </c>
      <c r="AD39" s="28" cm="1">
        <f t="array" ref="AD39">TREND($B39:$Y39,$B$4:$Y$4,AD$4)</f>
        <v>1746.1737492753637</v>
      </c>
      <c r="AE39" s="28" cm="1">
        <f t="array" ref="AE39">TREND($B39:$Y39,$B$4:$Y$4,AE$4)</f>
        <v>1700.1972057971034</v>
      </c>
      <c r="AF39" s="28" cm="1">
        <f t="array" ref="AF39">TREND($B39:$Y39,$B$4:$Y$4,AF$4)</f>
        <v>1654.2206623188431</v>
      </c>
      <c r="AG39" s="28" cm="1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 cm="1">
        <f t="array" ref="AB40">TREND($B40:$Y40,$B$4:$Y$4,AB$4)</f>
        <v>670.85382753623344</v>
      </c>
      <c r="AC40" s="28" cm="1">
        <f t="array" ref="AC40">TREND($B40:$Y40,$B$4:$Y$4,AC$4)</f>
        <v>627.01941449275182</v>
      </c>
      <c r="AD40" s="28" cm="1">
        <f t="array" ref="AD40">TREND($B40:$Y40,$B$4:$Y$4,AD$4)</f>
        <v>583.18500144927384</v>
      </c>
      <c r="AE40" s="28" cm="1">
        <f t="array" ref="AE40">TREND($B40:$Y40,$B$4:$Y$4,AE$4)</f>
        <v>539.35058840579586</v>
      </c>
      <c r="AF40" s="28" cm="1">
        <f t="array" ref="AF40">TREND($B40:$Y40,$B$4:$Y$4,AF$4)</f>
        <v>495.51617536231788</v>
      </c>
      <c r="AG40" s="28" cm="1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 cm="1">
        <f t="array" ref="AB41">TREND($B41:$Y41,$B$4:$Y$4,AB$4)</f>
        <v>3942.6305449275351</v>
      </c>
      <c r="AC41" s="28" cm="1">
        <f t="array" ref="AC41">TREND($B41:$Y41,$B$4:$Y$4,AC$4)</f>
        <v>3876.3003710144912</v>
      </c>
      <c r="AD41" s="28" cm="1">
        <f t="array" ref="AD41">TREND($B41:$Y41,$B$4:$Y$4,AD$4)</f>
        <v>3809.9701971014474</v>
      </c>
      <c r="AE41" s="28" cm="1">
        <f t="array" ref="AE41">TREND($B41:$Y41,$B$4:$Y$4,AE$4)</f>
        <v>3743.6400231884036</v>
      </c>
      <c r="AF41" s="28" cm="1">
        <f t="array" ref="AF41">TREND($B41:$Y41,$B$4:$Y$4,AF$4)</f>
        <v>3677.3098492753597</v>
      </c>
      <c r="AG41" s="28" cm="1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 cm="1">
        <f t="array" ref="AB42">TREND($B42:$Y42,$B$4:$Y$4,AB$4)</f>
        <v>3752.6937478260879</v>
      </c>
      <c r="AC42" s="28" cm="1">
        <f t="array" ref="AC42">TREND($B42:$Y42,$B$4:$Y$4,AC$4)</f>
        <v>3676.5330304347808</v>
      </c>
      <c r="AD42" s="28" cm="1">
        <f t="array" ref="AD42">TREND($B42:$Y42,$B$4:$Y$4,AD$4)</f>
        <v>3600.3723130434773</v>
      </c>
      <c r="AE42" s="28" cm="1">
        <f t="array" ref="AE42">TREND($B42:$Y42,$B$4:$Y$4,AE$4)</f>
        <v>3524.2115956521739</v>
      </c>
      <c r="AF42" s="28" cm="1">
        <f t="array" ref="AF42">TREND($B42:$Y42,$B$4:$Y$4,AF$4)</f>
        <v>3448.0508782608704</v>
      </c>
      <c r="AG42" s="28" cm="1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 cm="1">
        <f t="array" ref="AB43">TREND($B43:$Y43,$B$4:$Y$4,AB$4)</f>
        <v>2837.5893594202898</v>
      </c>
      <c r="AC43" s="28" cm="1">
        <f t="array" ref="AC43">TREND($B43:$Y43,$B$4:$Y$4,AC$4)</f>
        <v>2810.1604681159406</v>
      </c>
      <c r="AD43" s="28" cm="1">
        <f t="array" ref="AD43">TREND($B43:$Y43,$B$4:$Y$4,AD$4)</f>
        <v>2782.7315768115932</v>
      </c>
      <c r="AE43" s="28" cm="1">
        <f t="array" ref="AE43">TREND($B43:$Y43,$B$4:$Y$4,AE$4)</f>
        <v>2755.3026855072458</v>
      </c>
      <c r="AF43" s="28" cm="1">
        <f t="array" ref="AF43">TREND($B43:$Y43,$B$4:$Y$4,AF$4)</f>
        <v>2727.8737942028984</v>
      </c>
      <c r="AG43" s="28" cm="1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 cm="1">
        <f t="array" ref="AB44">TREND($B44:$Y44,$B$4:$Y$4,AB$4)</f>
        <v>2624.8763289855087</v>
      </c>
      <c r="AC44" s="28" cm="1">
        <f t="array" ref="AC44">TREND($B44:$Y44,$B$4:$Y$4,AC$4)</f>
        <v>2550.3823942028976</v>
      </c>
      <c r="AD44" s="28" cm="1">
        <f t="array" ref="AD44">TREND($B44:$Y44,$B$4:$Y$4,AD$4)</f>
        <v>2475.88845942029</v>
      </c>
      <c r="AE44" s="28" cm="1">
        <f t="array" ref="AE44">TREND($B44:$Y44,$B$4:$Y$4,AE$4)</f>
        <v>2401.3945246376825</v>
      </c>
      <c r="AF44" s="28" cm="1">
        <f t="array" ref="AF44">TREND($B44:$Y44,$B$4:$Y$4,AF$4)</f>
        <v>2326.9005898550713</v>
      </c>
      <c r="AG44" s="28" cm="1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 cm="1">
        <f t="array" ref="AB45">TREND($B45:$Y45,$B$4:$Y$4,AB$4)</f>
        <v>469.91676666666626</v>
      </c>
      <c r="AC45" s="28" cm="1">
        <f t="array" ref="AC45">TREND($B45:$Y45,$B$4:$Y$4,AC$4)</f>
        <v>451.90976666666666</v>
      </c>
      <c r="AD45" s="28" cm="1">
        <f t="array" ref="AD45">TREND($B45:$Y45,$B$4:$Y$4,AD$4)</f>
        <v>433.90276666666614</v>
      </c>
      <c r="AE45" s="28" cm="1">
        <f t="array" ref="AE45">TREND($B45:$Y45,$B$4:$Y$4,AE$4)</f>
        <v>415.89576666666653</v>
      </c>
      <c r="AF45" s="28" cm="1">
        <f t="array" ref="AF45">TREND($B45:$Y45,$B$4:$Y$4,AF$4)</f>
        <v>397.88876666666602</v>
      </c>
      <c r="AG45" s="28" cm="1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 cm="1">
        <f t="array" ref="AB46">TREND($B46:$Y46,$B$4:$Y$4,AB$4)</f>
        <v>2594.7750782608673</v>
      </c>
      <c r="AC46" s="28" cm="1">
        <f t="array" ref="AC46">TREND($B46:$Y46,$B$4:$Y$4,AC$4)</f>
        <v>2547.3359043478231</v>
      </c>
      <c r="AD46" s="28" cm="1">
        <f t="array" ref="AD46">TREND($B46:$Y46,$B$4:$Y$4,AD$4)</f>
        <v>2499.8967304347789</v>
      </c>
      <c r="AE46" s="28" cm="1">
        <f t="array" ref="AE46">TREND($B46:$Y46,$B$4:$Y$4,AE$4)</f>
        <v>2452.4575565217347</v>
      </c>
      <c r="AF46" s="28" cm="1">
        <f t="array" ref="AF46">TREND($B46:$Y46,$B$4:$Y$4,AF$4)</f>
        <v>2405.0183826086904</v>
      </c>
      <c r="AG46" s="28" cm="1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 cm="1">
        <f t="array" ref="AB47">TREND($B47:$Y47,$B$4:$Y$4,AB$4)</f>
        <v>3420.1120884057964</v>
      </c>
      <c r="AC47" s="28" cm="1">
        <f t="array" ref="AC47">TREND($B47:$Y47,$B$4:$Y$4,AC$4)</f>
        <v>3331.9787623188386</v>
      </c>
      <c r="AD47" s="28" cm="1">
        <f t="array" ref="AD47">TREND($B47:$Y47,$B$4:$Y$4,AD$4)</f>
        <v>3243.8454362318807</v>
      </c>
      <c r="AE47" s="28" cm="1">
        <f t="array" ref="AE47">TREND($B47:$Y47,$B$4:$Y$4,AE$4)</f>
        <v>3155.7121101449229</v>
      </c>
      <c r="AF47" s="28" cm="1">
        <f t="array" ref="AF47">TREND($B47:$Y47,$B$4:$Y$4,AF$4)</f>
        <v>3067.5787840579651</v>
      </c>
      <c r="AG47" s="28" cm="1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 cm="1">
        <f t="array" ref="AB48">TREND($B48:$Y48,$B$4:$Y$4,AB$4)</f>
        <v>3270.0191710144936</v>
      </c>
      <c r="AC48" s="28" cm="1">
        <f t="array" ref="AC48">TREND($B48:$Y48,$B$4:$Y$4,AC$4)</f>
        <v>3189.4781057971049</v>
      </c>
      <c r="AD48" s="28" cm="1">
        <f t="array" ref="AD48">TREND($B48:$Y48,$B$4:$Y$4,AD$4)</f>
        <v>3108.9370405797126</v>
      </c>
      <c r="AE48" s="28" cm="1">
        <f t="array" ref="AE48">TREND($B48:$Y48,$B$4:$Y$4,AE$4)</f>
        <v>3028.3959753623203</v>
      </c>
      <c r="AF48" s="28" cm="1">
        <f t="array" ref="AF48">TREND($B48:$Y48,$B$4:$Y$4,AF$4)</f>
        <v>2947.8549101449316</v>
      </c>
      <c r="AG48" s="28" cm="1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 cm="1">
        <f t="array" ref="AB49">TREND($B49:$Y49,$B$4:$Y$4,AB$4)</f>
        <v>1152.8932463768106</v>
      </c>
      <c r="AC49" s="28" cm="1">
        <f t="array" ref="AC49">TREND($B49:$Y49,$B$4:$Y$4,AC$4)</f>
        <v>1104.5020507246372</v>
      </c>
      <c r="AD49" s="28" cm="1">
        <f t="array" ref="AD49">TREND($B49:$Y49,$B$4:$Y$4,AD$4)</f>
        <v>1056.1108550724639</v>
      </c>
      <c r="AE49" s="28" cm="1">
        <f t="array" ref="AE49">TREND($B49:$Y49,$B$4:$Y$4,AE$4)</f>
        <v>1007.7196594202906</v>
      </c>
      <c r="AF49" s="28" cm="1">
        <f t="array" ref="AF49">TREND($B49:$Y49,$B$4:$Y$4,AF$4)</f>
        <v>959.32846376811722</v>
      </c>
      <c r="AG49" s="28" cm="1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 cm="1">
        <f t="array" ref="AB50">TREND($B50:$Y50,$B$4:$Y$4,AB$4)</f>
        <v>2853.8396391304341</v>
      </c>
      <c r="AC50" s="28" cm="1">
        <f t="array" ref="AC50">TREND($B50:$Y50,$B$4:$Y$4,AC$4)</f>
        <v>2755.5355521739111</v>
      </c>
      <c r="AD50" s="28" cm="1">
        <f t="array" ref="AD50">TREND($B50:$Y50,$B$4:$Y$4,AD$4)</f>
        <v>2657.2314652173882</v>
      </c>
      <c r="AE50" s="28" cm="1">
        <f t="array" ref="AE50">TREND($B50:$Y50,$B$4:$Y$4,AE$4)</f>
        <v>2558.9273782608652</v>
      </c>
      <c r="AF50" s="28" cm="1">
        <f t="array" ref="AF50">TREND($B50:$Y50,$B$4:$Y$4,AF$4)</f>
        <v>2460.6232913043496</v>
      </c>
      <c r="AG50" s="28" cm="1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 cm="1">
        <f t="array" ref="AB51">TREND($B51:$Y51,$B$4:$Y$4,AB$4)</f>
        <v>2751.5707347826101</v>
      </c>
      <c r="AC51" s="28" cm="1">
        <f t="array" ref="AC51">TREND($B51:$Y51,$B$4:$Y$4,AC$4)</f>
        <v>2692.2057130434805</v>
      </c>
      <c r="AD51" s="28" cm="1">
        <f t="array" ref="AD51">TREND($B51:$Y51,$B$4:$Y$4,AD$4)</f>
        <v>2632.8406913043473</v>
      </c>
      <c r="AE51" s="28" cm="1">
        <f t="array" ref="AE51">TREND($B51:$Y51,$B$4:$Y$4,AE$4)</f>
        <v>2573.4756695652177</v>
      </c>
      <c r="AF51" s="28" cm="1">
        <f t="array" ref="AF51">TREND($B51:$Y51,$B$4:$Y$4,AF$4)</f>
        <v>2514.1106478260881</v>
      </c>
      <c r="AG51" s="28" cm="1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 cm="1">
        <f t="array" ref="AB52">TREND($B52:$Y52,$B$4:$Y$4,AB$4)</f>
        <v>3132.4639405797061</v>
      </c>
      <c r="AC52" s="28" cm="1">
        <f t="array" ref="AC52">TREND($B52:$Y52,$B$4:$Y$4,AC$4)</f>
        <v>3052.8368318840548</v>
      </c>
      <c r="AD52" s="28" cm="1">
        <f t="array" ref="AD52">TREND($B52:$Y52,$B$4:$Y$4,AD$4)</f>
        <v>2973.2097231884036</v>
      </c>
      <c r="AE52" s="28" cm="1">
        <f t="array" ref="AE52">TREND($B52:$Y52,$B$4:$Y$4,AE$4)</f>
        <v>2893.5826144927523</v>
      </c>
      <c r="AF52" s="28" cm="1">
        <f t="array" ref="AF52">TREND($B52:$Y52,$B$4:$Y$4,AF$4)</f>
        <v>2813.9555057970974</v>
      </c>
      <c r="AG52" s="28" cm="1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 cm="1">
        <f t="array" ref="AB53">TREND($B53:$Y53,$B$4:$Y$4,AB$4)</f>
        <v>5399.7049347826105</v>
      </c>
      <c r="AC53" s="28" cm="1">
        <f t="array" ref="AC53">TREND($B53:$Y53,$B$4:$Y$4,AC$4)</f>
        <v>5341.570913043477</v>
      </c>
      <c r="AD53" s="28" cm="1">
        <f t="array" ref="AD53">TREND($B53:$Y53,$B$4:$Y$4,AD$4)</f>
        <v>5283.4368913043472</v>
      </c>
      <c r="AE53" s="28" cm="1">
        <f t="array" ref="AE53">TREND($B53:$Y53,$B$4:$Y$4,AE$4)</f>
        <v>5225.3028695652174</v>
      </c>
      <c r="AF53" s="28" cm="1">
        <f t="array" ref="AF53">TREND($B53:$Y53,$B$4:$Y$4,AF$4)</f>
        <v>5167.1688478260876</v>
      </c>
      <c r="AG53" s="28" cm="1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 cm="1">
        <f t="array" ref="AB54">TREND($B54:$Y54,$B$4:$Y$4,AB$4)</f>
        <v>5102.464762318843</v>
      </c>
      <c r="AC54" s="28" cm="1">
        <f t="array" ref="AC54">TREND($B54:$Y54,$B$4:$Y$4,AC$4)</f>
        <v>5057.3263275362333</v>
      </c>
      <c r="AD54" s="28" cm="1">
        <f t="array" ref="AD54">TREND($B54:$Y54,$B$4:$Y$4,AD$4)</f>
        <v>5012.1878927536236</v>
      </c>
      <c r="AE54" s="28" cm="1">
        <f t="array" ref="AE54">TREND($B54:$Y54,$B$4:$Y$4,AE$4)</f>
        <v>4967.0494579710139</v>
      </c>
      <c r="AF54" s="28" cm="1">
        <f t="array" ref="AF54">TREND($B54:$Y54,$B$4:$Y$4,AF$4)</f>
        <v>4921.9110231884079</v>
      </c>
      <c r="AG54" s="28" cm="1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 cm="1">
        <f t="array" ref="AB55">TREND($B55:$Y55,$B$4:$Y$4,AB$4)</f>
        <v>5436.7197376811591</v>
      </c>
      <c r="AC55" s="28" cm="1">
        <f t="array" ref="AC55">TREND($B55:$Y55,$B$4:$Y$4,AC$4)</f>
        <v>5419.505672463767</v>
      </c>
      <c r="AD55" s="28" cm="1">
        <f t="array" ref="AD55">TREND($B55:$Y55,$B$4:$Y$4,AD$4)</f>
        <v>5402.2916072463759</v>
      </c>
      <c r="AE55" s="28" cm="1">
        <f t="array" ref="AE55">TREND($B55:$Y55,$B$4:$Y$4,AE$4)</f>
        <v>5385.0775420289847</v>
      </c>
      <c r="AF55" s="28" cm="1">
        <f t="array" ref="AF55">TREND($B55:$Y55,$B$4:$Y$4,AF$4)</f>
        <v>5367.8634768115935</v>
      </c>
      <c r="AG55" s="28" cm="1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others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2025-02-20T04:49:29Z</dcterms:created>
  <dcterms:modified xsi:type="dcterms:W3CDTF">2026-01-23T09:27:28Z</dcterms:modified>
</cp:coreProperties>
</file>