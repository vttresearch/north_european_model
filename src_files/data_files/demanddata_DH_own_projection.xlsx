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7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8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9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1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1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B\bb-dev\north_european_model\src_files\data_files\"/>
    </mc:Choice>
  </mc:AlternateContent>
  <xr:revisionPtr revIDLastSave="0" documentId="13_ncr:1_{CCC4F644-27B4-4D54-8B52-E453067B4A6D}" xr6:coauthVersionLast="47" xr6:coauthVersionMax="47" xr10:uidLastSave="{00000000-0000-0000-0000-000000000000}"/>
  <bookViews>
    <workbookView xWindow="-28920" yWindow="-120" windowWidth="29040" windowHeight="17520" tabRatio="854" xr2:uid="{3FAE13E1-8810-491E-8373-B01BC9956BE7}"/>
  </bookViews>
  <sheets>
    <sheet name="variantdata" sheetId="23" r:id="rId1"/>
    <sheet name="nodedata" sheetId="22" r:id="rId2"/>
    <sheet name="demanddata_dh" sheetId="13" r:id="rId3"/>
    <sheet name="Finland" sheetId="10" r:id="rId4"/>
    <sheet name="Norway" sheetId="5" r:id="rId5"/>
    <sheet name="Lithuania" sheetId="17" r:id="rId6"/>
    <sheet name="Latvia" sheetId="16" r:id="rId7"/>
    <sheet name="Estonia" sheetId="15" r:id="rId8"/>
    <sheet name="Sweden" sheetId="8" r:id="rId9"/>
    <sheet name="Denmark" sheetId="9" r:id="rId10"/>
    <sheet name="Poland" sheetId="18" r:id="rId11"/>
    <sheet name="Germany" sheetId="20" r:id="rId12"/>
    <sheet name="Austria" sheetId="21" r:id="rId13"/>
    <sheet name="DH demand, eurostat" sheetId="1" r:id="rId14"/>
    <sheet name="waterHeatingShare" sheetId="6" r:id="rId15"/>
    <sheet name="POP" sheetId="2" r:id="rId16"/>
    <sheet name="HDD" sheetId="3" r:id="rId17"/>
  </sheets>
  <definedNames>
    <definedName name="Slicer_Climate_Year">#N/A</definedName>
    <definedName name="Slicer_Generator_ID">#N/A</definedName>
    <definedName name="Slicer_Parameter">#N/A</definedName>
    <definedName name="Slicer_Sector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2" l="1"/>
  <c r="Q5" i="22"/>
  <c r="Q6" i="22"/>
  <c r="Q7" i="22"/>
  <c r="Q8" i="22"/>
  <c r="Q9" i="22"/>
  <c r="Q10" i="22"/>
  <c r="Q3" i="22"/>
  <c r="O4" i="22"/>
  <c r="O5" i="22"/>
  <c r="O6" i="22"/>
  <c r="O7" i="22"/>
  <c r="O8" i="22"/>
  <c r="O9" i="22"/>
  <c r="O10" i="22"/>
  <c r="O3" i="22"/>
  <c r="A50" i="13"/>
  <c r="B50" i="13"/>
  <c r="C50" i="13"/>
  <c r="D50" i="13"/>
  <c r="E50" i="13"/>
  <c r="F50" i="13"/>
  <c r="G50" i="13"/>
  <c r="H50" i="13"/>
  <c r="A51" i="13"/>
  <c r="B51" i="13"/>
  <c r="C51" i="13"/>
  <c r="D51" i="13"/>
  <c r="E51" i="13"/>
  <c r="F51" i="13"/>
  <c r="G51" i="13"/>
  <c r="H51" i="13"/>
  <c r="A52" i="13"/>
  <c r="B52" i="13"/>
  <c r="C52" i="13"/>
  <c r="D52" i="13"/>
  <c r="E52" i="13"/>
  <c r="F52" i="13"/>
  <c r="G52" i="13"/>
  <c r="H52" i="13"/>
  <c r="A53" i="13"/>
  <c r="B53" i="13"/>
  <c r="C53" i="13"/>
  <c r="D53" i="13"/>
  <c r="E53" i="13"/>
  <c r="F53" i="13"/>
  <c r="G53" i="13"/>
  <c r="H53" i="13"/>
  <c r="A54" i="13"/>
  <c r="B54" i="13"/>
  <c r="C54" i="13"/>
  <c r="D54" i="13"/>
  <c r="E54" i="13"/>
  <c r="F54" i="13"/>
  <c r="G54" i="13"/>
  <c r="H54" i="13"/>
  <c r="A55" i="13"/>
  <c r="B55" i="13"/>
  <c r="C55" i="13"/>
  <c r="D55" i="13"/>
  <c r="E55" i="13"/>
  <c r="F55" i="13"/>
  <c r="G55" i="13"/>
  <c r="H55" i="13"/>
  <c r="A56" i="13"/>
  <c r="B56" i="13"/>
  <c r="C56" i="13"/>
  <c r="D56" i="13"/>
  <c r="E56" i="13"/>
  <c r="F56" i="13"/>
  <c r="G56" i="13"/>
  <c r="H56" i="13"/>
  <c r="A57" i="13"/>
  <c r="B57" i="13"/>
  <c r="C57" i="13"/>
  <c r="D57" i="13"/>
  <c r="E57" i="13"/>
  <c r="F57" i="13"/>
  <c r="G57" i="13"/>
  <c r="H57" i="13"/>
  <c r="A58" i="13"/>
  <c r="B58" i="13"/>
  <c r="C58" i="13"/>
  <c r="D58" i="13"/>
  <c r="E58" i="13"/>
  <c r="F58" i="13"/>
  <c r="G58" i="13"/>
  <c r="H58" i="13"/>
  <c r="A59" i="13"/>
  <c r="B59" i="13"/>
  <c r="C59" i="13"/>
  <c r="D59" i="13"/>
  <c r="E59" i="13"/>
  <c r="F59" i="13"/>
  <c r="G59" i="13"/>
  <c r="H59" i="13"/>
  <c r="A60" i="13"/>
  <c r="B60" i="13"/>
  <c r="C60" i="13"/>
  <c r="D60" i="13"/>
  <c r="E60" i="13"/>
  <c r="F60" i="13"/>
  <c r="G60" i="13"/>
  <c r="H60" i="13"/>
  <c r="A61" i="13"/>
  <c r="B61" i="13"/>
  <c r="C61" i="13"/>
  <c r="D61" i="13"/>
  <c r="E61" i="13"/>
  <c r="F61" i="13"/>
  <c r="G61" i="13"/>
  <c r="H61" i="13"/>
  <c r="A62" i="13"/>
  <c r="B62" i="13"/>
  <c r="C62" i="13"/>
  <c r="D62" i="13"/>
  <c r="E62" i="13"/>
  <c r="F62" i="13"/>
  <c r="G62" i="13"/>
  <c r="H62" i="13"/>
  <c r="A63" i="13"/>
  <c r="B63" i="13"/>
  <c r="C63" i="13"/>
  <c r="D63" i="13"/>
  <c r="E63" i="13"/>
  <c r="F63" i="13"/>
  <c r="G63" i="13"/>
  <c r="H63" i="13"/>
  <c r="A64" i="13"/>
  <c r="B64" i="13"/>
  <c r="C64" i="13"/>
  <c r="D64" i="13"/>
  <c r="E64" i="13"/>
  <c r="F64" i="13"/>
  <c r="G64" i="13"/>
  <c r="H64" i="13"/>
  <c r="A65" i="13"/>
  <c r="B65" i="13"/>
  <c r="C65" i="13"/>
  <c r="D65" i="13"/>
  <c r="E65" i="13"/>
  <c r="F65" i="13"/>
  <c r="G65" i="13"/>
  <c r="H65" i="13"/>
  <c r="A66" i="13"/>
  <c r="B66" i="13"/>
  <c r="C66" i="13"/>
  <c r="D66" i="13"/>
  <c r="E66" i="13"/>
  <c r="F66" i="13"/>
  <c r="G66" i="13"/>
  <c r="H66" i="13"/>
  <c r="A67" i="13"/>
  <c r="B67" i="13"/>
  <c r="C67" i="13"/>
  <c r="D67" i="13"/>
  <c r="E67" i="13"/>
  <c r="F67" i="13"/>
  <c r="G67" i="13"/>
  <c r="H67" i="13"/>
  <c r="A68" i="13"/>
  <c r="B68" i="13"/>
  <c r="C68" i="13"/>
  <c r="D68" i="13"/>
  <c r="E68" i="13"/>
  <c r="F68" i="13"/>
  <c r="G68" i="13"/>
  <c r="H68" i="13"/>
  <c r="A69" i="13"/>
  <c r="B69" i="13"/>
  <c r="C69" i="13"/>
  <c r="D69" i="13"/>
  <c r="E69" i="13"/>
  <c r="F69" i="13"/>
  <c r="G69" i="13"/>
  <c r="H69" i="13"/>
  <c r="F2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I68" i="10"/>
  <c r="I69" i="10" s="1"/>
  <c r="I70" i="10" s="1"/>
  <c r="I71" i="10" s="1"/>
  <c r="I72" i="10" s="1"/>
  <c r="I55" i="10"/>
  <c r="I56" i="10" s="1"/>
  <c r="I57" i="10" s="1"/>
  <c r="I58" i="10" s="1"/>
  <c r="I59" i="10" s="1"/>
  <c r="I60" i="10" s="1"/>
  <c r="I61" i="10" s="1"/>
  <c r="I62" i="10" s="1"/>
  <c r="I63" i="10" s="1"/>
  <c r="I64" i="10" s="1"/>
  <c r="I65" i="10" s="1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" i="10"/>
  <c r="A2" i="13"/>
  <c r="A164" i="13"/>
  <c r="B164" i="13"/>
  <c r="C164" i="13"/>
  <c r="D164" i="13"/>
  <c r="A165" i="13"/>
  <c r="B165" i="13"/>
  <c r="C165" i="13"/>
  <c r="D165" i="13"/>
  <c r="H165" i="13"/>
  <c r="A166" i="13"/>
  <c r="B166" i="13"/>
  <c r="C166" i="13"/>
  <c r="D166" i="13"/>
  <c r="A167" i="13"/>
  <c r="B167" i="13"/>
  <c r="C167" i="13"/>
  <c r="D167" i="13"/>
  <c r="A168" i="13"/>
  <c r="B168" i="13"/>
  <c r="C168" i="13"/>
  <c r="D168" i="13"/>
  <c r="B163" i="13"/>
  <c r="C163" i="13"/>
  <c r="D163" i="13"/>
  <c r="E163" i="13"/>
  <c r="H163" i="13"/>
  <c r="A163" i="13"/>
  <c r="A156" i="13"/>
  <c r="A157" i="13"/>
  <c r="B157" i="13"/>
  <c r="C157" i="13"/>
  <c r="D157" i="13"/>
  <c r="A158" i="13"/>
  <c r="B158" i="13"/>
  <c r="C158" i="13"/>
  <c r="D158" i="13"/>
  <c r="H158" i="13"/>
  <c r="A159" i="13"/>
  <c r="B159" i="13"/>
  <c r="C159" i="13"/>
  <c r="D159" i="13"/>
  <c r="A160" i="13"/>
  <c r="B160" i="13"/>
  <c r="C160" i="13"/>
  <c r="D160" i="13"/>
  <c r="A161" i="13"/>
  <c r="B161" i="13"/>
  <c r="C161" i="13"/>
  <c r="D161" i="13"/>
  <c r="B156" i="13"/>
  <c r="C156" i="13"/>
  <c r="D156" i="13"/>
  <c r="E156" i="13"/>
  <c r="H156" i="13"/>
  <c r="A150" i="13"/>
  <c r="B150" i="13"/>
  <c r="C150" i="13"/>
  <c r="D150" i="13"/>
  <c r="A151" i="13"/>
  <c r="B151" i="13"/>
  <c r="C151" i="13"/>
  <c r="D151" i="13"/>
  <c r="H151" i="13"/>
  <c r="A152" i="13"/>
  <c r="B152" i="13"/>
  <c r="C152" i="13"/>
  <c r="D152" i="13"/>
  <c r="A153" i="13"/>
  <c r="B153" i="13"/>
  <c r="C153" i="13"/>
  <c r="D153" i="13"/>
  <c r="A154" i="13"/>
  <c r="B154" i="13"/>
  <c r="C154" i="13"/>
  <c r="D154" i="13"/>
  <c r="B149" i="13"/>
  <c r="C149" i="13"/>
  <c r="D149" i="13"/>
  <c r="E149" i="13"/>
  <c r="H149" i="13"/>
  <c r="A149" i="13"/>
  <c r="A137" i="13"/>
  <c r="B137" i="13"/>
  <c r="C137" i="13"/>
  <c r="D137" i="13"/>
  <c r="E137" i="13"/>
  <c r="A138" i="13"/>
  <c r="B138" i="13"/>
  <c r="C138" i="13"/>
  <c r="D138" i="13"/>
  <c r="A139" i="13"/>
  <c r="B139" i="13"/>
  <c r="C139" i="13"/>
  <c r="D139" i="13"/>
  <c r="A140" i="13"/>
  <c r="B140" i="13"/>
  <c r="C140" i="13"/>
  <c r="D140" i="13"/>
  <c r="H140" i="13"/>
  <c r="A141" i="13"/>
  <c r="B141" i="13"/>
  <c r="C141" i="13"/>
  <c r="D141" i="13"/>
  <c r="A142" i="13"/>
  <c r="B142" i="13"/>
  <c r="C142" i="13"/>
  <c r="D142" i="13"/>
  <c r="A143" i="13"/>
  <c r="B143" i="13"/>
  <c r="C143" i="13"/>
  <c r="D143" i="13"/>
  <c r="A144" i="13"/>
  <c r="B144" i="13"/>
  <c r="C144" i="13"/>
  <c r="D144" i="13"/>
  <c r="A145" i="13"/>
  <c r="B145" i="13"/>
  <c r="C145" i="13"/>
  <c r="D145" i="13"/>
  <c r="A146" i="13"/>
  <c r="B146" i="13"/>
  <c r="C146" i="13"/>
  <c r="D146" i="13"/>
  <c r="A147" i="13"/>
  <c r="B147" i="13"/>
  <c r="C147" i="13"/>
  <c r="D147" i="13"/>
  <c r="B136" i="13"/>
  <c r="C136" i="13"/>
  <c r="D136" i="13"/>
  <c r="E136" i="13"/>
  <c r="H136" i="13"/>
  <c r="A136" i="13"/>
  <c r="A130" i="13"/>
  <c r="B130" i="13"/>
  <c r="C130" i="13"/>
  <c r="D130" i="13"/>
  <c r="A131" i="13"/>
  <c r="B131" i="13"/>
  <c r="C131" i="13"/>
  <c r="D131" i="13"/>
  <c r="A132" i="13"/>
  <c r="B132" i="13"/>
  <c r="C132" i="13"/>
  <c r="D132" i="13"/>
  <c r="A133" i="13"/>
  <c r="B133" i="13"/>
  <c r="C133" i="13"/>
  <c r="D133" i="13"/>
  <c r="A134" i="13"/>
  <c r="B134" i="13"/>
  <c r="C134" i="13"/>
  <c r="D134" i="13"/>
  <c r="A123" i="13"/>
  <c r="B123" i="13"/>
  <c r="C123" i="13"/>
  <c r="D123" i="13"/>
  <c r="A124" i="13"/>
  <c r="B124" i="13"/>
  <c r="C124" i="13"/>
  <c r="D124" i="13"/>
  <c r="A125" i="13"/>
  <c r="B125" i="13"/>
  <c r="C125" i="13"/>
  <c r="D125" i="13"/>
  <c r="A126" i="13"/>
  <c r="B126" i="13"/>
  <c r="C126" i="13"/>
  <c r="D126" i="13"/>
  <c r="A127" i="13"/>
  <c r="B127" i="13"/>
  <c r="C127" i="13"/>
  <c r="D127" i="13"/>
  <c r="A128" i="13"/>
  <c r="B128" i="13"/>
  <c r="C128" i="13"/>
  <c r="D128" i="13"/>
  <c r="A129" i="13"/>
  <c r="B129" i="13"/>
  <c r="C129" i="13"/>
  <c r="D129" i="13"/>
  <c r="A112" i="13"/>
  <c r="B112" i="13"/>
  <c r="C112" i="13"/>
  <c r="D112" i="13"/>
  <c r="E112" i="13"/>
  <c r="A113" i="13"/>
  <c r="B113" i="13"/>
  <c r="C113" i="13"/>
  <c r="D113" i="13"/>
  <c r="E113" i="13"/>
  <c r="A114" i="13"/>
  <c r="B114" i="13"/>
  <c r="C114" i="13"/>
  <c r="D114" i="13"/>
  <c r="E114" i="13"/>
  <c r="A115" i="13"/>
  <c r="B115" i="13"/>
  <c r="C115" i="13"/>
  <c r="D115" i="13"/>
  <c r="A116" i="13"/>
  <c r="B116" i="13"/>
  <c r="C116" i="13"/>
  <c r="D116" i="13"/>
  <c r="A117" i="13"/>
  <c r="B117" i="13"/>
  <c r="C117" i="13"/>
  <c r="D117" i="13"/>
  <c r="A118" i="13"/>
  <c r="B118" i="13"/>
  <c r="C118" i="13"/>
  <c r="D118" i="13"/>
  <c r="A119" i="13"/>
  <c r="B119" i="13"/>
  <c r="C119" i="13"/>
  <c r="D119" i="13"/>
  <c r="H119" i="13"/>
  <c r="A120" i="13"/>
  <c r="B120" i="13"/>
  <c r="C120" i="13"/>
  <c r="D120" i="13"/>
  <c r="A121" i="13"/>
  <c r="B121" i="13"/>
  <c r="C121" i="13"/>
  <c r="D121" i="13"/>
  <c r="A122" i="13"/>
  <c r="B122" i="13"/>
  <c r="C122" i="13"/>
  <c r="D122" i="13"/>
  <c r="B111" i="13"/>
  <c r="C111" i="13"/>
  <c r="D111" i="13"/>
  <c r="E111" i="13"/>
  <c r="H111" i="13"/>
  <c r="A111" i="13"/>
  <c r="A105" i="13"/>
  <c r="B105" i="13"/>
  <c r="C105" i="13"/>
  <c r="D105" i="13"/>
  <c r="A106" i="13"/>
  <c r="B106" i="13"/>
  <c r="C106" i="13"/>
  <c r="D106" i="13"/>
  <c r="H106" i="13"/>
  <c r="A107" i="13"/>
  <c r="B107" i="13"/>
  <c r="C107" i="13"/>
  <c r="D107" i="13"/>
  <c r="A108" i="13"/>
  <c r="B108" i="13"/>
  <c r="C108" i="13"/>
  <c r="D108" i="13"/>
  <c r="A109" i="13"/>
  <c r="B109" i="13"/>
  <c r="C109" i="13"/>
  <c r="D109" i="13"/>
  <c r="B104" i="13"/>
  <c r="C104" i="13"/>
  <c r="D104" i="13"/>
  <c r="E104" i="13"/>
  <c r="H104" i="13"/>
  <c r="A104" i="13"/>
  <c r="A98" i="13"/>
  <c r="B98" i="13"/>
  <c r="C98" i="13"/>
  <c r="D98" i="13"/>
  <c r="A99" i="13"/>
  <c r="B99" i="13"/>
  <c r="C99" i="13"/>
  <c r="D99" i="13"/>
  <c r="H99" i="13"/>
  <c r="A100" i="13"/>
  <c r="B100" i="13"/>
  <c r="C100" i="13"/>
  <c r="D100" i="13"/>
  <c r="A101" i="13"/>
  <c r="B101" i="13"/>
  <c r="C101" i="13"/>
  <c r="D101" i="13"/>
  <c r="A102" i="13"/>
  <c r="B102" i="13"/>
  <c r="C102" i="13"/>
  <c r="D102" i="13"/>
  <c r="B97" i="13"/>
  <c r="C97" i="13"/>
  <c r="D97" i="13"/>
  <c r="E97" i="13"/>
  <c r="H97" i="13"/>
  <c r="A97" i="13"/>
  <c r="A91" i="13"/>
  <c r="B91" i="13"/>
  <c r="C91" i="13"/>
  <c r="D91" i="13"/>
  <c r="A92" i="13"/>
  <c r="B92" i="13"/>
  <c r="C92" i="13"/>
  <c r="D92" i="13"/>
  <c r="H92" i="13"/>
  <c r="A93" i="13"/>
  <c r="B93" i="13"/>
  <c r="C93" i="13"/>
  <c r="D93" i="13"/>
  <c r="A94" i="13"/>
  <c r="B94" i="13"/>
  <c r="C94" i="13"/>
  <c r="D94" i="13"/>
  <c r="A95" i="13"/>
  <c r="B95" i="13"/>
  <c r="C95" i="13"/>
  <c r="D95" i="13"/>
  <c r="B90" i="13"/>
  <c r="C90" i="13"/>
  <c r="D90" i="13"/>
  <c r="E90" i="13"/>
  <c r="H90" i="13"/>
  <c r="A90" i="13"/>
  <c r="A72" i="13"/>
  <c r="B72" i="13"/>
  <c r="C72" i="13"/>
  <c r="D72" i="13"/>
  <c r="E72" i="13"/>
  <c r="A73" i="13"/>
  <c r="B73" i="13"/>
  <c r="C73" i="13"/>
  <c r="D73" i="13"/>
  <c r="E73" i="13"/>
  <c r="A74" i="13"/>
  <c r="B74" i="13"/>
  <c r="C74" i="13"/>
  <c r="D74" i="13"/>
  <c r="A75" i="13"/>
  <c r="B75" i="13"/>
  <c r="C75" i="13"/>
  <c r="D75" i="13"/>
  <c r="A76" i="13"/>
  <c r="B76" i="13"/>
  <c r="C76" i="13"/>
  <c r="D76" i="13"/>
  <c r="A77" i="13"/>
  <c r="B77" i="13"/>
  <c r="C77" i="13"/>
  <c r="D77" i="13"/>
  <c r="H77" i="13"/>
  <c r="A78" i="13"/>
  <c r="B78" i="13"/>
  <c r="C78" i="13"/>
  <c r="D78" i="13"/>
  <c r="A79" i="13"/>
  <c r="B79" i="13"/>
  <c r="C79" i="13"/>
  <c r="D79" i="13"/>
  <c r="A80" i="13"/>
  <c r="B80" i="13"/>
  <c r="C80" i="13"/>
  <c r="D80" i="13"/>
  <c r="A81" i="13"/>
  <c r="B81" i="13"/>
  <c r="C81" i="13"/>
  <c r="D81" i="13"/>
  <c r="A82" i="13"/>
  <c r="B82" i="13"/>
  <c r="C82" i="13"/>
  <c r="D82" i="13"/>
  <c r="A83" i="13"/>
  <c r="B83" i="13"/>
  <c r="C83" i="13"/>
  <c r="D83" i="13"/>
  <c r="A84" i="13"/>
  <c r="B84" i="13"/>
  <c r="C84" i="13"/>
  <c r="D84" i="13"/>
  <c r="A85" i="13"/>
  <c r="B85" i="13"/>
  <c r="C85" i="13"/>
  <c r="D85" i="13"/>
  <c r="A86" i="13"/>
  <c r="B86" i="13"/>
  <c r="C86" i="13"/>
  <c r="D86" i="13"/>
  <c r="A87" i="13"/>
  <c r="B87" i="13"/>
  <c r="C87" i="13"/>
  <c r="D87" i="13"/>
  <c r="A88" i="13"/>
  <c r="B88" i="13"/>
  <c r="C88" i="13"/>
  <c r="D88" i="13"/>
  <c r="B71" i="13"/>
  <c r="C71" i="13"/>
  <c r="D71" i="13"/>
  <c r="E71" i="13"/>
  <c r="H71" i="13"/>
  <c r="A71" i="13"/>
  <c r="A41" i="13"/>
  <c r="B41" i="13"/>
  <c r="C41" i="13"/>
  <c r="D41" i="13"/>
  <c r="A42" i="13"/>
  <c r="B42" i="13"/>
  <c r="C42" i="13"/>
  <c r="D42" i="13"/>
  <c r="A43" i="13"/>
  <c r="B43" i="13"/>
  <c r="C43" i="13"/>
  <c r="D43" i="13"/>
  <c r="A44" i="13"/>
  <c r="B44" i="13"/>
  <c r="C44" i="13"/>
  <c r="D44" i="13"/>
  <c r="A45" i="13"/>
  <c r="B45" i="13"/>
  <c r="C45" i="13"/>
  <c r="D45" i="13"/>
  <c r="A46" i="13"/>
  <c r="B46" i="13"/>
  <c r="C46" i="13"/>
  <c r="D46" i="13"/>
  <c r="A47" i="13"/>
  <c r="B47" i="13"/>
  <c r="C47" i="13"/>
  <c r="D47" i="13"/>
  <c r="A48" i="13"/>
  <c r="B48" i="13"/>
  <c r="C48" i="13"/>
  <c r="D48" i="13"/>
  <c r="A49" i="13"/>
  <c r="B49" i="13"/>
  <c r="C49" i="13"/>
  <c r="D49" i="13"/>
  <c r="A31" i="13"/>
  <c r="B31" i="13"/>
  <c r="C31" i="13"/>
  <c r="D31" i="13"/>
  <c r="A32" i="13"/>
  <c r="B32" i="13"/>
  <c r="C32" i="13"/>
  <c r="D32" i="13"/>
  <c r="A33" i="13"/>
  <c r="B33" i="13"/>
  <c r="C33" i="13"/>
  <c r="D33" i="13"/>
  <c r="A34" i="13"/>
  <c r="B34" i="13"/>
  <c r="C34" i="13"/>
  <c r="D34" i="13"/>
  <c r="A35" i="13"/>
  <c r="B35" i="13"/>
  <c r="C35" i="13"/>
  <c r="D35" i="13"/>
  <c r="A36" i="13"/>
  <c r="B36" i="13"/>
  <c r="C36" i="13"/>
  <c r="D36" i="13"/>
  <c r="A37" i="13"/>
  <c r="B37" i="13"/>
  <c r="C37" i="13"/>
  <c r="D37" i="13"/>
  <c r="A38" i="13"/>
  <c r="B38" i="13"/>
  <c r="C38" i="13"/>
  <c r="D38" i="13"/>
  <c r="A39" i="13"/>
  <c r="B39" i="13"/>
  <c r="C39" i="13"/>
  <c r="D39" i="13"/>
  <c r="A40" i="13"/>
  <c r="B40" i="13"/>
  <c r="C40" i="13"/>
  <c r="D40" i="13"/>
  <c r="A22" i="13"/>
  <c r="B22" i="13"/>
  <c r="C22" i="13"/>
  <c r="D22" i="13"/>
  <c r="A23" i="13"/>
  <c r="B23" i="13"/>
  <c r="C23" i="13"/>
  <c r="D23" i="13"/>
  <c r="A24" i="13"/>
  <c r="B24" i="13"/>
  <c r="C24" i="13"/>
  <c r="D24" i="13"/>
  <c r="A25" i="13"/>
  <c r="B25" i="13"/>
  <c r="C25" i="13"/>
  <c r="D25" i="13"/>
  <c r="A26" i="13"/>
  <c r="B26" i="13"/>
  <c r="C26" i="13"/>
  <c r="D26" i="13"/>
  <c r="A27" i="13"/>
  <c r="B27" i="13"/>
  <c r="C27" i="13"/>
  <c r="D27" i="13"/>
  <c r="A28" i="13"/>
  <c r="B28" i="13"/>
  <c r="C28" i="13"/>
  <c r="D28" i="13"/>
  <c r="A29" i="13"/>
  <c r="B29" i="13"/>
  <c r="C29" i="13"/>
  <c r="D29" i="13"/>
  <c r="A30" i="13"/>
  <c r="B30" i="13"/>
  <c r="C30" i="13"/>
  <c r="D30" i="13"/>
  <c r="A3" i="13"/>
  <c r="B3" i="13"/>
  <c r="C3" i="13"/>
  <c r="D3" i="13"/>
  <c r="E3" i="13"/>
  <c r="A4" i="13"/>
  <c r="B4" i="13"/>
  <c r="C4" i="13"/>
  <c r="D4" i="13"/>
  <c r="E4" i="13"/>
  <c r="A5" i="13"/>
  <c r="B5" i="13"/>
  <c r="C5" i="13"/>
  <c r="D5" i="13"/>
  <c r="E5" i="13"/>
  <c r="A6" i="13"/>
  <c r="B6" i="13"/>
  <c r="C6" i="13"/>
  <c r="D6" i="13"/>
  <c r="E6" i="13"/>
  <c r="A7" i="13"/>
  <c r="B7" i="13"/>
  <c r="C7" i="13"/>
  <c r="D7" i="13"/>
  <c r="E7" i="13"/>
  <c r="A8" i="13"/>
  <c r="B8" i="13"/>
  <c r="C8" i="13"/>
  <c r="D8" i="13"/>
  <c r="E8" i="13"/>
  <c r="A9" i="13"/>
  <c r="B9" i="13"/>
  <c r="C9" i="13"/>
  <c r="D9" i="13"/>
  <c r="E9" i="13"/>
  <c r="A10" i="13"/>
  <c r="B10" i="13"/>
  <c r="C10" i="13"/>
  <c r="D10" i="13"/>
  <c r="A11" i="13"/>
  <c r="B11" i="13"/>
  <c r="C11" i="13"/>
  <c r="D11" i="13"/>
  <c r="A12" i="13"/>
  <c r="B12" i="13"/>
  <c r="C12" i="13"/>
  <c r="D12" i="13"/>
  <c r="A13" i="13"/>
  <c r="B13" i="13"/>
  <c r="C13" i="13"/>
  <c r="D13" i="13"/>
  <c r="A14" i="13"/>
  <c r="B14" i="13"/>
  <c r="C14" i="13"/>
  <c r="D14" i="13"/>
  <c r="A15" i="13"/>
  <c r="B15" i="13"/>
  <c r="C15" i="13"/>
  <c r="D15" i="13"/>
  <c r="A16" i="13"/>
  <c r="B16" i="13"/>
  <c r="C16" i="13"/>
  <c r="D16" i="13"/>
  <c r="A17" i="13"/>
  <c r="B17" i="13"/>
  <c r="C17" i="13"/>
  <c r="D17" i="13"/>
  <c r="A18" i="13"/>
  <c r="B18" i="13"/>
  <c r="C18" i="13"/>
  <c r="D18" i="13"/>
  <c r="H18" i="13"/>
  <c r="A19" i="13"/>
  <c r="B19" i="13"/>
  <c r="C19" i="13"/>
  <c r="D19" i="13"/>
  <c r="A20" i="13"/>
  <c r="B20" i="13"/>
  <c r="C20" i="13"/>
  <c r="D20" i="13"/>
  <c r="A21" i="13"/>
  <c r="B21" i="13"/>
  <c r="C21" i="13"/>
  <c r="D21" i="13"/>
  <c r="B2" i="13"/>
  <c r="C2" i="13"/>
  <c r="D2" i="13"/>
  <c r="E2" i="13"/>
  <c r="H2" i="13"/>
  <c r="AL38" i="21"/>
  <c r="AL9" i="21"/>
  <c r="AM9" i="21"/>
  <c r="AN9" i="21"/>
  <c r="AO9" i="21"/>
  <c r="AP9" i="21"/>
  <c r="AQ9" i="21"/>
  <c r="AR9" i="21"/>
  <c r="AS9" i="21"/>
  <c r="AT9" i="21"/>
  <c r="AU9" i="21"/>
  <c r="AV9" i="21"/>
  <c r="AW9" i="21"/>
  <c r="AX9" i="21"/>
  <c r="AY9" i="21"/>
  <c r="AZ9" i="21"/>
  <c r="BA9" i="21"/>
  <c r="BB9" i="21"/>
  <c r="BC9" i="21"/>
  <c r="BD9" i="21"/>
  <c r="BE9" i="21"/>
  <c r="BF9" i="21"/>
  <c r="BG9" i="21"/>
  <c r="BH9" i="21"/>
  <c r="BI9" i="21"/>
  <c r="BJ9" i="21"/>
  <c r="BK9" i="21"/>
  <c r="BL9" i="21"/>
  <c r="BM9" i="21"/>
  <c r="BN9" i="21"/>
  <c r="BO9" i="21"/>
  <c r="BP9" i="21"/>
  <c r="BQ9" i="21"/>
  <c r="BR9" i="21"/>
  <c r="BS9" i="21"/>
  <c r="BT9" i="21"/>
  <c r="BU9" i="21"/>
  <c r="BV9" i="21"/>
  <c r="BW9" i="21"/>
  <c r="BX9" i="21"/>
  <c r="BY9" i="21"/>
  <c r="BZ9" i="21"/>
  <c r="CA9" i="21"/>
  <c r="CB9" i="21"/>
  <c r="CC9" i="21"/>
  <c r="CD9" i="21"/>
  <c r="CE9" i="21"/>
  <c r="CF9" i="21"/>
  <c r="CG9" i="21"/>
  <c r="CH9" i="21"/>
  <c r="CI9" i="21"/>
  <c r="CJ9" i="21"/>
  <c r="CK9" i="21"/>
  <c r="CL9" i="21"/>
  <c r="CM9" i="21"/>
  <c r="AK9" i="21"/>
  <c r="AB35" i="21" l="1"/>
  <c r="AB34" i="21"/>
  <c r="P34" i="21"/>
  <c r="Q34" i="21"/>
  <c r="R34" i="21"/>
  <c r="S34" i="21"/>
  <c r="T34" i="21"/>
  <c r="U34" i="21"/>
  <c r="V34" i="21"/>
  <c r="W34" i="21"/>
  <c r="X34" i="21"/>
  <c r="Y34" i="21"/>
  <c r="Z34" i="21"/>
  <c r="P35" i="21"/>
  <c r="Q35" i="21"/>
  <c r="R35" i="21"/>
  <c r="S35" i="21"/>
  <c r="T35" i="21"/>
  <c r="U35" i="21"/>
  <c r="V35" i="21"/>
  <c r="W35" i="21"/>
  <c r="X35" i="21"/>
  <c r="Y35" i="21"/>
  <c r="Z35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P33" i="21" s="1"/>
  <c r="Q29" i="21"/>
  <c r="Q33" i="21" s="1"/>
  <c r="R29" i="21"/>
  <c r="R33" i="21" s="1"/>
  <c r="S29" i="21"/>
  <c r="S33" i="21" s="1"/>
  <c r="T29" i="21"/>
  <c r="T33" i="21" s="1"/>
  <c r="U29" i="21"/>
  <c r="U33" i="21" s="1"/>
  <c r="V29" i="21"/>
  <c r="V33" i="21" s="1"/>
  <c r="W29" i="21"/>
  <c r="W33" i="21" s="1"/>
  <c r="X29" i="21"/>
  <c r="X33" i="21" s="1"/>
  <c r="Y29" i="21"/>
  <c r="Y33" i="21" s="1"/>
  <c r="Z29" i="21"/>
  <c r="Z33" i="21" s="1"/>
  <c r="C29" i="21"/>
  <c r="E33" i="20" l="1"/>
  <c r="F33" i="20"/>
  <c r="G33" i="20"/>
  <c r="D34" i="20"/>
  <c r="E34" i="20"/>
  <c r="E36" i="20" s="1"/>
  <c r="E37" i="20" s="1"/>
  <c r="F34" i="20"/>
  <c r="F36" i="20" s="1"/>
  <c r="F37" i="20" s="1"/>
  <c r="G34" i="20"/>
  <c r="H34" i="20"/>
  <c r="I34" i="20"/>
  <c r="J34" i="20"/>
  <c r="K34" i="20"/>
  <c r="L34" i="20"/>
  <c r="D35" i="20"/>
  <c r="E35" i="20"/>
  <c r="F35" i="20"/>
  <c r="G35" i="20"/>
  <c r="H35" i="20"/>
  <c r="I35" i="20"/>
  <c r="J35" i="20"/>
  <c r="K35" i="20"/>
  <c r="L35" i="20"/>
  <c r="C35" i="20"/>
  <c r="C34" i="20"/>
  <c r="D31" i="20"/>
  <c r="D33" i="20" s="1"/>
  <c r="D36" i="20" s="1"/>
  <c r="D37" i="20" s="1"/>
  <c r="E31" i="20"/>
  <c r="F31" i="20"/>
  <c r="G31" i="20"/>
  <c r="H31" i="20"/>
  <c r="H33" i="20" s="1"/>
  <c r="I31" i="20"/>
  <c r="I33" i="20" s="1"/>
  <c r="J31" i="20"/>
  <c r="J33" i="20" s="1"/>
  <c r="K31" i="20"/>
  <c r="K33" i="20" s="1"/>
  <c r="L31" i="20"/>
  <c r="L33" i="20" s="1"/>
  <c r="C31" i="20"/>
  <c r="H36" i="20" l="1"/>
  <c r="H37" i="20" s="1"/>
  <c r="G36" i="20"/>
  <c r="G37" i="20" s="1"/>
  <c r="L36" i="20"/>
  <c r="L37" i="20" s="1"/>
  <c r="K36" i="20"/>
  <c r="K37" i="20" s="1"/>
  <c r="J36" i="20"/>
  <c r="J37" i="20" s="1"/>
  <c r="I36" i="20"/>
  <c r="I37" i="20" s="1"/>
  <c r="C33" i="20" l="1"/>
  <c r="C34" i="21" l="1"/>
  <c r="F33" i="21"/>
  <c r="G33" i="21"/>
  <c r="I33" i="21"/>
  <c r="J33" i="21"/>
  <c r="K33" i="21"/>
  <c r="L33" i="21"/>
  <c r="M33" i="21"/>
  <c r="N33" i="21"/>
  <c r="O33" i="21"/>
  <c r="C33" i="21"/>
  <c r="AG35" i="21"/>
  <c r="AF35" i="21"/>
  <c r="AE35" i="21"/>
  <c r="AD35" i="21"/>
  <c r="AC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AG34" i="21"/>
  <c r="AF34" i="21"/>
  <c r="AE34" i="21"/>
  <c r="AD34" i="21"/>
  <c r="AC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H33" i="21"/>
  <c r="E33" i="21"/>
  <c r="D33" i="21"/>
  <c r="I8" i="21"/>
  <c r="I6" i="21"/>
  <c r="H164" i="13" s="1"/>
  <c r="F6" i="21"/>
  <c r="O34" i="20"/>
  <c r="O35" i="20"/>
  <c r="T35" i="20"/>
  <c r="S35" i="20"/>
  <c r="R35" i="20"/>
  <c r="Q35" i="20"/>
  <c r="P35" i="20"/>
  <c r="T34" i="20"/>
  <c r="S34" i="20"/>
  <c r="R34" i="20"/>
  <c r="Q34" i="20"/>
  <c r="P34" i="20"/>
  <c r="I8" i="20"/>
  <c r="I6" i="20"/>
  <c r="H157" i="13" s="1"/>
  <c r="F6" i="20"/>
  <c r="O35" i="18"/>
  <c r="O34" i="18"/>
  <c r="N34" i="18"/>
  <c r="O33" i="18"/>
  <c r="O36" i="18" s="1"/>
  <c r="C35" i="18"/>
  <c r="C34" i="18"/>
  <c r="U35" i="18"/>
  <c r="S35" i="18"/>
  <c r="R35" i="18"/>
  <c r="Q34" i="18"/>
  <c r="G35" i="18"/>
  <c r="D35" i="18"/>
  <c r="D34" i="18"/>
  <c r="F33" i="18"/>
  <c r="G33" i="18"/>
  <c r="H33" i="18"/>
  <c r="I33" i="18"/>
  <c r="J33" i="18"/>
  <c r="C33" i="18"/>
  <c r="I29" i="18"/>
  <c r="D29" i="18"/>
  <c r="D33" i="18" s="1"/>
  <c r="E29" i="18"/>
  <c r="E33" i="18" s="1"/>
  <c r="F29" i="18"/>
  <c r="G29" i="18"/>
  <c r="H29" i="18"/>
  <c r="J29" i="18"/>
  <c r="K29" i="18"/>
  <c r="K33" i="18" s="1"/>
  <c r="L29" i="18"/>
  <c r="L33" i="18" s="1"/>
  <c r="M29" i="18"/>
  <c r="M33" i="18" s="1"/>
  <c r="N29" i="18"/>
  <c r="N33" i="18" s="1"/>
  <c r="O29" i="18"/>
  <c r="C29" i="18"/>
  <c r="V35" i="18"/>
  <c r="T35" i="18"/>
  <c r="Q35" i="18"/>
  <c r="N35" i="18"/>
  <c r="M35" i="18"/>
  <c r="L35" i="18"/>
  <c r="K35" i="18"/>
  <c r="J35" i="18"/>
  <c r="I35" i="18"/>
  <c r="H35" i="18"/>
  <c r="F35" i="18"/>
  <c r="E35" i="18"/>
  <c r="V34" i="18"/>
  <c r="U34" i="18"/>
  <c r="T34" i="18"/>
  <c r="S34" i="18"/>
  <c r="R34" i="18"/>
  <c r="M34" i="18"/>
  <c r="L34" i="18"/>
  <c r="K34" i="18"/>
  <c r="J34" i="18"/>
  <c r="I34" i="18"/>
  <c r="H34" i="18"/>
  <c r="G34" i="18"/>
  <c r="F34" i="18"/>
  <c r="E34" i="18"/>
  <c r="I8" i="18"/>
  <c r="H152" i="13" s="1"/>
  <c r="I6" i="18"/>
  <c r="H150" i="13" s="1"/>
  <c r="F6" i="18"/>
  <c r="F7" i="21" l="1"/>
  <c r="E164" i="13"/>
  <c r="C36" i="21"/>
  <c r="C37" i="21" s="1"/>
  <c r="I9" i="21"/>
  <c r="H166" i="13"/>
  <c r="U36" i="21"/>
  <c r="U37" i="21" s="1"/>
  <c r="T36" i="21"/>
  <c r="T37" i="21" s="1"/>
  <c r="Y36" i="21"/>
  <c r="Y37" i="21" s="1"/>
  <c r="S36" i="21"/>
  <c r="S37" i="21" s="1"/>
  <c r="Q36" i="21"/>
  <c r="Q37" i="21" s="1"/>
  <c r="X36" i="21"/>
  <c r="X37" i="21" s="1"/>
  <c r="W36" i="21"/>
  <c r="W37" i="21" s="1"/>
  <c r="Z36" i="21"/>
  <c r="Z37" i="21" s="1"/>
  <c r="R36" i="21"/>
  <c r="R37" i="21" s="1"/>
  <c r="P36" i="21"/>
  <c r="P37" i="21" s="1"/>
  <c r="V36" i="21"/>
  <c r="V37" i="21" s="1"/>
  <c r="F7" i="20"/>
  <c r="E157" i="13"/>
  <c r="I9" i="20"/>
  <c r="H159" i="13"/>
  <c r="F7" i="18"/>
  <c r="E150" i="13"/>
  <c r="O37" i="18"/>
  <c r="F36" i="18"/>
  <c r="I9" i="18"/>
  <c r="I36" i="21"/>
  <c r="I37" i="21" s="1"/>
  <c r="M36" i="21"/>
  <c r="M37" i="21" s="1"/>
  <c r="D36" i="21"/>
  <c r="D37" i="21" s="1"/>
  <c r="F36" i="21"/>
  <c r="F37" i="21" s="1"/>
  <c r="J36" i="21"/>
  <c r="J37" i="21" s="1"/>
  <c r="L36" i="21"/>
  <c r="L37" i="21" s="1"/>
  <c r="O36" i="21"/>
  <c r="O37" i="21" s="1"/>
  <c r="E36" i="21"/>
  <c r="E37" i="21" s="1"/>
  <c r="K36" i="21"/>
  <c r="K37" i="21" s="1"/>
  <c r="N36" i="21"/>
  <c r="N37" i="21" s="1"/>
  <c r="G36" i="21"/>
  <c r="G37" i="21" s="1"/>
  <c r="H36" i="21"/>
  <c r="H37" i="21" s="1"/>
  <c r="C36" i="20"/>
  <c r="C36" i="18"/>
  <c r="D36" i="18"/>
  <c r="E36" i="18"/>
  <c r="C37" i="18"/>
  <c r="D37" i="18"/>
  <c r="E37" i="18"/>
  <c r="J36" i="18"/>
  <c r="J37" i="18" s="1"/>
  <c r="F37" i="18"/>
  <c r="K36" i="18"/>
  <c r="K37" i="18" s="1"/>
  <c r="H36" i="18"/>
  <c r="H37" i="18" s="1"/>
  <c r="I36" i="18"/>
  <c r="I37" i="18" s="1"/>
  <c r="L36" i="18"/>
  <c r="L37" i="18" s="1"/>
  <c r="M36" i="18"/>
  <c r="M37" i="18" s="1"/>
  <c r="G36" i="18"/>
  <c r="G37" i="18" s="1"/>
  <c r="N36" i="18"/>
  <c r="N37" i="18" s="1"/>
  <c r="T34" i="16"/>
  <c r="Q34" i="16"/>
  <c r="Q35" i="16"/>
  <c r="D34" i="16"/>
  <c r="D33" i="16"/>
  <c r="C33" i="16"/>
  <c r="I10" i="9"/>
  <c r="AB73" i="9"/>
  <c r="AC73" i="9"/>
  <c r="AB72" i="9"/>
  <c r="AC72" i="9"/>
  <c r="AD72" i="9"/>
  <c r="F13" i="8"/>
  <c r="E119" i="13" s="1"/>
  <c r="F12" i="8"/>
  <c r="E118" i="13" s="1"/>
  <c r="F11" i="8"/>
  <c r="E117" i="13" s="1"/>
  <c r="F10" i="8"/>
  <c r="E116" i="13" s="1"/>
  <c r="F9" i="8"/>
  <c r="E115" i="13" s="1"/>
  <c r="I6" i="8"/>
  <c r="H112" i="13" s="1"/>
  <c r="O14" i="8"/>
  <c r="U63" i="8" a="1"/>
  <c r="U63" i="8" s="1"/>
  <c r="T63" i="8" a="1"/>
  <c r="T63" i="8" s="1"/>
  <c r="U62" i="8" a="1"/>
  <c r="U62" i="8" s="1"/>
  <c r="T62" i="8" a="1"/>
  <c r="T62" i="8" s="1"/>
  <c r="U61" i="8" a="1"/>
  <c r="U61" i="8" s="1"/>
  <c r="T61" i="8" a="1"/>
  <c r="T61" i="8" s="1"/>
  <c r="U60" i="8" a="1"/>
  <c r="U60" i="8" s="1"/>
  <c r="T60" i="8" a="1"/>
  <c r="T60" i="8" s="1"/>
  <c r="U58" i="8" a="1"/>
  <c r="U58" i="8" s="1"/>
  <c r="T58" i="8" a="1"/>
  <c r="T58" i="8" s="1"/>
  <c r="U57" i="8" a="1"/>
  <c r="U57" i="8" s="1"/>
  <c r="T57" i="8" a="1"/>
  <c r="T57" i="8" s="1"/>
  <c r="U56" i="8" a="1"/>
  <c r="U56" i="8" s="1"/>
  <c r="T56" i="8" a="1"/>
  <c r="T56" i="8" s="1"/>
  <c r="U55" i="8" a="1"/>
  <c r="U55" i="8" s="1"/>
  <c r="T55" i="8" a="1"/>
  <c r="T55" i="8" s="1"/>
  <c r="U54" i="8" a="1"/>
  <c r="U54" i="8" s="1"/>
  <c r="T54" i="8" a="1"/>
  <c r="T54" i="8" s="1"/>
  <c r="U53" i="8" a="1"/>
  <c r="U53" i="8" s="1"/>
  <c r="T53" i="8" a="1"/>
  <c r="T53" i="8" s="1"/>
  <c r="U52" i="8" a="1"/>
  <c r="U52" i="8" s="1"/>
  <c r="T52" i="8" a="1"/>
  <c r="T52" i="8" s="1"/>
  <c r="U51" i="8" a="1"/>
  <c r="U51" i="8" s="1"/>
  <c r="T51" i="8" a="1"/>
  <c r="T51" i="8" s="1"/>
  <c r="U50" i="8" a="1"/>
  <c r="U50" i="8" s="1"/>
  <c r="T50" i="8" a="1"/>
  <c r="T50" i="8" s="1"/>
  <c r="U49" i="8" a="1"/>
  <c r="U49" i="8" s="1"/>
  <c r="T49" i="8" a="1"/>
  <c r="T49" i="8" s="1"/>
  <c r="U48" i="8" a="1"/>
  <c r="U48" i="8" s="1"/>
  <c r="T48" i="8" a="1"/>
  <c r="T48" i="8" s="1"/>
  <c r="U47" i="8" a="1"/>
  <c r="U47" i="8" s="1"/>
  <c r="T47" i="8" a="1"/>
  <c r="T47" i="8" s="1"/>
  <c r="U45" i="8" a="1"/>
  <c r="U45" i="8" s="1"/>
  <c r="T45" i="8" a="1"/>
  <c r="T45" i="8" s="1"/>
  <c r="U44" i="8" a="1"/>
  <c r="U44" i="8" s="1"/>
  <c r="T44" i="8" a="1"/>
  <c r="T44" i="8" s="1"/>
  <c r="U43" i="8" a="1"/>
  <c r="U43" i="8" s="1"/>
  <c r="T43" i="8" a="1"/>
  <c r="T43" i="8" s="1"/>
  <c r="U42" i="8" a="1"/>
  <c r="U42" i="8" s="1"/>
  <c r="T42" i="8" a="1"/>
  <c r="T42" i="8" s="1"/>
  <c r="U40" i="8" a="1"/>
  <c r="U40" i="8" s="1"/>
  <c r="U41" i="8" s="1"/>
  <c r="T40" i="8" a="1"/>
  <c r="T40" i="8" s="1"/>
  <c r="T41" i="8" s="1"/>
  <c r="C72" i="8"/>
  <c r="N15" i="8" s="1"/>
  <c r="C71" i="8"/>
  <c r="N14" i="8" s="1"/>
  <c r="C70" i="8"/>
  <c r="N13" i="8" s="1"/>
  <c r="C69" i="8"/>
  <c r="N12" i="8" s="1"/>
  <c r="D72" i="8"/>
  <c r="O15" i="8" s="1"/>
  <c r="D71" i="8"/>
  <c r="D70" i="8"/>
  <c r="O13" i="8" s="1"/>
  <c r="D69" i="8"/>
  <c r="O12" i="8" s="1"/>
  <c r="N116" i="8"/>
  <c r="O116" i="8"/>
  <c r="N115" i="8"/>
  <c r="O115" i="8"/>
  <c r="P115" i="8"/>
  <c r="I8" i="15"/>
  <c r="H107" i="13" s="1"/>
  <c r="L35" i="15"/>
  <c r="M35" i="15"/>
  <c r="L34" i="15"/>
  <c r="M34" i="15"/>
  <c r="N34" i="15"/>
  <c r="I8" i="16"/>
  <c r="H100" i="13" s="1"/>
  <c r="R35" i="16"/>
  <c r="V34" i="16"/>
  <c r="U34" i="16"/>
  <c r="S34" i="16"/>
  <c r="R34" i="16"/>
  <c r="F7" i="17"/>
  <c r="E92" i="13" s="1"/>
  <c r="I6" i="17"/>
  <c r="H91" i="13" s="1"/>
  <c r="F6" i="17"/>
  <c r="E91" i="13" s="1"/>
  <c r="F12" i="5"/>
  <c r="F11" i="5"/>
  <c r="F10" i="5"/>
  <c r="E76" i="13" s="1"/>
  <c r="F9" i="5"/>
  <c r="E75" i="13" s="1"/>
  <c r="F8" i="5"/>
  <c r="E74" i="13" s="1"/>
  <c r="I6" i="5"/>
  <c r="P37" i="17"/>
  <c r="Q37" i="17"/>
  <c r="R36" i="17"/>
  <c r="S36" i="17"/>
  <c r="T36" i="17"/>
  <c r="U36" i="17"/>
  <c r="P36" i="17"/>
  <c r="Q36" i="17"/>
  <c r="F20" i="10"/>
  <c r="E17" i="13" s="1"/>
  <c r="F19" i="10"/>
  <c r="E16" i="13" s="1"/>
  <c r="F18" i="10"/>
  <c r="E15" i="13" s="1"/>
  <c r="F17" i="10"/>
  <c r="E14" i="13" s="1"/>
  <c r="F16" i="10"/>
  <c r="F15" i="10"/>
  <c r="E12" i="13" s="1"/>
  <c r="F14" i="10"/>
  <c r="E11" i="13" s="1"/>
  <c r="F13" i="10"/>
  <c r="I6" i="10"/>
  <c r="H3" i="13" s="1"/>
  <c r="AB5" i="3" a="1"/>
  <c r="AB5" i="3"/>
  <c r="AC5" i="3" a="1"/>
  <c r="AC5" i="3" s="1"/>
  <c r="AB6" i="3" a="1"/>
  <c r="AB6" i="3"/>
  <c r="AC6" i="3" a="1"/>
  <c r="AC6" i="3" s="1"/>
  <c r="AB7" i="3" a="1"/>
  <c r="AB7" i="3"/>
  <c r="AC7" i="3" a="1"/>
  <c r="AC7" i="3"/>
  <c r="AB8" i="3" a="1"/>
  <c r="AB8" i="3" s="1"/>
  <c r="AC8" i="3" a="1"/>
  <c r="AC8" i="3" s="1"/>
  <c r="AB9" i="3" a="1"/>
  <c r="AB9" i="3"/>
  <c r="AC9" i="3" a="1"/>
  <c r="AC9" i="3" s="1"/>
  <c r="AB10" i="3" a="1"/>
  <c r="AB10" i="3"/>
  <c r="AC10" i="3" a="1"/>
  <c r="AC10" i="3" s="1"/>
  <c r="AB11" i="3" a="1"/>
  <c r="AB11" i="3" s="1"/>
  <c r="AC11" i="3" a="1"/>
  <c r="AC11" i="3" s="1"/>
  <c r="AB27" i="3" a="1"/>
  <c r="AB27" i="3"/>
  <c r="AC27" i="3" a="1"/>
  <c r="AC27" i="3"/>
  <c r="AB28" i="3" a="1"/>
  <c r="AB28" i="3"/>
  <c r="AC28" i="3" a="1"/>
  <c r="AC28" i="3" s="1"/>
  <c r="AB29" i="3" a="1"/>
  <c r="AB29" i="3"/>
  <c r="AC29" i="3" a="1"/>
  <c r="AC29" i="3"/>
  <c r="AB30" i="3" a="1"/>
  <c r="AB30" i="3" s="1"/>
  <c r="AC30" i="3" a="1"/>
  <c r="AC30" i="3" s="1"/>
  <c r="AB31" i="3" a="1"/>
  <c r="AB31" i="3"/>
  <c r="AC31" i="3" a="1"/>
  <c r="AC31" i="3" s="1"/>
  <c r="AB32" i="3" a="1"/>
  <c r="AB32" i="3"/>
  <c r="AC32" i="3" a="1"/>
  <c r="AC32" i="3"/>
  <c r="AB33" i="3" a="1"/>
  <c r="AB33" i="3" s="1"/>
  <c r="AC33" i="3" a="1"/>
  <c r="AC33" i="3" s="1"/>
  <c r="AB34" i="3" a="1"/>
  <c r="AB34" i="3"/>
  <c r="AC34" i="3" a="1"/>
  <c r="AC34" i="3" s="1"/>
  <c r="AB35" i="3" a="1"/>
  <c r="AB35" i="3"/>
  <c r="AC35" i="3" a="1"/>
  <c r="AC35" i="3"/>
  <c r="AB36" i="3" a="1"/>
  <c r="AB36" i="3" s="1"/>
  <c r="AC36" i="3" a="1"/>
  <c r="AC36" i="3" s="1"/>
  <c r="AB37" i="3" a="1"/>
  <c r="AB37" i="3"/>
  <c r="AC37" i="3" a="1"/>
  <c r="AC37" i="3" s="1"/>
  <c r="AB38" i="3" a="1"/>
  <c r="AB38" i="3"/>
  <c r="AC38" i="3" a="1"/>
  <c r="AC38" i="3"/>
  <c r="AB39" i="3" a="1"/>
  <c r="AB39" i="3" s="1"/>
  <c r="AC39" i="3" a="1"/>
  <c r="AC39" i="3" s="1"/>
  <c r="AB40" i="3" a="1"/>
  <c r="AB40" i="3"/>
  <c r="AC40" i="3" a="1"/>
  <c r="AC40" i="3" s="1"/>
  <c r="AB41" i="3" a="1"/>
  <c r="AB41" i="3"/>
  <c r="AC41" i="3" a="1"/>
  <c r="AC41" i="3"/>
  <c r="AB42" i="3" a="1"/>
  <c r="AB42" i="3" s="1"/>
  <c r="AC42" i="3" a="1"/>
  <c r="AC42" i="3" s="1"/>
  <c r="AB43" i="3" a="1"/>
  <c r="AB43" i="3"/>
  <c r="AC43" i="3" a="1"/>
  <c r="AC43" i="3" s="1"/>
  <c r="AB44" i="3" a="1"/>
  <c r="AB44" i="3"/>
  <c r="AC44" i="3" a="1"/>
  <c r="AC44" i="3"/>
  <c r="AB45" i="3" a="1"/>
  <c r="AB45" i="3" s="1"/>
  <c r="AC45" i="3" a="1"/>
  <c r="AC45" i="3" s="1"/>
  <c r="AB46" i="3" a="1"/>
  <c r="AB46" i="3"/>
  <c r="AC46" i="3" a="1"/>
  <c r="AC46" i="3" s="1"/>
  <c r="AB47" i="3" a="1"/>
  <c r="AB47" i="3"/>
  <c r="AC47" i="3" a="1"/>
  <c r="AC47" i="3" s="1"/>
  <c r="AB48" i="3" a="1"/>
  <c r="AB48" i="3" s="1"/>
  <c r="AC48" i="3" a="1"/>
  <c r="AC48" i="3" s="1"/>
  <c r="AB49" i="3" a="1"/>
  <c r="AB49" i="3"/>
  <c r="AC49" i="3" a="1"/>
  <c r="AC49" i="3" s="1"/>
  <c r="AB50" i="3" a="1"/>
  <c r="AB50" i="3"/>
  <c r="AC50" i="3" a="1"/>
  <c r="AC50" i="3" s="1"/>
  <c r="AB51" i="3" a="1"/>
  <c r="AB51" i="3" s="1"/>
  <c r="AC51" i="3" a="1"/>
  <c r="AC51" i="3" s="1"/>
  <c r="AB52" i="3" a="1"/>
  <c r="AB52" i="3" s="1"/>
  <c r="AC52" i="3" a="1"/>
  <c r="AC52" i="3" s="1"/>
  <c r="AB53" i="3" a="1"/>
  <c r="AB53" i="3" s="1"/>
  <c r="AC53" i="3" a="1"/>
  <c r="AC53" i="3" s="1"/>
  <c r="AB54" i="3" a="1"/>
  <c r="AB54" i="3" s="1"/>
  <c r="AC54" i="3" a="1"/>
  <c r="AC54" i="3" s="1"/>
  <c r="AB55" i="3" a="1"/>
  <c r="AB55" i="3" s="1"/>
  <c r="AC55" i="3" a="1"/>
  <c r="AC55" i="3" s="1"/>
  <c r="I10" i="21" l="1"/>
  <c r="H168" i="13" s="1"/>
  <c r="H167" i="13"/>
  <c r="E165" i="13"/>
  <c r="F8" i="21"/>
  <c r="E166" i="13" s="1"/>
  <c r="I10" i="20"/>
  <c r="H161" i="13" s="1"/>
  <c r="H160" i="13"/>
  <c r="F8" i="20"/>
  <c r="E158" i="13"/>
  <c r="V37" i="18" a="1"/>
  <c r="V37" i="18" s="1"/>
  <c r="R37" i="18" a="1"/>
  <c r="R37" i="18" s="1"/>
  <c r="U37" i="18" a="1"/>
  <c r="U37" i="18" s="1"/>
  <c r="Q37" i="18" a="1"/>
  <c r="Q37" i="18" s="1"/>
  <c r="S37" i="18" a="1"/>
  <c r="S37" i="18" s="1"/>
  <c r="S33" i="18" s="1"/>
  <c r="P15" i="18" s="1"/>
  <c r="T37" i="18" a="1"/>
  <c r="T37" i="18" s="1"/>
  <c r="T33" i="18" s="1"/>
  <c r="Q15" i="18" s="1"/>
  <c r="I10" i="18"/>
  <c r="H154" i="13" s="1"/>
  <c r="H153" i="13"/>
  <c r="F8" i="18"/>
  <c r="E151" i="13"/>
  <c r="I11" i="9"/>
  <c r="H141" i="13"/>
  <c r="T46" i="8"/>
  <c r="T59" i="8"/>
  <c r="T64" i="8"/>
  <c r="G72" i="8" s="1"/>
  <c r="R15" i="8" s="1"/>
  <c r="I7" i="8"/>
  <c r="F14" i="8"/>
  <c r="U46" i="8"/>
  <c r="U59" i="8"/>
  <c r="U64" i="8"/>
  <c r="F15" i="8"/>
  <c r="F16" i="8"/>
  <c r="I9" i="15"/>
  <c r="I9" i="16"/>
  <c r="F14" i="5"/>
  <c r="E77" i="13"/>
  <c r="F15" i="5"/>
  <c r="E78" i="13"/>
  <c r="F13" i="5"/>
  <c r="I7" i="5"/>
  <c r="H72" i="13"/>
  <c r="E10" i="13"/>
  <c r="E13" i="13"/>
  <c r="F22" i="10"/>
  <c r="F25" i="10"/>
  <c r="F33" i="10" s="1"/>
  <c r="F26" i="10"/>
  <c r="F34" i="10" s="1"/>
  <c r="F27" i="10"/>
  <c r="E24" i="13" s="1"/>
  <c r="F28" i="10"/>
  <c r="F21" i="10"/>
  <c r="I7" i="10"/>
  <c r="F23" i="10"/>
  <c r="F24" i="10"/>
  <c r="AB37" i="21" a="1"/>
  <c r="AB37" i="21" s="1"/>
  <c r="AB33" i="21" s="1"/>
  <c r="N15" i="21" s="1"/>
  <c r="AF37" i="21" a="1"/>
  <c r="AF37" i="21" s="1"/>
  <c r="AF33" i="21" s="1"/>
  <c r="R15" i="21" s="1"/>
  <c r="C37" i="20"/>
  <c r="AG37" i="21" a="1"/>
  <c r="AG37" i="21" s="1"/>
  <c r="AC37" i="21" a="1"/>
  <c r="AC37" i="21" s="1"/>
  <c r="AC33" i="21" s="1"/>
  <c r="O15" i="21" s="1"/>
  <c r="AD37" i="21" a="1"/>
  <c r="AD37" i="21" s="1"/>
  <c r="AD33" i="21" s="1"/>
  <c r="P15" i="21" s="1"/>
  <c r="AE37" i="21" a="1"/>
  <c r="AE37" i="21" s="1"/>
  <c r="AE33" i="21" s="1"/>
  <c r="Q15" i="21" s="1"/>
  <c r="V33" i="18"/>
  <c r="S15" i="18" s="1"/>
  <c r="Q33" i="18"/>
  <c r="N15" i="18" s="1"/>
  <c r="U33" i="18"/>
  <c r="R15" i="18" s="1"/>
  <c r="T65" i="8"/>
  <c r="G69" i="8" s="1"/>
  <c r="R12" i="8" s="1"/>
  <c r="U65" i="8"/>
  <c r="H70" i="8" s="1"/>
  <c r="S13" i="8" s="1"/>
  <c r="H71" i="8"/>
  <c r="S14" i="8" s="1"/>
  <c r="N37" i="17"/>
  <c r="M37" i="17"/>
  <c r="L37" i="17"/>
  <c r="K37" i="17"/>
  <c r="J37" i="17"/>
  <c r="I37" i="17"/>
  <c r="H37" i="17"/>
  <c r="G37" i="17"/>
  <c r="F37" i="17"/>
  <c r="E37" i="17"/>
  <c r="D37" i="17"/>
  <c r="C37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I8" i="17"/>
  <c r="F8" i="17"/>
  <c r="E33" i="16"/>
  <c r="F33" i="16"/>
  <c r="G33" i="16"/>
  <c r="H33" i="16"/>
  <c r="I33" i="16"/>
  <c r="J33" i="16"/>
  <c r="K33" i="16"/>
  <c r="L33" i="16"/>
  <c r="M33" i="16"/>
  <c r="N33" i="16"/>
  <c r="L34" i="16"/>
  <c r="M34" i="16"/>
  <c r="N34" i="16"/>
  <c r="L35" i="16"/>
  <c r="M35" i="16"/>
  <c r="N35" i="16"/>
  <c r="G34" i="16"/>
  <c r="H34" i="16"/>
  <c r="I34" i="16"/>
  <c r="J34" i="16"/>
  <c r="K34" i="16"/>
  <c r="G35" i="16"/>
  <c r="H35" i="16"/>
  <c r="I35" i="16"/>
  <c r="J35" i="16"/>
  <c r="K35" i="16"/>
  <c r="F35" i="16"/>
  <c r="E35" i="16"/>
  <c r="D35" i="16"/>
  <c r="C35" i="16"/>
  <c r="F34" i="16"/>
  <c r="E34" i="16"/>
  <c r="C34" i="16"/>
  <c r="C36" i="16" s="1"/>
  <c r="I6" i="16"/>
  <c r="H98" i="13" s="1"/>
  <c r="F6" i="16"/>
  <c r="AB37" i="2" a="1"/>
  <c r="AB37" i="2" s="1"/>
  <c r="AB38" i="2" a="1"/>
  <c r="AB38" i="2" s="1"/>
  <c r="F9" i="21" l="1"/>
  <c r="F9" i="20"/>
  <c r="E159" i="13"/>
  <c r="P37" i="20" a="1"/>
  <c r="P37" i="20" s="1"/>
  <c r="P33" i="20" s="1"/>
  <c r="O15" i="20" s="1"/>
  <c r="T37" i="20" a="1"/>
  <c r="T37" i="20" s="1"/>
  <c r="T33" i="20" s="1"/>
  <c r="S15" i="20" s="1"/>
  <c r="Q37" i="20" a="1"/>
  <c r="Q37" i="20" s="1"/>
  <c r="Q33" i="20" s="1"/>
  <c r="P15" i="20" s="1"/>
  <c r="O37" i="20" a="1"/>
  <c r="O37" i="20" s="1"/>
  <c r="O33" i="20" s="1"/>
  <c r="N15" i="20" s="1"/>
  <c r="H5" i="20" s="1" a="1"/>
  <c r="H8" i="20" s="1"/>
  <c r="G159" i="13" s="1"/>
  <c r="S37" i="20" a="1"/>
  <c r="S37" i="20" s="1"/>
  <c r="S33" i="20" s="1"/>
  <c r="R15" i="20" s="1"/>
  <c r="R37" i="20" a="1"/>
  <c r="R37" i="20" s="1"/>
  <c r="R33" i="20" s="1"/>
  <c r="Q15" i="20" s="1"/>
  <c r="F9" i="18"/>
  <c r="E152" i="13"/>
  <c r="I12" i="9"/>
  <c r="H142" i="13"/>
  <c r="H113" i="13"/>
  <c r="I8" i="8"/>
  <c r="H69" i="8"/>
  <c r="S12" i="8" s="1"/>
  <c r="E121" i="13"/>
  <c r="G70" i="8"/>
  <c r="R13" i="8" s="1"/>
  <c r="E122" i="13"/>
  <c r="E120" i="13"/>
  <c r="H72" i="8"/>
  <c r="S15" i="8" s="1"/>
  <c r="G71" i="8"/>
  <c r="R14" i="8" s="1"/>
  <c r="H108" i="13"/>
  <c r="I10" i="15"/>
  <c r="H109" i="13" s="1"/>
  <c r="F36" i="16"/>
  <c r="L36" i="16"/>
  <c r="K36" i="16"/>
  <c r="J36" i="16"/>
  <c r="I36" i="16"/>
  <c r="I37" i="16" s="1"/>
  <c r="H101" i="13"/>
  <c r="I10" i="16"/>
  <c r="H102" i="13" s="1"/>
  <c r="D36" i="16"/>
  <c r="D37" i="16" s="1"/>
  <c r="Q37" i="16" s="1" a="1"/>
  <c r="Q37" i="16" s="1"/>
  <c r="Q33" i="16" s="1"/>
  <c r="N36" i="16"/>
  <c r="N37" i="16" s="1"/>
  <c r="M36" i="16"/>
  <c r="E36" i="16"/>
  <c r="C37" i="16"/>
  <c r="H36" i="16"/>
  <c r="E98" i="13"/>
  <c r="F7" i="16"/>
  <c r="G36" i="16"/>
  <c r="G37" i="16" s="1"/>
  <c r="F9" i="17"/>
  <c r="E93" i="13"/>
  <c r="I9" i="17"/>
  <c r="H93" i="13"/>
  <c r="F16" i="5"/>
  <c r="E79" i="13"/>
  <c r="I8" i="5"/>
  <c r="H73" i="13"/>
  <c r="F18" i="5"/>
  <c r="E81" i="13"/>
  <c r="F17" i="5"/>
  <c r="E80" i="13"/>
  <c r="F35" i="10"/>
  <c r="E23" i="13"/>
  <c r="E22" i="13"/>
  <c r="E19" i="13"/>
  <c r="F30" i="10"/>
  <c r="E18" i="13"/>
  <c r="F29" i="10"/>
  <c r="F42" i="10"/>
  <c r="E31" i="13"/>
  <c r="E25" i="13"/>
  <c r="F36" i="10"/>
  <c r="F41" i="10"/>
  <c r="E30" i="13"/>
  <c r="E21" i="13"/>
  <c r="F32" i="10"/>
  <c r="F43" i="10"/>
  <c r="E32" i="13"/>
  <c r="E20" i="13"/>
  <c r="F31" i="10"/>
  <c r="I8" i="10"/>
  <c r="H4" i="13"/>
  <c r="AG33" i="21"/>
  <c r="S15" i="21" s="1"/>
  <c r="H5" i="21" s="1" a="1"/>
  <c r="R33" i="18"/>
  <c r="O15" i="18" s="1"/>
  <c r="H5" i="18" s="1" a="1"/>
  <c r="L37" i="16"/>
  <c r="J37" i="16"/>
  <c r="M37" i="16"/>
  <c r="H37" i="16"/>
  <c r="K38" i="17"/>
  <c r="K39" i="17" s="1"/>
  <c r="F38" i="17"/>
  <c r="F39" i="17" s="1"/>
  <c r="G38" i="17"/>
  <c r="G39" i="17" s="1"/>
  <c r="L38" i="17"/>
  <c r="L39" i="17" s="1"/>
  <c r="M38" i="17"/>
  <c r="M39" i="17" s="1"/>
  <c r="N38" i="17"/>
  <c r="N39" i="17" s="1"/>
  <c r="H38" i="17"/>
  <c r="H39" i="17" s="1"/>
  <c r="I38" i="17"/>
  <c r="I39" i="17" s="1"/>
  <c r="C38" i="17"/>
  <c r="C39" i="17" s="1"/>
  <c r="D38" i="17"/>
  <c r="D39" i="17" s="1"/>
  <c r="E38" i="17"/>
  <c r="E39" i="17" s="1"/>
  <c r="J38" i="17"/>
  <c r="J39" i="17" s="1"/>
  <c r="K37" i="16"/>
  <c r="E37" i="16"/>
  <c r="F37" i="16"/>
  <c r="F10" i="21" l="1"/>
  <c r="E168" i="13" s="1"/>
  <c r="E167" i="13"/>
  <c r="Q30" i="22"/>
  <c r="K30" i="22" s="1"/>
  <c r="F10" i="20"/>
  <c r="E161" i="13" s="1"/>
  <c r="E160" i="13"/>
  <c r="Q29" i="22"/>
  <c r="K29" i="22" s="1"/>
  <c r="F10" i="18"/>
  <c r="E154" i="13" s="1"/>
  <c r="E153" i="13"/>
  <c r="I13" i="9"/>
  <c r="H143" i="13"/>
  <c r="H114" i="13"/>
  <c r="I9" i="8"/>
  <c r="F8" i="16"/>
  <c r="E99" i="13"/>
  <c r="I10" i="17"/>
  <c r="H95" i="13" s="1"/>
  <c r="H94" i="13"/>
  <c r="F10" i="17"/>
  <c r="E95" i="13" s="1"/>
  <c r="E94" i="13"/>
  <c r="I9" i="5"/>
  <c r="H74" i="13"/>
  <c r="F21" i="5"/>
  <c r="E84" i="13"/>
  <c r="F20" i="5"/>
  <c r="E83" i="13"/>
  <c r="F19" i="5"/>
  <c r="E82" i="13"/>
  <c r="F38" i="10"/>
  <c r="E27" i="13"/>
  <c r="F49" i="10"/>
  <c r="E46" i="13" s="1"/>
  <c r="E38" i="13"/>
  <c r="F39" i="10"/>
  <c r="E28" i="13"/>
  <c r="F44" i="10"/>
  <c r="E33" i="13"/>
  <c r="F51" i="10"/>
  <c r="E48" i="13" s="1"/>
  <c r="E40" i="13"/>
  <c r="F50" i="10"/>
  <c r="E47" i="13" s="1"/>
  <c r="E39" i="13"/>
  <c r="F40" i="10"/>
  <c r="E29" i="13"/>
  <c r="F37" i="10"/>
  <c r="E26" i="13"/>
  <c r="I9" i="10"/>
  <c r="H5" i="13"/>
  <c r="H6" i="21"/>
  <c r="G164" i="13" s="1"/>
  <c r="H10" i="21"/>
  <c r="G168" i="13" s="1"/>
  <c r="H9" i="21"/>
  <c r="G167" i="13" s="1"/>
  <c r="H8" i="21"/>
  <c r="G166" i="13" s="1"/>
  <c r="Q31" i="22" s="1"/>
  <c r="K31" i="22" s="1"/>
  <c r="H7" i="21"/>
  <c r="G165" i="13" s="1"/>
  <c r="H5" i="21"/>
  <c r="G163" i="13" s="1"/>
  <c r="H9" i="20"/>
  <c r="G160" i="13" s="1"/>
  <c r="H10" i="20"/>
  <c r="G161" i="13" s="1"/>
  <c r="H5" i="20"/>
  <c r="G156" i="13" s="1"/>
  <c r="H6" i="20"/>
  <c r="G157" i="13" s="1"/>
  <c r="H7" i="20"/>
  <c r="G158" i="13" s="1"/>
  <c r="H9" i="18"/>
  <c r="G153" i="13" s="1"/>
  <c r="H7" i="18"/>
  <c r="G151" i="13" s="1"/>
  <c r="H8" i="18"/>
  <c r="G152" i="13" s="1"/>
  <c r="H6" i="18"/>
  <c r="G150" i="13" s="1"/>
  <c r="H5" i="18"/>
  <c r="G149" i="13" s="1"/>
  <c r="H10" i="18"/>
  <c r="G154" i="13" s="1"/>
  <c r="R37" i="16" a="1"/>
  <c r="R37" i="16" s="1"/>
  <c r="N15" i="16"/>
  <c r="Q39" i="17" a="1"/>
  <c r="Q39" i="17" s="1"/>
  <c r="Q35" i="17" s="1"/>
  <c r="O17" i="17" s="1"/>
  <c r="P39" i="17" a="1"/>
  <c r="P39" i="17" s="1"/>
  <c r="P35" i="17" s="1"/>
  <c r="N17" i="17" s="1"/>
  <c r="S39" i="17" a="1"/>
  <c r="S39" i="17" s="1"/>
  <c r="U39" i="17" a="1"/>
  <c r="U39" i="17" s="1"/>
  <c r="R39" i="17" a="1"/>
  <c r="R39" i="17" s="1"/>
  <c r="T39" i="17" a="1"/>
  <c r="T39" i="17" s="1"/>
  <c r="T37" i="16" a="1"/>
  <c r="T37" i="16" s="1"/>
  <c r="U37" i="16" a="1"/>
  <c r="U37" i="16" s="1"/>
  <c r="V37" i="16" a="1"/>
  <c r="V37" i="16" s="1"/>
  <c r="S37" i="16" a="1"/>
  <c r="S37" i="16" s="1"/>
  <c r="I14" i="9" l="1"/>
  <c r="H144" i="13"/>
  <c r="I10" i="8"/>
  <c r="H115" i="13"/>
  <c r="F9" i="16"/>
  <c r="E100" i="13"/>
  <c r="F22" i="5"/>
  <c r="E85" i="13"/>
  <c r="E87" i="13"/>
  <c r="I10" i="5"/>
  <c r="H76" i="13" s="1"/>
  <c r="H75" i="13"/>
  <c r="E86" i="13"/>
  <c r="F46" i="10"/>
  <c r="E43" i="13" s="1"/>
  <c r="E35" i="13"/>
  <c r="F47" i="10"/>
  <c r="E44" i="13" s="1"/>
  <c r="E36" i="13"/>
  <c r="I10" i="10"/>
  <c r="H6" i="13"/>
  <c r="F48" i="10"/>
  <c r="E45" i="13" s="1"/>
  <c r="E37" i="13"/>
  <c r="F52" i="10"/>
  <c r="E41" i="13"/>
  <c r="F45" i="10"/>
  <c r="E42" i="13" s="1"/>
  <c r="E34" i="13"/>
  <c r="R33" i="16"/>
  <c r="O15" i="16" s="1"/>
  <c r="N35" i="15"/>
  <c r="D35" i="15"/>
  <c r="E35" i="15"/>
  <c r="F35" i="15"/>
  <c r="C35" i="15"/>
  <c r="C116" i="8"/>
  <c r="C34" i="15"/>
  <c r="D34" i="15"/>
  <c r="E34" i="15"/>
  <c r="F34" i="15"/>
  <c r="C115" i="8"/>
  <c r="D33" i="15"/>
  <c r="E33" i="15"/>
  <c r="F33" i="15"/>
  <c r="C33" i="15"/>
  <c r="F6" i="15"/>
  <c r="I6" i="15"/>
  <c r="H105" i="13" s="1"/>
  <c r="I15" i="9" l="1"/>
  <c r="H145" i="13"/>
  <c r="I11" i="8"/>
  <c r="H116" i="13"/>
  <c r="E105" i="13"/>
  <c r="F7" i="15"/>
  <c r="F10" i="16"/>
  <c r="E102" i="13" s="1"/>
  <c r="E101" i="13"/>
  <c r="E88" i="13"/>
  <c r="E49" i="13"/>
  <c r="I11" i="10"/>
  <c r="H7" i="13"/>
  <c r="C36" i="15"/>
  <c r="C37" i="15" s="1"/>
  <c r="F36" i="15"/>
  <c r="F37" i="15" s="1"/>
  <c r="E36" i="15"/>
  <c r="E37" i="15" s="1"/>
  <c r="D36" i="15"/>
  <c r="D37" i="15" s="1"/>
  <c r="I16" i="9" l="1"/>
  <c r="H147" i="13" s="1"/>
  <c r="H146" i="13"/>
  <c r="I12" i="8"/>
  <c r="H118" i="13" s="1"/>
  <c r="H117" i="13"/>
  <c r="F8" i="15"/>
  <c r="E106" i="13"/>
  <c r="I12" i="10"/>
  <c r="H8" i="13"/>
  <c r="L37" i="15" a="1"/>
  <c r="L37" i="15" s="1"/>
  <c r="L33" i="15" s="1"/>
  <c r="N15" i="15" s="1"/>
  <c r="M37" i="15" a="1"/>
  <c r="M37" i="15" s="1"/>
  <c r="M33" i="15" s="1"/>
  <c r="O15" i="15" s="1"/>
  <c r="N37" i="15" a="1"/>
  <c r="N37" i="15" s="1"/>
  <c r="O37" i="15" a="1"/>
  <c r="O37" i="15" s="1"/>
  <c r="P37" i="15" a="1"/>
  <c r="P37" i="15" s="1"/>
  <c r="Q37" i="15" a="1"/>
  <c r="Q37" i="15" s="1"/>
  <c r="F9" i="15" l="1"/>
  <c r="E107" i="13"/>
  <c r="I13" i="10"/>
  <c r="H9" i="13"/>
  <c r="AG55" i="3" a="1"/>
  <c r="AG55" i="3" s="1"/>
  <c r="AF55" i="3" a="1"/>
  <c r="AF55" i="3" s="1"/>
  <c r="AE55" i="3" a="1"/>
  <c r="AE55" i="3" s="1"/>
  <c r="AD55" i="3" a="1"/>
  <c r="AD55" i="3" s="1"/>
  <c r="AG54" i="3" a="1"/>
  <c r="AG54" i="3" s="1"/>
  <c r="AF54" i="3" a="1"/>
  <c r="AF54" i="3" s="1"/>
  <c r="AE54" i="3" a="1"/>
  <c r="AE54" i="3" s="1"/>
  <c r="AD54" i="3" a="1"/>
  <c r="AD54" i="3" s="1"/>
  <c r="AG53" i="3" a="1"/>
  <c r="AG53" i="3" s="1"/>
  <c r="AF53" i="3" a="1"/>
  <c r="AF53" i="3" s="1"/>
  <c r="AE53" i="3" a="1"/>
  <c r="AE53" i="3" s="1"/>
  <c r="AD53" i="3" a="1"/>
  <c r="AD53" i="3" s="1"/>
  <c r="AG52" i="3" a="1"/>
  <c r="AG52" i="3" s="1"/>
  <c r="AF52" i="3" a="1"/>
  <c r="AF52" i="3" s="1"/>
  <c r="AE52" i="3" a="1"/>
  <c r="AE52" i="3" s="1"/>
  <c r="AD52" i="3" a="1"/>
  <c r="AD52" i="3" s="1"/>
  <c r="AG51" i="3" a="1"/>
  <c r="AG51" i="3" s="1"/>
  <c r="AF51" i="3" a="1"/>
  <c r="AF51" i="3" s="1"/>
  <c r="AE51" i="3" a="1"/>
  <c r="AE51" i="3" s="1"/>
  <c r="AD51" i="3" a="1"/>
  <c r="AD51" i="3" s="1"/>
  <c r="AG50" i="3" a="1"/>
  <c r="AG50" i="3" s="1"/>
  <c r="AF50" i="3" a="1"/>
  <c r="AF50" i="3" s="1"/>
  <c r="AE50" i="3" a="1"/>
  <c r="AE50" i="3" s="1"/>
  <c r="AD50" i="3" a="1"/>
  <c r="AD50" i="3" s="1"/>
  <c r="AG49" i="3" a="1"/>
  <c r="AG49" i="3" s="1"/>
  <c r="AF49" i="3" a="1"/>
  <c r="AF49" i="3" s="1"/>
  <c r="AE49" i="3" a="1"/>
  <c r="AE49" i="3" s="1"/>
  <c r="AD49" i="3" a="1"/>
  <c r="AD49" i="3" s="1"/>
  <c r="AG48" i="3" a="1"/>
  <c r="AG48" i="3" s="1"/>
  <c r="AF48" i="3" a="1"/>
  <c r="AF48" i="3" s="1"/>
  <c r="AE48" i="3" a="1"/>
  <c r="AE48" i="3" s="1"/>
  <c r="AD48" i="3" a="1"/>
  <c r="AD48" i="3" s="1"/>
  <c r="AG47" i="3" a="1"/>
  <c r="AG47" i="3" s="1"/>
  <c r="AF47" i="3" a="1"/>
  <c r="AF47" i="3" s="1"/>
  <c r="AE47" i="3" a="1"/>
  <c r="AE47" i="3" s="1"/>
  <c r="AD47" i="3" a="1"/>
  <c r="AD47" i="3" s="1"/>
  <c r="AG46" i="3" a="1"/>
  <c r="AG46" i="3" s="1"/>
  <c r="AF46" i="3" a="1"/>
  <c r="AF46" i="3" s="1"/>
  <c r="AE46" i="3" a="1"/>
  <c r="AE46" i="3" s="1"/>
  <c r="AD46" i="3" a="1"/>
  <c r="AD46" i="3" s="1"/>
  <c r="AG45" i="3" a="1"/>
  <c r="AG45" i="3" s="1"/>
  <c r="AF45" i="3" a="1"/>
  <c r="AF45" i="3" s="1"/>
  <c r="AE45" i="3" a="1"/>
  <c r="AE45" i="3" s="1"/>
  <c r="AD45" i="3" a="1"/>
  <c r="AD45" i="3" s="1"/>
  <c r="AG44" i="3" a="1"/>
  <c r="AG44" i="3" s="1"/>
  <c r="AF44" i="3" a="1"/>
  <c r="AF44" i="3" s="1"/>
  <c r="AE44" i="3" a="1"/>
  <c r="AE44" i="3" s="1"/>
  <c r="AD44" i="3" a="1"/>
  <c r="AD44" i="3" s="1"/>
  <c r="AG43" i="3" a="1"/>
  <c r="AG43" i="3" s="1"/>
  <c r="AF43" i="3" a="1"/>
  <c r="AF43" i="3" s="1"/>
  <c r="AE43" i="3" a="1"/>
  <c r="AE43" i="3" s="1"/>
  <c r="AD43" i="3" a="1"/>
  <c r="AD43" i="3" s="1"/>
  <c r="AG42" i="3" a="1"/>
  <c r="AG42" i="3" s="1"/>
  <c r="AF42" i="3" a="1"/>
  <c r="AF42" i="3" s="1"/>
  <c r="AE42" i="3" a="1"/>
  <c r="AE42" i="3" s="1"/>
  <c r="AD42" i="3" a="1"/>
  <c r="AD42" i="3" s="1"/>
  <c r="AG41" i="3" a="1"/>
  <c r="AG41" i="3" s="1"/>
  <c r="AF41" i="3" a="1"/>
  <c r="AF41" i="3" s="1"/>
  <c r="AE41" i="3" a="1"/>
  <c r="AE41" i="3" s="1"/>
  <c r="AD41" i="3" a="1"/>
  <c r="AD41" i="3" s="1"/>
  <c r="AG40" i="3" a="1"/>
  <c r="AG40" i="3" s="1"/>
  <c r="AF40" i="3" a="1"/>
  <c r="AF40" i="3" s="1"/>
  <c r="AE40" i="3" a="1"/>
  <c r="AE40" i="3" s="1"/>
  <c r="AD40" i="3" a="1"/>
  <c r="AD40" i="3" s="1"/>
  <c r="AG39" i="3" a="1"/>
  <c r="AG39" i="3" s="1"/>
  <c r="AF39" i="3" a="1"/>
  <c r="AF39" i="3" s="1"/>
  <c r="AE39" i="3" a="1"/>
  <c r="AE39" i="3" s="1"/>
  <c r="AD39" i="3" a="1"/>
  <c r="AD39" i="3" s="1"/>
  <c r="AG38" i="3" a="1"/>
  <c r="AG38" i="3" s="1"/>
  <c r="AF38" i="3" a="1"/>
  <c r="AF38" i="3" s="1"/>
  <c r="AE38" i="3" a="1"/>
  <c r="AE38" i="3" s="1"/>
  <c r="AD38" i="3" a="1"/>
  <c r="AD38" i="3" s="1"/>
  <c r="AG37" i="3" a="1"/>
  <c r="AG37" i="3" s="1"/>
  <c r="AF37" i="3" a="1"/>
  <c r="AF37" i="3" s="1"/>
  <c r="AE37" i="3" a="1"/>
  <c r="AE37" i="3" s="1"/>
  <c r="AD37" i="3" a="1"/>
  <c r="AD37" i="3" s="1"/>
  <c r="AG36" i="3" a="1"/>
  <c r="AG36" i="3" s="1"/>
  <c r="AF36" i="3" a="1"/>
  <c r="AF36" i="3" s="1"/>
  <c r="AE36" i="3" a="1"/>
  <c r="AE36" i="3" s="1"/>
  <c r="AD36" i="3" a="1"/>
  <c r="AD36" i="3" s="1"/>
  <c r="AG35" i="3" a="1"/>
  <c r="AG35" i="3" s="1"/>
  <c r="AF35" i="3" a="1"/>
  <c r="AF35" i="3" s="1"/>
  <c r="AE35" i="3" a="1"/>
  <c r="AE35" i="3" s="1"/>
  <c r="AD35" i="3" a="1"/>
  <c r="AD35" i="3" s="1"/>
  <c r="AG34" i="3" a="1"/>
  <c r="AG34" i="3" s="1"/>
  <c r="AF34" i="3" a="1"/>
  <c r="AF34" i="3" s="1"/>
  <c r="AE34" i="3" a="1"/>
  <c r="AE34" i="3" s="1"/>
  <c r="AD34" i="3" a="1"/>
  <c r="AD34" i="3" s="1"/>
  <c r="AG33" i="3" a="1"/>
  <c r="AG33" i="3" s="1"/>
  <c r="Q34" i="15" s="1"/>
  <c r="AF33" i="3" a="1"/>
  <c r="AF33" i="3" s="1"/>
  <c r="P34" i="15" s="1"/>
  <c r="AE33" i="3" a="1"/>
  <c r="AE33" i="3" s="1"/>
  <c r="O34" i="15" s="1"/>
  <c r="AD33" i="3" a="1"/>
  <c r="AD33" i="3" s="1"/>
  <c r="N33" i="15" s="1"/>
  <c r="P15" i="15" s="1"/>
  <c r="AG32" i="3" a="1"/>
  <c r="AG32" i="3" s="1"/>
  <c r="AF32" i="3" a="1"/>
  <c r="AF32" i="3" s="1"/>
  <c r="AE32" i="3" a="1"/>
  <c r="AE32" i="3" s="1"/>
  <c r="AD32" i="3" a="1"/>
  <c r="AD32" i="3" s="1"/>
  <c r="AG31" i="3" a="1"/>
  <c r="AG31" i="3" s="1"/>
  <c r="AF31" i="3" a="1"/>
  <c r="AF31" i="3" s="1"/>
  <c r="AE31" i="3" a="1"/>
  <c r="AE31" i="3" s="1"/>
  <c r="AD31" i="3" a="1"/>
  <c r="AD31" i="3" s="1"/>
  <c r="AG30" i="3" a="1"/>
  <c r="AG30" i="3" s="1"/>
  <c r="AF30" i="3" a="1"/>
  <c r="AF30" i="3" s="1"/>
  <c r="AE30" i="3" a="1"/>
  <c r="AE30" i="3" s="1"/>
  <c r="AD30" i="3" a="1"/>
  <c r="AD30" i="3" s="1"/>
  <c r="AG29" i="3" a="1"/>
  <c r="AG29" i="3" s="1"/>
  <c r="AF29" i="3" a="1"/>
  <c r="AF29" i="3" s="1"/>
  <c r="AE29" i="3" a="1"/>
  <c r="AE29" i="3" s="1"/>
  <c r="AD29" i="3" a="1"/>
  <c r="AD29" i="3" s="1"/>
  <c r="AG28" i="3" a="1"/>
  <c r="AG28" i="3" s="1"/>
  <c r="AF28" i="3" a="1"/>
  <c r="AF28" i="3" s="1"/>
  <c r="AE28" i="3" a="1"/>
  <c r="AE28" i="3" s="1"/>
  <c r="AD28" i="3" a="1"/>
  <c r="AD28" i="3" s="1"/>
  <c r="AG27" i="3" a="1"/>
  <c r="AG27" i="3" s="1"/>
  <c r="AF27" i="3" a="1"/>
  <c r="AF27" i="3" s="1"/>
  <c r="AE27" i="3" a="1"/>
  <c r="AE27" i="3" s="1"/>
  <c r="AD27" i="3" a="1"/>
  <c r="AD27" i="3" s="1"/>
  <c r="AF5" i="3" a="1"/>
  <c r="AF5" i="3" s="1"/>
  <c r="AG5" i="3" a="1"/>
  <c r="AG5" i="3" s="1"/>
  <c r="AF6" i="3" a="1"/>
  <c r="AF6" i="3"/>
  <c r="AG6" i="3" a="1"/>
  <c r="AG6" i="3"/>
  <c r="AF7" i="3" a="1"/>
  <c r="AF7" i="3" s="1"/>
  <c r="AG7" i="3" a="1"/>
  <c r="AG7" i="3" s="1"/>
  <c r="AF8" i="3" a="1"/>
  <c r="AF8" i="3" s="1"/>
  <c r="AG8" i="3" a="1"/>
  <c r="AG8" i="3" s="1"/>
  <c r="AF9" i="3" a="1"/>
  <c r="AF9" i="3"/>
  <c r="AG9" i="3" a="1"/>
  <c r="AG9" i="3" s="1"/>
  <c r="AF10" i="3" a="1"/>
  <c r="AF10" i="3" s="1"/>
  <c r="AG10" i="3" a="1"/>
  <c r="AG10" i="3" s="1"/>
  <c r="AF11" i="3" a="1"/>
  <c r="AF11" i="3" s="1"/>
  <c r="AG11" i="3" a="1"/>
  <c r="AG11" i="3" s="1"/>
  <c r="B135" i="10"/>
  <c r="B136" i="10" s="1"/>
  <c r="B137" i="10" s="1"/>
  <c r="B138" i="10" s="1"/>
  <c r="A135" i="10"/>
  <c r="A136" i="10" s="1"/>
  <c r="A137" i="10" s="1"/>
  <c r="A138" i="10" s="1"/>
  <c r="B128" i="10"/>
  <c r="AI128" i="10" s="1"/>
  <c r="A128" i="10"/>
  <c r="A129" i="10" s="1"/>
  <c r="A130" i="10" s="1"/>
  <c r="A131" i="10" s="1"/>
  <c r="B121" i="10"/>
  <c r="AH121" i="10" s="1"/>
  <c r="A121" i="10"/>
  <c r="A122" i="10" s="1"/>
  <c r="A123" i="10" s="1"/>
  <c r="A124" i="10" s="1"/>
  <c r="B114" i="10"/>
  <c r="AD114" i="10" s="1"/>
  <c r="A114" i="10"/>
  <c r="A115" i="10" s="1"/>
  <c r="A116" i="10" s="1"/>
  <c r="A117" i="10" s="1"/>
  <c r="B107" i="10"/>
  <c r="B108" i="10" s="1"/>
  <c r="A107" i="10"/>
  <c r="A108" i="10" s="1"/>
  <c r="A109" i="10" s="1"/>
  <c r="A110" i="10" s="1"/>
  <c r="B100" i="10"/>
  <c r="B101" i="10" s="1"/>
  <c r="A100" i="10"/>
  <c r="A101" i="10" s="1"/>
  <c r="A102" i="10" s="1"/>
  <c r="A103" i="10" s="1"/>
  <c r="B93" i="10"/>
  <c r="AE93" i="10" s="1"/>
  <c r="A93" i="10"/>
  <c r="A94" i="10" s="1"/>
  <c r="A95" i="10" s="1"/>
  <c r="A96" i="10" s="1"/>
  <c r="B86" i="10"/>
  <c r="AI86" i="10" s="1"/>
  <c r="A86" i="10"/>
  <c r="B115" i="10"/>
  <c r="AI100" i="10"/>
  <c r="AE100" i="10"/>
  <c r="B80" i="10"/>
  <c r="B81" i="10" s="1"/>
  <c r="B82" i="10" s="1"/>
  <c r="AA128" i="10"/>
  <c r="AA135" i="10" s="1"/>
  <c r="AA121" i="10"/>
  <c r="F10" i="15" l="1"/>
  <c r="E109" i="13" s="1"/>
  <c r="E108" i="13"/>
  <c r="AF128" i="10"/>
  <c r="B129" i="10"/>
  <c r="AF93" i="10"/>
  <c r="AG86" i="10"/>
  <c r="AF121" i="10"/>
  <c r="AD93" i="10"/>
  <c r="B94" i="10"/>
  <c r="B95" i="10" s="1"/>
  <c r="B96" i="10" s="1"/>
  <c r="AF100" i="10"/>
  <c r="AG121" i="10"/>
  <c r="AG100" i="10"/>
  <c r="AA100" i="10"/>
  <c r="AH100" i="10"/>
  <c r="AD100" i="10"/>
  <c r="AE86" i="10"/>
  <c r="AG93" i="10"/>
  <c r="B87" i="10"/>
  <c r="B88" i="10" s="1"/>
  <c r="B89" i="10" s="1"/>
  <c r="AI93" i="10"/>
  <c r="AD86" i="10"/>
  <c r="AE128" i="10"/>
  <c r="AE135" i="10" s="1"/>
  <c r="AI121" i="10"/>
  <c r="AD107" i="10"/>
  <c r="AG128" i="10"/>
  <c r="B122" i="10"/>
  <c r="AH122" i="10" s="1"/>
  <c r="AG107" i="10"/>
  <c r="AH93" i="10"/>
  <c r="AD128" i="10"/>
  <c r="AD135" i="10" s="1"/>
  <c r="AD121" i="10"/>
  <c r="AG114" i="10"/>
  <c r="AF107" i="10"/>
  <c r="AA107" i="10"/>
  <c r="AH107" i="10"/>
  <c r="AF114" i="10"/>
  <c r="AI114" i="10"/>
  <c r="AE107" i="10"/>
  <c r="AE114" i="10"/>
  <c r="AI107" i="10"/>
  <c r="AH86" i="10"/>
  <c r="AH128" i="10"/>
  <c r="AF86" i="10"/>
  <c r="AE121" i="10"/>
  <c r="AH114" i="10"/>
  <c r="I14" i="10"/>
  <c r="H10" i="13"/>
  <c r="B130" i="10"/>
  <c r="B131" i="10" s="1"/>
  <c r="AI129" i="10"/>
  <c r="AH129" i="10"/>
  <c r="AG129" i="10"/>
  <c r="AF129" i="10"/>
  <c r="AE129" i="10"/>
  <c r="AD129" i="10"/>
  <c r="AH94" i="10"/>
  <c r="AF82" i="10"/>
  <c r="AE82" i="10"/>
  <c r="AH82" i="10"/>
  <c r="AD82" i="10"/>
  <c r="AI82" i="10"/>
  <c r="AG82" i="10"/>
  <c r="B102" i="10"/>
  <c r="B103" i="10" s="1"/>
  <c r="AF101" i="10"/>
  <c r="AI101" i="10"/>
  <c r="AE101" i="10"/>
  <c r="AD101" i="10"/>
  <c r="AH101" i="10"/>
  <c r="AG101" i="10"/>
  <c r="B109" i="10"/>
  <c r="B110" i="10" s="1"/>
  <c r="AF108" i="10"/>
  <c r="AE108" i="10"/>
  <c r="AD108" i="10"/>
  <c r="AH108" i="10"/>
  <c r="AI108" i="10"/>
  <c r="AG108" i="10"/>
  <c r="B116" i="10"/>
  <c r="B117" i="10" s="1"/>
  <c r="AG115" i="10"/>
  <c r="AE115" i="10"/>
  <c r="AD115" i="10"/>
  <c r="AI115" i="10"/>
  <c r="AH115" i="10"/>
  <c r="AF115" i="10"/>
  <c r="L114" i="10"/>
  <c r="X114" i="10"/>
  <c r="I114" i="10"/>
  <c r="K114" i="10"/>
  <c r="M114" i="10"/>
  <c r="Y114" i="10"/>
  <c r="S114" i="10"/>
  <c r="T114" i="10"/>
  <c r="N114" i="10"/>
  <c r="Z114" i="10"/>
  <c r="P114" i="10"/>
  <c r="F114" i="10"/>
  <c r="G114" i="10"/>
  <c r="O114" i="10"/>
  <c r="AA114" i="10"/>
  <c r="AB114" i="10"/>
  <c r="Q114" i="10"/>
  <c r="R114" i="10"/>
  <c r="H114" i="10"/>
  <c r="U114" i="10"/>
  <c r="W114" i="10"/>
  <c r="E114" i="10"/>
  <c r="J114" i="10"/>
  <c r="V114" i="10"/>
  <c r="X107" i="10"/>
  <c r="L107" i="10"/>
  <c r="L128" i="10"/>
  <c r="L135" i="10" s="1"/>
  <c r="M128" i="10"/>
  <c r="M135" i="10" s="1"/>
  <c r="N128" i="10"/>
  <c r="N135" i="10" s="1"/>
  <c r="X128" i="10"/>
  <c r="X135" i="10" s="1"/>
  <c r="Y128" i="10"/>
  <c r="Y135" i="10" s="1"/>
  <c r="Z128" i="10"/>
  <c r="Z135" i="10" s="1"/>
  <c r="AB128" i="10"/>
  <c r="AB135" i="10" s="1"/>
  <c r="F128" i="10"/>
  <c r="F135" i="10" s="1"/>
  <c r="R128" i="10"/>
  <c r="R135" i="10" s="1"/>
  <c r="P128" i="10"/>
  <c r="P135" i="10" s="1"/>
  <c r="E128" i="10"/>
  <c r="E135" i="10" s="1"/>
  <c r="Q128" i="10"/>
  <c r="Q135" i="10" s="1"/>
  <c r="G128" i="10"/>
  <c r="G135" i="10" s="1"/>
  <c r="S128" i="10"/>
  <c r="S135" i="10" s="1"/>
  <c r="AH135" i="10"/>
  <c r="H128" i="10"/>
  <c r="H135" i="10" s="1"/>
  <c r="T128" i="10"/>
  <c r="T135" i="10" s="1"/>
  <c r="AI135" i="10"/>
  <c r="I128" i="10"/>
  <c r="I135" i="10" s="1"/>
  <c r="U128" i="10"/>
  <c r="U135" i="10" s="1"/>
  <c r="J128" i="10"/>
  <c r="J135" i="10" s="1"/>
  <c r="V128" i="10"/>
  <c r="V135" i="10" s="1"/>
  <c r="K128" i="10"/>
  <c r="K135" i="10" s="1"/>
  <c r="W128" i="10"/>
  <c r="W135" i="10" s="1"/>
  <c r="O128" i="10"/>
  <c r="O135" i="10" s="1"/>
  <c r="P121" i="10"/>
  <c r="E121" i="10"/>
  <c r="R121" i="10"/>
  <c r="S121" i="10"/>
  <c r="T121" i="10"/>
  <c r="I121" i="10"/>
  <c r="K121" i="10"/>
  <c r="W121" i="10"/>
  <c r="G121" i="10"/>
  <c r="V121" i="10"/>
  <c r="L121" i="10"/>
  <c r="M121" i="10"/>
  <c r="Y121" i="10"/>
  <c r="N121" i="10"/>
  <c r="Z121" i="10"/>
  <c r="AB121" i="10"/>
  <c r="Q121" i="10"/>
  <c r="F121" i="10"/>
  <c r="H121" i="10"/>
  <c r="U121" i="10"/>
  <c r="J121" i="10"/>
  <c r="X121" i="10"/>
  <c r="O121" i="10"/>
  <c r="P107" i="10"/>
  <c r="AB107" i="10"/>
  <c r="E107" i="10"/>
  <c r="Q107" i="10"/>
  <c r="F107" i="10"/>
  <c r="R107" i="10"/>
  <c r="G107" i="10"/>
  <c r="S107" i="10"/>
  <c r="H107" i="10"/>
  <c r="T107" i="10"/>
  <c r="I107" i="10"/>
  <c r="U107" i="10"/>
  <c r="J107" i="10"/>
  <c r="V107" i="10"/>
  <c r="K107" i="10"/>
  <c r="W107" i="10"/>
  <c r="M107" i="10"/>
  <c r="Y107" i="10"/>
  <c r="N107" i="10"/>
  <c r="Z107" i="10"/>
  <c r="O107" i="10"/>
  <c r="G100" i="10"/>
  <c r="S100" i="10"/>
  <c r="H100" i="10"/>
  <c r="T100" i="10"/>
  <c r="U100" i="10"/>
  <c r="AB100" i="10"/>
  <c r="F100" i="10"/>
  <c r="R100" i="10"/>
  <c r="I100" i="10"/>
  <c r="J100" i="10"/>
  <c r="V100" i="10"/>
  <c r="K100" i="10"/>
  <c r="W100" i="10"/>
  <c r="P100" i="10"/>
  <c r="E100" i="10"/>
  <c r="Q100" i="10"/>
  <c r="L100" i="10"/>
  <c r="X100" i="10"/>
  <c r="M100" i="10"/>
  <c r="Y100" i="10"/>
  <c r="N100" i="10"/>
  <c r="Z100" i="10"/>
  <c r="O100" i="10"/>
  <c r="W93" i="10"/>
  <c r="K93" i="10"/>
  <c r="V93" i="10"/>
  <c r="J93" i="10"/>
  <c r="U93" i="10"/>
  <c r="I93" i="10"/>
  <c r="T93" i="10"/>
  <c r="H93" i="10"/>
  <c r="S93" i="10"/>
  <c r="G93" i="10"/>
  <c r="R93" i="10"/>
  <c r="F93" i="10"/>
  <c r="Q93" i="10"/>
  <c r="E93" i="10"/>
  <c r="AB93" i="10"/>
  <c r="P93" i="10"/>
  <c r="AA93" i="10"/>
  <c r="Z93" i="10"/>
  <c r="Y93" i="10"/>
  <c r="X93" i="10"/>
  <c r="O93" i="10"/>
  <c r="N93" i="10"/>
  <c r="M93" i="10"/>
  <c r="L93" i="10"/>
  <c r="A8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AB120" i="10"/>
  <c r="AA120" i="10"/>
  <c r="Z120" i="10"/>
  <c r="Y120" i="10"/>
  <c r="X120" i="10"/>
  <c r="W120" i="10"/>
  <c r="V120" i="10"/>
  <c r="U120" i="10"/>
  <c r="T120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AB99" i="10"/>
  <c r="AA99" i="10"/>
  <c r="Z99" i="10"/>
  <c r="Y99" i="10"/>
  <c r="X99" i="10"/>
  <c r="W99" i="10"/>
  <c r="V99" i="10"/>
  <c r="U99" i="10"/>
  <c r="T99" i="10"/>
  <c r="S99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F160" i="10"/>
  <c r="G160" i="10"/>
  <c r="H160" i="10"/>
  <c r="I160" i="10"/>
  <c r="J160" i="10"/>
  <c r="K160" i="10"/>
  <c r="K79" i="10" s="1"/>
  <c r="L160" i="10"/>
  <c r="M160" i="10"/>
  <c r="M79" i="10" s="1"/>
  <c r="N160" i="10"/>
  <c r="N79" i="10" s="1"/>
  <c r="O160" i="10"/>
  <c r="O79" i="10" s="1"/>
  <c r="P160" i="10"/>
  <c r="P79" i="10" s="1"/>
  <c r="Q160" i="10"/>
  <c r="Q79" i="10" s="1"/>
  <c r="R160" i="10"/>
  <c r="R79" i="10" s="1"/>
  <c r="S160" i="10"/>
  <c r="S79" i="10" s="1"/>
  <c r="T160" i="10"/>
  <c r="T158" i="10" s="1"/>
  <c r="T134" i="10" s="1"/>
  <c r="U160" i="10"/>
  <c r="U79" i="10" s="1"/>
  <c r="V160" i="10"/>
  <c r="V79" i="10" s="1"/>
  <c r="W160" i="10"/>
  <c r="W79" i="10" s="1"/>
  <c r="X160" i="10"/>
  <c r="X158" i="10" s="1"/>
  <c r="X134" i="10" s="1"/>
  <c r="Y160" i="10"/>
  <c r="Y158" i="10" s="1"/>
  <c r="Y134" i="10" s="1"/>
  <c r="Z160" i="10"/>
  <c r="Z158" i="10" s="1"/>
  <c r="Z134" i="10" s="1"/>
  <c r="AA160" i="10"/>
  <c r="AA79" i="10" s="1"/>
  <c r="AB160" i="10"/>
  <c r="AB158" i="10" s="1"/>
  <c r="AB134" i="10" s="1"/>
  <c r="E160" i="10"/>
  <c r="J150" i="10"/>
  <c r="J99" i="10" s="1"/>
  <c r="K150" i="10"/>
  <c r="K99" i="10" s="1"/>
  <c r="L150" i="10"/>
  <c r="L99" i="10" s="1"/>
  <c r="M150" i="10"/>
  <c r="M99" i="10" s="1"/>
  <c r="N150" i="10"/>
  <c r="N99" i="10" s="1"/>
  <c r="O150" i="10"/>
  <c r="O99" i="10" s="1"/>
  <c r="P150" i="10"/>
  <c r="P99" i="10" s="1"/>
  <c r="Q150" i="10"/>
  <c r="Q99" i="10" s="1"/>
  <c r="R150" i="10"/>
  <c r="R99" i="10" s="1"/>
  <c r="J155" i="10"/>
  <c r="J120" i="10" s="1"/>
  <c r="K155" i="10"/>
  <c r="K120" i="10" s="1"/>
  <c r="L155" i="10"/>
  <c r="L120" i="10" s="1"/>
  <c r="M155" i="10"/>
  <c r="M120" i="10" s="1"/>
  <c r="N155" i="10"/>
  <c r="N120" i="10" s="1"/>
  <c r="O155" i="10"/>
  <c r="O120" i="10" s="1"/>
  <c r="P155" i="10"/>
  <c r="P120" i="10" s="1"/>
  <c r="Q155" i="10"/>
  <c r="Q120" i="10" s="1"/>
  <c r="R155" i="10"/>
  <c r="R120" i="10" s="1"/>
  <c r="S155" i="10"/>
  <c r="S120" i="10" s="1"/>
  <c r="I22" i="10"/>
  <c r="H19" i="13" s="1"/>
  <c r="J81" i="10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AG72" i="9"/>
  <c r="AF72" i="9"/>
  <c r="AE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D71" i="9"/>
  <c r="E71" i="9"/>
  <c r="F71" i="9"/>
  <c r="G71" i="9"/>
  <c r="H71" i="9"/>
  <c r="I71" i="9"/>
  <c r="J71" i="9"/>
  <c r="K71" i="9"/>
  <c r="L71" i="9"/>
  <c r="M71" i="9"/>
  <c r="N71" i="9"/>
  <c r="O71" i="9"/>
  <c r="P71" i="9"/>
  <c r="Q71" i="9"/>
  <c r="R71" i="9"/>
  <c r="S71" i="9"/>
  <c r="T71" i="9"/>
  <c r="U71" i="9"/>
  <c r="V71" i="9"/>
  <c r="W71" i="9"/>
  <c r="X71" i="9"/>
  <c r="Y71" i="9"/>
  <c r="Z71" i="9"/>
  <c r="C71" i="9"/>
  <c r="D45" i="9"/>
  <c r="E45" i="9"/>
  <c r="F45" i="9"/>
  <c r="G45" i="9"/>
  <c r="H45" i="9"/>
  <c r="I45" i="9"/>
  <c r="J45" i="9"/>
  <c r="K45" i="9"/>
  <c r="L45" i="9"/>
  <c r="M45" i="9"/>
  <c r="N45" i="9"/>
  <c r="O45" i="9"/>
  <c r="P45" i="9"/>
  <c r="Q45" i="9"/>
  <c r="R45" i="9"/>
  <c r="R47" i="9" s="1"/>
  <c r="S45" i="9"/>
  <c r="T45" i="9"/>
  <c r="U45" i="9"/>
  <c r="V45" i="9"/>
  <c r="D46" i="9"/>
  <c r="E46" i="9"/>
  <c r="F46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C46" i="9"/>
  <c r="C45" i="9"/>
  <c r="F8" i="9"/>
  <c r="F7" i="9"/>
  <c r="I6" i="9"/>
  <c r="H137" i="13" s="1"/>
  <c r="I14" i="8"/>
  <c r="H120" i="13" s="1"/>
  <c r="F20" i="8"/>
  <c r="F19" i="8"/>
  <c r="F18" i="8"/>
  <c r="F17" i="8"/>
  <c r="R115" i="8"/>
  <c r="Q115" i="8"/>
  <c r="AJ51" i="3"/>
  <c r="AJ48" i="3"/>
  <c r="AJ45" i="3"/>
  <c r="AJ42" i="3"/>
  <c r="AJ40" i="3"/>
  <c r="AJ37" i="3"/>
  <c r="AJ36" i="3"/>
  <c r="AJ33" i="3"/>
  <c r="AI33" i="3"/>
  <c r="AJ30" i="3"/>
  <c r="AI30" i="3"/>
  <c r="AJ27" i="3"/>
  <c r="AI27" i="3"/>
  <c r="AJ39" i="3"/>
  <c r="AC63" i="2" a="1"/>
  <c r="AC63" i="2" s="1"/>
  <c r="AD63" i="2" s="1" a="1"/>
  <c r="AD63" i="2" s="1"/>
  <c r="AB63" i="2" a="1"/>
  <c r="AB63" i="2" s="1"/>
  <c r="AC62" i="2" a="1"/>
  <c r="AC62" i="2" s="1"/>
  <c r="AD62" i="2" s="1" a="1"/>
  <c r="AD62" i="2" s="1"/>
  <c r="AB62" i="2" a="1"/>
  <c r="AB62" i="2" s="1"/>
  <c r="AC61" i="2" a="1"/>
  <c r="AC61" i="2" s="1"/>
  <c r="AD61" i="2" s="1" a="1"/>
  <c r="AD61" i="2" s="1"/>
  <c r="AB61" i="2" a="1"/>
  <c r="AB61" i="2" s="1"/>
  <c r="AC60" i="2" a="1"/>
  <c r="AC60" i="2" s="1"/>
  <c r="AE60" i="2" s="1" a="1"/>
  <c r="AE60" i="2" s="1"/>
  <c r="AB60" i="2" a="1"/>
  <c r="AB60" i="2" s="1"/>
  <c r="AC59" i="2" a="1"/>
  <c r="AC59" i="2" s="1"/>
  <c r="AD59" i="2" s="1" a="1"/>
  <c r="AD59" i="2" s="1"/>
  <c r="AB59" i="2" a="1"/>
  <c r="AB59" i="2" s="1"/>
  <c r="AC58" i="2" a="1"/>
  <c r="AC58" i="2" s="1"/>
  <c r="AD58" i="2" s="1" a="1"/>
  <c r="AD58" i="2" s="1"/>
  <c r="R116" i="8" s="1"/>
  <c r="AB58" i="2" a="1"/>
  <c r="AB58" i="2" s="1"/>
  <c r="P116" i="8" s="1"/>
  <c r="AC57" i="2" a="1"/>
  <c r="AC57" i="2" s="1"/>
  <c r="AE57" i="2" s="1" a="1"/>
  <c r="AE57" i="2" s="1"/>
  <c r="AB57" i="2" a="1"/>
  <c r="AB57" i="2" s="1"/>
  <c r="AC56" i="2" a="1"/>
  <c r="AC56" i="2" s="1"/>
  <c r="AD56" i="2" s="1" a="1"/>
  <c r="AD56" i="2" s="1"/>
  <c r="AB56" i="2" a="1"/>
  <c r="AB56" i="2" s="1"/>
  <c r="AC55" i="2" a="1"/>
  <c r="AC55" i="2" s="1"/>
  <c r="AE55" i="2" s="1" a="1"/>
  <c r="AE55" i="2" s="1"/>
  <c r="AB55" i="2" a="1"/>
  <c r="AB55" i="2" s="1"/>
  <c r="AC54" i="2" a="1"/>
  <c r="AC54" i="2" s="1"/>
  <c r="AE54" i="2" s="1" a="1"/>
  <c r="AE54" i="2" s="1"/>
  <c r="AB54" i="2" a="1"/>
  <c r="AB54" i="2" s="1"/>
  <c r="AC53" i="2" a="1"/>
  <c r="AC53" i="2" s="1"/>
  <c r="AD53" i="2" s="1" a="1"/>
  <c r="AD53" i="2" s="1"/>
  <c r="AB53" i="2" a="1"/>
  <c r="AB53" i="2" s="1"/>
  <c r="AC52" i="2" a="1"/>
  <c r="AC52" i="2" s="1"/>
  <c r="AD52" i="2" s="1" a="1"/>
  <c r="AD52" i="2" s="1"/>
  <c r="AB52" i="2" a="1"/>
  <c r="AB52" i="2" s="1"/>
  <c r="AC51" i="2" a="1"/>
  <c r="AC51" i="2" s="1"/>
  <c r="AE51" i="2" s="1" a="1"/>
  <c r="AE51" i="2" s="1"/>
  <c r="AB51" i="2" a="1"/>
  <c r="AB51" i="2" s="1"/>
  <c r="AC50" i="2" a="1"/>
  <c r="AC50" i="2" s="1"/>
  <c r="AD50" i="2" s="1" a="1"/>
  <c r="AD50" i="2" s="1"/>
  <c r="AB50" i="2" a="1"/>
  <c r="AB50" i="2" s="1"/>
  <c r="AC49" i="2" a="1"/>
  <c r="AC49" i="2" s="1"/>
  <c r="AB49" i="2" a="1"/>
  <c r="AB49" i="2" s="1"/>
  <c r="AC48" i="2" a="1"/>
  <c r="AC48" i="2" s="1"/>
  <c r="AD48" i="2" s="1" a="1"/>
  <c r="AD48" i="2" s="1"/>
  <c r="AB48" i="2" a="1"/>
  <c r="AB48" i="2" s="1"/>
  <c r="AC47" i="2" a="1"/>
  <c r="AC47" i="2" s="1"/>
  <c r="AB47" i="2" a="1"/>
  <c r="AB47" i="2" s="1"/>
  <c r="AC46" i="2" a="1"/>
  <c r="AC46" i="2" s="1"/>
  <c r="AB46" i="2" a="1"/>
  <c r="AB46" i="2" s="1"/>
  <c r="R37" i="17" s="1"/>
  <c r="R35" i="17" s="1"/>
  <c r="AC45" i="2" a="1"/>
  <c r="AC45" i="2" s="1"/>
  <c r="T35" i="16" s="1"/>
  <c r="T33" i="16" s="1"/>
  <c r="AB45" i="2" a="1"/>
  <c r="AB45" i="2" s="1"/>
  <c r="S35" i="16" s="1"/>
  <c r="S33" i="16" s="1"/>
  <c r="AC44" i="2" a="1"/>
  <c r="AC44" i="2" s="1"/>
  <c r="AE44" i="2" s="1" a="1"/>
  <c r="AE44" i="2" s="1"/>
  <c r="AB44" i="2" a="1"/>
  <c r="AB44" i="2" s="1"/>
  <c r="AC43" i="2" a="1"/>
  <c r="AC43" i="2" s="1"/>
  <c r="AE43" i="2" s="1" a="1"/>
  <c r="AE43" i="2" s="1"/>
  <c r="AB43" i="2" a="1"/>
  <c r="AB43" i="2" s="1"/>
  <c r="AC42" i="2" a="1"/>
  <c r="AC42" i="2" s="1"/>
  <c r="AD42" i="2" s="1" a="1"/>
  <c r="AD42" i="2" s="1"/>
  <c r="AB42" i="2" a="1"/>
  <c r="AB42" i="2" s="1"/>
  <c r="AC41" i="2" a="1"/>
  <c r="AC41" i="2" s="1"/>
  <c r="AB41" i="2" a="1"/>
  <c r="AB41" i="2" s="1"/>
  <c r="AC40" i="2" a="1"/>
  <c r="AC40" i="2" s="1"/>
  <c r="AE40" i="2" s="1" a="1"/>
  <c r="AE40" i="2" s="1"/>
  <c r="AB40" i="2" a="1"/>
  <c r="AB40" i="2" s="1"/>
  <c r="AC39" i="2" a="1"/>
  <c r="AC39" i="2" s="1"/>
  <c r="AD39" i="2" s="1" a="1"/>
  <c r="AD39" i="2" s="1"/>
  <c r="AB39" i="2" a="1"/>
  <c r="AB39" i="2" s="1"/>
  <c r="AC38" i="2" a="1"/>
  <c r="AC38" i="2" s="1"/>
  <c r="AG38" i="2" s="1"/>
  <c r="AC37" i="2" a="1"/>
  <c r="AC37" i="2" s="1"/>
  <c r="AD37" i="2" s="1" a="1"/>
  <c r="AD37" i="2" s="1"/>
  <c r="P35" i="15" s="1"/>
  <c r="P33" i="15" s="1"/>
  <c r="AC36" i="2" a="1"/>
  <c r="AC36" i="2" s="1"/>
  <c r="AE36" i="2" s="1" a="1"/>
  <c r="AE36" i="2" s="1"/>
  <c r="AB36" i="2" a="1"/>
  <c r="AB36" i="2" s="1"/>
  <c r="AC35" i="2" a="1"/>
  <c r="AC35" i="2" s="1"/>
  <c r="AE73" i="9" s="1"/>
  <c r="AB35" i="2" a="1"/>
  <c r="AB35" i="2" s="1"/>
  <c r="AD73" i="9" s="1"/>
  <c r="AC34" i="2" a="1"/>
  <c r="AC34" i="2" s="1"/>
  <c r="AE34" i="2" s="1" a="1"/>
  <c r="AE34" i="2" s="1"/>
  <c r="AB34" i="2" a="1"/>
  <c r="AB34" i="2" s="1"/>
  <c r="AC33" i="2" a="1"/>
  <c r="AC33" i="2" s="1"/>
  <c r="AD33" i="2" s="1" a="1"/>
  <c r="AD33" i="2" s="1"/>
  <c r="AB33" i="2" a="1"/>
  <c r="AB33" i="2" s="1"/>
  <c r="AC32" i="2" a="1"/>
  <c r="AC32" i="2" s="1"/>
  <c r="AD32" i="2" s="1" a="1"/>
  <c r="AD32" i="2" s="1"/>
  <c r="AB32" i="2" a="1"/>
  <c r="AB32" i="2" s="1"/>
  <c r="AC31" i="2" a="1"/>
  <c r="AC31" i="2" s="1"/>
  <c r="AD31" i="2" s="1" a="1"/>
  <c r="AD31" i="2" s="1"/>
  <c r="AB31" i="2" a="1"/>
  <c r="AB31" i="2" s="1"/>
  <c r="AC30" i="2" a="1"/>
  <c r="AC30" i="2" s="1"/>
  <c r="AD30" i="2" s="1" a="1"/>
  <c r="AD30" i="2" s="1"/>
  <c r="AB30" i="2" a="1"/>
  <c r="AB30" i="2" s="1"/>
  <c r="AC29" i="2" a="1"/>
  <c r="AC29" i="2" s="1"/>
  <c r="AE29" i="2" s="1" a="1"/>
  <c r="AE29" i="2" s="1"/>
  <c r="AB29" i="2" a="1"/>
  <c r="AB29" i="2" s="1"/>
  <c r="AC13" i="2" a="1"/>
  <c r="AC13" i="2" s="1"/>
  <c r="AE13" i="2" s="1" a="1"/>
  <c r="AE13" i="2" s="1"/>
  <c r="AB13" i="2" a="1"/>
  <c r="AB13" i="2" s="1"/>
  <c r="AC12" i="2" a="1"/>
  <c r="AC12" i="2" s="1"/>
  <c r="AD12" i="2" s="1" a="1"/>
  <c r="AD12" i="2" s="1"/>
  <c r="AB12" i="2" a="1"/>
  <c r="AB12" i="2" s="1"/>
  <c r="AC11" i="2" a="1"/>
  <c r="AC11" i="2" s="1"/>
  <c r="AD11" i="2" s="1" a="1"/>
  <c r="AD11" i="2" s="1"/>
  <c r="AB11" i="2" a="1"/>
  <c r="AB11" i="2" s="1"/>
  <c r="AC10" i="2" a="1"/>
  <c r="AC10" i="2" s="1"/>
  <c r="AD10" i="2" s="1" a="1"/>
  <c r="AD10" i="2" s="1"/>
  <c r="AB10" i="2" a="1"/>
  <c r="AB10" i="2" s="1"/>
  <c r="AC9" i="2" a="1"/>
  <c r="AC9" i="2" s="1"/>
  <c r="AD9" i="2" s="1" a="1"/>
  <c r="AD9" i="2" s="1"/>
  <c r="AB9" i="2" a="1"/>
  <c r="AB9" i="2" s="1"/>
  <c r="AC8" i="2" a="1"/>
  <c r="AC8" i="2" s="1"/>
  <c r="AE8" i="2" s="1" a="1"/>
  <c r="AE8" i="2" s="1"/>
  <c r="AB8" i="2" a="1"/>
  <c r="AB8" i="2" s="1"/>
  <c r="AB7" i="2" a="1"/>
  <c r="AB7" i="2" s="1"/>
  <c r="AC7" i="2" a="1"/>
  <c r="AC7" i="2" s="1"/>
  <c r="AE7" i="2" s="1" a="1"/>
  <c r="AE7" i="2" s="1"/>
  <c r="I116" i="8"/>
  <c r="G116" i="8"/>
  <c r="K115" i="8"/>
  <c r="J115" i="8"/>
  <c r="I115" i="8"/>
  <c r="H115" i="8"/>
  <c r="G115" i="8"/>
  <c r="F115" i="8"/>
  <c r="E115" i="8"/>
  <c r="D115" i="8"/>
  <c r="D116" i="8"/>
  <c r="E116" i="8"/>
  <c r="F116" i="8"/>
  <c r="H116" i="8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D114" i="8"/>
  <c r="E114" i="8"/>
  <c r="F114" i="8"/>
  <c r="G114" i="8"/>
  <c r="H114" i="8"/>
  <c r="I114" i="8"/>
  <c r="J114" i="8"/>
  <c r="K114" i="8"/>
  <c r="C114" i="8"/>
  <c r="Q64" i="8"/>
  <c r="P64" i="8"/>
  <c r="Q59" i="8"/>
  <c r="P59" i="8"/>
  <c r="Q46" i="8"/>
  <c r="P46" i="8"/>
  <c r="Q41" i="8"/>
  <c r="P41" i="8"/>
  <c r="C64" i="8"/>
  <c r="C59" i="8"/>
  <c r="C46" i="8"/>
  <c r="C41" i="8"/>
  <c r="T54" i="5"/>
  <c r="S54" i="5"/>
  <c r="R54" i="5"/>
  <c r="Q54" i="5"/>
  <c r="P54" i="5"/>
  <c r="O54" i="5"/>
  <c r="N54" i="5"/>
  <c r="N56" i="5" s="1"/>
  <c r="M54" i="5"/>
  <c r="L54" i="5"/>
  <c r="K54" i="5"/>
  <c r="J54" i="5"/>
  <c r="V49" i="5" a="1"/>
  <c r="V49" i="5" s="1"/>
  <c r="V54" i="5" s="1"/>
  <c r="U49" i="5" a="1"/>
  <c r="U49" i="5" s="1"/>
  <c r="U54" i="5" s="1"/>
  <c r="T48" i="5"/>
  <c r="S48" i="5"/>
  <c r="R48" i="5"/>
  <c r="Q48" i="5"/>
  <c r="P48" i="5"/>
  <c r="O48" i="5"/>
  <c r="N48" i="5"/>
  <c r="M48" i="5"/>
  <c r="L48" i="5"/>
  <c r="K48" i="5"/>
  <c r="J48" i="5"/>
  <c r="V47" i="5" a="1"/>
  <c r="V47" i="5" s="1"/>
  <c r="V48" i="5" s="1"/>
  <c r="U47" i="5" a="1"/>
  <c r="U47" i="5" s="1"/>
  <c r="U48" i="5" s="1"/>
  <c r="T46" i="5"/>
  <c r="S46" i="5"/>
  <c r="R46" i="5"/>
  <c r="Q46" i="5"/>
  <c r="P46" i="5"/>
  <c r="O46" i="5"/>
  <c r="N46" i="5"/>
  <c r="M46" i="5"/>
  <c r="L46" i="5"/>
  <c r="K46" i="5"/>
  <c r="J46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12" i="5"/>
  <c r="H78" i="13" s="1"/>
  <c r="F47" i="9" l="1"/>
  <c r="E138" i="13"/>
  <c r="F9" i="9"/>
  <c r="E139" i="13"/>
  <c r="F10" i="9"/>
  <c r="E124" i="13"/>
  <c r="E125" i="13"/>
  <c r="E126" i="13"/>
  <c r="E123" i="13"/>
  <c r="AG94" i="10"/>
  <c r="AI94" i="10"/>
  <c r="AD94" i="10"/>
  <c r="AE94" i="10"/>
  <c r="AF94" i="10"/>
  <c r="AE87" i="10"/>
  <c r="AD87" i="10"/>
  <c r="AG122" i="10"/>
  <c r="AE122" i="10"/>
  <c r="AF122" i="10"/>
  <c r="B123" i="10"/>
  <c r="B124" i="10" s="1"/>
  <c r="AD122" i="10"/>
  <c r="AI122" i="10"/>
  <c r="I15" i="10"/>
  <c r="H11" i="13"/>
  <c r="Q47" i="9"/>
  <c r="E47" i="9"/>
  <c r="V47" i="9"/>
  <c r="J47" i="9"/>
  <c r="J50" i="9" s="1"/>
  <c r="F21" i="8"/>
  <c r="F22" i="8"/>
  <c r="F24" i="8"/>
  <c r="F23" i="8"/>
  <c r="Q56" i="5"/>
  <c r="R56" i="5"/>
  <c r="S56" i="5"/>
  <c r="P56" i="5"/>
  <c r="AC70" i="5" a="1"/>
  <c r="AC70" i="5" s="1"/>
  <c r="AB70" i="5" a="1"/>
  <c r="AB70" i="5" s="1"/>
  <c r="O56" i="5"/>
  <c r="U56" i="5"/>
  <c r="T56" i="5"/>
  <c r="A88" i="10"/>
  <c r="A89" i="10" s="1"/>
  <c r="AG41" i="2"/>
  <c r="AG47" i="2"/>
  <c r="AH29" i="2"/>
  <c r="AE10" i="2" a="1"/>
  <c r="AE10" i="2" s="1"/>
  <c r="AH10" i="2" s="1"/>
  <c r="AE33" i="2" a="1"/>
  <c r="AE33" i="2" s="1"/>
  <c r="AD38" i="2" a="1"/>
  <c r="AD38" i="2" s="1"/>
  <c r="AE53" i="2" a="1"/>
  <c r="AE53" i="2" s="1"/>
  <c r="AH53" i="2" s="1"/>
  <c r="AD57" i="2" a="1"/>
  <c r="AD57" i="2" s="1"/>
  <c r="AH40" i="2"/>
  <c r="AE58" i="2" a="1"/>
  <c r="AE58" i="2" s="1"/>
  <c r="S116" i="8" s="1"/>
  <c r="AE62" i="2" a="1"/>
  <c r="AE62" i="2" s="1"/>
  <c r="AE12" i="2" a="1"/>
  <c r="AE12" i="2" s="1"/>
  <c r="AH12" i="2" s="1"/>
  <c r="AH44" i="2"/>
  <c r="AE31" i="2" a="1"/>
  <c r="AE31" i="2" s="1"/>
  <c r="AH31" i="2" s="1"/>
  <c r="AD55" i="2" a="1"/>
  <c r="AD55" i="2" s="1"/>
  <c r="AE48" i="2" a="1"/>
  <c r="AE48" i="2" s="1"/>
  <c r="AG35" i="2"/>
  <c r="AD36" i="2" a="1"/>
  <c r="AD36" i="2" s="1"/>
  <c r="AG63" i="2"/>
  <c r="AG40" i="2"/>
  <c r="AE37" i="2" a="1"/>
  <c r="AE37" i="2" s="1"/>
  <c r="Q35" i="15" s="1"/>
  <c r="Q33" i="15" s="1"/>
  <c r="AD60" i="2" a="1"/>
  <c r="AD60" i="2" s="1"/>
  <c r="AG53" i="2"/>
  <c r="AE39" i="2" a="1"/>
  <c r="AE39" i="2" s="1"/>
  <c r="AE63" i="2" a="1"/>
  <c r="AE63" i="2" s="1"/>
  <c r="AH63" i="2" s="1"/>
  <c r="AD43" i="2" a="1"/>
  <c r="AD43" i="2" s="1"/>
  <c r="AG55" i="2"/>
  <c r="R15" i="15"/>
  <c r="AG46" i="2"/>
  <c r="S37" i="17"/>
  <c r="S35" i="17" s="1"/>
  <c r="AD8" i="2" a="1"/>
  <c r="AD8" i="2" s="1"/>
  <c r="AD29" i="2" a="1"/>
  <c r="AD29" i="2" s="1"/>
  <c r="AD35" i="2" a="1"/>
  <c r="AD35" i="2" s="1"/>
  <c r="AF73" i="9" s="1"/>
  <c r="AD41" i="2" a="1"/>
  <c r="AD41" i="2" s="1"/>
  <c r="AD46" i="2" a="1"/>
  <c r="AD46" i="2" s="1"/>
  <c r="T37" i="17" s="1"/>
  <c r="T35" i="17" s="1"/>
  <c r="AD51" i="2" a="1"/>
  <c r="AD51" i="2" s="1"/>
  <c r="AE56" i="2" a="1"/>
  <c r="AE56" i="2" s="1"/>
  <c r="AH56" i="2" s="1"/>
  <c r="AE61" i="2" a="1"/>
  <c r="AE61" i="2" s="1"/>
  <c r="AH61" i="2" s="1"/>
  <c r="AG52" i="2"/>
  <c r="AE35" i="2" a="1"/>
  <c r="AE35" i="2" s="1"/>
  <c r="AE41" i="2" a="1"/>
  <c r="AE41" i="2" s="1"/>
  <c r="AH41" i="2" s="1"/>
  <c r="AE46" i="2" a="1"/>
  <c r="AE46" i="2" s="1"/>
  <c r="AE9" i="2" a="1"/>
  <c r="AE9" i="2" s="1"/>
  <c r="AH9" i="2" s="1"/>
  <c r="AE30" i="2" a="1"/>
  <c r="AE30" i="2" s="1"/>
  <c r="AH30" i="2" s="1"/>
  <c r="AE47" i="2" a="1"/>
  <c r="AE47" i="2" s="1"/>
  <c r="AH47" i="2" s="1"/>
  <c r="AE52" i="2" a="1"/>
  <c r="AE52" i="2" s="1"/>
  <c r="AH52" i="2" s="1"/>
  <c r="AD47" i="2" a="1"/>
  <c r="AD47" i="2" s="1"/>
  <c r="AG42" i="2"/>
  <c r="AE42" i="2" a="1"/>
  <c r="AE42" i="2" s="1"/>
  <c r="AH42" i="2" s="1"/>
  <c r="AG49" i="2"/>
  <c r="AG32" i="2"/>
  <c r="AE11" i="2" a="1"/>
  <c r="AE11" i="2" s="1"/>
  <c r="AE32" i="2" a="1"/>
  <c r="AE32" i="2" s="1"/>
  <c r="AH32" i="2" s="1"/>
  <c r="AE38" i="2" a="1"/>
  <c r="AE38" i="2" s="1"/>
  <c r="AH38" i="2" s="1"/>
  <c r="AD44" i="2" a="1"/>
  <c r="AD44" i="2" s="1"/>
  <c r="AD49" i="2" a="1"/>
  <c r="AD49" i="2" s="1"/>
  <c r="AD54" i="2" a="1"/>
  <c r="AD54" i="2" s="1"/>
  <c r="AE59" i="2" a="1"/>
  <c r="AE59" i="2" s="1"/>
  <c r="AH59" i="2" s="1"/>
  <c r="AG37" i="2"/>
  <c r="O35" i="15"/>
  <c r="O33" i="15" s="1"/>
  <c r="AG33" i="2"/>
  <c r="AG50" i="2"/>
  <c r="AE49" i="2" a="1"/>
  <c r="AE49" i="2" s="1"/>
  <c r="AH49" i="2" s="1"/>
  <c r="P15" i="16"/>
  <c r="Q15" i="16"/>
  <c r="AD7" i="2" a="1"/>
  <c r="AD7" i="2" s="1"/>
  <c r="AD13" i="2" a="1"/>
  <c r="AD13" i="2" s="1"/>
  <c r="AD34" i="2" a="1"/>
  <c r="AD34" i="2" s="1"/>
  <c r="AD40" i="2" a="1"/>
  <c r="AD40" i="2" s="1"/>
  <c r="AD45" i="2" a="1"/>
  <c r="AD45" i="2" s="1"/>
  <c r="U35" i="16" s="1"/>
  <c r="U33" i="16" s="1"/>
  <c r="AE50" i="2" a="1"/>
  <c r="AE50" i="2" s="1"/>
  <c r="AH50" i="2" s="1"/>
  <c r="P17" i="17"/>
  <c r="AG62" i="2"/>
  <c r="AE45" i="2" a="1"/>
  <c r="AE45" i="2" s="1"/>
  <c r="V35" i="16" s="1"/>
  <c r="V33" i="16" s="1"/>
  <c r="I15" i="8"/>
  <c r="H121" i="13" s="1"/>
  <c r="I13" i="5"/>
  <c r="H79" i="13" s="1"/>
  <c r="I23" i="10"/>
  <c r="H20" i="13" s="1"/>
  <c r="I7" i="9"/>
  <c r="H138" i="13" s="1"/>
  <c r="Y137" i="10"/>
  <c r="X137" i="10"/>
  <c r="T137" i="10"/>
  <c r="Z137" i="10"/>
  <c r="AB137" i="10"/>
  <c r="X45" i="9" a="1"/>
  <c r="X45" i="9" s="1"/>
  <c r="D47" i="9"/>
  <c r="D49" i="9" s="1"/>
  <c r="Y45" i="9" a="1"/>
  <c r="Y45" i="9" s="1"/>
  <c r="M47" i="9"/>
  <c r="M50" i="9" s="1"/>
  <c r="X46" i="9" a="1"/>
  <c r="X46" i="9" s="1"/>
  <c r="P47" i="9"/>
  <c r="P49" i="9" s="1"/>
  <c r="N74" i="9"/>
  <c r="N75" i="9" s="1"/>
  <c r="L47" i="9"/>
  <c r="L49" i="9" s="1"/>
  <c r="N6" i="9" s="1"/>
  <c r="Z46" i="9" a="1"/>
  <c r="Z46" i="9" s="1"/>
  <c r="K47" i="9"/>
  <c r="K49" i="9" s="1"/>
  <c r="V50" i="9"/>
  <c r="P7" i="9" s="1"/>
  <c r="R50" i="9"/>
  <c r="F50" i="9"/>
  <c r="Q50" i="9"/>
  <c r="O7" i="9" s="1"/>
  <c r="E50" i="9"/>
  <c r="N47" i="9"/>
  <c r="N50" i="9" s="1"/>
  <c r="M49" i="9"/>
  <c r="G47" i="9"/>
  <c r="G49" i="9" s="1"/>
  <c r="S47" i="9"/>
  <c r="S49" i="9" s="1"/>
  <c r="E74" i="9"/>
  <c r="E75" i="9" s="1"/>
  <c r="Q74" i="9"/>
  <c r="Q75" i="9" s="1"/>
  <c r="P74" i="9"/>
  <c r="P75" i="9" s="1"/>
  <c r="H47" i="9"/>
  <c r="H50" i="9" s="1"/>
  <c r="T47" i="9"/>
  <c r="T50" i="9" s="1"/>
  <c r="V49" i="9"/>
  <c r="P6" i="9" s="1"/>
  <c r="J49" i="9"/>
  <c r="F74" i="9"/>
  <c r="F75" i="9" s="1"/>
  <c r="R74" i="9"/>
  <c r="R75" i="9" s="1"/>
  <c r="O47" i="9"/>
  <c r="O50" i="9" s="1"/>
  <c r="Z45" i="9" a="1"/>
  <c r="Z45" i="9" s="1"/>
  <c r="G74" i="9"/>
  <c r="G75" i="9" s="1"/>
  <c r="I47" i="9"/>
  <c r="I49" i="9" s="1"/>
  <c r="U47" i="9"/>
  <c r="U49" i="9" s="1"/>
  <c r="Y46" i="9" a="1"/>
  <c r="Y46" i="9" s="1"/>
  <c r="R49" i="9"/>
  <c r="F49" i="9"/>
  <c r="Q49" i="9"/>
  <c r="O6" i="9" s="1"/>
  <c r="E49" i="9"/>
  <c r="C47" i="9"/>
  <c r="C50" i="9" s="1"/>
  <c r="O74" i="9"/>
  <c r="O75" i="9" s="1"/>
  <c r="D74" i="9"/>
  <c r="D75" i="9" s="1"/>
  <c r="T74" i="9"/>
  <c r="T75" i="9" s="1"/>
  <c r="Q102" i="10"/>
  <c r="AA102" i="10"/>
  <c r="Y102" i="10"/>
  <c r="P102" i="10"/>
  <c r="W102" i="10"/>
  <c r="X102" i="10"/>
  <c r="K102" i="10"/>
  <c r="L102" i="10"/>
  <c r="S102" i="10"/>
  <c r="M102" i="10"/>
  <c r="Z102" i="10"/>
  <c r="V102" i="10"/>
  <c r="U102" i="10"/>
  <c r="T102" i="10"/>
  <c r="R102" i="10"/>
  <c r="AB102" i="10"/>
  <c r="O102" i="10"/>
  <c r="Q123" i="10"/>
  <c r="Y123" i="10"/>
  <c r="R130" i="10"/>
  <c r="N102" i="10"/>
  <c r="J102" i="10"/>
  <c r="J116" i="10"/>
  <c r="V116" i="10"/>
  <c r="P123" i="10"/>
  <c r="K116" i="10"/>
  <c r="W116" i="10"/>
  <c r="Z123" i="10"/>
  <c r="S130" i="10"/>
  <c r="O123" i="10"/>
  <c r="L116" i="10"/>
  <c r="X116" i="10"/>
  <c r="AA123" i="10"/>
  <c r="T130" i="10"/>
  <c r="N123" i="10"/>
  <c r="M116" i="10"/>
  <c r="Y116" i="10"/>
  <c r="AB123" i="10"/>
  <c r="U130" i="10"/>
  <c r="M123" i="10"/>
  <c r="N116" i="10"/>
  <c r="Z116" i="10"/>
  <c r="J130" i="10"/>
  <c r="V130" i="10"/>
  <c r="L123" i="10"/>
  <c r="O116" i="10"/>
  <c r="AA116" i="10"/>
  <c r="K130" i="10"/>
  <c r="W130" i="10"/>
  <c r="K123" i="10"/>
  <c r="P116" i="10"/>
  <c r="AB116" i="10"/>
  <c r="L130" i="10"/>
  <c r="X130" i="10"/>
  <c r="J123" i="10"/>
  <c r="Q116" i="10"/>
  <c r="T123" i="10"/>
  <c r="M130" i="10"/>
  <c r="Y130" i="10"/>
  <c r="R116" i="10"/>
  <c r="U123" i="10"/>
  <c r="N130" i="10"/>
  <c r="Z130" i="10"/>
  <c r="S116" i="10"/>
  <c r="V123" i="10"/>
  <c r="O130" i="10"/>
  <c r="AA130" i="10"/>
  <c r="S123" i="10"/>
  <c r="T116" i="10"/>
  <c r="W123" i="10"/>
  <c r="P130" i="10"/>
  <c r="AB130" i="10"/>
  <c r="R123" i="10"/>
  <c r="U116" i="10"/>
  <c r="X123" i="10"/>
  <c r="Q130" i="10"/>
  <c r="U109" i="10"/>
  <c r="W109" i="10"/>
  <c r="L109" i="10"/>
  <c r="Z109" i="10"/>
  <c r="AA109" i="10"/>
  <c r="P109" i="10"/>
  <c r="AB109" i="10"/>
  <c r="J109" i="10"/>
  <c r="M109" i="10"/>
  <c r="N109" i="10"/>
  <c r="Q109" i="10"/>
  <c r="Y109" i="10"/>
  <c r="R109" i="10"/>
  <c r="V109" i="10"/>
  <c r="K109" i="10"/>
  <c r="O109" i="10"/>
  <c r="L95" i="10"/>
  <c r="X95" i="10"/>
  <c r="S109" i="10"/>
  <c r="X109" i="10"/>
  <c r="T109" i="10"/>
  <c r="Z95" i="10"/>
  <c r="P95" i="10"/>
  <c r="Q95" i="10"/>
  <c r="R95" i="10"/>
  <c r="S95" i="10"/>
  <c r="Y95" i="10"/>
  <c r="N95" i="10"/>
  <c r="AA95" i="10"/>
  <c r="AB95" i="10"/>
  <c r="T95" i="10"/>
  <c r="U95" i="10"/>
  <c r="J95" i="10"/>
  <c r="V95" i="10"/>
  <c r="M95" i="10"/>
  <c r="O95" i="10"/>
  <c r="K95" i="10"/>
  <c r="W95" i="10"/>
  <c r="U129" i="10"/>
  <c r="I129" i="10"/>
  <c r="H129" i="10"/>
  <c r="F129" i="10"/>
  <c r="Q129" i="10"/>
  <c r="E129" i="10"/>
  <c r="AB129" i="10"/>
  <c r="P129" i="10"/>
  <c r="AA129" i="10"/>
  <c r="O129" i="10"/>
  <c r="Z129" i="10"/>
  <c r="N129" i="10"/>
  <c r="Y129" i="10"/>
  <c r="M129" i="10"/>
  <c r="K129" i="10"/>
  <c r="J129" i="10"/>
  <c r="R129" i="10"/>
  <c r="X129" i="10"/>
  <c r="L129" i="10"/>
  <c r="W129" i="10"/>
  <c r="V129" i="10"/>
  <c r="T129" i="10"/>
  <c r="S129" i="10"/>
  <c r="G129" i="10"/>
  <c r="U122" i="10"/>
  <c r="I122" i="10"/>
  <c r="G122" i="10"/>
  <c r="R122" i="10"/>
  <c r="P122" i="10"/>
  <c r="Z122" i="10"/>
  <c r="Y122" i="10"/>
  <c r="X122" i="10"/>
  <c r="W122" i="10"/>
  <c r="V122" i="10"/>
  <c r="T122" i="10"/>
  <c r="H122" i="10"/>
  <c r="S122" i="10"/>
  <c r="F122" i="10"/>
  <c r="O122" i="10"/>
  <c r="M122" i="10"/>
  <c r="Q122" i="10"/>
  <c r="E122" i="10"/>
  <c r="AB122" i="10"/>
  <c r="AA122" i="10"/>
  <c r="N122" i="10"/>
  <c r="L122" i="10"/>
  <c r="K122" i="10"/>
  <c r="J122" i="10"/>
  <c r="Q115" i="10"/>
  <c r="E115" i="10"/>
  <c r="O115" i="10"/>
  <c r="X115" i="10"/>
  <c r="L115" i="10"/>
  <c r="W115" i="10"/>
  <c r="K115" i="10"/>
  <c r="V115" i="10"/>
  <c r="J115" i="10"/>
  <c r="I115" i="10"/>
  <c r="T115" i="10"/>
  <c r="F115" i="10"/>
  <c r="AB115" i="10"/>
  <c r="P115" i="10"/>
  <c r="AA115" i="10"/>
  <c r="Z115" i="10"/>
  <c r="N115" i="10"/>
  <c r="Y115" i="10"/>
  <c r="M115" i="10"/>
  <c r="U115" i="10"/>
  <c r="H115" i="10"/>
  <c r="S115" i="10"/>
  <c r="G115" i="10"/>
  <c r="R115" i="10"/>
  <c r="U108" i="10"/>
  <c r="I108" i="10"/>
  <c r="T108" i="10"/>
  <c r="H108" i="10"/>
  <c r="S108" i="10"/>
  <c r="G108" i="10"/>
  <c r="Q108" i="10"/>
  <c r="E108" i="10"/>
  <c r="AB108" i="10"/>
  <c r="P108" i="10"/>
  <c r="AA108" i="10"/>
  <c r="O108" i="10"/>
  <c r="Z108" i="10"/>
  <c r="N108" i="10"/>
  <c r="Y108" i="10"/>
  <c r="M108" i="10"/>
  <c r="X108" i="10"/>
  <c r="L108" i="10"/>
  <c r="W108" i="10"/>
  <c r="K108" i="10"/>
  <c r="V108" i="10"/>
  <c r="J108" i="10"/>
  <c r="R108" i="10"/>
  <c r="F108" i="10"/>
  <c r="U101" i="10"/>
  <c r="I101" i="10"/>
  <c r="T101" i="10"/>
  <c r="H101" i="10"/>
  <c r="S101" i="10"/>
  <c r="G101" i="10"/>
  <c r="R101" i="10"/>
  <c r="F101" i="10"/>
  <c r="K101" i="10"/>
  <c r="J101" i="10"/>
  <c r="Q101" i="10"/>
  <c r="E101" i="10"/>
  <c r="AB101" i="10"/>
  <c r="AA101" i="10"/>
  <c r="X101" i="10"/>
  <c r="L101" i="10"/>
  <c r="W101" i="10"/>
  <c r="V101" i="10"/>
  <c r="P101" i="10"/>
  <c r="O101" i="10"/>
  <c r="Z101" i="10"/>
  <c r="N101" i="10"/>
  <c r="Y101" i="10"/>
  <c r="M101" i="10"/>
  <c r="Q94" i="10"/>
  <c r="E94" i="10"/>
  <c r="AB94" i="10"/>
  <c r="P94" i="10"/>
  <c r="AA94" i="10"/>
  <c r="O94" i="10"/>
  <c r="Z94" i="10"/>
  <c r="N94" i="10"/>
  <c r="Y94" i="10"/>
  <c r="M94" i="10"/>
  <c r="X94" i="10"/>
  <c r="L94" i="10"/>
  <c r="W94" i="10"/>
  <c r="K94" i="10"/>
  <c r="V94" i="10"/>
  <c r="J94" i="10"/>
  <c r="I94" i="10"/>
  <c r="H94" i="10"/>
  <c r="G94" i="10"/>
  <c r="F94" i="10"/>
  <c r="U94" i="10"/>
  <c r="T94" i="10"/>
  <c r="S94" i="10"/>
  <c r="R94" i="10"/>
  <c r="T79" i="10"/>
  <c r="L158" i="10"/>
  <c r="L134" i="10" s="1"/>
  <c r="L137" i="10" s="1"/>
  <c r="X79" i="10"/>
  <c r="F86" i="10"/>
  <c r="G86" i="10"/>
  <c r="H86" i="10"/>
  <c r="I86" i="10"/>
  <c r="Y79" i="10"/>
  <c r="Z79" i="10"/>
  <c r="S158" i="10"/>
  <c r="S134" i="10" s="1"/>
  <c r="S137" i="10" s="1"/>
  <c r="L79" i="10"/>
  <c r="V158" i="10"/>
  <c r="V134" i="10" s="1"/>
  <c r="V137" i="10" s="1"/>
  <c r="U158" i="10"/>
  <c r="U134" i="10" s="1"/>
  <c r="U137" i="10" s="1"/>
  <c r="N158" i="10"/>
  <c r="N134" i="10" s="1"/>
  <c r="N137" i="10" s="1"/>
  <c r="M158" i="10"/>
  <c r="M134" i="10" s="1"/>
  <c r="M137" i="10" s="1"/>
  <c r="J158" i="10"/>
  <c r="J134" i="10" s="1"/>
  <c r="J137" i="10" s="1"/>
  <c r="J79" i="10"/>
  <c r="W158" i="10"/>
  <c r="W134" i="10" s="1"/>
  <c r="W137" i="10" s="1"/>
  <c r="K158" i="10"/>
  <c r="K134" i="10" s="1"/>
  <c r="K137" i="10" s="1"/>
  <c r="Q158" i="10"/>
  <c r="Q134" i="10" s="1"/>
  <c r="Q137" i="10" s="1"/>
  <c r="AA158" i="10"/>
  <c r="AA134" i="10" s="1"/>
  <c r="AA137" i="10" s="1"/>
  <c r="O158" i="10"/>
  <c r="O134" i="10" s="1"/>
  <c r="O137" i="10" s="1"/>
  <c r="AB79" i="10"/>
  <c r="R158" i="10"/>
  <c r="R134" i="10" s="1"/>
  <c r="R137" i="10" s="1"/>
  <c r="P158" i="10"/>
  <c r="P134" i="10" s="1"/>
  <c r="P137" i="10" s="1"/>
  <c r="E86" i="10"/>
  <c r="S86" i="10"/>
  <c r="O87" i="10"/>
  <c r="K81" i="10"/>
  <c r="M81" i="10"/>
  <c r="K86" i="10"/>
  <c r="Y81" i="10"/>
  <c r="M86" i="10"/>
  <c r="N81" i="10"/>
  <c r="L86" i="10"/>
  <c r="Z81" i="10"/>
  <c r="N86" i="10"/>
  <c r="L81" i="10"/>
  <c r="O86" i="10"/>
  <c r="X86" i="10"/>
  <c r="T86" i="10"/>
  <c r="I81" i="10"/>
  <c r="Y86" i="10"/>
  <c r="U81" i="10"/>
  <c r="V81" i="10"/>
  <c r="Z86" i="10"/>
  <c r="W81" i="10"/>
  <c r="AA86" i="10"/>
  <c r="X81" i="10"/>
  <c r="J86" i="10"/>
  <c r="O81" i="10"/>
  <c r="AA81" i="10"/>
  <c r="P81" i="10"/>
  <c r="F81" i="10"/>
  <c r="U86" i="10"/>
  <c r="G81" i="10"/>
  <c r="S81" i="10"/>
  <c r="V86" i="10"/>
  <c r="AB81" i="10"/>
  <c r="E81" i="10"/>
  <c r="Q81" i="10"/>
  <c r="R81" i="10"/>
  <c r="H81" i="10"/>
  <c r="T81" i="10"/>
  <c r="W86" i="10"/>
  <c r="P86" i="10"/>
  <c r="AB86" i="10"/>
  <c r="Q86" i="10"/>
  <c r="R86" i="10"/>
  <c r="C74" i="9"/>
  <c r="C75" i="9" s="1"/>
  <c r="M74" i="9"/>
  <c r="M75" i="9" s="1"/>
  <c r="Z74" i="9"/>
  <c r="Z75" i="9" s="1"/>
  <c r="L74" i="9"/>
  <c r="L75" i="9" s="1"/>
  <c r="Y74" i="9"/>
  <c r="Y75" i="9" s="1"/>
  <c r="K74" i="9"/>
  <c r="K75" i="9" s="1"/>
  <c r="X74" i="9"/>
  <c r="X75" i="9" s="1"/>
  <c r="J74" i="9"/>
  <c r="J75" i="9" s="1"/>
  <c r="W74" i="9"/>
  <c r="W75" i="9" s="1"/>
  <c r="H74" i="9"/>
  <c r="H75" i="9" s="1"/>
  <c r="V74" i="9"/>
  <c r="V75" i="9" s="1"/>
  <c r="U74" i="9"/>
  <c r="U75" i="9" s="1"/>
  <c r="I74" i="9"/>
  <c r="I75" i="9" s="1"/>
  <c r="S74" i="9"/>
  <c r="S75" i="9" s="1"/>
  <c r="AH55" i="2"/>
  <c r="AH57" i="2"/>
  <c r="AH54" i="2"/>
  <c r="AH62" i="2"/>
  <c r="AJ43" i="3"/>
  <c r="AJ34" i="3"/>
  <c r="AJ28" i="3"/>
  <c r="AJ31" i="3"/>
  <c r="AJ49" i="3"/>
  <c r="AJ47" i="3"/>
  <c r="AJ52" i="3"/>
  <c r="AJ53" i="3"/>
  <c r="AI32" i="3"/>
  <c r="AI28" i="3"/>
  <c r="AJ41" i="3"/>
  <c r="AJ46" i="3"/>
  <c r="AJ54" i="3"/>
  <c r="S115" i="8"/>
  <c r="AI31" i="3"/>
  <c r="AJ35" i="3"/>
  <c r="AJ44" i="3"/>
  <c r="AJ32" i="3"/>
  <c r="AI29" i="3"/>
  <c r="AJ29" i="3"/>
  <c r="AJ38" i="3"/>
  <c r="AJ50" i="3"/>
  <c r="AJ55" i="3"/>
  <c r="AG30" i="2"/>
  <c r="AG39" i="2"/>
  <c r="AG43" i="2"/>
  <c r="AG54" i="2"/>
  <c r="AH34" i="2"/>
  <c r="AG57" i="2"/>
  <c r="AG45" i="2"/>
  <c r="AG60" i="2"/>
  <c r="AH33" i="2"/>
  <c r="AG48" i="2"/>
  <c r="AH60" i="2"/>
  <c r="AG31" i="2"/>
  <c r="AG36" i="2"/>
  <c r="AH43" i="2"/>
  <c r="AG56" i="2"/>
  <c r="AH48" i="2"/>
  <c r="AG61" i="2"/>
  <c r="AG34" i="2"/>
  <c r="AH39" i="2"/>
  <c r="AG29" i="2"/>
  <c r="AG59" i="2"/>
  <c r="AG51" i="2"/>
  <c r="AH36" i="2"/>
  <c r="AH51" i="2"/>
  <c r="AG44" i="2"/>
  <c r="AG11" i="2"/>
  <c r="AH11" i="2"/>
  <c r="AG12" i="2"/>
  <c r="AG10" i="2"/>
  <c r="AG8" i="2"/>
  <c r="AH8" i="2"/>
  <c r="AG9" i="2"/>
  <c r="AG13" i="2"/>
  <c r="AH7" i="2"/>
  <c r="AH13" i="2"/>
  <c r="AG7" i="2"/>
  <c r="Q116" i="8"/>
  <c r="AG58" i="2"/>
  <c r="K116" i="8"/>
  <c r="J116" i="8"/>
  <c r="H117" i="8"/>
  <c r="H118" i="8" s="1"/>
  <c r="J117" i="8"/>
  <c r="AD70" i="5" a="1"/>
  <c r="AD70" i="5" s="1"/>
  <c r="G117" i="8"/>
  <c r="G118" i="8" s="1"/>
  <c r="I117" i="8"/>
  <c r="I118" i="8" s="1"/>
  <c r="F117" i="8"/>
  <c r="F118" i="8" s="1"/>
  <c r="E117" i="8"/>
  <c r="E118" i="8" s="1"/>
  <c r="D117" i="8"/>
  <c r="D118" i="8" s="1"/>
  <c r="C117" i="8"/>
  <c r="C118" i="8" s="1"/>
  <c r="K117" i="8"/>
  <c r="D71" i="5"/>
  <c r="Q71" i="5"/>
  <c r="F71" i="5"/>
  <c r="N71" i="5"/>
  <c r="P71" i="5"/>
  <c r="C71" i="5"/>
  <c r="R71" i="5"/>
  <c r="Q65" i="8"/>
  <c r="F72" i="8" s="1"/>
  <c r="Q15" i="8" s="1"/>
  <c r="P65" i="8"/>
  <c r="E71" i="8" s="1"/>
  <c r="P14" i="8" s="1"/>
  <c r="C65" i="8"/>
  <c r="V56" i="5"/>
  <c r="N6" i="5" s="1"/>
  <c r="K71" i="5"/>
  <c r="L71" i="5"/>
  <c r="M71" i="5"/>
  <c r="G71" i="5"/>
  <c r="S71" i="5"/>
  <c r="AF70" i="5" a="1"/>
  <c r="AF70" i="5" s="1"/>
  <c r="J71" i="5"/>
  <c r="AE70" i="5" a="1"/>
  <c r="AE70" i="5" s="1"/>
  <c r="T71" i="5"/>
  <c r="I71" i="5"/>
  <c r="X71" i="5"/>
  <c r="O71" i="5"/>
  <c r="E71" i="5"/>
  <c r="H71" i="5"/>
  <c r="U71" i="5"/>
  <c r="V71" i="5"/>
  <c r="AG70" i="5" a="1"/>
  <c r="AG70" i="5" s="1"/>
  <c r="W71" i="5"/>
  <c r="Z71" i="5"/>
  <c r="Y71" i="5"/>
  <c r="X47" i="9" l="1"/>
  <c r="X50" i="9" s="1"/>
  <c r="Q7" i="9" s="1"/>
  <c r="E141" i="13"/>
  <c r="F12" i="9"/>
  <c r="F11" i="9"/>
  <c r="E140" i="13"/>
  <c r="E129" i="13"/>
  <c r="E128" i="13"/>
  <c r="E130" i="13"/>
  <c r="F70" i="8"/>
  <c r="Q13" i="8" s="1"/>
  <c r="E127" i="13"/>
  <c r="N7" i="5"/>
  <c r="N8" i="5"/>
  <c r="H5" i="5"/>
  <c r="G71" i="13" s="1"/>
  <c r="H8" i="5"/>
  <c r="G74" i="13" s="1"/>
  <c r="AD136" i="10"/>
  <c r="AE136" i="10"/>
  <c r="I16" i="10"/>
  <c r="H12" i="13"/>
  <c r="N19" i="17"/>
  <c r="AC75" i="9" a="1"/>
  <c r="AC75" i="9" s="1"/>
  <c r="AC71" i="9" s="1"/>
  <c r="O11" i="9" s="1"/>
  <c r="AB75" i="9" a="1"/>
  <c r="AB75" i="9" s="1"/>
  <c r="AB71" i="9" s="1"/>
  <c r="N11" i="9" s="1"/>
  <c r="L50" i="9"/>
  <c r="N7" i="9" s="1"/>
  <c r="X49" i="9"/>
  <c r="Q6" i="9" s="1"/>
  <c r="P50" i="9"/>
  <c r="I50" i="9"/>
  <c r="K50" i="9"/>
  <c r="D50" i="9"/>
  <c r="N49" i="9"/>
  <c r="U50" i="9"/>
  <c r="F71" i="8"/>
  <c r="Q14" i="8" s="1"/>
  <c r="E70" i="8"/>
  <c r="P13" i="8" s="1"/>
  <c r="F69" i="8"/>
  <c r="Q12" i="8" s="1"/>
  <c r="E69" i="8"/>
  <c r="P12" i="8" s="1"/>
  <c r="E72" i="8"/>
  <c r="P15" i="8" s="1"/>
  <c r="F27" i="8"/>
  <c r="F28" i="8"/>
  <c r="F26" i="8"/>
  <c r="F25" i="8"/>
  <c r="AC71" i="5" a="1"/>
  <c r="AC71" i="5" s="1"/>
  <c r="O11" i="5" s="1"/>
  <c r="AB71" i="5" a="1"/>
  <c r="AB71" i="5" s="1"/>
  <c r="N11" i="5" s="1"/>
  <c r="AH58" i="2"/>
  <c r="AH37" i="2"/>
  <c r="AH45" i="2"/>
  <c r="S15" i="15"/>
  <c r="Q15" i="15"/>
  <c r="R15" i="16"/>
  <c r="R17" i="17"/>
  <c r="AH46" i="2"/>
  <c r="U37" i="17"/>
  <c r="U35" i="17" s="1"/>
  <c r="S15" i="16"/>
  <c r="AH35" i="2"/>
  <c r="AG73" i="9"/>
  <c r="Q17" i="17"/>
  <c r="P131" i="10"/>
  <c r="O117" i="10"/>
  <c r="T117" i="10"/>
  <c r="S124" i="10"/>
  <c r="AD75" i="9" a="1"/>
  <c r="AD75" i="9" s="1"/>
  <c r="AD71" i="9" s="1"/>
  <c r="P11" i="9" s="1"/>
  <c r="I16" i="8"/>
  <c r="H122" i="13" s="1"/>
  <c r="I14" i="5"/>
  <c r="H80" i="13" s="1"/>
  <c r="I24" i="10"/>
  <c r="H21" i="13" s="1"/>
  <c r="I8" i="9"/>
  <c r="H139" i="13" s="1"/>
  <c r="Q124" i="10"/>
  <c r="G50" i="9"/>
  <c r="T49" i="9"/>
  <c r="AG75" i="9" a="1"/>
  <c r="AG75" i="9" s="1"/>
  <c r="AG71" i="9" s="1"/>
  <c r="S11" i="9" s="1"/>
  <c r="AE75" i="9" a="1"/>
  <c r="AE75" i="9" s="1"/>
  <c r="AE71" i="9" s="1"/>
  <c r="Q11" i="9" s="1"/>
  <c r="AF75" i="9" a="1"/>
  <c r="AF75" i="9" s="1"/>
  <c r="AF71" i="9" s="1"/>
  <c r="R11" i="9" s="1"/>
  <c r="C49" i="9"/>
  <c r="H49" i="9"/>
  <c r="S50" i="9"/>
  <c r="Y47" i="9"/>
  <c r="Y49" i="9" s="1"/>
  <c r="R6" i="9" s="1"/>
  <c r="Z47" i="9"/>
  <c r="Z50" i="9" s="1"/>
  <c r="S7" i="9" s="1"/>
  <c r="O49" i="9"/>
  <c r="M103" i="10"/>
  <c r="L124" i="10"/>
  <c r="J124" i="10"/>
  <c r="X131" i="10"/>
  <c r="N103" i="10"/>
  <c r="J131" i="10"/>
  <c r="N124" i="10"/>
  <c r="Z103" i="10"/>
  <c r="J103" i="10"/>
  <c r="Y124" i="10"/>
  <c r="K103" i="10"/>
  <c r="V103" i="10"/>
  <c r="M131" i="10"/>
  <c r="AA124" i="10"/>
  <c r="Q131" i="10"/>
  <c r="W103" i="10"/>
  <c r="AB131" i="10"/>
  <c r="M117" i="10"/>
  <c r="U103" i="10"/>
  <c r="L117" i="10"/>
  <c r="V124" i="10"/>
  <c r="N117" i="10"/>
  <c r="X103" i="10"/>
  <c r="S131" i="10"/>
  <c r="O103" i="10"/>
  <c r="Z124" i="10"/>
  <c r="AB103" i="10"/>
  <c r="P103" i="10"/>
  <c r="Y131" i="10"/>
  <c r="S103" i="10"/>
  <c r="L103" i="10"/>
  <c r="Z117" i="10"/>
  <c r="L131" i="10"/>
  <c r="W117" i="10"/>
  <c r="R103" i="10"/>
  <c r="Y103" i="10"/>
  <c r="U124" i="10"/>
  <c r="Y117" i="10"/>
  <c r="K117" i="10"/>
  <c r="T103" i="10"/>
  <c r="AA103" i="10"/>
  <c r="Q103" i="10"/>
  <c r="Z88" i="10"/>
  <c r="M88" i="10"/>
  <c r="AB88" i="10"/>
  <c r="U88" i="10"/>
  <c r="P88" i="10"/>
  <c r="Y88" i="10"/>
  <c r="W88" i="10"/>
  <c r="X88" i="10"/>
  <c r="O88" i="10"/>
  <c r="O89" i="10" s="1"/>
  <c r="R131" i="10"/>
  <c r="R88" i="10"/>
  <c r="Q88" i="10"/>
  <c r="K88" i="10"/>
  <c r="S88" i="10"/>
  <c r="Z131" i="10"/>
  <c r="N131" i="10"/>
  <c r="T88" i="10"/>
  <c r="AA88" i="10"/>
  <c r="AB117" i="10"/>
  <c r="V131" i="10"/>
  <c r="P117" i="10"/>
  <c r="P124" i="10"/>
  <c r="N88" i="10"/>
  <c r="L88" i="10"/>
  <c r="V88" i="10"/>
  <c r="W124" i="10"/>
  <c r="J88" i="10"/>
  <c r="R117" i="10"/>
  <c r="T131" i="10"/>
  <c r="Q110" i="10"/>
  <c r="X124" i="10"/>
  <c r="AA131" i="10"/>
  <c r="U117" i="10"/>
  <c r="O131" i="10"/>
  <c r="K124" i="10"/>
  <c r="X117" i="10"/>
  <c r="V117" i="10"/>
  <c r="T124" i="10"/>
  <c r="W131" i="10"/>
  <c r="M124" i="10"/>
  <c r="J117" i="10"/>
  <c r="U96" i="10"/>
  <c r="S117" i="10"/>
  <c r="Q117" i="10"/>
  <c r="K131" i="10"/>
  <c r="U131" i="10"/>
  <c r="R124" i="10"/>
  <c r="AA117" i="10"/>
  <c r="AB124" i="10"/>
  <c r="O124" i="10"/>
  <c r="M110" i="10"/>
  <c r="U110" i="10"/>
  <c r="Y110" i="10"/>
  <c r="X110" i="10"/>
  <c r="S110" i="10"/>
  <c r="N96" i="10"/>
  <c r="AB96" i="10"/>
  <c r="P110" i="10"/>
  <c r="T110" i="10"/>
  <c r="J110" i="10"/>
  <c r="AB110" i="10"/>
  <c r="AA96" i="10"/>
  <c r="AA110" i="10"/>
  <c r="N110" i="10"/>
  <c r="O110" i="10"/>
  <c r="Z110" i="10"/>
  <c r="K110" i="10"/>
  <c r="L110" i="10"/>
  <c r="V110" i="10"/>
  <c r="W110" i="10"/>
  <c r="R96" i="10"/>
  <c r="R110" i="10"/>
  <c r="T96" i="10"/>
  <c r="W96" i="10"/>
  <c r="Y96" i="10"/>
  <c r="K96" i="10"/>
  <c r="X96" i="10"/>
  <c r="O96" i="10"/>
  <c r="S96" i="10"/>
  <c r="M96" i="10"/>
  <c r="L96" i="10"/>
  <c r="Q96" i="10"/>
  <c r="V96" i="10"/>
  <c r="P96" i="10"/>
  <c r="J96" i="10"/>
  <c r="Z96" i="10"/>
  <c r="Z87" i="10"/>
  <c r="P87" i="10"/>
  <c r="AG87" i="10"/>
  <c r="S87" i="10"/>
  <c r="U87" i="10"/>
  <c r="K87" i="10"/>
  <c r="AB87" i="10"/>
  <c r="J87" i="10"/>
  <c r="AH87" i="10"/>
  <c r="V87" i="10"/>
  <c r="T87" i="10"/>
  <c r="Y87" i="10"/>
  <c r="W87" i="10"/>
  <c r="N87" i="10"/>
  <c r="Q87" i="10"/>
  <c r="E82" i="10"/>
  <c r="AI87" i="10"/>
  <c r="I87" i="10"/>
  <c r="H87" i="10"/>
  <c r="F87" i="10"/>
  <c r="E87" i="10"/>
  <c r="G87" i="10"/>
  <c r="AA87" i="10"/>
  <c r="L87" i="10"/>
  <c r="AF87" i="10"/>
  <c r="M87" i="10"/>
  <c r="R87" i="10"/>
  <c r="X87" i="10"/>
  <c r="F82" i="10"/>
  <c r="K82" i="10"/>
  <c r="R82" i="10"/>
  <c r="W82" i="10"/>
  <c r="G82" i="10"/>
  <c r="M82" i="10"/>
  <c r="S82" i="10"/>
  <c r="H82" i="10"/>
  <c r="Y82" i="10"/>
  <c r="T82" i="10"/>
  <c r="L82" i="10"/>
  <c r="N82" i="10"/>
  <c r="I82" i="10"/>
  <c r="X82" i="10"/>
  <c r="Z82" i="10"/>
  <c r="U82" i="10"/>
  <c r="O82" i="10"/>
  <c r="O136" i="10" s="1"/>
  <c r="O138" i="10" s="1"/>
  <c r="AA82" i="10"/>
  <c r="J82" i="10"/>
  <c r="P82" i="10"/>
  <c r="V82" i="10"/>
  <c r="AB82" i="10"/>
  <c r="Q82" i="10"/>
  <c r="K118" i="8"/>
  <c r="J118" i="8"/>
  <c r="X73" i="5"/>
  <c r="T74" i="5"/>
  <c r="O74" i="5"/>
  <c r="Q74" i="5"/>
  <c r="R74" i="5"/>
  <c r="V74" i="5"/>
  <c r="T73" i="5"/>
  <c r="X74" i="5"/>
  <c r="V73" i="5"/>
  <c r="S74" i="5"/>
  <c r="U74" i="5"/>
  <c r="S73" i="5"/>
  <c r="U73" i="5"/>
  <c r="W74" i="5"/>
  <c r="M74" i="5"/>
  <c r="P74" i="5"/>
  <c r="N74" i="5"/>
  <c r="W73" i="5"/>
  <c r="Y73" i="5"/>
  <c r="Z74" i="5"/>
  <c r="Z73" i="5"/>
  <c r="Y74" i="5"/>
  <c r="F13" i="9" l="1"/>
  <c r="E142" i="13"/>
  <c r="E143" i="13"/>
  <c r="F14" i="9"/>
  <c r="E134" i="13"/>
  <c r="E133" i="13"/>
  <c r="E132" i="13"/>
  <c r="E131" i="13"/>
  <c r="H7" i="5"/>
  <c r="G73" i="13" s="1"/>
  <c r="H10" i="5"/>
  <c r="G76" i="13" s="1"/>
  <c r="H6" i="5"/>
  <c r="G72" i="13" s="1"/>
  <c r="H9" i="5"/>
  <c r="G75" i="13" s="1"/>
  <c r="I17" i="10"/>
  <c r="H13" i="13"/>
  <c r="O118" i="8" a="1"/>
  <c r="O118" i="8" s="1"/>
  <c r="O114" i="8" s="1"/>
  <c r="O8" i="8" s="1"/>
  <c r="AD103" i="10"/>
  <c r="AD99" i="10" s="1"/>
  <c r="P8" i="10" s="1"/>
  <c r="AD117" i="10"/>
  <c r="AD113" i="10" s="1"/>
  <c r="P10" i="10" s="1"/>
  <c r="AE117" i="10"/>
  <c r="AE113" i="10" s="1"/>
  <c r="Q10" i="10" s="1"/>
  <c r="AE131" i="10"/>
  <c r="AE127" i="10" s="1"/>
  <c r="Q12" i="10" s="1"/>
  <c r="H5" i="15" a="1"/>
  <c r="H5" i="16" a="1"/>
  <c r="H7" i="16" s="1"/>
  <c r="G99" i="13" s="1"/>
  <c r="N118" i="8" a="1"/>
  <c r="N118" i="8" s="1"/>
  <c r="N114" i="8" s="1"/>
  <c r="N8" i="8" s="1"/>
  <c r="AF96" i="10" a="1"/>
  <c r="AF96" i="10" s="1"/>
  <c r="AG96" i="10" s="1" a="1"/>
  <c r="AG96" i="10" s="1"/>
  <c r="AH96" i="10" s="1" a="1"/>
  <c r="AH96" i="10" s="1"/>
  <c r="AI96" i="10" s="1" a="1"/>
  <c r="AI96" i="10" s="1"/>
  <c r="AI92" i="10" s="1"/>
  <c r="U7" i="10" s="1"/>
  <c r="AD110" i="10"/>
  <c r="AD106" i="10" s="1"/>
  <c r="P9" i="10" s="1"/>
  <c r="AE103" i="10"/>
  <c r="AE99" i="10" s="1"/>
  <c r="Q8" i="10" s="1"/>
  <c r="AF103" i="10" a="1"/>
  <c r="AF103" i="10" s="1"/>
  <c r="AG103" i="10" s="1" a="1"/>
  <c r="AG103" i="10" s="1"/>
  <c r="AH103" i="10" s="1" a="1"/>
  <c r="AH103" i="10" s="1"/>
  <c r="AI103" i="10" s="1" a="1"/>
  <c r="AI103" i="10" s="1"/>
  <c r="AI99" i="10" s="1"/>
  <c r="U8" i="10" s="1"/>
  <c r="AE96" i="10"/>
  <c r="AE92" i="10" s="1"/>
  <c r="Q7" i="10" s="1"/>
  <c r="AE124" i="10"/>
  <c r="AE120" i="10" s="1"/>
  <c r="Q11" i="10" s="1"/>
  <c r="AD96" i="10"/>
  <c r="AD92" i="10" s="1"/>
  <c r="P7" i="10" s="1"/>
  <c r="AD124" i="10"/>
  <c r="AD120" i="10" s="1"/>
  <c r="P11" i="10" s="1"/>
  <c r="AE110" i="10"/>
  <c r="AE106" i="10" s="1"/>
  <c r="Q9" i="10" s="1"/>
  <c r="AF110" i="10" a="1"/>
  <c r="AF110" i="10" s="1"/>
  <c r="AG110" i="10" s="1" a="1"/>
  <c r="AG110" i="10" s="1"/>
  <c r="AH110" i="10" s="1" a="1"/>
  <c r="AH110" i="10" s="1"/>
  <c r="AI110" i="10" s="1" a="1"/>
  <c r="AI110" i="10" s="1"/>
  <c r="AI106" i="10" s="1"/>
  <c r="AD131" i="10"/>
  <c r="AD127" i="10" s="1"/>
  <c r="P12" i="10" s="1"/>
  <c r="S17" i="17"/>
  <c r="H5" i="17" s="1" a="1"/>
  <c r="P118" i="8" a="1"/>
  <c r="P118" i="8" s="1"/>
  <c r="P114" i="8" s="1"/>
  <c r="P8" i="8" s="1"/>
  <c r="AD74" i="5" a="1"/>
  <c r="AD74" i="5" s="1"/>
  <c r="AD71" i="5" s="1"/>
  <c r="P11" i="5" s="1"/>
  <c r="H11" i="5" s="1"/>
  <c r="G77" i="13" s="1"/>
  <c r="I17" i="8"/>
  <c r="H123" i="13" s="1"/>
  <c r="I15" i="5"/>
  <c r="H81" i="13" s="1"/>
  <c r="I25" i="10"/>
  <c r="H22" i="13" s="1"/>
  <c r="AF131" i="10" a="1"/>
  <c r="AF131" i="10" s="1"/>
  <c r="AF124" i="10" a="1"/>
  <c r="AF124" i="10" s="1"/>
  <c r="AF117" i="10" a="1"/>
  <c r="AF117" i="10" s="1"/>
  <c r="Z49" i="9"/>
  <c r="S6" i="9" s="1"/>
  <c r="H11" i="9" s="1" a="1"/>
  <c r="H11" i="9" s="1"/>
  <c r="G142" i="13" s="1"/>
  <c r="Y50" i="9"/>
  <c r="R7" i="9" s="1"/>
  <c r="Q89" i="10"/>
  <c r="Z89" i="10"/>
  <c r="AB89" i="10"/>
  <c r="J89" i="10"/>
  <c r="S89" i="10"/>
  <c r="Y89" i="10"/>
  <c r="W89" i="10"/>
  <c r="M89" i="10"/>
  <c r="R89" i="10"/>
  <c r="P89" i="10"/>
  <c r="U89" i="10"/>
  <c r="K89" i="10"/>
  <c r="X89" i="10"/>
  <c r="V89" i="10"/>
  <c r="AA89" i="10"/>
  <c r="T89" i="10"/>
  <c r="L89" i="10"/>
  <c r="N89" i="10"/>
  <c r="L136" i="10"/>
  <c r="L138" i="10" s="1"/>
  <c r="AF136" i="10"/>
  <c r="N136" i="10"/>
  <c r="N138" i="10" s="1"/>
  <c r="Q136" i="10"/>
  <c r="Q138" i="10" s="1"/>
  <c r="E136" i="10"/>
  <c r="X136" i="10"/>
  <c r="X138" i="10" s="1"/>
  <c r="T136" i="10"/>
  <c r="T138" i="10" s="1"/>
  <c r="I136" i="10"/>
  <c r="F136" i="10"/>
  <c r="AI136" i="10"/>
  <c r="V136" i="10"/>
  <c r="V138" i="10" s="1"/>
  <c r="Y136" i="10"/>
  <c r="Y138" i="10" s="1"/>
  <c r="AG136" i="10"/>
  <c r="P136" i="10"/>
  <c r="P138" i="10" s="1"/>
  <c r="H136" i="10"/>
  <c r="J136" i="10"/>
  <c r="J138" i="10" s="1"/>
  <c r="S136" i="10"/>
  <c r="S138" i="10" s="1"/>
  <c r="AA136" i="10"/>
  <c r="AA138" i="10" s="1"/>
  <c r="W136" i="10"/>
  <c r="W138" i="10" s="1"/>
  <c r="M136" i="10"/>
  <c r="M138" i="10" s="1"/>
  <c r="G136" i="10"/>
  <c r="U136" i="10"/>
  <c r="U138" i="10" s="1"/>
  <c r="Z136" i="10"/>
  <c r="Z138" i="10" s="1"/>
  <c r="R136" i="10"/>
  <c r="R138" i="10" s="1"/>
  <c r="K136" i="10"/>
  <c r="K138" i="10" s="1"/>
  <c r="AB136" i="10"/>
  <c r="AB138" i="10" s="1"/>
  <c r="AH136" i="10"/>
  <c r="AE74" i="5" a="1"/>
  <c r="AE74" i="5" s="1"/>
  <c r="AF74" i="5" s="1"/>
  <c r="AG74" i="5" s="1"/>
  <c r="H8" i="9" l="1" a="1"/>
  <c r="H8" i="9" s="1"/>
  <c r="G139" i="13" s="1"/>
  <c r="H12" i="9" a="1"/>
  <c r="H12" i="9" s="1"/>
  <c r="G143" i="13" s="1"/>
  <c r="H9" i="9" a="1"/>
  <c r="H9" i="9" s="1"/>
  <c r="G140" i="13" s="1"/>
  <c r="H10" i="9" a="1"/>
  <c r="H10" i="9" s="1"/>
  <c r="G141" i="13" s="1"/>
  <c r="H5" i="9" a="1"/>
  <c r="H5" i="9" s="1"/>
  <c r="G136" i="13" s="1"/>
  <c r="F16" i="9"/>
  <c r="E145" i="13"/>
  <c r="H13" i="9" a="1"/>
  <c r="H13" i="9" s="1"/>
  <c r="G144" i="13" s="1"/>
  <c r="H6" i="9" a="1"/>
  <c r="H6" i="9" s="1"/>
  <c r="G137" i="13" s="1"/>
  <c r="H14" i="9" a="1"/>
  <c r="H14" i="9" s="1"/>
  <c r="G145" i="13" s="1"/>
  <c r="H7" i="9" a="1"/>
  <c r="H7" i="9" s="1"/>
  <c r="G138" i="13" s="1"/>
  <c r="E144" i="13"/>
  <c r="F15" i="9"/>
  <c r="H13" i="8" a="1"/>
  <c r="H14" i="8" a="1"/>
  <c r="H16" i="8" a="1"/>
  <c r="H15" i="8" a="1"/>
  <c r="H9" i="8" a="1"/>
  <c r="H9" i="8" s="1"/>
  <c r="G115" i="13" s="1"/>
  <c r="H10" i="8" a="1"/>
  <c r="H10" i="8" s="1"/>
  <c r="G116" i="13" s="1"/>
  <c r="H12" i="8" a="1"/>
  <c r="H12" i="8" s="1"/>
  <c r="G118" i="13" s="1"/>
  <c r="H11" i="8" a="1"/>
  <c r="H11" i="8" s="1"/>
  <c r="G117" i="13" s="1"/>
  <c r="H6" i="8" a="1"/>
  <c r="H8" i="8" a="1"/>
  <c r="H7" i="8" a="1"/>
  <c r="H5" i="8" a="1"/>
  <c r="H13" i="5"/>
  <c r="G79" i="13" s="1"/>
  <c r="H12" i="5"/>
  <c r="G78" i="13" s="1"/>
  <c r="AD138" i="10"/>
  <c r="AD134" i="10" s="1"/>
  <c r="P13" i="10" s="1"/>
  <c r="I18" i="10"/>
  <c r="H14" i="13"/>
  <c r="H7" i="17"/>
  <c r="G92" i="13" s="1"/>
  <c r="H5" i="17"/>
  <c r="G90" i="13" s="1"/>
  <c r="H6" i="17"/>
  <c r="G91" i="13" s="1"/>
  <c r="H10" i="17"/>
  <c r="G95" i="13" s="1"/>
  <c r="H9" i="17"/>
  <c r="G94" i="13" s="1"/>
  <c r="H8" i="17"/>
  <c r="G93" i="13" s="1"/>
  <c r="Q20" i="22" s="1"/>
  <c r="K20" i="22" s="1"/>
  <c r="H5" i="8"/>
  <c r="G111" i="13" s="1"/>
  <c r="H8" i="8"/>
  <c r="G114" i="13" s="1"/>
  <c r="H7" i="8"/>
  <c r="G113" i="13" s="1"/>
  <c r="H6" i="8"/>
  <c r="G112" i="13" s="1"/>
  <c r="H6" i="15"/>
  <c r="G105" i="13" s="1"/>
  <c r="H7" i="15"/>
  <c r="G106" i="13" s="1"/>
  <c r="H5" i="15"/>
  <c r="G104" i="13" s="1"/>
  <c r="H10" i="15"/>
  <c r="G109" i="13" s="1"/>
  <c r="H9" i="15"/>
  <c r="G108" i="13" s="1"/>
  <c r="H8" i="15"/>
  <c r="G107" i="13" s="1"/>
  <c r="Q22" i="22" s="1"/>
  <c r="K22" i="22" s="1"/>
  <c r="H16" i="8"/>
  <c r="G122" i="13" s="1"/>
  <c r="H14" i="8"/>
  <c r="G120" i="13" s="1"/>
  <c r="H15" i="8"/>
  <c r="G121" i="13" s="1"/>
  <c r="H13" i="8"/>
  <c r="G119" i="13" s="1"/>
  <c r="H8" i="16"/>
  <c r="G100" i="13" s="1"/>
  <c r="Q21" i="22" s="1"/>
  <c r="K21" i="22" s="1"/>
  <c r="H5" i="16"/>
  <c r="G97" i="13" s="1"/>
  <c r="H9" i="16"/>
  <c r="G101" i="13" s="1"/>
  <c r="H10" i="16"/>
  <c r="G102" i="13" s="1"/>
  <c r="H6" i="16"/>
  <c r="G98" i="13" s="1"/>
  <c r="Q118" i="8" a="1"/>
  <c r="Q118" i="8" s="1"/>
  <c r="Q114" i="8" s="1"/>
  <c r="Q8" i="8" s="1"/>
  <c r="AE138" i="10"/>
  <c r="AE134" i="10" s="1"/>
  <c r="Q13" i="10" s="1"/>
  <c r="AD89" i="10"/>
  <c r="AD85" i="10" s="1"/>
  <c r="AE89" i="10"/>
  <c r="AE85" i="10" s="1"/>
  <c r="AF138" i="10" a="1"/>
  <c r="AF138" i="10" s="1"/>
  <c r="AF141" i="10" a="1"/>
  <c r="AF141" i="10" s="1"/>
  <c r="AF140" i="10" a="1"/>
  <c r="AF140" i="10" s="1"/>
  <c r="I18" i="8"/>
  <c r="H124" i="13" s="1"/>
  <c r="I16" i="5"/>
  <c r="H82" i="13" s="1"/>
  <c r="I26" i="10"/>
  <c r="H23" i="13" s="1"/>
  <c r="AG131" i="10" a="1"/>
  <c r="AG131" i="10" s="1"/>
  <c r="AH92" i="10"/>
  <c r="T7" i="10" s="1"/>
  <c r="U9" i="10"/>
  <c r="AG124" i="10" a="1"/>
  <c r="AG124" i="10" s="1"/>
  <c r="AH99" i="10"/>
  <c r="T8" i="10" s="1"/>
  <c r="AG117" i="10" a="1"/>
  <c r="AG117" i="10" s="1"/>
  <c r="AF89" i="10" a="1"/>
  <c r="AF89" i="10" s="1"/>
  <c r="AG89" i="10" s="1" a="1"/>
  <c r="AG89" i="10" s="1"/>
  <c r="AH89" i="10" s="1" a="1"/>
  <c r="AH89" i="10" s="1"/>
  <c r="AI89" i="10" s="1" a="1"/>
  <c r="AI89" i="10" s="1"/>
  <c r="AI85" i="10" s="1"/>
  <c r="AH106" i="10"/>
  <c r="AE71" i="5"/>
  <c r="Q11" i="5" s="1"/>
  <c r="Q27" i="22" l="1"/>
  <c r="K27" i="22" s="1"/>
  <c r="E146" i="13"/>
  <c r="H15" i="9" a="1"/>
  <c r="H15" i="9" s="1"/>
  <c r="G146" i="13" s="1"/>
  <c r="E147" i="13"/>
  <c r="Q28" i="22" s="1"/>
  <c r="K28" i="22" s="1"/>
  <c r="H16" i="9" a="1"/>
  <c r="H16" i="9" s="1"/>
  <c r="G147" i="13" s="1"/>
  <c r="H18" i="8" a="1"/>
  <c r="H19" i="8" a="1"/>
  <c r="H19" i="8" s="1"/>
  <c r="G125" i="13" s="1"/>
  <c r="H17" i="8" a="1"/>
  <c r="H17" i="8" s="1"/>
  <c r="G123" i="13" s="1"/>
  <c r="Q23" i="22" s="1"/>
  <c r="K23" i="22" s="1"/>
  <c r="H20" i="8" a="1"/>
  <c r="H14" i="5"/>
  <c r="G80" i="13" s="1"/>
  <c r="Q17" i="22" s="1"/>
  <c r="K17" i="22" s="1"/>
  <c r="H15" i="5"/>
  <c r="G81" i="13" s="1"/>
  <c r="Q18" i="22" s="1"/>
  <c r="K18" i="22" s="1"/>
  <c r="H16" i="5"/>
  <c r="G82" i="13" s="1"/>
  <c r="Q19" i="22" s="1"/>
  <c r="K19" i="22" s="1"/>
  <c r="I19" i="10"/>
  <c r="H15" i="13"/>
  <c r="H18" i="8"/>
  <c r="G124" i="13" s="1"/>
  <c r="H20" i="8"/>
  <c r="G126" i="13" s="1"/>
  <c r="R118" i="8" a="1"/>
  <c r="R118" i="8" s="1"/>
  <c r="AE79" i="10"/>
  <c r="Q6" i="10"/>
  <c r="AD79" i="10"/>
  <c r="P6" i="10"/>
  <c r="AG138" i="10" a="1"/>
  <c r="AG138" i="10" s="1"/>
  <c r="I19" i="8"/>
  <c r="H125" i="13" s="1"/>
  <c r="I17" i="5"/>
  <c r="H83" i="13" s="1"/>
  <c r="I27" i="10"/>
  <c r="H24" i="13" s="1"/>
  <c r="AH131" i="10" a="1"/>
  <c r="AH131" i="10" s="1"/>
  <c r="AI131" i="10" s="1" a="1"/>
  <c r="AI131" i="10" s="1"/>
  <c r="AI127" i="10" s="1"/>
  <c r="U12" i="10" s="1"/>
  <c r="U6" i="10"/>
  <c r="AH117" i="10" a="1"/>
  <c r="AH117" i="10" s="1"/>
  <c r="AH124" i="10" a="1"/>
  <c r="AH124" i="10" s="1"/>
  <c r="AH85" i="10"/>
  <c r="T6" i="10" s="1"/>
  <c r="T9" i="10"/>
  <c r="S118" i="8" a="1"/>
  <c r="S118" i="8" s="1"/>
  <c r="S114" i="8" s="1"/>
  <c r="S8" i="8" s="1"/>
  <c r="R114" i="8"/>
  <c r="R8" i="8" s="1"/>
  <c r="AF71" i="5"/>
  <c r="H28" i="8" l="1" a="1"/>
  <c r="H26" i="8" a="1"/>
  <c r="H27" i="8" a="1"/>
  <c r="H27" i="8" s="1"/>
  <c r="G133" i="13" s="1"/>
  <c r="H25" i="8" a="1"/>
  <c r="H25" i="8" s="1"/>
  <c r="G131" i="13" s="1"/>
  <c r="H23" i="8" a="1"/>
  <c r="H23" i="8" s="1"/>
  <c r="G129" i="13" s="1"/>
  <c r="H21" i="8" a="1"/>
  <c r="H21" i="8" s="1"/>
  <c r="G127" i="13" s="1"/>
  <c r="H22" i="8" a="1"/>
  <c r="H22" i="8" s="1"/>
  <c r="G128" i="13" s="1"/>
  <c r="H24" i="8" a="1"/>
  <c r="H24" i="8" s="1"/>
  <c r="G130" i="13" s="1"/>
  <c r="I20" i="10"/>
  <c r="H17" i="13" s="1"/>
  <c r="H16" i="13"/>
  <c r="H28" i="8"/>
  <c r="G134" i="13" s="1"/>
  <c r="H26" i="8"/>
  <c r="G132" i="13" s="1"/>
  <c r="AH138" i="10" a="1"/>
  <c r="AH138" i="10" s="1"/>
  <c r="I20" i="8"/>
  <c r="H126" i="13" s="1"/>
  <c r="I18" i="5"/>
  <c r="H84" i="13" s="1"/>
  <c r="I28" i="10"/>
  <c r="H25" i="13" s="1"/>
  <c r="AH127" i="10"/>
  <c r="T12" i="10" s="1"/>
  <c r="AI124" i="10" a="1"/>
  <c r="AI124" i="10" s="1"/>
  <c r="AI120" i="10" s="1"/>
  <c r="U11" i="10" s="1"/>
  <c r="AH120" i="10"/>
  <c r="T11" i="10" s="1"/>
  <c r="AH113" i="10"/>
  <c r="T10" i="10" s="1"/>
  <c r="AI117" i="10" a="1"/>
  <c r="AI117" i="10" s="1"/>
  <c r="AI113" i="10" s="1"/>
  <c r="AG71" i="5"/>
  <c r="S11" i="5" s="1"/>
  <c r="R11" i="5"/>
  <c r="Q25" i="22" l="1"/>
  <c r="K25" i="22" s="1"/>
  <c r="Q24" i="22"/>
  <c r="K24" i="22" s="1"/>
  <c r="Q26" i="22"/>
  <c r="K26" i="22" s="1"/>
  <c r="H17" i="5"/>
  <c r="G83" i="13" s="1"/>
  <c r="H18" i="5"/>
  <c r="G84" i="13" s="1"/>
  <c r="H19" i="5"/>
  <c r="G85" i="13" s="1"/>
  <c r="H20" i="5"/>
  <c r="G86" i="13" s="1"/>
  <c r="H21" i="5"/>
  <c r="G87" i="13" s="1"/>
  <c r="H22" i="5"/>
  <c r="G88" i="13" s="1"/>
  <c r="AH134" i="10"/>
  <c r="T13" i="10" s="1"/>
  <c r="AI138" i="10" a="1"/>
  <c r="AI138" i="10" s="1"/>
  <c r="AI134" i="10" s="1"/>
  <c r="U13" i="10" s="1"/>
  <c r="I21" i="8"/>
  <c r="H127" i="13" s="1"/>
  <c r="I19" i="5"/>
  <c r="H85" i="13" s="1"/>
  <c r="I29" i="10"/>
  <c r="H26" i="13" s="1"/>
  <c r="U10" i="10"/>
  <c r="AH79" i="10"/>
  <c r="AI79" i="10" l="1"/>
  <c r="I22" i="8"/>
  <c r="H128" i="13" s="1"/>
  <c r="I20" i="5"/>
  <c r="H86" i="13" s="1"/>
  <c r="I30" i="10"/>
  <c r="H27" i="13" s="1"/>
  <c r="S12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8" i="6"/>
  <c r="S129" i="6"/>
  <c r="S130" i="6"/>
  <c r="S131" i="6"/>
  <c r="S132" i="6"/>
  <c r="S133" i="6"/>
  <c r="S134" i="6"/>
  <c r="S135" i="6"/>
  <c r="S136" i="6"/>
  <c r="S137" i="6"/>
  <c r="S97" i="6"/>
  <c r="C98" i="6"/>
  <c r="D98" i="6"/>
  <c r="E98" i="6"/>
  <c r="F98" i="6"/>
  <c r="G98" i="6"/>
  <c r="H98" i="6"/>
  <c r="I98" i="6"/>
  <c r="J98" i="6"/>
  <c r="K98" i="6"/>
  <c r="L98" i="6"/>
  <c r="M98" i="6"/>
  <c r="N98" i="6"/>
  <c r="O98" i="6"/>
  <c r="C99" i="6"/>
  <c r="D99" i="6"/>
  <c r="E99" i="6"/>
  <c r="F99" i="6"/>
  <c r="G99" i="6"/>
  <c r="H99" i="6"/>
  <c r="I99" i="6"/>
  <c r="J99" i="6"/>
  <c r="K99" i="6"/>
  <c r="L99" i="6"/>
  <c r="M99" i="6"/>
  <c r="N99" i="6"/>
  <c r="O99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C108" i="6"/>
  <c r="D108" i="6"/>
  <c r="E108" i="6"/>
  <c r="F108" i="6"/>
  <c r="G108" i="6"/>
  <c r="H108" i="6"/>
  <c r="I108" i="6"/>
  <c r="J108" i="6"/>
  <c r="K108" i="6"/>
  <c r="L108" i="6"/>
  <c r="M108" i="6"/>
  <c r="N108" i="6"/>
  <c r="O108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C118" i="6"/>
  <c r="D118" i="6"/>
  <c r="E118" i="6"/>
  <c r="F118" i="6"/>
  <c r="G118" i="6"/>
  <c r="H118" i="6"/>
  <c r="I118" i="6"/>
  <c r="J118" i="6"/>
  <c r="K118" i="6"/>
  <c r="L118" i="6"/>
  <c r="M118" i="6"/>
  <c r="N118" i="6"/>
  <c r="O118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C124" i="6"/>
  <c r="D124" i="6"/>
  <c r="E124" i="6"/>
  <c r="F124" i="6"/>
  <c r="G124" i="6"/>
  <c r="H124" i="6"/>
  <c r="I124" i="6"/>
  <c r="J124" i="6"/>
  <c r="K124" i="6"/>
  <c r="L124" i="6"/>
  <c r="M124" i="6"/>
  <c r="N124" i="6"/>
  <c r="O124" i="6"/>
  <c r="C125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C127" i="6"/>
  <c r="D127" i="6"/>
  <c r="E127" i="6"/>
  <c r="F127" i="6"/>
  <c r="G127" i="6"/>
  <c r="H127" i="6"/>
  <c r="I127" i="6"/>
  <c r="J127" i="6"/>
  <c r="K127" i="6"/>
  <c r="L127" i="6"/>
  <c r="M127" i="6"/>
  <c r="N127" i="6"/>
  <c r="O127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C131" i="6"/>
  <c r="D131" i="6"/>
  <c r="E131" i="6"/>
  <c r="F131" i="6"/>
  <c r="G131" i="6"/>
  <c r="H131" i="6"/>
  <c r="I131" i="6"/>
  <c r="J131" i="6"/>
  <c r="K131" i="6"/>
  <c r="L131" i="6"/>
  <c r="M131" i="6"/>
  <c r="N131" i="6"/>
  <c r="O131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O132" i="6"/>
  <c r="C133" i="6"/>
  <c r="D133" i="6"/>
  <c r="E133" i="6"/>
  <c r="F133" i="6"/>
  <c r="G133" i="6"/>
  <c r="H133" i="6"/>
  <c r="I133" i="6"/>
  <c r="J133" i="6"/>
  <c r="K133" i="6"/>
  <c r="L133" i="6"/>
  <c r="M133" i="6"/>
  <c r="N133" i="6"/>
  <c r="O133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D97" i="6"/>
  <c r="E97" i="6"/>
  <c r="F97" i="6"/>
  <c r="G97" i="6"/>
  <c r="H97" i="6"/>
  <c r="I97" i="6"/>
  <c r="J97" i="6"/>
  <c r="K97" i="6"/>
  <c r="L97" i="6"/>
  <c r="M97" i="6"/>
  <c r="N97" i="6"/>
  <c r="O97" i="6"/>
  <c r="C97" i="6"/>
  <c r="I23" i="8" l="1"/>
  <c r="H129" i="13" s="1"/>
  <c r="I21" i="5"/>
  <c r="H87" i="13" s="1"/>
  <c r="I31" i="10"/>
  <c r="H28" i="13" s="1"/>
  <c r="F68" i="1"/>
  <c r="E68" i="1"/>
  <c r="D68" i="1"/>
  <c r="C68" i="1"/>
  <c r="F67" i="1"/>
  <c r="E67" i="1"/>
  <c r="D67" i="1"/>
  <c r="C67" i="1"/>
  <c r="F66" i="1"/>
  <c r="E66" i="1"/>
  <c r="D66" i="1"/>
  <c r="C66" i="1"/>
  <c r="F65" i="1"/>
  <c r="E65" i="1"/>
  <c r="D65" i="1"/>
  <c r="C65" i="1"/>
  <c r="F64" i="1"/>
  <c r="E64" i="1"/>
  <c r="D64" i="1"/>
  <c r="C64" i="1"/>
  <c r="F63" i="1"/>
  <c r="E63" i="1"/>
  <c r="D63" i="1"/>
  <c r="C63" i="1"/>
  <c r="F62" i="1"/>
  <c r="E62" i="1"/>
  <c r="D62" i="1"/>
  <c r="C62" i="1"/>
  <c r="F61" i="1"/>
  <c r="E61" i="1"/>
  <c r="D61" i="1"/>
  <c r="C61" i="1"/>
  <c r="F60" i="1"/>
  <c r="E60" i="1"/>
  <c r="D60" i="1"/>
  <c r="C60" i="1"/>
  <c r="F59" i="1"/>
  <c r="E59" i="1"/>
  <c r="D59" i="1"/>
  <c r="C59" i="1"/>
  <c r="F58" i="1"/>
  <c r="E58" i="1"/>
  <c r="D58" i="1"/>
  <c r="C58" i="1"/>
  <c r="F57" i="1"/>
  <c r="E57" i="1"/>
  <c r="D57" i="1"/>
  <c r="C57" i="1"/>
  <c r="F56" i="1"/>
  <c r="E56" i="1"/>
  <c r="D56" i="1"/>
  <c r="C56" i="1"/>
  <c r="F55" i="1"/>
  <c r="E55" i="1"/>
  <c r="D55" i="1"/>
  <c r="C55" i="1"/>
  <c r="F54" i="1"/>
  <c r="E54" i="1"/>
  <c r="D54" i="1"/>
  <c r="C54" i="1"/>
  <c r="F53" i="1"/>
  <c r="E53" i="1"/>
  <c r="D53" i="1"/>
  <c r="C53" i="1"/>
  <c r="F52" i="1"/>
  <c r="E52" i="1"/>
  <c r="D52" i="1"/>
  <c r="C52" i="1"/>
  <c r="F51" i="1"/>
  <c r="E51" i="1"/>
  <c r="D51" i="1"/>
  <c r="C51" i="1"/>
  <c r="AI34" i="3"/>
  <c r="AI35" i="3"/>
  <c r="AI37" i="3"/>
  <c r="AI39" i="3"/>
  <c r="AI40" i="3"/>
  <c r="AI41" i="3"/>
  <c r="AI43" i="3"/>
  <c r="AI45" i="3"/>
  <c r="AI46" i="3"/>
  <c r="AI54" i="3"/>
  <c r="AI55" i="3"/>
  <c r="AD6" i="3" a="1"/>
  <c r="AD6" i="3" s="1"/>
  <c r="AE6" i="3" a="1"/>
  <c r="AE6" i="3" s="1"/>
  <c r="AD7" i="3" a="1"/>
  <c r="AD7" i="3" s="1"/>
  <c r="AE7" i="3" a="1"/>
  <c r="AE7" i="3" s="1"/>
  <c r="AD8" i="3" a="1"/>
  <c r="AD8" i="3" s="1"/>
  <c r="AE8" i="3" a="1"/>
  <c r="AE8" i="3" s="1"/>
  <c r="AD9" i="3" a="1"/>
  <c r="AD9" i="3" s="1"/>
  <c r="AE9" i="3" a="1"/>
  <c r="AE9" i="3" s="1"/>
  <c r="AD10" i="3" a="1"/>
  <c r="AD10" i="3" s="1"/>
  <c r="AE10" i="3" a="1"/>
  <c r="AE10" i="3" s="1"/>
  <c r="AD11" i="3" a="1"/>
  <c r="AD11" i="3" s="1"/>
  <c r="AE11" i="3" a="1"/>
  <c r="AE11" i="3" s="1"/>
  <c r="AE5" i="3" a="1"/>
  <c r="AE5" i="3" s="1"/>
  <c r="AD5" i="3" a="1"/>
  <c r="AD5" i="3" s="1"/>
  <c r="AF113" i="10" l="1"/>
  <c r="R10" i="10" s="1"/>
  <c r="AJ9" i="3"/>
  <c r="AF106" i="10"/>
  <c r="R9" i="10" s="1"/>
  <c r="AJ8" i="3"/>
  <c r="AG85" i="10"/>
  <c r="S6" i="10" s="1"/>
  <c r="AI7" i="3"/>
  <c r="AJ11" i="3"/>
  <c r="AJ6" i="3"/>
  <c r="AF99" i="10"/>
  <c r="R8" i="10" s="1"/>
  <c r="AG113" i="10"/>
  <c r="S10" i="10" s="1"/>
  <c r="AI9" i="3"/>
  <c r="AI11" i="3"/>
  <c r="AJ7" i="3"/>
  <c r="AF85" i="10"/>
  <c r="R6" i="10" s="1"/>
  <c r="AI6" i="3"/>
  <c r="AG99" i="10"/>
  <c r="S8" i="10" s="1"/>
  <c r="AG120" i="10"/>
  <c r="S11" i="10" s="1"/>
  <c r="AI10" i="3"/>
  <c r="AF120" i="10"/>
  <c r="R11" i="10" s="1"/>
  <c r="AJ10" i="3"/>
  <c r="AI8" i="3"/>
  <c r="AG106" i="10"/>
  <c r="S9" i="10" s="1"/>
  <c r="I24" i="8"/>
  <c r="H130" i="13" s="1"/>
  <c r="I22" i="5"/>
  <c r="H88" i="13" s="1"/>
  <c r="I32" i="10"/>
  <c r="H29" i="13" s="1"/>
  <c r="AI5" i="3"/>
  <c r="AJ5" i="3"/>
  <c r="AI42" i="3"/>
  <c r="AI53" i="3"/>
  <c r="AI47" i="3"/>
  <c r="AI51" i="3"/>
  <c r="AI38" i="3"/>
  <c r="AI50" i="3"/>
  <c r="AI49" i="3"/>
  <c r="AI36" i="3"/>
  <c r="AI44" i="3"/>
  <c r="AI48" i="3"/>
  <c r="AI52" i="3"/>
  <c r="AG135" i="10" l="1"/>
  <c r="AG134" i="10" s="1"/>
  <c r="S13" i="10" s="1"/>
  <c r="AG127" i="10"/>
  <c r="S12" i="10" s="1"/>
  <c r="AF135" i="10"/>
  <c r="AF134" i="10" s="1"/>
  <c r="R13" i="10" s="1"/>
  <c r="AF127" i="10"/>
  <c r="R12" i="10" s="1"/>
  <c r="I25" i="8"/>
  <c r="H131" i="13" s="1"/>
  <c r="I33" i="10"/>
  <c r="H30" i="13" s="1"/>
  <c r="AF92" i="10"/>
  <c r="AG92" i="10"/>
  <c r="I26" i="8" l="1"/>
  <c r="H132" i="13" s="1"/>
  <c r="I34" i="10"/>
  <c r="H31" i="13" s="1"/>
  <c r="S7" i="10"/>
  <c r="AG79" i="10"/>
  <c r="R7" i="10"/>
  <c r="AF79" i="10"/>
  <c r="H13" i="10" l="1" a="1"/>
  <c r="H13" i="10" s="1"/>
  <c r="H26" i="10" a="1"/>
  <c r="H26" i="10" s="1"/>
  <c r="G23" i="13" s="1"/>
  <c r="H39" i="10" a="1"/>
  <c r="H39" i="10" s="1"/>
  <c r="G36" i="13" s="1"/>
  <c r="H44" i="10" a="1"/>
  <c r="H44" i="10" s="1"/>
  <c r="G41" i="13" s="1"/>
  <c r="H19" i="10" a="1"/>
  <c r="H19" i="10" s="1"/>
  <c r="G16" i="13" s="1"/>
  <c r="H21" i="10" a="1"/>
  <c r="H21" i="10" s="1"/>
  <c r="H23" i="10" a="1"/>
  <c r="H23" i="10" s="1"/>
  <c r="G20" i="13" s="1"/>
  <c r="H36" i="10" a="1"/>
  <c r="H36" i="10" s="1"/>
  <c r="G33" i="13" s="1"/>
  <c r="H9" i="10" a="1"/>
  <c r="H9" i="10" s="1"/>
  <c r="G6" i="13" s="1"/>
  <c r="H47" i="10" a="1"/>
  <c r="H47" i="10" s="1"/>
  <c r="G44" i="13" s="1"/>
  <c r="H46" i="10" a="1"/>
  <c r="H46" i="10" s="1"/>
  <c r="G43" i="13" s="1"/>
  <c r="H28" i="10" a="1"/>
  <c r="H28" i="10" s="1"/>
  <c r="G25" i="13" s="1"/>
  <c r="H25" i="10" a="1"/>
  <c r="H25" i="10" s="1"/>
  <c r="G22" i="13" s="1"/>
  <c r="H32" i="10" a="1"/>
  <c r="H32" i="10" s="1"/>
  <c r="H38" i="10" a="1"/>
  <c r="H38" i="10" s="1"/>
  <c r="G35" i="13" s="1"/>
  <c r="H51" i="10" a="1"/>
  <c r="H51" i="10" s="1"/>
  <c r="G48" i="13" s="1"/>
  <c r="H17" i="10" a="1"/>
  <c r="H17" i="10" s="1"/>
  <c r="G14" i="13" s="1"/>
  <c r="H15" i="10" a="1"/>
  <c r="H15" i="10" s="1"/>
  <c r="G12" i="13" s="1"/>
  <c r="H50" i="10" a="1"/>
  <c r="H50" i="10" s="1"/>
  <c r="G47" i="13" s="1"/>
  <c r="H30" i="10" a="1"/>
  <c r="H30" i="10" s="1"/>
  <c r="G27" i="13" s="1"/>
  <c r="K3" i="22" s="1"/>
  <c r="H41" i="10" a="1"/>
  <c r="H41" i="10" s="1"/>
  <c r="G38" i="13" s="1"/>
  <c r="H8" i="10" a="1"/>
  <c r="H8" i="10" s="1"/>
  <c r="H43" i="10" a="1"/>
  <c r="H43" i="10" s="1"/>
  <c r="G40" i="13" s="1"/>
  <c r="H42" i="10" a="1"/>
  <c r="H42" i="10" s="1"/>
  <c r="G39" i="13" s="1"/>
  <c r="H48" i="10" a="1"/>
  <c r="H48" i="10" s="1"/>
  <c r="H7" i="10" a="1"/>
  <c r="H7" i="10" s="1"/>
  <c r="G4" i="13" s="1"/>
  <c r="H14" i="10" a="1"/>
  <c r="H14" i="10" s="1"/>
  <c r="G11" i="13" s="1"/>
  <c r="H33" i="10" a="1"/>
  <c r="H33" i="10" s="1"/>
  <c r="G30" i="13" s="1"/>
  <c r="H11" i="10" a="1"/>
  <c r="H11" i="10" s="1"/>
  <c r="G8" i="13" s="1"/>
  <c r="H12" i="10" a="1"/>
  <c r="H12" i="10" s="1"/>
  <c r="G9" i="13" s="1"/>
  <c r="H29" i="10" a="1"/>
  <c r="H29" i="10" s="1"/>
  <c r="H24" i="10" a="1"/>
  <c r="H24" i="10" s="1"/>
  <c r="H35" i="10" a="1"/>
  <c r="H35" i="10" s="1"/>
  <c r="G32" i="13" s="1"/>
  <c r="H18" i="10" a="1"/>
  <c r="H18" i="10" s="1"/>
  <c r="G15" i="13" s="1"/>
  <c r="H40" i="10" a="1"/>
  <c r="H40" i="10" s="1"/>
  <c r="H31" i="10" a="1"/>
  <c r="H31" i="10" s="1"/>
  <c r="G28" i="13" s="1"/>
  <c r="H6" i="10" a="1"/>
  <c r="H6" i="10" s="1"/>
  <c r="G3" i="13" s="1"/>
  <c r="H49" i="10" a="1"/>
  <c r="H49" i="10" s="1"/>
  <c r="G46" i="13" s="1"/>
  <c r="H22" i="10" a="1"/>
  <c r="H22" i="10" s="1"/>
  <c r="G19" i="13" s="1"/>
  <c r="H20" i="10" a="1"/>
  <c r="H20" i="10" s="1"/>
  <c r="G17" i="13" s="1"/>
  <c r="H45" i="10" a="1"/>
  <c r="H45" i="10" s="1"/>
  <c r="H52" i="10" a="1"/>
  <c r="H52" i="10" s="1"/>
  <c r="H37" i="10" a="1"/>
  <c r="H37" i="10" s="1"/>
  <c r="H10" i="10" a="1"/>
  <c r="H10" i="10" s="1"/>
  <c r="G7" i="13" s="1"/>
  <c r="H27" i="10" a="1"/>
  <c r="H27" i="10" s="1"/>
  <c r="G24" i="13" s="1"/>
  <c r="H5" i="10" a="1"/>
  <c r="H5" i="10" s="1"/>
  <c r="H16" i="10" a="1"/>
  <c r="H16" i="10" s="1"/>
  <c r="H34" i="10" a="1"/>
  <c r="H34" i="10" s="1"/>
  <c r="G31" i="13" s="1"/>
  <c r="I27" i="8"/>
  <c r="H133" i="13" s="1"/>
  <c r="I35" i="10"/>
  <c r="H32" i="13" s="1"/>
  <c r="H62" i="10" l="1"/>
  <c r="H61" i="10"/>
  <c r="H70" i="10"/>
  <c r="H57" i="10"/>
  <c r="H67" i="10"/>
  <c r="H54" i="10"/>
  <c r="H60" i="10"/>
  <c r="H63" i="10"/>
  <c r="H69" i="10"/>
  <c r="H56" i="10"/>
  <c r="G37" i="13"/>
  <c r="H64" i="10"/>
  <c r="G34" i="13"/>
  <c r="H58" i="10"/>
  <c r="H71" i="10"/>
  <c r="H59" i="10"/>
  <c r="H72" i="10"/>
  <c r="H65" i="10"/>
  <c r="H68" i="10"/>
  <c r="H55" i="10"/>
  <c r="G29" i="13"/>
  <c r="K9" i="22" s="1"/>
  <c r="G18" i="13"/>
  <c r="G5" i="13"/>
  <c r="G49" i="13"/>
  <c r="G21" i="13"/>
  <c r="G13" i="13"/>
  <c r="G26" i="13"/>
  <c r="G2" i="13"/>
  <c r="G42" i="13"/>
  <c r="G45" i="13"/>
  <c r="G10" i="13"/>
  <c r="K7" i="22"/>
  <c r="K4" i="22"/>
  <c r="K13" i="22" s="1"/>
  <c r="K6" i="22"/>
  <c r="K10" i="22"/>
  <c r="K8" i="22"/>
  <c r="K5" i="22"/>
  <c r="K12" i="22" s="1"/>
  <c r="K15" i="22" s="1"/>
  <c r="I28" i="8"/>
  <c r="H134" i="13" s="1"/>
  <c r="I36" i="10"/>
  <c r="H33" i="13" s="1"/>
  <c r="I37" i="10" l="1"/>
  <c r="H34" i="13" s="1"/>
  <c r="I38" i="10" l="1"/>
  <c r="H35" i="13" s="1"/>
  <c r="I39" i="10" l="1"/>
  <c r="H36" i="13" s="1"/>
  <c r="I40" i="10" l="1"/>
  <c r="H37" i="13" s="1"/>
  <c r="I41" i="10" l="1"/>
  <c r="H38" i="13" s="1"/>
  <c r="I42" i="10" l="1"/>
  <c r="H39" i="13" s="1"/>
  <c r="I43" i="10" l="1"/>
  <c r="H40" i="13" s="1"/>
  <c r="I44" i="10" l="1"/>
  <c r="H41" i="13" s="1"/>
  <c r="I45" i="10" l="1"/>
  <c r="H42" i="13" s="1"/>
  <c r="I46" i="10" l="1"/>
  <c r="H43" i="13" s="1"/>
  <c r="I47" i="10" l="1"/>
  <c r="H44" i="13" s="1"/>
  <c r="I48" i="10" l="1"/>
  <c r="H45" i="13" s="1"/>
  <c r="I49" i="10" l="1"/>
  <c r="H46" i="13" s="1"/>
  <c r="I50" i="10" l="1"/>
  <c r="H47" i="13" s="1"/>
  <c r="I51" i="10" l="1"/>
  <c r="H48" i="13" s="1"/>
  <c r="I52" i="10" l="1"/>
  <c r="H49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5" authorId="0" shapeId="0" xr:uid="{DD6F3BDF-D4C4-4113-9C82-1DE9D380B19F}">
      <text>
        <r>
          <rPr>
            <sz val="10"/>
            <rFont val="Arial"/>
            <family val="2"/>
          </rPr>
          <t xml:space="preserve">1 January 2019, the municipality 1567 Rindal was moved from Møre og Romsdal to Trøndelag. 1 January 2020, the municipality 1571 Halsa was moved from Møre og Romsdal to Trøndelag. 1 January 2020, the municipality 1444 Hornindal was moved from Sogn og Fjordane to Møre og Romsdal.
</t>
        </r>
      </text>
    </comment>
    <comment ref="B46" authorId="0" shapeId="0" xr:uid="{B86451F0-79AE-435A-B3F3-CD8E70031A9F}">
      <text>
        <r>
          <rPr>
            <sz val="10"/>
            <rFont val="Arial"/>
            <family val="2"/>
          </rPr>
          <t xml:space="preserve">1 January 2019, the municipality 1567 Rindal was moved from Møre og Romsdal to Trøndelag. 1 January 2020, the municipality 1571 Halsa was moved from Møre og Romsdal to Trøndelag.
</t>
        </r>
      </text>
    </comment>
    <comment ref="B50" authorId="0" shapeId="0" xr:uid="{81DEA29B-863A-4C6A-A698-88D6B57535C2}">
      <text>
        <r>
          <rPr>
            <sz val="10"/>
            <rFont val="Arial"/>
            <family val="2"/>
          </rPr>
          <t xml:space="preserve">1 January 2020, the municipality 1852 Tjeldsund was moved from Nordland to Troms og Finnmark.
</t>
        </r>
      </text>
    </comment>
    <comment ref="B53" authorId="0" shapeId="0" xr:uid="{06112EAA-3722-4030-8CCD-45F2E6F8222A}">
      <text>
        <r>
          <rPr>
            <sz val="10"/>
            <rFont val="Arial"/>
            <family val="2"/>
          </rPr>
          <t xml:space="preserve">Svalbard is not defined as a county in the legal sense, but in official statistics Svalbard is treated in the same way as the other counties in Norway.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<sst xmlns="http://schemas.openxmlformats.org/spreadsheetml/2006/main" count="1929" uniqueCount="376">
  <si>
    <t>Total (GWh)</t>
  </si>
  <si>
    <t>Finland</t>
  </si>
  <si>
    <t>Slovenia</t>
  </si>
  <si>
    <t>Romania</t>
  </si>
  <si>
    <t>Portugal</t>
  </si>
  <si>
    <t>Austria</t>
  </si>
  <si>
    <t>Malta</t>
  </si>
  <si>
    <t>Luxembourg</t>
  </si>
  <si>
    <t>Latvia</t>
  </si>
  <si>
    <t>Italy</t>
  </si>
  <si>
    <t>France</t>
  </si>
  <si>
    <t>Spain</t>
  </si>
  <si>
    <t>Greece</t>
  </si>
  <si>
    <t>Estonia</t>
  </si>
  <si>
    <t>Denmark</t>
  </si>
  <si>
    <t>Bulgaria</t>
  </si>
  <si>
    <t>Belgium</t>
  </si>
  <si>
    <t>Euro area – 20 countries (from 2023)</t>
  </si>
  <si>
    <t>European Union - 27 countries (from 2020)</t>
  </si>
  <si>
    <t>Low</t>
  </si>
  <si>
    <t>High</t>
  </si>
  <si>
    <t>:</t>
  </si>
  <si>
    <t/>
  </si>
  <si>
    <t>LEV_EFCY (Labels)</t>
  </si>
  <si>
    <t>GEO (Labels)</t>
  </si>
  <si>
    <t>2022</t>
  </si>
  <si>
    <t>2021</t>
  </si>
  <si>
    <t>2020</t>
  </si>
  <si>
    <t>2019</t>
  </si>
  <si>
    <t>TIME</t>
  </si>
  <si>
    <t>District heating</t>
  </si>
  <si>
    <t>Type of network</t>
  </si>
  <si>
    <t>All customers</t>
  </si>
  <si>
    <t>Customer</t>
  </si>
  <si>
    <t>Terajoule</t>
  </si>
  <si>
    <t>Unit of measure</t>
  </si>
  <si>
    <t>Annual</t>
  </si>
  <si>
    <t>Time frequency</t>
  </si>
  <si>
    <t>09/01/2025 11:00</t>
  </si>
  <si>
    <t xml:space="preserve">Last updated: </t>
  </si>
  <si>
    <t>Energy removed from district networks by customers, type of networks and efficiency of network [nrg_dhdc_e__custom_15484031]</t>
  </si>
  <si>
    <t xml:space="preserve">Dataset: </t>
  </si>
  <si>
    <t>Data extracted on 20/02/2025 05:44:05 from [ESTAT]</t>
  </si>
  <si>
    <t>-</t>
  </si>
  <si>
    <t xml:space="preserve">Description: </t>
  </si>
  <si>
    <t>Open in Data Browser</t>
  </si>
  <si>
    <t>Open product page</t>
  </si>
  <si>
    <t>Population change - Demographic balance and crude rates at national level [demo_gind__custom_15484068]</t>
  </si>
  <si>
    <t>Data extracted on 20/02/2025 05:52:27 from [ESTAT]</t>
  </si>
  <si>
    <t>09/01/2025 23:00</t>
  </si>
  <si>
    <t>Demographic indicator</t>
  </si>
  <si>
    <t>Average population - total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</si>
  <si>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</si>
  <si>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</si>
  <si>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</si>
  <si>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</si>
  <si>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</si>
  <si>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</si>
  <si>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</si>
  <si>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</si>
  <si>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</si>
  <si>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European Union - 28 countries (2013-2020)</t>
  </si>
  <si>
    <t>European Union - 27 countries (2007-2013)</t>
  </si>
  <si>
    <t>Czechia</t>
  </si>
  <si>
    <t>Germany</t>
  </si>
  <si>
    <t>Ireland</t>
  </si>
  <si>
    <t>Croatia</t>
  </si>
  <si>
    <t>Cyprus</t>
  </si>
  <si>
    <t>Lithuania</t>
  </si>
  <si>
    <t>Hungary</t>
  </si>
  <si>
    <t>Netherlands</t>
  </si>
  <si>
    <t>Poland</t>
  </si>
  <si>
    <t>Slovakia</t>
  </si>
  <si>
    <t>Sweden</t>
  </si>
  <si>
    <t>Iceland</t>
  </si>
  <si>
    <t>Liechtenstein</t>
  </si>
  <si>
    <t>Norway</t>
  </si>
  <si>
    <t>Switzerland</t>
  </si>
  <si>
    <t>United Kingdom</t>
  </si>
  <si>
    <t>Bosnia and Herzegovina</t>
  </si>
  <si>
    <t>Montenegro</t>
  </si>
  <si>
    <t>Moldova</t>
  </si>
  <si>
    <t>North Macedonia</t>
  </si>
  <si>
    <t>Georgia</t>
  </si>
  <si>
    <t>Albania</t>
  </si>
  <si>
    <t>Serbia</t>
  </si>
  <si>
    <t>Türkiye</t>
  </si>
  <si>
    <t>Ukraine</t>
  </si>
  <si>
    <t>Kosovo*</t>
  </si>
  <si>
    <t>Special value</t>
  </si>
  <si>
    <t>not available</t>
  </si>
  <si>
    <t>Helsinki</t>
  </si>
  <si>
    <t>Espoo</t>
  </si>
  <si>
    <t>Vantaa</t>
  </si>
  <si>
    <t>Turku</t>
  </si>
  <si>
    <t>Tampere</t>
  </si>
  <si>
    <t>Oulu</t>
  </si>
  <si>
    <t>Jyväskylä</t>
  </si>
  <si>
    <t>Väkiluku</t>
  </si>
  <si>
    <t>https://pxdata.stat.fi/PxWeb/pxweb/fi/Kuntien_avainluvut/Kuntien_avainluvut__uusin/kuntien_avainluvut_aikasarja.px</t>
  </si>
  <si>
    <t>https://www.ilmatieteenlaitos.fi/lammitystarveluvut</t>
  </si>
  <si>
    <t>Cooling and heating degree days by country - annual data [nrg_chdd_a__custom_15484150]</t>
  </si>
  <si>
    <t>Data extracted on 20/02/2025 06:20:37 from [ESTAT]</t>
  </si>
  <si>
    <t>19/06/2024 23:00</t>
  </si>
  <si>
    <t>Number</t>
  </si>
  <si>
    <t>Energy indicator</t>
  </si>
  <si>
    <t>Heating degree days</t>
  </si>
  <si>
    <t>Disaggregated final energy consumption in households - quantities [nrg_d_hhq__custom_15484496]</t>
  </si>
  <si>
    <t>Data extracted on 20/02/2025 07:48:23 from [ESTAT]</t>
  </si>
  <si>
    <t>07/11/2024 23:00</t>
  </si>
  <si>
    <t>Standard international energy product classification (SIEC)</t>
  </si>
  <si>
    <t>Total</t>
  </si>
  <si>
    <t>NRG_BAL (Labels)</t>
  </si>
  <si>
    <t>Final consumption - other sectors - households - energy use - space heating</t>
  </si>
  <si>
    <t>Final consumption - other sectors - households - energy use - water heating</t>
  </si>
  <si>
    <t>Share of water heating (%)</t>
  </si>
  <si>
    <t>recent avg</t>
  </si>
  <si>
    <t>11342: Population and area, by contents, region and year</t>
  </si>
  <si>
    <t>Population per 1.1. (persons)</t>
  </si>
  <si>
    <t>01 Østfold (-2019)</t>
  </si>
  <si>
    <t>02 Akershus (-2019)</t>
  </si>
  <si>
    <t>03 Oslo</t>
  </si>
  <si>
    <t>04 Hedmark (-2019)</t>
  </si>
  <si>
    <t>05 Oppland (-2019)</t>
  </si>
  <si>
    <t>06 Buskerud (-2019)</t>
  </si>
  <si>
    <t>07 Vestfold (-2019)</t>
  </si>
  <si>
    <t>08 Telemark (-2019)</t>
  </si>
  <si>
    <t>09 Aust-Agder (-2019)</t>
  </si>
  <si>
    <t>10 Vest-Agder (-2019)</t>
  </si>
  <si>
    <t>11 Rogaland</t>
  </si>
  <si>
    <t>12 Hordaland (-2019)</t>
  </si>
  <si>
    <t>14 Sogn og Fjordane (-2019)</t>
  </si>
  <si>
    <t>NOS0 (mil)</t>
  </si>
  <si>
    <t>15 Møre og Romsdal</t>
  </si>
  <si>
    <r>
      <rPr>
        <b/>
        <sz val="11"/>
        <color rgb="FF000000"/>
        <rFont val="Calibri"/>
        <family val="2"/>
        <charset val="1"/>
      </rPr>
      <t>50 Trøndelag - Trööndelage</t>
    </r>
    <r>
      <rPr>
        <b/>
        <sz val="11"/>
        <color rgb="FFFF0000"/>
        <rFont val="Calibri"/>
        <family val="2"/>
        <charset val="1"/>
      </rPr>
      <t xml:space="preserve"> (red calculated)</t>
    </r>
  </si>
  <si>
    <r>
      <rPr>
        <b/>
        <sz val="11"/>
        <color rgb="FF000000"/>
        <rFont val="Calibri"/>
        <family val="2"/>
        <charset val="1"/>
      </rPr>
      <t xml:space="preserve">16 Sør-Trøndelag (-2017) </t>
    </r>
    <r>
      <rPr>
        <b/>
        <sz val="11"/>
        <color rgb="FFFF0000"/>
        <rFont val="Calibri"/>
        <family val="2"/>
        <charset val="1"/>
      </rPr>
      <t xml:space="preserve"> (red calculated)</t>
    </r>
  </si>
  <si>
    <r>
      <rPr>
        <b/>
        <sz val="11"/>
        <color rgb="FF000000"/>
        <rFont val="Calibri"/>
        <family val="2"/>
        <charset val="1"/>
      </rPr>
      <t xml:space="preserve">NOM1(mil) </t>
    </r>
    <r>
      <rPr>
        <b/>
        <sz val="11"/>
        <color rgb="FFFF0000"/>
        <rFont val="Calibri"/>
        <family val="2"/>
        <charset val="1"/>
      </rPr>
      <t xml:space="preserve"> (red calculated)</t>
    </r>
  </si>
  <si>
    <t>17 Nord-Trøndelag (-2017)</t>
  </si>
  <si>
    <t>18 Nordland - Nordlánnda</t>
  </si>
  <si>
    <t>19 Troms - Romsa (-2019)</t>
  </si>
  <si>
    <t>20 Finnmark - Finnmárku (-2019)</t>
  </si>
  <si>
    <t>21 Svalbard</t>
  </si>
  <si>
    <r>
      <rPr>
        <b/>
        <sz val="11"/>
        <color rgb="FF000000"/>
        <rFont val="Calibri"/>
        <family val="2"/>
        <charset val="1"/>
      </rPr>
      <t xml:space="preserve">NON1  </t>
    </r>
    <r>
      <rPr>
        <b/>
        <sz val="11"/>
        <color rgb="FFFF0000"/>
        <rFont val="Calibri"/>
        <family val="2"/>
        <charset val="1"/>
      </rPr>
      <t>(red calculated)</t>
    </r>
  </si>
  <si>
    <t>04727: Balance of district heating (GWh), by contents, district heating and year</t>
  </si>
  <si>
    <t>Balance of district heating</t>
  </si>
  <si>
    <t>Net production of district heating</t>
  </si>
  <si>
    <t>¬ Losses in the distribution net</t>
  </si>
  <si>
    <t>Delivered to consumers</t>
  </si>
  <si>
    <t>09469: Net production of district heating (GWh), by contents, heat central and year</t>
  </si>
  <si>
    <t>Production of district heating</t>
  </si>
  <si>
    <t>Total net production</t>
  </si>
  <si>
    <t>Refuse incineration plant</t>
  </si>
  <si>
    <t>Oil boilers</t>
  </si>
  <si>
    <t>Coal plant</t>
  </si>
  <si>
    <t>Wood waste</t>
  </si>
  <si>
    <t>Bio fuel</t>
  </si>
  <si>
    <t>Electric boilers</t>
  </si>
  <si>
    <t>Heat pumps</t>
  </si>
  <si>
    <t>Fossil gas</t>
  </si>
  <si>
    <t>Biogas</t>
  </si>
  <si>
    <t>..</t>
  </si>
  <si>
    <t>Waste heat</t>
  </si>
  <si>
    <t>https://www.fjernkontrollen.no/</t>
  </si>
  <si>
    <t>HDD</t>
  </si>
  <si>
    <t>Normal year net production</t>
  </si>
  <si>
    <t>y-to-y growth</t>
  </si>
  <si>
    <t>smoother growth</t>
  </si>
  <si>
    <t>NOS0</t>
  </si>
  <si>
    <t>NOM1</t>
  </si>
  <si>
    <t>NON1</t>
  </si>
  <si>
    <t>share (%)</t>
  </si>
  <si>
    <t>Country</t>
  </si>
  <si>
    <t>Grid</t>
  </si>
  <si>
    <t>Node_suffix</t>
  </si>
  <si>
    <t>Scenario</t>
  </si>
  <si>
    <t>Year</t>
  </si>
  <si>
    <t>Constant_share</t>
  </si>
  <si>
    <t>FI00</t>
  </si>
  <si>
    <t>region</t>
  </si>
  <si>
    <t>Normal year, DH net production (GWh)</t>
  </si>
  <si>
    <t>https://www.ssb.no/en/befolkning</t>
  </si>
  <si>
    <t>https://www.ssb.no/en/statbank/table/04727</t>
  </si>
  <si>
    <t>https://www.ssb.no/en/statbank/table/09469</t>
  </si>
  <si>
    <t>City level statistics would be at</t>
  </si>
  <si>
    <t>Note: Original values end of Dec, changed to match values in Pop-sheet, that are beginning of Jan</t>
  </si>
  <si>
    <t>Population</t>
  </si>
  <si>
    <t>25 Norrbotten county</t>
  </si>
  <si>
    <t>SE01</t>
  </si>
  <si>
    <t>21 Gävleborg county</t>
  </si>
  <si>
    <t>22 Västernorrland county</t>
  </si>
  <si>
    <t>23 Jämtland county</t>
  </si>
  <si>
    <t>24 Västerbotten county</t>
  </si>
  <si>
    <t>SE02</t>
  </si>
  <si>
    <t>01 Stockholm county</t>
  </si>
  <si>
    <t>03 Uppsala county</t>
  </si>
  <si>
    <t>04 Södermanland county</t>
  </si>
  <si>
    <t>05 Östergötland county</t>
  </si>
  <si>
    <t>06 Jönköping county</t>
  </si>
  <si>
    <t>14 Västra Götaland county</t>
  </si>
  <si>
    <t>17 Värmland county</t>
  </si>
  <si>
    <t>18 Örebro county</t>
  </si>
  <si>
    <t>19 Västmanland county</t>
  </si>
  <si>
    <t>20 Dalarna county</t>
  </si>
  <si>
    <t>08 Kalmar county</t>
  </si>
  <si>
    <t>09 Gotland county</t>
  </si>
  <si>
    <t>SE03</t>
  </si>
  <si>
    <t>10 Blekinge county</t>
  </si>
  <si>
    <t>12 Skåne county</t>
  </si>
  <si>
    <t>13 Halland county</t>
  </si>
  <si>
    <t>07 Kronoberg county</t>
  </si>
  <si>
    <t>SE04</t>
  </si>
  <si>
    <t>Regional population + prediction: https://www.statistikdatabasen.scb.se/pxweb/en/ssd/START__BE__BE0101__BE0101A/BefolkningNy/</t>
  </si>
  <si>
    <t>Sum</t>
  </si>
  <si>
    <t>CHP production, GWh</t>
  </si>
  <si>
    <t>Heat only production, GWh</t>
  </si>
  <si>
    <t>Flue gas condensation, GWh</t>
  </si>
  <si>
    <t>Electric boilers, GWh</t>
  </si>
  <si>
    <t>Heat pumps, GWh</t>
  </si>
  <si>
    <t>Received heat from other sectors, GWh</t>
  </si>
  <si>
    <t>Received heat within the sector, GWh</t>
  </si>
  <si>
    <t>Transmission losses, GWh</t>
  </si>
  <si>
    <t>Electricity cons. for operation of heating plant excl. boilers, heat pumps, GWh</t>
  </si>
  <si>
    <t>Electricity consumption for electric boilers, GWh</t>
  </si>
  <si>
    <t>Electricity consumption for heat pumps, GWh</t>
  </si>
  <si>
    <t>Fuel consumption for CHP production, GWh</t>
  </si>
  <si>
    <t>Fuel consumption for heat only production, GWh</t>
  </si>
  <si>
    <t>Efficiency net, percent</t>
  </si>
  <si>
    <t>https://www.statistikdatabasen.scb.se/pxweb/en/ssd/START__EN__EN0105__EN0105A/OmsVarme/</t>
  </si>
  <si>
    <t>Total Supply, GWh</t>
  </si>
  <si>
    <t>Delivery of district heating (steam and hot water), GWh by user category and year</t>
  </si>
  <si>
    <t>https://www.statistikdatabasen.scb.se/pxweb/en/ssd/START__EN__EN0105__EN0105A/VarmeLev/table/tableViewLayout1/</t>
  </si>
  <si>
    <t>Heating supply. Year 2015 - 2023</t>
  </si>
  <si>
    <t>POP</t>
  </si>
  <si>
    <t>2030/2025</t>
  </si>
  <si>
    <t>2040/2025</t>
  </si>
  <si>
    <t>Normal year net DH supply /  pers</t>
  </si>
  <si>
    <t>Normal year net production (GWh)</t>
  </si>
  <si>
    <t>DKW1</t>
  </si>
  <si>
    <t>DKE1</t>
  </si>
  <si>
    <t>Population by sex, age, key figures, group of persons, region and time</t>
  </si>
  <si>
    <t>Region Hovedstaden</t>
  </si>
  <si>
    <t>Region Sjælland</t>
  </si>
  <si>
    <t>Region Syddanmark</t>
  </si>
  <si>
    <t>Region Midtjylland</t>
  </si>
  <si>
    <t>Region Nordjylland</t>
  </si>
  <si>
    <t>This table is no longer updated in its current form (the table is based on LPR2 and contains data up to and including 2018).</t>
  </si>
  <si>
    <t>Population at the first day of the quarter by marital status, age, sex,</t>
  </si>
  <si>
    <t>region and time</t>
  </si>
  <si>
    <t>https://statbank.dk/FOLK1AM</t>
  </si>
  <si>
    <t>Energy Account in GJ (summary table) by type of energy, supply and use</t>
  </si>
  <si>
    <t>and time</t>
  </si>
  <si>
    <t>District heat</t>
  </si>
  <si>
    <t>Total supply</t>
  </si>
  <si>
    <t>Imports</t>
  </si>
  <si>
    <t>Production etc</t>
  </si>
  <si>
    <t>Total use</t>
  </si>
  <si>
    <t>Exports</t>
  </si>
  <si>
    <t>Changes in inventories</t>
  </si>
  <si>
    <t>Distribution losses etc.</t>
  </si>
  <si>
    <t>Industries and households</t>
  </si>
  <si>
    <t>https://www.statbank.dk/INDAMP01</t>
  </si>
  <si>
    <t>Total Supply (GWh)</t>
  </si>
  <si>
    <t>Area</t>
  </si>
  <si>
    <t>Parameter</t>
  </si>
  <si>
    <t>Unit</t>
  </si>
  <si>
    <t>hdd</t>
  </si>
  <si>
    <t>pop</t>
  </si>
  <si>
    <t>mill</t>
  </si>
  <si>
    <t>GWh</t>
  </si>
  <si>
    <t>Vantaan energia</t>
  </si>
  <si>
    <t>Vantaan aviaenergia</t>
  </si>
  <si>
    <t>Oulun energia</t>
  </si>
  <si>
    <t>Haukiputaan energia</t>
  </si>
  <si>
    <t>Produced DH</t>
  </si>
  <si>
    <t>Kaukolämpötilastot</t>
  </si>
  <si>
    <t>DH production (GWh)</t>
  </si>
  <si>
    <t>Kaukolämmön tuotanto muuttujina Tiedot, Kaukolämmön tuotanto, GWh ja Vuosi</t>
  </si>
  <si>
    <t>Määrä, GWh</t>
  </si>
  <si>
    <t>Öljy (Fossiilinen polttoaine)</t>
  </si>
  <si>
    <t>Kivihiili (Fossiilinen polttoaine)</t>
  </si>
  <si>
    <t>Maakaasu (Fossiilinen polttoaine)</t>
  </si>
  <si>
    <t>Muut fossiiliset (Fossiilinen polttoaine)</t>
  </si>
  <si>
    <t>FOSSIILISET POLTTOAINEET YHTEENSÄ</t>
  </si>
  <si>
    <t>Turve</t>
  </si>
  <si>
    <t>FOSSIILISET JA TURVE YHTEENSÄ</t>
  </si>
  <si>
    <t>Mustalipeä (Uusiutuva polttoaine)</t>
  </si>
  <si>
    <t>Muut puupolttoaineet (Uusiutuva polttoaine)</t>
  </si>
  <si>
    <t>Muut uusiutuvat (Uusiutuva polttoaine)</t>
  </si>
  <si>
    <t>UUSIUTUVAT POLTTOAINEET YHTEENSÄ</t>
  </si>
  <si>
    <t>Muut energialähteet</t>
  </si>
  <si>
    <t>KAUKOLÄMMÖN TUOTANTO YHTEENSÄ</t>
  </si>
  <si>
    <t>https://pxdata.stat.fi/PxWeb/pxweb/fi/StatFin/StatFin__salatuo/statfin_salatuo_pxt_12b7.px</t>
  </si>
  <si>
    <t>Rest of Finland</t>
  </si>
  <si>
    <t xml:space="preserve"> </t>
  </si>
  <si>
    <t>NEBB</t>
  </si>
  <si>
    <t>Normal year net prod /  pers</t>
  </si>
  <si>
    <t>EE00</t>
  </si>
  <si>
    <t>DE00</t>
  </si>
  <si>
    <t>PL00</t>
  </si>
  <si>
    <t>LV00</t>
  </si>
  <si>
    <t>LT00</t>
  </si>
  <si>
    <t>AT00</t>
  </si>
  <si>
    <t>TWh/year</t>
  </si>
  <si>
    <t>year</t>
  </si>
  <si>
    <t>dheat</t>
  </si>
  <si>
    <t>Energy removed from district networks by customers, type of networks and efficiency of network</t>
  </si>
  <si>
    <t>https://ec.europa.eu/eurostat/databrowser/view/nrg_dhdc_e__custom_16147672/default/table?lang=en</t>
  </si>
  <si>
    <t>https://osp.stat.gov.lt/statistiniu-rodikliu-analize?indicator=S1R009#/</t>
  </si>
  <si>
    <t>Energy commodities balances, Heat GWh, Total gross production</t>
  </si>
  <si>
    <t>HKI</t>
  </si>
  <si>
    <t>ESP</t>
  </si>
  <si>
    <t>VAN</t>
  </si>
  <si>
    <t>TKU</t>
  </si>
  <si>
    <t>TRE</t>
  </si>
  <si>
    <t>OUL</t>
  </si>
  <si>
    <t>JKL</t>
  </si>
  <si>
    <t>ROF</t>
  </si>
  <si>
    <t>Sto/HD</t>
  </si>
  <si>
    <t>all</t>
  </si>
  <si>
    <t>Thermal energy in numbers - Energy Regulatory Office</t>
  </si>
  <si>
    <t>Produkcja ciepła = Tuotettu lämpö</t>
  </si>
  <si>
    <t>TJ</t>
  </si>
  <si>
    <t>Energy Balances - STATISTIK AUSTRIA - The Information Managers</t>
  </si>
  <si>
    <t>https://www.statistik.at/fileadmin/pages/99/Austria_Daten_Publikation.ods</t>
  </si>
  <si>
    <t>Table 4.2</t>
  </si>
  <si>
    <t>TWh</t>
  </si>
  <si>
    <t>4.2 Transformation input for district heating by energy source</t>
  </si>
  <si>
    <t>https://www.agfw.de/zahlen-und-statistiken/agfw-hauptbericht/</t>
  </si>
  <si>
    <t>MWh</t>
  </si>
  <si>
    <t>Öffentliche und Private Dienstleistungen</t>
  </si>
  <si>
    <t>Private Haushalte</t>
  </si>
  <si>
    <t>From the provided excel: sheet "Fernwärme" (= district heating), section "Sektoraler Energetischer Endverbrauch" and lines "Private Haushalte" and "Öffenliche und Private Dienstleistungen"</t>
  </si>
  <si>
    <t>https://www.iea-dhc.org/fileadmin/documents/Annex_TS3/guidebook_Appendix_B_Country_report_Austria.pdf</t>
  </si>
  <si>
    <t>For Validation</t>
  </si>
  <si>
    <t>TWh/a</t>
  </si>
  <si>
    <t>Services+Residental consumption for 2018</t>
  </si>
  <si>
    <t>upwardLimit</t>
  </si>
  <si>
    <t>reference</t>
  </si>
  <si>
    <t>balancePenalty</t>
  </si>
  <si>
    <t>selfDischargeLoss</t>
  </si>
  <si>
    <t>maxSpill</t>
  </si>
  <si>
    <t>##</t>
  </si>
  <si>
    <t>Variant</t>
  </si>
  <si>
    <t>dh-level:cities</t>
  </si>
  <si>
    <t>variant</t>
  </si>
  <si>
    <t>option</t>
  </si>
  <si>
    <t>default</t>
  </si>
  <si>
    <t>check</t>
  </si>
  <si>
    <t>description</t>
  </si>
  <si>
    <t>dh-level</t>
  </si>
  <si>
    <t>national</t>
  </si>
  <si>
    <t>totals</t>
  </si>
  <si>
    <t>one heat node per country</t>
  </si>
  <si>
    <t>capitals</t>
  </si>
  <si>
    <t>yes</t>
  </si>
  <si>
    <t>cities</t>
  </si>
  <si>
    <t>dh-level:capitals</t>
  </si>
  <si>
    <t>## FI - capitals</t>
  </si>
  <si>
    <t>## FI - national</t>
  </si>
  <si>
    <t>## Norway</t>
  </si>
  <si>
    <t>## Lithuania</t>
  </si>
  <si>
    <t>## Latvia</t>
  </si>
  <si>
    <t>## Estonia</t>
  </si>
  <si>
    <t>## Sweden</t>
  </si>
  <si>
    <t>## Denmark</t>
  </si>
  <si>
    <t>## Germany</t>
  </si>
  <si>
    <t>## Poland</t>
  </si>
  <si>
    <t>## Austria</t>
  </si>
  <si>
    <t>dh-level:national</t>
  </si>
  <si>
    <t>## FI cities</t>
  </si>
  <si>
    <t>## FI capitals</t>
  </si>
  <si>
    <t>## FI national</t>
  </si>
  <si>
    <t>## Others national</t>
  </si>
  <si>
    <t>## capitals grouping</t>
  </si>
  <si>
    <t>capital region, rest of the country</t>
  </si>
  <si>
    <t>major cities separately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</si>
</sst>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.##########"/>
    <numFmt numFmtId="165" formatCode="0.0"/>
    <numFmt numFmtId="166" formatCode="0.0%"/>
    <numFmt numFmtId="167" formatCode="#,##0.####"/>
    <numFmt numFmtId="168" formatCode="0.00000"/>
    <numFmt numFmtId="169" formatCode="0.000000"/>
    <numFmt numFmtId="170" formatCode="#,##0.0&quot;  &quot;;@\ ____"/>
    <numFmt numFmtId="171" formatCode="#,##0.000"/>
    <numFmt numFmtId="172" formatCode="#,##0.0"/>
    <numFmt numFmtId="173" formatCode="0.000"/>
    <numFmt numFmtId="174" formatCode="#,##0&quot; &quot;;[Red]&quot;-&quot;#,##0&quot; &quot;"/>
    <numFmt numFmtId="175" formatCode="&quot; &quot;* #,##0.00&quot; &quot;;&quot;-&quot;* #,##0.00&quot; &quot;;&quot; &quot;* &quot;-&quot;#&quot; &quot;;&quot; &quot;@&quot; &quot;"/>
    <numFmt numFmtId="176" formatCode="#,###.00"/>
    <numFmt numFmtId="177" formatCode="&quot; &quot;[$€-C07]&quot; &quot;* #,##0.00&quot; &quot;;&quot; &quot;[$€-C07]&quot; &quot;* &quot;-&quot;#,##0.00&quot; &quot;;&quot; &quot;[$€-C07]&quot; &quot;* &quot;-&quot;#&quot; &quot;;&quot; &quot;@&quot; &quot;"/>
  </numFmts>
  <fonts count="63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u/>
      <sz val="9"/>
      <color indexed="12"/>
      <name val="Arial"/>
      <family val="2"/>
    </font>
    <font>
      <b/>
      <sz val="11"/>
      <name val="Arial"/>
      <family val="2"/>
    </font>
    <font>
      <b/>
      <sz val="11"/>
      <color rgb="FF000000"/>
      <name val="Inherit"/>
    </font>
    <font>
      <sz val="12"/>
      <color rgb="FF333333"/>
      <name val="Inherit"/>
    </font>
    <font>
      <sz val="12"/>
      <color rgb="FF333333"/>
      <name val="Inherit"/>
    </font>
    <font>
      <sz val="11"/>
      <color rgb="FF000000"/>
      <name val="Inherit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Arial"/>
      <family val="2"/>
    </font>
    <font>
      <u/>
      <sz val="9"/>
      <color indexed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b/>
      <sz val="11"/>
      <color indexed="8"/>
      <name val="Aptos Narrow"/>
      <family val="2"/>
      <scheme val="minor"/>
    </font>
    <font>
      <b/>
      <sz val="14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name val="Arial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charset val="1"/>
    </font>
    <font>
      <b/>
      <sz val="12"/>
      <color rgb="FF1E00BE"/>
      <name val="Arial"/>
      <family val="2"/>
    </font>
    <font>
      <sz val="12"/>
      <color rgb="FF1E00BE"/>
      <name val="Arial"/>
      <family val="2"/>
    </font>
    <font>
      <sz val="12"/>
      <color rgb="FF1E00BE"/>
      <name val="Arial"/>
      <family val="2"/>
    </font>
    <font>
      <b/>
      <sz val="24"/>
      <color rgb="FF222222"/>
      <name val="Arial"/>
      <family val="2"/>
    </font>
    <font>
      <sz val="15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Arial"/>
      <family val="2"/>
    </font>
    <font>
      <sz val="11"/>
      <color rgb="FFE30613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/>
      <sz val="11"/>
      <color theme="1"/>
      <name val="Calibri"/>
      <family val="2"/>
    </font>
    <font>
      <b/>
      <sz val="12"/>
      <color rgb="FF1A3061"/>
      <name val="Arial"/>
      <family val="2"/>
    </font>
    <font>
      <sz val="12"/>
      <color indexed="8"/>
      <name val="Inherit"/>
    </font>
    <font>
      <sz val="12"/>
      <color indexed="8"/>
      <name val="Inherit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1"/>
      <name val="Calibri"/>
      <family val="2"/>
      <charset val="1"/>
    </font>
    <font>
      <u/>
      <sz val="11"/>
      <color theme="10"/>
      <name val="Aptos Narrow"/>
      <family val="2"/>
      <scheme val="minor"/>
    </font>
    <font>
      <b/>
      <sz val="30"/>
      <color rgb="FF000000"/>
      <name val="Arial"/>
      <family val="2"/>
    </font>
    <font>
      <sz val="12"/>
      <color theme="1" tint="4.9989318521683403E-2"/>
      <name val="Arial"/>
      <family val="2"/>
    </font>
    <font>
      <b/>
      <sz val="12"/>
      <color theme="1" tint="4.9989318521683403E-2"/>
      <name val="Arial"/>
      <family val="2"/>
    </font>
    <font>
      <sz val="11"/>
      <color theme="1" tint="4.9989318521683403E-2"/>
      <name val="Aptos Narrow"/>
      <family val="2"/>
      <scheme val="minor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sz val="9"/>
      <color rgb="FF000000"/>
      <name val="Arial"/>
      <family val="2"/>
    </font>
    <font>
      <sz val="11"/>
      <color indexed="8"/>
      <name val="Segoe UI"/>
      <family val="2"/>
    </font>
    <font>
      <b/>
      <sz val="24"/>
      <color indexed="8"/>
      <name val="Aptos Narrow"/>
      <family val="2"/>
      <scheme val="minor"/>
    </font>
    <font>
      <b/>
      <sz val="15"/>
      <color rgb="FF000000"/>
      <name val="Arial"/>
      <family val="2"/>
    </font>
    <font>
      <sz val="10"/>
      <color rgb="FF808080"/>
      <name val="Arial"/>
      <family val="2"/>
    </font>
    <font>
      <b/>
      <sz val="11"/>
      <color theme="1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mediumGray">
        <bgColor indexed="22"/>
      </patternFill>
    </fill>
    <fill>
      <patternFill patternType="solid">
        <fgColor rgb="FF0096DC"/>
      </patternFill>
    </fill>
    <fill>
      <patternFill patternType="solid">
        <fgColor rgb="FF4669AF"/>
      </patternFill>
    </fill>
    <fill>
      <patternFill patternType="solid">
        <fgColor rgb="FFFFFFFF"/>
        <bgColor indexed="64"/>
      </patternFill>
    </fill>
    <fill>
      <patternFill patternType="solid">
        <fgColor rgb="FFE8EEF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8F8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FF9E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0"/>
        <bgColor rgb="FFFFFFC0"/>
      </patternFill>
    </fill>
    <fill>
      <patternFill patternType="solid">
        <fgColor rgb="FFFFFF99"/>
        <bgColor rgb="FFFFFF99"/>
      </patternFill>
    </fill>
    <fill>
      <patternFill patternType="solid">
        <fgColor theme="5" tint="0.59996337778862885"/>
        <bgColor indexed="64"/>
      </patternFill>
    </fill>
  </fills>
  <borders count="3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A3061"/>
      </left>
      <right style="medium">
        <color rgb="FF1A3061"/>
      </right>
      <top style="medium">
        <color rgb="FF1A3061"/>
      </top>
      <bottom style="medium">
        <color rgb="FF1A3061"/>
      </bottom>
      <diagonal/>
    </border>
    <border>
      <left/>
      <right style="medium">
        <color rgb="FF1A3061"/>
      </right>
      <top/>
      <bottom style="medium">
        <color rgb="FF1A3061"/>
      </bottom>
      <diagonal/>
    </border>
    <border>
      <left style="medium">
        <color rgb="FF1A3061"/>
      </left>
      <right style="medium">
        <color rgb="FF1A3061"/>
      </right>
      <top/>
      <bottom style="medium">
        <color rgb="FF1A3061"/>
      </bottom>
      <diagonal/>
    </border>
    <border>
      <left style="medium">
        <color rgb="FF1A3061"/>
      </left>
      <right/>
      <top/>
      <bottom style="medium">
        <color rgb="FF1A3061"/>
      </bottom>
      <diagonal/>
    </border>
    <border>
      <left/>
      <right style="medium">
        <color rgb="FF1A3061"/>
      </right>
      <top style="medium">
        <color rgb="FF1A3061"/>
      </top>
      <bottom style="medium">
        <color rgb="FF1A3061"/>
      </bottom>
      <diagonal/>
    </border>
    <border>
      <left style="medium">
        <color rgb="FF1A3061"/>
      </left>
      <right/>
      <top style="medium">
        <color rgb="FF1A3061"/>
      </top>
      <bottom style="medium">
        <color rgb="FF1A3061"/>
      </bottom>
      <diagonal/>
    </border>
    <border>
      <left/>
      <right style="medium">
        <color rgb="FF1A3061"/>
      </right>
      <top style="medium">
        <color rgb="FF1A3061"/>
      </top>
      <bottom style="medium">
        <color rgb="FFA9A9A9"/>
      </bottom>
      <diagonal/>
    </border>
    <border>
      <left style="medium">
        <color rgb="FF1A3061"/>
      </left>
      <right style="medium">
        <color rgb="FF1A3061"/>
      </right>
      <top style="medium">
        <color rgb="FF1A3061"/>
      </top>
      <bottom style="medium">
        <color rgb="FFA9A9A9"/>
      </bottom>
      <diagonal/>
    </border>
    <border>
      <left style="medium">
        <color rgb="FF1A3061"/>
      </left>
      <right/>
      <top style="medium">
        <color rgb="FF1A3061"/>
      </top>
      <bottom style="medium">
        <color rgb="FFA9A9A9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rgb="FF1E00BE"/>
      </top>
      <bottom style="medium">
        <color rgb="FF1E00BE"/>
      </bottom>
      <diagonal/>
    </border>
    <border>
      <left style="medium">
        <color rgb="FF1E00BE"/>
      </left>
      <right/>
      <top style="thick">
        <color rgb="FF1E00BE"/>
      </top>
      <bottom style="medium">
        <color rgb="FF1E00BE"/>
      </bottom>
      <diagonal/>
    </border>
    <border>
      <left/>
      <right/>
      <top style="medium">
        <color rgb="FF1E00BE"/>
      </top>
      <bottom/>
      <diagonal/>
    </border>
    <border>
      <left style="medium">
        <color rgb="FF1E00BE"/>
      </left>
      <right/>
      <top style="medium">
        <color rgb="FF1E00BE"/>
      </top>
      <bottom/>
      <diagonal/>
    </border>
    <border>
      <left/>
      <right/>
      <top style="medium">
        <color rgb="FF1E00BE"/>
      </top>
      <bottom style="thick">
        <color rgb="FF1E00BE"/>
      </bottom>
      <diagonal/>
    </border>
    <border>
      <left style="medium">
        <color rgb="FF1E00BE"/>
      </left>
      <right/>
      <top style="medium">
        <color rgb="FF1E00BE"/>
      </top>
      <bottom style="thick">
        <color rgb="FF1E00BE"/>
      </bottom>
      <diagonal/>
    </border>
    <border>
      <left/>
      <right style="medium">
        <color rgb="FF1E00BE"/>
      </right>
      <top style="thick">
        <color rgb="FF1E00BE"/>
      </top>
      <bottom style="medium">
        <color rgb="FF1E00BE"/>
      </bottom>
      <diagonal/>
    </border>
    <border>
      <left/>
      <right/>
      <top style="thick">
        <color rgb="FF0074C6"/>
      </top>
      <bottom style="medium">
        <color rgb="FF0074C6"/>
      </bottom>
      <diagonal/>
    </border>
    <border>
      <left/>
      <right/>
      <top style="medium">
        <color rgb="FF0074C6"/>
      </top>
      <bottom/>
      <diagonal/>
    </border>
    <border>
      <left/>
      <right/>
      <top/>
      <bottom style="thick">
        <color rgb="FF0074C6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1A306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/>
      <bottom/>
      <diagonal/>
    </border>
  </borders>
  <cellStyleXfs count="26">
    <xf numFmtId="0" fontId="0" fillId="0" borderId="0"/>
    <xf numFmtId="9" fontId="2" fillId="0" borderId="0" applyFont="0" applyFill="0" applyBorder="0" applyAlignment="0" applyProtection="0"/>
    <xf numFmtId="0" fontId="13" fillId="0" borderId="0" applyBorder="0"/>
    <xf numFmtId="0" fontId="13" fillId="0" borderId="0" applyBorder="0"/>
    <xf numFmtId="0" fontId="25" fillId="0" borderId="0" applyBorder="0"/>
    <xf numFmtId="0" fontId="40" fillId="0" borderId="0"/>
    <xf numFmtId="0" fontId="13" fillId="0" borderId="0" applyBorder="0"/>
    <xf numFmtId="0" fontId="41" fillId="0" borderId="0"/>
    <xf numFmtId="0" fontId="50" fillId="0" borderId="0" applyNumberFormat="0" applyFill="0" applyBorder="0" applyAlignment="0" applyProtection="0"/>
    <xf numFmtId="0" fontId="55" fillId="0" borderId="0"/>
    <xf numFmtId="0" fontId="55" fillId="25" borderId="0" applyNumberFormat="0" applyFont="0" applyBorder="0" applyAlignment="0" applyProtection="0"/>
    <xf numFmtId="0" fontId="55" fillId="26" borderId="0" applyNumberFormat="0" applyFont="0" applyBorder="0" applyAlignment="0" applyProtection="0"/>
    <xf numFmtId="0" fontId="55" fillId="0" borderId="0" applyNumberFormat="0" applyFont="0" applyBorder="0" applyAlignment="0" applyProtection="0"/>
    <xf numFmtId="177" fontId="55" fillId="0" borderId="0" applyFont="0" applyFill="0" applyBorder="0" applyAlignment="0" applyProtection="0"/>
    <xf numFmtId="0" fontId="55" fillId="0" borderId="0" applyNumberFormat="0" applyFont="0" applyFill="0" applyBorder="0" applyAlignment="0" applyProtection="0"/>
    <xf numFmtId="0" fontId="56" fillId="0" borderId="0" applyNumberFormat="0" applyFill="0" applyBorder="0" applyAlignment="0" applyProtection="0"/>
    <xf numFmtId="175" fontId="55" fillId="0" borderId="0" applyFont="0" applyFill="0" applyBorder="0" applyAlignment="0" applyProtection="0"/>
    <xf numFmtId="175" fontId="55" fillId="0" borderId="0" applyFont="0" applyFill="0" applyBorder="0" applyAlignment="0" applyProtection="0"/>
    <xf numFmtId="175" fontId="55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5" fillId="0" borderId="0" applyNumberFormat="0" applyFont="0" applyFill="0" applyBorder="0" applyAlignment="0" applyProtection="0"/>
    <xf numFmtId="176" fontId="57" fillId="0" borderId="0" applyBorder="0" applyProtection="0">
      <alignment horizontal="center" vertical="center"/>
    </xf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55" fillId="0" borderId="0" applyNumberFormat="0" applyFont="0" applyBorder="0" applyProtection="0"/>
    <xf numFmtId="0" fontId="1" fillId="0" borderId="0"/>
  </cellStyleXfs>
  <cellXfs count="201">
    <xf numFmtId="0" fontId="0" fillId="0" borderId="0" xfId="0"/>
    <xf numFmtId="3" fontId="3" fillId="0" borderId="0" xfId="0" applyNumberFormat="1" applyFont="1" applyAlignment="1">
      <alignment horizontal="right" vertical="center" shrinkToFit="1"/>
    </xf>
    <xf numFmtId="0" fontId="4" fillId="2" borderId="1" xfId="0" applyFont="1" applyFill="1" applyBorder="1" applyAlignment="1">
      <alignment horizontal="left" vertical="center"/>
    </xf>
    <xf numFmtId="3" fontId="3" fillId="3" borderId="0" xfId="0" applyNumberFormat="1" applyFont="1" applyFill="1" applyAlignment="1">
      <alignment horizontal="right" vertical="center" shrinkToFit="1"/>
    </xf>
    <xf numFmtId="0" fontId="0" fillId="4" borderId="0" xfId="0" applyFill="1"/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6" fillId="3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1" fillId="7" borderId="2" xfId="0" applyFont="1" applyFill="1" applyBorder="1" applyAlignment="1">
      <alignment horizontal="right" vertical="center" wrapText="1"/>
    </xf>
    <xf numFmtId="0" fontId="11" fillId="7" borderId="2" xfId="0" applyFont="1" applyFill="1" applyBorder="1" applyAlignment="1">
      <alignment horizontal="right" vertical="center"/>
    </xf>
    <xf numFmtId="0" fontId="8" fillId="8" borderId="3" xfId="0" applyFont="1" applyFill="1" applyBorder="1" applyAlignment="1">
      <alignment horizontal="right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left" vertical="center" wrapText="1"/>
    </xf>
    <xf numFmtId="0" fontId="11" fillId="7" borderId="7" xfId="0" applyFont="1" applyFill="1" applyBorder="1" applyAlignment="1">
      <alignment horizontal="right" vertical="center" wrapText="1"/>
    </xf>
    <xf numFmtId="0" fontId="10" fillId="8" borderId="6" xfId="0" applyFont="1" applyFill="1" applyBorder="1" applyAlignment="1">
      <alignment horizontal="left" vertical="center" wrapText="1" indent="1"/>
    </xf>
    <xf numFmtId="0" fontId="11" fillId="7" borderId="7" xfId="0" applyFont="1" applyFill="1" applyBorder="1" applyAlignment="1">
      <alignment horizontal="right" vertical="center"/>
    </xf>
    <xf numFmtId="0" fontId="10" fillId="8" borderId="8" xfId="0" applyFont="1" applyFill="1" applyBorder="1" applyAlignment="1">
      <alignment horizontal="left" vertical="center" wrapText="1" indent="1"/>
    </xf>
    <xf numFmtId="0" fontId="11" fillId="7" borderId="9" xfId="0" applyFont="1" applyFill="1" applyBorder="1" applyAlignment="1">
      <alignment horizontal="right" vertical="center"/>
    </xf>
    <xf numFmtId="0" fontId="11" fillId="7" borderId="10" xfId="0" applyFont="1" applyFill="1" applyBorder="1" applyAlignment="1">
      <alignment horizontal="right" vertical="center"/>
    </xf>
    <xf numFmtId="0" fontId="12" fillId="0" borderId="0" xfId="0" applyFont="1"/>
    <xf numFmtId="0" fontId="14" fillId="0" borderId="0" xfId="2" applyFont="1" applyBorder="1"/>
    <xf numFmtId="0" fontId="14" fillId="0" borderId="0" xfId="3" applyFont="1" applyBorder="1"/>
    <xf numFmtId="1" fontId="0" fillId="0" borderId="0" xfId="0" applyNumberFormat="1"/>
    <xf numFmtId="0" fontId="9" fillId="8" borderId="0" xfId="0" applyFont="1" applyFill="1" applyAlignment="1">
      <alignment horizontal="center" vertical="center" wrapText="1"/>
    </xf>
    <xf numFmtId="165" fontId="0" fillId="0" borderId="0" xfId="0" applyNumberFormat="1"/>
    <xf numFmtId="0" fontId="15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6" borderId="1" xfId="0" applyFont="1" applyFill="1" applyBorder="1" applyAlignment="1">
      <alignment horizontal="right" vertical="center"/>
    </xf>
    <xf numFmtId="0" fontId="19" fillId="6" borderId="1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164" fontId="17" fillId="0" borderId="0" xfId="0" applyNumberFormat="1" applyFont="1" applyAlignment="1">
      <alignment horizontal="right" vertical="center" shrinkToFit="1"/>
    </xf>
    <xf numFmtId="4" fontId="17" fillId="0" borderId="0" xfId="0" applyNumberFormat="1" applyFont="1" applyAlignment="1">
      <alignment horizontal="right" vertical="center" shrinkToFit="1"/>
    </xf>
    <xf numFmtId="164" fontId="17" fillId="3" borderId="0" xfId="0" applyNumberFormat="1" applyFont="1" applyFill="1" applyAlignment="1">
      <alignment horizontal="right" vertical="center" shrinkToFit="1"/>
    </xf>
    <xf numFmtId="4" fontId="17" fillId="3" borderId="0" xfId="0" applyNumberFormat="1" applyFont="1" applyFill="1" applyAlignment="1">
      <alignment horizontal="right" vertical="center" shrinkToFit="1"/>
    </xf>
    <xf numFmtId="9" fontId="0" fillId="0" borderId="0" xfId="1" applyFont="1"/>
    <xf numFmtId="166" fontId="0" fillId="0" borderId="0" xfId="1" applyNumberFormat="1" applyFont="1"/>
    <xf numFmtId="0" fontId="20" fillId="0" borderId="0" xfId="0" applyFont="1"/>
    <xf numFmtId="0" fontId="4" fillId="2" borderId="0" xfId="0" applyFont="1" applyFill="1" applyAlignment="1">
      <alignment horizontal="left" vertical="center"/>
    </xf>
    <xf numFmtId="167" fontId="3" fillId="0" borderId="0" xfId="0" applyNumberFormat="1" applyFont="1" applyAlignment="1">
      <alignment horizontal="right" vertical="center" shrinkToFit="1"/>
    </xf>
    <xf numFmtId="167" fontId="3" fillId="3" borderId="0" xfId="0" applyNumberFormat="1" applyFont="1" applyFill="1" applyAlignment="1">
      <alignment horizontal="right" vertical="center" shrinkToFit="1"/>
    </xf>
    <xf numFmtId="9" fontId="0" fillId="0" borderId="0" xfId="0" applyNumberFormat="1"/>
    <xf numFmtId="0" fontId="21" fillId="0" borderId="0" xfId="0" applyFont="1"/>
    <xf numFmtId="1" fontId="14" fillId="0" borderId="0" xfId="0" applyNumberFormat="1" applyFont="1"/>
    <xf numFmtId="0" fontId="14" fillId="0" borderId="0" xfId="0" applyFont="1"/>
    <xf numFmtId="1" fontId="12" fillId="0" borderId="0" xfId="0" applyNumberFormat="1" applyFont="1"/>
    <xf numFmtId="168" fontId="14" fillId="0" borderId="0" xfId="0" applyNumberFormat="1" applyFont="1"/>
    <xf numFmtId="1" fontId="23" fillId="0" borderId="0" xfId="0" applyNumberFormat="1" applyFont="1"/>
    <xf numFmtId="0" fontId="25" fillId="0" borderId="0" xfId="4"/>
    <xf numFmtId="1" fontId="25" fillId="0" borderId="0" xfId="4" applyNumberFormat="1"/>
    <xf numFmtId="0" fontId="27" fillId="9" borderId="0" xfId="4" applyFont="1" applyFill="1"/>
    <xf numFmtId="0" fontId="26" fillId="0" borderId="0" xfId="4" applyFont="1"/>
    <xf numFmtId="0" fontId="27" fillId="0" borderId="0" xfId="4" applyFont="1"/>
    <xf numFmtId="165" fontId="25" fillId="0" borderId="0" xfId="4" applyNumberFormat="1"/>
    <xf numFmtId="0" fontId="25" fillId="0" borderId="0" xfId="4" applyAlignment="1">
      <alignment horizontal="right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14" fillId="0" borderId="11" xfId="0" applyFont="1" applyBorder="1" applyAlignment="1">
      <alignment horizontal="center" vertical="top"/>
    </xf>
    <xf numFmtId="3" fontId="28" fillId="0" borderId="12" xfId="0" applyNumberFormat="1" applyFont="1" applyBorder="1"/>
    <xf numFmtId="3" fontId="29" fillId="13" borderId="0" xfId="0" applyNumberFormat="1" applyFont="1" applyFill="1"/>
    <xf numFmtId="0" fontId="29" fillId="13" borderId="0" xfId="0" applyFont="1" applyFill="1"/>
    <xf numFmtId="0" fontId="29" fillId="13" borderId="0" xfId="0" applyFont="1" applyFill="1" applyAlignment="1">
      <alignment horizontal="center"/>
    </xf>
    <xf numFmtId="3" fontId="29" fillId="13" borderId="0" xfId="0" applyNumberFormat="1" applyFont="1" applyFill="1" applyAlignment="1">
      <alignment horizontal="center"/>
    </xf>
    <xf numFmtId="4" fontId="29" fillId="13" borderId="0" xfId="0" applyNumberFormat="1" applyFont="1" applyFill="1"/>
    <xf numFmtId="3" fontId="29" fillId="0" borderId="0" xfId="0" applyNumberFormat="1" applyFont="1"/>
    <xf numFmtId="0" fontId="29" fillId="0" borderId="0" xfId="0" applyFont="1"/>
    <xf numFmtId="0" fontId="29" fillId="0" borderId="0" xfId="0" applyFont="1" applyAlignment="1">
      <alignment horizontal="center"/>
    </xf>
    <xf numFmtId="3" fontId="29" fillId="0" borderId="0" xfId="0" applyNumberFormat="1" applyFont="1" applyAlignment="1">
      <alignment horizontal="center"/>
    </xf>
    <xf numFmtId="4" fontId="29" fillId="0" borderId="0" xfId="0" applyNumberFormat="1" applyFont="1"/>
    <xf numFmtId="0" fontId="20" fillId="0" borderId="13" xfId="0" applyFont="1" applyBorder="1"/>
    <xf numFmtId="4" fontId="28" fillId="13" borderId="0" xfId="0" applyNumberFormat="1" applyFont="1" applyFill="1"/>
    <xf numFmtId="0" fontId="20" fillId="0" borderId="0" xfId="0" applyFont="1" applyAlignment="1">
      <alignment horizontal="right"/>
    </xf>
    <xf numFmtId="1" fontId="13" fillId="0" borderId="0" xfId="3" applyNumberFormat="1" applyBorder="1"/>
    <xf numFmtId="0" fontId="30" fillId="7" borderId="14" xfId="0" applyFont="1" applyFill="1" applyBorder="1" applyAlignment="1">
      <alignment horizontal="left" vertical="center" wrapText="1"/>
    </xf>
    <xf numFmtId="0" fontId="30" fillId="7" borderId="15" xfId="0" applyFont="1" applyFill="1" applyBorder="1" applyAlignment="1">
      <alignment horizontal="left" vertical="center" wrapText="1"/>
    </xf>
    <xf numFmtId="0" fontId="31" fillId="14" borderId="16" xfId="0" applyFont="1" applyFill="1" applyBorder="1" applyAlignment="1">
      <alignment horizontal="left" vertical="center" wrapText="1"/>
    </xf>
    <xf numFmtId="0" fontId="32" fillId="14" borderId="17" xfId="0" applyFont="1" applyFill="1" applyBorder="1" applyAlignment="1">
      <alignment horizontal="right" vertical="center"/>
    </xf>
    <xf numFmtId="0" fontId="31" fillId="7" borderId="16" xfId="0" applyFont="1" applyFill="1" applyBorder="1" applyAlignment="1">
      <alignment horizontal="left" vertical="center" wrapText="1"/>
    </xf>
    <xf numFmtId="0" fontId="32" fillId="7" borderId="17" xfId="0" applyFont="1" applyFill="1" applyBorder="1" applyAlignment="1">
      <alignment horizontal="right" vertical="center"/>
    </xf>
    <xf numFmtId="0" fontId="31" fillId="14" borderId="18" xfId="0" applyFont="1" applyFill="1" applyBorder="1" applyAlignment="1">
      <alignment horizontal="left" vertical="center" wrapText="1"/>
    </xf>
    <xf numFmtId="0" fontId="32" fillId="14" borderId="19" xfId="0" applyFont="1" applyFill="1" applyBorder="1" applyAlignment="1">
      <alignment horizontal="right" vertical="center"/>
    </xf>
    <xf numFmtId="0" fontId="33" fillId="0" borderId="0" xfId="0" applyFont="1" applyAlignment="1">
      <alignment vertical="center"/>
    </xf>
    <xf numFmtId="0" fontId="30" fillId="7" borderId="20" xfId="0" applyFont="1" applyFill="1" applyBorder="1" applyAlignment="1">
      <alignment horizontal="left" vertical="center"/>
    </xf>
    <xf numFmtId="0" fontId="30" fillId="7" borderId="0" xfId="0" applyFont="1" applyFill="1" applyAlignment="1">
      <alignment horizontal="left" vertical="center" wrapText="1"/>
    </xf>
    <xf numFmtId="1" fontId="0" fillId="10" borderId="0" xfId="0" applyNumberFormat="1" applyFill="1"/>
    <xf numFmtId="1" fontId="0" fillId="15" borderId="0" xfId="0" applyNumberFormat="1" applyFill="1"/>
    <xf numFmtId="169" fontId="0" fillId="15" borderId="0" xfId="0" applyNumberFormat="1" applyFill="1"/>
    <xf numFmtId="1" fontId="0" fillId="16" borderId="0" xfId="0" applyNumberFormat="1" applyFill="1"/>
    <xf numFmtId="0" fontId="27" fillId="9" borderId="0" xfId="4" applyFont="1" applyFill="1" applyAlignment="1">
      <alignment horizontal="right"/>
    </xf>
    <xf numFmtId="0" fontId="35" fillId="0" borderId="21" xfId="0" applyFont="1" applyBorder="1" applyAlignment="1">
      <alignment horizontal="right" vertical="center" wrapText="1" indent="2"/>
    </xf>
    <xf numFmtId="0" fontId="36" fillId="0" borderId="0" xfId="0" applyFont="1" applyAlignment="1">
      <alignment horizontal="left" vertical="center" wrapText="1"/>
    </xf>
    <xf numFmtId="0" fontId="36" fillId="0" borderId="0" xfId="0" applyFont="1" applyAlignment="1">
      <alignment vertical="center" wrapText="1"/>
    </xf>
    <xf numFmtId="0" fontId="36" fillId="0" borderId="0" xfId="0" applyFont="1" applyAlignment="1">
      <alignment horizontal="left" vertical="center" wrapText="1" indent="1"/>
    </xf>
    <xf numFmtId="0" fontId="0" fillId="0" borderId="23" xfId="0" applyBorder="1"/>
    <xf numFmtId="0" fontId="35" fillId="0" borderId="0" xfId="0" applyFont="1" applyAlignment="1">
      <alignment horizontal="left" vertical="center" wrapText="1" indent="1"/>
    </xf>
    <xf numFmtId="0" fontId="38" fillId="0" borderId="0" xfId="0" applyFont="1" applyAlignment="1">
      <alignment horizontal="left" vertical="center" indent="2"/>
    </xf>
    <xf numFmtId="0" fontId="38" fillId="0" borderId="23" xfId="0" applyFont="1" applyBorder="1" applyAlignment="1">
      <alignment horizontal="left" vertical="center" indent="2"/>
    </xf>
    <xf numFmtId="1" fontId="39" fillId="0" borderId="0" xfId="0" applyNumberFormat="1" applyFont="1" applyAlignment="1">
      <alignment horizontal="left" vertical="center" indent="2"/>
    </xf>
    <xf numFmtId="0" fontId="40" fillId="0" borderId="0" xfId="5"/>
    <xf numFmtId="0" fontId="40" fillId="0" borderId="0" xfId="5" applyAlignment="1">
      <alignment horizontal="center"/>
    </xf>
    <xf numFmtId="1" fontId="40" fillId="0" borderId="0" xfId="5" applyNumberFormat="1"/>
    <xf numFmtId="2" fontId="40" fillId="0" borderId="0" xfId="5" applyNumberFormat="1"/>
    <xf numFmtId="165" fontId="40" fillId="0" borderId="0" xfId="5" applyNumberFormat="1"/>
    <xf numFmtId="0" fontId="12" fillId="0" borderId="0" xfId="5" applyFont="1"/>
    <xf numFmtId="1" fontId="12" fillId="0" borderId="0" xfId="5" applyNumberFormat="1" applyFont="1"/>
    <xf numFmtId="170" fontId="41" fillId="0" borderId="24" xfId="5" applyNumberFormat="1" applyFont="1" applyBorder="1" applyAlignment="1">
      <alignment horizontal="right" vertical="center"/>
    </xf>
    <xf numFmtId="1" fontId="40" fillId="17" borderId="0" xfId="5" applyNumberFormat="1" applyFill="1"/>
    <xf numFmtId="2" fontId="0" fillId="9" borderId="0" xfId="0" applyNumberFormat="1" applyFill="1"/>
    <xf numFmtId="0" fontId="14" fillId="0" borderId="0" xfId="3" applyFont="1" applyBorder="1" applyAlignment="1">
      <alignment horizontal="center"/>
    </xf>
    <xf numFmtId="1" fontId="0" fillId="10" borderId="0" xfId="0" applyNumberFormat="1" applyFill="1" applyAlignment="1">
      <alignment horizontal="center"/>
    </xf>
    <xf numFmtId="2" fontId="0" fillId="9" borderId="0" xfId="0" applyNumberFormat="1" applyFill="1" applyAlignment="1">
      <alignment horizontal="center"/>
    </xf>
    <xf numFmtId="1" fontId="40" fillId="0" borderId="0" xfId="5" applyNumberFormat="1" applyAlignment="1">
      <alignment horizontal="center"/>
    </xf>
    <xf numFmtId="0" fontId="42" fillId="0" borderId="0" xfId="5" applyFont="1"/>
    <xf numFmtId="0" fontId="40" fillId="0" borderId="25" xfId="5" applyBorder="1"/>
    <xf numFmtId="0" fontId="12" fillId="0" borderId="25" xfId="5" applyFont="1" applyBorder="1"/>
    <xf numFmtId="1" fontId="40" fillId="0" borderId="25" xfId="5" applyNumberFormat="1" applyBorder="1"/>
    <xf numFmtId="0" fontId="44" fillId="8" borderId="2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right" vertical="center" wrapText="1"/>
    </xf>
    <xf numFmtId="0" fontId="44" fillId="8" borderId="7" xfId="0" applyFont="1" applyFill="1" applyBorder="1" applyAlignment="1">
      <alignment horizontal="center" vertical="center" wrapText="1"/>
    </xf>
    <xf numFmtId="0" fontId="45" fillId="8" borderId="6" xfId="0" applyFont="1" applyFill="1" applyBorder="1" applyAlignment="1">
      <alignment horizontal="left" vertical="center"/>
    </xf>
    <xf numFmtId="0" fontId="45" fillId="8" borderId="6" xfId="0" applyFont="1" applyFill="1" applyBorder="1" applyAlignment="1">
      <alignment horizontal="left" vertical="center" indent="1"/>
    </xf>
    <xf numFmtId="0" fontId="45" fillId="8" borderId="8" xfId="0" applyFont="1" applyFill="1" applyBorder="1" applyAlignment="1">
      <alignment horizontal="left" vertical="center" indent="1"/>
    </xf>
    <xf numFmtId="1" fontId="0" fillId="11" borderId="0" xfId="0" applyNumberFormat="1" applyFill="1"/>
    <xf numFmtId="2" fontId="0" fillId="11" borderId="0" xfId="0" applyNumberFormat="1" applyFill="1"/>
    <xf numFmtId="1" fontId="0" fillId="11" borderId="0" xfId="0" applyNumberFormat="1" applyFill="1" applyAlignment="1">
      <alignment horizontal="center"/>
    </xf>
    <xf numFmtId="4" fontId="46" fillId="13" borderId="0" xfId="0" applyNumberFormat="1" applyFont="1" applyFill="1"/>
    <xf numFmtId="0" fontId="47" fillId="0" borderId="0" xfId="5" applyFont="1"/>
    <xf numFmtId="2" fontId="0" fillId="11" borderId="0" xfId="0" applyNumberFormat="1" applyFill="1" applyAlignment="1">
      <alignment horizontal="center"/>
    </xf>
    <xf numFmtId="9" fontId="40" fillId="0" borderId="0" xfId="5" applyNumberFormat="1"/>
    <xf numFmtId="1" fontId="40" fillId="19" borderId="0" xfId="5" applyNumberFormat="1" applyFill="1" applyAlignment="1">
      <alignment horizontal="center"/>
    </xf>
    <xf numFmtId="2" fontId="0" fillId="15" borderId="0" xfId="0" applyNumberFormat="1" applyFill="1" applyAlignment="1">
      <alignment horizontal="center"/>
    </xf>
    <xf numFmtId="169" fontId="0" fillId="16" borderId="0" xfId="0" applyNumberFormat="1" applyFill="1"/>
    <xf numFmtId="0" fontId="0" fillId="19" borderId="0" xfId="0" applyFill="1"/>
    <xf numFmtId="2" fontId="0" fillId="18" borderId="0" xfId="0" applyNumberFormat="1" applyFill="1" applyAlignment="1">
      <alignment horizontal="center"/>
    </xf>
    <xf numFmtId="2" fontId="0" fillId="20" borderId="0" xfId="0" applyNumberFormat="1" applyFill="1" applyAlignment="1">
      <alignment horizontal="center"/>
    </xf>
    <xf numFmtId="2" fontId="0" fillId="21" borderId="0" xfId="0" applyNumberFormat="1" applyFill="1" applyAlignment="1">
      <alignment horizontal="center"/>
    </xf>
    <xf numFmtId="2" fontId="0" fillId="16" borderId="0" xfId="0" applyNumberFormat="1" applyFill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29" fillId="13" borderId="0" xfId="0" applyNumberFormat="1" applyFont="1" applyFill="1" applyAlignment="1">
      <alignment horizontal="center"/>
    </xf>
    <xf numFmtId="4" fontId="29" fillId="0" borderId="0" xfId="0" applyNumberFormat="1" applyFont="1" applyAlignment="1">
      <alignment horizontal="center"/>
    </xf>
    <xf numFmtId="171" fontId="29" fillId="13" borderId="0" xfId="0" applyNumberFormat="1" applyFont="1" applyFill="1" applyAlignment="1">
      <alignment horizontal="center"/>
    </xf>
    <xf numFmtId="171" fontId="29" fillId="0" borderId="0" xfId="0" applyNumberFormat="1" applyFont="1" applyAlignment="1">
      <alignment horizontal="center"/>
    </xf>
    <xf numFmtId="0" fontId="29" fillId="22" borderId="0" xfId="0" applyFont="1" applyFill="1" applyAlignment="1">
      <alignment horizontal="center"/>
    </xf>
    <xf numFmtId="0" fontId="14" fillId="0" borderId="0" xfId="0" applyFont="1" applyAlignment="1">
      <alignment horizontal="center" vertical="top"/>
    </xf>
    <xf numFmtId="165" fontId="49" fillId="23" borderId="0" xfId="5" applyNumberFormat="1" applyFont="1" applyFill="1" applyAlignment="1">
      <alignment horizontal="center"/>
    </xf>
    <xf numFmtId="1" fontId="40" fillId="24" borderId="0" xfId="5" applyNumberFormat="1" applyFill="1" applyAlignment="1">
      <alignment horizontal="center"/>
    </xf>
    <xf numFmtId="0" fontId="0" fillId="23" borderId="0" xfId="0" applyFill="1"/>
    <xf numFmtId="172" fontId="29" fillId="13" borderId="0" xfId="0" applyNumberFormat="1" applyFont="1" applyFill="1" applyAlignment="1">
      <alignment horizontal="center"/>
    </xf>
    <xf numFmtId="172" fontId="29" fillId="0" borderId="0" xfId="0" applyNumberFormat="1" applyFont="1" applyAlignment="1">
      <alignment horizontal="center"/>
    </xf>
    <xf numFmtId="169" fontId="0" fillId="23" borderId="0" xfId="0" applyNumberFormat="1" applyFill="1"/>
    <xf numFmtId="173" fontId="0" fillId="0" borderId="0" xfId="0" applyNumberFormat="1"/>
    <xf numFmtId="4" fontId="46" fillId="13" borderId="0" xfId="0" applyNumberFormat="1" applyFont="1" applyFill="1" applyAlignment="1">
      <alignment horizontal="center"/>
    </xf>
    <xf numFmtId="4" fontId="46" fillId="0" borderId="0" xfId="0" applyNumberFormat="1" applyFont="1" applyAlignment="1">
      <alignment horizontal="center"/>
    </xf>
    <xf numFmtId="0" fontId="50" fillId="0" borderId="0" xfId="8"/>
    <xf numFmtId="0" fontId="51" fillId="0" borderId="0" xfId="0" applyFont="1"/>
    <xf numFmtId="0" fontId="52" fillId="11" borderId="27" xfId="0" applyFont="1" applyFill="1" applyBorder="1" applyAlignment="1">
      <alignment horizontal="left" vertical="center"/>
    </xf>
    <xf numFmtId="0" fontId="53" fillId="11" borderId="27" xfId="0" applyFont="1" applyFill="1" applyBorder="1" applyAlignment="1">
      <alignment horizontal="left" vertical="center" wrapText="1"/>
    </xf>
    <xf numFmtId="0" fontId="52" fillId="11" borderId="27" xfId="0" applyFont="1" applyFill="1" applyBorder="1" applyAlignment="1">
      <alignment horizontal="left" vertical="center" wrapText="1"/>
    </xf>
    <xf numFmtId="0" fontId="52" fillId="11" borderId="27" xfId="0" applyFont="1" applyFill="1" applyBorder="1" applyAlignment="1">
      <alignment horizontal="right" vertical="center"/>
    </xf>
    <xf numFmtId="0" fontId="54" fillId="11" borderId="27" xfId="0" applyFont="1" applyFill="1" applyBorder="1"/>
    <xf numFmtId="3" fontId="58" fillId="0" borderId="0" xfId="0" applyNumberFormat="1" applyFont="1" applyAlignment="1">
      <alignment vertical="center"/>
    </xf>
    <xf numFmtId="0" fontId="59" fillId="0" borderId="0" xfId="0" applyFont="1"/>
    <xf numFmtId="0" fontId="30" fillId="27" borderId="28" xfId="0" applyFont="1" applyFill="1" applyBorder="1" applyAlignment="1">
      <alignment horizontal="left" vertical="center"/>
    </xf>
    <xf numFmtId="0" fontId="30" fillId="27" borderId="28" xfId="0" applyFont="1" applyFill="1" applyBorder="1" applyAlignment="1">
      <alignment horizontal="left" vertical="center" wrapText="1"/>
    </xf>
    <xf numFmtId="0" fontId="31" fillId="27" borderId="28" xfId="0" applyFont="1" applyFill="1" applyBorder="1" applyAlignment="1">
      <alignment horizontal="left" vertical="center" wrapText="1"/>
    </xf>
    <xf numFmtId="0" fontId="0" fillId="27" borderId="28" xfId="0" applyFill="1" applyBorder="1"/>
    <xf numFmtId="0" fontId="60" fillId="0" borderId="0" xfId="0" applyFont="1"/>
    <xf numFmtId="174" fontId="0" fillId="0" borderId="0" xfId="0" applyNumberFormat="1"/>
    <xf numFmtId="174" fontId="55" fillId="0" borderId="0" xfId="9" applyNumberFormat="1"/>
    <xf numFmtId="174" fontId="55" fillId="0" borderId="29" xfId="9" applyNumberFormat="1" applyBorder="1"/>
    <xf numFmtId="174" fontId="61" fillId="0" borderId="0" xfId="9" applyNumberFormat="1" applyFont="1"/>
    <xf numFmtId="2" fontId="0" fillId="0" borderId="0" xfId="0" applyNumberFormat="1"/>
    <xf numFmtId="0" fontId="14" fillId="0" borderId="25" xfId="0" applyFont="1" applyBorder="1" applyAlignment="1">
      <alignment horizontal="center" vertical="top"/>
    </xf>
    <xf numFmtId="3" fontId="14" fillId="0" borderId="0" xfId="0" applyNumberFormat="1" applyFont="1" applyAlignment="1">
      <alignment horizontal="center" vertical="top"/>
    </xf>
    <xf numFmtId="0" fontId="43" fillId="7" borderId="26" xfId="0" applyFont="1" applyFill="1" applyBorder="1" applyAlignment="1">
      <alignment horizontal="left" vertical="center" wrapText="1"/>
    </xf>
    <xf numFmtId="0" fontId="34" fillId="0" borderId="23" xfId="0" applyFont="1" applyBorder="1" applyAlignment="1">
      <alignment horizontal="left" vertical="center" wrapText="1"/>
    </xf>
    <xf numFmtId="0" fontId="0" fillId="7" borderId="22" xfId="0" applyFill="1" applyBorder="1" applyAlignment="1">
      <alignment horizontal="left" vertical="center" wrapText="1"/>
    </xf>
    <xf numFmtId="0" fontId="37" fillId="7" borderId="23" xfId="0" applyFont="1" applyFill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5" fillId="6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left" vertical="top" wrapText="1"/>
    </xf>
    <xf numFmtId="0" fontId="0" fillId="0" borderId="0" xfId="0"/>
    <xf numFmtId="0" fontId="17" fillId="0" borderId="0" xfId="0" applyFont="1" applyAlignment="1">
      <alignment horizontal="left" vertical="top" wrapText="1"/>
    </xf>
    <xf numFmtId="0" fontId="62" fillId="0" borderId="0" xfId="25" applyFont="1"/>
    <xf numFmtId="0" fontId="1" fillId="0" borderId="0" xfId="25"/>
    <xf numFmtId="2" fontId="40" fillId="0" borderId="0" xfId="5" applyNumberFormat="1" applyAlignment="1">
      <alignment horizontal="center"/>
    </xf>
    <xf numFmtId="0" fontId="14" fillId="0" borderId="0" xfId="0" applyFont="1" applyBorder="1" applyAlignment="1">
      <alignment horizontal="center" vertical="top"/>
    </xf>
    <xf numFmtId="3" fontId="28" fillId="0" borderId="0" xfId="0" applyNumberFormat="1" applyFont="1" applyBorder="1"/>
    <xf numFmtId="3" fontId="20" fillId="0" borderId="0" xfId="0" applyNumberFormat="1" applyFont="1"/>
  </cellXfs>
  <cellStyles count="26">
    <cellStyle name="cf1" xfId="10" xr:uid="{2C3621D4-E36F-436D-BB52-79B4C7510DEF}"/>
    <cellStyle name="cf2" xfId="11" xr:uid="{98FBEA86-93B8-46AE-8C22-A629BF2D5C9B}"/>
    <cellStyle name="cf3" xfId="12" xr:uid="{D955A7F9-3151-49E6-81E6-6DB746E7FB65}"/>
    <cellStyle name="Euro" xfId="13" xr:uid="{E000F160-9BB9-4350-892C-72CDFFC07B16}"/>
    <cellStyle name="Hyperlink" xfId="8" builtinId="8"/>
    <cellStyle name="Hyperlink 2" xfId="14" xr:uid="{EFD11506-71FC-478A-A755-B56003526690}"/>
    <cellStyle name="Hyperlink 3" xfId="15" xr:uid="{81E99800-5EF8-429E-81C4-740351F7424E}"/>
    <cellStyle name="Komma" xfId="16" xr:uid="{B8F3F069-762D-446A-A9E5-E0794BE796FF}"/>
    <cellStyle name="Komma 2" xfId="17" xr:uid="{B0510985-9AC9-4AEA-8D1A-427980C2398C}"/>
    <cellStyle name="Komma 2 2" xfId="18" xr:uid="{07DE9AEA-2EAF-4817-B59A-A08F9BA7A673}"/>
    <cellStyle name="Link" xfId="19" xr:uid="{0DC93A01-A540-445C-88D7-3CA4BC071FDB}"/>
    <cellStyle name="Link 2" xfId="20" xr:uid="{E4578D12-138A-4D6A-837A-3F9D1BB936FB}"/>
    <cellStyle name="Normal" xfId="0" builtinId="0"/>
    <cellStyle name="Normal 2" xfId="3" xr:uid="{EB7E4859-B597-418D-8917-C0C11DCC4AF2}"/>
    <cellStyle name="Normal 2 2" xfId="6" xr:uid="{E104007E-4351-41C4-9294-169981886840}"/>
    <cellStyle name="Normal 2 3" xfId="21" xr:uid="{81C830DC-176D-450F-8DE4-6CC9EFB29DAE}"/>
    <cellStyle name="Normal 3" xfId="2" xr:uid="{923269F0-1A7B-48A1-BD90-633149D5EDB4}"/>
    <cellStyle name="Normal 4" xfId="4" xr:uid="{AD818AAB-25F8-442A-849A-AE3D1617C440}"/>
    <cellStyle name="Normal 5" xfId="5" xr:uid="{2D3C6C48-9ED5-4F1C-8D6B-72EBA3831FF3}"/>
    <cellStyle name="Normal 6" xfId="7" xr:uid="{DABF691D-4DCD-4966-A8F3-A6145CDAF866}"/>
    <cellStyle name="Normal 7" xfId="9" xr:uid="{27D567E0-F7FA-40F7-8A37-72EECF4D6F99}"/>
    <cellStyle name="Normal 8" xfId="25" xr:uid="{A7B37923-6CBB-4179-97A1-F7A3740A9E49}"/>
    <cellStyle name="Percent" xfId="1" builtinId="5"/>
    <cellStyle name="Prozent" xfId="22" xr:uid="{D805FF00-9106-4C7E-A930-88A2A16EB5E4}"/>
    <cellStyle name="Prozent 2" xfId="23" xr:uid="{1E52B872-6EA9-42C7-BE97-2A944C0C96E5}"/>
    <cellStyle name="Standard 2" xfId="24" xr:uid="{97DBBF14-C155-4FF5-B649-38CB3B66FE0F}"/>
  </cellStyles>
  <dxfs count="10"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EFF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Finland!$B$85</c:f>
          <c:strCache>
            <c:ptCount val="1"/>
            <c:pt idx="0">
              <c:v>Helsinki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>
        <c:manualLayout>
          <c:layoutTarget val="inner"/>
          <c:xMode val="edge"/>
          <c:yMode val="edge"/>
          <c:x val="9.1803149606299206E-2"/>
          <c:y val="6.1709877607516943E-2"/>
          <c:w val="0.82256036745406824"/>
          <c:h val="0.70353030352355139"/>
        </c:manualLayout>
      </c:layout>
      <c:scatterChart>
        <c:scatterStyle val="lineMarker"/>
        <c:varyColors val="0"/>
        <c:ser>
          <c:idx val="1"/>
          <c:order val="1"/>
          <c:tx>
            <c:strRef>
              <c:f>Finland!$C$92</c:f>
              <c:strCache>
                <c:ptCount val="1"/>
                <c:pt idx="0">
                  <c:v>Produced DH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Finland!$J$78:$AI$78</c:f>
              <c:numCache>
                <c:formatCode>General</c:formatCode>
                <c:ptCount val="2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20">
                  <c:v>2015</c:v>
                </c:pt>
                <c:pt idx="21">
                  <c:v>2020</c:v>
                </c:pt>
                <c:pt idx="22">
                  <c:v>2025</c:v>
                </c:pt>
                <c:pt idx="23">
                  <c:v>2030</c:v>
                </c:pt>
                <c:pt idx="24">
                  <c:v>2035</c:v>
                </c:pt>
                <c:pt idx="25">
                  <c:v>2040</c:v>
                </c:pt>
              </c:numCache>
            </c:numRef>
          </c:xVal>
          <c:yVal>
            <c:numRef>
              <c:f>Finland!$J$85:$AI$85</c:f>
              <c:numCache>
                <c:formatCode>0</c:formatCode>
                <c:ptCount val="26"/>
                <c:pt idx="0">
                  <c:v>7072.8</c:v>
                </c:pt>
                <c:pt idx="1">
                  <c:v>7183.5</c:v>
                </c:pt>
                <c:pt idx="2">
                  <c:v>6863.9</c:v>
                </c:pt>
                <c:pt idx="3">
                  <c:v>6532.9</c:v>
                </c:pt>
                <c:pt idx="4">
                  <c:v>7183.5</c:v>
                </c:pt>
                <c:pt idx="5">
                  <c:v>7770.9</c:v>
                </c:pt>
                <c:pt idx="6">
                  <c:v>6881.8</c:v>
                </c:pt>
                <c:pt idx="7">
                  <c:v>7302.2</c:v>
                </c:pt>
                <c:pt idx="8">
                  <c:v>6958.2</c:v>
                </c:pt>
                <c:pt idx="9">
                  <c:v>6882.9</c:v>
                </c:pt>
                <c:pt idx="10">
                  <c:v>6440.5</c:v>
                </c:pt>
                <c:pt idx="11">
                  <c:v>7099.5</c:v>
                </c:pt>
                <c:pt idx="12">
                  <c:v>7100.6</c:v>
                </c:pt>
                <c:pt idx="13">
                  <c:v>7196.5</c:v>
                </c:pt>
                <c:pt idx="14">
                  <c:v>7037.8</c:v>
                </c:pt>
                <c:pt idx="15">
                  <c:v>6418.2</c:v>
                </c:pt>
                <c:pt idx="16">
                  <c:v>7495.8</c:v>
                </c:pt>
                <c:pt idx="17">
                  <c:v>6895.2</c:v>
                </c:pt>
                <c:pt idx="18">
                  <c:v>6672.2</c:v>
                </c:pt>
                <c:pt idx="20">
                  <c:v>7073.6040298090911</c:v>
                </c:pt>
                <c:pt idx="21">
                  <c:v>7088.8236484949975</c:v>
                </c:pt>
                <c:pt idx="22">
                  <c:v>6894.0564264295008</c:v>
                </c:pt>
                <c:pt idx="23">
                  <c:v>6748.807548879965</c:v>
                </c:pt>
                <c:pt idx="24">
                  <c:v>6546.6201846226732</c:v>
                </c:pt>
                <c:pt idx="25">
                  <c:v>6342.2362385433444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F-463A-A1A6-6A94CC0DA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06208"/>
        <c:axId val="209690096"/>
      </c:scatterChart>
      <c:scatterChart>
        <c:scatterStyle val="lineMarker"/>
        <c:varyColors val="0"/>
        <c:ser>
          <c:idx val="0"/>
          <c:order val="0"/>
          <c:tx>
            <c:strRef>
              <c:f>Finland!$C$96</c:f>
              <c:strCache>
                <c:ptCount val="1"/>
                <c:pt idx="0">
                  <c:v>Normal year net prod /  pers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Finland!$J$78:$AI$78</c:f>
              <c:numCache>
                <c:formatCode>General</c:formatCode>
                <c:ptCount val="2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20">
                  <c:v>2015</c:v>
                </c:pt>
                <c:pt idx="21">
                  <c:v>2020</c:v>
                </c:pt>
                <c:pt idx="22">
                  <c:v>2025</c:v>
                </c:pt>
                <c:pt idx="23">
                  <c:v>2030</c:v>
                </c:pt>
                <c:pt idx="24">
                  <c:v>2035</c:v>
                </c:pt>
                <c:pt idx="25">
                  <c:v>2040</c:v>
                </c:pt>
              </c:numCache>
            </c:numRef>
          </c:xVal>
          <c:yVal>
            <c:numRef>
              <c:f>Finland!$J$89:$AI$89</c:f>
              <c:numCache>
                <c:formatCode>0.0</c:formatCode>
                <c:ptCount val="26"/>
                <c:pt idx="0">
                  <c:v>12.543329656843703</c:v>
                </c:pt>
                <c:pt idx="1">
                  <c:v>12.461719834190411</c:v>
                </c:pt>
                <c:pt idx="2">
                  <c:v>12.383331975967637</c:v>
                </c:pt>
                <c:pt idx="3">
                  <c:v>12.569145620874638</c:v>
                </c:pt>
                <c:pt idx="4">
                  <c:v>11.859411231356155</c:v>
                </c:pt>
                <c:pt idx="5">
                  <c:v>10.859022012131542</c:v>
                </c:pt>
                <c:pt idx="6">
                  <c:v>11.909283519870501</c:v>
                </c:pt>
                <c:pt idx="7">
                  <c:v>11.459839367414425</c:v>
                </c:pt>
                <c:pt idx="8">
                  <c:v>11.379352482843773</c:v>
                </c:pt>
                <c:pt idx="9">
                  <c:v>11.520747773873937</c:v>
                </c:pt>
                <c:pt idx="10">
                  <c:v>11.833666990717468</c:v>
                </c:pt>
                <c:pt idx="11">
                  <c:v>11.208206897135717</c:v>
                </c:pt>
                <c:pt idx="12">
                  <c:v>11.193701805935046</c:v>
                </c:pt>
                <c:pt idx="13">
                  <c:v>11.251866004258897</c:v>
                </c:pt>
                <c:pt idx="14">
                  <c:v>11.330497726547737</c:v>
                </c:pt>
                <c:pt idx="15">
                  <c:v>12.099975325162339</c:v>
                </c:pt>
                <c:pt idx="16">
                  <c:v>10.694432706481747</c:v>
                </c:pt>
                <c:pt idx="17">
                  <c:v>10.55392202093015</c:v>
                </c:pt>
                <c:pt idx="18">
                  <c:v>10.192197927925461</c:v>
                </c:pt>
                <c:pt idx="20">
                  <c:v>11.427135190101188</c:v>
                </c:pt>
                <c:pt idx="21">
                  <c:v>11.186138756676176</c:v>
                </c:pt>
                <c:pt idx="22" formatCode="0.00">
                  <c:v>10.69450472545107</c:v>
                </c:pt>
                <c:pt idx="23" formatCode="0.00">
                  <c:v>10.456220638358774</c:v>
                </c:pt>
                <c:pt idx="24" formatCode="0.00">
                  <c:v>10.217936551266478</c:v>
                </c:pt>
                <c:pt idx="25" formatCode="0.00">
                  <c:v>9.9796524641741815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F-463A-A1A6-6A94CC0DA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571871"/>
        <c:axId val="317974192"/>
      </c:scatterChart>
      <c:valAx>
        <c:axId val="17320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209690096"/>
        <c:crosses val="autoZero"/>
        <c:crossBetween val="midCat"/>
      </c:valAx>
      <c:valAx>
        <c:axId val="2096900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73206208"/>
        <c:crosses val="autoZero"/>
        <c:crossBetween val="midCat"/>
      </c:valAx>
      <c:valAx>
        <c:axId val="317974192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64571871"/>
        <c:crosses val="max"/>
        <c:crossBetween val="midCat"/>
      </c:valAx>
      <c:valAx>
        <c:axId val="1564571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7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Finland!$B$92</c:f>
          <c:strCache>
            <c:ptCount val="1"/>
            <c:pt idx="0">
              <c:v>Espoo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>
        <c:manualLayout>
          <c:layoutTarget val="inner"/>
          <c:xMode val="edge"/>
          <c:yMode val="edge"/>
          <c:x val="9.1803149606299206E-2"/>
          <c:y val="6.1709877607516943E-2"/>
          <c:w val="0.82256036745406824"/>
          <c:h val="0.70353030352355139"/>
        </c:manualLayout>
      </c:layout>
      <c:scatterChart>
        <c:scatterStyle val="lineMarker"/>
        <c:varyColors val="0"/>
        <c:ser>
          <c:idx val="1"/>
          <c:order val="1"/>
          <c:tx>
            <c:strRef>
              <c:f>Finland!$C$92</c:f>
              <c:strCache>
                <c:ptCount val="1"/>
                <c:pt idx="0">
                  <c:v>Produced DH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Finland!$J$78:$AI$78</c:f>
              <c:numCache>
                <c:formatCode>General</c:formatCode>
                <c:ptCount val="2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20">
                  <c:v>2015</c:v>
                </c:pt>
                <c:pt idx="21">
                  <c:v>2020</c:v>
                </c:pt>
                <c:pt idx="22">
                  <c:v>2025</c:v>
                </c:pt>
                <c:pt idx="23">
                  <c:v>2030</c:v>
                </c:pt>
                <c:pt idx="24">
                  <c:v>2035</c:v>
                </c:pt>
                <c:pt idx="25">
                  <c:v>2040</c:v>
                </c:pt>
              </c:numCache>
            </c:numRef>
          </c:xVal>
          <c:yVal>
            <c:numRef>
              <c:f>Finland!$J$92:$AI$92</c:f>
              <c:numCache>
                <c:formatCode>0</c:formatCode>
                <c:ptCount val="26"/>
                <c:pt idx="0">
                  <c:v>2107.6</c:v>
                </c:pt>
                <c:pt idx="1">
                  <c:v>2191.5</c:v>
                </c:pt>
                <c:pt idx="2">
                  <c:v>2103.5</c:v>
                </c:pt>
                <c:pt idx="3">
                  <c:v>2125.6999999999998</c:v>
                </c:pt>
                <c:pt idx="4">
                  <c:v>2363.3000000000002</c:v>
                </c:pt>
                <c:pt idx="5">
                  <c:v>2504.4</c:v>
                </c:pt>
                <c:pt idx="6">
                  <c:v>2187.6</c:v>
                </c:pt>
                <c:pt idx="7">
                  <c:v>2390.5</c:v>
                </c:pt>
                <c:pt idx="8">
                  <c:v>2288.1999999999998</c:v>
                </c:pt>
                <c:pt idx="9">
                  <c:v>2280.1</c:v>
                </c:pt>
                <c:pt idx="10">
                  <c:v>2146.1</c:v>
                </c:pt>
                <c:pt idx="11">
                  <c:v>2413.6999999999998</c:v>
                </c:pt>
                <c:pt idx="12">
                  <c:v>2389.8000000000002</c:v>
                </c:pt>
                <c:pt idx="13">
                  <c:v>2380.6999999999998</c:v>
                </c:pt>
                <c:pt idx="14">
                  <c:v>2370.9</c:v>
                </c:pt>
                <c:pt idx="15">
                  <c:v>2152.4</c:v>
                </c:pt>
                <c:pt idx="16">
                  <c:v>2492.4</c:v>
                </c:pt>
                <c:pt idx="17">
                  <c:v>2344.4</c:v>
                </c:pt>
                <c:pt idx="18">
                  <c:v>2151</c:v>
                </c:pt>
                <c:pt idx="20">
                  <c:v>2360.5086565648403</c:v>
                </c:pt>
                <c:pt idx="21">
                  <c:v>2367.4261149782324</c:v>
                </c:pt>
                <c:pt idx="22">
                  <c:v>2311.6653064160796</c:v>
                </c:pt>
                <c:pt idx="23">
                  <c:v>2288.9008612304806</c:v>
                </c:pt>
                <c:pt idx="24">
                  <c:v>2234.2092575747033</c:v>
                </c:pt>
                <c:pt idx="25">
                  <c:v>2176.9856112614489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AE-4F24-91D8-82913C7D1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06208"/>
        <c:axId val="209690096"/>
      </c:scatterChart>
      <c:scatterChart>
        <c:scatterStyle val="lineMarker"/>
        <c:varyColors val="0"/>
        <c:ser>
          <c:idx val="0"/>
          <c:order val="0"/>
          <c:tx>
            <c:strRef>
              <c:f>Finland!$C$96</c:f>
              <c:strCache>
                <c:ptCount val="1"/>
                <c:pt idx="0">
                  <c:v>Normal year net prod /  pers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Finland!$J$78:$AI$78</c:f>
              <c:numCache>
                <c:formatCode>General</c:formatCode>
                <c:ptCount val="2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20">
                  <c:v>2015</c:v>
                </c:pt>
                <c:pt idx="21">
                  <c:v>2020</c:v>
                </c:pt>
                <c:pt idx="22">
                  <c:v>2025</c:v>
                </c:pt>
                <c:pt idx="23">
                  <c:v>2030</c:v>
                </c:pt>
                <c:pt idx="24">
                  <c:v>2035</c:v>
                </c:pt>
                <c:pt idx="25">
                  <c:v>2040</c:v>
                </c:pt>
              </c:numCache>
            </c:numRef>
          </c:xVal>
          <c:yVal>
            <c:numRef>
              <c:f>Finland!$J$96:$AI$96</c:f>
              <c:numCache>
                <c:formatCode>0.0</c:formatCode>
                <c:ptCount val="26"/>
                <c:pt idx="0">
                  <c:v>9.048267444654881</c:v>
                </c:pt>
                <c:pt idx="1">
                  <c:v>9.131886188793592</c:v>
                </c:pt>
                <c:pt idx="2">
                  <c:v>9.0635956448715174</c:v>
                </c:pt>
                <c:pt idx="3">
                  <c:v>9.7626214450700193</c:v>
                </c:pt>
                <c:pt idx="4">
                  <c:v>9.3153310768544575</c:v>
                </c:pt>
                <c:pt idx="5">
                  <c:v>8.3062801068994681</c:v>
                </c:pt>
                <c:pt idx="6">
                  <c:v>8.9287818152034859</c:v>
                </c:pt>
                <c:pt idx="7">
                  <c:v>8.8225042814856529</c:v>
                </c:pt>
                <c:pt idx="8">
                  <c:v>8.7924047496760487</c:v>
                </c:pt>
                <c:pt idx="9">
                  <c:v>8.9211427041537785</c:v>
                </c:pt>
                <c:pt idx="10">
                  <c:v>9.1813810416324788</c:v>
                </c:pt>
                <c:pt idx="11">
                  <c:v>8.8148620296259548</c:v>
                </c:pt>
                <c:pt idx="12">
                  <c:v>8.6848475883862353</c:v>
                </c:pt>
                <c:pt idx="13">
                  <c:v>8.5046377564134676</c:v>
                </c:pt>
                <c:pt idx="14">
                  <c:v>8.6138737690068332</c:v>
                </c:pt>
                <c:pt idx="15">
                  <c:v>9.1041953259270922</c:v>
                </c:pt>
                <c:pt idx="16">
                  <c:v>7.8801683738056747</c:v>
                </c:pt>
                <c:pt idx="17">
                  <c:v>7.8054024670960542</c:v>
                </c:pt>
                <c:pt idx="18">
                  <c:v>7.0576207310333814</c:v>
                </c:pt>
                <c:pt idx="20">
                  <c:v>8.8789276226948992</c:v>
                </c:pt>
                <c:pt idx="21">
                  <c:v>8.3816555384498237</c:v>
                </c:pt>
                <c:pt idx="22" formatCode="0.00">
                  <c:v>7.8080424976519174</c:v>
                </c:pt>
                <c:pt idx="23" formatCode="0.00">
                  <c:v>7.615787214134861</c:v>
                </c:pt>
                <c:pt idx="24" formatCode="0.00">
                  <c:v>7.4235319306178047</c:v>
                </c:pt>
                <c:pt idx="25" formatCode="0.00">
                  <c:v>7.2312766471007484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AE-4F24-91D8-82913C7D1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571871"/>
        <c:axId val="317974192"/>
      </c:scatterChart>
      <c:valAx>
        <c:axId val="17320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209690096"/>
        <c:crosses val="autoZero"/>
        <c:crossBetween val="midCat"/>
      </c:valAx>
      <c:valAx>
        <c:axId val="2096900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73206208"/>
        <c:crosses val="autoZero"/>
        <c:crossBetween val="midCat"/>
      </c:valAx>
      <c:valAx>
        <c:axId val="317974192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64571871"/>
        <c:crosses val="max"/>
        <c:crossBetween val="midCat"/>
      </c:valAx>
      <c:valAx>
        <c:axId val="1564571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7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Finland!$B$99</c:f>
          <c:strCache>
            <c:ptCount val="1"/>
            <c:pt idx="0">
              <c:v>Vantaa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>
        <c:manualLayout>
          <c:layoutTarget val="inner"/>
          <c:xMode val="edge"/>
          <c:yMode val="edge"/>
          <c:x val="9.1803149606299206E-2"/>
          <c:y val="6.1709877607516943E-2"/>
          <c:w val="0.82256036745406824"/>
          <c:h val="0.70353030352355139"/>
        </c:manualLayout>
      </c:layout>
      <c:scatterChart>
        <c:scatterStyle val="lineMarker"/>
        <c:varyColors val="0"/>
        <c:ser>
          <c:idx val="1"/>
          <c:order val="1"/>
          <c:tx>
            <c:strRef>
              <c:f>Finland!$C$92</c:f>
              <c:strCache>
                <c:ptCount val="1"/>
                <c:pt idx="0">
                  <c:v>Produced DH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Finland!$J$78:$AI$78</c:f>
              <c:numCache>
                <c:formatCode>General</c:formatCode>
                <c:ptCount val="2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20">
                  <c:v>2015</c:v>
                </c:pt>
                <c:pt idx="21">
                  <c:v>2020</c:v>
                </c:pt>
                <c:pt idx="22">
                  <c:v>2025</c:v>
                </c:pt>
                <c:pt idx="23">
                  <c:v>2030</c:v>
                </c:pt>
                <c:pt idx="24">
                  <c:v>2035</c:v>
                </c:pt>
                <c:pt idx="25">
                  <c:v>2040</c:v>
                </c:pt>
              </c:numCache>
            </c:numRef>
          </c:xVal>
          <c:yVal>
            <c:numRef>
              <c:f>Finland!$J$99:$AI$99</c:f>
              <c:numCache>
                <c:formatCode>0</c:formatCode>
                <c:ptCount val="26"/>
                <c:pt idx="0">
                  <c:v>1838.7</c:v>
                </c:pt>
                <c:pt idx="1">
                  <c:v>1859.5</c:v>
                </c:pt>
                <c:pt idx="2">
                  <c:v>1818</c:v>
                </c:pt>
                <c:pt idx="3">
                  <c:v>1764.7</c:v>
                </c:pt>
                <c:pt idx="4">
                  <c:v>1987.2</c:v>
                </c:pt>
                <c:pt idx="5">
                  <c:v>2174.4</c:v>
                </c:pt>
                <c:pt idx="6">
                  <c:v>1868.5</c:v>
                </c:pt>
                <c:pt idx="7">
                  <c:v>2015.5</c:v>
                </c:pt>
                <c:pt idx="8">
                  <c:v>1887.6</c:v>
                </c:pt>
                <c:pt idx="9">
                  <c:v>1803.8</c:v>
                </c:pt>
                <c:pt idx="10">
                  <c:v>1727.1</c:v>
                </c:pt>
                <c:pt idx="11">
                  <c:v>1889.1</c:v>
                </c:pt>
                <c:pt idx="12">
                  <c:v>1906.5</c:v>
                </c:pt>
                <c:pt idx="13">
                  <c:v>1929.6</c:v>
                </c:pt>
                <c:pt idx="14">
                  <c:v>1864.7</c:v>
                </c:pt>
                <c:pt idx="15">
                  <c:v>1734.6</c:v>
                </c:pt>
                <c:pt idx="16">
                  <c:v>2112.6</c:v>
                </c:pt>
                <c:pt idx="17">
                  <c:v>1968.4999999999998</c:v>
                </c:pt>
                <c:pt idx="18">
                  <c:v>1992.8</c:v>
                </c:pt>
                <c:pt idx="20">
                  <c:v>1895.5076088234648</c:v>
                </c:pt>
                <c:pt idx="21">
                  <c:v>1944.3747944752376</c:v>
                </c:pt>
                <c:pt idx="22">
                  <c:v>1953.4342636259119</c:v>
                </c:pt>
                <c:pt idx="23">
                  <c:v>1935.6427810578116</c:v>
                </c:pt>
                <c:pt idx="24">
                  <c:v>1891.3769365150044</c:v>
                </c:pt>
                <c:pt idx="25">
                  <c:v>1844.7875411775885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70-4AD8-B98C-FBDFEBF79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06208"/>
        <c:axId val="209690096"/>
      </c:scatterChart>
      <c:scatterChart>
        <c:scatterStyle val="lineMarker"/>
        <c:varyColors val="0"/>
        <c:ser>
          <c:idx val="0"/>
          <c:order val="0"/>
          <c:tx>
            <c:strRef>
              <c:f>Finland!$C$96</c:f>
              <c:strCache>
                <c:ptCount val="1"/>
                <c:pt idx="0">
                  <c:v>Normal year net prod /  pers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Finland!$J$78:$AI$78</c:f>
              <c:numCache>
                <c:formatCode>General</c:formatCode>
                <c:ptCount val="2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20">
                  <c:v>2015</c:v>
                </c:pt>
                <c:pt idx="21">
                  <c:v>2020</c:v>
                </c:pt>
                <c:pt idx="22">
                  <c:v>2025</c:v>
                </c:pt>
                <c:pt idx="23">
                  <c:v>2030</c:v>
                </c:pt>
                <c:pt idx="24">
                  <c:v>2035</c:v>
                </c:pt>
                <c:pt idx="25">
                  <c:v>2040</c:v>
                </c:pt>
              </c:numCache>
            </c:numRef>
          </c:xVal>
          <c:yVal>
            <c:numRef>
              <c:f>Finland!$J$103:$AI$103</c:f>
              <c:numCache>
                <c:formatCode>0.0</c:formatCode>
                <c:ptCount val="26"/>
                <c:pt idx="0">
                  <c:v>9.675339619293462</c:v>
                </c:pt>
                <c:pt idx="1">
                  <c:v>9.6271432052784114</c:v>
                </c:pt>
                <c:pt idx="2">
                  <c:v>9.6806690191156139</c:v>
                </c:pt>
                <c:pt idx="3">
                  <c:v>10.020539642101333</c:v>
                </c:pt>
                <c:pt idx="4">
                  <c:v>9.7108030483062855</c:v>
                </c:pt>
                <c:pt idx="5">
                  <c:v>8.9560815076372151</c:v>
                </c:pt>
                <c:pt idx="6">
                  <c:v>9.6117862115078161</c:v>
                </c:pt>
                <c:pt idx="7">
                  <c:v>9.2309410282891324</c:v>
                </c:pt>
                <c:pt idx="8">
                  <c:v>9.1155664414826294</c:v>
                </c:pt>
                <c:pt idx="9">
                  <c:v>8.8796618887971235</c:v>
                </c:pt>
                <c:pt idx="10">
                  <c:v>9.413630186578235</c:v>
                </c:pt>
                <c:pt idx="11">
                  <c:v>8.6121091978619937</c:v>
                </c:pt>
                <c:pt idx="12">
                  <c:v>8.5815119856302058</c:v>
                </c:pt>
                <c:pt idx="13">
                  <c:v>8.5189940573957639</c:v>
                </c:pt>
                <c:pt idx="14">
                  <c:v>8.3891989896265429</c:v>
                </c:pt>
                <c:pt idx="15">
                  <c:v>8.8652244947299277</c:v>
                </c:pt>
                <c:pt idx="16">
                  <c:v>8.1856924458725207</c:v>
                </c:pt>
                <c:pt idx="17">
                  <c:v>8.0160793423029197</c:v>
                </c:pt>
                <c:pt idx="18">
                  <c:v>8.1643219169704917</c:v>
                </c:pt>
                <c:pt idx="20">
                  <c:v>8.9204959400700368</c:v>
                </c:pt>
                <c:pt idx="21">
                  <c:v>8.3950378659855343</c:v>
                </c:pt>
                <c:pt idx="22" formatCode="0.00">
                  <c:v>8.1103867787079125</c:v>
                </c:pt>
                <c:pt idx="23" formatCode="0.00">
                  <c:v>7.8635833146316187</c:v>
                </c:pt>
                <c:pt idx="24" formatCode="0.00">
                  <c:v>7.6167798505553108</c:v>
                </c:pt>
                <c:pt idx="25" formatCode="0.00">
                  <c:v>7.3699763864790029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70-4AD8-B98C-FBDFEBF79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571871"/>
        <c:axId val="317974192"/>
      </c:scatterChart>
      <c:valAx>
        <c:axId val="17320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209690096"/>
        <c:crosses val="autoZero"/>
        <c:crossBetween val="midCat"/>
      </c:valAx>
      <c:valAx>
        <c:axId val="2096900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73206208"/>
        <c:crosses val="autoZero"/>
        <c:crossBetween val="midCat"/>
      </c:valAx>
      <c:valAx>
        <c:axId val="317974192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64571871"/>
        <c:crosses val="max"/>
        <c:crossBetween val="midCat"/>
      </c:valAx>
      <c:valAx>
        <c:axId val="1564571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7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Finland!$B$106</c:f>
          <c:strCache>
            <c:ptCount val="1"/>
            <c:pt idx="0">
              <c:v>Turku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>
        <c:manualLayout>
          <c:layoutTarget val="inner"/>
          <c:xMode val="edge"/>
          <c:yMode val="edge"/>
          <c:x val="9.1803149606299206E-2"/>
          <c:y val="6.1709877607516943E-2"/>
          <c:w val="0.82256036745406824"/>
          <c:h val="0.70353030352355139"/>
        </c:manualLayout>
      </c:layout>
      <c:scatterChart>
        <c:scatterStyle val="lineMarker"/>
        <c:varyColors val="0"/>
        <c:ser>
          <c:idx val="1"/>
          <c:order val="1"/>
          <c:tx>
            <c:strRef>
              <c:f>Finland!$C$92</c:f>
              <c:strCache>
                <c:ptCount val="1"/>
                <c:pt idx="0">
                  <c:v>Produced DH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Finland!$J$78:$AI$78</c:f>
              <c:numCache>
                <c:formatCode>General</c:formatCode>
                <c:ptCount val="2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20">
                  <c:v>2015</c:v>
                </c:pt>
                <c:pt idx="21">
                  <c:v>2020</c:v>
                </c:pt>
                <c:pt idx="22">
                  <c:v>2025</c:v>
                </c:pt>
                <c:pt idx="23">
                  <c:v>2030</c:v>
                </c:pt>
                <c:pt idx="24">
                  <c:v>2035</c:v>
                </c:pt>
                <c:pt idx="25">
                  <c:v>2040</c:v>
                </c:pt>
              </c:numCache>
            </c:numRef>
          </c:xVal>
          <c:yVal>
            <c:numRef>
              <c:f>Finland!$J$106:$AI$106</c:f>
              <c:numCache>
                <c:formatCode>0</c:formatCode>
                <c:ptCount val="26"/>
                <c:pt idx="0">
                  <c:v>1726.1</c:v>
                </c:pt>
                <c:pt idx="1">
                  <c:v>1740</c:v>
                </c:pt>
                <c:pt idx="2">
                  <c:v>1744</c:v>
                </c:pt>
                <c:pt idx="3">
                  <c:v>1683.5</c:v>
                </c:pt>
                <c:pt idx="4">
                  <c:v>1850</c:v>
                </c:pt>
                <c:pt idx="5">
                  <c:v>2046.7</c:v>
                </c:pt>
                <c:pt idx="6">
                  <c:v>1762.1</c:v>
                </c:pt>
                <c:pt idx="7">
                  <c:v>1944.6</c:v>
                </c:pt>
                <c:pt idx="8">
                  <c:v>2169.4</c:v>
                </c:pt>
                <c:pt idx="9">
                  <c:v>2135.8000000000002</c:v>
                </c:pt>
                <c:pt idx="10">
                  <c:v>2008.1</c:v>
                </c:pt>
                <c:pt idx="11">
                  <c:v>2243</c:v>
                </c:pt>
                <c:pt idx="12">
                  <c:v>2164.1</c:v>
                </c:pt>
                <c:pt idx="13">
                  <c:v>2165.8000000000002</c:v>
                </c:pt>
                <c:pt idx="14">
                  <c:v>2084.8000000000002</c:v>
                </c:pt>
                <c:pt idx="15">
                  <c:v>1884</c:v>
                </c:pt>
                <c:pt idx="16">
                  <c:v>2196.8000000000002</c:v>
                </c:pt>
                <c:pt idx="17">
                  <c:v>2035.3000000000002</c:v>
                </c:pt>
                <c:pt idx="18">
                  <c:v>2038</c:v>
                </c:pt>
                <c:pt idx="20">
                  <c:v>2218.7058356179668</c:v>
                </c:pt>
                <c:pt idx="21">
                  <c:v>2096.4712483910621</c:v>
                </c:pt>
                <c:pt idx="22">
                  <c:v>2036.5952811144407</c:v>
                </c:pt>
                <c:pt idx="23">
                  <c:v>2020.727933823787</c:v>
                </c:pt>
                <c:pt idx="24">
                  <c:v>1989.1835577382728</c:v>
                </c:pt>
                <c:pt idx="25">
                  <c:v>1956.8543870152489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88-4DD0-9B68-3FA7BE8C2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06208"/>
        <c:axId val="209690096"/>
      </c:scatterChart>
      <c:scatterChart>
        <c:scatterStyle val="lineMarker"/>
        <c:varyColors val="0"/>
        <c:ser>
          <c:idx val="0"/>
          <c:order val="0"/>
          <c:tx>
            <c:strRef>
              <c:f>Finland!$C$96</c:f>
              <c:strCache>
                <c:ptCount val="1"/>
                <c:pt idx="0">
                  <c:v>Normal year net prod /  pers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Finland!$J$78:$AI$78</c:f>
              <c:numCache>
                <c:formatCode>General</c:formatCode>
                <c:ptCount val="2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20">
                  <c:v>2015</c:v>
                </c:pt>
                <c:pt idx="21">
                  <c:v>2020</c:v>
                </c:pt>
                <c:pt idx="22">
                  <c:v>2025</c:v>
                </c:pt>
                <c:pt idx="23">
                  <c:v>2030</c:v>
                </c:pt>
                <c:pt idx="24">
                  <c:v>2035</c:v>
                </c:pt>
                <c:pt idx="25">
                  <c:v>2040</c:v>
                </c:pt>
              </c:numCache>
            </c:numRef>
          </c:xVal>
          <c:yVal>
            <c:numRef>
              <c:f>Finland!$J$110:$AI$110</c:f>
              <c:numCache>
                <c:formatCode>0.0</c:formatCode>
                <c:ptCount val="26"/>
                <c:pt idx="0">
                  <c:v>9.7174782021379063</c:v>
                </c:pt>
                <c:pt idx="1">
                  <c:v>10.132039862126236</c:v>
                </c:pt>
                <c:pt idx="2">
                  <c:v>10.145321382310501</c:v>
                </c:pt>
                <c:pt idx="3">
                  <c:v>10.292590740098886</c:v>
                </c:pt>
                <c:pt idx="4">
                  <c:v>9.878138792497186</c:v>
                </c:pt>
                <c:pt idx="5">
                  <c:v>9.3883430878093943</c:v>
                </c:pt>
                <c:pt idx="6">
                  <c:v>10.294596680270866</c:v>
                </c:pt>
                <c:pt idx="7">
                  <c:v>10.167575192754654</c:v>
                </c:pt>
                <c:pt idx="8">
                  <c:v>11.97265552859094</c:v>
                </c:pt>
                <c:pt idx="9">
                  <c:v>12.250172208675703</c:v>
                </c:pt>
                <c:pt idx="10">
                  <c:v>12.456736010816226</c:v>
                </c:pt>
                <c:pt idx="11">
                  <c:v>12.004267024999127</c:v>
                </c:pt>
                <c:pt idx="12">
                  <c:v>11.600450234491282</c:v>
                </c:pt>
                <c:pt idx="13">
                  <c:v>11.471760248432119</c:v>
                </c:pt>
                <c:pt idx="14">
                  <c:v>11.322038051211775</c:v>
                </c:pt>
                <c:pt idx="15">
                  <c:v>11.542444005660768</c:v>
                </c:pt>
                <c:pt idx="16">
                  <c:v>10.579520918799838</c:v>
                </c:pt>
                <c:pt idx="17">
                  <c:v>10.325975877234113</c:v>
                </c:pt>
                <c:pt idx="18">
                  <c:v>10.001457877711996</c:v>
                </c:pt>
                <c:pt idx="20">
                  <c:v>12.056856201514655</c:v>
                </c:pt>
                <c:pt idx="21">
                  <c:v>11.048347820267724</c:v>
                </c:pt>
                <c:pt idx="22" formatCode="0.00">
                  <c:v>10.486366646368804</c:v>
                </c:pt>
                <c:pt idx="23" formatCode="0.00">
                  <c:v>10.328887867015222</c:v>
                </c:pt>
                <c:pt idx="24" formatCode="0.00">
                  <c:v>10.17140908766164</c:v>
                </c:pt>
                <c:pt idx="25" formatCode="0.00">
                  <c:v>10.013930308308044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88-4DD0-9B68-3FA7BE8C2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571871"/>
        <c:axId val="317974192"/>
      </c:scatterChart>
      <c:valAx>
        <c:axId val="17320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209690096"/>
        <c:crosses val="autoZero"/>
        <c:crossBetween val="midCat"/>
      </c:valAx>
      <c:valAx>
        <c:axId val="2096900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73206208"/>
        <c:crosses val="autoZero"/>
        <c:crossBetween val="midCat"/>
      </c:valAx>
      <c:valAx>
        <c:axId val="317974192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64571871"/>
        <c:crosses val="max"/>
        <c:crossBetween val="midCat"/>
      </c:valAx>
      <c:valAx>
        <c:axId val="1564571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7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Finland!$B$113</c:f>
          <c:strCache>
            <c:ptCount val="1"/>
            <c:pt idx="0">
              <c:v>Tampere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>
        <c:manualLayout>
          <c:layoutTarget val="inner"/>
          <c:xMode val="edge"/>
          <c:yMode val="edge"/>
          <c:x val="9.1803149606299206E-2"/>
          <c:y val="6.1709877607516943E-2"/>
          <c:w val="0.82256036745406824"/>
          <c:h val="0.70353030352355139"/>
        </c:manualLayout>
      </c:layout>
      <c:scatterChart>
        <c:scatterStyle val="lineMarker"/>
        <c:varyColors val="0"/>
        <c:ser>
          <c:idx val="1"/>
          <c:order val="1"/>
          <c:tx>
            <c:strRef>
              <c:f>Finland!$C$92</c:f>
              <c:strCache>
                <c:ptCount val="1"/>
                <c:pt idx="0">
                  <c:v>Produced DH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Finland!$J$78:$AI$78</c:f>
              <c:numCache>
                <c:formatCode>General</c:formatCode>
                <c:ptCount val="2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20">
                  <c:v>2015</c:v>
                </c:pt>
                <c:pt idx="21">
                  <c:v>2020</c:v>
                </c:pt>
                <c:pt idx="22">
                  <c:v>2025</c:v>
                </c:pt>
                <c:pt idx="23">
                  <c:v>2030</c:v>
                </c:pt>
                <c:pt idx="24">
                  <c:v>2035</c:v>
                </c:pt>
                <c:pt idx="25">
                  <c:v>2040</c:v>
                </c:pt>
              </c:numCache>
            </c:numRef>
          </c:xVal>
          <c:yVal>
            <c:numRef>
              <c:f>Finland!$J$113:$AI$113</c:f>
              <c:numCache>
                <c:formatCode>0</c:formatCode>
                <c:ptCount val="26"/>
                <c:pt idx="0">
                  <c:v>2103.6999999999998</c:v>
                </c:pt>
                <c:pt idx="1">
                  <c:v>2138.8000000000002</c:v>
                </c:pt>
                <c:pt idx="2">
                  <c:v>2132.4</c:v>
                </c:pt>
                <c:pt idx="3">
                  <c:v>2099.3000000000002</c:v>
                </c:pt>
                <c:pt idx="4">
                  <c:v>2241.8000000000002</c:v>
                </c:pt>
                <c:pt idx="5">
                  <c:v>2459.9</c:v>
                </c:pt>
                <c:pt idx="6">
                  <c:v>2156.4</c:v>
                </c:pt>
                <c:pt idx="7">
                  <c:v>2355.6</c:v>
                </c:pt>
                <c:pt idx="8">
                  <c:v>2157.3000000000002</c:v>
                </c:pt>
                <c:pt idx="9">
                  <c:v>2162.5</c:v>
                </c:pt>
                <c:pt idx="10">
                  <c:v>2059.5</c:v>
                </c:pt>
                <c:pt idx="11">
                  <c:v>2249.8000000000002</c:v>
                </c:pt>
                <c:pt idx="12">
                  <c:v>2207.6</c:v>
                </c:pt>
                <c:pt idx="13">
                  <c:v>2253</c:v>
                </c:pt>
                <c:pt idx="14">
                  <c:v>2232.5</c:v>
                </c:pt>
                <c:pt idx="15">
                  <c:v>2019.9</c:v>
                </c:pt>
                <c:pt idx="16">
                  <c:v>2379</c:v>
                </c:pt>
                <c:pt idx="17">
                  <c:v>2220.7000000000003</c:v>
                </c:pt>
                <c:pt idx="18">
                  <c:v>2268.2000000000003</c:v>
                </c:pt>
                <c:pt idx="20">
                  <c:v>2224.9793654609448</c:v>
                </c:pt>
                <c:pt idx="21">
                  <c:v>2234.3767759148409</c:v>
                </c:pt>
                <c:pt idx="22">
                  <c:v>2230.3641536293949</c:v>
                </c:pt>
                <c:pt idx="23">
                  <c:v>2216.3180096673004</c:v>
                </c:pt>
                <c:pt idx="24">
                  <c:v>2178.586806216093</c:v>
                </c:pt>
                <c:pt idx="25">
                  <c:v>2139.2936893704036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1F-4EE7-9C2E-8980F7E73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06208"/>
        <c:axId val="209690096"/>
      </c:scatterChart>
      <c:scatterChart>
        <c:scatterStyle val="lineMarker"/>
        <c:varyColors val="0"/>
        <c:ser>
          <c:idx val="0"/>
          <c:order val="0"/>
          <c:tx>
            <c:strRef>
              <c:f>Finland!$C$96</c:f>
              <c:strCache>
                <c:ptCount val="1"/>
                <c:pt idx="0">
                  <c:v>Normal year net prod /  pers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Finland!$J$78:$AI$78</c:f>
              <c:numCache>
                <c:formatCode>General</c:formatCode>
                <c:ptCount val="2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20">
                  <c:v>2015</c:v>
                </c:pt>
                <c:pt idx="21">
                  <c:v>2020</c:v>
                </c:pt>
                <c:pt idx="22">
                  <c:v>2025</c:v>
                </c:pt>
                <c:pt idx="23">
                  <c:v>2030</c:v>
                </c:pt>
                <c:pt idx="24">
                  <c:v>2035</c:v>
                </c:pt>
                <c:pt idx="25">
                  <c:v>2040</c:v>
                </c:pt>
              </c:numCache>
            </c:numRef>
          </c:xVal>
          <c:yVal>
            <c:numRef>
              <c:f>Finland!$J$117:$AI$117</c:f>
              <c:numCache>
                <c:formatCode>0.0</c:formatCode>
                <c:ptCount val="26"/>
                <c:pt idx="0">
                  <c:v>10.318311612249765</c:v>
                </c:pt>
                <c:pt idx="1">
                  <c:v>10.445229055767808</c:v>
                </c:pt>
                <c:pt idx="2">
                  <c:v>10.483231154349202</c:v>
                </c:pt>
                <c:pt idx="3">
                  <c:v>10.693667894468113</c:v>
                </c:pt>
                <c:pt idx="4">
                  <c:v>10.066378429994501</c:v>
                </c:pt>
                <c:pt idx="5">
                  <c:v>9.5844724759161082</c:v>
                </c:pt>
                <c:pt idx="6">
                  <c:v>10.545970993326215</c:v>
                </c:pt>
                <c:pt idx="7">
                  <c:v>9.9813850432469433</c:v>
                </c:pt>
                <c:pt idx="8">
                  <c:v>10.115714331475438</c:v>
                </c:pt>
                <c:pt idx="9">
                  <c:v>9.9494603271467046</c:v>
                </c:pt>
                <c:pt idx="10">
                  <c:v>10.494093549540899</c:v>
                </c:pt>
                <c:pt idx="11">
                  <c:v>9.8468738770281892</c:v>
                </c:pt>
                <c:pt idx="12">
                  <c:v>9.5659761288032357</c:v>
                </c:pt>
                <c:pt idx="13">
                  <c:v>9.6595843904483694</c:v>
                </c:pt>
                <c:pt idx="14">
                  <c:v>9.7098684335194285</c:v>
                </c:pt>
                <c:pt idx="15">
                  <c:v>9.8728524985283563</c:v>
                </c:pt>
                <c:pt idx="16">
                  <c:v>9.2641498698077811</c:v>
                </c:pt>
                <c:pt idx="17">
                  <c:v>9.094015412952178</c:v>
                </c:pt>
                <c:pt idx="18">
                  <c:v>8.973743893843471</c:v>
                </c:pt>
                <c:pt idx="20">
                  <c:v>9.9944236427988926</c:v>
                </c:pt>
                <c:pt idx="21">
                  <c:v>9.5200941210512209</c:v>
                </c:pt>
                <c:pt idx="22" formatCode="0.00">
                  <c:v>9.1584465240187658</c:v>
                </c:pt>
                <c:pt idx="23" formatCode="0.00">
                  <c:v>8.9800166555635119</c:v>
                </c:pt>
                <c:pt idx="24" formatCode="0.00">
                  <c:v>8.801586787108258</c:v>
                </c:pt>
                <c:pt idx="25" formatCode="0.00">
                  <c:v>8.6231569186530042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1F-4EE7-9C2E-8980F7E73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571871"/>
        <c:axId val="317974192"/>
      </c:scatterChart>
      <c:valAx>
        <c:axId val="17320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209690096"/>
        <c:crosses val="autoZero"/>
        <c:crossBetween val="midCat"/>
      </c:valAx>
      <c:valAx>
        <c:axId val="2096900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73206208"/>
        <c:crosses val="autoZero"/>
        <c:crossBetween val="midCat"/>
      </c:valAx>
      <c:valAx>
        <c:axId val="317974192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64571871"/>
        <c:crosses val="max"/>
        <c:crossBetween val="midCat"/>
      </c:valAx>
      <c:valAx>
        <c:axId val="1564571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7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Finland!$B$120</c:f>
          <c:strCache>
            <c:ptCount val="1"/>
            <c:pt idx="0">
              <c:v>Oulu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>
        <c:manualLayout>
          <c:layoutTarget val="inner"/>
          <c:xMode val="edge"/>
          <c:yMode val="edge"/>
          <c:x val="9.1803149606299206E-2"/>
          <c:y val="6.1709877607516943E-2"/>
          <c:w val="0.82256036745406824"/>
          <c:h val="0.70353030352355139"/>
        </c:manualLayout>
      </c:layout>
      <c:scatterChart>
        <c:scatterStyle val="lineMarker"/>
        <c:varyColors val="0"/>
        <c:ser>
          <c:idx val="1"/>
          <c:order val="1"/>
          <c:tx>
            <c:strRef>
              <c:f>Finland!$C$92</c:f>
              <c:strCache>
                <c:ptCount val="1"/>
                <c:pt idx="0">
                  <c:v>Produced DH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Finland!$J$78:$AI$78</c:f>
              <c:numCache>
                <c:formatCode>General</c:formatCode>
                <c:ptCount val="2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20">
                  <c:v>2015</c:v>
                </c:pt>
                <c:pt idx="21">
                  <c:v>2020</c:v>
                </c:pt>
                <c:pt idx="22">
                  <c:v>2025</c:v>
                </c:pt>
                <c:pt idx="23">
                  <c:v>2030</c:v>
                </c:pt>
                <c:pt idx="24">
                  <c:v>2035</c:v>
                </c:pt>
                <c:pt idx="25">
                  <c:v>2040</c:v>
                </c:pt>
              </c:numCache>
            </c:numRef>
          </c:xVal>
          <c:yVal>
            <c:numRef>
              <c:f>Finland!$J$120:$AI$120</c:f>
              <c:numCache>
                <c:formatCode>0</c:formatCode>
                <c:ptCount val="26"/>
                <c:pt idx="0">
                  <c:v>1460.4</c:v>
                </c:pt>
                <c:pt idx="1">
                  <c:v>1521.1</c:v>
                </c:pt>
                <c:pt idx="2">
                  <c:v>1541.2</c:v>
                </c:pt>
                <c:pt idx="3">
                  <c:v>1522.4</c:v>
                </c:pt>
                <c:pt idx="4">
                  <c:v>1673.6</c:v>
                </c:pt>
                <c:pt idx="5">
                  <c:v>1824.6</c:v>
                </c:pt>
                <c:pt idx="6">
                  <c:v>1628.2</c:v>
                </c:pt>
                <c:pt idx="7">
                  <c:v>1779.1</c:v>
                </c:pt>
                <c:pt idx="8">
                  <c:v>1637.1</c:v>
                </c:pt>
                <c:pt idx="9">
                  <c:v>1649.8</c:v>
                </c:pt>
                <c:pt idx="10">
                  <c:v>1544.4</c:v>
                </c:pt>
                <c:pt idx="11">
                  <c:v>1706.6</c:v>
                </c:pt>
                <c:pt idx="12">
                  <c:v>1722.7</c:v>
                </c:pt>
                <c:pt idx="13">
                  <c:v>1742</c:v>
                </c:pt>
                <c:pt idx="14">
                  <c:v>1819.3</c:v>
                </c:pt>
                <c:pt idx="15">
                  <c:v>1686.9</c:v>
                </c:pt>
                <c:pt idx="16">
                  <c:v>2003.1</c:v>
                </c:pt>
                <c:pt idx="17">
                  <c:v>1906.4</c:v>
                </c:pt>
                <c:pt idx="18">
                  <c:v>1916.6000000000001</c:v>
                </c:pt>
                <c:pt idx="20">
                  <c:v>1721.4878369103303</c:v>
                </c:pt>
                <c:pt idx="21">
                  <c:v>1821.833974895485</c:v>
                </c:pt>
                <c:pt idx="22">
                  <c:v>1917.4791297331569</c:v>
                </c:pt>
                <c:pt idx="23">
                  <c:v>1949.7430328172036</c:v>
                </c:pt>
                <c:pt idx="24">
                  <c:v>1965.1785616096522</c:v>
                </c:pt>
                <c:pt idx="25">
                  <c:v>1979.8147930820139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D9-422C-9115-FBAB7D1F4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06208"/>
        <c:axId val="209690096"/>
      </c:scatterChart>
      <c:scatterChart>
        <c:scatterStyle val="lineMarker"/>
        <c:varyColors val="0"/>
        <c:ser>
          <c:idx val="0"/>
          <c:order val="0"/>
          <c:tx>
            <c:strRef>
              <c:f>Finland!$C$96</c:f>
              <c:strCache>
                <c:ptCount val="1"/>
                <c:pt idx="0">
                  <c:v>Normal year net prod /  pers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Finland!$J$78:$AI$78</c:f>
              <c:numCache>
                <c:formatCode>General</c:formatCode>
                <c:ptCount val="2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20">
                  <c:v>2015</c:v>
                </c:pt>
                <c:pt idx="21">
                  <c:v>2020</c:v>
                </c:pt>
                <c:pt idx="22">
                  <c:v>2025</c:v>
                </c:pt>
                <c:pt idx="23">
                  <c:v>2030</c:v>
                </c:pt>
                <c:pt idx="24">
                  <c:v>2035</c:v>
                </c:pt>
                <c:pt idx="25">
                  <c:v>2040</c:v>
                </c:pt>
              </c:numCache>
            </c:numRef>
          </c:xVal>
          <c:yVal>
            <c:numRef>
              <c:f>Finland!$J$124:$AI$124</c:f>
              <c:numCache>
                <c:formatCode>0.0</c:formatCode>
                <c:ptCount val="26"/>
                <c:pt idx="0">
                  <c:v>8.6299253629934629</c:v>
                </c:pt>
                <c:pt idx="1">
                  <c:v>8.702689625605263</c:v>
                </c:pt>
                <c:pt idx="2">
                  <c:v>8.8953766730687871</c:v>
                </c:pt>
                <c:pt idx="3">
                  <c:v>8.776908577903022</c:v>
                </c:pt>
                <c:pt idx="4">
                  <c:v>8.8361074363794785</c:v>
                </c:pt>
                <c:pt idx="5">
                  <c:v>8.359715326907283</c:v>
                </c:pt>
                <c:pt idx="6">
                  <c:v>9.0838828036116919</c:v>
                </c:pt>
                <c:pt idx="7">
                  <c:v>8.5214663691575154</c:v>
                </c:pt>
                <c:pt idx="8">
                  <c:v>8.8267445625108465</c:v>
                </c:pt>
                <c:pt idx="9">
                  <c:v>8.8678685693653154</c:v>
                </c:pt>
                <c:pt idx="10">
                  <c:v>8.9930387738486122</c:v>
                </c:pt>
                <c:pt idx="11">
                  <c:v>8.6553236215437135</c:v>
                </c:pt>
                <c:pt idx="12">
                  <c:v>8.4310858087074187</c:v>
                </c:pt>
                <c:pt idx="13">
                  <c:v>8.7533593638516827</c:v>
                </c:pt>
                <c:pt idx="14">
                  <c:v>8.6707059038979324</c:v>
                </c:pt>
                <c:pt idx="15">
                  <c:v>9.1741547775643291</c:v>
                </c:pt>
                <c:pt idx="16">
                  <c:v>9.0525575377178651</c:v>
                </c:pt>
                <c:pt idx="17">
                  <c:v>9.2827687271654007</c:v>
                </c:pt>
                <c:pt idx="18">
                  <c:v>9.002657166505637</c:v>
                </c:pt>
                <c:pt idx="20">
                  <c:v>8.7548122671951809</c:v>
                </c:pt>
                <c:pt idx="21">
                  <c:v>8.9867092620394438</c:v>
                </c:pt>
                <c:pt idx="22" formatCode="0.00">
                  <c:v>9.1655859505238162</c:v>
                </c:pt>
                <c:pt idx="23" formatCode="0.00">
                  <c:v>9.2125251983806997</c:v>
                </c:pt>
                <c:pt idx="24" formatCode="0.00">
                  <c:v>9.2594644462375797</c:v>
                </c:pt>
                <c:pt idx="25" formatCode="0.00">
                  <c:v>9.3064036940944632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D9-422C-9115-FBAB7D1F4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571871"/>
        <c:axId val="317974192"/>
      </c:scatterChart>
      <c:valAx>
        <c:axId val="17320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209690096"/>
        <c:crosses val="autoZero"/>
        <c:crossBetween val="midCat"/>
      </c:valAx>
      <c:valAx>
        <c:axId val="2096900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73206208"/>
        <c:crosses val="autoZero"/>
        <c:crossBetween val="midCat"/>
      </c:valAx>
      <c:valAx>
        <c:axId val="317974192"/>
        <c:scaling>
          <c:orientation val="minMax"/>
          <c:min val="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64571871"/>
        <c:crosses val="max"/>
        <c:crossBetween val="midCat"/>
      </c:valAx>
      <c:valAx>
        <c:axId val="1564571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7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Finland!$B$127</c:f>
          <c:strCache>
            <c:ptCount val="1"/>
            <c:pt idx="0">
              <c:v>Jyväskylä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>
        <c:manualLayout>
          <c:layoutTarget val="inner"/>
          <c:xMode val="edge"/>
          <c:yMode val="edge"/>
          <c:x val="9.1803149606299206E-2"/>
          <c:y val="6.1709877607516943E-2"/>
          <c:w val="0.82256036745406824"/>
          <c:h val="0.70353030352355139"/>
        </c:manualLayout>
      </c:layout>
      <c:scatterChart>
        <c:scatterStyle val="lineMarker"/>
        <c:varyColors val="0"/>
        <c:ser>
          <c:idx val="1"/>
          <c:order val="1"/>
          <c:tx>
            <c:strRef>
              <c:f>Finland!$C$92</c:f>
              <c:strCache>
                <c:ptCount val="1"/>
                <c:pt idx="0">
                  <c:v>Produced DH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Finland!$J$78:$AI$78</c:f>
              <c:numCache>
                <c:formatCode>General</c:formatCode>
                <c:ptCount val="2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20">
                  <c:v>2015</c:v>
                </c:pt>
                <c:pt idx="21">
                  <c:v>2020</c:v>
                </c:pt>
                <c:pt idx="22">
                  <c:v>2025</c:v>
                </c:pt>
                <c:pt idx="23">
                  <c:v>2030</c:v>
                </c:pt>
                <c:pt idx="24">
                  <c:v>2035</c:v>
                </c:pt>
                <c:pt idx="25">
                  <c:v>2040</c:v>
                </c:pt>
              </c:numCache>
            </c:numRef>
          </c:xVal>
          <c:yVal>
            <c:numRef>
              <c:f>Finland!$J$127:$AI$127</c:f>
              <c:numCache>
                <c:formatCode>0</c:formatCode>
                <c:ptCount val="26"/>
                <c:pt idx="0">
                  <c:v>972.9</c:v>
                </c:pt>
                <c:pt idx="1">
                  <c:v>1019.3</c:v>
                </c:pt>
                <c:pt idx="2">
                  <c:v>1047.4000000000001</c:v>
                </c:pt>
                <c:pt idx="3">
                  <c:v>1063.5999999999999</c:v>
                </c:pt>
                <c:pt idx="4">
                  <c:v>1183.2</c:v>
                </c:pt>
                <c:pt idx="5">
                  <c:v>1295.2</c:v>
                </c:pt>
                <c:pt idx="6">
                  <c:v>1103.2</c:v>
                </c:pt>
                <c:pt idx="7">
                  <c:v>1217.3</c:v>
                </c:pt>
                <c:pt idx="8">
                  <c:v>1134.3</c:v>
                </c:pt>
                <c:pt idx="9">
                  <c:v>1106.0999999999999</c:v>
                </c:pt>
                <c:pt idx="10">
                  <c:v>1095.2</c:v>
                </c:pt>
                <c:pt idx="11">
                  <c:v>1200.7</c:v>
                </c:pt>
                <c:pt idx="12">
                  <c:v>1189.0999999999999</c:v>
                </c:pt>
                <c:pt idx="13">
                  <c:v>1192.0999999999999</c:v>
                </c:pt>
                <c:pt idx="14">
                  <c:v>1195.2</c:v>
                </c:pt>
                <c:pt idx="15">
                  <c:v>1086.3</c:v>
                </c:pt>
                <c:pt idx="16">
                  <c:v>1294.1000000000001</c:v>
                </c:pt>
                <c:pt idx="17">
                  <c:v>1203.1999999999998</c:v>
                </c:pt>
                <c:pt idx="18">
                  <c:v>1220.5</c:v>
                </c:pt>
                <c:pt idx="20">
                  <c:v>1185.8506273683131</c:v>
                </c:pt>
                <c:pt idx="21">
                  <c:v>1204.1924563777714</c:v>
                </c:pt>
                <c:pt idx="22">
                  <c:v>1212.5035647713862</c:v>
                </c:pt>
                <c:pt idx="23">
                  <c:v>1218.4677184417412</c:v>
                </c:pt>
                <c:pt idx="24">
                  <c:v>1215.2905512460432</c:v>
                </c:pt>
                <c:pt idx="25">
                  <c:v>1211.6176866883288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72-43FD-895C-A4E875B8B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06208"/>
        <c:axId val="209690096"/>
      </c:scatterChart>
      <c:scatterChart>
        <c:scatterStyle val="lineMarker"/>
        <c:varyColors val="0"/>
        <c:ser>
          <c:idx val="0"/>
          <c:order val="0"/>
          <c:tx>
            <c:strRef>
              <c:f>Finland!$C$96</c:f>
              <c:strCache>
                <c:ptCount val="1"/>
                <c:pt idx="0">
                  <c:v>Normal year net prod /  pers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Finland!$J$78:$AI$78</c:f>
              <c:numCache>
                <c:formatCode>General</c:formatCode>
                <c:ptCount val="2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20">
                  <c:v>2015</c:v>
                </c:pt>
                <c:pt idx="21">
                  <c:v>2020</c:v>
                </c:pt>
                <c:pt idx="22">
                  <c:v>2025</c:v>
                </c:pt>
                <c:pt idx="23">
                  <c:v>2030</c:v>
                </c:pt>
                <c:pt idx="24">
                  <c:v>2035</c:v>
                </c:pt>
                <c:pt idx="25">
                  <c:v>2040</c:v>
                </c:pt>
              </c:numCache>
            </c:numRef>
          </c:xVal>
          <c:yVal>
            <c:numRef>
              <c:f>Finland!$J$131:$AI$131</c:f>
              <c:numCache>
                <c:formatCode>0.0</c:formatCode>
                <c:ptCount val="26"/>
                <c:pt idx="0">
                  <c:v>7.9341703442272875</c:v>
                </c:pt>
                <c:pt idx="1">
                  <c:v>8.1393482859206774</c:v>
                </c:pt>
                <c:pt idx="2">
                  <c:v>8.496224543450495</c:v>
                </c:pt>
                <c:pt idx="3">
                  <c:v>8.7562187818900412</c:v>
                </c:pt>
                <c:pt idx="4">
                  <c:v>8.8190606689397466</c:v>
                </c:pt>
                <c:pt idx="5">
                  <c:v>8.2840037302003822</c:v>
                </c:pt>
                <c:pt idx="6">
                  <c:v>8.66937511801288</c:v>
                </c:pt>
                <c:pt idx="7">
                  <c:v>8.3521646813964505</c:v>
                </c:pt>
                <c:pt idx="8">
                  <c:v>8.8311305117332761</c:v>
                </c:pt>
                <c:pt idx="9">
                  <c:v>8.4677584975167619</c:v>
                </c:pt>
                <c:pt idx="10">
                  <c:v>9.0671334963745487</c:v>
                </c:pt>
                <c:pt idx="11">
                  <c:v>8.6105730732358374</c:v>
                </c:pt>
                <c:pt idx="12">
                  <c:v>8.6013527343053156</c:v>
                </c:pt>
                <c:pt idx="13">
                  <c:v>8.6578195308064494</c:v>
                </c:pt>
                <c:pt idx="14">
                  <c:v>8.6706681490458664</c:v>
                </c:pt>
                <c:pt idx="15">
                  <c:v>8.7459618375630672</c:v>
                </c:pt>
                <c:pt idx="16">
                  <c:v>8.4873285164538217</c:v>
                </c:pt>
                <c:pt idx="17">
                  <c:v>8.4295341279461962</c:v>
                </c:pt>
                <c:pt idx="18">
                  <c:v>8.2637846962466099</c:v>
                </c:pt>
                <c:pt idx="20">
                  <c:v>8.7155896626331479</c:v>
                </c:pt>
                <c:pt idx="21">
                  <c:v>8.5982624323630805</c:v>
                </c:pt>
                <c:pt idx="22" formatCode="0.00">
                  <c:v>8.4706482571291399</c:v>
                </c:pt>
                <c:pt idx="23" formatCode="0.00">
                  <c:v>8.4568932103500352</c:v>
                </c:pt>
                <c:pt idx="24" formatCode="0.00">
                  <c:v>8.4431381635709322</c:v>
                </c:pt>
                <c:pt idx="25" formatCode="0.00">
                  <c:v>8.4293831167918274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72-43FD-895C-A4E875B8B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571871"/>
        <c:axId val="317974192"/>
      </c:scatterChart>
      <c:valAx>
        <c:axId val="17320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209690096"/>
        <c:crosses val="autoZero"/>
        <c:crossBetween val="midCat"/>
      </c:valAx>
      <c:valAx>
        <c:axId val="2096900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73206208"/>
        <c:crosses val="autoZero"/>
        <c:crossBetween val="midCat"/>
      </c:valAx>
      <c:valAx>
        <c:axId val="317974192"/>
        <c:scaling>
          <c:orientation val="minMax"/>
          <c:min val="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64571871"/>
        <c:crosses val="max"/>
        <c:crossBetween val="midCat"/>
      </c:valAx>
      <c:valAx>
        <c:axId val="1564571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7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Finland!$B$134</c:f>
          <c:strCache>
            <c:ptCount val="1"/>
            <c:pt idx="0">
              <c:v>Rest of Finland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>
        <c:manualLayout>
          <c:layoutTarget val="inner"/>
          <c:xMode val="edge"/>
          <c:yMode val="edge"/>
          <c:x val="9.1803149606299206E-2"/>
          <c:y val="6.1709877607516943E-2"/>
          <c:w val="0.82256036745406824"/>
          <c:h val="0.70353030352355139"/>
        </c:manualLayout>
      </c:layout>
      <c:scatterChart>
        <c:scatterStyle val="lineMarker"/>
        <c:varyColors val="0"/>
        <c:ser>
          <c:idx val="1"/>
          <c:order val="1"/>
          <c:tx>
            <c:strRef>
              <c:f>Finland!$C$92</c:f>
              <c:strCache>
                <c:ptCount val="1"/>
                <c:pt idx="0">
                  <c:v>Produced DH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Finland!$J$78:$AI$78</c:f>
              <c:numCache>
                <c:formatCode>General</c:formatCode>
                <c:ptCount val="2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20">
                  <c:v>2015</c:v>
                </c:pt>
                <c:pt idx="21">
                  <c:v>2020</c:v>
                </c:pt>
                <c:pt idx="22">
                  <c:v>2025</c:v>
                </c:pt>
                <c:pt idx="23">
                  <c:v>2030</c:v>
                </c:pt>
                <c:pt idx="24">
                  <c:v>2035</c:v>
                </c:pt>
                <c:pt idx="25">
                  <c:v>2040</c:v>
                </c:pt>
              </c:numCache>
            </c:numRef>
          </c:xVal>
          <c:yVal>
            <c:numRef>
              <c:f>Finland!$J$134:$AI$134</c:f>
              <c:numCache>
                <c:formatCode>0</c:formatCode>
                <c:ptCount val="26"/>
                <c:pt idx="0">
                  <c:v>14959.8</c:v>
                </c:pt>
                <c:pt idx="1">
                  <c:v>15684.300000000003</c:v>
                </c:pt>
                <c:pt idx="2">
                  <c:v>15899.599999999999</c:v>
                </c:pt>
                <c:pt idx="3">
                  <c:v>16606.900000000001</c:v>
                </c:pt>
                <c:pt idx="4">
                  <c:v>16998.400000000001</c:v>
                </c:pt>
                <c:pt idx="5">
                  <c:v>19395.900000000001</c:v>
                </c:pt>
                <c:pt idx="6">
                  <c:v>17879.2</c:v>
                </c:pt>
                <c:pt idx="7">
                  <c:v>19800.2</c:v>
                </c:pt>
                <c:pt idx="8">
                  <c:v>18236.900000000001</c:v>
                </c:pt>
                <c:pt idx="9">
                  <c:v>18190.000000000004</c:v>
                </c:pt>
                <c:pt idx="10">
                  <c:v>18041.099999999999</c:v>
                </c:pt>
                <c:pt idx="11">
                  <c:v>19722.599999999999</c:v>
                </c:pt>
                <c:pt idx="12">
                  <c:v>19620.599999999999</c:v>
                </c:pt>
                <c:pt idx="13">
                  <c:v>19649.3</c:v>
                </c:pt>
                <c:pt idx="14">
                  <c:v>19535.8</c:v>
                </c:pt>
                <c:pt idx="15">
                  <c:v>18109.7</c:v>
                </c:pt>
                <c:pt idx="16">
                  <c:v>20825.2</c:v>
                </c:pt>
                <c:pt idx="17">
                  <c:v>19701.299999999996</c:v>
                </c:pt>
                <c:pt idx="18">
                  <c:v>20221.7</c:v>
                </c:pt>
                <c:pt idx="20">
                  <c:v>19449.074188534723</c:v>
                </c:pt>
                <c:pt idx="21">
                  <c:v>19732.749807732995</c:v>
                </c:pt>
                <c:pt idx="22">
                  <c:v>20045.262703680852</c:v>
                </c:pt>
                <c:pt idx="23">
                  <c:v>20388.968037364852</c:v>
                </c:pt>
                <c:pt idx="24">
                  <c:v>20381.214206217508</c:v>
                </c:pt>
                <c:pt idx="25">
                  <c:v>20244.298555893831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8A-4DFC-8D2A-7D8D2EDC4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06208"/>
        <c:axId val="209690096"/>
      </c:scatterChart>
      <c:scatterChart>
        <c:scatterStyle val="lineMarker"/>
        <c:varyColors val="0"/>
        <c:ser>
          <c:idx val="0"/>
          <c:order val="0"/>
          <c:tx>
            <c:strRef>
              <c:f>Finland!$C$96</c:f>
              <c:strCache>
                <c:ptCount val="1"/>
                <c:pt idx="0">
                  <c:v>Normal year net prod /  pers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Finland!$J$78:$AI$78</c:f>
              <c:numCache>
                <c:formatCode>General</c:formatCode>
                <c:ptCount val="2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20">
                  <c:v>2015</c:v>
                </c:pt>
                <c:pt idx="21">
                  <c:v>2020</c:v>
                </c:pt>
                <c:pt idx="22">
                  <c:v>2025</c:v>
                </c:pt>
                <c:pt idx="23">
                  <c:v>2030</c:v>
                </c:pt>
                <c:pt idx="24">
                  <c:v>2035</c:v>
                </c:pt>
                <c:pt idx="25">
                  <c:v>2040</c:v>
                </c:pt>
              </c:numCache>
            </c:numRef>
          </c:xVal>
          <c:yVal>
            <c:numRef>
              <c:f>Finland!$J$138:$AI$138</c:f>
              <c:numCache>
                <c:formatCode>0.0</c:formatCode>
                <c:ptCount val="26"/>
                <c:pt idx="0">
                  <c:v>4.2216396963643188</c:v>
                </c:pt>
                <c:pt idx="1">
                  <c:v>4.3627128932789301</c:v>
                </c:pt>
                <c:pt idx="2">
                  <c:v>4.5302945807578228</c:v>
                </c:pt>
                <c:pt idx="3">
                  <c:v>4.8530719508016906</c:v>
                </c:pt>
                <c:pt idx="4">
                  <c:v>4.5445299214483406</c:v>
                </c:pt>
                <c:pt idx="5">
                  <c:v>4.4829684383445665</c:v>
                </c:pt>
                <c:pt idx="6">
                  <c:v>5.1207590950224677</c:v>
                </c:pt>
                <c:pt idx="7">
                  <c:v>5.0012532302466992</c:v>
                </c:pt>
                <c:pt idx="8">
                  <c:v>5.2721274636468172</c:v>
                </c:pt>
                <c:pt idx="9">
                  <c:v>5.2151695940804572</c:v>
                </c:pt>
                <c:pt idx="10">
                  <c:v>5.6678317953295219</c:v>
                </c:pt>
                <c:pt idx="11">
                  <c:v>5.4385965599965242</c:v>
                </c:pt>
                <c:pt idx="12">
                  <c:v>5.5277361209754075</c:v>
                </c:pt>
                <c:pt idx="13">
                  <c:v>5.626042491562516</c:v>
                </c:pt>
                <c:pt idx="14">
                  <c:v>5.6605712090556404</c:v>
                </c:pt>
                <c:pt idx="15">
                  <c:v>5.8797950376286794</c:v>
                </c:pt>
                <c:pt idx="16">
                  <c:v>5.5539714398757889</c:v>
                </c:pt>
                <c:pt idx="17">
                  <c:v>5.6892474152017485</c:v>
                </c:pt>
                <c:pt idx="18">
                  <c:v>5.7327865905964179</c:v>
                </c:pt>
                <c:pt idx="20">
                  <c:v>5.4242923068057456</c:v>
                </c:pt>
                <c:pt idx="21">
                  <c:v>5.6819255186648743</c:v>
                </c:pt>
                <c:pt idx="22" formatCode="0.00">
                  <c:v>5.890029066363228</c:v>
                </c:pt>
                <c:pt idx="23" formatCode="0.00">
                  <c:v>6.1101277482851959</c:v>
                </c:pt>
                <c:pt idx="24" formatCode="0.00">
                  <c:v>6.2201770892461798</c:v>
                </c:pt>
                <c:pt idx="25" formatCode="0.00">
                  <c:v>6.2935433165535022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8A-4DFC-8D2A-7D8D2EDC4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571871"/>
        <c:axId val="317974192"/>
      </c:scatterChart>
      <c:valAx>
        <c:axId val="17320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209690096"/>
        <c:crosses val="autoZero"/>
        <c:crossBetween val="midCat"/>
      </c:valAx>
      <c:valAx>
        <c:axId val="2096900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73206208"/>
        <c:crosses val="autoZero"/>
        <c:crossBetween val="midCat"/>
      </c:valAx>
      <c:valAx>
        <c:axId val="317974192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64571871"/>
        <c:crosses val="max"/>
        <c:crossBetween val="midCat"/>
      </c:valAx>
      <c:valAx>
        <c:axId val="1564571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7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Finland!$B$79</c:f>
          <c:strCache>
            <c:ptCount val="1"/>
            <c:pt idx="0">
              <c:v>Finland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>
        <c:manualLayout>
          <c:layoutTarget val="inner"/>
          <c:xMode val="edge"/>
          <c:yMode val="edge"/>
          <c:x val="9.1803149606299206E-2"/>
          <c:y val="6.1709877607516943E-2"/>
          <c:w val="0.82256036745406824"/>
          <c:h val="0.70353030352355139"/>
        </c:manualLayout>
      </c:layout>
      <c:scatterChart>
        <c:scatterStyle val="lineMarker"/>
        <c:varyColors val="0"/>
        <c:ser>
          <c:idx val="1"/>
          <c:order val="0"/>
          <c:tx>
            <c:strRef>
              <c:f>Finland!$C$92</c:f>
              <c:strCache>
                <c:ptCount val="1"/>
                <c:pt idx="0">
                  <c:v>Produced DH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Finland!$J$78:$AI$78</c:f>
              <c:numCache>
                <c:formatCode>General</c:formatCode>
                <c:ptCount val="2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20">
                  <c:v>2015</c:v>
                </c:pt>
                <c:pt idx="21">
                  <c:v>2020</c:v>
                </c:pt>
                <c:pt idx="22">
                  <c:v>2025</c:v>
                </c:pt>
                <c:pt idx="23">
                  <c:v>2030</c:v>
                </c:pt>
                <c:pt idx="24">
                  <c:v>2035</c:v>
                </c:pt>
                <c:pt idx="25">
                  <c:v>2040</c:v>
                </c:pt>
              </c:numCache>
            </c:numRef>
          </c:xVal>
          <c:yVal>
            <c:numRef>
              <c:f>Finland!$J$79:$AI$79</c:f>
              <c:numCache>
                <c:formatCode>0</c:formatCode>
                <c:ptCount val="26"/>
                <c:pt idx="0">
                  <c:v>32242</c:v>
                </c:pt>
                <c:pt idx="1">
                  <c:v>33338</c:v>
                </c:pt>
                <c:pt idx="2">
                  <c:v>33150</c:v>
                </c:pt>
                <c:pt idx="3">
                  <c:v>33399</c:v>
                </c:pt>
                <c:pt idx="4">
                  <c:v>35481</c:v>
                </c:pt>
                <c:pt idx="5">
                  <c:v>39472</c:v>
                </c:pt>
                <c:pt idx="6">
                  <c:v>35467</c:v>
                </c:pt>
                <c:pt idx="7">
                  <c:v>38805</c:v>
                </c:pt>
                <c:pt idx="8">
                  <c:v>36469</c:v>
                </c:pt>
                <c:pt idx="9">
                  <c:v>36211</c:v>
                </c:pt>
                <c:pt idx="10">
                  <c:v>35062</c:v>
                </c:pt>
                <c:pt idx="11">
                  <c:v>38525</c:v>
                </c:pt>
                <c:pt idx="12">
                  <c:v>38301</c:v>
                </c:pt>
                <c:pt idx="13">
                  <c:v>38509</c:v>
                </c:pt>
                <c:pt idx="14">
                  <c:v>38141</c:v>
                </c:pt>
                <c:pt idx="15">
                  <c:v>35092</c:v>
                </c:pt>
                <c:pt idx="16">
                  <c:v>40799</c:v>
                </c:pt>
                <c:pt idx="17">
                  <c:v>38275</c:v>
                </c:pt>
                <c:pt idx="18">
                  <c:v>38481</c:v>
                </c:pt>
                <c:pt idx="20">
                  <c:v>38129.718149089676</c:v>
                </c:pt>
                <c:pt idx="21">
                  <c:v>38490.248821260626</c:v>
                </c:pt>
                <c:pt idx="22">
                  <c:v>38601.360829400721</c:v>
                </c:pt>
                <c:pt idx="23">
                  <c:v>38767.575923283141</c:v>
                </c:pt>
                <c:pt idx="24">
                  <c:v>38401.660061739953</c:v>
                </c:pt>
                <c:pt idx="25">
                  <c:v>37895.888503032205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8A-43E6-8ACD-538467859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06208"/>
        <c:axId val="209690096"/>
      </c:scatterChart>
      <c:valAx>
        <c:axId val="17320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209690096"/>
        <c:crosses val="autoZero"/>
        <c:crossBetween val="midCat"/>
      </c:valAx>
      <c:valAx>
        <c:axId val="2096900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73206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Norway!$B$70</c:f>
              <c:strCache>
                <c:ptCount val="1"/>
                <c:pt idx="0">
                  <c:v>HDD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Norway!$C$64:$AG$64</c:f>
              <c:numCache>
                <c:formatCode>0</c:formatCode>
                <c:ptCount val="3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5">
                  <c:v>2015</c:v>
                </c:pt>
                <c:pt idx="26">
                  <c:v>2020</c:v>
                </c:pt>
                <c:pt idx="27">
                  <c:v>2025</c:v>
                </c:pt>
                <c:pt idx="28">
                  <c:v>2030</c:v>
                </c:pt>
                <c:pt idx="29">
                  <c:v>2035</c:v>
                </c:pt>
                <c:pt idx="30">
                  <c:v>2040</c:v>
                </c:pt>
              </c:numCache>
            </c:numRef>
          </c:xVal>
          <c:yVal>
            <c:numRef>
              <c:f>Norway!$C$70:$AG$70</c:f>
              <c:numCache>
                <c:formatCode>General</c:formatCode>
                <c:ptCount val="31"/>
                <c:pt idx="0">
                  <c:v>5334.5</c:v>
                </c:pt>
                <c:pt idx="1">
                  <c:v>5760.83</c:v>
                </c:pt>
                <c:pt idx="2">
                  <c:v>5474.51</c:v>
                </c:pt>
                <c:pt idx="3">
                  <c:v>5387.57</c:v>
                </c:pt>
                <c:pt idx="4">
                  <c:v>5431.36</c:v>
                </c:pt>
                <c:pt idx="5">
                  <c:v>5365.38</c:v>
                </c:pt>
                <c:pt idx="6">
                  <c:v>5228.95</c:v>
                </c:pt>
                <c:pt idx="7">
                  <c:v>5404.05</c:v>
                </c:pt>
                <c:pt idx="8">
                  <c:v>5450.1</c:v>
                </c:pt>
                <c:pt idx="9">
                  <c:v>5527.4</c:v>
                </c:pt>
                <c:pt idx="10">
                  <c:v>6205.66</c:v>
                </c:pt>
                <c:pt idx="11">
                  <c:v>5198.7700000000004</c:v>
                </c:pt>
                <c:pt idx="12">
                  <c:v>5783.7</c:v>
                </c:pt>
                <c:pt idx="13">
                  <c:v>5492.84</c:v>
                </c:pt>
                <c:pt idx="14">
                  <c:v>5136.42</c:v>
                </c:pt>
                <c:pt idx="15">
                  <c:v>5264.25</c:v>
                </c:pt>
                <c:pt idx="16">
                  <c:v>5371.01</c:v>
                </c:pt>
                <c:pt idx="17">
                  <c:v>5513.51</c:v>
                </c:pt>
                <c:pt idx="18">
                  <c:v>5420.27</c:v>
                </c:pt>
                <c:pt idx="19">
                  <c:v>5509.44</c:v>
                </c:pt>
                <c:pt idx="20">
                  <c:v>5088.9399999999996</c:v>
                </c:pt>
                <c:pt idx="21">
                  <c:v>5539.23</c:v>
                </c:pt>
                <c:pt idx="22">
                  <c:v>5294.82</c:v>
                </c:pt>
                <c:pt idx="23">
                  <c:v>5586.96</c:v>
                </c:pt>
                <c:pt idx="25">
                  <c:v>5436.7197376811591</c:v>
                </c:pt>
                <c:pt idx="26">
                  <c:v>5419.505672463767</c:v>
                </c:pt>
                <c:pt idx="27">
                  <c:v>5402.2916072463759</c:v>
                </c:pt>
                <c:pt idx="28">
                  <c:v>5385.0775420289847</c:v>
                </c:pt>
                <c:pt idx="29">
                  <c:v>5367.8634768115935</c:v>
                </c:pt>
                <c:pt idx="30">
                  <c:v>5350.6494115942023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29-45D9-8517-124ECEBFBFC4}"/>
            </c:ext>
          </c:extLst>
        </c:ser>
        <c:ser>
          <c:idx val="1"/>
          <c:order val="1"/>
          <c:tx>
            <c:strRef>
              <c:f>Norway!$B$71</c:f>
              <c:strCache>
                <c:ptCount val="1"/>
                <c:pt idx="0">
                  <c:v>Normal year net production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Norway!$C$64:$AG$64</c:f>
              <c:numCache>
                <c:formatCode>0</c:formatCode>
                <c:ptCount val="3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5">
                  <c:v>2015</c:v>
                </c:pt>
                <c:pt idx="26">
                  <c:v>2020</c:v>
                </c:pt>
                <c:pt idx="27">
                  <c:v>2025</c:v>
                </c:pt>
                <c:pt idx="28">
                  <c:v>2030</c:v>
                </c:pt>
                <c:pt idx="29">
                  <c:v>2035</c:v>
                </c:pt>
                <c:pt idx="30">
                  <c:v>2040</c:v>
                </c:pt>
              </c:numCache>
            </c:numRef>
          </c:xVal>
          <c:yVal>
            <c:numRef>
              <c:f>Norway!$C$71:$AG$71</c:f>
              <c:numCache>
                <c:formatCode>General</c:formatCode>
                <c:ptCount val="31"/>
                <c:pt idx="0">
                  <c:v>1692.4943667791417</c:v>
                </c:pt>
                <c:pt idx="1">
                  <c:v>1942.7361550621465</c:v>
                </c:pt>
                <c:pt idx="2">
                  <c:v>2166.7640360354926</c:v>
                </c:pt>
                <c:pt idx="3">
                  <c:v>2342.3083792878792</c:v>
                </c:pt>
                <c:pt idx="4">
                  <c:v>2513.0294817964559</c:v>
                </c:pt>
                <c:pt idx="5">
                  <c:v>2660.7204537858142</c:v>
                </c:pt>
                <c:pt idx="6">
                  <c:v>2922.919263188594</c:v>
                </c:pt>
                <c:pt idx="7">
                  <c:v>3154.8930942996449</c:v>
                </c:pt>
                <c:pt idx="8">
                  <c:v>3320.1893151043091</c:v>
                </c:pt>
                <c:pt idx="9">
                  <c:v>3657.2231345961331</c:v>
                </c:pt>
                <c:pt idx="10">
                  <c:v>4303.2360341876065</c:v>
                </c:pt>
                <c:pt idx="11">
                  <c:v>4527.7411002987237</c:v>
                </c:pt>
                <c:pt idx="12">
                  <c:v>4516.3824856925494</c:v>
                </c:pt>
                <c:pt idx="13">
                  <c:v>5308.0676008069895</c:v>
                </c:pt>
                <c:pt idx="14">
                  <c:v>5406.9524233318143</c:v>
                </c:pt>
                <c:pt idx="15">
                  <c:v>5709.3437852812203</c:v>
                </c:pt>
                <c:pt idx="16">
                  <c:v>6059.4749816608046</c:v>
                </c:pt>
                <c:pt idx="17">
                  <c:v>6144.9873618015863</c:v>
                </c:pt>
                <c:pt idx="18">
                  <c:v>6579.4133729346813</c:v>
                </c:pt>
                <c:pt idx="19">
                  <c:v>6595.5604110853374</c:v>
                </c:pt>
                <c:pt idx="20">
                  <c:v>6598.7743895749081</c:v>
                </c:pt>
                <c:pt idx="21">
                  <c:v>7328.3350566474637</c:v>
                </c:pt>
                <c:pt idx="22">
                  <c:v>7276.5929198254134</c:v>
                </c:pt>
                <c:pt idx="23">
                  <c:v>7658.7603165078444</c:v>
                </c:pt>
                <c:pt idx="25">
                  <c:v>5545.8324058693834</c:v>
                </c:pt>
                <c:pt idx="26">
                  <c:v>6897.8013238036074</c:v>
                </c:pt>
                <c:pt idx="27">
                  <c:v>8004.9207811508877</c:v>
                </c:pt>
                <c:pt idx="28">
                  <c:v>8445.2810903644186</c:v>
                </c:pt>
                <c:pt idx="29">
                  <c:v>8675.085833289937</c:v>
                </c:pt>
                <c:pt idx="30">
                  <c:v>8792.481070345877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29-45D9-8517-124ECEBFB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454223"/>
        <c:axId val="437476303"/>
      </c:scatterChart>
      <c:valAx>
        <c:axId val="43745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437476303"/>
        <c:crosses val="autoZero"/>
        <c:crossBetween val="midCat"/>
      </c:valAx>
      <c:valAx>
        <c:axId val="43747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437454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Lithuania!$B$39</c:f>
              <c:strCache>
                <c:ptCount val="1"/>
                <c:pt idx="0">
                  <c:v>Normal year net DH supply /  pers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Lithuania!$C$30:$U$30</c:f>
              <c:numCache>
                <c:formatCode>General</c:formatCode>
                <c:ptCount val="1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3">
                  <c:v>2015</c:v>
                </c:pt>
                <c:pt idx="14">
                  <c:v>2020</c:v>
                </c:pt>
                <c:pt idx="15">
                  <c:v>2025</c:v>
                </c:pt>
                <c:pt idx="16">
                  <c:v>2030</c:v>
                </c:pt>
                <c:pt idx="17">
                  <c:v>2035</c:v>
                </c:pt>
                <c:pt idx="18">
                  <c:v>2040</c:v>
                </c:pt>
              </c:numCache>
            </c:numRef>
          </c:xVal>
          <c:yVal>
            <c:numRef>
              <c:f>Lithuania!$C$39:$U$39</c:f>
              <c:numCache>
                <c:formatCode>General</c:formatCode>
                <c:ptCount val="19"/>
                <c:pt idx="0">
                  <c:v>2.2545434896655064E-3</c:v>
                </c:pt>
                <c:pt idx="1">
                  <c:v>2.3437252163814792E-3</c:v>
                </c:pt>
                <c:pt idx="2">
                  <c:v>2.4069200097374985E-3</c:v>
                </c:pt>
                <c:pt idx="3">
                  <c:v>2.5421017140941577E-3</c:v>
                </c:pt>
                <c:pt idx="4">
                  <c:v>2.6919089489024629E-3</c:v>
                </c:pt>
                <c:pt idx="5">
                  <c:v>2.8722580323785104E-3</c:v>
                </c:pt>
                <c:pt idx="6">
                  <c:v>2.9247655737633729E-3</c:v>
                </c:pt>
                <c:pt idx="7">
                  <c:v>3.0737645440991209E-3</c:v>
                </c:pt>
                <c:pt idx="8">
                  <c:v>2.9829066327959303E-3</c:v>
                </c:pt>
                <c:pt idx="9">
                  <c:v>2.8363345739423284E-3</c:v>
                </c:pt>
                <c:pt idx="10">
                  <c:v>2.6667467895212468E-3</c:v>
                </c:pt>
                <c:pt idx="11">
                  <c:v>2.6580303048842711E-3</c:v>
                </c:pt>
                <c:pt idx="13">
                  <c:v>2.5676104800582689E-3</c:v>
                </c:pt>
                <c:pt idx="14">
                  <c:v>2.808057158302707E-3</c:v>
                </c:pt>
                <c:pt idx="15" formatCode="0.000000">
                  <c:v>3.0004145008982533E-3</c:v>
                </c:pt>
                <c:pt idx="16" formatCode="0.000000">
                  <c:v>3.1206378400204723E-3</c:v>
                </c:pt>
                <c:pt idx="17" formatCode="0.000000">
                  <c:v>3.2408611791426845E-3</c:v>
                </c:pt>
                <c:pt idx="18" formatCode="0.000000">
                  <c:v>3.3610845182649035E-3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43-4FB1-8A98-F3B25F5A4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Lithuania!$B$35</c:f>
          <c:strCache>
            <c:ptCount val="1"/>
            <c:pt idx="0">
              <c:v>Total Supply, GWh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Lithuania!$B$38</c:f>
              <c:strCache>
                <c:ptCount val="1"/>
                <c:pt idx="0">
                  <c:v>Normal year net production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Lithuania!$C$30:$U$30</c:f>
              <c:numCache>
                <c:formatCode>General</c:formatCode>
                <c:ptCount val="1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3">
                  <c:v>2015</c:v>
                </c:pt>
                <c:pt idx="14">
                  <c:v>2020</c:v>
                </c:pt>
                <c:pt idx="15">
                  <c:v>2025</c:v>
                </c:pt>
                <c:pt idx="16">
                  <c:v>2030</c:v>
                </c:pt>
                <c:pt idx="17">
                  <c:v>2035</c:v>
                </c:pt>
                <c:pt idx="18">
                  <c:v>2040</c:v>
                </c:pt>
              </c:numCache>
            </c:numRef>
          </c:xVal>
          <c:yVal>
            <c:numRef>
              <c:f>Lithuania!$C$35:$U$35</c:f>
              <c:numCache>
                <c:formatCode>General</c:formatCode>
                <c:ptCount val="19"/>
                <c:pt idx="0">
                  <c:v>7460</c:v>
                </c:pt>
                <c:pt idx="1">
                  <c:v>7291</c:v>
                </c:pt>
                <c:pt idx="2">
                  <c:v>7151</c:v>
                </c:pt>
                <c:pt idx="3">
                  <c:v>7072</c:v>
                </c:pt>
                <c:pt idx="4">
                  <c:v>8046</c:v>
                </c:pt>
                <c:pt idx="5">
                  <c:v>8330</c:v>
                </c:pt>
                <c:pt idx="6">
                  <c:v>8247</c:v>
                </c:pt>
                <c:pt idx="7">
                  <c:v>7948</c:v>
                </c:pt>
                <c:pt idx="8">
                  <c:v>7514</c:v>
                </c:pt>
                <c:pt idx="9">
                  <c:v>8677</c:v>
                </c:pt>
                <c:pt idx="10">
                  <c:v>7728</c:v>
                </c:pt>
                <c:pt idx="11">
                  <c:v>7167</c:v>
                </c:pt>
                <c:pt idx="13">
                  <c:v>7575.3418264890379</c:v>
                </c:pt>
                <c:pt idx="14">
                  <c:v>7835.7264535507093</c:v>
                </c:pt>
                <c:pt idx="15">
                  <c:v>7994.0050239025641</c:v>
                </c:pt>
                <c:pt idx="16">
                  <c:v>7973.9674653854454</c:v>
                </c:pt>
                <c:pt idx="17">
                  <c:v>7990.7938218885911</c:v>
                </c:pt>
                <c:pt idx="18">
                  <c:v>7991.1810542945268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77-411F-B3D6-3CA53A5F9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Lithuania!$B$36</c:f>
              <c:strCache>
                <c:ptCount val="1"/>
                <c:pt idx="0">
                  <c:v>HDD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Lithuania!$C$30:$U$30</c:f>
              <c:numCache>
                <c:formatCode>General</c:formatCode>
                <c:ptCount val="1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3">
                  <c:v>2015</c:v>
                </c:pt>
                <c:pt idx="14">
                  <c:v>2020</c:v>
                </c:pt>
                <c:pt idx="15">
                  <c:v>2025</c:v>
                </c:pt>
                <c:pt idx="16">
                  <c:v>2030</c:v>
                </c:pt>
                <c:pt idx="17">
                  <c:v>2035</c:v>
                </c:pt>
                <c:pt idx="18">
                  <c:v>2040</c:v>
                </c:pt>
              </c:numCache>
            </c:numRef>
          </c:xVal>
          <c:yVal>
            <c:numRef>
              <c:f>Lithuania!$C$36:$U$36</c:f>
              <c:numCache>
                <c:formatCode>General</c:formatCode>
                <c:ptCount val="19"/>
                <c:pt idx="0">
                  <c:v>4081.27</c:v>
                </c:pt>
                <c:pt idx="1">
                  <c:v>3873.17</c:v>
                </c:pt>
                <c:pt idx="2">
                  <c:v>3729.28</c:v>
                </c:pt>
                <c:pt idx="3">
                  <c:v>3523.32</c:v>
                </c:pt>
                <c:pt idx="4">
                  <c:v>3829.94</c:v>
                </c:pt>
                <c:pt idx="5">
                  <c:v>3761.5</c:v>
                </c:pt>
                <c:pt idx="6">
                  <c:v>3687.57</c:v>
                </c:pt>
                <c:pt idx="7">
                  <c:v>3391.36</c:v>
                </c:pt>
                <c:pt idx="8">
                  <c:v>3304.68</c:v>
                </c:pt>
                <c:pt idx="9">
                  <c:v>4016.22</c:v>
                </c:pt>
                <c:pt idx="10">
                  <c:v>3773.19</c:v>
                </c:pt>
                <c:pt idx="11">
                  <c:v>3461.92</c:v>
                </c:pt>
                <c:pt idx="13">
                  <c:v>3752.6937478260879</c:v>
                </c:pt>
                <c:pt idx="14">
                  <c:v>3676.5330304347808</c:v>
                </c:pt>
                <c:pt idx="15">
                  <c:v>3600.3723130434773</c:v>
                </c:pt>
                <c:pt idx="16">
                  <c:v>3524.2115956521739</c:v>
                </c:pt>
                <c:pt idx="17">
                  <c:v>3448.0508782608704</c:v>
                </c:pt>
                <c:pt idx="18">
                  <c:v>3371.8901608695633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55-452C-AC69-B956814E3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Lithuania!$B$37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Lithuania!$C$30:$U$30</c:f>
              <c:numCache>
                <c:formatCode>General</c:formatCode>
                <c:ptCount val="1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3">
                  <c:v>2015</c:v>
                </c:pt>
                <c:pt idx="14">
                  <c:v>2020</c:v>
                </c:pt>
                <c:pt idx="15">
                  <c:v>2025</c:v>
                </c:pt>
                <c:pt idx="16">
                  <c:v>2030</c:v>
                </c:pt>
                <c:pt idx="17">
                  <c:v>2035</c:v>
                </c:pt>
                <c:pt idx="18">
                  <c:v>2040</c:v>
                </c:pt>
              </c:numCache>
            </c:numRef>
          </c:xVal>
          <c:yVal>
            <c:numRef>
              <c:f>Lithuania!$C$37:$U$37</c:f>
              <c:numCache>
                <c:formatCode>General</c:formatCode>
                <c:ptCount val="19"/>
                <c:pt idx="0">
                  <c:v>2989139</c:v>
                </c:pt>
                <c:pt idx="1">
                  <c:v>2961250</c:v>
                </c:pt>
                <c:pt idx="2">
                  <c:v>2937253</c:v>
                </c:pt>
                <c:pt idx="3">
                  <c:v>2911109</c:v>
                </c:pt>
                <c:pt idx="4">
                  <c:v>2877325</c:v>
                </c:pt>
                <c:pt idx="5">
                  <c:v>2842639</c:v>
                </c:pt>
                <c:pt idx="6">
                  <c:v>2819200</c:v>
                </c:pt>
                <c:pt idx="7">
                  <c:v>2811089</c:v>
                </c:pt>
                <c:pt idx="8">
                  <c:v>2810369</c:v>
                </c:pt>
                <c:pt idx="9">
                  <c:v>2808380</c:v>
                </c:pt>
                <c:pt idx="10">
                  <c:v>2831639</c:v>
                </c:pt>
                <c:pt idx="11">
                  <c:v>2871585</c:v>
                </c:pt>
                <c:pt idx="13">
                  <c:v>2911109</c:v>
                </c:pt>
                <c:pt idx="14">
                  <c:v>2810369</c:v>
                </c:pt>
                <c:pt idx="15">
                  <c:v>2740086.3142857142</c:v>
                </c:pt>
                <c:pt idx="16">
                  <c:v>2684711.4124999978</c:v>
                </c:pt>
                <c:pt idx="17">
                  <c:v>2647794.8113095225</c:v>
                </c:pt>
                <c:pt idx="18">
                  <c:v>2610878.2101190449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AA-402B-9882-82C9093D1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Latvia!$B$37</c:f>
              <c:strCache>
                <c:ptCount val="1"/>
                <c:pt idx="0">
                  <c:v>Normal year net DH supply /  pers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Latvia!$C$28:$V$28</c:f>
              <c:numCache>
                <c:formatCode>General</c:formatCode>
                <c:ptCount val="2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4">
                  <c:v>2015</c:v>
                </c:pt>
                <c:pt idx="15">
                  <c:v>2020</c:v>
                </c:pt>
                <c:pt idx="16">
                  <c:v>2025</c:v>
                </c:pt>
                <c:pt idx="17">
                  <c:v>2030</c:v>
                </c:pt>
                <c:pt idx="18">
                  <c:v>2035</c:v>
                </c:pt>
                <c:pt idx="19">
                  <c:v>2040</c:v>
                </c:pt>
              </c:numCache>
            </c:numRef>
          </c:xVal>
          <c:yVal>
            <c:numRef>
              <c:f>Latvia!$C$37:$V$37</c:f>
              <c:numCache>
                <c:formatCode>General</c:formatCode>
                <c:ptCount val="20"/>
                <c:pt idx="0">
                  <c:v>5.6821360241511567E-3</c:v>
                </c:pt>
                <c:pt idx="1">
                  <c:v>5.7745841751919115E-3</c:v>
                </c:pt>
                <c:pt idx="2">
                  <c:v>5.9281942969824676E-3</c:v>
                </c:pt>
                <c:pt idx="3">
                  <c:v>6.1648246354459018E-3</c:v>
                </c:pt>
                <c:pt idx="4">
                  <c:v>5.9159937089646435E-3</c:v>
                </c:pt>
                <c:pt idx="5">
                  <c:v>6.4750758372654153E-3</c:v>
                </c:pt>
                <c:pt idx="6">
                  <c:v>6.6326896178282111E-3</c:v>
                </c:pt>
                <c:pt idx="7">
                  <c:v>6.6348368689169825E-3</c:v>
                </c:pt>
                <c:pt idx="8">
                  <c:v>6.306209412974685E-3</c:v>
                </c:pt>
                <c:pt idx="9">
                  <c:v>6.1393101901817205E-3</c:v>
                </c:pt>
                <c:pt idx="10">
                  <c:v>5.1712049766209894E-3</c:v>
                </c:pt>
                <c:pt idx="11">
                  <c:v>5.2929549575900375E-3</c:v>
                </c:pt>
                <c:pt idx="14">
                  <c:v>6.0553985980099645E-3</c:v>
                </c:pt>
                <c:pt idx="15">
                  <c:v>5.9642705190090517E-3</c:v>
                </c:pt>
                <c:pt idx="16" formatCode="0.000000">
                  <c:v>5.8913680558083277E-3</c:v>
                </c:pt>
                <c:pt idx="17" formatCode="0.000000">
                  <c:v>5.8458040163078713E-3</c:v>
                </c:pt>
                <c:pt idx="18" formatCode="0.000000">
                  <c:v>5.8002399768074149E-3</c:v>
                </c:pt>
                <c:pt idx="19" formatCode="0.000000">
                  <c:v>5.7546759373069585E-3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35-48C6-B816-C5CC4EC9A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Latvia!$B$33</c:f>
          <c:strCache>
            <c:ptCount val="1"/>
            <c:pt idx="0">
              <c:v>Total Supply, GWh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Latvia!$B$36</c:f>
              <c:strCache>
                <c:ptCount val="1"/>
                <c:pt idx="0">
                  <c:v>Normal year net production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Latvia!$C$28:$V$28</c:f>
              <c:numCache>
                <c:formatCode>General</c:formatCode>
                <c:ptCount val="2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4">
                  <c:v>2015</c:v>
                </c:pt>
                <c:pt idx="15">
                  <c:v>2020</c:v>
                </c:pt>
                <c:pt idx="16">
                  <c:v>2025</c:v>
                </c:pt>
                <c:pt idx="17">
                  <c:v>2030</c:v>
                </c:pt>
                <c:pt idx="18">
                  <c:v>2035</c:v>
                </c:pt>
                <c:pt idx="19">
                  <c:v>2040</c:v>
                </c:pt>
              </c:numCache>
            </c:numRef>
          </c:xVal>
          <c:yVal>
            <c:numRef>
              <c:f>Latvia!$C$33:$V$33</c:f>
              <c:numCache>
                <c:formatCode>General</c:formatCode>
                <c:ptCount val="20"/>
                <c:pt idx="0">
                  <c:v>12904.2</c:v>
                </c:pt>
                <c:pt idx="1">
                  <c:v>12118.2</c:v>
                </c:pt>
                <c:pt idx="2">
                  <c:v>12028</c:v>
                </c:pt>
                <c:pt idx="3">
                  <c:v>11516.7</c:v>
                </c:pt>
                <c:pt idx="4">
                  <c:v>11985.6</c:v>
                </c:pt>
                <c:pt idx="5">
                  <c:v>12984.9</c:v>
                </c:pt>
                <c:pt idx="6">
                  <c:v>12751.4</c:v>
                </c:pt>
                <c:pt idx="7">
                  <c:v>11882.4</c:v>
                </c:pt>
                <c:pt idx="8">
                  <c:v>10533.3</c:v>
                </c:pt>
                <c:pt idx="9">
                  <c:v>12382.7</c:v>
                </c:pt>
                <c:pt idx="10">
                  <c:v>10105.700000000001</c:v>
                </c:pt>
                <c:pt idx="11">
                  <c:v>9638.2000000000007</c:v>
                </c:pt>
                <c:pt idx="14">
                  <c:v>12113.744097029263</c:v>
                </c:pt>
                <c:pt idx="15">
                  <c:v>11273.483422633313</c:v>
                </c:pt>
                <c:pt idx="16">
                  <c:v>10537.035826323003</c:v>
                </c:pt>
                <c:pt idx="17">
                  <c:v>10021.074168947218</c:v>
                </c:pt>
                <c:pt idx="18">
                  <c:v>9602.772828767891</c:v>
                </c:pt>
                <c:pt idx="19">
                  <c:v>9195.6870318832807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7-4FBE-8B1E-245CF80CB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Latvia!$B$34</c:f>
              <c:strCache>
                <c:ptCount val="1"/>
                <c:pt idx="0">
                  <c:v>HDD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Latvia!$C$28:$V$28</c:f>
              <c:numCache>
                <c:formatCode>General</c:formatCode>
                <c:ptCount val="2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4">
                  <c:v>2015</c:v>
                </c:pt>
                <c:pt idx="15">
                  <c:v>2020</c:v>
                </c:pt>
                <c:pt idx="16">
                  <c:v>2025</c:v>
                </c:pt>
                <c:pt idx="17">
                  <c:v>2030</c:v>
                </c:pt>
                <c:pt idx="18">
                  <c:v>2035</c:v>
                </c:pt>
                <c:pt idx="19">
                  <c:v>2040</c:v>
                </c:pt>
              </c:numCache>
            </c:numRef>
          </c:xVal>
          <c:yVal>
            <c:numRef>
              <c:f>Latvia!$C$34:$V$34</c:f>
              <c:numCache>
                <c:formatCode>General</c:formatCode>
                <c:ptCount val="20"/>
                <c:pt idx="0">
                  <c:v>4322.0200000000004</c:v>
                </c:pt>
                <c:pt idx="1">
                  <c:v>4036.79</c:v>
                </c:pt>
                <c:pt idx="2">
                  <c:v>3939.85</c:v>
                </c:pt>
                <c:pt idx="3">
                  <c:v>3657.39</c:v>
                </c:pt>
                <c:pt idx="4">
                  <c:v>4002.81</c:v>
                </c:pt>
                <c:pt idx="5">
                  <c:v>3997.38</c:v>
                </c:pt>
                <c:pt idx="6">
                  <c:v>3862.19</c:v>
                </c:pt>
                <c:pt idx="7">
                  <c:v>3622.92</c:v>
                </c:pt>
                <c:pt idx="8">
                  <c:v>3402.72</c:v>
                </c:pt>
                <c:pt idx="9">
                  <c:v>4143.7</c:v>
                </c:pt>
                <c:pt idx="10">
                  <c:v>4025.74</c:v>
                </c:pt>
                <c:pt idx="11">
                  <c:v>3755.06</c:v>
                </c:pt>
                <c:pt idx="14">
                  <c:v>3942.6305449275351</c:v>
                </c:pt>
                <c:pt idx="15">
                  <c:v>3876.3003710144912</c:v>
                </c:pt>
                <c:pt idx="16">
                  <c:v>3809.9701971014474</c:v>
                </c:pt>
                <c:pt idx="17">
                  <c:v>3743.6400231884036</c:v>
                </c:pt>
                <c:pt idx="18">
                  <c:v>3677.3098492753597</c:v>
                </c:pt>
                <c:pt idx="19">
                  <c:v>3610.9796753623159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A2-4984-86D4-AD77F7E70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Latvia!$B$35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Latvia!$C$28:$V$28</c:f>
              <c:numCache>
                <c:formatCode>General</c:formatCode>
                <c:ptCount val="2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4">
                  <c:v>2015</c:v>
                </c:pt>
                <c:pt idx="15">
                  <c:v>2020</c:v>
                </c:pt>
                <c:pt idx="16">
                  <c:v>2025</c:v>
                </c:pt>
                <c:pt idx="17">
                  <c:v>2030</c:v>
                </c:pt>
                <c:pt idx="18">
                  <c:v>2035</c:v>
                </c:pt>
                <c:pt idx="19">
                  <c:v>2040</c:v>
                </c:pt>
              </c:numCache>
            </c:numRef>
          </c:xVal>
          <c:yVal>
            <c:numRef>
              <c:f>Latvia!$C$35:$V$35</c:f>
              <c:numCache>
                <c:formatCode>General</c:formatCode>
                <c:ptCount val="20"/>
                <c:pt idx="0">
                  <c:v>2034319</c:v>
                </c:pt>
                <c:pt idx="1">
                  <c:v>2012647</c:v>
                </c:pt>
                <c:pt idx="2">
                  <c:v>1993782</c:v>
                </c:pt>
                <c:pt idx="3">
                  <c:v>1977527</c:v>
                </c:pt>
                <c:pt idx="4">
                  <c:v>1959537</c:v>
                </c:pt>
                <c:pt idx="5">
                  <c:v>1942248</c:v>
                </c:pt>
                <c:pt idx="6">
                  <c:v>1927174</c:v>
                </c:pt>
                <c:pt idx="7">
                  <c:v>1913822</c:v>
                </c:pt>
                <c:pt idx="8">
                  <c:v>1900449</c:v>
                </c:pt>
                <c:pt idx="9">
                  <c:v>1884490</c:v>
                </c:pt>
                <c:pt idx="10">
                  <c:v>1879383</c:v>
                </c:pt>
                <c:pt idx="11">
                  <c:v>1877445</c:v>
                </c:pt>
                <c:pt idx="14">
                  <c:v>1977527</c:v>
                </c:pt>
                <c:pt idx="15">
                  <c:v>1900449</c:v>
                </c:pt>
                <c:pt idx="16">
                  <c:v>1829589.1142857149</c:v>
                </c:pt>
                <c:pt idx="17">
                  <c:v>1784632.4624999985</c:v>
                </c:pt>
                <c:pt idx="18">
                  <c:v>1754661.3613095235</c:v>
                </c:pt>
                <c:pt idx="19">
                  <c:v>1724690.2601190459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20-4B80-882C-D6FAF3A76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Estonia!$B$37</c:f>
              <c:strCache>
                <c:ptCount val="1"/>
                <c:pt idx="0">
                  <c:v>Normal year net DH supply /  pers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Estonia!$C$28:$Q$28</c:f>
              <c:numCache>
                <c:formatCode>General</c:formatCode>
                <c:ptCount val="1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</c:numCache>
            </c:numRef>
          </c:xVal>
          <c:yVal>
            <c:numRef>
              <c:f>Estonia!$C$37:$Q$37</c:f>
              <c:numCache>
                <c:formatCode>General</c:formatCode>
                <c:ptCount val="15"/>
                <c:pt idx="0">
                  <c:v>3.5445646260732814E-3</c:v>
                </c:pt>
                <c:pt idx="1">
                  <c:v>3.2912606841784399E-3</c:v>
                </c:pt>
                <c:pt idx="2">
                  <c:v>3.6452534105747714E-3</c:v>
                </c:pt>
                <c:pt idx="3">
                  <c:v>3.5128901132589242E-3</c:v>
                </c:pt>
                <c:pt idx="9" formatCode="0.000000">
                  <c:v>3.4466983709306974E-3</c:v>
                </c:pt>
                <c:pt idx="10" formatCode="0.000000">
                  <c:v>3.5114406679190129E-3</c:v>
                </c:pt>
                <c:pt idx="11" formatCode="0.000000">
                  <c:v>3.5761829649073283E-3</c:v>
                </c:pt>
                <c:pt idx="12" formatCode="0.000000">
                  <c:v>3.6409252618956438E-3</c:v>
                </c:pt>
                <c:pt idx="13" formatCode="0.000000">
                  <c:v>3.7056675588839592E-3</c:v>
                </c:pt>
                <c:pt idx="14" formatCode="0.000000">
                  <c:v>3.7704098558722712E-3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18-40ED-A6C8-06F181965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Estonia!$B$33</c:f>
          <c:strCache>
            <c:ptCount val="1"/>
            <c:pt idx="0">
              <c:v>Total Supply, GWh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Estonia!$B$36</c:f>
              <c:strCache>
                <c:ptCount val="1"/>
                <c:pt idx="0">
                  <c:v>Normal year net production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Estonia!$C$28:$Q$28</c:f>
              <c:numCache>
                <c:formatCode>General</c:formatCode>
                <c:ptCount val="1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</c:numCache>
            </c:numRef>
          </c:xVal>
          <c:yVal>
            <c:numRef>
              <c:f>Estonia!$C$33:$Q$33</c:f>
              <c:numCache>
                <c:formatCode>General</c:formatCode>
                <c:ptCount val="15"/>
                <c:pt idx="0">
                  <c:v>4612.418300653595</c:v>
                </c:pt>
                <c:pt idx="1">
                  <c:v>3928.1045751633987</c:v>
                </c:pt>
                <c:pt idx="2">
                  <c:v>5248.0392156862745</c:v>
                </c:pt>
                <c:pt idx="3">
                  <c:v>4927.4509803921565</c:v>
                </c:pt>
                <c:pt idx="9">
                  <c:v>4720.3269575636932</c:v>
                </c:pt>
                <c:pt idx="10">
                  <c:v>4784.2652390713265</c:v>
                </c:pt>
                <c:pt idx="11">
                  <c:v>4836.2554516277787</c:v>
                </c:pt>
                <c:pt idx="12">
                  <c:v>4858.2630881017831</c:v>
                </c:pt>
                <c:pt idx="13">
                  <c:v>4872.694325071313</c:v>
                </c:pt>
                <c:pt idx="14">
                  <c:v>4884.2861616309046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B8-4C5A-AAE8-BEF00258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Estonia!$B$34</c:f>
              <c:strCache>
                <c:ptCount val="1"/>
                <c:pt idx="0">
                  <c:v>HDD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Estonia!$C$28:$Q$28</c:f>
              <c:numCache>
                <c:formatCode>General</c:formatCode>
                <c:ptCount val="1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</c:numCache>
            </c:numRef>
          </c:xVal>
          <c:yVal>
            <c:numRef>
              <c:f>Estonia!$C$34:$Q$34</c:f>
              <c:numCache>
                <c:formatCode>General</c:formatCode>
                <c:ptCount val="15"/>
                <c:pt idx="0">
                  <c:v>3883.05</c:v>
                </c:pt>
                <c:pt idx="1">
                  <c:v>3554.43</c:v>
                </c:pt>
                <c:pt idx="2">
                  <c:v>4283.1000000000004</c:v>
                </c:pt>
                <c:pt idx="3">
                  <c:v>4117.58</c:v>
                </c:pt>
                <c:pt idx="9">
                  <c:v>4122.4309362318818</c:v>
                </c:pt>
                <c:pt idx="10">
                  <c:v>4057.6923927536227</c:v>
                </c:pt>
                <c:pt idx="11">
                  <c:v>3992.95384927536</c:v>
                </c:pt>
                <c:pt idx="12">
                  <c:v>3928.2153057971009</c:v>
                </c:pt>
                <c:pt idx="13">
                  <c:v>3863.4767623188382</c:v>
                </c:pt>
                <c:pt idx="14">
                  <c:v>3798.7382188405791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E9-4CDF-BB30-7AA9D9706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Estonia!$B$35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Estonia!$C$28:$Q$28</c:f>
              <c:numCache>
                <c:formatCode>General</c:formatCode>
                <c:ptCount val="1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9">
                  <c:v>2015</c:v>
                </c:pt>
                <c:pt idx="10">
                  <c:v>2020</c:v>
                </c:pt>
                <c:pt idx="11">
                  <c:v>2025</c:v>
                </c:pt>
                <c:pt idx="12">
                  <c:v>2030</c:v>
                </c:pt>
                <c:pt idx="13">
                  <c:v>2035</c:v>
                </c:pt>
                <c:pt idx="14">
                  <c:v>2040</c:v>
                </c:pt>
              </c:numCache>
            </c:numRef>
          </c:xVal>
          <c:yVal>
            <c:numRef>
              <c:f>Estonia!$C$35:$Q$35</c:f>
              <c:numCache>
                <c:formatCode>General</c:formatCode>
                <c:ptCount val="15"/>
                <c:pt idx="0">
                  <c:v>1326898</c:v>
                </c:pt>
                <c:pt idx="1">
                  <c:v>1329522</c:v>
                </c:pt>
                <c:pt idx="2">
                  <c:v>1330932</c:v>
                </c:pt>
                <c:pt idx="3">
                  <c:v>1348840</c:v>
                </c:pt>
                <c:pt idx="9">
                  <c:v>1315407</c:v>
                </c:pt>
                <c:pt idx="10">
                  <c:v>1329522</c:v>
                </c:pt>
                <c:pt idx="11">
                  <c:v>1341034.4857142856</c:v>
                </c:pt>
                <c:pt idx="12">
                  <c:v>1344988.95</c:v>
                </c:pt>
                <c:pt idx="13">
                  <c:v>1347625.2595238094</c:v>
                </c:pt>
                <c:pt idx="14">
                  <c:v>1350261.5690476189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C3-4074-8CD3-4A545D0C2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Sweden!$B$118</c:f>
              <c:strCache>
                <c:ptCount val="1"/>
                <c:pt idx="0">
                  <c:v>Normal year net DH supply /  pers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Sweden!$C$109:$S$109</c:f>
              <c:numCache>
                <c:formatCode>General</c:formatCode>
                <c:ptCount val="1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</c:numCache>
            </c:numRef>
          </c:xVal>
          <c:yVal>
            <c:numRef>
              <c:f>Sweden!$C$118:$S$118</c:f>
              <c:numCache>
                <c:formatCode>General</c:formatCode>
                <c:ptCount val="17"/>
                <c:pt idx="0">
                  <c:v>5.8541476480814102E-3</c:v>
                </c:pt>
                <c:pt idx="1">
                  <c:v>5.8097247844298436E-3</c:v>
                </c:pt>
                <c:pt idx="2">
                  <c:v>5.5852274785126825E-3</c:v>
                </c:pt>
                <c:pt idx="3">
                  <c:v>5.6041990857666306E-3</c:v>
                </c:pt>
                <c:pt idx="4">
                  <c:v>5.5333883316535737E-3</c:v>
                </c:pt>
                <c:pt idx="5">
                  <c:v>5.7049442929587848E-3</c:v>
                </c:pt>
                <c:pt idx="6">
                  <c:v>5.7194508715439551E-3</c:v>
                </c:pt>
                <c:pt idx="7">
                  <c:v>5.6391478069471408E-3</c:v>
                </c:pt>
                <c:pt idx="8">
                  <c:v>5.5201487172936714E-3</c:v>
                </c:pt>
                <c:pt idx="11" formatCode="0.000000">
                  <c:v>5.7619444238438122E-3</c:v>
                </c:pt>
                <c:pt idx="12" formatCode="0.000000">
                  <c:v>5.6387332019817785E-3</c:v>
                </c:pt>
                <c:pt idx="13" formatCode="0.000000">
                  <c:v>5.5769646431834434E-3</c:v>
                </c:pt>
                <c:pt idx="14" formatCode="0.000000">
                  <c:v>5.5153590322524265E-3</c:v>
                </c:pt>
                <c:pt idx="15" formatCode="0.000000">
                  <c:v>5.4537534213214131E-3</c:v>
                </c:pt>
                <c:pt idx="16" formatCode="0.000000">
                  <c:v>5.3921478103903962E-3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61-4696-B302-BF643850F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Sweden!$B$114</c:f>
          <c:strCache>
            <c:ptCount val="1"/>
            <c:pt idx="0">
              <c:v>Total Supply, GWh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Sweden!$B$117</c:f>
              <c:strCache>
                <c:ptCount val="1"/>
                <c:pt idx="0">
                  <c:v>Normal year net production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Sweden!$C$109:$S$109</c:f>
              <c:numCache>
                <c:formatCode>General</c:formatCode>
                <c:ptCount val="1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</c:numCache>
            </c:numRef>
          </c:xVal>
          <c:yVal>
            <c:numRef>
              <c:f>Sweden!$C$114:$S$114</c:f>
              <c:numCache>
                <c:formatCode>General</c:formatCode>
                <c:ptCount val="17"/>
                <c:pt idx="0">
                  <c:v>55586</c:v>
                </c:pt>
                <c:pt idx="1">
                  <c:v>58348</c:v>
                </c:pt>
                <c:pt idx="2">
                  <c:v>57844</c:v>
                </c:pt>
                <c:pt idx="3">
                  <c:v>58051</c:v>
                </c:pt>
                <c:pt idx="4">
                  <c:v>57872</c:v>
                </c:pt>
                <c:pt idx="5">
                  <c:v>53908</c:v>
                </c:pt>
                <c:pt idx="6">
                  <c:v>61584</c:v>
                </c:pt>
                <c:pt idx="7">
                  <c:v>57819</c:v>
                </c:pt>
                <c:pt idx="8">
                  <c:v>59883</c:v>
                </c:pt>
                <c:pt idx="11">
                  <c:v>57257.641023858363</c:v>
                </c:pt>
                <c:pt idx="12">
                  <c:v>58678.857586311366</c:v>
                </c:pt>
                <c:pt idx="13">
                  <c:v>59417.118267026097</c:v>
                </c:pt>
                <c:pt idx="14">
                  <c:v>59531.545966754529</c:v>
                </c:pt>
                <c:pt idx="15">
                  <c:v>59180.805942666033</c:v>
                </c:pt>
                <c:pt idx="16">
                  <c:v>58807.567699532367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F4-4F8D-96F0-B5B6D5118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Sweden!$B$115</c:f>
              <c:strCache>
                <c:ptCount val="1"/>
                <c:pt idx="0">
                  <c:v>HDD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Sweden!$C$109:$S$109</c:f>
              <c:numCache>
                <c:formatCode>General</c:formatCode>
                <c:ptCount val="1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</c:numCache>
            </c:numRef>
          </c:xVal>
          <c:yVal>
            <c:numRef>
              <c:f>Sweden!$C$115:$S$115</c:f>
              <c:numCache>
                <c:formatCode>General</c:formatCode>
                <c:ptCount val="17"/>
                <c:pt idx="0">
                  <c:v>4875.4799999999996</c:v>
                </c:pt>
                <c:pt idx="1">
                  <c:v>5092.4799999999996</c:v>
                </c:pt>
                <c:pt idx="2">
                  <c:v>5181.13</c:v>
                </c:pt>
                <c:pt idx="3">
                  <c:v>5122.22</c:v>
                </c:pt>
                <c:pt idx="4">
                  <c:v>5119.6099999999997</c:v>
                </c:pt>
                <c:pt idx="5">
                  <c:v>4592.22</c:v>
                </c:pt>
                <c:pt idx="6">
                  <c:v>5201.47</c:v>
                </c:pt>
                <c:pt idx="7">
                  <c:v>4919.42</c:v>
                </c:pt>
                <c:pt idx="8">
                  <c:v>5180.32</c:v>
                </c:pt>
                <c:pt idx="11">
                  <c:v>5102.464762318843</c:v>
                </c:pt>
                <c:pt idx="12">
                  <c:v>5057.3263275362333</c:v>
                </c:pt>
                <c:pt idx="13">
                  <c:v>5012.1878927536236</c:v>
                </c:pt>
                <c:pt idx="14">
                  <c:v>4967.0494579710139</c:v>
                </c:pt>
                <c:pt idx="15">
                  <c:v>4921.9110231884079</c:v>
                </c:pt>
                <c:pt idx="16">
                  <c:v>4876.7725884057982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99-4B92-B303-ADECC5F62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Sweden!$B$116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Sweden!$C$109:$S$109</c:f>
              <c:numCache>
                <c:formatCode>General</c:formatCode>
                <c:ptCount val="1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</c:numCache>
            </c:numRef>
          </c:xVal>
          <c:yVal>
            <c:numRef>
              <c:f>Sweden!$C$116:$S$116</c:f>
              <c:numCache>
                <c:formatCode>General</c:formatCode>
                <c:ptCount val="17"/>
                <c:pt idx="0">
                  <c:v>9799186</c:v>
                </c:pt>
                <c:pt idx="1">
                  <c:v>9923085</c:v>
                </c:pt>
                <c:pt idx="2">
                  <c:v>10057698</c:v>
                </c:pt>
                <c:pt idx="3">
                  <c:v>10175214</c:v>
                </c:pt>
                <c:pt idx="4">
                  <c:v>10278887</c:v>
                </c:pt>
                <c:pt idx="5">
                  <c:v>10353442</c:v>
                </c:pt>
                <c:pt idx="6">
                  <c:v>10415811</c:v>
                </c:pt>
                <c:pt idx="7">
                  <c:v>10486941</c:v>
                </c:pt>
                <c:pt idx="8">
                  <c:v>10536632</c:v>
                </c:pt>
                <c:pt idx="11">
                  <c:v>9799186</c:v>
                </c:pt>
                <c:pt idx="12">
                  <c:v>10353442</c:v>
                </c:pt>
                <c:pt idx="13">
                  <c:v>10695275.580952391</c:v>
                </c:pt>
                <c:pt idx="14">
                  <c:v>10934036.429166675</c:v>
                </c:pt>
                <c:pt idx="15">
                  <c:v>11093210.327976197</c:v>
                </c:pt>
                <c:pt idx="16">
                  <c:v>11252384.226785729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C4-4800-A975-CB3FA42DD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Denmark!$B$72</c:f>
              <c:strCache>
                <c:ptCount val="1"/>
                <c:pt idx="0">
                  <c:v>HDD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Denmark!$C$58:$AG$58</c:f>
              <c:numCache>
                <c:formatCode>General</c:formatCode>
                <c:ptCount val="3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5">
                  <c:v>2015</c:v>
                </c:pt>
                <c:pt idx="26">
                  <c:v>2020</c:v>
                </c:pt>
                <c:pt idx="27">
                  <c:v>2025</c:v>
                </c:pt>
                <c:pt idx="28">
                  <c:v>2030</c:v>
                </c:pt>
                <c:pt idx="29">
                  <c:v>2035</c:v>
                </c:pt>
                <c:pt idx="30">
                  <c:v>2040</c:v>
                </c:pt>
              </c:numCache>
            </c:numRef>
          </c:xVal>
          <c:yVal>
            <c:numRef>
              <c:f>Denmark!$C$72:$AG$72</c:f>
              <c:numCache>
                <c:formatCode>0</c:formatCode>
                <c:ptCount val="31"/>
                <c:pt idx="0">
                  <c:v>3112.07</c:v>
                </c:pt>
                <c:pt idx="1">
                  <c:v>3494.43</c:v>
                </c:pt>
                <c:pt idx="2">
                  <c:v>3189.34</c:v>
                </c:pt>
                <c:pt idx="3">
                  <c:v>3325.61</c:v>
                </c:pt>
                <c:pt idx="4">
                  <c:v>3309.22</c:v>
                </c:pt>
                <c:pt idx="5">
                  <c:v>3261.34</c:v>
                </c:pt>
                <c:pt idx="6">
                  <c:v>3084.26</c:v>
                </c:pt>
                <c:pt idx="7">
                  <c:v>3000.97</c:v>
                </c:pt>
                <c:pt idx="8">
                  <c:v>3019.35</c:v>
                </c:pt>
                <c:pt idx="9">
                  <c:v>3230.76</c:v>
                </c:pt>
                <c:pt idx="10">
                  <c:v>3982.16</c:v>
                </c:pt>
                <c:pt idx="11">
                  <c:v>3148.45</c:v>
                </c:pt>
                <c:pt idx="12">
                  <c:v>3424.15</c:v>
                </c:pt>
                <c:pt idx="13">
                  <c:v>3396.28</c:v>
                </c:pt>
                <c:pt idx="14">
                  <c:v>2834.98</c:v>
                </c:pt>
                <c:pt idx="15">
                  <c:v>3114.15</c:v>
                </c:pt>
                <c:pt idx="16">
                  <c:v>3141.46</c:v>
                </c:pt>
                <c:pt idx="17">
                  <c:v>3112.11</c:v>
                </c:pt>
                <c:pt idx="18">
                  <c:v>3048.54</c:v>
                </c:pt>
                <c:pt idx="19">
                  <c:v>3026.8</c:v>
                </c:pt>
                <c:pt idx="20">
                  <c:v>2921.4</c:v>
                </c:pt>
                <c:pt idx="21">
                  <c:v>3263.77</c:v>
                </c:pt>
                <c:pt idx="22">
                  <c:v>3019.14</c:v>
                </c:pt>
                <c:pt idx="23">
                  <c:v>3034.4</c:v>
                </c:pt>
                <c:pt idx="25">
                  <c:v>3148.5630304347833</c:v>
                </c:pt>
                <c:pt idx="26">
                  <c:v>3093.2280739130438</c:v>
                </c:pt>
                <c:pt idx="27">
                  <c:v>3037.8931173913043</c:v>
                </c:pt>
                <c:pt idx="28">
                  <c:v>2982.5581608695647</c:v>
                </c:pt>
                <c:pt idx="29">
                  <c:v>2927.2232043478289</c:v>
                </c:pt>
                <c:pt idx="30">
                  <c:v>2871.8882478260894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95-4FB6-B63B-0B8DD729A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894815"/>
        <c:axId val="1454067215"/>
      </c:scatterChart>
      <c:valAx>
        <c:axId val="164289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454067215"/>
        <c:crosses val="autoZero"/>
        <c:crossBetween val="midCat"/>
      </c:valAx>
      <c:valAx>
        <c:axId val="145406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42894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Denmark!$B$73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Denmark!$C$58:$AG$58</c:f>
              <c:numCache>
                <c:formatCode>General</c:formatCode>
                <c:ptCount val="3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5">
                  <c:v>2015</c:v>
                </c:pt>
                <c:pt idx="26">
                  <c:v>2020</c:v>
                </c:pt>
                <c:pt idx="27">
                  <c:v>2025</c:v>
                </c:pt>
                <c:pt idx="28">
                  <c:v>2030</c:v>
                </c:pt>
                <c:pt idx="29">
                  <c:v>2035</c:v>
                </c:pt>
                <c:pt idx="30">
                  <c:v>2040</c:v>
                </c:pt>
              </c:numCache>
            </c:numRef>
          </c:xVal>
          <c:yVal>
            <c:numRef>
              <c:f>Denmark!$C$73:$AG$73</c:f>
              <c:numCache>
                <c:formatCode>General</c:formatCode>
                <c:ptCount val="31"/>
                <c:pt idx="0">
                  <c:v>5339616</c:v>
                </c:pt>
                <c:pt idx="1">
                  <c:v>5358783</c:v>
                </c:pt>
                <c:pt idx="2">
                  <c:v>5375931</c:v>
                </c:pt>
                <c:pt idx="3">
                  <c:v>5390574</c:v>
                </c:pt>
                <c:pt idx="4">
                  <c:v>5404523</c:v>
                </c:pt>
                <c:pt idx="5">
                  <c:v>5419432</c:v>
                </c:pt>
                <c:pt idx="6">
                  <c:v>5437272</c:v>
                </c:pt>
                <c:pt idx="7">
                  <c:v>5461438</c:v>
                </c:pt>
                <c:pt idx="8">
                  <c:v>5493621</c:v>
                </c:pt>
                <c:pt idx="9">
                  <c:v>5523095</c:v>
                </c:pt>
                <c:pt idx="10">
                  <c:v>5547683</c:v>
                </c:pt>
                <c:pt idx="11">
                  <c:v>5570572</c:v>
                </c:pt>
                <c:pt idx="12">
                  <c:v>5591572</c:v>
                </c:pt>
                <c:pt idx="13">
                  <c:v>5614932</c:v>
                </c:pt>
                <c:pt idx="14">
                  <c:v>5643475</c:v>
                </c:pt>
                <c:pt idx="15">
                  <c:v>5683483</c:v>
                </c:pt>
                <c:pt idx="16">
                  <c:v>5728010</c:v>
                </c:pt>
                <c:pt idx="17">
                  <c:v>5764980</c:v>
                </c:pt>
                <c:pt idx="18">
                  <c:v>5793636</c:v>
                </c:pt>
                <c:pt idx="19">
                  <c:v>5814422</c:v>
                </c:pt>
                <c:pt idx="20">
                  <c:v>5831404</c:v>
                </c:pt>
                <c:pt idx="21">
                  <c:v>5856733</c:v>
                </c:pt>
                <c:pt idx="22">
                  <c:v>5903037</c:v>
                </c:pt>
                <c:pt idx="23">
                  <c:v>5946952</c:v>
                </c:pt>
                <c:pt idx="25">
                  <c:v>5683483</c:v>
                </c:pt>
                <c:pt idx="26">
                  <c:v>5831404</c:v>
                </c:pt>
                <c:pt idx="27">
                  <c:v>5962919.3999999985</c:v>
                </c:pt>
                <c:pt idx="28">
                  <c:v>6038540.3374999985</c:v>
                </c:pt>
                <c:pt idx="29">
                  <c:v>6088954.2958333315</c:v>
                </c:pt>
                <c:pt idx="30">
                  <c:v>6139368.2541666655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AD-4544-B93B-3387728D6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894815"/>
        <c:axId val="1454067215"/>
      </c:scatterChart>
      <c:valAx>
        <c:axId val="164289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454067215"/>
        <c:crosses val="autoZero"/>
        <c:crossBetween val="midCat"/>
      </c:valAx>
      <c:valAx>
        <c:axId val="14540672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42894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Denmark!$B$75</c:f>
              <c:strCache>
                <c:ptCount val="1"/>
                <c:pt idx="0">
                  <c:v>Normal year net DH supply /  pers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Denmark!$C$58:$AG$58</c:f>
              <c:numCache>
                <c:formatCode>General</c:formatCode>
                <c:ptCount val="3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5">
                  <c:v>2015</c:v>
                </c:pt>
                <c:pt idx="26">
                  <c:v>2020</c:v>
                </c:pt>
                <c:pt idx="27">
                  <c:v>2025</c:v>
                </c:pt>
                <c:pt idx="28">
                  <c:v>2030</c:v>
                </c:pt>
                <c:pt idx="29">
                  <c:v>2035</c:v>
                </c:pt>
                <c:pt idx="30">
                  <c:v>2040</c:v>
                </c:pt>
              </c:numCache>
            </c:numRef>
          </c:xVal>
          <c:yVal>
            <c:numRef>
              <c:f>Denmark!$C$75:$AG$75</c:f>
              <c:numCache>
                <c:formatCode>General</c:formatCode>
                <c:ptCount val="31"/>
                <c:pt idx="0">
                  <c:v>6.2972035936391798E-3</c:v>
                </c:pt>
                <c:pt idx="1">
                  <c:v>6.0325492148546444E-3</c:v>
                </c:pt>
                <c:pt idx="2">
                  <c:v>6.5113125920691576E-3</c:v>
                </c:pt>
                <c:pt idx="3">
                  <c:v>6.4034357512382451E-3</c:v>
                </c:pt>
                <c:pt idx="4">
                  <c:v>6.3865936250166915E-3</c:v>
                </c:pt>
                <c:pt idx="5">
                  <c:v>6.3699563813672342E-3</c:v>
                </c:pt>
                <c:pt idx="6">
                  <c:v>6.6716941524110132E-3</c:v>
                </c:pt>
                <c:pt idx="7">
                  <c:v>6.6577530718058145E-3</c:v>
                </c:pt>
                <c:pt idx="8">
                  <c:v>6.7329583070563324E-3</c:v>
                </c:pt>
                <c:pt idx="9">
                  <c:v>6.3993313095644412E-3</c:v>
                </c:pt>
                <c:pt idx="10">
                  <c:v>5.9699685102033734E-3</c:v>
                </c:pt>
                <c:pt idx="11">
                  <c:v>6.6495533927833595E-3</c:v>
                </c:pt>
                <c:pt idx="12">
                  <c:v>6.2709969417327803E-3</c:v>
                </c:pt>
                <c:pt idx="13">
                  <c:v>6.1967620325960827E-3</c:v>
                </c:pt>
                <c:pt idx="14">
                  <c:v>6.6401029263424343E-3</c:v>
                </c:pt>
                <c:pt idx="15">
                  <c:v>6.4663562135867034E-3</c:v>
                </c:pt>
                <c:pt idx="16">
                  <c:v>6.6074091878031921E-3</c:v>
                </c:pt>
                <c:pt idx="17">
                  <c:v>6.6645864253022579E-3</c:v>
                </c:pt>
                <c:pt idx="18">
                  <c:v>6.7267168537172052E-3</c:v>
                </c:pt>
                <c:pt idx="19">
                  <c:v>6.569495309510013E-3</c:v>
                </c:pt>
                <c:pt idx="20">
                  <c:v>6.6430105994709446E-3</c:v>
                </c:pt>
                <c:pt idx="21">
                  <c:v>6.5323353608719159E-3</c:v>
                </c:pt>
                <c:pt idx="22">
                  <c:v>6.4023455047763677E-3</c:v>
                </c:pt>
                <c:pt idx="23">
                  <c:v>6.4263500212847491E-3</c:v>
                </c:pt>
                <c:pt idx="25">
                  <c:v>6.5008842542315752E-3</c:v>
                </c:pt>
                <c:pt idx="26">
                  <c:v>6.5480535889073828E-3</c:v>
                </c:pt>
                <c:pt idx="27" formatCode="0.000000">
                  <c:v>6.5857890566480299E-3</c:v>
                </c:pt>
                <c:pt idx="28" formatCode="0.000000">
                  <c:v>6.6093737239859354E-3</c:v>
                </c:pt>
                <c:pt idx="29" formatCode="0.000000">
                  <c:v>6.6329583913238392E-3</c:v>
                </c:pt>
                <c:pt idx="30" formatCode="0.000000">
                  <c:v>6.6565430586617447E-3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0B-41C7-B115-B76CFCAB4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894815"/>
        <c:axId val="1454067215"/>
      </c:scatterChart>
      <c:valAx>
        <c:axId val="164289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454067215"/>
        <c:crosses val="autoZero"/>
        <c:crossBetween val="midCat"/>
      </c:valAx>
      <c:valAx>
        <c:axId val="14540672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42894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Denmark!$B$71</c:f>
          <c:strCache>
            <c:ptCount val="1"/>
            <c:pt idx="0">
              <c:v>Total Supply (GWh)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Denmark!$B$74</c:f>
              <c:strCache>
                <c:ptCount val="1"/>
                <c:pt idx="0">
                  <c:v>Normal year net production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Denmark!$C$58:$AG$58</c:f>
              <c:numCache>
                <c:formatCode>General</c:formatCode>
                <c:ptCount val="3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5">
                  <c:v>2015</c:v>
                </c:pt>
                <c:pt idx="26">
                  <c:v>2020</c:v>
                </c:pt>
                <c:pt idx="27">
                  <c:v>2025</c:v>
                </c:pt>
                <c:pt idx="28">
                  <c:v>2030</c:v>
                </c:pt>
                <c:pt idx="29">
                  <c:v>2035</c:v>
                </c:pt>
                <c:pt idx="30">
                  <c:v>2040</c:v>
                </c:pt>
              </c:numCache>
            </c:numRef>
          </c:xVal>
          <c:yVal>
            <c:numRef>
              <c:f>Denmark!$C$71:$AG$71</c:f>
              <c:numCache>
                <c:formatCode>0</c:formatCode>
                <c:ptCount val="31"/>
                <c:pt idx="0">
                  <c:v>32831.030555555553</c:v>
                </c:pt>
                <c:pt idx="1">
                  <c:v>35442.209444444437</c:v>
                </c:pt>
                <c:pt idx="2">
                  <c:v>35026.798888888887</c:v>
                </c:pt>
                <c:pt idx="3">
                  <c:v>36016.108333333337</c:v>
                </c:pt>
                <c:pt idx="4">
                  <c:v>35836.83861111111</c:v>
                </c:pt>
                <c:pt idx="5">
                  <c:v>35323.498055555552</c:v>
                </c:pt>
                <c:pt idx="6">
                  <c:v>35103.107777777775</c:v>
                </c:pt>
                <c:pt idx="7">
                  <c:v>34235.268888888888</c:v>
                </c:pt>
                <c:pt idx="8">
                  <c:v>35039.304444444439</c:v>
                </c:pt>
                <c:pt idx="9">
                  <c:v>35826.072777777779</c:v>
                </c:pt>
                <c:pt idx="10">
                  <c:v>41378.980000000003</c:v>
                </c:pt>
                <c:pt idx="11">
                  <c:v>36590.341944444437</c:v>
                </c:pt>
                <c:pt idx="12">
                  <c:v>37670.439722222225</c:v>
                </c:pt>
                <c:pt idx="13">
                  <c:v>37075.772222222222</c:v>
                </c:pt>
                <c:pt idx="14">
                  <c:v>33331.036111111112</c:v>
                </c:pt>
                <c:pt idx="15">
                  <c:v>35907.991666666661</c:v>
                </c:pt>
                <c:pt idx="16">
                  <c:v>37303.012222222227</c:v>
                </c:pt>
                <c:pt idx="17">
                  <c:v>37514.861388888887</c:v>
                </c:pt>
                <c:pt idx="18">
                  <c:v>37275.514722222222</c:v>
                </c:pt>
                <c:pt idx="19">
                  <c:v>36274.353333333333</c:v>
                </c:pt>
                <c:pt idx="20">
                  <c:v>35506.388333333336</c:v>
                </c:pt>
                <c:pt idx="21">
                  <c:v>39176.067777777775</c:v>
                </c:pt>
                <c:pt idx="22">
                  <c:v>35799.360000000001</c:v>
                </c:pt>
                <c:pt idx="23">
                  <c:v>36383.882222222222</c:v>
                </c:pt>
                <c:pt idx="25" formatCode="General">
                  <c:v>36498.648944111686</c:v>
                </c:pt>
                <c:pt idx="26" formatCode="General">
                  <c:v>37057.378764521905</c:v>
                </c:pt>
                <c:pt idx="27" formatCode="General">
                  <c:v>37429.725580530336</c:v>
                </c:pt>
                <c:pt idx="28" formatCode="General">
                  <c:v>37347.247565767742</c:v>
                </c:pt>
                <c:pt idx="29" formatCode="General">
                  <c:v>37092.25393148006</c:v>
                </c:pt>
                <c:pt idx="30" formatCode="General">
                  <c:v>36822.847063496985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D6-4D85-B894-C85D0AD34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894815"/>
        <c:axId val="1454067215"/>
      </c:scatterChart>
      <c:valAx>
        <c:axId val="164289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454067215"/>
        <c:crosses val="autoZero"/>
        <c:crossBetween val="midCat"/>
      </c:valAx>
      <c:valAx>
        <c:axId val="145406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42894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>
        <c:manualLayout>
          <c:layoutTarget val="inner"/>
          <c:xMode val="edge"/>
          <c:yMode val="edge"/>
          <c:x val="0.10541426071741031"/>
          <c:y val="0.17171296296296298"/>
          <c:w val="0.83314129483814525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Poland!$B$37</c:f>
              <c:strCache>
                <c:ptCount val="1"/>
                <c:pt idx="0">
                  <c:v>Normal year net DH supply /  pers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Poland!$C$27:$V$27</c:f>
              <c:numCache>
                <c:formatCode>General</c:formatCode>
                <c:ptCount val="2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4">
                  <c:v>2015</c:v>
                </c:pt>
                <c:pt idx="15">
                  <c:v>2020</c:v>
                </c:pt>
                <c:pt idx="16">
                  <c:v>2025</c:v>
                </c:pt>
                <c:pt idx="17">
                  <c:v>2030</c:v>
                </c:pt>
                <c:pt idx="18">
                  <c:v>2035</c:v>
                </c:pt>
                <c:pt idx="19">
                  <c:v>2040</c:v>
                </c:pt>
              </c:numCache>
            </c:numRef>
          </c:xVal>
          <c:yVal>
            <c:numRef>
              <c:f>Poland!$C$37:$V$37</c:f>
              <c:numCache>
                <c:formatCode>General</c:formatCode>
                <c:ptCount val="20"/>
                <c:pt idx="0">
                  <c:v>2.6389564597045488E-3</c:v>
                </c:pt>
                <c:pt idx="1">
                  <c:v>2.6458511905879307E-3</c:v>
                </c:pt>
                <c:pt idx="2">
                  <c:v>2.7329401142176224E-3</c:v>
                </c:pt>
                <c:pt idx="3">
                  <c:v>2.7140426843833697E-3</c:v>
                </c:pt>
                <c:pt idx="4">
                  <c:v>2.74521722085757E-3</c:v>
                </c:pt>
                <c:pt idx="5">
                  <c:v>2.8273388695957925E-3</c:v>
                </c:pt>
                <c:pt idx="6">
                  <c:v>2.8292699023244909E-3</c:v>
                </c:pt>
                <c:pt idx="7">
                  <c:v>2.9118123251814986E-3</c:v>
                </c:pt>
                <c:pt idx="8">
                  <c:v>2.8391799632027899E-3</c:v>
                </c:pt>
                <c:pt idx="9">
                  <c:v>2.6996988787463851E-3</c:v>
                </c:pt>
                <c:pt idx="10">
                  <c:v>2.8068173350357184E-3</c:v>
                </c:pt>
                <c:pt idx="11">
                  <c:v>2.8321221082055993E-3</c:v>
                </c:pt>
                <c:pt idx="12">
                  <c:v>#N/A</c:v>
                </c:pt>
                <c:pt idx="14">
                  <c:v>2.7295459531273825E-3</c:v>
                </c:pt>
                <c:pt idx="15">
                  <c:v>2.8076618888798338E-3</c:v>
                </c:pt>
                <c:pt idx="16" formatCode="0.000000">
                  <c:v>2.8701546374818032E-3</c:v>
                </c:pt>
                <c:pt idx="17" formatCode="0.000000">
                  <c:v>2.9092126053580324E-3</c:v>
                </c:pt>
                <c:pt idx="18" formatCode="0.000000">
                  <c:v>2.9482705732342615E-3</c:v>
                </c:pt>
                <c:pt idx="19" formatCode="0.000000">
                  <c:v>2.9873285411104906E-3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97-4DDB-A348-3D9989426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Latvia!$B$33</c:f>
          <c:strCache>
            <c:ptCount val="1"/>
            <c:pt idx="0">
              <c:v>Total Supply, GWh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Poland!$B$36</c:f>
              <c:strCache>
                <c:ptCount val="1"/>
                <c:pt idx="0">
                  <c:v>Normal year net production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Poland!$C$27:$V$27</c:f>
              <c:numCache>
                <c:formatCode>General</c:formatCode>
                <c:ptCount val="2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4">
                  <c:v>2015</c:v>
                </c:pt>
                <c:pt idx="15">
                  <c:v>2020</c:v>
                </c:pt>
                <c:pt idx="16">
                  <c:v>2025</c:v>
                </c:pt>
                <c:pt idx="17">
                  <c:v>2030</c:v>
                </c:pt>
                <c:pt idx="18">
                  <c:v>2035</c:v>
                </c:pt>
                <c:pt idx="19">
                  <c:v>2040</c:v>
                </c:pt>
              </c:numCache>
            </c:numRef>
          </c:xVal>
          <c:yVal>
            <c:numRef>
              <c:f>Poland!$C$33:$V$33</c:f>
              <c:numCache>
                <c:formatCode>General</c:formatCode>
                <c:ptCount val="20"/>
                <c:pt idx="0">
                  <c:v>111020.55244697999</c:v>
                </c:pt>
                <c:pt idx="1">
                  <c:v>109731.96914972698</c:v>
                </c:pt>
                <c:pt idx="2">
                  <c:v>100058.49719836199</c:v>
                </c:pt>
                <c:pt idx="3">
                  <c:v>99875.441647931992</c:v>
                </c:pt>
                <c:pt idx="4">
                  <c:v>106606.38590390999</c:v>
                </c:pt>
                <c:pt idx="5">
                  <c:v>109888.024700913</c:v>
                </c:pt>
                <c:pt idx="6">
                  <c:v>104447.274853254</c:v>
                </c:pt>
                <c:pt idx="7">
                  <c:v>101563.60826733</c:v>
                </c:pt>
                <c:pt idx="8">
                  <c:v>99641.663876699997</c:v>
                </c:pt>
                <c:pt idx="9">
                  <c:v>108494.41362882299</c:v>
                </c:pt>
                <c:pt idx="10">
                  <c:v>102947.58045080099</c:v>
                </c:pt>
                <c:pt idx="11">
                  <c:v>96135.275085989997</c:v>
                </c:pt>
                <c:pt idx="12">
                  <c:v>93190.802946212993</c:v>
                </c:pt>
                <c:pt idx="14">
                  <c:v>105456.85990381325</c:v>
                </c:pt>
                <c:pt idx="15">
                  <c:v>104492.20515982954</c:v>
                </c:pt>
                <c:pt idx="16">
                  <c:v>102750.08806987744</c:v>
                </c:pt>
                <c:pt idx="17">
                  <c:v>100826.73774591614</c:v>
                </c:pt>
                <c:pt idx="18">
                  <c:v>99052.832623670547</c:v>
                </c:pt>
                <c:pt idx="19">
                  <c:v>97218.764524884857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8C-44FC-AF9F-35F77552A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Poland!$B$34</c:f>
              <c:strCache>
                <c:ptCount val="1"/>
                <c:pt idx="0">
                  <c:v>HDD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Poland!$C$27:$V$27</c:f>
              <c:numCache>
                <c:formatCode>General</c:formatCode>
                <c:ptCount val="2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4">
                  <c:v>2015</c:v>
                </c:pt>
                <c:pt idx="15">
                  <c:v>2020</c:v>
                </c:pt>
                <c:pt idx="16">
                  <c:v>2025</c:v>
                </c:pt>
                <c:pt idx="17">
                  <c:v>2030</c:v>
                </c:pt>
                <c:pt idx="18">
                  <c:v>2035</c:v>
                </c:pt>
                <c:pt idx="19">
                  <c:v>2040</c:v>
                </c:pt>
              </c:numCache>
            </c:numRef>
          </c:xVal>
          <c:yVal>
            <c:numRef>
              <c:f>Poland!$C$34:$V$34</c:f>
              <c:numCache>
                <c:formatCode>General</c:formatCode>
                <c:ptCount val="20"/>
                <c:pt idx="0">
                  <c:v>3551.16</c:v>
                </c:pt>
                <c:pt idx="1">
                  <c:v>3502.91</c:v>
                </c:pt>
                <c:pt idx="2">
                  <c:v>3094.64</c:v>
                </c:pt>
                <c:pt idx="3">
                  <c:v>3112.56</c:v>
                </c:pt>
                <c:pt idx="4">
                  <c:v>3286.01</c:v>
                </c:pt>
                <c:pt idx="5">
                  <c:v>3288.37</c:v>
                </c:pt>
                <c:pt idx="6">
                  <c:v>3123.43</c:v>
                </c:pt>
                <c:pt idx="7">
                  <c:v>2951.82</c:v>
                </c:pt>
                <c:pt idx="8">
                  <c:v>3005.65</c:v>
                </c:pt>
                <c:pt idx="9">
                  <c:v>3491.49</c:v>
                </c:pt>
                <c:pt idx="10">
                  <c:v>3200.38</c:v>
                </c:pt>
                <c:pt idx="11">
                  <c:v>2972.75</c:v>
                </c:pt>
                <c:pt idx="12">
                  <c:v>#N/A</c:v>
                </c:pt>
                <c:pt idx="14">
                  <c:v>3270.0191710144936</c:v>
                </c:pt>
                <c:pt idx="15">
                  <c:v>3189.4781057971049</c:v>
                </c:pt>
                <c:pt idx="16">
                  <c:v>3108.9370405797126</c:v>
                </c:pt>
                <c:pt idx="17">
                  <c:v>3028.3959753623203</c:v>
                </c:pt>
                <c:pt idx="18">
                  <c:v>2947.8549101449316</c:v>
                </c:pt>
                <c:pt idx="19">
                  <c:v>2867.3138449275357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A4-4A01-A5F7-92398C5FF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Poland!$B$35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Poland!$C$27:$V$27</c:f>
              <c:numCache>
                <c:formatCode>General</c:formatCode>
                <c:ptCount val="2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4">
                  <c:v>2015</c:v>
                </c:pt>
                <c:pt idx="15">
                  <c:v>2020</c:v>
                </c:pt>
                <c:pt idx="16">
                  <c:v>2025</c:v>
                </c:pt>
                <c:pt idx="17">
                  <c:v>2030</c:v>
                </c:pt>
                <c:pt idx="18">
                  <c:v>2035</c:v>
                </c:pt>
                <c:pt idx="19">
                  <c:v>2040</c:v>
                </c:pt>
              </c:numCache>
            </c:numRef>
          </c:xVal>
          <c:yVal>
            <c:numRef>
              <c:f>Poland!$C$35:$V$35</c:f>
              <c:numCache>
                <c:formatCode>General</c:formatCode>
                <c:ptCount val="20"/>
                <c:pt idx="0">
                  <c:v>38063164</c:v>
                </c:pt>
                <c:pt idx="1">
                  <c:v>38040196</c:v>
                </c:pt>
                <c:pt idx="2">
                  <c:v>38011735</c:v>
                </c:pt>
                <c:pt idx="3">
                  <c:v>37986412</c:v>
                </c:pt>
                <c:pt idx="4">
                  <c:v>37970087</c:v>
                </c:pt>
                <c:pt idx="5">
                  <c:v>37974826</c:v>
                </c:pt>
                <c:pt idx="6">
                  <c:v>37974750</c:v>
                </c:pt>
                <c:pt idx="7">
                  <c:v>37965475</c:v>
                </c:pt>
                <c:pt idx="8">
                  <c:v>37515748</c:v>
                </c:pt>
                <c:pt idx="9">
                  <c:v>36981559</c:v>
                </c:pt>
                <c:pt idx="10">
                  <c:v>36821749</c:v>
                </c:pt>
                <c:pt idx="11">
                  <c:v>36687353</c:v>
                </c:pt>
                <c:pt idx="12">
                  <c:v>#N/A</c:v>
                </c:pt>
                <c:pt idx="14">
                  <c:v>37986412</c:v>
                </c:pt>
                <c:pt idx="15">
                  <c:v>37515748</c:v>
                </c:pt>
                <c:pt idx="16">
                  <c:v>37021936.123809502</c:v>
                </c:pt>
                <c:pt idx="17">
                  <c:v>36794401.454166651</c:v>
                </c:pt>
                <c:pt idx="18">
                  <c:v>36642711.67440474</c:v>
                </c:pt>
                <c:pt idx="19">
                  <c:v>36491021.894642837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82-4B20-9658-3584D8801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Germany!$B$37</c:f>
              <c:strCache>
                <c:ptCount val="1"/>
                <c:pt idx="0">
                  <c:v>Normal year net DH supply /  pers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Germany!$C$28:$AL$28</c:f>
              <c:numCache>
                <c:formatCode>General</c:formatCode>
                <c:ptCount val="3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2">
                  <c:v>2015</c:v>
                </c:pt>
                <c:pt idx="13">
                  <c:v>2020</c:v>
                </c:pt>
                <c:pt idx="14">
                  <c:v>2025</c:v>
                </c:pt>
                <c:pt idx="15">
                  <c:v>2030</c:v>
                </c:pt>
                <c:pt idx="16">
                  <c:v>2035</c:v>
                </c:pt>
                <c:pt idx="17">
                  <c:v>2040</c:v>
                </c:pt>
              </c:numCache>
            </c:numRef>
          </c:xVal>
          <c:yVal>
            <c:numRef>
              <c:f>Germany!$C$37:$AL$37</c:f>
              <c:numCache>
                <c:formatCode>General</c:formatCode>
                <c:ptCount val="36"/>
                <c:pt idx="0">
                  <c:v>1.0295329128664724E-3</c:v>
                </c:pt>
                <c:pt idx="1">
                  <c:v>9.9598239628740791E-4</c:v>
                </c:pt>
                <c:pt idx="2">
                  <c:v>9.7001008879550729E-4</c:v>
                </c:pt>
                <c:pt idx="3">
                  <c:v>1.0038928719391306E-3</c:v>
                </c:pt>
                <c:pt idx="4">
                  <c:v>1.0347775547202823E-3</c:v>
                </c:pt>
                <c:pt idx="5">
                  <c:v>9.9576784391331905E-4</c:v>
                </c:pt>
                <c:pt idx="6">
                  <c:v>9.6752201015083835E-4</c:v>
                </c:pt>
                <c:pt idx="7">
                  <c:v>9.2992185222495467E-4</c:v>
                </c:pt>
                <c:pt idx="8">
                  <c:v>9.3426659046449121E-4</c:v>
                </c:pt>
                <c:pt idx="9">
                  <c:v>8.5634012286375512E-4</c:v>
                </c:pt>
                <c:pt idx="12">
                  <c:v>1.0214231353579684E-3</c:v>
                </c:pt>
                <c:pt idx="13">
                  <c:v>9.5053497687889316E-4</c:v>
                </c:pt>
                <c:pt idx="14">
                  <c:v>8.7964681839981795E-4</c:v>
                </c:pt>
                <c:pt idx="15">
                  <c:v>8.0875865992074275E-4</c:v>
                </c:pt>
                <c:pt idx="16">
                  <c:v>7.3787050144166755E-4</c:v>
                </c:pt>
                <c:pt idx="17">
                  <c:v>6.6698234296259581E-4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C0-46AC-B622-795D4C7F7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Latvia!$B$33</c:f>
          <c:strCache>
            <c:ptCount val="1"/>
            <c:pt idx="0">
              <c:v>Total Supply, GWh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Germany!$B$36</c:f>
              <c:strCache>
                <c:ptCount val="1"/>
                <c:pt idx="0">
                  <c:v>Normal year net production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Germany!$C$28:$AL$28</c:f>
              <c:numCache>
                <c:formatCode>General</c:formatCode>
                <c:ptCount val="3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2">
                  <c:v>2015</c:v>
                </c:pt>
                <c:pt idx="13">
                  <c:v>2020</c:v>
                </c:pt>
                <c:pt idx="14">
                  <c:v>2025</c:v>
                </c:pt>
                <c:pt idx="15">
                  <c:v>2030</c:v>
                </c:pt>
                <c:pt idx="16">
                  <c:v>2035</c:v>
                </c:pt>
                <c:pt idx="17">
                  <c:v>2040</c:v>
                </c:pt>
              </c:numCache>
            </c:numRef>
          </c:xVal>
          <c:yVal>
            <c:numRef>
              <c:f>Germany!$C$33:$AL$33</c:f>
              <c:numCache>
                <c:formatCode>General</c:formatCode>
                <c:ptCount val="36"/>
                <c:pt idx="0">
                  <c:v>77200</c:v>
                </c:pt>
                <c:pt idx="1">
                  <c:v>82400</c:v>
                </c:pt>
                <c:pt idx="2">
                  <c:v>83700</c:v>
                </c:pt>
                <c:pt idx="3">
                  <c:v>85700</c:v>
                </c:pt>
                <c:pt idx="4">
                  <c:v>82900</c:v>
                </c:pt>
                <c:pt idx="5">
                  <c:v>80700</c:v>
                </c:pt>
                <c:pt idx="6">
                  <c:v>76800</c:v>
                </c:pt>
                <c:pt idx="7">
                  <c:v>83900</c:v>
                </c:pt>
                <c:pt idx="8">
                  <c:v>74600</c:v>
                </c:pt>
                <c:pt idx="9">
                  <c:v>66600</c:v>
                </c:pt>
                <c:pt idx="12">
                  <c:v>86539.254903375302</c:v>
                </c:pt>
                <c:pt idx="13">
                  <c:v>79922.015873496857</c:v>
                </c:pt>
                <c:pt idx="14">
                  <c:v>72784.340421351968</c:v>
                </c:pt>
                <c:pt idx="15">
                  <c:v>65586.133790643624</c:v>
                </c:pt>
                <c:pt idx="16">
                  <c:v>58468.851577600573</c:v>
                </c:pt>
                <c:pt idx="17">
                  <c:v>51601.301370705274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01-4FC8-A722-3E40F30D9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Germany!$B$34</c:f>
              <c:strCache>
                <c:ptCount val="1"/>
                <c:pt idx="0">
                  <c:v>HDD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Germany!$C$28:$AL$28</c:f>
              <c:numCache>
                <c:formatCode>General</c:formatCode>
                <c:ptCount val="3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2">
                  <c:v>2015</c:v>
                </c:pt>
                <c:pt idx="13">
                  <c:v>2020</c:v>
                </c:pt>
                <c:pt idx="14">
                  <c:v>2025</c:v>
                </c:pt>
                <c:pt idx="15">
                  <c:v>2030</c:v>
                </c:pt>
                <c:pt idx="16">
                  <c:v>2035</c:v>
                </c:pt>
                <c:pt idx="17">
                  <c:v>2040</c:v>
                </c:pt>
              </c:numCache>
            </c:numRef>
          </c:xVal>
          <c:yVal>
            <c:numRef>
              <c:f>Germany!$C$34:$AL$34</c:f>
              <c:numCache>
                <c:formatCode>General</c:formatCode>
                <c:ptCount val="36"/>
                <c:pt idx="0">
                  <c:v>2659</c:v>
                </c:pt>
                <c:pt idx="1">
                  <c:v>2908.42</c:v>
                </c:pt>
                <c:pt idx="2">
                  <c:v>3009.02</c:v>
                </c:pt>
                <c:pt idx="3">
                  <c:v>2965.83</c:v>
                </c:pt>
                <c:pt idx="4">
                  <c:v>2774.95</c:v>
                </c:pt>
                <c:pt idx="5">
                  <c:v>2800.81</c:v>
                </c:pt>
                <c:pt idx="6">
                  <c:v>2741.03</c:v>
                </c:pt>
                <c:pt idx="7">
                  <c:v>3114.19</c:v>
                </c:pt>
                <c:pt idx="8">
                  <c:v>2736.32</c:v>
                </c:pt>
                <c:pt idx="9">
                  <c:v>2661.88</c:v>
                </c:pt>
                <c:pt idx="12">
                  <c:v>2942.6466449275395</c:v>
                </c:pt>
                <c:pt idx="13">
                  <c:v>2868.5394710144938</c:v>
                </c:pt>
                <c:pt idx="14">
                  <c:v>2794.4322971014517</c:v>
                </c:pt>
                <c:pt idx="15">
                  <c:v>2720.3251231884096</c:v>
                </c:pt>
                <c:pt idx="16">
                  <c:v>2646.2179492753639</c:v>
                </c:pt>
                <c:pt idx="17">
                  <c:v>2572.1107753623219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AC-44EE-8693-FB3EBF549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Germany!$B$35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Germany!$C$28:$AL$28</c:f>
              <c:numCache>
                <c:formatCode>General</c:formatCode>
                <c:ptCount val="3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2">
                  <c:v>2015</c:v>
                </c:pt>
                <c:pt idx="13">
                  <c:v>2020</c:v>
                </c:pt>
                <c:pt idx="14">
                  <c:v>2025</c:v>
                </c:pt>
                <c:pt idx="15">
                  <c:v>2030</c:v>
                </c:pt>
                <c:pt idx="16">
                  <c:v>2035</c:v>
                </c:pt>
                <c:pt idx="17">
                  <c:v>2040</c:v>
                </c:pt>
              </c:numCache>
            </c:numRef>
          </c:xVal>
          <c:yVal>
            <c:numRef>
              <c:f>Germany!$C$35:$AL$35</c:f>
              <c:numCache>
                <c:formatCode>General</c:formatCode>
                <c:ptCount val="36"/>
                <c:pt idx="0">
                  <c:v>80982500</c:v>
                </c:pt>
                <c:pt idx="1">
                  <c:v>81686611</c:v>
                </c:pt>
                <c:pt idx="2">
                  <c:v>82348669</c:v>
                </c:pt>
                <c:pt idx="3">
                  <c:v>82657002</c:v>
                </c:pt>
                <c:pt idx="4">
                  <c:v>82905782</c:v>
                </c:pt>
                <c:pt idx="5">
                  <c:v>83092962</c:v>
                </c:pt>
                <c:pt idx="6">
                  <c:v>83160871</c:v>
                </c:pt>
                <c:pt idx="7">
                  <c:v>83196078</c:v>
                </c:pt>
                <c:pt idx="8">
                  <c:v>83797985</c:v>
                </c:pt>
                <c:pt idx="9">
                  <c:v>83901923</c:v>
                </c:pt>
                <c:pt idx="12">
                  <c:v>81686611</c:v>
                </c:pt>
                <c:pt idx="13">
                  <c:v>83160871</c:v>
                </c:pt>
                <c:pt idx="14">
                  <c:v>84007402.114285767</c:v>
                </c:pt>
                <c:pt idx="15">
                  <c:v>84577297.962500036</c:v>
                </c:pt>
                <c:pt idx="16">
                  <c:v>84957228.52797623</c:v>
                </c:pt>
                <c:pt idx="17">
                  <c:v>85337159.093452409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84-4FD9-B008-10285647C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Austria!$B$37</c:f>
              <c:strCache>
                <c:ptCount val="1"/>
                <c:pt idx="0">
                  <c:v>Normal year net DH supply /  pers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Austria!$C$27:$AG$27</c:f>
              <c:numCache>
                <c:formatCode>General</c:formatCode>
                <c:ptCount val="3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5">
                  <c:v>2015</c:v>
                </c:pt>
                <c:pt idx="26">
                  <c:v>2020</c:v>
                </c:pt>
                <c:pt idx="27">
                  <c:v>2025</c:v>
                </c:pt>
                <c:pt idx="28">
                  <c:v>2030</c:v>
                </c:pt>
                <c:pt idx="29">
                  <c:v>2035</c:v>
                </c:pt>
                <c:pt idx="30">
                  <c:v>2040</c:v>
                </c:pt>
              </c:numCache>
            </c:numRef>
          </c:xVal>
          <c:yVal>
            <c:numRef>
              <c:f>Austria!$C$37:$AG$37</c:f>
              <c:numCache>
                <c:formatCode>General</c:formatCode>
                <c:ptCount val="31"/>
                <c:pt idx="0">
                  <c:v>1.3376009437174366E-3</c:v>
                </c:pt>
                <c:pt idx="1">
                  <c:v>1.2842840768353967E-3</c:v>
                </c:pt>
                <c:pt idx="2">
                  <c:v>1.3626914005515334E-3</c:v>
                </c:pt>
                <c:pt idx="3">
                  <c:v>1.3729019749321209E-3</c:v>
                </c:pt>
                <c:pt idx="4">
                  <c:v>1.4357934580490484E-3</c:v>
                </c:pt>
                <c:pt idx="5">
                  <c:v>1.3640804753863491E-3</c:v>
                </c:pt>
                <c:pt idx="6">
                  <c:v>1.4481579672709936E-3</c:v>
                </c:pt>
                <c:pt idx="7">
                  <c:v>1.5586911312599431E-3</c:v>
                </c:pt>
                <c:pt idx="8">
                  <c:v>1.6690368877047134E-3</c:v>
                </c:pt>
                <c:pt idx="9">
                  <c:v>1.7144959045578576E-3</c:v>
                </c:pt>
                <c:pt idx="10">
                  <c:v>1.6947349549290322E-3</c:v>
                </c:pt>
                <c:pt idx="11">
                  <c:v>1.9319208087357491E-3</c:v>
                </c:pt>
                <c:pt idx="12">
                  <c:v>1.9342487882635783E-3</c:v>
                </c:pt>
                <c:pt idx="13">
                  <c:v>1.9434925815001228E-3</c:v>
                </c:pt>
                <c:pt idx="14">
                  <c:v>2.0496092924334026E-3</c:v>
                </c:pt>
                <c:pt idx="15">
                  <c:v>2.0370866530073513E-3</c:v>
                </c:pt>
                <c:pt idx="16">
                  <c:v>2.0655656269947045E-3</c:v>
                </c:pt>
                <c:pt idx="17">
                  <c:v>2.0808378847461885E-3</c:v>
                </c:pt>
                <c:pt idx="18">
                  <c:v>2.1452219785286922E-3</c:v>
                </c:pt>
                <c:pt idx="19">
                  <c:v>2.0943621350987319E-3</c:v>
                </c:pt>
                <c:pt idx="20">
                  <c:v>2.1001828651778832E-3</c:v>
                </c:pt>
                <c:pt idx="21">
                  <c:v>2.0908109019922121E-3</c:v>
                </c:pt>
                <c:pt idx="22">
                  <c:v>2.0949356067863035E-3</c:v>
                </c:pt>
                <c:pt idx="23">
                  <c:v>2.085086535990063E-3</c:v>
                </c:pt>
                <c:pt idx="25">
                  <c:v>1.9348880071019259E-3</c:v>
                </c:pt>
                <c:pt idx="26">
                  <c:v>2.2561442777213198E-3</c:v>
                </c:pt>
                <c:pt idx="27" formatCode="0.000000">
                  <c:v>2.1538529978509177E-3</c:v>
                </c:pt>
                <c:pt idx="28" formatCode="0.000000">
                  <c:v>2.2817170976889289E-3</c:v>
                </c:pt>
                <c:pt idx="29" formatCode="0.000000">
                  <c:v>2.4095811975269402E-3</c:v>
                </c:pt>
                <c:pt idx="30" formatCode="0.000000">
                  <c:v>2.5374452973649583E-3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CE-43C6-A042-CD4EE8558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Latvia!$B$33</c:f>
          <c:strCache>
            <c:ptCount val="1"/>
            <c:pt idx="0">
              <c:v>Total Supply, GWh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Austria!$B$36</c:f>
              <c:strCache>
                <c:ptCount val="1"/>
                <c:pt idx="0">
                  <c:v>Normal year net production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Austria!$C$27:$AG$27</c:f>
              <c:numCache>
                <c:formatCode>General</c:formatCode>
                <c:ptCount val="3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5">
                  <c:v>2015</c:v>
                </c:pt>
                <c:pt idx="26">
                  <c:v>2020</c:v>
                </c:pt>
                <c:pt idx="27">
                  <c:v>2025</c:v>
                </c:pt>
                <c:pt idx="28">
                  <c:v>2030</c:v>
                </c:pt>
                <c:pt idx="29">
                  <c:v>2035</c:v>
                </c:pt>
                <c:pt idx="30">
                  <c:v>2040</c:v>
                </c:pt>
              </c:numCache>
            </c:numRef>
          </c:xVal>
          <c:yVal>
            <c:numRef>
              <c:f>Austria!$C$33:$AG$33</c:f>
              <c:numCache>
                <c:formatCode>General</c:formatCode>
                <c:ptCount val="31"/>
                <c:pt idx="0">
                  <c:v>10151.117941301622</c:v>
                </c:pt>
                <c:pt idx="1">
                  <c:v>10754.29206535722</c:v>
                </c:pt>
                <c:pt idx="2">
                  <c:v>10652.182203734252</c:v>
                </c:pt>
                <c:pt idx="3">
                  <c:v>11474.760293728423</c:v>
                </c:pt>
                <c:pt idx="4">
                  <c:v>12186.368951185183</c:v>
                </c:pt>
                <c:pt idx="5">
                  <c:v>12018.208196585785</c:v>
                </c:pt>
                <c:pt idx="6">
                  <c:v>12142.61722964914</c:v>
                </c:pt>
                <c:pt idx="7">
                  <c:v>12084.027061979004</c:v>
                </c:pt>
                <c:pt idx="8">
                  <c:v>13293.257584368082</c:v>
                </c:pt>
                <c:pt idx="9">
                  <c:v>13931.26068195643</c:v>
                </c:pt>
                <c:pt idx="10">
                  <c:v>15383.33411628652</c:v>
                </c:pt>
                <c:pt idx="11">
                  <c:v>15358.390433396042</c:v>
                </c:pt>
                <c:pt idx="12">
                  <c:v>16097.670349917464</c:v>
                </c:pt>
                <c:pt idx="13">
                  <c:v>16648.387445014581</c:v>
                </c:pt>
                <c:pt idx="14">
                  <c:v>15220.323297333252</c:v>
                </c:pt>
                <c:pt idx="15">
                  <c:v>16224.642267282605</c:v>
                </c:pt>
                <c:pt idx="16">
                  <c:v>17146.23413267636</c:v>
                </c:pt>
                <c:pt idx="17">
                  <c:v>17794.098440277241</c:v>
                </c:pt>
                <c:pt idx="18">
                  <c:v>16830.000543246169</c:v>
                </c:pt>
                <c:pt idx="19">
                  <c:v>16947.872143211262</c:v>
                </c:pt>
                <c:pt idx="20">
                  <c:v>17288.764689508531</c:v>
                </c:pt>
                <c:pt idx="21">
                  <c:v>18905.305637447575</c:v>
                </c:pt>
                <c:pt idx="22">
                  <c:v>16994.845747082858</c:v>
                </c:pt>
                <c:pt idx="23">
                  <c:v>16653.686658511699</c:v>
                </c:pt>
                <c:pt idx="25">
                  <c:v>16426.349681898144</c:v>
                </c:pt>
                <c:pt idx="26">
                  <c:v>18616.137306948622</c:v>
                </c:pt>
                <c:pt idx="27">
                  <c:v>17784.725449979884</c:v>
                </c:pt>
                <c:pt idx="28">
                  <c:v>18619.691469103796</c:v>
                </c:pt>
                <c:pt idx="29">
                  <c:v>19313.145036635495</c:v>
                </c:pt>
                <c:pt idx="30">
                  <c:v>19957.403771002868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0-43ED-854F-DEB8099F6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Austria!$B$34</c:f>
              <c:strCache>
                <c:ptCount val="1"/>
                <c:pt idx="0">
                  <c:v>HDD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Austria!$C$27:$AG$27</c:f>
              <c:numCache>
                <c:formatCode>General</c:formatCode>
                <c:ptCount val="3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5">
                  <c:v>2015</c:v>
                </c:pt>
                <c:pt idx="26">
                  <c:v>2020</c:v>
                </c:pt>
                <c:pt idx="27">
                  <c:v>2025</c:v>
                </c:pt>
                <c:pt idx="28">
                  <c:v>2030</c:v>
                </c:pt>
                <c:pt idx="29">
                  <c:v>2035</c:v>
                </c:pt>
                <c:pt idx="30">
                  <c:v>2040</c:v>
                </c:pt>
              </c:numCache>
            </c:numRef>
          </c:xVal>
          <c:yVal>
            <c:numRef>
              <c:f>Austria!$C$34:$AG$34</c:f>
              <c:numCache>
                <c:formatCode>General</c:formatCode>
                <c:ptCount val="31"/>
                <c:pt idx="0">
                  <c:v>3408.97</c:v>
                </c:pt>
                <c:pt idx="1">
                  <c:v>3747.09</c:v>
                </c:pt>
                <c:pt idx="2">
                  <c:v>3480.79</c:v>
                </c:pt>
                <c:pt idx="3">
                  <c:v>3703.61</c:v>
                </c:pt>
                <c:pt idx="4">
                  <c:v>3737.74</c:v>
                </c:pt>
                <c:pt idx="5">
                  <c:v>3853.61</c:v>
                </c:pt>
                <c:pt idx="6">
                  <c:v>3649.35</c:v>
                </c:pt>
                <c:pt idx="7">
                  <c:v>3363.28</c:v>
                </c:pt>
                <c:pt idx="8">
                  <c:v>3444.43</c:v>
                </c:pt>
                <c:pt idx="9">
                  <c:v>3504.84</c:v>
                </c:pt>
                <c:pt idx="10">
                  <c:v>3905.88</c:v>
                </c:pt>
                <c:pt idx="11">
                  <c:v>3409.28</c:v>
                </c:pt>
                <c:pt idx="12">
                  <c:v>3552.85</c:v>
                </c:pt>
                <c:pt idx="13">
                  <c:v>3635.43</c:v>
                </c:pt>
                <c:pt idx="14">
                  <c:v>3126.98</c:v>
                </c:pt>
                <c:pt idx="15">
                  <c:v>3316.42</c:v>
                </c:pt>
                <c:pt idx="16">
                  <c:v>3419.3</c:v>
                </c:pt>
                <c:pt idx="17">
                  <c:v>3498.07</c:v>
                </c:pt>
                <c:pt idx="18">
                  <c:v>3193.65</c:v>
                </c:pt>
                <c:pt idx="19">
                  <c:v>3279.5</c:v>
                </c:pt>
                <c:pt idx="20">
                  <c:v>3322.37</c:v>
                </c:pt>
                <c:pt idx="21">
                  <c:v>3633.44</c:v>
                </c:pt>
                <c:pt idx="22">
                  <c:v>3228.81</c:v>
                </c:pt>
                <c:pt idx="23">
                  <c:v>3147.64</c:v>
                </c:pt>
                <c:pt idx="25">
                  <c:v>3420.1120884057964</c:v>
                </c:pt>
                <c:pt idx="26">
                  <c:v>3331.9787623188386</c:v>
                </c:pt>
                <c:pt idx="27">
                  <c:v>3243.8454362318807</c:v>
                </c:pt>
                <c:pt idx="28">
                  <c:v>3155.7121101449229</c:v>
                </c:pt>
                <c:pt idx="29">
                  <c:v>3067.5787840579651</c:v>
                </c:pt>
                <c:pt idx="30">
                  <c:v>2979.4454579710145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6F-499A-981A-4D51D7701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Austria!$B$35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Austria!$C$27:$AG$27</c:f>
              <c:numCache>
                <c:formatCode>General</c:formatCode>
                <c:ptCount val="3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5">
                  <c:v>2015</c:v>
                </c:pt>
                <c:pt idx="26">
                  <c:v>2020</c:v>
                </c:pt>
                <c:pt idx="27">
                  <c:v>2025</c:v>
                </c:pt>
                <c:pt idx="28">
                  <c:v>2030</c:v>
                </c:pt>
                <c:pt idx="29">
                  <c:v>2035</c:v>
                </c:pt>
                <c:pt idx="30">
                  <c:v>2040</c:v>
                </c:pt>
              </c:numCache>
            </c:numRef>
          </c:xVal>
          <c:yVal>
            <c:numRef>
              <c:f>Austria!$C$35:$AG$35</c:f>
              <c:numCache>
                <c:formatCode>General</c:formatCode>
                <c:ptCount val="31"/>
                <c:pt idx="0">
                  <c:v>8011566</c:v>
                </c:pt>
                <c:pt idx="1">
                  <c:v>8042293</c:v>
                </c:pt>
                <c:pt idx="2">
                  <c:v>8081957</c:v>
                </c:pt>
                <c:pt idx="3">
                  <c:v>8121423</c:v>
                </c:pt>
                <c:pt idx="4">
                  <c:v>8171966</c:v>
                </c:pt>
                <c:pt idx="5">
                  <c:v>8227829</c:v>
                </c:pt>
                <c:pt idx="6">
                  <c:v>8268641</c:v>
                </c:pt>
                <c:pt idx="7">
                  <c:v>8295487</c:v>
                </c:pt>
                <c:pt idx="8">
                  <c:v>8321496</c:v>
                </c:pt>
                <c:pt idx="9">
                  <c:v>8343323</c:v>
                </c:pt>
                <c:pt idx="10">
                  <c:v>8363404</c:v>
                </c:pt>
                <c:pt idx="11">
                  <c:v>8391643</c:v>
                </c:pt>
                <c:pt idx="12">
                  <c:v>8429991</c:v>
                </c:pt>
                <c:pt idx="13">
                  <c:v>8479823</c:v>
                </c:pt>
                <c:pt idx="14">
                  <c:v>8546356</c:v>
                </c:pt>
                <c:pt idx="15">
                  <c:v>8642699</c:v>
                </c:pt>
                <c:pt idx="16">
                  <c:v>8736668</c:v>
                </c:pt>
                <c:pt idx="17">
                  <c:v>8797566</c:v>
                </c:pt>
                <c:pt idx="18">
                  <c:v>8840521</c:v>
                </c:pt>
                <c:pt idx="19">
                  <c:v>8879920</c:v>
                </c:pt>
                <c:pt idx="20">
                  <c:v>8916864</c:v>
                </c:pt>
                <c:pt idx="21">
                  <c:v>8955797</c:v>
                </c:pt>
                <c:pt idx="22">
                  <c:v>9041851</c:v>
                </c:pt>
                <c:pt idx="23">
                  <c:v>9131761</c:v>
                </c:pt>
                <c:pt idx="25">
                  <c:v>8642699</c:v>
                </c:pt>
                <c:pt idx="26">
                  <c:v>8916864</c:v>
                </c:pt>
                <c:pt idx="27">
                  <c:v>9165636.219047606</c:v>
                </c:pt>
                <c:pt idx="28">
                  <c:v>9311185.308333315</c:v>
                </c:pt>
                <c:pt idx="29">
                  <c:v>9408218.0345237926</c:v>
                </c:pt>
                <c:pt idx="30">
                  <c:v>9505250.7607142702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03-463A-B4D1-18FC51DA5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136287"/>
        <c:axId val="1602673967"/>
      </c:scatterChart>
      <c:valAx>
        <c:axId val="15811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602673967"/>
        <c:crosses val="autoZero"/>
        <c:crossBetween val="midCat"/>
      </c:valAx>
      <c:valAx>
        <c:axId val="1602673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8113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POP!$A$6</c:f>
              <c:strCache>
                <c:ptCount val="1"/>
                <c:pt idx="0">
                  <c:v>Väkiluku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POP!$B$5:$AE$5</c:f>
              <c:numCache>
                <c:formatCode>General</c:formatCode>
                <c:ptCount val="3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6">
                  <c:v>2025</c:v>
                </c:pt>
                <c:pt idx="27">
                  <c:v>2030</c:v>
                </c:pt>
                <c:pt idx="28">
                  <c:v>2035</c:v>
                </c:pt>
                <c:pt idx="29">
                  <c:v>2040</c:v>
                </c:pt>
              </c:numCache>
            </c:numRef>
          </c:xVal>
          <c:yVal>
            <c:numRef>
              <c:f>POP!$B$6:$AE$6</c:f>
              <c:numCache>
                <c:formatCode>General</c:formatCode>
                <c:ptCount val="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3E-4E46-BD4E-56B80D961382}"/>
            </c:ext>
          </c:extLst>
        </c:ser>
        <c:ser>
          <c:idx val="1"/>
          <c:order val="1"/>
          <c:tx>
            <c:strRef>
              <c:f>POP!$A$7</c:f>
              <c:strCache>
                <c:ptCount val="1"/>
                <c:pt idx="0">
                  <c:v>Espoo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POP!$B$5:$AE$5</c:f>
              <c:numCache>
                <c:formatCode>General</c:formatCode>
                <c:ptCount val="3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6">
                  <c:v>2025</c:v>
                </c:pt>
                <c:pt idx="27">
                  <c:v>2030</c:v>
                </c:pt>
                <c:pt idx="28">
                  <c:v>2035</c:v>
                </c:pt>
                <c:pt idx="29">
                  <c:v>2040</c:v>
                </c:pt>
              </c:numCache>
            </c:numRef>
          </c:xVal>
          <c:yVal>
            <c:numRef>
              <c:f>POP!$B$7:$AE$7</c:f>
              <c:numCache>
                <c:formatCode>General</c:formatCode>
                <c:ptCount val="30"/>
                <c:pt idx="0">
                  <c:v>213271</c:v>
                </c:pt>
                <c:pt idx="1">
                  <c:v>216836</c:v>
                </c:pt>
                <c:pt idx="2">
                  <c:v>221597</c:v>
                </c:pt>
                <c:pt idx="3">
                  <c:v>224231</c:v>
                </c:pt>
                <c:pt idx="4">
                  <c:v>227472</c:v>
                </c:pt>
                <c:pt idx="5">
                  <c:v>231704</c:v>
                </c:pt>
                <c:pt idx="6">
                  <c:v>235019</c:v>
                </c:pt>
                <c:pt idx="7">
                  <c:v>238047</c:v>
                </c:pt>
                <c:pt idx="8">
                  <c:v>241565</c:v>
                </c:pt>
                <c:pt idx="9">
                  <c:v>244330</c:v>
                </c:pt>
                <c:pt idx="10">
                  <c:v>247970</c:v>
                </c:pt>
                <c:pt idx="11">
                  <c:v>252439</c:v>
                </c:pt>
                <c:pt idx="12">
                  <c:v>256824</c:v>
                </c:pt>
                <c:pt idx="13">
                  <c:v>260753</c:v>
                </c:pt>
                <c:pt idx="14">
                  <c:v>265543</c:v>
                </c:pt>
                <c:pt idx="15">
                  <c:v>269802</c:v>
                </c:pt>
                <c:pt idx="16">
                  <c:v>274583</c:v>
                </c:pt>
                <c:pt idx="17">
                  <c:v>279044</c:v>
                </c:pt>
                <c:pt idx="18">
                  <c:v>283632</c:v>
                </c:pt>
                <c:pt idx="19">
                  <c:v>289731</c:v>
                </c:pt>
                <c:pt idx="20">
                  <c:v>292796</c:v>
                </c:pt>
                <c:pt idx="21">
                  <c:v>297132</c:v>
                </c:pt>
                <c:pt idx="22">
                  <c:v>305274</c:v>
                </c:pt>
                <c:pt idx="23">
                  <c:v>314024</c:v>
                </c:pt>
                <c:pt idx="26" formatCode="0">
                  <c:v>313631.48571428657</c:v>
                </c:pt>
                <c:pt idx="27" formatCode="0">
                  <c:v>325518.88750000112</c:v>
                </c:pt>
                <c:pt idx="28" formatCode="0">
                  <c:v>333443.82202381018</c:v>
                </c:pt>
                <c:pt idx="29" formatCode="0">
                  <c:v>341368.75654761988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3E-4E46-BD4E-56B80D961382}"/>
            </c:ext>
          </c:extLst>
        </c:ser>
        <c:ser>
          <c:idx val="2"/>
          <c:order val="2"/>
          <c:tx>
            <c:strRef>
              <c:f>POP!$A$8</c:f>
              <c:strCache>
                <c:ptCount val="1"/>
                <c:pt idx="0">
                  <c:v>Helsinki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POP!$B$5:$AE$5</c:f>
              <c:numCache>
                <c:formatCode>General</c:formatCode>
                <c:ptCount val="3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6">
                  <c:v>2025</c:v>
                </c:pt>
                <c:pt idx="27">
                  <c:v>2030</c:v>
                </c:pt>
                <c:pt idx="28">
                  <c:v>2035</c:v>
                </c:pt>
                <c:pt idx="29">
                  <c:v>2040</c:v>
                </c:pt>
              </c:numCache>
            </c:numRef>
          </c:xVal>
          <c:yVal>
            <c:numRef>
              <c:f>POP!$B$8:$AE$8</c:f>
              <c:numCache>
                <c:formatCode>General</c:formatCode>
                <c:ptCount val="30"/>
                <c:pt idx="0">
                  <c:v>555474</c:v>
                </c:pt>
                <c:pt idx="1">
                  <c:v>559718</c:v>
                </c:pt>
                <c:pt idx="2">
                  <c:v>559716</c:v>
                </c:pt>
                <c:pt idx="3">
                  <c:v>559330</c:v>
                </c:pt>
                <c:pt idx="4">
                  <c:v>559046</c:v>
                </c:pt>
                <c:pt idx="5">
                  <c:v>560905</c:v>
                </c:pt>
                <c:pt idx="6">
                  <c:v>564521</c:v>
                </c:pt>
                <c:pt idx="7">
                  <c:v>568531</c:v>
                </c:pt>
                <c:pt idx="8">
                  <c:v>576632</c:v>
                </c:pt>
                <c:pt idx="9">
                  <c:v>583350</c:v>
                </c:pt>
                <c:pt idx="10">
                  <c:v>588549</c:v>
                </c:pt>
                <c:pt idx="11">
                  <c:v>595384</c:v>
                </c:pt>
                <c:pt idx="12">
                  <c:v>603968</c:v>
                </c:pt>
                <c:pt idx="13">
                  <c:v>612664</c:v>
                </c:pt>
                <c:pt idx="14">
                  <c:v>620715</c:v>
                </c:pt>
                <c:pt idx="15">
                  <c:v>628208</c:v>
                </c:pt>
                <c:pt idx="16">
                  <c:v>635181</c:v>
                </c:pt>
                <c:pt idx="17">
                  <c:v>643272</c:v>
                </c:pt>
                <c:pt idx="18">
                  <c:v>648042</c:v>
                </c:pt>
                <c:pt idx="19">
                  <c:v>653835</c:v>
                </c:pt>
                <c:pt idx="20">
                  <c:v>656920</c:v>
                </c:pt>
                <c:pt idx="21">
                  <c:v>658457</c:v>
                </c:pt>
                <c:pt idx="22">
                  <c:v>664028</c:v>
                </c:pt>
                <c:pt idx="23">
                  <c:v>674500</c:v>
                </c:pt>
                <c:pt idx="26" formatCode="0">
                  <c:v>682890.42857142724</c:v>
                </c:pt>
                <c:pt idx="27" formatCode="0">
                  <c:v>699062.99999999907</c:v>
                </c:pt>
                <c:pt idx="28" formatCode="0">
                  <c:v>709844.71428571304</c:v>
                </c:pt>
                <c:pt idx="29" formatCode="0">
                  <c:v>720626.42857142759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3E-4E46-BD4E-56B80D961382}"/>
            </c:ext>
          </c:extLst>
        </c:ser>
        <c:ser>
          <c:idx val="3"/>
          <c:order val="3"/>
          <c:tx>
            <c:strRef>
              <c:f>POP!$A$9</c:f>
              <c:strCache>
                <c:ptCount val="1"/>
                <c:pt idx="0">
                  <c:v>Jyväskylä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POP!$B$5:$AE$5</c:f>
              <c:numCache>
                <c:formatCode>General</c:formatCode>
                <c:ptCount val="3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6">
                  <c:v>2025</c:v>
                </c:pt>
                <c:pt idx="27">
                  <c:v>2030</c:v>
                </c:pt>
                <c:pt idx="28">
                  <c:v>2035</c:v>
                </c:pt>
                <c:pt idx="29">
                  <c:v>2040</c:v>
                </c:pt>
              </c:numCache>
            </c:numRef>
          </c:xVal>
          <c:yVal>
            <c:numRef>
              <c:f>POP!$B$9:$AE$9</c:f>
              <c:numCache>
                <c:formatCode>General</c:formatCode>
                <c:ptCount val="30"/>
                <c:pt idx="0">
                  <c:v>116519</c:v>
                </c:pt>
                <c:pt idx="1">
                  <c:v>118380</c:v>
                </c:pt>
                <c:pt idx="2">
                  <c:v>119620</c:v>
                </c:pt>
                <c:pt idx="3">
                  <c:v>121245</c:v>
                </c:pt>
                <c:pt idx="4">
                  <c:v>122974</c:v>
                </c:pt>
                <c:pt idx="5">
                  <c:v>124205</c:v>
                </c:pt>
                <c:pt idx="6">
                  <c:v>125221</c:v>
                </c:pt>
                <c:pt idx="7">
                  <c:v>126546</c:v>
                </c:pt>
                <c:pt idx="8">
                  <c:v>128028</c:v>
                </c:pt>
                <c:pt idx="9">
                  <c:v>129623</c:v>
                </c:pt>
                <c:pt idx="10">
                  <c:v>130816</c:v>
                </c:pt>
                <c:pt idx="11">
                  <c:v>132062</c:v>
                </c:pt>
                <c:pt idx="12">
                  <c:v>133482</c:v>
                </c:pt>
                <c:pt idx="13">
                  <c:v>134658</c:v>
                </c:pt>
                <c:pt idx="14">
                  <c:v>135780</c:v>
                </c:pt>
                <c:pt idx="15">
                  <c:v>137368</c:v>
                </c:pt>
                <c:pt idx="16">
                  <c:v>138850</c:v>
                </c:pt>
                <c:pt idx="17">
                  <c:v>140188</c:v>
                </c:pt>
                <c:pt idx="18">
                  <c:v>141305</c:v>
                </c:pt>
                <c:pt idx="19">
                  <c:v>142400</c:v>
                </c:pt>
                <c:pt idx="20">
                  <c:v>143420</c:v>
                </c:pt>
                <c:pt idx="21">
                  <c:v>144473</c:v>
                </c:pt>
                <c:pt idx="22">
                  <c:v>145887</c:v>
                </c:pt>
                <c:pt idx="23">
                  <c:v>147746</c:v>
                </c:pt>
                <c:pt idx="26" formatCode="0">
                  <c:v>148714.05714285746</c:v>
                </c:pt>
                <c:pt idx="27" formatCode="0">
                  <c:v>151894.32500000019</c:v>
                </c:pt>
                <c:pt idx="28" formatCode="0">
                  <c:v>154014.50357142882</c:v>
                </c:pt>
                <c:pt idx="29" formatCode="0">
                  <c:v>156134.68214285732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3E-4E46-BD4E-56B80D961382}"/>
            </c:ext>
          </c:extLst>
        </c:ser>
        <c:ser>
          <c:idx val="4"/>
          <c:order val="4"/>
          <c:tx>
            <c:strRef>
              <c:f>POP!$A$10</c:f>
              <c:strCache>
                <c:ptCount val="1"/>
                <c:pt idx="0">
                  <c:v>Oulu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POP!$B$5:$AE$5</c:f>
              <c:numCache>
                <c:formatCode>General</c:formatCode>
                <c:ptCount val="3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6">
                  <c:v>2025</c:v>
                </c:pt>
                <c:pt idx="27">
                  <c:v>2030</c:v>
                </c:pt>
                <c:pt idx="28">
                  <c:v>2035</c:v>
                </c:pt>
                <c:pt idx="29">
                  <c:v>2040</c:v>
                </c:pt>
              </c:numCache>
            </c:numRef>
          </c:xVal>
          <c:yVal>
            <c:numRef>
              <c:f>POP!$B$10:$AE$10</c:f>
              <c:numCache>
                <c:formatCode>General</c:formatCode>
                <c:ptCount val="30"/>
                <c:pt idx="0">
                  <c:v>160851</c:v>
                </c:pt>
                <c:pt idx="1">
                  <c:v>164224</c:v>
                </c:pt>
                <c:pt idx="2">
                  <c:v>166415</c:v>
                </c:pt>
                <c:pt idx="3">
                  <c:v>168549</c:v>
                </c:pt>
                <c:pt idx="4">
                  <c:v>170912</c:v>
                </c:pt>
                <c:pt idx="5">
                  <c:v>173436</c:v>
                </c:pt>
                <c:pt idx="6">
                  <c:v>175286</c:v>
                </c:pt>
                <c:pt idx="7">
                  <c:v>177276</c:v>
                </c:pt>
                <c:pt idx="8">
                  <c:v>179901</c:v>
                </c:pt>
                <c:pt idx="9">
                  <c:v>182528</c:v>
                </c:pt>
                <c:pt idx="10">
                  <c:v>185419</c:v>
                </c:pt>
                <c:pt idx="11">
                  <c:v>188114</c:v>
                </c:pt>
                <c:pt idx="12">
                  <c:v>190847</c:v>
                </c:pt>
                <c:pt idx="13">
                  <c:v>193798</c:v>
                </c:pt>
                <c:pt idx="14">
                  <c:v>196291</c:v>
                </c:pt>
                <c:pt idx="15">
                  <c:v>198525</c:v>
                </c:pt>
                <c:pt idx="16">
                  <c:v>200526</c:v>
                </c:pt>
                <c:pt idx="17">
                  <c:v>201810</c:v>
                </c:pt>
                <c:pt idx="18">
                  <c:v>203567</c:v>
                </c:pt>
                <c:pt idx="19">
                  <c:v>205489</c:v>
                </c:pt>
                <c:pt idx="20">
                  <c:v>207327</c:v>
                </c:pt>
                <c:pt idx="21">
                  <c:v>209551</c:v>
                </c:pt>
                <c:pt idx="22">
                  <c:v>211848</c:v>
                </c:pt>
                <c:pt idx="23">
                  <c:v>214633</c:v>
                </c:pt>
                <c:pt idx="26" formatCode="0">
                  <c:v>216760.79047619086</c:v>
                </c:pt>
                <c:pt idx="27" formatCode="0">
                  <c:v>222201.18333333358</c:v>
                </c:pt>
                <c:pt idx="28" formatCode="0">
                  <c:v>225828.11190476207</c:v>
                </c:pt>
                <c:pt idx="29" formatCode="0">
                  <c:v>229455.04047619086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3E-4E46-BD4E-56B80D961382}"/>
            </c:ext>
          </c:extLst>
        </c:ser>
        <c:ser>
          <c:idx val="5"/>
          <c:order val="5"/>
          <c:tx>
            <c:strRef>
              <c:f>POP!$A$11</c:f>
              <c:strCache>
                <c:ptCount val="1"/>
                <c:pt idx="0">
                  <c:v>Tampere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POP!$B$5:$AE$5</c:f>
              <c:numCache>
                <c:formatCode>General</c:formatCode>
                <c:ptCount val="3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6">
                  <c:v>2025</c:v>
                </c:pt>
                <c:pt idx="27">
                  <c:v>2030</c:v>
                </c:pt>
                <c:pt idx="28">
                  <c:v>2035</c:v>
                </c:pt>
                <c:pt idx="29">
                  <c:v>2040</c:v>
                </c:pt>
              </c:numCache>
            </c:numRef>
          </c:xVal>
          <c:yVal>
            <c:numRef>
              <c:f>POP!$B$11:$AE$11</c:f>
              <c:numCache>
                <c:formatCode>General</c:formatCode>
                <c:ptCount val="30"/>
                <c:pt idx="0">
                  <c:v>195468</c:v>
                </c:pt>
                <c:pt idx="1">
                  <c:v>197774</c:v>
                </c:pt>
                <c:pt idx="2">
                  <c:v>199823</c:v>
                </c:pt>
                <c:pt idx="3">
                  <c:v>200966</c:v>
                </c:pt>
                <c:pt idx="4">
                  <c:v>202932</c:v>
                </c:pt>
                <c:pt idx="5">
                  <c:v>204337</c:v>
                </c:pt>
                <c:pt idx="6">
                  <c:v>206368</c:v>
                </c:pt>
                <c:pt idx="7">
                  <c:v>207866</c:v>
                </c:pt>
                <c:pt idx="8">
                  <c:v>209552</c:v>
                </c:pt>
                <c:pt idx="9">
                  <c:v>211507</c:v>
                </c:pt>
                <c:pt idx="10">
                  <c:v>213217</c:v>
                </c:pt>
                <c:pt idx="11">
                  <c:v>215168</c:v>
                </c:pt>
                <c:pt idx="12">
                  <c:v>217421</c:v>
                </c:pt>
                <c:pt idx="13">
                  <c:v>220446</c:v>
                </c:pt>
                <c:pt idx="14">
                  <c:v>223004</c:v>
                </c:pt>
                <c:pt idx="15">
                  <c:v>225118</c:v>
                </c:pt>
                <c:pt idx="16">
                  <c:v>228274</c:v>
                </c:pt>
                <c:pt idx="17">
                  <c:v>231853</c:v>
                </c:pt>
                <c:pt idx="18">
                  <c:v>235239</c:v>
                </c:pt>
                <c:pt idx="19">
                  <c:v>238140</c:v>
                </c:pt>
                <c:pt idx="20">
                  <c:v>241009</c:v>
                </c:pt>
                <c:pt idx="21">
                  <c:v>244223</c:v>
                </c:pt>
                <c:pt idx="22">
                  <c:v>249009</c:v>
                </c:pt>
                <c:pt idx="23">
                  <c:v>255050</c:v>
                </c:pt>
                <c:pt idx="26" formatCode="0">
                  <c:v>254010.92380952369</c:v>
                </c:pt>
                <c:pt idx="27" formatCode="0">
                  <c:v>261541.87916666688</c:v>
                </c:pt>
                <c:pt idx="28" formatCode="0">
                  <c:v>266562.51607142872</c:v>
                </c:pt>
                <c:pt idx="29" formatCode="0">
                  <c:v>271583.1529761905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A3E-4E46-BD4E-56B80D961382}"/>
            </c:ext>
          </c:extLst>
        </c:ser>
        <c:ser>
          <c:idx val="6"/>
          <c:order val="6"/>
          <c:tx>
            <c:strRef>
              <c:f>POP!$A$12</c:f>
              <c:strCache>
                <c:ptCount val="1"/>
                <c:pt idx="0">
                  <c:v>Turku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POP!$B$5:$AE$5</c:f>
              <c:numCache>
                <c:formatCode>General</c:formatCode>
                <c:ptCount val="3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6">
                  <c:v>2025</c:v>
                </c:pt>
                <c:pt idx="27">
                  <c:v>2030</c:v>
                </c:pt>
                <c:pt idx="28">
                  <c:v>2035</c:v>
                </c:pt>
                <c:pt idx="29">
                  <c:v>2040</c:v>
                </c:pt>
              </c:numCache>
            </c:numRef>
          </c:xVal>
          <c:yVal>
            <c:numRef>
              <c:f>POP!$B$12:$AE$12</c:f>
              <c:numCache>
                <c:formatCode>General</c:formatCode>
                <c:ptCount val="30"/>
                <c:pt idx="0">
                  <c:v>172561</c:v>
                </c:pt>
                <c:pt idx="1">
                  <c:v>173686</c:v>
                </c:pt>
                <c:pt idx="2">
                  <c:v>174618</c:v>
                </c:pt>
                <c:pt idx="3">
                  <c:v>175059</c:v>
                </c:pt>
                <c:pt idx="4">
                  <c:v>174824</c:v>
                </c:pt>
                <c:pt idx="5">
                  <c:v>174868</c:v>
                </c:pt>
                <c:pt idx="6">
                  <c:v>175354</c:v>
                </c:pt>
                <c:pt idx="7">
                  <c:v>175286</c:v>
                </c:pt>
                <c:pt idx="8">
                  <c:v>175582</c:v>
                </c:pt>
                <c:pt idx="9">
                  <c:v>176087</c:v>
                </c:pt>
                <c:pt idx="10">
                  <c:v>177326</c:v>
                </c:pt>
                <c:pt idx="11">
                  <c:v>178630</c:v>
                </c:pt>
                <c:pt idx="12">
                  <c:v>180225</c:v>
                </c:pt>
                <c:pt idx="13">
                  <c:v>182072</c:v>
                </c:pt>
                <c:pt idx="14">
                  <c:v>183824</c:v>
                </c:pt>
                <c:pt idx="15">
                  <c:v>185908</c:v>
                </c:pt>
                <c:pt idx="16">
                  <c:v>187604</c:v>
                </c:pt>
                <c:pt idx="17">
                  <c:v>189669</c:v>
                </c:pt>
                <c:pt idx="18">
                  <c:v>191331</c:v>
                </c:pt>
                <c:pt idx="19">
                  <c:v>192962</c:v>
                </c:pt>
                <c:pt idx="20">
                  <c:v>194391</c:v>
                </c:pt>
                <c:pt idx="21">
                  <c:v>195137</c:v>
                </c:pt>
                <c:pt idx="22">
                  <c:v>197900</c:v>
                </c:pt>
                <c:pt idx="23">
                  <c:v>201863</c:v>
                </c:pt>
                <c:pt idx="26" formatCode="0">
                  <c:v>201791.07619047584</c:v>
                </c:pt>
                <c:pt idx="27" formatCode="0">
                  <c:v>206206.43333333312</c:v>
                </c:pt>
                <c:pt idx="28" formatCode="0">
                  <c:v>209150.00476190448</c:v>
                </c:pt>
                <c:pt idx="29" formatCode="0">
                  <c:v>212093.57619047599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A3E-4E46-BD4E-56B80D961382}"/>
            </c:ext>
          </c:extLst>
        </c:ser>
        <c:ser>
          <c:idx val="7"/>
          <c:order val="7"/>
          <c:tx>
            <c:strRef>
              <c:f>POP!$A$13</c:f>
              <c:strCache>
                <c:ptCount val="1"/>
                <c:pt idx="0">
                  <c:v>Vantaa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POP!$B$5:$AE$5</c:f>
              <c:numCache>
                <c:formatCode>General</c:formatCode>
                <c:ptCount val="3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6">
                  <c:v>2025</c:v>
                </c:pt>
                <c:pt idx="27">
                  <c:v>2030</c:v>
                </c:pt>
                <c:pt idx="28">
                  <c:v>2035</c:v>
                </c:pt>
                <c:pt idx="29">
                  <c:v>2040</c:v>
                </c:pt>
              </c:numCache>
            </c:numRef>
          </c:xVal>
          <c:yVal>
            <c:numRef>
              <c:f>POP!$B$13:$AE$13</c:f>
              <c:numCache>
                <c:formatCode>General</c:formatCode>
                <c:ptCount val="30"/>
                <c:pt idx="0">
                  <c:v>178471</c:v>
                </c:pt>
                <c:pt idx="1">
                  <c:v>179856</c:v>
                </c:pt>
                <c:pt idx="2">
                  <c:v>181890</c:v>
                </c:pt>
                <c:pt idx="3">
                  <c:v>184039</c:v>
                </c:pt>
                <c:pt idx="4">
                  <c:v>185429</c:v>
                </c:pt>
                <c:pt idx="5">
                  <c:v>187281</c:v>
                </c:pt>
                <c:pt idx="6">
                  <c:v>189711</c:v>
                </c:pt>
                <c:pt idx="7">
                  <c:v>192522</c:v>
                </c:pt>
                <c:pt idx="8">
                  <c:v>195397</c:v>
                </c:pt>
                <c:pt idx="9">
                  <c:v>197636</c:v>
                </c:pt>
                <c:pt idx="10">
                  <c:v>200055</c:v>
                </c:pt>
                <c:pt idx="11">
                  <c:v>203001</c:v>
                </c:pt>
                <c:pt idx="12">
                  <c:v>205312</c:v>
                </c:pt>
                <c:pt idx="13">
                  <c:v>208098</c:v>
                </c:pt>
                <c:pt idx="14">
                  <c:v>210803</c:v>
                </c:pt>
                <c:pt idx="15">
                  <c:v>214605</c:v>
                </c:pt>
                <c:pt idx="16">
                  <c:v>219341</c:v>
                </c:pt>
                <c:pt idx="17">
                  <c:v>223027</c:v>
                </c:pt>
                <c:pt idx="18">
                  <c:v>228166</c:v>
                </c:pt>
                <c:pt idx="19">
                  <c:v>233775</c:v>
                </c:pt>
                <c:pt idx="20">
                  <c:v>237231</c:v>
                </c:pt>
                <c:pt idx="21">
                  <c:v>239206</c:v>
                </c:pt>
                <c:pt idx="22">
                  <c:v>242819</c:v>
                </c:pt>
                <c:pt idx="23">
                  <c:v>247443</c:v>
                </c:pt>
                <c:pt idx="26" formatCode="0">
                  <c:v>250247.28571428591</c:v>
                </c:pt>
                <c:pt idx="27" formatCode="0">
                  <c:v>259480.43750000047</c:v>
                </c:pt>
                <c:pt idx="28" formatCode="0">
                  <c:v>265635.87202380988</c:v>
                </c:pt>
                <c:pt idx="29" formatCode="0">
                  <c:v>271791.30654761958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A3E-4E46-BD4E-56B80D961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966944"/>
        <c:axId val="587968864"/>
      </c:scatterChart>
      <c:valAx>
        <c:axId val="58796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587968864"/>
        <c:crosses val="autoZero"/>
        <c:crossBetween val="midCat"/>
      </c:valAx>
      <c:valAx>
        <c:axId val="58796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587966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4" Type="http://schemas.openxmlformats.org/officeDocument/2006/relationships/chart" Target="../charts/chart2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4" Type="http://schemas.openxmlformats.org/officeDocument/2006/relationships/chart" Target="../charts/chart3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4" Type="http://schemas.openxmlformats.org/officeDocument/2006/relationships/chart" Target="../charts/chart34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4" Type="http://schemas.openxmlformats.org/officeDocument/2006/relationships/chart" Target="../charts/chart38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5" Type="http://schemas.openxmlformats.org/officeDocument/2006/relationships/image" Target="../media/image1.png"/><Relationship Id="rId4" Type="http://schemas.openxmlformats.org/officeDocument/2006/relationships/chart" Target="../charts/chart4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84</xdr:row>
      <xdr:rowOff>0</xdr:rowOff>
    </xdr:from>
    <xdr:to>
      <xdr:col>42</xdr:col>
      <xdr:colOff>412750</xdr:colOff>
      <xdr:row>96</xdr:row>
      <xdr:rowOff>42334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6865EC4-D924-4242-89A6-8209498CF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0</xdr:colOff>
      <xdr:row>91</xdr:row>
      <xdr:rowOff>0</xdr:rowOff>
    </xdr:from>
    <xdr:to>
      <xdr:col>49</xdr:col>
      <xdr:colOff>412750</xdr:colOff>
      <xdr:row>103</xdr:row>
      <xdr:rowOff>42334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2307866-BFF9-434A-A6E7-3AEF986F1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0</xdr:colOff>
      <xdr:row>98</xdr:row>
      <xdr:rowOff>0</xdr:rowOff>
    </xdr:from>
    <xdr:to>
      <xdr:col>42</xdr:col>
      <xdr:colOff>412750</xdr:colOff>
      <xdr:row>110</xdr:row>
      <xdr:rowOff>42334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ED94D15-0522-4DCC-A8DC-3F8CB70CC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0</xdr:colOff>
      <xdr:row>105</xdr:row>
      <xdr:rowOff>0</xdr:rowOff>
    </xdr:from>
    <xdr:to>
      <xdr:col>49</xdr:col>
      <xdr:colOff>412750</xdr:colOff>
      <xdr:row>117</xdr:row>
      <xdr:rowOff>42334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1B3598B-EE87-401F-BDB2-A183BBA43E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0</xdr:colOff>
      <xdr:row>112</xdr:row>
      <xdr:rowOff>0</xdr:rowOff>
    </xdr:from>
    <xdr:to>
      <xdr:col>42</xdr:col>
      <xdr:colOff>412750</xdr:colOff>
      <xdr:row>124</xdr:row>
      <xdr:rowOff>42334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F573641-1A71-4A16-9F36-49774BF1B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43</xdr:col>
      <xdr:colOff>0</xdr:colOff>
      <xdr:row>120</xdr:row>
      <xdr:rowOff>0</xdr:rowOff>
    </xdr:from>
    <xdr:to>
      <xdr:col>49</xdr:col>
      <xdr:colOff>412750</xdr:colOff>
      <xdr:row>132</xdr:row>
      <xdr:rowOff>42334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D4A1DCB-2252-406A-9E68-040B0CFB9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0</xdr:colOff>
      <xdr:row>126</xdr:row>
      <xdr:rowOff>0</xdr:rowOff>
    </xdr:from>
    <xdr:to>
      <xdr:col>42</xdr:col>
      <xdr:colOff>412750</xdr:colOff>
      <xdr:row>138</xdr:row>
      <xdr:rowOff>42334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AB8205F3-8746-4E63-905B-46E01E98E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0</xdr:colOff>
      <xdr:row>133</xdr:row>
      <xdr:rowOff>0</xdr:rowOff>
    </xdr:from>
    <xdr:to>
      <xdr:col>49</xdr:col>
      <xdr:colOff>412750</xdr:colOff>
      <xdr:row>145</xdr:row>
      <xdr:rowOff>42334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7B40D0E-C71C-4DAE-AB1C-C6173A63E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43</xdr:col>
      <xdr:colOff>0</xdr:colOff>
      <xdr:row>78</xdr:row>
      <xdr:rowOff>0</xdr:rowOff>
    </xdr:from>
    <xdr:to>
      <xdr:col>49</xdr:col>
      <xdr:colOff>412750</xdr:colOff>
      <xdr:row>90</xdr:row>
      <xdr:rowOff>42334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C61860A9-6EC9-4E45-BC18-FBB353645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280987</xdr:colOff>
      <xdr:row>74</xdr:row>
      <xdr:rowOff>128587</xdr:rowOff>
    </xdr:from>
    <xdr:to>
      <xdr:col>34</xdr:col>
      <xdr:colOff>585787</xdr:colOff>
      <xdr:row>88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15EF8C-B254-8A5E-A4DC-D0AB04AD6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800100</xdr:colOff>
      <xdr:row>41</xdr:row>
      <xdr:rowOff>185737</xdr:rowOff>
    </xdr:from>
    <xdr:to>
      <xdr:col>6</xdr:col>
      <xdr:colOff>190500</xdr:colOff>
      <xdr:row>56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217253-1152-49DB-8383-BE9DBE6D9C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514350</xdr:colOff>
      <xdr:row>56</xdr:row>
      <xdr:rowOff>133350</xdr:rowOff>
    </xdr:from>
    <xdr:to>
      <xdr:col>13</xdr:col>
      <xdr:colOff>600075</xdr:colOff>
      <xdr:row>71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149E32-B657-4000-9DFB-66B06498DB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447675</xdr:colOff>
      <xdr:row>41</xdr:row>
      <xdr:rowOff>180975</xdr:rowOff>
    </xdr:from>
    <xdr:to>
      <xdr:col>13</xdr:col>
      <xdr:colOff>533400</xdr:colOff>
      <xdr:row>56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2D348D-BBB3-4456-ADBB-763B40200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809625</xdr:colOff>
      <xdr:row>57</xdr:row>
      <xdr:rowOff>47625</xdr:rowOff>
    </xdr:from>
    <xdr:to>
      <xdr:col>6</xdr:col>
      <xdr:colOff>200025</xdr:colOff>
      <xdr:row>71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1581D7-E59A-42B4-A986-043210D5F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800100</xdr:colOff>
      <xdr:row>39</xdr:row>
      <xdr:rowOff>185737</xdr:rowOff>
    </xdr:from>
    <xdr:to>
      <xdr:col>6</xdr:col>
      <xdr:colOff>190500</xdr:colOff>
      <xdr:row>54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762F4B-14AA-44B3-AC18-D455D256A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514350</xdr:colOff>
      <xdr:row>54</xdr:row>
      <xdr:rowOff>133350</xdr:rowOff>
    </xdr:from>
    <xdr:to>
      <xdr:col>13</xdr:col>
      <xdr:colOff>600075</xdr:colOff>
      <xdr:row>69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5600EC-8BAE-4F18-8C6B-0A8B7A412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447675</xdr:colOff>
      <xdr:row>39</xdr:row>
      <xdr:rowOff>180975</xdr:rowOff>
    </xdr:from>
    <xdr:to>
      <xdr:col>13</xdr:col>
      <xdr:colOff>533400</xdr:colOff>
      <xdr:row>54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DCB0E0-C66C-475F-982B-BDE9AADA6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809625</xdr:colOff>
      <xdr:row>55</xdr:row>
      <xdr:rowOff>47625</xdr:rowOff>
    </xdr:from>
    <xdr:to>
      <xdr:col>6</xdr:col>
      <xdr:colOff>200025</xdr:colOff>
      <xdr:row>69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D9C92C-1B0F-444D-ADC7-F93D7CF2F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800100</xdr:colOff>
      <xdr:row>39</xdr:row>
      <xdr:rowOff>185737</xdr:rowOff>
    </xdr:from>
    <xdr:to>
      <xdr:col>6</xdr:col>
      <xdr:colOff>190500</xdr:colOff>
      <xdr:row>54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375C3B-6F26-4A86-8215-6636F8A11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514350</xdr:colOff>
      <xdr:row>54</xdr:row>
      <xdr:rowOff>133350</xdr:rowOff>
    </xdr:from>
    <xdr:to>
      <xdr:col>13</xdr:col>
      <xdr:colOff>600075</xdr:colOff>
      <xdr:row>69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6721E8-D91C-47CD-9F4E-06DA4690A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447675</xdr:colOff>
      <xdr:row>39</xdr:row>
      <xdr:rowOff>180975</xdr:rowOff>
    </xdr:from>
    <xdr:to>
      <xdr:col>13</xdr:col>
      <xdr:colOff>533400</xdr:colOff>
      <xdr:row>54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BB6A73-8B2E-444B-B76A-808E4F01B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809625</xdr:colOff>
      <xdr:row>55</xdr:row>
      <xdr:rowOff>47625</xdr:rowOff>
    </xdr:from>
    <xdr:to>
      <xdr:col>6</xdr:col>
      <xdr:colOff>200025</xdr:colOff>
      <xdr:row>69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1F145D-6327-4FB9-BDD7-6EAF6D3386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800100</xdr:colOff>
      <xdr:row>120</xdr:row>
      <xdr:rowOff>185737</xdr:rowOff>
    </xdr:from>
    <xdr:to>
      <xdr:col>6</xdr:col>
      <xdr:colOff>190500</xdr:colOff>
      <xdr:row>135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DB24BA-39F6-1E32-FE0E-3EC8F792F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514350</xdr:colOff>
      <xdr:row>135</xdr:row>
      <xdr:rowOff>133350</xdr:rowOff>
    </xdr:from>
    <xdr:to>
      <xdr:col>13</xdr:col>
      <xdr:colOff>600075</xdr:colOff>
      <xdr:row>150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568D15-5854-469B-BAF4-61E39CBF3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447675</xdr:colOff>
      <xdr:row>120</xdr:row>
      <xdr:rowOff>180975</xdr:rowOff>
    </xdr:from>
    <xdr:to>
      <xdr:col>13</xdr:col>
      <xdr:colOff>533400</xdr:colOff>
      <xdr:row>135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1CD116-0404-4C92-885D-F48307F5A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809625</xdr:colOff>
      <xdr:row>136</xdr:row>
      <xdr:rowOff>47625</xdr:rowOff>
    </xdr:from>
    <xdr:to>
      <xdr:col>6</xdr:col>
      <xdr:colOff>200025</xdr:colOff>
      <xdr:row>150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26B360-B6D4-42AE-93AD-E8B325234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77</xdr:row>
      <xdr:rowOff>14287</xdr:rowOff>
    </xdr:from>
    <xdr:to>
      <xdr:col>24</xdr:col>
      <xdr:colOff>0</xdr:colOff>
      <xdr:row>91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71508B-DB39-40FB-8A40-65BF01DAB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161925</xdr:colOff>
      <xdr:row>77</xdr:row>
      <xdr:rowOff>0</xdr:rowOff>
    </xdr:from>
    <xdr:to>
      <xdr:col>31</xdr:col>
      <xdr:colOff>161925</xdr:colOff>
      <xdr:row>91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E5F6A3-CDF5-46EB-B050-4C5B3D546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85725</xdr:colOff>
      <xdr:row>91</xdr:row>
      <xdr:rowOff>161925</xdr:rowOff>
    </xdr:from>
    <xdr:to>
      <xdr:col>24</xdr:col>
      <xdr:colOff>85725</xdr:colOff>
      <xdr:row>106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0A7D220-4984-4F89-A71B-F2C07726C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285750</xdr:colOff>
      <xdr:row>92</xdr:row>
      <xdr:rowOff>28575</xdr:rowOff>
    </xdr:from>
    <xdr:to>
      <xdr:col>31</xdr:col>
      <xdr:colOff>285750</xdr:colOff>
      <xdr:row>106</xdr:row>
      <xdr:rowOff>104775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676DE31-0184-4E7A-B1E8-6C2859CD7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800100</xdr:colOff>
      <xdr:row>39</xdr:row>
      <xdr:rowOff>185737</xdr:rowOff>
    </xdr:from>
    <xdr:to>
      <xdr:col>6</xdr:col>
      <xdr:colOff>190500</xdr:colOff>
      <xdr:row>54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D16C4D-0AC5-4D5D-8A2A-10DB8D348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514350</xdr:colOff>
      <xdr:row>54</xdr:row>
      <xdr:rowOff>133350</xdr:rowOff>
    </xdr:from>
    <xdr:to>
      <xdr:col>13</xdr:col>
      <xdr:colOff>600075</xdr:colOff>
      <xdr:row>69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EEEACF-5202-48F9-9D04-E004CA663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447675</xdr:colOff>
      <xdr:row>39</xdr:row>
      <xdr:rowOff>180975</xdr:rowOff>
    </xdr:from>
    <xdr:to>
      <xdr:col>13</xdr:col>
      <xdr:colOff>533400</xdr:colOff>
      <xdr:row>54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E54EA7-F1D9-432D-B34B-81382CE69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809625</xdr:colOff>
      <xdr:row>55</xdr:row>
      <xdr:rowOff>47625</xdr:rowOff>
    </xdr:from>
    <xdr:to>
      <xdr:col>6</xdr:col>
      <xdr:colOff>200025</xdr:colOff>
      <xdr:row>69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3C2550-82A9-48A7-8DB5-EDE7E9528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800100</xdr:colOff>
      <xdr:row>39</xdr:row>
      <xdr:rowOff>185737</xdr:rowOff>
    </xdr:from>
    <xdr:to>
      <xdr:col>6</xdr:col>
      <xdr:colOff>190500</xdr:colOff>
      <xdr:row>54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89EC3C-0F04-440F-9AB4-7F0D993523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514350</xdr:colOff>
      <xdr:row>54</xdr:row>
      <xdr:rowOff>133350</xdr:rowOff>
    </xdr:from>
    <xdr:to>
      <xdr:col>13</xdr:col>
      <xdr:colOff>600075</xdr:colOff>
      <xdr:row>69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57D00B-BFBE-4308-AA22-4054C20D0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447675</xdr:colOff>
      <xdr:row>39</xdr:row>
      <xdr:rowOff>180975</xdr:rowOff>
    </xdr:from>
    <xdr:to>
      <xdr:col>13</xdr:col>
      <xdr:colOff>533400</xdr:colOff>
      <xdr:row>54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2CF6DF-6D01-47A3-B341-2EBC2FB86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809625</xdr:colOff>
      <xdr:row>55</xdr:row>
      <xdr:rowOff>47625</xdr:rowOff>
    </xdr:from>
    <xdr:to>
      <xdr:col>6</xdr:col>
      <xdr:colOff>200025</xdr:colOff>
      <xdr:row>69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637BDC-4E47-4539-9D8A-32502214F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800100</xdr:colOff>
      <xdr:row>39</xdr:row>
      <xdr:rowOff>185737</xdr:rowOff>
    </xdr:from>
    <xdr:to>
      <xdr:col>6</xdr:col>
      <xdr:colOff>190500</xdr:colOff>
      <xdr:row>54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27A9E-A45E-4D12-B7DC-5686F4E1B4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514350</xdr:colOff>
      <xdr:row>54</xdr:row>
      <xdr:rowOff>133350</xdr:rowOff>
    </xdr:from>
    <xdr:to>
      <xdr:col>13</xdr:col>
      <xdr:colOff>600075</xdr:colOff>
      <xdr:row>69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DD1D76-DB3C-4A4C-BE5B-04D2C53F1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447675</xdr:colOff>
      <xdr:row>39</xdr:row>
      <xdr:rowOff>180975</xdr:rowOff>
    </xdr:from>
    <xdr:to>
      <xdr:col>13</xdr:col>
      <xdr:colOff>533400</xdr:colOff>
      <xdr:row>54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20FFD5-C2BC-4A27-B2DB-AB87E493D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809625</xdr:colOff>
      <xdr:row>55</xdr:row>
      <xdr:rowOff>47625</xdr:rowOff>
    </xdr:from>
    <xdr:to>
      <xdr:col>6</xdr:col>
      <xdr:colOff>200025</xdr:colOff>
      <xdr:row>69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D65115-9E78-453F-96D1-8148BC402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37</xdr:col>
      <xdr:colOff>583406</xdr:colOff>
      <xdr:row>16</xdr:row>
      <xdr:rowOff>180383</xdr:rowOff>
    </xdr:from>
    <xdr:to>
      <xdr:col>46</xdr:col>
      <xdr:colOff>47625</xdr:colOff>
      <xdr:row>33</xdr:row>
      <xdr:rowOff>85333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4A77E57-14CA-4519-9031-2EAA836C6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515219" y="3252196"/>
          <a:ext cx="7143750" cy="32148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276225</xdr:colOff>
      <xdr:row>9</xdr:row>
      <xdr:rowOff>161925</xdr:rowOff>
    </xdr:from>
    <xdr:to>
      <xdr:col>34</xdr:col>
      <xdr:colOff>295275</xdr:colOff>
      <xdr:row>25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F59F32-520A-EC4E-0B1F-D09D6A5439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D829FC-8D01-4D16-944B-627E55694F0C}" name="Table2" displayName="Table2" ref="A1:K31" totalsRowShown="0" headerRowDxfId="9">
  <autoFilter ref="A1:K31" xr:uid="{AFD829FC-8D01-4D16-944B-627E55694F0C}"/>
  <sortState xmlns:xlrd2="http://schemas.microsoft.com/office/spreadsheetml/2017/richdata2" ref="A2:K20">
    <sortCondition ref="B1:B20"/>
  </sortState>
  <tableColumns count="11">
    <tableColumn id="1" xr3:uid="{01AE7A23-7F35-4669-A4EF-5514D39A67FF}" name="Country" dataDxfId="8"/>
    <tableColumn id="2" xr3:uid="{D6664103-40CE-4165-9A91-C46661B84CE1}" name="Grid"/>
    <tableColumn id="3" xr3:uid="{283EF88D-2CDB-4C38-8BA3-AAA25C9FB12F}" name="Node_suffix"/>
    <tableColumn id="4" xr3:uid="{28D1E051-0FCA-4273-B61A-24F244CBE37B}" name="Scenario" dataDxfId="7"/>
    <tableColumn id="5" xr3:uid="{7512F629-8E13-4816-A16E-2F53DEDCA5C5}" name="Year" dataDxfId="6"/>
    <tableColumn id="11" xr3:uid="{2A0B28C3-C5A2-40A5-918C-33D2E3CFCD74}" name="variant" dataDxfId="0"/>
    <tableColumn id="6" xr3:uid="{C1BD1595-7CA1-4E6B-B7CE-53DC3CD3F625}" name="upwardLimit" dataDxfId="5"/>
    <tableColumn id="7" xr3:uid="{DB310005-0E0B-43B7-8781-248954BE707D}" name="reference" dataDxfId="4"/>
    <tableColumn id="8" xr3:uid="{D7D17D28-1DDF-4E0C-AF67-71AE6ED7AC4A}" name="balancePenalty" dataDxfId="3"/>
    <tableColumn id="10" xr3:uid="{332E9A8F-190A-4C09-8BB0-0C48D9C18209}" name="selfDischargeLoss" dataDxfId="2"/>
    <tableColumn id="9" xr3:uid="{DFBE1DA0-B86C-45FF-80EF-93336BB9881B}" name="maxSpill" dataDxfId="1">
      <calculatedColumnFormula>Q2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s://www.ure.gov.pl/pl/cieplo/energetyka-cieplna-w-l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ec.europa.eu/eurostat/databrowser/view/nrg_dhdc_e__custom_15484031/default/table" TargetMode="External"/><Relationship Id="rId1" Type="http://schemas.openxmlformats.org/officeDocument/2006/relationships/hyperlink" Target="https://ec.europa.eu/eurostat/databrowser/product/page/nrg_dhdc_e__custom_15484031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ec.europa.eu/eurostat/databrowser/view/nrg_d_hhq__custom_15484496/default/table" TargetMode="External"/><Relationship Id="rId1" Type="http://schemas.openxmlformats.org/officeDocument/2006/relationships/hyperlink" Target="https://ec.europa.eu/eurostat/databrowser/product/page/nrg_d_hhq__custom_15484496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hyperlink" Target="https://ec.europa.eu/eurostat/databrowser/view/demo_gind__custom_15484068/default/table" TargetMode="External"/><Relationship Id="rId1" Type="http://schemas.openxmlformats.org/officeDocument/2006/relationships/hyperlink" Target="https://ec.europa.eu/eurostat/databrowser/product/page/demo_gind__custom_15484068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ec.europa.eu/eurostat/databrowser/view/nrg_chdd_a__custom_15484150/default/table" TargetMode="External"/><Relationship Id="rId1" Type="http://schemas.openxmlformats.org/officeDocument/2006/relationships/hyperlink" Target="https://ec.europa.eu/eurostat/databrowser/product/page/nrg_chdd_a__custom_15484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AC15-FBC4-4799-9B4C-EE5FF823A3F0}">
  <sheetPr>
    <tabColor theme="8" tint="0.59999389629810485"/>
  </sheetPr>
  <dimension ref="A1:E4"/>
  <sheetViews>
    <sheetView tabSelected="1" workbookViewId="0">
      <selection activeCell="E9" sqref="E9"/>
    </sheetView>
  </sheetViews>
  <sheetFormatPr defaultRowHeight="15"/>
  <cols>
    <col min="1" max="1" width="13.42578125" style="196" customWidth="1"/>
    <col min="2" max="2" width="12.7109375" style="196" customWidth="1"/>
    <col min="3" max="4" width="9.140625" style="196"/>
    <col min="5" max="5" width="35.28515625" style="196" customWidth="1"/>
    <col min="6" max="16384" width="9.140625" style="196"/>
  </cols>
  <sheetData>
    <row r="1" spans="1:5">
      <c r="A1" s="195" t="s">
        <v>344</v>
      </c>
      <c r="B1" s="195" t="s">
        <v>345</v>
      </c>
      <c r="C1" s="195" t="s">
        <v>346</v>
      </c>
      <c r="D1" s="195" t="s">
        <v>347</v>
      </c>
      <c r="E1" s="195" t="s">
        <v>348</v>
      </c>
    </row>
    <row r="2" spans="1:5">
      <c r="A2" s="196" t="s">
        <v>349</v>
      </c>
      <c r="B2" s="196" t="s">
        <v>350</v>
      </c>
      <c r="D2" s="196" t="s">
        <v>351</v>
      </c>
      <c r="E2" s="196" t="s">
        <v>352</v>
      </c>
    </row>
    <row r="3" spans="1:5">
      <c r="A3" s="196" t="s">
        <v>349</v>
      </c>
      <c r="B3" s="196" t="s">
        <v>353</v>
      </c>
      <c r="C3" s="196" t="s">
        <v>354</v>
      </c>
      <c r="D3" s="196" t="s">
        <v>351</v>
      </c>
      <c r="E3" s="196" t="s">
        <v>374</v>
      </c>
    </row>
    <row r="4" spans="1:5">
      <c r="A4" s="196" t="s">
        <v>349</v>
      </c>
      <c r="B4" s="196" t="s">
        <v>355</v>
      </c>
      <c r="D4" s="196" t="s">
        <v>351</v>
      </c>
      <c r="E4" s="196" t="s">
        <v>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138C4-FEEE-4DF0-ACC8-94493FE5AEC2}">
  <sheetPr>
    <tabColor theme="9" tint="0.39997558519241921"/>
  </sheetPr>
  <dimension ref="A1:U31"/>
  <sheetViews>
    <sheetView topLeftCell="A7" workbookViewId="0">
      <selection activeCell="K5" sqref="K5"/>
    </sheetView>
  </sheetViews>
  <sheetFormatPr defaultRowHeight="15"/>
  <cols>
    <col min="2" max="3" width="19.7109375" customWidth="1"/>
    <col min="4" max="4" width="16.42578125" style="149" customWidth="1"/>
    <col min="5" max="5" width="11.5703125" style="149"/>
    <col min="6" max="6" width="19.28515625" style="149" customWidth="1"/>
    <col min="7" max="7" width="16.7109375" style="148" bestFit="1" customWidth="1"/>
    <col min="8" max="8" width="12" style="147" bestFit="1" customWidth="1"/>
    <col min="9" max="9" width="19.28515625" style="147" bestFit="1" customWidth="1"/>
    <col min="10" max="10" width="19.28515625" style="147" customWidth="1"/>
    <col min="11" max="11" width="13.140625" style="147" bestFit="1" customWidth="1"/>
  </cols>
  <sheetData>
    <row r="1" spans="1:21">
      <c r="A1" s="184" t="s">
        <v>171</v>
      </c>
      <c r="B1" s="184" t="s">
        <v>172</v>
      </c>
      <c r="C1" s="184" t="s">
        <v>173</v>
      </c>
      <c r="D1" s="184" t="s">
        <v>174</v>
      </c>
      <c r="E1" s="184" t="s">
        <v>175</v>
      </c>
      <c r="F1" s="184" t="s">
        <v>344</v>
      </c>
      <c r="G1" s="184" t="s">
        <v>336</v>
      </c>
      <c r="H1" s="68" t="s">
        <v>337</v>
      </c>
      <c r="I1" s="185" t="s">
        <v>338</v>
      </c>
      <c r="J1" s="185" t="s">
        <v>339</v>
      </c>
      <c r="K1" s="185" t="s">
        <v>340</v>
      </c>
      <c r="N1" t="s">
        <v>341</v>
      </c>
      <c r="O1" t="s">
        <v>373</v>
      </c>
      <c r="P1" t="s">
        <v>341</v>
      </c>
      <c r="Q1" t="s">
        <v>341</v>
      </c>
      <c r="R1" t="s">
        <v>341</v>
      </c>
      <c r="S1" t="s">
        <v>341</v>
      </c>
      <c r="T1" t="s">
        <v>341</v>
      </c>
      <c r="U1" t="s">
        <v>341</v>
      </c>
    </row>
    <row r="2" spans="1:21">
      <c r="A2" s="198" t="s">
        <v>369</v>
      </c>
      <c r="B2" s="198"/>
      <c r="C2" s="198"/>
      <c r="D2" s="198"/>
      <c r="E2" s="198"/>
      <c r="F2" s="198"/>
      <c r="G2" s="198"/>
      <c r="H2" s="199"/>
      <c r="I2" s="185"/>
      <c r="J2" s="185"/>
      <c r="K2" s="185"/>
    </row>
    <row r="3" spans="1:21">
      <c r="A3" s="147" t="s">
        <v>177</v>
      </c>
      <c r="B3" t="s">
        <v>304</v>
      </c>
      <c r="C3" t="s">
        <v>310</v>
      </c>
      <c r="D3" s="149" t="s">
        <v>318</v>
      </c>
      <c r="E3" s="149">
        <v>1</v>
      </c>
      <c r="F3" s="149" t="s">
        <v>343</v>
      </c>
      <c r="H3" s="148"/>
      <c r="I3" s="148">
        <v>4000</v>
      </c>
      <c r="J3" s="148"/>
      <c r="K3" s="148">
        <f t="shared" ref="K3:K31" si="0">Q3</f>
        <v>52</v>
      </c>
      <c r="O3" t="str">
        <f>_xlfn.XLOOKUP(Table2[[#This Row],[Node_suffix]],$S$4:$S$11,$T$4:$T$11)</f>
        <v>HKI</v>
      </c>
      <c r="Q3">
        <f>ROUND(SUMIFS(demanddata_dh!$G:$G,demanddata_dh!$A:$A,A3, demanddata_dh!$C:$C,$C3,    demanddata_dh!$E:$E,2030,    demanddata_dh!$F:$F,Table2[[#This Row],[variant]])*10^6/8760 * 0.2, 0)</f>
        <v>52</v>
      </c>
      <c r="S3" s="122" t="s">
        <v>355</v>
      </c>
      <c r="T3" s="122" t="s">
        <v>353</v>
      </c>
    </row>
    <row r="4" spans="1:21">
      <c r="A4" s="147" t="s">
        <v>177</v>
      </c>
      <c r="B4" t="s">
        <v>304</v>
      </c>
      <c r="C4" t="s">
        <v>316</v>
      </c>
      <c r="D4" s="149" t="s">
        <v>318</v>
      </c>
      <c r="E4" s="149">
        <v>1</v>
      </c>
      <c r="F4" s="149" t="s">
        <v>343</v>
      </c>
      <c r="H4" s="148"/>
      <c r="I4" s="148">
        <v>4000</v>
      </c>
      <c r="J4" s="148"/>
      <c r="K4" s="148">
        <f t="shared" si="0"/>
        <v>466</v>
      </c>
      <c r="O4" t="str">
        <f>_xlfn.XLOOKUP(Table2[[#This Row],[Node_suffix]],$S$4:$S$11,$T$4:$T$11)</f>
        <v>ROF</v>
      </c>
      <c r="Q4">
        <f>ROUND(SUMIFS(demanddata_dh!$G:$G,demanddata_dh!$A:$A,A4, demanddata_dh!$C:$C,$C4,    demanddata_dh!$E:$E,2030,    demanddata_dh!$F:$F,Table2[[#This Row],[variant]])*10^6/8760 * 0.2, 0)</f>
        <v>466</v>
      </c>
      <c r="S4" s="108" t="s">
        <v>309</v>
      </c>
      <c r="T4" s="108" t="s">
        <v>309</v>
      </c>
    </row>
    <row r="5" spans="1:21">
      <c r="A5" s="147" t="s">
        <v>177</v>
      </c>
      <c r="B5" t="s">
        <v>304</v>
      </c>
      <c r="C5" t="s">
        <v>309</v>
      </c>
      <c r="D5" s="149" t="s">
        <v>318</v>
      </c>
      <c r="E5" s="149">
        <v>1</v>
      </c>
      <c r="F5" s="149" t="s">
        <v>343</v>
      </c>
      <c r="H5" s="148"/>
      <c r="I5" s="148">
        <v>4000</v>
      </c>
      <c r="J5" s="148"/>
      <c r="K5" s="148">
        <f t="shared" si="0"/>
        <v>154</v>
      </c>
      <c r="O5" t="str">
        <f>_xlfn.XLOOKUP(Table2[[#This Row],[Node_suffix]],$S$4:$S$11,$T$4:$T$11)</f>
        <v>HKI</v>
      </c>
      <c r="Q5">
        <f>ROUND(SUMIFS(demanddata_dh!$G:$G,demanddata_dh!$A:$A,A5, demanddata_dh!$C:$C,$C5,    demanddata_dh!$E:$E,2030,    demanddata_dh!$F:$F,Table2[[#This Row],[variant]])*10^6/8760 * 0.2, 0)</f>
        <v>154</v>
      </c>
      <c r="S5" s="108" t="s">
        <v>310</v>
      </c>
      <c r="T5" s="108" t="s">
        <v>309</v>
      </c>
    </row>
    <row r="6" spans="1:21">
      <c r="A6" s="147" t="s">
        <v>177</v>
      </c>
      <c r="B6" t="s">
        <v>304</v>
      </c>
      <c r="C6" t="s">
        <v>315</v>
      </c>
      <c r="D6" s="149" t="s">
        <v>318</v>
      </c>
      <c r="E6" s="149">
        <v>1</v>
      </c>
      <c r="F6" s="149" t="s">
        <v>343</v>
      </c>
      <c r="H6" s="148"/>
      <c r="I6" s="148">
        <v>4000</v>
      </c>
      <c r="J6" s="148"/>
      <c r="K6" s="148">
        <f t="shared" si="0"/>
        <v>28</v>
      </c>
      <c r="O6" t="str">
        <f>_xlfn.XLOOKUP(Table2[[#This Row],[Node_suffix]],$S$4:$S$11,$T$4:$T$11)</f>
        <v>ROF</v>
      </c>
      <c r="Q6">
        <f>ROUND(SUMIFS(demanddata_dh!$G:$G,demanddata_dh!$A:$A,A6, demanddata_dh!$C:$C,$C6,    demanddata_dh!$E:$E,2030,    demanddata_dh!$F:$F,Table2[[#This Row],[variant]])*10^6/8760 * 0.2, 0)</f>
        <v>28</v>
      </c>
      <c r="S6" s="108" t="s">
        <v>311</v>
      </c>
      <c r="T6" s="108" t="s">
        <v>309</v>
      </c>
    </row>
    <row r="7" spans="1:21">
      <c r="A7" s="147" t="s">
        <v>177</v>
      </c>
      <c r="B7" t="s">
        <v>304</v>
      </c>
      <c r="C7" t="s">
        <v>314</v>
      </c>
      <c r="D7" s="149" t="s">
        <v>318</v>
      </c>
      <c r="E7" s="149">
        <v>1</v>
      </c>
      <c r="F7" s="149" t="s">
        <v>343</v>
      </c>
      <c r="H7" s="148"/>
      <c r="I7" s="148">
        <v>4000</v>
      </c>
      <c r="J7" s="148"/>
      <c r="K7" s="148">
        <f t="shared" si="0"/>
        <v>45</v>
      </c>
      <c r="O7" t="str">
        <f>_xlfn.XLOOKUP(Table2[[#This Row],[Node_suffix]],$S$4:$S$11,$T$4:$T$11)</f>
        <v>ROF</v>
      </c>
      <c r="Q7">
        <f>ROUND(SUMIFS(demanddata_dh!$G:$G,demanddata_dh!$A:$A,A7, demanddata_dh!$C:$C,$C7,    demanddata_dh!$E:$E,2030,    demanddata_dh!$F:$F,Table2[[#This Row],[variant]])*10^6/8760 * 0.2, 0)</f>
        <v>45</v>
      </c>
      <c r="S7" s="108" t="s">
        <v>312</v>
      </c>
      <c r="T7" s="108" t="s">
        <v>316</v>
      </c>
    </row>
    <row r="8" spans="1:21">
      <c r="A8" s="147" t="s">
        <v>177</v>
      </c>
      <c r="B8" t="s">
        <v>304</v>
      </c>
      <c r="C8" t="s">
        <v>313</v>
      </c>
      <c r="D8" s="149" t="s">
        <v>318</v>
      </c>
      <c r="E8" s="149">
        <v>1</v>
      </c>
      <c r="F8" s="149" t="s">
        <v>343</v>
      </c>
      <c r="H8" s="148"/>
      <c r="I8" s="148">
        <v>4000</v>
      </c>
      <c r="J8" s="148"/>
      <c r="K8" s="148">
        <f t="shared" si="0"/>
        <v>51</v>
      </c>
      <c r="O8" t="str">
        <f>_xlfn.XLOOKUP(Table2[[#This Row],[Node_suffix]],$S$4:$S$11,$T$4:$T$11)</f>
        <v>ROF</v>
      </c>
      <c r="Q8">
        <f>ROUND(SUMIFS(demanddata_dh!$G:$G,demanddata_dh!$A:$A,A8, demanddata_dh!$C:$C,$C8,    demanddata_dh!$E:$E,2030,    demanddata_dh!$F:$F,Table2[[#This Row],[variant]])*10^6/8760 * 0.2, 0)</f>
        <v>51</v>
      </c>
      <c r="S8" s="108" t="s">
        <v>313</v>
      </c>
      <c r="T8" s="108" t="s">
        <v>316</v>
      </c>
    </row>
    <row r="9" spans="1:21">
      <c r="A9" s="147" t="s">
        <v>177</v>
      </c>
      <c r="B9" t="s">
        <v>304</v>
      </c>
      <c r="C9" t="s">
        <v>312</v>
      </c>
      <c r="D9" s="149" t="s">
        <v>318</v>
      </c>
      <c r="E9" s="149">
        <v>1</v>
      </c>
      <c r="F9" s="149" t="s">
        <v>343</v>
      </c>
      <c r="H9" s="148"/>
      <c r="I9" s="148">
        <v>4000</v>
      </c>
      <c r="J9" s="148"/>
      <c r="K9" s="148">
        <f t="shared" si="0"/>
        <v>46</v>
      </c>
      <c r="O9" t="str">
        <f>_xlfn.XLOOKUP(Table2[[#This Row],[Node_suffix]],$S$4:$S$11,$T$4:$T$11)</f>
        <v>ROF</v>
      </c>
      <c r="Q9">
        <f>ROUND(SUMIFS(demanddata_dh!$G:$G,demanddata_dh!$A:$A,A9, demanddata_dh!$C:$C,$C9,    demanddata_dh!$E:$E,2030,    demanddata_dh!$F:$F,Table2[[#This Row],[variant]])*10^6/8760 * 0.2, 0)</f>
        <v>46</v>
      </c>
      <c r="S9" s="108" t="s">
        <v>314</v>
      </c>
      <c r="T9" s="108" t="s">
        <v>316</v>
      </c>
    </row>
    <row r="10" spans="1:21">
      <c r="A10" s="147" t="s">
        <v>177</v>
      </c>
      <c r="B10" t="s">
        <v>304</v>
      </c>
      <c r="C10" t="s">
        <v>311</v>
      </c>
      <c r="D10" s="149" t="s">
        <v>318</v>
      </c>
      <c r="E10" s="149">
        <v>1</v>
      </c>
      <c r="F10" s="149" t="s">
        <v>343</v>
      </c>
      <c r="H10" s="148"/>
      <c r="I10" s="148">
        <v>4000</v>
      </c>
      <c r="J10" s="148"/>
      <c r="K10" s="148">
        <f t="shared" si="0"/>
        <v>44</v>
      </c>
      <c r="O10" t="str">
        <f>_xlfn.XLOOKUP(Table2[[#This Row],[Node_suffix]],$S$4:$S$11,$T$4:$T$11)</f>
        <v>HKI</v>
      </c>
      <c r="Q10">
        <f>ROUND(SUMIFS(demanddata_dh!$G:$G,demanddata_dh!$A:$A,A10, demanddata_dh!$C:$C,$C10,    demanddata_dh!$E:$E,2030,    demanddata_dh!$F:$F,Table2[[#This Row],[variant]])*10^6/8760 * 0.2, 0)</f>
        <v>44</v>
      </c>
      <c r="S10" s="108" t="s">
        <v>315</v>
      </c>
      <c r="T10" s="108" t="s">
        <v>316</v>
      </c>
    </row>
    <row r="11" spans="1:21">
      <c r="A11" s="200" t="s">
        <v>370</v>
      </c>
      <c r="H11" s="148"/>
      <c r="I11" s="148"/>
      <c r="J11" s="148"/>
      <c r="K11" s="148"/>
      <c r="S11" s="108" t="s">
        <v>316</v>
      </c>
      <c r="T11" s="108" t="s">
        <v>316</v>
      </c>
    </row>
    <row r="12" spans="1:21">
      <c r="A12" s="147" t="s">
        <v>177</v>
      </c>
      <c r="B12" t="s">
        <v>304</v>
      </c>
      <c r="C12" t="s">
        <v>309</v>
      </c>
      <c r="D12" s="149" t="s">
        <v>318</v>
      </c>
      <c r="E12" s="149">
        <v>1</v>
      </c>
      <c r="F12" s="149" t="s">
        <v>356</v>
      </c>
      <c r="H12" s="148"/>
      <c r="I12" s="148">
        <v>4000</v>
      </c>
      <c r="J12" s="148"/>
      <c r="K12" s="148">
        <f>SUMIFS($K$3:$K$10,$O$3:$O$10,Table2[[#This Row],[Node_suffix]])</f>
        <v>250</v>
      </c>
    </row>
    <row r="13" spans="1:21">
      <c r="A13" s="147" t="s">
        <v>177</v>
      </c>
      <c r="B13" t="s">
        <v>304</v>
      </c>
      <c r="C13" t="s">
        <v>316</v>
      </c>
      <c r="D13" s="149" t="s">
        <v>318</v>
      </c>
      <c r="E13" s="149">
        <v>1</v>
      </c>
      <c r="F13" s="149" t="s">
        <v>356</v>
      </c>
      <c r="H13" s="148"/>
      <c r="I13" s="148">
        <v>4000</v>
      </c>
      <c r="J13" s="148"/>
      <c r="K13" s="148">
        <f>SUMIFS($K$3:$K$10,$O$3:$O$10,Table2[[#This Row],[Node_suffix]])</f>
        <v>636</v>
      </c>
    </row>
    <row r="14" spans="1:21">
      <c r="A14" s="200" t="s">
        <v>371</v>
      </c>
      <c r="H14" s="148"/>
      <c r="I14" s="148"/>
      <c r="J14" s="148"/>
      <c r="K14" s="148"/>
    </row>
    <row r="15" spans="1:21">
      <c r="A15" s="147" t="s">
        <v>177</v>
      </c>
      <c r="B15" t="s">
        <v>304</v>
      </c>
      <c r="D15" s="149" t="s">
        <v>318</v>
      </c>
      <c r="E15" s="149">
        <v>1</v>
      </c>
      <c r="F15" s="149" t="s">
        <v>368</v>
      </c>
      <c r="H15" s="148"/>
      <c r="I15" s="148">
        <v>4000</v>
      </c>
      <c r="J15" s="148"/>
      <c r="K15" s="148">
        <f>K12+K13</f>
        <v>886</v>
      </c>
    </row>
    <row r="16" spans="1:21">
      <c r="A16" s="200" t="s">
        <v>372</v>
      </c>
      <c r="H16" s="148"/>
      <c r="I16" s="148"/>
      <c r="J16" s="148"/>
      <c r="K16" s="148"/>
    </row>
    <row r="17" spans="1:17">
      <c r="A17" t="s">
        <v>167</v>
      </c>
      <c r="B17" t="s">
        <v>304</v>
      </c>
      <c r="D17" s="149" t="s">
        <v>318</v>
      </c>
      <c r="E17" s="149">
        <v>1</v>
      </c>
      <c r="H17" s="148"/>
      <c r="I17" s="148">
        <v>4000</v>
      </c>
      <c r="J17" s="148"/>
      <c r="K17" s="148">
        <f t="shared" si="0"/>
        <v>149</v>
      </c>
      <c r="Q17" s="65">
        <f>ROUND(SUMIFS(demanddata_dh!$G:$G,demanddata_dh!$A:$A,A17, demanddata_dh!$E:$E,2030)*10^6/8760 * 0.2, 0)</f>
        <v>149</v>
      </c>
    </row>
    <row r="18" spans="1:17">
      <c r="A18" t="s">
        <v>168</v>
      </c>
      <c r="B18" t="s">
        <v>304</v>
      </c>
      <c r="D18" s="149" t="s">
        <v>318</v>
      </c>
      <c r="E18" s="149">
        <v>1</v>
      </c>
      <c r="H18" s="148"/>
      <c r="I18" s="148">
        <v>4000</v>
      </c>
      <c r="J18" s="148"/>
      <c r="K18" s="148">
        <f t="shared" si="0"/>
        <v>21</v>
      </c>
      <c r="Q18" s="65">
        <f>ROUND(SUMIFS(demanddata_dh!$G:$G,demanddata_dh!$A:$A,A18, demanddata_dh!$E:$E,2030)*10^6/8760 * 0.2, 0)</f>
        <v>21</v>
      </c>
    </row>
    <row r="19" spans="1:17">
      <c r="A19" t="s">
        <v>169</v>
      </c>
      <c r="B19" t="s">
        <v>304</v>
      </c>
      <c r="D19" s="149" t="s">
        <v>318</v>
      </c>
      <c r="E19" s="149">
        <v>1</v>
      </c>
      <c r="H19" s="148"/>
      <c r="I19" s="148">
        <v>4000</v>
      </c>
      <c r="J19" s="148"/>
      <c r="K19" s="148">
        <f t="shared" si="0"/>
        <v>23</v>
      </c>
      <c r="Q19" s="65">
        <f>ROUND(SUMIFS(demanddata_dh!$G:$G,demanddata_dh!$A:$A,A19, demanddata_dh!$E:$E,2030)*10^6/8760 * 0.2, 0)</f>
        <v>23</v>
      </c>
    </row>
    <row r="20" spans="1:17">
      <c r="A20" t="s">
        <v>300</v>
      </c>
      <c r="B20" t="s">
        <v>304</v>
      </c>
      <c r="D20" s="149" t="s">
        <v>318</v>
      </c>
      <c r="E20" s="149">
        <v>1</v>
      </c>
      <c r="H20" s="148"/>
      <c r="I20" s="148">
        <v>4000</v>
      </c>
      <c r="J20" s="148"/>
      <c r="K20" s="148">
        <f t="shared" si="0"/>
        <v>182</v>
      </c>
      <c r="Q20" s="65">
        <f>ROUND(SUMIFS(demanddata_dh!$G:$G,demanddata_dh!$A:$A,A20, demanddata_dh!$E:$E,2030)*10^6/8760 * 0.2, 0)</f>
        <v>182</v>
      </c>
    </row>
    <row r="21" spans="1:17">
      <c r="A21" t="s">
        <v>299</v>
      </c>
      <c r="B21" t="s">
        <v>304</v>
      </c>
      <c r="D21" s="149" t="s">
        <v>318</v>
      </c>
      <c r="E21" s="149">
        <v>1</v>
      </c>
      <c r="H21" s="148"/>
      <c r="I21" s="148">
        <v>4000</v>
      </c>
      <c r="J21" s="148"/>
      <c r="K21" s="148">
        <f t="shared" si="0"/>
        <v>229</v>
      </c>
      <c r="Q21" s="65">
        <f>ROUND(SUMIFS(demanddata_dh!$G:$G,demanddata_dh!$A:$A,A21, demanddata_dh!$E:$E,2030)*10^6/8760 * 0.2, 0)</f>
        <v>229</v>
      </c>
    </row>
    <row r="22" spans="1:17">
      <c r="A22" t="s">
        <v>296</v>
      </c>
      <c r="B22" t="s">
        <v>304</v>
      </c>
      <c r="D22" s="149" t="s">
        <v>318</v>
      </c>
      <c r="E22" s="149">
        <v>1</v>
      </c>
      <c r="H22" s="148"/>
      <c r="I22" s="148">
        <v>4000</v>
      </c>
      <c r="J22" s="148"/>
      <c r="K22" s="148">
        <f t="shared" si="0"/>
        <v>111</v>
      </c>
      <c r="Q22" s="65">
        <f>ROUND(SUMIFS(demanddata_dh!$G:$G,demanddata_dh!$A:$A,A22, demanddata_dh!$E:$E,2030)*10^6/8760 * 0.2, 0)</f>
        <v>111</v>
      </c>
    </row>
    <row r="23" spans="1:17">
      <c r="A23" t="s">
        <v>187</v>
      </c>
      <c r="B23" t="s">
        <v>304</v>
      </c>
      <c r="D23" s="149" t="s">
        <v>318</v>
      </c>
      <c r="E23" s="149">
        <v>1</v>
      </c>
      <c r="H23" s="148"/>
      <c r="I23" s="148">
        <v>4000</v>
      </c>
      <c r="J23" s="148"/>
      <c r="K23" s="148">
        <f t="shared" si="0"/>
        <v>30</v>
      </c>
      <c r="Q23" s="65">
        <f>ROUND(SUMIFS(demanddata_dh!$G:$G,demanddata_dh!$A:$A,A23, demanddata_dh!$E:$E,2030)*10^6/8760 * 0.2, 0)</f>
        <v>30</v>
      </c>
    </row>
    <row r="24" spans="1:17">
      <c r="A24" t="s">
        <v>192</v>
      </c>
      <c r="B24" t="s">
        <v>304</v>
      </c>
      <c r="D24" s="149" t="s">
        <v>318</v>
      </c>
      <c r="E24" s="149">
        <v>1</v>
      </c>
      <c r="H24" s="148"/>
      <c r="I24" s="148">
        <v>4000</v>
      </c>
      <c r="J24" s="148"/>
      <c r="K24" s="148">
        <f t="shared" si="0"/>
        <v>117</v>
      </c>
      <c r="Q24" s="65">
        <f>ROUND(SUMIFS(demanddata_dh!$G:$G,demanddata_dh!$A:$A,A24, demanddata_dh!$E:$E,2030)*10^6/8760 * 0.2, 0)</f>
        <v>117</v>
      </c>
    </row>
    <row r="25" spans="1:17">
      <c r="A25" t="s">
        <v>205</v>
      </c>
      <c r="B25" t="s">
        <v>304</v>
      </c>
      <c r="D25" s="149" t="s">
        <v>318</v>
      </c>
      <c r="E25" s="149">
        <v>1</v>
      </c>
      <c r="H25" s="148"/>
      <c r="I25" s="148">
        <v>4000</v>
      </c>
      <c r="J25" s="148"/>
      <c r="K25" s="148">
        <f t="shared" si="0"/>
        <v>937</v>
      </c>
      <c r="Q25" s="65">
        <f>ROUND(SUMIFS(demanddata_dh!$G:$G,demanddata_dh!$A:$A,A25, demanddata_dh!$E:$E,2030)*10^6/8760 * 0.2, 0)</f>
        <v>937</v>
      </c>
    </row>
    <row r="26" spans="1:17">
      <c r="A26" t="s">
        <v>210</v>
      </c>
      <c r="B26" t="s">
        <v>304</v>
      </c>
      <c r="D26" s="149" t="s">
        <v>318</v>
      </c>
      <c r="E26" s="149">
        <v>1</v>
      </c>
      <c r="H26" s="148"/>
      <c r="I26" s="148">
        <v>4000</v>
      </c>
      <c r="J26" s="148"/>
      <c r="K26" s="148">
        <f t="shared" si="0"/>
        <v>275</v>
      </c>
      <c r="Q26" s="65">
        <f>ROUND(SUMIFS(demanddata_dh!$G:$G,demanddata_dh!$A:$A,A26, demanddata_dh!$E:$E,2030)*10^6/8760 * 0.2, 0)</f>
        <v>275</v>
      </c>
    </row>
    <row r="27" spans="1:17">
      <c r="A27" t="s">
        <v>237</v>
      </c>
      <c r="B27" t="s">
        <v>304</v>
      </c>
      <c r="D27" s="149" t="s">
        <v>318</v>
      </c>
      <c r="E27" s="149">
        <v>1</v>
      </c>
      <c r="H27" s="148"/>
      <c r="I27" s="148">
        <v>4000</v>
      </c>
      <c r="J27" s="148"/>
      <c r="K27" s="148">
        <f t="shared" si="0"/>
        <v>454</v>
      </c>
      <c r="Q27" s="65">
        <f>ROUND(SUMIFS(demanddata_dh!$G:$G,demanddata_dh!$A:$A,A27, demanddata_dh!$E:$E,2030)*10^6/8760 * 0.2, 0)</f>
        <v>454</v>
      </c>
    </row>
    <row r="28" spans="1:17">
      <c r="A28" t="s">
        <v>238</v>
      </c>
      <c r="B28" t="s">
        <v>304</v>
      </c>
      <c r="D28" s="149" t="s">
        <v>318</v>
      </c>
      <c r="E28" s="149">
        <v>1</v>
      </c>
      <c r="H28" s="148"/>
      <c r="I28" s="148">
        <v>4000</v>
      </c>
      <c r="J28" s="148"/>
      <c r="K28" s="148">
        <f t="shared" si="0"/>
        <v>398</v>
      </c>
      <c r="Q28" s="65">
        <f>ROUND(SUMIFS(demanddata_dh!$G:$G,demanddata_dh!$A:$A,A28, demanddata_dh!$E:$E,2030)*10^6/8760 * 0.2, 0)</f>
        <v>398</v>
      </c>
    </row>
    <row r="29" spans="1:17">
      <c r="A29" t="s">
        <v>298</v>
      </c>
      <c r="B29" t="s">
        <v>304</v>
      </c>
      <c r="D29" s="149" t="s">
        <v>318</v>
      </c>
      <c r="E29" s="149">
        <v>1</v>
      </c>
      <c r="H29" s="148"/>
      <c r="I29" s="148">
        <v>4000</v>
      </c>
      <c r="J29" s="148"/>
      <c r="K29" s="148">
        <f t="shared" si="0"/>
        <v>2302</v>
      </c>
      <c r="Q29" s="65">
        <f>ROUND(SUMIFS(demanddata_dh!$G:$G,demanddata_dh!$A:$A,A29, demanddata_dh!$E:$E,2030)*10^6/8760 * 0.2, 0)</f>
        <v>2302</v>
      </c>
    </row>
    <row r="30" spans="1:17">
      <c r="A30" t="s">
        <v>297</v>
      </c>
      <c r="B30" t="s">
        <v>304</v>
      </c>
      <c r="D30" s="149" t="s">
        <v>318</v>
      </c>
      <c r="E30" s="149">
        <v>1</v>
      </c>
      <c r="H30" s="148"/>
      <c r="I30" s="148">
        <v>4000</v>
      </c>
      <c r="J30" s="148"/>
      <c r="K30" s="148">
        <f t="shared" si="0"/>
        <v>1497</v>
      </c>
      <c r="Q30" s="65">
        <f>ROUND(SUMIFS(demanddata_dh!$G:$G,demanddata_dh!$A:$A,A30, demanddata_dh!$E:$E,2030)*10^6/8760 * 0.2, 0)</f>
        <v>1497</v>
      </c>
    </row>
    <row r="31" spans="1:17">
      <c r="A31" t="s">
        <v>301</v>
      </c>
      <c r="B31" t="s">
        <v>304</v>
      </c>
      <c r="D31" s="149" t="s">
        <v>318</v>
      </c>
      <c r="E31" s="149">
        <v>1</v>
      </c>
      <c r="H31" s="148"/>
      <c r="I31" s="148">
        <v>4000</v>
      </c>
      <c r="J31" s="148"/>
      <c r="K31" s="148">
        <f t="shared" si="0"/>
        <v>425</v>
      </c>
      <c r="Q31" s="65">
        <f>ROUND(SUMIFS(demanddata_dh!$G:$G,demanddata_dh!$A:$A,A31, demanddata_dh!$E:$E,2030)*10^6/8760 * 0.2, 0)</f>
        <v>425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B099-CAB7-49AC-A39E-B4E625CD06B4}">
  <sheetPr>
    <tabColor theme="3" tint="0.499984740745262"/>
  </sheetPr>
  <dimension ref="A1:I171"/>
  <sheetViews>
    <sheetView zoomScaleNormal="100" workbookViewId="0">
      <pane ySplit="1" topLeftCell="A2" activePane="bottomLeft" state="frozen"/>
      <selection pane="bottomLeft" activeCell="F3" sqref="F3"/>
    </sheetView>
  </sheetViews>
  <sheetFormatPr defaultRowHeight="15"/>
  <cols>
    <col min="1" max="1" width="12.5703125" bestFit="1" customWidth="1"/>
    <col min="2" max="2" width="9.42578125" bestFit="1" customWidth="1"/>
    <col min="3" max="3" width="16.42578125" bestFit="1" customWidth="1"/>
    <col min="4" max="4" width="22.5703125" style="149" customWidth="1"/>
    <col min="5" max="5" width="9.5703125" style="149" bestFit="1" customWidth="1"/>
    <col min="6" max="6" width="18.85546875" style="149" customWidth="1"/>
    <col min="7" max="7" width="15.28515625" style="148" bestFit="1" customWidth="1"/>
    <col min="8" max="8" width="17.28515625" style="148" bestFit="1" customWidth="1"/>
    <col min="9" max="9" width="9.140625" style="147"/>
  </cols>
  <sheetData>
    <row r="1" spans="1:9">
      <c r="A1" t="s">
        <v>171</v>
      </c>
      <c r="B1" t="s">
        <v>172</v>
      </c>
      <c r="C1" t="s">
        <v>173</v>
      </c>
      <c r="D1" t="s">
        <v>174</v>
      </c>
      <c r="E1" t="s">
        <v>175</v>
      </c>
      <c r="F1" t="s">
        <v>342</v>
      </c>
      <c r="G1" t="s">
        <v>302</v>
      </c>
      <c r="H1" t="s">
        <v>176</v>
      </c>
      <c r="I1"/>
    </row>
    <row r="2" spans="1:9">
      <c r="A2" t="str">
        <f>IF(Finland!B5="","",Finland!B5)</f>
        <v>FI00</v>
      </c>
      <c r="B2" t="str">
        <f>IF(Finland!C5="","",Finland!C5)</f>
        <v>dheat</v>
      </c>
      <c r="C2" t="str">
        <f>IF(Finland!D5="","",Finland!D5)</f>
        <v>HKI</v>
      </c>
      <c r="D2" t="str">
        <f>IF(Finland!E5="","",Finland!E5)</f>
        <v>all</v>
      </c>
      <c r="E2">
        <f>IF(Finland!F5="","",Finland!F5)</f>
        <v>2015</v>
      </c>
      <c r="F2" t="str">
        <f>IF(Finland!G5="","",Finland!G5)</f>
        <v>dh-level:cities</v>
      </c>
      <c r="G2" s="183">
        <f>IF(Finland!H5="","",Finland!H5)</f>
        <v>7.0736040298090908</v>
      </c>
      <c r="H2">
        <f>IF(Finland!I5="","",Finland!I5)</f>
        <v>0.3</v>
      </c>
    </row>
    <row r="3" spans="1:9">
      <c r="A3" t="str">
        <f>IF(Finland!B6="","",Finland!B6)</f>
        <v>FI00</v>
      </c>
      <c r="B3" t="str">
        <f>IF(Finland!C6="","",Finland!C6)</f>
        <v>dheat</v>
      </c>
      <c r="C3" t="str">
        <f>IF(Finland!D6="","",Finland!D6)</f>
        <v>ESP</v>
      </c>
      <c r="D3" t="str">
        <f>IF(Finland!E6="","",Finland!E6)</f>
        <v>all</v>
      </c>
      <c r="E3">
        <f>IF(Finland!F6="","",Finland!F6)</f>
        <v>2015</v>
      </c>
      <c r="F3" t="str">
        <f>IF(Finland!G6="","",Finland!G6)</f>
        <v>dh-level:cities</v>
      </c>
      <c r="G3" s="183">
        <f>IF(Finland!H6="","",Finland!H6)</f>
        <v>2.3605086565648401</v>
      </c>
      <c r="H3">
        <f>IF(Finland!I6="","",Finland!I6)</f>
        <v>0.3</v>
      </c>
    </row>
    <row r="4" spans="1:9">
      <c r="A4" t="str">
        <f>IF(Finland!B7="","",Finland!B7)</f>
        <v>FI00</v>
      </c>
      <c r="B4" t="str">
        <f>IF(Finland!C7="","",Finland!C7)</f>
        <v>dheat</v>
      </c>
      <c r="C4" t="str">
        <f>IF(Finland!D7="","",Finland!D7)</f>
        <v>VAN</v>
      </c>
      <c r="D4" t="str">
        <f>IF(Finland!E7="","",Finland!E7)</f>
        <v>all</v>
      </c>
      <c r="E4">
        <f>IF(Finland!F7="","",Finland!F7)</f>
        <v>2015</v>
      </c>
      <c r="F4" t="str">
        <f>IF(Finland!G7="","",Finland!G7)</f>
        <v>dh-level:cities</v>
      </c>
      <c r="G4" s="183">
        <f>IF(Finland!H7="","",Finland!H7)</f>
        <v>1.8955076088234648</v>
      </c>
      <c r="H4">
        <f>IF(Finland!I7="","",Finland!I7)</f>
        <v>0.3</v>
      </c>
    </row>
    <row r="5" spans="1:9">
      <c r="A5" t="str">
        <f>IF(Finland!B8="","",Finland!B8)</f>
        <v>FI00</v>
      </c>
      <c r="B5" t="str">
        <f>IF(Finland!C8="","",Finland!C8)</f>
        <v>dheat</v>
      </c>
      <c r="C5" t="str">
        <f>IF(Finland!D8="","",Finland!D8)</f>
        <v>TKU</v>
      </c>
      <c r="D5" t="str">
        <f>IF(Finland!E8="","",Finland!E8)</f>
        <v>all</v>
      </c>
      <c r="E5">
        <f>IF(Finland!F8="","",Finland!F8)</f>
        <v>2015</v>
      </c>
      <c r="F5" t="str">
        <f>IF(Finland!G8="","",Finland!G8)</f>
        <v>dh-level:cities</v>
      </c>
      <c r="G5" s="183">
        <f>IF(Finland!H8="","",Finland!H8)</f>
        <v>2.2187058356179667</v>
      </c>
      <c r="H5">
        <f>IF(Finland!I8="","",Finland!I8)</f>
        <v>0.3</v>
      </c>
    </row>
    <row r="6" spans="1:9">
      <c r="A6" t="str">
        <f>IF(Finland!B9="","",Finland!B9)</f>
        <v>FI00</v>
      </c>
      <c r="B6" t="str">
        <f>IF(Finland!C9="","",Finland!C9)</f>
        <v>dheat</v>
      </c>
      <c r="C6" t="str">
        <f>IF(Finland!D9="","",Finland!D9)</f>
        <v>TRE</v>
      </c>
      <c r="D6" t="str">
        <f>IF(Finland!E9="","",Finland!E9)</f>
        <v>all</v>
      </c>
      <c r="E6">
        <f>IF(Finland!F9="","",Finland!F9)</f>
        <v>2015</v>
      </c>
      <c r="F6" t="str">
        <f>IF(Finland!G9="","",Finland!G9)</f>
        <v>dh-level:cities</v>
      </c>
      <c r="G6" s="183">
        <f>IF(Finland!H9="","",Finland!H9)</f>
        <v>2.2249793654609449</v>
      </c>
      <c r="H6">
        <f>IF(Finland!I9="","",Finland!I9)</f>
        <v>0.3</v>
      </c>
    </row>
    <row r="7" spans="1:9">
      <c r="A7" t="str">
        <f>IF(Finland!B10="","",Finland!B10)</f>
        <v>FI00</v>
      </c>
      <c r="B7" t="str">
        <f>IF(Finland!C10="","",Finland!C10)</f>
        <v>dheat</v>
      </c>
      <c r="C7" t="str">
        <f>IF(Finland!D10="","",Finland!D10)</f>
        <v>OUL</v>
      </c>
      <c r="D7" t="str">
        <f>IF(Finland!E10="","",Finland!E10)</f>
        <v>all</v>
      </c>
      <c r="E7">
        <f>IF(Finland!F10="","",Finland!F10)</f>
        <v>2015</v>
      </c>
      <c r="F7" t="str">
        <f>IF(Finland!G10="","",Finland!G10)</f>
        <v>dh-level:cities</v>
      </c>
      <c r="G7" s="183">
        <f>IF(Finland!H10="","",Finland!H10)</f>
        <v>1.7214878369103304</v>
      </c>
      <c r="H7">
        <f>IF(Finland!I10="","",Finland!I10)</f>
        <v>0.3</v>
      </c>
    </row>
    <row r="8" spans="1:9">
      <c r="A8" t="str">
        <f>IF(Finland!B11="","",Finland!B11)</f>
        <v>FI00</v>
      </c>
      <c r="B8" t="str">
        <f>IF(Finland!C11="","",Finland!C11)</f>
        <v>dheat</v>
      </c>
      <c r="C8" t="str">
        <f>IF(Finland!D11="","",Finland!D11)</f>
        <v>JKL</v>
      </c>
      <c r="D8" t="str">
        <f>IF(Finland!E11="","",Finland!E11)</f>
        <v>all</v>
      </c>
      <c r="E8">
        <f>IF(Finland!F11="","",Finland!F11)</f>
        <v>2015</v>
      </c>
      <c r="F8" t="str">
        <f>IF(Finland!G11="","",Finland!G11)</f>
        <v>dh-level:cities</v>
      </c>
      <c r="G8" s="183">
        <f>IF(Finland!H11="","",Finland!H11)</f>
        <v>1.1858506273683131</v>
      </c>
      <c r="H8">
        <f>IF(Finland!I11="","",Finland!I11)</f>
        <v>0.3</v>
      </c>
    </row>
    <row r="9" spans="1:9">
      <c r="A9" t="str">
        <f>IF(Finland!B12="","",Finland!B12)</f>
        <v>FI00</v>
      </c>
      <c r="B9" t="str">
        <f>IF(Finland!C12="","",Finland!C12)</f>
        <v>dheat</v>
      </c>
      <c r="C9" t="str">
        <f>IF(Finland!D12="","",Finland!D12)</f>
        <v>ROF</v>
      </c>
      <c r="D9" t="str">
        <f>IF(Finland!E12="","",Finland!E12)</f>
        <v>all</v>
      </c>
      <c r="E9">
        <f>IF(Finland!F12="","",Finland!F12)</f>
        <v>2015</v>
      </c>
      <c r="F9" t="str">
        <f>IF(Finland!G12="","",Finland!G12)</f>
        <v>dh-level:cities</v>
      </c>
      <c r="G9" s="183">
        <f>IF(Finland!H12="","",Finland!H12)</f>
        <v>19.449074188534723</v>
      </c>
      <c r="H9">
        <f>IF(Finland!I12="","",Finland!I12)</f>
        <v>0.3</v>
      </c>
    </row>
    <row r="10" spans="1:9">
      <c r="A10" t="str">
        <f>IF(Finland!B13="","",Finland!B13)</f>
        <v>FI00</v>
      </c>
      <c r="B10" t="str">
        <f>IF(Finland!C13="","",Finland!C13)</f>
        <v>dheat</v>
      </c>
      <c r="C10" t="str">
        <f>IF(Finland!D13="","",Finland!D13)</f>
        <v>HKI</v>
      </c>
      <c r="D10" t="str">
        <f>IF(Finland!E13="","",Finland!E13)</f>
        <v>all</v>
      </c>
      <c r="E10">
        <f>IF(Finland!F13="","",Finland!F13)</f>
        <v>2020</v>
      </c>
      <c r="F10" t="str">
        <f>IF(Finland!G13="","",Finland!G13)</f>
        <v>dh-level:cities</v>
      </c>
      <c r="G10" s="183">
        <f>IF(Finland!H13="","",Finland!H13)</f>
        <v>7.0888236484949978</v>
      </c>
      <c r="H10">
        <f>IF(Finland!I13="","",Finland!I13)</f>
        <v>0.3</v>
      </c>
    </row>
    <row r="11" spans="1:9">
      <c r="A11" t="str">
        <f>IF(Finland!B14="","",Finland!B14)</f>
        <v>FI00</v>
      </c>
      <c r="B11" t="str">
        <f>IF(Finland!C14="","",Finland!C14)</f>
        <v>dheat</v>
      </c>
      <c r="C11" t="str">
        <f>IF(Finland!D14="","",Finland!D14)</f>
        <v>ESP</v>
      </c>
      <c r="D11" t="str">
        <f>IF(Finland!E14="","",Finland!E14)</f>
        <v>all</v>
      </c>
      <c r="E11">
        <f>IF(Finland!F14="","",Finland!F14)</f>
        <v>2020</v>
      </c>
      <c r="F11" t="str">
        <f>IF(Finland!G14="","",Finland!G14)</f>
        <v>dh-level:cities</v>
      </c>
      <c r="G11" s="183">
        <f>IF(Finland!H14="","",Finland!H14)</f>
        <v>2.3674261149782323</v>
      </c>
      <c r="H11">
        <f>IF(Finland!I14="","",Finland!I14)</f>
        <v>0.3</v>
      </c>
    </row>
    <row r="12" spans="1:9">
      <c r="A12" t="str">
        <f>IF(Finland!B15="","",Finland!B15)</f>
        <v>FI00</v>
      </c>
      <c r="B12" t="str">
        <f>IF(Finland!C15="","",Finland!C15)</f>
        <v>dheat</v>
      </c>
      <c r="C12" t="str">
        <f>IF(Finland!D15="","",Finland!D15)</f>
        <v>VAN</v>
      </c>
      <c r="D12" t="str">
        <f>IF(Finland!E15="","",Finland!E15)</f>
        <v>all</v>
      </c>
      <c r="E12">
        <f>IF(Finland!F15="","",Finland!F15)</f>
        <v>2020</v>
      </c>
      <c r="F12" t="str">
        <f>IF(Finland!G15="","",Finland!G15)</f>
        <v>dh-level:cities</v>
      </c>
      <c r="G12" s="183">
        <f>IF(Finland!H15="","",Finland!H15)</f>
        <v>1.9443747944752376</v>
      </c>
      <c r="H12">
        <f>IF(Finland!I15="","",Finland!I15)</f>
        <v>0.3</v>
      </c>
    </row>
    <row r="13" spans="1:9">
      <c r="A13" t="str">
        <f>IF(Finland!B16="","",Finland!B16)</f>
        <v>FI00</v>
      </c>
      <c r="B13" t="str">
        <f>IF(Finland!C16="","",Finland!C16)</f>
        <v>dheat</v>
      </c>
      <c r="C13" t="str">
        <f>IF(Finland!D16="","",Finland!D16)</f>
        <v>TKU</v>
      </c>
      <c r="D13" t="str">
        <f>IF(Finland!E16="","",Finland!E16)</f>
        <v>all</v>
      </c>
      <c r="E13">
        <f>IF(Finland!F16="","",Finland!F16)</f>
        <v>2020</v>
      </c>
      <c r="F13" t="str">
        <f>IF(Finland!G16="","",Finland!G16)</f>
        <v>dh-level:cities</v>
      </c>
      <c r="G13" s="183">
        <f>IF(Finland!H16="","",Finland!H16)</f>
        <v>2.0964712483910621</v>
      </c>
      <c r="H13">
        <f>IF(Finland!I16="","",Finland!I16)</f>
        <v>0.3</v>
      </c>
    </row>
    <row r="14" spans="1:9">
      <c r="A14" t="str">
        <f>IF(Finland!B17="","",Finland!B17)</f>
        <v>FI00</v>
      </c>
      <c r="B14" t="str">
        <f>IF(Finland!C17="","",Finland!C17)</f>
        <v>dheat</v>
      </c>
      <c r="C14" t="str">
        <f>IF(Finland!D17="","",Finland!D17)</f>
        <v>TRE</v>
      </c>
      <c r="D14" t="str">
        <f>IF(Finland!E17="","",Finland!E17)</f>
        <v>all</v>
      </c>
      <c r="E14">
        <f>IF(Finland!F17="","",Finland!F17)</f>
        <v>2020</v>
      </c>
      <c r="F14" t="str">
        <f>IF(Finland!G17="","",Finland!G17)</f>
        <v>dh-level:cities</v>
      </c>
      <c r="G14" s="183">
        <f>IF(Finland!H17="","",Finland!H17)</f>
        <v>2.234376775914841</v>
      </c>
      <c r="H14">
        <f>IF(Finland!I17="","",Finland!I17)</f>
        <v>0.3</v>
      </c>
    </row>
    <row r="15" spans="1:9">
      <c r="A15" t="str">
        <f>IF(Finland!B18="","",Finland!B18)</f>
        <v>FI00</v>
      </c>
      <c r="B15" t="str">
        <f>IF(Finland!C18="","",Finland!C18)</f>
        <v>dheat</v>
      </c>
      <c r="C15" t="str">
        <f>IF(Finland!D18="","",Finland!D18)</f>
        <v>OUL</v>
      </c>
      <c r="D15" t="str">
        <f>IF(Finland!E18="","",Finland!E18)</f>
        <v>all</v>
      </c>
      <c r="E15">
        <f>IF(Finland!F18="","",Finland!F18)</f>
        <v>2020</v>
      </c>
      <c r="F15" t="str">
        <f>IF(Finland!G18="","",Finland!G18)</f>
        <v>dh-level:cities</v>
      </c>
      <c r="G15" s="183">
        <f>IF(Finland!H18="","",Finland!H18)</f>
        <v>1.821833974895485</v>
      </c>
      <c r="H15">
        <f>IF(Finland!I18="","",Finland!I18)</f>
        <v>0.3</v>
      </c>
    </row>
    <row r="16" spans="1:9">
      <c r="A16" t="str">
        <f>IF(Finland!B19="","",Finland!B19)</f>
        <v>FI00</v>
      </c>
      <c r="B16" t="str">
        <f>IF(Finland!C19="","",Finland!C19)</f>
        <v>dheat</v>
      </c>
      <c r="C16" t="str">
        <f>IF(Finland!D19="","",Finland!D19)</f>
        <v>JKL</v>
      </c>
      <c r="D16" t="str">
        <f>IF(Finland!E19="","",Finland!E19)</f>
        <v>all</v>
      </c>
      <c r="E16">
        <f>IF(Finland!F19="","",Finland!F19)</f>
        <v>2020</v>
      </c>
      <c r="F16" t="str">
        <f>IF(Finland!G19="","",Finland!G19)</f>
        <v>dh-level:cities</v>
      </c>
      <c r="G16" s="183">
        <f>IF(Finland!H19="","",Finland!H19)</f>
        <v>1.2041924563777713</v>
      </c>
      <c r="H16">
        <f>IF(Finland!I19="","",Finland!I19)</f>
        <v>0.3</v>
      </c>
    </row>
    <row r="17" spans="1:8">
      <c r="A17" t="str">
        <f>IF(Finland!B20="","",Finland!B20)</f>
        <v>FI00</v>
      </c>
      <c r="B17" t="str">
        <f>IF(Finland!C20="","",Finland!C20)</f>
        <v>dheat</v>
      </c>
      <c r="C17" t="str">
        <f>IF(Finland!D20="","",Finland!D20)</f>
        <v>ROF</v>
      </c>
      <c r="D17" t="str">
        <f>IF(Finland!E20="","",Finland!E20)</f>
        <v>all</v>
      </c>
      <c r="E17">
        <f>IF(Finland!F20="","",Finland!F20)</f>
        <v>2020</v>
      </c>
      <c r="F17" t="str">
        <f>IF(Finland!G20="","",Finland!G20)</f>
        <v>dh-level:cities</v>
      </c>
      <c r="G17" s="183">
        <f>IF(Finland!H20="","",Finland!H20)</f>
        <v>19.732749807732993</v>
      </c>
      <c r="H17">
        <f>IF(Finland!I20="","",Finland!I20)</f>
        <v>0.3</v>
      </c>
    </row>
    <row r="18" spans="1:8">
      <c r="A18" t="str">
        <f>IF(Finland!B21="","",Finland!B21)</f>
        <v>FI00</v>
      </c>
      <c r="B18" t="str">
        <f>IF(Finland!C21="","",Finland!C21)</f>
        <v>dheat</v>
      </c>
      <c r="C18" t="str">
        <f>IF(Finland!D21="","",Finland!D21)</f>
        <v>HKI</v>
      </c>
      <c r="D18" t="str">
        <f>IF(Finland!E21="","",Finland!E21)</f>
        <v>all</v>
      </c>
      <c r="E18">
        <f>IF(Finland!F21="","",Finland!F21)</f>
        <v>2025</v>
      </c>
      <c r="F18" t="str">
        <f>IF(Finland!G21="","",Finland!G21)</f>
        <v>dh-level:cities</v>
      </c>
      <c r="G18" s="183">
        <f>IF(Finland!H21="","",Finland!H21)</f>
        <v>6.8940564264295006</v>
      </c>
      <c r="H18">
        <f>IF(Finland!I21="","",Finland!I21)</f>
        <v>0.3</v>
      </c>
    </row>
    <row r="19" spans="1:8">
      <c r="A19" t="str">
        <f>IF(Finland!B22="","",Finland!B22)</f>
        <v>FI00</v>
      </c>
      <c r="B19" t="str">
        <f>IF(Finland!C22="","",Finland!C22)</f>
        <v>dheat</v>
      </c>
      <c r="C19" t="str">
        <f>IF(Finland!D22="","",Finland!D22)</f>
        <v>ESP</v>
      </c>
      <c r="D19" t="str">
        <f>IF(Finland!E22="","",Finland!E22)</f>
        <v>all</v>
      </c>
      <c r="E19">
        <f>IF(Finland!F22="","",Finland!F22)</f>
        <v>2025</v>
      </c>
      <c r="F19" t="str">
        <f>IF(Finland!G22="","",Finland!G22)</f>
        <v>dh-level:cities</v>
      </c>
      <c r="G19" s="183">
        <f>IF(Finland!H22="","",Finland!H22)</f>
        <v>2.3116653064160797</v>
      </c>
      <c r="H19">
        <f>IF(Finland!I22="","",Finland!I22)</f>
        <v>0.3</v>
      </c>
    </row>
    <row r="20" spans="1:8">
      <c r="A20" t="str">
        <f>IF(Finland!B23="","",Finland!B23)</f>
        <v>FI00</v>
      </c>
      <c r="B20" t="str">
        <f>IF(Finland!C23="","",Finland!C23)</f>
        <v>dheat</v>
      </c>
      <c r="C20" t="str">
        <f>IF(Finland!D23="","",Finland!D23)</f>
        <v>VAN</v>
      </c>
      <c r="D20" t="str">
        <f>IF(Finland!E23="","",Finland!E23)</f>
        <v>all</v>
      </c>
      <c r="E20">
        <f>IF(Finland!F23="","",Finland!F23)</f>
        <v>2025</v>
      </c>
      <c r="F20" t="str">
        <f>IF(Finland!G23="","",Finland!G23)</f>
        <v>dh-level:cities</v>
      </c>
      <c r="G20" s="183">
        <f>IF(Finland!H23="","",Finland!H23)</f>
        <v>1.9534342636259119</v>
      </c>
      <c r="H20">
        <f>IF(Finland!I23="","",Finland!I23)</f>
        <v>0.3</v>
      </c>
    </row>
    <row r="21" spans="1:8">
      <c r="A21" t="str">
        <f>IF(Finland!B24="","",Finland!B24)</f>
        <v>FI00</v>
      </c>
      <c r="B21" t="str">
        <f>IF(Finland!C24="","",Finland!C24)</f>
        <v>dheat</v>
      </c>
      <c r="C21" t="str">
        <f>IF(Finland!D24="","",Finland!D24)</f>
        <v>TKU</v>
      </c>
      <c r="D21" t="str">
        <f>IF(Finland!E24="","",Finland!E24)</f>
        <v>all</v>
      </c>
      <c r="E21">
        <f>IF(Finland!F24="","",Finland!F24)</f>
        <v>2025</v>
      </c>
      <c r="F21" t="str">
        <f>IF(Finland!G24="","",Finland!G24)</f>
        <v>dh-level:cities</v>
      </c>
      <c r="G21" s="183">
        <f>IF(Finland!H24="","",Finland!H24)</f>
        <v>2.0365952811144408</v>
      </c>
      <c r="H21">
        <f>IF(Finland!I24="","",Finland!I24)</f>
        <v>0.3</v>
      </c>
    </row>
    <row r="22" spans="1:8">
      <c r="A22" t="str">
        <f>IF(Finland!B25="","",Finland!B25)</f>
        <v>FI00</v>
      </c>
      <c r="B22" t="str">
        <f>IF(Finland!C25="","",Finland!C25)</f>
        <v>dheat</v>
      </c>
      <c r="C22" t="str">
        <f>IF(Finland!D25="","",Finland!D25)</f>
        <v>TRE</v>
      </c>
      <c r="D22" t="str">
        <f>IF(Finland!E25="","",Finland!E25)</f>
        <v>all</v>
      </c>
      <c r="E22">
        <f>IF(Finland!F25="","",Finland!F25)</f>
        <v>2025</v>
      </c>
      <c r="F22" t="str">
        <f>IF(Finland!G25="","",Finland!G25)</f>
        <v>dh-level:cities</v>
      </c>
      <c r="G22" s="183">
        <f>IF(Finland!H25="","",Finland!H25)</f>
        <v>2.2303641536293948</v>
      </c>
      <c r="H22">
        <f>IF(Finland!I25="","",Finland!I25)</f>
        <v>0.3</v>
      </c>
    </row>
    <row r="23" spans="1:8">
      <c r="A23" t="str">
        <f>IF(Finland!B26="","",Finland!B26)</f>
        <v>FI00</v>
      </c>
      <c r="B23" t="str">
        <f>IF(Finland!C26="","",Finland!C26)</f>
        <v>dheat</v>
      </c>
      <c r="C23" t="str">
        <f>IF(Finland!D26="","",Finland!D26)</f>
        <v>OUL</v>
      </c>
      <c r="D23" t="str">
        <f>IF(Finland!E26="","",Finland!E26)</f>
        <v>all</v>
      </c>
      <c r="E23">
        <f>IF(Finland!F26="","",Finland!F26)</f>
        <v>2025</v>
      </c>
      <c r="F23" t="str">
        <f>IF(Finland!G26="","",Finland!G26)</f>
        <v>dh-level:cities</v>
      </c>
      <c r="G23" s="183">
        <f>IF(Finland!H26="","",Finland!H26)</f>
        <v>1.9174791297331568</v>
      </c>
      <c r="H23">
        <f>IF(Finland!I26="","",Finland!I26)</f>
        <v>0.3</v>
      </c>
    </row>
    <row r="24" spans="1:8">
      <c r="A24" t="str">
        <f>IF(Finland!B27="","",Finland!B27)</f>
        <v>FI00</v>
      </c>
      <c r="B24" t="str">
        <f>IF(Finland!C27="","",Finland!C27)</f>
        <v>dheat</v>
      </c>
      <c r="C24" t="str">
        <f>IF(Finland!D27="","",Finland!D27)</f>
        <v>JKL</v>
      </c>
      <c r="D24" t="str">
        <f>IF(Finland!E27="","",Finland!E27)</f>
        <v>all</v>
      </c>
      <c r="E24">
        <f>IF(Finland!F27="","",Finland!F27)</f>
        <v>2025</v>
      </c>
      <c r="F24" t="str">
        <f>IF(Finland!G27="","",Finland!G27)</f>
        <v>dh-level:cities</v>
      </c>
      <c r="G24" s="183">
        <f>IF(Finland!H27="","",Finland!H27)</f>
        <v>1.2125035647713862</v>
      </c>
      <c r="H24">
        <f>IF(Finland!I27="","",Finland!I27)</f>
        <v>0.3</v>
      </c>
    </row>
    <row r="25" spans="1:8">
      <c r="A25" t="str">
        <f>IF(Finland!B28="","",Finland!B28)</f>
        <v>FI00</v>
      </c>
      <c r="B25" t="str">
        <f>IF(Finland!C28="","",Finland!C28)</f>
        <v>dheat</v>
      </c>
      <c r="C25" t="str">
        <f>IF(Finland!D28="","",Finland!D28)</f>
        <v>ROF</v>
      </c>
      <c r="D25" t="str">
        <f>IF(Finland!E28="","",Finland!E28)</f>
        <v>all</v>
      </c>
      <c r="E25">
        <f>IF(Finland!F28="","",Finland!F28)</f>
        <v>2025</v>
      </c>
      <c r="F25" t="str">
        <f>IF(Finland!G28="","",Finland!G28)</f>
        <v>dh-level:cities</v>
      </c>
      <c r="G25" s="183">
        <f>IF(Finland!H28="","",Finland!H28)</f>
        <v>20.045262703680852</v>
      </c>
      <c r="H25">
        <f>IF(Finland!I28="","",Finland!I28)</f>
        <v>0.3</v>
      </c>
    </row>
    <row r="26" spans="1:8">
      <c r="A26" t="str">
        <f>IF(Finland!B29="","",Finland!B29)</f>
        <v>FI00</v>
      </c>
      <c r="B26" t="str">
        <f>IF(Finland!C29="","",Finland!C29)</f>
        <v>dheat</v>
      </c>
      <c r="C26" t="str">
        <f>IF(Finland!D29="","",Finland!D29)</f>
        <v>HKI</v>
      </c>
      <c r="D26" t="str">
        <f>IF(Finland!E29="","",Finland!E29)</f>
        <v>all</v>
      </c>
      <c r="E26">
        <f>IF(Finland!F29="","",Finland!F29)</f>
        <v>2030</v>
      </c>
      <c r="F26" t="str">
        <f>IF(Finland!G29="","",Finland!G29)</f>
        <v>dh-level:cities</v>
      </c>
      <c r="G26" s="183">
        <f>IF(Finland!H29="","",Finland!H29)</f>
        <v>6.7488075488799648</v>
      </c>
      <c r="H26">
        <f>IF(Finland!I29="","",Finland!I29)</f>
        <v>0.3</v>
      </c>
    </row>
    <row r="27" spans="1:8">
      <c r="A27" t="str">
        <f>IF(Finland!B30="","",Finland!B30)</f>
        <v>FI00</v>
      </c>
      <c r="B27" t="str">
        <f>IF(Finland!C30="","",Finland!C30)</f>
        <v>dheat</v>
      </c>
      <c r="C27" t="str">
        <f>IF(Finland!D30="","",Finland!D30)</f>
        <v>ESP</v>
      </c>
      <c r="D27" t="str">
        <f>IF(Finland!E30="","",Finland!E30)</f>
        <v>all</v>
      </c>
      <c r="E27">
        <f>IF(Finland!F30="","",Finland!F30)</f>
        <v>2030</v>
      </c>
      <c r="F27" t="str">
        <f>IF(Finland!G30="","",Finland!G30)</f>
        <v>dh-level:cities</v>
      </c>
      <c r="G27" s="183">
        <f>IF(Finland!H30="","",Finland!H30)</f>
        <v>2.2889008612304806</v>
      </c>
      <c r="H27">
        <f>IF(Finland!I30="","",Finland!I30)</f>
        <v>0.3</v>
      </c>
    </row>
    <row r="28" spans="1:8">
      <c r="A28" t="str">
        <f>IF(Finland!B31="","",Finland!B31)</f>
        <v>FI00</v>
      </c>
      <c r="B28" t="str">
        <f>IF(Finland!C31="","",Finland!C31)</f>
        <v>dheat</v>
      </c>
      <c r="C28" t="str">
        <f>IF(Finland!D31="","",Finland!D31)</f>
        <v>VAN</v>
      </c>
      <c r="D28" t="str">
        <f>IF(Finland!E31="","",Finland!E31)</f>
        <v>all</v>
      </c>
      <c r="E28">
        <f>IF(Finland!F31="","",Finland!F31)</f>
        <v>2030</v>
      </c>
      <c r="F28" t="str">
        <f>IF(Finland!G31="","",Finland!G31)</f>
        <v>dh-level:cities</v>
      </c>
      <c r="G28" s="183">
        <f>IF(Finland!H31="","",Finland!H31)</f>
        <v>1.9356427810578116</v>
      </c>
      <c r="H28">
        <f>IF(Finland!I31="","",Finland!I31)</f>
        <v>0.3</v>
      </c>
    </row>
    <row r="29" spans="1:8">
      <c r="A29" t="str">
        <f>IF(Finland!B32="","",Finland!B32)</f>
        <v>FI00</v>
      </c>
      <c r="B29" t="str">
        <f>IF(Finland!C32="","",Finland!C32)</f>
        <v>dheat</v>
      </c>
      <c r="C29" t="str">
        <f>IF(Finland!D32="","",Finland!D32)</f>
        <v>TKU</v>
      </c>
      <c r="D29" t="str">
        <f>IF(Finland!E32="","",Finland!E32)</f>
        <v>all</v>
      </c>
      <c r="E29">
        <f>IF(Finland!F32="","",Finland!F32)</f>
        <v>2030</v>
      </c>
      <c r="F29" t="str">
        <f>IF(Finland!G32="","",Finland!G32)</f>
        <v>dh-level:cities</v>
      </c>
      <c r="G29" s="183">
        <f>IF(Finland!H32="","",Finland!H32)</f>
        <v>2.0207279338237871</v>
      </c>
      <c r="H29">
        <f>IF(Finland!I32="","",Finland!I32)</f>
        <v>0.3</v>
      </c>
    </row>
    <row r="30" spans="1:8">
      <c r="A30" t="str">
        <f>IF(Finland!B33="","",Finland!B33)</f>
        <v>FI00</v>
      </c>
      <c r="B30" t="str">
        <f>IF(Finland!C33="","",Finland!C33)</f>
        <v>dheat</v>
      </c>
      <c r="C30" t="str">
        <f>IF(Finland!D33="","",Finland!D33)</f>
        <v>TRE</v>
      </c>
      <c r="D30" t="str">
        <f>IF(Finland!E33="","",Finland!E33)</f>
        <v>all</v>
      </c>
      <c r="E30">
        <f>IF(Finland!F33="","",Finland!F33)</f>
        <v>2030</v>
      </c>
      <c r="F30" t="str">
        <f>IF(Finland!G33="","",Finland!G33)</f>
        <v>dh-level:cities</v>
      </c>
      <c r="G30" s="183">
        <f>IF(Finland!H33="","",Finland!H33)</f>
        <v>2.2163180096673005</v>
      </c>
      <c r="H30">
        <f>IF(Finland!I33="","",Finland!I33)</f>
        <v>0.3</v>
      </c>
    </row>
    <row r="31" spans="1:8">
      <c r="A31" t="str">
        <f>IF(Finland!B34="","",Finland!B34)</f>
        <v>FI00</v>
      </c>
      <c r="B31" t="str">
        <f>IF(Finland!C34="","",Finland!C34)</f>
        <v>dheat</v>
      </c>
      <c r="C31" t="str">
        <f>IF(Finland!D34="","",Finland!D34)</f>
        <v>OUL</v>
      </c>
      <c r="D31" t="str">
        <f>IF(Finland!E34="","",Finland!E34)</f>
        <v>all</v>
      </c>
      <c r="E31">
        <f>IF(Finland!F34="","",Finland!F34)</f>
        <v>2030</v>
      </c>
      <c r="F31" t="str">
        <f>IF(Finland!G34="","",Finland!G34)</f>
        <v>dh-level:cities</v>
      </c>
      <c r="G31" s="183">
        <f>IF(Finland!H34="","",Finland!H34)</f>
        <v>1.9497430328172036</v>
      </c>
      <c r="H31">
        <f>IF(Finland!I34="","",Finland!I34)</f>
        <v>0.3</v>
      </c>
    </row>
    <row r="32" spans="1:8">
      <c r="A32" t="str">
        <f>IF(Finland!B35="","",Finland!B35)</f>
        <v>FI00</v>
      </c>
      <c r="B32" t="str">
        <f>IF(Finland!C35="","",Finland!C35)</f>
        <v>dheat</v>
      </c>
      <c r="C32" t="str">
        <f>IF(Finland!D35="","",Finland!D35)</f>
        <v>JKL</v>
      </c>
      <c r="D32" t="str">
        <f>IF(Finland!E35="","",Finland!E35)</f>
        <v>all</v>
      </c>
      <c r="E32">
        <f>IF(Finland!F35="","",Finland!F35)</f>
        <v>2030</v>
      </c>
      <c r="F32" t="str">
        <f>IF(Finland!G35="","",Finland!G35)</f>
        <v>dh-level:cities</v>
      </c>
      <c r="G32" s="183">
        <f>IF(Finland!H35="","",Finland!H35)</f>
        <v>1.2184677184417412</v>
      </c>
      <c r="H32">
        <f>IF(Finland!I35="","",Finland!I35)</f>
        <v>0.3</v>
      </c>
    </row>
    <row r="33" spans="1:8">
      <c r="A33" t="str">
        <f>IF(Finland!B36="","",Finland!B36)</f>
        <v>FI00</v>
      </c>
      <c r="B33" t="str">
        <f>IF(Finland!C36="","",Finland!C36)</f>
        <v>dheat</v>
      </c>
      <c r="C33" t="str">
        <f>IF(Finland!D36="","",Finland!D36)</f>
        <v>ROF</v>
      </c>
      <c r="D33" t="str">
        <f>IF(Finland!E36="","",Finland!E36)</f>
        <v>all</v>
      </c>
      <c r="E33">
        <f>IF(Finland!F36="","",Finland!F36)</f>
        <v>2030</v>
      </c>
      <c r="F33" t="str">
        <f>IF(Finland!G36="","",Finland!G36)</f>
        <v>dh-level:cities</v>
      </c>
      <c r="G33" s="183">
        <f>IF(Finland!H36="","",Finland!H36)</f>
        <v>20.388968037364851</v>
      </c>
      <c r="H33">
        <f>IF(Finland!I36="","",Finland!I36)</f>
        <v>0.3</v>
      </c>
    </row>
    <row r="34" spans="1:8">
      <c r="A34" t="str">
        <f>IF(Finland!B37="","",Finland!B37)</f>
        <v>FI00</v>
      </c>
      <c r="B34" t="str">
        <f>IF(Finland!C37="","",Finland!C37)</f>
        <v>dheat</v>
      </c>
      <c r="C34" t="str">
        <f>IF(Finland!D37="","",Finland!D37)</f>
        <v>HKI</v>
      </c>
      <c r="D34" t="str">
        <f>IF(Finland!E37="","",Finland!E37)</f>
        <v>all</v>
      </c>
      <c r="E34">
        <f>IF(Finland!F37="","",Finland!F37)</f>
        <v>2035</v>
      </c>
      <c r="F34" t="str">
        <f>IF(Finland!G37="","",Finland!G37)</f>
        <v>dh-level:cities</v>
      </c>
      <c r="G34" s="183">
        <f>IF(Finland!H37="","",Finland!H37)</f>
        <v>6.5466201846226735</v>
      </c>
      <c r="H34">
        <f>IF(Finland!I37="","",Finland!I37)</f>
        <v>0.3</v>
      </c>
    </row>
    <row r="35" spans="1:8">
      <c r="A35" t="str">
        <f>IF(Finland!B38="","",Finland!B38)</f>
        <v>FI00</v>
      </c>
      <c r="B35" t="str">
        <f>IF(Finland!C38="","",Finland!C38)</f>
        <v>dheat</v>
      </c>
      <c r="C35" t="str">
        <f>IF(Finland!D38="","",Finland!D38)</f>
        <v>ESP</v>
      </c>
      <c r="D35" t="str">
        <f>IF(Finland!E38="","",Finland!E38)</f>
        <v>all</v>
      </c>
      <c r="E35">
        <f>IF(Finland!F38="","",Finland!F38)</f>
        <v>2035</v>
      </c>
      <c r="F35" t="str">
        <f>IF(Finland!G38="","",Finland!G38)</f>
        <v>dh-level:cities</v>
      </c>
      <c r="G35" s="183">
        <f>IF(Finland!H38="","",Finland!H38)</f>
        <v>2.2342092575747032</v>
      </c>
      <c r="H35">
        <f>IF(Finland!I38="","",Finland!I38)</f>
        <v>0.3</v>
      </c>
    </row>
    <row r="36" spans="1:8">
      <c r="A36" t="str">
        <f>IF(Finland!B39="","",Finland!B39)</f>
        <v>FI00</v>
      </c>
      <c r="B36" t="str">
        <f>IF(Finland!C39="","",Finland!C39)</f>
        <v>dheat</v>
      </c>
      <c r="C36" t="str">
        <f>IF(Finland!D39="","",Finland!D39)</f>
        <v>VAN</v>
      </c>
      <c r="D36" t="str">
        <f>IF(Finland!E39="","",Finland!E39)</f>
        <v>all</v>
      </c>
      <c r="E36">
        <f>IF(Finland!F39="","",Finland!F39)</f>
        <v>2035</v>
      </c>
      <c r="F36" t="str">
        <f>IF(Finland!G39="","",Finland!G39)</f>
        <v>dh-level:cities</v>
      </c>
      <c r="G36" s="183">
        <f>IF(Finland!H39="","",Finland!H39)</f>
        <v>1.8913769365150044</v>
      </c>
      <c r="H36">
        <f>IF(Finland!I39="","",Finland!I39)</f>
        <v>0.3</v>
      </c>
    </row>
    <row r="37" spans="1:8">
      <c r="A37" t="str">
        <f>IF(Finland!B40="","",Finland!B40)</f>
        <v>FI00</v>
      </c>
      <c r="B37" t="str">
        <f>IF(Finland!C40="","",Finland!C40)</f>
        <v>dheat</v>
      </c>
      <c r="C37" t="str">
        <f>IF(Finland!D40="","",Finland!D40)</f>
        <v>TKU</v>
      </c>
      <c r="D37" t="str">
        <f>IF(Finland!E40="","",Finland!E40)</f>
        <v>all</v>
      </c>
      <c r="E37">
        <f>IF(Finland!F40="","",Finland!F40)</f>
        <v>2035</v>
      </c>
      <c r="F37" t="str">
        <f>IF(Finland!G40="","",Finland!G40)</f>
        <v>dh-level:cities</v>
      </c>
      <c r="G37" s="183">
        <f>IF(Finland!H40="","",Finland!H40)</f>
        <v>1.9891835577382728</v>
      </c>
      <c r="H37">
        <f>IF(Finland!I40="","",Finland!I40)</f>
        <v>0.3</v>
      </c>
    </row>
    <row r="38" spans="1:8">
      <c r="A38" t="str">
        <f>IF(Finland!B41="","",Finland!B41)</f>
        <v>FI00</v>
      </c>
      <c r="B38" t="str">
        <f>IF(Finland!C41="","",Finland!C41)</f>
        <v>dheat</v>
      </c>
      <c r="C38" t="str">
        <f>IF(Finland!D41="","",Finland!D41)</f>
        <v>TRE</v>
      </c>
      <c r="D38" t="str">
        <f>IF(Finland!E41="","",Finland!E41)</f>
        <v>all</v>
      </c>
      <c r="E38">
        <f>IF(Finland!F41="","",Finland!F41)</f>
        <v>2035</v>
      </c>
      <c r="F38" t="str">
        <f>IF(Finland!G41="","",Finland!G41)</f>
        <v>dh-level:cities</v>
      </c>
      <c r="G38" s="183">
        <f>IF(Finland!H41="","",Finland!H41)</f>
        <v>2.1785868062160931</v>
      </c>
      <c r="H38">
        <f>IF(Finland!I41="","",Finland!I41)</f>
        <v>0.3</v>
      </c>
    </row>
    <row r="39" spans="1:8">
      <c r="A39" t="str">
        <f>IF(Finland!B42="","",Finland!B42)</f>
        <v>FI00</v>
      </c>
      <c r="B39" t="str">
        <f>IF(Finland!C42="","",Finland!C42)</f>
        <v>dheat</v>
      </c>
      <c r="C39" t="str">
        <f>IF(Finland!D42="","",Finland!D42)</f>
        <v>OUL</v>
      </c>
      <c r="D39" t="str">
        <f>IF(Finland!E42="","",Finland!E42)</f>
        <v>all</v>
      </c>
      <c r="E39">
        <f>IF(Finland!F42="","",Finland!F42)</f>
        <v>2035</v>
      </c>
      <c r="F39" t="str">
        <f>IF(Finland!G42="","",Finland!G42)</f>
        <v>dh-level:cities</v>
      </c>
      <c r="G39" s="183">
        <f>IF(Finland!H42="","",Finland!H42)</f>
        <v>1.9651785616096522</v>
      </c>
      <c r="H39">
        <f>IF(Finland!I42="","",Finland!I42)</f>
        <v>0.3</v>
      </c>
    </row>
    <row r="40" spans="1:8">
      <c r="A40" t="str">
        <f>IF(Finland!B43="","",Finland!B43)</f>
        <v>FI00</v>
      </c>
      <c r="B40" t="str">
        <f>IF(Finland!C43="","",Finland!C43)</f>
        <v>dheat</v>
      </c>
      <c r="C40" t="str">
        <f>IF(Finland!D43="","",Finland!D43)</f>
        <v>JKL</v>
      </c>
      <c r="D40" t="str">
        <f>IF(Finland!E43="","",Finland!E43)</f>
        <v>all</v>
      </c>
      <c r="E40">
        <f>IF(Finland!F43="","",Finland!F43)</f>
        <v>2035</v>
      </c>
      <c r="F40" t="str">
        <f>IF(Finland!G43="","",Finland!G43)</f>
        <v>dh-level:cities</v>
      </c>
      <c r="G40" s="183">
        <f>IF(Finland!H43="","",Finland!H43)</f>
        <v>1.2152905512460432</v>
      </c>
      <c r="H40">
        <f>IF(Finland!I43="","",Finland!I43)</f>
        <v>0.3</v>
      </c>
    </row>
    <row r="41" spans="1:8">
      <c r="A41" t="str">
        <f>IF(Finland!B44="","",Finland!B44)</f>
        <v>FI00</v>
      </c>
      <c r="B41" t="str">
        <f>IF(Finland!C44="","",Finland!C44)</f>
        <v>dheat</v>
      </c>
      <c r="C41" t="str">
        <f>IF(Finland!D44="","",Finland!D44)</f>
        <v>ROF</v>
      </c>
      <c r="D41" t="str">
        <f>IF(Finland!E44="","",Finland!E44)</f>
        <v>all</v>
      </c>
      <c r="E41">
        <f>IF(Finland!F44="","",Finland!F44)</f>
        <v>2035</v>
      </c>
      <c r="F41" t="str">
        <f>IF(Finland!G44="","",Finland!G44)</f>
        <v>dh-level:cities</v>
      </c>
      <c r="G41" s="183">
        <f>IF(Finland!H44="","",Finland!H44)</f>
        <v>20.381214206217507</v>
      </c>
      <c r="H41">
        <f>IF(Finland!I44="","",Finland!I44)</f>
        <v>0.3</v>
      </c>
    </row>
    <row r="42" spans="1:8">
      <c r="A42" t="str">
        <f>IF(Finland!B45="","",Finland!B45)</f>
        <v>FI00</v>
      </c>
      <c r="B42" t="str">
        <f>IF(Finland!C45="","",Finland!C45)</f>
        <v>dheat</v>
      </c>
      <c r="C42" t="str">
        <f>IF(Finland!D45="","",Finland!D45)</f>
        <v>HKI</v>
      </c>
      <c r="D42" t="str">
        <f>IF(Finland!E45="","",Finland!E45)</f>
        <v>all</v>
      </c>
      <c r="E42">
        <f>IF(Finland!F45="","",Finland!F45)</f>
        <v>2040</v>
      </c>
      <c r="F42" t="str">
        <f>IF(Finland!G45="","",Finland!G45)</f>
        <v>dh-level:cities</v>
      </c>
      <c r="G42" s="183">
        <f>IF(Finland!H45="","",Finland!H45)</f>
        <v>6.342236238543344</v>
      </c>
      <c r="H42">
        <f>IF(Finland!I45="","",Finland!I45)</f>
        <v>0.3</v>
      </c>
    </row>
    <row r="43" spans="1:8">
      <c r="A43" t="str">
        <f>IF(Finland!B46="","",Finland!B46)</f>
        <v>FI00</v>
      </c>
      <c r="B43" t="str">
        <f>IF(Finland!C46="","",Finland!C46)</f>
        <v>dheat</v>
      </c>
      <c r="C43" t="str">
        <f>IF(Finland!D46="","",Finland!D46)</f>
        <v>ESP</v>
      </c>
      <c r="D43" t="str">
        <f>IF(Finland!E46="","",Finland!E46)</f>
        <v>all</v>
      </c>
      <c r="E43">
        <f>IF(Finland!F46="","",Finland!F46)</f>
        <v>2040</v>
      </c>
      <c r="F43" t="str">
        <f>IF(Finland!G46="","",Finland!G46)</f>
        <v>dh-level:cities</v>
      </c>
      <c r="G43" s="183">
        <f>IF(Finland!H46="","",Finland!H46)</f>
        <v>2.1769856112614487</v>
      </c>
      <c r="H43">
        <f>IF(Finland!I46="","",Finland!I46)</f>
        <v>0.3</v>
      </c>
    </row>
    <row r="44" spans="1:8">
      <c r="A44" t="str">
        <f>IF(Finland!B47="","",Finland!B47)</f>
        <v>FI00</v>
      </c>
      <c r="B44" t="str">
        <f>IF(Finland!C47="","",Finland!C47)</f>
        <v>dheat</v>
      </c>
      <c r="C44" t="str">
        <f>IF(Finland!D47="","",Finland!D47)</f>
        <v>VAN</v>
      </c>
      <c r="D44" t="str">
        <f>IF(Finland!E47="","",Finland!E47)</f>
        <v>all</v>
      </c>
      <c r="E44">
        <f>IF(Finland!F47="","",Finland!F47)</f>
        <v>2040</v>
      </c>
      <c r="F44" t="str">
        <f>IF(Finland!G47="","",Finland!G47)</f>
        <v>dh-level:cities</v>
      </c>
      <c r="G44" s="183">
        <f>IF(Finland!H47="","",Finland!H47)</f>
        <v>1.8447875411775885</v>
      </c>
      <c r="H44">
        <f>IF(Finland!I47="","",Finland!I47)</f>
        <v>0.3</v>
      </c>
    </row>
    <row r="45" spans="1:8">
      <c r="A45" t="str">
        <f>IF(Finland!B48="","",Finland!B48)</f>
        <v>FI00</v>
      </c>
      <c r="B45" t="str">
        <f>IF(Finland!C48="","",Finland!C48)</f>
        <v>dheat</v>
      </c>
      <c r="C45" t="str">
        <f>IF(Finland!D48="","",Finland!D48)</f>
        <v>TKU</v>
      </c>
      <c r="D45" t="str">
        <f>IF(Finland!E48="","",Finland!E48)</f>
        <v>all</v>
      </c>
      <c r="E45">
        <f>IF(Finland!F48="","",Finland!F48)</f>
        <v>2040</v>
      </c>
      <c r="F45" t="str">
        <f>IF(Finland!G48="","",Finland!G48)</f>
        <v>dh-level:cities</v>
      </c>
      <c r="G45" s="183">
        <f>IF(Finland!H48="","",Finland!H48)</f>
        <v>1.9568543870152488</v>
      </c>
      <c r="H45">
        <f>IF(Finland!I48="","",Finland!I48)</f>
        <v>0.3</v>
      </c>
    </row>
    <row r="46" spans="1:8">
      <c r="A46" t="str">
        <f>IF(Finland!B49="","",Finland!B49)</f>
        <v>FI00</v>
      </c>
      <c r="B46" t="str">
        <f>IF(Finland!C49="","",Finland!C49)</f>
        <v>dheat</v>
      </c>
      <c r="C46" t="str">
        <f>IF(Finland!D49="","",Finland!D49)</f>
        <v>TRE</v>
      </c>
      <c r="D46" t="str">
        <f>IF(Finland!E49="","",Finland!E49)</f>
        <v>all</v>
      </c>
      <c r="E46">
        <f>IF(Finland!F49="","",Finland!F49)</f>
        <v>2040</v>
      </c>
      <c r="F46" t="str">
        <f>IF(Finland!G49="","",Finland!G49)</f>
        <v>dh-level:cities</v>
      </c>
      <c r="G46" s="183">
        <f>IF(Finland!H49="","",Finland!H49)</f>
        <v>2.1392936893704038</v>
      </c>
      <c r="H46">
        <f>IF(Finland!I49="","",Finland!I49)</f>
        <v>0.3</v>
      </c>
    </row>
    <row r="47" spans="1:8">
      <c r="A47" t="str">
        <f>IF(Finland!B50="","",Finland!B50)</f>
        <v>FI00</v>
      </c>
      <c r="B47" t="str">
        <f>IF(Finland!C50="","",Finland!C50)</f>
        <v>dheat</v>
      </c>
      <c r="C47" t="str">
        <f>IF(Finland!D50="","",Finland!D50)</f>
        <v>OUL</v>
      </c>
      <c r="D47" t="str">
        <f>IF(Finland!E50="","",Finland!E50)</f>
        <v>all</v>
      </c>
      <c r="E47">
        <f>IF(Finland!F50="","",Finland!F50)</f>
        <v>2040</v>
      </c>
      <c r="F47" t="str">
        <f>IF(Finland!G50="","",Finland!G50)</f>
        <v>dh-level:cities</v>
      </c>
      <c r="G47" s="183">
        <f>IF(Finland!H50="","",Finland!H50)</f>
        <v>1.979814793082014</v>
      </c>
      <c r="H47">
        <f>IF(Finland!I50="","",Finland!I50)</f>
        <v>0.3</v>
      </c>
    </row>
    <row r="48" spans="1:8">
      <c r="A48" t="str">
        <f>IF(Finland!B51="","",Finland!B51)</f>
        <v>FI00</v>
      </c>
      <c r="B48" t="str">
        <f>IF(Finland!C51="","",Finland!C51)</f>
        <v>dheat</v>
      </c>
      <c r="C48" t="str">
        <f>IF(Finland!D51="","",Finland!D51)</f>
        <v>JKL</v>
      </c>
      <c r="D48" t="str">
        <f>IF(Finland!E51="","",Finland!E51)</f>
        <v>all</v>
      </c>
      <c r="E48">
        <f>IF(Finland!F51="","",Finland!F51)</f>
        <v>2040</v>
      </c>
      <c r="F48" t="str">
        <f>IF(Finland!G51="","",Finland!G51)</f>
        <v>dh-level:cities</v>
      </c>
      <c r="G48" s="183">
        <f>IF(Finland!H51="","",Finland!H51)</f>
        <v>1.2116176866883288</v>
      </c>
      <c r="H48">
        <f>IF(Finland!I51="","",Finland!I51)</f>
        <v>0.3</v>
      </c>
    </row>
    <row r="49" spans="1:8">
      <c r="A49" t="str">
        <f>IF(Finland!B52="","",Finland!B52)</f>
        <v>FI00</v>
      </c>
      <c r="B49" t="str">
        <f>IF(Finland!C52="","",Finland!C52)</f>
        <v>dheat</v>
      </c>
      <c r="C49" t="str">
        <f>IF(Finland!D52="","",Finland!D52)</f>
        <v>ROF</v>
      </c>
      <c r="D49" t="str">
        <f>IF(Finland!E52="","",Finland!E52)</f>
        <v>all</v>
      </c>
      <c r="E49">
        <f>IF(Finland!F52="","",Finland!F52)</f>
        <v>2040</v>
      </c>
      <c r="F49" t="str">
        <f>IF(Finland!G52="","",Finland!G52)</f>
        <v>dh-level:cities</v>
      </c>
      <c r="G49" s="183">
        <f>IF(Finland!H52="","",Finland!H52)</f>
        <v>20.244298555893831</v>
      </c>
      <c r="H49">
        <f>IF(Finland!I52="","",Finland!I52)</f>
        <v>0.3</v>
      </c>
    </row>
    <row r="50" spans="1:8">
      <c r="A50" t="str">
        <f>IF(Finland!B53="","",Finland!B53)</f>
        <v>## FI - capitals</v>
      </c>
      <c r="B50" t="str">
        <f>IF(Finland!C53="","",Finland!C53)</f>
        <v/>
      </c>
      <c r="C50" t="str">
        <f>IF(Finland!D53="","",Finland!D53)</f>
        <v/>
      </c>
      <c r="D50" t="str">
        <f>IF(Finland!E53="","",Finland!E53)</f>
        <v/>
      </c>
      <c r="E50" t="str">
        <f>IF(Finland!F53="","",Finland!F53)</f>
        <v/>
      </c>
      <c r="F50" t="str">
        <f>IF(Finland!G53="","",Finland!G53)</f>
        <v/>
      </c>
      <c r="G50" s="183" t="str">
        <f>IF(Finland!H53="","",Finland!H53)</f>
        <v/>
      </c>
      <c r="H50" t="str">
        <f>IF(Finland!I53="","",Finland!I53)</f>
        <v/>
      </c>
    </row>
    <row r="51" spans="1:8">
      <c r="A51" t="str">
        <f>IF(Finland!B54="","",Finland!B54)</f>
        <v>FI00</v>
      </c>
      <c r="B51" t="str">
        <f>IF(Finland!C54="","",Finland!C54)</f>
        <v>dheat</v>
      </c>
      <c r="C51" t="str">
        <f>IF(Finland!D54="","",Finland!D54)</f>
        <v>HKI</v>
      </c>
      <c r="D51" t="str">
        <f>IF(Finland!E54="","",Finland!E54)</f>
        <v>all</v>
      </c>
      <c r="E51">
        <f>IF(Finland!F54="","",Finland!F54)</f>
        <v>2015</v>
      </c>
      <c r="F51" t="str">
        <f>IF(Finland!G54="","",Finland!G54)</f>
        <v>dh-level:capitals</v>
      </c>
      <c r="G51" s="183">
        <f>IF(Finland!H54="","",Finland!H54)</f>
        <v>11.329620295197396</v>
      </c>
      <c r="H51">
        <f>IF(Finland!I54="","",Finland!I54)</f>
        <v>0.3</v>
      </c>
    </row>
    <row r="52" spans="1:8">
      <c r="A52" t="str">
        <f>IF(Finland!B55="","",Finland!B55)</f>
        <v>FI00</v>
      </c>
      <c r="B52" t="str">
        <f>IF(Finland!C55="","",Finland!C55)</f>
        <v>dheat</v>
      </c>
      <c r="C52" t="str">
        <f>IF(Finland!D55="","",Finland!D55)</f>
        <v>HKI</v>
      </c>
      <c r="D52" t="str">
        <f>IF(Finland!E55="","",Finland!E55)</f>
        <v>all</v>
      </c>
      <c r="E52">
        <f>IF(Finland!F55="","",Finland!F55)</f>
        <v>2020</v>
      </c>
      <c r="F52" t="str">
        <f>IF(Finland!G55="","",Finland!G55)</f>
        <v>dh-level:capitals</v>
      </c>
      <c r="G52" s="183">
        <f>IF(Finland!H55="","",Finland!H55)</f>
        <v>11.400624557948468</v>
      </c>
      <c r="H52">
        <f>IF(Finland!I55="","",Finland!I55)</f>
        <v>0.3</v>
      </c>
    </row>
    <row r="53" spans="1:8">
      <c r="A53" t="str">
        <f>IF(Finland!B56="","",Finland!B56)</f>
        <v>FI00</v>
      </c>
      <c r="B53" t="str">
        <f>IF(Finland!C56="","",Finland!C56)</f>
        <v>dheat</v>
      </c>
      <c r="C53" t="str">
        <f>IF(Finland!D56="","",Finland!D56)</f>
        <v>HKI</v>
      </c>
      <c r="D53" t="str">
        <f>IF(Finland!E56="","",Finland!E56)</f>
        <v>all</v>
      </c>
      <c r="E53">
        <f>IF(Finland!F56="","",Finland!F56)</f>
        <v>2025</v>
      </c>
      <c r="F53" t="str">
        <f>IF(Finland!G56="","",Finland!G56)</f>
        <v>dh-level:capitals</v>
      </c>
      <c r="G53" s="183">
        <f>IF(Finland!H56="","",Finland!H56)</f>
        <v>11.159155996471492</v>
      </c>
      <c r="H53">
        <f>IF(Finland!I56="","",Finland!I56)</f>
        <v>0.3</v>
      </c>
    </row>
    <row r="54" spans="1:8">
      <c r="A54" t="str">
        <f>IF(Finland!B57="","",Finland!B57)</f>
        <v>FI00</v>
      </c>
      <c r="B54" t="str">
        <f>IF(Finland!C57="","",Finland!C57)</f>
        <v>dheat</v>
      </c>
      <c r="C54" t="str">
        <f>IF(Finland!D57="","",Finland!D57)</f>
        <v>HKI</v>
      </c>
      <c r="D54" t="str">
        <f>IF(Finland!E57="","",Finland!E57)</f>
        <v>all</v>
      </c>
      <c r="E54">
        <f>IF(Finland!F57="","",Finland!F57)</f>
        <v>2030</v>
      </c>
      <c r="F54" t="str">
        <f>IF(Finland!G57="","",Finland!G57)</f>
        <v>dh-level:capitals</v>
      </c>
      <c r="G54" s="183">
        <f>IF(Finland!H57="","",Finland!H57)</f>
        <v>10.973351191168257</v>
      </c>
      <c r="H54">
        <f>IF(Finland!I57="","",Finland!I57)</f>
        <v>0.3</v>
      </c>
    </row>
    <row r="55" spans="1:8">
      <c r="A55" t="str">
        <f>IF(Finland!B58="","",Finland!B58)</f>
        <v>FI00</v>
      </c>
      <c r="B55" t="str">
        <f>IF(Finland!C58="","",Finland!C58)</f>
        <v>dheat</v>
      </c>
      <c r="C55" t="str">
        <f>IF(Finland!D58="","",Finland!D58)</f>
        <v>HKI</v>
      </c>
      <c r="D55" t="str">
        <f>IF(Finland!E58="","",Finland!E58)</f>
        <v>all</v>
      </c>
      <c r="E55">
        <f>IF(Finland!F58="","",Finland!F58)</f>
        <v>2035</v>
      </c>
      <c r="F55" t="str">
        <f>IF(Finland!G58="","",Finland!G58)</f>
        <v>dh-level:capitals</v>
      </c>
      <c r="G55" s="183">
        <f>IF(Finland!H58="","",Finland!H58)</f>
        <v>10.672206378712382</v>
      </c>
      <c r="H55">
        <f>IF(Finland!I58="","",Finland!I58)</f>
        <v>0.3</v>
      </c>
    </row>
    <row r="56" spans="1:8">
      <c r="A56" t="str">
        <f>IF(Finland!B59="","",Finland!B59)</f>
        <v>FI00</v>
      </c>
      <c r="B56" t="str">
        <f>IF(Finland!C59="","",Finland!C59)</f>
        <v>dheat</v>
      </c>
      <c r="C56" t="str">
        <f>IF(Finland!D59="","",Finland!D59)</f>
        <v>HKI</v>
      </c>
      <c r="D56" t="str">
        <f>IF(Finland!E59="","",Finland!E59)</f>
        <v>all</v>
      </c>
      <c r="E56">
        <f>IF(Finland!F59="","",Finland!F59)</f>
        <v>2040</v>
      </c>
      <c r="F56" t="str">
        <f>IF(Finland!G59="","",Finland!G59)</f>
        <v>dh-level:capitals</v>
      </c>
      <c r="G56" s="183">
        <f>IF(Finland!H59="","",Finland!H59)</f>
        <v>10.364009390982382</v>
      </c>
      <c r="H56">
        <f>IF(Finland!I59="","",Finland!I59)</f>
        <v>0.3</v>
      </c>
    </row>
    <row r="57" spans="1:8">
      <c r="A57" t="str">
        <f>IF(Finland!B60="","",Finland!B60)</f>
        <v>FI00</v>
      </c>
      <c r="B57" t="str">
        <f>IF(Finland!C60="","",Finland!C60)</f>
        <v>dheat</v>
      </c>
      <c r="C57" t="str">
        <f>IF(Finland!D60="","",Finland!D60)</f>
        <v>ROF</v>
      </c>
      <c r="D57" t="str">
        <f>IF(Finland!E60="","",Finland!E60)</f>
        <v>all</v>
      </c>
      <c r="E57">
        <f>IF(Finland!F60="","",Finland!F60)</f>
        <v>2015</v>
      </c>
      <c r="F57" t="str">
        <f>IF(Finland!G60="","",Finland!G60)</f>
        <v>dh-level:capitals</v>
      </c>
      <c r="G57" s="183">
        <f>IF(Finland!H60="","",Finland!H60)</f>
        <v>26.800097853892279</v>
      </c>
      <c r="H57">
        <f>IF(Finland!I60="","",Finland!I60)</f>
        <v>0.3</v>
      </c>
    </row>
    <row r="58" spans="1:8">
      <c r="A58" t="str">
        <f>IF(Finland!B61="","",Finland!B61)</f>
        <v>FI00</v>
      </c>
      <c r="B58" t="str">
        <f>IF(Finland!C61="","",Finland!C61)</f>
        <v>dheat</v>
      </c>
      <c r="C58" t="str">
        <f>IF(Finland!D61="","",Finland!D61)</f>
        <v>ROF</v>
      </c>
      <c r="D58" t="str">
        <f>IF(Finland!E61="","",Finland!E61)</f>
        <v>all</v>
      </c>
      <c r="E58">
        <f>IF(Finland!F61="","",Finland!F61)</f>
        <v>2020</v>
      </c>
      <c r="F58" t="str">
        <f>IF(Finland!G61="","",Finland!G61)</f>
        <v>dh-level:capitals</v>
      </c>
      <c r="G58" s="183">
        <f>IF(Finland!H61="","",Finland!H61)</f>
        <v>27.089624263312153</v>
      </c>
      <c r="H58">
        <f>IF(Finland!I61="","",Finland!I61)</f>
        <v>0.3</v>
      </c>
    </row>
    <row r="59" spans="1:8">
      <c r="A59" t="str">
        <f>IF(Finland!B62="","",Finland!B62)</f>
        <v>FI00</v>
      </c>
      <c r="B59" t="str">
        <f>IF(Finland!C62="","",Finland!C62)</f>
        <v>dheat</v>
      </c>
      <c r="C59" t="str">
        <f>IF(Finland!D62="","",Finland!D62)</f>
        <v>ROF</v>
      </c>
      <c r="D59" t="str">
        <f>IF(Finland!E62="","",Finland!E62)</f>
        <v>all</v>
      </c>
      <c r="E59">
        <f>IF(Finland!F62="","",Finland!F62)</f>
        <v>2025</v>
      </c>
      <c r="F59" t="str">
        <f>IF(Finland!G62="","",Finland!G62)</f>
        <v>dh-level:capitals</v>
      </c>
      <c r="G59" s="183">
        <f>IF(Finland!H62="","",Finland!H62)</f>
        <v>27.442204832929228</v>
      </c>
      <c r="H59">
        <f>IF(Finland!I62="","",Finland!I62)</f>
        <v>0.3</v>
      </c>
    </row>
    <row r="60" spans="1:8">
      <c r="A60" t="str">
        <f>IF(Finland!B63="","",Finland!B63)</f>
        <v>FI00</v>
      </c>
      <c r="B60" t="str">
        <f>IF(Finland!C63="","",Finland!C63)</f>
        <v>dheat</v>
      </c>
      <c r="C60" t="str">
        <f>IF(Finland!D63="","",Finland!D63)</f>
        <v>ROF</v>
      </c>
      <c r="D60" t="str">
        <f>IF(Finland!E63="","",Finland!E63)</f>
        <v>all</v>
      </c>
      <c r="E60">
        <f>IF(Finland!F63="","",Finland!F63)</f>
        <v>2030</v>
      </c>
      <c r="F60" t="str">
        <f>IF(Finland!G63="","",Finland!G63)</f>
        <v>dh-level:capitals</v>
      </c>
      <c r="G60" s="183">
        <f>IF(Finland!H63="","",Finland!H63)</f>
        <v>27.794224732114884</v>
      </c>
      <c r="H60">
        <f>IF(Finland!I63="","",Finland!I63)</f>
        <v>0.3</v>
      </c>
    </row>
    <row r="61" spans="1:8">
      <c r="A61" t="str">
        <f>IF(Finland!B64="","",Finland!B64)</f>
        <v>FI00</v>
      </c>
      <c r="B61" t="str">
        <f>IF(Finland!C64="","",Finland!C64)</f>
        <v>dheat</v>
      </c>
      <c r="C61" t="str">
        <f>IF(Finland!D64="","",Finland!D64)</f>
        <v>ROF</v>
      </c>
      <c r="D61" t="str">
        <f>IF(Finland!E64="","",Finland!E64)</f>
        <v>all</v>
      </c>
      <c r="E61">
        <f>IF(Finland!F64="","",Finland!F64)</f>
        <v>2035</v>
      </c>
      <c r="F61" t="str">
        <f>IF(Finland!G64="","",Finland!G64)</f>
        <v>dh-level:capitals</v>
      </c>
      <c r="G61" s="183">
        <f>IF(Finland!H64="","",Finland!H64)</f>
        <v>27.729453683027568</v>
      </c>
      <c r="H61">
        <f>IF(Finland!I64="","",Finland!I64)</f>
        <v>0.3</v>
      </c>
    </row>
    <row r="62" spans="1:8">
      <c r="A62" t="str">
        <f>IF(Finland!B65="","",Finland!B65)</f>
        <v>FI00</v>
      </c>
      <c r="B62" t="str">
        <f>IF(Finland!C65="","",Finland!C65)</f>
        <v>dheat</v>
      </c>
      <c r="C62" t="str">
        <f>IF(Finland!D65="","",Finland!D65)</f>
        <v>ROF</v>
      </c>
      <c r="D62" t="str">
        <f>IF(Finland!E65="","",Finland!E65)</f>
        <v>all</v>
      </c>
      <c r="E62">
        <f>IF(Finland!F65="","",Finland!F65)</f>
        <v>2040</v>
      </c>
      <c r="F62" t="str">
        <f>IF(Finland!G65="","",Finland!G65)</f>
        <v>dh-level:capitals</v>
      </c>
      <c r="G62" s="183">
        <f>IF(Finland!H65="","",Finland!H65)</f>
        <v>27.531879112049825</v>
      </c>
      <c r="H62">
        <f>IF(Finland!I65="","",Finland!I65)</f>
        <v>0.3</v>
      </c>
    </row>
    <row r="63" spans="1:8">
      <c r="A63" t="str">
        <f>IF(Finland!B66="","",Finland!B66)</f>
        <v>## FI - national</v>
      </c>
      <c r="B63" t="str">
        <f>IF(Finland!C66="","",Finland!C66)</f>
        <v/>
      </c>
      <c r="C63" t="str">
        <f>IF(Finland!D66="","",Finland!D66)</f>
        <v/>
      </c>
      <c r="D63" t="str">
        <f>IF(Finland!E66="","",Finland!E66)</f>
        <v/>
      </c>
      <c r="E63" t="str">
        <f>IF(Finland!F66="","",Finland!F66)</f>
        <v/>
      </c>
      <c r="F63" t="str">
        <f>IF(Finland!G66="","",Finland!G66)</f>
        <v/>
      </c>
      <c r="G63" s="183" t="str">
        <f>IF(Finland!H66="","",Finland!H66)</f>
        <v/>
      </c>
      <c r="H63" t="str">
        <f>IF(Finland!I66="","",Finland!I66)</f>
        <v/>
      </c>
    </row>
    <row r="64" spans="1:8">
      <c r="A64" t="str">
        <f>IF(Finland!B67="","",Finland!B67)</f>
        <v>FI00</v>
      </c>
      <c r="B64" t="str">
        <f>IF(Finland!C67="","",Finland!C67)</f>
        <v>dheat</v>
      </c>
      <c r="C64" t="str">
        <f>IF(Finland!D67="","",Finland!D67)</f>
        <v/>
      </c>
      <c r="D64" t="str">
        <f>IF(Finland!E67="","",Finland!E67)</f>
        <v>all</v>
      </c>
      <c r="E64">
        <f>IF(Finland!F67="","",Finland!F67)</f>
        <v>2015</v>
      </c>
      <c r="F64" t="str">
        <f>IF(Finland!G67="","",Finland!G67)</f>
        <v>dh-level:national</v>
      </c>
      <c r="G64" s="183">
        <f>IF(Finland!H67="","",Finland!H67)</f>
        <v>38.129718149089669</v>
      </c>
      <c r="H64">
        <f>IF(Finland!I67="","",Finland!I67)</f>
        <v>0.3</v>
      </c>
    </row>
    <row r="65" spans="1:8">
      <c r="A65" t="str">
        <f>IF(Finland!B68="","",Finland!B68)</f>
        <v>FI00</v>
      </c>
      <c r="B65" t="str">
        <f>IF(Finland!C68="","",Finland!C68)</f>
        <v>dheat</v>
      </c>
      <c r="C65" t="str">
        <f>IF(Finland!D68="","",Finland!D68)</f>
        <v/>
      </c>
      <c r="D65" t="str">
        <f>IF(Finland!E68="","",Finland!E68)</f>
        <v>all</v>
      </c>
      <c r="E65">
        <f>IF(Finland!F68="","",Finland!F68)</f>
        <v>2020</v>
      </c>
      <c r="F65" t="str">
        <f>IF(Finland!G68="","",Finland!G68)</f>
        <v>dh-level:national</v>
      </c>
      <c r="G65" s="183">
        <f>IF(Finland!H68="","",Finland!H68)</f>
        <v>38.490248821260622</v>
      </c>
      <c r="H65">
        <f>IF(Finland!I68="","",Finland!I68)</f>
        <v>0.3</v>
      </c>
    </row>
    <row r="66" spans="1:8">
      <c r="A66" t="str">
        <f>IF(Finland!B69="","",Finland!B69)</f>
        <v>FI00</v>
      </c>
      <c r="B66" t="str">
        <f>IF(Finland!C69="","",Finland!C69)</f>
        <v>dheat</v>
      </c>
      <c r="C66" t="str">
        <f>IF(Finland!D69="","",Finland!D69)</f>
        <v/>
      </c>
      <c r="D66" t="str">
        <f>IF(Finland!E69="","",Finland!E69)</f>
        <v>all</v>
      </c>
      <c r="E66">
        <f>IF(Finland!F69="","",Finland!F69)</f>
        <v>2025</v>
      </c>
      <c r="F66" t="str">
        <f>IF(Finland!G69="","",Finland!G69)</f>
        <v>dh-level:national</v>
      </c>
      <c r="G66" s="183">
        <f>IF(Finland!H69="","",Finland!H69)</f>
        <v>38.601360829400718</v>
      </c>
      <c r="H66">
        <f>IF(Finland!I69="","",Finland!I69)</f>
        <v>0.3</v>
      </c>
    </row>
    <row r="67" spans="1:8">
      <c r="A67" t="str">
        <f>IF(Finland!B70="","",Finland!B70)</f>
        <v>FI00</v>
      </c>
      <c r="B67" t="str">
        <f>IF(Finland!C70="","",Finland!C70)</f>
        <v>dheat</v>
      </c>
      <c r="C67" t="str">
        <f>IF(Finland!D70="","",Finland!D70)</f>
        <v/>
      </c>
      <c r="D67" t="str">
        <f>IF(Finland!E70="","",Finland!E70)</f>
        <v>all</v>
      </c>
      <c r="E67">
        <f>IF(Finland!F70="","",Finland!F70)</f>
        <v>2030</v>
      </c>
      <c r="F67" t="str">
        <f>IF(Finland!G70="","",Finland!G70)</f>
        <v>dh-level:national</v>
      </c>
      <c r="G67" s="183">
        <f>IF(Finland!H70="","",Finland!H70)</f>
        <v>38.76757592328314</v>
      </c>
      <c r="H67">
        <f>IF(Finland!I70="","",Finland!I70)</f>
        <v>0.3</v>
      </c>
    </row>
    <row r="68" spans="1:8">
      <c r="A68" t="str">
        <f>IF(Finland!B71="","",Finland!B71)</f>
        <v>FI00</v>
      </c>
      <c r="B68" t="str">
        <f>IF(Finland!C71="","",Finland!C71)</f>
        <v>dheat</v>
      </c>
      <c r="C68" t="str">
        <f>IF(Finland!D71="","",Finland!D71)</f>
        <v/>
      </c>
      <c r="D68" t="str">
        <f>IF(Finland!E71="","",Finland!E71)</f>
        <v>all</v>
      </c>
      <c r="E68">
        <f>IF(Finland!F71="","",Finland!F71)</f>
        <v>2035</v>
      </c>
      <c r="F68" t="str">
        <f>IF(Finland!G71="","",Finland!G71)</f>
        <v>dh-level:national</v>
      </c>
      <c r="G68" s="183">
        <f>IF(Finland!H71="","",Finland!H71)</f>
        <v>38.401660061739946</v>
      </c>
      <c r="H68">
        <f>IF(Finland!I71="","",Finland!I71)</f>
        <v>0.3</v>
      </c>
    </row>
    <row r="69" spans="1:8">
      <c r="A69" t="str">
        <f>IF(Finland!B72="","",Finland!B72)</f>
        <v>FI00</v>
      </c>
      <c r="B69" t="str">
        <f>IF(Finland!C72="","",Finland!C72)</f>
        <v>dheat</v>
      </c>
      <c r="C69" t="str">
        <f>IF(Finland!D72="","",Finland!D72)</f>
        <v/>
      </c>
      <c r="D69" t="str">
        <f>IF(Finland!E72="","",Finland!E72)</f>
        <v>all</v>
      </c>
      <c r="E69">
        <f>IF(Finland!F72="","",Finland!F72)</f>
        <v>2040</v>
      </c>
      <c r="F69" t="str">
        <f>IF(Finland!G72="","",Finland!G72)</f>
        <v>dh-level:national</v>
      </c>
      <c r="G69" s="183">
        <f>IF(Finland!H72="","",Finland!H72)</f>
        <v>37.895888503032211</v>
      </c>
      <c r="H69">
        <f>IF(Finland!I72="","",Finland!I72)</f>
        <v>0.3</v>
      </c>
    </row>
    <row r="70" spans="1:8">
      <c r="A70" t="s">
        <v>359</v>
      </c>
      <c r="D70"/>
      <c r="E70"/>
      <c r="F70"/>
      <c r="G70" s="183"/>
      <c r="H70"/>
    </row>
    <row r="71" spans="1:8">
      <c r="A71" t="str">
        <f>IF(Norway!B5="","",Norway!B5)</f>
        <v>NOS0</v>
      </c>
      <c r="B71" t="str">
        <f>IF(Norway!C5="","",Norway!C5)</f>
        <v>dheat</v>
      </c>
      <c r="C71" t="str">
        <f>IF(Norway!D5="","",Norway!D5)</f>
        <v/>
      </c>
      <c r="D71" t="str">
        <f>IF(Norway!E5="","",Norway!E5)</f>
        <v>all</v>
      </c>
      <c r="E71">
        <f>IF(Norway!F5="","",Norway!F5)</f>
        <v>2015</v>
      </c>
      <c r="F71"/>
      <c r="G71" s="183">
        <f>IF(Norway!H5="","",Norway!H5)</f>
        <v>4.2784351545442956</v>
      </c>
      <c r="H71">
        <f>IF(Norway!I5="","",Norway!I5)</f>
        <v>0.3</v>
      </c>
    </row>
    <row r="72" spans="1:8">
      <c r="A72" t="str">
        <f>IF(Norway!B6="","",Norway!B6)</f>
        <v>NOM1</v>
      </c>
      <c r="B72" t="str">
        <f>IF(Norway!C6="","",Norway!C6)</f>
        <v>dheat</v>
      </c>
      <c r="C72" t="str">
        <f>IF(Norway!D6="","",Norway!D6)</f>
        <v/>
      </c>
      <c r="D72" t="str">
        <f>IF(Norway!E6="","",Norway!E6)</f>
        <v>all</v>
      </c>
      <c r="E72">
        <f>IF(Norway!F6="","",Norway!F6)</f>
        <v>2015</v>
      </c>
      <c r="F72"/>
      <c r="G72" s="183">
        <f>IF(Norway!H6="","",Norway!H6)</f>
        <v>0.6166086335255444</v>
      </c>
      <c r="H72">
        <f>IF(Norway!I6="","",Norway!I6)</f>
        <v>0.3</v>
      </c>
    </row>
    <row r="73" spans="1:8">
      <c r="A73" t="str">
        <f>IF(Norway!B7="","",Norway!B7)</f>
        <v>NON1</v>
      </c>
      <c r="B73" t="str">
        <f>IF(Norway!C7="","",Norway!C7)</f>
        <v>dheat</v>
      </c>
      <c r="C73" t="str">
        <f>IF(Norway!D7="","",Norway!D7)</f>
        <v/>
      </c>
      <c r="D73" t="str">
        <f>IF(Norway!E7="","",Norway!E7)</f>
        <v>all</v>
      </c>
      <c r="E73">
        <f>IF(Norway!F7="","",Norway!F7)</f>
        <v>2015</v>
      </c>
      <c r="F73"/>
      <c r="G73" s="183">
        <f>IF(Norway!H7="","",Norway!H7)</f>
        <v>0.65078861779954356</v>
      </c>
      <c r="H73">
        <f>IF(Norway!I7="","",Norway!I7)</f>
        <v>0.3</v>
      </c>
    </row>
    <row r="74" spans="1:8">
      <c r="A74" t="str">
        <f>IF(Norway!B8="","",Norway!B8)</f>
        <v>NOS0</v>
      </c>
      <c r="B74" t="str">
        <f>IF(Norway!C8="","",Norway!C8)</f>
        <v>dheat</v>
      </c>
      <c r="C74" t="str">
        <f>IF(Norway!D8="","",Norway!D8)</f>
        <v/>
      </c>
      <c r="D74" t="str">
        <f>IF(Norway!E8="","",Norway!E8)</f>
        <v>all</v>
      </c>
      <c r="E74">
        <f>IF(Norway!F8="","",Norway!F8)</f>
        <v>2020</v>
      </c>
      <c r="F74"/>
      <c r="G74" s="183">
        <f>IF(Norway!H8="","",Norway!H8)</f>
        <v>5.321436623578812</v>
      </c>
      <c r="H74">
        <f>IF(Norway!I8="","",Norway!I8)</f>
        <v>0.3</v>
      </c>
    </row>
    <row r="75" spans="1:8">
      <c r="A75" t="str">
        <f>IF(Norway!B9="","",Norway!B9)</f>
        <v>NOM1</v>
      </c>
      <c r="B75" t="str">
        <f>IF(Norway!C9="","",Norway!C9)</f>
        <v>dheat</v>
      </c>
      <c r="C75" t="str">
        <f>IF(Norway!D9="","",Norway!D9)</f>
        <v/>
      </c>
      <c r="D75" t="str">
        <f>IF(Norway!E9="","",Norway!E9)</f>
        <v>all</v>
      </c>
      <c r="E75">
        <f>IF(Norway!F9="","",Norway!F9)</f>
        <v>2020</v>
      </c>
      <c r="F75"/>
      <c r="G75" s="183">
        <f>IF(Norway!H9="","",Norway!H9)</f>
        <v>0.76692614152924088</v>
      </c>
      <c r="H75">
        <f>IF(Norway!I9="","",Norway!I9)</f>
        <v>0.3</v>
      </c>
    </row>
    <row r="76" spans="1:8">
      <c r="A76" t="str">
        <f>IF(Norway!B10="","",Norway!B10)</f>
        <v>NON1</v>
      </c>
      <c r="B76" t="str">
        <f>IF(Norway!C10="","",Norway!C10)</f>
        <v>dheat</v>
      </c>
      <c r="C76" t="str">
        <f>IF(Norway!D10="","",Norway!D10)</f>
        <v/>
      </c>
      <c r="D76" t="str">
        <f>IF(Norway!E10="","",Norway!E10)</f>
        <v>all</v>
      </c>
      <c r="E76">
        <f>IF(Norway!F10="","",Norway!F10)</f>
        <v>2020</v>
      </c>
      <c r="F76"/>
      <c r="G76" s="183">
        <f>IF(Norway!H10="","",Norway!H10)</f>
        <v>0.80943855869555426</v>
      </c>
      <c r="H76">
        <f>IF(Norway!I10="","",Norway!I10)</f>
        <v>0.3</v>
      </c>
    </row>
    <row r="77" spans="1:8">
      <c r="A77" t="str">
        <f>IF(Norway!B11="","",Norway!B11)</f>
        <v>NOS0</v>
      </c>
      <c r="B77" t="str">
        <f>IF(Norway!C11="","",Norway!C11)</f>
        <v>dheat</v>
      </c>
      <c r="C77" t="str">
        <f>IF(Norway!D11="","",Norway!D11)</f>
        <v/>
      </c>
      <c r="D77" t="str">
        <f>IF(Norway!E11="","",Norway!E11)</f>
        <v>all</v>
      </c>
      <c r="E77">
        <f>IF(Norway!F11="","",Norway!F11)</f>
        <v>2025</v>
      </c>
      <c r="F77"/>
      <c r="G77" s="183">
        <f>IF(Norway!H11="","",Norway!H11)</f>
        <v>6.1755444400323931</v>
      </c>
      <c r="H77">
        <f>IF(Norway!I11="","",Norway!I11)</f>
        <v>0.3</v>
      </c>
    </row>
    <row r="78" spans="1:8">
      <c r="A78" t="str">
        <f>IF(Norway!B12="","",Norway!B12)</f>
        <v>NOM1</v>
      </c>
      <c r="B78" t="str">
        <f>IF(Norway!C12="","",Norway!C12)</f>
        <v>dheat</v>
      </c>
      <c r="C78" t="str">
        <f>IF(Norway!D12="","",Norway!D12)</f>
        <v/>
      </c>
      <c r="D78" t="str">
        <f>IF(Norway!E12="","",Norway!E12)</f>
        <v>all</v>
      </c>
      <c r="E78">
        <f>IF(Norway!F12="","",Norway!F12)</f>
        <v>2025</v>
      </c>
      <c r="F78"/>
      <c r="G78" s="183">
        <f>IF(Norway!H12="","",Norway!H12)</f>
        <v>0.89002027164070296</v>
      </c>
      <c r="H78">
        <f>IF(Norway!I12="","",Norway!I12)</f>
        <v>0.3</v>
      </c>
    </row>
    <row r="79" spans="1:8">
      <c r="A79" t="str">
        <f>IF(Norway!B13="","",Norway!B13)</f>
        <v>NON1</v>
      </c>
      <c r="B79" t="str">
        <f>IF(Norway!C13="","",Norway!C13)</f>
        <v>dheat</v>
      </c>
      <c r="C79" t="str">
        <f>IF(Norway!D13="","",Norway!D13)</f>
        <v/>
      </c>
      <c r="D79" t="str">
        <f>IF(Norway!E13="","",Norway!E13)</f>
        <v>all</v>
      </c>
      <c r="E79">
        <f>IF(Norway!F13="","",Norway!F13)</f>
        <v>2025</v>
      </c>
      <c r="F79"/>
      <c r="G79" s="183">
        <f>IF(Norway!H13="","",Norway!H13)</f>
        <v>0.9393560694777916</v>
      </c>
      <c r="H79">
        <f>IF(Norway!I13="","",Norway!I13)</f>
        <v>0.3</v>
      </c>
    </row>
    <row r="80" spans="1:8">
      <c r="A80" t="str">
        <f>IF(Norway!B14="","",Norway!B14)</f>
        <v>NOS0</v>
      </c>
      <c r="B80" t="str">
        <f>IF(Norway!C14="","",Norway!C14)</f>
        <v>dheat</v>
      </c>
      <c r="C80" t="str">
        <f>IF(Norway!D14="","",Norway!D14)</f>
        <v/>
      </c>
      <c r="D80" t="str">
        <f>IF(Norway!E14="","",Norway!E14)</f>
        <v>all</v>
      </c>
      <c r="E80">
        <f>IF(Norway!F14="","",Norway!F14)</f>
        <v>2030</v>
      </c>
      <c r="F80"/>
      <c r="G80" s="183">
        <f>IF(Norway!H14="","",Norway!H14)</f>
        <v>6.515268558924121</v>
      </c>
      <c r="H80">
        <f>IF(Norway!I14="","",Norway!I14)</f>
        <v>0.3</v>
      </c>
    </row>
    <row r="81" spans="1:8">
      <c r="A81" t="str">
        <f>IF(Norway!B15="","",Norway!B15)</f>
        <v>NOM1</v>
      </c>
      <c r="B81" t="str">
        <f>IF(Norway!C15="","",Norway!C15)</f>
        <v>dheat</v>
      </c>
      <c r="C81" t="str">
        <f>IF(Norway!D15="","",Norway!D15)</f>
        <v/>
      </c>
      <c r="D81" t="str">
        <f>IF(Norway!E15="","",Norway!E15)</f>
        <v>all</v>
      </c>
      <c r="E81">
        <f>IF(Norway!F15="","",Norway!F15)</f>
        <v>2030</v>
      </c>
      <c r="F81"/>
      <c r="G81" s="183">
        <f>IF(Norway!H15="","",Norway!H15)</f>
        <v>0.93898135604629551</v>
      </c>
      <c r="H81">
        <f>IF(Norway!I15="","",Norway!I15)</f>
        <v>0.3</v>
      </c>
    </row>
    <row r="82" spans="1:8">
      <c r="A82" t="str">
        <f>IF(Norway!B16="","",Norway!B16)</f>
        <v>NON1</v>
      </c>
      <c r="B82" t="str">
        <f>IF(Norway!C16="","",Norway!C16)</f>
        <v>dheat</v>
      </c>
      <c r="C82" t="str">
        <f>IF(Norway!D16="","",Norway!D16)</f>
        <v/>
      </c>
      <c r="D82" t="str">
        <f>IF(Norway!E16="","",Norway!E16)</f>
        <v>all</v>
      </c>
      <c r="E82">
        <f>IF(Norway!F16="","",Norway!F16)</f>
        <v>2030</v>
      </c>
      <c r="F82"/>
      <c r="G82" s="183">
        <f>IF(Norway!H16="","",Norway!H16)</f>
        <v>0.99103117539400232</v>
      </c>
      <c r="H82">
        <f>IF(Norway!I16="","",Norway!I16)</f>
        <v>0.3</v>
      </c>
    </row>
    <row r="83" spans="1:8">
      <c r="A83" t="str">
        <f>IF(Norway!B17="","",Norway!B17)</f>
        <v>NOS0</v>
      </c>
      <c r="B83" t="str">
        <f>IF(Norway!C17="","",Norway!C17)</f>
        <v>dheat</v>
      </c>
      <c r="C83" t="str">
        <f>IF(Norway!D17="","",Norway!D17)</f>
        <v/>
      </c>
      <c r="D83" t="str">
        <f>IF(Norway!E17="","",Norway!E17)</f>
        <v>all</v>
      </c>
      <c r="E83">
        <f>IF(Norway!F17="","",Norway!F17)</f>
        <v>2035</v>
      </c>
      <c r="F83"/>
      <c r="G83" s="183">
        <f>IF(Norway!H17="","",Norway!H17)</f>
        <v>6.6925556853387214</v>
      </c>
      <c r="H83">
        <f>IF(Norway!I17="","",Norway!I17)</f>
        <v>0.3</v>
      </c>
    </row>
    <row r="84" spans="1:8">
      <c r="A84" t="str">
        <f>IF(Norway!B18="","",Norway!B18)</f>
        <v>NOM1</v>
      </c>
      <c r="B84" t="str">
        <f>IF(Norway!C18="","",Norway!C18)</f>
        <v>dheat</v>
      </c>
      <c r="C84" t="str">
        <f>IF(Norway!D18="","",Norway!D18)</f>
        <v/>
      </c>
      <c r="D84" t="str">
        <f>IF(Norway!E18="","",Norway!E18)</f>
        <v>all</v>
      </c>
      <c r="E84">
        <f>IF(Norway!F18="","",Norway!F18)</f>
        <v>2035</v>
      </c>
      <c r="F84"/>
      <c r="G84" s="183">
        <f>IF(Norway!H18="","",Norway!H18)</f>
        <v>0.96453199987084148</v>
      </c>
      <c r="H84">
        <f>IF(Norway!I18="","",Norway!I18)</f>
        <v>0.3</v>
      </c>
    </row>
    <row r="85" spans="1:8">
      <c r="A85" t="str">
        <f>IF(Norway!B19="","",Norway!B19)</f>
        <v>NON1</v>
      </c>
      <c r="B85" t="str">
        <f>IF(Norway!C19="","",Norway!C19)</f>
        <v>dheat</v>
      </c>
      <c r="C85" t="str">
        <f>IF(Norway!D19="","",Norway!D19)</f>
        <v/>
      </c>
      <c r="D85" t="str">
        <f>IF(Norway!E19="","",Norway!E19)</f>
        <v>all</v>
      </c>
      <c r="E85">
        <f>IF(Norway!F19="","",Norway!F19)</f>
        <v>2035</v>
      </c>
      <c r="F85"/>
      <c r="G85" s="183">
        <f>IF(Norway!H19="","",Norway!H19)</f>
        <v>1.0179981480803744</v>
      </c>
      <c r="H85">
        <f>IF(Norway!I19="","",Norway!I19)</f>
        <v>0.3</v>
      </c>
    </row>
    <row r="86" spans="1:8">
      <c r="A86" t="str">
        <f>IF(Norway!B20="","",Norway!B20)</f>
        <v>NOS0</v>
      </c>
      <c r="B86" t="str">
        <f>IF(Norway!C20="","",Norway!C20)</f>
        <v>dheat</v>
      </c>
      <c r="C86" t="str">
        <f>IF(Norway!D20="","",Norway!D20)</f>
        <v/>
      </c>
      <c r="D86" t="str">
        <f>IF(Norway!E20="","",Norway!E20)</f>
        <v>all</v>
      </c>
      <c r="E86">
        <f>IF(Norway!F20="","",Norway!F20)</f>
        <v>2040</v>
      </c>
      <c r="F86"/>
      <c r="G86" s="183">
        <f>IF(Norway!H20="","",Norway!H20)</f>
        <v>6.7831224158920334</v>
      </c>
      <c r="H86">
        <f>IF(Norway!I20="","",Norway!I20)</f>
        <v>0.3</v>
      </c>
    </row>
    <row r="87" spans="1:8">
      <c r="A87" t="str">
        <f>IF(Norway!B21="","",Norway!B21)</f>
        <v>NOM1</v>
      </c>
      <c r="B87" t="str">
        <f>IF(Norway!C21="","",Norway!C21)</f>
        <v>dheat</v>
      </c>
      <c r="C87" t="str">
        <f>IF(Norway!D21="","",Norway!D21)</f>
        <v/>
      </c>
      <c r="D87" t="str">
        <f>IF(Norway!E21="","",Norway!E21)</f>
        <v>all</v>
      </c>
      <c r="E87">
        <f>IF(Norway!F21="","",Norway!F21)</f>
        <v>2040</v>
      </c>
      <c r="F87"/>
      <c r="G87" s="183">
        <f>IF(Norway!H21="","",Norway!H21)</f>
        <v>0.97758448891231708</v>
      </c>
      <c r="H87">
        <f>IF(Norway!I21="","",Norway!I21)</f>
        <v>0.3</v>
      </c>
    </row>
    <row r="88" spans="1:8">
      <c r="A88" t="str">
        <f>IF(Norway!B22="","",Norway!B22)</f>
        <v>NON1</v>
      </c>
      <c r="B88" t="str">
        <f>IF(Norway!C22="","",Norway!C22)</f>
        <v>dheat</v>
      </c>
      <c r="C88" t="str">
        <f>IF(Norway!D22="","",Norway!D22)</f>
        <v/>
      </c>
      <c r="D88" t="str">
        <f>IF(Norway!E22="","",Norway!E22)</f>
        <v>all</v>
      </c>
      <c r="E88">
        <f>IF(Norway!F22="","",Norway!F22)</f>
        <v>2040</v>
      </c>
      <c r="F88"/>
      <c r="G88" s="183">
        <f>IF(Norway!H22="","",Norway!H22)</f>
        <v>1.0317741655415276</v>
      </c>
      <c r="H88">
        <f>IF(Norway!I22="","",Norway!I22)</f>
        <v>0.3</v>
      </c>
    </row>
    <row r="89" spans="1:8">
      <c r="A89" t="s">
        <v>360</v>
      </c>
      <c r="D89"/>
      <c r="E89"/>
      <c r="F89"/>
      <c r="G89" s="183"/>
      <c r="H89"/>
    </row>
    <row r="90" spans="1:8">
      <c r="A90" t="str">
        <f>IF(Lithuania!B5="","",Lithuania!B5)</f>
        <v>LT00</v>
      </c>
      <c r="B90" t="str">
        <f>IF(Lithuania!C5="","",Lithuania!C5)</f>
        <v>dheat</v>
      </c>
      <c r="C90" t="str">
        <f>IF(Lithuania!D5="","",Lithuania!D5)</f>
        <v/>
      </c>
      <c r="D90" t="str">
        <f>IF(Lithuania!E5="","",Lithuania!E5)</f>
        <v>all</v>
      </c>
      <c r="E90">
        <f>IF(Lithuania!F5="","",Lithuania!F5)</f>
        <v>2015</v>
      </c>
      <c r="F90"/>
      <c r="G90" s="183">
        <f>IF(Lithuania!H5="","",Lithuania!H5)</f>
        <v>7.575341826489038</v>
      </c>
      <c r="H90">
        <f>IF(Lithuania!I5="","",Lithuania!I5)</f>
        <v>0.3</v>
      </c>
    </row>
    <row r="91" spans="1:8">
      <c r="A91" t="str">
        <f>IF(Lithuania!B6="","",Lithuania!B6)</f>
        <v>LT00</v>
      </c>
      <c r="B91" t="str">
        <f>IF(Lithuania!C6="","",Lithuania!C6)</f>
        <v>dheat</v>
      </c>
      <c r="C91" t="str">
        <f>IF(Lithuania!D6="","",Lithuania!D6)</f>
        <v/>
      </c>
      <c r="D91" t="str">
        <f>IF(Lithuania!E6="","",Lithuania!E6)</f>
        <v>all</v>
      </c>
      <c r="E91">
        <f>IF(Lithuania!F6="","",Lithuania!F6)</f>
        <v>2020</v>
      </c>
      <c r="F91"/>
      <c r="G91" s="183">
        <f>IF(Lithuania!H6="","",Lithuania!H6)</f>
        <v>7.8357264535507092</v>
      </c>
      <c r="H91">
        <f>IF(Lithuania!I6="","",Lithuania!I6)</f>
        <v>0.3</v>
      </c>
    </row>
    <row r="92" spans="1:8">
      <c r="A92" t="str">
        <f>IF(Lithuania!B7="","",Lithuania!B7)</f>
        <v>LT00</v>
      </c>
      <c r="B92" t="str">
        <f>IF(Lithuania!C7="","",Lithuania!C7)</f>
        <v>dheat</v>
      </c>
      <c r="C92" t="str">
        <f>IF(Lithuania!D7="","",Lithuania!D7)</f>
        <v/>
      </c>
      <c r="D92" t="str">
        <f>IF(Lithuania!E7="","",Lithuania!E7)</f>
        <v>all</v>
      </c>
      <c r="E92">
        <f>IF(Lithuania!F7="","",Lithuania!F7)</f>
        <v>2025</v>
      </c>
      <c r="F92"/>
      <c r="G92" s="183">
        <f>IF(Lithuania!H7="","",Lithuania!H7)</f>
        <v>7.994005023902564</v>
      </c>
      <c r="H92">
        <f>IF(Lithuania!I7="","",Lithuania!I7)</f>
        <v>0.3</v>
      </c>
    </row>
    <row r="93" spans="1:8">
      <c r="A93" t="str">
        <f>IF(Lithuania!B8="","",Lithuania!B8)</f>
        <v>LT00</v>
      </c>
      <c r="B93" t="str">
        <f>IF(Lithuania!C8="","",Lithuania!C8)</f>
        <v>dheat</v>
      </c>
      <c r="C93" t="str">
        <f>IF(Lithuania!D8="","",Lithuania!D8)</f>
        <v/>
      </c>
      <c r="D93" t="str">
        <f>IF(Lithuania!E8="","",Lithuania!E8)</f>
        <v>all</v>
      </c>
      <c r="E93">
        <f>IF(Lithuania!F8="","",Lithuania!F8)</f>
        <v>2030</v>
      </c>
      <c r="F93"/>
      <c r="G93" s="183">
        <f>IF(Lithuania!H8="","",Lithuania!H8)</f>
        <v>7.9739674653854458</v>
      </c>
      <c r="H93">
        <f>IF(Lithuania!I8="","",Lithuania!I8)</f>
        <v>0.3</v>
      </c>
    </row>
    <row r="94" spans="1:8">
      <c r="A94" t="str">
        <f>IF(Lithuania!B9="","",Lithuania!B9)</f>
        <v>LT00</v>
      </c>
      <c r="B94" t="str">
        <f>IF(Lithuania!C9="","",Lithuania!C9)</f>
        <v>dheat</v>
      </c>
      <c r="C94" t="str">
        <f>IF(Lithuania!D9="","",Lithuania!D9)</f>
        <v/>
      </c>
      <c r="D94" t="str">
        <f>IF(Lithuania!E9="","",Lithuania!E9)</f>
        <v>all</v>
      </c>
      <c r="E94">
        <f>IF(Lithuania!F9="","",Lithuania!F9)</f>
        <v>2035</v>
      </c>
      <c r="F94"/>
      <c r="G94" s="183">
        <f>IF(Lithuania!H9="","",Lithuania!H9)</f>
        <v>7.990793821888591</v>
      </c>
      <c r="H94">
        <f>IF(Lithuania!I9="","",Lithuania!I9)</f>
        <v>0.3</v>
      </c>
    </row>
    <row r="95" spans="1:8">
      <c r="A95" t="str">
        <f>IF(Lithuania!B10="","",Lithuania!B10)</f>
        <v>LT00</v>
      </c>
      <c r="B95" t="str">
        <f>IF(Lithuania!C10="","",Lithuania!C10)</f>
        <v>dheat</v>
      </c>
      <c r="C95" t="str">
        <f>IF(Lithuania!D10="","",Lithuania!D10)</f>
        <v/>
      </c>
      <c r="D95" t="str">
        <f>IF(Lithuania!E10="","",Lithuania!E10)</f>
        <v>all</v>
      </c>
      <c r="E95">
        <f>IF(Lithuania!F10="","",Lithuania!F10)</f>
        <v>2040</v>
      </c>
      <c r="F95"/>
      <c r="G95" s="183">
        <f>IF(Lithuania!H10="","",Lithuania!H10)</f>
        <v>7.9911810542945272</v>
      </c>
      <c r="H95">
        <f>IF(Lithuania!I10="","",Lithuania!I10)</f>
        <v>0.3</v>
      </c>
    </row>
    <row r="96" spans="1:8">
      <c r="A96" t="s">
        <v>361</v>
      </c>
      <c r="D96"/>
      <c r="E96"/>
      <c r="F96"/>
      <c r="G96" s="183"/>
      <c r="H96"/>
    </row>
    <row r="97" spans="1:8">
      <c r="A97" t="str">
        <f>IF(Latvia!B5="","",Latvia!B5)</f>
        <v>LV00</v>
      </c>
      <c r="B97" t="str">
        <f>IF(Latvia!C5="","",Latvia!C5)</f>
        <v>dheat</v>
      </c>
      <c r="C97" t="str">
        <f>IF(Latvia!D5="","",Latvia!D5)</f>
        <v/>
      </c>
      <c r="D97" t="str">
        <f>IF(Latvia!E5="","",Latvia!E5)</f>
        <v>all</v>
      </c>
      <c r="E97">
        <f>IF(Latvia!F5="","",Latvia!F5)</f>
        <v>2015</v>
      </c>
      <c r="F97"/>
      <c r="G97" s="183">
        <f>IF(Latvia!H5="","",Latvia!H5)</f>
        <v>12.113744097029263</v>
      </c>
      <c r="H97">
        <f>IF(Latvia!I5="","",Latvia!I5)</f>
        <v>0.3</v>
      </c>
    </row>
    <row r="98" spans="1:8">
      <c r="A98" t="str">
        <f>IF(Latvia!B6="","",Latvia!B6)</f>
        <v>LV00</v>
      </c>
      <c r="B98" t="str">
        <f>IF(Latvia!C6="","",Latvia!C6)</f>
        <v>dheat</v>
      </c>
      <c r="C98" t="str">
        <f>IF(Latvia!D6="","",Latvia!D6)</f>
        <v/>
      </c>
      <c r="D98" t="str">
        <f>IF(Latvia!E6="","",Latvia!E6)</f>
        <v>all</v>
      </c>
      <c r="E98">
        <f>IF(Latvia!F6="","",Latvia!F6)</f>
        <v>2020</v>
      </c>
      <c r="F98"/>
      <c r="G98" s="183">
        <f>IF(Latvia!H6="","",Latvia!H6)</f>
        <v>11.273483422633314</v>
      </c>
      <c r="H98">
        <f>IF(Latvia!I6="","",Latvia!I6)</f>
        <v>0.3</v>
      </c>
    </row>
    <row r="99" spans="1:8">
      <c r="A99" t="str">
        <f>IF(Latvia!B7="","",Latvia!B7)</f>
        <v>LV00</v>
      </c>
      <c r="B99" t="str">
        <f>IF(Latvia!C7="","",Latvia!C7)</f>
        <v>dheat</v>
      </c>
      <c r="C99" t="str">
        <f>IF(Latvia!D7="","",Latvia!D7)</f>
        <v/>
      </c>
      <c r="D99" t="str">
        <f>IF(Latvia!E7="","",Latvia!E7)</f>
        <v>all</v>
      </c>
      <c r="E99">
        <f>IF(Latvia!F7="","",Latvia!F7)</f>
        <v>2025</v>
      </c>
      <c r="F99"/>
      <c r="G99" s="183">
        <f>IF(Latvia!H7="","",Latvia!H7)</f>
        <v>10.537035826323002</v>
      </c>
      <c r="H99">
        <f>IF(Latvia!I7="","",Latvia!I7)</f>
        <v>0.3</v>
      </c>
    </row>
    <row r="100" spans="1:8">
      <c r="A100" t="str">
        <f>IF(Latvia!B8="","",Latvia!B8)</f>
        <v>LV00</v>
      </c>
      <c r="B100" t="str">
        <f>IF(Latvia!C8="","",Latvia!C8)</f>
        <v>dheat</v>
      </c>
      <c r="C100" t="str">
        <f>IF(Latvia!D8="","",Latvia!D8)</f>
        <v/>
      </c>
      <c r="D100" t="str">
        <f>IF(Latvia!E8="","",Latvia!E8)</f>
        <v>all</v>
      </c>
      <c r="E100">
        <f>IF(Latvia!F8="","",Latvia!F8)</f>
        <v>2030</v>
      </c>
      <c r="F100"/>
      <c r="G100" s="183">
        <f>IF(Latvia!H8="","",Latvia!H8)</f>
        <v>10.021074168947218</v>
      </c>
      <c r="H100">
        <f>IF(Latvia!I8="","",Latvia!I8)</f>
        <v>0.3</v>
      </c>
    </row>
    <row r="101" spans="1:8">
      <c r="A101" t="str">
        <f>IF(Latvia!B9="","",Latvia!B9)</f>
        <v>LV00</v>
      </c>
      <c r="B101" t="str">
        <f>IF(Latvia!C9="","",Latvia!C9)</f>
        <v>dheat</v>
      </c>
      <c r="C101" t="str">
        <f>IF(Latvia!D9="","",Latvia!D9)</f>
        <v/>
      </c>
      <c r="D101" t="str">
        <f>IF(Latvia!E9="","",Latvia!E9)</f>
        <v>all</v>
      </c>
      <c r="E101">
        <f>IF(Latvia!F9="","",Latvia!F9)</f>
        <v>2035</v>
      </c>
      <c r="F101"/>
      <c r="G101" s="183">
        <f>IF(Latvia!H9="","",Latvia!H9)</f>
        <v>9.6027728287678915</v>
      </c>
      <c r="H101">
        <f>IF(Latvia!I9="","",Latvia!I9)</f>
        <v>0.3</v>
      </c>
    </row>
    <row r="102" spans="1:8">
      <c r="A102" t="str">
        <f>IF(Latvia!B10="","",Latvia!B10)</f>
        <v>LV00</v>
      </c>
      <c r="B102" t="str">
        <f>IF(Latvia!C10="","",Latvia!C10)</f>
        <v>dheat</v>
      </c>
      <c r="C102" t="str">
        <f>IF(Latvia!D10="","",Latvia!D10)</f>
        <v/>
      </c>
      <c r="D102" t="str">
        <f>IF(Latvia!E10="","",Latvia!E10)</f>
        <v>all</v>
      </c>
      <c r="E102">
        <f>IF(Latvia!F10="","",Latvia!F10)</f>
        <v>2040</v>
      </c>
      <c r="F102"/>
      <c r="G102" s="183">
        <f>IF(Latvia!H10="","",Latvia!H10)</f>
        <v>9.1956870318832813</v>
      </c>
      <c r="H102">
        <f>IF(Latvia!I10="","",Latvia!I10)</f>
        <v>0.3</v>
      </c>
    </row>
    <row r="103" spans="1:8">
      <c r="A103" t="s">
        <v>362</v>
      </c>
      <c r="D103"/>
      <c r="E103"/>
      <c r="F103"/>
      <c r="G103" s="183"/>
      <c r="H103"/>
    </row>
    <row r="104" spans="1:8">
      <c r="A104" t="str">
        <f>IF(Estonia!B5="","",Estonia!B5)</f>
        <v>EE00</v>
      </c>
      <c r="B104" t="str">
        <f>IF(Estonia!C5="","",Estonia!C5)</f>
        <v>dheat</v>
      </c>
      <c r="C104" t="str">
        <f>IF(Estonia!D5="","",Estonia!D5)</f>
        <v/>
      </c>
      <c r="D104" t="str">
        <f>IF(Estonia!E5="","",Estonia!E5)</f>
        <v>all</v>
      </c>
      <c r="E104">
        <f>IF(Estonia!F5="","",Estonia!F5)</f>
        <v>2015</v>
      </c>
      <c r="F104"/>
      <c r="G104" s="183">
        <f>IF(Estonia!H5="","",Estonia!H5)</f>
        <v>4.7203269575636932</v>
      </c>
      <c r="H104">
        <f>IF(Estonia!I5="","",Estonia!I5)</f>
        <v>0.3</v>
      </c>
    </row>
    <row r="105" spans="1:8">
      <c r="A105" t="str">
        <f>IF(Estonia!B6="","",Estonia!B6)</f>
        <v>EE00</v>
      </c>
      <c r="B105" t="str">
        <f>IF(Estonia!C6="","",Estonia!C6)</f>
        <v>dheat</v>
      </c>
      <c r="C105" t="str">
        <f>IF(Estonia!D6="","",Estonia!D6)</f>
        <v/>
      </c>
      <c r="D105" t="str">
        <f>IF(Estonia!E6="","",Estonia!E6)</f>
        <v>all</v>
      </c>
      <c r="E105">
        <f>IF(Estonia!F6="","",Estonia!F6)</f>
        <v>2020</v>
      </c>
      <c r="F105"/>
      <c r="G105" s="183">
        <f>IF(Estonia!H6="","",Estonia!H6)</f>
        <v>4.7842652390713267</v>
      </c>
      <c r="H105">
        <f>IF(Estonia!I6="","",Estonia!I6)</f>
        <v>0.3</v>
      </c>
    </row>
    <row r="106" spans="1:8">
      <c r="A106" t="str">
        <f>IF(Estonia!B7="","",Estonia!B7)</f>
        <v>EE00</v>
      </c>
      <c r="B106" t="str">
        <f>IF(Estonia!C7="","",Estonia!C7)</f>
        <v>dheat</v>
      </c>
      <c r="C106" t="str">
        <f>IF(Estonia!D7="","",Estonia!D7)</f>
        <v/>
      </c>
      <c r="D106" t="str">
        <f>IF(Estonia!E7="","",Estonia!E7)</f>
        <v>all</v>
      </c>
      <c r="E106">
        <f>IF(Estonia!F7="","",Estonia!F7)</f>
        <v>2025</v>
      </c>
      <c r="F106"/>
      <c r="G106" s="183">
        <f>IF(Estonia!H7="","",Estonia!H7)</f>
        <v>4.8362554516277791</v>
      </c>
      <c r="H106">
        <f>IF(Estonia!I7="","",Estonia!I7)</f>
        <v>0.3</v>
      </c>
    </row>
    <row r="107" spans="1:8">
      <c r="A107" t="str">
        <f>IF(Estonia!B8="","",Estonia!B8)</f>
        <v>EE00</v>
      </c>
      <c r="B107" t="str">
        <f>IF(Estonia!C8="","",Estonia!C8)</f>
        <v>dheat</v>
      </c>
      <c r="C107" t="str">
        <f>IF(Estonia!D8="","",Estonia!D8)</f>
        <v/>
      </c>
      <c r="D107" t="str">
        <f>IF(Estonia!E8="","",Estonia!E8)</f>
        <v>all</v>
      </c>
      <c r="E107">
        <f>IF(Estonia!F8="","",Estonia!F8)</f>
        <v>2030</v>
      </c>
      <c r="F107"/>
      <c r="G107" s="183">
        <f>IF(Estonia!H8="","",Estonia!H8)</f>
        <v>4.8582630881017828</v>
      </c>
      <c r="H107">
        <f>IF(Estonia!I8="","",Estonia!I8)</f>
        <v>0.3</v>
      </c>
    </row>
    <row r="108" spans="1:8">
      <c r="A108" t="str">
        <f>IF(Estonia!B9="","",Estonia!B9)</f>
        <v>EE00</v>
      </c>
      <c r="B108" t="str">
        <f>IF(Estonia!C9="","",Estonia!C9)</f>
        <v>dheat</v>
      </c>
      <c r="C108" t="str">
        <f>IF(Estonia!D9="","",Estonia!D9)</f>
        <v/>
      </c>
      <c r="D108" t="str">
        <f>IF(Estonia!E9="","",Estonia!E9)</f>
        <v>all</v>
      </c>
      <c r="E108">
        <f>IF(Estonia!F9="","",Estonia!F9)</f>
        <v>2035</v>
      </c>
      <c r="F108"/>
      <c r="G108" s="183">
        <f>IF(Estonia!H9="","",Estonia!H9)</f>
        <v>4.8726943250713131</v>
      </c>
      <c r="H108">
        <f>IF(Estonia!I9="","",Estonia!I9)</f>
        <v>0.3</v>
      </c>
    </row>
    <row r="109" spans="1:8">
      <c r="A109" t="str">
        <f>IF(Estonia!B10="","",Estonia!B10)</f>
        <v>EE00</v>
      </c>
      <c r="B109" t="str">
        <f>IF(Estonia!C10="","",Estonia!C10)</f>
        <v>dheat</v>
      </c>
      <c r="C109" t="str">
        <f>IF(Estonia!D10="","",Estonia!D10)</f>
        <v/>
      </c>
      <c r="D109" t="str">
        <f>IF(Estonia!E10="","",Estonia!E10)</f>
        <v>all</v>
      </c>
      <c r="E109">
        <f>IF(Estonia!F10="","",Estonia!F10)</f>
        <v>2040</v>
      </c>
      <c r="F109"/>
      <c r="G109" s="183">
        <f>IF(Estonia!H10="","",Estonia!H10)</f>
        <v>4.8842861616309046</v>
      </c>
      <c r="H109">
        <f>IF(Estonia!I10="","",Estonia!I10)</f>
        <v>0.3</v>
      </c>
    </row>
    <row r="110" spans="1:8">
      <c r="A110" t="s">
        <v>363</v>
      </c>
      <c r="D110"/>
      <c r="E110"/>
      <c r="F110"/>
      <c r="G110" s="183"/>
      <c r="H110"/>
    </row>
    <row r="111" spans="1:8">
      <c r="A111" t="str">
        <f>IF(Sweden!B5="","",Sweden!B5)</f>
        <v>SE01</v>
      </c>
      <c r="B111" t="str">
        <f>IF(Sweden!C5="","",Sweden!C5)</f>
        <v>dheat</v>
      </c>
      <c r="C111" t="str">
        <f>IF(Sweden!D5="","",Sweden!D5)</f>
        <v/>
      </c>
      <c r="D111" t="str">
        <f>IF(Sweden!E5="","",Sweden!E5)</f>
        <v>all</v>
      </c>
      <c r="E111">
        <f>IF(Sweden!F5="","",Sweden!F5)</f>
        <v>2015</v>
      </c>
      <c r="F111"/>
      <c r="G111" s="183">
        <f>IF(Sweden!H5="","",Sweden!H5)</f>
        <v>1.4684666667656283</v>
      </c>
      <c r="H111">
        <f>IF(Sweden!I5="","",Sweden!I5)</f>
        <v>0.3</v>
      </c>
    </row>
    <row r="112" spans="1:8">
      <c r="A112" t="str">
        <f>IF(Sweden!B6="","",Sweden!B6)</f>
        <v>SE02</v>
      </c>
      <c r="B112" t="str">
        <f>IF(Sweden!C6="","",Sweden!C6)</f>
        <v>dheat</v>
      </c>
      <c r="C112" t="str">
        <f>IF(Sweden!D6="","",Sweden!D6)</f>
        <v/>
      </c>
      <c r="D112" t="str">
        <f>IF(Sweden!E6="","",Sweden!E6)</f>
        <v>all</v>
      </c>
      <c r="E112">
        <f>IF(Sweden!F6="","",Sweden!F6)</f>
        <v>2015</v>
      </c>
      <c r="F112"/>
      <c r="G112" s="183">
        <f>IF(Sweden!H6="","",Sweden!H6)</f>
        <v>5.3582964539100191</v>
      </c>
      <c r="H112">
        <f>IF(Sweden!I6="","",Sweden!I6)</f>
        <v>0.3</v>
      </c>
    </row>
    <row r="113" spans="1:8">
      <c r="A113" t="str">
        <f>IF(Sweden!B7="","",Sweden!B7)</f>
        <v>SE03</v>
      </c>
      <c r="B113" t="str">
        <f>IF(Sweden!C7="","",Sweden!C7)</f>
        <v>dheat</v>
      </c>
      <c r="C113" t="str">
        <f>IF(Sweden!D7="","",Sweden!D7)</f>
        <v/>
      </c>
      <c r="D113" t="str">
        <f>IF(Sweden!E7="","",Sweden!E7)</f>
        <v>all</v>
      </c>
      <c r="E113">
        <f>IF(Sweden!F7="","",Sweden!F7)</f>
        <v>2015</v>
      </c>
      <c r="F113"/>
      <c r="G113" s="183">
        <f>IF(Sweden!H7="","",Sweden!H7)</f>
        <v>39.018195598667141</v>
      </c>
      <c r="H113">
        <f>IF(Sweden!I7="","",Sweden!I7)</f>
        <v>0.3</v>
      </c>
    </row>
    <row r="114" spans="1:8">
      <c r="A114" t="str">
        <f>IF(Sweden!B8="","",Sweden!B8)</f>
        <v>SE04</v>
      </c>
      <c r="B114" t="str">
        <f>IF(Sweden!C8="","",Sweden!C8)</f>
        <v>dheat</v>
      </c>
      <c r="C114" t="str">
        <f>IF(Sweden!D8="","",Sweden!D8)</f>
        <v/>
      </c>
      <c r="D114" t="str">
        <f>IF(Sweden!E8="","",Sweden!E8)</f>
        <v>all</v>
      </c>
      <c r="E114">
        <f>IF(Sweden!F8="","",Sweden!F8)</f>
        <v>2015</v>
      </c>
      <c r="F114"/>
      <c r="G114" s="183">
        <f>IF(Sweden!H8="","",Sweden!H8)</f>
        <v>11.412682304515574</v>
      </c>
      <c r="H114">
        <f>IF(Sweden!I8="","",Sweden!I8)</f>
        <v>0.3</v>
      </c>
    </row>
    <row r="115" spans="1:8">
      <c r="A115" t="str">
        <f>IF(Sweden!B9="","",Sweden!B9)</f>
        <v>SE01</v>
      </c>
      <c r="B115" t="str">
        <f>IF(Sweden!C9="","",Sweden!C9)</f>
        <v>dheat</v>
      </c>
      <c r="C115" t="str">
        <f>IF(Sweden!D9="","",Sweden!D9)</f>
        <v/>
      </c>
      <c r="D115" t="str">
        <f>IF(Sweden!E9="","",Sweden!E9)</f>
        <v>all</v>
      </c>
      <c r="E115">
        <f>IF(Sweden!F9="","",Sweden!F9)</f>
        <v>2020</v>
      </c>
      <c r="F115"/>
      <c r="G115" s="183">
        <f>IF(Sweden!H9="","",Sweden!H9)</f>
        <v>1.4209678106219532</v>
      </c>
      <c r="H115">
        <f>IF(Sweden!I9="","",Sweden!I9)</f>
        <v>0.3</v>
      </c>
    </row>
    <row r="116" spans="1:8">
      <c r="A116" t="str">
        <f>IF(Sweden!B10="","",Sweden!B10)</f>
        <v>SE02</v>
      </c>
      <c r="B116" t="str">
        <f>IF(Sweden!C10="","",Sweden!C10)</f>
        <v>dheat</v>
      </c>
      <c r="C116" t="str">
        <f>IF(Sweden!D10="","",Sweden!D10)</f>
        <v/>
      </c>
      <c r="D116" t="str">
        <f>IF(Sweden!E10="","",Sweden!E10)</f>
        <v>all</v>
      </c>
      <c r="E116">
        <f>IF(Sweden!F10="","",Sweden!F10)</f>
        <v>2020</v>
      </c>
      <c r="F116"/>
      <c r="G116" s="183">
        <f>IF(Sweden!H10="","",Sweden!H10)</f>
        <v>5.3140058661355871</v>
      </c>
      <c r="H116">
        <f>IF(Sweden!I10="","",Sweden!I10)</f>
        <v>0.3</v>
      </c>
    </row>
    <row r="117" spans="1:8">
      <c r="A117" t="str">
        <f>IF(Sweden!B11="","",Sweden!B11)</f>
        <v>SE03</v>
      </c>
      <c r="B117" t="str">
        <f>IF(Sweden!C11="","",Sweden!C11)</f>
        <v>dheat</v>
      </c>
      <c r="C117" t="str">
        <f>IF(Sweden!D11="","",Sweden!D11)</f>
        <v/>
      </c>
      <c r="D117" t="str">
        <f>IF(Sweden!E11="","",Sweden!E11)</f>
        <v>all</v>
      </c>
      <c r="E117">
        <f>IF(Sweden!F11="","",Sweden!F11)</f>
        <v>2020</v>
      </c>
      <c r="F117"/>
      <c r="G117" s="183">
        <f>IF(Sweden!H11="","",Sweden!H11)</f>
        <v>40.167020784769626</v>
      </c>
      <c r="H117">
        <f>IF(Sweden!I11="","",Sweden!I11)</f>
        <v>0.3</v>
      </c>
    </row>
    <row r="118" spans="1:8">
      <c r="A118" t="str">
        <f>IF(Sweden!B12="","",Sweden!B12)</f>
        <v>SE04</v>
      </c>
      <c r="B118" t="str">
        <f>IF(Sweden!C12="","",Sweden!C12)</f>
        <v>dheat</v>
      </c>
      <c r="C118" t="str">
        <f>IF(Sweden!D12="","",Sweden!D12)</f>
        <v/>
      </c>
      <c r="D118" t="str">
        <f>IF(Sweden!E12="","",Sweden!E12)</f>
        <v>all</v>
      </c>
      <c r="E118">
        <f>IF(Sweden!F12="","",Sweden!F12)</f>
        <v>2020</v>
      </c>
      <c r="F118"/>
      <c r="G118" s="183">
        <f>IF(Sweden!H12="","",Sweden!H12)</f>
        <v>11.776863124784194</v>
      </c>
      <c r="H118">
        <f>IF(Sweden!I12="","",Sweden!I12)</f>
        <v>0.3</v>
      </c>
    </row>
    <row r="119" spans="1:8">
      <c r="A119" t="str">
        <f>IF(Sweden!B13="","",Sweden!B13)</f>
        <v>SE01</v>
      </c>
      <c r="B119" t="str">
        <f>IF(Sweden!C13="","",Sweden!C13)</f>
        <v>dheat</v>
      </c>
      <c r="C119" t="str">
        <f>IF(Sweden!D13="","",Sweden!D13)</f>
        <v/>
      </c>
      <c r="D119" t="str">
        <f>IF(Sweden!E13="","",Sweden!E13)</f>
        <v>all</v>
      </c>
      <c r="E119">
        <f>IF(Sweden!F13="","",Sweden!F13)</f>
        <v>2025</v>
      </c>
      <c r="F119"/>
      <c r="G119" s="183">
        <f>IF(Sweden!H13="","",Sweden!H13)</f>
        <v>1.3794215983109406</v>
      </c>
      <c r="H119">
        <f>IF(Sweden!I13="","",Sweden!I13)</f>
        <v>0.3</v>
      </c>
    </row>
    <row r="120" spans="1:8">
      <c r="A120" t="str">
        <f>IF(Sweden!B14="","",Sweden!B14)</f>
        <v>SE02</v>
      </c>
      <c r="B120" t="str">
        <f>IF(Sweden!C14="","",Sweden!C14)</f>
        <v>dheat</v>
      </c>
      <c r="C120" t="str">
        <f>IF(Sweden!D14="","",Sweden!D14)</f>
        <v/>
      </c>
      <c r="D120" t="str">
        <f>IF(Sweden!E14="","",Sweden!E14)</f>
        <v>all</v>
      </c>
      <c r="E120">
        <f>IF(Sweden!F14="","",Sweden!F14)</f>
        <v>2025</v>
      </c>
      <c r="F120"/>
      <c r="G120" s="183">
        <f>IF(Sweden!H14="","",Sweden!H14)</f>
        <v>5.2416206699348376</v>
      </c>
      <c r="H120">
        <f>IF(Sweden!I14="","",Sweden!I14)</f>
        <v>0.3</v>
      </c>
    </row>
    <row r="121" spans="1:8">
      <c r="A121" t="str">
        <f>IF(Sweden!B15="","",Sweden!B15)</f>
        <v>SE03</v>
      </c>
      <c r="B121" t="str">
        <f>IF(Sweden!C15="","",Sweden!C15)</f>
        <v>dheat</v>
      </c>
      <c r="C121" t="str">
        <f>IF(Sweden!D15="","",Sweden!D15)</f>
        <v/>
      </c>
      <c r="D121" t="str">
        <f>IF(Sweden!E15="","",Sweden!E15)</f>
        <v>all</v>
      </c>
      <c r="E121">
        <f>IF(Sweden!F15="","",Sweden!F15)</f>
        <v>2025</v>
      </c>
      <c r="F121"/>
      <c r="G121" s="183">
        <f>IF(Sweden!H15="","",Sweden!H15)</f>
        <v>40.799928201518647</v>
      </c>
      <c r="H121">
        <f>IF(Sweden!I15="","",Sweden!I15)</f>
        <v>0.3</v>
      </c>
    </row>
    <row r="122" spans="1:8">
      <c r="A122" t="str">
        <f>IF(Sweden!B16="","",Sweden!B16)</f>
        <v>SE04</v>
      </c>
      <c r="B122" t="str">
        <f>IF(Sweden!C16="","",Sweden!C16)</f>
        <v>dheat</v>
      </c>
      <c r="C122" t="str">
        <f>IF(Sweden!D16="","",Sweden!D16)</f>
        <v/>
      </c>
      <c r="D122" t="str">
        <f>IF(Sweden!E16="","",Sweden!E16)</f>
        <v>all</v>
      </c>
      <c r="E122">
        <f>IF(Sweden!F16="","",Sweden!F16)</f>
        <v>2025</v>
      </c>
      <c r="F122"/>
      <c r="G122" s="183">
        <f>IF(Sweden!H16="","",Sweden!H16)</f>
        <v>11.996147797261674</v>
      </c>
      <c r="H122">
        <f>IF(Sweden!I16="","",Sweden!I16)</f>
        <v>0.3</v>
      </c>
    </row>
    <row r="123" spans="1:8">
      <c r="A123" t="str">
        <f>IF(Sweden!B17="","",Sweden!B17)</f>
        <v>SE01</v>
      </c>
      <c r="B123" t="str">
        <f>IF(Sweden!C17="","",Sweden!C17)</f>
        <v>dheat</v>
      </c>
      <c r="C123" t="str">
        <f>IF(Sweden!D17="","",Sweden!D17)</f>
        <v/>
      </c>
      <c r="D123" t="str">
        <f>IF(Sweden!E17="","",Sweden!E17)</f>
        <v>all</v>
      </c>
      <c r="E123">
        <f>IF(Sweden!F17="","",Sweden!F17)</f>
        <v>2030</v>
      </c>
      <c r="F123"/>
      <c r="G123" s="183">
        <f>IF(Sweden!H17="","",Sweden!H17)</f>
        <v>1.3287457029054517</v>
      </c>
      <c r="H123">
        <f>IF(Sweden!I17="","",Sweden!I17)</f>
        <v>0.3</v>
      </c>
    </row>
    <row r="124" spans="1:8">
      <c r="A124" t="str">
        <f>IF(Sweden!B18="","",Sweden!B18)</f>
        <v>SE02</v>
      </c>
      <c r="B124" t="str">
        <f>IF(Sweden!C18="","",Sweden!C18)</f>
        <v>dheat</v>
      </c>
      <c r="C124" t="str">
        <f>IF(Sweden!D18="","",Sweden!D18)</f>
        <v/>
      </c>
      <c r="D124" t="str">
        <f>IF(Sweden!E18="","",Sweden!E18)</f>
        <v>all</v>
      </c>
      <c r="E124">
        <f>IF(Sweden!F18="","",Sweden!F18)</f>
        <v>2030</v>
      </c>
      <c r="F124"/>
      <c r="G124" s="183">
        <f>IF(Sweden!H18="","",Sweden!H18)</f>
        <v>5.1205653610896729</v>
      </c>
      <c r="H124">
        <f>IF(Sweden!I18="","",Sweden!I18)</f>
        <v>0.3</v>
      </c>
    </row>
    <row r="125" spans="1:8">
      <c r="A125" t="str">
        <f>IF(Sweden!B19="","",Sweden!B19)</f>
        <v>SE03</v>
      </c>
      <c r="B125" t="str">
        <f>IF(Sweden!C19="","",Sweden!C19)</f>
        <v>dheat</v>
      </c>
      <c r="C125" t="str">
        <f>IF(Sweden!D19="","",Sweden!D19)</f>
        <v/>
      </c>
      <c r="D125" t="str">
        <f>IF(Sweden!E19="","",Sweden!E19)</f>
        <v>all</v>
      </c>
      <c r="E125">
        <f>IF(Sweden!F19="","",Sweden!F19)</f>
        <v>2030</v>
      </c>
      <c r="F125"/>
      <c r="G125" s="183">
        <f>IF(Sweden!H19="","",Sweden!H19)</f>
        <v>41.020796727424077</v>
      </c>
      <c r="H125">
        <f>IF(Sweden!I19="","",Sweden!I19)</f>
        <v>0.3</v>
      </c>
    </row>
    <row r="126" spans="1:8">
      <c r="A126" t="str">
        <f>IF(Sweden!B20="","",Sweden!B20)</f>
        <v>SE04</v>
      </c>
      <c r="B126" t="str">
        <f>IF(Sweden!C20="","",Sweden!C20)</f>
        <v>dheat</v>
      </c>
      <c r="C126" t="str">
        <f>IF(Sweden!D20="","",Sweden!D20)</f>
        <v/>
      </c>
      <c r="D126" t="str">
        <f>IF(Sweden!E20="","",Sweden!E20)</f>
        <v>all</v>
      </c>
      <c r="E126">
        <f>IF(Sweden!F20="","",Sweden!F20)</f>
        <v>2030</v>
      </c>
      <c r="F126"/>
      <c r="G126" s="183">
        <f>IF(Sweden!H20="","",Sweden!H20)</f>
        <v>12.061438175335327</v>
      </c>
      <c r="H126">
        <f>IF(Sweden!I20="","",Sweden!I20)</f>
        <v>0.3</v>
      </c>
    </row>
    <row r="127" spans="1:8">
      <c r="A127" t="str">
        <f>IF(Sweden!B21="","",Sweden!B21)</f>
        <v>SE01</v>
      </c>
      <c r="B127" t="str">
        <f>IF(Sweden!C21="","",Sweden!C21)</f>
        <v>dheat</v>
      </c>
      <c r="C127" t="str">
        <f>IF(Sweden!D21="","",Sweden!D21)</f>
        <v/>
      </c>
      <c r="D127" t="str">
        <f>IF(Sweden!E21="","",Sweden!E21)</f>
        <v>all</v>
      </c>
      <c r="E127">
        <f>IF(Sweden!F21="","",Sweden!F21)</f>
        <v>2035</v>
      </c>
      <c r="F127"/>
      <c r="G127" s="183">
        <f>IF(Sweden!H21="","",Sweden!H21)</f>
        <v>1.2655567079150138</v>
      </c>
      <c r="H127">
        <f>IF(Sweden!I21="","",Sweden!I21)</f>
        <v>0.3</v>
      </c>
    </row>
    <row r="128" spans="1:8">
      <c r="A128" t="str">
        <f>IF(Sweden!B22="","",Sweden!B22)</f>
        <v>SE02</v>
      </c>
      <c r="B128" t="str">
        <f>IF(Sweden!C22="","",Sweden!C22)</f>
        <v>dheat</v>
      </c>
      <c r="C128" t="str">
        <f>IF(Sweden!D22="","",Sweden!D22)</f>
        <v/>
      </c>
      <c r="D128" t="str">
        <f>IF(Sweden!E22="","",Sweden!E22)</f>
        <v>all</v>
      </c>
      <c r="E128">
        <f>IF(Sweden!F22="","",Sweden!F22)</f>
        <v>2035</v>
      </c>
      <c r="F128"/>
      <c r="G128" s="183">
        <f>IF(Sweden!H22="","",Sweden!H22)</f>
        <v>4.9535854099056431</v>
      </c>
      <c r="H128">
        <f>IF(Sweden!I22="","",Sweden!I22)</f>
        <v>0.3</v>
      </c>
    </row>
    <row r="129" spans="1:8">
      <c r="A129" t="str">
        <f>IF(Sweden!B23="","",Sweden!B23)</f>
        <v>SE03</v>
      </c>
      <c r="B129" t="str">
        <f>IF(Sweden!C23="","",Sweden!C23)</f>
        <v>dheat</v>
      </c>
      <c r="C129" t="str">
        <f>IF(Sweden!D23="","",Sweden!D23)</f>
        <v/>
      </c>
      <c r="D129" t="str">
        <f>IF(Sweden!E23="","",Sweden!E23)</f>
        <v>all</v>
      </c>
      <c r="E129">
        <f>IF(Sweden!F23="","",Sweden!F23)</f>
        <v>2035</v>
      </c>
      <c r="F129"/>
      <c r="G129" s="183">
        <f>IF(Sweden!H23="","",Sweden!H23)</f>
        <v>40.939638927269975</v>
      </c>
      <c r="H129">
        <f>IF(Sweden!I23="","",Sweden!I23)</f>
        <v>0.3</v>
      </c>
    </row>
    <row r="130" spans="1:8">
      <c r="A130" t="str">
        <f>IF(Sweden!B24="","",Sweden!B24)</f>
        <v>SE04</v>
      </c>
      <c r="B130" t="str">
        <f>IF(Sweden!C24="","",Sweden!C24)</f>
        <v>dheat</v>
      </c>
      <c r="C130" t="str">
        <f>IF(Sweden!D24="","",Sweden!D24)</f>
        <v/>
      </c>
      <c r="D130" t="str">
        <f>IF(Sweden!E24="","",Sweden!E24)</f>
        <v>all</v>
      </c>
      <c r="E130">
        <f>IF(Sweden!F24="","",Sweden!F24)</f>
        <v>2035</v>
      </c>
      <c r="F130"/>
      <c r="G130" s="183">
        <f>IF(Sweden!H24="","",Sweden!H24)</f>
        <v>12.022024897575387</v>
      </c>
      <c r="H130">
        <f>IF(Sweden!I24="","",Sweden!I24)</f>
        <v>0.3</v>
      </c>
    </row>
    <row r="131" spans="1:8">
      <c r="A131" t="str">
        <f>IF(Sweden!B25="","",Sweden!B25)</f>
        <v>SE01</v>
      </c>
      <c r="B131" t="str">
        <f>IF(Sweden!C25="","",Sweden!C25)</f>
        <v>dheat</v>
      </c>
      <c r="C131" t="str">
        <f>IF(Sweden!D25="","",Sweden!D25)</f>
        <v/>
      </c>
      <c r="D131" t="str">
        <f>IF(Sweden!E25="","",Sweden!E25)</f>
        <v>all</v>
      </c>
      <c r="E131">
        <f>IF(Sweden!F25="","",Sweden!F25)</f>
        <v>2040</v>
      </c>
      <c r="F131"/>
      <c r="G131" s="183">
        <f>IF(Sweden!H25="","",Sweden!H25)</f>
        <v>1.207928410579487</v>
      </c>
      <c r="H131">
        <f>IF(Sweden!I25="","",Sweden!I25)</f>
        <v>0.3</v>
      </c>
    </row>
    <row r="132" spans="1:8">
      <c r="A132" t="str">
        <f>IF(Sweden!B26="","",Sweden!B26)</f>
        <v>SE02</v>
      </c>
      <c r="B132" t="str">
        <f>IF(Sweden!C26="","",Sweden!C26)</f>
        <v>dheat</v>
      </c>
      <c r="C132" t="str">
        <f>IF(Sweden!D26="","",Sweden!D26)</f>
        <v/>
      </c>
      <c r="D132" t="str">
        <f>IF(Sweden!E26="","",Sweden!E26)</f>
        <v>all</v>
      </c>
      <c r="E132">
        <f>IF(Sweden!F26="","",Sweden!F26)</f>
        <v>2040</v>
      </c>
      <c r="F132"/>
      <c r="G132" s="183">
        <f>IF(Sweden!H26="","",Sweden!H26)</f>
        <v>4.8029494773633141</v>
      </c>
      <c r="H132">
        <f>IF(Sweden!I26="","",Sweden!I26)</f>
        <v>0.3</v>
      </c>
    </row>
    <row r="133" spans="1:8">
      <c r="A133" t="str">
        <f>IF(Sweden!B27="","",Sweden!B27)</f>
        <v>SE03</v>
      </c>
      <c r="B133" t="str">
        <f>IF(Sweden!C27="","",Sweden!C27)</f>
        <v>dheat</v>
      </c>
      <c r="C133" t="str">
        <f>IF(Sweden!D27="","",Sweden!D27)</f>
        <v/>
      </c>
      <c r="D133" t="str">
        <f>IF(Sweden!E27="","",Sweden!E27)</f>
        <v>all</v>
      </c>
      <c r="E133">
        <f>IF(Sweden!F27="","",Sweden!F27)</f>
        <v>2040</v>
      </c>
      <c r="F133"/>
      <c r="G133" s="183">
        <f>IF(Sweden!H27="","",Sweden!H27)</f>
        <v>40.810906443935821</v>
      </c>
      <c r="H133">
        <f>IF(Sweden!I27="","",Sweden!I27)</f>
        <v>0.3</v>
      </c>
    </row>
    <row r="134" spans="1:8">
      <c r="A134" t="str">
        <f>IF(Sweden!B28="","",Sweden!B28)</f>
        <v>SE04</v>
      </c>
      <c r="B134" t="str">
        <f>IF(Sweden!C28="","",Sweden!C28)</f>
        <v>dheat</v>
      </c>
      <c r="C134" t="str">
        <f>IF(Sweden!D28="","",Sweden!D28)</f>
        <v/>
      </c>
      <c r="D134" t="str">
        <f>IF(Sweden!E28="","",Sweden!E28)</f>
        <v>all</v>
      </c>
      <c r="E134">
        <f>IF(Sweden!F28="","",Sweden!F28)</f>
        <v>2040</v>
      </c>
      <c r="F134"/>
      <c r="G134" s="183">
        <f>IF(Sweden!H28="","",Sweden!H28)</f>
        <v>11.98578336765374</v>
      </c>
      <c r="H134">
        <f>IF(Sweden!I28="","",Sweden!I28)</f>
        <v>0.3</v>
      </c>
    </row>
    <row r="135" spans="1:8">
      <c r="A135" t="s">
        <v>364</v>
      </c>
      <c r="D135"/>
      <c r="E135"/>
      <c r="F135"/>
      <c r="G135" s="183"/>
      <c r="H135"/>
    </row>
    <row r="136" spans="1:8">
      <c r="A136" t="str">
        <f>IF(Denmark!B5="","",Denmark!B5)</f>
        <v>DKW1</v>
      </c>
      <c r="B136" t="str">
        <f>IF(Denmark!C5="","",Denmark!C5)</f>
        <v>dheat</v>
      </c>
      <c r="C136" t="str">
        <f>IF(Denmark!D5="","",Denmark!D5)</f>
        <v/>
      </c>
      <c r="D136" t="str">
        <f>IF(Denmark!E5="","",Denmark!E5)</f>
        <v>all</v>
      </c>
      <c r="E136">
        <f>IF(Denmark!F5="","",Denmark!F5)</f>
        <v>2015</v>
      </c>
      <c r="F136"/>
      <c r="G136" s="183">
        <f>IF(Denmark!H5="","",Denmark!H5)</f>
        <v>19.805125480479287</v>
      </c>
      <c r="H136">
        <f>IF(Denmark!I5="","",Denmark!I5)</f>
        <v>0.3</v>
      </c>
    </row>
    <row r="137" spans="1:8">
      <c r="A137" t="str">
        <f>IF(Denmark!B6="","",Denmark!B6)</f>
        <v>DKE1</v>
      </c>
      <c r="B137" t="str">
        <f>IF(Denmark!C6="","",Denmark!C6)</f>
        <v>dheat</v>
      </c>
      <c r="C137" t="str">
        <f>IF(Denmark!D6="","",Denmark!D6)</f>
        <v/>
      </c>
      <c r="D137" t="str">
        <f>IF(Denmark!E6="","",Denmark!E6)</f>
        <v>all</v>
      </c>
      <c r="E137">
        <f>IF(Denmark!F6="","",Denmark!F6)</f>
        <v>2015</v>
      </c>
      <c r="F137"/>
      <c r="G137" s="183">
        <f>IF(Denmark!H6="","",Denmark!H6)</f>
        <v>16.693523463632395</v>
      </c>
      <c r="H137">
        <f>IF(Denmark!I6="","",Denmark!I6)</f>
        <v>0.3</v>
      </c>
    </row>
    <row r="138" spans="1:8">
      <c r="A138" t="str">
        <f>IF(Denmark!B7="","",Denmark!B7)</f>
        <v>DKW1</v>
      </c>
      <c r="B138" t="str">
        <f>IF(Denmark!C7="","",Denmark!C7)</f>
        <v>dheat</v>
      </c>
      <c r="C138" t="str">
        <f>IF(Denmark!D7="","",Denmark!D7)</f>
        <v/>
      </c>
      <c r="D138" t="str">
        <f>IF(Denmark!E7="","",Denmark!E7)</f>
        <v>all</v>
      </c>
      <c r="E138">
        <f>IF(Denmark!F7="","",Denmark!F7)</f>
        <v>2020</v>
      </c>
      <c r="F138"/>
      <c r="G138" s="183">
        <f>IF(Denmark!H7="","",Denmark!H7)</f>
        <v>19.979729692440433</v>
      </c>
      <c r="H138">
        <f>IF(Denmark!I7="","",Denmark!I7)</f>
        <v>0.3</v>
      </c>
    </row>
    <row r="139" spans="1:8">
      <c r="A139" t="str">
        <f>IF(Denmark!B8="","",Denmark!B8)</f>
        <v>DKE1</v>
      </c>
      <c r="B139" t="str">
        <f>IF(Denmark!C8="","",Denmark!C8)</f>
        <v>dheat</v>
      </c>
      <c r="C139" t="str">
        <f>IF(Denmark!D8="","",Denmark!D8)</f>
        <v/>
      </c>
      <c r="D139" t="str">
        <f>IF(Denmark!E8="","",Denmark!E8)</f>
        <v>all</v>
      </c>
      <c r="E139">
        <f>IF(Denmark!F8="","",Denmark!F8)</f>
        <v>2020</v>
      </c>
      <c r="F139"/>
      <c r="G139" s="183">
        <f>IF(Denmark!H8="","",Denmark!H8)</f>
        <v>17.077649072081471</v>
      </c>
      <c r="H139">
        <f>IF(Denmark!I8="","",Denmark!I8)</f>
        <v>0.3</v>
      </c>
    </row>
    <row r="140" spans="1:8">
      <c r="A140" t="str">
        <f>IF(Denmark!B9="","",Denmark!B9)</f>
        <v>DKW1</v>
      </c>
      <c r="B140" t="str">
        <f>IF(Denmark!C9="","",Denmark!C9)</f>
        <v>dheat</v>
      </c>
      <c r="C140" t="str">
        <f>IF(Denmark!D9="","",Denmark!D9)</f>
        <v/>
      </c>
      <c r="D140" t="str">
        <f>IF(Denmark!E9="","",Denmark!E9)</f>
        <v>all</v>
      </c>
      <c r="E140">
        <f>IF(Denmark!F9="","",Denmark!F9)</f>
        <v>2025</v>
      </c>
      <c r="F140"/>
      <c r="G140" s="183">
        <f>IF(Denmark!H9="","",Denmark!H9)</f>
        <v>20.030688780122464</v>
      </c>
      <c r="H140">
        <f>IF(Denmark!I9="","",Denmark!I9)</f>
        <v>0.3</v>
      </c>
    </row>
    <row r="141" spans="1:8">
      <c r="A141" t="str">
        <f>IF(Denmark!B10="","",Denmark!B10)</f>
        <v>DKE1</v>
      </c>
      <c r="B141" t="str">
        <f>IF(Denmark!C10="","",Denmark!C10)</f>
        <v>dheat</v>
      </c>
      <c r="C141" t="str">
        <f>IF(Denmark!D10="","",Denmark!D10)</f>
        <v/>
      </c>
      <c r="D141" t="str">
        <f>IF(Denmark!E10="","",Denmark!E10)</f>
        <v>all</v>
      </c>
      <c r="E141">
        <f>IF(Denmark!F10="","",Denmark!F10)</f>
        <v>2025</v>
      </c>
      <c r="F141"/>
      <c r="G141" s="183">
        <f>IF(Denmark!H10="","",Denmark!H10)</f>
        <v>17.39903680040787</v>
      </c>
      <c r="H141">
        <f>IF(Denmark!I10="","",Denmark!I10)</f>
        <v>0.3</v>
      </c>
    </row>
    <row r="142" spans="1:8">
      <c r="A142" t="str">
        <f>IF(Denmark!B11="","",Denmark!B11)</f>
        <v>DKW1</v>
      </c>
      <c r="B142" t="str">
        <f>IF(Denmark!C11="","",Denmark!C11)</f>
        <v>dheat</v>
      </c>
      <c r="C142" t="str">
        <f>IF(Denmark!D11="","",Denmark!D11)</f>
        <v/>
      </c>
      <c r="D142" t="str">
        <f>IF(Denmark!E11="","",Denmark!E11)</f>
        <v>all</v>
      </c>
      <c r="E142">
        <f>IF(Denmark!F11="","",Denmark!F11)</f>
        <v>2030</v>
      </c>
      <c r="F142"/>
      <c r="G142" s="183">
        <f>IF(Denmark!H11="","",Denmark!H11)</f>
        <v>19.905300634804135</v>
      </c>
      <c r="H142">
        <f>IF(Denmark!I11="","",Denmark!I11)</f>
        <v>0.3</v>
      </c>
    </row>
    <row r="143" spans="1:8">
      <c r="A143" t="str">
        <f>IF(Denmark!B12="","",Denmark!B12)</f>
        <v>DKE1</v>
      </c>
      <c r="B143" t="str">
        <f>IF(Denmark!C12="","",Denmark!C12)</f>
        <v>dheat</v>
      </c>
      <c r="C143" t="str">
        <f>IF(Denmark!D12="","",Denmark!D12)</f>
        <v/>
      </c>
      <c r="D143" t="str">
        <f>IF(Denmark!E12="","",Denmark!E12)</f>
        <v>all</v>
      </c>
      <c r="E143">
        <f>IF(Denmark!F12="","",Denmark!F12)</f>
        <v>2030</v>
      </c>
      <c r="F143"/>
      <c r="G143" s="183">
        <f>IF(Denmark!H12="","",Denmark!H12)</f>
        <v>17.441946930963606</v>
      </c>
      <c r="H143">
        <f>IF(Denmark!I12="","",Denmark!I12)</f>
        <v>0.3</v>
      </c>
    </row>
    <row r="144" spans="1:8">
      <c r="A144" t="str">
        <f>IF(Denmark!B13="","",Denmark!B13)</f>
        <v>DKW1</v>
      </c>
      <c r="B144" t="str">
        <f>IF(Denmark!C13="","",Denmark!C13)</f>
        <v>dheat</v>
      </c>
      <c r="C144" t="str">
        <f>IF(Denmark!D13="","",Denmark!D13)</f>
        <v/>
      </c>
      <c r="D144" t="str">
        <f>IF(Denmark!E13="","",Denmark!E13)</f>
        <v>all</v>
      </c>
      <c r="E144">
        <f>IF(Denmark!F13="","",Denmark!F13)</f>
        <v>2035</v>
      </c>
      <c r="F144"/>
      <c r="G144" s="183">
        <f>IF(Denmark!H13="","",Denmark!H13)</f>
        <v>19.664441809025575</v>
      </c>
      <c r="H144">
        <f>IF(Denmark!I13="","",Denmark!I13)</f>
        <v>0.3</v>
      </c>
    </row>
    <row r="145" spans="1:8">
      <c r="A145" t="str">
        <f>IF(Denmark!B14="","",Denmark!B14)</f>
        <v>DKE1</v>
      </c>
      <c r="B145" t="str">
        <f>IF(Denmark!C14="","",Denmark!C14)</f>
        <v>dheat</v>
      </c>
      <c r="C145" t="str">
        <f>IF(Denmark!D14="","",Denmark!D14)</f>
        <v/>
      </c>
      <c r="D145" t="str">
        <f>IF(Denmark!E14="","",Denmark!E14)</f>
        <v>all</v>
      </c>
      <c r="E145">
        <f>IF(Denmark!F14="","",Denmark!F14)</f>
        <v>2035</v>
      </c>
      <c r="F145"/>
      <c r="G145" s="183">
        <f>IF(Denmark!H14="","",Denmark!H14)</f>
        <v>17.427812122454487</v>
      </c>
      <c r="H145">
        <f>IF(Denmark!I14="","",Denmark!I14)</f>
        <v>0.3</v>
      </c>
    </row>
    <row r="146" spans="1:8">
      <c r="A146" t="str">
        <f>IF(Denmark!B15="","",Denmark!B15)</f>
        <v>DKW1</v>
      </c>
      <c r="B146" t="str">
        <f>IF(Denmark!C15="","",Denmark!C15)</f>
        <v>dheat</v>
      </c>
      <c r="C146" t="str">
        <f>IF(Denmark!D15="","",Denmark!D15)</f>
        <v/>
      </c>
      <c r="D146" t="str">
        <f>IF(Denmark!E15="","",Denmark!E15)</f>
        <v>all</v>
      </c>
      <c r="E146">
        <f>IF(Denmark!F15="","",Denmark!F15)</f>
        <v>2040</v>
      </c>
      <c r="F146"/>
      <c r="G146" s="183">
        <f>IF(Denmark!H15="","",Denmark!H15)</f>
        <v>19.42235977152265</v>
      </c>
      <c r="H146">
        <f>IF(Denmark!I15="","",Denmark!I15)</f>
        <v>0.3</v>
      </c>
    </row>
    <row r="147" spans="1:8">
      <c r="A147" t="str">
        <f>IF(Denmark!B16="","",Denmark!B16)</f>
        <v>DKE1</v>
      </c>
      <c r="B147" t="str">
        <f>IF(Denmark!C16="","",Denmark!C16)</f>
        <v>dheat</v>
      </c>
      <c r="C147" t="str">
        <f>IF(Denmark!D16="","",Denmark!D16)</f>
        <v/>
      </c>
      <c r="D147" t="str">
        <f>IF(Denmark!E16="","",Denmark!E16)</f>
        <v>all</v>
      </c>
      <c r="E147">
        <f>IF(Denmark!F16="","",Denmark!F16)</f>
        <v>2040</v>
      </c>
      <c r="F147"/>
      <c r="G147" s="183">
        <f>IF(Denmark!H16="","",Denmark!H16)</f>
        <v>17.400487291974336</v>
      </c>
      <c r="H147">
        <f>IF(Denmark!I16="","",Denmark!I16)</f>
        <v>0.3</v>
      </c>
    </row>
    <row r="148" spans="1:8">
      <c r="A148" t="s">
        <v>366</v>
      </c>
      <c r="D148"/>
      <c r="E148"/>
      <c r="F148"/>
      <c r="G148" s="183"/>
      <c r="H148"/>
    </row>
    <row r="149" spans="1:8">
      <c r="A149" t="str">
        <f>IF(Poland!B5="","",Poland!B5)</f>
        <v>PL00</v>
      </c>
      <c r="B149" t="str">
        <f>IF(Poland!C5="","",Poland!C5)</f>
        <v>dheat</v>
      </c>
      <c r="C149" t="str">
        <f>IF(Poland!D5="","",Poland!D5)</f>
        <v/>
      </c>
      <c r="D149" t="str">
        <f>IF(Poland!E5="","",Poland!E5)</f>
        <v>all</v>
      </c>
      <c r="E149">
        <f>IF(Poland!F5="","",Poland!F5)</f>
        <v>2015</v>
      </c>
      <c r="F149"/>
      <c r="G149" s="183">
        <f>IF(Poland!H5="","",Poland!H5)</f>
        <v>105.45685990381325</v>
      </c>
      <c r="H149">
        <f>IF(Poland!I5="","",Poland!I5)</f>
        <v>0.3</v>
      </c>
    </row>
    <row r="150" spans="1:8">
      <c r="A150" t="str">
        <f>IF(Poland!B6="","",Poland!B6)</f>
        <v>PL00</v>
      </c>
      <c r="B150" t="str">
        <f>IF(Poland!C6="","",Poland!C6)</f>
        <v>dheat</v>
      </c>
      <c r="C150" t="str">
        <f>IF(Poland!D6="","",Poland!D6)</f>
        <v/>
      </c>
      <c r="D150" t="str">
        <f>IF(Poland!E6="","",Poland!E6)</f>
        <v>all</v>
      </c>
      <c r="E150">
        <f>IF(Poland!F6="","",Poland!F6)</f>
        <v>2020</v>
      </c>
      <c r="F150"/>
      <c r="G150" s="183">
        <f>IF(Poland!H6="","",Poland!H6)</f>
        <v>104.49220515982954</v>
      </c>
      <c r="H150">
        <f>IF(Poland!I6="","",Poland!I6)</f>
        <v>0.3</v>
      </c>
    </row>
    <row r="151" spans="1:8">
      <c r="A151" t="str">
        <f>IF(Poland!B7="","",Poland!B7)</f>
        <v>PL00</v>
      </c>
      <c r="B151" t="str">
        <f>IF(Poland!C7="","",Poland!C7)</f>
        <v>dheat</v>
      </c>
      <c r="C151" t="str">
        <f>IF(Poland!D7="","",Poland!D7)</f>
        <v/>
      </c>
      <c r="D151" t="str">
        <f>IF(Poland!E7="","",Poland!E7)</f>
        <v>all</v>
      </c>
      <c r="E151">
        <f>IF(Poland!F7="","",Poland!F7)</f>
        <v>2025</v>
      </c>
      <c r="F151"/>
      <c r="G151" s="183">
        <f>IF(Poland!H7="","",Poland!H7)</f>
        <v>102.75008806987744</v>
      </c>
      <c r="H151">
        <f>IF(Poland!I7="","",Poland!I7)</f>
        <v>0.3</v>
      </c>
    </row>
    <row r="152" spans="1:8">
      <c r="A152" t="str">
        <f>IF(Poland!B8="","",Poland!B8)</f>
        <v>PL00</v>
      </c>
      <c r="B152" t="str">
        <f>IF(Poland!C8="","",Poland!C8)</f>
        <v>dheat</v>
      </c>
      <c r="C152" t="str">
        <f>IF(Poland!D8="","",Poland!D8)</f>
        <v/>
      </c>
      <c r="D152" t="str">
        <f>IF(Poland!E8="","",Poland!E8)</f>
        <v>all</v>
      </c>
      <c r="E152">
        <f>IF(Poland!F8="","",Poland!F8)</f>
        <v>2030</v>
      </c>
      <c r="F152"/>
      <c r="G152" s="183">
        <f>IF(Poland!H8="","",Poland!H8)</f>
        <v>100.82673774591613</v>
      </c>
      <c r="H152">
        <f>IF(Poland!I8="","",Poland!I8)</f>
        <v>0.3</v>
      </c>
    </row>
    <row r="153" spans="1:8">
      <c r="A153" t="str">
        <f>IF(Poland!B9="","",Poland!B9)</f>
        <v>PL00</v>
      </c>
      <c r="B153" t="str">
        <f>IF(Poland!C9="","",Poland!C9)</f>
        <v>dheat</v>
      </c>
      <c r="C153" t="str">
        <f>IF(Poland!D9="","",Poland!D9)</f>
        <v/>
      </c>
      <c r="D153" t="str">
        <f>IF(Poland!E9="","",Poland!E9)</f>
        <v>all</v>
      </c>
      <c r="E153">
        <f>IF(Poland!F9="","",Poland!F9)</f>
        <v>2035</v>
      </c>
      <c r="F153"/>
      <c r="G153" s="183">
        <f>IF(Poland!H9="","",Poland!H9)</f>
        <v>99.052832623670554</v>
      </c>
      <c r="H153">
        <f>IF(Poland!I9="","",Poland!I9)</f>
        <v>0.3</v>
      </c>
    </row>
    <row r="154" spans="1:8">
      <c r="A154" t="str">
        <f>IF(Poland!B10="","",Poland!B10)</f>
        <v>PL00</v>
      </c>
      <c r="B154" t="str">
        <f>IF(Poland!C10="","",Poland!C10)</f>
        <v>dheat</v>
      </c>
      <c r="C154" t="str">
        <f>IF(Poland!D10="","",Poland!D10)</f>
        <v/>
      </c>
      <c r="D154" t="str">
        <f>IF(Poland!E10="","",Poland!E10)</f>
        <v>all</v>
      </c>
      <c r="E154">
        <f>IF(Poland!F10="","",Poland!F10)</f>
        <v>2040</v>
      </c>
      <c r="F154"/>
      <c r="G154" s="183">
        <f>IF(Poland!H10="","",Poland!H10)</f>
        <v>97.218764524884861</v>
      </c>
      <c r="H154">
        <f>IF(Poland!I10="","",Poland!I10)</f>
        <v>0.3</v>
      </c>
    </row>
    <row r="155" spans="1:8">
      <c r="A155" t="s">
        <v>365</v>
      </c>
      <c r="D155"/>
      <c r="E155"/>
      <c r="F155"/>
      <c r="G155" s="183"/>
      <c r="H155"/>
    </row>
    <row r="156" spans="1:8">
      <c r="A156" t="str">
        <f>IF(Germany!B5="","",Germany!B5)</f>
        <v>DE00</v>
      </c>
      <c r="B156" t="str">
        <f>IF(Germany!C5="","",Germany!C5)</f>
        <v>dheat</v>
      </c>
      <c r="C156" t="str">
        <f>IF(Germany!D5="","",Germany!D5)</f>
        <v/>
      </c>
      <c r="D156" t="str">
        <f>IF(Germany!E5="","",Germany!E5)</f>
        <v>all</v>
      </c>
      <c r="E156">
        <f>IF(Germany!F5="","",Germany!F5)</f>
        <v>2015</v>
      </c>
      <c r="F156"/>
      <c r="G156" s="183">
        <f>IF(Germany!H5="","",Germany!H5)</f>
        <v>86.539254903375308</v>
      </c>
      <c r="H156">
        <f>IF(Germany!I5="","",Germany!I5)</f>
        <v>0.3</v>
      </c>
    </row>
    <row r="157" spans="1:8">
      <c r="A157" t="str">
        <f>IF(Germany!B6="","",Germany!B6)</f>
        <v>DE00</v>
      </c>
      <c r="B157" t="str">
        <f>IF(Germany!C6="","",Germany!C6)</f>
        <v>dheat</v>
      </c>
      <c r="C157" t="str">
        <f>IF(Germany!D6="","",Germany!D6)</f>
        <v/>
      </c>
      <c r="D157" t="str">
        <f>IF(Germany!E6="","",Germany!E6)</f>
        <v>all</v>
      </c>
      <c r="E157">
        <f>IF(Germany!F6="","",Germany!F6)</f>
        <v>2020</v>
      </c>
      <c r="F157"/>
      <c r="G157" s="183">
        <f>IF(Germany!H6="","",Germany!H6)</f>
        <v>79.922015873496861</v>
      </c>
      <c r="H157">
        <f>IF(Germany!I6="","",Germany!I6)</f>
        <v>0.3</v>
      </c>
    </row>
    <row r="158" spans="1:8">
      <c r="A158" t="str">
        <f>IF(Germany!B7="","",Germany!B7)</f>
        <v>DE00</v>
      </c>
      <c r="B158" t="str">
        <f>IF(Germany!C7="","",Germany!C7)</f>
        <v>dheat</v>
      </c>
      <c r="C158" t="str">
        <f>IF(Germany!D7="","",Germany!D7)</f>
        <v/>
      </c>
      <c r="D158" t="str">
        <f>IF(Germany!E7="","",Germany!E7)</f>
        <v>all</v>
      </c>
      <c r="E158">
        <f>IF(Germany!F7="","",Germany!F7)</f>
        <v>2025</v>
      </c>
      <c r="F158"/>
      <c r="G158" s="183">
        <f>IF(Germany!H7="","",Germany!H7)</f>
        <v>72.78434042135197</v>
      </c>
      <c r="H158">
        <f>IF(Germany!I7="","",Germany!I7)</f>
        <v>0.3</v>
      </c>
    </row>
    <row r="159" spans="1:8">
      <c r="A159" t="str">
        <f>IF(Germany!B8="","",Germany!B8)</f>
        <v>DE00</v>
      </c>
      <c r="B159" t="str">
        <f>IF(Germany!C8="","",Germany!C8)</f>
        <v>dheat</v>
      </c>
      <c r="C159" t="str">
        <f>IF(Germany!D8="","",Germany!D8)</f>
        <v/>
      </c>
      <c r="D159" t="str">
        <f>IF(Germany!E8="","",Germany!E8)</f>
        <v>all</v>
      </c>
      <c r="E159">
        <f>IF(Germany!F8="","",Germany!F8)</f>
        <v>2030</v>
      </c>
      <c r="F159"/>
      <c r="G159" s="183">
        <f>IF(Germany!H8="","",Germany!H8)</f>
        <v>65.586133790643629</v>
      </c>
      <c r="H159">
        <f>IF(Germany!I8="","",Germany!I8)</f>
        <v>0.3</v>
      </c>
    </row>
    <row r="160" spans="1:8">
      <c r="A160" t="str">
        <f>IF(Germany!B9="","",Germany!B9)</f>
        <v>DE00</v>
      </c>
      <c r="B160" t="str">
        <f>IF(Germany!C9="","",Germany!C9)</f>
        <v>dheat</v>
      </c>
      <c r="C160" t="str">
        <f>IF(Germany!D9="","",Germany!D9)</f>
        <v/>
      </c>
      <c r="D160" t="str">
        <f>IF(Germany!E9="","",Germany!E9)</f>
        <v>all</v>
      </c>
      <c r="E160">
        <f>IF(Germany!F9="","",Germany!F9)</f>
        <v>2035</v>
      </c>
      <c r="F160"/>
      <c r="G160" s="183">
        <f>IF(Germany!H9="","",Germany!H9)</f>
        <v>58.468851577600574</v>
      </c>
      <c r="H160">
        <f>IF(Germany!I9="","",Germany!I9)</f>
        <v>0.3</v>
      </c>
    </row>
    <row r="161" spans="1:8">
      <c r="A161" t="str">
        <f>IF(Germany!B10="","",Germany!B10)</f>
        <v>DE00</v>
      </c>
      <c r="B161" t="str">
        <f>IF(Germany!C10="","",Germany!C10)</f>
        <v>dheat</v>
      </c>
      <c r="C161" t="str">
        <f>IF(Germany!D10="","",Germany!D10)</f>
        <v/>
      </c>
      <c r="D161" t="str">
        <f>IF(Germany!E10="","",Germany!E10)</f>
        <v>all</v>
      </c>
      <c r="E161">
        <f>IF(Germany!F10="","",Germany!F10)</f>
        <v>2040</v>
      </c>
      <c r="F161"/>
      <c r="G161" s="183">
        <f>IF(Germany!H10="","",Germany!H10)</f>
        <v>51.601301370705272</v>
      </c>
      <c r="H161">
        <f>IF(Germany!I10="","",Germany!I10)</f>
        <v>0.3</v>
      </c>
    </row>
    <row r="162" spans="1:8">
      <c r="A162" t="s">
        <v>367</v>
      </c>
      <c r="D162"/>
      <c r="E162"/>
      <c r="F162"/>
      <c r="G162" s="183"/>
      <c r="H162"/>
    </row>
    <row r="163" spans="1:8">
      <c r="A163" t="str">
        <f>IF(Austria!B5="","",Austria!B5)</f>
        <v>AT00</v>
      </c>
      <c r="B163" t="str">
        <f>IF(Austria!C5="","",Austria!C5)</f>
        <v>dheat</v>
      </c>
      <c r="C163" t="str">
        <f>IF(Austria!D5="","",Austria!D5)</f>
        <v/>
      </c>
      <c r="D163" t="str">
        <f>IF(Austria!E5="","",Austria!E5)</f>
        <v>all</v>
      </c>
      <c r="E163">
        <f>IF(Austria!F5="","",Austria!F5)</f>
        <v>2015</v>
      </c>
      <c r="F163"/>
      <c r="G163" s="183">
        <f>IF(Austria!H5="","",Austria!H5)</f>
        <v>16.426349681898145</v>
      </c>
      <c r="H163">
        <f>IF(Austria!I5="","",Austria!I5)</f>
        <v>0.3</v>
      </c>
    </row>
    <row r="164" spans="1:8">
      <c r="A164" t="str">
        <f>IF(Austria!B6="","",Austria!B6)</f>
        <v>AT00</v>
      </c>
      <c r="B164" t="str">
        <f>IF(Austria!C6="","",Austria!C6)</f>
        <v>dheat</v>
      </c>
      <c r="C164" t="str">
        <f>IF(Austria!D6="","",Austria!D6)</f>
        <v/>
      </c>
      <c r="D164" t="str">
        <f>IF(Austria!E6="","",Austria!E6)</f>
        <v>all</v>
      </c>
      <c r="E164">
        <f>IF(Austria!F6="","",Austria!F6)</f>
        <v>2020</v>
      </c>
      <c r="F164"/>
      <c r="G164" s="183">
        <f>IF(Austria!H6="","",Austria!H6)</f>
        <v>18.616137306948623</v>
      </c>
      <c r="H164">
        <f>IF(Austria!I6="","",Austria!I6)</f>
        <v>0.3</v>
      </c>
    </row>
    <row r="165" spans="1:8">
      <c r="A165" t="str">
        <f>IF(Austria!B7="","",Austria!B7)</f>
        <v>AT00</v>
      </c>
      <c r="B165" t="str">
        <f>IF(Austria!C7="","",Austria!C7)</f>
        <v>dheat</v>
      </c>
      <c r="C165" t="str">
        <f>IF(Austria!D7="","",Austria!D7)</f>
        <v/>
      </c>
      <c r="D165" t="str">
        <f>IF(Austria!E7="","",Austria!E7)</f>
        <v>all</v>
      </c>
      <c r="E165">
        <f>IF(Austria!F7="","",Austria!F7)</f>
        <v>2025</v>
      </c>
      <c r="F165"/>
      <c r="G165" s="183">
        <f>IF(Austria!H7="","",Austria!H7)</f>
        <v>17.784725449979884</v>
      </c>
      <c r="H165">
        <f>IF(Austria!I7="","",Austria!I7)</f>
        <v>0.3</v>
      </c>
    </row>
    <row r="166" spans="1:8">
      <c r="A166" t="str">
        <f>IF(Austria!B8="","",Austria!B8)</f>
        <v>AT00</v>
      </c>
      <c r="B166" t="str">
        <f>IF(Austria!C8="","",Austria!C8)</f>
        <v>dheat</v>
      </c>
      <c r="C166" t="str">
        <f>IF(Austria!D8="","",Austria!D8)</f>
        <v/>
      </c>
      <c r="D166" t="str">
        <f>IF(Austria!E8="","",Austria!E8)</f>
        <v>all</v>
      </c>
      <c r="E166">
        <f>IF(Austria!F8="","",Austria!F8)</f>
        <v>2030</v>
      </c>
      <c r="F166"/>
      <c r="G166" s="183">
        <f>IF(Austria!H8="","",Austria!H8)</f>
        <v>18.619691469103795</v>
      </c>
      <c r="H166">
        <f>IF(Austria!I8="","",Austria!I8)</f>
        <v>0.3</v>
      </c>
    </row>
    <row r="167" spans="1:8">
      <c r="A167" t="str">
        <f>IF(Austria!B9="","",Austria!B9)</f>
        <v>AT00</v>
      </c>
      <c r="B167" t="str">
        <f>IF(Austria!C9="","",Austria!C9)</f>
        <v>dheat</v>
      </c>
      <c r="C167" t="str">
        <f>IF(Austria!D9="","",Austria!D9)</f>
        <v/>
      </c>
      <c r="D167" t="str">
        <f>IF(Austria!E9="","",Austria!E9)</f>
        <v>all</v>
      </c>
      <c r="E167">
        <f>IF(Austria!F9="","",Austria!F9)</f>
        <v>2035</v>
      </c>
      <c r="F167"/>
      <c r="G167" s="183">
        <f>IF(Austria!H9="","",Austria!H9)</f>
        <v>19.313145036635493</v>
      </c>
      <c r="H167">
        <f>IF(Austria!I9="","",Austria!I9)</f>
        <v>0.3</v>
      </c>
    </row>
    <row r="168" spans="1:8">
      <c r="A168" t="str">
        <f>IF(Austria!B10="","",Austria!B10)</f>
        <v>AT00</v>
      </c>
      <c r="B168" t="str">
        <f>IF(Austria!C10="","",Austria!C10)</f>
        <v>dheat</v>
      </c>
      <c r="C168" t="str">
        <f>IF(Austria!D10="","",Austria!D10)</f>
        <v/>
      </c>
      <c r="D168" t="str">
        <f>IF(Austria!E10="","",Austria!E10)</f>
        <v>all</v>
      </c>
      <c r="E168">
        <f>IF(Austria!F10="","",Austria!F10)</f>
        <v>2040</v>
      </c>
      <c r="F168"/>
      <c r="G168" s="183">
        <f>IF(Austria!H10="","",Austria!H10)</f>
        <v>19.957403771002866</v>
      </c>
      <c r="H168">
        <f>IF(Austria!I10="","",Austria!I10)</f>
        <v>0.3</v>
      </c>
    </row>
    <row r="169" spans="1:8">
      <c r="D169"/>
      <c r="E169"/>
      <c r="F169"/>
      <c r="G169"/>
      <c r="H169"/>
    </row>
    <row r="170" spans="1:8">
      <c r="D170"/>
      <c r="E170"/>
      <c r="F170"/>
      <c r="G170"/>
      <c r="H170"/>
    </row>
    <row r="171" spans="1:8">
      <c r="D171"/>
      <c r="E171"/>
      <c r="F171"/>
      <c r="G171"/>
      <c r="H17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3DFC-B669-4ADC-BB13-DD51619C88F8}">
  <sheetPr>
    <tabColor theme="3" tint="0.89999084444715716"/>
  </sheetPr>
  <dimension ref="A1:AZ184"/>
  <sheetViews>
    <sheetView zoomScale="75" zoomScaleNormal="90" workbookViewId="0">
      <pane xSplit="3" topLeftCell="D1" activePane="topRight" state="frozen"/>
      <selection pane="topRight" activeCell="O17" sqref="O17:P25"/>
    </sheetView>
  </sheetViews>
  <sheetFormatPr defaultColWidth="8.85546875" defaultRowHeight="15"/>
  <cols>
    <col min="1" max="2" width="8.85546875" style="108"/>
    <col min="3" max="3" width="19" style="108" customWidth="1"/>
    <col min="4" max="4" width="12.28515625" style="108" customWidth="1"/>
    <col min="5" max="5" width="12.5703125" style="108" customWidth="1"/>
    <col min="6" max="6" width="9.140625" style="108" customWidth="1"/>
    <col min="7" max="7" width="16.5703125" style="108" customWidth="1"/>
    <col min="8" max="8" width="11.5703125" style="108" customWidth="1"/>
    <col min="9" max="15" width="9.140625" style="108" customWidth="1"/>
    <col min="16" max="16" width="13.28515625" style="108" customWidth="1"/>
    <col min="17" max="20" width="8.85546875" style="108"/>
    <col min="21" max="21" width="10.85546875" style="108" customWidth="1"/>
    <col min="22" max="32" width="8.85546875" style="108"/>
    <col min="33" max="36" width="8.5703125" style="109" customWidth="1"/>
    <col min="37" max="16384" width="8.85546875" style="108"/>
  </cols>
  <sheetData>
    <row r="1" spans="2:21" ht="15.75" thickBot="1"/>
    <row r="2" spans="2:21" ht="15.75" thickBot="1">
      <c r="B2" s="79" t="s">
        <v>1</v>
      </c>
      <c r="C2"/>
      <c r="D2"/>
      <c r="E2"/>
      <c r="F2"/>
      <c r="G2"/>
      <c r="H2"/>
      <c r="I2"/>
    </row>
    <row r="3" spans="2:21">
      <c r="B3"/>
      <c r="C3"/>
      <c r="D3"/>
      <c r="E3"/>
      <c r="F3"/>
      <c r="G3"/>
      <c r="H3"/>
      <c r="I3"/>
    </row>
    <row r="4" spans="2:21">
      <c r="B4" s="67" t="s">
        <v>171</v>
      </c>
      <c r="C4" s="67" t="s">
        <v>172</v>
      </c>
      <c r="D4" s="67" t="s">
        <v>173</v>
      </c>
      <c r="E4" s="67" t="s">
        <v>174</v>
      </c>
      <c r="F4" s="67" t="s">
        <v>175</v>
      </c>
      <c r="G4" s="67" t="s">
        <v>342</v>
      </c>
      <c r="H4" s="67" t="s">
        <v>302</v>
      </c>
      <c r="I4" s="68" t="s">
        <v>176</v>
      </c>
      <c r="L4" s="108" t="s">
        <v>353</v>
      </c>
    </row>
    <row r="5" spans="2:21">
      <c r="B5" s="69" t="s">
        <v>177</v>
      </c>
      <c r="C5" s="70" t="s">
        <v>304</v>
      </c>
      <c r="D5" s="70" t="s">
        <v>309</v>
      </c>
      <c r="E5" s="70" t="s">
        <v>318</v>
      </c>
      <c r="F5" s="71">
        <v>2015</v>
      </c>
      <c r="G5" s="71" t="s">
        <v>343</v>
      </c>
      <c r="H5" s="150">
        <f t="array" ref="H5">SUM($P$6:$U$13*($P$5:$U$5=$F5)*($O$6:$O$13=$D5)) / 1000</f>
        <v>7.0736040298090908</v>
      </c>
      <c r="I5" s="80">
        <v>0.3</v>
      </c>
      <c r="L5" s="108" t="str">
        <f>_xlfn.XLOOKUP(D5,$O$18:$O$25,$P$18:$P$25)</f>
        <v>HKI</v>
      </c>
      <c r="P5" s="122">
        <v>2015</v>
      </c>
      <c r="Q5" s="122">
        <v>2020</v>
      </c>
      <c r="R5" s="122">
        <v>2025</v>
      </c>
      <c r="S5" s="122">
        <v>2030</v>
      </c>
      <c r="T5" s="122">
        <v>2035</v>
      </c>
      <c r="U5" s="122">
        <v>2040</v>
      </c>
    </row>
    <row r="6" spans="2:21">
      <c r="B6" s="74" t="s">
        <v>177</v>
      </c>
      <c r="C6" s="75" t="s">
        <v>304</v>
      </c>
      <c r="D6" s="75" t="s">
        <v>310</v>
      </c>
      <c r="E6" s="75" t="s">
        <v>318</v>
      </c>
      <c r="F6" s="76">
        <v>2015</v>
      </c>
      <c r="G6" s="76" t="s">
        <v>343</v>
      </c>
      <c r="H6" s="151">
        <f t="array" ref="H6">SUM($P$6:$U$13*($P$5:$U$5=$F6)*($O$6:$O$13=$D6)) / 1000</f>
        <v>2.3605086565648401</v>
      </c>
      <c r="I6" s="78">
        <f>I5</f>
        <v>0.3</v>
      </c>
      <c r="L6" s="108" t="str">
        <f t="shared" ref="L6:L52" si="0">_xlfn.XLOOKUP(D6,$O$18:$O$25,$P$18:$P$25)</f>
        <v>HKI</v>
      </c>
      <c r="O6" s="122" t="s">
        <v>309</v>
      </c>
      <c r="P6" s="110">
        <f>SUMIFS(AD$79:AD$136, $A$79:$A$136,$O6,    $C$79:$C$136,"Produced DH")</f>
        <v>7073.6040298090911</v>
      </c>
      <c r="Q6" s="110">
        <f>SUMIFS(AE$79:AE$136, $A$79:$A$136,$O6,    $C$79:$C$136,"Produced DH")</f>
        <v>7088.8236484949975</v>
      </c>
      <c r="R6" s="110">
        <f>SUMIFS(AF$79:AF$136, $A$79:$A$136,$O6,    $C$79:$C$136,"Produced DH")</f>
        <v>6894.0564264295008</v>
      </c>
      <c r="S6" s="110">
        <f>SUMIFS(AG$79:AG$136, $A$79:$A$136,$O6,    $C$79:$C$136,"Produced DH")</f>
        <v>6748.807548879965</v>
      </c>
      <c r="T6" s="110">
        <f>SUMIFS(AH$79:AH$136, $A$79:$A$136,$O6,    $C$79:$C$136,"Produced DH")</f>
        <v>6546.6201846226732</v>
      </c>
      <c r="U6" s="110">
        <f>SUMIFS(AI$79:AI$136, $A$79:$A$136,$O6,    $C$79:$C$136,"Produced DH")</f>
        <v>6342.2362385433444</v>
      </c>
    </row>
    <row r="7" spans="2:21">
      <c r="B7" s="69" t="s">
        <v>177</v>
      </c>
      <c r="C7" s="70" t="s">
        <v>304</v>
      </c>
      <c r="D7" s="70" t="s">
        <v>311</v>
      </c>
      <c r="E7" s="70" t="s">
        <v>318</v>
      </c>
      <c r="F7" s="71">
        <v>2015</v>
      </c>
      <c r="G7" s="71" t="s">
        <v>343</v>
      </c>
      <c r="H7" s="150">
        <f t="array" ref="H7">SUM($P$6:$U$13*($P$5:$U$5=$F7)*($O$6:$O$13=$D7)) / 1000</f>
        <v>1.8955076088234648</v>
      </c>
      <c r="I7" s="73">
        <f t="shared" ref="I7:I20" si="1">I6</f>
        <v>0.3</v>
      </c>
      <c r="L7" s="108" t="str">
        <f t="shared" si="0"/>
        <v>HKI</v>
      </c>
      <c r="O7" s="122" t="s">
        <v>310</v>
      </c>
      <c r="P7" s="110">
        <f>SUMIFS(AD$79:AD$136, $A$79:$A$136,$O7,    $C$79:$C$136,"Produced DH")</f>
        <v>2360.5086565648403</v>
      </c>
      <c r="Q7" s="110">
        <f>SUMIFS(AE$79:AE$136, $A$79:$A$136,$O7,    $C$79:$C$136,"Produced DH")</f>
        <v>2367.4261149782324</v>
      </c>
      <c r="R7" s="110">
        <f>SUMIFS(AF$79:AF$136, $A$79:$A$136,$O7,    $C$79:$C$136,"Produced DH")</f>
        <v>2311.6653064160796</v>
      </c>
      <c r="S7" s="110">
        <f>SUMIFS(AG$79:AG$136, $A$79:$A$136,$O7,    $C$79:$C$136,"Produced DH")</f>
        <v>2288.9008612304806</v>
      </c>
      <c r="T7" s="110">
        <f>SUMIFS(AH$79:AH$136, $A$79:$A$136,$O7,    $C$79:$C$136,"Produced DH")</f>
        <v>2234.2092575747033</v>
      </c>
      <c r="U7" s="110">
        <f>SUMIFS(AI$79:AI$136, $A$79:$A$136,$O7,    $C$79:$C$136,"Produced DH")</f>
        <v>2176.9856112614489</v>
      </c>
    </row>
    <row r="8" spans="2:21">
      <c r="B8" s="74" t="s">
        <v>177</v>
      </c>
      <c r="C8" s="75" t="s">
        <v>304</v>
      </c>
      <c r="D8" s="75" t="s">
        <v>312</v>
      </c>
      <c r="E8" s="75" t="s">
        <v>318</v>
      </c>
      <c r="F8" s="76">
        <v>2015</v>
      </c>
      <c r="G8" s="76" t="s">
        <v>343</v>
      </c>
      <c r="H8" s="151">
        <f t="array" ref="H8">SUM($P$6:$U$13*($P$5:$U$5=$F8)*($O$6:$O$13=$D8)) / 1000</f>
        <v>2.2187058356179667</v>
      </c>
      <c r="I8" s="78">
        <f t="shared" si="1"/>
        <v>0.3</v>
      </c>
      <c r="L8" s="108" t="str">
        <f t="shared" si="0"/>
        <v>ROF</v>
      </c>
      <c r="O8" s="122" t="s">
        <v>311</v>
      </c>
      <c r="P8" s="110">
        <f>SUMIFS(AD$79:AD$136, $A$79:$A$136,$O8,    $C$79:$C$136,"Produced DH")</f>
        <v>1895.5076088234648</v>
      </c>
      <c r="Q8" s="110">
        <f>SUMIFS(AE$79:AE$136, $A$79:$A$136,$O8,    $C$79:$C$136,"Produced DH")</f>
        <v>1944.3747944752376</v>
      </c>
      <c r="R8" s="110">
        <f>SUMIFS(AF$79:AF$136, $A$79:$A$136,$O8,    $C$79:$C$136,"Produced DH")</f>
        <v>1953.4342636259119</v>
      </c>
      <c r="S8" s="110">
        <f>SUMIFS(AG$79:AG$136, $A$79:$A$136,$O8,    $C$79:$C$136,"Produced DH")</f>
        <v>1935.6427810578116</v>
      </c>
      <c r="T8" s="110">
        <f>SUMIFS(AH$79:AH$136, $A$79:$A$136,$O8,    $C$79:$C$136,"Produced DH")</f>
        <v>1891.3769365150044</v>
      </c>
      <c r="U8" s="110">
        <f>SUMIFS(AI$79:AI$136, $A$79:$A$136,$O8,    $C$79:$C$136,"Produced DH")</f>
        <v>1844.7875411775885</v>
      </c>
    </row>
    <row r="9" spans="2:21">
      <c r="B9" s="70" t="s">
        <v>177</v>
      </c>
      <c r="C9" s="70" t="s">
        <v>304</v>
      </c>
      <c r="D9" s="70" t="s">
        <v>313</v>
      </c>
      <c r="E9" s="70" t="s">
        <v>318</v>
      </c>
      <c r="F9" s="71">
        <v>2015</v>
      </c>
      <c r="G9" s="71" t="s">
        <v>343</v>
      </c>
      <c r="H9" s="150">
        <f t="array" ref="H9">SUM($P$6:$U$13*($P$5:$U$5=$F9)*($O$6:$O$13=$D9)) / 1000</f>
        <v>2.2249793654609449</v>
      </c>
      <c r="I9" s="73">
        <f t="shared" si="1"/>
        <v>0.3</v>
      </c>
      <c r="L9" s="108" t="str">
        <f t="shared" si="0"/>
        <v>ROF</v>
      </c>
      <c r="O9" s="122" t="s">
        <v>312</v>
      </c>
      <c r="P9" s="110">
        <f>SUMIFS(AD$79:AD$136, $A$79:$A$136,$O9,    $C$79:$C$136,"Produced DH")</f>
        <v>2218.7058356179668</v>
      </c>
      <c r="Q9" s="110">
        <f>SUMIFS(AE$79:AE$136, $A$79:$A$136,$O9,    $C$79:$C$136,"Produced DH")</f>
        <v>2096.4712483910621</v>
      </c>
      <c r="R9" s="110">
        <f>SUMIFS(AF$79:AF$136, $A$79:$A$136,$O9,    $C$79:$C$136,"Produced DH")</f>
        <v>2036.5952811144407</v>
      </c>
      <c r="S9" s="110">
        <f>SUMIFS(AG$79:AG$136, $A$79:$A$136,$O9,    $C$79:$C$136,"Produced DH")</f>
        <v>2020.727933823787</v>
      </c>
      <c r="T9" s="110">
        <f>SUMIFS(AH$79:AH$136, $A$79:$A$136,$O9,    $C$79:$C$136,"Produced DH")</f>
        <v>1989.1835577382728</v>
      </c>
      <c r="U9" s="110">
        <f>SUMIFS(AI$79:AI$136, $A$79:$A$136,$O9,    $C$79:$C$136,"Produced DH")</f>
        <v>1956.8543870152489</v>
      </c>
    </row>
    <row r="10" spans="2:21">
      <c r="B10" s="75" t="s">
        <v>177</v>
      </c>
      <c r="C10" s="75" t="s">
        <v>304</v>
      </c>
      <c r="D10" s="75" t="s">
        <v>314</v>
      </c>
      <c r="E10" s="75" t="s">
        <v>318</v>
      </c>
      <c r="F10" s="76">
        <v>2015</v>
      </c>
      <c r="G10" s="76" t="s">
        <v>343</v>
      </c>
      <c r="H10" s="151">
        <f t="array" ref="H10">SUM($P$6:$U$13*($P$5:$U$5=$F10)*($O$6:$O$13=$D10)) / 1000</f>
        <v>1.7214878369103304</v>
      </c>
      <c r="I10" s="78">
        <f t="shared" si="1"/>
        <v>0.3</v>
      </c>
      <c r="L10" s="108" t="str">
        <f t="shared" si="0"/>
        <v>ROF</v>
      </c>
      <c r="O10" s="122" t="s">
        <v>313</v>
      </c>
      <c r="P10" s="110">
        <f>SUMIFS(AD$79:AD$136, $A$79:$A$136,$O10,    $C$79:$C$136,"Produced DH")</f>
        <v>2224.9793654609448</v>
      </c>
      <c r="Q10" s="110">
        <f>SUMIFS(AE$79:AE$136, $A$79:$A$136,$O10,    $C$79:$C$136,"Produced DH")</f>
        <v>2234.3767759148409</v>
      </c>
      <c r="R10" s="110">
        <f>SUMIFS(AF$79:AF$136, $A$79:$A$136,$O10,    $C$79:$C$136,"Produced DH")</f>
        <v>2230.3641536293949</v>
      </c>
      <c r="S10" s="110">
        <f>SUMIFS(AG$79:AG$136, $A$79:$A$136,$O10,    $C$79:$C$136,"Produced DH")</f>
        <v>2216.3180096673004</v>
      </c>
      <c r="T10" s="110">
        <f>SUMIFS(AH$79:AH$136, $A$79:$A$136,$O10,    $C$79:$C$136,"Produced DH")</f>
        <v>2178.586806216093</v>
      </c>
      <c r="U10" s="110">
        <f>SUMIFS(AI$79:AI$136, $A$79:$A$136,$O10,    $C$79:$C$136,"Produced DH")</f>
        <v>2139.2936893704036</v>
      </c>
    </row>
    <row r="11" spans="2:21">
      <c r="B11" s="70" t="s">
        <v>177</v>
      </c>
      <c r="C11" s="70" t="s">
        <v>304</v>
      </c>
      <c r="D11" s="70" t="s">
        <v>315</v>
      </c>
      <c r="E11" s="70" t="s">
        <v>318</v>
      </c>
      <c r="F11" s="71">
        <v>2015</v>
      </c>
      <c r="G11" s="71" t="s">
        <v>343</v>
      </c>
      <c r="H11" s="150">
        <f t="array" ref="H11">SUM($P$6:$U$13*($P$5:$U$5=$F11)*($O$6:$O$13=$D11)) / 1000</f>
        <v>1.1858506273683131</v>
      </c>
      <c r="I11" s="73">
        <f t="shared" si="1"/>
        <v>0.3</v>
      </c>
      <c r="L11" s="108" t="str">
        <f t="shared" si="0"/>
        <v>ROF</v>
      </c>
      <c r="O11" s="122" t="s">
        <v>314</v>
      </c>
      <c r="P11" s="110">
        <f>SUMIFS(AD$79:AD$136, $A$79:$A$136,$O11,    $C$79:$C$136,"Produced DH")</f>
        <v>1721.4878369103303</v>
      </c>
      <c r="Q11" s="110">
        <f>SUMIFS(AE$79:AE$136, $A$79:$A$136,$O11,    $C$79:$C$136,"Produced DH")</f>
        <v>1821.833974895485</v>
      </c>
      <c r="R11" s="110">
        <f>SUMIFS(AF$79:AF$136, $A$79:$A$136,$O11,    $C$79:$C$136,"Produced DH")</f>
        <v>1917.4791297331569</v>
      </c>
      <c r="S11" s="110">
        <f>SUMIFS(AG$79:AG$136, $A$79:$A$136,$O11,    $C$79:$C$136,"Produced DH")</f>
        <v>1949.7430328172036</v>
      </c>
      <c r="T11" s="110">
        <f>SUMIFS(AH$79:AH$136, $A$79:$A$136,$O11,    $C$79:$C$136,"Produced DH")</f>
        <v>1965.1785616096522</v>
      </c>
      <c r="U11" s="110">
        <f>SUMIFS(AI$79:AI$136, $A$79:$A$136,$O11,    $C$79:$C$136,"Produced DH")</f>
        <v>1979.8147930820139</v>
      </c>
    </row>
    <row r="12" spans="2:21">
      <c r="B12" s="75" t="s">
        <v>177</v>
      </c>
      <c r="C12" s="75" t="s">
        <v>304</v>
      </c>
      <c r="D12" s="75" t="s">
        <v>316</v>
      </c>
      <c r="E12" s="75" t="s">
        <v>318</v>
      </c>
      <c r="F12" s="76">
        <v>2015</v>
      </c>
      <c r="G12" s="76" t="s">
        <v>343</v>
      </c>
      <c r="H12" s="151">
        <f t="array" ref="H12">SUM($P$6:$U$13*($P$5:$U$5=$F12)*($O$6:$O$13=$D12)) / 1000</f>
        <v>19.449074188534723</v>
      </c>
      <c r="I12" s="78">
        <f t="shared" si="1"/>
        <v>0.3</v>
      </c>
      <c r="L12" s="108" t="str">
        <f t="shared" si="0"/>
        <v>ROF</v>
      </c>
      <c r="O12" s="122" t="s">
        <v>315</v>
      </c>
      <c r="P12" s="110">
        <f>SUMIFS(AD$79:AD$136, $A$79:$A$136,$O12,    $C$79:$C$136,"Produced DH")</f>
        <v>1185.8506273683131</v>
      </c>
      <c r="Q12" s="110">
        <f>SUMIFS(AE$79:AE$136, $A$79:$A$136,$O12,    $C$79:$C$136,"Produced DH")</f>
        <v>1204.1924563777714</v>
      </c>
      <c r="R12" s="110">
        <f>SUMIFS(AF$79:AF$136, $A$79:$A$136,$O12,    $C$79:$C$136,"Produced DH")</f>
        <v>1212.5035647713862</v>
      </c>
      <c r="S12" s="110">
        <f>SUMIFS(AG$79:AG$136, $A$79:$A$136,$O12,    $C$79:$C$136,"Produced DH")</f>
        <v>1218.4677184417412</v>
      </c>
      <c r="T12" s="110">
        <f>SUMIFS(AH$79:AH$136, $A$79:$A$136,$O12,    $C$79:$C$136,"Produced DH")</f>
        <v>1215.2905512460432</v>
      </c>
      <c r="U12" s="110">
        <f>SUMIFS(AI$79:AI$136, $A$79:$A$136,$O12,    $C$79:$C$136,"Produced DH")</f>
        <v>1211.6176866883288</v>
      </c>
    </row>
    <row r="13" spans="2:21">
      <c r="B13" s="69" t="s">
        <v>177</v>
      </c>
      <c r="C13" s="70" t="s">
        <v>304</v>
      </c>
      <c r="D13" s="70" t="s">
        <v>309</v>
      </c>
      <c r="E13" s="70" t="s">
        <v>318</v>
      </c>
      <c r="F13" s="71">
        <f>F5+5</f>
        <v>2020</v>
      </c>
      <c r="G13" s="71" t="s">
        <v>343</v>
      </c>
      <c r="H13" s="150" cm="1">
        <f t="array" ref="H13">SUM($P$6:$U$13*($P$5:$U$5=$F13)*($O$6:$O$13=$D13)) / 1000</f>
        <v>7.0888236484949978</v>
      </c>
      <c r="I13" s="135">
        <f t="shared" si="1"/>
        <v>0.3</v>
      </c>
      <c r="L13" s="108" t="str">
        <f t="shared" si="0"/>
        <v>HKI</v>
      </c>
      <c r="O13" s="122" t="s">
        <v>316</v>
      </c>
      <c r="P13" s="110">
        <f>SUMIFS(AD$79:AD$136, $A$79:$A$136,$O13,    $C$79:$C$136,"Produced DH")</f>
        <v>19449.074188534723</v>
      </c>
      <c r="Q13" s="110">
        <f>SUMIFS(AE$79:AE$136, $A$79:$A$136,$O13,    $C$79:$C$136,"Produced DH")</f>
        <v>19732.749807732995</v>
      </c>
      <c r="R13" s="110">
        <f>SUMIFS(AF$79:AF$136, $A$79:$A$136,$O13,    $C$79:$C$136,"Produced DH")</f>
        <v>20045.262703680852</v>
      </c>
      <c r="S13" s="110">
        <f>SUMIFS(AG$79:AG$136, $A$79:$A$136,$O13,    $C$79:$C$136,"Produced DH")</f>
        <v>20388.968037364852</v>
      </c>
      <c r="T13" s="110">
        <f>SUMIFS(AH$79:AH$136, $A$79:$A$136,$O13,    $C$79:$C$136,"Produced DH")</f>
        <v>20381.214206217508</v>
      </c>
      <c r="U13" s="110">
        <f>SUMIFS(AI$79:AI$136, $A$79:$A$136,$O13,    $C$79:$C$136,"Produced DH")</f>
        <v>20244.298555893831</v>
      </c>
    </row>
    <row r="14" spans="2:21">
      <c r="B14" s="74" t="s">
        <v>177</v>
      </c>
      <c r="C14" s="75" t="s">
        <v>304</v>
      </c>
      <c r="D14" s="75" t="s">
        <v>310</v>
      </c>
      <c r="E14" s="75" t="s">
        <v>318</v>
      </c>
      <c r="F14" s="76">
        <f t="shared" ref="F14:F28" si="2">F6+5</f>
        <v>2020</v>
      </c>
      <c r="G14" s="76" t="s">
        <v>343</v>
      </c>
      <c r="H14" s="151">
        <f t="array" ref="H14">SUM($P$6:$U$13*($P$5:$U$5=$F14)*($O$6:$O$13=$D14)) / 1000</f>
        <v>2.3674261149782323</v>
      </c>
      <c r="I14" s="78">
        <f t="shared" si="1"/>
        <v>0.3</v>
      </c>
      <c r="L14" s="108" t="str">
        <f t="shared" si="0"/>
        <v>HKI</v>
      </c>
    </row>
    <row r="15" spans="2:21">
      <c r="B15" s="69" t="s">
        <v>177</v>
      </c>
      <c r="C15" s="70" t="s">
        <v>304</v>
      </c>
      <c r="D15" s="70" t="s">
        <v>311</v>
      </c>
      <c r="E15" s="70" t="s">
        <v>318</v>
      </c>
      <c r="F15" s="71">
        <f t="shared" si="2"/>
        <v>2020</v>
      </c>
      <c r="G15" s="71" t="s">
        <v>343</v>
      </c>
      <c r="H15" s="150">
        <f t="array" ref="H15">SUM($P$6:$U$13*($P$5:$U$5=$F15)*($O$6:$O$13=$D15)) / 1000</f>
        <v>1.9443747944752376</v>
      </c>
      <c r="I15" s="73">
        <f t="shared" si="1"/>
        <v>0.3</v>
      </c>
      <c r="L15" s="108" t="str">
        <f t="shared" si="0"/>
        <v>HKI</v>
      </c>
    </row>
    <row r="16" spans="2:21">
      <c r="B16" s="74" t="s">
        <v>177</v>
      </c>
      <c r="C16" s="75" t="s">
        <v>304</v>
      </c>
      <c r="D16" s="75" t="s">
        <v>312</v>
      </c>
      <c r="E16" s="75" t="s">
        <v>318</v>
      </c>
      <c r="F16" s="76">
        <f t="shared" si="2"/>
        <v>2020</v>
      </c>
      <c r="G16" s="76" t="s">
        <v>343</v>
      </c>
      <c r="H16" s="151">
        <f t="array" ref="H16">SUM($P$6:$U$13*($P$5:$U$5=$F16)*($O$6:$O$13=$D16)) / 1000</f>
        <v>2.0964712483910621</v>
      </c>
      <c r="I16" s="78">
        <f t="shared" si="1"/>
        <v>0.3</v>
      </c>
      <c r="L16" s="108" t="str">
        <f t="shared" si="0"/>
        <v>ROF</v>
      </c>
    </row>
    <row r="17" spans="2:16">
      <c r="B17" s="70" t="s">
        <v>177</v>
      </c>
      <c r="C17" s="70" t="s">
        <v>304</v>
      </c>
      <c r="D17" s="70" t="s">
        <v>313</v>
      </c>
      <c r="E17" s="70" t="s">
        <v>318</v>
      </c>
      <c r="F17" s="71">
        <f t="shared" si="2"/>
        <v>2020</v>
      </c>
      <c r="G17" s="71" t="s">
        <v>343</v>
      </c>
      <c r="H17" s="150">
        <f t="array" ref="H17">SUM($P$6:$U$13*($P$5:$U$5=$F17)*($O$6:$O$13=$D17)) / 1000</f>
        <v>2.234376775914841</v>
      </c>
      <c r="I17" s="73">
        <f t="shared" si="1"/>
        <v>0.3</v>
      </c>
      <c r="L17" s="108" t="str">
        <f t="shared" si="0"/>
        <v>ROF</v>
      </c>
      <c r="O17" s="122" t="s">
        <v>355</v>
      </c>
      <c r="P17" s="122" t="s">
        <v>353</v>
      </c>
    </row>
    <row r="18" spans="2:16">
      <c r="B18" s="75" t="s">
        <v>177</v>
      </c>
      <c r="C18" s="75" t="s">
        <v>304</v>
      </c>
      <c r="D18" s="75" t="s">
        <v>314</v>
      </c>
      <c r="E18" s="75" t="s">
        <v>318</v>
      </c>
      <c r="F18" s="76">
        <f t="shared" si="2"/>
        <v>2020</v>
      </c>
      <c r="G18" s="76" t="s">
        <v>343</v>
      </c>
      <c r="H18" s="151">
        <f t="array" ref="H18">SUM($P$6:$U$13*($P$5:$U$5=$F18)*($O$6:$O$13=$D18)) / 1000</f>
        <v>1.821833974895485</v>
      </c>
      <c r="I18" s="78">
        <f t="shared" si="1"/>
        <v>0.3</v>
      </c>
      <c r="L18" s="108" t="str">
        <f t="shared" si="0"/>
        <v>ROF</v>
      </c>
      <c r="O18" s="108" t="s">
        <v>309</v>
      </c>
      <c r="P18" s="108" t="s">
        <v>309</v>
      </c>
    </row>
    <row r="19" spans="2:16">
      <c r="B19" s="70" t="s">
        <v>177</v>
      </c>
      <c r="C19" s="70" t="s">
        <v>304</v>
      </c>
      <c r="D19" s="70" t="s">
        <v>315</v>
      </c>
      <c r="E19" s="70" t="s">
        <v>318</v>
      </c>
      <c r="F19" s="71">
        <f t="shared" si="2"/>
        <v>2020</v>
      </c>
      <c r="G19" s="71" t="s">
        <v>343</v>
      </c>
      <c r="H19" s="150">
        <f t="array" ref="H19">SUM($P$6:$U$13*($P$5:$U$5=$F19)*($O$6:$O$13=$D19)) / 1000</f>
        <v>1.2041924563777713</v>
      </c>
      <c r="I19" s="73">
        <f t="shared" si="1"/>
        <v>0.3</v>
      </c>
      <c r="L19" s="108" t="str">
        <f t="shared" si="0"/>
        <v>ROF</v>
      </c>
      <c r="O19" s="108" t="s">
        <v>310</v>
      </c>
      <c r="P19" s="108" t="s">
        <v>309</v>
      </c>
    </row>
    <row r="20" spans="2:16">
      <c r="B20" s="75" t="s">
        <v>177</v>
      </c>
      <c r="C20" s="75" t="s">
        <v>304</v>
      </c>
      <c r="D20" s="75" t="s">
        <v>316</v>
      </c>
      <c r="E20" s="75" t="s">
        <v>318</v>
      </c>
      <c r="F20" s="76">
        <f t="shared" si="2"/>
        <v>2020</v>
      </c>
      <c r="G20" s="76" t="s">
        <v>343</v>
      </c>
      <c r="H20" s="151">
        <f t="array" ref="H20">SUM($P$6:$U$13*($P$5:$U$5=$F20)*($O$6:$O$13=$D20)) / 1000</f>
        <v>19.732749807732993</v>
      </c>
      <c r="I20" s="78">
        <f t="shared" si="1"/>
        <v>0.3</v>
      </c>
      <c r="L20" s="108" t="str">
        <f t="shared" si="0"/>
        <v>ROF</v>
      </c>
      <c r="O20" s="108" t="s">
        <v>311</v>
      </c>
      <c r="P20" s="108" t="s">
        <v>309</v>
      </c>
    </row>
    <row r="21" spans="2:16">
      <c r="B21" s="69" t="s">
        <v>177</v>
      </c>
      <c r="C21" s="70" t="s">
        <v>304</v>
      </c>
      <c r="D21" s="70" t="s">
        <v>309</v>
      </c>
      <c r="E21" s="70" t="s">
        <v>318</v>
      </c>
      <c r="F21" s="71">
        <f>F13+5</f>
        <v>2025</v>
      </c>
      <c r="G21" s="71" t="s">
        <v>343</v>
      </c>
      <c r="H21" s="150">
        <f t="array" ref="H21">SUM($P$6:$U$13*($P$5:$U$5=$F21)*($O$6:$O$13=$D21)) / 1000</f>
        <v>6.8940564264295006</v>
      </c>
      <c r="I21" s="80">
        <v>0.3</v>
      </c>
      <c r="L21" s="108" t="str">
        <f t="shared" si="0"/>
        <v>HKI</v>
      </c>
      <c r="O21" s="108" t="s">
        <v>312</v>
      </c>
      <c r="P21" s="108" t="s">
        <v>316</v>
      </c>
    </row>
    <row r="22" spans="2:16">
      <c r="B22" s="74" t="s">
        <v>177</v>
      </c>
      <c r="C22" s="75" t="s">
        <v>304</v>
      </c>
      <c r="D22" s="75" t="s">
        <v>310</v>
      </c>
      <c r="E22" s="75" t="s">
        <v>318</v>
      </c>
      <c r="F22" s="76">
        <f t="shared" si="2"/>
        <v>2025</v>
      </c>
      <c r="G22" s="76" t="s">
        <v>343</v>
      </c>
      <c r="H22" s="151">
        <f t="array" ref="H22">SUM($P$6:$U$13*($P$5:$U$5=$F22)*($O$6:$O$13=$D22)) / 1000</f>
        <v>2.3116653064160797</v>
      </c>
      <c r="I22" s="78">
        <f>I21</f>
        <v>0.3</v>
      </c>
      <c r="L22" s="108" t="str">
        <f t="shared" si="0"/>
        <v>HKI</v>
      </c>
      <c r="O22" s="108" t="s">
        <v>313</v>
      </c>
      <c r="P22" s="108" t="s">
        <v>316</v>
      </c>
    </row>
    <row r="23" spans="2:16">
      <c r="B23" s="69" t="s">
        <v>177</v>
      </c>
      <c r="C23" s="70" t="s">
        <v>304</v>
      </c>
      <c r="D23" s="70" t="s">
        <v>311</v>
      </c>
      <c r="E23" s="70" t="s">
        <v>318</v>
      </c>
      <c r="F23" s="71">
        <f t="shared" si="2"/>
        <v>2025</v>
      </c>
      <c r="G23" s="71" t="s">
        <v>343</v>
      </c>
      <c r="H23" s="150">
        <f t="array" ref="H23">SUM($P$6:$U$13*($P$5:$U$5=$F23)*($O$6:$O$13=$D23)) / 1000</f>
        <v>1.9534342636259119</v>
      </c>
      <c r="I23" s="73">
        <f t="shared" ref="I23:I36" si="3">I22</f>
        <v>0.3</v>
      </c>
      <c r="L23" s="108" t="str">
        <f t="shared" si="0"/>
        <v>HKI</v>
      </c>
      <c r="O23" s="108" t="s">
        <v>314</v>
      </c>
      <c r="P23" s="108" t="s">
        <v>316</v>
      </c>
    </row>
    <row r="24" spans="2:16">
      <c r="B24" s="74" t="s">
        <v>177</v>
      </c>
      <c r="C24" s="75" t="s">
        <v>304</v>
      </c>
      <c r="D24" s="75" t="s">
        <v>312</v>
      </c>
      <c r="E24" s="75" t="s">
        <v>318</v>
      </c>
      <c r="F24" s="76">
        <f t="shared" si="2"/>
        <v>2025</v>
      </c>
      <c r="G24" s="76" t="s">
        <v>343</v>
      </c>
      <c r="H24" s="151">
        <f t="array" ref="H24">SUM($P$6:$U$13*($P$5:$U$5=$F24)*($O$6:$O$13=$D24)) / 1000</f>
        <v>2.0365952811144408</v>
      </c>
      <c r="I24" s="78">
        <f t="shared" si="3"/>
        <v>0.3</v>
      </c>
      <c r="L24" s="108" t="str">
        <f t="shared" si="0"/>
        <v>ROF</v>
      </c>
      <c r="O24" s="108" t="s">
        <v>315</v>
      </c>
      <c r="P24" s="108" t="s">
        <v>316</v>
      </c>
    </row>
    <row r="25" spans="2:16">
      <c r="B25" s="70" t="s">
        <v>177</v>
      </c>
      <c r="C25" s="70" t="s">
        <v>304</v>
      </c>
      <c r="D25" s="70" t="s">
        <v>313</v>
      </c>
      <c r="E25" s="70" t="s">
        <v>318</v>
      </c>
      <c r="F25" s="71">
        <f t="shared" si="2"/>
        <v>2025</v>
      </c>
      <c r="G25" s="71" t="s">
        <v>343</v>
      </c>
      <c r="H25" s="150">
        <f t="array" ref="H25">SUM($P$6:$U$13*($P$5:$U$5=$F25)*($O$6:$O$13=$D25)) / 1000</f>
        <v>2.2303641536293948</v>
      </c>
      <c r="I25" s="73">
        <f t="shared" si="3"/>
        <v>0.3</v>
      </c>
      <c r="L25" s="108" t="str">
        <f t="shared" si="0"/>
        <v>ROF</v>
      </c>
      <c r="O25" s="108" t="s">
        <v>316</v>
      </c>
      <c r="P25" s="108" t="s">
        <v>316</v>
      </c>
    </row>
    <row r="26" spans="2:16">
      <c r="B26" s="75" t="s">
        <v>177</v>
      </c>
      <c r="C26" s="75" t="s">
        <v>304</v>
      </c>
      <c r="D26" s="75" t="s">
        <v>314</v>
      </c>
      <c r="E26" s="75" t="s">
        <v>318</v>
      </c>
      <c r="F26" s="76">
        <f t="shared" si="2"/>
        <v>2025</v>
      </c>
      <c r="G26" s="76" t="s">
        <v>343</v>
      </c>
      <c r="H26" s="151">
        <f t="array" ref="H26">SUM($P$6:$U$13*($P$5:$U$5=$F26)*($O$6:$O$13=$D26)) / 1000</f>
        <v>1.9174791297331568</v>
      </c>
      <c r="I26" s="78">
        <f t="shared" si="3"/>
        <v>0.3</v>
      </c>
      <c r="L26" s="108" t="str">
        <f t="shared" si="0"/>
        <v>ROF</v>
      </c>
    </row>
    <row r="27" spans="2:16">
      <c r="B27" s="70" t="s">
        <v>177</v>
      </c>
      <c r="C27" s="70" t="s">
        <v>304</v>
      </c>
      <c r="D27" s="70" t="s">
        <v>315</v>
      </c>
      <c r="E27" s="70" t="s">
        <v>318</v>
      </c>
      <c r="F27" s="71">
        <f t="shared" si="2"/>
        <v>2025</v>
      </c>
      <c r="G27" s="71" t="s">
        <v>343</v>
      </c>
      <c r="H27" s="150">
        <f t="array" ref="H27">SUM($P$6:$U$13*($P$5:$U$5=$F27)*($O$6:$O$13=$D27)) / 1000</f>
        <v>1.2125035647713862</v>
      </c>
      <c r="I27" s="73">
        <f t="shared" si="3"/>
        <v>0.3</v>
      </c>
      <c r="L27" s="108" t="str">
        <f t="shared" si="0"/>
        <v>ROF</v>
      </c>
    </row>
    <row r="28" spans="2:16">
      <c r="B28" s="75" t="s">
        <v>177</v>
      </c>
      <c r="C28" s="75" t="s">
        <v>304</v>
      </c>
      <c r="D28" s="75" t="s">
        <v>316</v>
      </c>
      <c r="E28" s="75" t="s">
        <v>318</v>
      </c>
      <c r="F28" s="76">
        <f t="shared" si="2"/>
        <v>2025</v>
      </c>
      <c r="G28" s="76" t="s">
        <v>343</v>
      </c>
      <c r="H28" s="151">
        <f t="array" ref="H28">SUM($P$6:$U$13*($P$5:$U$5=$F28)*($O$6:$O$13=$D28)) / 1000</f>
        <v>20.045262703680852</v>
      </c>
      <c r="I28" s="78">
        <f t="shared" si="3"/>
        <v>0.3</v>
      </c>
      <c r="L28" s="108" t="str">
        <f t="shared" si="0"/>
        <v>ROF</v>
      </c>
    </row>
    <row r="29" spans="2:16">
      <c r="B29" s="69" t="s">
        <v>177</v>
      </c>
      <c r="C29" s="70" t="s">
        <v>304</v>
      </c>
      <c r="D29" s="70" t="s">
        <v>309</v>
      </c>
      <c r="E29" s="70" t="s">
        <v>318</v>
      </c>
      <c r="F29" s="71">
        <f>F21+5</f>
        <v>2030</v>
      </c>
      <c r="G29" s="71" t="s">
        <v>343</v>
      </c>
      <c r="H29" s="150">
        <f t="array" ref="H29">SUM($P$6:$U$13*($P$5:$U$5=$F29)*($O$6:$O$13=$D29)) / 1000</f>
        <v>6.7488075488799648</v>
      </c>
      <c r="I29" s="135">
        <f t="shared" si="3"/>
        <v>0.3</v>
      </c>
      <c r="L29" s="108" t="str">
        <f t="shared" si="0"/>
        <v>HKI</v>
      </c>
    </row>
    <row r="30" spans="2:16">
      <c r="B30" s="74" t="s">
        <v>177</v>
      </c>
      <c r="C30" s="75" t="s">
        <v>304</v>
      </c>
      <c r="D30" s="75" t="s">
        <v>310</v>
      </c>
      <c r="E30" s="75" t="s">
        <v>318</v>
      </c>
      <c r="F30" s="76">
        <f t="shared" ref="F30:F52" si="4">F22+5</f>
        <v>2030</v>
      </c>
      <c r="G30" s="76" t="s">
        <v>343</v>
      </c>
      <c r="H30" s="151">
        <f t="array" ref="H30">SUM($P$6:$U$13*($P$5:$U$5=$F30)*($O$6:$O$13=$D30)) / 1000</f>
        <v>2.2889008612304806</v>
      </c>
      <c r="I30" s="78">
        <f t="shared" si="3"/>
        <v>0.3</v>
      </c>
      <c r="L30" s="108" t="str">
        <f t="shared" si="0"/>
        <v>HKI</v>
      </c>
    </row>
    <row r="31" spans="2:16">
      <c r="B31" s="69" t="s">
        <v>177</v>
      </c>
      <c r="C31" s="70" t="s">
        <v>304</v>
      </c>
      <c r="D31" s="70" t="s">
        <v>311</v>
      </c>
      <c r="E31" s="70" t="s">
        <v>318</v>
      </c>
      <c r="F31" s="71">
        <f t="shared" si="4"/>
        <v>2030</v>
      </c>
      <c r="G31" s="71" t="s">
        <v>343</v>
      </c>
      <c r="H31" s="150">
        <f t="array" ref="H31">SUM($P$6:$U$13*($P$5:$U$5=$F31)*($O$6:$O$13=$D31)) / 1000</f>
        <v>1.9356427810578116</v>
      </c>
      <c r="I31" s="73">
        <f t="shared" si="3"/>
        <v>0.3</v>
      </c>
      <c r="L31" s="108" t="str">
        <f t="shared" si="0"/>
        <v>HKI</v>
      </c>
    </row>
    <row r="32" spans="2:16">
      <c r="B32" s="74" t="s">
        <v>177</v>
      </c>
      <c r="C32" s="75" t="s">
        <v>304</v>
      </c>
      <c r="D32" s="75" t="s">
        <v>312</v>
      </c>
      <c r="E32" s="75" t="s">
        <v>318</v>
      </c>
      <c r="F32" s="76">
        <f t="shared" si="4"/>
        <v>2030</v>
      </c>
      <c r="G32" s="76" t="s">
        <v>343</v>
      </c>
      <c r="H32" s="151">
        <f t="array" ref="H32">SUM($P$6:$U$13*($P$5:$U$5=$F32)*($O$6:$O$13=$D32)) / 1000</f>
        <v>2.0207279338237871</v>
      </c>
      <c r="I32" s="78">
        <f t="shared" si="3"/>
        <v>0.3</v>
      </c>
      <c r="L32" s="108" t="str">
        <f t="shared" si="0"/>
        <v>ROF</v>
      </c>
    </row>
    <row r="33" spans="2:12">
      <c r="B33" s="70" t="s">
        <v>177</v>
      </c>
      <c r="C33" s="70" t="s">
        <v>304</v>
      </c>
      <c r="D33" s="70" t="s">
        <v>313</v>
      </c>
      <c r="E33" s="70" t="s">
        <v>318</v>
      </c>
      <c r="F33" s="71">
        <f t="shared" si="4"/>
        <v>2030</v>
      </c>
      <c r="G33" s="71" t="s">
        <v>343</v>
      </c>
      <c r="H33" s="150">
        <f t="array" ref="H33">SUM($P$6:$U$13*($P$5:$U$5=$F33)*($O$6:$O$13=$D33)) / 1000</f>
        <v>2.2163180096673005</v>
      </c>
      <c r="I33" s="73">
        <f t="shared" si="3"/>
        <v>0.3</v>
      </c>
      <c r="L33" s="108" t="str">
        <f t="shared" si="0"/>
        <v>ROF</v>
      </c>
    </row>
    <row r="34" spans="2:12">
      <c r="B34" s="75" t="s">
        <v>177</v>
      </c>
      <c r="C34" s="75" t="s">
        <v>304</v>
      </c>
      <c r="D34" s="75" t="s">
        <v>314</v>
      </c>
      <c r="E34" s="75" t="s">
        <v>318</v>
      </c>
      <c r="F34" s="76">
        <f t="shared" si="4"/>
        <v>2030</v>
      </c>
      <c r="G34" s="76" t="s">
        <v>343</v>
      </c>
      <c r="H34" s="151">
        <f t="array" ref="H34">SUM($P$6:$U$13*($P$5:$U$5=$F34)*($O$6:$O$13=$D34)) / 1000</f>
        <v>1.9497430328172036</v>
      </c>
      <c r="I34" s="78">
        <f t="shared" si="3"/>
        <v>0.3</v>
      </c>
      <c r="L34" s="108" t="str">
        <f t="shared" si="0"/>
        <v>ROF</v>
      </c>
    </row>
    <row r="35" spans="2:12">
      <c r="B35" s="70" t="s">
        <v>177</v>
      </c>
      <c r="C35" s="70" t="s">
        <v>304</v>
      </c>
      <c r="D35" s="70" t="s">
        <v>315</v>
      </c>
      <c r="E35" s="70" t="s">
        <v>318</v>
      </c>
      <c r="F35" s="71">
        <f t="shared" si="4"/>
        <v>2030</v>
      </c>
      <c r="G35" s="71" t="s">
        <v>343</v>
      </c>
      <c r="H35" s="150">
        <f t="array" ref="H35">SUM($P$6:$U$13*($P$5:$U$5=$F35)*($O$6:$O$13=$D35)) / 1000</f>
        <v>1.2184677184417412</v>
      </c>
      <c r="I35" s="73">
        <f t="shared" si="3"/>
        <v>0.3</v>
      </c>
      <c r="L35" s="108" t="str">
        <f t="shared" si="0"/>
        <v>ROF</v>
      </c>
    </row>
    <row r="36" spans="2:12">
      <c r="B36" s="75" t="s">
        <v>177</v>
      </c>
      <c r="C36" s="75" t="s">
        <v>304</v>
      </c>
      <c r="D36" s="75" t="s">
        <v>316</v>
      </c>
      <c r="E36" s="75" t="s">
        <v>318</v>
      </c>
      <c r="F36" s="76">
        <f t="shared" si="4"/>
        <v>2030</v>
      </c>
      <c r="G36" s="76" t="s">
        <v>343</v>
      </c>
      <c r="H36" s="151">
        <f t="array" ref="H36">SUM($P$6:$U$13*($P$5:$U$5=$F36)*($O$6:$O$13=$D36)) / 1000</f>
        <v>20.388968037364851</v>
      </c>
      <c r="I36" s="78">
        <f t="shared" si="3"/>
        <v>0.3</v>
      </c>
      <c r="L36" s="108" t="str">
        <f t="shared" si="0"/>
        <v>ROF</v>
      </c>
    </row>
    <row r="37" spans="2:12">
      <c r="B37" s="69" t="s">
        <v>177</v>
      </c>
      <c r="C37" s="70" t="s">
        <v>304</v>
      </c>
      <c r="D37" s="70" t="s">
        <v>309</v>
      </c>
      <c r="E37" s="70" t="s">
        <v>318</v>
      </c>
      <c r="F37" s="71">
        <f>F29+5</f>
        <v>2035</v>
      </c>
      <c r="G37" s="71" t="s">
        <v>343</v>
      </c>
      <c r="H37" s="150">
        <f t="array" ref="H37">SUM($P$6:$U$13*($P$5:$U$5=$F37)*($O$6:$O$13=$D37)) / 1000</f>
        <v>6.5466201846226735</v>
      </c>
      <c r="I37" s="135">
        <f t="shared" ref="I37:I52" si="5">I36</f>
        <v>0.3</v>
      </c>
      <c r="L37" s="108" t="str">
        <f t="shared" si="0"/>
        <v>HKI</v>
      </c>
    </row>
    <row r="38" spans="2:12">
      <c r="B38" s="74" t="s">
        <v>177</v>
      </c>
      <c r="C38" s="75" t="s">
        <v>304</v>
      </c>
      <c r="D38" s="75" t="s">
        <v>310</v>
      </c>
      <c r="E38" s="75" t="s">
        <v>318</v>
      </c>
      <c r="F38" s="76">
        <f t="shared" si="4"/>
        <v>2035</v>
      </c>
      <c r="G38" s="76" t="s">
        <v>343</v>
      </c>
      <c r="H38" s="151">
        <f t="array" ref="H38">SUM($P$6:$U$13*($P$5:$U$5=$F38)*($O$6:$O$13=$D38)) / 1000</f>
        <v>2.2342092575747032</v>
      </c>
      <c r="I38" s="78">
        <f t="shared" si="5"/>
        <v>0.3</v>
      </c>
      <c r="L38" s="108" t="str">
        <f t="shared" si="0"/>
        <v>HKI</v>
      </c>
    </row>
    <row r="39" spans="2:12">
      <c r="B39" s="69" t="s">
        <v>177</v>
      </c>
      <c r="C39" s="70" t="s">
        <v>304</v>
      </c>
      <c r="D39" s="70" t="s">
        <v>311</v>
      </c>
      <c r="E39" s="70" t="s">
        <v>318</v>
      </c>
      <c r="F39" s="71">
        <f t="shared" si="4"/>
        <v>2035</v>
      </c>
      <c r="G39" s="71" t="s">
        <v>343</v>
      </c>
      <c r="H39" s="150">
        <f t="array" ref="H39">SUM($P$6:$U$13*($P$5:$U$5=$F39)*($O$6:$O$13=$D39)) / 1000</f>
        <v>1.8913769365150044</v>
      </c>
      <c r="I39" s="73">
        <f t="shared" si="5"/>
        <v>0.3</v>
      </c>
      <c r="L39" s="108" t="str">
        <f t="shared" si="0"/>
        <v>HKI</v>
      </c>
    </row>
    <row r="40" spans="2:12">
      <c r="B40" s="74" t="s">
        <v>177</v>
      </c>
      <c r="C40" s="75" t="s">
        <v>304</v>
      </c>
      <c r="D40" s="75" t="s">
        <v>312</v>
      </c>
      <c r="E40" s="75" t="s">
        <v>318</v>
      </c>
      <c r="F40" s="76">
        <f t="shared" si="4"/>
        <v>2035</v>
      </c>
      <c r="G40" s="76" t="s">
        <v>343</v>
      </c>
      <c r="H40" s="151">
        <f t="array" ref="H40">SUM($P$6:$U$13*($P$5:$U$5=$F40)*($O$6:$O$13=$D40)) / 1000</f>
        <v>1.9891835577382728</v>
      </c>
      <c r="I40" s="78">
        <f t="shared" si="5"/>
        <v>0.3</v>
      </c>
      <c r="L40" s="108" t="str">
        <f t="shared" si="0"/>
        <v>ROF</v>
      </c>
    </row>
    <row r="41" spans="2:12">
      <c r="B41" s="70" t="s">
        <v>177</v>
      </c>
      <c r="C41" s="70" t="s">
        <v>304</v>
      </c>
      <c r="D41" s="70" t="s">
        <v>313</v>
      </c>
      <c r="E41" s="70" t="s">
        <v>318</v>
      </c>
      <c r="F41" s="71">
        <f t="shared" si="4"/>
        <v>2035</v>
      </c>
      <c r="G41" s="71" t="s">
        <v>343</v>
      </c>
      <c r="H41" s="150">
        <f t="array" ref="H41">SUM($P$6:$U$13*($P$5:$U$5=$F41)*($O$6:$O$13=$D41)) / 1000</f>
        <v>2.1785868062160931</v>
      </c>
      <c r="I41" s="73">
        <f t="shared" si="5"/>
        <v>0.3</v>
      </c>
      <c r="L41" s="108" t="str">
        <f t="shared" si="0"/>
        <v>ROF</v>
      </c>
    </row>
    <row r="42" spans="2:12">
      <c r="B42" s="75" t="s">
        <v>177</v>
      </c>
      <c r="C42" s="75" t="s">
        <v>304</v>
      </c>
      <c r="D42" s="75" t="s">
        <v>314</v>
      </c>
      <c r="E42" s="75" t="s">
        <v>318</v>
      </c>
      <c r="F42" s="76">
        <f t="shared" si="4"/>
        <v>2035</v>
      </c>
      <c r="G42" s="76" t="s">
        <v>343</v>
      </c>
      <c r="H42" s="151">
        <f t="array" ref="H42">SUM($P$6:$U$13*($P$5:$U$5=$F42)*($O$6:$O$13=$D42)) / 1000</f>
        <v>1.9651785616096522</v>
      </c>
      <c r="I42" s="78">
        <f t="shared" si="5"/>
        <v>0.3</v>
      </c>
      <c r="L42" s="108" t="str">
        <f t="shared" si="0"/>
        <v>ROF</v>
      </c>
    </row>
    <row r="43" spans="2:12">
      <c r="B43" s="70" t="s">
        <v>177</v>
      </c>
      <c r="C43" s="70" t="s">
        <v>304</v>
      </c>
      <c r="D43" s="70" t="s">
        <v>315</v>
      </c>
      <c r="E43" s="70" t="s">
        <v>318</v>
      </c>
      <c r="F43" s="71">
        <f t="shared" si="4"/>
        <v>2035</v>
      </c>
      <c r="G43" s="71" t="s">
        <v>343</v>
      </c>
      <c r="H43" s="150">
        <f t="array" ref="H43">SUM($P$6:$U$13*($P$5:$U$5=$F43)*($O$6:$O$13=$D43)) / 1000</f>
        <v>1.2152905512460432</v>
      </c>
      <c r="I43" s="73">
        <f t="shared" si="5"/>
        <v>0.3</v>
      </c>
      <c r="L43" s="108" t="str">
        <f t="shared" si="0"/>
        <v>ROF</v>
      </c>
    </row>
    <row r="44" spans="2:12">
      <c r="B44" s="75" t="s">
        <v>177</v>
      </c>
      <c r="C44" s="75" t="s">
        <v>304</v>
      </c>
      <c r="D44" s="75" t="s">
        <v>316</v>
      </c>
      <c r="E44" s="75" t="s">
        <v>318</v>
      </c>
      <c r="F44" s="76">
        <f t="shared" si="4"/>
        <v>2035</v>
      </c>
      <c r="G44" s="76" t="s">
        <v>343</v>
      </c>
      <c r="H44" s="151">
        <f t="array" ref="H44">SUM($P$6:$U$13*($P$5:$U$5=$F44)*($O$6:$O$13=$D44)) / 1000</f>
        <v>20.381214206217507</v>
      </c>
      <c r="I44" s="78">
        <f t="shared" si="5"/>
        <v>0.3</v>
      </c>
      <c r="L44" s="108" t="str">
        <f t="shared" si="0"/>
        <v>ROF</v>
      </c>
    </row>
    <row r="45" spans="2:12">
      <c r="B45" s="69" t="s">
        <v>177</v>
      </c>
      <c r="C45" s="70" t="s">
        <v>304</v>
      </c>
      <c r="D45" s="70" t="s">
        <v>309</v>
      </c>
      <c r="E45" s="70" t="s">
        <v>318</v>
      </c>
      <c r="F45" s="71">
        <f>F37+5</f>
        <v>2040</v>
      </c>
      <c r="G45" s="71" t="s">
        <v>343</v>
      </c>
      <c r="H45" s="150">
        <f t="array" ref="H45">SUM($P$6:$U$13*($P$5:$U$5=$F45)*($O$6:$O$13=$D45)) / 1000</f>
        <v>6.342236238543344</v>
      </c>
      <c r="I45" s="135">
        <f t="shared" si="5"/>
        <v>0.3</v>
      </c>
      <c r="L45" s="108" t="str">
        <f t="shared" si="0"/>
        <v>HKI</v>
      </c>
    </row>
    <row r="46" spans="2:12">
      <c r="B46" s="74" t="s">
        <v>177</v>
      </c>
      <c r="C46" s="75" t="s">
        <v>304</v>
      </c>
      <c r="D46" s="75" t="s">
        <v>310</v>
      </c>
      <c r="E46" s="75" t="s">
        <v>318</v>
      </c>
      <c r="F46" s="76">
        <f t="shared" si="4"/>
        <v>2040</v>
      </c>
      <c r="G46" s="76" t="s">
        <v>343</v>
      </c>
      <c r="H46" s="151">
        <f t="array" ref="H46">SUM($P$6:$U$13*($P$5:$U$5=$F46)*($O$6:$O$13=$D46)) / 1000</f>
        <v>2.1769856112614487</v>
      </c>
      <c r="I46" s="78">
        <f t="shared" si="5"/>
        <v>0.3</v>
      </c>
      <c r="L46" s="108" t="str">
        <f t="shared" si="0"/>
        <v>HKI</v>
      </c>
    </row>
    <row r="47" spans="2:12">
      <c r="B47" s="69" t="s">
        <v>177</v>
      </c>
      <c r="C47" s="70" t="s">
        <v>304</v>
      </c>
      <c r="D47" s="70" t="s">
        <v>311</v>
      </c>
      <c r="E47" s="70" t="s">
        <v>318</v>
      </c>
      <c r="F47" s="71">
        <f t="shared" si="4"/>
        <v>2040</v>
      </c>
      <c r="G47" s="71" t="s">
        <v>343</v>
      </c>
      <c r="H47" s="150">
        <f t="array" ref="H47">SUM($P$6:$U$13*($P$5:$U$5=$F47)*($O$6:$O$13=$D47)) / 1000</f>
        <v>1.8447875411775885</v>
      </c>
      <c r="I47" s="73">
        <f t="shared" si="5"/>
        <v>0.3</v>
      </c>
      <c r="L47" s="108" t="str">
        <f t="shared" si="0"/>
        <v>HKI</v>
      </c>
    </row>
    <row r="48" spans="2:12">
      <c r="B48" s="74" t="s">
        <v>177</v>
      </c>
      <c r="C48" s="75" t="s">
        <v>304</v>
      </c>
      <c r="D48" s="75" t="s">
        <v>312</v>
      </c>
      <c r="E48" s="75" t="s">
        <v>318</v>
      </c>
      <c r="F48" s="76">
        <f t="shared" si="4"/>
        <v>2040</v>
      </c>
      <c r="G48" s="76" t="s">
        <v>343</v>
      </c>
      <c r="H48" s="151">
        <f t="array" ref="H48">SUM($P$6:$U$13*($P$5:$U$5=$F48)*($O$6:$O$13=$D48)) / 1000</f>
        <v>1.9568543870152488</v>
      </c>
      <c r="I48" s="78">
        <f t="shared" si="5"/>
        <v>0.3</v>
      </c>
      <c r="L48" s="108" t="str">
        <f t="shared" si="0"/>
        <v>ROF</v>
      </c>
    </row>
    <row r="49" spans="2:12">
      <c r="B49" s="70" t="s">
        <v>177</v>
      </c>
      <c r="C49" s="70" t="s">
        <v>304</v>
      </c>
      <c r="D49" s="70" t="s">
        <v>313</v>
      </c>
      <c r="E49" s="70" t="s">
        <v>318</v>
      </c>
      <c r="F49" s="71">
        <f t="shared" si="4"/>
        <v>2040</v>
      </c>
      <c r="G49" s="71" t="s">
        <v>343</v>
      </c>
      <c r="H49" s="150">
        <f t="array" ref="H49">SUM($P$6:$U$13*($P$5:$U$5=$F49)*($O$6:$O$13=$D49)) / 1000</f>
        <v>2.1392936893704038</v>
      </c>
      <c r="I49" s="73">
        <f t="shared" si="5"/>
        <v>0.3</v>
      </c>
      <c r="L49" s="108" t="str">
        <f t="shared" si="0"/>
        <v>ROF</v>
      </c>
    </row>
    <row r="50" spans="2:12">
      <c r="B50" s="75" t="s">
        <v>177</v>
      </c>
      <c r="C50" s="75" t="s">
        <v>304</v>
      </c>
      <c r="D50" s="75" t="s">
        <v>314</v>
      </c>
      <c r="E50" s="75" t="s">
        <v>318</v>
      </c>
      <c r="F50" s="76">
        <f t="shared" si="4"/>
        <v>2040</v>
      </c>
      <c r="G50" s="76" t="s">
        <v>343</v>
      </c>
      <c r="H50" s="151">
        <f t="array" ref="H50">SUM($P$6:$U$13*($P$5:$U$5=$F50)*($O$6:$O$13=$D50)) / 1000</f>
        <v>1.979814793082014</v>
      </c>
      <c r="I50" s="78">
        <f t="shared" si="5"/>
        <v>0.3</v>
      </c>
      <c r="L50" s="108" t="str">
        <f t="shared" si="0"/>
        <v>ROF</v>
      </c>
    </row>
    <row r="51" spans="2:12">
      <c r="B51" s="70" t="s">
        <v>177</v>
      </c>
      <c r="C51" s="70" t="s">
        <v>304</v>
      </c>
      <c r="D51" s="70" t="s">
        <v>315</v>
      </c>
      <c r="E51" s="70" t="s">
        <v>318</v>
      </c>
      <c r="F51" s="71">
        <f t="shared" si="4"/>
        <v>2040</v>
      </c>
      <c r="G51" s="71" t="s">
        <v>343</v>
      </c>
      <c r="H51" s="150">
        <f t="array" ref="H51">SUM($P$6:$U$13*($P$5:$U$5=$F51)*($O$6:$O$13=$D51)) / 1000</f>
        <v>1.2116176866883288</v>
      </c>
      <c r="I51" s="73">
        <f t="shared" si="5"/>
        <v>0.3</v>
      </c>
      <c r="L51" s="108" t="str">
        <f t="shared" si="0"/>
        <v>ROF</v>
      </c>
    </row>
    <row r="52" spans="2:12">
      <c r="B52" s="75" t="s">
        <v>177</v>
      </c>
      <c r="C52" s="75" t="s">
        <v>304</v>
      </c>
      <c r="D52" s="75" t="s">
        <v>316</v>
      </c>
      <c r="E52" s="75" t="s">
        <v>318</v>
      </c>
      <c r="F52" s="76">
        <f t="shared" si="4"/>
        <v>2040</v>
      </c>
      <c r="G52" s="76" t="s">
        <v>343</v>
      </c>
      <c r="H52" s="151">
        <f t="array" ref="H52">SUM($P$6:$U$13*($P$5:$U$5=$F52)*($O$6:$O$13=$D52)) / 1000</f>
        <v>20.244298555893831</v>
      </c>
      <c r="I52" s="78">
        <f t="shared" si="5"/>
        <v>0.3</v>
      </c>
      <c r="L52" s="108" t="str">
        <f t="shared" si="0"/>
        <v>ROF</v>
      </c>
    </row>
    <row r="53" spans="2:12">
      <c r="B53" s="75" t="s">
        <v>357</v>
      </c>
      <c r="C53" s="75"/>
      <c r="D53" s="75"/>
      <c r="E53" s="75"/>
      <c r="F53" s="76"/>
      <c r="G53" s="76"/>
      <c r="H53" s="151"/>
      <c r="I53" s="78"/>
    </row>
    <row r="54" spans="2:12">
      <c r="B54" s="108" t="s">
        <v>177</v>
      </c>
      <c r="C54" s="108" t="s">
        <v>304</v>
      </c>
      <c r="D54" s="108" t="s">
        <v>309</v>
      </c>
      <c r="E54" s="108" t="s">
        <v>318</v>
      </c>
      <c r="F54" s="108">
        <v>2015</v>
      </c>
      <c r="G54" s="76" t="s">
        <v>356</v>
      </c>
      <c r="H54" s="197">
        <f>SUMIFS($H$5:$H$52,   $F$5:$F$52,$F54,   $L$5:$L$52,$D54)</f>
        <v>11.329620295197396</v>
      </c>
      <c r="I54" s="108">
        <v>0.3</v>
      </c>
    </row>
    <row r="55" spans="2:12">
      <c r="B55" s="108" t="s">
        <v>177</v>
      </c>
      <c r="C55" s="108" t="s">
        <v>304</v>
      </c>
      <c r="D55" s="108" t="s">
        <v>309</v>
      </c>
      <c r="E55" s="108" t="s">
        <v>318</v>
      </c>
      <c r="F55" s="108">
        <v>2020</v>
      </c>
      <c r="G55" s="76" t="s">
        <v>356</v>
      </c>
      <c r="H55" s="197">
        <f t="shared" ref="H55:H65" si="6">SUMIFS($H$5:$H$52,   $F$5:$F$52,$F55,   $L$5:$L$52,$D55)</f>
        <v>11.400624557948468</v>
      </c>
      <c r="I55" s="108">
        <f>I54</f>
        <v>0.3</v>
      </c>
    </row>
    <row r="56" spans="2:12">
      <c r="B56" s="108" t="s">
        <v>177</v>
      </c>
      <c r="C56" s="108" t="s">
        <v>304</v>
      </c>
      <c r="D56" s="108" t="s">
        <v>309</v>
      </c>
      <c r="E56" s="108" t="s">
        <v>318</v>
      </c>
      <c r="F56" s="108">
        <v>2025</v>
      </c>
      <c r="G56" s="76" t="s">
        <v>356</v>
      </c>
      <c r="H56" s="197">
        <f t="shared" si="6"/>
        <v>11.159155996471492</v>
      </c>
      <c r="I56" s="108">
        <f t="shared" ref="I56:I65" si="7">I55</f>
        <v>0.3</v>
      </c>
    </row>
    <row r="57" spans="2:12">
      <c r="B57" s="108" t="s">
        <v>177</v>
      </c>
      <c r="C57" s="108" t="s">
        <v>304</v>
      </c>
      <c r="D57" s="108" t="s">
        <v>309</v>
      </c>
      <c r="E57" s="108" t="s">
        <v>318</v>
      </c>
      <c r="F57" s="108">
        <v>2030</v>
      </c>
      <c r="G57" s="76" t="s">
        <v>356</v>
      </c>
      <c r="H57" s="197">
        <f t="shared" si="6"/>
        <v>10.973351191168257</v>
      </c>
      <c r="I57" s="108">
        <f t="shared" si="7"/>
        <v>0.3</v>
      </c>
    </row>
    <row r="58" spans="2:12">
      <c r="B58" s="108" t="s">
        <v>177</v>
      </c>
      <c r="C58" s="108" t="s">
        <v>304</v>
      </c>
      <c r="D58" s="108" t="s">
        <v>309</v>
      </c>
      <c r="E58" s="108" t="s">
        <v>318</v>
      </c>
      <c r="F58" s="108">
        <v>2035</v>
      </c>
      <c r="G58" s="76" t="s">
        <v>356</v>
      </c>
      <c r="H58" s="197">
        <f t="shared" si="6"/>
        <v>10.672206378712382</v>
      </c>
      <c r="I58" s="108">
        <f t="shared" si="7"/>
        <v>0.3</v>
      </c>
    </row>
    <row r="59" spans="2:12">
      <c r="B59" s="108" t="s">
        <v>177</v>
      </c>
      <c r="C59" s="108" t="s">
        <v>304</v>
      </c>
      <c r="D59" s="108" t="s">
        <v>309</v>
      </c>
      <c r="E59" s="108" t="s">
        <v>318</v>
      </c>
      <c r="F59" s="108">
        <v>2040</v>
      </c>
      <c r="G59" s="76" t="s">
        <v>356</v>
      </c>
      <c r="H59" s="197">
        <f t="shared" si="6"/>
        <v>10.364009390982382</v>
      </c>
      <c r="I59" s="108">
        <f t="shared" si="7"/>
        <v>0.3</v>
      </c>
    </row>
    <row r="60" spans="2:12">
      <c r="B60" s="108" t="s">
        <v>177</v>
      </c>
      <c r="C60" s="108" t="s">
        <v>304</v>
      </c>
      <c r="D60" s="108" t="s">
        <v>316</v>
      </c>
      <c r="E60" s="108" t="s">
        <v>318</v>
      </c>
      <c r="F60" s="108">
        <v>2015</v>
      </c>
      <c r="G60" s="76" t="s">
        <v>356</v>
      </c>
      <c r="H60" s="197">
        <f t="shared" si="6"/>
        <v>26.800097853892279</v>
      </c>
      <c r="I60" s="108">
        <f t="shared" si="7"/>
        <v>0.3</v>
      </c>
    </row>
    <row r="61" spans="2:12">
      <c r="B61" s="108" t="s">
        <v>177</v>
      </c>
      <c r="C61" s="108" t="s">
        <v>304</v>
      </c>
      <c r="D61" s="108" t="s">
        <v>316</v>
      </c>
      <c r="E61" s="108" t="s">
        <v>318</v>
      </c>
      <c r="F61" s="108">
        <v>2020</v>
      </c>
      <c r="G61" s="76" t="s">
        <v>356</v>
      </c>
      <c r="H61" s="197">
        <f t="shared" si="6"/>
        <v>27.089624263312153</v>
      </c>
      <c r="I61" s="108">
        <f t="shared" si="7"/>
        <v>0.3</v>
      </c>
    </row>
    <row r="62" spans="2:12">
      <c r="B62" s="108" t="s">
        <v>177</v>
      </c>
      <c r="C62" s="108" t="s">
        <v>304</v>
      </c>
      <c r="D62" s="108" t="s">
        <v>316</v>
      </c>
      <c r="E62" s="108" t="s">
        <v>318</v>
      </c>
      <c r="F62" s="108">
        <v>2025</v>
      </c>
      <c r="G62" s="76" t="s">
        <v>356</v>
      </c>
      <c r="H62" s="197">
        <f t="shared" si="6"/>
        <v>27.442204832929228</v>
      </c>
      <c r="I62" s="108">
        <f t="shared" si="7"/>
        <v>0.3</v>
      </c>
    </row>
    <row r="63" spans="2:12">
      <c r="B63" s="108" t="s">
        <v>177</v>
      </c>
      <c r="C63" s="108" t="s">
        <v>304</v>
      </c>
      <c r="D63" s="108" t="s">
        <v>316</v>
      </c>
      <c r="E63" s="108" t="s">
        <v>318</v>
      </c>
      <c r="F63" s="108">
        <v>2030</v>
      </c>
      <c r="G63" s="76" t="s">
        <v>356</v>
      </c>
      <c r="H63" s="197">
        <f t="shared" si="6"/>
        <v>27.794224732114884</v>
      </c>
      <c r="I63" s="108">
        <f t="shared" si="7"/>
        <v>0.3</v>
      </c>
    </row>
    <row r="64" spans="2:12">
      <c r="B64" s="108" t="s">
        <v>177</v>
      </c>
      <c r="C64" s="108" t="s">
        <v>304</v>
      </c>
      <c r="D64" s="108" t="s">
        <v>316</v>
      </c>
      <c r="E64" s="108" t="s">
        <v>318</v>
      </c>
      <c r="F64" s="108">
        <v>2035</v>
      </c>
      <c r="G64" s="76" t="s">
        <v>356</v>
      </c>
      <c r="H64" s="197">
        <f t="shared" si="6"/>
        <v>27.729453683027568</v>
      </c>
      <c r="I64" s="108">
        <f t="shared" si="7"/>
        <v>0.3</v>
      </c>
    </row>
    <row r="65" spans="1:36">
      <c r="B65" s="108" t="s">
        <v>177</v>
      </c>
      <c r="C65" s="108" t="s">
        <v>304</v>
      </c>
      <c r="D65" s="108" t="s">
        <v>316</v>
      </c>
      <c r="E65" s="108" t="s">
        <v>318</v>
      </c>
      <c r="F65" s="108">
        <v>2040</v>
      </c>
      <c r="G65" s="76" t="s">
        <v>356</v>
      </c>
      <c r="H65" s="197">
        <f t="shared" si="6"/>
        <v>27.531879112049825</v>
      </c>
      <c r="I65" s="108">
        <f t="shared" si="7"/>
        <v>0.3</v>
      </c>
    </row>
    <row r="66" spans="1:36">
      <c r="B66" s="75" t="s">
        <v>358</v>
      </c>
    </row>
    <row r="67" spans="1:36">
      <c r="B67" s="108" t="s">
        <v>177</v>
      </c>
      <c r="C67" s="108" t="s">
        <v>304</v>
      </c>
      <c r="E67" s="108" t="s">
        <v>318</v>
      </c>
      <c r="F67" s="108">
        <v>2015</v>
      </c>
      <c r="G67" s="76" t="s">
        <v>368</v>
      </c>
      <c r="H67" s="197">
        <f>SUMIFS($H$5:$H$52,   $F$5:$F$52,$F67)</f>
        <v>38.129718149089669</v>
      </c>
      <c r="I67" s="108">
        <v>0.3</v>
      </c>
    </row>
    <row r="68" spans="1:36">
      <c r="B68" s="108" t="s">
        <v>177</v>
      </c>
      <c r="C68" s="108" t="s">
        <v>304</v>
      </c>
      <c r="E68" s="108" t="s">
        <v>318</v>
      </c>
      <c r="F68" s="108">
        <v>2020</v>
      </c>
      <c r="G68" s="76" t="s">
        <v>368</v>
      </c>
      <c r="H68" s="197">
        <f t="shared" ref="H68:H72" si="8">SUMIFS($H$5:$H$52,   $F$5:$F$52,$F68)</f>
        <v>38.490248821260622</v>
      </c>
      <c r="I68" s="108">
        <f>I67</f>
        <v>0.3</v>
      </c>
    </row>
    <row r="69" spans="1:36">
      <c r="B69" s="108" t="s">
        <v>177</v>
      </c>
      <c r="C69" s="108" t="s">
        <v>304</v>
      </c>
      <c r="E69" s="108" t="s">
        <v>318</v>
      </c>
      <c r="F69" s="108">
        <v>2025</v>
      </c>
      <c r="G69" s="76" t="s">
        <v>368</v>
      </c>
      <c r="H69" s="197">
        <f t="shared" si="8"/>
        <v>38.601360829400718</v>
      </c>
      <c r="I69" s="108">
        <f t="shared" ref="I69:I72" si="9">I68</f>
        <v>0.3</v>
      </c>
    </row>
    <row r="70" spans="1:36">
      <c r="B70" s="108" t="s">
        <v>177</v>
      </c>
      <c r="C70" s="108" t="s">
        <v>304</v>
      </c>
      <c r="E70" s="108" t="s">
        <v>318</v>
      </c>
      <c r="F70" s="108">
        <v>2030</v>
      </c>
      <c r="G70" s="76" t="s">
        <v>368</v>
      </c>
      <c r="H70" s="197">
        <f t="shared" si="8"/>
        <v>38.76757592328314</v>
      </c>
      <c r="I70" s="108">
        <f t="shared" si="9"/>
        <v>0.3</v>
      </c>
    </row>
    <row r="71" spans="1:36">
      <c r="B71" s="108" t="s">
        <v>177</v>
      </c>
      <c r="C71" s="108" t="s">
        <v>304</v>
      </c>
      <c r="E71" s="108" t="s">
        <v>318</v>
      </c>
      <c r="F71" s="108">
        <v>2035</v>
      </c>
      <c r="G71" s="76" t="s">
        <v>368</v>
      </c>
      <c r="H71" s="197">
        <f t="shared" si="8"/>
        <v>38.401660061739946</v>
      </c>
      <c r="I71" s="108">
        <f t="shared" si="9"/>
        <v>0.3</v>
      </c>
    </row>
    <row r="72" spans="1:36">
      <c r="B72" s="108" t="s">
        <v>177</v>
      </c>
      <c r="C72" s="108" t="s">
        <v>304</v>
      </c>
      <c r="E72" s="108" t="s">
        <v>318</v>
      </c>
      <c r="F72" s="108">
        <v>2040</v>
      </c>
      <c r="G72" s="76" t="s">
        <v>368</v>
      </c>
      <c r="H72" s="197">
        <f t="shared" si="8"/>
        <v>37.895888503032211</v>
      </c>
      <c r="I72" s="108">
        <f t="shared" si="9"/>
        <v>0.3</v>
      </c>
    </row>
    <row r="77" spans="1:36">
      <c r="AF77" s="109"/>
      <c r="AJ77" s="108"/>
    </row>
    <row r="78" spans="1:36">
      <c r="A78" s="108" t="s">
        <v>294</v>
      </c>
      <c r="B78" s="108" t="s">
        <v>262</v>
      </c>
      <c r="C78" s="108" t="s">
        <v>263</v>
      </c>
      <c r="D78" s="108" t="s">
        <v>264</v>
      </c>
      <c r="E78" s="26">
        <v>2000</v>
      </c>
      <c r="F78" s="26">
        <v>2001</v>
      </c>
      <c r="G78" s="26">
        <v>2002</v>
      </c>
      <c r="H78" s="26">
        <v>2003</v>
      </c>
      <c r="I78" s="26">
        <v>2004</v>
      </c>
      <c r="J78" s="26">
        <v>2005</v>
      </c>
      <c r="K78" s="26">
        <v>2006</v>
      </c>
      <c r="L78" s="26">
        <v>2007</v>
      </c>
      <c r="M78" s="26">
        <v>2008</v>
      </c>
      <c r="N78" s="27">
        <v>2009</v>
      </c>
      <c r="O78" s="27">
        <v>2010</v>
      </c>
      <c r="P78" s="27">
        <v>2011</v>
      </c>
      <c r="Q78" s="27">
        <v>2012</v>
      </c>
      <c r="R78" s="27">
        <v>2013</v>
      </c>
      <c r="S78" s="27">
        <v>2014</v>
      </c>
      <c r="T78" s="27">
        <v>2015</v>
      </c>
      <c r="U78" s="27">
        <v>2016</v>
      </c>
      <c r="V78" s="27">
        <v>2017</v>
      </c>
      <c r="W78" s="27">
        <v>2018</v>
      </c>
      <c r="X78" s="27">
        <v>2019</v>
      </c>
      <c r="Y78" s="27">
        <v>2020</v>
      </c>
      <c r="Z78" s="27">
        <v>2021</v>
      </c>
      <c r="AA78" s="27">
        <v>2022</v>
      </c>
      <c r="AB78" s="27">
        <v>2023</v>
      </c>
      <c r="AC78" s="27"/>
      <c r="AD78" s="118">
        <v>2015</v>
      </c>
      <c r="AE78" s="118">
        <v>2020</v>
      </c>
      <c r="AF78" s="118">
        <v>2025</v>
      </c>
      <c r="AG78" s="118">
        <v>2030</v>
      </c>
      <c r="AH78" s="118">
        <v>2035</v>
      </c>
      <c r="AI78" s="118">
        <v>2040</v>
      </c>
      <c r="AJ78" s="108"/>
    </row>
    <row r="79" spans="1:36">
      <c r="A79" s="122"/>
      <c r="B79" s="122" t="s">
        <v>1</v>
      </c>
      <c r="C79" s="109" t="s">
        <v>273</v>
      </c>
      <c r="D79" s="109" t="s">
        <v>268</v>
      </c>
      <c r="J79" s="116">
        <f t="shared" ref="J79:AB79" si="10">SUMIFS(J$146:J$160,$B$146:$B$160,$B79)</f>
        <v>32242</v>
      </c>
      <c r="K79" s="116">
        <f t="shared" si="10"/>
        <v>33338</v>
      </c>
      <c r="L79" s="116">
        <f t="shared" si="10"/>
        <v>33150</v>
      </c>
      <c r="M79" s="116">
        <f t="shared" si="10"/>
        <v>33399</v>
      </c>
      <c r="N79" s="116">
        <f t="shared" si="10"/>
        <v>35481</v>
      </c>
      <c r="O79" s="116">
        <f t="shared" si="10"/>
        <v>39472</v>
      </c>
      <c r="P79" s="116">
        <f t="shared" si="10"/>
        <v>35467</v>
      </c>
      <c r="Q79" s="116">
        <f t="shared" si="10"/>
        <v>38805</v>
      </c>
      <c r="R79" s="116">
        <f t="shared" si="10"/>
        <v>36469</v>
      </c>
      <c r="S79" s="116">
        <f t="shared" si="10"/>
        <v>36211</v>
      </c>
      <c r="T79" s="116">
        <f t="shared" si="10"/>
        <v>35062</v>
      </c>
      <c r="U79" s="116">
        <f t="shared" si="10"/>
        <v>38525</v>
      </c>
      <c r="V79" s="116">
        <f t="shared" si="10"/>
        <v>38301</v>
      </c>
      <c r="W79" s="116">
        <f t="shared" si="10"/>
        <v>38509</v>
      </c>
      <c r="X79" s="116">
        <f t="shared" si="10"/>
        <v>38141</v>
      </c>
      <c r="Y79" s="116">
        <f t="shared" si="10"/>
        <v>35092</v>
      </c>
      <c r="Z79" s="116">
        <f t="shared" si="10"/>
        <v>40799</v>
      </c>
      <c r="AA79" s="116">
        <f t="shared" si="10"/>
        <v>38275</v>
      </c>
      <c r="AB79" s="116">
        <f t="shared" si="10"/>
        <v>38481</v>
      </c>
      <c r="AD79" s="157">
        <f t="shared" ref="AD79:AE79" si="11">SUM(AD85,AD92,AD99,AD106,AD113,AD120,AD127,AD134)</f>
        <v>38129.718149089676</v>
      </c>
      <c r="AE79" s="157">
        <f t="shared" si="11"/>
        <v>38490.248821260626</v>
      </c>
      <c r="AF79" s="157">
        <f>SUM(AF85,AF92,AF99,AF106,AF113,AF120,AF127,AF134)</f>
        <v>38601.360829400721</v>
      </c>
      <c r="AG79" s="157">
        <f t="shared" ref="AG79:AI79" si="12">SUM(AG85,AG92,AG99,AG106,AG113,AG120,AG127,AG134)</f>
        <v>38767.575923283141</v>
      </c>
      <c r="AH79" s="157">
        <f t="shared" si="12"/>
        <v>38401.660061739953</v>
      </c>
      <c r="AI79" s="157">
        <f t="shared" si="12"/>
        <v>37895.888503032205</v>
      </c>
      <c r="AJ79" s="108"/>
    </row>
    <row r="80" spans="1:36">
      <c r="A80" s="136"/>
      <c r="B80" s="108" t="str">
        <f>B79</f>
        <v>Finland</v>
      </c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J80" s="108"/>
    </row>
    <row r="81" spans="1:39">
      <c r="A81" s="136"/>
      <c r="B81" s="108" t="str">
        <f t="shared" ref="B81:B82" si="13">B80</f>
        <v>Finland</v>
      </c>
      <c r="C81" s="109" t="s">
        <v>265</v>
      </c>
      <c r="E81" s="94">
        <f>HLOOKUP(E$78,   HDD!$A$4:$AG$55, MATCH($B81,HDD!$A$4:$A$55,0), FALSE)</f>
        <v>5211.6899999999996</v>
      </c>
      <c r="F81" s="94">
        <f>HLOOKUP(F$78,   HDD!$A$4:$AG$55, MATCH($B81,HDD!$A$4:$A$55,0), FALSE)</f>
        <v>5766.64</v>
      </c>
      <c r="G81" s="94">
        <f>HLOOKUP(G$78,   HDD!$A$4:$AG$55, MATCH($B81,HDD!$A$4:$A$55,0), FALSE)</f>
        <v>5736.48</v>
      </c>
      <c r="H81" s="94">
        <f>HLOOKUP(H$78,   HDD!$A$4:$AG$55, MATCH($B81,HDD!$A$4:$A$55,0), FALSE)</f>
        <v>5665.7</v>
      </c>
      <c r="I81" s="94">
        <f>HLOOKUP(I$78,   HDD!$A$4:$AG$55, MATCH($B81,HDD!$A$4:$A$55,0), FALSE)</f>
        <v>5561.61</v>
      </c>
      <c r="J81" s="94">
        <f>HLOOKUP(J$78,   HDD!$A$4:$AG$55, MATCH($B81,HDD!$A$4:$A$55,0), FALSE)</f>
        <v>5295.38</v>
      </c>
      <c r="K81" s="94">
        <f>HLOOKUP(K$78,   HDD!$A$4:$AG$55, MATCH($B81,HDD!$A$4:$A$55,0), FALSE)</f>
        <v>5442.56</v>
      </c>
      <c r="L81" s="94">
        <f>HLOOKUP(L$78,   HDD!$A$4:$AG$55, MATCH($B81,HDD!$A$4:$A$55,0), FALSE)</f>
        <v>5321.96</v>
      </c>
      <c r="M81" s="94">
        <f>HLOOKUP(M$78,   HDD!$A$4:$AG$55, MATCH($B81,HDD!$A$4:$A$55,0), FALSE)</f>
        <v>5332.63</v>
      </c>
      <c r="N81" s="94">
        <f>HLOOKUP(N$78,   HDD!$A$4:$AG$55, MATCH($B81,HDD!$A$4:$A$55,0), FALSE)</f>
        <v>5608.3</v>
      </c>
      <c r="O81" s="94">
        <f>HLOOKUP(O$78,   HDD!$A$4:$AG$55, MATCH($B81,HDD!$A$4:$A$55,0), FALSE)</f>
        <v>6179.75</v>
      </c>
      <c r="P81" s="94">
        <f>HLOOKUP(P$78,   HDD!$A$4:$AG$55, MATCH($B81,HDD!$A$4:$A$55,0), FALSE)</f>
        <v>5239.13</v>
      </c>
      <c r="Q81" s="94">
        <f>HLOOKUP(Q$78,   HDD!$A$4:$AG$55, MATCH($B81,HDD!$A$4:$A$55,0), FALSE)</f>
        <v>5839.92</v>
      </c>
      <c r="R81" s="94">
        <f>HLOOKUP(R$78,   HDD!$A$4:$AG$55, MATCH($B81,HDD!$A$4:$A$55,0), FALSE)</f>
        <v>5238.58</v>
      </c>
      <c r="S81" s="94">
        <f>HLOOKUP(S$78,   HDD!$A$4:$AG$55, MATCH($B81,HDD!$A$4:$A$55,0), FALSE)</f>
        <v>5237.1400000000003</v>
      </c>
      <c r="T81" s="94">
        <f>HLOOKUP(T$78,   HDD!$A$4:$AG$55, MATCH($B81,HDD!$A$4:$A$55,0), FALSE)</f>
        <v>5014.74</v>
      </c>
      <c r="U81" s="94">
        <f>HLOOKUP(U$78,   HDD!$A$4:$AG$55, MATCH($B81,HDD!$A$4:$A$55,0), FALSE)</f>
        <v>5325.9</v>
      </c>
      <c r="V81" s="94">
        <f>HLOOKUP(V$78,   HDD!$A$4:$AG$55, MATCH($B81,HDD!$A$4:$A$55,0), FALSE)</f>
        <v>5508.23</v>
      </c>
      <c r="W81" s="94">
        <f>HLOOKUP(W$78,   HDD!$A$4:$AG$55, MATCH($B81,HDD!$A$4:$A$55,0), FALSE)</f>
        <v>5349.59</v>
      </c>
      <c r="X81" s="94">
        <f>HLOOKUP(X$78,   HDD!$A$4:$AG$55, MATCH($B81,HDD!$A$4:$A$55,0), FALSE)</f>
        <v>5482.97</v>
      </c>
      <c r="Y81" s="94">
        <f>HLOOKUP(Y$78,   HDD!$A$4:$AG$55, MATCH($B81,HDD!$A$4:$A$55,0), FALSE)</f>
        <v>4873.47</v>
      </c>
      <c r="Z81" s="94">
        <f>HLOOKUP(Z$78,   HDD!$A$4:$AG$55, MATCH($B81,HDD!$A$4:$A$55,0), FALSE)</f>
        <v>5623.37</v>
      </c>
      <c r="AA81" s="94">
        <f>HLOOKUP(AA$78,   HDD!$A$4:$AG$55, MATCH($B81,HDD!$A$4:$A$55,0), FALSE)</f>
        <v>5276.82</v>
      </c>
      <c r="AB81" s="94">
        <f>HLOOKUP(AB$78,   HDD!$A$4:$AG$55, MATCH($B81,HDD!$A$4:$A$55,0), FALSE)</f>
        <v>5437.01</v>
      </c>
      <c r="AC81" s="110"/>
      <c r="AD81" s="110"/>
      <c r="AE81" s="110"/>
      <c r="AF81" s="110"/>
      <c r="AG81" s="110"/>
      <c r="AH81" s="110"/>
      <c r="AI81" s="110"/>
      <c r="AJ81" s="108"/>
      <c r="AM81" s="111"/>
    </row>
    <row r="82" spans="1:39">
      <c r="A82" s="136"/>
      <c r="B82" s="108" t="str">
        <f t="shared" si="13"/>
        <v>Finland</v>
      </c>
      <c r="C82" s="109" t="s">
        <v>266</v>
      </c>
      <c r="D82" s="109" t="s">
        <v>267</v>
      </c>
      <c r="E82" s="117">
        <f>HLOOKUP(E$78,   POP!$A$5:$AE$63, MATCH($B82, POP!$A$5:$A$63,0), FALSE) / 10^6</f>
        <v>5.1762090000000001</v>
      </c>
      <c r="F82" s="117">
        <f>HLOOKUP(F$78,   POP!$A$5:$AE$63, MATCH($B82, POP!$A$5:$A$63,0), FALSE) / 10^6</f>
        <v>5.188008</v>
      </c>
      <c r="G82" s="117">
        <f>HLOOKUP(G$78,   POP!$A$5:$AE$63, MATCH($B82, POP!$A$5:$A$63,0), FALSE) / 10^6</f>
        <v>5.2005980000000003</v>
      </c>
      <c r="H82" s="117">
        <f>HLOOKUP(H$78,   POP!$A$5:$AE$63, MATCH($B82, POP!$A$5:$A$63,0), FALSE) / 10^6</f>
        <v>5.2130140000000003</v>
      </c>
      <c r="I82" s="117">
        <f>HLOOKUP(I$78,   POP!$A$5:$AE$63, MATCH($B82, POP!$A$5:$A$63,0), FALSE) / 10^6</f>
        <v>5.2281719999999998</v>
      </c>
      <c r="J82" s="117">
        <f>HLOOKUP(J$78,   POP!$A$5:$AE$63, MATCH($B82, POP!$A$5:$A$63,0), FALSE) / 10^6</f>
        <v>5.2460959999999996</v>
      </c>
      <c r="K82" s="117">
        <f>HLOOKUP(K$78,   POP!$A$5:$AE$63, MATCH($B82, POP!$A$5:$A$63,0), FALSE) / 10^6</f>
        <v>5.2662680000000002</v>
      </c>
      <c r="L82" s="117">
        <f>HLOOKUP(L$78,   POP!$A$5:$AE$63, MATCH($B82, POP!$A$5:$A$63,0), FALSE) / 10^6</f>
        <v>5.2887199999999996</v>
      </c>
      <c r="M82" s="117">
        <f>HLOOKUP(M$78,   POP!$A$5:$AE$63, MATCH($B82, POP!$A$5:$A$63,0), FALSE) / 10^6</f>
        <v>5.3133990000000004</v>
      </c>
      <c r="N82" s="117">
        <f>HLOOKUP(N$78,   POP!$A$5:$AE$63, MATCH($B82, POP!$A$5:$A$63,0), FALSE) / 10^6</f>
        <v>5.3388710000000001</v>
      </c>
      <c r="O82" s="117">
        <f>HLOOKUP(O$78,   POP!$A$5:$AE$63, MATCH($B82, POP!$A$5:$A$63,0), FALSE) / 10^6</f>
        <v>5.3633519999999999</v>
      </c>
      <c r="P82" s="117">
        <f>HLOOKUP(P$78,   POP!$A$5:$AE$63, MATCH($B82, POP!$A$5:$A$63,0), FALSE) / 10^6</f>
        <v>5.3882719999999997</v>
      </c>
      <c r="Q82" s="117">
        <f>HLOOKUP(Q$78,   POP!$A$5:$AE$63, MATCH($B82, POP!$A$5:$A$63,0), FALSE) / 10^6</f>
        <v>5.4139710000000001</v>
      </c>
      <c r="R82" s="117">
        <f>HLOOKUP(R$78,   POP!$A$5:$AE$63, MATCH($B82, POP!$A$5:$A$63,0), FALSE) / 10^6</f>
        <v>5.4389719999999997</v>
      </c>
      <c r="S82" s="117">
        <f>HLOOKUP(S$78,   POP!$A$5:$AE$63, MATCH($B82, POP!$A$5:$A$63,0), FALSE) / 10^6</f>
        <v>5.4615119999999999</v>
      </c>
      <c r="T82" s="117">
        <f>HLOOKUP(T$78,   POP!$A$5:$AE$63, MATCH($B82, POP!$A$5:$A$63,0), FALSE) / 10^6</f>
        <v>5.4795309999999997</v>
      </c>
      <c r="U82" s="117">
        <f>HLOOKUP(U$78,   POP!$A$5:$AE$63, MATCH($B82, POP!$A$5:$A$63,0), FALSE) / 10^6</f>
        <v>5.4953029999999998</v>
      </c>
      <c r="V82" s="117">
        <f>HLOOKUP(V$78,   POP!$A$5:$AE$63, MATCH($B82, POP!$A$5:$A$63,0), FALSE) / 10^6</f>
        <v>5.5082139999999997</v>
      </c>
      <c r="W82" s="117">
        <f>HLOOKUP(W$78,   POP!$A$5:$AE$63, MATCH($B82, POP!$A$5:$A$63,0), FALSE) / 10^6</f>
        <v>5.5155250000000002</v>
      </c>
      <c r="X82" s="117">
        <f>HLOOKUP(X$78,   POP!$A$5:$AE$63, MATCH($B82, POP!$A$5:$A$63,0), FALSE) / 10^6</f>
        <v>5.5216060000000002</v>
      </c>
      <c r="Y82" s="117">
        <f>HLOOKUP(Y$78,   POP!$A$5:$AE$63, MATCH($B82, POP!$A$5:$A$63,0), FALSE) / 10^6</f>
        <v>5.5295430000000003</v>
      </c>
      <c r="Z82" s="117">
        <f>HLOOKUP(Z$78,   POP!$A$5:$AE$63, MATCH($B82, POP!$A$5:$A$63,0), FALSE) / 10^6</f>
        <v>5.5410170000000001</v>
      </c>
      <c r="AA82" s="117">
        <f>HLOOKUP(AA$78,   POP!$A$5:$AE$63, MATCH($B82, POP!$A$5:$A$63,0), FALSE) / 10^6</f>
        <v>5.5561059999999998</v>
      </c>
      <c r="AB82" s="117">
        <f>HLOOKUP(AB$78,   POP!$A$5:$AE$63, MATCH($B82, POP!$A$5:$A$63,0), FALSE) / 10^6</f>
        <v>5.5839109999999996</v>
      </c>
      <c r="AC82" s="112"/>
      <c r="AD82" s="120">
        <f>HLOOKUP(AD$78,   POP!$A$5:$AE$63, MATCH($B82, POP!$A$5:$A$63,0), FALSE) / 10^6</f>
        <v>5.4795309999999997</v>
      </c>
      <c r="AE82" s="120">
        <f>HLOOKUP(AE$78,   POP!$A$5:$AE$63, MATCH($B82, POP!$A$5:$A$63,0), FALSE) / 10^6</f>
        <v>5.5295430000000003</v>
      </c>
      <c r="AF82" s="120">
        <f>HLOOKUP(AF$78,   POP!$A$5:$AE$63, MATCH($B82, POP!$A$5:$A$63,0), FALSE) / 10^6</f>
        <v>5.6037831047619058</v>
      </c>
      <c r="AG82" s="120">
        <f>HLOOKUP(AG$78,   POP!$A$5:$AE$63, MATCH($B82, POP!$A$5:$A$63,0), FALSE) / 10^6</f>
        <v>5.6438047833333354</v>
      </c>
      <c r="AH82" s="120">
        <f>HLOOKUP(AH$78,   POP!$A$5:$AE$63, MATCH($B82, POP!$A$5:$A$63,0), FALSE) / 10^6</f>
        <v>5.6704859023809533</v>
      </c>
      <c r="AI82" s="120">
        <f>HLOOKUP(AI$78,   POP!$A$5:$AE$63, MATCH($B82, POP!$A$5:$A$63,0), FALSE) / 10^6</f>
        <v>5.697167021428573</v>
      </c>
      <c r="AJ82" s="108"/>
      <c r="AM82" s="111"/>
    </row>
    <row r="83" spans="1:39">
      <c r="AF83" s="109"/>
      <c r="AJ83" s="108"/>
    </row>
    <row r="84" spans="1:39">
      <c r="AF84" s="109"/>
      <c r="AJ84" s="108"/>
    </row>
    <row r="85" spans="1:39">
      <c r="A85" s="108" t="s">
        <v>309</v>
      </c>
      <c r="B85" s="108" t="s">
        <v>91</v>
      </c>
      <c r="C85" s="109" t="s">
        <v>273</v>
      </c>
      <c r="D85" s="109" t="s">
        <v>268</v>
      </c>
      <c r="J85" s="116">
        <f t="shared" ref="J85:AB85" si="14">SUMIFS(J$146:J$160,$B$146:$B$160,$B85)</f>
        <v>7072.8</v>
      </c>
      <c r="K85" s="116">
        <f t="shared" si="14"/>
        <v>7183.5</v>
      </c>
      <c r="L85" s="116">
        <f t="shared" si="14"/>
        <v>6863.9</v>
      </c>
      <c r="M85" s="116">
        <f t="shared" si="14"/>
        <v>6532.9</v>
      </c>
      <c r="N85" s="116">
        <f t="shared" si="14"/>
        <v>7183.5</v>
      </c>
      <c r="O85" s="116">
        <f t="shared" si="14"/>
        <v>7770.9</v>
      </c>
      <c r="P85" s="116">
        <f t="shared" si="14"/>
        <v>6881.8</v>
      </c>
      <c r="Q85" s="116">
        <f t="shared" si="14"/>
        <v>7302.2</v>
      </c>
      <c r="R85" s="116">
        <f t="shared" si="14"/>
        <v>6958.2</v>
      </c>
      <c r="S85" s="116">
        <f t="shared" si="14"/>
        <v>6882.9</v>
      </c>
      <c r="T85" s="116">
        <f t="shared" si="14"/>
        <v>6440.5</v>
      </c>
      <c r="U85" s="116">
        <f t="shared" si="14"/>
        <v>7099.5</v>
      </c>
      <c r="V85" s="116">
        <f t="shared" si="14"/>
        <v>7100.6</v>
      </c>
      <c r="W85" s="116">
        <f t="shared" si="14"/>
        <v>7196.5</v>
      </c>
      <c r="X85" s="116">
        <f t="shared" si="14"/>
        <v>7037.8</v>
      </c>
      <c r="Y85" s="116">
        <f t="shared" si="14"/>
        <v>6418.2</v>
      </c>
      <c r="Z85" s="116">
        <f t="shared" si="14"/>
        <v>7495.8</v>
      </c>
      <c r="AA85" s="116">
        <f t="shared" si="14"/>
        <v>6895.2</v>
      </c>
      <c r="AB85" s="116">
        <f t="shared" si="14"/>
        <v>6672.2</v>
      </c>
      <c r="AC85" s="110"/>
      <c r="AD85" s="139">
        <f>AD87*AD89*1000 / AVERAGE($E86:$AB86)*AD86</f>
        <v>7073.6040298090911</v>
      </c>
      <c r="AE85" s="139">
        <f>AE87*AE89*1000 / AVERAGE($E86:$AB86)*AE86</f>
        <v>7088.8236484949975</v>
      </c>
      <c r="AF85" s="139">
        <f>AF87*AF89*1000 / AVERAGE($E86:$AB86)*AF86</f>
        <v>6894.0564264295008</v>
      </c>
      <c r="AG85" s="139">
        <f>AG87*AG89*1000 / AVERAGE($E86:$AB86)*AG86</f>
        <v>6748.807548879965</v>
      </c>
      <c r="AH85" s="139">
        <f>AH87*AH89*1000 / AVERAGE($E86:$AB86)*AH86</f>
        <v>6546.6201846226732</v>
      </c>
      <c r="AI85" s="139">
        <f>AI87*AI89*1000 / AVERAGE($E86:$AB86)*AI86</f>
        <v>6342.2362385433444</v>
      </c>
      <c r="AJ85" s="108"/>
    </row>
    <row r="86" spans="1:39">
      <c r="A86" s="108" t="str">
        <f t="shared" ref="A86" si="15">A85</f>
        <v>HKI</v>
      </c>
      <c r="B86" s="108" t="str">
        <f t="shared" ref="B86" si="16">B85</f>
        <v>Helsinki</v>
      </c>
      <c r="C86" s="109" t="s">
        <v>265</v>
      </c>
      <c r="E86" s="94">
        <f>HLOOKUP(E$78,   HDD!$A$4:$AG$55, MATCH($B86,HDD!$A$4:$A$55,0), FALSE)</f>
        <v>3271</v>
      </c>
      <c r="F86" s="94">
        <f>HLOOKUP(F$78,   HDD!$A$4:$AG$55, MATCH($B86,HDD!$A$4:$A$55,0), FALSE)</f>
        <v>3870.7</v>
      </c>
      <c r="G86" s="94">
        <f>HLOOKUP(G$78,   HDD!$A$4:$AG$55, MATCH($B86,HDD!$A$4:$A$55,0), FALSE)</f>
        <v>3941.4</v>
      </c>
      <c r="H86" s="94">
        <f>HLOOKUP(H$78,   HDD!$A$4:$AG$55, MATCH($B86,HDD!$A$4:$A$55,0), FALSE)</f>
        <v>4032.8</v>
      </c>
      <c r="I86" s="94">
        <f>HLOOKUP(I$78,   HDD!$A$4:$AG$55, MATCH($B86,HDD!$A$4:$A$55,0), FALSE)</f>
        <v>3756.8000000000006</v>
      </c>
      <c r="J86" s="94">
        <f>HLOOKUP(J$78,   HDD!$A$4:$AG$55, MATCH($B86,HDD!$A$4:$A$55,0), FALSE)</f>
        <v>3618</v>
      </c>
      <c r="K86" s="94">
        <f>HLOOKUP(K$78,   HDD!$A$4:$AG$55, MATCH($B86,HDD!$A$4:$A$55,0), FALSE)</f>
        <v>3675</v>
      </c>
      <c r="L86" s="94">
        <f>HLOOKUP(L$78,   HDD!$A$4:$AG$55, MATCH($B86,HDD!$A$4:$A$55,0), FALSE)</f>
        <v>3508.8</v>
      </c>
      <c r="M86" s="94">
        <f>HLOOKUP(M$78,   HDD!$A$4:$AG$55, MATCH($B86,HDD!$A$4:$A$55,0), FALSE)</f>
        <v>3244</v>
      </c>
      <c r="N86" s="94">
        <f>HLOOKUP(N$78,   HDD!$A$4:$AG$55, MATCH($B86,HDD!$A$4:$A$55,0), FALSE)</f>
        <v>3737</v>
      </c>
      <c r="O86" s="94">
        <f>HLOOKUP(O$78,   HDD!$A$4:$AG$55, MATCH($B86,HDD!$A$4:$A$55,0), FALSE)</f>
        <v>4376</v>
      </c>
      <c r="P86" s="94">
        <f>HLOOKUP(P$78,   HDD!$A$4:$AG$55, MATCH($B86,HDD!$A$4:$A$55,0), FALSE)</f>
        <v>3493</v>
      </c>
      <c r="Q86" s="94">
        <f>HLOOKUP(Q$78,   HDD!$A$4:$AG$55, MATCH($B86,HDD!$A$4:$A$55,0), FALSE)</f>
        <v>3797</v>
      </c>
      <c r="R86" s="94">
        <f>HLOOKUP(R$78,   HDD!$A$4:$AG$55, MATCH($B86,HDD!$A$4:$A$55,0), FALSE)</f>
        <v>3592</v>
      </c>
      <c r="S86" s="94">
        <f>HLOOKUP(S$78,   HDD!$A$4:$AG$55, MATCH($B86,HDD!$A$4:$A$55,0), FALSE)</f>
        <v>3464</v>
      </c>
      <c r="T86" s="94">
        <f>HLOOKUP(T$78,   HDD!$A$4:$AG$55, MATCH($B86,HDD!$A$4:$A$55,0), FALSE)</f>
        <v>3118</v>
      </c>
      <c r="U86" s="94">
        <f>HLOOKUP(U$78,   HDD!$A$4:$AG$55, MATCH($B86,HDD!$A$4:$A$55,0), FALSE)</f>
        <v>3589</v>
      </c>
      <c r="V86" s="94">
        <f>HLOOKUP(V$78,   HDD!$A$4:$AG$55, MATCH($B86,HDD!$A$4:$A$55,0), FALSE)</f>
        <v>3549</v>
      </c>
      <c r="W86" s="94">
        <f>HLOOKUP(W$78,   HDD!$A$4:$AG$55, MATCH($B86,HDD!$A$4:$A$55,0), FALSE)</f>
        <v>3552</v>
      </c>
      <c r="X86" s="94">
        <f>HLOOKUP(X$78,   HDD!$A$4:$AG$55, MATCH($B86,HDD!$A$4:$A$55,0), FALSE)</f>
        <v>3419</v>
      </c>
      <c r="Y86" s="94">
        <f>HLOOKUP(Y$78,   HDD!$A$4:$AG$55, MATCH($B86,HDD!$A$4:$A$55,0), FALSE)</f>
        <v>2906</v>
      </c>
      <c r="Z86" s="94">
        <f>HLOOKUP(Z$78,   HDD!$A$4:$AG$55, MATCH($B86,HDD!$A$4:$A$55,0), FALSE)</f>
        <v>3831</v>
      </c>
      <c r="AA86" s="94">
        <f>HLOOKUP(AA$78,   HDD!$A$4:$AG$55, MATCH($B86,HDD!$A$4:$A$55,0), FALSE)</f>
        <v>3541</v>
      </c>
      <c r="AB86" s="94">
        <f>HLOOKUP(AB$78,   HDD!$A$4:$AG$55, MATCH($B86,HDD!$A$4:$A$55,0), FALSE)</f>
        <v>3493</v>
      </c>
      <c r="AC86" s="110"/>
      <c r="AD86" s="119">
        <f>HLOOKUP(AD$78,   HDD!$AA$4:$AG$55, MATCH($B86,HDD!$A$4:$A$55,0), FALSE)</f>
        <v>3546.3308461538436</v>
      </c>
      <c r="AE86" s="119">
        <f>HLOOKUP(AE$78,   HDD!$AA$4:$AG$55, MATCH($B86,HDD!$A$4:$A$55,0), FALSE)</f>
        <v>3471.8489230769192</v>
      </c>
      <c r="AF86" s="119">
        <f>HLOOKUP(AF$78,   HDD!$AA$4:$AG$55, MATCH($B86,HDD!$A$4:$A$55,0), FALSE)</f>
        <v>3397.3669999999984</v>
      </c>
      <c r="AG86" s="119">
        <f>HLOOKUP(AG$78,   HDD!$AA$4:$AG$55, MATCH($B86,HDD!$A$4:$A$55,0), FALSE)</f>
        <v>3322.8850769230739</v>
      </c>
      <c r="AH86" s="119">
        <f>HLOOKUP(AH$78,   HDD!$AA$4:$AG$55, MATCH($B86,HDD!$A$4:$A$55,0), FALSE)</f>
        <v>3248.4031538461495</v>
      </c>
      <c r="AI86" s="119">
        <f>HLOOKUP(AI$78,   HDD!$AA$4:$AG$55, MATCH($B86,HDD!$A$4:$A$55,0), FALSE)</f>
        <v>3173.9212307692287</v>
      </c>
      <c r="AJ86" s="108"/>
      <c r="AM86" s="111"/>
    </row>
    <row r="87" spans="1:39">
      <c r="A87" s="108" t="str">
        <f t="shared" ref="A87" si="17">A86</f>
        <v>HKI</v>
      </c>
      <c r="B87" s="108" t="str">
        <f t="shared" ref="B87" si="18">B86</f>
        <v>Helsinki</v>
      </c>
      <c r="C87" s="109" t="s">
        <v>266</v>
      </c>
      <c r="D87" s="109" t="s">
        <v>267</v>
      </c>
      <c r="E87" s="117">
        <f>HLOOKUP(E$78,   POP!$A$5:$AE$63, MATCH($B87, POP!$A$5:$A$63,0), FALSE) / 10^6</f>
        <v>0.55547400000000002</v>
      </c>
      <c r="F87" s="117">
        <f>HLOOKUP(F$78,   POP!$A$5:$AE$63, MATCH($B87, POP!$A$5:$A$63,0), FALSE) / 10^6</f>
        <v>0.55971800000000005</v>
      </c>
      <c r="G87" s="117">
        <f>HLOOKUP(G$78,   POP!$A$5:$AE$63, MATCH($B87, POP!$A$5:$A$63,0), FALSE) / 10^6</f>
        <v>0.55971599999999999</v>
      </c>
      <c r="H87" s="117">
        <f>HLOOKUP(H$78,   POP!$A$5:$AE$63, MATCH($B87, POP!$A$5:$A$63,0), FALSE) / 10^6</f>
        <v>0.55932999999999999</v>
      </c>
      <c r="I87" s="117">
        <f>HLOOKUP(I$78,   POP!$A$5:$AE$63, MATCH($B87, POP!$A$5:$A$63,0), FALSE) / 10^6</f>
        <v>0.55904600000000004</v>
      </c>
      <c r="J87" s="117">
        <f>HLOOKUP(J$78,   POP!$A$5:$AE$63, MATCH($B87, POP!$A$5:$A$63,0), FALSE) / 10^6</f>
        <v>0.56090499999999999</v>
      </c>
      <c r="K87" s="117">
        <f>HLOOKUP(K$78,   POP!$A$5:$AE$63, MATCH($B87, POP!$A$5:$A$63,0), FALSE) / 10^6</f>
        <v>0.56452100000000005</v>
      </c>
      <c r="L87" s="117">
        <f>HLOOKUP(L$78,   POP!$A$5:$AE$63, MATCH($B87, POP!$A$5:$A$63,0), FALSE) / 10^6</f>
        <v>0.56853100000000001</v>
      </c>
      <c r="M87" s="117">
        <f>HLOOKUP(M$78,   POP!$A$5:$AE$63, MATCH($B87, POP!$A$5:$A$63,0), FALSE) / 10^6</f>
        <v>0.57663200000000003</v>
      </c>
      <c r="N87" s="117">
        <f>HLOOKUP(N$78,   POP!$A$5:$AE$63, MATCH($B87, POP!$A$5:$A$63,0), FALSE) / 10^6</f>
        <v>0.58335000000000004</v>
      </c>
      <c r="O87" s="117">
        <f>HLOOKUP(O$78,   POP!$A$5:$AE$63, MATCH($B87, POP!$A$5:$A$63,0), FALSE) / 10^6</f>
        <v>0.58854899999999999</v>
      </c>
      <c r="P87" s="117">
        <f>HLOOKUP(P$78,   POP!$A$5:$AE$63, MATCH($B87, POP!$A$5:$A$63,0), FALSE) / 10^6</f>
        <v>0.59538400000000002</v>
      </c>
      <c r="Q87" s="117">
        <f>HLOOKUP(Q$78,   POP!$A$5:$AE$63, MATCH($B87, POP!$A$5:$A$63,0), FALSE) / 10^6</f>
        <v>0.60396799999999995</v>
      </c>
      <c r="R87" s="117">
        <f>HLOOKUP(R$78,   POP!$A$5:$AE$63, MATCH($B87, POP!$A$5:$A$63,0), FALSE) / 10^6</f>
        <v>0.61266399999999999</v>
      </c>
      <c r="S87" s="117">
        <f>HLOOKUP(S$78,   POP!$A$5:$AE$63, MATCH($B87, POP!$A$5:$A$63,0), FALSE) / 10^6</f>
        <v>0.62071500000000002</v>
      </c>
      <c r="T87" s="117">
        <f>HLOOKUP(T$78,   POP!$A$5:$AE$63, MATCH($B87, POP!$A$5:$A$63,0), FALSE) / 10^6</f>
        <v>0.62820799999999999</v>
      </c>
      <c r="U87" s="117">
        <f>HLOOKUP(U$78,   POP!$A$5:$AE$63, MATCH($B87, POP!$A$5:$A$63,0), FALSE) / 10^6</f>
        <v>0.635181</v>
      </c>
      <c r="V87" s="117">
        <f>HLOOKUP(V$78,   POP!$A$5:$AE$63, MATCH($B87, POP!$A$5:$A$63,0), FALSE) / 10^6</f>
        <v>0.64327199999999995</v>
      </c>
      <c r="W87" s="117">
        <f>HLOOKUP(W$78,   POP!$A$5:$AE$63, MATCH($B87, POP!$A$5:$A$63,0), FALSE) / 10^6</f>
        <v>0.64804200000000001</v>
      </c>
      <c r="X87" s="117">
        <f>HLOOKUP(X$78,   POP!$A$5:$AE$63, MATCH($B87, POP!$A$5:$A$63,0), FALSE) / 10^6</f>
        <v>0.65383500000000006</v>
      </c>
      <c r="Y87" s="117">
        <f>HLOOKUP(Y$78,   POP!$A$5:$AE$63, MATCH($B87, POP!$A$5:$A$63,0), FALSE) / 10^6</f>
        <v>0.65691999999999995</v>
      </c>
      <c r="Z87" s="117">
        <f>HLOOKUP(Z$78,   POP!$A$5:$AE$63, MATCH($B87, POP!$A$5:$A$63,0), FALSE) / 10^6</f>
        <v>0.65845699999999996</v>
      </c>
      <c r="AA87" s="117">
        <f>HLOOKUP(AA$78,   POP!$A$5:$AE$63, MATCH($B87, POP!$A$5:$A$63,0), FALSE) / 10^6</f>
        <v>0.66402799999999995</v>
      </c>
      <c r="AB87" s="117">
        <f>HLOOKUP(AB$78,   POP!$A$5:$AE$63, MATCH($B87, POP!$A$5:$A$63,0), FALSE) / 10^6</f>
        <v>0.67449999999999999</v>
      </c>
      <c r="AC87" s="112"/>
      <c r="AD87" s="120">
        <f>HLOOKUP(AD$78,   POP!$A$5:$AE$63, MATCH($B87, POP!$A$5:$A$63,0), FALSE) / 10^6</f>
        <v>0.62820799999999999</v>
      </c>
      <c r="AE87" s="120">
        <f>HLOOKUP(AE$78,   POP!$A$5:$AE$63, MATCH($B87, POP!$A$5:$A$63,0), FALSE) / 10^6</f>
        <v>0.65691999999999995</v>
      </c>
      <c r="AF87" s="120">
        <f>HLOOKUP(AF$78,   POP!$A$5:$AE$63, MATCH($B87, POP!$A$5:$A$63,0), FALSE) / 10^6</f>
        <v>0.68289042857142723</v>
      </c>
      <c r="AG87" s="120">
        <f>HLOOKUP(AG$78,   POP!$A$5:$AE$63, MATCH($B87, POP!$A$5:$A$63,0), FALSE) / 10^6</f>
        <v>0.6990629999999991</v>
      </c>
      <c r="AH87" s="120">
        <f>HLOOKUP(AH$78,   POP!$A$5:$AE$63, MATCH($B87, POP!$A$5:$A$63,0), FALSE) / 10^6</f>
        <v>0.70984471428571305</v>
      </c>
      <c r="AI87" s="120">
        <f>HLOOKUP(AI$78,   POP!$A$5:$AE$63, MATCH($B87, POP!$A$5:$A$63,0), FALSE) / 10^6</f>
        <v>0.72062642857142756</v>
      </c>
      <c r="AJ87" s="108"/>
      <c r="AM87" s="111"/>
    </row>
    <row r="88" spans="1:39">
      <c r="A88" s="108" t="str">
        <f t="shared" ref="A88:A89" si="19">A87</f>
        <v>HKI</v>
      </c>
      <c r="B88" s="108" t="str">
        <f t="shared" ref="B88:B89" si="20">B87</f>
        <v>Helsinki</v>
      </c>
      <c r="C88" s="59" t="s">
        <v>164</v>
      </c>
      <c r="J88" s="112">
        <f>J85/J86*AVERAGE($E86:$AB86)</f>
        <v>7035.6163211719177</v>
      </c>
      <c r="K88" s="112">
        <f>K85/K86*AVERAGE($E86:$AB86)</f>
        <v>7034.9025425170057</v>
      </c>
      <c r="L88" s="112">
        <f>L85/L86*AVERAGE($E86:$AB86)</f>
        <v>7040.3081116288568</v>
      </c>
      <c r="M88" s="112">
        <f>M85/M86*AVERAGE($E86:$AB86)</f>
        <v>7247.7715776561845</v>
      </c>
      <c r="N88" s="112">
        <f>N85/N86*AVERAGE($E86:$AB86)</f>
        <v>6918.1875418116133</v>
      </c>
      <c r="O88" s="112">
        <f>O85/O86*AVERAGE($E86:$AB86)</f>
        <v>6391.0665462180068</v>
      </c>
      <c r="P88" s="112">
        <f>P85/P86*AVERAGE($E86:$AB86)</f>
        <v>7090.5968591945793</v>
      </c>
      <c r="Q88" s="112">
        <f>Q85/Q86*AVERAGE($E86:$AB86)</f>
        <v>6921.3762630585543</v>
      </c>
      <c r="R88" s="112">
        <f>R85/R86*AVERAGE($E86:$AB86)</f>
        <v>6971.7196095489971</v>
      </c>
      <c r="S88" s="112">
        <f>S85/S86*AVERAGE($E86:$AB86)</f>
        <v>7151.1009544601611</v>
      </c>
      <c r="T88" s="112">
        <f>T85/T86*AVERAGE($E86:$AB86)</f>
        <v>7434.004272904639</v>
      </c>
      <c r="U88" s="112">
        <f>U85/U86*AVERAGE($E86:$AB86)</f>
        <v>7119.240065129562</v>
      </c>
      <c r="V88" s="112">
        <f>V85/V86*AVERAGE($E86:$AB86)</f>
        <v>7200.5949481074476</v>
      </c>
      <c r="W88" s="112">
        <f>W85/W86*AVERAGE($E86:$AB86)</f>
        <v>7291.6817491319434</v>
      </c>
      <c r="X88" s="112">
        <f>X85/X86*AVERAGE($E86:$AB86)</f>
        <v>7408.2759810373409</v>
      </c>
      <c r="Y88" s="112">
        <f>Y85/Y86*AVERAGE($E86:$AB86)</f>
        <v>7948.7157906056427</v>
      </c>
      <c r="Z88" s="112">
        <f>Z85/Z86*AVERAGE($E86:$AB86)</f>
        <v>7041.8240766118506</v>
      </c>
      <c r="AA88" s="112">
        <f>AA85/AA86*AVERAGE($E86:$AB86)</f>
        <v>7008.0997317142046</v>
      </c>
      <c r="AB88" s="112">
        <f>AB85/AB86*AVERAGE($E86:$AB86)</f>
        <v>6874.6375023857236</v>
      </c>
      <c r="AG88" s="108"/>
      <c r="AH88" s="108"/>
      <c r="AI88" s="108"/>
      <c r="AJ88" s="108"/>
      <c r="AM88" s="111"/>
    </row>
    <row r="89" spans="1:39">
      <c r="A89" s="108" t="str">
        <f t="shared" si="19"/>
        <v>HKI</v>
      </c>
      <c r="B89" s="108" t="str">
        <f t="shared" si="20"/>
        <v>Helsinki</v>
      </c>
      <c r="C89" s="59" t="s">
        <v>295</v>
      </c>
      <c r="D89" s="138"/>
      <c r="J89" s="112">
        <f>J88/J87/1000</f>
        <v>12.543329656843703</v>
      </c>
      <c r="K89" s="112">
        <f t="shared" ref="K89" si="21">K88/K87/1000</f>
        <v>12.461719834190411</v>
      </c>
      <c r="L89" s="112">
        <f t="shared" ref="L89" si="22">L88/L87/1000</f>
        <v>12.383331975967637</v>
      </c>
      <c r="M89" s="112">
        <f t="shared" ref="M89" si="23">M88/M87/1000</f>
        <v>12.569145620874638</v>
      </c>
      <c r="N89" s="112">
        <f t="shared" ref="N89" si="24">N88/N87/1000</f>
        <v>11.859411231356155</v>
      </c>
      <c r="O89" s="112">
        <f t="shared" ref="O89" si="25">O88/O87/1000</f>
        <v>10.859022012131542</v>
      </c>
      <c r="P89" s="112">
        <f t="shared" ref="P89" si="26">P88/P87/1000</f>
        <v>11.909283519870501</v>
      </c>
      <c r="Q89" s="112">
        <f t="shared" ref="Q89" si="27">Q88/Q87/1000</f>
        <v>11.459839367414425</v>
      </c>
      <c r="R89" s="112">
        <f t="shared" ref="R89" si="28">R88/R87/1000</f>
        <v>11.379352482843773</v>
      </c>
      <c r="S89" s="112">
        <f t="shared" ref="S89" si="29">S88/S87/1000</f>
        <v>11.520747773873937</v>
      </c>
      <c r="T89" s="112">
        <f t="shared" ref="T89" si="30">T88/T87/1000</f>
        <v>11.833666990717468</v>
      </c>
      <c r="U89" s="112">
        <f t="shared" ref="U89" si="31">U88/U87/1000</f>
        <v>11.208206897135717</v>
      </c>
      <c r="V89" s="112">
        <f t="shared" ref="V89" si="32">V88/V87/1000</f>
        <v>11.193701805935046</v>
      </c>
      <c r="W89" s="112">
        <f t="shared" ref="W89" si="33">W88/W87/1000</f>
        <v>11.251866004258897</v>
      </c>
      <c r="X89" s="112">
        <f t="shared" ref="X89" si="34">X88/X87/1000</f>
        <v>11.330497726547737</v>
      </c>
      <c r="Y89" s="112">
        <f t="shared" ref="Y89" si="35">Y88/Y87/1000</f>
        <v>12.099975325162339</v>
      </c>
      <c r="Z89" s="112">
        <f t="shared" ref="Z89" si="36">Z88/Z87/1000</f>
        <v>10.694432706481747</v>
      </c>
      <c r="AA89" s="112">
        <f t="shared" ref="AA89" si="37">AA88/AA87/1000</f>
        <v>10.55392202093015</v>
      </c>
      <c r="AB89" s="112">
        <f t="shared" ref="AB89" si="38">AB88/AB87/1000</f>
        <v>10.192197927925461</v>
      </c>
      <c r="AD89" s="156">
        <f>AVERAGE(R89:V89)</f>
        <v>11.427135190101188</v>
      </c>
      <c r="AE89" s="156">
        <f>AVERAGE(W89:AA89)</f>
        <v>11.186138756676176</v>
      </c>
      <c r="AF89" s="140">
        <f t="array" ref="AF89">(TREND($J89:$AB89,$J$78:$AB$78,AF$78) - TREND($J89:$AB89,$J$78:$AB$78,AB$78)) + AVERAGE($Y89:$AB89)</f>
        <v>10.69450472545107</v>
      </c>
      <c r="AG89" s="140">
        <f t="array" ref="AG89">(TREND($J89:$AB89,$J$78:$AB$78,AG$78) - TREND($J89:$AB89,$J$78:$AB$78,AF$78))/2 +AF89</f>
        <v>10.456220638358774</v>
      </c>
      <c r="AH89" s="140">
        <f t="array" ref="AH89">(TREND($J89:$AB89,$J$78:$AB$78,AH$78) - TREND($J89:$AB89,$J$78:$AB$78,AG$78))/2 +AG89</f>
        <v>10.217936551266478</v>
      </c>
      <c r="AI89" s="140">
        <f t="array" ref="AI89">(TREND($J89:$AB89,$J$78:$AB$78,AI$78) - TREND($J89:$AB89,$J$78:$AB$78,AH$78))/2 +AH89</f>
        <v>9.9796524641741815</v>
      </c>
      <c r="AJ89" s="108"/>
      <c r="AM89" s="111"/>
    </row>
    <row r="90" spans="1:39">
      <c r="AG90" s="108"/>
      <c r="AH90" s="108"/>
      <c r="AI90" s="108"/>
      <c r="AJ90" s="108"/>
      <c r="AM90" s="111"/>
    </row>
    <row r="91" spans="1:39">
      <c r="C91" s="109"/>
      <c r="D91" s="109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  <c r="AF91" s="112"/>
      <c r="AG91" s="112"/>
      <c r="AH91" s="112"/>
      <c r="AI91" s="112"/>
      <c r="AJ91" s="108"/>
    </row>
    <row r="92" spans="1:39">
      <c r="A92" s="108" t="s">
        <v>310</v>
      </c>
      <c r="B92" s="108" t="s">
        <v>92</v>
      </c>
      <c r="C92" s="109" t="s">
        <v>273</v>
      </c>
      <c r="D92" s="109" t="s">
        <v>268</v>
      </c>
      <c r="J92" s="116">
        <f t="shared" ref="J92:AB92" si="39">SUMIFS(J$146:J$160,$B$146:$B$160,$B92)</f>
        <v>2107.6</v>
      </c>
      <c r="K92" s="116">
        <f t="shared" si="39"/>
        <v>2191.5</v>
      </c>
      <c r="L92" s="116">
        <f t="shared" si="39"/>
        <v>2103.5</v>
      </c>
      <c r="M92" s="116">
        <f t="shared" si="39"/>
        <v>2125.6999999999998</v>
      </c>
      <c r="N92" s="116">
        <f t="shared" si="39"/>
        <v>2363.3000000000002</v>
      </c>
      <c r="O92" s="116">
        <f t="shared" si="39"/>
        <v>2504.4</v>
      </c>
      <c r="P92" s="116">
        <f t="shared" si="39"/>
        <v>2187.6</v>
      </c>
      <c r="Q92" s="116">
        <f t="shared" si="39"/>
        <v>2390.5</v>
      </c>
      <c r="R92" s="116">
        <f t="shared" si="39"/>
        <v>2288.1999999999998</v>
      </c>
      <c r="S92" s="116">
        <f t="shared" si="39"/>
        <v>2280.1</v>
      </c>
      <c r="T92" s="116">
        <f t="shared" si="39"/>
        <v>2146.1</v>
      </c>
      <c r="U92" s="116">
        <f t="shared" si="39"/>
        <v>2413.6999999999998</v>
      </c>
      <c r="V92" s="116">
        <f t="shared" si="39"/>
        <v>2389.8000000000002</v>
      </c>
      <c r="W92" s="116">
        <f t="shared" si="39"/>
        <v>2380.6999999999998</v>
      </c>
      <c r="X92" s="116">
        <f t="shared" si="39"/>
        <v>2370.9</v>
      </c>
      <c r="Y92" s="116">
        <f t="shared" si="39"/>
        <v>2152.4</v>
      </c>
      <c r="Z92" s="116">
        <f t="shared" si="39"/>
        <v>2492.4</v>
      </c>
      <c r="AA92" s="116">
        <f t="shared" si="39"/>
        <v>2344.4</v>
      </c>
      <c r="AB92" s="116">
        <f t="shared" si="39"/>
        <v>2151</v>
      </c>
      <c r="AC92" s="110"/>
      <c r="AD92" s="139">
        <f>AD94*AD96*1000 / AVERAGE($E93:$AB93)*AD93</f>
        <v>2360.5086565648403</v>
      </c>
      <c r="AE92" s="139">
        <f>AE94*AE96*1000 / AVERAGE($E93:$AB93)*AE93</f>
        <v>2367.4261149782324</v>
      </c>
      <c r="AF92" s="139">
        <f>AF94*AF96*1000 / AVERAGE($E93:$AB93)*AF93</f>
        <v>2311.6653064160796</v>
      </c>
      <c r="AG92" s="139">
        <f>AG94*AG96*1000 / AVERAGE($E93:$AB93)*AG93</f>
        <v>2288.9008612304806</v>
      </c>
      <c r="AH92" s="139">
        <f>AH94*AH96*1000 / AVERAGE($E93:$AB93)*AH93</f>
        <v>2234.2092575747033</v>
      </c>
      <c r="AI92" s="139">
        <f>AI94*AI96*1000 / AVERAGE($E93:$AB93)*AI93</f>
        <v>2176.9856112614489</v>
      </c>
      <c r="AJ92" s="108"/>
    </row>
    <row r="93" spans="1:39">
      <c r="A93" s="108" t="str">
        <f t="shared" ref="A93:A96" si="40">A92</f>
        <v>ESP</v>
      </c>
      <c r="B93" s="108" t="str">
        <f t="shared" ref="B93:B96" si="41">B92</f>
        <v>Espoo</v>
      </c>
      <c r="C93" s="109" t="s">
        <v>265</v>
      </c>
      <c r="E93" s="94">
        <f>HLOOKUP(E$78,   HDD!$A$4:$AG$55, MATCH($B93,HDD!$A$4:$A$55,0), FALSE)</f>
        <v>3271</v>
      </c>
      <c r="F93" s="94">
        <f>HLOOKUP(F$78,   HDD!$A$4:$AG$55, MATCH($B93,HDD!$A$4:$A$55,0), FALSE)</f>
        <v>3870.7</v>
      </c>
      <c r="G93" s="94">
        <f>HLOOKUP(G$78,   HDD!$A$4:$AG$55, MATCH($B93,HDD!$A$4:$A$55,0), FALSE)</f>
        <v>3941.4</v>
      </c>
      <c r="H93" s="94">
        <f>HLOOKUP(H$78,   HDD!$A$4:$AG$55, MATCH($B93,HDD!$A$4:$A$55,0), FALSE)</f>
        <v>4032.8</v>
      </c>
      <c r="I93" s="94">
        <f>HLOOKUP(I$78,   HDD!$A$4:$AG$55, MATCH($B93,HDD!$A$4:$A$55,0), FALSE)</f>
        <v>3756.8000000000006</v>
      </c>
      <c r="J93" s="94">
        <f>HLOOKUP(J$78,   HDD!$A$4:$AG$55, MATCH($B93,HDD!$A$4:$A$55,0), FALSE)</f>
        <v>3618</v>
      </c>
      <c r="K93" s="94">
        <f>HLOOKUP(K$78,   HDD!$A$4:$AG$55, MATCH($B93,HDD!$A$4:$A$55,0), FALSE)</f>
        <v>3675</v>
      </c>
      <c r="L93" s="94">
        <f>HLOOKUP(L$78,   HDD!$A$4:$AG$55, MATCH($B93,HDD!$A$4:$A$55,0), FALSE)</f>
        <v>3508.8</v>
      </c>
      <c r="M93" s="94">
        <f>HLOOKUP(M$78,   HDD!$A$4:$AG$55, MATCH($B93,HDD!$A$4:$A$55,0), FALSE)</f>
        <v>3244</v>
      </c>
      <c r="N93" s="94">
        <f>HLOOKUP(N$78,   HDD!$A$4:$AG$55, MATCH($B93,HDD!$A$4:$A$55,0), FALSE)</f>
        <v>3737</v>
      </c>
      <c r="O93" s="94">
        <f>HLOOKUP(O$78,   HDD!$A$4:$AG$55, MATCH($B93,HDD!$A$4:$A$55,0), FALSE)</f>
        <v>4376</v>
      </c>
      <c r="P93" s="94">
        <f>HLOOKUP(P$78,   HDD!$A$4:$AG$55, MATCH($B93,HDD!$A$4:$A$55,0), FALSE)</f>
        <v>3493</v>
      </c>
      <c r="Q93" s="94">
        <f>HLOOKUP(Q$78,   HDD!$A$4:$AG$55, MATCH($B93,HDD!$A$4:$A$55,0), FALSE)</f>
        <v>3797</v>
      </c>
      <c r="R93" s="94">
        <f>HLOOKUP(R$78,   HDD!$A$4:$AG$55, MATCH($B93,HDD!$A$4:$A$55,0), FALSE)</f>
        <v>3592</v>
      </c>
      <c r="S93" s="94">
        <f>HLOOKUP(S$78,   HDD!$A$4:$AG$55, MATCH($B93,HDD!$A$4:$A$55,0), FALSE)</f>
        <v>3464</v>
      </c>
      <c r="T93" s="94">
        <f>HLOOKUP(T$78,   HDD!$A$4:$AG$55, MATCH($B93,HDD!$A$4:$A$55,0), FALSE)</f>
        <v>3118</v>
      </c>
      <c r="U93" s="94">
        <f>HLOOKUP(U$78,   HDD!$A$4:$AG$55, MATCH($B93,HDD!$A$4:$A$55,0), FALSE)</f>
        <v>3589</v>
      </c>
      <c r="V93" s="94">
        <f>HLOOKUP(V$78,   HDD!$A$4:$AG$55, MATCH($B93,HDD!$A$4:$A$55,0), FALSE)</f>
        <v>3549</v>
      </c>
      <c r="W93" s="94">
        <f>HLOOKUP(W$78,   HDD!$A$4:$AG$55, MATCH($B93,HDD!$A$4:$A$55,0), FALSE)</f>
        <v>3552</v>
      </c>
      <c r="X93" s="94">
        <f>HLOOKUP(X$78,   HDD!$A$4:$AG$55, MATCH($B93,HDD!$A$4:$A$55,0), FALSE)</f>
        <v>3419</v>
      </c>
      <c r="Y93" s="94">
        <f>HLOOKUP(Y$78,   HDD!$A$4:$AG$55, MATCH($B93,HDD!$A$4:$A$55,0), FALSE)</f>
        <v>2906</v>
      </c>
      <c r="Z93" s="94">
        <f>HLOOKUP(Z$78,   HDD!$A$4:$AG$55, MATCH($B93,HDD!$A$4:$A$55,0), FALSE)</f>
        <v>3831</v>
      </c>
      <c r="AA93" s="94">
        <f>HLOOKUP(AA$78,   HDD!$A$4:$AG$55, MATCH($B93,HDD!$A$4:$A$55,0), FALSE)</f>
        <v>3541</v>
      </c>
      <c r="AB93" s="94">
        <f>HLOOKUP(AB$78,   HDD!$A$4:$AG$55, MATCH($B93,HDD!$A$4:$A$55,0), FALSE)</f>
        <v>3493</v>
      </c>
      <c r="AC93" s="110"/>
      <c r="AD93" s="119">
        <f>HLOOKUP(AD$78,   HDD!$AA$4:$AG$55, MATCH($B93,HDD!$A$4:$A$55,0), FALSE)</f>
        <v>3546.3308461538436</v>
      </c>
      <c r="AE93" s="119">
        <f>HLOOKUP(AE$78,   HDD!$AA$4:$AG$55, MATCH($B93,HDD!$A$4:$A$55,0), FALSE)</f>
        <v>3471.8489230769192</v>
      </c>
      <c r="AF93" s="119">
        <f>HLOOKUP(AF$78,   HDD!$AA$4:$AG$55, MATCH($B93,HDD!$A$4:$A$55,0), FALSE)</f>
        <v>3397.3669999999984</v>
      </c>
      <c r="AG93" s="119">
        <f>HLOOKUP(AG$78,   HDD!$AA$4:$AG$55, MATCH($B93,HDD!$A$4:$A$55,0), FALSE)</f>
        <v>3322.8850769230739</v>
      </c>
      <c r="AH93" s="119">
        <f>HLOOKUP(AH$78,   HDD!$AA$4:$AG$55, MATCH($B93,HDD!$A$4:$A$55,0), FALSE)</f>
        <v>3248.4031538461495</v>
      </c>
      <c r="AI93" s="119">
        <f>HLOOKUP(AI$78,   HDD!$AA$4:$AG$55, MATCH($B93,HDD!$A$4:$A$55,0), FALSE)</f>
        <v>3173.9212307692287</v>
      </c>
      <c r="AJ93" s="108"/>
      <c r="AM93" s="111"/>
    </row>
    <row r="94" spans="1:39">
      <c r="A94" s="108" t="str">
        <f t="shared" si="40"/>
        <v>ESP</v>
      </c>
      <c r="B94" s="108" t="str">
        <f t="shared" si="41"/>
        <v>Espoo</v>
      </c>
      <c r="C94" s="109" t="s">
        <v>266</v>
      </c>
      <c r="D94" s="109" t="s">
        <v>267</v>
      </c>
      <c r="E94" s="117">
        <f>HLOOKUP(E$78,   POP!$A$5:$AE$63, MATCH($B94, POP!$A$5:$A$63,0), FALSE) / 10^6</f>
        <v>0.21327099999999999</v>
      </c>
      <c r="F94" s="117">
        <f>HLOOKUP(F$78,   POP!$A$5:$AE$63, MATCH($B94, POP!$A$5:$A$63,0), FALSE) / 10^6</f>
        <v>0.216836</v>
      </c>
      <c r="G94" s="117">
        <f>HLOOKUP(G$78,   POP!$A$5:$AE$63, MATCH($B94, POP!$A$5:$A$63,0), FALSE) / 10^6</f>
        <v>0.22159699999999999</v>
      </c>
      <c r="H94" s="117">
        <f>HLOOKUP(H$78,   POP!$A$5:$AE$63, MATCH($B94, POP!$A$5:$A$63,0), FALSE) / 10^6</f>
        <v>0.22423100000000001</v>
      </c>
      <c r="I94" s="117">
        <f>HLOOKUP(I$78,   POP!$A$5:$AE$63, MATCH($B94, POP!$A$5:$A$63,0), FALSE) / 10^6</f>
        <v>0.22747200000000001</v>
      </c>
      <c r="J94" s="117">
        <f>HLOOKUP(J$78,   POP!$A$5:$AE$63, MATCH($B94, POP!$A$5:$A$63,0), FALSE) / 10^6</f>
        <v>0.23170399999999999</v>
      </c>
      <c r="K94" s="117">
        <f>HLOOKUP(K$78,   POP!$A$5:$AE$63, MATCH($B94, POP!$A$5:$A$63,0), FALSE) / 10^6</f>
        <v>0.23501900000000001</v>
      </c>
      <c r="L94" s="117">
        <f>HLOOKUP(L$78,   POP!$A$5:$AE$63, MATCH($B94, POP!$A$5:$A$63,0), FALSE) / 10^6</f>
        <v>0.23804700000000001</v>
      </c>
      <c r="M94" s="117">
        <f>HLOOKUP(M$78,   POP!$A$5:$AE$63, MATCH($B94, POP!$A$5:$A$63,0), FALSE) / 10^6</f>
        <v>0.241565</v>
      </c>
      <c r="N94" s="117">
        <f>HLOOKUP(N$78,   POP!$A$5:$AE$63, MATCH($B94, POP!$A$5:$A$63,0), FALSE) / 10^6</f>
        <v>0.24432999999999999</v>
      </c>
      <c r="O94" s="117">
        <f>HLOOKUP(O$78,   POP!$A$5:$AE$63, MATCH($B94, POP!$A$5:$A$63,0), FALSE) / 10^6</f>
        <v>0.24797</v>
      </c>
      <c r="P94" s="117">
        <f>HLOOKUP(P$78,   POP!$A$5:$AE$63, MATCH($B94, POP!$A$5:$A$63,0), FALSE) / 10^6</f>
        <v>0.25243900000000002</v>
      </c>
      <c r="Q94" s="117">
        <f>HLOOKUP(Q$78,   POP!$A$5:$AE$63, MATCH($B94, POP!$A$5:$A$63,0), FALSE) / 10^6</f>
        <v>0.256824</v>
      </c>
      <c r="R94" s="117">
        <f>HLOOKUP(R$78,   POP!$A$5:$AE$63, MATCH($B94, POP!$A$5:$A$63,0), FALSE) / 10^6</f>
        <v>0.26075300000000001</v>
      </c>
      <c r="S94" s="117">
        <f>HLOOKUP(S$78,   POP!$A$5:$AE$63, MATCH($B94, POP!$A$5:$A$63,0), FALSE) / 10^6</f>
        <v>0.26554299999999997</v>
      </c>
      <c r="T94" s="117">
        <f>HLOOKUP(T$78,   POP!$A$5:$AE$63, MATCH($B94, POP!$A$5:$A$63,0), FALSE) / 10^6</f>
        <v>0.26980199999999999</v>
      </c>
      <c r="U94" s="117">
        <f>HLOOKUP(U$78,   POP!$A$5:$AE$63, MATCH($B94, POP!$A$5:$A$63,0), FALSE) / 10^6</f>
        <v>0.27458300000000002</v>
      </c>
      <c r="V94" s="117">
        <f>HLOOKUP(V$78,   POP!$A$5:$AE$63, MATCH($B94, POP!$A$5:$A$63,0), FALSE) / 10^6</f>
        <v>0.27904400000000001</v>
      </c>
      <c r="W94" s="117">
        <f>HLOOKUP(W$78,   POP!$A$5:$AE$63, MATCH($B94, POP!$A$5:$A$63,0), FALSE) / 10^6</f>
        <v>0.283632</v>
      </c>
      <c r="X94" s="117">
        <f>HLOOKUP(X$78,   POP!$A$5:$AE$63, MATCH($B94, POP!$A$5:$A$63,0), FALSE) / 10^6</f>
        <v>0.28973100000000002</v>
      </c>
      <c r="Y94" s="117">
        <f>HLOOKUP(Y$78,   POP!$A$5:$AE$63, MATCH($B94, POP!$A$5:$A$63,0), FALSE) / 10^6</f>
        <v>0.292796</v>
      </c>
      <c r="Z94" s="117">
        <f>HLOOKUP(Z$78,   POP!$A$5:$AE$63, MATCH($B94, POP!$A$5:$A$63,0), FALSE) / 10^6</f>
        <v>0.29713200000000001</v>
      </c>
      <c r="AA94" s="117">
        <f>HLOOKUP(AA$78,   POP!$A$5:$AE$63, MATCH($B94, POP!$A$5:$A$63,0), FALSE) / 10^6</f>
        <v>0.30527399999999999</v>
      </c>
      <c r="AB94" s="117">
        <f>HLOOKUP(AB$78,   POP!$A$5:$AE$63, MATCH($B94, POP!$A$5:$A$63,0), FALSE) / 10^6</f>
        <v>0.31402400000000003</v>
      </c>
      <c r="AC94" s="112"/>
      <c r="AD94" s="120">
        <f>HLOOKUP(AD$78,   POP!$A$5:$AE$63, MATCH($B94, POP!$A$5:$A$63,0), FALSE) / 10^6</f>
        <v>0.26980199999999999</v>
      </c>
      <c r="AE94" s="120">
        <f>HLOOKUP(AE$78,   POP!$A$5:$AE$63, MATCH($B94, POP!$A$5:$A$63,0), FALSE) / 10^6</f>
        <v>0.292796</v>
      </c>
      <c r="AF94" s="120">
        <f>HLOOKUP(AF$78,   POP!$A$5:$AE$63, MATCH($B94, POP!$A$5:$A$63,0), FALSE) / 10^6</f>
        <v>0.31363148571428656</v>
      </c>
      <c r="AG94" s="120">
        <f>HLOOKUP(AG$78,   POP!$A$5:$AE$63, MATCH($B94, POP!$A$5:$A$63,0), FALSE) / 10^6</f>
        <v>0.32551888750000113</v>
      </c>
      <c r="AH94" s="120">
        <f>HLOOKUP(AH$78,   POP!$A$5:$AE$63, MATCH($B94, POP!$A$5:$A$63,0), FALSE) / 10^6</f>
        <v>0.33344382202381018</v>
      </c>
      <c r="AI94" s="120">
        <f>HLOOKUP(AI$78,   POP!$A$5:$AE$63, MATCH($B94, POP!$A$5:$A$63,0), FALSE) / 10^6</f>
        <v>0.34136875654761989</v>
      </c>
      <c r="AJ94" s="108"/>
      <c r="AM94" s="111"/>
    </row>
    <row r="95" spans="1:39">
      <c r="A95" s="108" t="str">
        <f t="shared" si="40"/>
        <v>ESP</v>
      </c>
      <c r="B95" s="108" t="str">
        <f t="shared" si="41"/>
        <v>Espoo</v>
      </c>
      <c r="C95" s="59" t="s">
        <v>164</v>
      </c>
      <c r="J95" s="112">
        <f>J92/J93*AVERAGE($E93:$AB93)</f>
        <v>2096.5197599963144</v>
      </c>
      <c r="K95" s="112">
        <f>K92/K93*AVERAGE($E93:$AB93)</f>
        <v>2146.1667602040816</v>
      </c>
      <c r="L95" s="112">
        <f>L92/L93*AVERAGE($E93:$AB93)</f>
        <v>2157.5617524747299</v>
      </c>
      <c r="M95" s="112">
        <f>M92/M93*AVERAGE($E93:$AB93)</f>
        <v>2358.3076493783392</v>
      </c>
      <c r="N95" s="112">
        <f>N92/N93*AVERAGE($E93:$AB93)</f>
        <v>2276.0148420078494</v>
      </c>
      <c r="O95" s="112">
        <f>O92/O93*AVERAGE($E93:$AB93)</f>
        <v>2059.7082781078611</v>
      </c>
      <c r="P95" s="112">
        <f>P92/P93*AVERAGE($E93:$AB93)</f>
        <v>2253.9727526481529</v>
      </c>
      <c r="Q95" s="112">
        <f>Q92/Q93*AVERAGE($E93:$AB93)</f>
        <v>2265.8308395882714</v>
      </c>
      <c r="R95" s="112">
        <f>R92/R93*AVERAGE($E93:$AB93)</f>
        <v>2292.6459156922788</v>
      </c>
      <c r="S95" s="112">
        <f>S92/S93*AVERAGE($E93:$AB93)</f>
        <v>2368.9469970891068</v>
      </c>
      <c r="T95" s="112">
        <f>T92/T93*AVERAGE($E93:$AB93)</f>
        <v>2477.1549677945259</v>
      </c>
      <c r="U95" s="112">
        <f>U92/U93*AVERAGE($E93:$AB93)</f>
        <v>2420.4112606807835</v>
      </c>
      <c r="V95" s="112">
        <f>V92/V93*AVERAGE($E93:$AB93)</f>
        <v>2423.4546104536489</v>
      </c>
      <c r="W95" s="112">
        <f>W92/W93*AVERAGE($E93:$AB93)</f>
        <v>2412.1874161270644</v>
      </c>
      <c r="X95" s="112">
        <f>X92/X93*AVERAGE($E93:$AB93)</f>
        <v>2495.7062609681193</v>
      </c>
      <c r="Y95" s="112">
        <f>Y92/Y93*AVERAGE($E93:$AB93)</f>
        <v>2665.671974650149</v>
      </c>
      <c r="Z95" s="112">
        <f>Z92/Z93*AVERAGE($E93:$AB93)</f>
        <v>2341.4501892456278</v>
      </c>
      <c r="AA95" s="112">
        <f>AA92/AA93*AVERAGE($E93:$AB93)</f>
        <v>2382.7864327402808</v>
      </c>
      <c r="AB95" s="112">
        <f>AB92/AB93*AVERAGE($E93:$AB93)</f>
        <v>2216.2622924420266</v>
      </c>
      <c r="AG95" s="108"/>
      <c r="AH95" s="108"/>
      <c r="AI95" s="108"/>
      <c r="AJ95" s="108"/>
      <c r="AM95" s="111"/>
    </row>
    <row r="96" spans="1:39">
      <c r="A96" s="108" t="str">
        <f t="shared" si="40"/>
        <v>ESP</v>
      </c>
      <c r="B96" s="108" t="str">
        <f t="shared" si="41"/>
        <v>Espoo</v>
      </c>
      <c r="C96" s="59" t="s">
        <v>295</v>
      </c>
      <c r="D96" s="138"/>
      <c r="J96" s="112">
        <f>J95/J94/1000</f>
        <v>9.048267444654881</v>
      </c>
      <c r="K96" s="112">
        <f t="shared" ref="K96:AB96" si="42">K95/K94/1000</f>
        <v>9.131886188793592</v>
      </c>
      <c r="L96" s="112">
        <f t="shared" si="42"/>
        <v>9.0635956448715174</v>
      </c>
      <c r="M96" s="112">
        <f t="shared" si="42"/>
        <v>9.7626214450700193</v>
      </c>
      <c r="N96" s="112">
        <f t="shared" si="42"/>
        <v>9.3153310768544575</v>
      </c>
      <c r="O96" s="112">
        <f t="shared" si="42"/>
        <v>8.3062801068994681</v>
      </c>
      <c r="P96" s="112">
        <f t="shared" si="42"/>
        <v>8.9287818152034859</v>
      </c>
      <c r="Q96" s="112">
        <f t="shared" si="42"/>
        <v>8.8225042814856529</v>
      </c>
      <c r="R96" s="112">
        <f t="shared" si="42"/>
        <v>8.7924047496760487</v>
      </c>
      <c r="S96" s="112">
        <f t="shared" si="42"/>
        <v>8.9211427041537785</v>
      </c>
      <c r="T96" s="112">
        <f t="shared" si="42"/>
        <v>9.1813810416324788</v>
      </c>
      <c r="U96" s="112">
        <f t="shared" si="42"/>
        <v>8.8148620296259548</v>
      </c>
      <c r="V96" s="112">
        <f t="shared" si="42"/>
        <v>8.6848475883862353</v>
      </c>
      <c r="W96" s="112">
        <f t="shared" si="42"/>
        <v>8.5046377564134676</v>
      </c>
      <c r="X96" s="112">
        <f t="shared" si="42"/>
        <v>8.6138737690068332</v>
      </c>
      <c r="Y96" s="112">
        <f t="shared" si="42"/>
        <v>9.1041953259270922</v>
      </c>
      <c r="Z96" s="112">
        <f t="shared" si="42"/>
        <v>7.8801683738056747</v>
      </c>
      <c r="AA96" s="112">
        <f t="shared" si="42"/>
        <v>7.8054024670960542</v>
      </c>
      <c r="AB96" s="112">
        <f t="shared" si="42"/>
        <v>7.0576207310333814</v>
      </c>
      <c r="AD96" s="156">
        <f>AVERAGE(R96:V96)</f>
        <v>8.8789276226948992</v>
      </c>
      <c r="AE96" s="156">
        <f>AVERAGE(W96:AA96)</f>
        <v>8.3816555384498237</v>
      </c>
      <c r="AF96" s="140">
        <f t="array" ref="AF96">(TREND($J96:$AB96,$J$78:$AB$78,AF$78) - TREND($J96:$AB96,$J$78:$AB$78,AB$78)) + AVERAGE($Y96:$AB96)</f>
        <v>7.8080424976519174</v>
      </c>
      <c r="AG96" s="140">
        <f t="array" ref="AG96">(TREND($J96:$AB96,$J$78:$AB$78,AG$78) - TREND($J96:$AB96,$J$78:$AB$78,AF$78))/2 +AF96</f>
        <v>7.615787214134861</v>
      </c>
      <c r="AH96" s="140">
        <f t="array" ref="AH96">(TREND($J96:$AB96,$J$78:$AB$78,AH$78) - TREND($J96:$AB96,$J$78:$AB$78,AG$78))/2 +AG96</f>
        <v>7.4235319306178047</v>
      </c>
      <c r="AI96" s="140">
        <f t="array" ref="AI96">(TREND($J96:$AB96,$J$78:$AB$78,AI$78) - TREND($J96:$AB96,$J$78:$AB$78,AH$78))/2 +AH96</f>
        <v>7.2312766471007484</v>
      </c>
      <c r="AJ96" s="108"/>
      <c r="AM96" s="111"/>
    </row>
    <row r="97" spans="1:52">
      <c r="AG97" s="108"/>
      <c r="AH97" s="108"/>
      <c r="AI97" s="108"/>
      <c r="AJ97" s="108"/>
      <c r="AM97" s="111"/>
    </row>
    <row r="98" spans="1:52">
      <c r="AG98" s="108"/>
      <c r="AH98" s="108"/>
      <c r="AI98" s="108"/>
      <c r="AJ98" s="108"/>
      <c r="AM98" s="111"/>
    </row>
    <row r="99" spans="1:52">
      <c r="A99" s="108" t="s">
        <v>311</v>
      </c>
      <c r="B99" s="108" t="s">
        <v>93</v>
      </c>
      <c r="C99" s="109" t="s">
        <v>273</v>
      </c>
      <c r="D99" s="109" t="s">
        <v>268</v>
      </c>
      <c r="J99" s="116">
        <f t="shared" ref="J99:AB99" si="43">SUMIFS(J$146:J$160,$B$146:$B$160,$B99)</f>
        <v>1838.7</v>
      </c>
      <c r="K99" s="116">
        <f t="shared" si="43"/>
        <v>1859.5</v>
      </c>
      <c r="L99" s="116">
        <f t="shared" si="43"/>
        <v>1818</v>
      </c>
      <c r="M99" s="116">
        <f t="shared" si="43"/>
        <v>1764.7</v>
      </c>
      <c r="N99" s="116">
        <f t="shared" si="43"/>
        <v>1987.2</v>
      </c>
      <c r="O99" s="116">
        <f t="shared" si="43"/>
        <v>2174.4</v>
      </c>
      <c r="P99" s="116">
        <f t="shared" si="43"/>
        <v>1868.5</v>
      </c>
      <c r="Q99" s="116">
        <f t="shared" si="43"/>
        <v>2015.5</v>
      </c>
      <c r="R99" s="116">
        <f t="shared" si="43"/>
        <v>1887.6</v>
      </c>
      <c r="S99" s="116">
        <f t="shared" si="43"/>
        <v>1803.8</v>
      </c>
      <c r="T99" s="116">
        <f t="shared" si="43"/>
        <v>1727.1</v>
      </c>
      <c r="U99" s="116">
        <f t="shared" si="43"/>
        <v>1889.1</v>
      </c>
      <c r="V99" s="116">
        <f t="shared" si="43"/>
        <v>1906.5</v>
      </c>
      <c r="W99" s="116">
        <f t="shared" si="43"/>
        <v>1929.6</v>
      </c>
      <c r="X99" s="116">
        <f t="shared" si="43"/>
        <v>1864.7</v>
      </c>
      <c r="Y99" s="116">
        <f t="shared" si="43"/>
        <v>1734.6</v>
      </c>
      <c r="Z99" s="116">
        <f t="shared" si="43"/>
        <v>2112.6</v>
      </c>
      <c r="AA99" s="116">
        <f t="shared" si="43"/>
        <v>1968.4999999999998</v>
      </c>
      <c r="AB99" s="116">
        <f t="shared" si="43"/>
        <v>1992.8</v>
      </c>
      <c r="AC99" s="110"/>
      <c r="AD99" s="139">
        <f>AD101*AD103*1000 / AVERAGE($E100:$AB100)*AD100</f>
        <v>1895.5076088234648</v>
      </c>
      <c r="AE99" s="139">
        <f>AE101*AE103*1000 / AVERAGE($E100:$AB100)*AE100</f>
        <v>1944.3747944752376</v>
      </c>
      <c r="AF99" s="139">
        <f>AF101*AF103*1000 / AVERAGE($E100:$AB100)*AF100</f>
        <v>1953.4342636259119</v>
      </c>
      <c r="AG99" s="139">
        <f>AG101*AG103*1000 / AVERAGE($E100:$AB100)*AG100</f>
        <v>1935.6427810578116</v>
      </c>
      <c r="AH99" s="139">
        <f>AH101*AH103*1000 / AVERAGE($E100:$AB100)*AH100</f>
        <v>1891.3769365150044</v>
      </c>
      <c r="AI99" s="139">
        <f>AI101*AI103*1000 / AVERAGE($E100:$AB100)*AI100</f>
        <v>1844.7875411775885</v>
      </c>
      <c r="AJ99" s="108"/>
    </row>
    <row r="100" spans="1:52">
      <c r="A100" s="108" t="str">
        <f t="shared" ref="A100:A103" si="44">A99</f>
        <v>VAN</v>
      </c>
      <c r="B100" s="108" t="str">
        <f t="shared" ref="B100:B103" si="45">B99</f>
        <v>Vantaa</v>
      </c>
      <c r="C100" s="109" t="s">
        <v>265</v>
      </c>
      <c r="E100" s="94">
        <f>HLOOKUP(E$78,   HDD!$A$4:$AG$55, MATCH($B100,HDD!$A$4:$A$55,0), FALSE)</f>
        <v>3429</v>
      </c>
      <c r="F100" s="94">
        <f>HLOOKUP(F$78,   HDD!$A$4:$AG$55, MATCH($B100,HDD!$A$4:$A$55,0), FALSE)</f>
        <v>4000.4</v>
      </c>
      <c r="G100" s="94">
        <f>HLOOKUP(G$78,   HDD!$A$4:$AG$55, MATCH($B100,HDD!$A$4:$A$55,0), FALSE)</f>
        <v>4099.4000000000005</v>
      </c>
      <c r="H100" s="94">
        <f>HLOOKUP(H$78,   HDD!$A$4:$AG$55, MATCH($B100,HDD!$A$4:$A$55,0), FALSE)</f>
        <v>4146.2</v>
      </c>
      <c r="I100" s="94">
        <f>HLOOKUP(I$78,   HDD!$A$4:$AG$55, MATCH($B100,HDD!$A$4:$A$55,0), FALSE)</f>
        <v>4040.5</v>
      </c>
      <c r="J100" s="94">
        <f>HLOOKUP(J$78,   HDD!$A$4:$AG$55, MATCH($B100,HDD!$A$4:$A$55,0), FALSE)</f>
        <v>3873</v>
      </c>
      <c r="K100" s="94">
        <f>HLOOKUP(K$78,   HDD!$A$4:$AG$55, MATCH($B100,HDD!$A$4:$A$55,0), FALSE)</f>
        <v>3886</v>
      </c>
      <c r="L100" s="94">
        <f>HLOOKUP(L$78,   HDD!$A$4:$AG$55, MATCH($B100,HDD!$A$4:$A$55,0), FALSE)</f>
        <v>3723.1</v>
      </c>
      <c r="M100" s="94">
        <f>HLOOKUP(M$78,   HDD!$A$4:$AG$55, MATCH($B100,HDD!$A$4:$A$55,0), FALSE)</f>
        <v>3440</v>
      </c>
      <c r="N100" s="94">
        <f>HLOOKUP(N$78,   HDD!$A$4:$AG$55, MATCH($B100,HDD!$A$4:$A$55,0), FALSE)</f>
        <v>3952</v>
      </c>
      <c r="O100" s="94">
        <f>HLOOKUP(O$78,   HDD!$A$4:$AG$55, MATCH($B100,HDD!$A$4:$A$55,0), FALSE)</f>
        <v>4632</v>
      </c>
      <c r="P100" s="94">
        <f>HLOOKUP(P$78,   HDD!$A$4:$AG$55, MATCH($B100,HDD!$A$4:$A$55,0), FALSE)</f>
        <v>3655</v>
      </c>
      <c r="Q100" s="94">
        <f>HLOOKUP(Q$78,   HDD!$A$4:$AG$55, MATCH($B100,HDD!$A$4:$A$55,0), FALSE)</f>
        <v>4059</v>
      </c>
      <c r="R100" s="94">
        <f>HLOOKUP(R$78,   HDD!$A$4:$AG$55, MATCH($B100,HDD!$A$4:$A$55,0), FALSE)</f>
        <v>3798</v>
      </c>
      <c r="S100" s="94">
        <f>HLOOKUP(S$78,   HDD!$A$4:$AG$55, MATCH($B100,HDD!$A$4:$A$55,0), FALSE)</f>
        <v>3678</v>
      </c>
      <c r="T100" s="94">
        <f>HLOOKUP(T$78,   HDD!$A$4:$AG$55, MATCH($B100,HDD!$A$4:$A$55,0), FALSE)</f>
        <v>3263</v>
      </c>
      <c r="U100" s="94">
        <f>HLOOKUP(U$78,   HDD!$A$4:$AG$55, MATCH($B100,HDD!$A$4:$A$55,0), FALSE)</f>
        <v>3817</v>
      </c>
      <c r="V100" s="94">
        <f>HLOOKUP(V$78,   HDD!$A$4:$AG$55, MATCH($B100,HDD!$A$4:$A$55,0), FALSE)</f>
        <v>3802</v>
      </c>
      <c r="W100" s="94">
        <f>HLOOKUP(W$78,   HDD!$A$4:$AG$55, MATCH($B100,HDD!$A$4:$A$55,0), FALSE)</f>
        <v>3789</v>
      </c>
      <c r="X100" s="94">
        <f>HLOOKUP(X$78,   HDD!$A$4:$AG$55, MATCH($B100,HDD!$A$4:$A$55,0), FALSE)</f>
        <v>3629</v>
      </c>
      <c r="Y100" s="94">
        <f>HLOOKUP(Y$78,   HDD!$A$4:$AG$55, MATCH($B100,HDD!$A$4:$A$55,0), FALSE)</f>
        <v>3148</v>
      </c>
      <c r="Z100" s="94">
        <f>HLOOKUP(Z$78,   HDD!$A$4:$AG$55, MATCH($B100,HDD!$A$4:$A$55,0), FALSE)</f>
        <v>4118</v>
      </c>
      <c r="AA100" s="94">
        <f>HLOOKUP(AA$78,   HDD!$A$4:$AG$55, MATCH($B100,HDD!$A$4:$A$55,0), FALSE)</f>
        <v>3860</v>
      </c>
      <c r="AB100" s="94">
        <f>HLOOKUP(AB$78,   HDD!$A$4:$AG$55, MATCH($B100,HDD!$A$4:$A$55,0), FALSE)</f>
        <v>3765</v>
      </c>
      <c r="AC100" s="110"/>
      <c r="AD100" s="119">
        <f>HLOOKUP(AD$78,   HDD!$AA$4:$AG$55, MATCH($B100,HDD!$A$4:$A$55,0), FALSE)</f>
        <v>3779.1423846153848</v>
      </c>
      <c r="AE100" s="119">
        <f>HLOOKUP(AE$78,   HDD!$AA$4:$AG$55, MATCH($B100,HDD!$A$4:$A$55,0), FALSE)</f>
        <v>3726.3396923076907</v>
      </c>
      <c r="AF100" s="119">
        <f>HLOOKUP(AF$78,   HDD!$AA$4:$AG$55, MATCH($B100,HDD!$A$4:$A$55,0), FALSE)</f>
        <v>3673.5370000000003</v>
      </c>
      <c r="AG100" s="119">
        <f>HLOOKUP(AG$78,   HDD!$AA$4:$AG$55, MATCH($B100,HDD!$A$4:$A$55,0), FALSE)</f>
        <v>3620.7343076923062</v>
      </c>
      <c r="AH100" s="119">
        <f>HLOOKUP(AH$78,   HDD!$AA$4:$AG$55, MATCH($B100,HDD!$A$4:$A$55,0), FALSE)</f>
        <v>3567.9316153846157</v>
      </c>
      <c r="AI100" s="119">
        <f>HLOOKUP(AI$78,   HDD!$AA$4:$AG$55, MATCH($B100,HDD!$A$4:$A$55,0), FALSE)</f>
        <v>3515.1289230769216</v>
      </c>
      <c r="AJ100" s="108"/>
      <c r="AM100" s="111"/>
    </row>
    <row r="101" spans="1:52">
      <c r="A101" s="108" t="str">
        <f t="shared" si="44"/>
        <v>VAN</v>
      </c>
      <c r="B101" s="108" t="str">
        <f t="shared" si="45"/>
        <v>Vantaa</v>
      </c>
      <c r="C101" s="109" t="s">
        <v>266</v>
      </c>
      <c r="D101" s="109" t="s">
        <v>267</v>
      </c>
      <c r="E101" s="117">
        <f>HLOOKUP(E$78,   POP!$A$5:$AE$63, MATCH($B101, POP!$A$5:$A$63,0), FALSE) / 10^6</f>
        <v>0.17847099999999999</v>
      </c>
      <c r="F101" s="117">
        <f>HLOOKUP(F$78,   POP!$A$5:$AE$63, MATCH($B101, POP!$A$5:$A$63,0), FALSE) / 10^6</f>
        <v>0.17985599999999999</v>
      </c>
      <c r="G101" s="117">
        <f>HLOOKUP(G$78,   POP!$A$5:$AE$63, MATCH($B101, POP!$A$5:$A$63,0), FALSE) / 10^6</f>
        <v>0.18189</v>
      </c>
      <c r="H101" s="117">
        <f>HLOOKUP(H$78,   POP!$A$5:$AE$63, MATCH($B101, POP!$A$5:$A$63,0), FALSE) / 10^6</f>
        <v>0.18403900000000001</v>
      </c>
      <c r="I101" s="117">
        <f>HLOOKUP(I$78,   POP!$A$5:$AE$63, MATCH($B101, POP!$A$5:$A$63,0), FALSE) / 10^6</f>
        <v>0.18542900000000001</v>
      </c>
      <c r="J101" s="117">
        <f>HLOOKUP(J$78,   POP!$A$5:$AE$63, MATCH($B101, POP!$A$5:$A$63,0), FALSE) / 10^6</f>
        <v>0.187281</v>
      </c>
      <c r="K101" s="117">
        <f>HLOOKUP(K$78,   POP!$A$5:$AE$63, MATCH($B101, POP!$A$5:$A$63,0), FALSE) / 10^6</f>
        <v>0.18971099999999999</v>
      </c>
      <c r="L101" s="117">
        <f>HLOOKUP(L$78,   POP!$A$5:$AE$63, MATCH($B101, POP!$A$5:$A$63,0), FALSE) / 10^6</f>
        <v>0.192522</v>
      </c>
      <c r="M101" s="117">
        <f>HLOOKUP(M$78,   POP!$A$5:$AE$63, MATCH($B101, POP!$A$5:$A$63,0), FALSE) / 10^6</f>
        <v>0.19539699999999999</v>
      </c>
      <c r="N101" s="117">
        <f>HLOOKUP(N$78,   POP!$A$5:$AE$63, MATCH($B101, POP!$A$5:$A$63,0), FALSE) / 10^6</f>
        <v>0.19763600000000001</v>
      </c>
      <c r="O101" s="117">
        <f>HLOOKUP(O$78,   POP!$A$5:$AE$63, MATCH($B101, POP!$A$5:$A$63,0), FALSE) / 10^6</f>
        <v>0.20005500000000001</v>
      </c>
      <c r="P101" s="117">
        <f>HLOOKUP(P$78,   POP!$A$5:$AE$63, MATCH($B101, POP!$A$5:$A$63,0), FALSE) / 10^6</f>
        <v>0.20300099999999999</v>
      </c>
      <c r="Q101" s="117">
        <f>HLOOKUP(Q$78,   POP!$A$5:$AE$63, MATCH($B101, POP!$A$5:$A$63,0), FALSE) / 10^6</f>
        <v>0.20531199999999999</v>
      </c>
      <c r="R101" s="117">
        <f>HLOOKUP(R$78,   POP!$A$5:$AE$63, MATCH($B101, POP!$A$5:$A$63,0), FALSE) / 10^6</f>
        <v>0.20809800000000001</v>
      </c>
      <c r="S101" s="117">
        <f>HLOOKUP(S$78,   POP!$A$5:$AE$63, MATCH($B101, POP!$A$5:$A$63,0), FALSE) / 10^6</f>
        <v>0.21080299999999999</v>
      </c>
      <c r="T101" s="117">
        <f>HLOOKUP(T$78,   POP!$A$5:$AE$63, MATCH($B101, POP!$A$5:$A$63,0), FALSE) / 10^6</f>
        <v>0.21460499999999999</v>
      </c>
      <c r="U101" s="117">
        <f>HLOOKUP(U$78,   POP!$A$5:$AE$63, MATCH($B101, POP!$A$5:$A$63,0), FALSE) / 10^6</f>
        <v>0.21934100000000001</v>
      </c>
      <c r="V101" s="117">
        <f>HLOOKUP(V$78,   POP!$A$5:$AE$63, MATCH($B101, POP!$A$5:$A$63,0), FALSE) / 10^6</f>
        <v>0.223027</v>
      </c>
      <c r="W101" s="117">
        <f>HLOOKUP(W$78,   POP!$A$5:$AE$63, MATCH($B101, POP!$A$5:$A$63,0), FALSE) / 10^6</f>
        <v>0.22816600000000001</v>
      </c>
      <c r="X101" s="117">
        <f>HLOOKUP(X$78,   POP!$A$5:$AE$63, MATCH($B101, POP!$A$5:$A$63,0), FALSE) / 10^6</f>
        <v>0.23377500000000001</v>
      </c>
      <c r="Y101" s="117">
        <f>HLOOKUP(Y$78,   POP!$A$5:$AE$63, MATCH($B101, POP!$A$5:$A$63,0), FALSE) / 10^6</f>
        <v>0.237231</v>
      </c>
      <c r="Z101" s="117">
        <f>HLOOKUP(Z$78,   POP!$A$5:$AE$63, MATCH($B101, POP!$A$5:$A$63,0), FALSE) / 10^6</f>
        <v>0.239206</v>
      </c>
      <c r="AA101" s="117">
        <f>HLOOKUP(AA$78,   POP!$A$5:$AE$63, MATCH($B101, POP!$A$5:$A$63,0), FALSE) / 10^6</f>
        <v>0.24281900000000001</v>
      </c>
      <c r="AB101" s="117">
        <f>HLOOKUP(AB$78,   POP!$A$5:$AE$63, MATCH($B101, POP!$A$5:$A$63,0), FALSE) / 10^6</f>
        <v>0.247443</v>
      </c>
      <c r="AC101" s="112"/>
      <c r="AD101" s="120">
        <f>HLOOKUP(AD$78,   POP!$A$5:$AE$63, MATCH($B101, POP!$A$5:$A$63,0), FALSE) / 10^6</f>
        <v>0.21460499999999999</v>
      </c>
      <c r="AE101" s="120">
        <f>HLOOKUP(AE$78,   POP!$A$5:$AE$63, MATCH($B101, POP!$A$5:$A$63,0), FALSE) / 10^6</f>
        <v>0.237231</v>
      </c>
      <c r="AF101" s="120">
        <f>HLOOKUP(AF$78,   POP!$A$5:$AE$63, MATCH($B101, POP!$A$5:$A$63,0), FALSE) / 10^6</f>
        <v>0.25024728571428589</v>
      </c>
      <c r="AG101" s="120">
        <f>HLOOKUP(AG$78,   POP!$A$5:$AE$63, MATCH($B101, POP!$A$5:$A$63,0), FALSE) / 10^6</f>
        <v>0.25948043750000044</v>
      </c>
      <c r="AH101" s="120">
        <f>HLOOKUP(AH$78,   POP!$A$5:$AE$63, MATCH($B101, POP!$A$5:$A$63,0), FALSE) / 10^6</f>
        <v>0.26563587202380989</v>
      </c>
      <c r="AI101" s="120">
        <f>HLOOKUP(AI$78,   POP!$A$5:$AE$63, MATCH($B101, POP!$A$5:$A$63,0), FALSE) / 10^6</f>
        <v>0.27179130654761957</v>
      </c>
      <c r="AJ101" s="108"/>
      <c r="AM101" s="111"/>
    </row>
    <row r="102" spans="1:52">
      <c r="A102" s="108" t="str">
        <f t="shared" si="44"/>
        <v>VAN</v>
      </c>
      <c r="B102" s="108" t="str">
        <f t="shared" si="45"/>
        <v>Vantaa</v>
      </c>
      <c r="C102" s="59" t="s">
        <v>164</v>
      </c>
      <c r="J102" s="112">
        <f>J99/J100*AVERAGE($E100:$AB100)</f>
        <v>1812.0072792408987</v>
      </c>
      <c r="K102" s="112">
        <f>K99/K100*AVERAGE($E100:$AB100)</f>
        <v>1826.3749646165725</v>
      </c>
      <c r="L102" s="112">
        <f>L99/L100*AVERAGE($E100:$AB100)</f>
        <v>1863.7417608981764</v>
      </c>
      <c r="M102" s="112">
        <f>M99/M100*AVERAGE($E100:$AB100)</f>
        <v>1957.9833844476743</v>
      </c>
      <c r="N102" s="112">
        <f>N99/N100*AVERAGE($E100:$AB100)</f>
        <v>1919.204271255061</v>
      </c>
      <c r="O102" s="112">
        <f>O99/O100*AVERAGE($E100:$AB100)</f>
        <v>1791.7088860103629</v>
      </c>
      <c r="P102" s="112">
        <f>P99/P100*AVERAGE($E100:$AB100)</f>
        <v>1951.2022127222983</v>
      </c>
      <c r="Q102" s="112">
        <f>Q99/Q100*AVERAGE($E100:$AB100)</f>
        <v>1895.2229644000986</v>
      </c>
      <c r="R102" s="112">
        <f>R99/R100*AVERAGE($E100:$AB100)</f>
        <v>1896.9311453396524</v>
      </c>
      <c r="S102" s="112">
        <f>S99/S100*AVERAGE($E100:$AB100)</f>
        <v>1871.8593651441001</v>
      </c>
      <c r="T102" s="112">
        <f>T99/T100*AVERAGE($E100:$AB100)</f>
        <v>2020.2121061906221</v>
      </c>
      <c r="U102" s="112">
        <f>U99/U100*AVERAGE($E100:$AB100)</f>
        <v>1888.9886435682474</v>
      </c>
      <c r="V102" s="112">
        <f>V99/V100*AVERAGE($E100:$AB100)</f>
        <v>1913.9088736191479</v>
      </c>
      <c r="W102" s="112">
        <f>W99/W100*AVERAGE($E100:$AB100)</f>
        <v>1943.7447980997622</v>
      </c>
      <c r="X102" s="112">
        <f>X99/X100*AVERAGE($E100:$AB100)</f>
        <v>1961.184993799945</v>
      </c>
      <c r="Y102" s="112">
        <f>Y99/Y100*AVERAGE($E100:$AB100)</f>
        <v>2103.1060721092754</v>
      </c>
      <c r="Z102" s="112">
        <f>Z99/Z100*AVERAGE($E100:$AB100)</f>
        <v>1958.0667472073819</v>
      </c>
      <c r="AA102" s="112">
        <f>AA99/AA100*AVERAGE($E100:$AB100)</f>
        <v>1946.4563698186528</v>
      </c>
      <c r="AB102" s="112">
        <f>AB99/AB100*AVERAGE($E100:$AB100)</f>
        <v>2020.2043081009297</v>
      </c>
      <c r="AG102" s="108"/>
      <c r="AH102" s="108"/>
      <c r="AI102" s="108"/>
      <c r="AJ102" s="108"/>
      <c r="AM102" s="111"/>
    </row>
    <row r="103" spans="1:52">
      <c r="A103" s="108" t="str">
        <f t="shared" si="44"/>
        <v>VAN</v>
      </c>
      <c r="B103" s="108" t="str">
        <f t="shared" si="45"/>
        <v>Vantaa</v>
      </c>
      <c r="C103" s="59" t="s">
        <v>295</v>
      </c>
      <c r="D103" s="138"/>
      <c r="J103" s="112">
        <f>J102/J101/1000</f>
        <v>9.675339619293462</v>
      </c>
      <c r="K103" s="112">
        <f t="shared" ref="K103" si="46">K102/K101/1000</f>
        <v>9.6271432052784114</v>
      </c>
      <c r="L103" s="112">
        <f t="shared" ref="L103" si="47">L102/L101/1000</f>
        <v>9.6806690191156139</v>
      </c>
      <c r="M103" s="112">
        <f t="shared" ref="M103" si="48">M102/M101/1000</f>
        <v>10.020539642101333</v>
      </c>
      <c r="N103" s="112">
        <f t="shared" ref="N103" si="49">N102/N101/1000</f>
        <v>9.7108030483062855</v>
      </c>
      <c r="O103" s="112">
        <f t="shared" ref="O103" si="50">O102/O101/1000</f>
        <v>8.9560815076372151</v>
      </c>
      <c r="P103" s="112">
        <f t="shared" ref="P103" si="51">P102/P101/1000</f>
        <v>9.6117862115078161</v>
      </c>
      <c r="Q103" s="112">
        <f t="shared" ref="Q103" si="52">Q102/Q101/1000</f>
        <v>9.2309410282891324</v>
      </c>
      <c r="R103" s="112">
        <f t="shared" ref="R103" si="53">R102/R101/1000</f>
        <v>9.1155664414826294</v>
      </c>
      <c r="S103" s="112">
        <f t="shared" ref="S103" si="54">S102/S101/1000</f>
        <v>8.8796618887971235</v>
      </c>
      <c r="T103" s="112">
        <f t="shared" ref="T103" si="55">T102/T101/1000</f>
        <v>9.413630186578235</v>
      </c>
      <c r="U103" s="112">
        <f t="shared" ref="U103" si="56">U102/U101/1000</f>
        <v>8.6121091978619937</v>
      </c>
      <c r="V103" s="112">
        <f t="shared" ref="V103" si="57">V102/V101/1000</f>
        <v>8.5815119856302058</v>
      </c>
      <c r="W103" s="112">
        <f t="shared" ref="W103" si="58">W102/W101/1000</f>
        <v>8.5189940573957639</v>
      </c>
      <c r="X103" s="112">
        <f t="shared" ref="X103" si="59">X102/X101/1000</f>
        <v>8.3891989896265429</v>
      </c>
      <c r="Y103" s="112">
        <f t="shared" ref="Y103" si="60">Y102/Y101/1000</f>
        <v>8.8652244947299277</v>
      </c>
      <c r="Z103" s="112">
        <f t="shared" ref="Z103" si="61">Z102/Z101/1000</f>
        <v>8.1856924458725207</v>
      </c>
      <c r="AA103" s="112">
        <f t="shared" ref="AA103" si="62">AA102/AA101/1000</f>
        <v>8.0160793423029197</v>
      </c>
      <c r="AB103" s="112">
        <f t="shared" ref="AB103" si="63">AB102/AB101/1000</f>
        <v>8.1643219169704917</v>
      </c>
      <c r="AD103" s="156">
        <f>AVERAGE(R103:V103)</f>
        <v>8.9204959400700368</v>
      </c>
      <c r="AE103" s="156">
        <f>AVERAGE(W103:AA103)</f>
        <v>8.3950378659855343</v>
      </c>
      <c r="AF103" s="140">
        <f t="array" ref="AF103">(TREND($J103:$AB103,$J$78:$AB$78,AF$78) - TREND($J103:$AB103,$J$78:$AB$78,AB$78)) + AVERAGE($Y103:$AB103)</f>
        <v>8.1103867787079125</v>
      </c>
      <c r="AG103" s="140">
        <f t="array" ref="AG103">(TREND($J103:$AB103,$J$78:$AB$78,AG$78) - TREND($J103:$AB103,$J$78:$AB$78,AF$78))/2 +AF103</f>
        <v>7.8635833146316187</v>
      </c>
      <c r="AH103" s="140">
        <f t="array" ref="AH103">(TREND($J103:$AB103,$J$78:$AB$78,AH$78) - TREND($J103:$AB103,$J$78:$AB$78,AG$78))/2 +AG103</f>
        <v>7.6167798505553108</v>
      </c>
      <c r="AI103" s="140">
        <f t="array" ref="AI103">(TREND($J103:$AB103,$J$78:$AB$78,AI$78) - TREND($J103:$AB103,$J$78:$AB$78,AH$78))/2 +AH103</f>
        <v>7.3699763864790029</v>
      </c>
      <c r="AJ103" s="108"/>
      <c r="AM103" s="111"/>
    </row>
    <row r="104" spans="1:52">
      <c r="AG104" s="108"/>
      <c r="AH104" s="108"/>
      <c r="AI104" s="108"/>
      <c r="AJ104" s="108"/>
      <c r="AM104" s="111"/>
    </row>
    <row r="105" spans="1:52">
      <c r="AF105" s="109"/>
      <c r="AJ105" s="108"/>
    </row>
    <row r="106" spans="1:52">
      <c r="A106" s="108" t="s">
        <v>312</v>
      </c>
      <c r="B106" s="108" t="s">
        <v>94</v>
      </c>
      <c r="C106" s="109" t="s">
        <v>273</v>
      </c>
      <c r="D106" s="109" t="s">
        <v>268</v>
      </c>
      <c r="J106" s="116">
        <f t="shared" ref="J106:AB106" si="64">SUMIFS(J$146:J$160,$B$146:$B$160,$B106)</f>
        <v>1726.1</v>
      </c>
      <c r="K106" s="116">
        <f t="shared" si="64"/>
        <v>1740</v>
      </c>
      <c r="L106" s="116">
        <f t="shared" si="64"/>
        <v>1744</v>
      </c>
      <c r="M106" s="116">
        <f t="shared" si="64"/>
        <v>1683.5</v>
      </c>
      <c r="N106" s="116">
        <f t="shared" si="64"/>
        <v>1850</v>
      </c>
      <c r="O106" s="116">
        <f t="shared" si="64"/>
        <v>2046.7</v>
      </c>
      <c r="P106" s="116">
        <f t="shared" si="64"/>
        <v>1762.1</v>
      </c>
      <c r="Q106" s="116">
        <f t="shared" si="64"/>
        <v>1944.6</v>
      </c>
      <c r="R106" s="116">
        <f t="shared" si="64"/>
        <v>2169.4</v>
      </c>
      <c r="S106" s="116">
        <f t="shared" si="64"/>
        <v>2135.8000000000002</v>
      </c>
      <c r="T106" s="116">
        <f t="shared" si="64"/>
        <v>2008.1</v>
      </c>
      <c r="U106" s="116">
        <f t="shared" si="64"/>
        <v>2243</v>
      </c>
      <c r="V106" s="116">
        <f t="shared" si="64"/>
        <v>2164.1</v>
      </c>
      <c r="W106" s="116">
        <f t="shared" si="64"/>
        <v>2165.8000000000002</v>
      </c>
      <c r="X106" s="116">
        <f t="shared" si="64"/>
        <v>2084.8000000000002</v>
      </c>
      <c r="Y106" s="116">
        <f t="shared" si="64"/>
        <v>1884</v>
      </c>
      <c r="Z106" s="116">
        <f t="shared" si="64"/>
        <v>2196.8000000000002</v>
      </c>
      <c r="AA106" s="116">
        <f t="shared" si="64"/>
        <v>2035.3000000000002</v>
      </c>
      <c r="AB106" s="116">
        <f t="shared" si="64"/>
        <v>2038</v>
      </c>
      <c r="AC106" s="110"/>
      <c r="AD106" s="139">
        <f>AD108*AD110*1000 / AVERAGE($E107:$AB107)*AD107</f>
        <v>2218.7058356179668</v>
      </c>
      <c r="AE106" s="139">
        <f>AE108*AE110*1000 / AVERAGE($E107:$AB107)*AE107</f>
        <v>2096.4712483910621</v>
      </c>
      <c r="AF106" s="139">
        <f>AF108*AF110*1000 / AVERAGE($E107:$AB107)*AF107</f>
        <v>2036.5952811144407</v>
      </c>
      <c r="AG106" s="139">
        <f>AG108*AG110*1000 / AVERAGE($E107:$AB107)*AG107</f>
        <v>2020.727933823787</v>
      </c>
      <c r="AH106" s="139">
        <f>AH108*AH110*1000 / AVERAGE($E107:$AB107)*AH107</f>
        <v>1989.1835577382728</v>
      </c>
      <c r="AI106" s="139">
        <f>AI108*AI110*1000 / AVERAGE($E107:$AB107)*AI107</f>
        <v>1956.8543870152489</v>
      </c>
      <c r="AJ106" s="108"/>
    </row>
    <row r="107" spans="1:52">
      <c r="A107" s="108" t="str">
        <f t="shared" ref="A107:A110" si="65">A106</f>
        <v>TKU</v>
      </c>
      <c r="B107" s="108" t="str">
        <f t="shared" ref="B107:B110" si="66">B106</f>
        <v>Turku</v>
      </c>
      <c r="C107" s="109" t="s">
        <v>265</v>
      </c>
      <c r="E107" s="94">
        <f>HLOOKUP(E$78,   HDD!$A$4:$AG$55, MATCH($B107,HDD!$A$4:$A$55,0), FALSE)</f>
        <v>3398</v>
      </c>
      <c r="F107" s="94">
        <f>HLOOKUP(F$78,   HDD!$A$4:$AG$55, MATCH($B107,HDD!$A$4:$A$55,0), FALSE)</f>
        <v>3992.4000000000005</v>
      </c>
      <c r="G107" s="94">
        <f>HLOOKUP(G$78,   HDD!$A$4:$AG$55, MATCH($B107,HDD!$A$4:$A$55,0), FALSE)</f>
        <v>4081.1</v>
      </c>
      <c r="H107" s="94">
        <f>HLOOKUP(H$78,   HDD!$A$4:$AG$55, MATCH($B107,HDD!$A$4:$A$55,0), FALSE)</f>
        <v>4114.8</v>
      </c>
      <c r="I107" s="94">
        <f>HLOOKUP(I$78,   HDD!$A$4:$AG$55, MATCH($B107,HDD!$A$4:$A$55,0), FALSE)</f>
        <v>3878.8000000000006</v>
      </c>
      <c r="J107" s="94">
        <f>HLOOKUP(J$78,   HDD!$A$4:$AG$55, MATCH($B107,HDD!$A$4:$A$55,0), FALSE)</f>
        <v>3847</v>
      </c>
      <c r="K107" s="94">
        <f>HLOOKUP(K$78,   HDD!$A$4:$AG$55, MATCH($B107,HDD!$A$4:$A$55,0), FALSE)</f>
        <v>3709</v>
      </c>
      <c r="L107" s="94">
        <f>HLOOKUP(L$78,   HDD!$A$4:$AG$55, MATCH($B107,HDD!$A$4:$A$55,0), FALSE)</f>
        <v>3714.1</v>
      </c>
      <c r="M107" s="94">
        <f>HLOOKUP(M$78,   HDD!$A$4:$AG$55, MATCH($B107,HDD!$A$4:$A$55,0), FALSE)</f>
        <v>3528</v>
      </c>
      <c r="N107" s="94">
        <f>HLOOKUP(N$78,   HDD!$A$4:$AG$55, MATCH($B107,HDD!$A$4:$A$55,0), FALSE)</f>
        <v>4028</v>
      </c>
      <c r="O107" s="94">
        <f>HLOOKUP(O$78,   HDD!$A$4:$AG$55, MATCH($B107,HDD!$A$4:$A$55,0), FALSE)</f>
        <v>4656</v>
      </c>
      <c r="P107" s="94">
        <f>HLOOKUP(P$78,   HDD!$A$4:$AG$55, MATCH($B107,HDD!$A$4:$A$55,0), FALSE)</f>
        <v>3629</v>
      </c>
      <c r="Q107" s="94">
        <f>HLOOKUP(Q$78,   HDD!$A$4:$AG$55, MATCH($B107,HDD!$A$4:$A$55,0), FALSE)</f>
        <v>4019</v>
      </c>
      <c r="R107" s="94">
        <f>HLOOKUP(R$78,   HDD!$A$4:$AG$55, MATCH($B107,HDD!$A$4:$A$55,0), FALSE)</f>
        <v>3769</v>
      </c>
      <c r="S107" s="94">
        <f>HLOOKUP(S$78,   HDD!$A$4:$AG$55, MATCH($B107,HDD!$A$4:$A$55,0), FALSE)</f>
        <v>3592</v>
      </c>
      <c r="T107" s="94">
        <f>HLOOKUP(T$78,   HDD!$A$4:$AG$55, MATCH($B107,HDD!$A$4:$A$55,0), FALSE)</f>
        <v>3284</v>
      </c>
      <c r="U107" s="94">
        <f>HLOOKUP(U$78,   HDD!$A$4:$AG$55, MATCH($B107,HDD!$A$4:$A$55,0), FALSE)</f>
        <v>3772</v>
      </c>
      <c r="V107" s="94">
        <f>HLOOKUP(V$78,   HDD!$A$4:$AG$55, MATCH($B107,HDD!$A$4:$A$55,0), FALSE)</f>
        <v>3725</v>
      </c>
      <c r="W107" s="94">
        <f>HLOOKUP(W$78,   HDD!$A$4:$AG$55, MATCH($B107,HDD!$A$4:$A$55,0), FALSE)</f>
        <v>3737</v>
      </c>
      <c r="X107" s="94">
        <f>HLOOKUP(X$78,   HDD!$A$4:$AG$55, MATCH($B107,HDD!$A$4:$A$55,0), FALSE)</f>
        <v>3614</v>
      </c>
      <c r="Y107" s="94">
        <f>HLOOKUP(Y$78,   HDD!$A$4:$AG$55, MATCH($B107,HDD!$A$4:$A$55,0), FALSE)</f>
        <v>3180</v>
      </c>
      <c r="Z107" s="94">
        <f>HLOOKUP(Z$78,   HDD!$A$4:$AG$55, MATCH($B107,HDD!$A$4:$A$55,0), FALSE)</f>
        <v>4030</v>
      </c>
      <c r="AA107" s="94">
        <f>HLOOKUP(AA$78,   HDD!$A$4:$AG$55, MATCH($B107,HDD!$A$4:$A$55,0), FALSE)</f>
        <v>3772</v>
      </c>
      <c r="AB107" s="94">
        <f>HLOOKUP(AB$78,   HDD!$A$4:$AG$55, MATCH($B107,HDD!$A$4:$A$55,0), FALSE)</f>
        <v>3823</v>
      </c>
      <c r="AC107" s="110"/>
      <c r="AD107" s="119">
        <f>HLOOKUP(AD$78,   HDD!$AA$4:$AG$55, MATCH($B107,HDD!$A$4:$A$55,0), FALSE)</f>
        <v>3748.7606923076928</v>
      </c>
      <c r="AE107" s="119">
        <f>HLOOKUP(AE$78,   HDD!$AA$4:$AG$55, MATCH($B107,HDD!$A$4:$A$55,0), FALSE)</f>
        <v>3696.8818461538467</v>
      </c>
      <c r="AF107" s="119">
        <f>HLOOKUP(AF$78,   HDD!$AA$4:$AG$55, MATCH($B107,HDD!$A$4:$A$55,0), FALSE)</f>
        <v>3645.0030000000006</v>
      </c>
      <c r="AG107" s="119">
        <f>HLOOKUP(AG$78,   HDD!$AA$4:$AG$55, MATCH($B107,HDD!$A$4:$A$55,0), FALSE)</f>
        <v>3593.1241538461509</v>
      </c>
      <c r="AH107" s="119">
        <f>HLOOKUP(AH$78,   HDD!$AA$4:$AG$55, MATCH($B107,HDD!$A$4:$A$55,0), FALSE)</f>
        <v>3541.2453076923048</v>
      </c>
      <c r="AI107" s="119">
        <f>HLOOKUP(AI$78,   HDD!$AA$4:$AG$55, MATCH($B107,HDD!$A$4:$A$55,0), FALSE)</f>
        <v>3489.3664615384587</v>
      </c>
      <c r="AJ107" s="108"/>
      <c r="AM107" s="111"/>
    </row>
    <row r="108" spans="1:52">
      <c r="A108" s="108" t="str">
        <f t="shared" si="65"/>
        <v>TKU</v>
      </c>
      <c r="B108" s="108" t="str">
        <f t="shared" si="66"/>
        <v>Turku</v>
      </c>
      <c r="C108" s="109" t="s">
        <v>266</v>
      </c>
      <c r="D108" s="109" t="s">
        <v>267</v>
      </c>
      <c r="E108" s="117">
        <f>HLOOKUP(E$78,   POP!$A$5:$AE$63, MATCH($B108, POP!$A$5:$A$63,0), FALSE) / 10^6</f>
        <v>0.17256099999999999</v>
      </c>
      <c r="F108" s="117">
        <f>HLOOKUP(F$78,   POP!$A$5:$AE$63, MATCH($B108, POP!$A$5:$A$63,0), FALSE) / 10^6</f>
        <v>0.17368600000000001</v>
      </c>
      <c r="G108" s="117">
        <f>HLOOKUP(G$78,   POP!$A$5:$AE$63, MATCH($B108, POP!$A$5:$A$63,0), FALSE) / 10^6</f>
        <v>0.174618</v>
      </c>
      <c r="H108" s="117">
        <f>HLOOKUP(H$78,   POP!$A$5:$AE$63, MATCH($B108, POP!$A$5:$A$63,0), FALSE) / 10^6</f>
        <v>0.17505899999999999</v>
      </c>
      <c r="I108" s="117">
        <f>HLOOKUP(I$78,   POP!$A$5:$AE$63, MATCH($B108, POP!$A$5:$A$63,0), FALSE) / 10^6</f>
        <v>0.17482400000000001</v>
      </c>
      <c r="J108" s="117">
        <f>HLOOKUP(J$78,   POP!$A$5:$AE$63, MATCH($B108, POP!$A$5:$A$63,0), FALSE) / 10^6</f>
        <v>0.174868</v>
      </c>
      <c r="K108" s="117">
        <f>HLOOKUP(K$78,   POP!$A$5:$AE$63, MATCH($B108, POP!$A$5:$A$63,0), FALSE) / 10^6</f>
        <v>0.17535400000000001</v>
      </c>
      <c r="L108" s="117">
        <f>HLOOKUP(L$78,   POP!$A$5:$AE$63, MATCH($B108, POP!$A$5:$A$63,0), FALSE) / 10^6</f>
        <v>0.175286</v>
      </c>
      <c r="M108" s="117">
        <f>HLOOKUP(M$78,   POP!$A$5:$AE$63, MATCH($B108, POP!$A$5:$A$63,0), FALSE) / 10^6</f>
        <v>0.17558199999999999</v>
      </c>
      <c r="N108" s="117">
        <f>HLOOKUP(N$78,   POP!$A$5:$AE$63, MATCH($B108, POP!$A$5:$A$63,0), FALSE) / 10^6</f>
        <v>0.17608699999999999</v>
      </c>
      <c r="O108" s="117">
        <f>HLOOKUP(O$78,   POP!$A$5:$AE$63, MATCH($B108, POP!$A$5:$A$63,0), FALSE) / 10^6</f>
        <v>0.17732600000000001</v>
      </c>
      <c r="P108" s="117">
        <f>HLOOKUP(P$78,   POP!$A$5:$AE$63, MATCH($B108, POP!$A$5:$A$63,0), FALSE) / 10^6</f>
        <v>0.17863000000000001</v>
      </c>
      <c r="Q108" s="117">
        <f>HLOOKUP(Q$78,   POP!$A$5:$AE$63, MATCH($B108, POP!$A$5:$A$63,0), FALSE) / 10^6</f>
        <v>0.180225</v>
      </c>
      <c r="R108" s="117">
        <f>HLOOKUP(R$78,   POP!$A$5:$AE$63, MATCH($B108, POP!$A$5:$A$63,0), FALSE) / 10^6</f>
        <v>0.18207200000000001</v>
      </c>
      <c r="S108" s="117">
        <f>HLOOKUP(S$78,   POP!$A$5:$AE$63, MATCH($B108, POP!$A$5:$A$63,0), FALSE) / 10^6</f>
        <v>0.18382399999999999</v>
      </c>
      <c r="T108" s="117">
        <f>HLOOKUP(T$78,   POP!$A$5:$AE$63, MATCH($B108, POP!$A$5:$A$63,0), FALSE) / 10^6</f>
        <v>0.18590799999999999</v>
      </c>
      <c r="U108" s="117">
        <f>HLOOKUP(U$78,   POP!$A$5:$AE$63, MATCH($B108, POP!$A$5:$A$63,0), FALSE) / 10^6</f>
        <v>0.18760399999999999</v>
      </c>
      <c r="V108" s="117">
        <f>HLOOKUP(V$78,   POP!$A$5:$AE$63, MATCH($B108, POP!$A$5:$A$63,0), FALSE) / 10^6</f>
        <v>0.189669</v>
      </c>
      <c r="W108" s="117">
        <f>HLOOKUP(W$78,   POP!$A$5:$AE$63, MATCH($B108, POP!$A$5:$A$63,0), FALSE) / 10^6</f>
        <v>0.191331</v>
      </c>
      <c r="X108" s="117">
        <f>HLOOKUP(X$78,   POP!$A$5:$AE$63, MATCH($B108, POP!$A$5:$A$63,0), FALSE) / 10^6</f>
        <v>0.19296199999999999</v>
      </c>
      <c r="Y108" s="117">
        <f>HLOOKUP(Y$78,   POP!$A$5:$AE$63, MATCH($B108, POP!$A$5:$A$63,0), FALSE) / 10^6</f>
        <v>0.19439100000000001</v>
      </c>
      <c r="Z108" s="117">
        <f>HLOOKUP(Z$78,   POP!$A$5:$AE$63, MATCH($B108, POP!$A$5:$A$63,0), FALSE) / 10^6</f>
        <v>0.195137</v>
      </c>
      <c r="AA108" s="117">
        <f>HLOOKUP(AA$78,   POP!$A$5:$AE$63, MATCH($B108, POP!$A$5:$A$63,0), FALSE) / 10^6</f>
        <v>0.19789999999999999</v>
      </c>
      <c r="AB108" s="117">
        <f>HLOOKUP(AB$78,   POP!$A$5:$AE$63, MATCH($B108, POP!$A$5:$A$63,0), FALSE) / 10^6</f>
        <v>0.20186299999999999</v>
      </c>
      <c r="AC108" s="112"/>
      <c r="AD108" s="120">
        <f>HLOOKUP(AD$78,   POP!$A$5:$AE$63, MATCH($B108, POP!$A$5:$A$63,0), FALSE) / 10^6</f>
        <v>0.18590799999999999</v>
      </c>
      <c r="AE108" s="120">
        <f>HLOOKUP(AE$78,   POP!$A$5:$AE$63, MATCH($B108, POP!$A$5:$A$63,0), FALSE) / 10^6</f>
        <v>0.19439100000000001</v>
      </c>
      <c r="AF108" s="120">
        <f>HLOOKUP(AF$78,   POP!$A$5:$AE$63, MATCH($B108, POP!$A$5:$A$63,0), FALSE) / 10^6</f>
        <v>0.20179107619047584</v>
      </c>
      <c r="AG108" s="120">
        <f>HLOOKUP(AG$78,   POP!$A$5:$AE$63, MATCH($B108, POP!$A$5:$A$63,0), FALSE) / 10^6</f>
        <v>0.20620643333333311</v>
      </c>
      <c r="AH108" s="120">
        <f>HLOOKUP(AH$78,   POP!$A$5:$AE$63, MATCH($B108, POP!$A$5:$A$63,0), FALSE) / 10^6</f>
        <v>0.20915000476190448</v>
      </c>
      <c r="AI108" s="120">
        <f>HLOOKUP(AI$78,   POP!$A$5:$AE$63, MATCH($B108, POP!$A$5:$A$63,0), FALSE) / 10^6</f>
        <v>0.21209357619047597</v>
      </c>
      <c r="AJ108" s="108"/>
      <c r="AM108" s="111"/>
      <c r="AZ108" s="108" t="s">
        <v>293</v>
      </c>
    </row>
    <row r="109" spans="1:52">
      <c r="A109" s="108" t="str">
        <f t="shared" si="65"/>
        <v>TKU</v>
      </c>
      <c r="B109" s="108" t="str">
        <f t="shared" si="66"/>
        <v>Turku</v>
      </c>
      <c r="C109" s="59" t="s">
        <v>164</v>
      </c>
      <c r="J109" s="112">
        <f>J106/J107*AVERAGE($E107:$AB107)</f>
        <v>1699.2759782514513</v>
      </c>
      <c r="K109" s="112">
        <f>K106/K107*AVERAGE($E107:$AB107)</f>
        <v>1776.6937179832839</v>
      </c>
      <c r="L109" s="112">
        <f>L106/L107*AVERAGE($E107:$AB107)</f>
        <v>1778.3328038196782</v>
      </c>
      <c r="M109" s="112">
        <f>M106/M107*AVERAGE($E107:$AB107)</f>
        <v>1807.1936673280425</v>
      </c>
      <c r="N109" s="112">
        <f>N106/N107*AVERAGE($E107:$AB107)</f>
        <v>1739.411825554452</v>
      </c>
      <c r="O109" s="112">
        <f>O106/O107*AVERAGE($E107:$AB107)</f>
        <v>1664.7973263888889</v>
      </c>
      <c r="P109" s="112">
        <f>P106/P107*AVERAGE($E107:$AB107)</f>
        <v>1838.9238049967851</v>
      </c>
      <c r="Q109" s="112">
        <f>Q106/Q107*AVERAGE($E107:$AB107)</f>
        <v>1832.4512391142075</v>
      </c>
      <c r="R109" s="112">
        <f>R106/R107*AVERAGE($E107:$AB107)</f>
        <v>2179.8853374016098</v>
      </c>
      <c r="S109" s="112">
        <f>S106/S107*AVERAGE($E107:$AB107)</f>
        <v>2251.8756560876022</v>
      </c>
      <c r="T109" s="112">
        <f>T106/T107*AVERAGE($E107:$AB107)</f>
        <v>2315.8068782988225</v>
      </c>
      <c r="U109" s="112">
        <f>U106/U107*AVERAGE($E107:$AB107)</f>
        <v>2252.0485109579358</v>
      </c>
      <c r="V109" s="112">
        <f>V106/V107*AVERAGE($E107:$AB107)</f>
        <v>2200.2457955257269</v>
      </c>
      <c r="W109" s="112">
        <f>W106/W107*AVERAGE($E107:$AB107)</f>
        <v>2194.903360092766</v>
      </c>
      <c r="X109" s="112">
        <f>X106/X107*AVERAGE($E107:$AB107)</f>
        <v>2184.7231064379266</v>
      </c>
      <c r="Y109" s="112">
        <f>Y106/Y107*AVERAGE($E107:$AB107)</f>
        <v>2243.7472327044024</v>
      </c>
      <c r="Z109" s="112">
        <f>Z106/Z107*AVERAGE($E107:$AB107)</f>
        <v>2064.4559735318444</v>
      </c>
      <c r="AA109" s="112">
        <f>AA106/AA107*AVERAGE($E107:$AB107)</f>
        <v>2043.5106261046308</v>
      </c>
      <c r="AB109" s="112">
        <f>AB106/AB107*AVERAGE($E107:$AB107)</f>
        <v>2018.9242915685763</v>
      </c>
      <c r="AG109" s="108"/>
      <c r="AH109" s="108"/>
      <c r="AI109" s="108"/>
      <c r="AJ109" s="108"/>
      <c r="AM109" s="111"/>
    </row>
    <row r="110" spans="1:52">
      <c r="A110" s="108" t="str">
        <f t="shared" si="65"/>
        <v>TKU</v>
      </c>
      <c r="B110" s="108" t="str">
        <f t="shared" si="66"/>
        <v>Turku</v>
      </c>
      <c r="C110" s="59" t="s">
        <v>295</v>
      </c>
      <c r="D110" s="138"/>
      <c r="J110" s="112">
        <f>J109/J108/1000</f>
        <v>9.7174782021379063</v>
      </c>
      <c r="K110" s="112">
        <f t="shared" ref="K110" si="67">K109/K108/1000</f>
        <v>10.132039862126236</v>
      </c>
      <c r="L110" s="112">
        <f t="shared" ref="L110" si="68">L109/L108/1000</f>
        <v>10.145321382310501</v>
      </c>
      <c r="M110" s="112">
        <f t="shared" ref="M110" si="69">M109/M108/1000</f>
        <v>10.292590740098886</v>
      </c>
      <c r="N110" s="112">
        <f t="shared" ref="N110" si="70">N109/N108/1000</f>
        <v>9.878138792497186</v>
      </c>
      <c r="O110" s="112">
        <f t="shared" ref="O110" si="71">O109/O108/1000</f>
        <v>9.3883430878093943</v>
      </c>
      <c r="P110" s="112">
        <f t="shared" ref="P110" si="72">P109/P108/1000</f>
        <v>10.294596680270866</v>
      </c>
      <c r="Q110" s="112">
        <f t="shared" ref="Q110" si="73">Q109/Q108/1000</f>
        <v>10.167575192754654</v>
      </c>
      <c r="R110" s="112">
        <f t="shared" ref="R110" si="74">R109/R108/1000</f>
        <v>11.97265552859094</v>
      </c>
      <c r="S110" s="112">
        <f t="shared" ref="S110" si="75">S109/S108/1000</f>
        <v>12.250172208675703</v>
      </c>
      <c r="T110" s="112">
        <f t="shared" ref="T110" si="76">T109/T108/1000</f>
        <v>12.456736010816226</v>
      </c>
      <c r="U110" s="112">
        <f t="shared" ref="U110" si="77">U109/U108/1000</f>
        <v>12.004267024999127</v>
      </c>
      <c r="V110" s="112">
        <f t="shared" ref="V110" si="78">V109/V108/1000</f>
        <v>11.600450234491282</v>
      </c>
      <c r="W110" s="112">
        <f t="shared" ref="W110" si="79">W109/W108/1000</f>
        <v>11.471760248432119</v>
      </c>
      <c r="X110" s="112">
        <f t="shared" ref="X110" si="80">X109/X108/1000</f>
        <v>11.322038051211775</v>
      </c>
      <c r="Y110" s="112">
        <f t="shared" ref="Y110" si="81">Y109/Y108/1000</f>
        <v>11.542444005660768</v>
      </c>
      <c r="Z110" s="112">
        <f t="shared" ref="Z110" si="82">Z109/Z108/1000</f>
        <v>10.579520918799838</v>
      </c>
      <c r="AA110" s="112">
        <f t="shared" ref="AA110" si="83">AA109/AA108/1000</f>
        <v>10.325975877234113</v>
      </c>
      <c r="AB110" s="112">
        <f t="shared" ref="AB110" si="84">AB109/AB108/1000</f>
        <v>10.001457877711996</v>
      </c>
      <c r="AD110" s="156">
        <f>AVERAGE(R110:V110)</f>
        <v>12.056856201514655</v>
      </c>
      <c r="AE110" s="156">
        <f>AVERAGE(W110:AA110)</f>
        <v>11.048347820267724</v>
      </c>
      <c r="AF110" s="144">
        <f t="array" ref="AF110">(TREND($P110:$AB110,$P$78:$AB$78,AF$78) - TREND($P110:$AB110,$P$78:$AB$78,AB$78)) + AVERAGE($Y110:$AB110)</f>
        <v>10.486366646368804</v>
      </c>
      <c r="AG110" s="145">
        <f t="array" ref="AG110">(TREND($P110:$AB110,$P$78:$AB$78,AG$78) - TREND($P110:$AB110,$P$78:$AB$78,AF$78))/2 +AF110</f>
        <v>10.328887867015222</v>
      </c>
      <c r="AH110" s="145">
        <f t="array" ref="AH110">(TREND($P110:$AB110,$P$78:$AB$78,AH$78) - TREND($P110:$AB110,$P$78:$AB$78,AG$78))/2 +AG110</f>
        <v>10.17140908766164</v>
      </c>
      <c r="AI110" s="145">
        <f t="array" ref="AI110">(TREND($P110:$AB110,$P$78:$AB$78,AI$78) - TREND($P110:$AB110,$P$78:$AB$78,AH$78))/2 +AH110</f>
        <v>10.013930308308044</v>
      </c>
      <c r="AJ110" s="108"/>
      <c r="AM110" s="111"/>
    </row>
    <row r="111" spans="1:52">
      <c r="AF111" s="109"/>
      <c r="AJ111" s="108"/>
    </row>
    <row r="112" spans="1:52">
      <c r="AF112" s="109"/>
      <c r="AJ112" s="108"/>
    </row>
    <row r="113" spans="1:39">
      <c r="A113" s="108" t="s">
        <v>313</v>
      </c>
      <c r="B113" s="108" t="s">
        <v>95</v>
      </c>
      <c r="C113" s="109" t="s">
        <v>273</v>
      </c>
      <c r="D113" s="110" t="s">
        <v>268</v>
      </c>
      <c r="J113" s="116">
        <f t="shared" ref="J113:AB113" si="85">SUMIFS(J$146:J$160,$B$146:$B$160,$B113)</f>
        <v>2103.6999999999998</v>
      </c>
      <c r="K113" s="116">
        <f t="shared" si="85"/>
        <v>2138.8000000000002</v>
      </c>
      <c r="L113" s="116">
        <f t="shared" si="85"/>
        <v>2132.4</v>
      </c>
      <c r="M113" s="116">
        <f t="shared" si="85"/>
        <v>2099.3000000000002</v>
      </c>
      <c r="N113" s="116">
        <f t="shared" si="85"/>
        <v>2241.8000000000002</v>
      </c>
      <c r="O113" s="116">
        <f t="shared" si="85"/>
        <v>2459.9</v>
      </c>
      <c r="P113" s="116">
        <f t="shared" si="85"/>
        <v>2156.4</v>
      </c>
      <c r="Q113" s="116">
        <f t="shared" si="85"/>
        <v>2355.6</v>
      </c>
      <c r="R113" s="116">
        <f t="shared" si="85"/>
        <v>2157.3000000000002</v>
      </c>
      <c r="S113" s="116">
        <f t="shared" si="85"/>
        <v>2162.5</v>
      </c>
      <c r="T113" s="116">
        <f t="shared" si="85"/>
        <v>2059.5</v>
      </c>
      <c r="U113" s="116">
        <f t="shared" si="85"/>
        <v>2249.8000000000002</v>
      </c>
      <c r="V113" s="116">
        <f t="shared" si="85"/>
        <v>2207.6</v>
      </c>
      <c r="W113" s="116">
        <f t="shared" si="85"/>
        <v>2253</v>
      </c>
      <c r="X113" s="116">
        <f t="shared" si="85"/>
        <v>2232.5</v>
      </c>
      <c r="Y113" s="116">
        <f t="shared" si="85"/>
        <v>2019.9</v>
      </c>
      <c r="Z113" s="116">
        <f t="shared" si="85"/>
        <v>2379</v>
      </c>
      <c r="AA113" s="116">
        <f t="shared" si="85"/>
        <v>2220.7000000000003</v>
      </c>
      <c r="AB113" s="116">
        <f t="shared" si="85"/>
        <v>2268.2000000000003</v>
      </c>
      <c r="AD113" s="139">
        <f>AD115*AD117*1000 / AVERAGE($E114:$AB114)*AD114</f>
        <v>2224.9793654609448</v>
      </c>
      <c r="AE113" s="139">
        <f>AE115*AE117*1000 / AVERAGE($E114:$AB114)*AE114</f>
        <v>2234.3767759148409</v>
      </c>
      <c r="AF113" s="139">
        <f>AF115*AF117*1000 / AVERAGE($E114:$AB114)*AF114</f>
        <v>2230.3641536293949</v>
      </c>
      <c r="AG113" s="139">
        <f>AG115*AG117*1000 / AVERAGE($E114:$AB114)*AG114</f>
        <v>2216.3180096673004</v>
      </c>
      <c r="AH113" s="139">
        <f>AH115*AH117*1000 / AVERAGE($E114:$AB114)*AH114</f>
        <v>2178.586806216093</v>
      </c>
      <c r="AI113" s="139">
        <f>AI115*AI117*1000 / AVERAGE($E114:$AB114)*AI114</f>
        <v>2139.2936893704036</v>
      </c>
      <c r="AJ113" s="108"/>
    </row>
    <row r="114" spans="1:39">
      <c r="A114" s="108" t="str">
        <f t="shared" ref="A114:A117" si="86">A113</f>
        <v>TRE</v>
      </c>
      <c r="B114" s="108" t="str">
        <f t="shared" ref="B114:B117" si="87">B113</f>
        <v>Tampere</v>
      </c>
      <c r="C114" s="109" t="s">
        <v>265</v>
      </c>
      <c r="E114" s="94">
        <f>HLOOKUP(E$78,   HDD!$A$4:$AG$55, MATCH($B114,HDD!$A$4:$A$55,0), FALSE)</f>
        <v>3834</v>
      </c>
      <c r="F114" s="94">
        <f>HLOOKUP(F$78,   HDD!$A$4:$AG$55, MATCH($B114,HDD!$A$4:$A$55,0), FALSE)</f>
        <v>4400.2</v>
      </c>
      <c r="G114" s="94">
        <f>HLOOKUP(G$78,   HDD!$A$4:$AG$55, MATCH($B114,HDD!$A$4:$A$55,0), FALSE)</f>
        <v>4459.0999999999995</v>
      </c>
      <c r="H114" s="94">
        <f>HLOOKUP(H$78,   HDD!$A$4:$AG$55, MATCH($B114,HDD!$A$4:$A$55,0), FALSE)</f>
        <v>4450.8999999999996</v>
      </c>
      <c r="I114" s="94">
        <f>HLOOKUP(I$78,   HDD!$A$4:$AG$55, MATCH($B114,HDD!$A$4:$A$55,0), FALSE)</f>
        <v>4289.2</v>
      </c>
      <c r="J114" s="94">
        <f>HLOOKUP(J$78,   HDD!$A$4:$AG$55, MATCH($B114,HDD!$A$4:$A$55,0), FALSE)</f>
        <v>4142</v>
      </c>
      <c r="K114" s="94">
        <f>HLOOKUP(K$78,   HDD!$A$4:$AG$55, MATCH($B114,HDD!$A$4:$A$55,0), FALSE)</f>
        <v>4119</v>
      </c>
      <c r="L114" s="94">
        <f>HLOOKUP(L$78,   HDD!$A$4:$AG$55, MATCH($B114,HDD!$A$4:$A$55,0), FALSE)</f>
        <v>4062.3</v>
      </c>
      <c r="M114" s="94">
        <f>HLOOKUP(M$78,   HDD!$A$4:$AG$55, MATCH($B114,HDD!$A$4:$A$55,0), FALSE)</f>
        <v>3889</v>
      </c>
      <c r="N114" s="94">
        <f>HLOOKUP(N$78,   HDD!$A$4:$AG$55, MATCH($B114,HDD!$A$4:$A$55,0), FALSE)</f>
        <v>4371</v>
      </c>
      <c r="O114" s="94">
        <f>HLOOKUP(O$78,   HDD!$A$4:$AG$55, MATCH($B114,HDD!$A$4:$A$55,0), FALSE)</f>
        <v>4997</v>
      </c>
      <c r="P114" s="94">
        <f>HLOOKUP(P$78,   HDD!$A$4:$AG$55, MATCH($B114,HDD!$A$4:$A$55,0), FALSE)</f>
        <v>3945</v>
      </c>
      <c r="Q114" s="94">
        <f>HLOOKUP(Q$78,   HDD!$A$4:$AG$55, MATCH($B114,HDD!$A$4:$A$55,0), FALSE)</f>
        <v>4506</v>
      </c>
      <c r="R114" s="94">
        <f>HLOOKUP(R$78,   HDD!$A$4:$AG$55, MATCH($B114,HDD!$A$4:$A$55,0), FALSE)</f>
        <v>4016</v>
      </c>
      <c r="S114" s="94">
        <f>HLOOKUP(S$78,   HDD!$A$4:$AG$55, MATCH($B114,HDD!$A$4:$A$55,0), FALSE)</f>
        <v>4046</v>
      </c>
      <c r="T114" s="94">
        <f>HLOOKUP(T$78,   HDD!$A$4:$AG$55, MATCH($B114,HDD!$A$4:$A$55,0), FALSE)</f>
        <v>3619</v>
      </c>
      <c r="U114" s="94">
        <f>HLOOKUP(U$78,   HDD!$A$4:$AG$55, MATCH($B114,HDD!$A$4:$A$55,0), FALSE)</f>
        <v>4155</v>
      </c>
      <c r="V114" s="94">
        <f>HLOOKUP(V$78,   HDD!$A$4:$AG$55, MATCH($B114,HDD!$A$4:$A$55,0), FALSE)</f>
        <v>4132</v>
      </c>
      <c r="W114" s="94">
        <f>HLOOKUP(W$78,   HDD!$A$4:$AG$55, MATCH($B114,HDD!$A$4:$A$55,0), FALSE)</f>
        <v>4116</v>
      </c>
      <c r="X114" s="94">
        <f>HLOOKUP(X$78,   HDD!$A$4:$AG$55, MATCH($B114,HDD!$A$4:$A$55,0), FALSE)</f>
        <v>4008</v>
      </c>
      <c r="Y114" s="94">
        <f>HLOOKUP(Y$78,   HDD!$A$4:$AG$55, MATCH($B114,HDD!$A$4:$A$55,0), FALSE)</f>
        <v>3524</v>
      </c>
      <c r="Z114" s="94">
        <f>HLOOKUP(Z$78,   HDD!$A$4:$AG$55, MATCH($B114,HDD!$A$4:$A$55,0), FALSE)</f>
        <v>4365</v>
      </c>
      <c r="AA114" s="94">
        <f>HLOOKUP(AA$78,   HDD!$A$4:$AG$55, MATCH($B114,HDD!$A$4:$A$55,0), FALSE)</f>
        <v>4071</v>
      </c>
      <c r="AB114" s="94">
        <f>HLOOKUP(AB$78,   HDD!$A$4:$AG$55, MATCH($B114,HDD!$A$4:$A$55,0), FALSE)</f>
        <v>4114</v>
      </c>
      <c r="AC114" s="110"/>
      <c r="AD114" s="119">
        <f>HLOOKUP(AD$78,   HDD!$AA$4:$AG$55, MATCH($B114,HDD!$A$4:$A$55,0), FALSE)</f>
        <v>4105.2532307692309</v>
      </c>
      <c r="AE114" s="119">
        <f>HLOOKUP(AE$78,   HDD!$AA$4:$AG$55, MATCH($B114,HDD!$A$4:$A$55,0), FALSE)</f>
        <v>4042.6286153846158</v>
      </c>
      <c r="AF114" s="119">
        <f>HLOOKUP(AF$78,   HDD!$AA$4:$AG$55, MATCH($B114,HDD!$A$4:$A$55,0), FALSE)</f>
        <v>3980.0040000000008</v>
      </c>
      <c r="AG114" s="119">
        <f>HLOOKUP(AG$78,   HDD!$AA$4:$AG$55, MATCH($B114,HDD!$A$4:$A$55,0), FALSE)</f>
        <v>3917.3793846153858</v>
      </c>
      <c r="AH114" s="119">
        <f>HLOOKUP(AH$78,   HDD!$AA$4:$AG$55, MATCH($B114,HDD!$A$4:$A$55,0), FALSE)</f>
        <v>3854.7547692307708</v>
      </c>
      <c r="AI114" s="119">
        <f>HLOOKUP(AI$78,   HDD!$AA$4:$AG$55, MATCH($B114,HDD!$A$4:$A$55,0), FALSE)</f>
        <v>3792.1301538461557</v>
      </c>
      <c r="AJ114" s="108"/>
      <c r="AM114" s="111"/>
    </row>
    <row r="115" spans="1:39">
      <c r="A115" s="108" t="str">
        <f t="shared" si="86"/>
        <v>TRE</v>
      </c>
      <c r="B115" s="108" t="str">
        <f t="shared" si="87"/>
        <v>Tampere</v>
      </c>
      <c r="C115" s="109" t="s">
        <v>266</v>
      </c>
      <c r="D115" s="109" t="s">
        <v>267</v>
      </c>
      <c r="E115" s="117">
        <f>HLOOKUP(E$78,   POP!$A$5:$AE$63, MATCH($B115, POP!$A$5:$A$63,0), FALSE) / 10^6</f>
        <v>0.195468</v>
      </c>
      <c r="F115" s="117">
        <f>HLOOKUP(F$78,   POP!$A$5:$AE$63, MATCH($B115, POP!$A$5:$A$63,0), FALSE) / 10^6</f>
        <v>0.19777400000000001</v>
      </c>
      <c r="G115" s="117">
        <f>HLOOKUP(G$78,   POP!$A$5:$AE$63, MATCH($B115, POP!$A$5:$A$63,0), FALSE) / 10^6</f>
        <v>0.199823</v>
      </c>
      <c r="H115" s="117">
        <f>HLOOKUP(H$78,   POP!$A$5:$AE$63, MATCH($B115, POP!$A$5:$A$63,0), FALSE) / 10^6</f>
        <v>0.20096600000000001</v>
      </c>
      <c r="I115" s="117">
        <f>HLOOKUP(I$78,   POP!$A$5:$AE$63, MATCH($B115, POP!$A$5:$A$63,0), FALSE) / 10^6</f>
        <v>0.202932</v>
      </c>
      <c r="J115" s="117">
        <f>HLOOKUP(J$78,   POP!$A$5:$AE$63, MATCH($B115, POP!$A$5:$A$63,0), FALSE) / 10^6</f>
        <v>0.20433699999999999</v>
      </c>
      <c r="K115" s="117">
        <f>HLOOKUP(K$78,   POP!$A$5:$AE$63, MATCH($B115, POP!$A$5:$A$63,0), FALSE) / 10^6</f>
        <v>0.206368</v>
      </c>
      <c r="L115" s="117">
        <f>HLOOKUP(L$78,   POP!$A$5:$AE$63, MATCH($B115, POP!$A$5:$A$63,0), FALSE) / 10^6</f>
        <v>0.207866</v>
      </c>
      <c r="M115" s="117">
        <f>HLOOKUP(M$78,   POP!$A$5:$AE$63, MATCH($B115, POP!$A$5:$A$63,0), FALSE) / 10^6</f>
        <v>0.20955199999999999</v>
      </c>
      <c r="N115" s="117">
        <f>HLOOKUP(N$78,   POP!$A$5:$AE$63, MATCH($B115, POP!$A$5:$A$63,0), FALSE) / 10^6</f>
        <v>0.211507</v>
      </c>
      <c r="O115" s="117">
        <f>HLOOKUP(O$78,   POP!$A$5:$AE$63, MATCH($B115, POP!$A$5:$A$63,0), FALSE) / 10^6</f>
        <v>0.21321699999999999</v>
      </c>
      <c r="P115" s="117">
        <f>HLOOKUP(P$78,   POP!$A$5:$AE$63, MATCH($B115, POP!$A$5:$A$63,0), FALSE) / 10^6</f>
        <v>0.215168</v>
      </c>
      <c r="Q115" s="117">
        <f>HLOOKUP(Q$78,   POP!$A$5:$AE$63, MATCH($B115, POP!$A$5:$A$63,0), FALSE) / 10^6</f>
        <v>0.217421</v>
      </c>
      <c r="R115" s="117">
        <f>HLOOKUP(R$78,   POP!$A$5:$AE$63, MATCH($B115, POP!$A$5:$A$63,0), FALSE) / 10^6</f>
        <v>0.220446</v>
      </c>
      <c r="S115" s="117">
        <f>HLOOKUP(S$78,   POP!$A$5:$AE$63, MATCH($B115, POP!$A$5:$A$63,0), FALSE) / 10^6</f>
        <v>0.22300400000000001</v>
      </c>
      <c r="T115" s="117">
        <f>HLOOKUP(T$78,   POP!$A$5:$AE$63, MATCH($B115, POP!$A$5:$A$63,0), FALSE) / 10^6</f>
        <v>0.22511800000000001</v>
      </c>
      <c r="U115" s="117">
        <f>HLOOKUP(U$78,   POP!$A$5:$AE$63, MATCH($B115, POP!$A$5:$A$63,0), FALSE) / 10^6</f>
        <v>0.228274</v>
      </c>
      <c r="V115" s="117">
        <f>HLOOKUP(V$78,   POP!$A$5:$AE$63, MATCH($B115, POP!$A$5:$A$63,0), FALSE) / 10^6</f>
        <v>0.231853</v>
      </c>
      <c r="W115" s="117">
        <f>HLOOKUP(W$78,   POP!$A$5:$AE$63, MATCH($B115, POP!$A$5:$A$63,0), FALSE) / 10^6</f>
        <v>0.235239</v>
      </c>
      <c r="X115" s="117">
        <f>HLOOKUP(X$78,   POP!$A$5:$AE$63, MATCH($B115, POP!$A$5:$A$63,0), FALSE) / 10^6</f>
        <v>0.23813999999999999</v>
      </c>
      <c r="Y115" s="117">
        <f>HLOOKUP(Y$78,   POP!$A$5:$AE$63, MATCH($B115, POP!$A$5:$A$63,0), FALSE) / 10^6</f>
        <v>0.241009</v>
      </c>
      <c r="Z115" s="117">
        <f>HLOOKUP(Z$78,   POP!$A$5:$AE$63, MATCH($B115, POP!$A$5:$A$63,0), FALSE) / 10^6</f>
        <v>0.244223</v>
      </c>
      <c r="AA115" s="117">
        <f>HLOOKUP(AA$78,   POP!$A$5:$AE$63, MATCH($B115, POP!$A$5:$A$63,0), FALSE) / 10^6</f>
        <v>0.24900900000000001</v>
      </c>
      <c r="AB115" s="117">
        <f>HLOOKUP(AB$78,   POP!$A$5:$AE$63, MATCH($B115, POP!$A$5:$A$63,0), FALSE) / 10^6</f>
        <v>0.25505</v>
      </c>
      <c r="AC115" s="112"/>
      <c r="AD115" s="120">
        <f>HLOOKUP(AD$78,   POP!$A$5:$AE$63, MATCH($B115, POP!$A$5:$A$63,0), FALSE) / 10^6</f>
        <v>0.22511800000000001</v>
      </c>
      <c r="AE115" s="120">
        <f>HLOOKUP(AE$78,   POP!$A$5:$AE$63, MATCH($B115, POP!$A$5:$A$63,0), FALSE) / 10^6</f>
        <v>0.241009</v>
      </c>
      <c r="AF115" s="120">
        <f>HLOOKUP(AF$78,   POP!$A$5:$AE$63, MATCH($B115, POP!$A$5:$A$63,0), FALSE) / 10^6</f>
        <v>0.25401092380952367</v>
      </c>
      <c r="AG115" s="120">
        <f>HLOOKUP(AG$78,   POP!$A$5:$AE$63, MATCH($B115, POP!$A$5:$A$63,0), FALSE) / 10^6</f>
        <v>0.26154187916666688</v>
      </c>
      <c r="AH115" s="120">
        <f>HLOOKUP(AH$78,   POP!$A$5:$AE$63, MATCH($B115, POP!$A$5:$A$63,0), FALSE) / 10^6</f>
        <v>0.26656251607142872</v>
      </c>
      <c r="AI115" s="120">
        <f>HLOOKUP(AI$78,   POP!$A$5:$AE$63, MATCH($B115, POP!$A$5:$A$63,0), FALSE) / 10^6</f>
        <v>0.27158315297619051</v>
      </c>
      <c r="AJ115" s="108"/>
      <c r="AM115" s="111"/>
    </row>
    <row r="116" spans="1:39">
      <c r="A116" s="108" t="str">
        <f t="shared" si="86"/>
        <v>TRE</v>
      </c>
      <c r="B116" s="108" t="str">
        <f t="shared" si="87"/>
        <v>Tampere</v>
      </c>
      <c r="C116" s="59" t="s">
        <v>164</v>
      </c>
      <c r="J116" s="112">
        <f>J113/J114*AVERAGE($E114:$AB114)</f>
        <v>2108.4128399122801</v>
      </c>
      <c r="K116" s="112">
        <f>K113/K114*AVERAGE($E114:$AB114)</f>
        <v>2155.5610297806911</v>
      </c>
      <c r="L116" s="112">
        <f>L113/L114*AVERAGE($E114:$AB114)</f>
        <v>2179.107327129951</v>
      </c>
      <c r="M116" s="112">
        <f>M113/M114*AVERAGE($E114:$AB114)</f>
        <v>2240.8794946215821</v>
      </c>
      <c r="N116" s="112">
        <f>N113/N114*AVERAGE($E114:$AB114)</f>
        <v>2129.1095025928466</v>
      </c>
      <c r="O116" s="112">
        <f>O113/O114*AVERAGE($E114:$AB114)</f>
        <v>2043.572467897405</v>
      </c>
      <c r="P116" s="112">
        <f>P113/P114*AVERAGE($E114:$AB114)</f>
        <v>2269.1554866920151</v>
      </c>
      <c r="Q116" s="112">
        <f>Q113/Q114*AVERAGE($E114:$AB114)</f>
        <v>2170.1627174877935</v>
      </c>
      <c r="R116" s="112">
        <f>R113/R114*AVERAGE($E114:$AB114)</f>
        <v>2229.9687615164344</v>
      </c>
      <c r="S116" s="112">
        <f>S113/S114*AVERAGE($E114:$AB114)</f>
        <v>2218.7694507950237</v>
      </c>
      <c r="T116" s="112">
        <f>T113/T114*AVERAGE($E114:$AB114)</f>
        <v>2362.4093516855482</v>
      </c>
      <c r="U116" s="112">
        <f>U113/U114*AVERAGE($E114:$AB114)</f>
        <v>2247.785287404733</v>
      </c>
      <c r="V116" s="112">
        <f>V113/V114*AVERAGE($E114:$AB114)</f>
        <v>2217.9002633914165</v>
      </c>
      <c r="W116" s="112">
        <f>W113/W114*AVERAGE($E114:$AB114)</f>
        <v>2272.3109724246842</v>
      </c>
      <c r="X116" s="112">
        <f>X113/X114*AVERAGE($E114:$AB114)</f>
        <v>2312.3080687583165</v>
      </c>
      <c r="Y116" s="112">
        <f>Y113/Y114*AVERAGE($E114:$AB114)</f>
        <v>2379.4463078178205</v>
      </c>
      <c r="Z116" s="112">
        <f>Z113/Z114*AVERAGE($E114:$AB114)</f>
        <v>2262.5184736540659</v>
      </c>
      <c r="AA116" s="112">
        <f>AA113/AA114*AVERAGE($E114:$AB114)</f>
        <v>2264.491683963809</v>
      </c>
      <c r="AB116" s="112">
        <f>AB113/AB114*AVERAGE($E114:$AB114)</f>
        <v>2288.7533801247773</v>
      </c>
      <c r="AG116" s="108"/>
      <c r="AH116" s="108"/>
      <c r="AI116" s="108"/>
      <c r="AJ116" s="108"/>
      <c r="AM116" s="111"/>
    </row>
    <row r="117" spans="1:39">
      <c r="A117" s="108" t="str">
        <f t="shared" si="86"/>
        <v>TRE</v>
      </c>
      <c r="B117" s="108" t="str">
        <f t="shared" si="87"/>
        <v>Tampere</v>
      </c>
      <c r="C117" s="59" t="s">
        <v>295</v>
      </c>
      <c r="D117" s="138"/>
      <c r="J117" s="112">
        <f>J116/J115/1000</f>
        <v>10.318311612249765</v>
      </c>
      <c r="K117" s="112">
        <f t="shared" ref="K117" si="88">K116/K115/1000</f>
        <v>10.445229055767808</v>
      </c>
      <c r="L117" s="112">
        <f t="shared" ref="L117" si="89">L116/L115/1000</f>
        <v>10.483231154349202</v>
      </c>
      <c r="M117" s="112">
        <f t="shared" ref="M117" si="90">M116/M115/1000</f>
        <v>10.693667894468113</v>
      </c>
      <c r="N117" s="112">
        <f t="shared" ref="N117" si="91">N116/N115/1000</f>
        <v>10.066378429994501</v>
      </c>
      <c r="O117" s="112">
        <f t="shared" ref="O117" si="92">O116/O115/1000</f>
        <v>9.5844724759161082</v>
      </c>
      <c r="P117" s="112">
        <f t="shared" ref="P117" si="93">P116/P115/1000</f>
        <v>10.545970993326215</v>
      </c>
      <c r="Q117" s="112">
        <f t="shared" ref="Q117" si="94">Q116/Q115/1000</f>
        <v>9.9813850432469433</v>
      </c>
      <c r="R117" s="112">
        <f t="shared" ref="R117" si="95">R116/R115/1000</f>
        <v>10.115714331475438</v>
      </c>
      <c r="S117" s="112">
        <f t="shared" ref="S117" si="96">S116/S115/1000</f>
        <v>9.9494603271467046</v>
      </c>
      <c r="T117" s="112">
        <f t="shared" ref="T117" si="97">T116/T115/1000</f>
        <v>10.494093549540899</v>
      </c>
      <c r="U117" s="112">
        <f t="shared" ref="U117" si="98">U116/U115/1000</f>
        <v>9.8468738770281892</v>
      </c>
      <c r="V117" s="112">
        <f t="shared" ref="V117" si="99">V116/V115/1000</f>
        <v>9.5659761288032357</v>
      </c>
      <c r="W117" s="112">
        <f t="shared" ref="W117" si="100">W116/W115/1000</f>
        <v>9.6595843904483694</v>
      </c>
      <c r="X117" s="112">
        <f t="shared" ref="X117" si="101">X116/X115/1000</f>
        <v>9.7098684335194285</v>
      </c>
      <c r="Y117" s="112">
        <f t="shared" ref="Y117" si="102">Y116/Y115/1000</f>
        <v>9.8728524985283563</v>
      </c>
      <c r="Z117" s="112">
        <f t="shared" ref="Z117" si="103">Z116/Z115/1000</f>
        <v>9.2641498698077811</v>
      </c>
      <c r="AA117" s="112">
        <f t="shared" ref="AA117" si="104">AA116/AA115/1000</f>
        <v>9.094015412952178</v>
      </c>
      <c r="AB117" s="112">
        <f t="shared" ref="AB117" si="105">AB116/AB115/1000</f>
        <v>8.973743893843471</v>
      </c>
      <c r="AD117" s="156">
        <f>AVERAGE(R117:V117)</f>
        <v>9.9944236427988926</v>
      </c>
      <c r="AE117" s="156">
        <f>AVERAGE(W117:AA117)</f>
        <v>9.5200941210512209</v>
      </c>
      <c r="AF117" s="140">
        <f t="array" ref="AF117">(TREND($J117:$AB117,$J$78:$AB$78,AF$78) - TREND($J117:$AB117,$J$78:$AB$78,AB$78)) + AVERAGE($Y117:$AB117)</f>
        <v>9.1584465240187658</v>
      </c>
      <c r="AG117" s="140">
        <f t="array" ref="AG117">(TREND($J117:$AB117,$J$78:$AB$78,AG$78) - TREND($J117:$AB117,$J$78:$AB$78,AF$78))/2 +AF117</f>
        <v>8.9800166555635119</v>
      </c>
      <c r="AH117" s="140">
        <f t="array" ref="AH117">(TREND($J117:$AB117,$J$78:$AB$78,AH$78) - TREND($J117:$AB117,$J$78:$AB$78,AG$78))/2 +AG117</f>
        <v>8.801586787108258</v>
      </c>
      <c r="AI117" s="140">
        <f t="array" ref="AI117">(TREND($J117:$AB117,$J$78:$AB$78,AI$78) - TREND($J117:$AB117,$J$78:$AB$78,AH$78))/2 +AH117</f>
        <v>8.6231569186530042</v>
      </c>
      <c r="AJ117" s="108"/>
      <c r="AM117" s="111"/>
    </row>
    <row r="118" spans="1:39">
      <c r="AF118" s="109"/>
      <c r="AJ118" s="108"/>
    </row>
    <row r="119" spans="1:39">
      <c r="AF119" s="109"/>
      <c r="AJ119" s="108"/>
    </row>
    <row r="120" spans="1:39">
      <c r="A120" s="108" t="s">
        <v>314</v>
      </c>
      <c r="B120" s="108" t="s">
        <v>96</v>
      </c>
      <c r="C120" s="109" t="s">
        <v>273</v>
      </c>
      <c r="D120" s="110" t="s">
        <v>268</v>
      </c>
      <c r="J120" s="116">
        <f t="shared" ref="J120:AB120" si="106">SUMIFS(J$146:J$160,$B$146:$B$160,$B120)</f>
        <v>1460.4</v>
      </c>
      <c r="K120" s="116">
        <f t="shared" si="106"/>
        <v>1521.1</v>
      </c>
      <c r="L120" s="116">
        <f t="shared" si="106"/>
        <v>1541.2</v>
      </c>
      <c r="M120" s="116">
        <f t="shared" si="106"/>
        <v>1522.4</v>
      </c>
      <c r="N120" s="116">
        <f t="shared" si="106"/>
        <v>1673.6</v>
      </c>
      <c r="O120" s="116">
        <f t="shared" si="106"/>
        <v>1824.6</v>
      </c>
      <c r="P120" s="116">
        <f t="shared" si="106"/>
        <v>1628.2</v>
      </c>
      <c r="Q120" s="116">
        <f t="shared" si="106"/>
        <v>1779.1</v>
      </c>
      <c r="R120" s="116">
        <f t="shared" si="106"/>
        <v>1637.1</v>
      </c>
      <c r="S120" s="116">
        <f t="shared" si="106"/>
        <v>1649.8</v>
      </c>
      <c r="T120" s="116">
        <f t="shared" si="106"/>
        <v>1544.4</v>
      </c>
      <c r="U120" s="116">
        <f t="shared" si="106"/>
        <v>1706.6</v>
      </c>
      <c r="V120" s="116">
        <f t="shared" si="106"/>
        <v>1722.7</v>
      </c>
      <c r="W120" s="116">
        <f t="shared" si="106"/>
        <v>1742</v>
      </c>
      <c r="X120" s="116">
        <f t="shared" si="106"/>
        <v>1819.3</v>
      </c>
      <c r="Y120" s="116">
        <f t="shared" si="106"/>
        <v>1686.9</v>
      </c>
      <c r="Z120" s="116">
        <f t="shared" si="106"/>
        <v>2003.1</v>
      </c>
      <c r="AA120" s="116">
        <f t="shared" si="106"/>
        <v>1906.4</v>
      </c>
      <c r="AB120" s="116">
        <f t="shared" si="106"/>
        <v>1916.6000000000001</v>
      </c>
      <c r="AD120" s="139">
        <f>AD122*AD124*1000 / AVERAGE($E121:$AB121)*AD121</f>
        <v>1721.4878369103303</v>
      </c>
      <c r="AE120" s="139">
        <f>AE122*AE124*1000 / AVERAGE($E121:$AB121)*AE121</f>
        <v>1821.833974895485</v>
      </c>
      <c r="AF120" s="139">
        <f>AF122*AF124*1000 / AVERAGE($E121:$AB121)*AF121</f>
        <v>1917.4791297331569</v>
      </c>
      <c r="AG120" s="139">
        <f>AG122*AG124*1000 / AVERAGE($E121:$AB121)*AG121</f>
        <v>1949.7430328172036</v>
      </c>
      <c r="AH120" s="139">
        <f>AH122*AH124*1000 / AVERAGE($E121:$AB121)*AH121</f>
        <v>1965.1785616096522</v>
      </c>
      <c r="AI120" s="139">
        <f>AI122*AI124*1000 / AVERAGE($E121:$AB121)*AI121</f>
        <v>1979.8147930820139</v>
      </c>
      <c r="AJ120" s="108"/>
    </row>
    <row r="121" spans="1:39">
      <c r="A121" s="108" t="str">
        <f t="shared" ref="A121:A124" si="107">A120</f>
        <v>OUL</v>
      </c>
      <c r="B121" s="108" t="str">
        <f t="shared" ref="B121:B124" si="108">B120</f>
        <v>Oulu</v>
      </c>
      <c r="C121" s="109" t="s">
        <v>265</v>
      </c>
      <c r="E121" s="94">
        <f>HLOOKUP(E$78,   HDD!$A$4:$AG$55, MATCH($B121,HDD!$A$4:$A$55,0), FALSE)</f>
        <v>4489</v>
      </c>
      <c r="F121" s="94">
        <f>HLOOKUP(F$78,   HDD!$A$4:$AG$55, MATCH($B121,HDD!$A$4:$A$55,0), FALSE)</f>
        <v>5057.9999999999991</v>
      </c>
      <c r="G121" s="94">
        <f>HLOOKUP(G$78,   HDD!$A$4:$AG$55, MATCH($B121,HDD!$A$4:$A$55,0), FALSE)</f>
        <v>5120.3999999999996</v>
      </c>
      <c r="H121" s="94">
        <f>HLOOKUP(H$78,   HDD!$A$4:$AG$55, MATCH($B121,HDD!$A$4:$A$55,0), FALSE)</f>
        <v>4976.7</v>
      </c>
      <c r="I121" s="94">
        <f>HLOOKUP(I$78,   HDD!$A$4:$AG$55, MATCH($B121,HDD!$A$4:$A$55,0), FALSE)</f>
        <v>4904.8</v>
      </c>
      <c r="J121" s="94">
        <f>HLOOKUP(J$78,   HDD!$A$4:$AG$55, MATCH($B121,HDD!$A$4:$A$55,0), FALSE)</f>
        <v>4646</v>
      </c>
      <c r="K121" s="94">
        <f>HLOOKUP(K$78,   HDD!$A$4:$AG$55, MATCH($B121,HDD!$A$4:$A$55,0), FALSE)</f>
        <v>4748</v>
      </c>
      <c r="L121" s="94">
        <f>HLOOKUP(L$78,   HDD!$A$4:$AG$55, MATCH($B121,HDD!$A$4:$A$55,0), FALSE)</f>
        <v>4653.7</v>
      </c>
      <c r="M121" s="94">
        <f>HLOOKUP(M$78,   HDD!$A$4:$AG$55, MATCH($B121,HDD!$A$4:$A$55,0), FALSE)</f>
        <v>4591</v>
      </c>
      <c r="N121" s="94">
        <f>HLOOKUP(N$78,   HDD!$A$4:$AG$55, MATCH($B121,HDD!$A$4:$A$55,0), FALSE)</f>
        <v>4941</v>
      </c>
      <c r="O121" s="94">
        <f>HLOOKUP(O$78,   HDD!$A$4:$AG$55, MATCH($B121,HDD!$A$4:$A$55,0), FALSE)</f>
        <v>5605</v>
      </c>
      <c r="P121" s="94">
        <f>HLOOKUP(P$78,   HDD!$A$4:$AG$55, MATCH($B121,HDD!$A$4:$A$55,0), FALSE)</f>
        <v>4537</v>
      </c>
      <c r="Q121" s="94">
        <f>HLOOKUP(Q$78,   HDD!$A$4:$AG$55, MATCH($B121,HDD!$A$4:$A$55,0), FALSE)</f>
        <v>5209</v>
      </c>
      <c r="R121" s="94">
        <f>HLOOKUP(R$78,   HDD!$A$4:$AG$55, MATCH($B121,HDD!$A$4:$A$55,0), FALSE)</f>
        <v>4557</v>
      </c>
      <c r="S121" s="94">
        <f>HLOOKUP(S$78,   HDD!$A$4:$AG$55, MATCH($B121,HDD!$A$4:$A$55,0), FALSE)</f>
        <v>4513</v>
      </c>
      <c r="T121" s="94">
        <f>HLOOKUP(T$78,   HDD!$A$4:$AG$55, MATCH($B121,HDD!$A$4:$A$55,0), FALSE)</f>
        <v>4119</v>
      </c>
      <c r="U121" s="94">
        <f>HLOOKUP(U$78,   HDD!$A$4:$AG$55, MATCH($B121,HDD!$A$4:$A$55,0), FALSE)</f>
        <v>4682</v>
      </c>
      <c r="V121" s="94">
        <f>HLOOKUP(V$78,   HDD!$A$4:$AG$55, MATCH($B121,HDD!$A$4:$A$55,0), FALSE)</f>
        <v>4821</v>
      </c>
      <c r="W121" s="94">
        <f>HLOOKUP(W$78,   HDD!$A$4:$AG$55, MATCH($B121,HDD!$A$4:$A$55,0), FALSE)</f>
        <v>4655</v>
      </c>
      <c r="X121" s="94">
        <f>HLOOKUP(X$78,   HDD!$A$4:$AG$55, MATCH($B121,HDD!$A$4:$A$55,0), FALSE)</f>
        <v>4862</v>
      </c>
      <c r="Y121" s="94">
        <f>HLOOKUP(Y$78,   HDD!$A$4:$AG$55, MATCH($B121,HDD!$A$4:$A$55,0), FALSE)</f>
        <v>4223</v>
      </c>
      <c r="Z121" s="94">
        <f>HLOOKUP(Z$78,   HDD!$A$4:$AG$55, MATCH($B121,HDD!$A$4:$A$55,0), FALSE)</f>
        <v>5028</v>
      </c>
      <c r="AA121" s="94">
        <f>HLOOKUP(AA$78,   HDD!$A$4:$AG$55, MATCH($B121,HDD!$A$4:$A$55,0), FALSE)</f>
        <v>4616</v>
      </c>
      <c r="AB121" s="94">
        <f>HLOOKUP(AB$78,   HDD!$A$4:$AG$55, MATCH($B121,HDD!$A$4:$A$55,0), FALSE)</f>
        <v>4723</v>
      </c>
      <c r="AC121" s="110"/>
      <c r="AD121" s="119">
        <f>HLOOKUP(AD$78,   HDD!$AA$4:$AG$55, MATCH($B121,HDD!$A$4:$A$55,0), FALSE)</f>
        <v>4716.236615384616</v>
      </c>
      <c r="AE121" s="119">
        <f>HLOOKUP(AE$78,   HDD!$AA$4:$AG$55, MATCH($B121,HDD!$A$4:$A$55,0), FALSE)</f>
        <v>4655.9243076923085</v>
      </c>
      <c r="AF121" s="119">
        <f>HLOOKUP(AF$78,   HDD!$AA$4:$AG$55, MATCH($B121,HDD!$A$4:$A$55,0), FALSE)</f>
        <v>4595.612000000001</v>
      </c>
      <c r="AG121" s="119">
        <f>HLOOKUP(AG$78,   HDD!$AA$4:$AG$55, MATCH($B121,HDD!$A$4:$A$55,0), FALSE)</f>
        <v>4535.2996923076935</v>
      </c>
      <c r="AH121" s="119">
        <f>HLOOKUP(AH$78,   HDD!$AA$4:$AG$55, MATCH($B121,HDD!$A$4:$A$55,0), FALSE)</f>
        <v>4474.9873846153823</v>
      </c>
      <c r="AI121" s="119">
        <f>HLOOKUP(AI$78,   HDD!$AA$4:$AG$55, MATCH($B121,HDD!$A$4:$A$55,0), FALSE)</f>
        <v>4414.6750769230748</v>
      </c>
      <c r="AJ121" s="108"/>
      <c r="AM121" s="111"/>
    </row>
    <row r="122" spans="1:39">
      <c r="A122" s="108" t="str">
        <f t="shared" si="107"/>
        <v>OUL</v>
      </c>
      <c r="B122" s="108" t="str">
        <f t="shared" si="108"/>
        <v>Oulu</v>
      </c>
      <c r="C122" s="109" t="s">
        <v>266</v>
      </c>
      <c r="D122" s="109" t="s">
        <v>267</v>
      </c>
      <c r="E122" s="117">
        <f>HLOOKUP(E$78,   POP!$A$5:$AE$63, MATCH($B122, POP!$A$5:$A$63,0), FALSE) / 10^6</f>
        <v>0.16085099999999999</v>
      </c>
      <c r="F122" s="117">
        <f>HLOOKUP(F$78,   POP!$A$5:$AE$63, MATCH($B122, POP!$A$5:$A$63,0), FALSE) / 10^6</f>
        <v>0.16422400000000001</v>
      </c>
      <c r="G122" s="117">
        <f>HLOOKUP(G$78,   POP!$A$5:$AE$63, MATCH($B122, POP!$A$5:$A$63,0), FALSE) / 10^6</f>
        <v>0.16641500000000001</v>
      </c>
      <c r="H122" s="117">
        <f>HLOOKUP(H$78,   POP!$A$5:$AE$63, MATCH($B122, POP!$A$5:$A$63,0), FALSE) / 10^6</f>
        <v>0.168549</v>
      </c>
      <c r="I122" s="117">
        <f>HLOOKUP(I$78,   POP!$A$5:$AE$63, MATCH($B122, POP!$A$5:$A$63,0), FALSE) / 10^6</f>
        <v>0.17091200000000001</v>
      </c>
      <c r="J122" s="117">
        <f>HLOOKUP(J$78,   POP!$A$5:$AE$63, MATCH($B122, POP!$A$5:$A$63,0), FALSE) / 10^6</f>
        <v>0.17343600000000001</v>
      </c>
      <c r="K122" s="117">
        <f>HLOOKUP(K$78,   POP!$A$5:$AE$63, MATCH($B122, POP!$A$5:$A$63,0), FALSE) / 10^6</f>
        <v>0.175286</v>
      </c>
      <c r="L122" s="117">
        <f>HLOOKUP(L$78,   POP!$A$5:$AE$63, MATCH($B122, POP!$A$5:$A$63,0), FALSE) / 10^6</f>
        <v>0.17727599999999999</v>
      </c>
      <c r="M122" s="117">
        <f>HLOOKUP(M$78,   POP!$A$5:$AE$63, MATCH($B122, POP!$A$5:$A$63,0), FALSE) / 10^6</f>
        <v>0.17990100000000001</v>
      </c>
      <c r="N122" s="117">
        <f>HLOOKUP(N$78,   POP!$A$5:$AE$63, MATCH($B122, POP!$A$5:$A$63,0), FALSE) / 10^6</f>
        <v>0.182528</v>
      </c>
      <c r="O122" s="117">
        <f>HLOOKUP(O$78,   POP!$A$5:$AE$63, MATCH($B122, POP!$A$5:$A$63,0), FALSE) / 10^6</f>
        <v>0.185419</v>
      </c>
      <c r="P122" s="117">
        <f>HLOOKUP(P$78,   POP!$A$5:$AE$63, MATCH($B122, POP!$A$5:$A$63,0), FALSE) / 10^6</f>
        <v>0.188114</v>
      </c>
      <c r="Q122" s="117">
        <f>HLOOKUP(Q$78,   POP!$A$5:$AE$63, MATCH($B122, POP!$A$5:$A$63,0), FALSE) / 10^6</f>
        <v>0.19084699999999999</v>
      </c>
      <c r="R122" s="117">
        <f>HLOOKUP(R$78,   POP!$A$5:$AE$63, MATCH($B122, POP!$A$5:$A$63,0), FALSE) / 10^6</f>
        <v>0.193798</v>
      </c>
      <c r="S122" s="117">
        <f>HLOOKUP(S$78,   POP!$A$5:$AE$63, MATCH($B122, POP!$A$5:$A$63,0), FALSE) / 10^6</f>
        <v>0.19629099999999999</v>
      </c>
      <c r="T122" s="117">
        <f>HLOOKUP(T$78,   POP!$A$5:$AE$63, MATCH($B122, POP!$A$5:$A$63,0), FALSE) / 10^6</f>
        <v>0.19852500000000001</v>
      </c>
      <c r="U122" s="117">
        <f>HLOOKUP(U$78,   POP!$A$5:$AE$63, MATCH($B122, POP!$A$5:$A$63,0), FALSE) / 10^6</f>
        <v>0.20052600000000001</v>
      </c>
      <c r="V122" s="117">
        <f>HLOOKUP(V$78,   POP!$A$5:$AE$63, MATCH($B122, POP!$A$5:$A$63,0), FALSE) / 10^6</f>
        <v>0.20180999999999999</v>
      </c>
      <c r="W122" s="117">
        <f>HLOOKUP(W$78,   POP!$A$5:$AE$63, MATCH($B122, POP!$A$5:$A$63,0), FALSE) / 10^6</f>
        <v>0.203567</v>
      </c>
      <c r="X122" s="117">
        <f>HLOOKUP(X$78,   POP!$A$5:$AE$63, MATCH($B122, POP!$A$5:$A$63,0), FALSE) / 10^6</f>
        <v>0.205489</v>
      </c>
      <c r="Y122" s="117">
        <f>HLOOKUP(Y$78,   POP!$A$5:$AE$63, MATCH($B122, POP!$A$5:$A$63,0), FALSE) / 10^6</f>
        <v>0.20732700000000001</v>
      </c>
      <c r="Z122" s="117">
        <f>HLOOKUP(Z$78,   POP!$A$5:$AE$63, MATCH($B122, POP!$A$5:$A$63,0), FALSE) / 10^6</f>
        <v>0.20955099999999999</v>
      </c>
      <c r="AA122" s="117">
        <f>HLOOKUP(AA$78,   POP!$A$5:$AE$63, MATCH($B122, POP!$A$5:$A$63,0), FALSE) / 10^6</f>
        <v>0.21184800000000001</v>
      </c>
      <c r="AB122" s="117">
        <f>HLOOKUP(AB$78,   POP!$A$5:$AE$63, MATCH($B122, POP!$A$5:$A$63,0), FALSE) / 10^6</f>
        <v>0.21463299999999999</v>
      </c>
      <c r="AC122" s="112"/>
      <c r="AD122" s="120">
        <f>HLOOKUP(AD$78,   POP!$A$5:$AE$63, MATCH($B122, POP!$A$5:$A$63,0), FALSE) / 10^6</f>
        <v>0.19852500000000001</v>
      </c>
      <c r="AE122" s="120">
        <f>HLOOKUP(AE$78,   POP!$A$5:$AE$63, MATCH($B122, POP!$A$5:$A$63,0), FALSE) / 10^6</f>
        <v>0.20732700000000001</v>
      </c>
      <c r="AF122" s="120">
        <f>HLOOKUP(AF$78,   POP!$A$5:$AE$63, MATCH($B122, POP!$A$5:$A$63,0), FALSE) / 10^6</f>
        <v>0.21676079047619085</v>
      </c>
      <c r="AG122" s="120">
        <f>HLOOKUP(AG$78,   POP!$A$5:$AE$63, MATCH($B122, POP!$A$5:$A$63,0), FALSE) / 10^6</f>
        <v>0.22220118333333358</v>
      </c>
      <c r="AH122" s="120">
        <f>HLOOKUP(AH$78,   POP!$A$5:$AE$63, MATCH($B122, POP!$A$5:$A$63,0), FALSE) / 10^6</f>
        <v>0.22582811190476207</v>
      </c>
      <c r="AI122" s="120">
        <f>HLOOKUP(AI$78,   POP!$A$5:$AE$63, MATCH($B122, POP!$A$5:$A$63,0), FALSE) / 10^6</f>
        <v>0.22945504047619086</v>
      </c>
      <c r="AJ122" s="108"/>
      <c r="AM122" s="111"/>
    </row>
    <row r="123" spans="1:39">
      <c r="A123" s="108" t="str">
        <f t="shared" si="107"/>
        <v>OUL</v>
      </c>
      <c r="B123" s="108" t="str">
        <f t="shared" si="108"/>
        <v>Oulu</v>
      </c>
      <c r="C123" s="59" t="s">
        <v>164</v>
      </c>
      <c r="J123" s="112">
        <f>J120/J121*AVERAGE($E121:$AB121)</f>
        <v>1496.7397352561343</v>
      </c>
      <c r="K123" s="112">
        <f>K120/K121*AVERAGE($E121:$AB121)</f>
        <v>1525.4596537138441</v>
      </c>
      <c r="L123" s="112">
        <f>L120/L121*AVERAGE($E121:$AB121)</f>
        <v>1576.9367950949422</v>
      </c>
      <c r="M123" s="112">
        <f>M120/M121*AVERAGE($E121:$AB121)</f>
        <v>1578.9746300733318</v>
      </c>
      <c r="N123" s="112">
        <f>N120/N121*AVERAGE($E121:$AB121)</f>
        <v>1612.8370181474731</v>
      </c>
      <c r="O123" s="112">
        <f>O120/O121*AVERAGE($E121:$AB121)</f>
        <v>1550.0500561998215</v>
      </c>
      <c r="P123" s="112">
        <f>P120/P121*AVERAGE($E121:$AB121)</f>
        <v>1708.8055297186097</v>
      </c>
      <c r="Q123" s="112">
        <f>Q120/Q121*AVERAGE($E121:$AB121)</f>
        <v>1626.2962921546041</v>
      </c>
      <c r="R123" s="112">
        <f>R120/R121*AVERAGE($E121:$AB121)</f>
        <v>1710.6054427254769</v>
      </c>
      <c r="S123" s="112">
        <f>S120/S121*AVERAGE($E121:$AB121)</f>
        <v>1740.6827893492868</v>
      </c>
      <c r="T123" s="112">
        <f>T120/T121*AVERAGE($E121:$AB121)</f>
        <v>1785.3430225782956</v>
      </c>
      <c r="U123" s="112">
        <f>U120/U121*AVERAGE($E121:$AB121)</f>
        <v>1735.6174245336747</v>
      </c>
      <c r="V123" s="112">
        <f>V120/V121*AVERAGE($E121:$AB121)</f>
        <v>1701.4774270552441</v>
      </c>
      <c r="W123" s="112">
        <f>W120/W121*AVERAGE($E121:$AB121)</f>
        <v>1781.8951056211954</v>
      </c>
      <c r="X123" s="112">
        <f>X120/X121*AVERAGE($E121:$AB121)</f>
        <v>1781.7346854860823</v>
      </c>
      <c r="Y123" s="112">
        <f>Y120/Y121*AVERAGE($E121:$AB121)</f>
        <v>1902.0499875680796</v>
      </c>
      <c r="Z123" s="112">
        <f>Z120/Z121*AVERAGE($E121:$AB121)</f>
        <v>1896.9724845863163</v>
      </c>
      <c r="AA123" s="112">
        <f>AA120/AA121*AVERAGE($E121:$AB121)</f>
        <v>1966.535989312536</v>
      </c>
      <c r="AB123" s="112">
        <f>AB120/AB121*AVERAGE($E121:$AB121)</f>
        <v>1932.267315618604</v>
      </c>
      <c r="AG123" s="108"/>
      <c r="AH123" s="108"/>
      <c r="AI123" s="108"/>
      <c r="AJ123" s="108"/>
      <c r="AM123" s="111"/>
    </row>
    <row r="124" spans="1:39">
      <c r="A124" s="108" t="str">
        <f t="shared" si="107"/>
        <v>OUL</v>
      </c>
      <c r="B124" s="108" t="str">
        <f t="shared" si="108"/>
        <v>Oulu</v>
      </c>
      <c r="C124" s="59" t="s">
        <v>295</v>
      </c>
      <c r="D124" s="138"/>
      <c r="J124" s="112">
        <f>J123/J122/1000</f>
        <v>8.6299253629934629</v>
      </c>
      <c r="K124" s="112">
        <f t="shared" ref="K124" si="109">K123/K122/1000</f>
        <v>8.702689625605263</v>
      </c>
      <c r="L124" s="112">
        <f t="shared" ref="L124" si="110">L123/L122/1000</f>
        <v>8.8953766730687871</v>
      </c>
      <c r="M124" s="112">
        <f t="shared" ref="M124" si="111">M123/M122/1000</f>
        <v>8.776908577903022</v>
      </c>
      <c r="N124" s="112">
        <f t="shared" ref="N124" si="112">N123/N122/1000</f>
        <v>8.8361074363794785</v>
      </c>
      <c r="O124" s="112">
        <f t="shared" ref="O124" si="113">O123/O122/1000</f>
        <v>8.359715326907283</v>
      </c>
      <c r="P124" s="112">
        <f t="shared" ref="P124" si="114">P123/P122/1000</f>
        <v>9.0838828036116919</v>
      </c>
      <c r="Q124" s="112">
        <f t="shared" ref="Q124" si="115">Q123/Q122/1000</f>
        <v>8.5214663691575154</v>
      </c>
      <c r="R124" s="112">
        <f t="shared" ref="R124" si="116">R123/R122/1000</f>
        <v>8.8267445625108465</v>
      </c>
      <c r="S124" s="112">
        <f t="shared" ref="S124" si="117">S123/S122/1000</f>
        <v>8.8678685693653154</v>
      </c>
      <c r="T124" s="112">
        <f t="shared" ref="T124" si="118">T123/T122/1000</f>
        <v>8.9930387738486122</v>
      </c>
      <c r="U124" s="112">
        <f t="shared" ref="U124" si="119">U123/U122/1000</f>
        <v>8.6553236215437135</v>
      </c>
      <c r="V124" s="112">
        <f t="shared" ref="V124" si="120">V123/V122/1000</f>
        <v>8.4310858087074187</v>
      </c>
      <c r="W124" s="112">
        <f t="shared" ref="W124" si="121">W123/W122/1000</f>
        <v>8.7533593638516827</v>
      </c>
      <c r="X124" s="112">
        <f t="shared" ref="X124" si="122">X123/X122/1000</f>
        <v>8.6707059038979324</v>
      </c>
      <c r="Y124" s="112">
        <f t="shared" ref="Y124" si="123">Y123/Y122/1000</f>
        <v>9.1741547775643291</v>
      </c>
      <c r="Z124" s="112">
        <f t="shared" ref="Z124" si="124">Z123/Z122/1000</f>
        <v>9.0525575377178651</v>
      </c>
      <c r="AA124" s="112">
        <f t="shared" ref="AA124" si="125">AA123/AA122/1000</f>
        <v>9.2827687271654007</v>
      </c>
      <c r="AB124" s="112">
        <f t="shared" ref="AB124" si="126">AB123/AB122/1000</f>
        <v>9.002657166505637</v>
      </c>
      <c r="AD124" s="156">
        <f>AVERAGE(R124:V124)</f>
        <v>8.7548122671951809</v>
      </c>
      <c r="AE124" s="156">
        <f>AVERAGE(W124:AA124)</f>
        <v>8.9867092620394438</v>
      </c>
      <c r="AF124" s="140">
        <f t="array" ref="AF124">(TREND($J124:$AB124,$J$78:$AB$78,AF$78) - TREND($J124:$AB124,$J$78:$AB$78,AB$78)) + AVERAGE($Y124:$AB124)</f>
        <v>9.1655859505238162</v>
      </c>
      <c r="AG124" s="140">
        <f t="array" ref="AG124">(TREND($J124:$AB124,$J$78:$AB$78,AG$78) - TREND($J124:$AB124,$J$78:$AB$78,AF$78))/2 +AF124</f>
        <v>9.2125251983806997</v>
      </c>
      <c r="AH124" s="140">
        <f t="array" ref="AH124">(TREND($J124:$AB124,$J$78:$AB$78,AH$78) - TREND($J124:$AB124,$J$78:$AB$78,AG$78))/2 +AG124</f>
        <v>9.2594644462375797</v>
      </c>
      <c r="AI124" s="140">
        <f t="array" ref="AI124">(TREND($J124:$AB124,$J$78:$AB$78,AI$78) - TREND($J124:$AB124,$J$78:$AB$78,AH$78))/2 +AH124</f>
        <v>9.3064036940944632</v>
      </c>
      <c r="AJ124" s="108"/>
      <c r="AM124" s="111"/>
    </row>
    <row r="125" spans="1:39">
      <c r="AF125" s="109"/>
      <c r="AJ125" s="108"/>
    </row>
    <row r="126" spans="1:39">
      <c r="AF126" s="109"/>
      <c r="AJ126" s="108"/>
    </row>
    <row r="127" spans="1:39">
      <c r="A127" s="108" t="s">
        <v>315</v>
      </c>
      <c r="B127" s="108" t="s">
        <v>97</v>
      </c>
      <c r="C127" s="109" t="s">
        <v>273</v>
      </c>
      <c r="D127" s="110" t="s">
        <v>268</v>
      </c>
      <c r="J127" s="116">
        <f t="shared" ref="J127:AB127" si="127">SUMIFS(J$146:J$160,$B$146:$B$160,$B127)</f>
        <v>972.9</v>
      </c>
      <c r="K127" s="116">
        <f t="shared" si="127"/>
        <v>1019.3</v>
      </c>
      <c r="L127" s="116">
        <f t="shared" si="127"/>
        <v>1047.4000000000001</v>
      </c>
      <c r="M127" s="116">
        <f t="shared" si="127"/>
        <v>1063.5999999999999</v>
      </c>
      <c r="N127" s="116">
        <f t="shared" si="127"/>
        <v>1183.2</v>
      </c>
      <c r="O127" s="116">
        <f t="shared" si="127"/>
        <v>1295.2</v>
      </c>
      <c r="P127" s="116">
        <f t="shared" si="127"/>
        <v>1103.2</v>
      </c>
      <c r="Q127" s="116">
        <f t="shared" si="127"/>
        <v>1217.3</v>
      </c>
      <c r="R127" s="116">
        <f t="shared" si="127"/>
        <v>1134.3</v>
      </c>
      <c r="S127" s="116">
        <f t="shared" si="127"/>
        <v>1106.0999999999999</v>
      </c>
      <c r="T127" s="116">
        <f t="shared" si="127"/>
        <v>1095.2</v>
      </c>
      <c r="U127" s="116">
        <f t="shared" si="127"/>
        <v>1200.7</v>
      </c>
      <c r="V127" s="116">
        <f t="shared" si="127"/>
        <v>1189.0999999999999</v>
      </c>
      <c r="W127" s="116">
        <f t="shared" si="127"/>
        <v>1192.0999999999999</v>
      </c>
      <c r="X127" s="116">
        <f t="shared" si="127"/>
        <v>1195.2</v>
      </c>
      <c r="Y127" s="116">
        <f t="shared" si="127"/>
        <v>1086.3</v>
      </c>
      <c r="Z127" s="116">
        <f t="shared" si="127"/>
        <v>1294.1000000000001</v>
      </c>
      <c r="AA127" s="116">
        <f t="shared" si="127"/>
        <v>1203.1999999999998</v>
      </c>
      <c r="AB127" s="116">
        <f t="shared" si="127"/>
        <v>1220.5</v>
      </c>
      <c r="AD127" s="139">
        <f>AD129*AD131*1000 / AVERAGE($E128:$AB128)*AD128</f>
        <v>1185.8506273683131</v>
      </c>
      <c r="AE127" s="139">
        <f>AE129*AE131*1000 / AVERAGE($E128:$AB128)*AE128</f>
        <v>1204.1924563777714</v>
      </c>
      <c r="AF127" s="139">
        <f>AF129*AF131*1000 / AVERAGE($E128:$AB128)*AF128</f>
        <v>1212.5035647713862</v>
      </c>
      <c r="AG127" s="139">
        <f>AG129*AG131*1000 / AVERAGE($E128:$AB128)*AG128</f>
        <v>1218.4677184417412</v>
      </c>
      <c r="AH127" s="139">
        <f>AH129*AH131*1000 / AVERAGE($E128:$AB128)*AH128</f>
        <v>1215.2905512460432</v>
      </c>
      <c r="AI127" s="139">
        <f>AI129*AI131*1000 / AVERAGE($E128:$AB128)*AI128</f>
        <v>1211.6176866883288</v>
      </c>
      <c r="AJ127" s="108"/>
    </row>
    <row r="128" spans="1:39">
      <c r="A128" s="108" t="str">
        <f t="shared" ref="A128:A131" si="128">A127</f>
        <v>JKL</v>
      </c>
      <c r="B128" s="108" t="str">
        <f t="shared" ref="B128:B131" si="129">B127</f>
        <v>Jyväskylä</v>
      </c>
      <c r="C128" s="109" t="s">
        <v>265</v>
      </c>
      <c r="E128" s="94">
        <f>HLOOKUP(E$78,   HDD!$A$4:$AG$55, MATCH($B128,HDD!$A$4:$A$55,0), FALSE)</f>
        <v>4248</v>
      </c>
      <c r="F128" s="94">
        <f>HLOOKUP(F$78,   HDD!$A$4:$AG$55, MATCH($B128,HDD!$A$4:$A$55,0), FALSE)</f>
        <v>4799.8999999999996</v>
      </c>
      <c r="G128" s="94">
        <f>HLOOKUP(G$78,   HDD!$A$4:$AG$55, MATCH($B128,HDD!$A$4:$A$55,0), FALSE)</f>
        <v>4830.7999999999993</v>
      </c>
      <c r="H128" s="94">
        <f>HLOOKUP(H$78,   HDD!$A$4:$AG$55, MATCH($B128,HDD!$A$4:$A$55,0), FALSE)</f>
        <v>4784</v>
      </c>
      <c r="I128" s="94">
        <f>HLOOKUP(I$78,   HDD!$A$4:$AG$55, MATCH($B128,HDD!$A$4:$A$55,0), FALSE)</f>
        <v>4738.5999999999995</v>
      </c>
      <c r="J128" s="94">
        <f>HLOOKUP(J$78,   HDD!$A$4:$AG$55, MATCH($B128,HDD!$A$4:$A$55,0), FALSE)</f>
        <v>4463</v>
      </c>
      <c r="K128" s="94">
        <f>HLOOKUP(K$78,   HDD!$A$4:$AG$55, MATCH($B128,HDD!$A$4:$A$55,0), FALSE)</f>
        <v>4521</v>
      </c>
      <c r="L128" s="94">
        <f>HLOOKUP(L$78,   HDD!$A$4:$AG$55, MATCH($B128,HDD!$A$4:$A$55,0), FALSE)</f>
        <v>4403.8999999999996</v>
      </c>
      <c r="M128" s="94">
        <f>HLOOKUP(M$78,   HDD!$A$4:$AG$55, MATCH($B128,HDD!$A$4:$A$55,0), FALSE)</f>
        <v>4289</v>
      </c>
      <c r="N128" s="94">
        <f>HLOOKUP(N$78,   HDD!$A$4:$AG$55, MATCH($B128,HDD!$A$4:$A$55,0), FALSE)</f>
        <v>4679</v>
      </c>
      <c r="O128" s="94">
        <f>HLOOKUP(O$78,   HDD!$A$4:$AG$55, MATCH($B128,HDD!$A$4:$A$55,0), FALSE)</f>
        <v>5403</v>
      </c>
      <c r="P128" s="94">
        <f>HLOOKUP(P$78,   HDD!$A$4:$AG$55, MATCH($B128,HDD!$A$4:$A$55,0), FALSE)</f>
        <v>4356</v>
      </c>
      <c r="Q128" s="94">
        <f>HLOOKUP(Q$78,   HDD!$A$4:$AG$55, MATCH($B128,HDD!$A$4:$A$55,0), FALSE)</f>
        <v>4936</v>
      </c>
      <c r="R128" s="94">
        <f>HLOOKUP(R$78,   HDD!$A$4:$AG$55, MATCH($B128,HDD!$A$4:$A$55,0), FALSE)</f>
        <v>4312</v>
      </c>
      <c r="S128" s="94">
        <f>HLOOKUP(S$78,   HDD!$A$4:$AG$55, MATCH($B128,HDD!$A$4:$A$55,0), FALSE)</f>
        <v>4349</v>
      </c>
      <c r="T128" s="94">
        <f>HLOOKUP(T$78,   HDD!$A$4:$AG$55, MATCH($B128,HDD!$A$4:$A$55,0), FALSE)</f>
        <v>3975</v>
      </c>
      <c r="U128" s="94">
        <f>HLOOKUP(U$78,   HDD!$A$4:$AG$55, MATCH($B128,HDD!$A$4:$A$55,0), FALSE)</f>
        <v>4540</v>
      </c>
      <c r="V128" s="94">
        <f>HLOOKUP(V$78,   HDD!$A$4:$AG$55, MATCH($B128,HDD!$A$4:$A$55,0), FALSE)</f>
        <v>4458</v>
      </c>
      <c r="W128" s="94">
        <f>HLOOKUP(W$78,   HDD!$A$4:$AG$55, MATCH($B128,HDD!$A$4:$A$55,0), FALSE)</f>
        <v>4405</v>
      </c>
      <c r="X128" s="94">
        <f>HLOOKUP(X$78,   HDD!$A$4:$AG$55, MATCH($B128,HDD!$A$4:$A$55,0), FALSE)</f>
        <v>4376</v>
      </c>
      <c r="Y128" s="94">
        <f>HLOOKUP(Y$78,   HDD!$A$4:$AG$55, MATCH($B128,HDD!$A$4:$A$55,0), FALSE)</f>
        <v>3915</v>
      </c>
      <c r="Z128" s="94">
        <f>HLOOKUP(Z$78,   HDD!$A$4:$AG$55, MATCH($B128,HDD!$A$4:$A$55,0), FALSE)</f>
        <v>4771</v>
      </c>
      <c r="AA128" s="94">
        <f>HLOOKUP(AA$78,   HDD!$A$4:$AG$55, MATCH($B128,HDD!$A$4:$A$55,0), FALSE)</f>
        <v>4423</v>
      </c>
      <c r="AB128" s="94">
        <f>HLOOKUP(AB$78,   HDD!$A$4:$AG$55, MATCH($B128,HDD!$A$4:$A$55,0), FALSE)</f>
        <v>4519</v>
      </c>
      <c r="AC128" s="110"/>
      <c r="AD128" s="119">
        <f>HLOOKUP(AD$78,   HDD!$AA$4:$AG$55, MATCH($B128,HDD!$A$4:$A$55,0), FALSE)</f>
        <v>4477.6167692307718</v>
      </c>
      <c r="AE128" s="119">
        <f>HLOOKUP(AE$78,   HDD!$AA$4:$AG$55, MATCH($B128,HDD!$A$4:$A$55,0), FALSE)</f>
        <v>4414.4313846153891</v>
      </c>
      <c r="AF128" s="119">
        <f>HLOOKUP(AF$78,   HDD!$AA$4:$AG$55, MATCH($B128,HDD!$A$4:$A$55,0), FALSE)</f>
        <v>4351.2460000000028</v>
      </c>
      <c r="AG128" s="119">
        <f>HLOOKUP(AG$78,   HDD!$AA$4:$AG$55, MATCH($B128,HDD!$A$4:$A$55,0), FALSE)</f>
        <v>4288.0606153846202</v>
      </c>
      <c r="AH128" s="119">
        <f>HLOOKUP(AH$78,   HDD!$AA$4:$AG$55, MATCH($B128,HDD!$A$4:$A$55,0), FALSE)</f>
        <v>4224.8752307692339</v>
      </c>
      <c r="AI128" s="119">
        <f>HLOOKUP(AI$78,   HDD!$AA$4:$AG$55, MATCH($B128,HDD!$A$4:$A$55,0), FALSE)</f>
        <v>4161.6898461538512</v>
      </c>
      <c r="AJ128" s="108"/>
      <c r="AM128" s="111"/>
    </row>
    <row r="129" spans="1:39">
      <c r="A129" s="108" t="str">
        <f t="shared" si="128"/>
        <v>JKL</v>
      </c>
      <c r="B129" s="108" t="str">
        <f t="shared" si="129"/>
        <v>Jyväskylä</v>
      </c>
      <c r="C129" s="109" t="s">
        <v>266</v>
      </c>
      <c r="D129" s="109" t="s">
        <v>267</v>
      </c>
      <c r="E129" s="117">
        <f>HLOOKUP(E$78,   POP!$A$5:$AE$63, MATCH($B129, POP!$A$5:$A$63,0), FALSE) / 10^6</f>
        <v>0.116519</v>
      </c>
      <c r="F129" s="117">
        <f>HLOOKUP(F$78,   POP!$A$5:$AE$63, MATCH($B129, POP!$A$5:$A$63,0), FALSE) / 10^6</f>
        <v>0.11838</v>
      </c>
      <c r="G129" s="117">
        <f>HLOOKUP(G$78,   POP!$A$5:$AE$63, MATCH($B129, POP!$A$5:$A$63,0), FALSE) / 10^6</f>
        <v>0.11962</v>
      </c>
      <c r="H129" s="117">
        <f>HLOOKUP(H$78,   POP!$A$5:$AE$63, MATCH($B129, POP!$A$5:$A$63,0), FALSE) / 10^6</f>
        <v>0.12124500000000001</v>
      </c>
      <c r="I129" s="117">
        <f>HLOOKUP(I$78,   POP!$A$5:$AE$63, MATCH($B129, POP!$A$5:$A$63,0), FALSE) / 10^6</f>
        <v>0.122974</v>
      </c>
      <c r="J129" s="117">
        <f>HLOOKUP(J$78,   POP!$A$5:$AE$63, MATCH($B129, POP!$A$5:$A$63,0), FALSE) / 10^6</f>
        <v>0.124205</v>
      </c>
      <c r="K129" s="117">
        <f>HLOOKUP(K$78,   POP!$A$5:$AE$63, MATCH($B129, POP!$A$5:$A$63,0), FALSE) / 10^6</f>
        <v>0.125221</v>
      </c>
      <c r="L129" s="117">
        <f>HLOOKUP(L$78,   POP!$A$5:$AE$63, MATCH($B129, POP!$A$5:$A$63,0), FALSE) / 10^6</f>
        <v>0.12654599999999999</v>
      </c>
      <c r="M129" s="117">
        <f>HLOOKUP(M$78,   POP!$A$5:$AE$63, MATCH($B129, POP!$A$5:$A$63,0), FALSE) / 10^6</f>
        <v>0.128028</v>
      </c>
      <c r="N129" s="117">
        <f>HLOOKUP(N$78,   POP!$A$5:$AE$63, MATCH($B129, POP!$A$5:$A$63,0), FALSE) / 10^6</f>
        <v>0.12962299999999999</v>
      </c>
      <c r="O129" s="117">
        <f>HLOOKUP(O$78,   POP!$A$5:$AE$63, MATCH($B129, POP!$A$5:$A$63,0), FALSE) / 10^6</f>
        <v>0.13081599999999999</v>
      </c>
      <c r="P129" s="117">
        <f>HLOOKUP(P$78,   POP!$A$5:$AE$63, MATCH($B129, POP!$A$5:$A$63,0), FALSE) / 10^6</f>
        <v>0.13206200000000001</v>
      </c>
      <c r="Q129" s="117">
        <f>HLOOKUP(Q$78,   POP!$A$5:$AE$63, MATCH($B129, POP!$A$5:$A$63,0), FALSE) / 10^6</f>
        <v>0.13348199999999999</v>
      </c>
      <c r="R129" s="117">
        <f>HLOOKUP(R$78,   POP!$A$5:$AE$63, MATCH($B129, POP!$A$5:$A$63,0), FALSE) / 10^6</f>
        <v>0.134658</v>
      </c>
      <c r="S129" s="117">
        <f>HLOOKUP(S$78,   POP!$A$5:$AE$63, MATCH($B129, POP!$A$5:$A$63,0), FALSE) / 10^6</f>
        <v>0.13578000000000001</v>
      </c>
      <c r="T129" s="117">
        <f>HLOOKUP(T$78,   POP!$A$5:$AE$63, MATCH($B129, POP!$A$5:$A$63,0), FALSE) / 10^6</f>
        <v>0.13736799999999999</v>
      </c>
      <c r="U129" s="117">
        <f>HLOOKUP(U$78,   POP!$A$5:$AE$63, MATCH($B129, POP!$A$5:$A$63,0), FALSE) / 10^6</f>
        <v>0.13885</v>
      </c>
      <c r="V129" s="117">
        <f>HLOOKUP(V$78,   POP!$A$5:$AE$63, MATCH($B129, POP!$A$5:$A$63,0), FALSE) / 10^6</f>
        <v>0.14018800000000001</v>
      </c>
      <c r="W129" s="117">
        <f>HLOOKUP(W$78,   POP!$A$5:$AE$63, MATCH($B129, POP!$A$5:$A$63,0), FALSE) / 10^6</f>
        <v>0.14130499999999999</v>
      </c>
      <c r="X129" s="117">
        <f>HLOOKUP(X$78,   POP!$A$5:$AE$63, MATCH($B129, POP!$A$5:$A$63,0), FALSE) / 10^6</f>
        <v>0.1424</v>
      </c>
      <c r="Y129" s="117">
        <f>HLOOKUP(Y$78,   POP!$A$5:$AE$63, MATCH($B129, POP!$A$5:$A$63,0), FALSE) / 10^6</f>
        <v>0.14341999999999999</v>
      </c>
      <c r="Z129" s="117">
        <f>HLOOKUP(Z$78,   POP!$A$5:$AE$63, MATCH($B129, POP!$A$5:$A$63,0), FALSE) / 10^6</f>
        <v>0.14447299999999999</v>
      </c>
      <c r="AA129" s="117">
        <f>HLOOKUP(AA$78,   POP!$A$5:$AE$63, MATCH($B129, POP!$A$5:$A$63,0), FALSE) / 10^6</f>
        <v>0.14588699999999999</v>
      </c>
      <c r="AB129" s="117">
        <f>HLOOKUP(AB$78,   POP!$A$5:$AE$63, MATCH($B129, POP!$A$5:$A$63,0), FALSE) / 10^6</f>
        <v>0.14774599999999999</v>
      </c>
      <c r="AC129" s="112"/>
      <c r="AD129" s="120">
        <f>HLOOKUP(AD$78,   POP!$A$5:$AE$63, MATCH($B129, POP!$A$5:$A$63,0), FALSE) / 10^6</f>
        <v>0.13736799999999999</v>
      </c>
      <c r="AE129" s="120">
        <f>HLOOKUP(AE$78,   POP!$A$5:$AE$63, MATCH($B129, POP!$A$5:$A$63,0), FALSE) / 10^6</f>
        <v>0.14341999999999999</v>
      </c>
      <c r="AF129" s="120">
        <f>HLOOKUP(AF$78,   POP!$A$5:$AE$63, MATCH($B129, POP!$A$5:$A$63,0), FALSE) / 10^6</f>
        <v>0.14871405714285746</v>
      </c>
      <c r="AG129" s="120">
        <f>HLOOKUP(AG$78,   POP!$A$5:$AE$63, MATCH($B129, POP!$A$5:$A$63,0), FALSE) / 10^6</f>
        <v>0.15189432500000019</v>
      </c>
      <c r="AH129" s="120">
        <f>HLOOKUP(AH$78,   POP!$A$5:$AE$63, MATCH($B129, POP!$A$5:$A$63,0), FALSE) / 10^6</f>
        <v>0.15401450357142882</v>
      </c>
      <c r="AI129" s="120">
        <f>HLOOKUP(AI$78,   POP!$A$5:$AE$63, MATCH($B129, POP!$A$5:$A$63,0), FALSE) / 10^6</f>
        <v>0.15613468214285731</v>
      </c>
      <c r="AJ129" s="108"/>
      <c r="AM129" s="111"/>
    </row>
    <row r="130" spans="1:39">
      <c r="A130" s="108" t="str">
        <f t="shared" si="128"/>
        <v>JKL</v>
      </c>
      <c r="B130" s="108" t="str">
        <f t="shared" si="129"/>
        <v>Jyväskylä</v>
      </c>
      <c r="C130" s="59" t="s">
        <v>164</v>
      </c>
      <c r="J130" s="112">
        <f>J127/J128*AVERAGE($E128:$AB128)</f>
        <v>985.46362760475017</v>
      </c>
      <c r="K130" s="112">
        <f>K127/K128*AVERAGE($E128:$AB128)</f>
        <v>1019.2173317112732</v>
      </c>
      <c r="L130" s="112">
        <f>L127/L128*AVERAGE($E128:$AB128)</f>
        <v>1075.1632310754862</v>
      </c>
      <c r="M130" s="112">
        <f>M127/M128*AVERAGE($E128:$AB128)</f>
        <v>1121.0411782078183</v>
      </c>
      <c r="N130" s="112">
        <f>N127/N128*AVERAGE($E128:$AB128)</f>
        <v>1143.1531010899766</v>
      </c>
      <c r="O130" s="112">
        <f>O127/O128*AVERAGE($E128:$AB128)</f>
        <v>1083.6802319698932</v>
      </c>
      <c r="P130" s="112">
        <f>P127/P128*AVERAGE($E128:$AB128)</f>
        <v>1144.895016835017</v>
      </c>
      <c r="Q130" s="112">
        <f>Q127/Q128*AVERAGE($E128:$AB128)</f>
        <v>1114.863646002161</v>
      </c>
      <c r="R130" s="112">
        <f>R127/R128*AVERAGE($E128:$AB128)</f>
        <v>1189.1823724489795</v>
      </c>
      <c r="S130" s="112">
        <f>S127/S128*AVERAGE($E128:$AB128)</f>
        <v>1149.7522487928259</v>
      </c>
      <c r="T130" s="112">
        <f>T127/T128*AVERAGE($E128:$AB128)</f>
        <v>1245.533994129979</v>
      </c>
      <c r="U130" s="112">
        <f>U127/U128*AVERAGE($E128:$AB128)</f>
        <v>1195.5780712187959</v>
      </c>
      <c r="V130" s="112">
        <f>V127/V128*AVERAGE($E128:$AB128)</f>
        <v>1205.8064371167936</v>
      </c>
      <c r="W130" s="112">
        <f>W127/W128*AVERAGE($E128:$AB128)</f>
        <v>1223.3931888006052</v>
      </c>
      <c r="X130" s="112">
        <f>X127/X128*AVERAGE($E128:$AB128)</f>
        <v>1234.7031444241316</v>
      </c>
      <c r="Y130" s="112">
        <f>Y127/Y128*AVERAGE($E128:$AB128)</f>
        <v>1254.3458467432949</v>
      </c>
      <c r="Z130" s="112">
        <f>Z127/Z128*AVERAGE($E128:$AB128)</f>
        <v>1226.1898127576328</v>
      </c>
      <c r="AA130" s="112">
        <f>AA127/AA128*AVERAGE($E128:$AB128)</f>
        <v>1229.7594453236866</v>
      </c>
      <c r="AB130" s="112">
        <f>AB127/AB128*AVERAGE($E128:$AB128)</f>
        <v>1220.9411337316515</v>
      </c>
      <c r="AG130" s="108"/>
      <c r="AH130" s="108"/>
      <c r="AI130" s="108"/>
      <c r="AJ130" s="108"/>
      <c r="AM130" s="111"/>
    </row>
    <row r="131" spans="1:39">
      <c r="A131" s="108" t="str">
        <f t="shared" si="128"/>
        <v>JKL</v>
      </c>
      <c r="B131" s="108" t="str">
        <f t="shared" si="129"/>
        <v>Jyväskylä</v>
      </c>
      <c r="C131" s="59" t="s">
        <v>295</v>
      </c>
      <c r="D131" s="138"/>
      <c r="J131" s="112">
        <f>J130/J129/1000</f>
        <v>7.9341703442272875</v>
      </c>
      <c r="K131" s="112">
        <f t="shared" ref="K131" si="130">K130/K129/1000</f>
        <v>8.1393482859206774</v>
      </c>
      <c r="L131" s="112">
        <f t="shared" ref="L131" si="131">L130/L129/1000</f>
        <v>8.496224543450495</v>
      </c>
      <c r="M131" s="112">
        <f t="shared" ref="M131" si="132">M130/M129/1000</f>
        <v>8.7562187818900412</v>
      </c>
      <c r="N131" s="112">
        <f t="shared" ref="N131" si="133">N130/N129/1000</f>
        <v>8.8190606689397466</v>
      </c>
      <c r="O131" s="112">
        <f t="shared" ref="O131" si="134">O130/O129/1000</f>
        <v>8.2840037302003822</v>
      </c>
      <c r="P131" s="112">
        <f t="shared" ref="P131" si="135">P130/P129/1000</f>
        <v>8.66937511801288</v>
      </c>
      <c r="Q131" s="112">
        <f t="shared" ref="Q131" si="136">Q130/Q129/1000</f>
        <v>8.3521646813964505</v>
      </c>
      <c r="R131" s="112">
        <f t="shared" ref="R131" si="137">R130/R129/1000</f>
        <v>8.8311305117332761</v>
      </c>
      <c r="S131" s="112">
        <f t="shared" ref="S131" si="138">S130/S129/1000</f>
        <v>8.4677584975167619</v>
      </c>
      <c r="T131" s="112">
        <f t="shared" ref="T131" si="139">T130/T129/1000</f>
        <v>9.0671334963745487</v>
      </c>
      <c r="U131" s="112">
        <f t="shared" ref="U131" si="140">U130/U129/1000</f>
        <v>8.6105730732358374</v>
      </c>
      <c r="V131" s="112">
        <f t="shared" ref="V131" si="141">V130/V129/1000</f>
        <v>8.6013527343053156</v>
      </c>
      <c r="W131" s="112">
        <f t="shared" ref="W131" si="142">W130/W129/1000</f>
        <v>8.6578195308064494</v>
      </c>
      <c r="X131" s="112">
        <f t="shared" ref="X131" si="143">X130/X129/1000</f>
        <v>8.6706681490458664</v>
      </c>
      <c r="Y131" s="112">
        <f t="shared" ref="Y131" si="144">Y130/Y129/1000</f>
        <v>8.7459618375630672</v>
      </c>
      <c r="Z131" s="112">
        <f t="shared" ref="Z131" si="145">Z130/Z129/1000</f>
        <v>8.4873285164538217</v>
      </c>
      <c r="AA131" s="112">
        <f t="shared" ref="AA131" si="146">AA130/AA129/1000</f>
        <v>8.4295341279461962</v>
      </c>
      <c r="AB131" s="112">
        <f t="shared" ref="AB131" si="147">AB130/AB129/1000</f>
        <v>8.2637846962466099</v>
      </c>
      <c r="AD131" s="156">
        <f>AVERAGE(R131:V131)</f>
        <v>8.7155896626331479</v>
      </c>
      <c r="AE131" s="156">
        <f>AVERAGE(W131:AA131)</f>
        <v>8.5982624323630805</v>
      </c>
      <c r="AF131" s="144">
        <f t="array" ref="AF131">(TREND($O131:$AB131,$O$78:$AB$78,AF$78) - TREND($O131:$AB131,$O$78:$AB$78,AB$78)) + AVERAGE($Y131:$AB131)</f>
        <v>8.4706482571291399</v>
      </c>
      <c r="AG131" s="145">
        <f t="array" ref="AG131">(TREND($O131:$AB131,$O$78:$AB$78,AG$78) - TREND($O131:$AB131,$O$78:$AB$78,AF$78))/2 +AF131</f>
        <v>8.4568932103500352</v>
      </c>
      <c r="AH131" s="145">
        <f t="array" ref="AH131">(TREND($O131:$AB131,$O$78:$AB$78,AH$78) - TREND($O131:$AB131,$O$78:$AB$78,AG$78))/2 +AG131</f>
        <v>8.4431381635709322</v>
      </c>
      <c r="AI131" s="145">
        <f t="array" ref="AI131">(TREND($O131:$AB131,$O$78:$AB$78,AI$78) - TREND($O131:$AB131,$O$78:$AB$78,AH$78))/2 +AH131</f>
        <v>8.4293831167918274</v>
      </c>
      <c r="AJ131" s="108"/>
      <c r="AM131" s="111"/>
    </row>
    <row r="132" spans="1:39">
      <c r="AF132" s="109"/>
      <c r="AJ132" s="108"/>
    </row>
    <row r="133" spans="1:39">
      <c r="AF133" s="109"/>
      <c r="AJ133" s="108"/>
    </row>
    <row r="134" spans="1:39">
      <c r="A134" s="108" t="s">
        <v>316</v>
      </c>
      <c r="B134" s="108" t="s">
        <v>292</v>
      </c>
      <c r="C134" s="109" t="s">
        <v>273</v>
      </c>
      <c r="D134" s="110" t="s">
        <v>268</v>
      </c>
      <c r="J134" s="116">
        <f t="shared" ref="J134:AB134" si="148">SUMIFS(J$146:J$160,$B$146:$B$160,$B134)</f>
        <v>14959.8</v>
      </c>
      <c r="K134" s="116">
        <f t="shared" si="148"/>
        <v>15684.300000000003</v>
      </c>
      <c r="L134" s="116">
        <f t="shared" si="148"/>
        <v>15899.599999999999</v>
      </c>
      <c r="M134" s="116">
        <f t="shared" si="148"/>
        <v>16606.900000000001</v>
      </c>
      <c r="N134" s="116">
        <f t="shared" si="148"/>
        <v>16998.400000000001</v>
      </c>
      <c r="O134" s="116">
        <f t="shared" si="148"/>
        <v>19395.900000000001</v>
      </c>
      <c r="P134" s="116">
        <f t="shared" si="148"/>
        <v>17879.2</v>
      </c>
      <c r="Q134" s="116">
        <f t="shared" si="148"/>
        <v>19800.2</v>
      </c>
      <c r="R134" s="116">
        <f t="shared" si="148"/>
        <v>18236.900000000001</v>
      </c>
      <c r="S134" s="116">
        <f t="shared" si="148"/>
        <v>18190.000000000004</v>
      </c>
      <c r="T134" s="116">
        <f t="shared" si="148"/>
        <v>18041.099999999999</v>
      </c>
      <c r="U134" s="116">
        <f t="shared" si="148"/>
        <v>19722.599999999999</v>
      </c>
      <c r="V134" s="116">
        <f t="shared" si="148"/>
        <v>19620.599999999999</v>
      </c>
      <c r="W134" s="116">
        <f t="shared" si="148"/>
        <v>19649.3</v>
      </c>
      <c r="X134" s="116">
        <f t="shared" si="148"/>
        <v>19535.8</v>
      </c>
      <c r="Y134" s="116">
        <f t="shared" si="148"/>
        <v>18109.7</v>
      </c>
      <c r="Z134" s="116">
        <f t="shared" si="148"/>
        <v>20825.2</v>
      </c>
      <c r="AA134" s="116">
        <f t="shared" si="148"/>
        <v>19701.299999999996</v>
      </c>
      <c r="AB134" s="116">
        <f t="shared" si="148"/>
        <v>20221.7</v>
      </c>
      <c r="AD134" s="139">
        <f>AD136*AD138*1000 / AVERAGE($E135:$AB135)*AD135</f>
        <v>19449.074188534723</v>
      </c>
      <c r="AE134" s="139">
        <f>AE136*AE138*1000 / AVERAGE($E135:$AB135)*AE135</f>
        <v>19732.749807732995</v>
      </c>
      <c r="AF134" s="139">
        <f>AF136*AF138*1000 / AVERAGE($E135:$AB135)*AF135</f>
        <v>20045.262703680852</v>
      </c>
      <c r="AG134" s="139">
        <f>AG136*AG138*1000 / AVERAGE($E135:$AB135)*AG135</f>
        <v>20388.968037364852</v>
      </c>
      <c r="AH134" s="139">
        <f>AH136*AH138*1000 / AVERAGE($E135:$AB135)*AH135</f>
        <v>20381.214206217508</v>
      </c>
      <c r="AI134" s="139">
        <f>AI136*AI138*1000 / AVERAGE($E135:$AB135)*AI135</f>
        <v>20244.298555893831</v>
      </c>
      <c r="AJ134" s="108"/>
    </row>
    <row r="135" spans="1:39">
      <c r="A135" s="108" t="str">
        <f t="shared" ref="A135:A138" si="149">A134</f>
        <v>ROF</v>
      </c>
      <c r="B135" s="108" t="str">
        <f t="shared" ref="B135:B138" si="150">B134</f>
        <v>Rest of Finland</v>
      </c>
      <c r="C135" s="109" t="s">
        <v>265</v>
      </c>
      <c r="E135" s="132">
        <f t="shared" ref="E135:I135" si="151">E128</f>
        <v>4248</v>
      </c>
      <c r="F135" s="132">
        <f t="shared" si="151"/>
        <v>4799.8999999999996</v>
      </c>
      <c r="G135" s="132">
        <f t="shared" si="151"/>
        <v>4830.7999999999993</v>
      </c>
      <c r="H135" s="132">
        <f t="shared" si="151"/>
        <v>4784</v>
      </c>
      <c r="I135" s="132">
        <f t="shared" si="151"/>
        <v>4738.5999999999995</v>
      </c>
      <c r="J135" s="132">
        <f>J128</f>
        <v>4463</v>
      </c>
      <c r="K135" s="132">
        <f t="shared" ref="K135:AB135" si="152">K128</f>
        <v>4521</v>
      </c>
      <c r="L135" s="132">
        <f t="shared" si="152"/>
        <v>4403.8999999999996</v>
      </c>
      <c r="M135" s="132">
        <f t="shared" si="152"/>
        <v>4289</v>
      </c>
      <c r="N135" s="132">
        <f t="shared" si="152"/>
        <v>4679</v>
      </c>
      <c r="O135" s="132">
        <f t="shared" si="152"/>
        <v>5403</v>
      </c>
      <c r="P135" s="132">
        <f t="shared" si="152"/>
        <v>4356</v>
      </c>
      <c r="Q135" s="132">
        <f t="shared" si="152"/>
        <v>4936</v>
      </c>
      <c r="R135" s="132">
        <f t="shared" si="152"/>
        <v>4312</v>
      </c>
      <c r="S135" s="132">
        <f t="shared" si="152"/>
        <v>4349</v>
      </c>
      <c r="T135" s="132">
        <f t="shared" si="152"/>
        <v>3975</v>
      </c>
      <c r="U135" s="132">
        <f t="shared" si="152"/>
        <v>4540</v>
      </c>
      <c r="V135" s="132">
        <f t="shared" si="152"/>
        <v>4458</v>
      </c>
      <c r="W135" s="132">
        <f t="shared" si="152"/>
        <v>4405</v>
      </c>
      <c r="X135" s="132">
        <f t="shared" si="152"/>
        <v>4376</v>
      </c>
      <c r="Y135" s="132">
        <f t="shared" si="152"/>
        <v>3915</v>
      </c>
      <c r="Z135" s="132">
        <f t="shared" si="152"/>
        <v>4771</v>
      </c>
      <c r="AA135" s="132">
        <f t="shared" si="152"/>
        <v>4423</v>
      </c>
      <c r="AB135" s="132">
        <f t="shared" si="152"/>
        <v>4519</v>
      </c>
      <c r="AC135" s="110"/>
      <c r="AD135" s="134">
        <f t="shared" ref="AD135:AI135" si="153">AD128</f>
        <v>4477.6167692307718</v>
      </c>
      <c r="AE135" s="134">
        <f t="shared" si="153"/>
        <v>4414.4313846153891</v>
      </c>
      <c r="AF135" s="134">
        <f t="shared" si="153"/>
        <v>4351.2460000000028</v>
      </c>
      <c r="AG135" s="134">
        <f t="shared" si="153"/>
        <v>4288.0606153846202</v>
      </c>
      <c r="AH135" s="134">
        <f t="shared" si="153"/>
        <v>4224.8752307692339</v>
      </c>
      <c r="AI135" s="134">
        <f t="shared" si="153"/>
        <v>4161.6898461538512</v>
      </c>
      <c r="AJ135" s="108"/>
      <c r="AM135" s="111"/>
    </row>
    <row r="136" spans="1:39">
      <c r="A136" s="108" t="str">
        <f t="shared" si="149"/>
        <v>ROF</v>
      </c>
      <c r="B136" s="108" t="str">
        <f t="shared" si="150"/>
        <v>Rest of Finland</v>
      </c>
      <c r="C136" s="109" t="s">
        <v>266</v>
      </c>
      <c r="D136" s="109" t="s">
        <v>267</v>
      </c>
      <c r="E136" s="133">
        <f t="shared" ref="E136:AB136" si="154">E82-SUM(E87,E94,E101,E108,E115,E122,E129)</f>
        <v>3.5835939999999997</v>
      </c>
      <c r="F136" s="133">
        <f t="shared" si="154"/>
        <v>3.577534</v>
      </c>
      <c r="G136" s="133">
        <f t="shared" si="154"/>
        <v>3.5769190000000002</v>
      </c>
      <c r="H136" s="133">
        <f t="shared" si="154"/>
        <v>3.5795950000000003</v>
      </c>
      <c r="I136" s="133">
        <f t="shared" si="154"/>
        <v>3.5845829999999994</v>
      </c>
      <c r="J136" s="133">
        <f t="shared" si="154"/>
        <v>3.5893600000000001</v>
      </c>
      <c r="K136" s="133">
        <f t="shared" si="154"/>
        <v>3.5947880000000003</v>
      </c>
      <c r="L136" s="133">
        <f t="shared" si="154"/>
        <v>3.602646</v>
      </c>
      <c r="M136" s="133">
        <f t="shared" si="154"/>
        <v>3.6067420000000006</v>
      </c>
      <c r="N136" s="133">
        <f t="shared" si="154"/>
        <v>3.61381</v>
      </c>
      <c r="O136" s="133">
        <f t="shared" si="154"/>
        <v>3.6199999999999997</v>
      </c>
      <c r="P136" s="133">
        <f t="shared" si="154"/>
        <v>3.6234739999999999</v>
      </c>
      <c r="Q136" s="133">
        <f t="shared" si="154"/>
        <v>3.6258919999999999</v>
      </c>
      <c r="R136" s="133">
        <f t="shared" si="154"/>
        <v>3.6264829999999999</v>
      </c>
      <c r="S136" s="133">
        <f t="shared" si="154"/>
        <v>3.6255519999999999</v>
      </c>
      <c r="T136" s="133">
        <f t="shared" si="154"/>
        <v>3.6199969999999997</v>
      </c>
      <c r="U136" s="133">
        <f t="shared" si="154"/>
        <v>3.6109439999999999</v>
      </c>
      <c r="V136" s="133">
        <f t="shared" si="154"/>
        <v>3.5993509999999995</v>
      </c>
      <c r="W136" s="133">
        <f t="shared" si="154"/>
        <v>3.5842430000000003</v>
      </c>
      <c r="X136" s="133">
        <f t="shared" si="154"/>
        <v>3.5652739999999996</v>
      </c>
      <c r="Y136" s="133">
        <f t="shared" si="154"/>
        <v>3.5564490000000002</v>
      </c>
      <c r="Z136" s="133">
        <f t="shared" si="154"/>
        <v>3.5528379999999999</v>
      </c>
      <c r="AA136" s="133">
        <f t="shared" si="154"/>
        <v>3.5393409999999998</v>
      </c>
      <c r="AB136" s="133">
        <f t="shared" si="154"/>
        <v>3.5286519999999997</v>
      </c>
      <c r="AC136" s="112"/>
      <c r="AD136" s="137">
        <f t="shared" ref="AD136:AE136" si="155">AD82-SUM(AD87,AD94,AD101,AD108,AD115,AD122,AD129)</f>
        <v>3.6199969999999997</v>
      </c>
      <c r="AE136" s="137">
        <f t="shared" si="155"/>
        <v>3.5564490000000002</v>
      </c>
      <c r="AF136" s="137">
        <f>AF82-SUM(AF87,AF94,AF101,AF108,AF115,AF122,AF129)</f>
        <v>3.5357370571428586</v>
      </c>
      <c r="AG136" s="137">
        <f>AG82-SUM(AG87,AG94,AG101,AG108,AG115,AG122,AG129)</f>
        <v>3.5178986375000014</v>
      </c>
      <c r="AH136" s="137">
        <f>AH82-SUM(AH87,AH94,AH101,AH108,AH115,AH122,AH129)</f>
        <v>3.5060063577380962</v>
      </c>
      <c r="AI136" s="137">
        <f>AI82-SUM(AI87,AI94,AI101,AI108,AI115,AI122,AI129)</f>
        <v>3.4941140779761914</v>
      </c>
      <c r="AJ136" s="108"/>
      <c r="AM136" s="111"/>
    </row>
    <row r="137" spans="1:39">
      <c r="A137" s="108" t="str">
        <f t="shared" si="149"/>
        <v>ROF</v>
      </c>
      <c r="B137" s="108" t="str">
        <f t="shared" si="150"/>
        <v>Rest of Finland</v>
      </c>
      <c r="C137" s="59" t="s">
        <v>164</v>
      </c>
      <c r="J137" s="112">
        <f>J134/J135*AVERAGE($E135:$AB135)</f>
        <v>15152.984660542234</v>
      </c>
      <c r="K137" s="112">
        <f>K134/K135*AVERAGE($E135:$AB135)</f>
        <v>15683.027956204382</v>
      </c>
      <c r="L137" s="112">
        <f>L134/L135*AVERAGE($E135:$AB135)</f>
        <v>16321.047650188848</v>
      </c>
      <c r="M137" s="112">
        <f>M134/M135*AVERAGE($E135:$AB135)</f>
        <v>17503.778433978394</v>
      </c>
      <c r="N137" s="112">
        <f>N134/N135*AVERAGE($E135:$AB135)</f>
        <v>16423.067675429225</v>
      </c>
      <c r="O137" s="112">
        <f>O134/O135*AVERAGE($E135:$AB135)</f>
        <v>16228.34574680733</v>
      </c>
      <c r="P137" s="112">
        <f>P134/P135*AVERAGE($E135:$AB135)</f>
        <v>18554.93744107744</v>
      </c>
      <c r="Q137" s="112">
        <f>Q134/Q135*AVERAGE($E135:$AB135)</f>
        <v>18134.004077525664</v>
      </c>
      <c r="R137" s="112">
        <f>R134/R135*AVERAGE($E135:$AB135)</f>
        <v>19119.280620748301</v>
      </c>
      <c r="S137" s="112">
        <f>S134/S135*AVERAGE($E135:$AB135)</f>
        <v>18907.86855215759</v>
      </c>
      <c r="T137" s="112">
        <f>T134/T135*AVERAGE($E135:$AB135)</f>
        <v>20517.534095597483</v>
      </c>
      <c r="U137" s="112">
        <f>U134/U135*AVERAGE($E135:$AB135)</f>
        <v>19638.467616740087</v>
      </c>
      <c r="V137" s="112">
        <f>V134/V135*AVERAGE($E135:$AB135)</f>
        <v>19896.26253476895</v>
      </c>
      <c r="W137" s="112">
        <f>W134/W135*AVERAGE($E135:$AB135)</f>
        <v>20165.103418085509</v>
      </c>
      <c r="X137" s="112">
        <f>X134/X135*AVERAGE($E135:$AB135)</f>
        <v>20181.487356794638</v>
      </c>
      <c r="Y137" s="112">
        <f>Y134/Y135*AVERAGE($E135:$AB135)</f>
        <v>20911.191181779479</v>
      </c>
      <c r="Z137" s="112">
        <f>Z134/Z135*AVERAGE($E135:$AB135)</f>
        <v>19732.360782505417</v>
      </c>
      <c r="AA137" s="112">
        <f>AA134/AA135*AVERAGE($E135:$AB135)</f>
        <v>20136.186635767572</v>
      </c>
      <c r="AB137" s="112">
        <f>AB134/AB135*AVERAGE($E135:$AB135)</f>
        <v>20229.008868481229</v>
      </c>
      <c r="AG137" s="108"/>
      <c r="AH137" s="108"/>
      <c r="AI137" s="108"/>
      <c r="AJ137" s="108"/>
      <c r="AM137" s="111"/>
    </row>
    <row r="138" spans="1:39">
      <c r="A138" s="108" t="str">
        <f t="shared" si="149"/>
        <v>ROF</v>
      </c>
      <c r="B138" s="108" t="str">
        <f t="shared" si="150"/>
        <v>Rest of Finland</v>
      </c>
      <c r="C138" s="59" t="s">
        <v>295</v>
      </c>
      <c r="D138" s="138"/>
      <c r="J138" s="112">
        <f>J137/J136/1000</f>
        <v>4.2216396963643188</v>
      </c>
      <c r="K138" s="112">
        <f t="shared" ref="K138" si="156">K137/K136/1000</f>
        <v>4.3627128932789301</v>
      </c>
      <c r="L138" s="112">
        <f t="shared" ref="L138" si="157">L137/L136/1000</f>
        <v>4.5302945807578228</v>
      </c>
      <c r="M138" s="112">
        <f t="shared" ref="M138" si="158">M137/M136/1000</f>
        <v>4.8530719508016906</v>
      </c>
      <c r="N138" s="112">
        <f t="shared" ref="N138" si="159">N137/N136/1000</f>
        <v>4.5445299214483406</v>
      </c>
      <c r="O138" s="112">
        <f t="shared" ref="O138" si="160">O137/O136/1000</f>
        <v>4.4829684383445665</v>
      </c>
      <c r="P138" s="112">
        <f t="shared" ref="P138" si="161">P137/P136/1000</f>
        <v>5.1207590950224677</v>
      </c>
      <c r="Q138" s="112">
        <f t="shared" ref="Q138" si="162">Q137/Q136/1000</f>
        <v>5.0012532302466992</v>
      </c>
      <c r="R138" s="112">
        <f t="shared" ref="R138" si="163">R137/R136/1000</f>
        <v>5.2721274636468172</v>
      </c>
      <c r="S138" s="112">
        <f t="shared" ref="S138" si="164">S137/S136/1000</f>
        <v>5.2151695940804572</v>
      </c>
      <c r="T138" s="112">
        <f t="shared" ref="T138" si="165">T137/T136/1000</f>
        <v>5.6678317953295219</v>
      </c>
      <c r="U138" s="112">
        <f t="shared" ref="U138" si="166">U137/U136/1000</f>
        <v>5.4385965599965242</v>
      </c>
      <c r="V138" s="112">
        <f t="shared" ref="V138" si="167">V137/V136/1000</f>
        <v>5.5277361209754075</v>
      </c>
      <c r="W138" s="112">
        <f t="shared" ref="W138" si="168">W137/W136/1000</f>
        <v>5.626042491562516</v>
      </c>
      <c r="X138" s="112">
        <f t="shared" ref="X138" si="169">X137/X136/1000</f>
        <v>5.6605712090556404</v>
      </c>
      <c r="Y138" s="112">
        <f t="shared" ref="Y138" si="170">Y137/Y136/1000</f>
        <v>5.8797950376286794</v>
      </c>
      <c r="Z138" s="112">
        <f t="shared" ref="Z138" si="171">Z137/Z136/1000</f>
        <v>5.5539714398757889</v>
      </c>
      <c r="AA138" s="112">
        <f t="shared" ref="AA138" si="172">AA137/AA136/1000</f>
        <v>5.6892474152017485</v>
      </c>
      <c r="AB138" s="112">
        <f t="shared" ref="AB138" si="173">AB137/AB136/1000</f>
        <v>5.7327865905964179</v>
      </c>
      <c r="AD138" s="156">
        <f>AVERAGE(R138:V138)</f>
        <v>5.4242923068057456</v>
      </c>
      <c r="AE138" s="156">
        <f>AVERAGE(W138:AA138)</f>
        <v>5.6819255186648743</v>
      </c>
      <c r="AF138" s="140">
        <f t="array" ref="AF138">(TREND($J138:$AB138,$J$78:$AB$78,AF$78) - TREND($J138:$AB138,$J$78:$AB$78,AB$78)) + AVERAGE($Y138:$AB138)</f>
        <v>5.890029066363228</v>
      </c>
      <c r="AG138" s="140">
        <f t="array" ref="AG138">(TREND($J138:$AB138,$J$78:$AB$78,AG$78) - TREND($J138:$AB138,$J$78:$AB$78,AF$78))/2 +AF138</f>
        <v>6.1101277482851959</v>
      </c>
      <c r="AH138" s="146">
        <f t="array" ref="AH138">(TREND($J138:$AB138,$J$78:$AB$78,AH$78) - TREND($J138:$AB138,$J$78:$AB$78,AG$78))/4 +AG138</f>
        <v>6.2201770892461798</v>
      </c>
      <c r="AI138" s="143">
        <f t="array" ref="AI138">(TREND($J138:$AB138,$J$78:$AB$78,AI$78) - TREND($J138:$AB138,$J$78:$AB$78,AH$78))/6 +AH138</f>
        <v>6.2935433165535022</v>
      </c>
      <c r="AJ138" s="108"/>
      <c r="AM138" s="111"/>
    </row>
    <row r="139" spans="1:39">
      <c r="AF139" s="109"/>
      <c r="AJ139" s="108"/>
    </row>
    <row r="140" spans="1:39">
      <c r="AF140" s="109">
        <f t="array" ref="AF140">(TREND($J138:$AB138,$J$78:$AB$78,$AG$78) )</f>
        <v>6.5865844866276575</v>
      </c>
      <c r="AJ140" s="108"/>
    </row>
    <row r="141" spans="1:39">
      <c r="AF141" s="109">
        <f t="array" ref="AF141">(TREND($J138:$AB138,$J$78:$AB$78,AF$78))</f>
        <v>6.1463871227837217</v>
      </c>
      <c r="AJ141" s="108"/>
    </row>
    <row r="142" spans="1:39">
      <c r="AF142" s="109"/>
      <c r="AJ142" s="108"/>
    </row>
    <row r="143" spans="1:39">
      <c r="B143" s="108" t="s">
        <v>274</v>
      </c>
      <c r="AF143" s="109"/>
      <c r="AJ143" s="108"/>
    </row>
    <row r="144" spans="1:39">
      <c r="AF144" s="109"/>
      <c r="AJ144" s="108"/>
    </row>
    <row r="145" spans="2:37">
      <c r="B145" s="113" t="s">
        <v>275</v>
      </c>
      <c r="E145" s="26">
        <v>2000</v>
      </c>
      <c r="F145" s="26">
        <v>2001</v>
      </c>
      <c r="G145" s="26">
        <v>2002</v>
      </c>
      <c r="H145" s="26">
        <v>2003</v>
      </c>
      <c r="I145" s="26">
        <v>2004</v>
      </c>
      <c r="J145" s="26">
        <v>2005</v>
      </c>
      <c r="K145" s="26">
        <v>2006</v>
      </c>
      <c r="L145" s="26">
        <v>2007</v>
      </c>
      <c r="M145" s="26">
        <v>2008</v>
      </c>
      <c r="N145" s="27">
        <v>2009</v>
      </c>
      <c r="O145" s="27">
        <v>2010</v>
      </c>
      <c r="P145" s="27">
        <v>2011</v>
      </c>
      <c r="Q145" s="27">
        <v>2012</v>
      </c>
      <c r="R145" s="27">
        <v>2013</v>
      </c>
      <c r="S145" s="27">
        <v>2014</v>
      </c>
      <c r="T145" s="27">
        <v>2015</v>
      </c>
      <c r="U145" s="27">
        <v>2016</v>
      </c>
      <c r="V145" s="27">
        <v>2017</v>
      </c>
      <c r="W145" s="27">
        <v>2018</v>
      </c>
      <c r="X145" s="27">
        <v>2019</v>
      </c>
      <c r="Y145" s="27">
        <v>2020</v>
      </c>
      <c r="Z145" s="27">
        <v>2021</v>
      </c>
      <c r="AA145" s="27">
        <v>2022</v>
      </c>
      <c r="AB145" s="27">
        <v>2023</v>
      </c>
      <c r="AF145" s="109"/>
      <c r="AJ145" s="108"/>
    </row>
    <row r="146" spans="2:37">
      <c r="B146" s="113" t="s">
        <v>91</v>
      </c>
      <c r="J146" s="113">
        <v>7072.8</v>
      </c>
      <c r="K146" s="113">
        <v>7183.5</v>
      </c>
      <c r="L146" s="113">
        <v>6863.9</v>
      </c>
      <c r="M146" s="113">
        <v>6532.9</v>
      </c>
      <c r="N146" s="113">
        <v>7183.5</v>
      </c>
      <c r="O146" s="113">
        <v>7770.9</v>
      </c>
      <c r="P146" s="113">
        <v>6881.8</v>
      </c>
      <c r="Q146" s="113">
        <v>7302.2</v>
      </c>
      <c r="R146" s="113">
        <v>6958.2</v>
      </c>
      <c r="S146" s="113">
        <v>6882.9</v>
      </c>
      <c r="T146" s="113">
        <v>6440.5</v>
      </c>
      <c r="U146" s="113">
        <v>7099.5</v>
      </c>
      <c r="V146" s="113">
        <v>7100.6</v>
      </c>
      <c r="W146" s="113">
        <v>7196.5</v>
      </c>
      <c r="X146" s="113">
        <v>7037.8</v>
      </c>
      <c r="Y146" s="113">
        <v>6418.2</v>
      </c>
      <c r="Z146" s="108">
        <v>7495.8</v>
      </c>
      <c r="AA146" s="108">
        <v>6895.2</v>
      </c>
      <c r="AB146" s="108">
        <v>6672.2</v>
      </c>
      <c r="AF146" s="109"/>
      <c r="AJ146" s="108"/>
    </row>
    <row r="147" spans="2:37">
      <c r="B147" s="113" t="s">
        <v>92</v>
      </c>
      <c r="J147" s="113">
        <v>2107.6</v>
      </c>
      <c r="K147" s="113">
        <v>2191.5</v>
      </c>
      <c r="L147" s="113">
        <v>2103.5</v>
      </c>
      <c r="M147" s="113">
        <v>2125.6999999999998</v>
      </c>
      <c r="N147" s="113">
        <v>2363.3000000000002</v>
      </c>
      <c r="O147" s="113">
        <v>2504.4</v>
      </c>
      <c r="P147" s="113">
        <v>2187.6</v>
      </c>
      <c r="Q147" s="113">
        <v>2390.5</v>
      </c>
      <c r="R147" s="113">
        <v>2288.1999999999998</v>
      </c>
      <c r="S147" s="113">
        <v>2280.1</v>
      </c>
      <c r="T147" s="113">
        <v>2146.1</v>
      </c>
      <c r="U147" s="113">
        <v>2413.6999999999998</v>
      </c>
      <c r="V147" s="113">
        <v>2389.8000000000002</v>
      </c>
      <c r="W147" s="113">
        <v>2380.6999999999998</v>
      </c>
      <c r="X147" s="113">
        <v>2370.9</v>
      </c>
      <c r="Y147" s="113">
        <v>2152.4</v>
      </c>
      <c r="Z147" s="108">
        <v>2492.4</v>
      </c>
      <c r="AA147" s="108">
        <v>2344.4</v>
      </c>
      <c r="AB147" s="108">
        <v>2151</v>
      </c>
      <c r="AF147" s="109"/>
      <c r="AJ147" s="108"/>
    </row>
    <row r="148" spans="2:37">
      <c r="B148" s="108" t="s">
        <v>269</v>
      </c>
      <c r="J148" s="108">
        <v>1733.5</v>
      </c>
      <c r="K148" s="108">
        <v>1752.6</v>
      </c>
      <c r="L148" s="108">
        <v>1715.9</v>
      </c>
      <c r="M148" s="108">
        <v>1669</v>
      </c>
      <c r="N148" s="108">
        <v>1876</v>
      </c>
      <c r="O148" s="108">
        <v>2048.8000000000002</v>
      </c>
      <c r="P148" s="108">
        <v>1764.1</v>
      </c>
      <c r="Q148" s="108">
        <v>1901.9</v>
      </c>
      <c r="R148" s="108">
        <v>1790.1</v>
      </c>
      <c r="AF148" s="109"/>
      <c r="AJ148" s="108"/>
    </row>
    <row r="149" spans="2:37">
      <c r="B149" s="108" t="s">
        <v>270</v>
      </c>
      <c r="J149" s="108">
        <v>105.2</v>
      </c>
      <c r="K149" s="108">
        <v>106.9</v>
      </c>
      <c r="L149" s="108">
        <v>102.1</v>
      </c>
      <c r="M149" s="108">
        <v>95.7</v>
      </c>
      <c r="N149" s="108">
        <v>111.2</v>
      </c>
      <c r="O149" s="108">
        <v>125.6</v>
      </c>
      <c r="P149" s="108">
        <v>104.4</v>
      </c>
      <c r="Q149" s="108">
        <v>113.6</v>
      </c>
      <c r="R149" s="108">
        <v>97.5</v>
      </c>
      <c r="AF149" s="109"/>
      <c r="AJ149" s="108"/>
    </row>
    <row r="150" spans="2:37">
      <c r="B150" s="113" t="s">
        <v>93</v>
      </c>
      <c r="J150" s="113">
        <f t="shared" ref="J150:R150" si="174">SUM(J148:J149)</f>
        <v>1838.7</v>
      </c>
      <c r="K150" s="113">
        <f t="shared" si="174"/>
        <v>1859.5</v>
      </c>
      <c r="L150" s="113">
        <f t="shared" si="174"/>
        <v>1818</v>
      </c>
      <c r="M150" s="113">
        <f t="shared" si="174"/>
        <v>1764.7</v>
      </c>
      <c r="N150" s="113">
        <f t="shared" si="174"/>
        <v>1987.2</v>
      </c>
      <c r="O150" s="113">
        <f t="shared" si="174"/>
        <v>2174.4</v>
      </c>
      <c r="P150" s="113">
        <f t="shared" si="174"/>
        <v>1868.5</v>
      </c>
      <c r="Q150" s="113">
        <f t="shared" si="174"/>
        <v>2015.5</v>
      </c>
      <c r="R150" s="113">
        <f t="shared" si="174"/>
        <v>1887.6</v>
      </c>
      <c r="S150" s="113">
        <v>1803.8</v>
      </c>
      <c r="T150" s="113">
        <v>1727.1</v>
      </c>
      <c r="U150" s="113">
        <v>1889.1</v>
      </c>
      <c r="V150" s="113">
        <v>1906.5</v>
      </c>
      <c r="W150" s="113">
        <v>1929.6</v>
      </c>
      <c r="X150" s="113">
        <v>1864.7</v>
      </c>
      <c r="Y150" s="113">
        <v>1734.6</v>
      </c>
      <c r="Z150" s="113">
        <v>2112.6</v>
      </c>
      <c r="AA150" s="113">
        <v>1968.4999999999998</v>
      </c>
      <c r="AB150" s="113">
        <v>1992.8</v>
      </c>
      <c r="AF150" s="109"/>
      <c r="AJ150" s="108"/>
    </row>
    <row r="151" spans="2:37">
      <c r="B151" s="113" t="s">
        <v>94</v>
      </c>
      <c r="J151" s="113">
        <v>1726.1</v>
      </c>
      <c r="K151" s="113">
        <v>1740</v>
      </c>
      <c r="L151" s="113">
        <v>1744</v>
      </c>
      <c r="M151" s="114">
        <v>1683.5</v>
      </c>
      <c r="N151" s="114">
        <v>1850</v>
      </c>
      <c r="O151" s="114">
        <v>2046.7</v>
      </c>
      <c r="P151" s="114">
        <v>1762.1</v>
      </c>
      <c r="Q151" s="114">
        <v>1944.6</v>
      </c>
      <c r="R151" s="114">
        <v>2169.4</v>
      </c>
      <c r="S151" s="114">
        <v>2135.8000000000002</v>
      </c>
      <c r="T151" s="114">
        <v>2008.1</v>
      </c>
      <c r="U151" s="114">
        <v>2243</v>
      </c>
      <c r="V151" s="114">
        <v>2164.1</v>
      </c>
      <c r="W151" s="113">
        <v>2165.8000000000002</v>
      </c>
      <c r="X151" s="113">
        <v>2084.8000000000002</v>
      </c>
      <c r="Y151" s="113">
        <v>1884</v>
      </c>
      <c r="Z151" s="108">
        <v>2196.8000000000002</v>
      </c>
      <c r="AA151" s="108">
        <v>2035.3000000000002</v>
      </c>
      <c r="AB151" s="108">
        <v>2038</v>
      </c>
      <c r="AF151" s="109"/>
      <c r="AJ151" s="108"/>
    </row>
    <row r="152" spans="2:37">
      <c r="B152" s="113" t="s">
        <v>95</v>
      </c>
      <c r="J152" s="113">
        <v>2103.6999999999998</v>
      </c>
      <c r="K152" s="113">
        <v>2138.8000000000002</v>
      </c>
      <c r="L152" s="113">
        <v>2132.4</v>
      </c>
      <c r="M152" s="114">
        <v>2099.3000000000002</v>
      </c>
      <c r="N152" s="114">
        <v>2241.8000000000002</v>
      </c>
      <c r="O152" s="114">
        <v>2459.9</v>
      </c>
      <c r="P152" s="114">
        <v>2156.4</v>
      </c>
      <c r="Q152" s="114">
        <v>2355.6</v>
      </c>
      <c r="R152" s="114">
        <v>2157.3000000000002</v>
      </c>
      <c r="S152" s="114">
        <v>2162.5</v>
      </c>
      <c r="T152" s="114">
        <v>2059.5</v>
      </c>
      <c r="U152" s="114">
        <v>2249.8000000000002</v>
      </c>
      <c r="V152" s="114">
        <v>2207.6</v>
      </c>
      <c r="W152" s="113">
        <v>2253</v>
      </c>
      <c r="X152" s="113">
        <v>2232.5</v>
      </c>
      <c r="Y152" s="113">
        <v>2019.9</v>
      </c>
      <c r="Z152" s="108">
        <v>2379</v>
      </c>
      <c r="AA152" s="108">
        <v>2220.7000000000003</v>
      </c>
      <c r="AB152" s="108">
        <v>2268.2000000000003</v>
      </c>
      <c r="AF152" s="109"/>
      <c r="AJ152" s="108"/>
    </row>
    <row r="153" spans="2:37">
      <c r="B153" s="108" t="s">
        <v>271</v>
      </c>
      <c r="J153" s="108">
        <v>1425.5</v>
      </c>
      <c r="K153" s="108">
        <v>1484.3</v>
      </c>
      <c r="L153" s="108">
        <v>1502.2</v>
      </c>
      <c r="M153" s="108">
        <v>1483.4</v>
      </c>
      <c r="N153" s="108">
        <v>1633</v>
      </c>
      <c r="O153" s="108">
        <v>1775.8</v>
      </c>
      <c r="P153" s="108">
        <v>1568.4</v>
      </c>
      <c r="Q153" s="115">
        <v>1723</v>
      </c>
      <c r="R153" s="108">
        <v>1584</v>
      </c>
      <c r="S153" s="108">
        <v>1600.1</v>
      </c>
      <c r="AF153" s="109"/>
      <c r="AJ153" s="108"/>
    </row>
    <row r="154" spans="2:37">
      <c r="B154" s="108" t="s">
        <v>272</v>
      </c>
      <c r="J154" s="108">
        <v>34.9</v>
      </c>
      <c r="K154" s="108">
        <v>36.799999999999997</v>
      </c>
      <c r="L154" s="108">
        <v>39</v>
      </c>
      <c r="M154" s="108">
        <v>39</v>
      </c>
      <c r="N154" s="108">
        <v>40.6</v>
      </c>
      <c r="O154" s="108">
        <v>48.8</v>
      </c>
      <c r="P154" s="108">
        <v>59.8</v>
      </c>
      <c r="Q154" s="108">
        <v>56.1</v>
      </c>
      <c r="R154" s="108">
        <v>53.1</v>
      </c>
      <c r="S154" s="108">
        <v>49.7</v>
      </c>
      <c r="AF154" s="109"/>
      <c r="AJ154" s="108"/>
    </row>
    <row r="155" spans="2:37">
      <c r="B155" s="113" t="s">
        <v>96</v>
      </c>
      <c r="J155" s="113">
        <f t="shared" ref="J155:S155" si="175">SUM(J153:J154)</f>
        <v>1460.4</v>
      </c>
      <c r="K155" s="113">
        <f t="shared" si="175"/>
        <v>1521.1</v>
      </c>
      <c r="L155" s="113">
        <f t="shared" si="175"/>
        <v>1541.2</v>
      </c>
      <c r="M155" s="113">
        <f t="shared" si="175"/>
        <v>1522.4</v>
      </c>
      <c r="N155" s="113">
        <f t="shared" si="175"/>
        <v>1673.6</v>
      </c>
      <c r="O155" s="113">
        <f t="shared" si="175"/>
        <v>1824.6</v>
      </c>
      <c r="P155" s="113">
        <f t="shared" si="175"/>
        <v>1628.2</v>
      </c>
      <c r="Q155" s="113">
        <f t="shared" si="175"/>
        <v>1779.1</v>
      </c>
      <c r="R155" s="113">
        <f t="shared" si="175"/>
        <v>1637.1</v>
      </c>
      <c r="S155" s="113">
        <f t="shared" si="175"/>
        <v>1649.8</v>
      </c>
      <c r="T155" s="113">
        <v>1544.4</v>
      </c>
      <c r="U155" s="113">
        <v>1706.6</v>
      </c>
      <c r="V155" s="113">
        <v>1722.7</v>
      </c>
      <c r="W155" s="113">
        <v>1742</v>
      </c>
      <c r="X155" s="113">
        <v>1819.3</v>
      </c>
      <c r="Y155" s="113">
        <v>1686.9</v>
      </c>
      <c r="Z155" s="110">
        <v>2003.1</v>
      </c>
      <c r="AA155" s="110">
        <v>1906.4</v>
      </c>
      <c r="AB155" s="110">
        <v>1916.6000000000001</v>
      </c>
      <c r="AC155" s="110"/>
      <c r="AD155" s="110"/>
      <c r="AE155" s="110"/>
      <c r="AF155" s="121"/>
      <c r="AG155" s="121"/>
      <c r="AH155" s="121"/>
      <c r="AJ155" s="82"/>
      <c r="AK155" s="82"/>
    </row>
    <row r="156" spans="2:37">
      <c r="B156" s="113" t="s">
        <v>97</v>
      </c>
      <c r="E156" s="123"/>
      <c r="F156" s="123"/>
      <c r="G156" s="123"/>
      <c r="H156" s="123"/>
      <c r="I156" s="123"/>
      <c r="J156" s="124">
        <v>972.9</v>
      </c>
      <c r="K156" s="124">
        <v>1019.3</v>
      </c>
      <c r="L156" s="124">
        <v>1047.4000000000001</v>
      </c>
      <c r="M156" s="124">
        <v>1063.5999999999999</v>
      </c>
      <c r="N156" s="124">
        <v>1183.2</v>
      </c>
      <c r="O156" s="124">
        <v>1295.2</v>
      </c>
      <c r="P156" s="124">
        <v>1103.2</v>
      </c>
      <c r="Q156" s="124">
        <v>1217.3</v>
      </c>
      <c r="R156" s="124">
        <v>1134.3</v>
      </c>
      <c r="S156" s="124">
        <v>1106.0999999999999</v>
      </c>
      <c r="T156" s="124">
        <v>1095.2</v>
      </c>
      <c r="U156" s="124">
        <v>1200.7</v>
      </c>
      <c r="V156" s="124">
        <v>1189.0999999999999</v>
      </c>
      <c r="W156" s="124">
        <v>1192.0999999999999</v>
      </c>
      <c r="X156" s="124">
        <v>1195.2</v>
      </c>
      <c r="Y156" s="124">
        <v>1086.3</v>
      </c>
      <c r="Z156" s="125">
        <v>1294.1000000000001</v>
      </c>
      <c r="AA156" s="125">
        <v>1203.1999999999998</v>
      </c>
      <c r="AB156" s="125">
        <v>1220.5</v>
      </c>
      <c r="AC156" s="110"/>
      <c r="AD156" s="110"/>
      <c r="AE156" s="110"/>
      <c r="AF156" s="121"/>
      <c r="AG156" s="121"/>
      <c r="AH156" s="121"/>
      <c r="AJ156" s="82"/>
      <c r="AK156" s="82"/>
    </row>
    <row r="157" spans="2:37">
      <c r="AC157" s="110"/>
      <c r="AD157" s="110"/>
      <c r="AE157" s="110"/>
      <c r="AF157" s="121"/>
      <c r="AG157" s="121"/>
      <c r="AH157" s="121"/>
      <c r="AJ157" s="82"/>
      <c r="AK157" s="82"/>
    </row>
    <row r="158" spans="2:37">
      <c r="B158" s="108" t="s">
        <v>292</v>
      </c>
      <c r="J158" s="108">
        <f>J160-SUM(J146:J147,J150:J152,J155:J156)</f>
        <v>14959.8</v>
      </c>
      <c r="K158" s="108">
        <f t="shared" ref="K158:AB158" si="176">K160-SUM(K146:K147,K150:K152,K155:K156)</f>
        <v>15684.300000000003</v>
      </c>
      <c r="L158" s="108">
        <f t="shared" si="176"/>
        <v>15899.599999999999</v>
      </c>
      <c r="M158" s="108">
        <f t="shared" si="176"/>
        <v>16606.900000000001</v>
      </c>
      <c r="N158" s="108">
        <f t="shared" si="176"/>
        <v>16998.400000000001</v>
      </c>
      <c r="O158" s="108">
        <f t="shared" si="176"/>
        <v>19395.900000000001</v>
      </c>
      <c r="P158" s="108">
        <f t="shared" si="176"/>
        <v>17879.2</v>
      </c>
      <c r="Q158" s="108">
        <f t="shared" si="176"/>
        <v>19800.2</v>
      </c>
      <c r="R158" s="108">
        <f t="shared" si="176"/>
        <v>18236.900000000001</v>
      </c>
      <c r="S158" s="108">
        <f t="shared" si="176"/>
        <v>18190.000000000004</v>
      </c>
      <c r="T158" s="108">
        <f t="shared" si="176"/>
        <v>18041.099999999999</v>
      </c>
      <c r="U158" s="108">
        <f t="shared" si="176"/>
        <v>19722.599999999999</v>
      </c>
      <c r="V158" s="108">
        <f t="shared" si="176"/>
        <v>19620.599999999999</v>
      </c>
      <c r="W158" s="108">
        <f t="shared" si="176"/>
        <v>19649.3</v>
      </c>
      <c r="X158" s="108">
        <f t="shared" si="176"/>
        <v>19535.8</v>
      </c>
      <c r="Y158" s="108">
        <f t="shared" si="176"/>
        <v>18109.7</v>
      </c>
      <c r="Z158" s="108">
        <f t="shared" si="176"/>
        <v>20825.2</v>
      </c>
      <c r="AA158" s="108">
        <f t="shared" si="176"/>
        <v>19701.299999999996</v>
      </c>
      <c r="AB158" s="108">
        <f t="shared" si="176"/>
        <v>20221.7</v>
      </c>
      <c r="AC158" s="110"/>
      <c r="AD158" s="110"/>
      <c r="AE158" s="110"/>
      <c r="AF158" s="121"/>
      <c r="AG158" s="121"/>
      <c r="AH158" s="121"/>
      <c r="AJ158" s="82"/>
      <c r="AK158" s="82"/>
    </row>
    <row r="159" spans="2:37">
      <c r="AF159" s="109"/>
      <c r="AJ159" s="108"/>
    </row>
    <row r="160" spans="2:37">
      <c r="B160" s="113" t="s">
        <v>1</v>
      </c>
      <c r="E160" s="122">
        <f>E181</f>
        <v>27934</v>
      </c>
      <c r="F160" s="122">
        <f t="shared" ref="F160" si="177">F181</f>
        <v>30909</v>
      </c>
      <c r="G160" s="122">
        <f>G181</f>
        <v>31941</v>
      </c>
      <c r="H160" s="122">
        <f>H181</f>
        <v>33457</v>
      </c>
      <c r="I160" s="122">
        <f>I181</f>
        <v>32855</v>
      </c>
      <c r="J160" s="122">
        <f>J181</f>
        <v>32242</v>
      </c>
      <c r="K160" s="122">
        <f>K181</f>
        <v>33338</v>
      </c>
      <c r="L160" s="122">
        <f>L181</f>
        <v>33150</v>
      </c>
      <c r="M160" s="122">
        <f>M181</f>
        <v>33399</v>
      </c>
      <c r="N160" s="122">
        <f>N181</f>
        <v>35481</v>
      </c>
      <c r="O160" s="122">
        <f>O181</f>
        <v>39472</v>
      </c>
      <c r="P160" s="122">
        <f>P181</f>
        <v>35467</v>
      </c>
      <c r="Q160" s="122">
        <f>Q181</f>
        <v>38805</v>
      </c>
      <c r="R160" s="122">
        <f>R181</f>
        <v>36469</v>
      </c>
      <c r="S160" s="122">
        <f>S181</f>
        <v>36211</v>
      </c>
      <c r="T160" s="122">
        <f>T181</f>
        <v>35062</v>
      </c>
      <c r="U160" s="122">
        <f>U181</f>
        <v>38525</v>
      </c>
      <c r="V160" s="122">
        <f>V181</f>
        <v>38301</v>
      </c>
      <c r="W160" s="122">
        <f>W181</f>
        <v>38509</v>
      </c>
      <c r="X160" s="122">
        <f>X181</f>
        <v>38141</v>
      </c>
      <c r="Y160" s="122">
        <f>Y181</f>
        <v>35092</v>
      </c>
      <c r="Z160" s="122">
        <f>Z181</f>
        <v>40799</v>
      </c>
      <c r="AA160" s="122">
        <f>AA181</f>
        <v>38275</v>
      </c>
      <c r="AB160" s="122">
        <f>AB181</f>
        <v>38481</v>
      </c>
      <c r="AF160" s="109"/>
      <c r="AJ160" s="108"/>
    </row>
    <row r="161" spans="2:36">
      <c r="AF161" s="109"/>
      <c r="AJ161" s="108"/>
    </row>
    <row r="164" spans="2:36">
      <c r="B164" s="108" t="s">
        <v>291</v>
      </c>
    </row>
    <row r="166" spans="2:36" ht="16.5" thickBot="1">
      <c r="B166" s="186" t="s">
        <v>276</v>
      </c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</row>
    <row r="167" spans="2:36" ht="15.75" thickBot="1">
      <c r="B167" s="127"/>
      <c r="E167" s="126">
        <v>2000</v>
      </c>
      <c r="F167" s="126">
        <v>2001</v>
      </c>
      <c r="G167" s="126">
        <v>2002</v>
      </c>
      <c r="H167" s="126">
        <v>2003</v>
      </c>
      <c r="I167" s="126">
        <v>2004</v>
      </c>
      <c r="J167" s="126">
        <v>2005</v>
      </c>
      <c r="K167" s="126">
        <v>2006</v>
      </c>
      <c r="L167" s="126">
        <v>2007</v>
      </c>
      <c r="M167" s="126">
        <v>2008</v>
      </c>
      <c r="N167" s="126">
        <v>2009</v>
      </c>
      <c r="O167" s="126">
        <v>2010</v>
      </c>
      <c r="P167" s="126">
        <v>2011</v>
      </c>
      <c r="Q167" s="126">
        <v>2012</v>
      </c>
      <c r="R167" s="126">
        <v>2013</v>
      </c>
      <c r="S167" s="126">
        <v>2014</v>
      </c>
      <c r="T167" s="126">
        <v>2015</v>
      </c>
      <c r="U167" s="126">
        <v>2016</v>
      </c>
      <c r="V167" s="126">
        <v>2017</v>
      </c>
      <c r="W167" s="126">
        <v>2018</v>
      </c>
      <c r="X167" s="126">
        <v>2019</v>
      </c>
      <c r="Y167" s="126">
        <v>2020</v>
      </c>
      <c r="Z167" s="126">
        <v>2021</v>
      </c>
      <c r="AA167" s="126">
        <v>2022</v>
      </c>
      <c r="AB167" s="128">
        <v>2023</v>
      </c>
      <c r="AF167" s="109"/>
      <c r="AJ167" s="108"/>
    </row>
    <row r="168" spans="2:36" ht="15.75" thickBot="1">
      <c r="B168" s="129" t="s">
        <v>277</v>
      </c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9"/>
      <c r="AF168" s="109"/>
      <c r="AJ168" s="108"/>
    </row>
    <row r="169" spans="2:36" ht="15.75" thickBot="1">
      <c r="B169" s="130" t="s">
        <v>278</v>
      </c>
      <c r="E169" s="14">
        <v>1785</v>
      </c>
      <c r="F169" s="14">
        <v>2301</v>
      </c>
      <c r="G169" s="14">
        <v>2200</v>
      </c>
      <c r="H169" s="14">
        <v>2507</v>
      </c>
      <c r="I169" s="14">
        <v>2035</v>
      </c>
      <c r="J169" s="14">
        <v>1863</v>
      </c>
      <c r="K169" s="14">
        <v>2280</v>
      </c>
      <c r="L169" s="14">
        <v>2292</v>
      </c>
      <c r="M169" s="14">
        <v>1789</v>
      </c>
      <c r="N169" s="14">
        <v>2639</v>
      </c>
      <c r="O169" s="14">
        <v>2710</v>
      </c>
      <c r="P169" s="14">
        <v>1852</v>
      </c>
      <c r="Q169" s="14">
        <v>2113</v>
      </c>
      <c r="R169" s="14">
        <v>1205</v>
      </c>
      <c r="S169" s="14">
        <v>1155</v>
      </c>
      <c r="T169" s="14">
        <v>1106</v>
      </c>
      <c r="U169" s="14">
        <v>1369</v>
      </c>
      <c r="V169" s="14">
        <v>928</v>
      </c>
      <c r="W169" s="14">
        <v>830</v>
      </c>
      <c r="X169" s="14">
        <v>776</v>
      </c>
      <c r="Y169" s="14">
        <v>516</v>
      </c>
      <c r="Z169" s="14">
        <v>1233</v>
      </c>
      <c r="AA169" s="14">
        <v>2180</v>
      </c>
      <c r="AB169" s="21">
        <v>975</v>
      </c>
      <c r="AF169" s="109"/>
      <c r="AJ169" s="108"/>
    </row>
    <row r="170" spans="2:36" ht="15.75" thickBot="1">
      <c r="B170" s="130" t="s">
        <v>279</v>
      </c>
      <c r="E170" s="14">
        <v>7356</v>
      </c>
      <c r="F170" s="14">
        <v>8526</v>
      </c>
      <c r="G170" s="14">
        <v>8549</v>
      </c>
      <c r="H170" s="14">
        <v>9102</v>
      </c>
      <c r="I170" s="14">
        <v>8286</v>
      </c>
      <c r="J170" s="14">
        <v>7769</v>
      </c>
      <c r="K170" s="14">
        <v>8894</v>
      </c>
      <c r="L170" s="14">
        <v>8262</v>
      </c>
      <c r="M170" s="14">
        <v>7188</v>
      </c>
      <c r="N170" s="14">
        <v>8051</v>
      </c>
      <c r="O170" s="14">
        <v>7997</v>
      </c>
      <c r="P170" s="14">
        <v>7582</v>
      </c>
      <c r="Q170" s="14">
        <v>8590</v>
      </c>
      <c r="R170" s="14">
        <v>8544</v>
      </c>
      <c r="S170" s="14">
        <v>8025</v>
      </c>
      <c r="T170" s="14">
        <v>6788</v>
      </c>
      <c r="U170" s="14">
        <v>8727</v>
      </c>
      <c r="V170" s="14">
        <v>8642</v>
      </c>
      <c r="W170" s="14">
        <v>7709</v>
      </c>
      <c r="X170" s="14">
        <v>6900</v>
      </c>
      <c r="Y170" s="14">
        <v>4179</v>
      </c>
      <c r="Z170" s="14">
        <v>4894</v>
      </c>
      <c r="AA170" s="14">
        <v>5946</v>
      </c>
      <c r="AB170" s="21">
        <v>3262</v>
      </c>
      <c r="AF170" s="109"/>
      <c r="AJ170" s="108"/>
    </row>
    <row r="171" spans="2:36" ht="15.75" thickBot="1">
      <c r="B171" s="130" t="s">
        <v>280</v>
      </c>
      <c r="E171" s="14">
        <v>9659</v>
      </c>
      <c r="F171" s="14">
        <v>10062</v>
      </c>
      <c r="G171" s="14">
        <v>10394</v>
      </c>
      <c r="H171" s="14">
        <v>10270</v>
      </c>
      <c r="I171" s="14">
        <v>10958</v>
      </c>
      <c r="J171" s="14">
        <v>10993</v>
      </c>
      <c r="K171" s="14">
        <v>9758</v>
      </c>
      <c r="L171" s="14">
        <v>9807</v>
      </c>
      <c r="M171" s="14">
        <v>10743</v>
      </c>
      <c r="N171" s="14">
        <v>10504</v>
      </c>
      <c r="O171" s="14">
        <v>11687</v>
      </c>
      <c r="P171" s="14">
        <v>9293</v>
      </c>
      <c r="Q171" s="14">
        <v>9572</v>
      </c>
      <c r="R171" s="14">
        <v>8224</v>
      </c>
      <c r="S171" s="14">
        <v>7085</v>
      </c>
      <c r="T171" s="14">
        <v>5627</v>
      </c>
      <c r="U171" s="14">
        <v>4633</v>
      </c>
      <c r="V171" s="14">
        <v>3693</v>
      </c>
      <c r="W171" s="14">
        <v>4944</v>
      </c>
      <c r="X171" s="14">
        <v>4092</v>
      </c>
      <c r="Y171" s="14">
        <v>4330</v>
      </c>
      <c r="Z171" s="14">
        <v>4372</v>
      </c>
      <c r="AA171" s="14">
        <v>1337</v>
      </c>
      <c r="AB171" s="21">
        <v>2575</v>
      </c>
      <c r="AF171" s="109"/>
      <c r="AJ171" s="108"/>
    </row>
    <row r="172" spans="2:36" ht="15.75" thickBot="1">
      <c r="B172" s="130" t="s">
        <v>281</v>
      </c>
      <c r="E172" s="14">
        <v>311</v>
      </c>
      <c r="F172" s="14">
        <v>368</v>
      </c>
      <c r="G172" s="14">
        <v>371</v>
      </c>
      <c r="H172" s="14">
        <v>287</v>
      </c>
      <c r="I172" s="14">
        <v>334</v>
      </c>
      <c r="J172" s="14">
        <v>346</v>
      </c>
      <c r="K172" s="14">
        <v>284</v>
      </c>
      <c r="L172" s="14">
        <v>312</v>
      </c>
      <c r="M172" s="14">
        <v>474</v>
      </c>
      <c r="N172" s="14">
        <v>585</v>
      </c>
      <c r="O172" s="14">
        <v>539</v>
      </c>
      <c r="P172" s="14">
        <v>585</v>
      </c>
      <c r="Q172" s="14">
        <v>723</v>
      </c>
      <c r="R172" s="14">
        <v>781</v>
      </c>
      <c r="S172" s="14">
        <v>997</v>
      </c>
      <c r="T172" s="14">
        <v>1074</v>
      </c>
      <c r="U172" s="14">
        <v>1274</v>
      </c>
      <c r="V172" s="14">
        <v>1378</v>
      </c>
      <c r="W172" s="14">
        <v>1344</v>
      </c>
      <c r="X172" s="14">
        <v>1427</v>
      </c>
      <c r="Y172" s="14">
        <v>1450</v>
      </c>
      <c r="Z172" s="14">
        <v>1507</v>
      </c>
      <c r="AA172" s="14">
        <v>1564</v>
      </c>
      <c r="AB172" s="21">
        <v>1724</v>
      </c>
      <c r="AF172" s="109"/>
      <c r="AJ172" s="108"/>
    </row>
    <row r="173" spans="2:36" ht="15.75" thickBot="1">
      <c r="B173" s="130" t="s">
        <v>282</v>
      </c>
      <c r="E173" s="14">
        <v>19112</v>
      </c>
      <c r="F173" s="14">
        <v>21257</v>
      </c>
      <c r="G173" s="14">
        <v>21513</v>
      </c>
      <c r="H173" s="14">
        <v>22166</v>
      </c>
      <c r="I173" s="14">
        <v>21613</v>
      </c>
      <c r="J173" s="14">
        <v>20970</v>
      </c>
      <c r="K173" s="14">
        <v>21216</v>
      </c>
      <c r="L173" s="14">
        <v>20673</v>
      </c>
      <c r="M173" s="14">
        <v>20195</v>
      </c>
      <c r="N173" s="14">
        <v>21778</v>
      </c>
      <c r="O173" s="14">
        <v>22934</v>
      </c>
      <c r="P173" s="14">
        <v>19312</v>
      </c>
      <c r="Q173" s="14">
        <v>20998</v>
      </c>
      <c r="R173" s="14">
        <v>18754</v>
      </c>
      <c r="S173" s="14">
        <v>17261</v>
      </c>
      <c r="T173" s="14">
        <v>14594</v>
      </c>
      <c r="U173" s="14">
        <v>16003</v>
      </c>
      <c r="V173" s="14">
        <v>14642</v>
      </c>
      <c r="W173" s="14">
        <v>14826</v>
      </c>
      <c r="X173" s="14">
        <v>13195</v>
      </c>
      <c r="Y173" s="14">
        <v>10475</v>
      </c>
      <c r="Z173" s="14">
        <v>12007</v>
      </c>
      <c r="AA173" s="14">
        <v>11027</v>
      </c>
      <c r="AB173" s="21">
        <v>8536</v>
      </c>
      <c r="AF173" s="109"/>
      <c r="AJ173" s="108"/>
    </row>
    <row r="174" spans="2:36" ht="15.75" thickBot="1">
      <c r="B174" s="130" t="s">
        <v>283</v>
      </c>
      <c r="E174" s="14">
        <v>4887</v>
      </c>
      <c r="F174" s="14">
        <v>5679</v>
      </c>
      <c r="G174" s="14">
        <v>6048</v>
      </c>
      <c r="H174" s="14">
        <v>6490</v>
      </c>
      <c r="I174" s="14">
        <v>6064</v>
      </c>
      <c r="J174" s="14">
        <v>5485</v>
      </c>
      <c r="K174" s="14">
        <v>6163</v>
      </c>
      <c r="L174" s="14">
        <v>7043</v>
      </c>
      <c r="M174" s="14">
        <v>6307</v>
      </c>
      <c r="N174" s="14">
        <v>6269</v>
      </c>
      <c r="O174" s="14">
        <v>7649</v>
      </c>
      <c r="P174" s="14">
        <v>6712</v>
      </c>
      <c r="Q174" s="14">
        <v>6209</v>
      </c>
      <c r="R174" s="14">
        <v>5191</v>
      </c>
      <c r="S174" s="14">
        <v>5341</v>
      </c>
      <c r="T174" s="14">
        <v>5411</v>
      </c>
      <c r="U174" s="14">
        <v>5423</v>
      </c>
      <c r="V174" s="14">
        <v>5382</v>
      </c>
      <c r="W174" s="14">
        <v>5682</v>
      </c>
      <c r="X174" s="14">
        <v>5672</v>
      </c>
      <c r="Y174" s="14">
        <v>4626</v>
      </c>
      <c r="Z174" s="14">
        <v>3886</v>
      </c>
      <c r="AA174" s="14">
        <v>3514</v>
      </c>
      <c r="AB174" s="21">
        <v>3010</v>
      </c>
      <c r="AF174" s="109"/>
      <c r="AJ174" s="108"/>
    </row>
    <row r="175" spans="2:36" ht="15.75" thickBot="1">
      <c r="B175" s="130" t="s">
        <v>284</v>
      </c>
      <c r="E175" s="14">
        <v>23998</v>
      </c>
      <c r="F175" s="14">
        <v>26936</v>
      </c>
      <c r="G175" s="14">
        <v>27561</v>
      </c>
      <c r="H175" s="14">
        <v>28656</v>
      </c>
      <c r="I175" s="14">
        <v>27677</v>
      </c>
      <c r="J175" s="14">
        <v>26455</v>
      </c>
      <c r="K175" s="14">
        <v>27379</v>
      </c>
      <c r="L175" s="14">
        <v>27715</v>
      </c>
      <c r="M175" s="14">
        <v>26502</v>
      </c>
      <c r="N175" s="14">
        <v>28047</v>
      </c>
      <c r="O175" s="14">
        <v>30583</v>
      </c>
      <c r="P175" s="14">
        <v>26024</v>
      </c>
      <c r="Q175" s="14">
        <v>27208</v>
      </c>
      <c r="R175" s="14">
        <v>23945</v>
      </c>
      <c r="S175" s="14">
        <v>22602</v>
      </c>
      <c r="T175" s="14">
        <v>20005</v>
      </c>
      <c r="U175" s="14">
        <v>21427</v>
      </c>
      <c r="V175" s="14">
        <v>20023</v>
      </c>
      <c r="W175" s="14">
        <v>20508</v>
      </c>
      <c r="X175" s="14">
        <v>18867</v>
      </c>
      <c r="Y175" s="14">
        <v>15101</v>
      </c>
      <c r="Z175" s="14">
        <v>15892</v>
      </c>
      <c r="AA175" s="14">
        <v>14541</v>
      </c>
      <c r="AB175" s="21">
        <v>11545</v>
      </c>
      <c r="AF175" s="109"/>
      <c r="AJ175" s="108"/>
    </row>
    <row r="176" spans="2:36" ht="15.75" thickBot="1">
      <c r="B176" s="130" t="s">
        <v>285</v>
      </c>
      <c r="E176" s="14">
        <v>358</v>
      </c>
      <c r="F176" s="14">
        <v>379</v>
      </c>
      <c r="G176" s="14">
        <v>266</v>
      </c>
      <c r="H176" s="14">
        <v>274</v>
      </c>
      <c r="I176" s="14">
        <v>283</v>
      </c>
      <c r="J176" s="14">
        <v>250</v>
      </c>
      <c r="K176" s="14">
        <v>362</v>
      </c>
      <c r="L176" s="14">
        <v>194</v>
      </c>
      <c r="M176" s="14">
        <v>216</v>
      </c>
      <c r="N176" s="14">
        <v>206</v>
      </c>
      <c r="O176" s="14">
        <v>233</v>
      </c>
      <c r="P176" s="14">
        <v>175</v>
      </c>
      <c r="Q176" s="14">
        <v>211</v>
      </c>
      <c r="R176" s="14">
        <v>207</v>
      </c>
      <c r="S176" s="14">
        <v>215</v>
      </c>
      <c r="T176" s="14">
        <v>209</v>
      </c>
      <c r="U176" s="14">
        <v>207</v>
      </c>
      <c r="V176" s="14">
        <v>176</v>
      </c>
      <c r="W176" s="14">
        <v>221</v>
      </c>
      <c r="X176" s="14">
        <v>219</v>
      </c>
      <c r="Y176" s="14">
        <v>195</v>
      </c>
      <c r="Z176" s="14">
        <v>190</v>
      </c>
      <c r="AA176" s="14">
        <v>117</v>
      </c>
      <c r="AB176" s="21">
        <v>108</v>
      </c>
      <c r="AF176" s="109"/>
      <c r="AJ176" s="108"/>
    </row>
    <row r="177" spans="2:36" ht="15.75" thickBot="1">
      <c r="B177" s="130" t="s">
        <v>286</v>
      </c>
      <c r="E177" s="14">
        <v>2724</v>
      </c>
      <c r="F177" s="14">
        <v>2850</v>
      </c>
      <c r="G177" s="14">
        <v>3333</v>
      </c>
      <c r="H177" s="14">
        <v>3544</v>
      </c>
      <c r="I177" s="14">
        <v>3869</v>
      </c>
      <c r="J177" s="14">
        <v>4290</v>
      </c>
      <c r="K177" s="14">
        <v>4489</v>
      </c>
      <c r="L177" s="14">
        <v>4007</v>
      </c>
      <c r="M177" s="14">
        <v>4997</v>
      </c>
      <c r="N177" s="14">
        <v>5726</v>
      </c>
      <c r="O177" s="14">
        <v>7183</v>
      </c>
      <c r="P177" s="14">
        <v>7917</v>
      </c>
      <c r="Q177" s="14">
        <v>9487</v>
      </c>
      <c r="R177" s="14">
        <v>10210</v>
      </c>
      <c r="S177" s="14">
        <v>10655</v>
      </c>
      <c r="T177" s="14">
        <v>10873</v>
      </c>
      <c r="U177" s="14">
        <v>11813</v>
      </c>
      <c r="V177" s="14">
        <v>12498</v>
      </c>
      <c r="W177" s="14">
        <v>12315</v>
      </c>
      <c r="X177" s="14">
        <v>13274</v>
      </c>
      <c r="Y177" s="14">
        <v>13361</v>
      </c>
      <c r="Z177" s="14">
        <v>17163</v>
      </c>
      <c r="AA177" s="14">
        <v>16608</v>
      </c>
      <c r="AB177" s="21">
        <v>17911</v>
      </c>
      <c r="AF177" s="109"/>
      <c r="AJ177" s="108"/>
    </row>
    <row r="178" spans="2:36" ht="15.75" thickBot="1">
      <c r="B178" s="130" t="s">
        <v>287</v>
      </c>
      <c r="E178" s="14">
        <v>218</v>
      </c>
      <c r="F178" s="14">
        <v>238</v>
      </c>
      <c r="G178" s="14">
        <v>238</v>
      </c>
      <c r="H178" s="14">
        <v>286</v>
      </c>
      <c r="I178" s="14">
        <v>371</v>
      </c>
      <c r="J178" s="14">
        <v>607</v>
      </c>
      <c r="K178" s="14">
        <v>452</v>
      </c>
      <c r="L178" s="14">
        <v>534</v>
      </c>
      <c r="M178" s="14">
        <v>671</v>
      </c>
      <c r="N178" s="14">
        <v>677</v>
      </c>
      <c r="O178" s="14">
        <v>521</v>
      </c>
      <c r="P178" s="14">
        <v>459</v>
      </c>
      <c r="Q178" s="14">
        <v>697</v>
      </c>
      <c r="R178" s="14">
        <v>830</v>
      </c>
      <c r="S178" s="14">
        <v>1094</v>
      </c>
      <c r="T178" s="14">
        <v>1282</v>
      </c>
      <c r="U178" s="14">
        <v>1523</v>
      </c>
      <c r="V178" s="14">
        <v>1625</v>
      </c>
      <c r="W178" s="14">
        <v>1622</v>
      </c>
      <c r="X178" s="14">
        <v>1778</v>
      </c>
      <c r="Y178" s="14">
        <v>1733</v>
      </c>
      <c r="Z178" s="14">
        <v>1868</v>
      </c>
      <c r="AA178" s="14">
        <v>1908</v>
      </c>
      <c r="AB178" s="21">
        <v>2002</v>
      </c>
      <c r="AF178" s="109"/>
      <c r="AJ178" s="108"/>
    </row>
    <row r="179" spans="2:36" ht="15.75" thickBot="1">
      <c r="B179" s="130" t="s">
        <v>288</v>
      </c>
      <c r="E179" s="14">
        <v>3299</v>
      </c>
      <c r="F179" s="14">
        <v>3468</v>
      </c>
      <c r="G179" s="14">
        <v>3837</v>
      </c>
      <c r="H179" s="14">
        <v>4104</v>
      </c>
      <c r="I179" s="14">
        <v>4523</v>
      </c>
      <c r="J179" s="14">
        <v>5147</v>
      </c>
      <c r="K179" s="14">
        <v>5302</v>
      </c>
      <c r="L179" s="14">
        <v>4735</v>
      </c>
      <c r="M179" s="14">
        <v>5884</v>
      </c>
      <c r="N179" s="14">
        <v>6610</v>
      </c>
      <c r="O179" s="14">
        <v>7936</v>
      </c>
      <c r="P179" s="14">
        <v>8551</v>
      </c>
      <c r="Q179" s="14">
        <v>10395</v>
      </c>
      <c r="R179" s="14">
        <v>11247</v>
      </c>
      <c r="S179" s="14">
        <v>11964</v>
      </c>
      <c r="T179" s="14">
        <v>12364</v>
      </c>
      <c r="U179" s="14">
        <v>13543</v>
      </c>
      <c r="V179" s="14">
        <v>14298</v>
      </c>
      <c r="W179" s="14">
        <v>14158</v>
      </c>
      <c r="X179" s="14">
        <v>15271</v>
      </c>
      <c r="Y179" s="14">
        <v>15289</v>
      </c>
      <c r="Z179" s="14">
        <v>19221</v>
      </c>
      <c r="AA179" s="14">
        <v>18633</v>
      </c>
      <c r="AB179" s="21">
        <v>20021</v>
      </c>
      <c r="AF179" s="109"/>
      <c r="AJ179" s="108"/>
    </row>
    <row r="180" spans="2:36" ht="15.75" thickBot="1">
      <c r="B180" s="130" t="s">
        <v>289</v>
      </c>
      <c r="E180" s="14">
        <v>636</v>
      </c>
      <c r="F180" s="14">
        <v>506</v>
      </c>
      <c r="G180" s="14">
        <v>544</v>
      </c>
      <c r="H180" s="14">
        <v>697</v>
      </c>
      <c r="I180" s="14">
        <v>656</v>
      </c>
      <c r="J180" s="14">
        <v>641</v>
      </c>
      <c r="K180" s="14">
        <v>657</v>
      </c>
      <c r="L180" s="14">
        <v>700</v>
      </c>
      <c r="M180" s="14">
        <v>1014</v>
      </c>
      <c r="N180" s="14">
        <v>824</v>
      </c>
      <c r="O180" s="14">
        <v>952</v>
      </c>
      <c r="P180" s="14">
        <v>892</v>
      </c>
      <c r="Q180" s="14">
        <v>1202</v>
      </c>
      <c r="R180" s="14">
        <v>1277</v>
      </c>
      <c r="S180" s="14">
        <v>1644</v>
      </c>
      <c r="T180" s="14">
        <v>2693</v>
      </c>
      <c r="U180" s="14">
        <v>3555</v>
      </c>
      <c r="V180" s="14">
        <v>3979</v>
      </c>
      <c r="W180" s="14">
        <v>3843</v>
      </c>
      <c r="X180" s="14">
        <v>4003</v>
      </c>
      <c r="Y180" s="14">
        <v>4702</v>
      </c>
      <c r="Z180" s="14">
        <v>5686</v>
      </c>
      <c r="AA180" s="14">
        <v>5101</v>
      </c>
      <c r="AB180" s="21">
        <v>6914</v>
      </c>
      <c r="AF180" s="109"/>
      <c r="AJ180" s="108"/>
    </row>
    <row r="181" spans="2:36" ht="15.75" thickBot="1">
      <c r="B181" s="131" t="s">
        <v>290</v>
      </c>
      <c r="E181" s="23">
        <v>27934</v>
      </c>
      <c r="F181" s="23">
        <v>30909</v>
      </c>
      <c r="G181" s="23">
        <v>31941</v>
      </c>
      <c r="H181" s="23">
        <v>33457</v>
      </c>
      <c r="I181" s="23">
        <v>32855</v>
      </c>
      <c r="J181" s="23">
        <v>32242</v>
      </c>
      <c r="K181" s="23">
        <v>33338</v>
      </c>
      <c r="L181" s="23">
        <v>33150</v>
      </c>
      <c r="M181" s="23">
        <v>33399</v>
      </c>
      <c r="N181" s="23">
        <v>35481</v>
      </c>
      <c r="O181" s="23">
        <v>39472</v>
      </c>
      <c r="P181" s="23">
        <v>35467</v>
      </c>
      <c r="Q181" s="23">
        <v>38805</v>
      </c>
      <c r="R181" s="23">
        <v>36469</v>
      </c>
      <c r="S181" s="23">
        <v>36211</v>
      </c>
      <c r="T181" s="23">
        <v>35062</v>
      </c>
      <c r="U181" s="23">
        <v>38525</v>
      </c>
      <c r="V181" s="23">
        <v>38301</v>
      </c>
      <c r="W181" s="23">
        <v>38509</v>
      </c>
      <c r="X181" s="23">
        <v>38141</v>
      </c>
      <c r="Y181" s="23">
        <v>35092</v>
      </c>
      <c r="Z181" s="23">
        <v>40799</v>
      </c>
      <c r="AA181" s="23">
        <v>38275</v>
      </c>
      <c r="AB181" s="24">
        <v>38481</v>
      </c>
      <c r="AF181" s="109"/>
      <c r="AJ181" s="108"/>
    </row>
    <row r="182" spans="2:36">
      <c r="AF182" s="109"/>
      <c r="AJ182" s="108"/>
    </row>
    <row r="183" spans="2:36">
      <c r="AF183" s="109"/>
      <c r="AJ183" s="108"/>
    </row>
    <row r="184" spans="2:36">
      <c r="AF184" s="109"/>
      <c r="AJ184" s="108"/>
    </row>
  </sheetData>
  <mergeCells count="1">
    <mergeCell ref="B166:AA166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8FFCF-84E8-478F-96C5-1D3C100F61DA}">
  <sheetPr>
    <tabColor theme="3" tint="0.89999084444715716"/>
  </sheetPr>
  <dimension ref="A1:AQ92"/>
  <sheetViews>
    <sheetView zoomScale="83" workbookViewId="0">
      <pane xSplit="2" topLeftCell="C1" activePane="topRight" state="frozen"/>
      <selection pane="topRight" activeCell="G5" sqref="G5"/>
    </sheetView>
  </sheetViews>
  <sheetFormatPr defaultRowHeight="15"/>
  <cols>
    <col min="2" max="2" width="24.140625" customWidth="1"/>
    <col min="4" max="4" width="14.85546875" customWidth="1"/>
    <col min="5" max="5" width="13.7109375" customWidth="1"/>
    <col min="7" max="7" width="12.42578125" customWidth="1"/>
  </cols>
  <sheetData>
    <row r="1" spans="2:19" ht="15.75" thickBot="1"/>
    <row r="2" spans="2:19" ht="15.75" thickBot="1">
      <c r="B2" s="79" t="s">
        <v>76</v>
      </c>
    </row>
    <row r="4" spans="2:19">
      <c r="B4" s="67" t="s">
        <v>171</v>
      </c>
      <c r="C4" s="67" t="s">
        <v>172</v>
      </c>
      <c r="D4" s="67" t="s">
        <v>173</v>
      </c>
      <c r="E4" s="67" t="s">
        <v>174</v>
      </c>
      <c r="F4" s="67" t="s">
        <v>175</v>
      </c>
      <c r="G4" s="67" t="s">
        <v>342</v>
      </c>
      <c r="H4" s="67" t="s">
        <v>302</v>
      </c>
      <c r="I4" s="68" t="s">
        <v>176</v>
      </c>
    </row>
    <row r="5" spans="2:19">
      <c r="B5" s="69" t="s">
        <v>167</v>
      </c>
      <c r="C5" s="70" t="s">
        <v>304</v>
      </c>
      <c r="D5" s="70"/>
      <c r="E5" s="70" t="s">
        <v>318</v>
      </c>
      <c r="F5" s="71">
        <v>2015</v>
      </c>
      <c r="G5" s="71"/>
      <c r="H5" s="159">
        <f>SUMIFS($N$6:$N$8,$M$6:$M$8,$B5) * SUMIFS($N$11:$S$11,$N$10:$S$10,$F5) / 1000</f>
        <v>4.2784351545442956</v>
      </c>
      <c r="I5" s="80">
        <v>0.3</v>
      </c>
      <c r="M5" s="46" t="s">
        <v>178</v>
      </c>
      <c r="N5" s="46" t="s">
        <v>170</v>
      </c>
    </row>
    <row r="6" spans="2:19">
      <c r="B6" s="74" t="s">
        <v>168</v>
      </c>
      <c r="C6" s="75" t="s">
        <v>304</v>
      </c>
      <c r="D6" s="75"/>
      <c r="E6" s="75" t="s">
        <v>318</v>
      </c>
      <c r="F6" s="76">
        <v>2015</v>
      </c>
      <c r="G6" s="76"/>
      <c r="H6" s="160">
        <f>SUMIFS($N$6:$N$8,$M$6:$M$8,$B6) * SUMIFS($N$11:$S$11,$N$10:$S$10,$F6) / 1000</f>
        <v>0.6166086335255444</v>
      </c>
      <c r="I6" s="78">
        <f>I5</f>
        <v>0.3</v>
      </c>
      <c r="M6" t="s">
        <v>167</v>
      </c>
      <c r="N6">
        <f>V44/$V$56</f>
        <v>0.77146852653106701</v>
      </c>
    </row>
    <row r="7" spans="2:19">
      <c r="B7" s="69" t="s">
        <v>169</v>
      </c>
      <c r="C7" s="70" t="s">
        <v>304</v>
      </c>
      <c r="D7" s="70"/>
      <c r="E7" s="70" t="s">
        <v>318</v>
      </c>
      <c r="F7" s="71">
        <v>2015</v>
      </c>
      <c r="G7" s="71"/>
      <c r="H7" s="159">
        <f>SUMIFS($N$6:$N$8,$M$6:$M$8,$B7) * SUMIFS($N$11:$S$11,$N$10:$S$10,$F7) / 1000</f>
        <v>0.65078861779954356</v>
      </c>
      <c r="I7" s="73">
        <f t="shared" ref="I7:I10" si="0">I6</f>
        <v>0.3</v>
      </c>
      <c r="M7" t="s">
        <v>168</v>
      </c>
      <c r="N7">
        <f>V48/$V$56</f>
        <v>0.11118414484955622</v>
      </c>
    </row>
    <row r="8" spans="2:19">
      <c r="B8" s="74" t="s">
        <v>167</v>
      </c>
      <c r="C8" s="75" t="s">
        <v>304</v>
      </c>
      <c r="D8" s="75"/>
      <c r="E8" s="75" t="s">
        <v>318</v>
      </c>
      <c r="F8" s="76">
        <f>F5+5</f>
        <v>2020</v>
      </c>
      <c r="G8" s="76"/>
      <c r="H8" s="160">
        <f>SUMIFS($N$6:$N$8,$M$6:$M$8,$B8) * SUMIFS($N$11:$S$11,$N$10:$S$10,$F8) / 1000</f>
        <v>5.321436623578812</v>
      </c>
      <c r="I8" s="78">
        <f t="shared" si="0"/>
        <v>0.3</v>
      </c>
      <c r="M8" t="s">
        <v>169</v>
      </c>
      <c r="N8">
        <f>V54/$V$56</f>
        <v>0.1173473286193768</v>
      </c>
    </row>
    <row r="9" spans="2:19">
      <c r="B9" s="70" t="s">
        <v>168</v>
      </c>
      <c r="C9" s="70" t="s">
        <v>304</v>
      </c>
      <c r="D9" s="70"/>
      <c r="E9" s="70" t="s">
        <v>318</v>
      </c>
      <c r="F9" s="71">
        <f t="shared" ref="F9:F22" si="1">F6+5</f>
        <v>2020</v>
      </c>
      <c r="G9" s="71"/>
      <c r="H9" s="159">
        <f>SUMIFS($N$6:$N$8,$M$6:$M$8,$B9) * SUMIFS($N$11:$S$11,$N$10:$S$10,$F9) / 1000</f>
        <v>0.76692614152924088</v>
      </c>
      <c r="I9" s="73">
        <f t="shared" si="0"/>
        <v>0.3</v>
      </c>
    </row>
    <row r="10" spans="2:19">
      <c r="B10" s="75" t="s">
        <v>169</v>
      </c>
      <c r="C10" s="75" t="s">
        <v>304</v>
      </c>
      <c r="D10" s="75"/>
      <c r="E10" s="75" t="s">
        <v>318</v>
      </c>
      <c r="F10" s="76">
        <f t="shared" si="1"/>
        <v>2020</v>
      </c>
      <c r="G10" s="76"/>
      <c r="H10" s="160">
        <f>SUMIFS($N$6:$N$8,$M$6:$M$8,$B10) * SUMIFS($N$11:$S$11,$N$10:$S$10,$F10) / 1000</f>
        <v>0.80943855869555426</v>
      </c>
      <c r="I10" s="78">
        <f t="shared" si="0"/>
        <v>0.3</v>
      </c>
      <c r="N10" s="46">
        <v>2015</v>
      </c>
      <c r="O10" s="46">
        <v>2020</v>
      </c>
      <c r="P10" s="46">
        <v>2025</v>
      </c>
      <c r="Q10" s="46">
        <v>2030</v>
      </c>
      <c r="R10" s="46">
        <v>2035</v>
      </c>
      <c r="S10" s="46">
        <v>2040</v>
      </c>
    </row>
    <row r="11" spans="2:19">
      <c r="B11" s="69" t="s">
        <v>167</v>
      </c>
      <c r="C11" s="70" t="s">
        <v>304</v>
      </c>
      <c r="D11" s="70"/>
      <c r="E11" s="70" t="s">
        <v>318</v>
      </c>
      <c r="F11" s="71">
        <f t="shared" si="1"/>
        <v>2025</v>
      </c>
      <c r="G11" s="71"/>
      <c r="H11" s="159">
        <f>SUMIFS($N$6:$N$8,$M$6:$M$8,$B11) * SUMIFS($N$11:$S$11,$N$10:$S$10,$F11) / 1000</f>
        <v>6.1755444400323931</v>
      </c>
      <c r="I11" s="80">
        <v>0.3</v>
      </c>
      <c r="M11" s="81" t="s">
        <v>179</v>
      </c>
      <c r="N11">
        <f t="shared" ref="N11:S11" si="2">AB71</f>
        <v>5545.8324058693834</v>
      </c>
      <c r="O11">
        <f t="shared" si="2"/>
        <v>6897.8013238036074</v>
      </c>
      <c r="P11">
        <f t="shared" si="2"/>
        <v>8004.9207811508877</v>
      </c>
      <c r="Q11">
        <f t="shared" si="2"/>
        <v>8445.2810903644186</v>
      </c>
      <c r="R11">
        <f t="shared" si="2"/>
        <v>8675.085833289937</v>
      </c>
      <c r="S11">
        <f t="shared" si="2"/>
        <v>8792.481070345877</v>
      </c>
    </row>
    <row r="12" spans="2:19">
      <c r="B12" s="74" t="s">
        <v>168</v>
      </c>
      <c r="C12" s="75" t="s">
        <v>304</v>
      </c>
      <c r="D12" s="75"/>
      <c r="E12" s="75" t="s">
        <v>318</v>
      </c>
      <c r="F12" s="76">
        <f t="shared" si="1"/>
        <v>2025</v>
      </c>
      <c r="G12" s="76"/>
      <c r="H12" s="160">
        <f>SUMIFS($N$6:$N$8,$M$6:$M$8,$B12) * SUMIFS($N$11:$S$11,$N$10:$S$10,$F12) / 1000</f>
        <v>0.89002027164070296</v>
      </c>
      <c r="I12" s="78">
        <f>I11</f>
        <v>0.3</v>
      </c>
    </row>
    <row r="13" spans="2:19">
      <c r="B13" s="69" t="s">
        <v>169</v>
      </c>
      <c r="C13" s="70" t="s">
        <v>304</v>
      </c>
      <c r="D13" s="70"/>
      <c r="E13" s="70" t="s">
        <v>318</v>
      </c>
      <c r="F13" s="71">
        <f t="shared" si="1"/>
        <v>2025</v>
      </c>
      <c r="G13" s="71"/>
      <c r="H13" s="159">
        <f>SUMIFS($N$6:$N$8,$M$6:$M$8,$B13) * SUMIFS($N$11:$S$11,$N$10:$S$10,$F13) / 1000</f>
        <v>0.9393560694777916</v>
      </c>
      <c r="I13" s="73">
        <f t="shared" ref="I13:I22" si="3">I12</f>
        <v>0.3</v>
      </c>
    </row>
    <row r="14" spans="2:19">
      <c r="B14" s="74" t="s">
        <v>167</v>
      </c>
      <c r="C14" s="75" t="s">
        <v>304</v>
      </c>
      <c r="D14" s="75"/>
      <c r="E14" s="75" t="s">
        <v>318</v>
      </c>
      <c r="F14" s="76">
        <f t="shared" si="1"/>
        <v>2030</v>
      </c>
      <c r="G14" s="76"/>
      <c r="H14" s="160">
        <f>SUMIFS($N$6:$N$8,$M$6:$M$8,$B14) * SUMIFS($N$11:$S$11,$N$10:$S$10,$F14) / 1000</f>
        <v>6.515268558924121</v>
      </c>
      <c r="I14" s="78">
        <f t="shared" si="3"/>
        <v>0.3</v>
      </c>
    </row>
    <row r="15" spans="2:19">
      <c r="B15" s="70" t="s">
        <v>168</v>
      </c>
      <c r="C15" s="70" t="s">
        <v>304</v>
      </c>
      <c r="D15" s="70"/>
      <c r="E15" s="70" t="s">
        <v>318</v>
      </c>
      <c r="F15" s="71">
        <f t="shared" si="1"/>
        <v>2030</v>
      </c>
      <c r="G15" s="71"/>
      <c r="H15" s="159">
        <f>SUMIFS($N$6:$N$8,$M$6:$M$8,$B15) * SUMIFS($N$11:$S$11,$N$10:$S$10,$F15) / 1000</f>
        <v>0.93898135604629551</v>
      </c>
      <c r="I15" s="73">
        <f t="shared" si="3"/>
        <v>0.3</v>
      </c>
      <c r="N15" s="46" t="s">
        <v>183</v>
      </c>
    </row>
    <row r="16" spans="2:19">
      <c r="B16" s="75" t="s">
        <v>169</v>
      </c>
      <c r="C16" s="75" t="s">
        <v>304</v>
      </c>
      <c r="D16" s="75"/>
      <c r="E16" s="75" t="s">
        <v>318</v>
      </c>
      <c r="F16" s="76">
        <f t="shared" si="1"/>
        <v>2030</v>
      </c>
      <c r="G16" s="76"/>
      <c r="H16" s="160">
        <f>SUMIFS($N$6:$N$8,$M$6:$M$8,$B16) * SUMIFS($N$11:$S$11,$N$10:$S$10,$F16) / 1000</f>
        <v>0.99103117539400232</v>
      </c>
      <c r="I16" s="78">
        <f t="shared" si="3"/>
        <v>0.3</v>
      </c>
      <c r="N16" t="s">
        <v>162</v>
      </c>
    </row>
    <row r="17" spans="1:22">
      <c r="B17" s="70" t="s">
        <v>167</v>
      </c>
      <c r="C17" s="70" t="s">
        <v>304</v>
      </c>
      <c r="D17" s="70"/>
      <c r="E17" s="70" t="s">
        <v>318</v>
      </c>
      <c r="F17" s="71">
        <f t="shared" si="1"/>
        <v>2035</v>
      </c>
      <c r="G17" s="71"/>
      <c r="H17" s="159">
        <f>SUMIFS($N$6:$N$8,$M$6:$M$8,$B17) * SUMIFS($N$11:$S$11,$N$10:$S$10,$F17) / 1000</f>
        <v>6.6925556853387214</v>
      </c>
      <c r="I17" s="73">
        <f t="shared" si="3"/>
        <v>0.3</v>
      </c>
    </row>
    <row r="18" spans="1:22">
      <c r="B18" s="75" t="s">
        <v>168</v>
      </c>
      <c r="C18" s="75" t="s">
        <v>304</v>
      </c>
      <c r="D18" s="75"/>
      <c r="E18" s="75" t="s">
        <v>318</v>
      </c>
      <c r="F18" s="76">
        <f t="shared" si="1"/>
        <v>2035</v>
      </c>
      <c r="G18" s="76"/>
      <c r="H18" s="160">
        <f>SUMIFS($N$6:$N$8,$M$6:$M$8,$B18) * SUMIFS($N$11:$S$11,$N$10:$S$10,$F18) / 1000</f>
        <v>0.96453199987084148</v>
      </c>
      <c r="I18" s="78">
        <f t="shared" si="3"/>
        <v>0.3</v>
      </c>
    </row>
    <row r="19" spans="1:22">
      <c r="B19" s="70" t="s">
        <v>169</v>
      </c>
      <c r="C19" s="70" t="s">
        <v>304</v>
      </c>
      <c r="D19" s="70"/>
      <c r="E19" s="70" t="s">
        <v>318</v>
      </c>
      <c r="F19" s="71">
        <f t="shared" si="1"/>
        <v>2035</v>
      </c>
      <c r="G19" s="71"/>
      <c r="H19" s="159">
        <f>SUMIFS($N$6:$N$8,$M$6:$M$8,$B19) * SUMIFS($N$11:$S$11,$N$10:$S$10,$F19) / 1000</f>
        <v>1.0179981480803744</v>
      </c>
      <c r="I19" s="73">
        <f t="shared" si="3"/>
        <v>0.3</v>
      </c>
    </row>
    <row r="20" spans="1:22">
      <c r="B20" s="75" t="s">
        <v>167</v>
      </c>
      <c r="C20" s="75" t="s">
        <v>304</v>
      </c>
      <c r="D20" s="75"/>
      <c r="E20" s="75" t="s">
        <v>318</v>
      </c>
      <c r="F20" s="76">
        <f t="shared" si="1"/>
        <v>2040</v>
      </c>
      <c r="G20" s="76"/>
      <c r="H20" s="160">
        <f>SUMIFS($N$6:$N$8,$M$6:$M$8,$B20) * SUMIFS($N$11:$S$11,$N$10:$S$10,$F20) / 1000</f>
        <v>6.7831224158920334</v>
      </c>
      <c r="I20" s="78">
        <f t="shared" si="3"/>
        <v>0.3</v>
      </c>
    </row>
    <row r="21" spans="1:22">
      <c r="B21" s="70" t="s">
        <v>168</v>
      </c>
      <c r="C21" s="70" t="s">
        <v>304</v>
      </c>
      <c r="D21" s="70"/>
      <c r="E21" s="70" t="s">
        <v>318</v>
      </c>
      <c r="F21" s="71">
        <f t="shared" si="1"/>
        <v>2040</v>
      </c>
      <c r="G21" s="71"/>
      <c r="H21" s="159">
        <f>SUMIFS($N$6:$N$8,$M$6:$M$8,$B21) * SUMIFS($N$11:$S$11,$N$10:$S$10,$F21) / 1000</f>
        <v>0.97758448891231708</v>
      </c>
      <c r="I21" s="73">
        <f t="shared" si="3"/>
        <v>0.3</v>
      </c>
    </row>
    <row r="22" spans="1:22">
      <c r="B22" s="75" t="s">
        <v>169</v>
      </c>
      <c r="C22" s="75" t="s">
        <v>304</v>
      </c>
      <c r="D22" s="75"/>
      <c r="E22" s="75" t="s">
        <v>318</v>
      </c>
      <c r="F22" s="76">
        <f t="shared" si="1"/>
        <v>2040</v>
      </c>
      <c r="G22" s="76"/>
      <c r="H22" s="160">
        <f>SUMIFS($N$6:$N$8,$M$6:$M$8,$B22) * SUMIFS($N$11:$S$11,$N$10:$S$10,$F22) / 1000</f>
        <v>1.0317741655415276</v>
      </c>
      <c r="I22" s="78">
        <f t="shared" si="3"/>
        <v>0.3</v>
      </c>
    </row>
    <row r="23" spans="1:22">
      <c r="B23" s="70"/>
      <c r="C23" s="70"/>
      <c r="D23" s="70"/>
      <c r="E23" s="70"/>
      <c r="F23" s="71"/>
      <c r="G23" s="71"/>
      <c r="H23" s="72"/>
      <c r="I23" s="73"/>
    </row>
    <row r="24" spans="1:22">
      <c r="B24" s="75"/>
      <c r="C24" s="75"/>
      <c r="D24" s="75"/>
      <c r="E24" s="75"/>
      <c r="F24" s="76"/>
      <c r="G24" s="76"/>
      <c r="H24" s="77"/>
      <c r="I24" s="78"/>
    </row>
    <row r="27" spans="1:22">
      <c r="A27" t="s">
        <v>180</v>
      </c>
    </row>
    <row r="28" spans="1:22" ht="18.75">
      <c r="A28" s="51" t="s">
        <v>117</v>
      </c>
    </row>
    <row r="30" spans="1:22">
      <c r="J30" s="52">
        <v>2007</v>
      </c>
      <c r="K30" s="52">
        <v>2008</v>
      </c>
      <c r="L30" s="52">
        <v>2009</v>
      </c>
      <c r="M30" s="52">
        <v>2010</v>
      </c>
      <c r="N30" s="52">
        <v>2011</v>
      </c>
      <c r="O30" s="52">
        <v>2012</v>
      </c>
      <c r="P30" s="52">
        <v>2013</v>
      </c>
      <c r="Q30" s="52">
        <v>2014</v>
      </c>
      <c r="R30" s="52">
        <v>2015</v>
      </c>
      <c r="S30" s="52">
        <v>2016</v>
      </c>
      <c r="T30" s="52">
        <v>2017</v>
      </c>
      <c r="U30" s="52">
        <v>2018</v>
      </c>
      <c r="V30" s="52">
        <v>2019</v>
      </c>
    </row>
    <row r="31" spans="1:22">
      <c r="A31" s="53" t="s">
        <v>118</v>
      </c>
      <c r="B31" s="53" t="s">
        <v>119</v>
      </c>
      <c r="J31" s="28">
        <v>262523</v>
      </c>
      <c r="K31" s="28">
        <v>265458</v>
      </c>
      <c r="L31" s="28">
        <v>268584</v>
      </c>
      <c r="M31" s="28">
        <v>271662</v>
      </c>
      <c r="N31" s="28">
        <v>274827</v>
      </c>
      <c r="O31" s="28">
        <v>278352</v>
      </c>
      <c r="P31" s="28">
        <v>282000</v>
      </c>
      <c r="Q31" s="28">
        <v>284962</v>
      </c>
      <c r="R31" s="28">
        <v>287198</v>
      </c>
      <c r="S31" s="28">
        <v>289867</v>
      </c>
      <c r="T31" s="28">
        <v>292893</v>
      </c>
      <c r="U31" s="28">
        <v>295420</v>
      </c>
      <c r="V31" s="28">
        <v>297520</v>
      </c>
    </row>
    <row r="32" spans="1:22">
      <c r="B32" s="53" t="s">
        <v>120</v>
      </c>
      <c r="J32" s="28">
        <v>509177</v>
      </c>
      <c r="K32" s="28">
        <v>518567</v>
      </c>
      <c r="L32" s="28">
        <v>527625</v>
      </c>
      <c r="M32" s="28">
        <v>536499</v>
      </c>
      <c r="N32" s="28">
        <v>545653</v>
      </c>
      <c r="O32" s="28">
        <v>556254</v>
      </c>
      <c r="P32" s="28">
        <v>566399</v>
      </c>
      <c r="Q32" s="28">
        <v>575757</v>
      </c>
      <c r="R32" s="28">
        <v>584899</v>
      </c>
      <c r="S32" s="28">
        <v>594533</v>
      </c>
      <c r="T32" s="28">
        <v>604368</v>
      </c>
      <c r="U32" s="28">
        <v>614026</v>
      </c>
      <c r="V32" s="28">
        <v>624055</v>
      </c>
    </row>
    <row r="33" spans="2:22">
      <c r="B33" s="53" t="s">
        <v>121</v>
      </c>
      <c r="J33" s="28">
        <v>548617</v>
      </c>
      <c r="K33" s="28">
        <v>560484</v>
      </c>
      <c r="L33" s="28">
        <v>575475</v>
      </c>
      <c r="M33" s="28">
        <v>586860</v>
      </c>
      <c r="N33" s="28">
        <v>599230</v>
      </c>
      <c r="O33" s="28">
        <v>613285</v>
      </c>
      <c r="P33" s="28">
        <v>623966</v>
      </c>
      <c r="Q33" s="28">
        <v>634463</v>
      </c>
      <c r="R33" s="28">
        <v>647676</v>
      </c>
      <c r="S33" s="28">
        <v>658390</v>
      </c>
      <c r="T33" s="28">
        <v>666759</v>
      </c>
      <c r="U33" s="28">
        <v>673469</v>
      </c>
      <c r="V33" s="28">
        <v>681067</v>
      </c>
    </row>
    <row r="34" spans="2:22">
      <c r="B34" s="53" t="s">
        <v>122</v>
      </c>
      <c r="J34" s="28">
        <v>188692</v>
      </c>
      <c r="K34" s="28">
        <v>189289</v>
      </c>
      <c r="L34" s="28">
        <v>190071</v>
      </c>
      <c r="M34" s="28">
        <v>190709</v>
      </c>
      <c r="N34" s="28">
        <v>191622</v>
      </c>
      <c r="O34" s="28">
        <v>192791</v>
      </c>
      <c r="P34" s="28">
        <v>193719</v>
      </c>
      <c r="Q34" s="28">
        <v>194433</v>
      </c>
      <c r="R34" s="28">
        <v>195153</v>
      </c>
      <c r="S34" s="28">
        <v>195356</v>
      </c>
      <c r="T34" s="28">
        <v>196190</v>
      </c>
      <c r="U34" s="28">
        <v>196966</v>
      </c>
      <c r="V34" s="28">
        <v>197406</v>
      </c>
    </row>
    <row r="35" spans="2:22">
      <c r="B35" s="53" t="s">
        <v>123</v>
      </c>
      <c r="J35" s="28">
        <v>183037</v>
      </c>
      <c r="K35" s="28">
        <v>183637</v>
      </c>
      <c r="L35" s="28">
        <v>184288</v>
      </c>
      <c r="M35" s="28">
        <v>185216</v>
      </c>
      <c r="N35" s="28">
        <v>186087</v>
      </c>
      <c r="O35" s="28">
        <v>187147</v>
      </c>
      <c r="P35" s="28">
        <v>187254</v>
      </c>
      <c r="Q35" s="28">
        <v>187820</v>
      </c>
      <c r="R35" s="28">
        <v>188807</v>
      </c>
      <c r="S35" s="28">
        <v>188953</v>
      </c>
      <c r="T35" s="28">
        <v>189479</v>
      </c>
      <c r="U35" s="28">
        <v>189870</v>
      </c>
      <c r="V35" s="28">
        <v>189545</v>
      </c>
    </row>
    <row r="36" spans="2:22">
      <c r="B36" s="53" t="s">
        <v>124</v>
      </c>
      <c r="J36" s="28">
        <v>247655</v>
      </c>
      <c r="K36" s="28">
        <v>251220</v>
      </c>
      <c r="L36" s="28">
        <v>254634</v>
      </c>
      <c r="M36" s="28">
        <v>257673</v>
      </c>
      <c r="N36" s="28">
        <v>261110</v>
      </c>
      <c r="O36" s="28">
        <v>265164</v>
      </c>
      <c r="P36" s="28">
        <v>269003</v>
      </c>
      <c r="Q36" s="28">
        <v>272228</v>
      </c>
      <c r="R36" s="28">
        <v>274737</v>
      </c>
      <c r="S36" s="28">
        <v>277684</v>
      </c>
      <c r="T36" s="28">
        <v>279714</v>
      </c>
      <c r="U36" s="28">
        <v>281769</v>
      </c>
      <c r="V36" s="28">
        <v>283148</v>
      </c>
    </row>
    <row r="37" spans="2:22">
      <c r="B37" s="53" t="s">
        <v>125</v>
      </c>
      <c r="J37" s="28">
        <v>223804</v>
      </c>
      <c r="K37" s="28">
        <v>226433</v>
      </c>
      <c r="L37" s="28">
        <v>229134</v>
      </c>
      <c r="M37" s="28">
        <v>231286</v>
      </c>
      <c r="N37" s="28">
        <v>233705</v>
      </c>
      <c r="O37" s="28">
        <v>236424</v>
      </c>
      <c r="P37" s="28">
        <v>238748</v>
      </c>
      <c r="Q37" s="28">
        <v>240860</v>
      </c>
      <c r="R37" s="28">
        <v>242662</v>
      </c>
      <c r="S37" s="28">
        <v>244967</v>
      </c>
      <c r="T37" s="28">
        <v>247048</v>
      </c>
      <c r="U37" s="28">
        <v>249058</v>
      </c>
      <c r="V37" s="28">
        <v>251084</v>
      </c>
    </row>
    <row r="38" spans="2:22">
      <c r="B38" s="53" t="s">
        <v>126</v>
      </c>
      <c r="J38" s="28">
        <v>166170</v>
      </c>
      <c r="K38" s="28">
        <v>166731</v>
      </c>
      <c r="L38" s="28">
        <v>167548</v>
      </c>
      <c r="M38" s="28">
        <v>168231</v>
      </c>
      <c r="N38" s="28">
        <v>169185</v>
      </c>
      <c r="O38" s="28">
        <v>170023</v>
      </c>
      <c r="P38" s="28">
        <v>170902</v>
      </c>
      <c r="Q38" s="28">
        <v>171469</v>
      </c>
      <c r="R38" s="28">
        <v>171953</v>
      </c>
      <c r="S38" s="28">
        <v>172494</v>
      </c>
      <c r="T38" s="28">
        <v>173307</v>
      </c>
      <c r="U38" s="28">
        <v>173391</v>
      </c>
      <c r="V38" s="28">
        <v>173318</v>
      </c>
    </row>
    <row r="39" spans="2:22">
      <c r="B39" s="53" t="s">
        <v>127</v>
      </c>
      <c r="J39" s="28">
        <v>104759</v>
      </c>
      <c r="K39" s="28">
        <v>106130</v>
      </c>
      <c r="L39" s="28">
        <v>107359</v>
      </c>
      <c r="M39" s="28">
        <v>108499</v>
      </c>
      <c r="N39" s="28">
        <v>110048</v>
      </c>
      <c r="O39" s="28">
        <v>111495</v>
      </c>
      <c r="P39" s="28">
        <v>112772</v>
      </c>
      <c r="Q39" s="28">
        <v>113747</v>
      </c>
      <c r="R39" s="28">
        <v>114767</v>
      </c>
      <c r="S39" s="28">
        <v>115785</v>
      </c>
      <c r="T39" s="28">
        <v>116673</v>
      </c>
      <c r="U39" s="28">
        <v>117222</v>
      </c>
      <c r="V39" s="28">
        <v>117655</v>
      </c>
    </row>
    <row r="40" spans="2:22">
      <c r="B40" s="53" t="s">
        <v>128</v>
      </c>
      <c r="J40" s="28">
        <v>163702</v>
      </c>
      <c r="K40" s="28">
        <v>165944</v>
      </c>
      <c r="L40" s="28">
        <v>168233</v>
      </c>
      <c r="M40" s="28">
        <v>170377</v>
      </c>
      <c r="N40" s="28">
        <v>172408</v>
      </c>
      <c r="O40" s="28">
        <v>174324</v>
      </c>
      <c r="P40" s="28">
        <v>176353</v>
      </c>
      <c r="Q40" s="28">
        <v>178478</v>
      </c>
      <c r="R40" s="28">
        <v>180877</v>
      </c>
      <c r="S40" s="28">
        <v>182701</v>
      </c>
      <c r="T40" s="28">
        <v>184116</v>
      </c>
      <c r="U40" s="28">
        <v>186532</v>
      </c>
      <c r="V40" s="28">
        <v>187589</v>
      </c>
    </row>
    <row r="41" spans="2:22">
      <c r="B41" s="53" t="s">
        <v>129</v>
      </c>
      <c r="J41" s="28">
        <v>404566</v>
      </c>
      <c r="K41" s="28">
        <v>412687</v>
      </c>
      <c r="L41" s="28">
        <v>420574</v>
      </c>
      <c r="M41" s="28">
        <v>427947</v>
      </c>
      <c r="N41" s="28">
        <v>436087</v>
      </c>
      <c r="O41" s="28">
        <v>443115</v>
      </c>
      <c r="P41" s="28">
        <v>452159</v>
      </c>
      <c r="Q41" s="28">
        <v>459625</v>
      </c>
      <c r="R41" s="28">
        <v>466302</v>
      </c>
      <c r="S41" s="28">
        <v>470175</v>
      </c>
      <c r="T41" s="28">
        <v>472024</v>
      </c>
      <c r="U41" s="28">
        <v>473526</v>
      </c>
      <c r="V41" s="28">
        <v>475654</v>
      </c>
    </row>
    <row r="42" spans="2:22">
      <c r="B42" s="53" t="s">
        <v>130</v>
      </c>
      <c r="J42" s="28">
        <v>456711</v>
      </c>
      <c r="K42" s="28">
        <v>462674</v>
      </c>
      <c r="L42" s="28">
        <v>469681</v>
      </c>
      <c r="M42" s="28">
        <v>477175</v>
      </c>
      <c r="N42" s="28">
        <v>484240</v>
      </c>
      <c r="O42" s="28">
        <v>490570</v>
      </c>
      <c r="P42" s="28">
        <v>498135</v>
      </c>
      <c r="Q42" s="28">
        <v>505246</v>
      </c>
      <c r="R42" s="28">
        <v>511357</v>
      </c>
      <c r="S42" s="28">
        <v>516497</v>
      </c>
      <c r="T42" s="28">
        <v>519963</v>
      </c>
      <c r="U42" s="28">
        <v>522539</v>
      </c>
      <c r="V42" s="28">
        <v>524495</v>
      </c>
    </row>
    <row r="43" spans="2:22">
      <c r="B43" s="53" t="s">
        <v>131</v>
      </c>
      <c r="J43" s="28">
        <v>106194</v>
      </c>
      <c r="K43" s="28">
        <v>106259</v>
      </c>
      <c r="L43" s="28">
        <v>106457</v>
      </c>
      <c r="M43" s="28">
        <v>107080</v>
      </c>
      <c r="N43" s="28">
        <v>107742</v>
      </c>
      <c r="O43" s="28">
        <v>108201</v>
      </c>
      <c r="P43" s="28">
        <v>108700</v>
      </c>
      <c r="Q43" s="28">
        <v>108965</v>
      </c>
      <c r="R43" s="28">
        <v>109170</v>
      </c>
      <c r="S43" s="28">
        <v>109530</v>
      </c>
      <c r="T43" s="28">
        <v>110266</v>
      </c>
      <c r="U43" s="28">
        <v>110230</v>
      </c>
      <c r="V43" s="28">
        <v>109774</v>
      </c>
    </row>
    <row r="44" spans="2:22">
      <c r="B44" s="53" t="s">
        <v>132</v>
      </c>
      <c r="J44" s="55">
        <f t="shared" ref="J44:V44" si="4">SUM(J31:J43)/1000000</f>
        <v>3.565607</v>
      </c>
      <c r="K44" s="55">
        <f t="shared" si="4"/>
        <v>3.615513</v>
      </c>
      <c r="L44" s="55">
        <f t="shared" si="4"/>
        <v>3.6696629999999999</v>
      </c>
      <c r="M44" s="55">
        <f t="shared" si="4"/>
        <v>3.719214</v>
      </c>
      <c r="N44" s="55">
        <f t="shared" si="4"/>
        <v>3.771944</v>
      </c>
      <c r="O44" s="55">
        <f t="shared" si="4"/>
        <v>3.8271449999999998</v>
      </c>
      <c r="P44" s="55">
        <f t="shared" si="4"/>
        <v>3.8801100000000002</v>
      </c>
      <c r="Q44" s="55">
        <f t="shared" si="4"/>
        <v>3.9280529999999998</v>
      </c>
      <c r="R44" s="55">
        <f t="shared" si="4"/>
        <v>3.9755579999999999</v>
      </c>
      <c r="S44" s="55">
        <f t="shared" si="4"/>
        <v>4.0169319999999997</v>
      </c>
      <c r="T44" s="55">
        <f t="shared" si="4"/>
        <v>4.0528000000000004</v>
      </c>
      <c r="U44" s="55">
        <f t="shared" si="4"/>
        <v>4.0840180000000004</v>
      </c>
      <c r="V44" s="55">
        <f t="shared" si="4"/>
        <v>4.1123099999999999</v>
      </c>
    </row>
    <row r="45" spans="2:22">
      <c r="B45" s="53" t="s">
        <v>133</v>
      </c>
      <c r="J45" s="28">
        <v>245385</v>
      </c>
      <c r="K45" s="28">
        <v>246772</v>
      </c>
      <c r="L45" s="28">
        <v>248727</v>
      </c>
      <c r="M45" s="28">
        <v>251262</v>
      </c>
      <c r="N45" s="28">
        <v>253904</v>
      </c>
      <c r="O45" s="28">
        <v>256628</v>
      </c>
      <c r="P45" s="28">
        <v>259404</v>
      </c>
      <c r="Q45" s="28">
        <v>261530</v>
      </c>
      <c r="R45" s="28">
        <v>263719</v>
      </c>
      <c r="S45" s="28">
        <v>265290</v>
      </c>
      <c r="T45" s="28">
        <v>266274</v>
      </c>
      <c r="U45" s="28">
        <v>266856</v>
      </c>
      <c r="V45" s="28">
        <v>267420</v>
      </c>
    </row>
    <row r="46" spans="2:22">
      <c r="B46" s="53" t="s">
        <v>134</v>
      </c>
      <c r="J46" s="56">
        <f t="shared" ref="J46:T46" si="5">J49+J47</f>
        <v>407905</v>
      </c>
      <c r="K46" s="56">
        <f t="shared" si="5"/>
        <v>412849</v>
      </c>
      <c r="L46" s="56">
        <f t="shared" si="5"/>
        <v>417437</v>
      </c>
      <c r="M46" s="56">
        <f t="shared" si="5"/>
        <v>422102</v>
      </c>
      <c r="N46" s="56">
        <f t="shared" si="5"/>
        <v>426206</v>
      </c>
      <c r="O46" s="56">
        <f t="shared" si="5"/>
        <v>431340</v>
      </c>
      <c r="P46" s="56">
        <f t="shared" si="5"/>
        <v>437198</v>
      </c>
      <c r="Q46" s="56">
        <f t="shared" si="5"/>
        <v>441339</v>
      </c>
      <c r="R46" s="56">
        <f t="shared" si="5"/>
        <v>445785</v>
      </c>
      <c r="S46" s="56">
        <f t="shared" si="5"/>
        <v>449769</v>
      </c>
      <c r="T46" s="56">
        <f t="shared" si="5"/>
        <v>454596</v>
      </c>
      <c r="U46" s="28">
        <v>458744</v>
      </c>
      <c r="V46" s="28">
        <v>462032</v>
      </c>
    </row>
    <row r="47" spans="2:22">
      <c r="B47" s="53" t="s">
        <v>135</v>
      </c>
      <c r="J47" s="28">
        <v>278836</v>
      </c>
      <c r="K47" s="28">
        <v>282993</v>
      </c>
      <c r="L47" s="28">
        <v>286729</v>
      </c>
      <c r="M47" s="28">
        <v>290547</v>
      </c>
      <c r="N47" s="28">
        <v>294066</v>
      </c>
      <c r="O47" s="28">
        <v>297950</v>
      </c>
      <c r="P47" s="28">
        <v>302755</v>
      </c>
      <c r="Q47" s="28">
        <v>306197</v>
      </c>
      <c r="R47" s="28">
        <v>310047</v>
      </c>
      <c r="S47" s="28">
        <v>313370</v>
      </c>
      <c r="T47" s="28">
        <v>317363</v>
      </c>
      <c r="U47" s="56">
        <f t="array" ref="U47">TREND($J47:$T47,$J$30:$T$30,U$30)</f>
        <v>321391.32727272715</v>
      </c>
      <c r="V47" s="56">
        <f t="array" ref="V47">TREND($J47:$T47,$J$30:$T$30,V$30)</f>
        <v>325246.65454545431</v>
      </c>
    </row>
    <row r="48" spans="2:22">
      <c r="B48" s="53" t="s">
        <v>136</v>
      </c>
      <c r="J48" s="55">
        <f t="shared" ref="J48:V48" si="6">(J45+J47)/1000000</f>
        <v>0.52422100000000005</v>
      </c>
      <c r="K48" s="55">
        <f t="shared" si="6"/>
        <v>0.52976500000000004</v>
      </c>
      <c r="L48" s="55">
        <f t="shared" si="6"/>
        <v>0.53545600000000004</v>
      </c>
      <c r="M48" s="55">
        <f t="shared" si="6"/>
        <v>0.54180899999999999</v>
      </c>
      <c r="N48" s="55">
        <f t="shared" si="6"/>
        <v>0.54796999999999996</v>
      </c>
      <c r="O48" s="55">
        <f t="shared" si="6"/>
        <v>0.55457800000000002</v>
      </c>
      <c r="P48" s="55">
        <f t="shared" si="6"/>
        <v>0.56215899999999996</v>
      </c>
      <c r="Q48" s="55">
        <f t="shared" si="6"/>
        <v>0.56772699999999998</v>
      </c>
      <c r="R48" s="55">
        <f t="shared" si="6"/>
        <v>0.573766</v>
      </c>
      <c r="S48" s="55">
        <f t="shared" si="6"/>
        <v>0.57865999999999995</v>
      </c>
      <c r="T48" s="55">
        <f t="shared" si="6"/>
        <v>0.58363699999999996</v>
      </c>
      <c r="U48" s="55">
        <f t="shared" si="6"/>
        <v>0.58824732727272711</v>
      </c>
      <c r="V48" s="55">
        <f t="shared" si="6"/>
        <v>0.59266665454545431</v>
      </c>
    </row>
    <row r="49" spans="1:43">
      <c r="B49" s="53" t="s">
        <v>137</v>
      </c>
      <c r="J49" s="28">
        <v>129069</v>
      </c>
      <c r="K49" s="28">
        <v>129856</v>
      </c>
      <c r="L49" s="28">
        <v>130708</v>
      </c>
      <c r="M49" s="28">
        <v>131555</v>
      </c>
      <c r="N49" s="28">
        <v>132140</v>
      </c>
      <c r="O49" s="28">
        <v>133390</v>
      </c>
      <c r="P49" s="28">
        <v>134443</v>
      </c>
      <c r="Q49" s="28">
        <v>135142</v>
      </c>
      <c r="R49" s="28">
        <v>135738</v>
      </c>
      <c r="S49" s="28">
        <v>136399</v>
      </c>
      <c r="T49" s="28">
        <v>137233</v>
      </c>
      <c r="U49" s="56">
        <f t="array" ref="U49">TREND($J49:$T49,$J$30:$T$30,U$30)</f>
        <v>138237.1272727272</v>
      </c>
      <c r="V49" s="56">
        <f t="array" ref="V49">TREND($J49:$T49,$J$30:$T$30,V$30)</f>
        <v>139069.48181818193</v>
      </c>
    </row>
    <row r="50" spans="1:43">
      <c r="B50" s="53" t="s">
        <v>138</v>
      </c>
      <c r="J50" s="28">
        <v>235436</v>
      </c>
      <c r="K50" s="28">
        <v>234996</v>
      </c>
      <c r="L50" s="28">
        <v>235380</v>
      </c>
      <c r="M50" s="28">
        <v>236271</v>
      </c>
      <c r="N50" s="28">
        <v>237280</v>
      </c>
      <c r="O50" s="28">
        <v>238320</v>
      </c>
      <c r="P50" s="28">
        <v>239611</v>
      </c>
      <c r="Q50" s="28">
        <v>240877</v>
      </c>
      <c r="R50" s="28">
        <v>241682</v>
      </c>
      <c r="S50" s="28">
        <v>241906</v>
      </c>
      <c r="T50" s="28">
        <v>242866</v>
      </c>
      <c r="U50" s="28">
        <v>243335</v>
      </c>
      <c r="V50" s="28">
        <v>243385</v>
      </c>
    </row>
    <row r="51" spans="1:43">
      <c r="B51" s="53" t="s">
        <v>139</v>
      </c>
      <c r="J51" s="28">
        <v>154136</v>
      </c>
      <c r="K51" s="28">
        <v>154642</v>
      </c>
      <c r="L51" s="28">
        <v>155553</v>
      </c>
      <c r="M51" s="28">
        <v>156494</v>
      </c>
      <c r="N51" s="28">
        <v>157554</v>
      </c>
      <c r="O51" s="28">
        <v>158650</v>
      </c>
      <c r="P51" s="28">
        <v>160418</v>
      </c>
      <c r="Q51" s="28">
        <v>162050</v>
      </c>
      <c r="R51" s="28">
        <v>163453</v>
      </c>
      <c r="S51" s="28">
        <v>164330</v>
      </c>
      <c r="T51" s="28">
        <v>165632</v>
      </c>
      <c r="U51" s="28">
        <v>166499</v>
      </c>
      <c r="V51" s="28">
        <v>167202</v>
      </c>
    </row>
    <row r="52" spans="1:43">
      <c r="B52" s="53" t="s">
        <v>140</v>
      </c>
      <c r="J52" s="28">
        <v>72665</v>
      </c>
      <c r="K52" s="28">
        <v>72399</v>
      </c>
      <c r="L52" s="28">
        <v>72492</v>
      </c>
      <c r="M52" s="28">
        <v>72856</v>
      </c>
      <c r="N52" s="28">
        <v>73417</v>
      </c>
      <c r="O52" s="28">
        <v>73787</v>
      </c>
      <c r="P52" s="28">
        <v>74534</v>
      </c>
      <c r="Q52" s="28">
        <v>75207</v>
      </c>
      <c r="R52" s="28">
        <v>75605</v>
      </c>
      <c r="S52" s="28">
        <v>75758</v>
      </c>
      <c r="T52" s="28">
        <v>76149</v>
      </c>
      <c r="U52" s="28">
        <v>76167</v>
      </c>
      <c r="V52" s="28">
        <v>75863</v>
      </c>
    </row>
    <row r="53" spans="1:43">
      <c r="B53" s="53" t="s">
        <v>141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</row>
    <row r="54" spans="1:43">
      <c r="B54" s="53" t="s">
        <v>142</v>
      </c>
      <c r="J54" s="55">
        <f t="shared" ref="J54:V54" si="7">SUM(J49:J52)/1000000</f>
        <v>0.591306</v>
      </c>
      <c r="K54" s="55">
        <f t="shared" si="7"/>
        <v>0.591893</v>
      </c>
      <c r="L54" s="55">
        <f t="shared" si="7"/>
        <v>0.59413300000000002</v>
      </c>
      <c r="M54" s="55">
        <f t="shared" si="7"/>
        <v>0.59717600000000004</v>
      </c>
      <c r="N54" s="55">
        <f t="shared" si="7"/>
        <v>0.60039100000000001</v>
      </c>
      <c r="O54" s="55">
        <f t="shared" si="7"/>
        <v>0.60414699999999999</v>
      </c>
      <c r="P54" s="55">
        <f t="shared" si="7"/>
        <v>0.60900600000000005</v>
      </c>
      <c r="Q54" s="55">
        <f t="shared" si="7"/>
        <v>0.61327600000000004</v>
      </c>
      <c r="R54" s="55">
        <f t="shared" si="7"/>
        <v>0.61647799999999997</v>
      </c>
      <c r="S54" s="55">
        <f t="shared" si="7"/>
        <v>0.61839299999999997</v>
      </c>
      <c r="T54" s="55">
        <f t="shared" si="7"/>
        <v>0.62187999999999999</v>
      </c>
      <c r="U54" s="55">
        <f t="shared" si="7"/>
        <v>0.62423812727272721</v>
      </c>
      <c r="V54" s="55">
        <f t="shared" si="7"/>
        <v>0.62551948181818195</v>
      </c>
    </row>
    <row r="55" spans="1:43">
      <c r="P55" s="52"/>
      <c r="Q55" s="54"/>
      <c r="R55" s="54"/>
      <c r="S55" s="54"/>
      <c r="T55" s="54"/>
      <c r="U55" s="54"/>
      <c r="V55" s="54"/>
    </row>
    <row r="56" spans="1:43">
      <c r="B56" s="53" t="s">
        <v>111</v>
      </c>
      <c r="N56" s="30">
        <f t="shared" ref="N56:V56" si="8">N54+N48+N44</f>
        <v>4.9203049999999999</v>
      </c>
      <c r="O56" s="30">
        <f t="shared" si="8"/>
        <v>4.9858700000000002</v>
      </c>
      <c r="P56" s="30">
        <f t="shared" si="8"/>
        <v>5.0512750000000004</v>
      </c>
      <c r="Q56" s="30">
        <f t="shared" si="8"/>
        <v>5.1090559999999998</v>
      </c>
      <c r="R56" s="30">
        <f t="shared" si="8"/>
        <v>5.1658019999999993</v>
      </c>
      <c r="S56" s="30">
        <f t="shared" si="8"/>
        <v>5.2139849999999992</v>
      </c>
      <c r="T56" s="30">
        <f t="shared" si="8"/>
        <v>5.2583169999999999</v>
      </c>
      <c r="U56" s="30">
        <f t="shared" si="8"/>
        <v>5.296503454545455</v>
      </c>
      <c r="V56" s="30">
        <f t="shared" si="8"/>
        <v>5.3304961363636361</v>
      </c>
    </row>
    <row r="61" spans="1:43">
      <c r="A61" t="s">
        <v>181</v>
      </c>
    </row>
    <row r="62" spans="1:43" ht="18.75">
      <c r="A62" s="60" t="s">
        <v>143</v>
      </c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</row>
    <row r="64" spans="1:43">
      <c r="A64" s="57"/>
      <c r="B64" s="57"/>
      <c r="C64" s="52">
        <v>2000</v>
      </c>
      <c r="D64" s="52">
        <v>2001</v>
      </c>
      <c r="E64" s="52">
        <v>2002</v>
      </c>
      <c r="F64" s="52">
        <v>2003</v>
      </c>
      <c r="G64" s="52">
        <v>2004</v>
      </c>
      <c r="H64" s="52">
        <v>2005</v>
      </c>
      <c r="I64" s="52">
        <v>2006</v>
      </c>
      <c r="J64" s="52">
        <v>2007</v>
      </c>
      <c r="K64" s="52">
        <v>2008</v>
      </c>
      <c r="L64" s="52">
        <v>2009</v>
      </c>
      <c r="M64" s="52">
        <v>2010</v>
      </c>
      <c r="N64" s="52">
        <v>2011</v>
      </c>
      <c r="O64" s="52">
        <v>2012</v>
      </c>
      <c r="P64" s="52">
        <v>2013</v>
      </c>
      <c r="Q64" s="52">
        <v>2014</v>
      </c>
      <c r="R64" s="52">
        <v>2015</v>
      </c>
      <c r="S64" s="52">
        <v>2016</v>
      </c>
      <c r="T64" s="52">
        <v>2017</v>
      </c>
      <c r="U64" s="52">
        <v>2018</v>
      </c>
      <c r="V64" s="52">
        <v>2019</v>
      </c>
      <c r="W64" s="52">
        <v>2020</v>
      </c>
      <c r="X64" s="52">
        <v>2021</v>
      </c>
      <c r="Y64" s="52">
        <v>2022</v>
      </c>
      <c r="Z64" s="52">
        <v>2023</v>
      </c>
      <c r="AB64" s="52">
        <v>2015</v>
      </c>
      <c r="AC64" s="52">
        <v>2020</v>
      </c>
      <c r="AD64" s="52">
        <v>2025</v>
      </c>
      <c r="AE64" s="52">
        <v>2030</v>
      </c>
      <c r="AF64" s="52">
        <v>2035</v>
      </c>
      <c r="AG64" s="52">
        <v>2040</v>
      </c>
    </row>
    <row r="65" spans="1:33">
      <c r="A65" s="61" t="s">
        <v>144</v>
      </c>
      <c r="B65" s="61" t="s">
        <v>145</v>
      </c>
      <c r="C65" s="58">
        <v>1657</v>
      </c>
      <c r="D65" s="58">
        <v>2054</v>
      </c>
      <c r="E65" s="58">
        <v>2177</v>
      </c>
      <c r="F65" s="58">
        <v>2316</v>
      </c>
      <c r="G65" s="58">
        <v>2505</v>
      </c>
      <c r="H65" s="58">
        <v>2620</v>
      </c>
      <c r="I65" s="58">
        <v>2805</v>
      </c>
      <c r="J65" s="58">
        <v>3129</v>
      </c>
      <c r="K65" s="58">
        <v>3321</v>
      </c>
      <c r="L65" s="58">
        <v>3710</v>
      </c>
      <c r="M65" s="58">
        <v>4901</v>
      </c>
      <c r="N65" s="58">
        <v>4320</v>
      </c>
      <c r="O65" s="58">
        <v>4794</v>
      </c>
      <c r="P65" s="58">
        <v>5351</v>
      </c>
      <c r="Q65" s="58">
        <v>5097</v>
      </c>
      <c r="R65" s="58">
        <v>5516</v>
      </c>
      <c r="S65" s="58">
        <v>5973</v>
      </c>
      <c r="T65" s="58">
        <v>6218</v>
      </c>
      <c r="U65" s="58">
        <v>6545</v>
      </c>
      <c r="V65" s="58">
        <v>6669</v>
      </c>
      <c r="W65" s="58">
        <v>6163</v>
      </c>
      <c r="X65" s="58">
        <v>7450</v>
      </c>
      <c r="Y65" s="58">
        <v>7071</v>
      </c>
      <c r="Z65" s="58">
        <v>7853</v>
      </c>
    </row>
    <row r="66" spans="1:33">
      <c r="A66" s="57"/>
      <c r="B66" s="61" t="s">
        <v>146</v>
      </c>
      <c r="C66" s="58">
        <v>159</v>
      </c>
      <c r="D66" s="58">
        <v>198</v>
      </c>
      <c r="E66" s="58">
        <v>201</v>
      </c>
      <c r="F66" s="58">
        <v>188</v>
      </c>
      <c r="G66" s="58">
        <v>219</v>
      </c>
      <c r="H66" s="58">
        <v>221</v>
      </c>
      <c r="I66" s="58">
        <v>253</v>
      </c>
      <c r="J66" s="58">
        <v>314</v>
      </c>
      <c r="K66" s="58">
        <v>346</v>
      </c>
      <c r="L66" s="58">
        <v>358</v>
      </c>
      <c r="M66" s="58">
        <v>539</v>
      </c>
      <c r="N66" s="58">
        <v>523</v>
      </c>
      <c r="O66" s="58">
        <v>510</v>
      </c>
      <c r="P66" s="58">
        <v>593</v>
      </c>
      <c r="Q66" s="58">
        <v>569</v>
      </c>
      <c r="R66" s="58">
        <v>623</v>
      </c>
      <c r="S66" s="58">
        <v>671</v>
      </c>
      <c r="T66" s="58">
        <v>676</v>
      </c>
      <c r="U66" s="58">
        <v>738</v>
      </c>
      <c r="V66" s="58">
        <v>735</v>
      </c>
      <c r="W66" s="58">
        <v>735</v>
      </c>
      <c r="X66" s="58">
        <v>778</v>
      </c>
      <c r="Y66" s="58">
        <v>771</v>
      </c>
      <c r="Z66" s="58">
        <v>808</v>
      </c>
    </row>
    <row r="67" spans="1:33">
      <c r="A67" s="57"/>
      <c r="B67" s="61" t="s">
        <v>147</v>
      </c>
      <c r="C67" s="58">
        <v>1498</v>
      </c>
      <c r="D67" s="58">
        <v>1856</v>
      </c>
      <c r="E67" s="58">
        <v>1976</v>
      </c>
      <c r="F67" s="58">
        <v>2128</v>
      </c>
      <c r="G67" s="58">
        <v>2286</v>
      </c>
      <c r="H67" s="58">
        <v>2398</v>
      </c>
      <c r="I67" s="58">
        <v>2551</v>
      </c>
      <c r="J67" s="58">
        <v>2814</v>
      </c>
      <c r="K67" s="58">
        <v>2974</v>
      </c>
      <c r="L67" s="58">
        <v>3352</v>
      </c>
      <c r="M67" s="58">
        <v>4361</v>
      </c>
      <c r="N67" s="58">
        <v>3797</v>
      </c>
      <c r="O67" s="58">
        <v>4284</v>
      </c>
      <c r="P67" s="58">
        <v>4759</v>
      </c>
      <c r="Q67" s="58">
        <v>4527</v>
      </c>
      <c r="R67" s="58">
        <v>4893</v>
      </c>
      <c r="S67" s="58">
        <v>5302</v>
      </c>
      <c r="T67" s="58">
        <v>5543</v>
      </c>
      <c r="U67" s="58">
        <v>5808</v>
      </c>
      <c r="V67" s="58">
        <v>5934</v>
      </c>
      <c r="W67" s="58">
        <v>5428</v>
      </c>
      <c r="X67" s="58">
        <v>6672</v>
      </c>
      <c r="Y67" s="58">
        <v>6300</v>
      </c>
      <c r="Z67" s="58">
        <v>7045</v>
      </c>
    </row>
    <row r="69" spans="1:33">
      <c r="B69" s="61"/>
    </row>
    <row r="70" spans="1:33">
      <c r="B70" s="59" t="s">
        <v>163</v>
      </c>
      <c r="C70" s="64">
        <f>HLOOKUP(C$64,   HDD!$A$25:$AE$55, MATCH($B$2,HDD!$A$25:$A$55,0), FALSE)</f>
        <v>5334.5</v>
      </c>
      <c r="D70" s="64">
        <f>HLOOKUP(D$64,   HDD!$A$25:$AE$55, MATCH($B$2,HDD!$A$25:$A$55,0), FALSE)</f>
        <v>5760.83</v>
      </c>
      <c r="E70" s="64">
        <f>HLOOKUP(E$64,   HDD!$A$25:$AE$55, MATCH($B$2,HDD!$A$25:$A$55,0), FALSE)</f>
        <v>5474.51</v>
      </c>
      <c r="F70" s="64">
        <f>HLOOKUP(F$64,   HDD!$A$25:$AE$55, MATCH($B$2,HDD!$A$25:$A$55,0), FALSE)</f>
        <v>5387.57</v>
      </c>
      <c r="G70" s="64">
        <f>HLOOKUP(G$64,   HDD!$A$25:$AE$55, MATCH($B$2,HDD!$A$25:$A$55,0), FALSE)</f>
        <v>5431.36</v>
      </c>
      <c r="H70" s="64">
        <f>HLOOKUP(H$64,   HDD!$A$25:$AE$55, MATCH($B$2,HDD!$A$25:$A$55,0), FALSE)</f>
        <v>5365.38</v>
      </c>
      <c r="I70" s="64">
        <f>HLOOKUP(I$64,   HDD!$A$25:$AE$55, MATCH($B$2,HDD!$A$25:$A$55,0), FALSE)</f>
        <v>5228.95</v>
      </c>
      <c r="J70" s="64">
        <f>HLOOKUP(J$64,   HDD!$A$25:$AE$55, MATCH($B$2,HDD!$A$25:$A$55,0), FALSE)</f>
        <v>5404.05</v>
      </c>
      <c r="K70" s="64">
        <f>HLOOKUP(K$64,   HDD!$A$25:$AE$55, MATCH($B$2,HDD!$A$25:$A$55,0), FALSE)</f>
        <v>5450.1</v>
      </c>
      <c r="L70" s="64">
        <f>HLOOKUP(L$64,   HDD!$A$25:$AE$55, MATCH($B$2,HDD!$A$25:$A$55,0), FALSE)</f>
        <v>5527.4</v>
      </c>
      <c r="M70" s="64">
        <f>HLOOKUP(M$64,   HDD!$A$25:$AE$55, MATCH($B$2,HDD!$A$25:$A$55,0), FALSE)</f>
        <v>6205.66</v>
      </c>
      <c r="N70" s="64">
        <f>HLOOKUP(N$64,   HDD!$A$25:$AE$55, MATCH($B$2,HDD!$A$25:$A$55,0), FALSE)</f>
        <v>5198.7700000000004</v>
      </c>
      <c r="O70" s="64">
        <f>HLOOKUP(O$64,   HDD!$A$25:$AE$55, MATCH($B$2,HDD!$A$25:$A$55,0), FALSE)</f>
        <v>5783.7</v>
      </c>
      <c r="P70" s="64">
        <f>HLOOKUP(P$64,   HDD!$A$25:$AE$55, MATCH($B$2,HDD!$A$25:$A$55,0), FALSE)</f>
        <v>5492.84</v>
      </c>
      <c r="Q70" s="64">
        <f>HLOOKUP(Q$64,   HDD!$A$25:$AE$55, MATCH($B$2,HDD!$A$25:$A$55,0), FALSE)</f>
        <v>5136.42</v>
      </c>
      <c r="R70" s="64">
        <f>HLOOKUP(R$64,   HDD!$A$25:$AE$55, MATCH($B$2,HDD!$A$25:$A$55,0), FALSE)</f>
        <v>5264.25</v>
      </c>
      <c r="S70" s="64">
        <f>HLOOKUP(S$64,   HDD!$A$25:$AE$55, MATCH($B$2,HDD!$A$25:$A$55,0), FALSE)</f>
        <v>5371.01</v>
      </c>
      <c r="T70" s="64">
        <f>HLOOKUP(T$64,   HDD!$A$25:$AE$55, MATCH($B$2,HDD!$A$25:$A$55,0), FALSE)</f>
        <v>5513.51</v>
      </c>
      <c r="U70" s="64">
        <f>HLOOKUP(U$64,   HDD!$A$25:$AE$55, MATCH($B$2,HDD!$A$25:$A$55,0), FALSE)</f>
        <v>5420.27</v>
      </c>
      <c r="V70" s="64">
        <f>HLOOKUP(V$64,   HDD!$A$25:$AE$55, MATCH($B$2,HDD!$A$25:$A$55,0), FALSE)</f>
        <v>5509.44</v>
      </c>
      <c r="W70" s="64">
        <f>HLOOKUP(W$64,   HDD!$A$25:$AE$55, MATCH($B$2,HDD!$A$25:$A$55,0), FALSE)</f>
        <v>5088.9399999999996</v>
      </c>
      <c r="X70" s="64">
        <f>HLOOKUP(X$64,   HDD!$A$25:$AE$55, MATCH($B$2,HDD!$A$25:$A$55,0), FALSE)</f>
        <v>5539.23</v>
      </c>
      <c r="Y70" s="64">
        <f>HLOOKUP(Y$64,   HDD!$A$25:$AE$55, MATCH($B$2,HDD!$A$25:$A$55,0), FALSE)</f>
        <v>5294.82</v>
      </c>
      <c r="Z70" s="64">
        <f>HLOOKUP(Z$64,   HDD!$A$25:$AE$55, MATCH($B$2,HDD!$A$25:$A$55,0), FALSE)</f>
        <v>5586.96</v>
      </c>
      <c r="AB70">
        <f t="array" ref="AB70">TREND($C$70:$Z$70,$C$64:$Z$64,AB$64)</f>
        <v>5436.7197376811591</v>
      </c>
      <c r="AC70">
        <f t="array" ref="AC70">TREND($C$70:$Z$70,$C$64:$Z$64,AC$64)</f>
        <v>5419.505672463767</v>
      </c>
      <c r="AD70">
        <f t="array" ref="AD70">TREND($C$70:$Z$70,$C$64:$Z$64,AD$64)</f>
        <v>5402.2916072463759</v>
      </c>
      <c r="AE70">
        <f t="array" ref="AE70">TREND($C$70:$Z$70,$C$64:$Z$64,AE$64)</f>
        <v>5385.0775420289847</v>
      </c>
      <c r="AF70">
        <f t="array" ref="AF70">TREND($C$70:$Z$70,$C$64:$Z$64,AF$64)</f>
        <v>5367.8634768115935</v>
      </c>
      <c r="AG70">
        <f t="array" ref="AG70">TREND($C$70:$Z$70,$C$64:$Z$64,AG$64)</f>
        <v>5350.6494115942023</v>
      </c>
    </row>
    <row r="71" spans="1:33">
      <c r="B71" s="59" t="s">
        <v>164</v>
      </c>
      <c r="C71" s="64">
        <f>C65/C70*AVERAGE($C$70:$Z$70)</f>
        <v>1692.4943667791417</v>
      </c>
      <c r="D71" s="64">
        <f t="shared" ref="D71:X71" si="9">D65/D70*AVERAGE($C$70:$Z$70)</f>
        <v>1942.7361550621465</v>
      </c>
      <c r="E71" s="64">
        <f t="shared" si="9"/>
        <v>2166.7640360354926</v>
      </c>
      <c r="F71" s="64">
        <f t="shared" si="9"/>
        <v>2342.3083792878792</v>
      </c>
      <c r="G71" s="64">
        <f t="shared" si="9"/>
        <v>2513.0294817964559</v>
      </c>
      <c r="H71" s="64">
        <f t="shared" si="9"/>
        <v>2660.7204537858142</v>
      </c>
      <c r="I71" s="64">
        <f t="shared" si="9"/>
        <v>2922.919263188594</v>
      </c>
      <c r="J71" s="64">
        <f t="shared" si="9"/>
        <v>3154.8930942996449</v>
      </c>
      <c r="K71" s="64">
        <f t="shared" si="9"/>
        <v>3320.1893151043091</v>
      </c>
      <c r="L71" s="64">
        <f t="shared" si="9"/>
        <v>3657.2231345961331</v>
      </c>
      <c r="M71" s="64">
        <f t="shared" si="9"/>
        <v>4303.2360341876065</v>
      </c>
      <c r="N71" s="64">
        <f t="shared" si="9"/>
        <v>4527.7411002987237</v>
      </c>
      <c r="O71" s="64">
        <f t="shared" si="9"/>
        <v>4516.3824856925494</v>
      </c>
      <c r="P71" s="64">
        <f t="shared" si="9"/>
        <v>5308.0676008069895</v>
      </c>
      <c r="Q71" s="64">
        <f t="shared" si="9"/>
        <v>5406.9524233318143</v>
      </c>
      <c r="R71" s="64">
        <f t="shared" si="9"/>
        <v>5709.3437852812203</v>
      </c>
      <c r="S71" s="64">
        <f t="shared" si="9"/>
        <v>6059.4749816608046</v>
      </c>
      <c r="T71" s="64">
        <f t="shared" si="9"/>
        <v>6144.9873618015863</v>
      </c>
      <c r="U71" s="64">
        <f t="shared" si="9"/>
        <v>6579.4133729346813</v>
      </c>
      <c r="V71" s="64">
        <f t="shared" si="9"/>
        <v>6595.5604110853374</v>
      </c>
      <c r="W71" s="64">
        <f t="shared" si="9"/>
        <v>6598.7743895749081</v>
      </c>
      <c r="X71" s="64">
        <f t="shared" si="9"/>
        <v>7328.3350566474637</v>
      </c>
      <c r="Y71" s="64">
        <f t="shared" ref="Y71:Z71" si="10">Y65/Y70*AVERAGE($C$70:$Z$70)</f>
        <v>7276.5929198254134</v>
      </c>
      <c r="Z71" s="64">
        <f t="shared" si="10"/>
        <v>7658.7603165078444</v>
      </c>
      <c r="AB71">
        <f t="array" ref="AB71">TREND($C$71:$Z$71,$C$64:$Z$64,AB$64)</f>
        <v>5545.8324058693834</v>
      </c>
      <c r="AC71">
        <f t="array" ref="AC71">TREND($C$71:$Z$71,$C$64:$Z$64,AC$64)</f>
        <v>6897.8013238036074</v>
      </c>
      <c r="AD71" s="65">
        <f>Z71*POWER(1+AD74, 2)</f>
        <v>8004.9207811508877</v>
      </c>
      <c r="AE71" s="66">
        <f>AD71*POWER(1+AE74, 5)</f>
        <v>8445.2810903644186</v>
      </c>
      <c r="AF71" s="66">
        <f t="shared" ref="AF71:AG71" si="11">AE71*POWER(1+AF74, 5)</f>
        <v>8675.085833289937</v>
      </c>
      <c r="AG71" s="66">
        <f t="shared" si="11"/>
        <v>8792.481070345877</v>
      </c>
    </row>
    <row r="72" spans="1:33">
      <c r="B72" s="61"/>
    </row>
    <row r="73" spans="1:33">
      <c r="B73" s="61" t="s">
        <v>165</v>
      </c>
      <c r="S73" s="44">
        <f>S71/R71-1</f>
        <v>6.1325996392479931E-2</v>
      </c>
      <c r="T73" s="44">
        <f t="shared" ref="T73:X73" si="12">T71/S71-1</f>
        <v>1.4112176450862046E-2</v>
      </c>
      <c r="U73" s="44">
        <f t="shared" si="12"/>
        <v>7.0695997494408136E-2</v>
      </c>
      <c r="V73" s="44">
        <f t="shared" si="12"/>
        <v>2.4541759630241078E-3</v>
      </c>
      <c r="W73" s="44">
        <f t="shared" si="12"/>
        <v>4.8729422357629559E-4</v>
      </c>
      <c r="X73" s="44">
        <f t="shared" si="12"/>
        <v>0.11056002584739888</v>
      </c>
      <c r="Y73" s="44">
        <f t="shared" ref="Y73:Z73" si="13">Y71/X71-1</f>
        <v>-7.0605582880814977E-3</v>
      </c>
      <c r="Z73" s="44">
        <f t="shared" si="13"/>
        <v>5.2520101219514226E-2</v>
      </c>
    </row>
    <row r="74" spans="1:33">
      <c r="B74" s="61" t="s">
        <v>166</v>
      </c>
      <c r="M74" s="44">
        <f t="shared" ref="M74:R74" si="14">POWER(AVERAGE(K71:M71)/AVERAGE(H71:J71), 1/3)-1</f>
        <v>8.8842795053071688E-2</v>
      </c>
      <c r="N74" s="44">
        <f t="shared" si="14"/>
        <v>9.9397585727382998E-2</v>
      </c>
      <c r="O74" s="44">
        <f t="shared" si="14"/>
        <v>9.6214884711789184E-2</v>
      </c>
      <c r="P74" s="44">
        <f t="shared" si="14"/>
        <v>8.3581000570750907E-2</v>
      </c>
      <c r="Q74" s="44">
        <f t="shared" si="14"/>
        <v>6.8431491386485632E-2</v>
      </c>
      <c r="R74" s="44">
        <f t="shared" si="14"/>
        <v>7.1595953098237297E-2</v>
      </c>
      <c r="S74" s="44">
        <f>POWER(AVERAGE(Q71:S71)/AVERAGE(N71:P71), 1/3)-1</f>
        <v>6.1693955901899411E-2</v>
      </c>
      <c r="T74" s="44">
        <f t="shared" ref="T74:X74" si="15">POWER(AVERAGE(R71:T71)/AVERAGE(O71:Q71), 1/3)-1</f>
        <v>5.5559352942716078E-2</v>
      </c>
      <c r="U74" s="44">
        <f t="shared" si="15"/>
        <v>4.5760458453737218E-2</v>
      </c>
      <c r="V74" s="44">
        <f t="shared" si="15"/>
        <v>3.9992005629795768E-2</v>
      </c>
      <c r="W74" s="44">
        <f t="shared" si="15"/>
        <v>3.3475954208694425E-2</v>
      </c>
      <c r="X74" s="44">
        <f t="shared" si="15"/>
        <v>2.995017940343514E-2</v>
      </c>
      <c r="Y74" s="44">
        <f t="shared" ref="Y74:Z74" si="16">POWER(AVERAGE(W71:Y71)/AVERAGE(T71:V71), 1/3)-1</f>
        <v>3.149822171412997E-2</v>
      </c>
      <c r="Z74" s="44">
        <f t="shared" si="16"/>
        <v>4.0325805371084211E-2</v>
      </c>
      <c r="AD74" s="45">
        <f t="array" ref="AD74">(TREND($Q74:$Z74,$Q$64:$Z$64, AD$64) - TREND($Q74:$Z74,$Q$64:$Z$64, $Z$64))/2 + TREND($Q74:$Z74,$Q$64:$Z$64, $Z$64)</f>
        <v>2.2349243632830529E-2</v>
      </c>
      <c r="AE74" s="45">
        <f t="array" ref="AE74">(TREND($Q74:$Z74,$Q$64:$Z$64, AE$64) - TREND($Q74:$Z74,$Q$64:$Z$64, $Z$64))/2 + TREND($Q74:$Z74,$Q$64:$Z$64, $Z$64)</f>
        <v>1.0767837188199181E-2</v>
      </c>
      <c r="AF74" s="45">
        <f>AE74/2</f>
        <v>5.3839185940995904E-3</v>
      </c>
      <c r="AG74" s="45">
        <f>AF74/2</f>
        <v>2.6919592970497952E-3</v>
      </c>
    </row>
    <row r="75" spans="1:33">
      <c r="B75" s="61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</row>
    <row r="76" spans="1:33">
      <c r="B76" s="61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57"/>
      <c r="Z76" s="57"/>
    </row>
    <row r="77" spans="1:33">
      <c r="B77" s="61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</row>
    <row r="78" spans="1:33">
      <c r="A78" t="s">
        <v>182</v>
      </c>
    </row>
    <row r="79" spans="1:33" ht="18.75">
      <c r="A79" s="60" t="s">
        <v>148</v>
      </c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</row>
    <row r="81" spans="1:26">
      <c r="A81" s="57"/>
      <c r="B81" s="57"/>
      <c r="C81" s="52">
        <v>2000</v>
      </c>
      <c r="D81" s="52">
        <v>2001</v>
      </c>
      <c r="E81" s="52">
        <v>2002</v>
      </c>
      <c r="F81" s="52">
        <v>2003</v>
      </c>
      <c r="G81" s="52">
        <v>2004</v>
      </c>
      <c r="H81" s="52">
        <v>2005</v>
      </c>
      <c r="I81" s="52">
        <v>2006</v>
      </c>
      <c r="J81" s="52">
        <v>2007</v>
      </c>
      <c r="K81" s="52">
        <v>2008</v>
      </c>
      <c r="L81" s="52">
        <v>2009</v>
      </c>
      <c r="M81" s="52">
        <v>2010</v>
      </c>
      <c r="N81" s="52">
        <v>2011</v>
      </c>
      <c r="O81" s="52">
        <v>2012</v>
      </c>
      <c r="P81" s="52">
        <v>2013</v>
      </c>
      <c r="Q81" s="52">
        <v>2014</v>
      </c>
      <c r="R81" s="52">
        <v>2015</v>
      </c>
      <c r="S81" s="52">
        <v>2016</v>
      </c>
      <c r="T81" s="52">
        <v>2017</v>
      </c>
      <c r="U81" s="52">
        <v>2018</v>
      </c>
      <c r="V81" s="52">
        <v>2019</v>
      </c>
      <c r="W81" s="52">
        <v>2020</v>
      </c>
      <c r="X81" s="52">
        <v>2021</v>
      </c>
      <c r="Y81" s="52">
        <v>2022</v>
      </c>
      <c r="Z81" s="52">
        <v>2023</v>
      </c>
    </row>
    <row r="82" spans="1:26">
      <c r="A82" s="61" t="s">
        <v>149</v>
      </c>
      <c r="B82" s="61" t="s">
        <v>150</v>
      </c>
      <c r="C82" s="62">
        <v>1657.2</v>
      </c>
      <c r="D82" s="62">
        <v>2054.5</v>
      </c>
      <c r="E82" s="62">
        <v>2177.4</v>
      </c>
      <c r="F82" s="62">
        <v>2315.6</v>
      </c>
      <c r="G82" s="62">
        <v>2505.1</v>
      </c>
      <c r="H82" s="62">
        <v>2619.9</v>
      </c>
      <c r="I82" s="62">
        <v>2804.6</v>
      </c>
      <c r="J82" s="62">
        <v>3128.7</v>
      </c>
      <c r="K82" s="62">
        <v>3320.7</v>
      </c>
      <c r="L82" s="62">
        <v>3709.7</v>
      </c>
      <c r="M82" s="62">
        <v>4900.8999999999996</v>
      </c>
      <c r="N82" s="62">
        <v>4320</v>
      </c>
      <c r="O82" s="62">
        <v>4794.3</v>
      </c>
      <c r="P82" s="62">
        <v>5351.5</v>
      </c>
      <c r="Q82" s="62">
        <v>5096.5</v>
      </c>
      <c r="R82" s="62">
        <v>5515.9</v>
      </c>
      <c r="S82" s="62">
        <v>5972.7</v>
      </c>
      <c r="T82" s="62">
        <v>6218.4</v>
      </c>
      <c r="U82" s="62">
        <v>6545.1</v>
      </c>
      <c r="V82" s="62">
        <v>6669</v>
      </c>
      <c r="W82" s="62">
        <v>6163.1</v>
      </c>
      <c r="X82" s="62">
        <v>7450.3</v>
      </c>
      <c r="Y82" s="62">
        <v>7070.8</v>
      </c>
      <c r="Z82" s="62">
        <v>7852.8</v>
      </c>
    </row>
    <row r="83" spans="1:26">
      <c r="A83" s="57"/>
      <c r="B83" s="61" t="s">
        <v>151</v>
      </c>
      <c r="C83" s="62">
        <v>756.8</v>
      </c>
      <c r="D83" s="62">
        <v>803.1</v>
      </c>
      <c r="E83" s="62">
        <v>824</v>
      </c>
      <c r="F83" s="62">
        <v>964.2</v>
      </c>
      <c r="G83" s="62">
        <v>1053.4000000000001</v>
      </c>
      <c r="H83" s="62">
        <v>1043.2</v>
      </c>
      <c r="I83" s="62">
        <v>1041.9000000000001</v>
      </c>
      <c r="J83" s="62">
        <v>1258.7</v>
      </c>
      <c r="K83" s="62">
        <v>1417.9</v>
      </c>
      <c r="L83" s="62">
        <v>1312.6</v>
      </c>
      <c r="M83" s="62">
        <v>1563.7</v>
      </c>
      <c r="N83" s="62">
        <v>1754.9</v>
      </c>
      <c r="O83" s="62">
        <v>1995.8</v>
      </c>
      <c r="P83" s="62">
        <v>2265.1</v>
      </c>
      <c r="Q83" s="62">
        <v>2494.3000000000002</v>
      </c>
      <c r="R83" s="62">
        <v>2675.5</v>
      </c>
      <c r="S83" s="62">
        <v>2755.3</v>
      </c>
      <c r="T83" s="62">
        <v>2923.4</v>
      </c>
      <c r="U83" s="62">
        <v>2942.6</v>
      </c>
      <c r="V83" s="62">
        <v>2998.5</v>
      </c>
      <c r="W83" s="62">
        <v>2927.4</v>
      </c>
      <c r="X83" s="62">
        <v>3102.8</v>
      </c>
      <c r="Y83" s="62">
        <v>3036.6</v>
      </c>
      <c r="Z83" s="62">
        <v>3079.1</v>
      </c>
    </row>
    <row r="84" spans="1:26">
      <c r="A84" s="57"/>
      <c r="B84" s="61" t="s">
        <v>152</v>
      </c>
      <c r="C84" s="62">
        <v>146.80000000000001</v>
      </c>
      <c r="D84" s="62">
        <v>178.4</v>
      </c>
      <c r="E84" s="62">
        <v>357.1</v>
      </c>
      <c r="F84" s="62">
        <v>562.70000000000005</v>
      </c>
      <c r="G84" s="62">
        <v>202.4</v>
      </c>
      <c r="H84" s="62">
        <v>120.6</v>
      </c>
      <c r="I84" s="62">
        <v>191.1</v>
      </c>
      <c r="J84" s="62">
        <v>186.1</v>
      </c>
      <c r="K84" s="62">
        <v>134.4</v>
      </c>
      <c r="L84" s="62">
        <v>251.6</v>
      </c>
      <c r="M84" s="62">
        <v>683.7</v>
      </c>
      <c r="N84" s="62">
        <v>334.8</v>
      </c>
      <c r="O84" s="62">
        <v>132.4</v>
      </c>
      <c r="P84" s="62">
        <v>105</v>
      </c>
      <c r="Q84" s="62">
        <v>77.400000000000006</v>
      </c>
      <c r="R84" s="62">
        <v>72.7</v>
      </c>
      <c r="S84" s="62">
        <v>66.400000000000006</v>
      </c>
      <c r="T84" s="62">
        <v>55.3</v>
      </c>
      <c r="U84" s="62">
        <v>55.8</v>
      </c>
      <c r="V84" s="62">
        <v>41</v>
      </c>
      <c r="W84" s="62">
        <v>20.7</v>
      </c>
      <c r="X84" s="62">
        <v>74.5</v>
      </c>
      <c r="Y84" s="62">
        <v>85</v>
      </c>
      <c r="Z84" s="62">
        <v>94.8</v>
      </c>
    </row>
    <row r="85" spans="1:26">
      <c r="A85" s="57"/>
      <c r="B85" s="61" t="s">
        <v>153</v>
      </c>
      <c r="C85" s="62">
        <v>51.4</v>
      </c>
      <c r="D85" s="62">
        <v>58.6</v>
      </c>
      <c r="E85" s="62">
        <v>56.2</v>
      </c>
      <c r="F85" s="62">
        <v>43.8</v>
      </c>
      <c r="G85" s="62">
        <v>65.599999999999994</v>
      </c>
      <c r="H85" s="62">
        <v>57.4</v>
      </c>
      <c r="I85" s="62">
        <v>59</v>
      </c>
      <c r="J85" s="62">
        <v>63</v>
      </c>
      <c r="K85" s="62">
        <v>57</v>
      </c>
      <c r="L85" s="62">
        <v>65.099999999999994</v>
      </c>
      <c r="M85" s="62">
        <v>67.8</v>
      </c>
      <c r="N85" s="62">
        <v>81.7</v>
      </c>
      <c r="O85" s="62">
        <v>68.400000000000006</v>
      </c>
      <c r="P85" s="62">
        <v>64.599999999999994</v>
      </c>
      <c r="Q85" s="62">
        <v>65.400000000000006</v>
      </c>
      <c r="R85" s="62">
        <v>61.5</v>
      </c>
      <c r="S85" s="62">
        <v>63.1</v>
      </c>
      <c r="T85" s="62">
        <v>67.900000000000006</v>
      </c>
      <c r="U85" s="62">
        <v>69.7</v>
      </c>
      <c r="V85" s="62">
        <v>74.400000000000006</v>
      </c>
      <c r="W85" s="62">
        <v>75.599999999999994</v>
      </c>
      <c r="X85" s="62">
        <v>90.1</v>
      </c>
      <c r="Y85" s="62">
        <v>76</v>
      </c>
      <c r="Z85" s="62">
        <v>49.9</v>
      </c>
    </row>
    <row r="86" spans="1:26">
      <c r="A86" s="57"/>
      <c r="B86" s="61" t="s">
        <v>154</v>
      </c>
      <c r="C86" s="62">
        <v>66.900000000000006</v>
      </c>
      <c r="D86" s="62">
        <v>165.5</v>
      </c>
      <c r="E86" s="62">
        <v>213.4</v>
      </c>
      <c r="F86" s="62">
        <v>239.6</v>
      </c>
      <c r="G86" s="62">
        <v>311.60000000000002</v>
      </c>
      <c r="H86" s="62">
        <v>385.9</v>
      </c>
      <c r="I86" s="62">
        <v>427.2</v>
      </c>
      <c r="J86" s="62">
        <v>430.7</v>
      </c>
      <c r="K86" s="62">
        <v>452.3</v>
      </c>
      <c r="L86" s="62">
        <v>549.70000000000005</v>
      </c>
      <c r="M86" s="62">
        <v>899.2</v>
      </c>
      <c r="N86" s="62">
        <v>766.9</v>
      </c>
      <c r="O86" s="62">
        <v>899</v>
      </c>
      <c r="P86" s="62">
        <v>1072.0999999999999</v>
      </c>
      <c r="Q86" s="62">
        <v>873.3</v>
      </c>
      <c r="R86" s="62">
        <v>1086.8</v>
      </c>
      <c r="S86" s="62">
        <v>1236.5</v>
      </c>
      <c r="T86" s="62">
        <v>1312.8</v>
      </c>
      <c r="U86" s="62">
        <v>1481.8</v>
      </c>
      <c r="V86" s="62">
        <v>1613.3</v>
      </c>
      <c r="W86" s="62">
        <v>1319.5</v>
      </c>
      <c r="X86" s="62">
        <v>1894</v>
      </c>
      <c r="Y86" s="62">
        <v>1965</v>
      </c>
      <c r="Z86" s="62">
        <v>2290.1</v>
      </c>
    </row>
    <row r="87" spans="1:26">
      <c r="A87" s="57"/>
      <c r="B87" s="61" t="s">
        <v>155</v>
      </c>
      <c r="C87" s="62">
        <v>0</v>
      </c>
      <c r="D87" s="62">
        <v>0</v>
      </c>
      <c r="E87" s="62">
        <v>0</v>
      </c>
      <c r="F87" s="62">
        <v>0</v>
      </c>
      <c r="G87" s="62">
        <v>0</v>
      </c>
      <c r="H87" s="62">
        <v>0</v>
      </c>
      <c r="I87" s="62">
        <v>0</v>
      </c>
      <c r="J87" s="62">
        <v>0</v>
      </c>
      <c r="K87" s="62">
        <v>0</v>
      </c>
      <c r="L87" s="62">
        <v>0</v>
      </c>
      <c r="M87" s="62">
        <v>0</v>
      </c>
      <c r="N87" s="62">
        <v>0</v>
      </c>
      <c r="O87" s="62">
        <v>0</v>
      </c>
      <c r="P87" s="62">
        <v>67.2</v>
      </c>
      <c r="Q87" s="62">
        <v>34.200000000000003</v>
      </c>
      <c r="R87" s="62">
        <v>31.7</v>
      </c>
      <c r="S87" s="62">
        <v>50.8</v>
      </c>
      <c r="T87" s="62">
        <v>36.1</v>
      </c>
      <c r="U87" s="62">
        <v>81</v>
      </c>
      <c r="V87" s="62">
        <v>65.3</v>
      </c>
      <c r="W87" s="62">
        <v>30.6</v>
      </c>
      <c r="X87" s="62">
        <v>201</v>
      </c>
      <c r="Y87" s="62">
        <v>262.2</v>
      </c>
      <c r="Z87" s="62">
        <v>244.5</v>
      </c>
    </row>
    <row r="88" spans="1:26">
      <c r="A88" s="57"/>
      <c r="B88" s="61" t="s">
        <v>156</v>
      </c>
      <c r="C88" s="62">
        <v>384.3</v>
      </c>
      <c r="D88" s="62">
        <v>538.1</v>
      </c>
      <c r="E88" s="62">
        <v>421</v>
      </c>
      <c r="F88" s="62">
        <v>187.9</v>
      </c>
      <c r="G88" s="62">
        <v>547.4</v>
      </c>
      <c r="H88" s="62">
        <v>632.9</v>
      </c>
      <c r="I88" s="62">
        <v>516.5</v>
      </c>
      <c r="J88" s="62">
        <v>622.9</v>
      </c>
      <c r="K88" s="62">
        <v>543.6</v>
      </c>
      <c r="L88" s="62">
        <v>703</v>
      </c>
      <c r="M88" s="62">
        <v>662.2</v>
      </c>
      <c r="N88" s="62">
        <v>549.79999999999995</v>
      </c>
      <c r="O88" s="62">
        <v>769.4</v>
      </c>
      <c r="P88" s="62">
        <v>765.9</v>
      </c>
      <c r="Q88" s="62">
        <v>669.1</v>
      </c>
      <c r="R88" s="62">
        <v>673.1</v>
      </c>
      <c r="S88" s="62">
        <v>784.4</v>
      </c>
      <c r="T88" s="62">
        <v>788.6</v>
      </c>
      <c r="U88" s="62">
        <v>752</v>
      </c>
      <c r="V88" s="62">
        <v>646.4</v>
      </c>
      <c r="W88" s="62">
        <v>731.7</v>
      </c>
      <c r="X88" s="62">
        <v>781.3</v>
      </c>
      <c r="Y88" s="62">
        <v>509.2</v>
      </c>
      <c r="Z88" s="62">
        <v>821.9</v>
      </c>
    </row>
    <row r="89" spans="1:26">
      <c r="A89" s="57"/>
      <c r="B89" s="61" t="s">
        <v>157</v>
      </c>
      <c r="C89" s="62">
        <v>85.8</v>
      </c>
      <c r="D89" s="62">
        <v>105.1</v>
      </c>
      <c r="E89" s="62">
        <v>125.8</v>
      </c>
      <c r="F89" s="62">
        <v>139.4</v>
      </c>
      <c r="G89" s="62">
        <v>139.4</v>
      </c>
      <c r="H89" s="62">
        <v>154</v>
      </c>
      <c r="I89" s="62">
        <v>256</v>
      </c>
      <c r="J89" s="62">
        <v>248.5</v>
      </c>
      <c r="K89" s="62">
        <v>335.7</v>
      </c>
      <c r="L89" s="62">
        <v>384.6</v>
      </c>
      <c r="M89" s="62">
        <v>414.2</v>
      </c>
      <c r="N89" s="62">
        <v>374.2</v>
      </c>
      <c r="O89" s="62">
        <v>439.1</v>
      </c>
      <c r="P89" s="62">
        <v>521.1</v>
      </c>
      <c r="Q89" s="62">
        <v>467</v>
      </c>
      <c r="R89" s="62">
        <v>542.79999999999995</v>
      </c>
      <c r="S89" s="62">
        <v>574.20000000000005</v>
      </c>
      <c r="T89" s="62">
        <v>602.29999999999995</v>
      </c>
      <c r="U89" s="62">
        <v>643.29999999999995</v>
      </c>
      <c r="V89" s="62">
        <v>694.5</v>
      </c>
      <c r="W89" s="62">
        <v>663.5</v>
      </c>
      <c r="X89" s="62">
        <v>735.6</v>
      </c>
      <c r="Y89" s="62">
        <v>669.8</v>
      </c>
      <c r="Z89" s="62">
        <v>737.6</v>
      </c>
    </row>
    <row r="90" spans="1:26">
      <c r="A90" s="57"/>
      <c r="B90" s="61" t="s">
        <v>158</v>
      </c>
      <c r="C90" s="62">
        <v>34.4</v>
      </c>
      <c r="D90" s="62">
        <v>53.9</v>
      </c>
      <c r="E90" s="62">
        <v>57</v>
      </c>
      <c r="F90" s="62">
        <v>114.6</v>
      </c>
      <c r="G90" s="62">
        <v>99.4</v>
      </c>
      <c r="H90" s="62">
        <v>106.8</v>
      </c>
      <c r="I90" s="62">
        <v>163.5</v>
      </c>
      <c r="J90" s="62">
        <v>169.6</v>
      </c>
      <c r="K90" s="62">
        <v>228.2</v>
      </c>
      <c r="L90" s="62">
        <v>269.60000000000002</v>
      </c>
      <c r="M90" s="62">
        <v>366.4</v>
      </c>
      <c r="N90" s="62">
        <v>280.10000000000002</v>
      </c>
      <c r="O90" s="62">
        <v>249.8</v>
      </c>
      <c r="P90" s="62">
        <v>238.2</v>
      </c>
      <c r="Q90" s="62">
        <v>171.3</v>
      </c>
      <c r="R90" s="62">
        <v>161</v>
      </c>
      <c r="S90" s="62">
        <v>234.1</v>
      </c>
      <c r="T90" s="62">
        <v>231.4</v>
      </c>
      <c r="U90" s="62">
        <v>285.3</v>
      </c>
      <c r="V90" s="62">
        <v>279.2</v>
      </c>
      <c r="W90" s="62">
        <v>143.4</v>
      </c>
      <c r="X90" s="62">
        <v>256</v>
      </c>
      <c r="Y90" s="62">
        <v>158.69999999999999</v>
      </c>
      <c r="Z90" s="62">
        <v>234.4</v>
      </c>
    </row>
    <row r="91" spans="1:26">
      <c r="A91" s="57"/>
      <c r="B91" s="61" t="s">
        <v>159</v>
      </c>
      <c r="C91" s="63" t="s">
        <v>160</v>
      </c>
      <c r="D91" s="63" t="s">
        <v>160</v>
      </c>
      <c r="E91" s="63" t="s">
        <v>160</v>
      </c>
      <c r="F91" s="63" t="s">
        <v>160</v>
      </c>
      <c r="G91" s="63" t="s">
        <v>160</v>
      </c>
      <c r="H91" s="63" t="s">
        <v>160</v>
      </c>
      <c r="I91" s="63" t="s">
        <v>160</v>
      </c>
      <c r="J91" s="63" t="s">
        <v>160</v>
      </c>
      <c r="K91" s="63" t="s">
        <v>160</v>
      </c>
      <c r="L91" s="63" t="s">
        <v>160</v>
      </c>
      <c r="M91" s="62">
        <v>36.1</v>
      </c>
      <c r="N91" s="62">
        <v>20.399999999999999</v>
      </c>
      <c r="O91" s="62">
        <v>37.9</v>
      </c>
      <c r="P91" s="62">
        <v>46.1</v>
      </c>
      <c r="Q91" s="62">
        <v>43.6</v>
      </c>
      <c r="R91" s="62">
        <v>29.7</v>
      </c>
      <c r="S91" s="62">
        <v>23.9</v>
      </c>
      <c r="T91" s="62">
        <v>21.9</v>
      </c>
      <c r="U91" s="62">
        <v>35.6</v>
      </c>
      <c r="V91" s="62">
        <v>44.5</v>
      </c>
      <c r="W91" s="62">
        <v>40.5</v>
      </c>
      <c r="X91" s="62">
        <v>38</v>
      </c>
      <c r="Y91" s="62">
        <v>42.3</v>
      </c>
      <c r="Z91" s="62">
        <v>27</v>
      </c>
    </row>
    <row r="92" spans="1:26">
      <c r="A92" s="57"/>
      <c r="B92" s="61" t="s">
        <v>161</v>
      </c>
      <c r="C92" s="62">
        <v>129.69999999999999</v>
      </c>
      <c r="D92" s="62">
        <v>151.80000000000001</v>
      </c>
      <c r="E92" s="62">
        <v>122.9</v>
      </c>
      <c r="F92" s="62">
        <v>63.4</v>
      </c>
      <c r="G92" s="62">
        <v>86</v>
      </c>
      <c r="H92" s="62">
        <v>119.2</v>
      </c>
      <c r="I92" s="62">
        <v>149.19999999999999</v>
      </c>
      <c r="J92" s="62">
        <v>149.4</v>
      </c>
      <c r="K92" s="62">
        <v>151.5</v>
      </c>
      <c r="L92" s="62">
        <v>173.7</v>
      </c>
      <c r="M92" s="62">
        <v>207.6</v>
      </c>
      <c r="N92" s="62">
        <v>157.19999999999999</v>
      </c>
      <c r="O92" s="62">
        <v>202.5</v>
      </c>
      <c r="P92" s="62">
        <v>206.4</v>
      </c>
      <c r="Q92" s="62">
        <v>200.7</v>
      </c>
      <c r="R92" s="62">
        <v>181.1</v>
      </c>
      <c r="S92" s="62">
        <v>184</v>
      </c>
      <c r="T92" s="62">
        <v>178.8</v>
      </c>
      <c r="U92" s="62">
        <v>198</v>
      </c>
      <c r="V92" s="62">
        <v>212</v>
      </c>
      <c r="W92" s="62">
        <v>209.9</v>
      </c>
      <c r="X92" s="62">
        <v>277</v>
      </c>
      <c r="Y92" s="62">
        <v>266.10000000000002</v>
      </c>
      <c r="Z92" s="62">
        <v>273.3</v>
      </c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FFE2-B876-42CC-A323-2439D692B40A}">
  <sheetPr>
    <tabColor theme="3" tint="0.89999084444715716"/>
  </sheetPr>
  <dimension ref="B1:U39"/>
  <sheetViews>
    <sheetView workbookViewId="0">
      <selection activeCell="G5" sqref="G5"/>
    </sheetView>
  </sheetViews>
  <sheetFormatPr defaultRowHeight="15"/>
  <cols>
    <col min="2" max="2" width="30.85546875" customWidth="1"/>
    <col min="4" max="4" width="14.85546875" customWidth="1"/>
    <col min="5" max="5" width="13.7109375" customWidth="1"/>
    <col min="7" max="7" width="12.42578125" customWidth="1"/>
  </cols>
  <sheetData>
    <row r="1" spans="2:19" ht="15.75" thickBot="1"/>
    <row r="2" spans="2:19" ht="15.75" thickBot="1">
      <c r="B2" s="79" t="s">
        <v>68</v>
      </c>
    </row>
    <row r="4" spans="2:19">
      <c r="B4" s="67" t="s">
        <v>171</v>
      </c>
      <c r="C4" s="67" t="s">
        <v>172</v>
      </c>
      <c r="D4" s="67" t="s">
        <v>173</v>
      </c>
      <c r="E4" s="67" t="s">
        <v>174</v>
      </c>
      <c r="F4" s="67" t="s">
        <v>175</v>
      </c>
      <c r="G4" s="67" t="s">
        <v>342</v>
      </c>
      <c r="H4" s="67" t="s">
        <v>302</v>
      </c>
      <c r="I4" s="68" t="s">
        <v>176</v>
      </c>
    </row>
    <row r="5" spans="2:19">
      <c r="B5" s="69" t="s">
        <v>300</v>
      </c>
      <c r="C5" s="70" t="s">
        <v>304</v>
      </c>
      <c r="D5" s="70"/>
      <c r="E5" s="70" t="s">
        <v>318</v>
      </c>
      <c r="F5" s="71">
        <v>2015</v>
      </c>
      <c r="G5" s="71"/>
      <c r="H5" s="150">
        <f t="array" ref="H5:H10">TRANSPOSE(N17:S17)/1000</f>
        <v>7.575341826489038</v>
      </c>
      <c r="I5" s="80">
        <v>0.3</v>
      </c>
    </row>
    <row r="6" spans="2:19">
      <c r="B6" s="74" t="s">
        <v>300</v>
      </c>
      <c r="C6" s="75" t="s">
        <v>304</v>
      </c>
      <c r="D6" s="75"/>
      <c r="E6" s="75" t="s">
        <v>318</v>
      </c>
      <c r="F6" s="76">
        <f>F5+5</f>
        <v>2020</v>
      </c>
      <c r="G6" s="76"/>
      <c r="H6" s="151">
        <v>7.8357264535507092</v>
      </c>
      <c r="I6" s="78">
        <f t="shared" ref="I6:I10" si="0">I5</f>
        <v>0.3</v>
      </c>
    </row>
    <row r="7" spans="2:19">
      <c r="B7" s="69" t="s">
        <v>300</v>
      </c>
      <c r="C7" s="70" t="s">
        <v>304</v>
      </c>
      <c r="D7" s="70"/>
      <c r="E7" s="70" t="s">
        <v>318</v>
      </c>
      <c r="F7" s="71">
        <f>F6+5</f>
        <v>2025</v>
      </c>
      <c r="G7" s="71"/>
      <c r="H7" s="150">
        <v>7.994005023902564</v>
      </c>
      <c r="I7" s="80">
        <v>0.3</v>
      </c>
      <c r="M7" s="46"/>
      <c r="N7" s="46"/>
    </row>
    <row r="8" spans="2:19">
      <c r="B8" s="74" t="s">
        <v>300</v>
      </c>
      <c r="C8" s="75" t="s">
        <v>304</v>
      </c>
      <c r="D8" s="75"/>
      <c r="E8" s="75" t="s">
        <v>318</v>
      </c>
      <c r="F8" s="76">
        <f>F7+5</f>
        <v>2030</v>
      </c>
      <c r="G8" s="76"/>
      <c r="H8" s="151">
        <v>7.9739674653854458</v>
      </c>
      <c r="I8" s="78">
        <f t="shared" si="0"/>
        <v>0.3</v>
      </c>
    </row>
    <row r="9" spans="2:19">
      <c r="B9" s="69" t="s">
        <v>300</v>
      </c>
      <c r="C9" s="70" t="s">
        <v>304</v>
      </c>
      <c r="D9" s="70"/>
      <c r="E9" s="70" t="s">
        <v>318</v>
      </c>
      <c r="F9" s="154">
        <f t="shared" ref="F9:F10" si="1">F8+5</f>
        <v>2035</v>
      </c>
      <c r="G9" s="154"/>
      <c r="H9" s="150">
        <v>7.990793821888591</v>
      </c>
      <c r="I9" s="73">
        <f t="shared" si="0"/>
        <v>0.3</v>
      </c>
      <c r="N9" s="46"/>
      <c r="O9" s="46"/>
    </row>
    <row r="10" spans="2:19">
      <c r="B10" s="74" t="s">
        <v>300</v>
      </c>
      <c r="C10" s="75" t="s">
        <v>304</v>
      </c>
      <c r="D10" s="75"/>
      <c r="E10" s="75" t="s">
        <v>318</v>
      </c>
      <c r="F10" s="76">
        <f t="shared" si="1"/>
        <v>2040</v>
      </c>
      <c r="G10" s="76"/>
      <c r="H10" s="151">
        <v>7.9911810542945272</v>
      </c>
      <c r="I10" s="78">
        <f t="shared" si="0"/>
        <v>0.3</v>
      </c>
      <c r="M10" s="46"/>
    </row>
    <row r="11" spans="2:19">
      <c r="B11" s="70"/>
      <c r="C11" s="70"/>
      <c r="D11" s="70"/>
      <c r="E11" s="70"/>
      <c r="F11" s="71"/>
      <c r="G11" s="71"/>
      <c r="H11" s="152"/>
      <c r="I11" s="73"/>
      <c r="M11" s="46"/>
    </row>
    <row r="12" spans="2:19">
      <c r="B12" s="75"/>
      <c r="C12" s="75"/>
      <c r="D12" s="75"/>
      <c r="E12" s="75"/>
      <c r="F12" s="76"/>
      <c r="G12" s="76"/>
      <c r="H12" s="153"/>
      <c r="I12" s="78"/>
      <c r="M12" s="46"/>
      <c r="P12" s="46"/>
      <c r="Q12" s="46"/>
    </row>
    <row r="13" spans="2:19">
      <c r="B13" s="70"/>
      <c r="C13" s="70"/>
      <c r="D13" s="70"/>
      <c r="E13" s="70"/>
      <c r="F13" s="71"/>
      <c r="G13" s="71"/>
      <c r="H13" s="152"/>
      <c r="I13" s="73"/>
      <c r="M13" s="46"/>
    </row>
    <row r="14" spans="2:19">
      <c r="B14" s="75"/>
      <c r="C14" s="75"/>
      <c r="D14" s="75"/>
      <c r="E14" s="75"/>
      <c r="F14" s="76"/>
      <c r="G14" s="76"/>
      <c r="H14" s="153"/>
      <c r="I14" s="78"/>
    </row>
    <row r="15" spans="2:19">
      <c r="B15" s="70"/>
      <c r="C15" s="70"/>
      <c r="D15" s="70"/>
      <c r="E15" s="70"/>
      <c r="F15" s="71"/>
      <c r="G15" s="71"/>
      <c r="H15" s="152"/>
      <c r="I15" s="73"/>
    </row>
    <row r="16" spans="2:19">
      <c r="B16" s="75"/>
      <c r="C16" s="75"/>
      <c r="D16" s="75"/>
      <c r="E16" s="75"/>
      <c r="F16" s="76"/>
      <c r="G16" s="76"/>
      <c r="H16" s="153"/>
      <c r="I16" s="78"/>
      <c r="N16" s="46">
        <v>2015</v>
      </c>
      <c r="O16" s="46">
        <v>2020</v>
      </c>
      <c r="P16" s="46">
        <v>2025</v>
      </c>
      <c r="Q16" s="46">
        <v>2030</v>
      </c>
      <c r="R16" s="46">
        <v>2035</v>
      </c>
      <c r="S16" s="46">
        <v>2040</v>
      </c>
    </row>
    <row r="17" spans="2:21">
      <c r="B17" s="70"/>
      <c r="C17" s="70"/>
      <c r="D17" s="70"/>
      <c r="E17" s="70"/>
      <c r="F17" s="71"/>
      <c r="G17" s="71"/>
      <c r="H17" s="152"/>
      <c r="I17" s="73"/>
      <c r="M17" s="98" t="s">
        <v>236</v>
      </c>
      <c r="N17">
        <f t="shared" ref="N17:O17" si="2">P35</f>
        <v>7575.3418264890379</v>
      </c>
      <c r="O17">
        <f t="shared" si="2"/>
        <v>7835.7264535507093</v>
      </c>
      <c r="P17">
        <f>R35</f>
        <v>7994.0050239025641</v>
      </c>
      <c r="Q17">
        <f>S35</f>
        <v>7973.9674653854454</v>
      </c>
      <c r="R17">
        <f>T35</f>
        <v>7990.7938218885911</v>
      </c>
      <c r="S17">
        <f>U35</f>
        <v>7991.1810542945268</v>
      </c>
    </row>
    <row r="18" spans="2:21">
      <c r="B18" s="75"/>
      <c r="C18" s="75"/>
      <c r="D18" s="75"/>
      <c r="E18" s="75"/>
      <c r="F18" s="76"/>
      <c r="G18" s="76"/>
      <c r="H18" s="153"/>
      <c r="I18" s="78"/>
    </row>
    <row r="19" spans="2:21">
      <c r="B19" s="70"/>
      <c r="C19" s="70"/>
      <c r="D19" s="70"/>
      <c r="E19" s="70"/>
      <c r="F19" s="71"/>
      <c r="G19" s="71"/>
      <c r="H19" s="152"/>
      <c r="I19" s="73"/>
      <c r="M19" t="s">
        <v>317</v>
      </c>
      <c r="N19">
        <f>0.01*P17</f>
        <v>79.940050239025638</v>
      </c>
    </row>
    <row r="20" spans="2:21">
      <c r="B20" s="75"/>
      <c r="C20" s="75"/>
      <c r="D20" s="75"/>
      <c r="E20" s="75"/>
      <c r="F20" s="76"/>
      <c r="G20" s="76"/>
      <c r="H20" s="153"/>
      <c r="I20" s="78"/>
    </row>
    <row r="21" spans="2:21">
      <c r="B21" s="70"/>
      <c r="C21" s="70"/>
      <c r="D21" s="70"/>
      <c r="E21" s="70"/>
      <c r="F21" s="71"/>
      <c r="G21" s="71"/>
      <c r="H21" s="152"/>
      <c r="I21" s="73"/>
    </row>
    <row r="22" spans="2:21">
      <c r="B22" s="75"/>
      <c r="C22" s="75"/>
      <c r="D22" s="75"/>
      <c r="E22" s="75"/>
      <c r="F22" s="76"/>
      <c r="G22" s="76"/>
      <c r="H22" s="153"/>
      <c r="I22" s="78"/>
    </row>
    <row r="26" spans="2:21" ht="30">
      <c r="B26" s="91" t="s">
        <v>308</v>
      </c>
    </row>
    <row r="27" spans="2:21">
      <c r="B27" t="s">
        <v>307</v>
      </c>
    </row>
    <row r="29" spans="2:21" ht="15.75" thickBot="1"/>
    <row r="30" spans="2:21" ht="17.25" thickTop="1" thickBot="1">
      <c r="B30" s="92"/>
      <c r="C30" s="84">
        <v>2012</v>
      </c>
      <c r="D30" s="84">
        <v>2013</v>
      </c>
      <c r="E30" s="84">
        <v>2014</v>
      </c>
      <c r="F30" s="84">
        <v>2015</v>
      </c>
      <c r="G30" s="84">
        <v>2016</v>
      </c>
      <c r="H30" s="84">
        <v>2017</v>
      </c>
      <c r="I30" s="84">
        <v>2018</v>
      </c>
      <c r="J30" s="84">
        <v>2019</v>
      </c>
      <c r="K30" s="84">
        <v>2020</v>
      </c>
      <c r="L30" s="84">
        <v>2021</v>
      </c>
      <c r="M30" s="84">
        <v>2022</v>
      </c>
      <c r="N30" s="84">
        <v>2023</v>
      </c>
      <c r="P30" s="93">
        <v>2015</v>
      </c>
      <c r="Q30" s="93">
        <v>2020</v>
      </c>
      <c r="R30" s="93">
        <v>2025</v>
      </c>
      <c r="S30" s="93">
        <v>2030</v>
      </c>
      <c r="T30" s="93">
        <v>2035</v>
      </c>
      <c r="U30" s="93">
        <v>2040</v>
      </c>
    </row>
    <row r="31" spans="2:21" ht="15.75" thickBot="1">
      <c r="B31" s="89" t="s">
        <v>212</v>
      </c>
      <c r="C31" s="90">
        <v>7460</v>
      </c>
      <c r="D31" s="90">
        <v>7291</v>
      </c>
      <c r="E31" s="90">
        <v>7151</v>
      </c>
      <c r="F31" s="90">
        <v>7072</v>
      </c>
      <c r="G31" s="90">
        <v>8046</v>
      </c>
      <c r="H31" s="90">
        <v>8330</v>
      </c>
      <c r="I31" s="90">
        <v>8247</v>
      </c>
      <c r="J31" s="90">
        <v>7948</v>
      </c>
      <c r="K31" s="90">
        <v>7514</v>
      </c>
      <c r="L31" s="90">
        <v>8677</v>
      </c>
      <c r="M31" s="90">
        <v>7728</v>
      </c>
      <c r="N31" s="90">
        <v>7167</v>
      </c>
    </row>
    <row r="32" spans="2:21" ht="15.75" thickTop="1"/>
    <row r="35" spans="2:21">
      <c r="B35" t="s">
        <v>228</v>
      </c>
      <c r="C35">
        <f>C31</f>
        <v>7460</v>
      </c>
      <c r="D35">
        <f t="shared" ref="D35:N35" si="3">D31</f>
        <v>7291</v>
      </c>
      <c r="E35">
        <f t="shared" si="3"/>
        <v>7151</v>
      </c>
      <c r="F35">
        <f t="shared" si="3"/>
        <v>7072</v>
      </c>
      <c r="G35">
        <f t="shared" si="3"/>
        <v>8046</v>
      </c>
      <c r="H35">
        <f t="shared" si="3"/>
        <v>8330</v>
      </c>
      <c r="I35">
        <f t="shared" si="3"/>
        <v>8247</v>
      </c>
      <c r="J35">
        <f t="shared" si="3"/>
        <v>7948</v>
      </c>
      <c r="K35">
        <f t="shared" si="3"/>
        <v>7514</v>
      </c>
      <c r="L35">
        <f t="shared" si="3"/>
        <v>8677</v>
      </c>
      <c r="M35">
        <f t="shared" si="3"/>
        <v>7728</v>
      </c>
      <c r="N35">
        <f t="shared" si="3"/>
        <v>7167</v>
      </c>
      <c r="P35" s="142">
        <f t="shared" ref="P35:Q35" si="4">P37*P39* P36 / AVERAGE($C$36:$N$36)</f>
        <v>7575.3418264890379</v>
      </c>
      <c r="Q35" s="142">
        <f t="shared" si="4"/>
        <v>7835.7264535507093</v>
      </c>
      <c r="R35" s="142">
        <f>R37*R39* R36 / AVERAGE($C$36:$N$36)</f>
        <v>7994.0050239025641</v>
      </c>
      <c r="S35" s="142">
        <f>S37*S39* S36 / AVERAGE($C$36:$N$36)</f>
        <v>7973.9674653854454</v>
      </c>
      <c r="T35" s="142">
        <f t="shared" ref="T35" si="5">T37*T39* T36 / AVERAGE($C$36:$N$36)</f>
        <v>7990.7938218885911</v>
      </c>
      <c r="U35" s="142">
        <f>U37*U39* U36 / AVERAGE($C$36:$N$36)</f>
        <v>7991.1810542945268</v>
      </c>
    </row>
    <row r="36" spans="2:21">
      <c r="B36" s="59" t="s">
        <v>163</v>
      </c>
      <c r="C36" s="64">
        <f>HLOOKUP(C$30,   HDD!$A$25:$AG$55, MATCH($B$2,HDD!$A$25:$A$55,0), FALSE)</f>
        <v>4081.27</v>
      </c>
      <c r="D36" s="64">
        <f>HLOOKUP(D$30,   HDD!$A$25:$AG$55, MATCH($B$2,HDD!$A$25:$A$55,0), FALSE)</f>
        <v>3873.17</v>
      </c>
      <c r="E36" s="64">
        <f>HLOOKUP(E$30,   HDD!$A$25:$AG$55, MATCH($B$2,HDD!$A$25:$A$55,0), FALSE)</f>
        <v>3729.28</v>
      </c>
      <c r="F36" s="64">
        <f>HLOOKUP(F$30,   HDD!$A$25:$AG$55, MATCH($B$2,HDD!$A$25:$A$55,0), FALSE)</f>
        <v>3523.32</v>
      </c>
      <c r="G36" s="64">
        <f>HLOOKUP(G$30,   HDD!$A$25:$AG$55, MATCH($B$2,HDD!$A$25:$A$55,0), FALSE)</f>
        <v>3829.94</v>
      </c>
      <c r="H36" s="64">
        <f>HLOOKUP(H$30,   HDD!$A$25:$AG$55, MATCH($B$2,HDD!$A$25:$A$55,0), FALSE)</f>
        <v>3761.5</v>
      </c>
      <c r="I36" s="64">
        <f>HLOOKUP(I$30,   HDD!$A$25:$AG$55, MATCH($B$2,HDD!$A$25:$A$55,0), FALSE)</f>
        <v>3687.57</v>
      </c>
      <c r="J36" s="64">
        <f>HLOOKUP(J$30,   HDD!$A$25:$AG$55, MATCH($B$2,HDD!$A$25:$A$55,0), FALSE)</f>
        <v>3391.36</v>
      </c>
      <c r="K36" s="64">
        <f>HLOOKUP(K$30,   HDD!$A$25:$AG$55, MATCH($B$2,HDD!$A$25:$A$55,0), FALSE)</f>
        <v>3304.68</v>
      </c>
      <c r="L36" s="64">
        <f>HLOOKUP(L$30,   HDD!$A$25:$AG$55, MATCH($B$2,HDD!$A$25:$A$55,0), FALSE)</f>
        <v>4016.22</v>
      </c>
      <c r="M36" s="64">
        <f>HLOOKUP(M$30,   HDD!$A$25:$AG$55, MATCH($B$2,HDD!$A$25:$A$55,0), FALSE)</f>
        <v>3773.19</v>
      </c>
      <c r="N36" s="64">
        <f>HLOOKUP(N$30,   HDD!$A$25:$AG$55, MATCH($B$2,HDD!$A$25:$A$55,0), FALSE)</f>
        <v>3461.92</v>
      </c>
      <c r="P36" s="64">
        <f>HLOOKUP(P$30,   HDD!$AA$25:$AG$55, MATCH($B$2,HDD!$A$25:$A$55,0), FALSE)</f>
        <v>3752.6937478260879</v>
      </c>
      <c r="Q36" s="64">
        <f>HLOOKUP(Q$30,   HDD!$AA$25:$AG$55, MATCH($B$2,HDD!$A$25:$A$55,0), FALSE)</f>
        <v>3676.5330304347808</v>
      </c>
      <c r="R36" s="64">
        <f>HLOOKUP(R$30,   HDD!$AA$25:$AG$55, MATCH($B$2,HDD!$A$25:$A$55,0), FALSE)</f>
        <v>3600.3723130434773</v>
      </c>
      <c r="S36" s="64">
        <f>HLOOKUP(S$30,   HDD!$AA$25:$AG$55, MATCH($B$2,HDD!$A$25:$A$55,0), FALSE)</f>
        <v>3524.2115956521739</v>
      </c>
      <c r="T36" s="64">
        <f>HLOOKUP(T$30,   HDD!$AA$25:$AG$55, MATCH($B$2,HDD!$A$25:$A$55,0), FALSE)</f>
        <v>3448.0508782608704</v>
      </c>
      <c r="U36" s="64">
        <f>HLOOKUP(U$30,   HDD!$AA$25:$AG$55, MATCH($B$2,HDD!$A$25:$A$55,0), FALSE)</f>
        <v>3371.8901608695633</v>
      </c>
    </row>
    <row r="37" spans="2:21">
      <c r="B37" s="59" t="s">
        <v>232</v>
      </c>
      <c r="C37" s="64">
        <f>HLOOKUP(C$30,   POP!$A$27:$AC$63, MATCH($B$2, POP!$A$27:$A$63,0), FALSE)</f>
        <v>2989139</v>
      </c>
      <c r="D37" s="64">
        <f>HLOOKUP(D$30,   POP!$A$27:$AC$63, MATCH($B$2, POP!$A$27:$A$63,0), FALSE)</f>
        <v>2961250</v>
      </c>
      <c r="E37" s="64">
        <f>HLOOKUP(E$30,   POP!$A$27:$AC$63, MATCH($B$2, POP!$A$27:$A$63,0), FALSE)</f>
        <v>2937253</v>
      </c>
      <c r="F37" s="64">
        <f>HLOOKUP(F$30,   POP!$A$27:$AC$63, MATCH($B$2, POP!$A$27:$A$63,0), FALSE)</f>
        <v>2911109</v>
      </c>
      <c r="G37" s="64">
        <f>HLOOKUP(G$30,   POP!$A$27:$AC$63, MATCH($B$2, POP!$A$27:$A$63,0), FALSE)</f>
        <v>2877325</v>
      </c>
      <c r="H37" s="64">
        <f>HLOOKUP(H$30,   POP!$A$27:$AC$63, MATCH($B$2, POP!$A$27:$A$63,0), FALSE)</f>
        <v>2842639</v>
      </c>
      <c r="I37" s="64">
        <f>HLOOKUP(I$30,   POP!$A$27:$AC$63, MATCH($B$2, POP!$A$27:$A$63,0), FALSE)</f>
        <v>2819200</v>
      </c>
      <c r="J37" s="64">
        <f>HLOOKUP(J$30,   POP!$A$27:$AC$63, MATCH($B$2, POP!$A$27:$A$63,0), FALSE)</f>
        <v>2811089</v>
      </c>
      <c r="K37" s="64">
        <f>HLOOKUP(K$30,   POP!$A$27:$AC$63, MATCH($B$2, POP!$A$27:$A$63,0), FALSE)</f>
        <v>2810369</v>
      </c>
      <c r="L37" s="64">
        <f>HLOOKUP(L$30,   POP!$A$27:$AC$63, MATCH($B$2, POP!$A$27:$A$63,0), FALSE)</f>
        <v>2808380</v>
      </c>
      <c r="M37" s="64">
        <f>HLOOKUP(M$30,   POP!$A$27:$AC$63, MATCH($B$2, POP!$A$27:$A$63,0), FALSE)</f>
        <v>2831639</v>
      </c>
      <c r="N37" s="64">
        <f>HLOOKUP(N$30,   POP!$A$27:$AC$63, MATCH($B$2, POP!$A$27:$A$63,0), FALSE)</f>
        <v>2871585</v>
      </c>
      <c r="P37" s="64">
        <f>HLOOKUP(P$30,   POP!$A$27:$AE$63, MATCH($B$2, POP!$A$27:$A$63,0), FALSE)</f>
        <v>2911109</v>
      </c>
      <c r="Q37" s="64">
        <f>HLOOKUP(Q$30,   POP!$A$27:$AE$63, MATCH($B$2, POP!$A$27:$A$63,0), FALSE)</f>
        <v>2810369</v>
      </c>
      <c r="R37" s="64">
        <f>HLOOKUP(R$30,   POP!$A$27:$AE$63, MATCH($B$2, POP!$A$27:$A$63,0), FALSE)</f>
        <v>2740086.3142857142</v>
      </c>
      <c r="S37" s="64">
        <f>HLOOKUP(S$30,   POP!$A$27:$AE$63, MATCH($B$2, POP!$A$27:$A$63,0), FALSE)</f>
        <v>2684711.4124999978</v>
      </c>
      <c r="T37" s="64">
        <f>HLOOKUP(T$30,   POP!$A$27:$AE$63, MATCH($B$2, POP!$A$27:$A$63,0), FALSE)</f>
        <v>2647794.8113095225</v>
      </c>
      <c r="U37" s="64">
        <f>HLOOKUP(U$30,   POP!$A$27:$AE$63, MATCH($B$2, POP!$A$27:$A$63,0), FALSE)</f>
        <v>2610878.2101190449</v>
      </c>
    </row>
    <row r="38" spans="2:21">
      <c r="B38" s="59" t="s">
        <v>164</v>
      </c>
      <c r="C38" s="64">
        <f t="shared" ref="C38:N38" si="6">C35/C36*AVERAGE($C$36:$K$36)</f>
        <v>6739.1438721552622</v>
      </c>
      <c r="D38" s="64">
        <f t="shared" si="6"/>
        <v>6940.3562970096555</v>
      </c>
      <c r="E38" s="64">
        <f t="shared" si="6"/>
        <v>7069.7330193614962</v>
      </c>
      <c r="F38" s="64">
        <f t="shared" si="6"/>
        <v>7400.3351788149293</v>
      </c>
      <c r="G38" s="64">
        <f t="shared" si="6"/>
        <v>7745.4969164007789</v>
      </c>
      <c r="H38" s="64">
        <f t="shared" si="6"/>
        <v>8164.7927009024161</v>
      </c>
      <c r="I38" s="64">
        <f t="shared" si="6"/>
        <v>8245.4991055537012</v>
      </c>
      <c r="J38" s="64">
        <f t="shared" si="6"/>
        <v>8640.625698507054</v>
      </c>
      <c r="K38" s="64">
        <f t="shared" si="6"/>
        <v>8383.0683307040654</v>
      </c>
      <c r="L38" s="64">
        <f t="shared" si="6"/>
        <v>7965.5052907681556</v>
      </c>
      <c r="M38" s="64">
        <f t="shared" si="6"/>
        <v>7551.2642123331534</v>
      </c>
      <c r="N38" s="64">
        <f t="shared" si="6"/>
        <v>7632.7599530510997</v>
      </c>
    </row>
    <row r="39" spans="2:21">
      <c r="B39" s="59" t="s">
        <v>235</v>
      </c>
      <c r="C39">
        <f t="shared" ref="C39:N39" si="7">C38/(C37)</f>
        <v>2.2545434896655064E-3</v>
      </c>
      <c r="D39">
        <f t="shared" si="7"/>
        <v>2.3437252163814792E-3</v>
      </c>
      <c r="E39">
        <f t="shared" si="7"/>
        <v>2.4069200097374985E-3</v>
      </c>
      <c r="F39">
        <f t="shared" si="7"/>
        <v>2.5421017140941577E-3</v>
      </c>
      <c r="G39">
        <f t="shared" si="7"/>
        <v>2.6919089489024629E-3</v>
      </c>
      <c r="H39">
        <f t="shared" si="7"/>
        <v>2.8722580323785104E-3</v>
      </c>
      <c r="I39">
        <f t="shared" si="7"/>
        <v>2.9247655737633729E-3</v>
      </c>
      <c r="J39">
        <f t="shared" si="7"/>
        <v>3.0737645440991209E-3</v>
      </c>
      <c r="K39">
        <f t="shared" si="7"/>
        <v>2.9829066327959303E-3</v>
      </c>
      <c r="L39">
        <f t="shared" si="7"/>
        <v>2.8363345739423284E-3</v>
      </c>
      <c r="M39">
        <f t="shared" si="7"/>
        <v>2.6667467895212468E-3</v>
      </c>
      <c r="N39">
        <f t="shared" si="7"/>
        <v>2.6580303048842711E-3</v>
      </c>
      <c r="P39" s="158">
        <f t="array" ref="P39">TREND($C$39:$N$39,$C$30:$N$30,P$30)</f>
        <v>2.5676104800582689E-3</v>
      </c>
      <c r="Q39" s="158">
        <f t="array" ref="Q39">TREND($C$39:$N$39,$C$30:$N$30,Q$30)</f>
        <v>2.808057158302707E-3</v>
      </c>
      <c r="R39" s="96">
        <f t="array" ref="R39">(TREND($C$39:$N$39,$C$30:$N$30,R$30)-TREND($C$39:$N$39,$C$30:$N$30,$N$30))/2+TREND($C$39:$N$39,$C$30:$N$30,$N$30)</f>
        <v>3.0004145008982533E-3</v>
      </c>
      <c r="S39" s="96">
        <f t="array" ref="S39">(TREND($C$39:$N$39,$C$30:$N$30,S$30)-TREND($C$39:$N$39,$C$30:$N$30,$N$30))/2+TREND($C$39:$N$39,$C$30:$N$30,$N$30)</f>
        <v>3.1206378400204723E-3</v>
      </c>
      <c r="T39" s="96">
        <f t="array" ref="T39">(TREND($C$39:$N$39,$C$30:$N$30,T$30)-TREND($C$39:$N$39,$C$30:$N$30,$N$30))/2+TREND($C$39:$N$39,$C$30:$N$30,$N$30)</f>
        <v>3.2408611791426845E-3</v>
      </c>
      <c r="U39" s="96">
        <f t="array" ref="U39">(TREND($C$39:$N$39,$C$30:$N$30,U$30)-TREND($C$39:$N$39,$C$30:$N$30,$N$30))/2+TREND($C$39:$N$39,$C$30:$N$30,$N$30)</f>
        <v>3.3610845182649035E-3</v>
      </c>
    </row>
  </sheetData>
  <phoneticPr fontId="4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82B2C-A5ED-44BD-A4C0-1E63D6227595}">
  <sheetPr>
    <tabColor theme="3" tint="0.89999084444715716"/>
  </sheetPr>
  <dimension ref="B1:V37"/>
  <sheetViews>
    <sheetView zoomScale="91" workbookViewId="0">
      <selection activeCell="G5" sqref="G5"/>
    </sheetView>
  </sheetViews>
  <sheetFormatPr defaultRowHeight="15"/>
  <cols>
    <col min="2" max="2" width="30.85546875" customWidth="1"/>
    <col min="4" max="4" width="14.85546875" customWidth="1"/>
    <col min="5" max="5" width="13.7109375" customWidth="1"/>
    <col min="7" max="7" width="12.42578125" customWidth="1"/>
  </cols>
  <sheetData>
    <row r="1" spans="2:19" ht="15.75" thickBot="1"/>
    <row r="2" spans="2:19" ht="15.75" thickBot="1">
      <c r="B2" s="79" t="s">
        <v>8</v>
      </c>
    </row>
    <row r="4" spans="2:19">
      <c r="B4" s="67" t="s">
        <v>171</v>
      </c>
      <c r="C4" s="67" t="s">
        <v>172</v>
      </c>
      <c r="D4" s="67" t="s">
        <v>173</v>
      </c>
      <c r="E4" s="67" t="s">
        <v>174</v>
      </c>
      <c r="F4" s="67" t="s">
        <v>175</v>
      </c>
      <c r="G4" s="67" t="s">
        <v>342</v>
      </c>
      <c r="H4" s="67" t="s">
        <v>302</v>
      </c>
      <c r="I4" s="68" t="s">
        <v>176</v>
      </c>
    </row>
    <row r="5" spans="2:19">
      <c r="B5" s="69" t="s">
        <v>299</v>
      </c>
      <c r="C5" s="70" t="s">
        <v>304</v>
      </c>
      <c r="D5" s="70"/>
      <c r="E5" s="70" t="s">
        <v>318</v>
      </c>
      <c r="F5" s="71">
        <v>2015</v>
      </c>
      <c r="G5" s="71"/>
      <c r="H5" s="159">
        <f t="array" ref="H5:H10">TRANSPOSE(N15:S15)/1000</f>
        <v>12.113744097029263</v>
      </c>
      <c r="I5" s="80">
        <v>0.3</v>
      </c>
      <c r="M5" s="46"/>
      <c r="N5" s="46"/>
    </row>
    <row r="6" spans="2:19">
      <c r="B6" s="74" t="s">
        <v>299</v>
      </c>
      <c r="C6" s="75" t="s">
        <v>304</v>
      </c>
      <c r="D6" s="75"/>
      <c r="E6" s="75" t="s">
        <v>318</v>
      </c>
      <c r="F6" s="76">
        <f>F5+5</f>
        <v>2020</v>
      </c>
      <c r="G6" s="76"/>
      <c r="H6" s="160">
        <v>11.273483422633314</v>
      </c>
      <c r="I6" s="78">
        <f t="shared" ref="I6:I10" si="0">I5</f>
        <v>0.3</v>
      </c>
    </row>
    <row r="7" spans="2:19">
      <c r="B7" s="69" t="s">
        <v>299</v>
      </c>
      <c r="C7" s="70" t="s">
        <v>304</v>
      </c>
      <c r="D7" s="70"/>
      <c r="E7" s="70" t="s">
        <v>318</v>
      </c>
      <c r="F7" s="71">
        <f>F6+5</f>
        <v>2025</v>
      </c>
      <c r="G7" s="71"/>
      <c r="H7" s="159">
        <v>10.537035826323002</v>
      </c>
      <c r="I7" s="80">
        <v>0.3</v>
      </c>
      <c r="N7" s="46"/>
      <c r="O7" s="46"/>
    </row>
    <row r="8" spans="2:19">
      <c r="B8" s="74" t="s">
        <v>299</v>
      </c>
      <c r="C8" s="75" t="s">
        <v>304</v>
      </c>
      <c r="D8" s="75"/>
      <c r="E8" s="75" t="s">
        <v>318</v>
      </c>
      <c r="F8" s="76">
        <f>F7+5</f>
        <v>2030</v>
      </c>
      <c r="G8" s="76"/>
      <c r="H8" s="160">
        <v>10.021074168947218</v>
      </c>
      <c r="I8" s="78">
        <f t="shared" si="0"/>
        <v>0.3</v>
      </c>
      <c r="M8" s="46"/>
    </row>
    <row r="9" spans="2:19">
      <c r="B9" s="69" t="s">
        <v>299</v>
      </c>
      <c r="C9" s="70" t="s">
        <v>304</v>
      </c>
      <c r="D9" s="70"/>
      <c r="E9" s="70" t="s">
        <v>318</v>
      </c>
      <c r="F9" s="154">
        <f t="shared" ref="F9:F10" si="1">F8+5</f>
        <v>2035</v>
      </c>
      <c r="G9" s="154"/>
      <c r="H9" s="159">
        <v>9.6027728287678915</v>
      </c>
      <c r="I9" s="73">
        <f t="shared" si="0"/>
        <v>0.3</v>
      </c>
      <c r="M9" s="46"/>
    </row>
    <row r="10" spans="2:19">
      <c r="B10" s="74" t="s">
        <v>299</v>
      </c>
      <c r="C10" s="75" t="s">
        <v>304</v>
      </c>
      <c r="D10" s="75"/>
      <c r="E10" s="75" t="s">
        <v>318</v>
      </c>
      <c r="F10" s="76">
        <f t="shared" si="1"/>
        <v>2040</v>
      </c>
      <c r="G10" s="76"/>
      <c r="H10" s="160">
        <v>9.1956870318832813</v>
      </c>
      <c r="I10" s="78">
        <f t="shared" si="0"/>
        <v>0.3</v>
      </c>
      <c r="M10" s="46"/>
      <c r="P10" s="46"/>
      <c r="Q10" s="46"/>
    </row>
    <row r="11" spans="2:19">
      <c r="B11" s="70"/>
      <c r="C11" s="70"/>
      <c r="D11" s="70"/>
      <c r="E11" s="70"/>
      <c r="F11" s="71"/>
      <c r="G11" s="71"/>
      <c r="H11" s="152"/>
      <c r="I11" s="73"/>
      <c r="M11" s="46"/>
    </row>
    <row r="12" spans="2:19">
      <c r="B12" s="75"/>
      <c r="C12" s="75"/>
      <c r="D12" s="75"/>
      <c r="E12" s="75"/>
      <c r="F12" s="76"/>
      <c r="G12" s="76"/>
      <c r="H12" s="153"/>
      <c r="I12" s="78"/>
    </row>
    <row r="13" spans="2:19">
      <c r="B13" s="70"/>
      <c r="C13" s="70"/>
      <c r="D13" s="70"/>
      <c r="E13" s="70"/>
      <c r="F13" s="71"/>
      <c r="G13" s="71"/>
      <c r="H13" s="152"/>
      <c r="I13" s="73"/>
    </row>
    <row r="14" spans="2:19">
      <c r="B14" s="75"/>
      <c r="C14" s="75"/>
      <c r="D14" s="75"/>
      <c r="E14" s="75"/>
      <c r="F14" s="76"/>
      <c r="G14" s="76"/>
      <c r="H14" s="153"/>
      <c r="I14" s="78"/>
      <c r="N14" s="46">
        <v>2015</v>
      </c>
      <c r="O14" s="46">
        <v>2020</v>
      </c>
      <c r="P14" s="46">
        <v>2025</v>
      </c>
      <c r="Q14" s="46">
        <v>2030</v>
      </c>
      <c r="R14" s="46">
        <v>2035</v>
      </c>
      <c r="S14" s="46">
        <v>2040</v>
      </c>
    </row>
    <row r="15" spans="2:19">
      <c r="B15" s="70"/>
      <c r="C15" s="70"/>
      <c r="D15" s="70"/>
      <c r="E15" s="70"/>
      <c r="F15" s="71"/>
      <c r="G15" s="71"/>
      <c r="H15" s="152"/>
      <c r="I15" s="73"/>
      <c r="M15" s="98" t="s">
        <v>236</v>
      </c>
      <c r="N15">
        <f>Q33</f>
        <v>12113.744097029263</v>
      </c>
      <c r="O15">
        <f t="shared" ref="O15:S15" si="2">R33</f>
        <v>11273.483422633313</v>
      </c>
      <c r="P15">
        <f t="shared" si="2"/>
        <v>10537.035826323003</v>
      </c>
      <c r="Q15">
        <f t="shared" si="2"/>
        <v>10021.074168947218</v>
      </c>
      <c r="R15">
        <f t="shared" si="2"/>
        <v>9602.772828767891</v>
      </c>
      <c r="S15">
        <f t="shared" si="2"/>
        <v>9195.6870318832807</v>
      </c>
    </row>
    <row r="16" spans="2:19">
      <c r="B16" s="75"/>
      <c r="C16" s="75"/>
      <c r="D16" s="75"/>
      <c r="E16" s="75"/>
      <c r="F16" s="76"/>
      <c r="G16" s="76"/>
      <c r="H16" s="153"/>
      <c r="I16" s="78"/>
    </row>
    <row r="17" spans="2:22">
      <c r="B17" s="70"/>
      <c r="C17" s="70"/>
      <c r="D17" s="70"/>
      <c r="E17" s="70"/>
      <c r="F17" s="71"/>
      <c r="G17" s="71"/>
      <c r="H17" s="152"/>
      <c r="I17" s="73"/>
    </row>
    <row r="18" spans="2:22">
      <c r="B18" s="75"/>
      <c r="C18" s="75"/>
      <c r="D18" s="75"/>
      <c r="E18" s="75"/>
      <c r="F18" s="76"/>
      <c r="G18" s="76"/>
      <c r="H18" s="153"/>
      <c r="I18" s="78"/>
    </row>
    <row r="19" spans="2:22">
      <c r="B19" s="70"/>
      <c r="C19" s="70"/>
      <c r="D19" s="70"/>
      <c r="E19" s="70"/>
      <c r="F19" s="71"/>
      <c r="G19" s="71"/>
      <c r="H19" s="152"/>
      <c r="I19" s="73"/>
    </row>
    <row r="20" spans="2:22">
      <c r="B20" s="75"/>
      <c r="C20" s="75"/>
      <c r="D20" s="75"/>
      <c r="E20" s="75"/>
      <c r="F20" s="76"/>
      <c r="G20" s="76"/>
      <c r="H20" s="153"/>
      <c r="I20" s="78"/>
    </row>
    <row r="24" spans="2:22" ht="30">
      <c r="B24" s="91" t="s">
        <v>308</v>
      </c>
    </row>
    <row r="25" spans="2:22">
      <c r="B25" t="s">
        <v>307</v>
      </c>
    </row>
    <row r="27" spans="2:22" ht="15.75" thickBot="1"/>
    <row r="28" spans="2:22" ht="17.25" thickTop="1" thickBot="1">
      <c r="B28" s="92"/>
      <c r="C28" s="84">
        <v>2012</v>
      </c>
      <c r="D28" s="84">
        <v>2013</v>
      </c>
      <c r="E28" s="84">
        <v>2014</v>
      </c>
      <c r="F28" s="84">
        <v>2015</v>
      </c>
      <c r="G28" s="84">
        <v>2016</v>
      </c>
      <c r="H28" s="84">
        <v>2017</v>
      </c>
      <c r="I28" s="84">
        <v>2018</v>
      </c>
      <c r="J28" s="84">
        <v>2019</v>
      </c>
      <c r="K28" s="84">
        <v>2020</v>
      </c>
      <c r="L28" s="84">
        <v>2021</v>
      </c>
      <c r="M28" s="84">
        <v>2022</v>
      </c>
      <c r="N28" s="84">
        <v>2023</v>
      </c>
      <c r="Q28" s="93">
        <v>2015</v>
      </c>
      <c r="R28" s="93">
        <v>2020</v>
      </c>
      <c r="S28" s="93">
        <v>2025</v>
      </c>
      <c r="T28" s="93">
        <v>2030</v>
      </c>
      <c r="U28" s="93">
        <v>2035</v>
      </c>
      <c r="V28" s="93">
        <v>2040</v>
      </c>
    </row>
    <row r="29" spans="2:22" ht="15.75" thickBot="1">
      <c r="B29" s="89" t="s">
        <v>212</v>
      </c>
      <c r="C29" s="90">
        <v>12904.2</v>
      </c>
      <c r="D29" s="90">
        <v>12118.2</v>
      </c>
      <c r="E29" s="90">
        <v>12028</v>
      </c>
      <c r="F29" s="90">
        <v>11516.7</v>
      </c>
      <c r="G29" s="90">
        <v>11985.6</v>
      </c>
      <c r="H29" s="90">
        <v>12984.9</v>
      </c>
      <c r="I29" s="90">
        <v>12751.4</v>
      </c>
      <c r="J29" s="90">
        <v>11882.4</v>
      </c>
      <c r="K29" s="90">
        <v>10533.3</v>
      </c>
      <c r="L29" s="90">
        <v>12382.7</v>
      </c>
      <c r="M29" s="90">
        <v>10105.700000000001</v>
      </c>
      <c r="N29" s="90">
        <v>9638.2000000000007</v>
      </c>
    </row>
    <row r="30" spans="2:22" ht="15.75" thickTop="1"/>
    <row r="33" spans="2:22">
      <c r="B33" t="s">
        <v>228</v>
      </c>
      <c r="C33">
        <f>C29</f>
        <v>12904.2</v>
      </c>
      <c r="D33">
        <f>D29</f>
        <v>12118.2</v>
      </c>
      <c r="E33">
        <f t="shared" ref="E33:N33" si="3">E29</f>
        <v>12028</v>
      </c>
      <c r="F33">
        <f t="shared" si="3"/>
        <v>11516.7</v>
      </c>
      <c r="G33">
        <f t="shared" si="3"/>
        <v>11985.6</v>
      </c>
      <c r="H33">
        <f t="shared" si="3"/>
        <v>12984.9</v>
      </c>
      <c r="I33">
        <f t="shared" si="3"/>
        <v>12751.4</v>
      </c>
      <c r="J33">
        <f t="shared" si="3"/>
        <v>11882.4</v>
      </c>
      <c r="K33">
        <f t="shared" si="3"/>
        <v>10533.3</v>
      </c>
      <c r="L33">
        <f t="shared" si="3"/>
        <v>12382.7</v>
      </c>
      <c r="M33">
        <f t="shared" si="3"/>
        <v>10105.700000000001</v>
      </c>
      <c r="N33">
        <f t="shared" si="3"/>
        <v>9638.2000000000007</v>
      </c>
      <c r="Q33" s="142">
        <f>Q35*Q37* Q34 / AVERAGE($C$34:$N$34)</f>
        <v>12113.744097029263</v>
      </c>
      <c r="R33" s="142">
        <f>R35*R37* R34 / AVERAGE($C$34:$N$34)</f>
        <v>11273.483422633313</v>
      </c>
      <c r="S33" s="142">
        <f>S35*S37* S34 / AVERAGE($C$34:$N$34)</f>
        <v>10537.035826323003</v>
      </c>
      <c r="T33" s="142">
        <f>T35*T37* T34 / AVERAGE($C$34:$N$34)</f>
        <v>10021.074168947218</v>
      </c>
      <c r="U33" s="142">
        <f t="shared" ref="U33:V33" si="4">U35*U37* U34 / AVERAGE($C$34:$N$34)</f>
        <v>9602.772828767891</v>
      </c>
      <c r="V33" s="142">
        <f t="shared" si="4"/>
        <v>9195.6870318832807</v>
      </c>
    </row>
    <row r="34" spans="2:22">
      <c r="B34" s="59" t="s">
        <v>163</v>
      </c>
      <c r="C34" s="64">
        <f>HLOOKUP(C$28,   HDD!$A$25:$AG$55, MATCH($B$2,HDD!$A$25:$A$55,0), FALSE)</f>
        <v>4322.0200000000004</v>
      </c>
      <c r="D34" s="64">
        <f>HLOOKUP(D$28,   HDD!$A$25:$AG$55, MATCH($B$2,HDD!$A$25:$A$55,0), FALSE)</f>
        <v>4036.79</v>
      </c>
      <c r="E34" s="64">
        <f>HLOOKUP(E$28,   HDD!$A$25:$AG$55, MATCH($B$2,HDD!$A$25:$A$55,0), FALSE)</f>
        <v>3939.85</v>
      </c>
      <c r="F34" s="64">
        <f>HLOOKUP(F$28,   HDD!$A$25:$AG$55, MATCH($B$2,HDD!$A$25:$A$55,0), FALSE)</f>
        <v>3657.39</v>
      </c>
      <c r="G34" s="64">
        <f>HLOOKUP(G$28,   HDD!$A$25:$AG$55, MATCH($B$2,HDD!$A$25:$A$55,0), FALSE)</f>
        <v>4002.81</v>
      </c>
      <c r="H34" s="64">
        <f>HLOOKUP(H$28,   HDD!$A$25:$AG$55, MATCH($B$2,HDD!$A$25:$A$55,0), FALSE)</f>
        <v>3997.38</v>
      </c>
      <c r="I34" s="64">
        <f>HLOOKUP(I$28,   HDD!$A$25:$AG$55, MATCH($B$2,HDD!$A$25:$A$55,0), FALSE)</f>
        <v>3862.19</v>
      </c>
      <c r="J34" s="64">
        <f>HLOOKUP(J$28,   HDD!$A$25:$AG$55, MATCH($B$2,HDD!$A$25:$A$55,0), FALSE)</f>
        <v>3622.92</v>
      </c>
      <c r="K34" s="64">
        <f>HLOOKUP(K$28,   HDD!$A$25:$AG$55, MATCH($B$2,HDD!$A$25:$A$55,0), FALSE)</f>
        <v>3402.72</v>
      </c>
      <c r="L34" s="64">
        <f>HLOOKUP(L$28,   HDD!$A$25:$AG$55, MATCH($B$2,HDD!$A$25:$A$55,0), FALSE)</f>
        <v>4143.7</v>
      </c>
      <c r="M34" s="64">
        <f>HLOOKUP(M$28,   HDD!$A$25:$AG$55, MATCH($B$2,HDD!$A$25:$A$55,0), FALSE)</f>
        <v>4025.74</v>
      </c>
      <c r="N34" s="64">
        <f>HLOOKUP(N$28,   HDD!$A$25:$AG$55, MATCH($B$2,HDD!$A$25:$A$55,0), FALSE)</f>
        <v>3755.06</v>
      </c>
      <c r="Q34" s="64">
        <f>HLOOKUP(Q$28,   HDD!$AA$25:$AG$55, MATCH($B$2,HDD!$A$25:$A$55,0), FALSE)</f>
        <v>3942.6305449275351</v>
      </c>
      <c r="R34" s="64">
        <f>HLOOKUP(R$28,   HDD!$AA$25:$AG$55, MATCH($B$2,HDD!$A$25:$A$55,0), FALSE)</f>
        <v>3876.3003710144912</v>
      </c>
      <c r="S34" s="64">
        <f>HLOOKUP(S$28,   HDD!$AA$25:$AG$55, MATCH($B$2,HDD!$A$25:$A$55,0), FALSE)</f>
        <v>3809.9701971014474</v>
      </c>
      <c r="T34" s="64">
        <f>HLOOKUP(T$28,   HDD!$AA$25:$AG$55, MATCH($B$2,HDD!$A$25:$A$55,0), FALSE)</f>
        <v>3743.6400231884036</v>
      </c>
      <c r="U34" s="64">
        <f>HLOOKUP(U$28,   HDD!$AA$25:$AG$55, MATCH($B$2,HDD!$A$25:$A$55,0), FALSE)</f>
        <v>3677.3098492753597</v>
      </c>
      <c r="V34" s="64">
        <f>HLOOKUP(V$28,   HDD!$AA$25:$AG$55, MATCH($B$2,HDD!$A$25:$A$55,0), FALSE)</f>
        <v>3610.9796753623159</v>
      </c>
    </row>
    <row r="35" spans="2:22">
      <c r="B35" s="59" t="s">
        <v>232</v>
      </c>
      <c r="C35" s="64">
        <f>HLOOKUP(C$28,   POP!$A$27:$AC$63, MATCH($B$2, POP!$A$27:$A$63,0), FALSE)</f>
        <v>2034319</v>
      </c>
      <c r="D35" s="64">
        <f>HLOOKUP(D$28,   POP!$A$27:$AC$63, MATCH($B$2, POP!$A$27:$A$63,0), FALSE)</f>
        <v>2012647</v>
      </c>
      <c r="E35" s="64">
        <f>HLOOKUP(E$28,   POP!$A$27:$AC$63, MATCH($B$2, POP!$A$27:$A$63,0), FALSE)</f>
        <v>1993782</v>
      </c>
      <c r="F35" s="64">
        <f>HLOOKUP(F$28,   POP!$A$27:$AC$63, MATCH($B$2, POP!$A$27:$A$63,0), FALSE)</f>
        <v>1977527</v>
      </c>
      <c r="G35" s="64">
        <f>HLOOKUP(G$28,   POP!$A$27:$AC$63, MATCH($B$2, POP!$A$27:$A$63,0), FALSE)</f>
        <v>1959537</v>
      </c>
      <c r="H35" s="64">
        <f>HLOOKUP(H$28,   POP!$A$27:$AC$63, MATCH($B$2, POP!$A$27:$A$63,0), FALSE)</f>
        <v>1942248</v>
      </c>
      <c r="I35" s="64">
        <f>HLOOKUP(I$28,   POP!$A$27:$AC$63, MATCH($B$2, POP!$A$27:$A$63,0), FALSE)</f>
        <v>1927174</v>
      </c>
      <c r="J35" s="64">
        <f>HLOOKUP(J$28,   POP!$A$27:$AC$63, MATCH($B$2, POP!$A$27:$A$63,0), FALSE)</f>
        <v>1913822</v>
      </c>
      <c r="K35" s="64">
        <f>HLOOKUP(K$28,   POP!$A$27:$AC$63, MATCH($B$2, POP!$A$27:$A$63,0), FALSE)</f>
        <v>1900449</v>
      </c>
      <c r="L35" s="64">
        <f>HLOOKUP(L$28,   POP!$A$27:$AC$63, MATCH($B$2, POP!$A$27:$A$63,0), FALSE)</f>
        <v>1884490</v>
      </c>
      <c r="M35" s="64">
        <f>HLOOKUP(M$28,   POP!$A$27:$AC$63, MATCH($B$2, POP!$A$27:$A$63,0), FALSE)</f>
        <v>1879383</v>
      </c>
      <c r="N35" s="64">
        <f>HLOOKUP(N$28,   POP!$A$27:$AC$63, MATCH($B$2, POP!$A$27:$A$63,0), FALSE)</f>
        <v>1877445</v>
      </c>
      <c r="Q35" s="64">
        <f>HLOOKUP(Q$28,   POP!$A$27:$AE$63, MATCH($B$2, POP!$A$27:$A$63,0), FALSE)</f>
        <v>1977527</v>
      </c>
      <c r="R35" s="64">
        <f>HLOOKUP(R$28,   POP!$A$27:$AE$63, MATCH($B$2, POP!$A$27:$A$63,0), FALSE)</f>
        <v>1900449</v>
      </c>
      <c r="S35" s="64">
        <f>HLOOKUP(S$28,   POP!$A$27:$AE$63, MATCH($B$2, POP!$A$27:$A$63,0), FALSE)</f>
        <v>1829589.1142857149</v>
      </c>
      <c r="T35" s="64">
        <f>HLOOKUP(T$28,   POP!$A$27:$AE$63, MATCH($B$2, POP!$A$27:$A$63,0), FALSE)</f>
        <v>1784632.4624999985</v>
      </c>
      <c r="U35" s="64">
        <f>HLOOKUP(U$28,   POP!$A$27:$AE$63, MATCH($B$2, POP!$A$27:$A$63,0), FALSE)</f>
        <v>1754661.3613095235</v>
      </c>
      <c r="V35" s="64">
        <f>HLOOKUP(V$28,   POP!$A$27:$AE$63, MATCH($B$2, POP!$A$27:$A$63,0), FALSE)</f>
        <v>1724690.2601190459</v>
      </c>
    </row>
    <row r="36" spans="2:22">
      <c r="B36" s="59" t="s">
        <v>164</v>
      </c>
      <c r="C36" s="64">
        <f t="shared" ref="C36:N36" si="5">C33/C34*AVERAGE($C$34:$K$34)</f>
        <v>11559.277274515158</v>
      </c>
      <c r="D36" s="64">
        <f t="shared" si="5"/>
        <v>11622.199516447476</v>
      </c>
      <c r="E36" s="64">
        <f t="shared" si="5"/>
        <v>11819.527081826298</v>
      </c>
      <c r="F36" s="64">
        <f t="shared" si="5"/>
        <v>12191.107166859429</v>
      </c>
      <c r="G36" s="64">
        <f t="shared" si="5"/>
        <v>11592.608564483451</v>
      </c>
      <c r="H36" s="64">
        <f t="shared" si="5"/>
        <v>12576.203094777078</v>
      </c>
      <c r="I36" s="64">
        <f t="shared" si="5"/>
        <v>12782.346981548464</v>
      </c>
      <c r="J36" s="64">
        <f t="shared" si="5"/>
        <v>12697.896766144437</v>
      </c>
      <c r="K36" s="64">
        <f t="shared" si="5"/>
        <v>11984.629372678328</v>
      </c>
      <c r="L36" s="64">
        <f t="shared" si="5"/>
        <v>11569.46866029555</v>
      </c>
      <c r="M36" s="64">
        <f t="shared" si="5"/>
        <v>9718.674722576885</v>
      </c>
      <c r="N36" s="64">
        <f t="shared" si="5"/>
        <v>9937.2318203526283</v>
      </c>
    </row>
    <row r="37" spans="2:22">
      <c r="B37" s="59" t="s">
        <v>235</v>
      </c>
      <c r="C37">
        <f>C36/(C35)</f>
        <v>5.6821360241511567E-3</v>
      </c>
      <c r="D37">
        <f t="shared" ref="D37:F37" si="6">D36/(D35)</f>
        <v>5.7745841751919115E-3</v>
      </c>
      <c r="E37">
        <f t="shared" si="6"/>
        <v>5.9281942969824676E-3</v>
      </c>
      <c r="F37">
        <f t="shared" si="6"/>
        <v>6.1648246354459018E-3</v>
      </c>
      <c r="G37">
        <f t="shared" ref="G37:K37" si="7">G36/(G35)</f>
        <v>5.9159937089646435E-3</v>
      </c>
      <c r="H37">
        <f t="shared" si="7"/>
        <v>6.4750758372654153E-3</v>
      </c>
      <c r="I37">
        <f t="shared" si="7"/>
        <v>6.6326896178282111E-3</v>
      </c>
      <c r="J37">
        <f t="shared" si="7"/>
        <v>6.6348368689169825E-3</v>
      </c>
      <c r="K37">
        <f t="shared" si="7"/>
        <v>6.306209412974685E-3</v>
      </c>
      <c r="L37">
        <f t="shared" ref="L37:N37" si="8">L36/(L35)</f>
        <v>6.1393101901817205E-3</v>
      </c>
      <c r="M37">
        <f t="shared" si="8"/>
        <v>5.1712049766209894E-3</v>
      </c>
      <c r="N37">
        <f t="shared" si="8"/>
        <v>5.2929549575900375E-3</v>
      </c>
      <c r="Q37" s="158">
        <f t="array" ref="Q37">TREND($C$37:$N$37,$C$28:$N$28,Q$28)</f>
        <v>6.0553985980099645E-3</v>
      </c>
      <c r="R37" s="158">
        <f t="array" ref="R37">TREND($C$37:$N$37,$C$28:$N$28,R$28)</f>
        <v>5.9642705190090517E-3</v>
      </c>
      <c r="S37" s="96">
        <f t="array" ref="S37">(TREND($C$37:$N$37,$C$28:$N$28,S$28)-TREND($C$37:$N$37,$C$28:$N$28,$N$28))/2+TREND($C$37:$N$37,$C$28:$N$28,$N$28)</f>
        <v>5.8913680558083277E-3</v>
      </c>
      <c r="T37" s="96">
        <f t="array" ref="T37">(TREND($C$37:$N$37,$C$28:$N$28,T$28)-TREND($C$37:$N$37,$C$28:$N$28,$N$28))/2+TREND($C$37:$N$37,$C$28:$N$28,$N$28)</f>
        <v>5.8458040163078713E-3</v>
      </c>
      <c r="U37" s="96">
        <f t="array" ref="U37">(TREND($C$37:$N$37,$C$28:$N$28,U$28)-TREND($C$37:$N$37,$C$28:$N$28,$N$28))/2+TREND($C$37:$N$37,$C$28:$N$28,$N$28)</f>
        <v>5.8002399768074149E-3</v>
      </c>
      <c r="V37" s="96">
        <f t="array" ref="V37">(TREND($C$37:$N$37,$C$28:$N$28,V$28)-TREND($C$37:$N$37,$C$28:$N$28,$N$28))/2+TREND($C$37:$N$37,$C$28:$N$28,$N$28)</f>
        <v>5.7546759373069585E-3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25FBF-17D2-4AEE-9512-FB688734693C}">
  <sheetPr>
    <tabColor theme="3" tint="0.89999084444715716"/>
  </sheetPr>
  <dimension ref="B1:S37"/>
  <sheetViews>
    <sheetView workbookViewId="0">
      <selection activeCell="G5" sqref="G5"/>
    </sheetView>
  </sheetViews>
  <sheetFormatPr defaultRowHeight="15"/>
  <cols>
    <col min="2" max="2" width="30.85546875" customWidth="1"/>
    <col min="4" max="4" width="14.85546875" customWidth="1"/>
    <col min="5" max="5" width="13.7109375" customWidth="1"/>
    <col min="7" max="7" width="12.42578125" customWidth="1"/>
  </cols>
  <sheetData>
    <row r="1" spans="2:19" ht="15.75" thickBot="1"/>
    <row r="2" spans="2:19" ht="15.75" thickBot="1">
      <c r="B2" s="79" t="s">
        <v>13</v>
      </c>
    </row>
    <row r="4" spans="2:19">
      <c r="B4" s="67" t="s">
        <v>171</v>
      </c>
      <c r="C4" s="67" t="s">
        <v>172</v>
      </c>
      <c r="D4" s="67" t="s">
        <v>173</v>
      </c>
      <c r="E4" s="67" t="s">
        <v>174</v>
      </c>
      <c r="F4" s="67" t="s">
        <v>175</v>
      </c>
      <c r="G4" s="67" t="s">
        <v>342</v>
      </c>
      <c r="H4" s="67" t="s">
        <v>302</v>
      </c>
      <c r="I4" s="68" t="s">
        <v>176</v>
      </c>
    </row>
    <row r="5" spans="2:19">
      <c r="B5" s="69" t="s">
        <v>296</v>
      </c>
      <c r="C5" s="70" t="s">
        <v>304</v>
      </c>
      <c r="D5" s="70"/>
      <c r="E5" s="70" t="s">
        <v>318</v>
      </c>
      <c r="F5" s="71">
        <v>2015</v>
      </c>
      <c r="G5" s="71"/>
      <c r="H5" s="150">
        <f t="array" ref="H5:H10">TRANSPOSE(N15:S15)/1000</f>
        <v>4.7203269575636932</v>
      </c>
      <c r="I5" s="80">
        <v>0.3</v>
      </c>
      <c r="M5" s="46"/>
      <c r="N5" s="46"/>
    </row>
    <row r="6" spans="2:19">
      <c r="B6" s="74" t="s">
        <v>296</v>
      </c>
      <c r="C6" s="75" t="s">
        <v>304</v>
      </c>
      <c r="D6" s="75"/>
      <c r="E6" s="75" t="s">
        <v>318</v>
      </c>
      <c r="F6" s="76">
        <f>F5+5</f>
        <v>2020</v>
      </c>
      <c r="G6" s="76"/>
      <c r="H6" s="151">
        <v>4.7842652390713267</v>
      </c>
      <c r="I6" s="78">
        <f t="shared" ref="I6:I10" si="0">I5</f>
        <v>0.3</v>
      </c>
    </row>
    <row r="7" spans="2:19">
      <c r="B7" s="69" t="s">
        <v>296</v>
      </c>
      <c r="C7" s="70" t="s">
        <v>304</v>
      </c>
      <c r="D7" s="70"/>
      <c r="E7" s="70" t="s">
        <v>318</v>
      </c>
      <c r="F7" s="71">
        <f t="shared" ref="F7:F10" si="1">F6+5</f>
        <v>2025</v>
      </c>
      <c r="G7" s="71"/>
      <c r="H7" s="150">
        <v>4.8362554516277791</v>
      </c>
      <c r="I7" s="80">
        <v>0.3</v>
      </c>
    </row>
    <row r="8" spans="2:19">
      <c r="B8" s="74" t="s">
        <v>296</v>
      </c>
      <c r="C8" s="75" t="s">
        <v>304</v>
      </c>
      <c r="D8" s="75"/>
      <c r="E8" s="75" t="s">
        <v>318</v>
      </c>
      <c r="F8" s="76">
        <f t="shared" si="1"/>
        <v>2030</v>
      </c>
      <c r="G8" s="76"/>
      <c r="H8" s="151">
        <v>4.8582630881017828</v>
      </c>
      <c r="I8" s="78">
        <f t="shared" si="0"/>
        <v>0.3</v>
      </c>
    </row>
    <row r="9" spans="2:19">
      <c r="B9" s="69" t="s">
        <v>296</v>
      </c>
      <c r="C9" s="70" t="s">
        <v>304</v>
      </c>
      <c r="D9" s="70"/>
      <c r="E9" s="70" t="s">
        <v>318</v>
      </c>
      <c r="F9" s="154">
        <f t="shared" si="1"/>
        <v>2035</v>
      </c>
      <c r="G9" s="154"/>
      <c r="H9" s="150">
        <v>4.8726943250713131</v>
      </c>
      <c r="I9" s="73">
        <f t="shared" si="0"/>
        <v>0.3</v>
      </c>
      <c r="M9" s="46"/>
    </row>
    <row r="10" spans="2:19">
      <c r="B10" s="74" t="s">
        <v>296</v>
      </c>
      <c r="C10" s="75" t="s">
        <v>304</v>
      </c>
      <c r="D10" s="75"/>
      <c r="E10" s="75" t="s">
        <v>318</v>
      </c>
      <c r="F10" s="76">
        <f t="shared" si="1"/>
        <v>2040</v>
      </c>
      <c r="G10" s="76"/>
      <c r="H10" s="151">
        <v>4.8842861616309046</v>
      </c>
      <c r="I10" s="78">
        <f t="shared" si="0"/>
        <v>0.3</v>
      </c>
      <c r="M10" s="46"/>
      <c r="P10" s="46"/>
      <c r="Q10" s="46"/>
    </row>
    <row r="11" spans="2:19">
      <c r="B11" s="70"/>
      <c r="C11" s="70"/>
      <c r="D11" s="70"/>
      <c r="E11" s="70"/>
      <c r="F11" s="71"/>
      <c r="G11" s="71"/>
      <c r="H11" s="152"/>
      <c r="I11" s="73"/>
      <c r="M11" s="46"/>
    </row>
    <row r="12" spans="2:19">
      <c r="B12" s="75"/>
      <c r="C12" s="75"/>
      <c r="D12" s="75"/>
      <c r="E12" s="75"/>
      <c r="F12" s="76"/>
      <c r="G12" s="76"/>
      <c r="H12" s="153"/>
      <c r="I12" s="78"/>
    </row>
    <row r="13" spans="2:19">
      <c r="B13" s="70"/>
      <c r="C13" s="70"/>
      <c r="D13" s="70"/>
      <c r="E13" s="70"/>
      <c r="F13" s="71"/>
      <c r="G13" s="71"/>
      <c r="H13" s="152"/>
      <c r="I13" s="73"/>
    </row>
    <row r="14" spans="2:19">
      <c r="B14" s="75"/>
      <c r="C14" s="75"/>
      <c r="D14" s="75"/>
      <c r="E14" s="75"/>
      <c r="F14" s="76"/>
      <c r="G14" s="76"/>
      <c r="H14" s="153"/>
      <c r="I14" s="78"/>
      <c r="N14" s="46">
        <v>2015</v>
      </c>
      <c r="O14" s="46">
        <v>2020</v>
      </c>
      <c r="P14" s="46">
        <v>2025</v>
      </c>
      <c r="Q14" s="46">
        <v>2030</v>
      </c>
      <c r="R14" s="46">
        <v>2035</v>
      </c>
      <c r="S14" s="46">
        <v>2040</v>
      </c>
    </row>
    <row r="15" spans="2:19">
      <c r="B15" s="70"/>
      <c r="C15" s="70"/>
      <c r="D15" s="70"/>
      <c r="E15" s="70"/>
      <c r="F15" s="71"/>
      <c r="G15" s="71"/>
      <c r="H15" s="152"/>
      <c r="I15" s="73"/>
      <c r="M15" s="98" t="s">
        <v>236</v>
      </c>
      <c r="N15">
        <f t="shared" ref="N15:S15" si="2">L33</f>
        <v>4720.3269575636932</v>
      </c>
      <c r="O15">
        <f t="shared" si="2"/>
        <v>4784.2652390713265</v>
      </c>
      <c r="P15">
        <f t="shared" si="2"/>
        <v>4836.2554516277787</v>
      </c>
      <c r="Q15">
        <f t="shared" si="2"/>
        <v>4858.2630881017831</v>
      </c>
      <c r="R15">
        <f t="shared" si="2"/>
        <v>4872.694325071313</v>
      </c>
      <c r="S15">
        <f t="shared" si="2"/>
        <v>4884.2861616309046</v>
      </c>
    </row>
    <row r="16" spans="2:19">
      <c r="B16" s="75"/>
      <c r="C16" s="75"/>
      <c r="D16" s="75"/>
      <c r="E16" s="75"/>
      <c r="F16" s="76"/>
      <c r="G16" s="76"/>
      <c r="H16" s="153"/>
      <c r="I16" s="78"/>
    </row>
    <row r="17" spans="2:17">
      <c r="B17" s="70"/>
      <c r="C17" s="70"/>
      <c r="D17" s="70"/>
      <c r="E17" s="70"/>
      <c r="F17" s="71"/>
      <c r="G17" s="71"/>
      <c r="H17" s="152"/>
      <c r="I17" s="73"/>
    </row>
    <row r="18" spans="2:17">
      <c r="B18" s="75"/>
      <c r="C18" s="75"/>
      <c r="D18" s="75"/>
      <c r="E18" s="75"/>
      <c r="F18" s="76"/>
      <c r="G18" s="76"/>
      <c r="H18" s="153"/>
      <c r="I18" s="78"/>
    </row>
    <row r="19" spans="2:17">
      <c r="B19" s="70"/>
      <c r="C19" s="70"/>
      <c r="D19" s="70"/>
      <c r="E19" s="70"/>
      <c r="F19" s="71"/>
      <c r="G19" s="71"/>
      <c r="H19" s="152"/>
      <c r="I19" s="73"/>
    </row>
    <row r="20" spans="2:17">
      <c r="B20" s="75"/>
      <c r="C20" s="75"/>
      <c r="D20" s="75"/>
      <c r="E20" s="75"/>
      <c r="F20" s="76"/>
      <c r="G20" s="76"/>
      <c r="H20" s="153"/>
      <c r="I20" s="78"/>
    </row>
    <row r="24" spans="2:17" ht="30">
      <c r="B24" s="91" t="s">
        <v>305</v>
      </c>
    </row>
    <row r="25" spans="2:17">
      <c r="B25" t="s">
        <v>306</v>
      </c>
    </row>
    <row r="27" spans="2:17" ht="15.75" thickBot="1"/>
    <row r="28" spans="2:17" ht="17.25" thickTop="1" thickBot="1">
      <c r="B28" s="92"/>
      <c r="C28" s="84">
        <v>2019</v>
      </c>
      <c r="D28" s="84">
        <v>2020</v>
      </c>
      <c r="E28" s="84">
        <v>2021</v>
      </c>
      <c r="F28" s="84">
        <v>2022</v>
      </c>
      <c r="G28" s="84"/>
      <c r="L28" s="93">
        <v>2015</v>
      </c>
      <c r="M28" s="93">
        <v>2020</v>
      </c>
      <c r="N28" s="93">
        <v>2025</v>
      </c>
      <c r="O28" s="93">
        <v>2030</v>
      </c>
      <c r="P28" s="93">
        <v>2035</v>
      </c>
      <c r="Q28" s="93">
        <v>2040</v>
      </c>
    </row>
    <row r="29" spans="2:17" ht="15.75" thickBot="1">
      <c r="B29" s="89" t="s">
        <v>212</v>
      </c>
      <c r="C29" s="90">
        <v>14114</v>
      </c>
      <c r="D29" s="90">
        <v>12020</v>
      </c>
      <c r="E29" s="90">
        <v>16059</v>
      </c>
      <c r="F29" s="90">
        <v>15078</v>
      </c>
      <c r="G29" s="90"/>
    </row>
    <row r="30" spans="2:17" ht="15.75" thickTop="1"/>
    <row r="33" spans="2:17">
      <c r="B33" t="s">
        <v>228</v>
      </c>
      <c r="C33">
        <f>(C29/3.6)/0.85</f>
        <v>4612.418300653595</v>
      </c>
      <c r="D33">
        <f t="shared" ref="D33:F33" si="3">(D29/3.6)/0.85</f>
        <v>3928.1045751633987</v>
      </c>
      <c r="E33">
        <f t="shared" si="3"/>
        <v>5248.0392156862745</v>
      </c>
      <c r="F33">
        <f t="shared" si="3"/>
        <v>4927.4509803921565</v>
      </c>
      <c r="L33" s="142">
        <f>L35*L37* L34 / AVERAGE($C$34:$F$34)</f>
        <v>4720.3269575636932</v>
      </c>
      <c r="M33" s="142">
        <f>M35*M37* M34 / AVERAGE($C$34:$F$34)</f>
        <v>4784.2652390713265</v>
      </c>
      <c r="N33" s="142">
        <f>N35*N37* N34 / AVERAGE($C$34:$F$34)</f>
        <v>4836.2554516277787</v>
      </c>
      <c r="O33" s="142">
        <f t="shared" ref="O33:Q33" si="4">O35*O37* O34 / AVERAGE($C$34:$F$34)</f>
        <v>4858.2630881017831</v>
      </c>
      <c r="P33" s="142">
        <f t="shared" si="4"/>
        <v>4872.694325071313</v>
      </c>
      <c r="Q33" s="142">
        <f t="shared" si="4"/>
        <v>4884.2861616309046</v>
      </c>
    </row>
    <row r="34" spans="2:17">
      <c r="B34" s="59" t="s">
        <v>163</v>
      </c>
      <c r="C34" s="64">
        <f>HLOOKUP(C$28,   HDD!$A$25:$AG$55, MATCH($B$2,HDD!$A$25:$A$55,0), FALSE)</f>
        <v>3883.05</v>
      </c>
      <c r="D34" s="64">
        <f>HLOOKUP(D$28,   HDD!$A$25:$AG$55, MATCH($B$2,HDD!$A$25:$A$55,0), FALSE)</f>
        <v>3554.43</v>
      </c>
      <c r="E34" s="64">
        <f>HLOOKUP(E$28,   HDD!$A$25:$AG$55, MATCH($B$2,HDD!$A$25:$A$55,0), FALSE)</f>
        <v>4283.1000000000004</v>
      </c>
      <c r="F34" s="64">
        <f>HLOOKUP(F$28,   HDD!$A$25:$AG$55, MATCH($B$2,HDD!$A$25:$A$55,0), FALSE)</f>
        <v>4117.58</v>
      </c>
      <c r="L34" s="64">
        <f>HLOOKUP(L$28,   HDD!$AA$25:$AG$55, MATCH($B$2,HDD!$A$25:$A$55,0), FALSE)</f>
        <v>4122.4309362318818</v>
      </c>
      <c r="M34" s="64">
        <f>HLOOKUP(M$28,   HDD!$AA$25:$AG$55, MATCH($B$2,HDD!$A$25:$A$55,0), FALSE)</f>
        <v>4057.6923927536227</v>
      </c>
      <c r="N34" s="64">
        <f>HLOOKUP(N$28,   HDD!$AA$25:$AG$55, MATCH($B$2,HDD!$A$25:$A$55,0), FALSE)</f>
        <v>3992.95384927536</v>
      </c>
      <c r="O34" s="64">
        <f>HLOOKUP(O$28,   HDD!$A$25:$AG$55, MATCH($B$2,HDD!$A$25:$A$55,0), FALSE)</f>
        <v>3928.2153057971009</v>
      </c>
      <c r="P34" s="64">
        <f>HLOOKUP(P$28,   HDD!$A$25:$AG$55, MATCH($B$2,HDD!$A$25:$A$55,0), FALSE)</f>
        <v>3863.4767623188382</v>
      </c>
      <c r="Q34" s="64">
        <f>HLOOKUP(Q$28,   HDD!$A$25:$AG$55, MATCH($B$2,HDD!$A$25:$A$55,0), FALSE)</f>
        <v>3798.7382188405791</v>
      </c>
    </row>
    <row r="35" spans="2:17">
      <c r="B35" s="59" t="s">
        <v>232</v>
      </c>
      <c r="C35" s="64">
        <f>HLOOKUP(C$28,   POP!$A$27:$AC$63, MATCH($B$2, POP!$A$27:$A$63,0), FALSE)</f>
        <v>1326898</v>
      </c>
      <c r="D35" s="64">
        <f>HLOOKUP(D$28,   POP!$A$27:$AC$63, MATCH($B$2, POP!$A$27:$A$63,0), FALSE)</f>
        <v>1329522</v>
      </c>
      <c r="E35" s="64">
        <f>HLOOKUP(E$28,   POP!$A$27:$AC$63, MATCH($B$2, POP!$A$27:$A$63,0), FALSE)</f>
        <v>1330932</v>
      </c>
      <c r="F35" s="64">
        <f>HLOOKUP(F$28,   POP!$A$27:$AC$63, MATCH($B$2, POP!$A$27:$A$63,0), FALSE)</f>
        <v>1348840</v>
      </c>
      <c r="L35" s="64">
        <f>HLOOKUP(L$28,   POP!$A$27:$AE$63, MATCH($B$2, POP!$A$27:$A$63,0), FALSE)</f>
        <v>1315407</v>
      </c>
      <c r="M35" s="64">
        <f>HLOOKUP(M$28,   POP!$A$27:$AE$63, MATCH($B$2, POP!$A$27:$A$63,0), FALSE)</f>
        <v>1329522</v>
      </c>
      <c r="N35" s="64">
        <f>HLOOKUP(N$28,   POP!$A$27:$AE$63, MATCH($B$2, POP!$A$27:$A$63,0), FALSE)</f>
        <v>1341034.4857142856</v>
      </c>
      <c r="O35" s="64">
        <f>HLOOKUP(O$28,   POP!$A$27:$AE$63, MATCH($B$2, POP!$A$27:$A$63,0), FALSE)</f>
        <v>1344988.95</v>
      </c>
      <c r="P35" s="64">
        <f>HLOOKUP(P$28,   POP!$A$27:$AE$63, MATCH($B$2, POP!$A$27:$A$63,0), FALSE)</f>
        <v>1347625.2595238094</v>
      </c>
      <c r="Q35" s="64">
        <f>HLOOKUP(Q$28,   POP!$A$27:$AE$63, MATCH($B$2, POP!$A$27:$A$63,0), FALSE)</f>
        <v>1350261.5690476189</v>
      </c>
    </row>
    <row r="36" spans="2:17">
      <c r="B36" s="59" t="s">
        <v>164</v>
      </c>
      <c r="C36" s="64">
        <f t="shared" ref="C36:F36" si="5">C33/C34*AVERAGE($C$34:$K$34)</f>
        <v>4703.2757132073848</v>
      </c>
      <c r="D36" s="64">
        <f t="shared" si="5"/>
        <v>4375.8034873502875</v>
      </c>
      <c r="E36" s="64">
        <f t="shared" si="5"/>
        <v>4851.5844122431017</v>
      </c>
      <c r="F36" s="64">
        <f t="shared" si="5"/>
        <v>4738.3267003681676</v>
      </c>
    </row>
    <row r="37" spans="2:17">
      <c r="B37" s="59" t="s">
        <v>235</v>
      </c>
      <c r="C37">
        <f t="shared" ref="C37:F37" si="6">C36/(C35)</f>
        <v>3.5445646260732814E-3</v>
      </c>
      <c r="D37">
        <f t="shared" si="6"/>
        <v>3.2912606841784399E-3</v>
      </c>
      <c r="E37">
        <f t="shared" si="6"/>
        <v>3.6452534105747714E-3</v>
      </c>
      <c r="F37">
        <f t="shared" si="6"/>
        <v>3.5128901132589242E-3</v>
      </c>
      <c r="L37" s="96">
        <f t="array" ref="L37">(TREND($C$37:$F$37,$C$28:$F$28,L$28)-TREND($C$37:$F$37,$C$28:$F$28,$F$28))/2+TREND($C$37:$F$37,$C$28:$F$28,$F$28)</f>
        <v>3.4466983709306974E-3</v>
      </c>
      <c r="M37" s="96">
        <f t="array" ref="M37">(TREND($C$37:$F$37,$C$28:$F$28,M$28)-TREND($C$37:$F$37,$C$28:$F$28,$F$28))/2+TREND($C$37:$F$37,$C$28:$F$28,$F$28)</f>
        <v>3.5114406679190129E-3</v>
      </c>
      <c r="N37" s="96">
        <f t="array" ref="N37">(TREND($C$37:$F$37,$C$28:$F$28,N$28)-TREND($C$37:$F$37,$C$28:$F$28,$F$28))/2+TREND($C$37:$F$37,$C$28:$F$28,$F$28)</f>
        <v>3.5761829649073283E-3</v>
      </c>
      <c r="O37" s="96">
        <f t="array" ref="O37">(TREND($C$37:$F$37,$C$28:$F$28,O$28)-TREND($C$37:$F$37,$C$28:$F$28,$F$28))/2+TREND($C$37:$F$37,$C$28:$F$28,$F$28)</f>
        <v>3.6409252618956438E-3</v>
      </c>
      <c r="P37" s="96">
        <f t="array" ref="P37">(TREND($C$37:$F$37,$C$28:$F$28,P$28)-TREND($C$37:$F$37,$C$28:$F$28,$F$28))/2+TREND($C$37:$F$37,$C$28:$F$28,$F$28)</f>
        <v>3.7056675588839592E-3</v>
      </c>
      <c r="Q37" s="96">
        <f t="array" ref="Q37">(TREND($C$37:$F$37,$C$28:$F$28,Q$28)-TREND($C$37:$F$37,$C$28:$F$28,$F$28))/2+TREND($C$37:$F$37,$C$28:$F$28,$F$28)</f>
        <v>3.7704098558722712E-3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9637-43E6-43C3-814C-53E051436240}">
  <sheetPr>
    <tabColor theme="3" tint="0.89999084444715716"/>
  </sheetPr>
  <dimension ref="B1:U118"/>
  <sheetViews>
    <sheetView workbookViewId="0">
      <selection activeCell="G5" sqref="G5"/>
    </sheetView>
  </sheetViews>
  <sheetFormatPr defaultRowHeight="15"/>
  <cols>
    <col min="2" max="2" width="30.85546875" customWidth="1"/>
    <col min="4" max="4" width="14.85546875" customWidth="1"/>
    <col min="5" max="5" width="13.7109375" customWidth="1"/>
    <col min="6" max="6" width="10.5703125" bestFit="1" customWidth="1"/>
    <col min="7" max="7" width="12.42578125" customWidth="1"/>
  </cols>
  <sheetData>
    <row r="1" spans="2:19" ht="15.75" thickBot="1"/>
    <row r="2" spans="2:19" ht="15.75" thickBot="1">
      <c r="B2" s="79" t="s">
        <v>73</v>
      </c>
    </row>
    <row r="4" spans="2:19">
      <c r="B4" s="67" t="s">
        <v>171</v>
      </c>
      <c r="C4" s="67" t="s">
        <v>172</v>
      </c>
      <c r="D4" s="67" t="s">
        <v>173</v>
      </c>
      <c r="E4" s="67" t="s">
        <v>174</v>
      </c>
      <c r="F4" s="67" t="s">
        <v>175</v>
      </c>
      <c r="G4" s="67" t="s">
        <v>342</v>
      </c>
      <c r="H4" s="67" t="s">
        <v>302</v>
      </c>
      <c r="I4" s="68" t="s">
        <v>176</v>
      </c>
      <c r="K4" s="155"/>
    </row>
    <row r="5" spans="2:19">
      <c r="B5" s="69" t="s">
        <v>187</v>
      </c>
      <c r="C5" s="71" t="s">
        <v>304</v>
      </c>
      <c r="D5" s="70"/>
      <c r="E5" s="71" t="s">
        <v>318</v>
      </c>
      <c r="F5" s="71">
        <v>2015</v>
      </c>
      <c r="G5" s="71"/>
      <c r="H5" s="159">
        <f t="array" ref="H5">SUMIFS($N$8:$S$8,$N$7:$S$7,$F5) * SUM($N$12:$S$15 * ($N$11:$S$11=$F5) * ($M$12:$M$15=$B5)) / 1000</f>
        <v>1.4684666667656283</v>
      </c>
      <c r="I5" s="163">
        <v>0.3</v>
      </c>
      <c r="K5" s="155"/>
    </row>
    <row r="6" spans="2:19">
      <c r="B6" s="74" t="s">
        <v>192</v>
      </c>
      <c r="C6" s="76" t="s">
        <v>304</v>
      </c>
      <c r="D6" s="75"/>
      <c r="E6" s="76" t="s">
        <v>318</v>
      </c>
      <c r="F6" s="76">
        <v>2015</v>
      </c>
      <c r="G6" s="76"/>
      <c r="H6" s="160">
        <f t="array" ref="H6">SUMIFS($N$8:$S$8,$N$7:$S$7,$F6) * SUM($N$12:$S$15 * ($N$11:$S$11=$F6) * ($M$12:$M$15=$B6)) / 1000</f>
        <v>5.3582964539100191</v>
      </c>
      <c r="I6" s="164">
        <f>I5</f>
        <v>0.3</v>
      </c>
      <c r="K6" s="155"/>
    </row>
    <row r="7" spans="2:19">
      <c r="B7" s="69" t="s">
        <v>205</v>
      </c>
      <c r="C7" s="71" t="s">
        <v>304</v>
      </c>
      <c r="D7" s="70"/>
      <c r="E7" s="71" t="s">
        <v>318</v>
      </c>
      <c r="F7" s="71">
        <v>2015</v>
      </c>
      <c r="G7" s="71"/>
      <c r="H7" s="159">
        <f t="array" ref="H7">SUMIFS($N$8:$S$8,$N$7:$S$7,$F7) * SUM($N$12:$S$15 * ($N$11:$S$11=$F7) * ($M$12:$M$15=$B7)) / 1000</f>
        <v>39.018195598667141</v>
      </c>
      <c r="I7" s="163">
        <f t="shared" ref="I7:I12" si="0">I6</f>
        <v>0.3</v>
      </c>
      <c r="K7" s="155"/>
      <c r="N7" s="46">
        <v>2015</v>
      </c>
      <c r="O7" s="46">
        <v>2020</v>
      </c>
      <c r="P7" s="46">
        <v>2025</v>
      </c>
      <c r="Q7" s="46">
        <v>2030</v>
      </c>
      <c r="R7" s="46">
        <v>2035</v>
      </c>
      <c r="S7" s="46">
        <v>2040</v>
      </c>
    </row>
    <row r="8" spans="2:19">
      <c r="B8" s="74" t="s">
        <v>210</v>
      </c>
      <c r="C8" s="76" t="s">
        <v>304</v>
      </c>
      <c r="D8" s="75"/>
      <c r="E8" s="76" t="s">
        <v>318</v>
      </c>
      <c r="F8" s="76">
        <v>2015</v>
      </c>
      <c r="G8" s="76"/>
      <c r="H8" s="160">
        <f t="array" ref="H8">SUMIFS($N$8:$S$8,$N$7:$S$7,$F8) * SUM($N$12:$S$15 * ($N$11:$S$11=$F8) * ($M$12:$M$15=$B8)) / 1000</f>
        <v>11.412682304515574</v>
      </c>
      <c r="I8" s="164">
        <f t="shared" si="0"/>
        <v>0.3</v>
      </c>
      <c r="K8" s="155"/>
      <c r="M8" s="98" t="s">
        <v>236</v>
      </c>
      <c r="N8" s="28">
        <f t="shared" ref="N8:S8" si="1">N114</f>
        <v>57257.641023858363</v>
      </c>
      <c r="O8" s="28">
        <f t="shared" si="1"/>
        <v>58678.857586311366</v>
      </c>
      <c r="P8" s="28">
        <f t="shared" si="1"/>
        <v>59417.118267026097</v>
      </c>
      <c r="Q8" s="28">
        <f t="shared" si="1"/>
        <v>59531.545966754529</v>
      </c>
      <c r="R8" s="28">
        <f t="shared" si="1"/>
        <v>59180.805942666033</v>
      </c>
      <c r="S8" s="28">
        <f t="shared" si="1"/>
        <v>58807.567699532367</v>
      </c>
    </row>
    <row r="9" spans="2:19">
      <c r="B9" s="70" t="s">
        <v>187</v>
      </c>
      <c r="C9" s="71" t="s">
        <v>304</v>
      </c>
      <c r="D9" s="70"/>
      <c r="E9" s="71" t="s">
        <v>318</v>
      </c>
      <c r="F9" s="71">
        <f>F5+5</f>
        <v>2020</v>
      </c>
      <c r="G9" s="71"/>
      <c r="H9" s="159">
        <f t="array" ref="H9">SUMIFS($N$8:$S$8,$N$7:$S$7,$F9) * SUM($N$12:$S$15 * ($N$11:$S$11=$F9) * ($M$12:$M$15=$B9)) / 1000</f>
        <v>1.4209678106219532</v>
      </c>
      <c r="I9" s="163">
        <f t="shared" si="0"/>
        <v>0.3</v>
      </c>
      <c r="K9" s="155"/>
    </row>
    <row r="10" spans="2:19">
      <c r="B10" s="75" t="s">
        <v>192</v>
      </c>
      <c r="C10" s="76" t="s">
        <v>304</v>
      </c>
      <c r="D10" s="75"/>
      <c r="E10" s="76" t="s">
        <v>318</v>
      </c>
      <c r="F10" s="76">
        <f t="shared" ref="F10:F16" si="2">F6+5</f>
        <v>2020</v>
      </c>
      <c r="G10" s="76"/>
      <c r="H10" s="160">
        <f t="array" ref="H10">SUMIFS($N$8:$S$8,$N$7:$S$7,$F10) * SUM($N$12:$S$15 * ($N$11:$S$11=$F10) * ($M$12:$M$15=$B10)) / 1000</f>
        <v>5.3140058661355871</v>
      </c>
      <c r="I10" s="164">
        <f t="shared" si="0"/>
        <v>0.3</v>
      </c>
      <c r="K10" s="155"/>
    </row>
    <row r="11" spans="2:19">
      <c r="B11" s="70" t="s">
        <v>205</v>
      </c>
      <c r="C11" s="71" t="s">
        <v>304</v>
      </c>
      <c r="D11" s="70"/>
      <c r="E11" s="71" t="s">
        <v>318</v>
      </c>
      <c r="F11" s="71">
        <f t="shared" si="2"/>
        <v>2020</v>
      </c>
      <c r="G11" s="71"/>
      <c r="H11" s="159">
        <f t="array" ref="H11">SUMIFS($N$8:$S$8,$N$7:$S$7,$F11) * SUM($N$12:$S$15 * ($N$11:$S$11=$F11) * ($M$12:$M$15=$B11)) / 1000</f>
        <v>40.167020784769626</v>
      </c>
      <c r="I11" s="163">
        <f t="shared" si="0"/>
        <v>0.3</v>
      </c>
      <c r="K11" s="155"/>
      <c r="N11" s="46">
        <v>2015</v>
      </c>
      <c r="O11" s="46">
        <v>2020</v>
      </c>
      <c r="P11" s="46">
        <v>2025</v>
      </c>
      <c r="Q11" s="46">
        <v>2030</v>
      </c>
      <c r="R11" s="46">
        <v>2035</v>
      </c>
      <c r="S11" s="46">
        <v>2040</v>
      </c>
    </row>
    <row r="12" spans="2:19">
      <c r="B12" s="75" t="s">
        <v>210</v>
      </c>
      <c r="C12" s="76" t="s">
        <v>304</v>
      </c>
      <c r="D12" s="75"/>
      <c r="E12" s="76" t="s">
        <v>318</v>
      </c>
      <c r="F12" s="76">
        <f t="shared" si="2"/>
        <v>2020</v>
      </c>
      <c r="G12" s="76"/>
      <c r="H12" s="160">
        <f t="array" ref="H12">SUMIFS($N$8:$S$8,$N$7:$S$7,$F12) * SUM($N$12:$S$15 * ($N$11:$S$11=$F12) * ($M$12:$M$15=$B12)) / 1000</f>
        <v>11.776863124784194</v>
      </c>
      <c r="I12" s="164">
        <f t="shared" si="0"/>
        <v>0.3</v>
      </c>
      <c r="K12" s="155"/>
      <c r="M12" s="46" t="s">
        <v>187</v>
      </c>
      <c r="N12" s="162">
        <f t="shared" ref="N12:S15" si="3">C69</f>
        <v>2.5646649783454076E-2</v>
      </c>
      <c r="O12" s="162">
        <f t="shared" si="3"/>
        <v>2.4216010145252681E-2</v>
      </c>
      <c r="P12" s="162">
        <f t="shared" si="3"/>
        <v>2.3215895326860025E-2</v>
      </c>
      <c r="Q12" s="162">
        <f t="shared" si="3"/>
        <v>2.232002682489535E-2</v>
      </c>
      <c r="R12" s="162">
        <f t="shared" si="3"/>
        <v>2.1384580486130532E-2</v>
      </c>
      <c r="S12" s="162">
        <f t="shared" si="3"/>
        <v>2.054035658728821E-2</v>
      </c>
    </row>
    <row r="13" spans="2:19">
      <c r="B13" s="69" t="s">
        <v>187</v>
      </c>
      <c r="C13" s="71" t="s">
        <v>304</v>
      </c>
      <c r="D13" s="70"/>
      <c r="E13" s="71" t="s">
        <v>318</v>
      </c>
      <c r="F13" s="71">
        <f>F9+5</f>
        <v>2025</v>
      </c>
      <c r="G13" s="71"/>
      <c r="H13" s="159">
        <f t="array" ref="H13">SUMIFS($N$8:$S$8,$N$7:$S$7,$F13) * SUM($N$12:$S$15 * ($N$11:$S$11=$F13) * ($M$12:$M$15=$B13)) / 1000</f>
        <v>1.3794215983109406</v>
      </c>
      <c r="I13" s="163">
        <v>0.3</v>
      </c>
      <c r="M13" s="46" t="s">
        <v>192</v>
      </c>
      <c r="N13" s="162">
        <f t="shared" si="3"/>
        <v>9.3582207686085092E-2</v>
      </c>
      <c r="O13" s="162">
        <f t="shared" si="3"/>
        <v>9.0560826926788046E-2</v>
      </c>
      <c r="P13" s="162">
        <f t="shared" si="3"/>
        <v>8.8217349188469615E-2</v>
      </c>
      <c r="Q13" s="162">
        <f t="shared" si="3"/>
        <v>8.6014318592519984E-2</v>
      </c>
      <c r="R13" s="162">
        <f t="shared" si="3"/>
        <v>8.3702567597755323E-2</v>
      </c>
      <c r="S13" s="162">
        <f t="shared" si="3"/>
        <v>8.1672302821691217E-2</v>
      </c>
    </row>
    <row r="14" spans="2:19">
      <c r="B14" s="74" t="s">
        <v>192</v>
      </c>
      <c r="C14" s="76" t="s">
        <v>304</v>
      </c>
      <c r="D14" s="75"/>
      <c r="E14" s="76" t="s">
        <v>318</v>
      </c>
      <c r="F14" s="76">
        <f t="shared" si="2"/>
        <v>2025</v>
      </c>
      <c r="G14" s="76"/>
      <c r="H14" s="160">
        <f t="array" ref="H14">SUMIFS($N$8:$S$8,$N$7:$S$7,$F14) * SUM($N$12:$S$15 * ($N$11:$S$11=$F14) * ($M$12:$M$15=$B14)) / 1000</f>
        <v>5.2416206699348376</v>
      </c>
      <c r="I14" s="151">
        <f>I13</f>
        <v>0.3</v>
      </c>
      <c r="M14" s="46" t="s">
        <v>205</v>
      </c>
      <c r="N14" s="162">
        <f t="shared" si="3"/>
        <v>0.68144958298943659</v>
      </c>
      <c r="O14" s="162">
        <f t="shared" si="3"/>
        <v>0.68452288331768429</v>
      </c>
      <c r="P14" s="162">
        <f t="shared" si="3"/>
        <v>0.68666958936244515</v>
      </c>
      <c r="Q14" s="162">
        <f t="shared" si="3"/>
        <v>0.68905982637058005</v>
      </c>
      <c r="R14" s="162">
        <f t="shared" si="3"/>
        <v>0.69177224397606252</v>
      </c>
      <c r="S14" s="162">
        <f t="shared" si="3"/>
        <v>0.69397371869641777</v>
      </c>
    </row>
    <row r="15" spans="2:19">
      <c r="B15" s="69" t="s">
        <v>205</v>
      </c>
      <c r="C15" s="71" t="s">
        <v>304</v>
      </c>
      <c r="D15" s="70"/>
      <c r="E15" s="71" t="s">
        <v>318</v>
      </c>
      <c r="F15" s="71">
        <f t="shared" si="2"/>
        <v>2025</v>
      </c>
      <c r="G15" s="71"/>
      <c r="H15" s="159">
        <f t="array" ref="H15">SUMIFS($N$8:$S$8,$N$7:$S$7,$F15) * SUM($N$12:$S$15 * ($N$11:$S$11=$F15) * ($M$12:$M$15=$B15)) / 1000</f>
        <v>40.799928201518647</v>
      </c>
      <c r="I15" s="150">
        <f t="shared" ref="I15:I28" si="4">I14</f>
        <v>0.3</v>
      </c>
      <c r="M15" s="46" t="s">
        <v>210</v>
      </c>
      <c r="N15" s="162">
        <f t="shared" si="3"/>
        <v>0.19932155954102421</v>
      </c>
      <c r="O15" s="162">
        <f t="shared" si="3"/>
        <v>0.20070027961027495</v>
      </c>
      <c r="P15" s="162">
        <f t="shared" si="3"/>
        <v>0.20189716612222527</v>
      </c>
      <c r="Q15" s="162">
        <f t="shared" si="3"/>
        <v>0.20260582821200468</v>
      </c>
      <c r="R15" s="162">
        <f t="shared" si="3"/>
        <v>0.20314060794005143</v>
      </c>
      <c r="S15" s="162">
        <f t="shared" si="3"/>
        <v>0.20381362189460267</v>
      </c>
    </row>
    <row r="16" spans="2:19">
      <c r="B16" s="74" t="s">
        <v>210</v>
      </c>
      <c r="C16" s="76" t="s">
        <v>304</v>
      </c>
      <c r="D16" s="75"/>
      <c r="E16" s="76" t="s">
        <v>318</v>
      </c>
      <c r="F16" s="76">
        <f t="shared" si="2"/>
        <v>2025</v>
      </c>
      <c r="G16" s="76"/>
      <c r="H16" s="160">
        <f t="array" ref="H16">SUMIFS($N$8:$S$8,$N$7:$S$7,$F16) * SUM($N$12:$S$15 * ($N$11:$S$11=$F16) * ($M$12:$M$15=$B16)) / 1000</f>
        <v>11.996147797261674</v>
      </c>
      <c r="I16" s="151">
        <f t="shared" si="4"/>
        <v>0.3</v>
      </c>
    </row>
    <row r="17" spans="2:19">
      <c r="B17" s="70" t="s">
        <v>187</v>
      </c>
      <c r="C17" s="71" t="s">
        <v>304</v>
      </c>
      <c r="D17" s="70"/>
      <c r="E17" s="71" t="s">
        <v>318</v>
      </c>
      <c r="F17" s="71">
        <f>F13+5</f>
        <v>2030</v>
      </c>
      <c r="G17" s="71"/>
      <c r="H17" s="159">
        <f t="array" ref="H17">SUMIFS($N$8:$S$8,$N$7:$S$7,$F17) * SUM($N$12:$S$15 * ($N$11:$S$11=$F17) * ($M$12:$M$15=$B17)) / 1000</f>
        <v>1.3287457029054517</v>
      </c>
      <c r="I17" s="150">
        <f t="shared" si="4"/>
        <v>0.3</v>
      </c>
    </row>
    <row r="18" spans="2:19">
      <c r="B18" s="75" t="s">
        <v>192</v>
      </c>
      <c r="C18" s="76" t="s">
        <v>304</v>
      </c>
      <c r="D18" s="75"/>
      <c r="E18" s="76" t="s">
        <v>318</v>
      </c>
      <c r="F18" s="76">
        <f t="shared" ref="F18:F28" si="5">F14+5</f>
        <v>2030</v>
      </c>
      <c r="G18" s="76"/>
      <c r="H18" s="160">
        <f t="array" ref="H18">SUMIFS($N$8:$S$8,$N$7:$S$7,$F18) * SUM($N$12:$S$15 * ($N$11:$S$11=$F18) * ($M$12:$M$15=$B18)) / 1000</f>
        <v>5.1205653610896729</v>
      </c>
      <c r="I18" s="151">
        <f t="shared" si="4"/>
        <v>0.3</v>
      </c>
    </row>
    <row r="19" spans="2:19">
      <c r="B19" s="70" t="s">
        <v>205</v>
      </c>
      <c r="C19" s="71" t="s">
        <v>304</v>
      </c>
      <c r="D19" s="70"/>
      <c r="E19" s="71" t="s">
        <v>318</v>
      </c>
      <c r="F19" s="71">
        <f t="shared" si="5"/>
        <v>2030</v>
      </c>
      <c r="G19" s="71"/>
      <c r="H19" s="159">
        <f t="array" ref="H19">SUMIFS($N$8:$S$8,$N$7:$S$7,$F19) * SUM($N$12:$S$15 * ($N$11:$S$11=$F19) * ($M$12:$M$15=$B19)) / 1000</f>
        <v>41.020796727424077</v>
      </c>
      <c r="I19" s="150">
        <f t="shared" si="4"/>
        <v>0.3</v>
      </c>
      <c r="N19" s="46"/>
      <c r="O19" s="46"/>
      <c r="P19" s="46"/>
      <c r="Q19" s="46"/>
      <c r="R19" s="46"/>
      <c r="S19" s="46"/>
    </row>
    <row r="20" spans="2:19">
      <c r="B20" s="75" t="s">
        <v>210</v>
      </c>
      <c r="C20" s="76" t="s">
        <v>304</v>
      </c>
      <c r="D20" s="75"/>
      <c r="E20" s="76" t="s">
        <v>318</v>
      </c>
      <c r="F20" s="76">
        <f t="shared" si="5"/>
        <v>2030</v>
      </c>
      <c r="G20" s="76"/>
      <c r="H20" s="160">
        <f t="array" ref="H20">SUMIFS($N$8:$S$8,$N$7:$S$7,$F20) * SUM($N$12:$S$15 * ($N$11:$S$11=$F20) * ($M$12:$M$15=$B20)) / 1000</f>
        <v>12.061438175335327</v>
      </c>
      <c r="I20" s="151">
        <f t="shared" si="4"/>
        <v>0.3</v>
      </c>
      <c r="M20" s="46"/>
    </row>
    <row r="21" spans="2:19">
      <c r="B21" s="70" t="s">
        <v>187</v>
      </c>
      <c r="C21" s="71" t="s">
        <v>304</v>
      </c>
      <c r="D21" s="70"/>
      <c r="E21" s="71" t="s">
        <v>318</v>
      </c>
      <c r="F21" s="71">
        <f t="shared" si="5"/>
        <v>2035</v>
      </c>
      <c r="G21" s="71"/>
      <c r="H21" s="159">
        <f t="array" ref="H21">SUMIFS($N$8:$S$8,$N$7:$S$7,$F21) * SUM($N$12:$S$15 * ($N$11:$S$11=$F21) * ($M$12:$M$15=$B21)) / 1000</f>
        <v>1.2655567079150138</v>
      </c>
      <c r="I21" s="150">
        <f t="shared" si="4"/>
        <v>0.3</v>
      </c>
      <c r="M21" s="46"/>
    </row>
    <row r="22" spans="2:19">
      <c r="B22" s="75" t="s">
        <v>192</v>
      </c>
      <c r="C22" s="76" t="s">
        <v>304</v>
      </c>
      <c r="D22" s="75"/>
      <c r="E22" s="76" t="s">
        <v>318</v>
      </c>
      <c r="F22" s="76">
        <f t="shared" si="5"/>
        <v>2035</v>
      </c>
      <c r="G22" s="76"/>
      <c r="H22" s="160">
        <f t="array" ref="H22">SUMIFS($N$8:$S$8,$N$7:$S$7,$F22) * SUM($N$12:$S$15 * ($N$11:$S$11=$F22) * ($M$12:$M$15=$B22)) / 1000</f>
        <v>4.9535854099056431</v>
      </c>
      <c r="I22" s="151">
        <f t="shared" si="4"/>
        <v>0.3</v>
      </c>
      <c r="M22" s="46"/>
    </row>
    <row r="23" spans="2:19">
      <c r="B23" s="70" t="s">
        <v>205</v>
      </c>
      <c r="C23" s="71" t="s">
        <v>304</v>
      </c>
      <c r="D23" s="70"/>
      <c r="E23" s="71" t="s">
        <v>318</v>
      </c>
      <c r="F23" s="71">
        <f t="shared" si="5"/>
        <v>2035</v>
      </c>
      <c r="G23" s="71"/>
      <c r="H23" s="159">
        <f t="array" ref="H23">SUMIFS($N$8:$S$8,$N$7:$S$7,$F23) * SUM($N$12:$S$15 * ($N$11:$S$11=$F23) * ($M$12:$M$15=$B23)) / 1000</f>
        <v>40.939638927269975</v>
      </c>
      <c r="I23" s="150">
        <f t="shared" si="4"/>
        <v>0.3</v>
      </c>
      <c r="M23" s="46"/>
    </row>
    <row r="24" spans="2:19">
      <c r="B24" s="75" t="s">
        <v>210</v>
      </c>
      <c r="C24" s="76" t="s">
        <v>304</v>
      </c>
      <c r="D24" s="75"/>
      <c r="E24" s="76" t="s">
        <v>318</v>
      </c>
      <c r="F24" s="76">
        <f t="shared" si="5"/>
        <v>2035</v>
      </c>
      <c r="G24" s="76"/>
      <c r="H24" s="160">
        <f t="array" ref="H24">SUMIFS($N$8:$S$8,$N$7:$S$7,$F24) * SUM($N$12:$S$15 * ($N$11:$S$11=$F24) * ($M$12:$M$15=$B24)) / 1000</f>
        <v>12.022024897575387</v>
      </c>
      <c r="I24" s="151">
        <f t="shared" si="4"/>
        <v>0.3</v>
      </c>
    </row>
    <row r="25" spans="2:19">
      <c r="B25" s="70" t="s">
        <v>187</v>
      </c>
      <c r="C25" s="71" t="s">
        <v>304</v>
      </c>
      <c r="D25" s="70"/>
      <c r="E25" s="71" t="s">
        <v>318</v>
      </c>
      <c r="F25" s="71">
        <f t="shared" si="5"/>
        <v>2040</v>
      </c>
      <c r="G25" s="71"/>
      <c r="H25" s="159">
        <f t="array" ref="H25">SUMIFS($N$8:$S$8,$N$7:$S$7,$F25) * SUM($N$12:$S$15 * ($N$11:$S$11=$F25) * ($M$12:$M$15=$B25)) / 1000</f>
        <v>1.207928410579487</v>
      </c>
      <c r="I25" s="150">
        <f t="shared" si="4"/>
        <v>0.3</v>
      </c>
    </row>
    <row r="26" spans="2:19">
      <c r="B26" s="75" t="s">
        <v>192</v>
      </c>
      <c r="C26" s="76" t="s">
        <v>304</v>
      </c>
      <c r="D26" s="75"/>
      <c r="E26" s="76" t="s">
        <v>318</v>
      </c>
      <c r="F26" s="76">
        <f t="shared" si="5"/>
        <v>2040</v>
      </c>
      <c r="G26" s="76"/>
      <c r="H26" s="160">
        <f t="array" ref="H26">SUMIFS($N$8:$S$8,$N$7:$S$7,$F26) * SUM($N$12:$S$15 * ($N$11:$S$11=$F26) * ($M$12:$M$15=$B26)) / 1000</f>
        <v>4.8029494773633141</v>
      </c>
      <c r="I26" s="151">
        <f t="shared" si="4"/>
        <v>0.3</v>
      </c>
    </row>
    <row r="27" spans="2:19">
      <c r="B27" s="70" t="s">
        <v>205</v>
      </c>
      <c r="C27" s="71" t="s">
        <v>304</v>
      </c>
      <c r="D27" s="70"/>
      <c r="E27" s="71" t="s">
        <v>318</v>
      </c>
      <c r="F27" s="71">
        <f t="shared" si="5"/>
        <v>2040</v>
      </c>
      <c r="G27" s="71"/>
      <c r="H27" s="159">
        <f t="array" ref="H27">SUMIFS($N$8:$S$8,$N$7:$S$7,$F27) * SUM($N$12:$S$15 * ($N$11:$S$11=$F27) * ($M$12:$M$15=$B27)) / 1000</f>
        <v>40.810906443935821</v>
      </c>
      <c r="I27" s="150">
        <f t="shared" si="4"/>
        <v>0.3</v>
      </c>
    </row>
    <row r="28" spans="2:19">
      <c r="B28" s="75" t="s">
        <v>210</v>
      </c>
      <c r="C28" s="76" t="s">
        <v>304</v>
      </c>
      <c r="D28" s="75"/>
      <c r="E28" s="76" t="s">
        <v>318</v>
      </c>
      <c r="F28" s="76">
        <f t="shared" si="5"/>
        <v>2040</v>
      </c>
      <c r="G28" s="76"/>
      <c r="H28" s="160">
        <f t="array" ref="H28">SUMIFS($N$8:$S$8,$N$7:$S$7,$F28) * SUM($N$12:$S$15 * ($N$11:$S$11=$F28) * ($M$12:$M$15=$B28)) / 1000</f>
        <v>11.98578336765374</v>
      </c>
      <c r="I28" s="151">
        <f t="shared" si="4"/>
        <v>0.3</v>
      </c>
    </row>
    <row r="36" spans="2:21">
      <c r="B36" t="s">
        <v>211</v>
      </c>
    </row>
    <row r="38" spans="2:21">
      <c r="B38" t="s">
        <v>184</v>
      </c>
    </row>
    <row r="39" spans="2:21">
      <c r="B39" s="46" t="s">
        <v>185</v>
      </c>
      <c r="C39" s="46">
        <v>2010</v>
      </c>
      <c r="D39" s="46">
        <v>2011</v>
      </c>
      <c r="E39" s="46">
        <v>2012</v>
      </c>
      <c r="F39" s="46">
        <v>2013</v>
      </c>
      <c r="G39" s="46">
        <v>2014</v>
      </c>
      <c r="H39" s="46">
        <v>2015</v>
      </c>
      <c r="I39" s="46">
        <v>2016</v>
      </c>
      <c r="J39" s="46">
        <v>2017</v>
      </c>
      <c r="K39" s="46">
        <v>2018</v>
      </c>
      <c r="L39" s="46">
        <v>2019</v>
      </c>
      <c r="M39" s="46">
        <v>2020</v>
      </c>
      <c r="N39" s="46">
        <v>2021</v>
      </c>
      <c r="O39" s="46">
        <v>2022</v>
      </c>
      <c r="P39" s="46">
        <v>2025</v>
      </c>
      <c r="Q39" s="46">
        <v>2030</v>
      </c>
      <c r="T39" s="46">
        <v>2035</v>
      </c>
      <c r="U39" s="46">
        <v>2040</v>
      </c>
    </row>
    <row r="40" spans="2:21">
      <c r="B40" t="s">
        <v>186</v>
      </c>
      <c r="C40" s="28">
        <v>249019</v>
      </c>
      <c r="D40" s="28">
        <v>248609</v>
      </c>
      <c r="E40" s="28">
        <v>248545</v>
      </c>
      <c r="F40" s="28">
        <v>248637</v>
      </c>
      <c r="G40" s="28">
        <v>249436</v>
      </c>
      <c r="H40" s="28">
        <v>249987</v>
      </c>
      <c r="I40" s="28">
        <v>249733</v>
      </c>
      <c r="J40" s="28">
        <v>250570</v>
      </c>
      <c r="K40" s="28">
        <v>251295</v>
      </c>
      <c r="L40" s="28">
        <v>250497</v>
      </c>
      <c r="M40" s="28">
        <v>250093</v>
      </c>
      <c r="N40" s="28">
        <v>249614</v>
      </c>
      <c r="O40" s="28">
        <v>249693</v>
      </c>
      <c r="P40" s="82">
        <v>246676.9902</v>
      </c>
      <c r="Q40" s="82">
        <v>242598.11259999999</v>
      </c>
      <c r="T40" s="28">
        <f t="array" ref="T40">TREND($C40:$Q40,$C$39:$Q$39,T$39)</f>
        <v>245480.09631371929</v>
      </c>
      <c r="U40" s="28">
        <f t="array" ref="U40">TREND($C40:$Q40,$C$39:$Q$39,U$39)</f>
        <v>244472.43108291377</v>
      </c>
    </row>
    <row r="41" spans="2:21">
      <c r="B41" t="s">
        <v>187</v>
      </c>
      <c r="C41" s="52">
        <f>C40</f>
        <v>249019</v>
      </c>
      <c r="D41" s="54">
        <v>248609</v>
      </c>
      <c r="E41" s="54">
        <v>248545</v>
      </c>
      <c r="F41" s="54">
        <v>248637</v>
      </c>
      <c r="G41" s="54">
        <v>249436</v>
      </c>
      <c r="H41" s="54">
        <v>249987</v>
      </c>
      <c r="I41" s="54">
        <v>249733</v>
      </c>
      <c r="J41" s="54">
        <v>250570</v>
      </c>
      <c r="K41" s="54">
        <v>251295</v>
      </c>
      <c r="L41" s="54">
        <v>250497</v>
      </c>
      <c r="M41" s="54">
        <v>250093</v>
      </c>
      <c r="N41" s="54">
        <v>249614</v>
      </c>
      <c r="O41" s="54">
        <v>249693</v>
      </c>
      <c r="P41" s="54">
        <f>P40</f>
        <v>246676.9902</v>
      </c>
      <c r="Q41" s="54">
        <f>Q40</f>
        <v>242598.11259999999</v>
      </c>
      <c r="T41" s="54">
        <f>T40</f>
        <v>245480.09631371929</v>
      </c>
      <c r="U41" s="54">
        <f>U40</f>
        <v>244472.43108291377</v>
      </c>
    </row>
    <row r="42" spans="2:21">
      <c r="B42" t="s">
        <v>188</v>
      </c>
      <c r="C42" s="28">
        <v>276220</v>
      </c>
      <c r="D42" s="28">
        <v>276508</v>
      </c>
      <c r="E42" s="28">
        <v>276130</v>
      </c>
      <c r="F42" s="28">
        <v>276637</v>
      </c>
      <c r="G42" s="28">
        <v>277970</v>
      </c>
      <c r="H42" s="28">
        <v>279991</v>
      </c>
      <c r="I42" s="28">
        <v>281815</v>
      </c>
      <c r="J42" s="28">
        <v>284586</v>
      </c>
      <c r="K42" s="28">
        <v>285637</v>
      </c>
      <c r="L42" s="28">
        <v>286547</v>
      </c>
      <c r="M42" s="28">
        <v>287382</v>
      </c>
      <c r="N42" s="28">
        <v>287502</v>
      </c>
      <c r="O42" s="28">
        <v>287767</v>
      </c>
      <c r="P42" s="82">
        <v>287507.95120000001</v>
      </c>
      <c r="Q42" s="82">
        <v>286504.39559999999</v>
      </c>
      <c r="T42" s="28">
        <f t="array" ref="T42">TREND($C42:$Q42,$C$39:$Q$39,T$39)</f>
        <v>295697.00214285729</v>
      </c>
      <c r="U42" s="28">
        <f t="array" ref="U42">TREND($C42:$Q42,$C$39:$Q$39,U$39)</f>
        <v>299451.78621428576</v>
      </c>
    </row>
    <row r="43" spans="2:21">
      <c r="B43" t="s">
        <v>189</v>
      </c>
      <c r="C43" s="28">
        <v>243042</v>
      </c>
      <c r="D43" s="28">
        <v>242625</v>
      </c>
      <c r="E43" s="28">
        <v>242155</v>
      </c>
      <c r="F43" s="28">
        <v>241981</v>
      </c>
      <c r="G43" s="28">
        <v>242156</v>
      </c>
      <c r="H43" s="28">
        <v>243061</v>
      </c>
      <c r="I43" s="28">
        <v>243897</v>
      </c>
      <c r="J43" s="28">
        <v>245572</v>
      </c>
      <c r="K43" s="28">
        <v>245968</v>
      </c>
      <c r="L43" s="28">
        <v>245453</v>
      </c>
      <c r="M43" s="28">
        <v>245347</v>
      </c>
      <c r="N43" s="28">
        <v>244554</v>
      </c>
      <c r="O43" s="28">
        <v>244193</v>
      </c>
      <c r="P43" s="82">
        <v>241393.47150000001</v>
      </c>
      <c r="Q43" s="82">
        <v>236925.7795</v>
      </c>
      <c r="T43" s="28">
        <f t="array" ref="T43">TREND($C43:$Q43,$C$39:$Q$39,T$39)</f>
        <v>240965.79869808059</v>
      </c>
      <c r="U43" s="28">
        <f t="array" ref="U43">TREND($C43:$Q43,$C$39:$Q$39,U$39)</f>
        <v>240320.06834447768</v>
      </c>
    </row>
    <row r="44" spans="2:21">
      <c r="B44" t="s">
        <v>190</v>
      </c>
      <c r="C44" s="28">
        <v>126666</v>
      </c>
      <c r="D44" s="28">
        <v>126691</v>
      </c>
      <c r="E44" s="28">
        <v>126299</v>
      </c>
      <c r="F44" s="28">
        <v>126201</v>
      </c>
      <c r="G44" s="28">
        <v>126461</v>
      </c>
      <c r="H44" s="28">
        <v>126765</v>
      </c>
      <c r="I44" s="28">
        <v>127376</v>
      </c>
      <c r="J44" s="28">
        <v>128673</v>
      </c>
      <c r="K44" s="28">
        <v>129806</v>
      </c>
      <c r="L44" s="28">
        <v>130280</v>
      </c>
      <c r="M44" s="28">
        <v>130810</v>
      </c>
      <c r="N44" s="28">
        <v>131155</v>
      </c>
      <c r="O44" s="28">
        <v>132054</v>
      </c>
      <c r="P44" s="82">
        <v>132009.3646</v>
      </c>
      <c r="Q44" s="82">
        <v>131952.2892</v>
      </c>
      <c r="T44" s="28">
        <f t="array" ref="T44">TREND($C44:$Q44,$C$39:$Q$39,T$39)</f>
        <v>135669.21379735682</v>
      </c>
      <c r="U44" s="28">
        <f t="array" ref="U44">TREND($C44:$Q44,$C$39:$Q$39,U$39)</f>
        <v>137612.71672026429</v>
      </c>
    </row>
    <row r="45" spans="2:21">
      <c r="B45" t="s">
        <v>191</v>
      </c>
      <c r="C45" s="28">
        <v>258548</v>
      </c>
      <c r="D45" s="28">
        <v>259286</v>
      </c>
      <c r="E45" s="28">
        <v>259667</v>
      </c>
      <c r="F45" s="28">
        <v>260217</v>
      </c>
      <c r="G45" s="28">
        <v>261112</v>
      </c>
      <c r="H45" s="28">
        <v>262362</v>
      </c>
      <c r="I45" s="28">
        <v>263378</v>
      </c>
      <c r="J45" s="28">
        <v>265881</v>
      </c>
      <c r="K45" s="28">
        <v>268465</v>
      </c>
      <c r="L45" s="28">
        <v>270154</v>
      </c>
      <c r="M45" s="28">
        <v>271736</v>
      </c>
      <c r="N45" s="28">
        <v>273192</v>
      </c>
      <c r="O45" s="28">
        <v>274563</v>
      </c>
      <c r="P45" s="82">
        <v>276429.3357</v>
      </c>
      <c r="Q45" s="82">
        <v>279513.87390000001</v>
      </c>
      <c r="T45" s="28">
        <f t="array" ref="T45">TREND($C45:$Q45,$C$39:$Q$39,T$39)</f>
        <v>288515.18874402158</v>
      </c>
      <c r="U45" s="28">
        <f t="array" ref="U45">TREND($C45:$Q45,$C$39:$Q$39,U$39)</f>
        <v>294683.578468455</v>
      </c>
    </row>
    <row r="46" spans="2:21">
      <c r="B46" t="s">
        <v>192</v>
      </c>
      <c r="C46" s="52">
        <f>SUM(C42:C45)</f>
        <v>904476</v>
      </c>
      <c r="D46" s="54">
        <v>905110</v>
      </c>
      <c r="E46" s="54">
        <v>904251</v>
      </c>
      <c r="F46" s="54">
        <v>905036</v>
      </c>
      <c r="G46" s="54">
        <v>907699</v>
      </c>
      <c r="H46" s="54">
        <v>912179</v>
      </c>
      <c r="I46" s="54">
        <v>916466</v>
      </c>
      <c r="J46" s="54">
        <v>924712</v>
      </c>
      <c r="K46" s="54">
        <v>929876</v>
      </c>
      <c r="L46" s="54">
        <v>932434</v>
      </c>
      <c r="M46" s="54">
        <v>935275</v>
      </c>
      <c r="N46" s="54">
        <v>936403</v>
      </c>
      <c r="O46" s="54">
        <v>938577</v>
      </c>
      <c r="P46" s="54">
        <f>SUM(P42:P45)</f>
        <v>937340.12299999991</v>
      </c>
      <c r="Q46" s="54">
        <f>SUM(Q42:Q45)</f>
        <v>934896.3382</v>
      </c>
      <c r="T46" s="54">
        <f>SUM(T42:T45)</f>
        <v>960847.20338231628</v>
      </c>
      <c r="U46" s="54">
        <f>SUM(U42:U45)</f>
        <v>972068.14974748273</v>
      </c>
    </row>
    <row r="47" spans="2:21">
      <c r="B47" t="s">
        <v>193</v>
      </c>
      <c r="C47" s="28">
        <v>2019182</v>
      </c>
      <c r="D47" s="28">
        <v>2054343</v>
      </c>
      <c r="E47" s="28">
        <v>2091473</v>
      </c>
      <c r="F47" s="28">
        <v>2127006</v>
      </c>
      <c r="G47" s="28">
        <v>2163042</v>
      </c>
      <c r="H47" s="28">
        <v>2198044</v>
      </c>
      <c r="I47" s="28">
        <v>2231439</v>
      </c>
      <c r="J47" s="28">
        <v>2269060</v>
      </c>
      <c r="K47" s="28">
        <v>2308143</v>
      </c>
      <c r="L47" s="28">
        <v>2344124</v>
      </c>
      <c r="M47" s="28">
        <v>2377081</v>
      </c>
      <c r="N47" s="28">
        <v>2391990</v>
      </c>
      <c r="O47" s="28">
        <v>2415139</v>
      </c>
      <c r="P47" s="82">
        <v>2485769.6282000002</v>
      </c>
      <c r="Q47" s="82">
        <v>2585006.9767</v>
      </c>
      <c r="T47" s="28">
        <f t="array" ref="T47">TREND($C47:$Q47,$C$39:$Q$39,T$39)</f>
        <v>2788225.603074111</v>
      </c>
      <c r="U47" s="28">
        <f t="array" ref="U47">TREND($C47:$Q47,$C$39:$Q$39,U$39)</f>
        <v>2936365.7069140226</v>
      </c>
    </row>
    <row r="48" spans="2:21">
      <c r="B48" t="s">
        <v>194</v>
      </c>
      <c r="C48" s="28">
        <v>331898</v>
      </c>
      <c r="D48" s="28">
        <v>335882</v>
      </c>
      <c r="E48" s="28">
        <v>338630</v>
      </c>
      <c r="F48" s="28">
        <v>341977</v>
      </c>
      <c r="G48" s="28">
        <v>345481</v>
      </c>
      <c r="H48" s="28">
        <v>348942</v>
      </c>
      <c r="I48" s="28">
        <v>354164</v>
      </c>
      <c r="J48" s="28">
        <v>361373</v>
      </c>
      <c r="K48" s="28">
        <v>368971</v>
      </c>
      <c r="L48" s="28">
        <v>376354</v>
      </c>
      <c r="M48" s="28">
        <v>383713</v>
      </c>
      <c r="N48" s="28">
        <v>388394</v>
      </c>
      <c r="O48" s="28">
        <v>395026</v>
      </c>
      <c r="P48" s="82">
        <v>407662.8126</v>
      </c>
      <c r="Q48" s="82">
        <v>426440.70079999999</v>
      </c>
      <c r="T48" s="28">
        <f t="array" ref="T48">TREND($C48:$Q48,$C$39:$Q$39,T$39)</f>
        <v>456957.56984581426</v>
      </c>
      <c r="U48" s="28">
        <f t="array" ref="U48">TREND($C48:$Q48,$C$39:$Q$39,U$39)</f>
        <v>482710.52851541899</v>
      </c>
    </row>
    <row r="49" spans="2:21">
      <c r="B49" t="s">
        <v>195</v>
      </c>
      <c r="C49" s="28">
        <v>269053</v>
      </c>
      <c r="D49" s="28">
        <v>270738</v>
      </c>
      <c r="E49" s="28">
        <v>272563</v>
      </c>
      <c r="F49" s="28">
        <v>274723</v>
      </c>
      <c r="G49" s="28">
        <v>277569</v>
      </c>
      <c r="H49" s="28">
        <v>280666</v>
      </c>
      <c r="I49" s="28">
        <v>283712</v>
      </c>
      <c r="J49" s="28">
        <v>288097</v>
      </c>
      <c r="K49" s="28">
        <v>291341</v>
      </c>
      <c r="L49" s="28">
        <v>294695</v>
      </c>
      <c r="M49" s="28">
        <v>297540</v>
      </c>
      <c r="N49" s="28">
        <v>299401</v>
      </c>
      <c r="O49" s="28">
        <v>301801</v>
      </c>
      <c r="P49" s="82">
        <v>306173.41830000002</v>
      </c>
      <c r="Q49" s="82">
        <v>311959.39250000002</v>
      </c>
      <c r="T49" s="28">
        <f t="array" ref="T49">TREND($C49:$Q49,$C$39:$Q$39,T$39)</f>
        <v>330605.78915654495</v>
      </c>
      <c r="U49" s="28">
        <f t="array" ref="U49">TREND($C49:$Q49,$C$39:$Q$39,U$39)</f>
        <v>342801.49577005953</v>
      </c>
    </row>
    <row r="50" spans="2:21">
      <c r="B50" t="s">
        <v>196</v>
      </c>
      <c r="C50" s="28">
        <v>427106</v>
      </c>
      <c r="D50" s="28">
        <v>429642</v>
      </c>
      <c r="E50" s="28">
        <v>431075</v>
      </c>
      <c r="F50" s="28">
        <v>433784</v>
      </c>
      <c r="G50" s="28">
        <v>437848</v>
      </c>
      <c r="H50" s="28">
        <v>442105</v>
      </c>
      <c r="I50" s="28">
        <v>445661</v>
      </c>
      <c r="J50" s="28">
        <v>452105</v>
      </c>
      <c r="K50" s="28">
        <v>457496</v>
      </c>
      <c r="L50" s="28">
        <v>461583</v>
      </c>
      <c r="M50" s="28">
        <v>465495</v>
      </c>
      <c r="N50" s="28">
        <v>467158</v>
      </c>
      <c r="O50" s="28">
        <v>469704</v>
      </c>
      <c r="P50" s="82">
        <v>476486.53720000002</v>
      </c>
      <c r="Q50" s="82">
        <v>486557.9498</v>
      </c>
      <c r="T50" s="28">
        <f t="array" ref="T50">TREND($C50:$Q50,$C$39:$Q$39,T$39)</f>
        <v>510453.31958747655</v>
      </c>
      <c r="U50" s="28">
        <f t="array" ref="U50">TREND($C50:$Q50,$C$39:$Q$39,U$39)</f>
        <v>527113.49719839543</v>
      </c>
    </row>
    <row r="51" spans="2:21">
      <c r="B51" t="s">
        <v>197</v>
      </c>
      <c r="C51" s="28">
        <v>336044</v>
      </c>
      <c r="D51" s="28">
        <v>336866</v>
      </c>
      <c r="E51" s="28">
        <v>337896</v>
      </c>
      <c r="F51" s="28">
        <v>339116</v>
      </c>
      <c r="G51" s="28">
        <v>341235</v>
      </c>
      <c r="H51" s="28">
        <v>344262</v>
      </c>
      <c r="I51" s="28">
        <v>347837</v>
      </c>
      <c r="J51" s="28">
        <v>352735</v>
      </c>
      <c r="K51" s="28">
        <v>357237</v>
      </c>
      <c r="L51" s="28">
        <v>360825</v>
      </c>
      <c r="M51" s="28">
        <v>363599</v>
      </c>
      <c r="N51" s="28">
        <v>365010</v>
      </c>
      <c r="O51" s="28">
        <v>367064</v>
      </c>
      <c r="P51" s="82">
        <v>371248.19290000002</v>
      </c>
      <c r="Q51" s="82">
        <v>377059.6421</v>
      </c>
      <c r="T51" s="28">
        <f t="array" ref="T51">TREND($C51:$Q51,$C$39:$Q$39,T$39)</f>
        <v>395728.7322924789</v>
      </c>
      <c r="U51" s="28">
        <f t="array" ref="U51">TREND($C51:$Q51,$C$39:$Q$39,U$39)</f>
        <v>407902.34201360866</v>
      </c>
    </row>
    <row r="52" spans="2:21">
      <c r="B52" t="s">
        <v>198</v>
      </c>
      <c r="C52" s="28">
        <v>1569458</v>
      </c>
      <c r="D52" s="28">
        <v>1580297</v>
      </c>
      <c r="E52" s="28">
        <v>1590604</v>
      </c>
      <c r="F52" s="28">
        <v>1600447</v>
      </c>
      <c r="G52" s="28">
        <v>1615084</v>
      </c>
      <c r="H52" s="28">
        <v>1632012</v>
      </c>
      <c r="I52" s="28">
        <v>1648682</v>
      </c>
      <c r="J52" s="28">
        <v>1671783</v>
      </c>
      <c r="K52" s="28">
        <v>1690782</v>
      </c>
      <c r="L52" s="28">
        <v>1709814</v>
      </c>
      <c r="M52" s="28">
        <v>1725881</v>
      </c>
      <c r="N52" s="28">
        <v>1734443</v>
      </c>
      <c r="O52" s="28">
        <v>1744859</v>
      </c>
      <c r="P52" s="82">
        <v>1775156.9040999999</v>
      </c>
      <c r="Q52" s="82">
        <v>1817973.976</v>
      </c>
      <c r="T52" s="28">
        <f t="array" ref="T52">TREND($C52:$Q52,$C$39:$Q$39,T$39)</f>
        <v>1913465.8211450577</v>
      </c>
      <c r="U52" s="28">
        <f t="array" ref="U52">TREND($C52:$Q52,$C$39:$Q$39,U$39)</f>
        <v>1982067.1653640643</v>
      </c>
    </row>
    <row r="53" spans="2:21">
      <c r="B53" t="s">
        <v>199</v>
      </c>
      <c r="C53" s="28">
        <v>273257</v>
      </c>
      <c r="D53" s="28">
        <v>273265</v>
      </c>
      <c r="E53" s="28">
        <v>272736</v>
      </c>
      <c r="F53" s="28">
        <v>273080</v>
      </c>
      <c r="G53" s="28">
        <v>273815</v>
      </c>
      <c r="H53" s="28">
        <v>274691</v>
      </c>
      <c r="I53" s="28">
        <v>275904</v>
      </c>
      <c r="J53" s="28">
        <v>279334</v>
      </c>
      <c r="K53" s="28">
        <v>280399</v>
      </c>
      <c r="L53" s="28">
        <v>281482</v>
      </c>
      <c r="M53" s="28">
        <v>282414</v>
      </c>
      <c r="N53" s="28">
        <v>282885</v>
      </c>
      <c r="O53" s="28">
        <v>283196</v>
      </c>
      <c r="P53" s="82">
        <v>282635.23460000003</v>
      </c>
      <c r="Q53" s="82">
        <v>281936.57990000001</v>
      </c>
      <c r="T53" s="28">
        <f t="array" ref="T53">TREND($C53:$Q53,$C$39:$Q$39,T$39)</f>
        <v>289804.78605711134</v>
      </c>
      <c r="U53" s="28">
        <f t="array" ref="U53">TREND($C53:$Q53,$C$39:$Q$39,U$39)</f>
        <v>293164.36575857457</v>
      </c>
    </row>
    <row r="54" spans="2:21">
      <c r="B54" t="s">
        <v>200</v>
      </c>
      <c r="C54" s="28">
        <v>278882</v>
      </c>
      <c r="D54" s="28">
        <v>280230</v>
      </c>
      <c r="E54" s="28">
        <v>281572</v>
      </c>
      <c r="F54" s="28">
        <v>283113</v>
      </c>
      <c r="G54" s="28">
        <v>285395</v>
      </c>
      <c r="H54" s="28">
        <v>288150</v>
      </c>
      <c r="I54" s="28">
        <v>291012</v>
      </c>
      <c r="J54" s="28">
        <v>294941</v>
      </c>
      <c r="K54" s="28">
        <v>298907</v>
      </c>
      <c r="L54" s="28">
        <v>302252</v>
      </c>
      <c r="M54" s="28">
        <v>304805</v>
      </c>
      <c r="N54" s="28">
        <v>305643</v>
      </c>
      <c r="O54" s="28">
        <v>306792</v>
      </c>
      <c r="P54" s="82">
        <v>309956.51189999998</v>
      </c>
      <c r="Q54" s="82">
        <v>314959.2697</v>
      </c>
      <c r="T54" s="28">
        <f t="array" ref="T54">TREND($C54:$Q54,$C$39:$Q$39,T$39)</f>
        <v>331804.59243470756</v>
      </c>
      <c r="U54" s="28">
        <f t="array" ref="U54">TREND($C54:$Q54,$C$39:$Q$39,U$39)</f>
        <v>342309.5371851013</v>
      </c>
    </row>
    <row r="55" spans="2:21">
      <c r="B55" t="s">
        <v>201</v>
      </c>
      <c r="C55" s="28">
        <v>251353</v>
      </c>
      <c r="D55" s="28">
        <v>252756</v>
      </c>
      <c r="E55" s="28">
        <v>254257</v>
      </c>
      <c r="F55" s="28">
        <v>256224</v>
      </c>
      <c r="G55" s="28">
        <v>259054</v>
      </c>
      <c r="H55" s="28">
        <v>261703</v>
      </c>
      <c r="I55" s="28">
        <v>264276</v>
      </c>
      <c r="J55" s="28">
        <v>267629</v>
      </c>
      <c r="K55" s="28">
        <v>271095</v>
      </c>
      <c r="L55" s="28">
        <v>273929</v>
      </c>
      <c r="M55" s="28">
        <v>275845</v>
      </c>
      <c r="N55" s="28">
        <v>277141</v>
      </c>
      <c r="O55" s="28">
        <v>278967</v>
      </c>
      <c r="P55" s="82">
        <v>283069.5993</v>
      </c>
      <c r="Q55" s="82">
        <v>288659.61310000002</v>
      </c>
      <c r="T55" s="28">
        <f t="array" ref="T55">TREND($C55:$Q55,$C$39:$Q$39,T$39)</f>
        <v>304340.57027580263</v>
      </c>
      <c r="U55" s="28">
        <f t="array" ref="U55">TREND($C55:$Q55,$C$39:$Q$39,U$39)</f>
        <v>314820.53862956306</v>
      </c>
    </row>
    <row r="56" spans="2:21">
      <c r="B56" t="s">
        <v>202</v>
      </c>
      <c r="C56" s="28">
        <v>276454</v>
      </c>
      <c r="D56" s="28">
        <v>277047</v>
      </c>
      <c r="E56" s="28">
        <v>276565</v>
      </c>
      <c r="F56" s="28">
        <v>276555</v>
      </c>
      <c r="G56" s="28">
        <v>277349</v>
      </c>
      <c r="H56" s="28">
        <v>278903</v>
      </c>
      <c r="I56" s="28">
        <v>281028</v>
      </c>
      <c r="J56" s="28">
        <v>284531</v>
      </c>
      <c r="K56" s="28">
        <v>286165</v>
      </c>
      <c r="L56" s="28">
        <v>287191</v>
      </c>
      <c r="M56" s="28">
        <v>287966</v>
      </c>
      <c r="N56" s="28">
        <v>287676</v>
      </c>
      <c r="O56" s="28">
        <v>288387</v>
      </c>
      <c r="P56" s="82">
        <v>289007.30900000001</v>
      </c>
      <c r="Q56" s="82">
        <v>288986.766</v>
      </c>
      <c r="T56" s="28">
        <f t="array" ref="T56">TREND($C56:$Q56,$C$39:$Q$39,T$39)</f>
        <v>297975.37224040274</v>
      </c>
      <c r="U56" s="28">
        <f t="array" ref="U56">TREND($C56:$Q56,$C$39:$Q$39,U$39)</f>
        <v>302284.90484738816</v>
      </c>
    </row>
    <row r="57" spans="2:21">
      <c r="B57" t="s">
        <v>203</v>
      </c>
      <c r="C57" s="28">
        <v>233639</v>
      </c>
      <c r="D57" s="28">
        <v>233536</v>
      </c>
      <c r="E57" s="28">
        <v>233090</v>
      </c>
      <c r="F57" s="28">
        <v>233548</v>
      </c>
      <c r="G57" s="28">
        <v>233874</v>
      </c>
      <c r="H57" s="28">
        <v>235598</v>
      </c>
      <c r="I57" s="28">
        <v>237679</v>
      </c>
      <c r="J57" s="28">
        <v>242301</v>
      </c>
      <c r="K57" s="28">
        <v>243536</v>
      </c>
      <c r="L57" s="28">
        <v>244670</v>
      </c>
      <c r="M57" s="28">
        <v>245446</v>
      </c>
      <c r="N57" s="28">
        <v>246010</v>
      </c>
      <c r="O57" s="28">
        <v>247175</v>
      </c>
      <c r="P57" s="82">
        <v>247007.41800000001</v>
      </c>
      <c r="Q57" s="82">
        <v>246693.48180000001</v>
      </c>
      <c r="T57" s="28">
        <f t="array" ref="T57">TREND($C57:$Q57,$C$39:$Q$39,T$39)</f>
        <v>256879.86669005663</v>
      </c>
      <c r="U57" s="28">
        <f t="array" ref="U57">TREND($C57:$Q57,$C$39:$Q$39,U$39)</f>
        <v>261639.31517385156</v>
      </c>
    </row>
    <row r="58" spans="2:21">
      <c r="B58" t="s">
        <v>204</v>
      </c>
      <c r="C58" s="28">
        <v>57221</v>
      </c>
      <c r="D58" s="28">
        <v>57269</v>
      </c>
      <c r="E58" s="28">
        <v>57308</v>
      </c>
      <c r="F58" s="28">
        <v>57241</v>
      </c>
      <c r="G58" s="28">
        <v>57161</v>
      </c>
      <c r="H58" s="28">
        <v>57255</v>
      </c>
      <c r="I58" s="28">
        <v>57391</v>
      </c>
      <c r="J58" s="28">
        <v>58003</v>
      </c>
      <c r="K58" s="28">
        <v>58595</v>
      </c>
      <c r="L58" s="28">
        <v>59249</v>
      </c>
      <c r="M58" s="28">
        <v>59686</v>
      </c>
      <c r="N58" s="28">
        <v>60124</v>
      </c>
      <c r="O58" s="28">
        <v>61001</v>
      </c>
      <c r="P58" s="82">
        <v>61930.468699999998</v>
      </c>
      <c r="Q58" s="82">
        <v>63210.6535</v>
      </c>
      <c r="T58" s="28">
        <f t="array" ref="T58">TREND($C58:$Q58,$C$39:$Q$39,T$39)</f>
        <v>64821.735198395327</v>
      </c>
      <c r="U58" s="28">
        <f t="array" ref="U58">TREND($C58:$Q58,$C$39:$Q$39,U$39)</f>
        <v>66533.20286587486</v>
      </c>
    </row>
    <row r="59" spans="2:21">
      <c r="B59" t="s">
        <v>205</v>
      </c>
      <c r="C59" s="52">
        <f>SUM(C47:C58)</f>
        <v>6323547</v>
      </c>
      <c r="D59" s="54">
        <v>6381871</v>
      </c>
      <c r="E59" s="54">
        <v>6437769</v>
      </c>
      <c r="F59" s="54">
        <v>6496814</v>
      </c>
      <c r="G59" s="54">
        <v>6566907</v>
      </c>
      <c r="H59" s="54">
        <v>6642331</v>
      </c>
      <c r="I59" s="54">
        <v>6718785</v>
      </c>
      <c r="J59" s="54">
        <v>6821892</v>
      </c>
      <c r="K59" s="54">
        <v>6912667</v>
      </c>
      <c r="L59" s="54">
        <v>6996168</v>
      </c>
      <c r="M59" s="54">
        <v>7069471</v>
      </c>
      <c r="N59" s="54">
        <v>7105875</v>
      </c>
      <c r="O59" s="54">
        <v>7159111</v>
      </c>
      <c r="P59" s="54">
        <f>SUM(P47:P58)</f>
        <v>7296104.0348000005</v>
      </c>
      <c r="Q59" s="54">
        <f>SUM(Q47:Q58)</f>
        <v>7489445.0019000005</v>
      </c>
      <c r="T59" s="54">
        <f t="shared" ref="T59:U59" si="6">SUM(T47:T58)</f>
        <v>7941063.7579979589</v>
      </c>
      <c r="U59" s="54">
        <f t="shared" si="6"/>
        <v>8259712.6002359241</v>
      </c>
    </row>
    <row r="60" spans="2:21">
      <c r="B60" t="s">
        <v>206</v>
      </c>
      <c r="C60" s="28">
        <v>152591</v>
      </c>
      <c r="D60" s="28">
        <v>153227</v>
      </c>
      <c r="E60" s="28">
        <v>152979</v>
      </c>
      <c r="F60" s="28">
        <v>152315</v>
      </c>
      <c r="G60" s="28">
        <v>152757</v>
      </c>
      <c r="H60" s="28">
        <v>154157</v>
      </c>
      <c r="I60" s="28">
        <v>156253</v>
      </c>
      <c r="J60" s="28">
        <v>158453</v>
      </c>
      <c r="K60" s="28">
        <v>159371</v>
      </c>
      <c r="L60" s="28">
        <v>159684</v>
      </c>
      <c r="M60" s="28">
        <v>159606</v>
      </c>
      <c r="N60" s="28">
        <v>159056</v>
      </c>
      <c r="O60" s="28">
        <v>158937</v>
      </c>
      <c r="P60" s="82">
        <v>158261.31510000001</v>
      </c>
      <c r="Q60" s="82">
        <v>157129.0018</v>
      </c>
      <c r="T60" s="28">
        <f t="array" ref="T60">TREND($C60:$Q60,$C$39:$Q$39,T$39)</f>
        <v>163004.20997168031</v>
      </c>
      <c r="U60" s="28">
        <f t="array" ref="U60">TREND($C60:$Q60,$C$39:$Q$39,U$39)</f>
        <v>164918.0808242606</v>
      </c>
    </row>
    <row r="61" spans="2:21">
      <c r="B61" t="s">
        <v>207</v>
      </c>
      <c r="C61" s="28">
        <v>1231062</v>
      </c>
      <c r="D61" s="28">
        <v>1243329</v>
      </c>
      <c r="E61" s="28">
        <v>1252933</v>
      </c>
      <c r="F61" s="28">
        <v>1263088</v>
      </c>
      <c r="G61" s="28">
        <v>1274069</v>
      </c>
      <c r="H61" s="28">
        <v>1288908</v>
      </c>
      <c r="I61" s="28">
        <v>1303627</v>
      </c>
      <c r="J61" s="28">
        <v>1324565</v>
      </c>
      <c r="K61" s="28">
        <v>1344689</v>
      </c>
      <c r="L61" s="28">
        <v>1362164</v>
      </c>
      <c r="M61" s="28">
        <v>1377827</v>
      </c>
      <c r="N61" s="28">
        <v>1389336</v>
      </c>
      <c r="O61" s="28">
        <v>1402425</v>
      </c>
      <c r="P61" s="82">
        <v>1433436.8607999999</v>
      </c>
      <c r="Q61" s="82">
        <v>1477704.6233999999</v>
      </c>
      <c r="T61" s="28">
        <f t="array" ref="T61">TREND($C61:$Q61,$C$39:$Q$39,T$39)</f>
        <v>1566291.3374842666</v>
      </c>
      <c r="U61" s="28">
        <f t="array" ref="U61">TREND($C61:$Q61,$C$39:$Q$39,U$39)</f>
        <v>1633566.2721801437</v>
      </c>
    </row>
    <row r="62" spans="2:21">
      <c r="B62" t="s">
        <v>208</v>
      </c>
      <c r="C62" s="28">
        <v>296825</v>
      </c>
      <c r="D62" s="28">
        <v>299484</v>
      </c>
      <c r="E62" s="28">
        <v>301724</v>
      </c>
      <c r="F62" s="28">
        <v>304116</v>
      </c>
      <c r="G62" s="28">
        <v>306840</v>
      </c>
      <c r="H62" s="28">
        <v>310665</v>
      </c>
      <c r="I62" s="28">
        <v>314784</v>
      </c>
      <c r="J62" s="28">
        <v>320333</v>
      </c>
      <c r="K62" s="28">
        <v>324825</v>
      </c>
      <c r="L62" s="28">
        <v>329352</v>
      </c>
      <c r="M62" s="28">
        <v>333848</v>
      </c>
      <c r="N62" s="28">
        <v>336748</v>
      </c>
      <c r="O62" s="28">
        <v>340243</v>
      </c>
      <c r="P62" s="82">
        <v>348458.62119999999</v>
      </c>
      <c r="Q62" s="82">
        <v>359808.26779999997</v>
      </c>
      <c r="T62" s="28">
        <f t="array" ref="T62">TREND($C62:$Q62,$C$39:$Q$39,T$39)</f>
        <v>382345.32420358807</v>
      </c>
      <c r="U62" s="28">
        <f t="array" ref="U62">TREND($C62:$Q62,$C$39:$Q$39,U$39)</f>
        <v>399656.88859392796</v>
      </c>
    </row>
    <row r="63" spans="2:21">
      <c r="B63" t="s">
        <v>209</v>
      </c>
      <c r="C63" s="28">
        <v>183162</v>
      </c>
      <c r="D63" s="28">
        <v>183940</v>
      </c>
      <c r="E63" s="28">
        <v>184654</v>
      </c>
      <c r="F63" s="28">
        <v>185887</v>
      </c>
      <c r="G63" s="28">
        <v>187156</v>
      </c>
      <c r="H63" s="28">
        <v>189128</v>
      </c>
      <c r="I63" s="28">
        <v>191369</v>
      </c>
      <c r="J63" s="28">
        <v>194628</v>
      </c>
      <c r="K63" s="28">
        <v>197519</v>
      </c>
      <c r="L63" s="28">
        <v>199886</v>
      </c>
      <c r="M63" s="28">
        <v>201469</v>
      </c>
      <c r="N63" s="28">
        <v>202263</v>
      </c>
      <c r="O63" s="28">
        <v>203340</v>
      </c>
      <c r="P63" s="82">
        <v>205071.0551</v>
      </c>
      <c r="Q63" s="82">
        <v>207496.65779999999</v>
      </c>
      <c r="T63" s="28">
        <f t="array" ref="T63">TREND($C63:$Q63,$C$39:$Q$39,T$39)</f>
        <v>220271.88364065439</v>
      </c>
      <c r="U63" s="28">
        <f t="array" ref="U63">TREND($C63:$Q63,$C$39:$Q$39,U$39)</f>
        <v>227659.47031450598</v>
      </c>
    </row>
    <row r="64" spans="2:21">
      <c r="B64" t="s">
        <v>210</v>
      </c>
      <c r="C64" s="52">
        <f>SUM(C60:C63)</f>
        <v>1863640</v>
      </c>
      <c r="D64" s="54">
        <v>1879980</v>
      </c>
      <c r="E64" s="54">
        <v>1892290</v>
      </c>
      <c r="F64" s="54">
        <v>1905406</v>
      </c>
      <c r="G64" s="54">
        <v>1920822</v>
      </c>
      <c r="H64" s="54">
        <v>1942858</v>
      </c>
      <c r="I64" s="54">
        <v>1966033</v>
      </c>
      <c r="J64" s="54">
        <v>1997979</v>
      </c>
      <c r="K64" s="54">
        <v>2026404</v>
      </c>
      <c r="L64" s="54">
        <v>2051086</v>
      </c>
      <c r="M64" s="54">
        <v>2072750</v>
      </c>
      <c r="N64" s="54">
        <v>2087403</v>
      </c>
      <c r="O64" s="54">
        <v>2104945</v>
      </c>
      <c r="P64" s="54">
        <f>SUM(P60:P63)</f>
        <v>2145227.8521999996</v>
      </c>
      <c r="Q64" s="54">
        <f>SUM(Q60:Q63)</f>
        <v>2202138.5507999999</v>
      </c>
      <c r="T64" s="54">
        <f t="shared" ref="T64:U64" si="7">SUM(T60:T63)</f>
        <v>2331912.7553001894</v>
      </c>
      <c r="U64" s="54">
        <f t="shared" si="7"/>
        <v>2425800.7119128383</v>
      </c>
    </row>
    <row r="65" spans="2:21">
      <c r="B65" t="s">
        <v>111</v>
      </c>
      <c r="C65" s="28">
        <f>C41+C46+C59+C64</f>
        <v>9340682</v>
      </c>
      <c r="D65" s="28">
        <v>9415570</v>
      </c>
      <c r="E65" s="28">
        <v>9482855</v>
      </c>
      <c r="F65" s="28">
        <v>9555893</v>
      </c>
      <c r="G65" s="28">
        <v>9644864</v>
      </c>
      <c r="H65" s="28">
        <v>9747355</v>
      </c>
      <c r="I65" s="28">
        <v>9851017</v>
      </c>
      <c r="J65" s="28">
        <v>9995153</v>
      </c>
      <c r="K65" s="28">
        <v>10120242</v>
      </c>
      <c r="L65" s="28">
        <v>10230185</v>
      </c>
      <c r="M65" s="28">
        <v>10327589</v>
      </c>
      <c r="N65" s="28">
        <v>10379295</v>
      </c>
      <c r="O65" s="28">
        <v>10452326</v>
      </c>
      <c r="P65" s="28">
        <f>P41+P46+P59+P64</f>
        <v>10625349.0002</v>
      </c>
      <c r="Q65" s="28">
        <f>Q41+Q46+Q59+Q64</f>
        <v>10869078.0035</v>
      </c>
      <c r="T65" s="28">
        <f t="shared" ref="T65:U65" si="8">T41+T46+T59+T64</f>
        <v>11479303.812994186</v>
      </c>
      <c r="U65" s="28">
        <f t="shared" si="8"/>
        <v>11902053.89297916</v>
      </c>
    </row>
    <row r="68" spans="2:21">
      <c r="C68" s="46">
        <v>2015</v>
      </c>
      <c r="D68" s="46">
        <v>2020</v>
      </c>
      <c r="E68" s="46">
        <v>2025</v>
      </c>
      <c r="F68" s="46">
        <v>2030</v>
      </c>
      <c r="G68" s="46">
        <v>2035</v>
      </c>
      <c r="H68" s="46">
        <v>2040</v>
      </c>
    </row>
    <row r="69" spans="2:21">
      <c r="B69" s="46" t="s">
        <v>187</v>
      </c>
      <c r="C69" s="162">
        <f>H41/H$65</f>
        <v>2.5646649783454076E-2</v>
      </c>
      <c r="D69" s="162">
        <f>M41/M$65</f>
        <v>2.4216010145252681E-2</v>
      </c>
      <c r="E69" s="162">
        <f>P41/P$65</f>
        <v>2.3215895326860025E-2</v>
      </c>
      <c r="F69" s="162">
        <f>Q41/Q$65</f>
        <v>2.232002682489535E-2</v>
      </c>
      <c r="G69" s="162">
        <f>T41/T$65</f>
        <v>2.1384580486130532E-2</v>
      </c>
      <c r="H69" s="162">
        <f>U41/U$65</f>
        <v>2.054035658728821E-2</v>
      </c>
    </row>
    <row r="70" spans="2:21">
      <c r="B70" s="46" t="s">
        <v>192</v>
      </c>
      <c r="C70" s="162">
        <f>H46/H$65</f>
        <v>9.3582207686085092E-2</v>
      </c>
      <c r="D70" s="162">
        <f>M46/M$65</f>
        <v>9.0560826926788046E-2</v>
      </c>
      <c r="E70" s="162">
        <f>P46/P$65</f>
        <v>8.8217349188469615E-2</v>
      </c>
      <c r="F70" s="162">
        <f>Q46/Q$65</f>
        <v>8.6014318592519984E-2</v>
      </c>
      <c r="G70" s="162">
        <f>T46/T$65</f>
        <v>8.3702567597755323E-2</v>
      </c>
      <c r="H70" s="162">
        <f>U46/U$65</f>
        <v>8.1672302821691217E-2</v>
      </c>
    </row>
    <row r="71" spans="2:21">
      <c r="B71" s="46" t="s">
        <v>205</v>
      </c>
      <c r="C71" s="162">
        <f>H59/H$65</f>
        <v>0.68144958298943659</v>
      </c>
      <c r="D71" s="162">
        <f>M59/M$65</f>
        <v>0.68452288331768429</v>
      </c>
      <c r="E71" s="162">
        <f>P59/P$65</f>
        <v>0.68666958936244515</v>
      </c>
      <c r="F71" s="162">
        <f>Q59/Q$65</f>
        <v>0.68905982637058005</v>
      </c>
      <c r="G71" s="162">
        <f>T59/T$65</f>
        <v>0.69177224397606252</v>
      </c>
      <c r="H71" s="162">
        <f>U59/U$65</f>
        <v>0.69397371869641777</v>
      </c>
    </row>
    <row r="72" spans="2:21">
      <c r="B72" s="46" t="s">
        <v>210</v>
      </c>
      <c r="C72" s="162">
        <f>H64/H$65</f>
        <v>0.19932155954102421</v>
      </c>
      <c r="D72" s="162">
        <f>M64/M$65</f>
        <v>0.20070027961027495</v>
      </c>
      <c r="E72" s="162">
        <f>P64/P$65</f>
        <v>0.20189716612222527</v>
      </c>
      <c r="F72" s="162">
        <f>Q64/Q$65</f>
        <v>0.20260582821200468</v>
      </c>
      <c r="G72" s="162">
        <f>T64/T$65</f>
        <v>0.20314060794005143</v>
      </c>
      <c r="H72" s="162">
        <f>U64/U$65</f>
        <v>0.20381362189460267</v>
      </c>
    </row>
    <row r="73" spans="2:21">
      <c r="B73" s="46"/>
    </row>
    <row r="77" spans="2:21" ht="30">
      <c r="B77" s="91" t="s">
        <v>231</v>
      </c>
    </row>
    <row r="78" spans="2:21">
      <c r="B78" t="s">
        <v>227</v>
      </c>
    </row>
    <row r="79" spans="2:21" ht="15.75" thickBot="1"/>
    <row r="80" spans="2:21" ht="17.25" thickTop="1" thickBot="1">
      <c r="C80" s="83">
        <v>2015</v>
      </c>
      <c r="D80" s="84">
        <v>2016</v>
      </c>
      <c r="E80" s="84">
        <v>2017</v>
      </c>
      <c r="F80" s="84">
        <v>2018</v>
      </c>
      <c r="G80" s="84">
        <v>2019</v>
      </c>
      <c r="H80" s="84">
        <v>2020</v>
      </c>
      <c r="I80" s="84">
        <v>2021</v>
      </c>
      <c r="J80" s="84">
        <v>2022</v>
      </c>
      <c r="K80" s="84">
        <v>2023</v>
      </c>
    </row>
    <row r="81" spans="2:11" ht="15.75" thickBot="1">
      <c r="B81" s="87" t="s">
        <v>213</v>
      </c>
      <c r="C81" s="88">
        <v>23408</v>
      </c>
      <c r="D81" s="88">
        <v>25570</v>
      </c>
      <c r="E81" s="88">
        <v>25930</v>
      </c>
      <c r="F81" s="88">
        <v>25427</v>
      </c>
      <c r="G81" s="88">
        <v>26497</v>
      </c>
      <c r="H81" s="88">
        <v>22269</v>
      </c>
      <c r="I81" s="88">
        <v>26471</v>
      </c>
      <c r="J81" s="88">
        <v>25868</v>
      </c>
      <c r="K81" s="88">
        <v>24681</v>
      </c>
    </row>
    <row r="82" spans="2:11" ht="15.75" thickBot="1">
      <c r="B82" s="85" t="s">
        <v>214</v>
      </c>
      <c r="C82" s="86">
        <v>17974</v>
      </c>
      <c r="D82" s="86">
        <v>18604</v>
      </c>
      <c r="E82" s="86">
        <v>16915</v>
      </c>
      <c r="F82" s="86">
        <v>17947</v>
      </c>
      <c r="G82" s="86">
        <v>15867</v>
      </c>
      <c r="H82" s="86">
        <v>16126</v>
      </c>
      <c r="I82" s="86">
        <v>18902</v>
      </c>
      <c r="J82" s="86">
        <v>16826</v>
      </c>
      <c r="K82" s="86">
        <v>18508</v>
      </c>
    </row>
    <row r="83" spans="2:11" ht="15.75" thickBot="1">
      <c r="B83" s="87" t="s">
        <v>215</v>
      </c>
      <c r="C83" s="88">
        <v>5559</v>
      </c>
      <c r="D83" s="88">
        <v>5683</v>
      </c>
      <c r="E83" s="88">
        <v>6110</v>
      </c>
      <c r="F83" s="88">
        <v>5752</v>
      </c>
      <c r="G83" s="88">
        <v>5917</v>
      </c>
      <c r="H83" s="88">
        <v>5654</v>
      </c>
      <c r="I83" s="88">
        <v>6319</v>
      </c>
      <c r="J83" s="88">
        <v>5731</v>
      </c>
      <c r="K83" s="88">
        <v>6332</v>
      </c>
    </row>
    <row r="84" spans="2:11" ht="15.75" thickBot="1">
      <c r="B84" s="85" t="s">
        <v>216</v>
      </c>
      <c r="C84" s="86">
        <v>197</v>
      </c>
      <c r="D84" s="86">
        <v>238</v>
      </c>
      <c r="E84" s="86">
        <v>218</v>
      </c>
      <c r="F84" s="86">
        <v>192</v>
      </c>
      <c r="G84" s="86">
        <v>199</v>
      </c>
      <c r="H84" s="86">
        <v>349</v>
      </c>
      <c r="I84" s="86">
        <v>226</v>
      </c>
      <c r="J84" s="86">
        <v>193</v>
      </c>
      <c r="K84" s="86">
        <v>357</v>
      </c>
    </row>
    <row r="85" spans="2:11" ht="15.75" thickBot="1">
      <c r="B85" s="87" t="s">
        <v>217</v>
      </c>
      <c r="C85" s="88">
        <v>4925</v>
      </c>
      <c r="D85" s="88">
        <v>4491</v>
      </c>
      <c r="E85" s="88">
        <v>4347</v>
      </c>
      <c r="F85" s="88">
        <v>4354</v>
      </c>
      <c r="G85" s="88">
        <v>4294</v>
      </c>
      <c r="H85" s="88">
        <v>4704</v>
      </c>
      <c r="I85" s="88">
        <v>4533</v>
      </c>
      <c r="J85" s="88">
        <v>4150</v>
      </c>
      <c r="K85" s="88">
        <v>5235</v>
      </c>
    </row>
    <row r="86" spans="2:11" ht="30.75" thickBot="1">
      <c r="B86" s="85" t="s">
        <v>218</v>
      </c>
      <c r="C86" s="86">
        <v>4467</v>
      </c>
      <c r="D86" s="86">
        <v>4827</v>
      </c>
      <c r="E86" s="86">
        <v>5342</v>
      </c>
      <c r="F86" s="86">
        <v>4777</v>
      </c>
      <c r="G86" s="86">
        <v>4889</v>
      </c>
      <c r="H86" s="86">
        <v>4630</v>
      </c>
      <c r="I86" s="86">
        <v>5906</v>
      </c>
      <c r="J86" s="86">
        <v>5250</v>
      </c>
      <c r="K86" s="86">
        <v>5406</v>
      </c>
    </row>
    <row r="87" spans="2:11" ht="30.75" thickBot="1">
      <c r="B87" s="87" t="s">
        <v>219</v>
      </c>
      <c r="C87" s="88">
        <v>18591</v>
      </c>
      <c r="D87" s="88">
        <v>18181</v>
      </c>
      <c r="E87" s="88">
        <v>17036</v>
      </c>
      <c r="F87" s="88">
        <v>17441</v>
      </c>
      <c r="G87" s="88">
        <v>17537</v>
      </c>
      <c r="H87" s="88">
        <v>17089</v>
      </c>
      <c r="I87" s="88">
        <v>15791</v>
      </c>
      <c r="J87" s="88">
        <v>12841</v>
      </c>
      <c r="K87" s="88">
        <v>13256</v>
      </c>
    </row>
    <row r="88" spans="2:11" ht="15.75" thickBot="1">
      <c r="B88" s="85" t="s">
        <v>220</v>
      </c>
      <c r="C88" s="86">
        <v>6825</v>
      </c>
      <c r="D88" s="86">
        <v>6908</v>
      </c>
      <c r="E88" s="86">
        <v>7069</v>
      </c>
      <c r="F88" s="86">
        <v>7100</v>
      </c>
      <c r="G88" s="86">
        <v>7628</v>
      </c>
      <c r="H88" s="86">
        <v>7650</v>
      </c>
      <c r="I88" s="86">
        <v>8250</v>
      </c>
      <c r="J88" s="86">
        <v>8305</v>
      </c>
      <c r="K88" s="86">
        <v>7805</v>
      </c>
    </row>
    <row r="89" spans="2:11" ht="45.75" thickBot="1">
      <c r="B89" s="87" t="s">
        <v>221</v>
      </c>
      <c r="C89" s="88">
        <v>1910</v>
      </c>
      <c r="D89" s="88">
        <v>2088</v>
      </c>
      <c r="E89" s="88">
        <v>2172</v>
      </c>
      <c r="F89" s="88">
        <v>1914</v>
      </c>
      <c r="G89" s="88">
        <v>1947</v>
      </c>
      <c r="H89" s="88">
        <v>1851</v>
      </c>
      <c r="I89" s="88">
        <v>1986</v>
      </c>
      <c r="J89" s="88">
        <v>1998</v>
      </c>
      <c r="K89" s="88">
        <v>1978</v>
      </c>
    </row>
    <row r="90" spans="2:11" ht="30.75" thickBot="1">
      <c r="B90" s="85" t="s">
        <v>222</v>
      </c>
      <c r="C90" s="86">
        <v>252</v>
      </c>
      <c r="D90" s="86">
        <v>299</v>
      </c>
      <c r="E90" s="86">
        <v>282</v>
      </c>
      <c r="F90" s="86">
        <v>195</v>
      </c>
      <c r="G90" s="86">
        <v>205</v>
      </c>
      <c r="H90" s="86">
        <v>351</v>
      </c>
      <c r="I90" s="86">
        <v>231</v>
      </c>
      <c r="J90" s="86">
        <v>197</v>
      </c>
      <c r="K90" s="86">
        <v>365</v>
      </c>
    </row>
    <row r="91" spans="2:11" ht="30.75" thickBot="1">
      <c r="B91" s="87" t="s">
        <v>223</v>
      </c>
      <c r="C91" s="88">
        <v>1222</v>
      </c>
      <c r="D91" s="88">
        <v>1144</v>
      </c>
      <c r="E91" s="88">
        <v>1262</v>
      </c>
      <c r="F91" s="88">
        <v>1093</v>
      </c>
      <c r="G91" s="88">
        <v>1033</v>
      </c>
      <c r="H91" s="88">
        <v>1181</v>
      </c>
      <c r="I91" s="88">
        <v>1101</v>
      </c>
      <c r="J91" s="88">
        <v>980</v>
      </c>
      <c r="K91" s="88">
        <v>1298</v>
      </c>
    </row>
    <row r="92" spans="2:11" ht="30.75" thickBot="1">
      <c r="B92" s="85" t="s">
        <v>224</v>
      </c>
      <c r="C92" s="86">
        <v>27511</v>
      </c>
      <c r="D92" s="86">
        <v>29707</v>
      </c>
      <c r="E92" s="86">
        <v>30512</v>
      </c>
      <c r="F92" s="86">
        <v>29712</v>
      </c>
      <c r="G92" s="86">
        <v>31405</v>
      </c>
      <c r="H92" s="86">
        <v>26567</v>
      </c>
      <c r="I92" s="86">
        <v>31291</v>
      </c>
      <c r="J92" s="86">
        <v>30898</v>
      </c>
      <c r="K92" s="86">
        <v>29748</v>
      </c>
    </row>
    <row r="93" spans="2:11" ht="30.75" thickBot="1">
      <c r="B93" s="87" t="s">
        <v>225</v>
      </c>
      <c r="C93" s="88">
        <v>20386</v>
      </c>
      <c r="D93" s="88">
        <v>21457</v>
      </c>
      <c r="E93" s="88">
        <v>19682</v>
      </c>
      <c r="F93" s="88">
        <v>21041</v>
      </c>
      <c r="G93" s="88">
        <v>18452</v>
      </c>
      <c r="H93" s="88">
        <v>18972</v>
      </c>
      <c r="I93" s="88">
        <v>21817</v>
      </c>
      <c r="J93" s="88">
        <v>19498</v>
      </c>
      <c r="K93" s="88">
        <v>21748</v>
      </c>
    </row>
    <row r="94" spans="2:11" ht="15.75" thickBot="1">
      <c r="B94" s="89" t="s">
        <v>226</v>
      </c>
      <c r="C94" s="90">
        <v>83.1</v>
      </c>
      <c r="D94" s="90">
        <v>83</v>
      </c>
      <c r="E94" s="90">
        <v>81.8</v>
      </c>
      <c r="F94" s="90">
        <v>82.4</v>
      </c>
      <c r="G94" s="90">
        <v>81.099999999999994</v>
      </c>
      <c r="H94" s="90">
        <v>81</v>
      </c>
      <c r="I94" s="90">
        <v>82.4</v>
      </c>
      <c r="J94" s="90">
        <v>81.5</v>
      </c>
      <c r="K94" s="90">
        <v>80.8</v>
      </c>
    </row>
    <row r="95" spans="2:11" ht="15.75" thickTop="1"/>
    <row r="105" spans="2:19" ht="30">
      <c r="B105" s="91" t="s">
        <v>229</v>
      </c>
    </row>
    <row r="106" spans="2:19">
      <c r="B106" t="s">
        <v>230</v>
      </c>
    </row>
    <row r="108" spans="2:19" ht="15.75" thickBot="1"/>
    <row r="109" spans="2:19" ht="17.25" thickTop="1" thickBot="1">
      <c r="B109" s="92"/>
      <c r="C109" s="83">
        <v>2015</v>
      </c>
      <c r="D109" s="84">
        <v>2016</v>
      </c>
      <c r="E109" s="84">
        <v>2017</v>
      </c>
      <c r="F109" s="84">
        <v>2018</v>
      </c>
      <c r="G109" s="84">
        <v>2019</v>
      </c>
      <c r="H109" s="84">
        <v>2020</v>
      </c>
      <c r="I109" s="84">
        <v>2021</v>
      </c>
      <c r="J109" s="84">
        <v>2022</v>
      </c>
      <c r="K109" s="84">
        <v>2023</v>
      </c>
      <c r="N109" s="93">
        <v>2015</v>
      </c>
      <c r="O109" s="93">
        <v>2020</v>
      </c>
      <c r="P109" s="93">
        <v>2025</v>
      </c>
      <c r="Q109" s="93">
        <v>2030</v>
      </c>
      <c r="R109" s="93">
        <v>2035</v>
      </c>
      <c r="S109" s="93">
        <v>2040</v>
      </c>
    </row>
    <row r="110" spans="2:19" ht="15.75" thickBot="1">
      <c r="B110" s="89" t="s">
        <v>212</v>
      </c>
      <c r="C110" s="90">
        <v>48761</v>
      </c>
      <c r="D110" s="90">
        <v>51440</v>
      </c>
      <c r="E110" s="90">
        <v>50775</v>
      </c>
      <c r="F110" s="90">
        <v>50951</v>
      </c>
      <c r="G110" s="90">
        <v>50244</v>
      </c>
      <c r="H110" s="90">
        <v>46258</v>
      </c>
      <c r="I110" s="90">
        <v>53334</v>
      </c>
      <c r="J110" s="90">
        <v>49514</v>
      </c>
      <c r="K110" s="90">
        <v>52078</v>
      </c>
    </row>
    <row r="111" spans="2:19" ht="15.75" thickTop="1"/>
    <row r="114" spans="2:19">
      <c r="B114" t="s">
        <v>228</v>
      </c>
      <c r="C114">
        <f>C110+C88</f>
        <v>55586</v>
      </c>
      <c r="D114">
        <f t="shared" ref="D114:K114" si="9">D110+D88</f>
        <v>58348</v>
      </c>
      <c r="E114">
        <f t="shared" si="9"/>
        <v>57844</v>
      </c>
      <c r="F114">
        <f t="shared" si="9"/>
        <v>58051</v>
      </c>
      <c r="G114">
        <f t="shared" si="9"/>
        <v>57872</v>
      </c>
      <c r="H114">
        <f t="shared" si="9"/>
        <v>53908</v>
      </c>
      <c r="I114">
        <f t="shared" si="9"/>
        <v>61584</v>
      </c>
      <c r="J114">
        <f t="shared" si="9"/>
        <v>57819</v>
      </c>
      <c r="K114">
        <f t="shared" si="9"/>
        <v>59883</v>
      </c>
      <c r="N114" s="142">
        <f t="shared" ref="N114:S114" si="10">N116*N118* N115 / AVERAGE($C$115:$K$115)</f>
        <v>57257.641023858363</v>
      </c>
      <c r="O114" s="142">
        <f t="shared" si="10"/>
        <v>58678.857586311366</v>
      </c>
      <c r="P114" s="142">
        <f t="shared" si="10"/>
        <v>59417.118267026097</v>
      </c>
      <c r="Q114" s="142">
        <f t="shared" si="10"/>
        <v>59531.545966754529</v>
      </c>
      <c r="R114" s="142">
        <f t="shared" si="10"/>
        <v>59180.805942666033</v>
      </c>
      <c r="S114" s="142">
        <f t="shared" si="10"/>
        <v>58807.567699532367</v>
      </c>
    </row>
    <row r="115" spans="2:19">
      <c r="B115" s="59" t="s">
        <v>163</v>
      </c>
      <c r="C115" s="64">
        <f>HLOOKUP(C$109,   HDD!$A$25:$AG$55, MATCH($B$2,HDD!$A$25:$A$55,0), FALSE)</f>
        <v>4875.4799999999996</v>
      </c>
      <c r="D115" s="64">
        <f>HLOOKUP(D$109,   HDD!$A$25:$AG$55, MATCH($B$2,HDD!$A$25:$A$55,0), FALSE)</f>
        <v>5092.4799999999996</v>
      </c>
      <c r="E115" s="64">
        <f>HLOOKUP(E$109,   HDD!$A$25:$AG$55, MATCH($B$2,HDD!$A$25:$A$55,0), FALSE)</f>
        <v>5181.13</v>
      </c>
      <c r="F115" s="64">
        <f>HLOOKUP(F$109,   HDD!$A$25:$AG$55, MATCH($B$2,HDD!$A$25:$A$55,0), FALSE)</f>
        <v>5122.22</v>
      </c>
      <c r="G115" s="64">
        <f>HLOOKUP(G$109,   HDD!$A$25:$AG$55, MATCH($B$2,HDD!$A$25:$A$55,0), FALSE)</f>
        <v>5119.6099999999997</v>
      </c>
      <c r="H115" s="64">
        <f>HLOOKUP(H$109,   HDD!$A$25:$AG$55, MATCH($B$2,HDD!$A$25:$A$55,0), FALSE)</f>
        <v>4592.22</v>
      </c>
      <c r="I115" s="64">
        <f>HLOOKUP(I$109,   HDD!$A$25:$AG$55, MATCH($B$2,HDD!$A$25:$A$55,0), FALSE)</f>
        <v>5201.47</v>
      </c>
      <c r="J115" s="64">
        <f>HLOOKUP(J$109,   HDD!$A$25:$AG$55, MATCH($B$2,HDD!$A$25:$A$55,0), FALSE)</f>
        <v>4919.42</v>
      </c>
      <c r="K115" s="64">
        <f>HLOOKUP(K$109,   HDD!$A$25:$AG$55, MATCH($B$2,HDD!$A$25:$A$55,0), FALSE)</f>
        <v>5180.32</v>
      </c>
      <c r="N115" s="64">
        <f>HLOOKUP(N$109,   HDD!$AA$25:$AG$55, MATCH($B$2,HDD!$A$25:$A$55,0), FALSE)</f>
        <v>5102.464762318843</v>
      </c>
      <c r="O115" s="64">
        <f>HLOOKUP(O$109,   HDD!$AA$25:$AG$55, MATCH($B$2,HDD!$A$25:$A$55,0), FALSE)</f>
        <v>5057.3263275362333</v>
      </c>
      <c r="P115" s="64">
        <f>HLOOKUP(P$109,   HDD!$AA$25:$AG$55, MATCH($B$2,HDD!$A$25:$A$55,0), FALSE)</f>
        <v>5012.1878927536236</v>
      </c>
      <c r="Q115" s="64">
        <f>HLOOKUP(Q$109,   HDD!$A$25:$AG$55, MATCH($B$2,HDD!$A$25:$A$55,0), FALSE)</f>
        <v>4967.0494579710139</v>
      </c>
      <c r="R115" s="64">
        <f>HLOOKUP(R$109,   HDD!$A$25:$AG$55, MATCH($B$2,HDD!$A$25:$A$55,0), FALSE)</f>
        <v>4921.9110231884079</v>
      </c>
      <c r="S115" s="64">
        <f>HLOOKUP(S$109,   HDD!$A$25:$AG$55, MATCH($B$2,HDD!$A$25:$A$55,0), FALSE)</f>
        <v>4876.7725884057982</v>
      </c>
    </row>
    <row r="116" spans="2:19">
      <c r="B116" s="59" t="s">
        <v>232</v>
      </c>
      <c r="C116" s="64">
        <f>HLOOKUP(C$109,   POP!$A$27:$AC$63, MATCH($B$2, POP!$A$27:$A$63,0), FALSE)</f>
        <v>9799186</v>
      </c>
      <c r="D116" s="64">
        <f>HLOOKUP(D$109,   POP!$A$27:$AC$63, MATCH($B$2, POP!$A$27:$A$63,0), FALSE)</f>
        <v>9923085</v>
      </c>
      <c r="E116" s="64">
        <f>HLOOKUP(E$109,   POP!$A$27:$AC$63, MATCH($B$2, POP!$A$27:$A$63,0), FALSE)</f>
        <v>10057698</v>
      </c>
      <c r="F116" s="64">
        <f>HLOOKUP(F$109,   POP!$A$27:$AC$63, MATCH($B$2, POP!$A$27:$A$63,0), FALSE)</f>
        <v>10175214</v>
      </c>
      <c r="G116" s="64">
        <f>HLOOKUP(G$109,   POP!$A$27:$AC$63, MATCH($B$2, POP!$A$27:$A$63,0), FALSE)</f>
        <v>10278887</v>
      </c>
      <c r="H116" s="64">
        <f>HLOOKUP(H$109,   POP!$A$27:$AC$63, MATCH($B$2, POP!$A$27:$A$63,0), FALSE)</f>
        <v>10353442</v>
      </c>
      <c r="I116" s="64">
        <f>HLOOKUP(I$109,   POP!$A$27:$AC$63, MATCH($B$2, POP!$A$27:$A$63,0), FALSE)</f>
        <v>10415811</v>
      </c>
      <c r="J116" s="64">
        <f>HLOOKUP(J$109,   POP!$A$27:$AC$63, MATCH($B$2, POP!$A$27:$A$63,0), FALSE)</f>
        <v>10486941</v>
      </c>
      <c r="K116" s="64">
        <f>HLOOKUP(K$109,   POP!$A$27:$AC$63, MATCH($B$2, POP!$A$27:$A$63,0), FALSE)</f>
        <v>10536632</v>
      </c>
      <c r="N116" s="64">
        <f>HLOOKUP(N$109,   POP!$A$27:$AE$63, MATCH($B$2, POP!$A$27:$A$63,0), FALSE)</f>
        <v>9799186</v>
      </c>
      <c r="O116" s="64">
        <f>HLOOKUP(O$109,   POP!$A$27:$AE$63, MATCH($B$2, POP!$A$27:$A$63,0), FALSE)</f>
        <v>10353442</v>
      </c>
      <c r="P116" s="64">
        <f>HLOOKUP(P$109,   POP!$A$27:$AE$63, MATCH($B$2, POP!$A$27:$A$63,0), FALSE)</f>
        <v>10695275.580952391</v>
      </c>
      <c r="Q116" s="64">
        <f>HLOOKUP(Q$109,   POP!$A$27:$AE$63, MATCH($B$2, POP!$A$27:$A$63,0), FALSE)</f>
        <v>10934036.429166675</v>
      </c>
      <c r="R116" s="64">
        <f>HLOOKUP(R$109,   POP!$A$27:$AE$63, MATCH($B$2, POP!$A$27:$A$63,0), FALSE)</f>
        <v>11093210.327976197</v>
      </c>
      <c r="S116" s="64">
        <f>HLOOKUP(S$109,   POP!$A$27:$AE$63, MATCH($B$2, POP!$A$27:$A$63,0), FALSE)</f>
        <v>11252384.226785729</v>
      </c>
    </row>
    <row r="117" spans="2:19">
      <c r="B117" s="59" t="s">
        <v>164</v>
      </c>
      <c r="C117" s="64">
        <f t="shared" ref="C117:K117" si="11">C114/C115*AVERAGE($C$115:$K$115)</f>
        <v>57365.881675012286</v>
      </c>
      <c r="D117" s="64">
        <f t="shared" si="11"/>
        <v>57650.392862504013</v>
      </c>
      <c r="E117" s="64">
        <f t="shared" si="11"/>
        <v>56174.531240182048</v>
      </c>
      <c r="F117" s="64">
        <f t="shared" si="11"/>
        <v>57023.92499627982</v>
      </c>
      <c r="G117" s="64">
        <f t="shared" si="11"/>
        <v>56877.073388185607</v>
      </c>
      <c r="H117" s="64">
        <f t="shared" si="11"/>
        <v>59065.809850379788</v>
      </c>
      <c r="I117" s="64">
        <f t="shared" si="11"/>
        <v>59572.719301787118</v>
      </c>
      <c r="J117" s="64">
        <f t="shared" si="11"/>
        <v>59137.410341734052</v>
      </c>
      <c r="K117" s="64">
        <f t="shared" si="11"/>
        <v>58163.775619395456</v>
      </c>
    </row>
    <row r="118" spans="2:19">
      <c r="B118" s="59" t="s">
        <v>235</v>
      </c>
      <c r="C118">
        <f t="shared" ref="C118:K118" si="12">C117/(C116)</f>
        <v>5.8541476480814102E-3</v>
      </c>
      <c r="D118">
        <f t="shared" si="12"/>
        <v>5.8097247844298436E-3</v>
      </c>
      <c r="E118">
        <f t="shared" si="12"/>
        <v>5.5852274785126825E-3</v>
      </c>
      <c r="F118">
        <f t="shared" si="12"/>
        <v>5.6041990857666306E-3</v>
      </c>
      <c r="G118">
        <f t="shared" si="12"/>
        <v>5.5333883316535737E-3</v>
      </c>
      <c r="H118">
        <f t="shared" si="12"/>
        <v>5.7049442929587848E-3</v>
      </c>
      <c r="I118">
        <f t="shared" si="12"/>
        <v>5.7194508715439551E-3</v>
      </c>
      <c r="J118">
        <f t="shared" si="12"/>
        <v>5.6391478069471408E-3</v>
      </c>
      <c r="K118">
        <f t="shared" si="12"/>
        <v>5.5201487172936714E-3</v>
      </c>
      <c r="N118" s="161">
        <f t="array" ref="N118">TREND($C$118:$K$118,$C$109:$K$109,N$109)</f>
        <v>5.7619444238438122E-3</v>
      </c>
      <c r="O118" s="161">
        <f t="array" ref="O118">TREND($C$118:$K$118,$C$109:$K$109,O$109)</f>
        <v>5.6387332019817785E-3</v>
      </c>
      <c r="P118" s="96">
        <f t="array" ref="P118">(TREND($C118:$K118,$C$109:$K$109,P$109) - TREND($C118:$K118,$C$109:$K$109,$K$109)) + AVERAGE(I118:K118)</f>
        <v>5.5769646431834434E-3</v>
      </c>
      <c r="Q118" s="141">
        <f t="array" ref="Q118">(TREND($C118:$K118,$C$109:$K$109,Q109) - TREND($C118:$K118,$C$109:$K$109,P109))/2 + P118</f>
        <v>5.5153590322524265E-3</v>
      </c>
      <c r="R118" s="141">
        <f t="array" ref="R118">(TREND($C118:$K118,$C$109:$K$109,R109) - TREND($C118:$K118,$C$109:$K$109,Q109))/2 + Q118</f>
        <v>5.4537534213214131E-3</v>
      </c>
      <c r="S118" s="141">
        <f t="array" ref="S118">(TREND($C118:$K118,$C$109:$K$109,S109) - TREND($C118:$K118,$C$109:$K$109,R109))/2 + R118</f>
        <v>5.3921478103903962E-3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AB2A-E531-4905-8197-7BB38A3208FA}">
  <sheetPr>
    <tabColor theme="3" tint="0.89999084444715716"/>
  </sheetPr>
  <dimension ref="A1:AG75"/>
  <sheetViews>
    <sheetView workbookViewId="0">
      <pane xSplit="2" topLeftCell="C1" activePane="topRight" state="frozen"/>
      <selection activeCell="A48" sqref="A48"/>
      <selection pane="topRight" activeCell="G5" sqref="G5"/>
    </sheetView>
  </sheetViews>
  <sheetFormatPr defaultRowHeight="15"/>
  <cols>
    <col min="2" max="2" width="24.140625" customWidth="1"/>
    <col min="3" max="26" width="11.42578125" customWidth="1"/>
  </cols>
  <sheetData>
    <row r="1" spans="2:19" ht="15.75" thickBot="1"/>
    <row r="2" spans="2:19" ht="15.75" thickBot="1">
      <c r="B2" s="79" t="s">
        <v>14</v>
      </c>
    </row>
    <row r="4" spans="2:19">
      <c r="B4" s="67" t="s">
        <v>171</v>
      </c>
      <c r="C4" s="67" t="s">
        <v>172</v>
      </c>
      <c r="D4" s="67" t="s">
        <v>173</v>
      </c>
      <c r="E4" s="67" t="s">
        <v>174</v>
      </c>
      <c r="F4" s="67" t="s">
        <v>175</v>
      </c>
      <c r="G4" s="67" t="s">
        <v>342</v>
      </c>
      <c r="H4" s="67" t="s">
        <v>302</v>
      </c>
      <c r="I4" s="68" t="s">
        <v>176</v>
      </c>
      <c r="N4" s="46" t="s">
        <v>170</v>
      </c>
    </row>
    <row r="5" spans="2:19">
      <c r="B5" s="69" t="s">
        <v>237</v>
      </c>
      <c r="C5" s="70" t="s">
        <v>304</v>
      </c>
      <c r="D5" s="70"/>
      <c r="E5" s="70" t="s">
        <v>318</v>
      </c>
      <c r="F5" s="71">
        <v>2015</v>
      </c>
      <c r="G5" s="71"/>
      <c r="H5" s="159">
        <f t="array" ref="H5">SUM($N$6:$S$7*($N$5:$S$5=$F5)*($M$6:$M$7=$B5)) * SUMIFS($N$11:$S$11,$N$10:$S$10,$F5) / 1000</f>
        <v>19.805125480479287</v>
      </c>
      <c r="I5" s="80">
        <v>0.3</v>
      </c>
      <c r="M5" s="46" t="s">
        <v>178</v>
      </c>
      <c r="N5" s="46">
        <v>2015</v>
      </c>
      <c r="O5" s="46">
        <v>2020</v>
      </c>
      <c r="P5" s="46">
        <v>2025</v>
      </c>
      <c r="Q5" s="46">
        <v>2030</v>
      </c>
      <c r="R5" s="46">
        <v>2035</v>
      </c>
      <c r="S5" s="46">
        <v>2040</v>
      </c>
    </row>
    <row r="6" spans="2:19">
      <c r="B6" s="74" t="s">
        <v>238</v>
      </c>
      <c r="C6" s="75" t="s">
        <v>304</v>
      </c>
      <c r="D6" s="75"/>
      <c r="E6" s="75" t="s">
        <v>318</v>
      </c>
      <c r="F6" s="76">
        <v>2015</v>
      </c>
      <c r="G6" s="76"/>
      <c r="H6" s="160">
        <f t="array" ref="H6">SUM($N$6:$S$7*($N$5:$S$5=$F6)*($M$6:$M$7=$B6)) * SUMIFS($N$11:$S$11,$N$10:$S$10,$F6) / 1000</f>
        <v>16.693523463632395</v>
      </c>
      <c r="I6" s="78">
        <f>I5</f>
        <v>0.3</v>
      </c>
      <c r="M6" t="s">
        <v>237</v>
      </c>
      <c r="N6" s="162">
        <f t="shared" ref="N6:O6" si="0">HLOOKUP(N$5,$C$44:$Z$50,6,FALSE)</f>
        <v>0.54262626298320671</v>
      </c>
      <c r="O6" s="162">
        <f t="shared" si="0"/>
        <v>0.53915658253650367</v>
      </c>
      <c r="P6" s="162">
        <f>HLOOKUP(P$5,$C$44:$Z$50,6,FALSE)</f>
        <v>0.53515457218691831</v>
      </c>
      <c r="Q6" s="162">
        <f t="shared" ref="Q6:S6" si="1">HLOOKUP(Q$5,$C$44:$Z$50,6,FALSE)</f>
        <v>0.53297905286731784</v>
      </c>
      <c r="R6" s="162">
        <f t="shared" si="1"/>
        <v>0.53014955212350778</v>
      </c>
      <c r="S6" s="162">
        <f t="shared" si="1"/>
        <v>0.52745404878745272</v>
      </c>
    </row>
    <row r="7" spans="2:19">
      <c r="B7" s="69" t="s">
        <v>237</v>
      </c>
      <c r="C7" s="70" t="s">
        <v>304</v>
      </c>
      <c r="D7" s="70"/>
      <c r="E7" s="70" t="s">
        <v>318</v>
      </c>
      <c r="F7" s="71">
        <f>F5+5</f>
        <v>2020</v>
      </c>
      <c r="G7" s="71"/>
      <c r="H7" s="159">
        <f t="array" ref="H7">SUM($N$6:$S$7*($N$5:$S$5=$F7)*($M$6:$M$7=$B7)) * SUMIFS($N$11:$S$11,$N$10:$S$10,$F7) / 1000</f>
        <v>19.979729692440433</v>
      </c>
      <c r="I7" s="73">
        <f t="shared" ref="I7:I14" si="2">I6</f>
        <v>0.3</v>
      </c>
      <c r="M7" t="s">
        <v>238</v>
      </c>
      <c r="N7" s="162">
        <f t="shared" ref="N7:O7" si="3">HLOOKUP(N$5,$C$44:$Z$50,7,FALSE)</f>
        <v>0.45737373701679324</v>
      </c>
      <c r="O7" s="162">
        <f t="shared" si="3"/>
        <v>0.46084341746349627</v>
      </c>
      <c r="P7" s="162">
        <f>HLOOKUP(P$5,$C$44:$Z$50,7,FALSE)</f>
        <v>0.46484542781308164</v>
      </c>
      <c r="Q7" s="162">
        <f t="shared" ref="Q7:S7" si="4">HLOOKUP(Q$5,$C$44:$Z$50,7,FALSE)</f>
        <v>0.46702094713268216</v>
      </c>
      <c r="R7" s="162">
        <f t="shared" si="4"/>
        <v>0.46985044787649227</v>
      </c>
      <c r="S7" s="162">
        <f t="shared" si="4"/>
        <v>0.47254595121254722</v>
      </c>
    </row>
    <row r="8" spans="2:19">
      <c r="B8" s="74" t="s">
        <v>238</v>
      </c>
      <c r="C8" s="75" t="s">
        <v>304</v>
      </c>
      <c r="D8" s="75"/>
      <c r="E8" s="75" t="s">
        <v>318</v>
      </c>
      <c r="F8" s="76">
        <f t="shared" ref="F8:F14" si="5">F6+5</f>
        <v>2020</v>
      </c>
      <c r="G8" s="76"/>
      <c r="H8" s="160">
        <f t="array" ref="H8">SUM($N$6:$S$7*($N$5:$S$5=$F8)*($M$6:$M$7=$B8)) * SUMIFS($N$11:$S$11,$N$10:$S$10,$F8) / 1000</f>
        <v>17.077649072081471</v>
      </c>
      <c r="I8" s="78">
        <f t="shared" si="2"/>
        <v>0.3</v>
      </c>
    </row>
    <row r="9" spans="2:19">
      <c r="B9" s="69" t="s">
        <v>237</v>
      </c>
      <c r="C9" s="70" t="s">
        <v>304</v>
      </c>
      <c r="D9" s="70"/>
      <c r="E9" s="70" t="s">
        <v>318</v>
      </c>
      <c r="F9" s="71">
        <f>F7+5</f>
        <v>2025</v>
      </c>
      <c r="G9" s="71"/>
      <c r="H9" s="159">
        <f t="array" ref="H9">SUM($N$6:$S$7*($N$5:$S$5=$F9)*($M$6:$M$7=$B9)) * SUMIFS($N$11:$S$11,$N$10:$S$10,$F9) / 1000</f>
        <v>20.030688780122464</v>
      </c>
      <c r="I9" s="80">
        <v>0.3</v>
      </c>
    </row>
    <row r="10" spans="2:19">
      <c r="B10" s="74" t="s">
        <v>238</v>
      </c>
      <c r="C10" s="75" t="s">
        <v>304</v>
      </c>
      <c r="D10" s="75"/>
      <c r="E10" s="75" t="s">
        <v>318</v>
      </c>
      <c r="F10" s="76">
        <f t="shared" si="5"/>
        <v>2025</v>
      </c>
      <c r="G10" s="76"/>
      <c r="H10" s="160">
        <f t="array" ref="H10">SUM($N$6:$S$7*($N$5:$S$5=$F10)*($M$6:$M$7=$B10)) * SUMIFS($N$11:$S$11,$N$10:$S$10,$F10) / 1000</f>
        <v>17.39903680040787</v>
      </c>
      <c r="I10" s="78">
        <f>I9</f>
        <v>0.3</v>
      </c>
      <c r="N10" s="46">
        <v>2015</v>
      </c>
      <c r="O10" s="46">
        <v>2020</v>
      </c>
      <c r="P10" s="46">
        <v>2025</v>
      </c>
      <c r="Q10" s="46">
        <v>2030</v>
      </c>
      <c r="R10" s="46">
        <v>2035</v>
      </c>
      <c r="S10" s="46">
        <v>2040</v>
      </c>
    </row>
    <row r="11" spans="2:19">
      <c r="B11" s="69" t="s">
        <v>237</v>
      </c>
      <c r="C11" s="70" t="s">
        <v>304</v>
      </c>
      <c r="D11" s="70"/>
      <c r="E11" s="70" t="s">
        <v>318</v>
      </c>
      <c r="F11" s="71">
        <f>F9+5</f>
        <v>2030</v>
      </c>
      <c r="G11" s="71"/>
      <c r="H11" s="159">
        <f t="array" ref="H11">SUM($N$6:$S$7*($N$5:$S$5=$F11)*($M$6:$M$7=$B11)) * SUMIFS($N$11:$S$11,$N$10:$S$10,$F11) / 1000</f>
        <v>19.905300634804135</v>
      </c>
      <c r="I11" s="73">
        <f t="shared" si="2"/>
        <v>0.3</v>
      </c>
      <c r="M11" s="81" t="s">
        <v>179</v>
      </c>
      <c r="N11" s="28">
        <f t="shared" ref="N11:O11" si="6">AB71</f>
        <v>36498.648944111686</v>
      </c>
      <c r="O11" s="28">
        <f t="shared" si="6"/>
        <v>37057.378764521905</v>
      </c>
      <c r="P11" s="28">
        <f>AD71</f>
        <v>37429.725580530336</v>
      </c>
      <c r="Q11" s="28">
        <f>AE71</f>
        <v>37347.247565767742</v>
      </c>
      <c r="R11" s="28">
        <f>AF71</f>
        <v>37092.25393148006</v>
      </c>
      <c r="S11" s="28">
        <f>AG71</f>
        <v>36822.847063496985</v>
      </c>
    </row>
    <row r="12" spans="2:19">
      <c r="B12" s="74" t="s">
        <v>238</v>
      </c>
      <c r="C12" s="75" t="s">
        <v>304</v>
      </c>
      <c r="D12" s="75"/>
      <c r="E12" s="75" t="s">
        <v>318</v>
      </c>
      <c r="F12" s="76">
        <f t="shared" si="5"/>
        <v>2030</v>
      </c>
      <c r="G12" s="76"/>
      <c r="H12" s="160">
        <f t="array" ref="H12">SUM($N$6:$S$7*($N$5:$S$5=$F12)*($M$6:$M$7=$B12)) * SUMIFS($N$11:$S$11,$N$10:$S$10,$F12) / 1000</f>
        <v>17.441946930963606</v>
      </c>
      <c r="I12" s="78">
        <f t="shared" si="2"/>
        <v>0.3</v>
      </c>
    </row>
    <row r="13" spans="2:19">
      <c r="B13" s="70" t="s">
        <v>237</v>
      </c>
      <c r="C13" s="70" t="s">
        <v>304</v>
      </c>
      <c r="D13" s="70"/>
      <c r="E13" s="70" t="s">
        <v>318</v>
      </c>
      <c r="F13" s="71">
        <f t="shared" si="5"/>
        <v>2035</v>
      </c>
      <c r="G13" s="71"/>
      <c r="H13" s="159">
        <f t="array" ref="H13">SUM($N$6:$S$7*($N$5:$S$5=$F13)*($M$6:$M$7=$B13)) * SUMIFS($N$11:$S$11,$N$10:$S$10,$F13) / 1000</f>
        <v>19.664441809025575</v>
      </c>
      <c r="I13" s="73">
        <f t="shared" si="2"/>
        <v>0.3</v>
      </c>
    </row>
    <row r="14" spans="2:19">
      <c r="B14" s="75" t="s">
        <v>238</v>
      </c>
      <c r="C14" s="75" t="s">
        <v>304</v>
      </c>
      <c r="D14" s="75"/>
      <c r="E14" s="75" t="s">
        <v>318</v>
      </c>
      <c r="F14" s="76">
        <f t="shared" si="5"/>
        <v>2035</v>
      </c>
      <c r="G14" s="76"/>
      <c r="H14" s="160">
        <f t="array" ref="H14">SUM($N$6:$S$7*($N$5:$S$5=$F14)*($M$6:$M$7=$B14)) * SUMIFS($N$11:$S$11,$N$10:$S$10,$F14) / 1000</f>
        <v>17.427812122454487</v>
      </c>
      <c r="I14" s="78">
        <f t="shared" si="2"/>
        <v>0.3</v>
      </c>
    </row>
    <row r="15" spans="2:19">
      <c r="B15" s="70" t="s">
        <v>237</v>
      </c>
      <c r="C15" s="70" t="s">
        <v>304</v>
      </c>
      <c r="D15" s="70"/>
      <c r="E15" s="70" t="s">
        <v>318</v>
      </c>
      <c r="F15" s="71">
        <f t="shared" ref="F15:F16" si="7">F13+5</f>
        <v>2040</v>
      </c>
      <c r="G15" s="71"/>
      <c r="H15" s="159">
        <f t="array" ref="H15">SUM($N$6:$S$7*($N$5:$S$5=$F15)*($M$6:$M$7=$B15)) * SUMIFS($N$11:$S$11,$N$10:$S$10,$F15) / 1000</f>
        <v>19.42235977152265</v>
      </c>
      <c r="I15" s="73">
        <f t="shared" ref="I15:I16" si="8">I14</f>
        <v>0.3</v>
      </c>
      <c r="N15" s="46"/>
    </row>
    <row r="16" spans="2:19">
      <c r="B16" s="75" t="s">
        <v>238</v>
      </c>
      <c r="C16" s="75" t="s">
        <v>304</v>
      </c>
      <c r="D16" s="75"/>
      <c r="E16" s="75" t="s">
        <v>318</v>
      </c>
      <c r="F16" s="76">
        <f t="shared" si="7"/>
        <v>2040</v>
      </c>
      <c r="G16" s="76"/>
      <c r="H16" s="160">
        <f t="array" ref="H16">SUM($N$6:$S$7*($N$5:$S$5=$F16)*($M$6:$M$7=$B16)) * SUMIFS($N$11:$S$11,$N$10:$S$10,$F16) / 1000</f>
        <v>17.400487291974336</v>
      </c>
      <c r="I16" s="78">
        <f t="shared" si="8"/>
        <v>0.3</v>
      </c>
    </row>
    <row r="17" spans="2:23">
      <c r="B17" s="70"/>
      <c r="C17" s="70"/>
      <c r="D17" s="70"/>
      <c r="E17" s="70"/>
      <c r="F17" s="71"/>
      <c r="G17" s="71"/>
      <c r="H17" s="72"/>
      <c r="I17" s="73"/>
    </row>
    <row r="18" spans="2:23">
      <c r="B18" s="75"/>
      <c r="C18" s="75"/>
      <c r="D18" s="75"/>
      <c r="E18" s="75"/>
      <c r="F18" s="76"/>
      <c r="G18" s="76"/>
      <c r="H18" s="77"/>
      <c r="I18" s="78"/>
    </row>
    <row r="29" spans="2:23">
      <c r="P29" t="s">
        <v>248</v>
      </c>
    </row>
    <row r="30" spans="2:23" ht="37.5" customHeight="1">
      <c r="P30" s="190" t="s">
        <v>246</v>
      </c>
      <c r="Q30" s="190"/>
      <c r="R30" s="190"/>
      <c r="S30" s="190"/>
      <c r="T30" s="190"/>
      <c r="U30" s="190"/>
      <c r="V30" s="190"/>
      <c r="W30" s="190"/>
    </row>
    <row r="31" spans="2:23" ht="19.5" thickBot="1">
      <c r="B31" s="187" t="s">
        <v>239</v>
      </c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 t="s">
        <v>247</v>
      </c>
      <c r="Q31" s="187"/>
      <c r="R31" s="187"/>
      <c r="S31" s="187"/>
      <c r="T31" s="187"/>
      <c r="U31" s="187"/>
      <c r="V31" s="187"/>
      <c r="W31" s="187"/>
    </row>
    <row r="32" spans="2:23" ht="16.5" thickTop="1" thickBot="1">
      <c r="B32" s="99"/>
      <c r="C32" s="99">
        <v>2006</v>
      </c>
      <c r="D32" s="99">
        <v>2007</v>
      </c>
      <c r="E32" s="99">
        <v>2008</v>
      </c>
      <c r="F32" s="99">
        <v>2009</v>
      </c>
      <c r="G32" s="99">
        <v>2010</v>
      </c>
      <c r="H32" s="99">
        <v>2011</v>
      </c>
      <c r="I32" s="99">
        <v>2012</v>
      </c>
      <c r="J32" s="99">
        <v>2013</v>
      </c>
      <c r="K32" s="99">
        <v>2014</v>
      </c>
      <c r="L32" s="99">
        <v>2015</v>
      </c>
      <c r="M32" s="99">
        <v>2016</v>
      </c>
      <c r="N32" s="99">
        <v>2017</v>
      </c>
      <c r="O32" s="99">
        <v>2018</v>
      </c>
      <c r="P32" s="99">
        <v>2019</v>
      </c>
      <c r="Q32" s="99">
        <v>2020</v>
      </c>
      <c r="R32" s="99">
        <v>2021</v>
      </c>
      <c r="S32" s="99">
        <v>2022</v>
      </c>
      <c r="T32" s="99">
        <v>2023</v>
      </c>
      <c r="U32" s="99">
        <v>2024</v>
      </c>
      <c r="V32" s="99">
        <v>2025</v>
      </c>
    </row>
    <row r="33" spans="1:26">
      <c r="A33" t="s">
        <v>238</v>
      </c>
      <c r="B33" s="102" t="s">
        <v>240</v>
      </c>
      <c r="C33" s="105">
        <v>1633565</v>
      </c>
      <c r="D33" s="105">
        <v>1636744</v>
      </c>
      <c r="E33" s="105">
        <v>1645825</v>
      </c>
      <c r="F33" s="105">
        <v>1662285</v>
      </c>
      <c r="G33" s="105">
        <v>1680271</v>
      </c>
      <c r="H33" s="105">
        <v>1699387</v>
      </c>
      <c r="I33" s="105">
        <v>1714589</v>
      </c>
      <c r="J33" s="105">
        <v>1732068</v>
      </c>
      <c r="K33" s="105">
        <v>1749405</v>
      </c>
      <c r="L33" s="105">
        <v>1768125</v>
      </c>
      <c r="M33" s="105">
        <v>1789174</v>
      </c>
      <c r="N33" s="105">
        <v>1807404</v>
      </c>
      <c r="O33" s="105">
        <v>1822659</v>
      </c>
      <c r="P33" s="105">
        <v>1835562</v>
      </c>
      <c r="Q33" s="105">
        <v>1846023</v>
      </c>
      <c r="R33" s="105">
        <v>1855084</v>
      </c>
      <c r="S33" s="105">
        <v>1867948</v>
      </c>
      <c r="T33" s="105">
        <v>1891871</v>
      </c>
      <c r="U33" s="105">
        <v>1911067</v>
      </c>
      <c r="V33" s="105">
        <v>1930793</v>
      </c>
    </row>
    <row r="34" spans="1:26">
      <c r="A34" t="s">
        <v>238</v>
      </c>
      <c r="B34" s="102" t="s">
        <v>241</v>
      </c>
      <c r="C34" s="105">
        <v>811511</v>
      </c>
      <c r="D34" s="105">
        <v>816117</v>
      </c>
      <c r="E34" s="105">
        <v>819427</v>
      </c>
      <c r="F34" s="105">
        <v>821252</v>
      </c>
      <c r="G34" s="105">
        <v>820564</v>
      </c>
      <c r="H34" s="105">
        <v>819763</v>
      </c>
      <c r="I34" s="105">
        <v>817907</v>
      </c>
      <c r="J34" s="105">
        <v>816359</v>
      </c>
      <c r="K34" s="105">
        <v>816726</v>
      </c>
      <c r="L34" s="105">
        <v>820480</v>
      </c>
      <c r="M34" s="105">
        <v>827499</v>
      </c>
      <c r="N34" s="105">
        <v>832553</v>
      </c>
      <c r="O34" s="105">
        <v>835024</v>
      </c>
      <c r="P34" s="105">
        <v>836738</v>
      </c>
      <c r="Q34" s="105">
        <v>837359</v>
      </c>
      <c r="R34" s="105">
        <v>838840</v>
      </c>
      <c r="S34" s="105">
        <v>843513</v>
      </c>
      <c r="T34" s="105">
        <v>849857</v>
      </c>
      <c r="U34" s="105">
        <v>852953</v>
      </c>
      <c r="V34" s="105">
        <v>854902</v>
      </c>
    </row>
    <row r="35" spans="1:26">
      <c r="A35" t="s">
        <v>237</v>
      </c>
      <c r="B35" s="102" t="s">
        <v>242</v>
      </c>
      <c r="C35" s="105">
        <v>1185840</v>
      </c>
      <c r="D35" s="105">
        <v>1189812</v>
      </c>
      <c r="E35" s="105">
        <v>1194659</v>
      </c>
      <c r="F35" s="105">
        <v>1199667</v>
      </c>
      <c r="G35" s="105">
        <v>1200277</v>
      </c>
      <c r="H35" s="105">
        <v>1200656</v>
      </c>
      <c r="I35" s="105">
        <v>1201342</v>
      </c>
      <c r="J35" s="105">
        <v>1201419</v>
      </c>
      <c r="K35" s="105">
        <v>1202509</v>
      </c>
      <c r="L35" s="105">
        <v>1205728</v>
      </c>
      <c r="M35" s="105">
        <v>1211770</v>
      </c>
      <c r="N35" s="105">
        <v>1217224</v>
      </c>
      <c r="O35" s="105">
        <v>1220763</v>
      </c>
      <c r="P35" s="105">
        <v>1223348</v>
      </c>
      <c r="Q35" s="105">
        <v>1223105</v>
      </c>
      <c r="R35" s="105">
        <v>1223634</v>
      </c>
      <c r="S35" s="105">
        <v>1228362</v>
      </c>
      <c r="T35" s="105">
        <v>1237413</v>
      </c>
      <c r="U35" s="105">
        <v>1238406</v>
      </c>
      <c r="V35" s="105">
        <v>1240472</v>
      </c>
    </row>
    <row r="36" spans="1:26">
      <c r="A36" t="s">
        <v>237</v>
      </c>
      <c r="B36" s="102" t="s">
        <v>243</v>
      </c>
      <c r="C36" s="105">
        <v>1219732</v>
      </c>
      <c r="D36" s="105">
        <v>1227422</v>
      </c>
      <c r="E36" s="105">
        <v>1237041</v>
      </c>
      <c r="F36" s="105">
        <v>1247732</v>
      </c>
      <c r="G36" s="105">
        <v>1253998</v>
      </c>
      <c r="H36" s="105">
        <v>1260993</v>
      </c>
      <c r="I36" s="105">
        <v>1266682</v>
      </c>
      <c r="J36" s="105">
        <v>1272510</v>
      </c>
      <c r="K36" s="105">
        <v>1277538</v>
      </c>
      <c r="L36" s="105">
        <v>1282750</v>
      </c>
      <c r="M36" s="105">
        <v>1293309</v>
      </c>
      <c r="N36" s="105">
        <v>1304253</v>
      </c>
      <c r="O36" s="105">
        <v>1313596</v>
      </c>
      <c r="P36" s="105">
        <v>1320678</v>
      </c>
      <c r="Q36" s="105">
        <v>1326340</v>
      </c>
      <c r="R36" s="105">
        <v>1332048</v>
      </c>
      <c r="S36" s="105">
        <v>1341857</v>
      </c>
      <c r="T36" s="105">
        <v>1358879</v>
      </c>
      <c r="U36" s="105">
        <v>1365688</v>
      </c>
      <c r="V36" s="105">
        <v>1373799</v>
      </c>
    </row>
    <row r="37" spans="1:26" ht="15.75" thickBot="1">
      <c r="A37" t="s">
        <v>237</v>
      </c>
      <c r="B37" s="102" t="s">
        <v>244</v>
      </c>
      <c r="C37" s="105">
        <v>576801</v>
      </c>
      <c r="D37" s="105">
        <v>576971</v>
      </c>
      <c r="E37" s="105">
        <v>578839</v>
      </c>
      <c r="F37" s="105">
        <v>580515</v>
      </c>
      <c r="G37" s="105">
        <v>579628</v>
      </c>
      <c r="H37" s="105">
        <v>579829</v>
      </c>
      <c r="I37" s="105">
        <v>579996</v>
      </c>
      <c r="J37" s="105">
        <v>580272</v>
      </c>
      <c r="K37" s="105">
        <v>581057</v>
      </c>
      <c r="L37" s="105">
        <v>582632</v>
      </c>
      <c r="M37" s="105">
        <v>585499</v>
      </c>
      <c r="N37" s="105">
        <v>587335</v>
      </c>
      <c r="O37" s="105">
        <v>589148</v>
      </c>
      <c r="P37" s="106">
        <v>589755</v>
      </c>
      <c r="Q37" s="106">
        <v>589936</v>
      </c>
      <c r="R37" s="106">
        <v>590439</v>
      </c>
      <c r="S37" s="106">
        <v>591740</v>
      </c>
      <c r="T37" s="106">
        <v>594634</v>
      </c>
      <c r="U37" s="106">
        <v>593135</v>
      </c>
      <c r="V37" s="106">
        <v>592768</v>
      </c>
    </row>
    <row r="38" spans="1:26" ht="15.75" thickTop="1"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</row>
    <row r="39" spans="1:26" ht="15.75" thickBot="1">
      <c r="B39" s="189" t="s">
        <v>245</v>
      </c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</row>
    <row r="40" spans="1:26" ht="15.75" thickTop="1"/>
    <row r="44" spans="1:26">
      <c r="C44" s="46">
        <v>2006</v>
      </c>
      <c r="D44" s="46">
        <v>2007</v>
      </c>
      <c r="E44" s="46">
        <v>2008</v>
      </c>
      <c r="F44" s="46">
        <v>2009</v>
      </c>
      <c r="G44" s="46">
        <v>2010</v>
      </c>
      <c r="H44" s="46">
        <v>2011</v>
      </c>
      <c r="I44" s="46">
        <v>2012</v>
      </c>
      <c r="J44" s="46">
        <v>2013</v>
      </c>
      <c r="K44" s="46">
        <v>2014</v>
      </c>
      <c r="L44" s="46">
        <v>2015</v>
      </c>
      <c r="M44" s="46">
        <v>2016</v>
      </c>
      <c r="N44" s="46">
        <v>2017</v>
      </c>
      <c r="O44" s="46">
        <v>2018</v>
      </c>
      <c r="P44" s="46">
        <v>2019</v>
      </c>
      <c r="Q44" s="46">
        <v>2020</v>
      </c>
      <c r="R44" s="46">
        <v>2021</v>
      </c>
      <c r="S44" s="46">
        <v>2022</v>
      </c>
      <c r="T44" s="46">
        <v>2023</v>
      </c>
      <c r="U44" s="46">
        <v>2024</v>
      </c>
      <c r="V44" s="46">
        <v>2025</v>
      </c>
      <c r="W44" s="46"/>
      <c r="X44" s="46">
        <v>2030</v>
      </c>
      <c r="Y44" s="46">
        <v>2035</v>
      </c>
      <c r="Z44" s="46">
        <v>2040</v>
      </c>
    </row>
    <row r="45" spans="1:26">
      <c r="B45" t="s">
        <v>237</v>
      </c>
      <c r="C45">
        <f>SUMIFS(C$33:C$37,$A$33:$A$37,$B45)</f>
        <v>2982373</v>
      </c>
      <c r="D45">
        <f t="shared" ref="D45:V46" si="9">SUMIFS(D$33:D$37,$A$33:$A$37,$B45)</f>
        <v>2994205</v>
      </c>
      <c r="E45">
        <f t="shared" si="9"/>
        <v>3010539</v>
      </c>
      <c r="F45">
        <f t="shared" si="9"/>
        <v>3027914</v>
      </c>
      <c r="G45">
        <f t="shared" si="9"/>
        <v>3033903</v>
      </c>
      <c r="H45">
        <f t="shared" si="9"/>
        <v>3041478</v>
      </c>
      <c r="I45">
        <f t="shared" si="9"/>
        <v>3048020</v>
      </c>
      <c r="J45">
        <f t="shared" si="9"/>
        <v>3054201</v>
      </c>
      <c r="K45">
        <f t="shared" si="9"/>
        <v>3061104</v>
      </c>
      <c r="L45">
        <f t="shared" si="9"/>
        <v>3071110</v>
      </c>
      <c r="M45">
        <f t="shared" si="9"/>
        <v>3090578</v>
      </c>
      <c r="N45">
        <f t="shared" si="9"/>
        <v>3108812</v>
      </c>
      <c r="O45">
        <f t="shared" si="9"/>
        <v>3123507</v>
      </c>
      <c r="P45">
        <f t="shared" si="9"/>
        <v>3133781</v>
      </c>
      <c r="Q45">
        <f t="shared" si="9"/>
        <v>3139381</v>
      </c>
      <c r="R45">
        <f t="shared" si="9"/>
        <v>3146121</v>
      </c>
      <c r="S45">
        <f t="shared" si="9"/>
        <v>3161959</v>
      </c>
      <c r="T45">
        <f t="shared" si="9"/>
        <v>3190926</v>
      </c>
      <c r="U45">
        <f t="shared" si="9"/>
        <v>3197229</v>
      </c>
      <c r="V45">
        <f t="shared" si="9"/>
        <v>3207039</v>
      </c>
      <c r="X45">
        <f t="array" ref="X45">TREND($M45:$V45,$M$44:$V$44,X$44)</f>
        <v>3270579.6727272719</v>
      </c>
      <c r="Y45">
        <f t="array" ref="Y45">TREND($M45:$V45,$M$44:$V$44,Y$44)</f>
        <v>3334077.7636363655</v>
      </c>
      <c r="Z45">
        <f t="array" ref="Z45">TREND($M45:$V45,$M$44:$V$44,Z$44)</f>
        <v>3397575.8545454554</v>
      </c>
    </row>
    <row r="46" spans="1:26">
      <c r="B46" t="s">
        <v>238</v>
      </c>
      <c r="C46">
        <f>SUMIFS(C$33:C$37,$A$33:$A$37,$B46)</f>
        <v>2445076</v>
      </c>
      <c r="D46">
        <f t="shared" si="9"/>
        <v>2452861</v>
      </c>
      <c r="E46">
        <f t="shared" si="9"/>
        <v>2465252</v>
      </c>
      <c r="F46">
        <f t="shared" si="9"/>
        <v>2483537</v>
      </c>
      <c r="G46">
        <f t="shared" si="9"/>
        <v>2500835</v>
      </c>
      <c r="H46">
        <f t="shared" si="9"/>
        <v>2519150</v>
      </c>
      <c r="I46">
        <f t="shared" si="9"/>
        <v>2532496</v>
      </c>
      <c r="J46">
        <f t="shared" si="9"/>
        <v>2548427</v>
      </c>
      <c r="K46">
        <f t="shared" si="9"/>
        <v>2566131</v>
      </c>
      <c r="L46">
        <f t="shared" si="9"/>
        <v>2588605</v>
      </c>
      <c r="M46">
        <f t="shared" si="9"/>
        <v>2616673</v>
      </c>
      <c r="N46">
        <f t="shared" si="9"/>
        <v>2639957</v>
      </c>
      <c r="O46">
        <f t="shared" si="9"/>
        <v>2657683</v>
      </c>
      <c r="P46">
        <f t="shared" si="9"/>
        <v>2672300</v>
      </c>
      <c r="Q46">
        <f t="shared" si="9"/>
        <v>2683382</v>
      </c>
      <c r="R46">
        <f t="shared" si="9"/>
        <v>2693924</v>
      </c>
      <c r="S46">
        <f t="shared" si="9"/>
        <v>2711461</v>
      </c>
      <c r="T46">
        <f t="shared" si="9"/>
        <v>2741728</v>
      </c>
      <c r="U46">
        <f t="shared" si="9"/>
        <v>2764020</v>
      </c>
      <c r="V46">
        <f t="shared" si="9"/>
        <v>2785695</v>
      </c>
      <c r="X46">
        <f t="array" ref="X46">TREND($M46:$V46,$M$44:$V$44,X$44)</f>
        <v>2865833.4848484807</v>
      </c>
      <c r="Y46">
        <f t="array" ref="Y46">TREND($M46:$V46,$M$44:$V$44,Y$44)</f>
        <v>2954860.4242424257</v>
      </c>
      <c r="Z46">
        <f t="array" ref="Z46">TREND($M46:$V46,$M$44:$V$44,Z$44)</f>
        <v>3043887.3636363633</v>
      </c>
    </row>
    <row r="47" spans="1:26">
      <c r="B47" t="s">
        <v>111</v>
      </c>
      <c r="C47">
        <f>SUM(C45:C46)</f>
        <v>5427449</v>
      </c>
      <c r="D47">
        <f t="shared" ref="D47:V47" si="10">SUM(D45:D46)</f>
        <v>5447066</v>
      </c>
      <c r="E47">
        <f t="shared" si="10"/>
        <v>5475791</v>
      </c>
      <c r="F47">
        <f t="shared" si="10"/>
        <v>5511451</v>
      </c>
      <c r="G47">
        <f t="shared" si="10"/>
        <v>5534738</v>
      </c>
      <c r="H47">
        <f t="shared" si="10"/>
        <v>5560628</v>
      </c>
      <c r="I47">
        <f t="shared" si="10"/>
        <v>5580516</v>
      </c>
      <c r="J47">
        <f t="shared" si="10"/>
        <v>5602628</v>
      </c>
      <c r="K47">
        <f t="shared" si="10"/>
        <v>5627235</v>
      </c>
      <c r="L47">
        <f t="shared" si="10"/>
        <v>5659715</v>
      </c>
      <c r="M47">
        <f t="shared" si="10"/>
        <v>5707251</v>
      </c>
      <c r="N47">
        <f t="shared" si="10"/>
        <v>5748769</v>
      </c>
      <c r="O47">
        <f t="shared" si="10"/>
        <v>5781190</v>
      </c>
      <c r="P47">
        <f t="shared" si="10"/>
        <v>5806081</v>
      </c>
      <c r="Q47">
        <f t="shared" si="10"/>
        <v>5822763</v>
      </c>
      <c r="R47">
        <f t="shared" si="10"/>
        <v>5840045</v>
      </c>
      <c r="S47">
        <f t="shared" si="10"/>
        <v>5873420</v>
      </c>
      <c r="T47">
        <f t="shared" si="10"/>
        <v>5932654</v>
      </c>
      <c r="U47">
        <f t="shared" si="10"/>
        <v>5961249</v>
      </c>
      <c r="V47">
        <f t="shared" si="10"/>
        <v>5992734</v>
      </c>
      <c r="X47">
        <f t="shared" ref="X47" si="11">SUM(X45:X46)</f>
        <v>6136413.1575757526</v>
      </c>
      <c r="Y47">
        <f t="shared" ref="Y47" si="12">SUM(Y45:Y46)</f>
        <v>6288938.1878787912</v>
      </c>
      <c r="Z47">
        <f t="shared" ref="Z47" si="13">SUM(Z45:Z46)</f>
        <v>6441463.2181818187</v>
      </c>
    </row>
    <row r="49" spans="2:33">
      <c r="B49" t="s">
        <v>237</v>
      </c>
      <c r="C49">
        <f>C45/C$47</f>
        <v>0.5494981159657143</v>
      </c>
      <c r="D49">
        <f t="shared" ref="D49:V49" si="14">D45/D$47</f>
        <v>0.54969133841961892</v>
      </c>
      <c r="E49">
        <f t="shared" si="14"/>
        <v>0.54979070603680824</v>
      </c>
      <c r="F49">
        <f t="shared" si="14"/>
        <v>0.54938599653702813</v>
      </c>
      <c r="G49">
        <f t="shared" si="14"/>
        <v>0.54815657037424359</v>
      </c>
      <c r="H49">
        <f t="shared" si="14"/>
        <v>0.54696663758122288</v>
      </c>
      <c r="I49">
        <f t="shared" si="14"/>
        <v>0.546189635510408</v>
      </c>
      <c r="J49">
        <f t="shared" si="14"/>
        <v>0.54513721060902132</v>
      </c>
      <c r="K49">
        <f t="shared" si="14"/>
        <v>0.54398012523024186</v>
      </c>
      <c r="L49">
        <f t="shared" si="14"/>
        <v>0.54262626298320671</v>
      </c>
      <c r="M49">
        <f t="shared" si="14"/>
        <v>0.54151779902443398</v>
      </c>
      <c r="N49">
        <f t="shared" si="14"/>
        <v>0.54077873019423806</v>
      </c>
      <c r="O49">
        <f t="shared" si="14"/>
        <v>0.54028789920414311</v>
      </c>
      <c r="P49">
        <f t="shared" si="14"/>
        <v>0.53974117825776113</v>
      </c>
      <c r="Q49">
        <f t="shared" si="14"/>
        <v>0.53915658253650367</v>
      </c>
      <c r="R49">
        <f t="shared" si="14"/>
        <v>0.53871519825617786</v>
      </c>
      <c r="S49">
        <f t="shared" si="14"/>
        <v>0.5383505691743482</v>
      </c>
      <c r="T49">
        <f t="shared" si="14"/>
        <v>0.53785809858454581</v>
      </c>
      <c r="U49">
        <f t="shared" si="14"/>
        <v>0.53633542232508657</v>
      </c>
      <c r="V49">
        <f t="shared" si="14"/>
        <v>0.53515457218691831</v>
      </c>
      <c r="X49">
        <f t="shared" ref="X49:Z49" si="15">X45/X$47</f>
        <v>0.53297905286731784</v>
      </c>
      <c r="Y49">
        <f t="shared" si="15"/>
        <v>0.53014955212350778</v>
      </c>
      <c r="Z49">
        <f t="shared" si="15"/>
        <v>0.52745404878745272</v>
      </c>
    </row>
    <row r="50" spans="2:33">
      <c r="B50" t="s">
        <v>238</v>
      </c>
      <c r="C50">
        <f>C46/C$47</f>
        <v>0.4505018840342857</v>
      </c>
      <c r="D50">
        <f t="shared" ref="D50:V50" si="16">D46/D$47</f>
        <v>0.45030866158038108</v>
      </c>
      <c r="E50">
        <f t="shared" si="16"/>
        <v>0.45020929396319181</v>
      </c>
      <c r="F50">
        <f t="shared" si="16"/>
        <v>0.45061400346297192</v>
      </c>
      <c r="G50">
        <f t="shared" si="16"/>
        <v>0.45184342962575647</v>
      </c>
      <c r="H50">
        <f t="shared" si="16"/>
        <v>0.45303336241877717</v>
      </c>
      <c r="I50">
        <f t="shared" si="16"/>
        <v>0.453810364489592</v>
      </c>
      <c r="J50">
        <f t="shared" si="16"/>
        <v>0.45486278939097868</v>
      </c>
      <c r="K50">
        <f t="shared" si="16"/>
        <v>0.45601987476975814</v>
      </c>
      <c r="L50">
        <f t="shared" si="16"/>
        <v>0.45737373701679324</v>
      </c>
      <c r="M50">
        <f t="shared" si="16"/>
        <v>0.45848220097556597</v>
      </c>
      <c r="N50">
        <f t="shared" si="16"/>
        <v>0.45922126980576189</v>
      </c>
      <c r="O50">
        <f t="shared" si="16"/>
        <v>0.45971210079585689</v>
      </c>
      <c r="P50">
        <f t="shared" si="16"/>
        <v>0.46025882174223887</v>
      </c>
      <c r="Q50">
        <f t="shared" si="16"/>
        <v>0.46084341746349627</v>
      </c>
      <c r="R50">
        <f t="shared" si="16"/>
        <v>0.46128480174382219</v>
      </c>
      <c r="S50">
        <f t="shared" si="16"/>
        <v>0.46164943082565185</v>
      </c>
      <c r="T50">
        <f t="shared" si="16"/>
        <v>0.46214190141545419</v>
      </c>
      <c r="U50">
        <f t="shared" si="16"/>
        <v>0.46366457767491343</v>
      </c>
      <c r="V50">
        <f t="shared" si="16"/>
        <v>0.46484542781308164</v>
      </c>
      <c r="X50">
        <f t="shared" ref="X50:Z50" si="17">X46/X$47</f>
        <v>0.46702094713268216</v>
      </c>
      <c r="Y50">
        <f t="shared" si="17"/>
        <v>0.46985044787649227</v>
      </c>
      <c r="Z50">
        <f t="shared" si="17"/>
        <v>0.47254595121254722</v>
      </c>
    </row>
    <row r="54" spans="2:33">
      <c r="B54" t="s">
        <v>260</v>
      </c>
    </row>
    <row r="55" spans="2:33" ht="15.75" thickBot="1">
      <c r="B55" s="103"/>
    </row>
    <row r="56" spans="2:33" ht="19.5" thickTop="1">
      <c r="B56" s="190" t="s">
        <v>249</v>
      </c>
      <c r="C56" s="190"/>
      <c r="D56" s="190"/>
      <c r="E56" s="190"/>
      <c r="F56" s="190"/>
      <c r="G56" s="190"/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</row>
    <row r="57" spans="2:33" ht="19.5" thickBot="1">
      <c r="B57" s="187" t="s">
        <v>250</v>
      </c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spans="2:33" ht="16.5" thickTop="1" thickBot="1">
      <c r="B58" s="99"/>
      <c r="C58" s="99">
        <v>2000</v>
      </c>
      <c r="D58" s="99">
        <v>2001</v>
      </c>
      <c r="E58" s="99">
        <v>2002</v>
      </c>
      <c r="F58" s="99">
        <v>2003</v>
      </c>
      <c r="G58" s="99">
        <v>2004</v>
      </c>
      <c r="H58" s="99">
        <v>2005</v>
      </c>
      <c r="I58" s="99">
        <v>2006</v>
      </c>
      <c r="J58" s="99">
        <v>2007</v>
      </c>
      <c r="K58" s="99">
        <v>2008</v>
      </c>
      <c r="L58" s="99">
        <v>2009</v>
      </c>
      <c r="M58" s="99">
        <v>2010</v>
      </c>
      <c r="N58" s="99">
        <v>2011</v>
      </c>
      <c r="O58" s="99">
        <v>2012</v>
      </c>
      <c r="P58" s="99">
        <v>2013</v>
      </c>
      <c r="Q58" s="99">
        <v>2014</v>
      </c>
      <c r="R58" s="99">
        <v>2015</v>
      </c>
      <c r="S58" s="99">
        <v>2016</v>
      </c>
      <c r="T58" s="99">
        <v>2017</v>
      </c>
      <c r="U58" s="99">
        <v>2018</v>
      </c>
      <c r="V58" s="99">
        <v>2019</v>
      </c>
      <c r="W58" s="99">
        <v>2020</v>
      </c>
      <c r="X58" s="99">
        <v>2021</v>
      </c>
      <c r="Y58" s="99">
        <v>2022</v>
      </c>
      <c r="Z58" s="99">
        <v>2023</v>
      </c>
      <c r="AB58">
        <v>2015</v>
      </c>
      <c r="AC58">
        <v>2020</v>
      </c>
      <c r="AD58">
        <v>2025</v>
      </c>
      <c r="AE58">
        <v>2030</v>
      </c>
      <c r="AF58">
        <v>2035</v>
      </c>
      <c r="AG58">
        <v>2040</v>
      </c>
    </row>
    <row r="59" spans="2:33">
      <c r="B59" s="104" t="s">
        <v>251</v>
      </c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spans="2:33">
      <c r="B60" s="100" t="s">
        <v>252</v>
      </c>
      <c r="C60" s="107">
        <v>118191710</v>
      </c>
      <c r="D60" s="107">
        <v>127591954</v>
      </c>
      <c r="E60" s="107">
        <v>126096476</v>
      </c>
      <c r="F60" s="107">
        <v>129657990</v>
      </c>
      <c r="G60" s="107">
        <v>129012619</v>
      </c>
      <c r="H60" s="107">
        <v>127164593</v>
      </c>
      <c r="I60" s="107">
        <v>126371188</v>
      </c>
      <c r="J60" s="107">
        <v>123246968</v>
      </c>
      <c r="K60" s="107">
        <v>126141496</v>
      </c>
      <c r="L60" s="107">
        <v>128973862</v>
      </c>
      <c r="M60" s="107">
        <v>148964328</v>
      </c>
      <c r="N60" s="107">
        <v>131725231</v>
      </c>
      <c r="O60" s="107">
        <v>135613583</v>
      </c>
      <c r="P60" s="107">
        <v>133472780</v>
      </c>
      <c r="Q60" s="107">
        <v>119991730</v>
      </c>
      <c r="R60" s="107">
        <v>129268770</v>
      </c>
      <c r="S60" s="107">
        <v>134290844</v>
      </c>
      <c r="T60" s="107">
        <v>135053501</v>
      </c>
      <c r="U60" s="107">
        <v>134191853</v>
      </c>
      <c r="V60" s="107">
        <v>130587672</v>
      </c>
      <c r="W60" s="107">
        <v>127822998</v>
      </c>
      <c r="X60" s="107">
        <v>141033844</v>
      </c>
      <c r="Y60" s="107">
        <v>128877696</v>
      </c>
      <c r="Z60" s="107">
        <v>130981976</v>
      </c>
    </row>
    <row r="61" spans="2:33">
      <c r="B61" s="100" t="s">
        <v>253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7">
        <v>0</v>
      </c>
      <c r="Q61" s="107">
        <v>0</v>
      </c>
      <c r="R61" s="107">
        <v>0</v>
      </c>
      <c r="S61" s="107">
        <v>128149</v>
      </c>
      <c r="T61" s="107">
        <v>123744</v>
      </c>
      <c r="U61" s="107">
        <v>113520</v>
      </c>
      <c r="V61" s="107">
        <v>106650</v>
      </c>
      <c r="W61" s="107">
        <v>107088</v>
      </c>
      <c r="X61" s="107">
        <v>110959</v>
      </c>
      <c r="Y61" s="107">
        <v>102061</v>
      </c>
      <c r="Z61" s="107">
        <v>102061</v>
      </c>
    </row>
    <row r="62" spans="2:33">
      <c r="B62" s="100" t="s">
        <v>254</v>
      </c>
      <c r="C62" s="107">
        <v>118191710</v>
      </c>
      <c r="D62" s="107">
        <v>127591954</v>
      </c>
      <c r="E62" s="107">
        <v>126096476</v>
      </c>
      <c r="F62" s="107">
        <v>129657990</v>
      </c>
      <c r="G62" s="107">
        <v>129012619</v>
      </c>
      <c r="H62" s="107">
        <v>127164593</v>
      </c>
      <c r="I62" s="107">
        <v>126371188</v>
      </c>
      <c r="J62" s="107">
        <v>123246968</v>
      </c>
      <c r="K62" s="107">
        <v>126141496</v>
      </c>
      <c r="L62" s="107">
        <v>128973862</v>
      </c>
      <c r="M62" s="107">
        <v>148964328</v>
      </c>
      <c r="N62" s="107">
        <v>131725231</v>
      </c>
      <c r="O62" s="107">
        <v>135613583</v>
      </c>
      <c r="P62" s="107">
        <v>133472780</v>
      </c>
      <c r="Q62" s="107">
        <v>119991730</v>
      </c>
      <c r="R62" s="107">
        <v>129268770</v>
      </c>
      <c r="S62" s="107">
        <v>134162695</v>
      </c>
      <c r="T62" s="107">
        <v>134929757</v>
      </c>
      <c r="U62" s="107">
        <v>134078333</v>
      </c>
      <c r="V62" s="107">
        <v>130481021</v>
      </c>
      <c r="W62" s="107">
        <v>127715910</v>
      </c>
      <c r="X62" s="107">
        <v>140922884</v>
      </c>
      <c r="Y62" s="107">
        <v>128775635</v>
      </c>
      <c r="Z62" s="107">
        <v>130879914</v>
      </c>
    </row>
    <row r="63" spans="2:33">
      <c r="B63" s="100" t="s">
        <v>255</v>
      </c>
      <c r="C63" s="107">
        <v>118191710</v>
      </c>
      <c r="D63" s="107">
        <v>127591954</v>
      </c>
      <c r="E63" s="107">
        <v>126096476</v>
      </c>
      <c r="F63" s="107">
        <v>129657990</v>
      </c>
      <c r="G63" s="107">
        <v>129012619</v>
      </c>
      <c r="H63" s="107">
        <v>127164593</v>
      </c>
      <c r="I63" s="107">
        <v>126371188</v>
      </c>
      <c r="J63" s="107">
        <v>123246968</v>
      </c>
      <c r="K63" s="107">
        <v>126141496</v>
      </c>
      <c r="L63" s="107">
        <v>128973862</v>
      </c>
      <c r="M63" s="107">
        <v>148964328</v>
      </c>
      <c r="N63" s="107">
        <v>131725231</v>
      </c>
      <c r="O63" s="107">
        <v>135613583</v>
      </c>
      <c r="P63" s="107">
        <v>133472780</v>
      </c>
      <c r="Q63" s="107">
        <v>119991730</v>
      </c>
      <c r="R63" s="107">
        <v>129268770</v>
      </c>
      <c r="S63" s="107">
        <v>134290844</v>
      </c>
      <c r="T63" s="107">
        <v>135053501</v>
      </c>
      <c r="U63" s="107">
        <v>134191853</v>
      </c>
      <c r="V63" s="107">
        <v>130587672</v>
      </c>
      <c r="W63" s="107">
        <v>127822998</v>
      </c>
      <c r="X63" s="107">
        <v>141033844</v>
      </c>
      <c r="Y63" s="107">
        <v>128877696</v>
      </c>
      <c r="Z63" s="107">
        <v>130981976</v>
      </c>
    </row>
    <row r="64" spans="2:33">
      <c r="B64" s="100" t="s">
        <v>256</v>
      </c>
      <c r="C64" s="107">
        <v>0</v>
      </c>
      <c r="D64" s="107">
        <v>0</v>
      </c>
      <c r="E64" s="107">
        <v>0</v>
      </c>
      <c r="F64" s="107">
        <v>0</v>
      </c>
      <c r="G64" s="107">
        <v>0</v>
      </c>
      <c r="H64" s="107">
        <v>0</v>
      </c>
      <c r="I64" s="107">
        <v>0</v>
      </c>
      <c r="J64" s="107">
        <v>0</v>
      </c>
      <c r="K64" s="107">
        <v>0</v>
      </c>
      <c r="L64" s="107">
        <v>0</v>
      </c>
      <c r="M64" s="107">
        <v>0</v>
      </c>
      <c r="N64" s="107">
        <v>0</v>
      </c>
      <c r="O64" s="107">
        <v>0</v>
      </c>
      <c r="P64" s="107">
        <v>0</v>
      </c>
      <c r="Q64" s="107">
        <v>0</v>
      </c>
      <c r="R64" s="107">
        <v>0</v>
      </c>
      <c r="S64" s="107">
        <v>0</v>
      </c>
      <c r="T64" s="107">
        <v>0</v>
      </c>
      <c r="U64" s="107">
        <v>0</v>
      </c>
      <c r="V64" s="107">
        <v>0</v>
      </c>
      <c r="W64" s="107">
        <v>0</v>
      </c>
      <c r="X64" s="107">
        <v>0</v>
      </c>
      <c r="Y64" s="107">
        <v>0</v>
      </c>
      <c r="Z64" s="107">
        <v>0</v>
      </c>
    </row>
    <row r="65" spans="2:33">
      <c r="B65" s="100" t="s">
        <v>257</v>
      </c>
      <c r="C65" s="107">
        <v>0</v>
      </c>
      <c r="D65" s="107">
        <v>0</v>
      </c>
      <c r="E65" s="107">
        <v>0</v>
      </c>
      <c r="F65" s="107">
        <v>0</v>
      </c>
      <c r="G65" s="107">
        <v>0</v>
      </c>
      <c r="H65" s="107">
        <v>0</v>
      </c>
      <c r="I65" s="107">
        <v>0</v>
      </c>
      <c r="J65" s="107">
        <v>0</v>
      </c>
      <c r="K65" s="107">
        <v>0</v>
      </c>
      <c r="L65" s="107">
        <v>0</v>
      </c>
      <c r="M65" s="107">
        <v>0</v>
      </c>
      <c r="N65" s="107">
        <v>0</v>
      </c>
      <c r="O65" s="107">
        <v>0</v>
      </c>
      <c r="P65" s="107">
        <v>0</v>
      </c>
      <c r="Q65" s="107">
        <v>0</v>
      </c>
      <c r="R65" s="107">
        <v>0</v>
      </c>
      <c r="S65" s="107">
        <v>0</v>
      </c>
      <c r="T65" s="107">
        <v>0</v>
      </c>
      <c r="U65" s="107">
        <v>0</v>
      </c>
      <c r="V65" s="107">
        <v>0</v>
      </c>
      <c r="W65" s="107">
        <v>0</v>
      </c>
      <c r="X65" s="107">
        <v>0</v>
      </c>
      <c r="Y65" s="107">
        <v>0</v>
      </c>
      <c r="Z65" s="107">
        <v>0</v>
      </c>
    </row>
    <row r="66" spans="2:33">
      <c r="B66" s="100" t="s">
        <v>258</v>
      </c>
      <c r="C66" s="107">
        <v>23522874</v>
      </c>
      <c r="D66" s="107">
        <v>25396791</v>
      </c>
      <c r="E66" s="107">
        <v>25097639</v>
      </c>
      <c r="F66" s="107">
        <v>25809998</v>
      </c>
      <c r="G66" s="107">
        <v>25678524</v>
      </c>
      <c r="H66" s="107">
        <v>25310476</v>
      </c>
      <c r="I66" s="107">
        <v>25151878</v>
      </c>
      <c r="J66" s="107">
        <v>24530994</v>
      </c>
      <c r="K66" s="107">
        <v>25105899</v>
      </c>
      <c r="L66" s="107">
        <v>25672372</v>
      </c>
      <c r="M66" s="107">
        <v>29655848</v>
      </c>
      <c r="N66" s="107">
        <v>26223997</v>
      </c>
      <c r="O66" s="107">
        <v>26995662</v>
      </c>
      <c r="P66" s="107">
        <v>26809288</v>
      </c>
      <c r="Q66" s="107">
        <v>24120499</v>
      </c>
      <c r="R66" s="107">
        <v>26317898</v>
      </c>
      <c r="S66" s="107">
        <v>26858169</v>
      </c>
      <c r="T66" s="107">
        <v>27010700</v>
      </c>
      <c r="U66" s="107">
        <v>26838371</v>
      </c>
      <c r="V66" s="107">
        <v>26117534</v>
      </c>
      <c r="W66" s="107">
        <v>25564600</v>
      </c>
      <c r="X66" s="107">
        <v>28206769</v>
      </c>
      <c r="Y66" s="107">
        <v>25775539</v>
      </c>
      <c r="Z66" s="107">
        <v>26056395</v>
      </c>
    </row>
    <row r="67" spans="2:33" ht="28.5">
      <c r="B67" s="100" t="s">
        <v>259</v>
      </c>
      <c r="C67" s="107">
        <v>94668836</v>
      </c>
      <c r="D67" s="107">
        <v>102195163</v>
      </c>
      <c r="E67" s="107">
        <v>100998837</v>
      </c>
      <c r="F67" s="107">
        <v>103847992</v>
      </c>
      <c r="G67" s="107">
        <v>103334095</v>
      </c>
      <c r="H67" s="107">
        <v>101854116</v>
      </c>
      <c r="I67" s="107">
        <v>101219310</v>
      </c>
      <c r="J67" s="107">
        <v>98715975</v>
      </c>
      <c r="K67" s="107">
        <v>101035597</v>
      </c>
      <c r="L67" s="107">
        <v>103301490</v>
      </c>
      <c r="M67" s="107">
        <v>119308479</v>
      </c>
      <c r="N67" s="107">
        <v>105501233</v>
      </c>
      <c r="O67" s="107">
        <v>108617921</v>
      </c>
      <c r="P67" s="107">
        <v>106663492</v>
      </c>
      <c r="Q67" s="107">
        <v>95871231</v>
      </c>
      <c r="R67" s="107">
        <v>102950872</v>
      </c>
      <c r="S67" s="107">
        <v>107432675</v>
      </c>
      <c r="T67" s="107">
        <v>108042801</v>
      </c>
      <c r="U67" s="107">
        <v>107353483</v>
      </c>
      <c r="V67" s="107">
        <v>104470137</v>
      </c>
      <c r="W67" s="107">
        <v>102258399</v>
      </c>
      <c r="X67" s="107">
        <v>112827075</v>
      </c>
      <c r="Y67" s="107">
        <v>103102157</v>
      </c>
      <c r="Z67" s="107">
        <v>104925580</v>
      </c>
    </row>
    <row r="68" spans="2:33" ht="15.75" thickBot="1"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 spans="2:33" ht="15.75" thickTop="1"/>
    <row r="71" spans="2:33">
      <c r="B71" t="s">
        <v>261</v>
      </c>
      <c r="C71" s="28">
        <f>C60/3.6/1000</f>
        <v>32831.030555555553</v>
      </c>
      <c r="D71" s="28">
        <f t="shared" ref="D71:Z71" si="18">D60/3.6/1000</f>
        <v>35442.209444444437</v>
      </c>
      <c r="E71" s="28">
        <f t="shared" si="18"/>
        <v>35026.798888888887</v>
      </c>
      <c r="F71" s="28">
        <f t="shared" si="18"/>
        <v>36016.108333333337</v>
      </c>
      <c r="G71" s="28">
        <f t="shared" si="18"/>
        <v>35836.83861111111</v>
      </c>
      <c r="H71" s="28">
        <f t="shared" si="18"/>
        <v>35323.498055555552</v>
      </c>
      <c r="I71" s="28">
        <f t="shared" si="18"/>
        <v>35103.107777777775</v>
      </c>
      <c r="J71" s="28">
        <f t="shared" si="18"/>
        <v>34235.268888888888</v>
      </c>
      <c r="K71" s="28">
        <f t="shared" si="18"/>
        <v>35039.304444444439</v>
      </c>
      <c r="L71" s="28">
        <f t="shared" si="18"/>
        <v>35826.072777777779</v>
      </c>
      <c r="M71" s="28">
        <f t="shared" si="18"/>
        <v>41378.980000000003</v>
      </c>
      <c r="N71" s="28">
        <f t="shared" si="18"/>
        <v>36590.341944444437</v>
      </c>
      <c r="O71" s="28">
        <f t="shared" si="18"/>
        <v>37670.439722222225</v>
      </c>
      <c r="P71" s="28">
        <f t="shared" si="18"/>
        <v>37075.772222222222</v>
      </c>
      <c r="Q71" s="28">
        <f t="shared" si="18"/>
        <v>33331.036111111112</v>
      </c>
      <c r="R71" s="28">
        <f t="shared" si="18"/>
        <v>35907.991666666661</v>
      </c>
      <c r="S71" s="28">
        <f t="shared" si="18"/>
        <v>37303.012222222227</v>
      </c>
      <c r="T71" s="28">
        <f t="shared" si="18"/>
        <v>37514.861388888887</v>
      </c>
      <c r="U71" s="28">
        <f t="shared" si="18"/>
        <v>37275.514722222222</v>
      </c>
      <c r="V71" s="28">
        <f t="shared" si="18"/>
        <v>36274.353333333333</v>
      </c>
      <c r="W71" s="28">
        <f t="shared" si="18"/>
        <v>35506.388333333336</v>
      </c>
      <c r="X71" s="28">
        <f t="shared" si="18"/>
        <v>39176.067777777775</v>
      </c>
      <c r="Y71" s="28">
        <f t="shared" si="18"/>
        <v>35799.360000000001</v>
      </c>
      <c r="Z71" s="28">
        <f t="shared" si="18"/>
        <v>36383.882222222222</v>
      </c>
      <c r="AB71" s="142">
        <f>AB73*AB75* AB72 / AVERAGE($C72:$Z72)</f>
        <v>36498.648944111686</v>
      </c>
      <c r="AC71" s="142">
        <f t="shared" ref="AC71:AG71" si="19">AC73*AC75* AC72 / AVERAGE($C72:$Z72)</f>
        <v>37057.378764521905</v>
      </c>
      <c r="AD71" s="142">
        <f t="shared" si="19"/>
        <v>37429.725580530336</v>
      </c>
      <c r="AE71" s="142">
        <f t="shared" si="19"/>
        <v>37347.247565767742</v>
      </c>
      <c r="AF71" s="142">
        <f t="shared" si="19"/>
        <v>37092.25393148006</v>
      </c>
      <c r="AG71" s="142">
        <f t="shared" si="19"/>
        <v>36822.847063496985</v>
      </c>
    </row>
    <row r="72" spans="2:33">
      <c r="B72" s="59" t="s">
        <v>163</v>
      </c>
      <c r="C72" s="94">
        <f>HLOOKUP(C$58,   HDD!$A$25:$AG$55, MATCH($B$2,HDD!$A$25:$A$55,0), FALSE)</f>
        <v>3112.07</v>
      </c>
      <c r="D72" s="94">
        <f>HLOOKUP(D$58,   HDD!$A$25:$AG$55, MATCH($B$2,HDD!$A$25:$A$55,0), FALSE)</f>
        <v>3494.43</v>
      </c>
      <c r="E72" s="94">
        <f>HLOOKUP(E$58,   HDD!$A$25:$AG$55, MATCH($B$2,HDD!$A$25:$A$55,0), FALSE)</f>
        <v>3189.34</v>
      </c>
      <c r="F72" s="94">
        <f>HLOOKUP(F$58,   HDD!$A$25:$AG$55, MATCH($B$2,HDD!$A$25:$A$55,0), FALSE)</f>
        <v>3325.61</v>
      </c>
      <c r="G72" s="94">
        <f>HLOOKUP(G$58,   HDD!$A$25:$AG$55, MATCH($B$2,HDD!$A$25:$A$55,0), FALSE)</f>
        <v>3309.22</v>
      </c>
      <c r="H72" s="94">
        <f>HLOOKUP(H$58,   HDD!$A$25:$AG$55, MATCH($B$2,HDD!$A$25:$A$55,0), FALSE)</f>
        <v>3261.34</v>
      </c>
      <c r="I72" s="94">
        <f>HLOOKUP(I$58,   HDD!$A$25:$AG$55, MATCH($B$2,HDD!$A$25:$A$55,0), FALSE)</f>
        <v>3084.26</v>
      </c>
      <c r="J72" s="94">
        <f>HLOOKUP(J$58,   HDD!$A$25:$AG$55, MATCH($B$2,HDD!$A$25:$A$55,0), FALSE)</f>
        <v>3000.97</v>
      </c>
      <c r="K72" s="94">
        <f>HLOOKUP(K$58,   HDD!$A$25:$AG$55, MATCH($B$2,HDD!$A$25:$A$55,0), FALSE)</f>
        <v>3019.35</v>
      </c>
      <c r="L72" s="94">
        <f>HLOOKUP(L$58,   HDD!$A$25:$AG$55, MATCH($B$2,HDD!$A$25:$A$55,0), FALSE)</f>
        <v>3230.76</v>
      </c>
      <c r="M72" s="94">
        <f>HLOOKUP(M$58,   HDD!$A$25:$AG$55, MATCH($B$2,HDD!$A$25:$A$55,0), FALSE)</f>
        <v>3982.16</v>
      </c>
      <c r="N72" s="94">
        <f>HLOOKUP(N$58,   HDD!$A$25:$AG$55, MATCH($B$2,HDD!$A$25:$A$55,0), FALSE)</f>
        <v>3148.45</v>
      </c>
      <c r="O72" s="94">
        <f>HLOOKUP(O$58,   HDD!$A$25:$AG$55, MATCH($B$2,HDD!$A$25:$A$55,0), FALSE)</f>
        <v>3424.15</v>
      </c>
      <c r="P72" s="94">
        <f>HLOOKUP(P$58,   HDD!$A$25:$AG$55, MATCH($B$2,HDD!$A$25:$A$55,0), FALSE)</f>
        <v>3396.28</v>
      </c>
      <c r="Q72" s="94">
        <f>HLOOKUP(Q$58,   HDD!$A$25:$AG$55, MATCH($B$2,HDD!$A$25:$A$55,0), FALSE)</f>
        <v>2834.98</v>
      </c>
      <c r="R72" s="94">
        <f>HLOOKUP(R$58,   HDD!$A$25:$AG$55, MATCH($B$2,HDD!$A$25:$A$55,0), FALSE)</f>
        <v>3114.15</v>
      </c>
      <c r="S72" s="94">
        <f>HLOOKUP(S$58,   HDD!$A$25:$AG$55, MATCH($B$2,HDD!$A$25:$A$55,0), FALSE)</f>
        <v>3141.46</v>
      </c>
      <c r="T72" s="94">
        <f>HLOOKUP(T$58,   HDD!$A$25:$AG$55, MATCH($B$2,HDD!$A$25:$A$55,0), FALSE)</f>
        <v>3112.11</v>
      </c>
      <c r="U72" s="94">
        <f>HLOOKUP(U$58,   HDD!$A$25:$AG$55, MATCH($B$2,HDD!$A$25:$A$55,0), FALSE)</f>
        <v>3048.54</v>
      </c>
      <c r="V72" s="94">
        <f>HLOOKUP(V$58,   HDD!$A$25:$AG$55, MATCH($B$2,HDD!$A$25:$A$55,0), FALSE)</f>
        <v>3026.8</v>
      </c>
      <c r="W72" s="94">
        <f>HLOOKUP(W$58,   HDD!$A$25:$AG$55, MATCH($B$2,HDD!$A$25:$A$55,0), FALSE)</f>
        <v>2921.4</v>
      </c>
      <c r="X72" s="94">
        <f>HLOOKUP(X$58,   HDD!$A$25:$AG$55, MATCH($B$2,HDD!$A$25:$A$55,0), FALSE)</f>
        <v>3263.77</v>
      </c>
      <c r="Y72" s="94">
        <f>HLOOKUP(Y$58,   HDD!$A$25:$AG$55, MATCH($B$2,HDD!$A$25:$A$55,0), FALSE)</f>
        <v>3019.14</v>
      </c>
      <c r="Z72" s="94">
        <f>HLOOKUP(Z$58,   HDD!$A$25:$AG$55, MATCH($B$2,HDD!$A$25:$A$55,0), FALSE)</f>
        <v>3034.4</v>
      </c>
      <c r="AB72" s="94">
        <f>HLOOKUP(AB$58,   HDD!$AA$25:$AG$55, MATCH($B$2,HDD!$A$25:$A$55,0), FALSE)</f>
        <v>3148.5630304347833</v>
      </c>
      <c r="AC72" s="94">
        <f>HLOOKUP(AC$58,   HDD!$AA$25:$AG$55, MATCH($B$2,HDD!$A$25:$A$55,0), FALSE)</f>
        <v>3093.2280739130438</v>
      </c>
      <c r="AD72" s="94">
        <f>HLOOKUP(AD$58,   HDD!$AA$25:$AG$55, MATCH($B$2,HDD!$A$25:$A$55,0), FALSE)</f>
        <v>3037.8931173913043</v>
      </c>
      <c r="AE72" s="94">
        <f>HLOOKUP(AE$58,   HDD!$A$25:$AG$55, MATCH($B$2,HDD!$A$25:$A$55,0), FALSE)</f>
        <v>2982.5581608695647</v>
      </c>
      <c r="AF72" s="94">
        <f>HLOOKUP(AF$58,   HDD!$A$25:$AG$55, MATCH($B$2,HDD!$A$25:$A$55,0), FALSE)</f>
        <v>2927.2232043478289</v>
      </c>
      <c r="AG72" s="94">
        <f>HLOOKUP(AG$58,   HDD!$A$25:$AG$55, MATCH($B$2,HDD!$A$25:$A$55,0), FALSE)</f>
        <v>2871.8882478260894</v>
      </c>
    </row>
    <row r="73" spans="2:33">
      <c r="B73" s="59" t="s">
        <v>232</v>
      </c>
      <c r="C73" s="64">
        <f>HLOOKUP(C$58,   POP!$A$27:$AE$63, MATCH($B$2, POP!$A$27:$A$63,0), FALSE)</f>
        <v>5339616</v>
      </c>
      <c r="D73" s="64">
        <f>HLOOKUP(D$58,   POP!$A$27:$AE$63, MATCH($B$2, POP!$A$27:$A$63,0), FALSE)</f>
        <v>5358783</v>
      </c>
      <c r="E73" s="64">
        <f>HLOOKUP(E$58,   POP!$A$27:$AE$63, MATCH($B$2, POP!$A$27:$A$63,0), FALSE)</f>
        <v>5375931</v>
      </c>
      <c r="F73" s="64">
        <f>HLOOKUP(F$58,   POP!$A$27:$AE$63, MATCH($B$2, POP!$A$27:$A$63,0), FALSE)</f>
        <v>5390574</v>
      </c>
      <c r="G73" s="64">
        <f>HLOOKUP(G$58,   POP!$A$27:$AE$63, MATCH($B$2, POP!$A$27:$A$63,0), FALSE)</f>
        <v>5404523</v>
      </c>
      <c r="H73" s="64">
        <f>HLOOKUP(H$58,   POP!$A$27:$AE$63, MATCH($B$2, POP!$A$27:$A$63,0), FALSE)</f>
        <v>5419432</v>
      </c>
      <c r="I73" s="64">
        <f>HLOOKUP(I$58,   POP!$A$27:$AE$63, MATCH($B$2, POP!$A$27:$A$63,0), FALSE)</f>
        <v>5437272</v>
      </c>
      <c r="J73" s="64">
        <f>HLOOKUP(J$58,   POP!$A$27:$AE$63, MATCH($B$2, POP!$A$27:$A$63,0), FALSE)</f>
        <v>5461438</v>
      </c>
      <c r="K73" s="64">
        <f>HLOOKUP(K$58,   POP!$A$27:$AE$63, MATCH($B$2, POP!$A$27:$A$63,0), FALSE)</f>
        <v>5493621</v>
      </c>
      <c r="L73" s="64">
        <f>HLOOKUP(L$58,   POP!$A$27:$AE$63, MATCH($B$2, POP!$A$27:$A$63,0), FALSE)</f>
        <v>5523095</v>
      </c>
      <c r="M73" s="64">
        <f>HLOOKUP(M$58,   POP!$A$27:$AE$63, MATCH($B$2, POP!$A$27:$A$63,0), FALSE)</f>
        <v>5547683</v>
      </c>
      <c r="N73" s="64">
        <f>HLOOKUP(N$58,   POP!$A$27:$AE$63, MATCH($B$2, POP!$A$27:$A$63,0), FALSE)</f>
        <v>5570572</v>
      </c>
      <c r="O73" s="64">
        <f>HLOOKUP(O$58,   POP!$A$27:$AE$63, MATCH($B$2, POP!$A$27:$A$63,0), FALSE)</f>
        <v>5591572</v>
      </c>
      <c r="P73" s="64">
        <f>HLOOKUP(P$58,   POP!$A$27:$AE$63, MATCH($B$2, POP!$A$27:$A$63,0), FALSE)</f>
        <v>5614932</v>
      </c>
      <c r="Q73" s="64">
        <f>HLOOKUP(Q$58,   POP!$A$27:$AE$63, MATCH($B$2, POP!$A$27:$A$63,0), FALSE)</f>
        <v>5643475</v>
      </c>
      <c r="R73" s="64">
        <f>HLOOKUP(R$58,   POP!$A$27:$AE$63, MATCH($B$2, POP!$A$27:$A$63,0), FALSE)</f>
        <v>5683483</v>
      </c>
      <c r="S73" s="64">
        <f>HLOOKUP(S$58,   POP!$A$27:$AE$63, MATCH($B$2, POP!$A$27:$A$63,0), FALSE)</f>
        <v>5728010</v>
      </c>
      <c r="T73" s="64">
        <f>HLOOKUP(T$58,   POP!$A$27:$AE$63, MATCH($B$2, POP!$A$27:$A$63,0), FALSE)</f>
        <v>5764980</v>
      </c>
      <c r="U73" s="64">
        <f>HLOOKUP(U$58,   POP!$A$27:$AE$63, MATCH($B$2, POP!$A$27:$A$63,0), FALSE)</f>
        <v>5793636</v>
      </c>
      <c r="V73" s="64">
        <f>HLOOKUP(V$58,   POP!$A$27:$AE$63, MATCH($B$2, POP!$A$27:$A$63,0), FALSE)</f>
        <v>5814422</v>
      </c>
      <c r="W73" s="64">
        <f>HLOOKUP(W$58,   POP!$A$27:$AE$63, MATCH($B$2, POP!$A$27:$A$63,0), FALSE)</f>
        <v>5831404</v>
      </c>
      <c r="X73" s="64">
        <f>HLOOKUP(X$58,   POP!$A$27:$AE$63, MATCH($B$2, POP!$A$27:$A$63,0), FALSE)</f>
        <v>5856733</v>
      </c>
      <c r="Y73" s="64">
        <f>HLOOKUP(Y$58,   POP!$A$27:$AE$63, MATCH($B$2, POP!$A$27:$A$63,0), FALSE)</f>
        <v>5903037</v>
      </c>
      <c r="Z73" s="64">
        <f>HLOOKUP(Z$58,   POP!$A$27:$AE$63, MATCH($B$2, POP!$A$27:$A$63,0), FALSE)</f>
        <v>5946952</v>
      </c>
      <c r="AB73" s="64">
        <f>HLOOKUP(AB$58,   POP!$A$27:$AE$63, MATCH($B$2, POP!$A$27:$A$63,0), FALSE)</f>
        <v>5683483</v>
      </c>
      <c r="AC73" s="64">
        <f>HLOOKUP(AC$58,   POP!$A$27:$AE$63, MATCH($B$2, POP!$A$27:$A$63,0), FALSE)</f>
        <v>5831404</v>
      </c>
      <c r="AD73" s="64">
        <f>HLOOKUP(AD$58,   POP!$A$27:$AE$63, MATCH($B$2, POP!$A$27:$A$63,0), FALSE)</f>
        <v>5962919.3999999985</v>
      </c>
      <c r="AE73" s="64">
        <f>HLOOKUP(AE$58,   POP!$A$27:$AE$63, MATCH($B$2, POP!$A$27:$A$63,0), FALSE)</f>
        <v>6038540.3374999985</v>
      </c>
      <c r="AF73" s="64">
        <f>HLOOKUP(AF$58,   POP!$A$27:$AE$63, MATCH($B$2, POP!$A$27:$A$63,0), FALSE)</f>
        <v>6088954.2958333315</v>
      </c>
      <c r="AG73" s="64">
        <f>HLOOKUP(AG$58,   POP!$A$27:$AE$63, MATCH($B$2, POP!$A$27:$A$63,0), FALSE)</f>
        <v>6139368.2541666655</v>
      </c>
    </row>
    <row r="74" spans="2:33">
      <c r="B74" s="59" t="s">
        <v>164</v>
      </c>
      <c r="C74" s="94">
        <f>C71/C72*AVERAGE($C$72:$Z$72)</f>
        <v>33624.649063853263</v>
      </c>
      <c r="D74" s="94">
        <f t="shared" ref="D74:Z74" si="20">D71/D72*AVERAGE($C$72:$Z$72)</f>
        <v>32327.122179226415</v>
      </c>
      <c r="E74" s="94">
        <f t="shared" si="20"/>
        <v>35004.367214394937</v>
      </c>
      <c r="F74" s="94">
        <f t="shared" si="20"/>
        <v>34518.194271295353</v>
      </c>
      <c r="G74" s="94">
        <f t="shared" si="20"/>
        <v>34516.492138056085</v>
      </c>
      <c r="H74" s="94">
        <f t="shared" si="20"/>
        <v>34521.545451785794</v>
      </c>
      <c r="I74" s="94">
        <f t="shared" si="20"/>
        <v>36275.815807468134</v>
      </c>
      <c r="J74" s="94">
        <f t="shared" si="20"/>
        <v>36360.905620977006</v>
      </c>
      <c r="K74" s="94">
        <f t="shared" si="20"/>
        <v>36988.321147769115</v>
      </c>
      <c r="L74" s="94">
        <f t="shared" si="20"/>
        <v>35344.114759198819</v>
      </c>
      <c r="M74" s="94">
        <f t="shared" si="20"/>
        <v>33119.49281459058</v>
      </c>
      <c r="N74" s="94">
        <f t="shared" si="20"/>
        <v>37041.815942343987</v>
      </c>
      <c r="O74" s="94">
        <f t="shared" si="20"/>
        <v>35064.730911478648</v>
      </c>
      <c r="P74" s="94">
        <f t="shared" si="20"/>
        <v>34794.397433208789</v>
      </c>
      <c r="Q74" s="94">
        <f t="shared" si="20"/>
        <v>37473.25486224037</v>
      </c>
      <c r="R74" s="94">
        <f t="shared" si="20"/>
        <v>36751.425611864397</v>
      </c>
      <c r="S74" s="94">
        <f t="shared" si="20"/>
        <v>37847.305901828564</v>
      </c>
      <c r="T74" s="94">
        <f t="shared" si="20"/>
        <v>38421.207450139009</v>
      </c>
      <c r="U74" s="94">
        <f t="shared" si="20"/>
        <v>38972.148925502734</v>
      </c>
      <c r="V74" s="94">
        <f t="shared" si="20"/>
        <v>38197.818056511831</v>
      </c>
      <c r="W74" s="94">
        <f t="shared" si="20"/>
        <v>38738.078581797265</v>
      </c>
      <c r="X74" s="94">
        <f t="shared" si="20"/>
        <v>38258.14407508546</v>
      </c>
      <c r="Y74" s="94">
        <f t="shared" si="20"/>
        <v>37793.282401478573</v>
      </c>
      <c r="Z74" s="94">
        <f t="shared" si="20"/>
        <v>38217.19511177938</v>
      </c>
    </row>
    <row r="75" spans="2:33">
      <c r="B75" s="59" t="s">
        <v>235</v>
      </c>
      <c r="C75">
        <f t="shared" ref="C75:Z75" si="21">C74/(C73)</f>
        <v>6.2972035936391798E-3</v>
      </c>
      <c r="D75">
        <f t="shared" si="21"/>
        <v>6.0325492148546444E-3</v>
      </c>
      <c r="E75">
        <f t="shared" si="21"/>
        <v>6.5113125920691576E-3</v>
      </c>
      <c r="F75">
        <f t="shared" si="21"/>
        <v>6.4034357512382451E-3</v>
      </c>
      <c r="G75">
        <f t="shared" si="21"/>
        <v>6.3865936250166915E-3</v>
      </c>
      <c r="H75">
        <f t="shared" si="21"/>
        <v>6.3699563813672342E-3</v>
      </c>
      <c r="I75">
        <f t="shared" si="21"/>
        <v>6.6716941524110132E-3</v>
      </c>
      <c r="J75">
        <f t="shared" si="21"/>
        <v>6.6577530718058145E-3</v>
      </c>
      <c r="K75">
        <f t="shared" si="21"/>
        <v>6.7329583070563324E-3</v>
      </c>
      <c r="L75">
        <f t="shared" si="21"/>
        <v>6.3993313095644412E-3</v>
      </c>
      <c r="M75">
        <f t="shared" si="21"/>
        <v>5.9699685102033734E-3</v>
      </c>
      <c r="N75">
        <f t="shared" si="21"/>
        <v>6.6495533927833595E-3</v>
      </c>
      <c r="O75">
        <f t="shared" si="21"/>
        <v>6.2709969417327803E-3</v>
      </c>
      <c r="P75">
        <f t="shared" si="21"/>
        <v>6.1967620325960827E-3</v>
      </c>
      <c r="Q75">
        <f t="shared" si="21"/>
        <v>6.6401029263424343E-3</v>
      </c>
      <c r="R75">
        <f t="shared" si="21"/>
        <v>6.4663562135867034E-3</v>
      </c>
      <c r="S75">
        <f t="shared" si="21"/>
        <v>6.6074091878031921E-3</v>
      </c>
      <c r="T75">
        <f t="shared" si="21"/>
        <v>6.6645864253022579E-3</v>
      </c>
      <c r="U75">
        <f t="shared" si="21"/>
        <v>6.7267168537172052E-3</v>
      </c>
      <c r="V75">
        <f t="shared" si="21"/>
        <v>6.569495309510013E-3</v>
      </c>
      <c r="W75">
        <f t="shared" si="21"/>
        <v>6.6430105994709446E-3</v>
      </c>
      <c r="X75">
        <f t="shared" si="21"/>
        <v>6.5323353608719159E-3</v>
      </c>
      <c r="Y75">
        <f t="shared" si="21"/>
        <v>6.4023455047763677E-3</v>
      </c>
      <c r="Z75">
        <f t="shared" si="21"/>
        <v>6.4263500212847491E-3</v>
      </c>
      <c r="AB75" s="158">
        <f t="array" ref="AB75">TREND($C$75:$Z$75,$C$58:$Z$58, AB$58)</f>
        <v>6.5008842542315752E-3</v>
      </c>
      <c r="AC75" s="158">
        <f t="array" ref="AC75">TREND($C$75:$Z$75,$C$58:$Z$58, AC$58)</f>
        <v>6.5480535889073828E-3</v>
      </c>
      <c r="AD75" s="96">
        <f t="array" ref="AD75">(TREND($C75:$Z75,$C$58:$Z$58,AD$58) - TREND($C75:$Z75,$C$58:$Z$58,$Z$58))/2 + TREND($C75:$Z75,$C$58:$Z$58,$Z$58)</f>
        <v>6.5857890566480299E-3</v>
      </c>
      <c r="AE75" s="96">
        <f t="array" ref="AE75">(TREND($C75:$Z75,$C$58:$Z$58,AE$58) - TREND($C75:$Z75,$C$58:$Z$58,$Z$58))/2 + TREND($C75:$Z75,$C$58:$Z$58,$Z$58)</f>
        <v>6.6093737239859354E-3</v>
      </c>
      <c r="AF75" s="96">
        <f t="array" ref="AF75">(TREND($C75:$Z75,$C$58:$Z$58,AF$58) - TREND($C75:$Z75,$C$58:$Z$58,$Z$58))/2 + TREND($C75:$Z75,$C$58:$Z$58,$Z$58)</f>
        <v>6.6329583913238392E-3</v>
      </c>
      <c r="AG75" s="96">
        <f t="array" ref="AG75">(TREND($C75:$Z75,$C$58:$Z$58,AG$58) - TREND($C75:$Z75,$C$58:$Z$58,$Z$58))/2 + TREND($C75:$Z75,$C$58:$Z$58,$Z$58)</f>
        <v>6.6565430586617447E-3</v>
      </c>
    </row>
  </sheetData>
  <mergeCells count="7">
    <mergeCell ref="B57:Z57"/>
    <mergeCell ref="B31:O31"/>
    <mergeCell ref="B38:O38"/>
    <mergeCell ref="B39:O39"/>
    <mergeCell ref="P30:W30"/>
    <mergeCell ref="P31:W31"/>
    <mergeCell ref="B56:Z5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D676-03B7-476E-BBA6-7DC3B94F972E}">
  <sheetPr>
    <tabColor theme="3" tint="0.89999084444715716"/>
  </sheetPr>
  <dimension ref="B1:V37"/>
  <sheetViews>
    <sheetView zoomScale="85" workbookViewId="0">
      <selection activeCell="G5" sqref="G5"/>
    </sheetView>
  </sheetViews>
  <sheetFormatPr defaultRowHeight="15"/>
  <cols>
    <col min="2" max="2" width="30.85546875" customWidth="1"/>
    <col min="4" max="4" width="14.85546875" customWidth="1"/>
    <col min="5" max="5" width="13.7109375" customWidth="1"/>
    <col min="7" max="7" width="12.42578125" customWidth="1"/>
    <col min="8" max="8" width="15" customWidth="1"/>
    <col min="13" max="13" width="9.140625" customWidth="1"/>
  </cols>
  <sheetData>
    <row r="1" spans="2:19" ht="15.75" thickBot="1"/>
    <row r="2" spans="2:19" ht="15.75" thickBot="1">
      <c r="B2" s="79" t="s">
        <v>71</v>
      </c>
    </row>
    <row r="4" spans="2:19">
      <c r="B4" s="67" t="s">
        <v>171</v>
      </c>
      <c r="C4" s="67" t="s">
        <v>172</v>
      </c>
      <c r="D4" s="67" t="s">
        <v>173</v>
      </c>
      <c r="E4" s="67" t="s">
        <v>174</v>
      </c>
      <c r="F4" s="67" t="s">
        <v>175</v>
      </c>
      <c r="G4" s="67" t="s">
        <v>342</v>
      </c>
      <c r="H4" s="67" t="s">
        <v>302</v>
      </c>
      <c r="I4" s="68" t="s">
        <v>176</v>
      </c>
    </row>
    <row r="5" spans="2:19">
      <c r="B5" s="69" t="s">
        <v>298</v>
      </c>
      <c r="C5" s="70" t="s">
        <v>304</v>
      </c>
      <c r="D5" s="70"/>
      <c r="E5" s="70" t="s">
        <v>318</v>
      </c>
      <c r="F5" s="71">
        <v>2015</v>
      </c>
      <c r="G5" s="71"/>
      <c r="H5" s="159">
        <f t="array" ref="H5:H10">TRANSPOSE(N15:S15)/1000</f>
        <v>105.45685990381325</v>
      </c>
      <c r="I5" s="80">
        <v>0.3</v>
      </c>
      <c r="M5" s="46"/>
      <c r="N5" s="46"/>
    </row>
    <row r="6" spans="2:19">
      <c r="B6" s="69" t="s">
        <v>298</v>
      </c>
      <c r="C6" s="75" t="s">
        <v>304</v>
      </c>
      <c r="D6" s="75"/>
      <c r="E6" s="75" t="s">
        <v>318</v>
      </c>
      <c r="F6" s="76">
        <f>F5+5</f>
        <v>2020</v>
      </c>
      <c r="G6" s="76"/>
      <c r="H6" s="160">
        <v>104.49220515982954</v>
      </c>
      <c r="I6" s="78">
        <f t="shared" ref="I6:I10" si="0">I5</f>
        <v>0.3</v>
      </c>
    </row>
    <row r="7" spans="2:19">
      <c r="B7" s="69" t="s">
        <v>298</v>
      </c>
      <c r="C7" s="70" t="s">
        <v>304</v>
      </c>
      <c r="D7" s="70"/>
      <c r="E7" s="70" t="s">
        <v>318</v>
      </c>
      <c r="F7" s="71">
        <f>F6+5</f>
        <v>2025</v>
      </c>
      <c r="G7" s="71"/>
      <c r="H7" s="159">
        <v>102.75008806987744</v>
      </c>
      <c r="I7" s="80">
        <v>0.3</v>
      </c>
      <c r="N7" s="46"/>
      <c r="O7" s="46"/>
    </row>
    <row r="8" spans="2:19">
      <c r="B8" s="69" t="s">
        <v>298</v>
      </c>
      <c r="C8" s="75" t="s">
        <v>304</v>
      </c>
      <c r="D8" s="75"/>
      <c r="E8" s="75" t="s">
        <v>318</v>
      </c>
      <c r="F8" s="76">
        <f>F7+5</f>
        <v>2030</v>
      </c>
      <c r="G8" s="76"/>
      <c r="H8" s="160">
        <v>100.82673774591613</v>
      </c>
      <c r="I8" s="78">
        <f t="shared" si="0"/>
        <v>0.3</v>
      </c>
      <c r="M8" s="46"/>
    </row>
    <row r="9" spans="2:19">
      <c r="B9" s="69" t="s">
        <v>298</v>
      </c>
      <c r="C9" s="70" t="s">
        <v>304</v>
      </c>
      <c r="D9" s="70"/>
      <c r="E9" s="70" t="s">
        <v>318</v>
      </c>
      <c r="F9" s="154">
        <f t="shared" ref="F9:F10" si="1">F8+5</f>
        <v>2035</v>
      </c>
      <c r="G9" s="154"/>
      <c r="H9" s="159">
        <v>99.052832623670554</v>
      </c>
      <c r="I9" s="73">
        <f t="shared" si="0"/>
        <v>0.3</v>
      </c>
      <c r="M9" s="46"/>
    </row>
    <row r="10" spans="2:19">
      <c r="B10" s="69" t="s">
        <v>298</v>
      </c>
      <c r="C10" s="75" t="s">
        <v>304</v>
      </c>
      <c r="D10" s="75"/>
      <c r="E10" s="75" t="s">
        <v>318</v>
      </c>
      <c r="F10" s="76">
        <f t="shared" si="1"/>
        <v>2040</v>
      </c>
      <c r="G10" s="76"/>
      <c r="H10" s="160">
        <v>97.218764524884861</v>
      </c>
      <c r="I10" s="78">
        <f t="shared" si="0"/>
        <v>0.3</v>
      </c>
      <c r="M10" s="46"/>
      <c r="P10" s="46"/>
      <c r="Q10" s="46"/>
    </row>
    <row r="11" spans="2:19">
      <c r="B11" s="70"/>
      <c r="C11" s="70"/>
      <c r="D11" s="70"/>
      <c r="E11" s="70"/>
      <c r="F11" s="71"/>
      <c r="G11" s="71"/>
      <c r="H11" s="152"/>
      <c r="I11" s="73"/>
      <c r="M11" s="46"/>
    </row>
    <row r="12" spans="2:19">
      <c r="B12" s="75"/>
      <c r="C12" s="75"/>
      <c r="D12" s="75"/>
      <c r="E12" s="75"/>
      <c r="F12" s="76"/>
      <c r="G12" s="76"/>
      <c r="H12" s="153"/>
      <c r="I12" s="78"/>
    </row>
    <row r="13" spans="2:19">
      <c r="B13" s="70"/>
      <c r="C13" s="70"/>
      <c r="D13" s="70"/>
      <c r="E13" s="70"/>
      <c r="F13" s="71"/>
      <c r="G13" s="71"/>
      <c r="H13" s="152"/>
      <c r="I13" s="73"/>
    </row>
    <row r="14" spans="2:19">
      <c r="B14" s="75"/>
      <c r="C14" s="75"/>
      <c r="D14" s="75"/>
      <c r="E14" s="75"/>
      <c r="F14" s="76"/>
      <c r="G14" s="76"/>
      <c r="H14" s="153"/>
      <c r="I14" s="78"/>
      <c r="N14" s="46">
        <v>2015</v>
      </c>
      <c r="O14" s="46">
        <v>2020</v>
      </c>
      <c r="P14" s="46">
        <v>2025</v>
      </c>
      <c r="Q14" s="46">
        <v>2030</v>
      </c>
      <c r="R14" s="46">
        <v>2035</v>
      </c>
      <c r="S14" s="46">
        <v>2040</v>
      </c>
    </row>
    <row r="15" spans="2:19">
      <c r="B15" s="70"/>
      <c r="C15" s="70"/>
      <c r="D15" s="70"/>
      <c r="E15" s="70"/>
      <c r="F15" s="71"/>
      <c r="G15" s="71"/>
      <c r="H15" s="152"/>
      <c r="I15" s="73"/>
      <c r="M15" s="98" t="s">
        <v>236</v>
      </c>
      <c r="N15">
        <f>Q33</f>
        <v>105456.85990381325</v>
      </c>
      <c r="O15">
        <f t="shared" ref="O15:S15" si="2">R33</f>
        <v>104492.20515982954</v>
      </c>
      <c r="P15">
        <f t="shared" si="2"/>
        <v>102750.08806987744</v>
      </c>
      <c r="Q15">
        <f t="shared" si="2"/>
        <v>100826.73774591614</v>
      </c>
      <c r="R15">
        <f t="shared" si="2"/>
        <v>99052.832623670547</v>
      </c>
      <c r="S15">
        <f t="shared" si="2"/>
        <v>97218.764524884857</v>
      </c>
    </row>
    <row r="16" spans="2:19">
      <c r="B16" s="75"/>
      <c r="C16" s="75"/>
      <c r="D16" s="75"/>
      <c r="E16" s="75"/>
      <c r="F16" s="76"/>
      <c r="G16" s="76"/>
      <c r="H16" s="153"/>
      <c r="I16" s="78"/>
    </row>
    <row r="17" spans="2:22">
      <c r="B17" s="70"/>
      <c r="C17" s="70"/>
      <c r="D17" s="70"/>
      <c r="E17" s="70"/>
      <c r="F17" s="71"/>
      <c r="G17" s="71"/>
      <c r="H17" s="152"/>
      <c r="I17" s="73"/>
    </row>
    <row r="18" spans="2:22">
      <c r="B18" s="75"/>
      <c r="C18" s="75"/>
      <c r="D18" s="75"/>
      <c r="E18" s="75"/>
      <c r="F18" s="76"/>
      <c r="G18" s="76"/>
      <c r="H18" s="153"/>
      <c r="I18" s="78"/>
    </row>
    <row r="19" spans="2:22">
      <c r="B19" s="70"/>
      <c r="C19" s="70"/>
      <c r="D19" s="70"/>
      <c r="E19" s="70"/>
      <c r="F19" s="71"/>
      <c r="G19" s="71"/>
      <c r="H19" s="152"/>
      <c r="I19" s="73"/>
    </row>
    <row r="20" spans="2:22">
      <c r="B20" s="75"/>
      <c r="C20" s="75"/>
      <c r="D20" s="75"/>
      <c r="E20" s="75"/>
      <c r="F20" s="76"/>
      <c r="G20" s="76"/>
      <c r="H20" s="153"/>
      <c r="I20" s="78"/>
    </row>
    <row r="24" spans="2:22" ht="37.5">
      <c r="B24" s="166" t="s">
        <v>320</v>
      </c>
    </row>
    <row r="25" spans="2:22">
      <c r="B25" s="165" t="s">
        <v>319</v>
      </c>
    </row>
    <row r="27" spans="2:22" ht="15.75">
      <c r="B27" s="167" t="s">
        <v>303</v>
      </c>
      <c r="C27" s="168">
        <v>2012</v>
      </c>
      <c r="D27" s="168">
        <v>2013</v>
      </c>
      <c r="E27" s="168">
        <v>2014</v>
      </c>
      <c r="F27" s="168">
        <v>2015</v>
      </c>
      <c r="G27" s="168">
        <v>2016</v>
      </c>
      <c r="H27" s="168">
        <v>2017</v>
      </c>
      <c r="I27" s="168">
        <v>2018</v>
      </c>
      <c r="J27" s="168">
        <v>2019</v>
      </c>
      <c r="K27" s="168">
        <v>2020</v>
      </c>
      <c r="L27" s="168">
        <v>2021</v>
      </c>
      <c r="M27" s="168">
        <v>2022</v>
      </c>
      <c r="N27" s="168">
        <v>2023</v>
      </c>
      <c r="O27" s="168">
        <v>2024</v>
      </c>
      <c r="Q27" s="93">
        <v>2015</v>
      </c>
      <c r="R27" s="93">
        <v>2020</v>
      </c>
      <c r="S27" s="93">
        <v>2025</v>
      </c>
      <c r="T27" s="93">
        <v>2030</v>
      </c>
      <c r="U27" s="93">
        <v>2035</v>
      </c>
      <c r="V27" s="93">
        <v>2040</v>
      </c>
    </row>
    <row r="28" spans="2:22">
      <c r="B28" s="169" t="s">
        <v>321</v>
      </c>
      <c r="C28" s="170">
        <v>399674</v>
      </c>
      <c r="D28" s="170">
        <v>395035.1</v>
      </c>
      <c r="E28" s="170">
        <v>360210.6</v>
      </c>
      <c r="F28" s="170">
        <v>359551.6</v>
      </c>
      <c r="G28" s="170">
        <v>383783</v>
      </c>
      <c r="H28" s="170">
        <v>395596.9</v>
      </c>
      <c r="I28" s="170">
        <v>376010.2</v>
      </c>
      <c r="J28" s="170">
        <v>365629</v>
      </c>
      <c r="K28" s="170">
        <v>358710</v>
      </c>
      <c r="L28" s="170">
        <v>390579.9</v>
      </c>
      <c r="M28" s="170">
        <v>370611.3</v>
      </c>
      <c r="N28" s="170">
        <v>346087</v>
      </c>
      <c r="O28" s="171">
        <v>335486.90000000002</v>
      </c>
    </row>
    <row r="29" spans="2:22">
      <c r="B29" s="171" t="s">
        <v>268</v>
      </c>
      <c r="C29" s="171">
        <f>0.27777777*C28</f>
        <v>111020.55244697999</v>
      </c>
      <c r="D29" s="171">
        <f t="shared" ref="D29:O29" si="3">0.27777777*D28</f>
        <v>109731.96914972698</v>
      </c>
      <c r="E29" s="171">
        <f t="shared" si="3"/>
        <v>100058.49719836199</v>
      </c>
      <c r="F29" s="171">
        <f t="shared" si="3"/>
        <v>99875.441647931992</v>
      </c>
      <c r="G29" s="171">
        <f t="shared" si="3"/>
        <v>106606.38590390999</v>
      </c>
      <c r="H29" s="171">
        <f t="shared" si="3"/>
        <v>109888.024700913</v>
      </c>
      <c r="I29" s="171">
        <f>0.27777777*I28</f>
        <v>104447.274853254</v>
      </c>
      <c r="J29" s="171">
        <f t="shared" si="3"/>
        <v>101563.60826733</v>
      </c>
      <c r="K29" s="171">
        <f t="shared" si="3"/>
        <v>99641.663876699997</v>
      </c>
      <c r="L29" s="171">
        <f t="shared" si="3"/>
        <v>108494.41362882299</v>
      </c>
      <c r="M29" s="171">
        <f t="shared" si="3"/>
        <v>102947.58045080099</v>
      </c>
      <c r="N29" s="171">
        <f t="shared" si="3"/>
        <v>96135.275085989997</v>
      </c>
      <c r="O29" s="171">
        <f t="shared" si="3"/>
        <v>93190.802946212993</v>
      </c>
    </row>
    <row r="33" spans="2:22">
      <c r="B33" t="s">
        <v>228</v>
      </c>
      <c r="C33">
        <f>C29</f>
        <v>111020.55244697999</v>
      </c>
      <c r="D33">
        <f>D29</f>
        <v>109731.96914972698</v>
      </c>
      <c r="E33">
        <f t="shared" ref="E33:O33" si="4">E29</f>
        <v>100058.49719836199</v>
      </c>
      <c r="F33">
        <f t="shared" si="4"/>
        <v>99875.441647931992</v>
      </c>
      <c r="G33">
        <f t="shared" si="4"/>
        <v>106606.38590390999</v>
      </c>
      <c r="H33">
        <f t="shared" si="4"/>
        <v>109888.024700913</v>
      </c>
      <c r="I33">
        <f t="shared" si="4"/>
        <v>104447.274853254</v>
      </c>
      <c r="J33">
        <f t="shared" si="4"/>
        <v>101563.60826733</v>
      </c>
      <c r="K33">
        <f t="shared" si="4"/>
        <v>99641.663876699997</v>
      </c>
      <c r="L33">
        <f t="shared" si="4"/>
        <v>108494.41362882299</v>
      </c>
      <c r="M33">
        <f t="shared" si="4"/>
        <v>102947.58045080099</v>
      </c>
      <c r="N33">
        <f t="shared" si="4"/>
        <v>96135.275085989997</v>
      </c>
      <c r="O33">
        <f t="shared" si="4"/>
        <v>93190.802946212993</v>
      </c>
      <c r="Q33" s="142">
        <f>Q35*Q37* Q34 / AVERAGE($C$34:$N$34)</f>
        <v>105456.85990381325</v>
      </c>
      <c r="R33" s="142">
        <f>R35*R37* R34 / AVERAGE($C$34:$N$34)</f>
        <v>104492.20515982954</v>
      </c>
      <c r="S33" s="142">
        <f>S35*S37* S34 / AVERAGE($C$34:$N$34)</f>
        <v>102750.08806987744</v>
      </c>
      <c r="T33" s="142">
        <f>T35*T37* T34 / AVERAGE($C$34:$N$34)</f>
        <v>100826.73774591614</v>
      </c>
      <c r="U33" s="142">
        <f t="shared" ref="U33:V33" si="5">U35*U37* U34 / AVERAGE($C$34:$N$34)</f>
        <v>99052.832623670547</v>
      </c>
      <c r="V33" s="142">
        <f t="shared" si="5"/>
        <v>97218.764524884857</v>
      </c>
    </row>
    <row r="34" spans="2:22">
      <c r="B34" s="59" t="s">
        <v>163</v>
      </c>
      <c r="C34" s="64">
        <f>HLOOKUP(C$27,   HDD!$A$25:$AG$55, MATCH($B$2,HDD!$A$25:$A$55,0), FALSE)</f>
        <v>3551.16</v>
      </c>
      <c r="D34" s="64">
        <f>HLOOKUP(D$27,   HDD!$A$25:$AG$55, MATCH($B$2,HDD!$A$25:$A$55,0), FALSE)</f>
        <v>3502.91</v>
      </c>
      <c r="E34" s="64">
        <f>HLOOKUP(E$27,   HDD!$A$25:$AG$55, MATCH($B$2,HDD!$A$25:$A$55,0), FALSE)</f>
        <v>3094.64</v>
      </c>
      <c r="F34" s="64">
        <f>HLOOKUP(F$27,   HDD!$A$25:$AG$55, MATCH($B$2,HDD!$A$25:$A$55,0), FALSE)</f>
        <v>3112.56</v>
      </c>
      <c r="G34" s="64">
        <f>HLOOKUP(G$27,   HDD!$A$25:$AG$55, MATCH($B$2,HDD!$A$25:$A$55,0), FALSE)</f>
        <v>3286.01</v>
      </c>
      <c r="H34" s="64">
        <f>HLOOKUP(H$27,   HDD!$A$25:$AG$55, MATCH($B$2,HDD!$A$25:$A$55,0), FALSE)</f>
        <v>3288.37</v>
      </c>
      <c r="I34" s="64">
        <f>HLOOKUP(I$27,   HDD!$A$25:$AG$55, MATCH($B$2,HDD!$A$25:$A$55,0), FALSE)</f>
        <v>3123.43</v>
      </c>
      <c r="J34" s="64">
        <f>HLOOKUP(J$27,   HDD!$A$25:$AG$55, MATCH($B$2,HDD!$A$25:$A$55,0), FALSE)</f>
        <v>2951.82</v>
      </c>
      <c r="K34" s="64">
        <f>HLOOKUP(K$27,   HDD!$A$25:$AG$55, MATCH($B$2,HDD!$A$25:$A$55,0), FALSE)</f>
        <v>3005.65</v>
      </c>
      <c r="L34" s="64">
        <f>HLOOKUP(L$27,   HDD!$A$25:$AG$55, MATCH($B$2,HDD!$A$25:$A$55,0), FALSE)</f>
        <v>3491.49</v>
      </c>
      <c r="M34" s="64">
        <f>HLOOKUP(M$27,   HDD!$A$25:$AG$55, MATCH($B$2,HDD!$A$25:$A$55,0), FALSE)</f>
        <v>3200.38</v>
      </c>
      <c r="N34" s="64">
        <f>HLOOKUP(N$27,   HDD!$A$25:$AG$55, MATCH($B$2,HDD!$A$25:$A$55,0), FALSE)</f>
        <v>2972.75</v>
      </c>
      <c r="O34" s="64" t="e">
        <f>HLOOKUP(O$27,   HDD!$A$25:$AG$55, MATCH($B$2,HDD!$A$25:$A$55,0), FALSE)</f>
        <v>#N/A</v>
      </c>
      <c r="Q34" s="64">
        <f>HLOOKUP(Q$27,   HDD!$AA$25:$AG$55, MATCH($B$2,HDD!$A$25:$A$55,0), FALSE)</f>
        <v>3270.0191710144936</v>
      </c>
      <c r="R34" s="64">
        <f>HLOOKUP(R$27,   HDD!$AA$25:$AG$55, MATCH($B$2,HDD!$A$25:$A$55,0), FALSE)</f>
        <v>3189.4781057971049</v>
      </c>
      <c r="S34" s="64">
        <f>HLOOKUP(S$27,   HDD!$AA$25:$AG$55, MATCH($B$2,HDD!$A$25:$A$55,0), FALSE)</f>
        <v>3108.9370405797126</v>
      </c>
      <c r="T34" s="64">
        <f>HLOOKUP(T$27,   HDD!$AA$25:$AG$55, MATCH($B$2,HDD!$A$25:$A$55,0), FALSE)</f>
        <v>3028.3959753623203</v>
      </c>
      <c r="U34" s="64">
        <f>HLOOKUP(U$27,   HDD!$AA$25:$AG$55, MATCH($B$2,HDD!$A$25:$A$55,0), FALSE)</f>
        <v>2947.8549101449316</v>
      </c>
      <c r="V34" s="64">
        <f>HLOOKUP(V$27,   HDD!$AA$25:$AG$55, MATCH($B$2,HDD!$A$25:$A$55,0), FALSE)</f>
        <v>2867.3138449275357</v>
      </c>
    </row>
    <row r="35" spans="2:22">
      <c r="B35" s="59" t="s">
        <v>232</v>
      </c>
      <c r="C35" s="64">
        <f>HLOOKUP(C$27,   POP!$A$27:$AC$63, MATCH($B$2, POP!$A$27:$A$63,0), FALSE)</f>
        <v>38063164</v>
      </c>
      <c r="D35" s="64">
        <f>HLOOKUP(D$27,   POP!$A$27:$AC$63, MATCH($B$2, POP!$A$27:$A$63,0), FALSE)</f>
        <v>38040196</v>
      </c>
      <c r="E35" s="64">
        <f>HLOOKUP(E$27,   POP!$A$27:$AC$63, MATCH($B$2, POP!$A$27:$A$63,0), FALSE)</f>
        <v>38011735</v>
      </c>
      <c r="F35" s="64">
        <f>HLOOKUP(F$27,   POP!$A$27:$AC$63, MATCH($B$2, POP!$A$27:$A$63,0), FALSE)</f>
        <v>37986412</v>
      </c>
      <c r="G35" s="64">
        <f>HLOOKUP(G$27,   POP!$A$27:$AC$63, MATCH($B$2, POP!$A$27:$A$63,0), FALSE)</f>
        <v>37970087</v>
      </c>
      <c r="H35" s="64">
        <f>HLOOKUP(H$27,   POP!$A$27:$AC$63, MATCH($B$2, POP!$A$27:$A$63,0), FALSE)</f>
        <v>37974826</v>
      </c>
      <c r="I35" s="64">
        <f>HLOOKUP(I$27,   POP!$A$27:$AC$63, MATCH($B$2, POP!$A$27:$A$63,0), FALSE)</f>
        <v>37974750</v>
      </c>
      <c r="J35" s="64">
        <f>HLOOKUP(J$27,   POP!$A$27:$AC$63, MATCH($B$2, POP!$A$27:$A$63,0), FALSE)</f>
        <v>37965475</v>
      </c>
      <c r="K35" s="64">
        <f>HLOOKUP(K$27,   POP!$A$27:$AC$63, MATCH($B$2, POP!$A$27:$A$63,0), FALSE)</f>
        <v>37515748</v>
      </c>
      <c r="L35" s="64">
        <f>HLOOKUP(L$27,   POP!$A$27:$AC$63, MATCH($B$2, POP!$A$27:$A$63,0), FALSE)</f>
        <v>36981559</v>
      </c>
      <c r="M35" s="64">
        <f>HLOOKUP(M$27,   POP!$A$27:$AC$63, MATCH($B$2, POP!$A$27:$A$63,0), FALSE)</f>
        <v>36821749</v>
      </c>
      <c r="N35" s="64">
        <f>HLOOKUP(N$27,   POP!$A$27:$AC$63, MATCH($B$2, POP!$A$27:$A$63,0), FALSE)</f>
        <v>36687353</v>
      </c>
      <c r="O35" s="64" t="e">
        <f>HLOOKUP(O$27,   POP!$A$27:$AC$63, MATCH($B$2, POP!$A$27:$A$63,0), FALSE)</f>
        <v>#N/A</v>
      </c>
      <c r="Q35" s="64">
        <f>HLOOKUP(Q$27,   POP!$A$27:$AE$63, MATCH($B$2, POP!$A$27:$A$63,0), FALSE)</f>
        <v>37986412</v>
      </c>
      <c r="R35" s="64">
        <f>HLOOKUP(R$27,   POP!$A$27:$AE$63, MATCH($B$2, POP!$A$27:$A$63,0), FALSE)</f>
        <v>37515748</v>
      </c>
      <c r="S35" s="64">
        <f>HLOOKUP(S$27,   POP!$A$27:$AE$63, MATCH($B$2, POP!$A$27:$A$63,0), FALSE)</f>
        <v>37021936.123809502</v>
      </c>
      <c r="T35" s="64">
        <f>HLOOKUP(T$27,   POP!$A$27:$AE$63, MATCH($B$2, POP!$A$27:$A$63,0), FALSE)</f>
        <v>36794401.454166651</v>
      </c>
      <c r="U35" s="64">
        <f>HLOOKUP(U$27,   POP!$A$27:$AE$63, MATCH($B$2, POP!$A$27:$A$63,0), FALSE)</f>
        <v>36642711.67440474</v>
      </c>
      <c r="V35" s="64">
        <f>HLOOKUP(V$27,   POP!$A$27:$AE$63, MATCH($B$2, POP!$A$27:$A$63,0), FALSE)</f>
        <v>36491021.894642837</v>
      </c>
    </row>
    <row r="36" spans="2:22">
      <c r="B36" s="59" t="s">
        <v>164</v>
      </c>
      <c r="C36" s="64">
        <f t="shared" ref="C36:O36" si="6">C33/C34*AVERAGE($C$34:$K$34)</f>
        <v>100447.03251459364</v>
      </c>
      <c r="D36" s="64">
        <f t="shared" si="6"/>
        <v>100648.69787679824</v>
      </c>
      <c r="E36" s="64">
        <f t="shared" si="6"/>
        <v>103883.79539251</v>
      </c>
      <c r="F36" s="64">
        <f t="shared" si="6"/>
        <v>103096.74359457265</v>
      </c>
      <c r="G36" s="64">
        <f t="shared" si="6"/>
        <v>104236.13670986015</v>
      </c>
      <c r="H36" s="64">
        <f t="shared" si="6"/>
        <v>107367.70161593691</v>
      </c>
      <c r="I36" s="64">
        <f t="shared" si="6"/>
        <v>107440.81722329697</v>
      </c>
      <c r="J36" s="64">
        <f t="shared" si="6"/>
        <v>110548.33803637006</v>
      </c>
      <c r="K36" s="64">
        <f t="shared" si="6"/>
        <v>106513.96002616514</v>
      </c>
      <c r="L36" s="64">
        <f t="shared" si="6"/>
        <v>99839.073366593293</v>
      </c>
      <c r="M36" s="64">
        <f t="shared" si="6"/>
        <v>103351.92339953413</v>
      </c>
      <c r="N36" s="64">
        <f t="shared" si="6"/>
        <v>103903.06352284302</v>
      </c>
      <c r="O36" s="64" t="e">
        <f t="shared" si="6"/>
        <v>#N/A</v>
      </c>
    </row>
    <row r="37" spans="2:22">
      <c r="B37" s="59" t="s">
        <v>235</v>
      </c>
      <c r="C37">
        <f>C36/(C35)</f>
        <v>2.6389564597045488E-3</v>
      </c>
      <c r="D37">
        <f t="shared" ref="D37:N37" si="7">D36/(D35)</f>
        <v>2.6458511905879307E-3</v>
      </c>
      <c r="E37">
        <f t="shared" si="7"/>
        <v>2.7329401142176224E-3</v>
      </c>
      <c r="F37">
        <f t="shared" si="7"/>
        <v>2.7140426843833697E-3</v>
      </c>
      <c r="G37">
        <f t="shared" si="7"/>
        <v>2.74521722085757E-3</v>
      </c>
      <c r="H37">
        <f t="shared" si="7"/>
        <v>2.8273388695957925E-3</v>
      </c>
      <c r="I37">
        <f t="shared" si="7"/>
        <v>2.8292699023244909E-3</v>
      </c>
      <c r="J37">
        <f t="shared" si="7"/>
        <v>2.9118123251814986E-3</v>
      </c>
      <c r="K37">
        <f>K36/(K35)</f>
        <v>2.8391799632027899E-3</v>
      </c>
      <c r="L37">
        <f>L36/(L35)</f>
        <v>2.6996988787463851E-3</v>
      </c>
      <c r="M37">
        <f t="shared" si="7"/>
        <v>2.8068173350357184E-3</v>
      </c>
      <c r="N37">
        <f t="shared" si="7"/>
        <v>2.8321221082055993E-3</v>
      </c>
      <c r="O37" t="e">
        <f>O36/(O35)</f>
        <v>#N/A</v>
      </c>
      <c r="Q37" s="158">
        <f t="array" ref="Q37">TREND($C$37:$N$37,$C$27:$N$27,Q$27)</f>
        <v>2.7295459531273825E-3</v>
      </c>
      <c r="R37" s="158">
        <f t="array" ref="R37">TREND($C$37:$N$37,$C$27:$N$27,R$27)</f>
        <v>2.8076618888798338E-3</v>
      </c>
      <c r="S37" s="96">
        <f t="array" ref="S37">(TREND($C$37:$N$37,$C$27:$N$27,S$27)-TREND($C$37:$N$37,$C$27:$N$27,$N$27))/2+TREND($C$37:$N$37,$C$27:$N$27,$N$27)</f>
        <v>2.8701546374818032E-3</v>
      </c>
      <c r="T37" s="96">
        <f t="array" ref="T37">(TREND($C$37:$N$37,$C$27:$N$27,T$27)-TREND($C$37:$N$37,$C$27:$N$27,$N$27))/2+TREND($C$37:$N$37,$C$27:$N$27,$N$27)</f>
        <v>2.9092126053580324E-3</v>
      </c>
      <c r="U37" s="96">
        <f t="array" ref="U37">(TREND($C$37:$N$37,$C$27:$N$27,U$27)-TREND($C$37:$N$37,$C$27:$N$27,$N$27))/2+TREND($C$37:$N$37,$C$27:$N$27,$N$27)</f>
        <v>2.9482705732342615E-3</v>
      </c>
      <c r="V37" s="96">
        <f t="array" ref="V37">(TREND($C$37:$N$37,$C$27:$N$27,V$27)-TREND($C$37:$N$37,$C$27:$N$27,$N$27))/2+TREND($C$37:$N$37,$C$27:$N$27,$N$27)</f>
        <v>2.9873285411104906E-3</v>
      </c>
    </row>
  </sheetData>
  <phoneticPr fontId="48" type="noConversion"/>
  <hyperlinks>
    <hyperlink ref="B25" r:id="rId1" display="https://www.ure.gov.pl/pl/cieplo/energetyka-cieplna-w-l" xr:uid="{782B1A4B-C083-49A2-84E5-7537AE400F02}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B610-FAE6-4B39-90F8-5D390845B5F3}">
  <sheetPr>
    <tabColor theme="3" tint="0.89999084444715716"/>
  </sheetPr>
  <dimension ref="B1:T37"/>
  <sheetViews>
    <sheetView workbookViewId="0">
      <selection activeCell="G5" sqref="G5"/>
    </sheetView>
  </sheetViews>
  <sheetFormatPr defaultRowHeight="15"/>
  <cols>
    <col min="2" max="2" width="30.85546875" customWidth="1"/>
    <col min="4" max="4" width="13.85546875" customWidth="1"/>
    <col min="5" max="5" width="13.7109375" customWidth="1"/>
    <col min="7" max="7" width="12.42578125" customWidth="1"/>
  </cols>
  <sheetData>
    <row r="1" spans="2:19" ht="15.75" thickBot="1"/>
    <row r="2" spans="2:19" ht="15.75" thickBot="1">
      <c r="B2" s="79" t="s">
        <v>64</v>
      </c>
    </row>
    <row r="4" spans="2:19">
      <c r="B4" s="67" t="s">
        <v>171</v>
      </c>
      <c r="C4" s="67" t="s">
        <v>172</v>
      </c>
      <c r="D4" s="67" t="s">
        <v>173</v>
      </c>
      <c r="E4" s="67" t="s">
        <v>174</v>
      </c>
      <c r="F4" s="67" t="s">
        <v>175</v>
      </c>
      <c r="G4" s="67" t="s">
        <v>342</v>
      </c>
      <c r="H4" s="67" t="s">
        <v>302</v>
      </c>
      <c r="I4" s="68" t="s">
        <v>176</v>
      </c>
    </row>
    <row r="5" spans="2:19">
      <c r="B5" s="69" t="s">
        <v>297</v>
      </c>
      <c r="C5" s="70" t="s">
        <v>304</v>
      </c>
      <c r="D5" s="70"/>
      <c r="E5" s="70" t="s">
        <v>318</v>
      </c>
      <c r="F5" s="71">
        <v>2015</v>
      </c>
      <c r="G5" s="71"/>
      <c r="H5" s="159">
        <f t="array" ref="H5:H10">TRANSPOSE(N15:S15)/1000</f>
        <v>86.539254903375308</v>
      </c>
      <c r="I5" s="80">
        <v>0.3</v>
      </c>
      <c r="M5" s="46"/>
      <c r="N5" s="46"/>
    </row>
    <row r="6" spans="2:19">
      <c r="B6" s="69" t="s">
        <v>297</v>
      </c>
      <c r="C6" s="75" t="s">
        <v>304</v>
      </c>
      <c r="D6" s="75"/>
      <c r="E6" s="75" t="s">
        <v>318</v>
      </c>
      <c r="F6" s="76">
        <f>F5+5</f>
        <v>2020</v>
      </c>
      <c r="G6" s="76"/>
      <c r="H6" s="160">
        <v>79.922015873496861</v>
      </c>
      <c r="I6" s="78">
        <f t="shared" ref="I6:I10" si="0">I5</f>
        <v>0.3</v>
      </c>
    </row>
    <row r="7" spans="2:19">
      <c r="B7" s="69" t="s">
        <v>297</v>
      </c>
      <c r="C7" s="70" t="s">
        <v>304</v>
      </c>
      <c r="D7" s="70"/>
      <c r="E7" s="70" t="s">
        <v>318</v>
      </c>
      <c r="F7" s="71">
        <f>F6+5</f>
        <v>2025</v>
      </c>
      <c r="G7" s="71"/>
      <c r="H7" s="159">
        <v>72.78434042135197</v>
      </c>
      <c r="I7" s="80">
        <v>0.3</v>
      </c>
      <c r="N7" s="46"/>
      <c r="O7" s="46"/>
    </row>
    <row r="8" spans="2:19">
      <c r="B8" s="69" t="s">
        <v>297</v>
      </c>
      <c r="C8" s="75" t="s">
        <v>304</v>
      </c>
      <c r="D8" s="75"/>
      <c r="E8" s="75" t="s">
        <v>318</v>
      </c>
      <c r="F8" s="76">
        <f>F7+5</f>
        <v>2030</v>
      </c>
      <c r="G8" s="76"/>
      <c r="H8" s="160">
        <v>65.586133790643629</v>
      </c>
      <c r="I8" s="78">
        <f t="shared" si="0"/>
        <v>0.3</v>
      </c>
      <c r="M8" s="46"/>
    </row>
    <row r="9" spans="2:19">
      <c r="B9" s="69" t="s">
        <v>297</v>
      </c>
      <c r="C9" s="70" t="s">
        <v>304</v>
      </c>
      <c r="D9" s="70"/>
      <c r="E9" s="70" t="s">
        <v>318</v>
      </c>
      <c r="F9" s="154">
        <f t="shared" ref="F9:F10" si="1">F8+5</f>
        <v>2035</v>
      </c>
      <c r="G9" s="154"/>
      <c r="H9" s="159">
        <v>58.468851577600574</v>
      </c>
      <c r="I9" s="73">
        <f t="shared" si="0"/>
        <v>0.3</v>
      </c>
      <c r="M9" s="46"/>
    </row>
    <row r="10" spans="2:19">
      <c r="B10" s="69" t="s">
        <v>297</v>
      </c>
      <c r="C10" s="75" t="s">
        <v>304</v>
      </c>
      <c r="D10" s="75"/>
      <c r="E10" s="75" t="s">
        <v>318</v>
      </c>
      <c r="F10" s="76">
        <f t="shared" si="1"/>
        <v>2040</v>
      </c>
      <c r="G10" s="76"/>
      <c r="H10" s="160">
        <v>51.601301370705272</v>
      </c>
      <c r="I10" s="78">
        <f t="shared" si="0"/>
        <v>0.3</v>
      </c>
      <c r="M10" s="46"/>
      <c r="P10" s="46"/>
      <c r="Q10" s="46"/>
    </row>
    <row r="11" spans="2:19">
      <c r="B11" s="70"/>
      <c r="C11" s="70"/>
      <c r="D11" s="70"/>
      <c r="E11" s="70"/>
      <c r="F11" s="71"/>
      <c r="G11" s="71"/>
      <c r="H11" s="152"/>
      <c r="I11" s="73"/>
      <c r="M11" s="46"/>
    </row>
    <row r="12" spans="2:19">
      <c r="B12" s="75"/>
      <c r="C12" s="75"/>
      <c r="D12" s="75"/>
      <c r="E12" s="75"/>
      <c r="F12" s="76"/>
      <c r="G12" s="76"/>
      <c r="H12" s="153"/>
      <c r="I12" s="78"/>
    </row>
    <row r="13" spans="2:19">
      <c r="B13" s="70"/>
      <c r="C13" s="70"/>
      <c r="D13" s="70"/>
      <c r="E13" s="70"/>
      <c r="F13" s="71"/>
      <c r="G13" s="71"/>
      <c r="H13" s="152"/>
      <c r="I13" s="73"/>
    </row>
    <row r="14" spans="2:19">
      <c r="B14" s="75"/>
      <c r="C14" s="75"/>
      <c r="D14" s="75"/>
      <c r="E14" s="75"/>
      <c r="F14" s="76"/>
      <c r="G14" s="76"/>
      <c r="H14" s="153"/>
      <c r="I14" s="78"/>
      <c r="N14" s="46">
        <v>2015</v>
      </c>
      <c r="O14" s="46">
        <v>2020</v>
      </c>
      <c r="P14" s="46">
        <v>2025</v>
      </c>
      <c r="Q14" s="46">
        <v>2030</v>
      </c>
      <c r="R14" s="46">
        <v>2035</v>
      </c>
      <c r="S14" s="46">
        <v>2040</v>
      </c>
    </row>
    <row r="15" spans="2:19">
      <c r="B15" s="70"/>
      <c r="C15" s="70"/>
      <c r="D15" s="70"/>
      <c r="E15" s="70"/>
      <c r="F15" s="71"/>
      <c r="G15" s="71"/>
      <c r="H15" s="152"/>
      <c r="I15" s="73"/>
      <c r="M15" s="98" t="s">
        <v>236</v>
      </c>
      <c r="N15">
        <f t="shared" ref="N15:S15" si="2">O33</f>
        <v>86539.254903375302</v>
      </c>
      <c r="O15">
        <f t="shared" si="2"/>
        <v>79922.015873496857</v>
      </c>
      <c r="P15">
        <f t="shared" si="2"/>
        <v>72784.340421351968</v>
      </c>
      <c r="Q15">
        <f t="shared" si="2"/>
        <v>65586.133790643624</v>
      </c>
      <c r="R15">
        <f t="shared" si="2"/>
        <v>58468.851577600573</v>
      </c>
      <c r="S15">
        <f t="shared" si="2"/>
        <v>51601.301370705274</v>
      </c>
    </row>
    <row r="16" spans="2:19">
      <c r="B16" s="75"/>
      <c r="C16" s="75"/>
      <c r="D16" s="75"/>
      <c r="E16" s="75"/>
      <c r="F16" s="76"/>
      <c r="G16" s="76"/>
      <c r="H16" s="153"/>
      <c r="I16" s="78"/>
    </row>
    <row r="17" spans="2:20">
      <c r="B17" s="70"/>
      <c r="C17" s="70"/>
      <c r="D17" s="70"/>
      <c r="E17" s="70"/>
      <c r="F17" s="71"/>
      <c r="G17" s="71"/>
      <c r="H17" s="152"/>
      <c r="I17" s="73"/>
    </row>
    <row r="18" spans="2:20">
      <c r="B18" s="75"/>
      <c r="C18" s="75"/>
      <c r="D18" s="75"/>
      <c r="E18" s="75"/>
      <c r="F18" s="76"/>
      <c r="G18" s="76"/>
      <c r="H18" s="153"/>
      <c r="I18" s="78"/>
    </row>
    <row r="19" spans="2:20">
      <c r="B19" s="70"/>
      <c r="C19" s="70"/>
      <c r="D19" s="70"/>
      <c r="E19" s="70"/>
      <c r="F19" s="71"/>
      <c r="G19" s="71"/>
      <c r="H19" s="152"/>
      <c r="I19" s="73"/>
    </row>
    <row r="20" spans="2:20">
      <c r="B20" s="75"/>
      <c r="C20" s="75"/>
      <c r="D20" s="75"/>
      <c r="E20" s="75"/>
      <c r="F20" s="76"/>
      <c r="G20" s="76"/>
      <c r="H20" s="153"/>
      <c r="I20" s="78"/>
    </row>
    <row r="24" spans="2:20" ht="31.5">
      <c r="B24" s="173" t="s">
        <v>326</v>
      </c>
      <c r="Q24" s="172"/>
    </row>
    <row r="25" spans="2:20">
      <c r="B25" s="165" t="s">
        <v>327</v>
      </c>
    </row>
    <row r="26" spans="2:20">
      <c r="B26" t="s">
        <v>324</v>
      </c>
    </row>
    <row r="28" spans="2:20" ht="15.75">
      <c r="B28" s="174"/>
      <c r="C28" s="175">
        <v>2014</v>
      </c>
      <c r="D28" s="175">
        <v>2015</v>
      </c>
      <c r="E28" s="175">
        <v>2016</v>
      </c>
      <c r="F28" s="175">
        <v>2017</v>
      </c>
      <c r="G28" s="175">
        <v>2018</v>
      </c>
      <c r="H28" s="175">
        <v>2019</v>
      </c>
      <c r="I28" s="175">
        <v>2020</v>
      </c>
      <c r="J28" s="175">
        <v>2021</v>
      </c>
      <c r="K28" s="175">
        <v>2022</v>
      </c>
      <c r="L28" s="175">
        <v>2023</v>
      </c>
      <c r="O28" s="93">
        <v>2015</v>
      </c>
      <c r="P28" s="93">
        <v>2020</v>
      </c>
      <c r="Q28" s="93">
        <v>2025</v>
      </c>
      <c r="R28" s="93">
        <v>2030</v>
      </c>
      <c r="S28" s="93">
        <v>2035</v>
      </c>
      <c r="T28" s="93">
        <v>2040</v>
      </c>
    </row>
    <row r="29" spans="2:20">
      <c r="B29" s="176"/>
      <c r="C29" s="177"/>
      <c r="D29" s="177"/>
      <c r="E29" s="177"/>
      <c r="F29" s="177"/>
      <c r="G29" s="177"/>
      <c r="H29" s="177"/>
      <c r="I29" s="177"/>
      <c r="J29" s="177"/>
      <c r="K29" s="177"/>
      <c r="L29" s="177"/>
    </row>
    <row r="30" spans="2:20">
      <c r="B30" s="177" t="s">
        <v>325</v>
      </c>
      <c r="C30" s="177">
        <v>77.2</v>
      </c>
      <c r="D30" s="177">
        <v>82.4</v>
      </c>
      <c r="E30" s="177">
        <v>83.7</v>
      </c>
      <c r="F30" s="177">
        <v>85.7</v>
      </c>
      <c r="G30" s="177">
        <v>82.9</v>
      </c>
      <c r="H30" s="177">
        <v>80.7</v>
      </c>
      <c r="I30" s="177">
        <v>76.8</v>
      </c>
      <c r="J30" s="177">
        <v>83.9</v>
      </c>
      <c r="K30" s="177">
        <v>74.599999999999994</v>
      </c>
      <c r="L30" s="177">
        <v>66.599999999999994</v>
      </c>
    </row>
    <row r="31" spans="2:20">
      <c r="B31" t="s">
        <v>268</v>
      </c>
      <c r="C31">
        <f>C30*10^3</f>
        <v>77200</v>
      </c>
      <c r="D31">
        <f t="shared" ref="D31:L31" si="3">D30*10^3</f>
        <v>82400</v>
      </c>
      <c r="E31">
        <f t="shared" si="3"/>
        <v>83700</v>
      </c>
      <c r="F31">
        <f t="shared" si="3"/>
        <v>85700</v>
      </c>
      <c r="G31">
        <f t="shared" si="3"/>
        <v>82900</v>
      </c>
      <c r="H31">
        <f t="shared" si="3"/>
        <v>80700</v>
      </c>
      <c r="I31">
        <f t="shared" si="3"/>
        <v>76800</v>
      </c>
      <c r="J31">
        <f t="shared" si="3"/>
        <v>83900</v>
      </c>
      <c r="K31">
        <f t="shared" si="3"/>
        <v>74600</v>
      </c>
      <c r="L31">
        <f t="shared" si="3"/>
        <v>66600</v>
      </c>
    </row>
    <row r="33" spans="2:20">
      <c r="B33" t="s">
        <v>228</v>
      </c>
      <c r="C33">
        <f>C31</f>
        <v>77200</v>
      </c>
      <c r="D33">
        <f t="shared" ref="D33:L33" si="4">D31</f>
        <v>82400</v>
      </c>
      <c r="E33">
        <f t="shared" si="4"/>
        <v>83700</v>
      </c>
      <c r="F33">
        <f t="shared" si="4"/>
        <v>85700</v>
      </c>
      <c r="G33">
        <f t="shared" si="4"/>
        <v>82900</v>
      </c>
      <c r="H33">
        <f t="shared" si="4"/>
        <v>80700</v>
      </c>
      <c r="I33">
        <f t="shared" si="4"/>
        <v>76800</v>
      </c>
      <c r="J33">
        <f t="shared" si="4"/>
        <v>83900</v>
      </c>
      <c r="K33">
        <f t="shared" si="4"/>
        <v>74600</v>
      </c>
      <c r="L33">
        <f t="shared" si="4"/>
        <v>66600</v>
      </c>
      <c r="O33" s="142">
        <f>O35*O37* O34 / AVERAGE($C$34:$M$34)</f>
        <v>86539.254903375302</v>
      </c>
      <c r="P33" s="142">
        <f t="shared" ref="P33:T33" si="5">P35*P37* P34 / AVERAGE($C$34:$M$34)</f>
        <v>79922.015873496857</v>
      </c>
      <c r="Q33" s="142">
        <f t="shared" si="5"/>
        <v>72784.340421351968</v>
      </c>
      <c r="R33" s="142">
        <f t="shared" si="5"/>
        <v>65586.133790643624</v>
      </c>
      <c r="S33" s="142">
        <f t="shared" si="5"/>
        <v>58468.851577600573</v>
      </c>
      <c r="T33" s="142">
        <f t="shared" si="5"/>
        <v>51601.301370705274</v>
      </c>
    </row>
    <row r="34" spans="2:20">
      <c r="B34" s="59" t="s">
        <v>163</v>
      </c>
      <c r="C34" s="64">
        <f>HLOOKUP(C28,   HDD!$A$25:$AG$55, MATCH($B$2,HDD!$A$25:$A$55,0), FALSE)</f>
        <v>2659</v>
      </c>
      <c r="D34" s="64">
        <f>HLOOKUP(D28,   HDD!$A$25:$AG$55, MATCH($B$2,HDD!$A$25:$A$55,0), FALSE)</f>
        <v>2908.42</v>
      </c>
      <c r="E34" s="64">
        <f>HLOOKUP(E28,   HDD!$A$25:$AG$55, MATCH($B$2,HDD!$A$25:$A$55,0), FALSE)</f>
        <v>3009.02</v>
      </c>
      <c r="F34" s="64">
        <f>HLOOKUP(F28,   HDD!$A$25:$AG$55, MATCH($B$2,HDD!$A$25:$A$55,0), FALSE)</f>
        <v>2965.83</v>
      </c>
      <c r="G34" s="64">
        <f>HLOOKUP(G28,   HDD!$A$25:$AG$55, MATCH($B$2,HDD!$A$25:$A$55,0), FALSE)</f>
        <v>2774.95</v>
      </c>
      <c r="H34" s="64">
        <f>HLOOKUP(H28,   HDD!$A$25:$AG$55, MATCH($B$2,HDD!$A$25:$A$55,0), FALSE)</f>
        <v>2800.81</v>
      </c>
      <c r="I34" s="64">
        <f>HLOOKUP(I28,   HDD!$A$25:$AG$55, MATCH($B$2,HDD!$A$25:$A$55,0), FALSE)</f>
        <v>2741.03</v>
      </c>
      <c r="J34" s="64">
        <f>HLOOKUP(J28,   HDD!$A$25:$AG$55, MATCH($B$2,HDD!$A$25:$A$55,0), FALSE)</f>
        <v>3114.19</v>
      </c>
      <c r="K34" s="64">
        <f>HLOOKUP(K28,   HDD!$A$25:$AG$55, MATCH($B$2,HDD!$A$25:$A$55,0), FALSE)</f>
        <v>2736.32</v>
      </c>
      <c r="L34" s="64">
        <f>HLOOKUP(L28,   HDD!$A$25:$AG$55, MATCH($B$2,HDD!$A$25:$A$55,0), FALSE)</f>
        <v>2661.88</v>
      </c>
      <c r="O34" s="64">
        <f>HLOOKUP(O$28,   HDD!$AA$25:$AG$55, MATCH($B$2,HDD!$A$25:$A$55,0), FALSE)</f>
        <v>2942.6466449275395</v>
      </c>
      <c r="P34" s="64">
        <f>HLOOKUP(P$28,   HDD!$AA$25:$AG$55, MATCH($B$2,HDD!$A$25:$A$55,0), FALSE)</f>
        <v>2868.5394710144938</v>
      </c>
      <c r="Q34" s="64">
        <f>HLOOKUP(Q$28,   HDD!$AA$25:$AG$55, MATCH($B$2,HDD!$A$25:$A$55,0), FALSE)</f>
        <v>2794.4322971014517</v>
      </c>
      <c r="R34" s="64">
        <f>HLOOKUP(R$28,   HDD!$AA$25:$AG$55, MATCH($B$2,HDD!$A$25:$A$55,0), FALSE)</f>
        <v>2720.3251231884096</v>
      </c>
      <c r="S34" s="64">
        <f>HLOOKUP(S$28,   HDD!$AA$25:$AG$55, MATCH($B$2,HDD!$A$25:$A$55,0), FALSE)</f>
        <v>2646.2179492753639</v>
      </c>
      <c r="T34" s="64">
        <f>HLOOKUP(T$28,   HDD!$AA$25:$AG$55, MATCH($B$2,HDD!$A$25:$A$55,0), FALSE)</f>
        <v>2572.1107753623219</v>
      </c>
    </row>
    <row r="35" spans="2:20">
      <c r="B35" s="59" t="s">
        <v>232</v>
      </c>
      <c r="C35" s="64">
        <f>HLOOKUP(C28,   POP!$A$27:$AC$63, MATCH($B$2, POP!$A$27:$A$63,0), FALSE)</f>
        <v>80982500</v>
      </c>
      <c r="D35" s="64">
        <f>HLOOKUP(D28,   POP!$A$27:$AC$63, MATCH($B$2, POP!$A$27:$A$63,0), FALSE)</f>
        <v>81686611</v>
      </c>
      <c r="E35" s="64">
        <f>HLOOKUP(E28,   POP!$A$27:$AC$63, MATCH($B$2, POP!$A$27:$A$63,0), FALSE)</f>
        <v>82348669</v>
      </c>
      <c r="F35" s="64">
        <f>HLOOKUP(F28,   POP!$A$27:$AC$63, MATCH($B$2, POP!$A$27:$A$63,0), FALSE)</f>
        <v>82657002</v>
      </c>
      <c r="G35" s="64">
        <f>HLOOKUP(G28,   POP!$A$27:$AC$63, MATCH($B$2, POP!$A$27:$A$63,0), FALSE)</f>
        <v>82905782</v>
      </c>
      <c r="H35" s="64">
        <f>HLOOKUP(H28,   POP!$A$27:$AC$63, MATCH($B$2, POP!$A$27:$A$63,0), FALSE)</f>
        <v>83092962</v>
      </c>
      <c r="I35" s="64">
        <f>HLOOKUP(I28,   POP!$A$27:$AC$63, MATCH($B$2, POP!$A$27:$A$63,0), FALSE)</f>
        <v>83160871</v>
      </c>
      <c r="J35" s="64">
        <f>HLOOKUP(J28,   POP!$A$27:$AC$63, MATCH($B$2, POP!$A$27:$A$63,0), FALSE)</f>
        <v>83196078</v>
      </c>
      <c r="K35" s="64">
        <f>HLOOKUP(K28,   POP!$A$27:$AC$63, MATCH($B$2, POP!$A$27:$A$63,0), FALSE)</f>
        <v>83797985</v>
      </c>
      <c r="L35" s="64">
        <f>HLOOKUP(L28,   POP!$A$27:$AC$63, MATCH($B$2, POP!$A$27:$A$63,0), FALSE)</f>
        <v>83901923</v>
      </c>
      <c r="O35" s="64">
        <f>HLOOKUP(O$28,   POP!$A$27:$AE$63, MATCH($B$2, POP!$A$27:$A$63,0), FALSE)</f>
        <v>81686611</v>
      </c>
      <c r="P35" s="64">
        <f>HLOOKUP(P$28,   POP!$A$27:$AE$63, MATCH($B$2, POP!$A$27:$A$63,0), FALSE)</f>
        <v>83160871</v>
      </c>
      <c r="Q35" s="64">
        <f>HLOOKUP(Q$28,   POP!$A$27:$AE$63, MATCH($B$2, POP!$A$27:$A$63,0), FALSE)</f>
        <v>84007402.114285767</v>
      </c>
      <c r="R35" s="64">
        <f>HLOOKUP(R$28,   POP!$A$27:$AE$63, MATCH($B$2, POP!$A$27:$A$63,0), FALSE)</f>
        <v>84577297.962500036</v>
      </c>
      <c r="S35" s="64">
        <f>HLOOKUP(S$28,   POP!$A$27:$AE$63, MATCH($B$2, POP!$A$27:$A$63,0), FALSE)</f>
        <v>84957228.52797623</v>
      </c>
      <c r="T35" s="64">
        <f>HLOOKUP(T$28,   POP!$A$27:$AE$63, MATCH($B$2, POP!$A$27:$A$63,0), FALSE)</f>
        <v>85337159.093452409</v>
      </c>
    </row>
    <row r="36" spans="2:20">
      <c r="B36" s="59" t="s">
        <v>164</v>
      </c>
      <c r="C36" s="64">
        <f>C33/C34*AVERAGE($C$34:$J$34)</f>
        <v>83374.149116209097</v>
      </c>
      <c r="D36" s="64">
        <f t="shared" ref="D36:L36" si="6">D33/D34*AVERAGE($C$34:$J$34)</f>
        <v>81358.426568377326</v>
      </c>
      <c r="E36" s="64">
        <f t="shared" si="6"/>
        <v>79879.039728881835</v>
      </c>
      <c r="F36" s="64">
        <f t="shared" si="6"/>
        <v>82978.775123658474</v>
      </c>
      <c r="G36" s="64">
        <f t="shared" si="6"/>
        <v>85789.042370132796</v>
      </c>
      <c r="H36" s="64">
        <f t="shared" si="6"/>
        <v>82741.299615111348</v>
      </c>
      <c r="I36" s="64">
        <f t="shared" si="6"/>
        <v>80459.97307581456</v>
      </c>
      <c r="J36" s="64">
        <f t="shared" si="6"/>
        <v>77365.850951611807</v>
      </c>
      <c r="K36" s="64">
        <f t="shared" si="6"/>
        <v>78289.657733744578</v>
      </c>
      <c r="L36" s="64">
        <f t="shared" si="6"/>
        <v>71848.583050325324</v>
      </c>
    </row>
    <row r="37" spans="2:20">
      <c r="B37" s="59" t="s">
        <v>235</v>
      </c>
      <c r="C37">
        <f>C36/(C35)</f>
        <v>1.0295329128664724E-3</v>
      </c>
      <c r="D37">
        <f t="shared" ref="D37:L37" si="7">D36/(D35)</f>
        <v>9.9598239628740791E-4</v>
      </c>
      <c r="E37">
        <f t="shared" si="7"/>
        <v>9.7001008879550729E-4</v>
      </c>
      <c r="F37">
        <f t="shared" si="7"/>
        <v>1.0038928719391306E-3</v>
      </c>
      <c r="G37">
        <f t="shared" si="7"/>
        <v>1.0347775547202823E-3</v>
      </c>
      <c r="H37">
        <f t="shared" si="7"/>
        <v>9.9576784391331905E-4</v>
      </c>
      <c r="I37">
        <f t="shared" si="7"/>
        <v>9.6752201015083835E-4</v>
      </c>
      <c r="J37">
        <f t="shared" si="7"/>
        <v>9.2992185222495467E-4</v>
      </c>
      <c r="K37">
        <f t="shared" si="7"/>
        <v>9.3426659046449121E-4</v>
      </c>
      <c r="L37">
        <f t="shared" si="7"/>
        <v>8.5634012286375512E-4</v>
      </c>
      <c r="O37" s="158">
        <f t="array" ref="O37">TREND($C$37:$L$37,$C$28:$L$28,O$28)</f>
        <v>1.0214231353579684E-3</v>
      </c>
      <c r="P37" s="158">
        <f t="array" ref="P37">TREND($C$37:$L$37,$C$28:$L$28,P$28)</f>
        <v>9.5053497687889316E-4</v>
      </c>
      <c r="Q37" s="158">
        <f t="array" ref="Q37">TREND($C$37:$L$37,$C$28:$L$28,Q$28)</f>
        <v>8.7964681839981795E-4</v>
      </c>
      <c r="R37" s="158">
        <f t="array" ref="R37">TREND($C$37:$L$37,$C$28:$L$28,R$28)</f>
        <v>8.0875865992074275E-4</v>
      </c>
      <c r="S37" s="158">
        <f t="array" ref="S37">TREND($C$37:$L$37,$C$28:$L$28,S$28)</f>
        <v>7.3787050144166755E-4</v>
      </c>
      <c r="T37" s="158">
        <f t="array" ref="T37">TREND($C$37:$L$37,$C$28:$L$28,T$28)</f>
        <v>6.6698234296259581E-4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D6F4C-54DE-4EEF-967F-272C84133F1C}">
  <sheetPr>
    <tabColor theme="3" tint="0.89999084444715716"/>
  </sheetPr>
  <dimension ref="B1:CM47"/>
  <sheetViews>
    <sheetView zoomScale="80" workbookViewId="0">
      <selection activeCell="G5" sqref="G5"/>
    </sheetView>
  </sheetViews>
  <sheetFormatPr defaultRowHeight="15"/>
  <cols>
    <col min="2" max="2" width="30.85546875" customWidth="1"/>
    <col min="3" max="3" width="14" bestFit="1" customWidth="1"/>
    <col min="4" max="4" width="14.85546875" customWidth="1"/>
    <col min="5" max="5" width="13.7109375" customWidth="1"/>
    <col min="7" max="7" width="12.42578125" customWidth="1"/>
    <col min="8" max="8" width="9.140625" customWidth="1"/>
    <col min="17" max="17" width="12.5703125" customWidth="1"/>
    <col min="18" max="18" width="11" customWidth="1"/>
    <col min="19" max="19" width="11.140625" customWidth="1"/>
    <col min="35" max="35" width="19.42578125" customWidth="1"/>
    <col min="36" max="36" width="12.140625" customWidth="1"/>
    <col min="37" max="41" width="12.5703125" bestFit="1" customWidth="1"/>
    <col min="42" max="61" width="13" bestFit="1" customWidth="1"/>
    <col min="62" max="62" width="13.5703125" bestFit="1" customWidth="1"/>
    <col min="63" max="63" width="13" bestFit="1" customWidth="1"/>
    <col min="64" max="86" width="13.5703125" bestFit="1" customWidth="1"/>
    <col min="87" max="90" width="14.140625" bestFit="1" customWidth="1"/>
  </cols>
  <sheetData>
    <row r="1" spans="2:91" ht="15.75" thickBot="1"/>
    <row r="2" spans="2:91" ht="15.75" thickBot="1">
      <c r="B2" s="79" t="s">
        <v>5</v>
      </c>
    </row>
    <row r="4" spans="2:91">
      <c r="B4" s="67" t="s">
        <v>171</v>
      </c>
      <c r="C4" s="67" t="s">
        <v>172</v>
      </c>
      <c r="D4" s="67" t="s">
        <v>173</v>
      </c>
      <c r="E4" s="67" t="s">
        <v>174</v>
      </c>
      <c r="F4" s="67" t="s">
        <v>175</v>
      </c>
      <c r="G4" s="67" t="s">
        <v>342</v>
      </c>
      <c r="H4" s="67" t="s">
        <v>302</v>
      </c>
      <c r="I4" s="68" t="s">
        <v>176</v>
      </c>
    </row>
    <row r="5" spans="2:91">
      <c r="B5" s="69" t="s">
        <v>301</v>
      </c>
      <c r="C5" s="70" t="s">
        <v>304</v>
      </c>
      <c r="D5" s="70"/>
      <c r="E5" s="70" t="s">
        <v>318</v>
      </c>
      <c r="F5" s="71">
        <v>2015</v>
      </c>
      <c r="G5" s="71"/>
      <c r="H5" s="159">
        <f t="array" ref="H5:H10">TRANSPOSE(N15:S15)/1000</f>
        <v>16.426349681898145</v>
      </c>
      <c r="I5" s="80">
        <v>0.3</v>
      </c>
      <c r="M5" s="46"/>
      <c r="N5" s="46"/>
    </row>
    <row r="6" spans="2:91">
      <c r="B6" s="69" t="s">
        <v>301</v>
      </c>
      <c r="C6" s="75" t="s">
        <v>304</v>
      </c>
      <c r="D6" s="75"/>
      <c r="E6" s="75" t="s">
        <v>318</v>
      </c>
      <c r="F6" s="76">
        <f>F5+5</f>
        <v>2020</v>
      </c>
      <c r="G6" s="76"/>
      <c r="H6" s="160">
        <v>18.616137306948623</v>
      </c>
      <c r="I6" s="78">
        <f t="shared" ref="I6:I10" si="0">I5</f>
        <v>0.3</v>
      </c>
      <c r="AK6">
        <v>1970</v>
      </c>
      <c r="AL6">
        <v>1971</v>
      </c>
      <c r="AM6">
        <v>1972</v>
      </c>
      <c r="AN6">
        <v>1973</v>
      </c>
      <c r="AO6">
        <v>1974</v>
      </c>
      <c r="AP6">
        <v>1975</v>
      </c>
      <c r="AQ6">
        <v>1976</v>
      </c>
      <c r="AR6">
        <v>1977</v>
      </c>
      <c r="AS6">
        <v>1978</v>
      </c>
      <c r="AT6">
        <v>1979</v>
      </c>
      <c r="AU6">
        <v>1980</v>
      </c>
      <c r="AV6">
        <v>1981</v>
      </c>
      <c r="AW6">
        <v>1982</v>
      </c>
      <c r="AX6">
        <v>1983</v>
      </c>
      <c r="AY6">
        <v>1984</v>
      </c>
      <c r="AZ6">
        <v>1985</v>
      </c>
      <c r="BA6">
        <v>1986</v>
      </c>
      <c r="BB6">
        <v>1987</v>
      </c>
      <c r="BC6">
        <v>1988</v>
      </c>
      <c r="BD6">
        <v>1989</v>
      </c>
      <c r="BE6">
        <v>1990</v>
      </c>
      <c r="BF6">
        <v>1991</v>
      </c>
      <c r="BG6">
        <v>1992</v>
      </c>
      <c r="BH6">
        <v>1993</v>
      </c>
      <c r="BI6">
        <v>1994</v>
      </c>
      <c r="BJ6">
        <v>1995</v>
      </c>
      <c r="BK6">
        <v>1996</v>
      </c>
      <c r="BL6">
        <v>1997</v>
      </c>
      <c r="BM6">
        <v>1998</v>
      </c>
      <c r="BN6">
        <v>1999</v>
      </c>
      <c r="BO6">
        <v>2000</v>
      </c>
      <c r="BP6">
        <v>2001</v>
      </c>
      <c r="BQ6">
        <v>2002</v>
      </c>
      <c r="BR6">
        <v>2003</v>
      </c>
      <c r="BS6">
        <v>2004</v>
      </c>
      <c r="BT6">
        <v>2005</v>
      </c>
      <c r="BU6">
        <v>2006</v>
      </c>
      <c r="BV6">
        <v>2007</v>
      </c>
      <c r="BW6">
        <v>2008</v>
      </c>
      <c r="BX6">
        <v>2009</v>
      </c>
      <c r="BY6">
        <v>2010</v>
      </c>
      <c r="BZ6">
        <v>2011</v>
      </c>
      <c r="CA6">
        <v>2012</v>
      </c>
      <c r="CB6">
        <v>2013</v>
      </c>
      <c r="CC6">
        <v>2014</v>
      </c>
      <c r="CD6">
        <v>2015</v>
      </c>
      <c r="CE6">
        <v>2016</v>
      </c>
      <c r="CF6">
        <v>2017</v>
      </c>
      <c r="CG6">
        <v>2018</v>
      </c>
      <c r="CH6">
        <v>2019</v>
      </c>
      <c r="CI6">
        <v>2020</v>
      </c>
      <c r="CJ6">
        <v>2021</v>
      </c>
      <c r="CK6">
        <v>2022</v>
      </c>
      <c r="CL6">
        <v>2023</v>
      </c>
      <c r="CM6">
        <v>2024</v>
      </c>
    </row>
    <row r="7" spans="2:91">
      <c r="B7" s="69" t="s">
        <v>301</v>
      </c>
      <c r="C7" s="70" t="s">
        <v>304</v>
      </c>
      <c r="D7" s="70"/>
      <c r="E7" s="70" t="s">
        <v>318</v>
      </c>
      <c r="F7" s="71">
        <f>F6+5</f>
        <v>2025</v>
      </c>
      <c r="G7" s="71"/>
      <c r="H7" s="159">
        <v>17.784725449979884</v>
      </c>
      <c r="I7" s="80">
        <v>0.3</v>
      </c>
      <c r="N7" s="46"/>
      <c r="O7" s="46"/>
      <c r="AJ7" s="181" t="s">
        <v>329</v>
      </c>
      <c r="AK7" s="182">
        <v>597240</v>
      </c>
      <c r="AL7" s="182">
        <v>698032</v>
      </c>
      <c r="AM7" s="182">
        <v>819273</v>
      </c>
      <c r="AN7" s="182">
        <v>868721</v>
      </c>
      <c r="AO7" s="182">
        <v>887231</v>
      </c>
      <c r="AP7" s="182">
        <v>992021</v>
      </c>
      <c r="AQ7" s="182">
        <v>1121808</v>
      </c>
      <c r="AR7" s="182">
        <v>1319090</v>
      </c>
      <c r="AS7" s="182">
        <v>1522030</v>
      </c>
      <c r="AT7" s="182">
        <v>1579234</v>
      </c>
      <c r="AU7" s="182">
        <v>1704302</v>
      </c>
      <c r="AV7" s="182">
        <v>1840307</v>
      </c>
      <c r="AW7" s="182">
        <v>2139852</v>
      </c>
      <c r="AX7" s="182">
        <v>2123093</v>
      </c>
      <c r="AY7" s="182">
        <v>2178010</v>
      </c>
      <c r="AZ7" s="182">
        <v>2589581</v>
      </c>
      <c r="BA7" s="182">
        <v>2688923</v>
      </c>
      <c r="BB7" s="182">
        <v>2834159</v>
      </c>
      <c r="BC7" s="182">
        <v>2808239.75</v>
      </c>
      <c r="BD7" s="182">
        <v>2929994.77</v>
      </c>
      <c r="BE7" s="182">
        <v>3190302.09</v>
      </c>
      <c r="BF7" s="182">
        <v>3798802.28</v>
      </c>
      <c r="BG7" s="182">
        <v>3559082.57</v>
      </c>
      <c r="BH7" s="182">
        <v>3915830.18</v>
      </c>
      <c r="BI7" s="182">
        <v>3841722.23</v>
      </c>
      <c r="BJ7" s="182">
        <v>4248478.37</v>
      </c>
      <c r="BK7" s="182">
        <v>5787397.2800000003</v>
      </c>
      <c r="BL7" s="182">
        <v>4805460.6057169484</v>
      </c>
      <c r="BM7" s="182">
        <v>5173973.7860370623</v>
      </c>
      <c r="BN7" s="182">
        <v>5874684.4919707272</v>
      </c>
      <c r="BO7" s="182">
        <v>5702736.8819739427</v>
      </c>
      <c r="BP7" s="182">
        <v>6127116.8286466328</v>
      </c>
      <c r="BQ7" s="182">
        <v>5846212.7896407582</v>
      </c>
      <c r="BR7" s="182">
        <v>6354237.5964054111</v>
      </c>
      <c r="BS7" s="182">
        <v>6794571.4683079086</v>
      </c>
      <c r="BT7" s="180">
        <v>6452532.1197693059</v>
      </c>
      <c r="BU7" s="180">
        <v>7059094.7116748225</v>
      </c>
      <c r="BV7" s="180">
        <v>6451940.0338720744</v>
      </c>
      <c r="BW7" s="180">
        <v>7439475.7658385048</v>
      </c>
      <c r="BX7" s="180">
        <v>7854215.6909225322</v>
      </c>
      <c r="BY7" s="180">
        <v>8574232.725225484</v>
      </c>
      <c r="BZ7" s="180">
        <v>8554984.331250757</v>
      </c>
      <c r="CA7" s="180">
        <v>8472797.1024900675</v>
      </c>
      <c r="CB7" s="180">
        <v>8145385.329287352</v>
      </c>
      <c r="CC7" s="180">
        <v>7281121.1279833093</v>
      </c>
      <c r="CD7" s="180">
        <v>7472460.1877390407</v>
      </c>
      <c r="CE7" s="180">
        <v>7967949.6784414835</v>
      </c>
      <c r="CF7" s="180">
        <v>8044650.5187155884</v>
      </c>
      <c r="CG7" s="180">
        <v>7631440.7273621447</v>
      </c>
      <c r="CH7" s="180">
        <v>7945736.8388757575</v>
      </c>
      <c r="CI7" s="180">
        <v>7500675.4553798297</v>
      </c>
      <c r="CJ7" s="180">
        <v>8380801.6242839713</v>
      </c>
      <c r="CK7" s="180">
        <v>6958656.9880060628</v>
      </c>
      <c r="CL7" s="180">
        <v>6302459.3696365012</v>
      </c>
      <c r="CM7" s="180">
        <v>6382808.525263153</v>
      </c>
    </row>
    <row r="8" spans="2:91">
      <c r="B8" s="69" t="s">
        <v>301</v>
      </c>
      <c r="C8" s="75" t="s">
        <v>304</v>
      </c>
      <c r="D8" s="75"/>
      <c r="E8" s="75" t="s">
        <v>318</v>
      </c>
      <c r="F8" s="76">
        <f>F7+5</f>
        <v>2030</v>
      </c>
      <c r="G8" s="76"/>
      <c r="H8" s="160">
        <v>18.619691469103795</v>
      </c>
      <c r="I8" s="78">
        <f t="shared" si="0"/>
        <v>0.3</v>
      </c>
      <c r="M8" s="46"/>
      <c r="AJ8" s="181" t="s">
        <v>330</v>
      </c>
      <c r="AK8" s="182">
        <v>527095</v>
      </c>
      <c r="AL8" s="182">
        <v>616049</v>
      </c>
      <c r="AM8" s="182">
        <v>723051</v>
      </c>
      <c r="AN8" s="182">
        <v>766691</v>
      </c>
      <c r="AO8" s="182">
        <v>783027</v>
      </c>
      <c r="AP8" s="182">
        <v>875510</v>
      </c>
      <c r="AQ8" s="182">
        <v>990054</v>
      </c>
      <c r="AR8" s="182">
        <v>1164166</v>
      </c>
      <c r="AS8" s="182">
        <v>1343271</v>
      </c>
      <c r="AT8" s="182">
        <v>1393757</v>
      </c>
      <c r="AU8" s="182">
        <v>1504136</v>
      </c>
      <c r="AV8" s="182">
        <v>1624168</v>
      </c>
      <c r="AW8" s="182">
        <v>1888532</v>
      </c>
      <c r="AX8" s="182">
        <v>1965694</v>
      </c>
      <c r="AY8" s="182">
        <v>2100367</v>
      </c>
      <c r="AZ8" s="182">
        <v>2283021</v>
      </c>
      <c r="BA8" s="182">
        <v>2407621</v>
      </c>
      <c r="BB8" s="182">
        <v>2564782</v>
      </c>
      <c r="BC8" s="182">
        <v>2524928</v>
      </c>
      <c r="BD8" s="182">
        <v>2617641</v>
      </c>
      <c r="BE8" s="182">
        <v>2864599</v>
      </c>
      <c r="BF8" s="182">
        <v>3397946</v>
      </c>
      <c r="BG8" s="182">
        <v>3396767</v>
      </c>
      <c r="BH8" s="182">
        <v>3822477</v>
      </c>
      <c r="BI8" s="182">
        <v>3716159</v>
      </c>
      <c r="BJ8" s="182">
        <v>4194591</v>
      </c>
      <c r="BK8" s="182">
        <v>4850250</v>
      </c>
      <c r="BL8" s="182">
        <v>4739651</v>
      </c>
      <c r="BM8" s="182">
        <v>4849371</v>
      </c>
      <c r="BN8" s="182">
        <v>4765996.9702458065</v>
      </c>
      <c r="BO8" s="182">
        <v>4448381.0593276788</v>
      </c>
      <c r="BP8" s="182">
        <v>4627175.2367105866</v>
      </c>
      <c r="BQ8" s="182">
        <v>4805969.4140934944</v>
      </c>
      <c r="BR8" s="182">
        <v>5120522.6973230122</v>
      </c>
      <c r="BS8" s="182">
        <v>5391797.482877274</v>
      </c>
      <c r="BT8" s="180">
        <v>5565676.0768164806</v>
      </c>
      <c r="BU8" s="180">
        <v>5083522.5179743171</v>
      </c>
      <c r="BV8" s="180">
        <v>5632087.0281069307</v>
      </c>
      <c r="BW8" s="180">
        <v>5853781.818529577</v>
      </c>
      <c r="BX8" s="180">
        <v>6077044.9910338977</v>
      </c>
      <c r="BY8" s="180">
        <v>6809101.3910610368</v>
      </c>
      <c r="BZ8" s="180">
        <v>6803406.1021452853</v>
      </c>
      <c r="CA8" s="180">
        <v>7624873.2474273965</v>
      </c>
      <c r="CB8" s="180">
        <v>8503002.115727229</v>
      </c>
      <c r="CC8" s="180">
        <v>7939202.1693499424</v>
      </c>
      <c r="CD8" s="180">
        <v>8752182.0795435645</v>
      </c>
      <c r="CE8" s="180">
        <v>9178284.4542348757</v>
      </c>
      <c r="CF8" s="180">
        <v>9749447.9215616509</v>
      </c>
      <c r="CG8" s="180">
        <v>9198559.8158840239</v>
      </c>
      <c r="CH8" s="180">
        <v>9002135.3043355048</v>
      </c>
      <c r="CI8" s="180">
        <v>9788089.2341287024</v>
      </c>
      <c r="CJ8" s="180">
        <v>10524504.013163604</v>
      </c>
      <c r="CK8" s="180">
        <v>10036188.759076795</v>
      </c>
      <c r="CL8" s="180">
        <v>10351227.288875196</v>
      </c>
      <c r="CM8" s="180">
        <v>10599664.22675446</v>
      </c>
    </row>
    <row r="9" spans="2:91">
      <c r="B9" s="69" t="s">
        <v>301</v>
      </c>
      <c r="C9" s="70" t="s">
        <v>304</v>
      </c>
      <c r="D9" s="70"/>
      <c r="E9" s="70" t="s">
        <v>318</v>
      </c>
      <c r="F9" s="154">
        <f t="shared" ref="F9:F10" si="1">F8+5</f>
        <v>2035</v>
      </c>
      <c r="G9" s="154"/>
      <c r="H9" s="159">
        <v>19.313145036635493</v>
      </c>
      <c r="I9" s="73">
        <f t="shared" si="0"/>
        <v>0.3</v>
      </c>
      <c r="M9" s="46"/>
      <c r="AJ9" s="179" t="s">
        <v>212</v>
      </c>
      <c r="AK9" s="179">
        <f>SUM(AK7:AK8)</f>
        <v>1124335</v>
      </c>
      <c r="AL9" s="179">
        <f t="shared" ref="AL9:CM9" si="2">SUM(AL7:AL8)</f>
        <v>1314081</v>
      </c>
      <c r="AM9" s="179">
        <f t="shared" si="2"/>
        <v>1542324</v>
      </c>
      <c r="AN9" s="179">
        <f t="shared" si="2"/>
        <v>1635412</v>
      </c>
      <c r="AO9" s="179">
        <f t="shared" si="2"/>
        <v>1670258</v>
      </c>
      <c r="AP9" s="179">
        <f t="shared" si="2"/>
        <v>1867531</v>
      </c>
      <c r="AQ9" s="179">
        <f t="shared" si="2"/>
        <v>2111862</v>
      </c>
      <c r="AR9" s="179">
        <f t="shared" si="2"/>
        <v>2483256</v>
      </c>
      <c r="AS9" s="179">
        <f t="shared" si="2"/>
        <v>2865301</v>
      </c>
      <c r="AT9" s="179">
        <f t="shared" si="2"/>
        <v>2972991</v>
      </c>
      <c r="AU9" s="179">
        <f t="shared" si="2"/>
        <v>3208438</v>
      </c>
      <c r="AV9" s="179">
        <f t="shared" si="2"/>
        <v>3464475</v>
      </c>
      <c r="AW9" s="179">
        <f t="shared" si="2"/>
        <v>4028384</v>
      </c>
      <c r="AX9" s="179">
        <f t="shared" si="2"/>
        <v>4088787</v>
      </c>
      <c r="AY9" s="179">
        <f t="shared" si="2"/>
        <v>4278377</v>
      </c>
      <c r="AZ9" s="179">
        <f t="shared" si="2"/>
        <v>4872602</v>
      </c>
      <c r="BA9" s="179">
        <f t="shared" si="2"/>
        <v>5096544</v>
      </c>
      <c r="BB9" s="179">
        <f t="shared" si="2"/>
        <v>5398941</v>
      </c>
      <c r="BC9" s="179">
        <f t="shared" si="2"/>
        <v>5333167.75</v>
      </c>
      <c r="BD9" s="179">
        <f t="shared" si="2"/>
        <v>5547635.7699999996</v>
      </c>
      <c r="BE9" s="179">
        <f t="shared" si="2"/>
        <v>6054901.0899999999</v>
      </c>
      <c r="BF9" s="179">
        <f t="shared" si="2"/>
        <v>7196748.2799999993</v>
      </c>
      <c r="BG9" s="179">
        <f t="shared" si="2"/>
        <v>6955849.5700000003</v>
      </c>
      <c r="BH9" s="179">
        <f t="shared" si="2"/>
        <v>7738307.1799999997</v>
      </c>
      <c r="BI9" s="179">
        <f t="shared" si="2"/>
        <v>7557881.2300000004</v>
      </c>
      <c r="BJ9" s="179">
        <f t="shared" si="2"/>
        <v>8443069.370000001</v>
      </c>
      <c r="BK9" s="179">
        <f t="shared" si="2"/>
        <v>10637647.280000001</v>
      </c>
      <c r="BL9" s="179">
        <f t="shared" si="2"/>
        <v>9545111.6057169475</v>
      </c>
      <c r="BM9" s="179">
        <f t="shared" si="2"/>
        <v>10023344.786037061</v>
      </c>
      <c r="BN9" s="179">
        <f t="shared" si="2"/>
        <v>10640681.462216534</v>
      </c>
      <c r="BO9" s="179">
        <f t="shared" si="2"/>
        <v>10151117.941301621</v>
      </c>
      <c r="BP9" s="179">
        <f t="shared" si="2"/>
        <v>10754292.065357219</v>
      </c>
      <c r="BQ9" s="179">
        <f t="shared" si="2"/>
        <v>10652182.203734253</v>
      </c>
      <c r="BR9" s="179">
        <f t="shared" si="2"/>
        <v>11474760.293728422</v>
      </c>
      <c r="BS9" s="179">
        <f t="shared" si="2"/>
        <v>12186368.951185182</v>
      </c>
      <c r="BT9" s="179">
        <f t="shared" si="2"/>
        <v>12018208.196585786</v>
      </c>
      <c r="BU9" s="179">
        <f t="shared" si="2"/>
        <v>12142617.22964914</v>
      </c>
      <c r="BV9" s="179">
        <f t="shared" si="2"/>
        <v>12084027.061979005</v>
      </c>
      <c r="BW9" s="179">
        <f t="shared" si="2"/>
        <v>13293257.584368082</v>
      </c>
      <c r="BX9" s="179">
        <f t="shared" si="2"/>
        <v>13931260.681956429</v>
      </c>
      <c r="BY9" s="179">
        <f t="shared" si="2"/>
        <v>15383334.11628652</v>
      </c>
      <c r="BZ9" s="179">
        <f t="shared" si="2"/>
        <v>15358390.433396041</v>
      </c>
      <c r="CA9" s="179">
        <f t="shared" si="2"/>
        <v>16097670.349917464</v>
      </c>
      <c r="CB9" s="179">
        <f t="shared" si="2"/>
        <v>16648387.445014581</v>
      </c>
      <c r="CC9" s="179">
        <f t="shared" si="2"/>
        <v>15220323.297333252</v>
      </c>
      <c r="CD9" s="179">
        <f t="shared" si="2"/>
        <v>16224642.267282605</v>
      </c>
      <c r="CE9" s="179">
        <f t="shared" si="2"/>
        <v>17146234.132676359</v>
      </c>
      <c r="CF9" s="179">
        <f t="shared" si="2"/>
        <v>17794098.440277241</v>
      </c>
      <c r="CG9" s="179">
        <f t="shared" si="2"/>
        <v>16830000.543246169</v>
      </c>
      <c r="CH9" s="179">
        <f t="shared" si="2"/>
        <v>16947872.14321126</v>
      </c>
      <c r="CI9" s="179">
        <f t="shared" si="2"/>
        <v>17288764.689508531</v>
      </c>
      <c r="CJ9" s="179">
        <f t="shared" si="2"/>
        <v>18905305.637447573</v>
      </c>
      <c r="CK9" s="179">
        <f t="shared" si="2"/>
        <v>16994845.747082859</v>
      </c>
      <c r="CL9" s="179">
        <f t="shared" si="2"/>
        <v>16653686.658511698</v>
      </c>
      <c r="CM9" s="179">
        <f t="shared" si="2"/>
        <v>16982472.752017614</v>
      </c>
    </row>
    <row r="10" spans="2:91">
      <c r="B10" s="69" t="s">
        <v>301</v>
      </c>
      <c r="C10" s="75" t="s">
        <v>304</v>
      </c>
      <c r="D10" s="75"/>
      <c r="E10" s="75" t="s">
        <v>318</v>
      </c>
      <c r="F10" s="76">
        <f t="shared" si="1"/>
        <v>2040</v>
      </c>
      <c r="G10" s="76"/>
      <c r="H10" s="160">
        <v>19.957403771002866</v>
      </c>
      <c r="I10" s="78">
        <f t="shared" si="0"/>
        <v>0.3</v>
      </c>
      <c r="M10" s="46"/>
      <c r="P10" s="46"/>
      <c r="Q10" s="46"/>
    </row>
    <row r="11" spans="2:91">
      <c r="B11" s="70"/>
      <c r="C11" s="70"/>
      <c r="D11" s="70"/>
      <c r="E11" s="70"/>
      <c r="F11" s="71"/>
      <c r="G11" s="71"/>
      <c r="H11" s="152"/>
      <c r="I11" s="73"/>
      <c r="M11" s="46"/>
    </row>
    <row r="12" spans="2:91">
      <c r="B12" s="75"/>
      <c r="C12" s="75"/>
      <c r="D12" s="75"/>
      <c r="E12" s="75"/>
      <c r="F12" s="76"/>
      <c r="G12" s="76"/>
      <c r="H12" s="153"/>
      <c r="I12" s="78"/>
    </row>
    <row r="13" spans="2:91">
      <c r="B13" s="70"/>
      <c r="C13" s="70"/>
      <c r="D13" s="70"/>
      <c r="E13" s="70"/>
      <c r="F13" s="71"/>
      <c r="G13" s="71"/>
      <c r="H13" s="152"/>
      <c r="I13" s="73"/>
    </row>
    <row r="14" spans="2:91">
      <c r="B14" s="75"/>
      <c r="C14" s="75"/>
      <c r="D14" s="75"/>
      <c r="E14" s="75"/>
      <c r="F14" s="76"/>
      <c r="G14" s="76"/>
      <c r="H14" s="153"/>
      <c r="I14" s="78"/>
      <c r="N14" s="46">
        <v>2015</v>
      </c>
      <c r="O14" s="46">
        <v>2020</v>
      </c>
      <c r="P14" s="46">
        <v>2025</v>
      </c>
      <c r="Q14" s="46">
        <v>2030</v>
      </c>
      <c r="R14" s="46">
        <v>2035</v>
      </c>
      <c r="S14" s="46">
        <v>2040</v>
      </c>
    </row>
    <row r="15" spans="2:91">
      <c r="B15" s="70"/>
      <c r="C15" s="70"/>
      <c r="D15" s="70"/>
      <c r="E15" s="70"/>
      <c r="F15" s="71"/>
      <c r="G15" s="71"/>
      <c r="H15" s="152"/>
      <c r="I15" s="73"/>
      <c r="M15" s="98" t="s">
        <v>236</v>
      </c>
      <c r="N15">
        <f t="shared" ref="N15:S15" si="3">AB33</f>
        <v>16426.349681898144</v>
      </c>
      <c r="O15">
        <f t="shared" si="3"/>
        <v>18616.137306948622</v>
      </c>
      <c r="P15">
        <f t="shared" si="3"/>
        <v>17784.725449979884</v>
      </c>
      <c r="Q15">
        <f t="shared" si="3"/>
        <v>18619.691469103796</v>
      </c>
      <c r="R15">
        <f t="shared" si="3"/>
        <v>19313.145036635495</v>
      </c>
      <c r="S15">
        <f t="shared" si="3"/>
        <v>19957.403771002868</v>
      </c>
      <c r="AM15" s="46" t="s">
        <v>333</v>
      </c>
    </row>
    <row r="16" spans="2:91">
      <c r="B16" s="75"/>
      <c r="C16" s="75"/>
      <c r="D16" s="75"/>
      <c r="E16" s="75"/>
      <c r="F16" s="76"/>
      <c r="G16" s="76"/>
      <c r="H16" s="153"/>
      <c r="I16" s="78"/>
      <c r="AM16" t="s">
        <v>332</v>
      </c>
    </row>
    <row r="17" spans="2:33">
      <c r="B17" s="70"/>
      <c r="C17" s="70"/>
      <c r="D17" s="70"/>
      <c r="E17" s="70"/>
      <c r="F17" s="71"/>
      <c r="G17" s="71"/>
      <c r="H17" s="152"/>
      <c r="I17" s="73"/>
    </row>
    <row r="18" spans="2:33">
      <c r="B18" s="75"/>
      <c r="C18" s="75"/>
      <c r="D18" s="75"/>
      <c r="E18" s="75"/>
      <c r="F18" s="76"/>
      <c r="G18" s="76"/>
      <c r="H18" s="153"/>
      <c r="I18" s="78"/>
    </row>
    <row r="19" spans="2:33">
      <c r="B19" s="70"/>
      <c r="C19" s="70"/>
      <c r="D19" s="70"/>
      <c r="E19" s="70"/>
      <c r="F19" s="71"/>
      <c r="G19" s="71"/>
      <c r="H19" s="152"/>
      <c r="I19" s="73"/>
    </row>
    <row r="20" spans="2:33">
      <c r="B20" s="75"/>
      <c r="C20" s="75"/>
      <c r="D20" s="75"/>
      <c r="E20" s="75"/>
      <c r="F20" s="76"/>
      <c r="G20" s="76"/>
      <c r="H20" s="153"/>
      <c r="I20" s="78"/>
    </row>
    <row r="24" spans="2:33" ht="19.5">
      <c r="B24" s="178" t="s">
        <v>331</v>
      </c>
    </row>
    <row r="25" spans="2:33">
      <c r="B25" s="165" t="s">
        <v>322</v>
      </c>
    </row>
    <row r="26" spans="2:33">
      <c r="B26" t="s">
        <v>323</v>
      </c>
    </row>
    <row r="27" spans="2:33" ht="15.75">
      <c r="B27" s="167" t="s">
        <v>303</v>
      </c>
      <c r="C27" s="168">
        <v>2000</v>
      </c>
      <c r="D27" s="168">
        <v>2001</v>
      </c>
      <c r="E27" s="168">
        <v>2002</v>
      </c>
      <c r="F27" s="168">
        <v>2003</v>
      </c>
      <c r="G27" s="168">
        <v>2004</v>
      </c>
      <c r="H27" s="168">
        <v>2005</v>
      </c>
      <c r="I27" s="168">
        <v>2006</v>
      </c>
      <c r="J27" s="168">
        <v>2007</v>
      </c>
      <c r="K27" s="168">
        <v>2008</v>
      </c>
      <c r="L27" s="168">
        <v>2009</v>
      </c>
      <c r="M27" s="168">
        <v>2010</v>
      </c>
      <c r="N27" s="168">
        <v>2011</v>
      </c>
      <c r="O27" s="168">
        <v>2012</v>
      </c>
      <c r="P27" s="168">
        <v>2013</v>
      </c>
      <c r="Q27" s="168">
        <v>2014</v>
      </c>
      <c r="R27" s="168">
        <v>2015</v>
      </c>
      <c r="S27" s="168">
        <v>2016</v>
      </c>
      <c r="T27" s="168">
        <v>2017</v>
      </c>
      <c r="U27" s="168">
        <v>2018</v>
      </c>
      <c r="V27" s="168">
        <v>2019</v>
      </c>
      <c r="W27" s="168">
        <v>2020</v>
      </c>
      <c r="X27" s="168">
        <v>2021</v>
      </c>
      <c r="Y27" s="168">
        <v>2022</v>
      </c>
      <c r="Z27" s="168">
        <v>2023</v>
      </c>
      <c r="AB27" s="93">
        <v>2015</v>
      </c>
      <c r="AC27" s="93">
        <v>2020</v>
      </c>
      <c r="AD27" s="93">
        <v>2025</v>
      </c>
      <c r="AE27" s="93">
        <v>2030</v>
      </c>
      <c r="AF27" s="93">
        <v>2035</v>
      </c>
      <c r="AG27" s="93">
        <v>2040</v>
      </c>
    </row>
    <row r="28" spans="2:33">
      <c r="B28" s="169" t="s">
        <v>328</v>
      </c>
      <c r="C28">
        <v>10151117.941301621</v>
      </c>
      <c r="D28">
        <v>10754292.065357219</v>
      </c>
      <c r="E28">
        <v>10652182.203734253</v>
      </c>
      <c r="F28">
        <v>11474760.293728422</v>
      </c>
      <c r="G28">
        <v>12186368.951185182</v>
      </c>
      <c r="H28">
        <v>12018208.196585786</v>
      </c>
      <c r="I28">
        <v>12142617.22964914</v>
      </c>
      <c r="J28">
        <v>12084027.061979005</v>
      </c>
      <c r="K28">
        <v>13293257.584368082</v>
      </c>
      <c r="L28">
        <v>13931260.681956429</v>
      </c>
      <c r="M28">
        <v>15383334.11628652</v>
      </c>
      <c r="N28">
        <v>15358390.433396041</v>
      </c>
      <c r="O28">
        <v>16097670.349917464</v>
      </c>
      <c r="P28">
        <v>16648387.445014581</v>
      </c>
      <c r="Q28">
        <v>15220323.297333252</v>
      </c>
      <c r="R28">
        <v>16224642.267282605</v>
      </c>
      <c r="S28">
        <v>17146234.132676359</v>
      </c>
      <c r="T28">
        <v>17794098.440277241</v>
      </c>
      <c r="U28">
        <v>16830000.543246169</v>
      </c>
      <c r="V28">
        <v>16947872.14321126</v>
      </c>
      <c r="W28">
        <v>17288764.689508531</v>
      </c>
      <c r="X28">
        <v>18905305.637447573</v>
      </c>
      <c r="Y28">
        <v>16994845.747082859</v>
      </c>
      <c r="Z28">
        <v>16653686.658511698</v>
      </c>
    </row>
    <row r="29" spans="2:33">
      <c r="B29" s="171" t="s">
        <v>268</v>
      </c>
      <c r="C29" s="171">
        <f>C28/10^3</f>
        <v>10151.117941301622</v>
      </c>
      <c r="D29" s="171">
        <f t="shared" ref="D29:Z29" si="4">D28/10^3</f>
        <v>10754.29206535722</v>
      </c>
      <c r="E29" s="171">
        <f t="shared" si="4"/>
        <v>10652.182203734252</v>
      </c>
      <c r="F29" s="171">
        <f t="shared" si="4"/>
        <v>11474.760293728423</v>
      </c>
      <c r="G29" s="171">
        <f t="shared" si="4"/>
        <v>12186.368951185183</v>
      </c>
      <c r="H29" s="171">
        <f t="shared" si="4"/>
        <v>12018.208196585785</v>
      </c>
      <c r="I29" s="171">
        <f t="shared" si="4"/>
        <v>12142.61722964914</v>
      </c>
      <c r="J29" s="171">
        <f t="shared" si="4"/>
        <v>12084.027061979004</v>
      </c>
      <c r="K29" s="171">
        <f t="shared" si="4"/>
        <v>13293.257584368082</v>
      </c>
      <c r="L29" s="171">
        <f t="shared" si="4"/>
        <v>13931.26068195643</v>
      </c>
      <c r="M29" s="171">
        <f t="shared" si="4"/>
        <v>15383.33411628652</v>
      </c>
      <c r="N29" s="171">
        <f t="shared" si="4"/>
        <v>15358.390433396042</v>
      </c>
      <c r="O29" s="171">
        <f t="shared" si="4"/>
        <v>16097.670349917464</v>
      </c>
      <c r="P29" s="171">
        <f t="shared" si="4"/>
        <v>16648.387445014581</v>
      </c>
      <c r="Q29" s="171">
        <f t="shared" si="4"/>
        <v>15220.323297333252</v>
      </c>
      <c r="R29" s="171">
        <f t="shared" si="4"/>
        <v>16224.642267282605</v>
      </c>
      <c r="S29" s="171">
        <f t="shared" si="4"/>
        <v>17146.23413267636</v>
      </c>
      <c r="T29" s="171">
        <f t="shared" si="4"/>
        <v>17794.098440277241</v>
      </c>
      <c r="U29" s="171">
        <f t="shared" si="4"/>
        <v>16830.000543246169</v>
      </c>
      <c r="V29" s="171">
        <f t="shared" si="4"/>
        <v>16947.872143211262</v>
      </c>
      <c r="W29" s="171">
        <f t="shared" si="4"/>
        <v>17288.764689508531</v>
      </c>
      <c r="X29" s="171">
        <f t="shared" si="4"/>
        <v>18905.305637447575</v>
      </c>
      <c r="Y29" s="171">
        <f t="shared" si="4"/>
        <v>16994.845747082858</v>
      </c>
      <c r="Z29" s="171">
        <f t="shared" si="4"/>
        <v>16653.686658511699</v>
      </c>
    </row>
    <row r="33" spans="2:39">
      <c r="B33" t="s">
        <v>228</v>
      </c>
      <c r="C33">
        <f>C29</f>
        <v>10151.117941301622</v>
      </c>
      <c r="D33">
        <f>D29</f>
        <v>10754.29206535722</v>
      </c>
      <c r="E33">
        <f t="shared" ref="E33:O33" si="5">E29</f>
        <v>10652.182203734252</v>
      </c>
      <c r="F33">
        <f t="shared" si="5"/>
        <v>11474.760293728423</v>
      </c>
      <c r="G33">
        <f t="shared" si="5"/>
        <v>12186.368951185183</v>
      </c>
      <c r="H33">
        <f t="shared" si="5"/>
        <v>12018.208196585785</v>
      </c>
      <c r="I33">
        <f t="shared" si="5"/>
        <v>12142.61722964914</v>
      </c>
      <c r="J33">
        <f t="shared" si="5"/>
        <v>12084.027061979004</v>
      </c>
      <c r="K33">
        <f t="shared" si="5"/>
        <v>13293.257584368082</v>
      </c>
      <c r="L33">
        <f t="shared" si="5"/>
        <v>13931.26068195643</v>
      </c>
      <c r="M33">
        <f t="shared" si="5"/>
        <v>15383.33411628652</v>
      </c>
      <c r="N33">
        <f t="shared" si="5"/>
        <v>15358.390433396042</v>
      </c>
      <c r="O33">
        <f t="shared" si="5"/>
        <v>16097.670349917464</v>
      </c>
      <c r="P33">
        <f t="shared" ref="P33:Z33" si="6">P29</f>
        <v>16648.387445014581</v>
      </c>
      <c r="Q33">
        <f t="shared" si="6"/>
        <v>15220.323297333252</v>
      </c>
      <c r="R33">
        <f t="shared" si="6"/>
        <v>16224.642267282605</v>
      </c>
      <c r="S33">
        <f t="shared" si="6"/>
        <v>17146.23413267636</v>
      </c>
      <c r="T33">
        <f t="shared" si="6"/>
        <v>17794.098440277241</v>
      </c>
      <c r="U33">
        <f t="shared" si="6"/>
        <v>16830.000543246169</v>
      </c>
      <c r="V33">
        <f t="shared" si="6"/>
        <v>16947.872143211262</v>
      </c>
      <c r="W33">
        <f t="shared" si="6"/>
        <v>17288.764689508531</v>
      </c>
      <c r="X33">
        <f t="shared" si="6"/>
        <v>18905.305637447575</v>
      </c>
      <c r="Y33">
        <f t="shared" si="6"/>
        <v>16994.845747082858</v>
      </c>
      <c r="Z33">
        <f t="shared" si="6"/>
        <v>16653.686658511699</v>
      </c>
      <c r="AB33" s="142">
        <f>AB35*AB37* AB34 / AVERAGE($C$34:$Z$34)</f>
        <v>16426.349681898144</v>
      </c>
      <c r="AC33" s="142">
        <f>AC35*AC37* AC34 / AVERAGE($C$34:$N$34)</f>
        <v>18616.137306948622</v>
      </c>
      <c r="AD33" s="142">
        <f>AD35*AD37* AD34 / AVERAGE($C$34:$N$34)</f>
        <v>17784.725449979884</v>
      </c>
      <c r="AE33" s="142">
        <f>AE35*AE37* AE34 / AVERAGE($C$34:$N$34)</f>
        <v>18619.691469103796</v>
      </c>
      <c r="AF33" s="142">
        <f t="shared" ref="AF33" si="7">AF35*AF37* AF34 / AVERAGE($C$34:$N$34)</f>
        <v>19313.145036635495</v>
      </c>
      <c r="AG33" s="142">
        <f>AG35*AG37* AG34 / AVERAGE($C$34:$N$34)</f>
        <v>19957.403771002868</v>
      </c>
    </row>
    <row r="34" spans="2:39">
      <c r="B34" s="59" t="s">
        <v>163</v>
      </c>
      <c r="C34" s="64">
        <f>HLOOKUP(C$27,   HDD!$A$25:$AG$55, MATCH($B$2,HDD!$A$25:$A$55,0), FALSE)</f>
        <v>3408.97</v>
      </c>
      <c r="D34" s="64">
        <f>HLOOKUP(D$27,   HDD!$A$25:$AG$55, MATCH($B$2,HDD!$A$25:$A$55,0), FALSE)</f>
        <v>3747.09</v>
      </c>
      <c r="E34" s="64">
        <f>HLOOKUP(E$27,   HDD!$A$25:$AG$55, MATCH($B$2,HDD!$A$25:$A$55,0), FALSE)</f>
        <v>3480.79</v>
      </c>
      <c r="F34" s="64">
        <f>HLOOKUP(F$27,   HDD!$A$25:$AG$55, MATCH($B$2,HDD!$A$25:$A$55,0), FALSE)</f>
        <v>3703.61</v>
      </c>
      <c r="G34" s="64">
        <f>HLOOKUP(G$27,   HDD!$A$25:$AG$55, MATCH($B$2,HDD!$A$25:$A$55,0), FALSE)</f>
        <v>3737.74</v>
      </c>
      <c r="H34" s="64">
        <f>HLOOKUP(H$27,   HDD!$A$25:$AG$55, MATCH($B$2,HDD!$A$25:$A$55,0), FALSE)</f>
        <v>3853.61</v>
      </c>
      <c r="I34" s="64">
        <f>HLOOKUP(I$27,   HDD!$A$25:$AG$55, MATCH($B$2,HDD!$A$25:$A$55,0), FALSE)</f>
        <v>3649.35</v>
      </c>
      <c r="J34" s="64">
        <f>HLOOKUP(J$27,   HDD!$A$25:$AG$55, MATCH($B$2,HDD!$A$25:$A$55,0), FALSE)</f>
        <v>3363.28</v>
      </c>
      <c r="K34" s="64">
        <f>HLOOKUP(K$27,   HDD!$A$25:$AG$55, MATCH($B$2,HDD!$A$25:$A$55,0), FALSE)</f>
        <v>3444.43</v>
      </c>
      <c r="L34" s="64">
        <f>HLOOKUP(L$27,   HDD!$A$25:$AG$55, MATCH($B$2,HDD!$A$25:$A$55,0), FALSE)</f>
        <v>3504.84</v>
      </c>
      <c r="M34" s="64">
        <f>HLOOKUP(M$27,   HDD!$A$25:$AG$55, MATCH($B$2,HDD!$A$25:$A$55,0), FALSE)</f>
        <v>3905.88</v>
      </c>
      <c r="N34" s="64">
        <f>HLOOKUP(N$27,   HDD!$A$25:$AG$55, MATCH($B$2,HDD!$A$25:$A$55,0), FALSE)</f>
        <v>3409.28</v>
      </c>
      <c r="O34" s="64">
        <f>HLOOKUP(O$27,   HDD!$A$25:$AG$55, MATCH($B$2,HDD!$A$25:$A$55,0), FALSE)</f>
        <v>3552.85</v>
      </c>
      <c r="P34" s="64">
        <f>HLOOKUP(P$27,   HDD!$A$25:$AG$55, MATCH($B$2,HDD!$A$25:$A$55,0), FALSE)</f>
        <v>3635.43</v>
      </c>
      <c r="Q34" s="64">
        <f>HLOOKUP(Q$27,   HDD!$A$25:$AG$55, MATCH($B$2,HDD!$A$25:$A$55,0), FALSE)</f>
        <v>3126.98</v>
      </c>
      <c r="R34" s="64">
        <f>HLOOKUP(R$27,   HDD!$A$25:$AG$55, MATCH($B$2,HDD!$A$25:$A$55,0), FALSE)</f>
        <v>3316.42</v>
      </c>
      <c r="S34" s="64">
        <f>HLOOKUP(S$27,   HDD!$A$25:$AG$55, MATCH($B$2,HDD!$A$25:$A$55,0), FALSE)</f>
        <v>3419.3</v>
      </c>
      <c r="T34" s="64">
        <f>HLOOKUP(T$27,   HDD!$A$25:$AG$55, MATCH($B$2,HDD!$A$25:$A$55,0), FALSE)</f>
        <v>3498.07</v>
      </c>
      <c r="U34" s="64">
        <f>HLOOKUP(U$27,   HDD!$A$25:$AG$55, MATCH($B$2,HDD!$A$25:$A$55,0), FALSE)</f>
        <v>3193.65</v>
      </c>
      <c r="V34" s="64">
        <f>HLOOKUP(V$27,   HDD!$A$25:$AG$55, MATCH($B$2,HDD!$A$25:$A$55,0), FALSE)</f>
        <v>3279.5</v>
      </c>
      <c r="W34" s="64">
        <f>HLOOKUP(W$27,   HDD!$A$25:$AG$55, MATCH($B$2,HDD!$A$25:$A$55,0), FALSE)</f>
        <v>3322.37</v>
      </c>
      <c r="X34" s="64">
        <f>HLOOKUP(X$27,   HDD!$A$25:$AG$55, MATCH($B$2,HDD!$A$25:$A$55,0), FALSE)</f>
        <v>3633.44</v>
      </c>
      <c r="Y34" s="64">
        <f>HLOOKUP(Y$27,   HDD!$A$25:$AG$55, MATCH($B$2,HDD!$A$25:$A$55,0), FALSE)</f>
        <v>3228.81</v>
      </c>
      <c r="Z34" s="64">
        <f>HLOOKUP(Z$27,   HDD!$A$25:$AG$55, MATCH($B$2,HDD!$A$25:$A$55,0), FALSE)</f>
        <v>3147.64</v>
      </c>
      <c r="AB34" s="64">
        <f>HLOOKUP(AB$27,   HDD!$AA$25:$AG$55, MATCH($B$2,HDD!$A$25:$A$55,0), FALSE)</f>
        <v>3420.1120884057964</v>
      </c>
      <c r="AC34" s="64">
        <f>HLOOKUP(AC$27,   HDD!$AA$25:$AG$55, MATCH($B$2,HDD!$A$25:$A$55,0), FALSE)</f>
        <v>3331.9787623188386</v>
      </c>
      <c r="AD34" s="64">
        <f>HLOOKUP(AD$27,   HDD!$AA$25:$AG$55, MATCH($B$2,HDD!$A$25:$A$55,0), FALSE)</f>
        <v>3243.8454362318807</v>
      </c>
      <c r="AE34" s="64">
        <f>HLOOKUP(AE$27,   HDD!$AA$25:$AG$55, MATCH($B$2,HDD!$A$25:$A$55,0), FALSE)</f>
        <v>3155.7121101449229</v>
      </c>
      <c r="AF34" s="64">
        <f>HLOOKUP(AF$27,   HDD!$AA$25:$AG$55, MATCH($B$2,HDD!$A$25:$A$55,0), FALSE)</f>
        <v>3067.5787840579651</v>
      </c>
      <c r="AG34" s="64">
        <f>HLOOKUP(AG$27,   HDD!$AA$25:$AG$55, MATCH($B$2,HDD!$A$25:$A$55,0), FALSE)</f>
        <v>2979.4454579710145</v>
      </c>
    </row>
    <row r="35" spans="2:39">
      <c r="B35" s="59" t="s">
        <v>232</v>
      </c>
      <c r="C35" s="64">
        <f>HLOOKUP(C$27,   POP!$A$27:$AC$63, MATCH($B$2, POP!$A$27:$A$63,0), FALSE)</f>
        <v>8011566</v>
      </c>
      <c r="D35" s="64">
        <f>HLOOKUP(D$27,   POP!$A$27:$AC$63, MATCH($B$2, POP!$A$27:$A$63,0), FALSE)</f>
        <v>8042293</v>
      </c>
      <c r="E35" s="64">
        <f>HLOOKUP(E$27,   POP!$A$27:$AC$63, MATCH($B$2, POP!$A$27:$A$63,0), FALSE)</f>
        <v>8081957</v>
      </c>
      <c r="F35" s="64">
        <f>HLOOKUP(F$27,   POP!$A$27:$AC$63, MATCH($B$2, POP!$A$27:$A$63,0), FALSE)</f>
        <v>8121423</v>
      </c>
      <c r="G35" s="64">
        <f>HLOOKUP(G$27,   POP!$A$27:$AC$63, MATCH($B$2, POP!$A$27:$A$63,0), FALSE)</f>
        <v>8171966</v>
      </c>
      <c r="H35" s="64">
        <f>HLOOKUP(H$27,   POP!$A$27:$AC$63, MATCH($B$2, POP!$A$27:$A$63,0), FALSE)</f>
        <v>8227829</v>
      </c>
      <c r="I35" s="64">
        <f>HLOOKUP(I$27,   POP!$A$27:$AC$63, MATCH($B$2, POP!$A$27:$A$63,0), FALSE)</f>
        <v>8268641</v>
      </c>
      <c r="J35" s="64">
        <f>HLOOKUP(J$27,   POP!$A$27:$AC$63, MATCH($B$2, POP!$A$27:$A$63,0), FALSE)</f>
        <v>8295487</v>
      </c>
      <c r="K35" s="64">
        <f>HLOOKUP(K$27,   POP!$A$27:$AC$63, MATCH($B$2, POP!$A$27:$A$63,0), FALSE)</f>
        <v>8321496</v>
      </c>
      <c r="L35" s="64">
        <f>HLOOKUP(L$27,   POP!$A$27:$AC$63, MATCH($B$2, POP!$A$27:$A$63,0), FALSE)</f>
        <v>8343323</v>
      </c>
      <c r="M35" s="64">
        <f>HLOOKUP(M$27,   POP!$A$27:$AC$63, MATCH($B$2, POP!$A$27:$A$63,0), FALSE)</f>
        <v>8363404</v>
      </c>
      <c r="N35" s="64">
        <f>HLOOKUP(N$27,   POP!$A$27:$AC$63, MATCH($B$2, POP!$A$27:$A$63,0), FALSE)</f>
        <v>8391643</v>
      </c>
      <c r="O35" s="64">
        <f>HLOOKUP(O$27,   POP!$A$27:$AC$63, MATCH($B$2, POP!$A$27:$A$63,0), FALSE)</f>
        <v>8429991</v>
      </c>
      <c r="P35" s="64">
        <f>HLOOKUP(P$27,   POP!$A$27:$AC$63, MATCH($B$2, POP!$A$27:$A$63,0), FALSE)</f>
        <v>8479823</v>
      </c>
      <c r="Q35" s="64">
        <f>HLOOKUP(Q$27,   POP!$A$27:$AC$63, MATCH($B$2, POP!$A$27:$A$63,0), FALSE)</f>
        <v>8546356</v>
      </c>
      <c r="R35" s="64">
        <f>HLOOKUP(R$27,   POP!$A$27:$AC$63, MATCH($B$2, POP!$A$27:$A$63,0), FALSE)</f>
        <v>8642699</v>
      </c>
      <c r="S35" s="64">
        <f>HLOOKUP(S$27,   POP!$A$27:$AC$63, MATCH($B$2, POP!$A$27:$A$63,0), FALSE)</f>
        <v>8736668</v>
      </c>
      <c r="T35" s="64">
        <f>HLOOKUP(T$27,   POP!$A$27:$AC$63, MATCH($B$2, POP!$A$27:$A$63,0), FALSE)</f>
        <v>8797566</v>
      </c>
      <c r="U35" s="64">
        <f>HLOOKUP(U$27,   POP!$A$27:$AC$63, MATCH($B$2, POP!$A$27:$A$63,0), FALSE)</f>
        <v>8840521</v>
      </c>
      <c r="V35" s="64">
        <f>HLOOKUP(V$27,   POP!$A$27:$AC$63, MATCH($B$2, POP!$A$27:$A$63,0), FALSE)</f>
        <v>8879920</v>
      </c>
      <c r="W35" s="64">
        <f>HLOOKUP(W$27,   POP!$A$27:$AC$63, MATCH($B$2, POP!$A$27:$A$63,0), FALSE)</f>
        <v>8916864</v>
      </c>
      <c r="X35" s="64">
        <f>HLOOKUP(X$27,   POP!$A$27:$AC$63, MATCH($B$2, POP!$A$27:$A$63,0), FALSE)</f>
        <v>8955797</v>
      </c>
      <c r="Y35" s="64">
        <f>HLOOKUP(Y$27,   POP!$A$27:$AC$63, MATCH($B$2, POP!$A$27:$A$63,0), FALSE)</f>
        <v>9041851</v>
      </c>
      <c r="Z35" s="64">
        <f>HLOOKUP(Z$27,   POP!$A$27:$AC$63, MATCH($B$2, POP!$A$27:$A$63,0), FALSE)</f>
        <v>9131761</v>
      </c>
      <c r="AB35" s="64">
        <f>HLOOKUP(AB$27,   POP!$A$27:$AE$63, MATCH($B$2, POP!$A$27:$A$63,0), FALSE)</f>
        <v>8642699</v>
      </c>
      <c r="AC35" s="64">
        <f>HLOOKUP(AC$27,   POP!$A$27:$AE$63, MATCH($B$2, POP!$A$27:$A$63,0), FALSE)</f>
        <v>8916864</v>
      </c>
      <c r="AD35" s="64">
        <f>HLOOKUP(AD$27,   POP!$A$27:$AE$63, MATCH($B$2, POP!$A$27:$A$63,0), FALSE)</f>
        <v>9165636.219047606</v>
      </c>
      <c r="AE35" s="64">
        <f>HLOOKUP(AE$27,   POP!$A$27:$AE$63, MATCH($B$2, POP!$A$27:$A$63,0), FALSE)</f>
        <v>9311185.308333315</v>
      </c>
      <c r="AF35" s="64">
        <f>HLOOKUP(AF$27,   POP!$A$27:$AE$63, MATCH($B$2, POP!$A$27:$A$63,0), FALSE)</f>
        <v>9408218.0345237926</v>
      </c>
      <c r="AG35" s="64">
        <f>HLOOKUP(AG$27,   POP!$A$27:$AE$63, MATCH($B$2, POP!$A$27:$A$63,0), FALSE)</f>
        <v>9505250.7607142702</v>
      </c>
    </row>
    <row r="36" spans="2:39">
      <c r="B36" s="59" t="s">
        <v>164</v>
      </c>
      <c r="C36" s="64">
        <f>C33/C34*AVERAGE($C$34:$K$34)</f>
        <v>10716.27824225453</v>
      </c>
      <c r="D36" s="64">
        <f t="shared" ref="D36:O36" si="8">D33/D34*AVERAGE($C$34:$K$34)</f>
        <v>10328.588841144772</v>
      </c>
      <c r="E36" s="64">
        <f t="shared" si="8"/>
        <v>11013.213303527269</v>
      </c>
      <c r="F36" s="64">
        <f t="shared" si="8"/>
        <v>11149.91767595915</v>
      </c>
      <c r="G36" s="64">
        <f t="shared" si="8"/>
        <v>11733.255322199249</v>
      </c>
      <c r="H36" s="64">
        <f t="shared" si="8"/>
        <v>11223.42089371759</v>
      </c>
      <c r="I36" s="64">
        <f t="shared" si="8"/>
        <v>11974.298342653596</v>
      </c>
      <c r="J36" s="64">
        <f t="shared" si="8"/>
        <v>12930.102016382152</v>
      </c>
      <c r="K36" s="64">
        <f t="shared" si="8"/>
        <v>13888.883784887221</v>
      </c>
      <c r="L36" s="64">
        <f t="shared" si="8"/>
        <v>14304.593113903378</v>
      </c>
      <c r="M36" s="64">
        <f t="shared" si="8"/>
        <v>14173.753100993286</v>
      </c>
      <c r="N36" s="64">
        <f t="shared" si="8"/>
        <v>16211.989731181688</v>
      </c>
      <c r="O36" s="64">
        <f t="shared" si="8"/>
        <v>16305.699876822871</v>
      </c>
      <c r="P36" s="64">
        <f t="shared" ref="P36:Z36" si="9">P33/P34*AVERAGE($C$34:$K$34)</f>
        <v>16480.473092934117</v>
      </c>
      <c r="Q36" s="64">
        <f t="shared" si="9"/>
        <v>17516.690674043966</v>
      </c>
      <c r="R36" s="64">
        <f t="shared" si="9"/>
        <v>17605.926778859983</v>
      </c>
      <c r="S36" s="64">
        <f t="shared" si="9"/>
        <v>18046.161115264571</v>
      </c>
      <c r="T36" s="64">
        <f t="shared" si="9"/>
        <v>18306.308626354985</v>
      </c>
      <c r="U36" s="64">
        <f t="shared" si="9"/>
        <v>18964.879950844454</v>
      </c>
      <c r="V36" s="64">
        <f t="shared" si="9"/>
        <v>18597.76821070593</v>
      </c>
      <c r="W36" s="64">
        <f t="shared" si="9"/>
        <v>18727.044983921522</v>
      </c>
      <c r="X36" s="64">
        <f t="shared" si="9"/>
        <v>18724.878003629146</v>
      </c>
      <c r="Y36" s="64">
        <f t="shared" si="9"/>
        <v>18942.095611156346</v>
      </c>
      <c r="Z36" s="64">
        <f t="shared" si="9"/>
        <v>19040.511910979152</v>
      </c>
    </row>
    <row r="37" spans="2:39">
      <c r="B37" s="59" t="s">
        <v>235</v>
      </c>
      <c r="C37">
        <f>C36/(C35)</f>
        <v>1.3376009437174366E-3</v>
      </c>
      <c r="D37">
        <f t="shared" ref="D37:N37" si="10">D36/(D35)</f>
        <v>1.2842840768353967E-3</v>
      </c>
      <c r="E37">
        <f t="shared" si="10"/>
        <v>1.3626914005515334E-3</v>
      </c>
      <c r="F37">
        <f t="shared" si="10"/>
        <v>1.3729019749321209E-3</v>
      </c>
      <c r="G37">
        <f t="shared" si="10"/>
        <v>1.4357934580490484E-3</v>
      </c>
      <c r="H37">
        <f t="shared" si="10"/>
        <v>1.3640804753863491E-3</v>
      </c>
      <c r="I37">
        <f t="shared" si="10"/>
        <v>1.4481579672709936E-3</v>
      </c>
      <c r="J37">
        <f t="shared" si="10"/>
        <v>1.5586911312599431E-3</v>
      </c>
      <c r="K37">
        <f>K36/(K35)</f>
        <v>1.6690368877047134E-3</v>
      </c>
      <c r="L37">
        <f>L36/(L35)</f>
        <v>1.7144959045578576E-3</v>
      </c>
      <c r="M37">
        <f t="shared" si="10"/>
        <v>1.6947349549290322E-3</v>
      </c>
      <c r="N37">
        <f t="shared" si="10"/>
        <v>1.9319208087357491E-3</v>
      </c>
      <c r="O37">
        <f>O36/(O35)</f>
        <v>1.9342487882635783E-3</v>
      </c>
      <c r="P37">
        <f t="shared" ref="P37:Z37" si="11">P36/(P35)</f>
        <v>1.9434925815001228E-3</v>
      </c>
      <c r="Q37">
        <f t="shared" si="11"/>
        <v>2.0496092924334026E-3</v>
      </c>
      <c r="R37">
        <f t="shared" si="11"/>
        <v>2.0370866530073513E-3</v>
      </c>
      <c r="S37">
        <f t="shared" si="11"/>
        <v>2.0655656269947045E-3</v>
      </c>
      <c r="T37">
        <f t="shared" si="11"/>
        <v>2.0808378847461885E-3</v>
      </c>
      <c r="U37">
        <f t="shared" si="11"/>
        <v>2.1452219785286922E-3</v>
      </c>
      <c r="V37">
        <f t="shared" si="11"/>
        <v>2.0943621350987319E-3</v>
      </c>
      <c r="W37">
        <f t="shared" si="11"/>
        <v>2.1001828651778832E-3</v>
      </c>
      <c r="X37">
        <f t="shared" si="11"/>
        <v>2.0908109019922121E-3</v>
      </c>
      <c r="Y37">
        <f t="shared" si="11"/>
        <v>2.0949356067863035E-3</v>
      </c>
      <c r="Z37">
        <f t="shared" si="11"/>
        <v>2.085086535990063E-3</v>
      </c>
      <c r="AB37" s="158" cm="1">
        <f t="array" ref="AB37">TREND($C$37:$Z$37,$C$27:$Z$27,AB$27)</f>
        <v>1.9348880071019259E-3</v>
      </c>
      <c r="AC37" s="158">
        <f t="array" ref="AC37">TREND($C$37:$N$37,$C$27:$N$27,AC$27)</f>
        <v>2.2561442777213198E-3</v>
      </c>
      <c r="AD37" s="96">
        <f t="array" ref="AD37">(TREND($C$37:$N$37,$C$27:$N$27,AD$27)-TREND($C$37:$N$37,$C$27:$N$27,$N$27))/2+TREND($C$37:$N$37,$C$27:$N$27,$N$27)</f>
        <v>2.1538529978509177E-3</v>
      </c>
      <c r="AE37" s="96">
        <f t="array" ref="AE37">(TREND($C$37:$N$37,$C$27:$N$27,AE$27)-TREND($C$37:$N$37,$C$27:$N$27,$N$27))/2+TREND($C$37:$N$37,$C$27:$N$27,$N$27)</f>
        <v>2.2817170976889289E-3</v>
      </c>
      <c r="AF37" s="96">
        <f t="array" ref="AF37">(TREND($C$37:$N$37,$C$27:$N$27,AF$27)-TREND($C$37:$N$37,$C$27:$N$27,$N$27))/2+TREND($C$37:$N$37,$C$27:$N$27,$N$27)</f>
        <v>2.4095811975269402E-3</v>
      </c>
      <c r="AG37" s="96">
        <f t="array" ref="AG37">(TREND($C$37:$N$37,$C$27:$N$27,AG$27)-TREND($C$37:$N$37,$C$27:$N$27,$N$27))/2+TREND($C$37:$N$37,$C$27:$N$27,$N$27)</f>
        <v>2.5374452973649583E-3</v>
      </c>
      <c r="AL37" t="s">
        <v>335</v>
      </c>
    </row>
    <row r="38" spans="2:39">
      <c r="AL38">
        <f>0.84*19.5</f>
        <v>16.38</v>
      </c>
      <c r="AM38" t="s">
        <v>334</v>
      </c>
    </row>
    <row r="47" spans="2:39" ht="14.25" customHeight="1"/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306DF-C588-482D-96BB-D87DF1A364DB}">
  <dimension ref="A1:O68"/>
  <sheetViews>
    <sheetView workbookViewId="0">
      <pane xSplit="2" ySplit="14" topLeftCell="C41" activePane="bottomRight" state="frozen"/>
      <selection pane="topRight"/>
      <selection pane="bottomLeft"/>
      <selection pane="bottomRight" activeCell="J54" sqref="J54"/>
    </sheetView>
  </sheetViews>
  <sheetFormatPr defaultRowHeight="11.45" customHeight="1"/>
  <cols>
    <col min="1" max="1" width="29.85546875" customWidth="1"/>
    <col min="2" max="2" width="17" customWidth="1"/>
    <col min="3" max="6" width="12.28515625" customWidth="1"/>
  </cols>
  <sheetData>
    <row r="1" spans="1:15" ht="11.25" customHeight="1">
      <c r="A1" s="12" t="s">
        <v>40</v>
      </c>
    </row>
    <row r="2" spans="1:15" ht="11.25" customHeight="1">
      <c r="A2" s="11" t="s">
        <v>46</v>
      </c>
      <c r="B2" s="11" t="s">
        <v>45</v>
      </c>
    </row>
    <row r="3" spans="1:15" ht="11.25" customHeight="1">
      <c r="A3" s="10" t="s">
        <v>44</v>
      </c>
      <c r="B3" s="192" t="s">
        <v>43</v>
      </c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</row>
    <row r="4" spans="1:15" ht="11.25" customHeight="1">
      <c r="A4" s="8" t="s">
        <v>42</v>
      </c>
    </row>
    <row r="5" spans="1:15" ht="11.25" customHeight="1">
      <c r="A5" s="8" t="s">
        <v>41</v>
      </c>
      <c r="B5" s="9" t="s">
        <v>40</v>
      </c>
    </row>
    <row r="6" spans="1:15" ht="11.25" customHeight="1">
      <c r="A6" s="8" t="s">
        <v>39</v>
      </c>
      <c r="B6" s="8" t="s">
        <v>38</v>
      </c>
    </row>
    <row r="7" spans="1:15" ht="11.25" customHeight="1"/>
    <row r="8" spans="1:15" ht="11.25" customHeight="1">
      <c r="A8" s="9" t="s">
        <v>37</v>
      </c>
      <c r="C8" s="8" t="s">
        <v>36</v>
      </c>
    </row>
    <row r="9" spans="1:15" ht="11.25" customHeight="1">
      <c r="A9" s="9" t="s">
        <v>35</v>
      </c>
      <c r="C9" s="8" t="s">
        <v>34</v>
      </c>
    </row>
    <row r="10" spans="1:15" ht="11.25" customHeight="1">
      <c r="A10" s="9" t="s">
        <v>33</v>
      </c>
      <c r="C10" s="8" t="s">
        <v>32</v>
      </c>
    </row>
    <row r="11" spans="1:15" ht="11.25" customHeight="1">
      <c r="A11" s="9" t="s">
        <v>31</v>
      </c>
      <c r="C11" s="8" t="s">
        <v>30</v>
      </c>
    </row>
    <row r="12" spans="1:15" ht="11.25" customHeight="1"/>
    <row r="13" spans="1:15" ht="11.25" customHeight="1">
      <c r="A13" s="191" t="s">
        <v>29</v>
      </c>
      <c r="B13" s="191" t="s">
        <v>29</v>
      </c>
      <c r="C13" s="6" t="s">
        <v>28</v>
      </c>
      <c r="D13" s="6" t="s">
        <v>27</v>
      </c>
      <c r="E13" s="6" t="s">
        <v>26</v>
      </c>
      <c r="F13" s="6" t="s">
        <v>25</v>
      </c>
    </row>
    <row r="14" spans="1:15" ht="11.25" customHeight="1">
      <c r="A14" s="5" t="s">
        <v>24</v>
      </c>
      <c r="B14" s="5" t="s">
        <v>23</v>
      </c>
      <c r="C14" s="4" t="s">
        <v>22</v>
      </c>
      <c r="D14" s="4" t="s">
        <v>22</v>
      </c>
      <c r="E14" s="4" t="s">
        <v>22</v>
      </c>
      <c r="F14" s="4" t="s">
        <v>22</v>
      </c>
    </row>
    <row r="15" spans="1:15" ht="12" customHeight="1">
      <c r="A15" s="2" t="s">
        <v>18</v>
      </c>
      <c r="B15" s="2" t="s">
        <v>20</v>
      </c>
      <c r="C15" s="3" t="s">
        <v>21</v>
      </c>
      <c r="D15" s="3">
        <v>456211.60399999999</v>
      </c>
      <c r="E15" s="3" t="s">
        <v>21</v>
      </c>
      <c r="F15" s="3">
        <v>475078.37400000001</v>
      </c>
    </row>
    <row r="16" spans="1:15" ht="12" customHeight="1">
      <c r="A16" s="2" t="s">
        <v>18</v>
      </c>
      <c r="B16" s="2" t="s">
        <v>19</v>
      </c>
      <c r="C16" s="1" t="s">
        <v>21</v>
      </c>
      <c r="D16" s="1">
        <v>63627.512000000002</v>
      </c>
      <c r="E16" s="1" t="s">
        <v>21</v>
      </c>
      <c r="F16" s="1">
        <v>55280.548000000003</v>
      </c>
    </row>
    <row r="17" spans="1:6" ht="12" customHeight="1">
      <c r="A17" s="2" t="s">
        <v>17</v>
      </c>
      <c r="B17" s="2" t="s">
        <v>20</v>
      </c>
      <c r="C17" s="3" t="s">
        <v>21</v>
      </c>
      <c r="D17" s="3">
        <v>297850.158</v>
      </c>
      <c r="E17" s="3" t="s">
        <v>21</v>
      </c>
      <c r="F17" s="3">
        <v>315224.43599999999</v>
      </c>
    </row>
    <row r="18" spans="1:6" ht="12" customHeight="1">
      <c r="A18" s="2" t="s">
        <v>17</v>
      </c>
      <c r="B18" s="2" t="s">
        <v>19</v>
      </c>
      <c r="C18" s="1" t="s">
        <v>21</v>
      </c>
      <c r="D18" s="1">
        <v>41791.442000000003</v>
      </c>
      <c r="E18" s="1" t="s">
        <v>21</v>
      </c>
      <c r="F18" s="1">
        <v>38836.129000000001</v>
      </c>
    </row>
    <row r="19" spans="1:6" ht="12" customHeight="1">
      <c r="A19" s="2" t="s">
        <v>16</v>
      </c>
      <c r="B19" s="2" t="s">
        <v>20</v>
      </c>
      <c r="C19" s="3" t="s">
        <v>21</v>
      </c>
      <c r="D19" s="3">
        <v>2254.6529999999998</v>
      </c>
      <c r="E19" s="3" t="s">
        <v>21</v>
      </c>
      <c r="F19" s="3" t="s">
        <v>21</v>
      </c>
    </row>
    <row r="20" spans="1:6" ht="12" customHeight="1">
      <c r="A20" s="2" t="s">
        <v>16</v>
      </c>
      <c r="B20" s="2" t="s">
        <v>19</v>
      </c>
      <c r="C20" s="1" t="s">
        <v>21</v>
      </c>
      <c r="D20" s="1">
        <v>494.47300000000001</v>
      </c>
      <c r="E20" s="1" t="s">
        <v>21</v>
      </c>
      <c r="F20" s="1" t="s">
        <v>21</v>
      </c>
    </row>
    <row r="21" spans="1:6" ht="12" customHeight="1">
      <c r="A21" s="2" t="s">
        <v>15</v>
      </c>
      <c r="B21" s="2" t="s">
        <v>20</v>
      </c>
      <c r="C21" s="3">
        <v>15142</v>
      </c>
      <c r="D21" s="3">
        <v>15349</v>
      </c>
      <c r="E21" s="3">
        <v>17077</v>
      </c>
      <c r="F21" s="3">
        <v>16340</v>
      </c>
    </row>
    <row r="22" spans="1:6" ht="12" customHeight="1">
      <c r="A22" s="2" t="s">
        <v>15</v>
      </c>
      <c r="B22" s="2" t="s">
        <v>19</v>
      </c>
      <c r="C22" s="1">
        <v>4487</v>
      </c>
      <c r="D22" s="1">
        <v>4921</v>
      </c>
      <c r="E22" s="1">
        <v>4679</v>
      </c>
      <c r="F22" s="1">
        <v>4679</v>
      </c>
    </row>
    <row r="23" spans="1:6" ht="12" customHeight="1">
      <c r="A23" s="2" t="s">
        <v>14</v>
      </c>
      <c r="B23" s="2" t="s">
        <v>20</v>
      </c>
      <c r="C23" s="3">
        <v>124169.912</v>
      </c>
      <c r="D23" s="3">
        <v>119463.97900000001</v>
      </c>
      <c r="E23" s="3">
        <v>134113.65299999999</v>
      </c>
      <c r="F23" s="3">
        <v>125063.584</v>
      </c>
    </row>
    <row r="24" spans="1:6" ht="12" customHeight="1">
      <c r="A24" s="2" t="s">
        <v>14</v>
      </c>
      <c r="B24" s="2" t="s">
        <v>19</v>
      </c>
      <c r="C24" s="1">
        <v>5671.2079999999996</v>
      </c>
      <c r="D24" s="1">
        <v>7961.5739999999996</v>
      </c>
      <c r="E24" s="1">
        <v>6310.1490000000003</v>
      </c>
      <c r="F24" s="1">
        <v>3709.4490000000001</v>
      </c>
    </row>
    <row r="25" spans="1:6" ht="12" customHeight="1">
      <c r="A25" s="2" t="s">
        <v>13</v>
      </c>
      <c r="B25" s="2" t="s">
        <v>20</v>
      </c>
      <c r="C25" s="3">
        <v>14114</v>
      </c>
      <c r="D25" s="3">
        <v>12020</v>
      </c>
      <c r="E25" s="3">
        <v>16059</v>
      </c>
      <c r="F25" s="3">
        <v>15078</v>
      </c>
    </row>
    <row r="26" spans="1:6" ht="12" customHeight="1">
      <c r="A26" s="2" t="s">
        <v>13</v>
      </c>
      <c r="B26" s="2" t="s">
        <v>19</v>
      </c>
      <c r="C26" s="1" t="s">
        <v>21</v>
      </c>
      <c r="D26" s="1" t="s">
        <v>21</v>
      </c>
      <c r="E26" s="1" t="s">
        <v>21</v>
      </c>
      <c r="F26" s="1" t="s">
        <v>21</v>
      </c>
    </row>
    <row r="27" spans="1:6" ht="12" customHeight="1">
      <c r="A27" s="2" t="s">
        <v>12</v>
      </c>
      <c r="B27" s="2" t="s">
        <v>20</v>
      </c>
      <c r="C27" s="3">
        <v>1779.2</v>
      </c>
      <c r="D27" s="3">
        <v>1816.951</v>
      </c>
      <c r="E27" s="3">
        <v>1688.4690000000001</v>
      </c>
      <c r="F27" s="3">
        <v>1294.924</v>
      </c>
    </row>
    <row r="28" spans="1:6" ht="12" customHeight="1">
      <c r="A28" s="2" t="s">
        <v>12</v>
      </c>
      <c r="B28" s="2" t="s">
        <v>19</v>
      </c>
      <c r="C28" s="1" t="s">
        <v>21</v>
      </c>
      <c r="D28" s="1" t="s">
        <v>21</v>
      </c>
      <c r="E28" s="1">
        <v>272</v>
      </c>
      <c r="F28" s="1">
        <v>891.8</v>
      </c>
    </row>
    <row r="29" spans="1:6" ht="12" customHeight="1">
      <c r="A29" s="2" t="s">
        <v>11</v>
      </c>
      <c r="B29" s="2" t="s">
        <v>20</v>
      </c>
      <c r="C29" s="3">
        <v>1036.8</v>
      </c>
      <c r="D29" s="3">
        <v>766.4</v>
      </c>
      <c r="E29" s="3">
        <v>865.8</v>
      </c>
      <c r="F29" s="3">
        <v>1153.3</v>
      </c>
    </row>
    <row r="30" spans="1:6" ht="12" customHeight="1">
      <c r="A30" s="2" t="s">
        <v>11</v>
      </c>
      <c r="B30" s="2" t="s">
        <v>19</v>
      </c>
      <c r="C30" s="1">
        <v>786</v>
      </c>
      <c r="D30" s="1">
        <v>703.2</v>
      </c>
      <c r="E30" s="1">
        <v>675</v>
      </c>
      <c r="F30" s="1">
        <v>331.8</v>
      </c>
    </row>
    <row r="31" spans="1:6" ht="12" customHeight="1">
      <c r="A31" s="2" t="s">
        <v>10</v>
      </c>
      <c r="B31" s="2" t="s">
        <v>20</v>
      </c>
      <c r="C31" s="3">
        <v>80690.875</v>
      </c>
      <c r="D31" s="3">
        <v>78026.407000000007</v>
      </c>
      <c r="E31" s="3">
        <v>92144.831000000006</v>
      </c>
      <c r="F31" s="3">
        <v>81994.596999999994</v>
      </c>
    </row>
    <row r="32" spans="1:6" ht="12" customHeight="1">
      <c r="A32" s="2" t="s">
        <v>10</v>
      </c>
      <c r="B32" s="2" t="s">
        <v>19</v>
      </c>
      <c r="C32" s="1">
        <v>8003.826</v>
      </c>
      <c r="D32" s="1">
        <v>8766.0859999999993</v>
      </c>
      <c r="E32" s="1">
        <v>9356.0580000000009</v>
      </c>
      <c r="F32" s="1">
        <v>6890.0429999999997</v>
      </c>
    </row>
    <row r="33" spans="1:6" ht="12" customHeight="1">
      <c r="A33" s="2" t="s">
        <v>9</v>
      </c>
      <c r="B33" s="2" t="s">
        <v>20</v>
      </c>
      <c r="C33" s="3">
        <v>26819.142</v>
      </c>
      <c r="D33" s="3">
        <v>26662.23</v>
      </c>
      <c r="E33" s="3">
        <v>29148.18</v>
      </c>
      <c r="F33" s="3">
        <v>27790.835999999999</v>
      </c>
    </row>
    <row r="34" spans="1:6" ht="12" customHeight="1">
      <c r="A34" s="2" t="s">
        <v>9</v>
      </c>
      <c r="B34" s="2" t="s">
        <v>19</v>
      </c>
      <c r="C34" s="1">
        <v>8153.8010000000004</v>
      </c>
      <c r="D34" s="1">
        <v>8291.8269999999993</v>
      </c>
      <c r="E34" s="1">
        <v>9227</v>
      </c>
      <c r="F34" s="1">
        <v>6931.0940000000001</v>
      </c>
    </row>
    <row r="35" spans="1:6" ht="12" customHeight="1">
      <c r="A35" s="2" t="s">
        <v>8</v>
      </c>
      <c r="B35" s="2" t="s">
        <v>20</v>
      </c>
      <c r="C35" s="3" t="s">
        <v>21</v>
      </c>
      <c r="D35" s="3" t="s">
        <v>21</v>
      </c>
      <c r="E35" s="3" t="s">
        <v>21</v>
      </c>
      <c r="F35" s="3" t="s">
        <v>21</v>
      </c>
    </row>
    <row r="36" spans="1:6" ht="12" customHeight="1">
      <c r="A36" s="2" t="s">
        <v>8</v>
      </c>
      <c r="B36" s="2" t="s">
        <v>19</v>
      </c>
      <c r="C36" s="1">
        <v>21883</v>
      </c>
      <c r="D36" s="1">
        <v>20892</v>
      </c>
      <c r="E36" s="1">
        <v>24753</v>
      </c>
      <c r="F36" s="1">
        <v>21294</v>
      </c>
    </row>
    <row r="37" spans="1:6" ht="12" customHeight="1">
      <c r="A37" s="2" t="s">
        <v>7</v>
      </c>
      <c r="B37" s="2" t="s">
        <v>20</v>
      </c>
      <c r="C37" s="3" t="s">
        <v>21</v>
      </c>
      <c r="D37" s="3">
        <v>4174</v>
      </c>
      <c r="E37" s="3">
        <v>5048.45</v>
      </c>
      <c r="F37" s="3">
        <v>4761.1779999999999</v>
      </c>
    </row>
    <row r="38" spans="1:6" ht="12" customHeight="1">
      <c r="A38" s="2" t="s">
        <v>7</v>
      </c>
      <c r="B38" s="2" t="s">
        <v>19</v>
      </c>
      <c r="C38" s="1" t="s">
        <v>21</v>
      </c>
      <c r="D38" s="1" t="s">
        <v>21</v>
      </c>
      <c r="E38" s="1" t="s">
        <v>21</v>
      </c>
      <c r="F38" s="1" t="s">
        <v>21</v>
      </c>
    </row>
    <row r="39" spans="1:6" ht="12" customHeight="1">
      <c r="A39" s="2" t="s">
        <v>6</v>
      </c>
      <c r="B39" s="2" t="s">
        <v>20</v>
      </c>
      <c r="C39" s="3" t="s">
        <v>21</v>
      </c>
      <c r="D39" s="3" t="s">
        <v>21</v>
      </c>
      <c r="E39" s="3" t="s">
        <v>21</v>
      </c>
      <c r="F39" s="3">
        <v>0</v>
      </c>
    </row>
    <row r="40" spans="1:6" ht="12" customHeight="1">
      <c r="A40" s="2" t="s">
        <v>6</v>
      </c>
      <c r="B40" s="2" t="s">
        <v>19</v>
      </c>
      <c r="C40" s="1" t="s">
        <v>21</v>
      </c>
      <c r="D40" s="1" t="s">
        <v>21</v>
      </c>
      <c r="E40" s="1" t="s">
        <v>21</v>
      </c>
      <c r="F40" s="1">
        <v>0</v>
      </c>
    </row>
    <row r="41" spans="1:6" ht="12" customHeight="1">
      <c r="A41" s="2" t="s">
        <v>5</v>
      </c>
      <c r="B41" s="2" t="s">
        <v>20</v>
      </c>
      <c r="C41" s="3">
        <v>62574.357000000004</v>
      </c>
      <c r="D41" s="3">
        <v>62280.593999999997</v>
      </c>
      <c r="E41" s="3">
        <v>69065.281000000003</v>
      </c>
      <c r="F41" s="3">
        <v>60943.194000000003</v>
      </c>
    </row>
    <row r="42" spans="1:6" ht="12" customHeight="1">
      <c r="A42" s="2" t="s">
        <v>5</v>
      </c>
      <c r="B42" s="2" t="s">
        <v>19</v>
      </c>
      <c r="C42" s="1" t="s">
        <v>21</v>
      </c>
      <c r="D42" s="1" t="s">
        <v>21</v>
      </c>
      <c r="E42" s="1" t="s">
        <v>21</v>
      </c>
      <c r="F42" s="1" t="s">
        <v>21</v>
      </c>
    </row>
    <row r="43" spans="1:6" ht="12" customHeight="1">
      <c r="A43" s="2" t="s">
        <v>4</v>
      </c>
      <c r="B43" s="2" t="s">
        <v>20</v>
      </c>
      <c r="C43" s="3" t="s">
        <v>21</v>
      </c>
      <c r="D43" s="3" t="s">
        <v>21</v>
      </c>
      <c r="E43" s="3" t="s">
        <v>21</v>
      </c>
      <c r="F43" s="3" t="s">
        <v>21</v>
      </c>
    </row>
    <row r="44" spans="1:6" ht="12" customHeight="1">
      <c r="A44" s="2" t="s">
        <v>4</v>
      </c>
      <c r="B44" s="2" t="s">
        <v>19</v>
      </c>
      <c r="C44" s="1" t="s">
        <v>21</v>
      </c>
      <c r="D44" s="1" t="s">
        <v>21</v>
      </c>
      <c r="E44" s="1" t="s">
        <v>21</v>
      </c>
      <c r="F44" s="1" t="s">
        <v>21</v>
      </c>
    </row>
    <row r="45" spans="1:6" ht="12" customHeight="1">
      <c r="A45" s="2" t="s">
        <v>3</v>
      </c>
      <c r="B45" s="2" t="s">
        <v>20</v>
      </c>
      <c r="C45" s="3">
        <v>28242.799999999999</v>
      </c>
      <c r="D45" s="3">
        <v>23548.467000000001</v>
      </c>
      <c r="E45" s="3">
        <v>24204.736000000001</v>
      </c>
      <c r="F45" s="3">
        <v>18450.353999999999</v>
      </c>
    </row>
    <row r="46" spans="1:6" ht="12" customHeight="1">
      <c r="A46" s="2" t="s">
        <v>3</v>
      </c>
      <c r="B46" s="2" t="s">
        <v>19</v>
      </c>
      <c r="C46" s="1">
        <v>9965.3670000000002</v>
      </c>
      <c r="D46" s="1">
        <v>8953.4959999999992</v>
      </c>
      <c r="E46" s="1">
        <v>8579.0619999999999</v>
      </c>
      <c r="F46" s="1">
        <v>8055.97</v>
      </c>
    </row>
    <row r="47" spans="1:6" ht="12" customHeight="1">
      <c r="A47" s="2" t="s">
        <v>2</v>
      </c>
      <c r="B47" s="2" t="s">
        <v>20</v>
      </c>
      <c r="C47" s="3">
        <v>5681.527</v>
      </c>
      <c r="D47" s="3">
        <v>6194.9229999999998</v>
      </c>
      <c r="E47" s="3">
        <v>6815.018</v>
      </c>
      <c r="F47" s="3">
        <v>5860.4080000000004</v>
      </c>
    </row>
    <row r="48" spans="1:6" ht="12" customHeight="1">
      <c r="A48" s="2" t="s">
        <v>2</v>
      </c>
      <c r="B48" s="2" t="s">
        <v>19</v>
      </c>
      <c r="C48" s="1">
        <v>1092.4290000000001</v>
      </c>
      <c r="D48" s="1">
        <v>474.85599999999999</v>
      </c>
      <c r="E48" s="1">
        <v>669.87599999999998</v>
      </c>
      <c r="F48" s="1">
        <v>768.39300000000003</v>
      </c>
    </row>
    <row r="49" spans="1:6" ht="12" customHeight="1">
      <c r="A49" s="2" t="s">
        <v>1</v>
      </c>
      <c r="B49" s="2" t="s">
        <v>20</v>
      </c>
      <c r="C49" s="3">
        <v>113472</v>
      </c>
      <c r="D49" s="3">
        <v>103654</v>
      </c>
      <c r="E49" s="3">
        <v>124556</v>
      </c>
      <c r="F49" s="3">
        <v>116348</v>
      </c>
    </row>
    <row r="50" spans="1:6" ht="12" customHeight="1">
      <c r="A50" s="2" t="s">
        <v>1</v>
      </c>
      <c r="B50" s="2" t="s">
        <v>19</v>
      </c>
      <c r="C50" s="1">
        <v>2883</v>
      </c>
      <c r="D50" s="1">
        <v>2169</v>
      </c>
      <c r="E50" s="1">
        <v>1858</v>
      </c>
      <c r="F50" s="1">
        <v>1729</v>
      </c>
    </row>
    <row r="51" spans="1:6" ht="12" customHeight="1">
      <c r="A51" s="2" t="s">
        <v>18</v>
      </c>
      <c r="B51" s="2" t="s">
        <v>0</v>
      </c>
      <c r="C51" s="3" t="str">
        <f>IF(SUMIFS(C$15:C$50, $A$15:$A$50,$A51)=0,":", SUMIFS(C$15:C$50, $A$15:$A$50,$A51)/3.6)</f>
        <v>:</v>
      </c>
      <c r="D51" s="3">
        <f t="shared" ref="D51:F68" si="0">IF(SUMIFS(D$15:D$50, $A$15:$A$50,$A51)=0,":", SUMIFS(D$15:D$50, $A$15:$A$50,$A51)/3.6)</f>
        <v>144399.75444444444</v>
      </c>
      <c r="E51" s="3" t="str">
        <f t="shared" si="0"/>
        <v>:</v>
      </c>
      <c r="F51" s="3">
        <f t="shared" si="0"/>
        <v>147321.92277777777</v>
      </c>
    </row>
    <row r="52" spans="1:6" ht="12" customHeight="1">
      <c r="A52" s="2" t="s">
        <v>17</v>
      </c>
      <c r="B52" s="2" t="s">
        <v>0</v>
      </c>
      <c r="C52" s="1" t="str">
        <f t="shared" ref="C52:C68" si="1">IF(SUMIFS(C$15:C$50, $A$15:$A$50,$A52)=0,":", SUMIFS(C$15:C$50, $A$15:$A$50,$A52)/3.6)</f>
        <v>:</v>
      </c>
      <c r="D52" s="1">
        <f t="shared" si="0"/>
        <v>94344.888888888876</v>
      </c>
      <c r="E52" s="1" t="str">
        <f t="shared" si="0"/>
        <v>:</v>
      </c>
      <c r="F52" s="1">
        <f t="shared" si="0"/>
        <v>98350.156944444447</v>
      </c>
    </row>
    <row r="53" spans="1:6" ht="12" customHeight="1">
      <c r="A53" s="2" t="s">
        <v>16</v>
      </c>
      <c r="B53" s="2" t="s">
        <v>0</v>
      </c>
      <c r="C53" s="3" t="str">
        <f t="shared" si="1"/>
        <v>:</v>
      </c>
      <c r="D53" s="3">
        <f t="shared" si="0"/>
        <v>763.64611111111105</v>
      </c>
      <c r="E53" s="3" t="str">
        <f t="shared" si="0"/>
        <v>:</v>
      </c>
      <c r="F53" s="3" t="str">
        <f t="shared" si="0"/>
        <v>:</v>
      </c>
    </row>
    <row r="54" spans="1:6" ht="12" customHeight="1">
      <c r="A54" s="2" t="s">
        <v>15</v>
      </c>
      <c r="B54" s="2" t="s">
        <v>0</v>
      </c>
      <c r="C54" s="1">
        <f t="shared" si="1"/>
        <v>5452.5</v>
      </c>
      <c r="D54" s="1">
        <f t="shared" si="0"/>
        <v>5630.5555555555557</v>
      </c>
      <c r="E54" s="1">
        <f t="shared" si="0"/>
        <v>6043.333333333333</v>
      </c>
      <c r="F54" s="1">
        <f t="shared" si="0"/>
        <v>5838.6111111111113</v>
      </c>
    </row>
    <row r="55" spans="1:6" ht="12" customHeight="1">
      <c r="A55" s="2" t="s">
        <v>14</v>
      </c>
      <c r="B55" s="2" t="s">
        <v>0</v>
      </c>
      <c r="C55" s="3">
        <f t="shared" si="1"/>
        <v>36066.977777777778</v>
      </c>
      <c r="D55" s="3">
        <f t="shared" si="0"/>
        <v>35395.986944444441</v>
      </c>
      <c r="E55" s="3">
        <f t="shared" si="0"/>
        <v>39006.611666666664</v>
      </c>
      <c r="F55" s="3">
        <f t="shared" si="0"/>
        <v>35770.286944444444</v>
      </c>
    </row>
    <row r="56" spans="1:6" ht="12" customHeight="1">
      <c r="A56" s="2" t="s">
        <v>13</v>
      </c>
      <c r="B56" s="2" t="s">
        <v>0</v>
      </c>
      <c r="C56" s="1">
        <f t="shared" si="1"/>
        <v>3920.5555555555557</v>
      </c>
      <c r="D56" s="1">
        <f t="shared" si="0"/>
        <v>3338.8888888888887</v>
      </c>
      <c r="E56" s="1">
        <f t="shared" si="0"/>
        <v>4460.833333333333</v>
      </c>
      <c r="F56" s="1">
        <f t="shared" si="0"/>
        <v>4188.333333333333</v>
      </c>
    </row>
    <row r="57" spans="1:6" ht="12" customHeight="1">
      <c r="A57" s="2" t="s">
        <v>12</v>
      </c>
      <c r="B57" s="2" t="s">
        <v>0</v>
      </c>
      <c r="C57" s="3">
        <f t="shared" si="1"/>
        <v>494.22222222222223</v>
      </c>
      <c r="D57" s="3">
        <f t="shared" si="0"/>
        <v>504.70861111111111</v>
      </c>
      <c r="E57" s="3">
        <f t="shared" si="0"/>
        <v>544.57472222222225</v>
      </c>
      <c r="F57" s="3">
        <f t="shared" si="0"/>
        <v>607.4233333333334</v>
      </c>
    </row>
    <row r="58" spans="1:6" ht="12" customHeight="1">
      <c r="A58" s="2" t="s">
        <v>11</v>
      </c>
      <c r="B58" s="2" t="s">
        <v>0</v>
      </c>
      <c r="C58" s="1">
        <f t="shared" si="1"/>
        <v>506.33333333333331</v>
      </c>
      <c r="D58" s="1">
        <f t="shared" si="0"/>
        <v>408.22222222222217</v>
      </c>
      <c r="E58" s="1">
        <f t="shared" si="0"/>
        <v>428</v>
      </c>
      <c r="F58" s="1">
        <f t="shared" si="0"/>
        <v>412.52777777777771</v>
      </c>
    </row>
    <row r="59" spans="1:6" ht="12" customHeight="1">
      <c r="A59" s="2" t="s">
        <v>10</v>
      </c>
      <c r="B59" s="2" t="s">
        <v>0</v>
      </c>
      <c r="C59" s="3">
        <f t="shared" si="1"/>
        <v>24637.416944444445</v>
      </c>
      <c r="D59" s="3">
        <f t="shared" si="0"/>
        <v>24109.025833333333</v>
      </c>
      <c r="E59" s="3">
        <f t="shared" si="0"/>
        <v>28194.691388888892</v>
      </c>
      <c r="F59" s="3">
        <f t="shared" si="0"/>
        <v>24690.177777777775</v>
      </c>
    </row>
    <row r="60" spans="1:6" ht="12" customHeight="1">
      <c r="A60" s="2" t="s">
        <v>9</v>
      </c>
      <c r="B60" s="2" t="s">
        <v>0</v>
      </c>
      <c r="C60" s="1">
        <f t="shared" si="1"/>
        <v>9714.7063888888879</v>
      </c>
      <c r="D60" s="1">
        <f t="shared" si="0"/>
        <v>9709.4602777777782</v>
      </c>
      <c r="E60" s="1">
        <f t="shared" si="0"/>
        <v>10659.772222222222</v>
      </c>
      <c r="F60" s="1">
        <f t="shared" si="0"/>
        <v>9644.9805555555558</v>
      </c>
    </row>
    <row r="61" spans="1:6" ht="12" customHeight="1">
      <c r="A61" s="2" t="s">
        <v>8</v>
      </c>
      <c r="B61" s="2" t="s">
        <v>0</v>
      </c>
      <c r="C61" s="3">
        <f t="shared" si="1"/>
        <v>6078.6111111111113</v>
      </c>
      <c r="D61" s="3">
        <f t="shared" si="0"/>
        <v>5803.333333333333</v>
      </c>
      <c r="E61" s="3">
        <f t="shared" si="0"/>
        <v>6875.833333333333</v>
      </c>
      <c r="F61" s="3">
        <f t="shared" si="0"/>
        <v>5915</v>
      </c>
    </row>
    <row r="62" spans="1:6" ht="12" customHeight="1">
      <c r="A62" s="2" t="s">
        <v>7</v>
      </c>
      <c r="B62" s="2" t="s">
        <v>0</v>
      </c>
      <c r="C62" s="1" t="str">
        <f t="shared" si="1"/>
        <v>:</v>
      </c>
      <c r="D62" s="1">
        <f t="shared" si="0"/>
        <v>1159.4444444444443</v>
      </c>
      <c r="E62" s="1">
        <f t="shared" si="0"/>
        <v>1402.3472222222222</v>
      </c>
      <c r="F62" s="1">
        <f t="shared" si="0"/>
        <v>1322.5494444444444</v>
      </c>
    </row>
    <row r="63" spans="1:6" ht="12" customHeight="1">
      <c r="A63" s="2" t="s">
        <v>6</v>
      </c>
      <c r="B63" s="2" t="s">
        <v>0</v>
      </c>
      <c r="C63" s="3" t="str">
        <f t="shared" si="1"/>
        <v>:</v>
      </c>
      <c r="D63" s="3" t="str">
        <f t="shared" si="0"/>
        <v>:</v>
      </c>
      <c r="E63" s="3" t="str">
        <f t="shared" si="0"/>
        <v>:</v>
      </c>
      <c r="F63" s="3" t="str">
        <f t="shared" si="0"/>
        <v>:</v>
      </c>
    </row>
    <row r="64" spans="1:6" ht="12" customHeight="1">
      <c r="A64" s="2" t="s">
        <v>5</v>
      </c>
      <c r="B64" s="2" t="s">
        <v>0</v>
      </c>
      <c r="C64" s="1">
        <f t="shared" si="1"/>
        <v>17381.765833333335</v>
      </c>
      <c r="D64" s="1">
        <f t="shared" si="0"/>
        <v>17300.164999999997</v>
      </c>
      <c r="E64" s="1">
        <f t="shared" si="0"/>
        <v>19184.800277777777</v>
      </c>
      <c r="F64" s="1">
        <f t="shared" si="0"/>
        <v>16928.665000000001</v>
      </c>
    </row>
    <row r="65" spans="1:6" ht="12" customHeight="1">
      <c r="A65" s="2" t="s">
        <v>4</v>
      </c>
      <c r="B65" s="2" t="s">
        <v>0</v>
      </c>
      <c r="C65" s="3" t="str">
        <f t="shared" si="1"/>
        <v>:</v>
      </c>
      <c r="D65" s="3" t="str">
        <f t="shared" si="0"/>
        <v>:</v>
      </c>
      <c r="E65" s="3" t="str">
        <f t="shared" si="0"/>
        <v>:</v>
      </c>
      <c r="F65" s="3" t="str">
        <f t="shared" si="0"/>
        <v>:</v>
      </c>
    </row>
    <row r="66" spans="1:6" ht="12" customHeight="1">
      <c r="A66" s="2" t="s">
        <v>3</v>
      </c>
      <c r="B66" s="2" t="s">
        <v>0</v>
      </c>
      <c r="C66" s="1">
        <f t="shared" si="1"/>
        <v>10613.379722222222</v>
      </c>
      <c r="D66" s="1">
        <f t="shared" si="0"/>
        <v>9028.3230555555547</v>
      </c>
      <c r="E66" s="1">
        <f t="shared" si="0"/>
        <v>9106.6105555555569</v>
      </c>
      <c r="F66" s="1">
        <f t="shared" si="0"/>
        <v>7362.8677777777775</v>
      </c>
    </row>
    <row r="67" spans="1:6" ht="12" customHeight="1">
      <c r="A67" s="2" t="s">
        <v>2</v>
      </c>
      <c r="B67" s="2" t="s">
        <v>0</v>
      </c>
      <c r="C67" s="3">
        <f t="shared" si="1"/>
        <v>1881.6544444444444</v>
      </c>
      <c r="D67" s="3">
        <f t="shared" si="0"/>
        <v>1852.7163888888888</v>
      </c>
      <c r="E67" s="3">
        <f t="shared" si="0"/>
        <v>2079.1372222222221</v>
      </c>
      <c r="F67" s="3">
        <f t="shared" si="0"/>
        <v>1841.3336111111112</v>
      </c>
    </row>
    <row r="68" spans="1:6" ht="12" customHeight="1">
      <c r="A68" s="2" t="s">
        <v>1</v>
      </c>
      <c r="B68" s="2" t="s">
        <v>0</v>
      </c>
      <c r="C68" s="1">
        <f t="shared" si="1"/>
        <v>32320.833333333332</v>
      </c>
      <c r="D68" s="1">
        <f t="shared" si="0"/>
        <v>29395.277777777777</v>
      </c>
      <c r="E68" s="1">
        <f t="shared" si="0"/>
        <v>35115</v>
      </c>
      <c r="F68" s="1">
        <f t="shared" si="0"/>
        <v>32799.166666666664</v>
      </c>
    </row>
  </sheetData>
  <mergeCells count="2">
    <mergeCell ref="A13:B13"/>
    <mergeCell ref="B3:O3"/>
  </mergeCells>
  <hyperlinks>
    <hyperlink ref="A2" r:id="rId1" xr:uid="{FC6E96AF-09F7-4F10-8415-5174582F2743}"/>
    <hyperlink ref="B2" r:id="rId2" xr:uid="{5CC246FB-E12F-464D-A549-1E6432D2C81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8EA2-0B7A-4EC5-9A9F-AA9DE2F1E472}">
  <dimension ref="A1:S137"/>
  <sheetViews>
    <sheetView workbookViewId="0">
      <pane xSplit="2" ySplit="13" topLeftCell="C14" activePane="bottomRight" state="frozen"/>
      <selection pane="topRight"/>
      <selection pane="bottomLeft"/>
      <selection pane="bottomRight" activeCell="S36" sqref="S36"/>
    </sheetView>
  </sheetViews>
  <sheetFormatPr defaultRowHeight="11.45" customHeight="1"/>
  <cols>
    <col min="1" max="1" width="29.85546875" customWidth="1"/>
    <col min="2" max="2" width="71.85546875" customWidth="1"/>
    <col min="3" max="15" width="10" customWidth="1"/>
  </cols>
  <sheetData>
    <row r="1" spans="1:19" ht="15">
      <c r="A1" s="12" t="s">
        <v>107</v>
      </c>
    </row>
    <row r="2" spans="1:19" ht="15">
      <c r="A2" s="11" t="s">
        <v>46</v>
      </c>
      <c r="B2" s="11" t="s">
        <v>45</v>
      </c>
    </row>
    <row r="3" spans="1:19" ht="42.75" customHeight="1">
      <c r="A3" s="10" t="s">
        <v>44</v>
      </c>
      <c r="B3" s="192" t="s">
        <v>43</v>
      </c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</row>
    <row r="4" spans="1:19" ht="15">
      <c r="A4" s="8" t="s">
        <v>108</v>
      </c>
    </row>
    <row r="5" spans="1:19" ht="15">
      <c r="A5" s="8" t="s">
        <v>41</v>
      </c>
      <c r="B5" s="9" t="s">
        <v>107</v>
      </c>
    </row>
    <row r="6" spans="1:19" ht="15">
      <c r="A6" s="8" t="s">
        <v>39</v>
      </c>
      <c r="B6" s="8" t="s">
        <v>109</v>
      </c>
    </row>
    <row r="7" spans="1:19" ht="15"/>
    <row r="8" spans="1:19" ht="15">
      <c r="A8" s="9" t="s">
        <v>37</v>
      </c>
      <c r="C8" s="8" t="s">
        <v>36</v>
      </c>
    </row>
    <row r="9" spans="1:19" ht="15">
      <c r="A9" s="9" t="s">
        <v>110</v>
      </c>
      <c r="C9" s="8" t="s">
        <v>111</v>
      </c>
    </row>
    <row r="10" spans="1:19" ht="15">
      <c r="A10" s="9" t="s">
        <v>35</v>
      </c>
      <c r="C10" s="8" t="s">
        <v>34</v>
      </c>
    </row>
    <row r="11" spans="1:19" ht="15"/>
    <row r="12" spans="1:19" ht="15">
      <c r="A12" s="191" t="s">
        <v>29</v>
      </c>
      <c r="B12" s="191" t="s">
        <v>29</v>
      </c>
      <c r="C12" s="6" t="s">
        <v>52</v>
      </c>
      <c r="D12" s="6" t="s">
        <v>53</v>
      </c>
      <c r="E12" s="6" t="s">
        <v>54</v>
      </c>
      <c r="F12" s="6" t="s">
        <v>55</v>
      </c>
      <c r="G12" s="6" t="s">
        <v>56</v>
      </c>
      <c r="H12" s="6" t="s">
        <v>57</v>
      </c>
      <c r="I12" s="6" t="s">
        <v>58</v>
      </c>
      <c r="J12" s="6" t="s">
        <v>59</v>
      </c>
      <c r="K12" s="6" t="s">
        <v>60</v>
      </c>
      <c r="L12" s="6" t="s">
        <v>28</v>
      </c>
      <c r="M12" s="6" t="s">
        <v>27</v>
      </c>
      <c r="N12" s="6" t="s">
        <v>26</v>
      </c>
      <c r="O12" s="6" t="s">
        <v>25</v>
      </c>
      <c r="S12" t="s">
        <v>116</v>
      </c>
    </row>
    <row r="13" spans="1:19" ht="15">
      <c r="A13" s="5" t="s">
        <v>24</v>
      </c>
      <c r="B13" s="5" t="s">
        <v>112</v>
      </c>
      <c r="C13" s="4" t="s">
        <v>22</v>
      </c>
      <c r="D13" s="4" t="s">
        <v>22</v>
      </c>
      <c r="E13" s="4" t="s">
        <v>22</v>
      </c>
      <c r="F13" s="4" t="s">
        <v>22</v>
      </c>
      <c r="G13" s="4" t="s">
        <v>22</v>
      </c>
      <c r="H13" s="4" t="s">
        <v>22</v>
      </c>
      <c r="I13" s="4" t="s">
        <v>22</v>
      </c>
      <c r="J13" s="4" t="s">
        <v>22</v>
      </c>
      <c r="K13" s="4" t="s">
        <v>22</v>
      </c>
      <c r="L13" s="4" t="s">
        <v>22</v>
      </c>
      <c r="M13" s="4" t="s">
        <v>22</v>
      </c>
      <c r="N13" s="4" t="s">
        <v>22</v>
      </c>
      <c r="O13" s="4" t="s">
        <v>22</v>
      </c>
    </row>
    <row r="14" spans="1:19" ht="15">
      <c r="A14" s="2" t="s">
        <v>18</v>
      </c>
      <c r="B14" s="2" t="s">
        <v>113</v>
      </c>
      <c r="C14" s="48">
        <v>4448084.9919999996</v>
      </c>
      <c r="D14" s="48">
        <v>3690459.9810000001</v>
      </c>
      <c r="E14" s="48">
        <v>4013133.054</v>
      </c>
      <c r="F14" s="48">
        <v>4368714.2949999999</v>
      </c>
      <c r="G14" s="48">
        <v>3480634.4819999998</v>
      </c>
      <c r="H14" s="48">
        <v>6363990.1310000001</v>
      </c>
      <c r="I14" s="48">
        <v>6827559.3459999999</v>
      </c>
      <c r="J14" s="48">
        <v>6837011.432</v>
      </c>
      <c r="K14" s="48">
        <v>6720090.5810000002</v>
      </c>
      <c r="L14" s="48">
        <v>6676789.8909999998</v>
      </c>
      <c r="M14" s="48">
        <v>6613520.3260000004</v>
      </c>
      <c r="N14" s="48">
        <v>7118925.0630000001</v>
      </c>
      <c r="O14" s="48">
        <v>6438773.0659999996</v>
      </c>
    </row>
    <row r="15" spans="1:19" ht="15">
      <c r="A15" s="2" t="s">
        <v>18</v>
      </c>
      <c r="B15" s="2" t="s">
        <v>114</v>
      </c>
      <c r="C15" s="49">
        <v>868071.76199999999</v>
      </c>
      <c r="D15" s="49">
        <v>873146.68500000006</v>
      </c>
      <c r="E15" s="49">
        <v>869599.04599999997</v>
      </c>
      <c r="F15" s="49">
        <v>846217.85</v>
      </c>
      <c r="G15" s="49">
        <v>819421.10499999998</v>
      </c>
      <c r="H15" s="49">
        <v>1393899.925</v>
      </c>
      <c r="I15" s="49">
        <v>1459451.594</v>
      </c>
      <c r="J15" s="49">
        <v>1503117.5530000001</v>
      </c>
      <c r="K15" s="49">
        <v>1544886.986</v>
      </c>
      <c r="L15" s="49">
        <v>1534918.024</v>
      </c>
      <c r="M15" s="49">
        <v>1557571.0859999999</v>
      </c>
      <c r="N15" s="49">
        <v>1567114.273</v>
      </c>
      <c r="O15" s="49">
        <v>1506390.325</v>
      </c>
    </row>
    <row r="16" spans="1:19" ht="15">
      <c r="A16" s="2" t="s">
        <v>17</v>
      </c>
      <c r="B16" s="2" t="s">
        <v>113</v>
      </c>
      <c r="C16" s="48">
        <v>4397589.45</v>
      </c>
      <c r="D16" s="48">
        <v>3635871.84</v>
      </c>
      <c r="E16" s="48">
        <v>3959131.699</v>
      </c>
      <c r="F16" s="48">
        <v>4318153.6359999999</v>
      </c>
      <c r="G16" s="48">
        <v>3433549.2390000001</v>
      </c>
      <c r="H16" s="48">
        <v>4934446.1540000001</v>
      </c>
      <c r="I16" s="48">
        <v>5330557.8629999999</v>
      </c>
      <c r="J16" s="48">
        <v>5325221.5779999997</v>
      </c>
      <c r="K16" s="48">
        <v>5154797.43</v>
      </c>
      <c r="L16" s="48">
        <v>5192615.6730000004</v>
      </c>
      <c r="M16" s="48">
        <v>5109101.9369999999</v>
      </c>
      <c r="N16" s="48">
        <v>5514832.6459999997</v>
      </c>
      <c r="O16" s="48">
        <v>5000618.5369999995</v>
      </c>
    </row>
    <row r="17" spans="1:15" ht="15">
      <c r="A17" s="2" t="s">
        <v>17</v>
      </c>
      <c r="B17" s="2" t="s">
        <v>114</v>
      </c>
      <c r="C17" s="49">
        <v>851656.30900000001</v>
      </c>
      <c r="D17" s="49">
        <v>856524.505</v>
      </c>
      <c r="E17" s="49">
        <v>853027.43599999999</v>
      </c>
      <c r="F17" s="49">
        <v>830062.42500000005</v>
      </c>
      <c r="G17" s="49">
        <v>802950.13699999999</v>
      </c>
      <c r="H17" s="49">
        <v>1046158.466</v>
      </c>
      <c r="I17" s="49">
        <v>1104416.236</v>
      </c>
      <c r="J17" s="49">
        <v>1142232.138</v>
      </c>
      <c r="K17" s="49">
        <v>1171699.182</v>
      </c>
      <c r="L17" s="49">
        <v>1166328.281</v>
      </c>
      <c r="M17" s="49">
        <v>1185581.6310000001</v>
      </c>
      <c r="N17" s="49">
        <v>1170553.128</v>
      </c>
      <c r="O17" s="49">
        <v>1125225.2579999999</v>
      </c>
    </row>
    <row r="18" spans="1:15" ht="15">
      <c r="A18" s="2" t="s">
        <v>16</v>
      </c>
      <c r="B18" s="2" t="s">
        <v>113</v>
      </c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253779.334</v>
      </c>
      <c r="J18" s="48">
        <v>249691.41399999999</v>
      </c>
      <c r="K18" s="48">
        <v>247574.60500000001</v>
      </c>
      <c r="L18" s="48">
        <v>240436.424</v>
      </c>
      <c r="M18" s="48">
        <v>238418.55600000001</v>
      </c>
      <c r="N18" s="48">
        <v>267290.43400000001</v>
      </c>
      <c r="O18" s="48">
        <v>217666.87899999999</v>
      </c>
    </row>
    <row r="19" spans="1:15" ht="15">
      <c r="A19" s="2" t="s">
        <v>16</v>
      </c>
      <c r="B19" s="2" t="s">
        <v>114</v>
      </c>
      <c r="C19" s="49">
        <v>0</v>
      </c>
      <c r="D19" s="49">
        <v>0</v>
      </c>
      <c r="E19" s="49">
        <v>0</v>
      </c>
      <c r="F19" s="49">
        <v>0</v>
      </c>
      <c r="G19" s="49">
        <v>0</v>
      </c>
      <c r="H19" s="49">
        <v>0</v>
      </c>
      <c r="I19" s="49">
        <v>40685.008999999998</v>
      </c>
      <c r="J19" s="49">
        <v>40271.218000000001</v>
      </c>
      <c r="K19" s="49">
        <v>39887.464</v>
      </c>
      <c r="L19" s="49">
        <v>39506.027999999998</v>
      </c>
      <c r="M19" s="49">
        <v>38938.161999999997</v>
      </c>
      <c r="N19" s="49">
        <v>39027.264999999999</v>
      </c>
      <c r="O19" s="49">
        <v>43488.767</v>
      </c>
    </row>
    <row r="20" spans="1:15" ht="15">
      <c r="A20" s="2" t="s">
        <v>15</v>
      </c>
      <c r="B20" s="2" t="s">
        <v>113</v>
      </c>
      <c r="C20" s="48">
        <v>50495.542000000001</v>
      </c>
      <c r="D20" s="48">
        <v>54588.141000000003</v>
      </c>
      <c r="E20" s="48">
        <v>54001.355000000003</v>
      </c>
      <c r="F20" s="48">
        <v>50560.659</v>
      </c>
      <c r="G20" s="48">
        <v>47085.243000000002</v>
      </c>
      <c r="H20" s="48">
        <v>48525.065999999999</v>
      </c>
      <c r="I20" s="48">
        <v>50748.553999999996</v>
      </c>
      <c r="J20" s="48">
        <v>52530.110999999997</v>
      </c>
      <c r="K20" s="48">
        <v>49236.203999999998</v>
      </c>
      <c r="L20" s="48">
        <v>47184.896000000001</v>
      </c>
      <c r="M20" s="48">
        <v>54397.483</v>
      </c>
      <c r="N20" s="48">
        <v>53488.786999999997</v>
      </c>
      <c r="O20" s="48">
        <v>41205.697999999997</v>
      </c>
    </row>
    <row r="21" spans="1:15" ht="15">
      <c r="A21" s="2" t="s">
        <v>15</v>
      </c>
      <c r="B21" s="2" t="s">
        <v>114</v>
      </c>
      <c r="C21" s="49">
        <v>16415.453000000001</v>
      </c>
      <c r="D21" s="49">
        <v>16622.18</v>
      </c>
      <c r="E21" s="49">
        <v>16571.61</v>
      </c>
      <c r="F21" s="49">
        <v>16155.424999999999</v>
      </c>
      <c r="G21" s="49">
        <v>16470.968000000001</v>
      </c>
      <c r="H21" s="49">
        <v>16282.325000000001</v>
      </c>
      <c r="I21" s="49">
        <v>16514.756000000001</v>
      </c>
      <c r="J21" s="49">
        <v>16712.951000000001</v>
      </c>
      <c r="K21" s="49">
        <v>16798.93</v>
      </c>
      <c r="L21" s="49">
        <v>16428.524000000001</v>
      </c>
      <c r="M21" s="49">
        <v>17029.344000000001</v>
      </c>
      <c r="N21" s="49">
        <v>17470.245999999999</v>
      </c>
      <c r="O21" s="49">
        <v>17236.582999999999</v>
      </c>
    </row>
    <row r="22" spans="1:15" ht="15">
      <c r="A22" s="2" t="s">
        <v>63</v>
      </c>
      <c r="B22" s="2" t="s">
        <v>113</v>
      </c>
      <c r="C22" s="48">
        <v>0</v>
      </c>
      <c r="D22" s="48">
        <v>0</v>
      </c>
      <c r="E22" s="48">
        <v>0</v>
      </c>
      <c r="F22" s="48">
        <v>0</v>
      </c>
      <c r="G22" s="48">
        <v>0</v>
      </c>
      <c r="H22" s="48">
        <v>191276.36199999999</v>
      </c>
      <c r="I22" s="48">
        <v>203320.26800000001</v>
      </c>
      <c r="J22" s="48">
        <v>209306.995</v>
      </c>
      <c r="K22" s="48">
        <v>205454.19200000001</v>
      </c>
      <c r="L22" s="48">
        <v>203351.226</v>
      </c>
      <c r="M22" s="48">
        <v>207120.17199999999</v>
      </c>
      <c r="N22" s="48">
        <v>230125.745</v>
      </c>
      <c r="O22" s="48">
        <v>210342.76800000001</v>
      </c>
    </row>
    <row r="23" spans="1:15" ht="15">
      <c r="A23" s="2" t="s">
        <v>63</v>
      </c>
      <c r="B23" s="2" t="s">
        <v>114</v>
      </c>
      <c r="C23" s="49">
        <v>0</v>
      </c>
      <c r="D23" s="49">
        <v>0</v>
      </c>
      <c r="E23" s="49">
        <v>0</v>
      </c>
      <c r="F23" s="49">
        <v>0</v>
      </c>
      <c r="G23" s="49">
        <v>0</v>
      </c>
      <c r="H23" s="49">
        <v>48739.027999999998</v>
      </c>
      <c r="I23" s="49">
        <v>48561.978999999999</v>
      </c>
      <c r="J23" s="49">
        <v>49185.033000000003</v>
      </c>
      <c r="K23" s="49">
        <v>51066.273999999998</v>
      </c>
      <c r="L23" s="49">
        <v>49607.56</v>
      </c>
      <c r="M23" s="49">
        <v>49864.919000000002</v>
      </c>
      <c r="N23" s="49">
        <v>50380.044999999998</v>
      </c>
      <c r="O23" s="49">
        <v>46769.601999999999</v>
      </c>
    </row>
    <row r="24" spans="1:15" ht="15">
      <c r="A24" s="2" t="s">
        <v>14</v>
      </c>
      <c r="B24" s="2" t="s">
        <v>113</v>
      </c>
      <c r="C24" s="48">
        <v>0</v>
      </c>
      <c r="D24" s="48">
        <v>0</v>
      </c>
      <c r="E24" s="48">
        <v>0</v>
      </c>
      <c r="F24" s="48">
        <v>0</v>
      </c>
      <c r="G24" s="48">
        <v>0</v>
      </c>
      <c r="H24" s="48">
        <v>112246.02</v>
      </c>
      <c r="I24" s="48">
        <v>120605.363</v>
      </c>
      <c r="J24" s="48">
        <v>119010</v>
      </c>
      <c r="K24" s="48">
        <v>113748.053</v>
      </c>
      <c r="L24" s="48">
        <v>110064.984</v>
      </c>
      <c r="M24" s="48">
        <v>105541.398</v>
      </c>
      <c r="N24" s="48">
        <v>113713.719</v>
      </c>
      <c r="O24" s="48">
        <v>96700.125</v>
      </c>
    </row>
    <row r="25" spans="1:15" ht="15">
      <c r="A25" s="2" t="s">
        <v>14</v>
      </c>
      <c r="B25" s="2" t="s">
        <v>114</v>
      </c>
      <c r="C25" s="49">
        <v>0</v>
      </c>
      <c r="D25" s="49">
        <v>0</v>
      </c>
      <c r="E25" s="49">
        <v>0</v>
      </c>
      <c r="F25" s="49">
        <v>0</v>
      </c>
      <c r="G25" s="49">
        <v>0</v>
      </c>
      <c r="H25" s="49">
        <v>39755.995999999999</v>
      </c>
      <c r="I25" s="49">
        <v>40075.627999999997</v>
      </c>
      <c r="J25" s="49">
        <v>40346.014999999999</v>
      </c>
      <c r="K25" s="49">
        <v>40138.794999999998</v>
      </c>
      <c r="L25" s="49">
        <v>41420.523000000001</v>
      </c>
      <c r="M25" s="49">
        <v>41075.381000000001</v>
      </c>
      <c r="N25" s="49">
        <v>41378.404000000002</v>
      </c>
      <c r="O25" s="49">
        <v>41830.978000000003</v>
      </c>
    </row>
    <row r="26" spans="1:15" ht="15">
      <c r="A26" s="2" t="s">
        <v>64</v>
      </c>
      <c r="B26" s="2" t="s">
        <v>113</v>
      </c>
      <c r="C26" s="48">
        <v>1872010.6229999999</v>
      </c>
      <c r="D26" s="48">
        <v>1542997.36</v>
      </c>
      <c r="E26" s="48">
        <v>1675298.676</v>
      </c>
      <c r="F26" s="48">
        <v>1846231.9569999999</v>
      </c>
      <c r="G26" s="48">
        <v>1500292.548</v>
      </c>
      <c r="H26" s="48">
        <v>1557437.773</v>
      </c>
      <c r="I26" s="48">
        <v>1633476.2279999999</v>
      </c>
      <c r="J26" s="48">
        <v>1599805.3659999999</v>
      </c>
      <c r="K26" s="48">
        <v>1550009.4480000001</v>
      </c>
      <c r="L26" s="48">
        <v>1620501.084</v>
      </c>
      <c r="M26" s="48">
        <v>1626515.0449999999</v>
      </c>
      <c r="N26" s="48">
        <v>1621693.6810000001</v>
      </c>
      <c r="O26" s="48">
        <v>1585298.0330000001</v>
      </c>
    </row>
    <row r="27" spans="1:15" ht="15">
      <c r="A27" s="2" t="s">
        <v>64</v>
      </c>
      <c r="B27" s="2" t="s">
        <v>114</v>
      </c>
      <c r="C27" s="49">
        <v>385825.68800000002</v>
      </c>
      <c r="D27" s="49">
        <v>396778.74400000001</v>
      </c>
      <c r="E27" s="49">
        <v>393169.49200000003</v>
      </c>
      <c r="F27" s="49">
        <v>363800.12699999998</v>
      </c>
      <c r="G27" s="49">
        <v>354948.62199999997</v>
      </c>
      <c r="H27" s="49">
        <v>345896.74699999997</v>
      </c>
      <c r="I27" s="49">
        <v>357813.06099999999</v>
      </c>
      <c r="J27" s="49">
        <v>376933.73200000002</v>
      </c>
      <c r="K27" s="49">
        <v>392577.60700000002</v>
      </c>
      <c r="L27" s="49">
        <v>403304.33199999999</v>
      </c>
      <c r="M27" s="49">
        <v>406361.14600000001</v>
      </c>
      <c r="N27" s="49">
        <v>411147.01299999998</v>
      </c>
      <c r="O27" s="49">
        <v>401417.23499999999</v>
      </c>
    </row>
    <row r="28" spans="1:15" ht="15">
      <c r="A28" s="2" t="s">
        <v>13</v>
      </c>
      <c r="B28" s="2" t="s">
        <v>113</v>
      </c>
      <c r="C28" s="48">
        <v>31361.773000000001</v>
      </c>
      <c r="D28" s="48">
        <v>28105.42</v>
      </c>
      <c r="E28" s="48">
        <v>29416.023000000001</v>
      </c>
      <c r="F28" s="48">
        <v>28279.248</v>
      </c>
      <c r="G28" s="48">
        <v>27162.44</v>
      </c>
      <c r="H28" s="48">
        <v>26311.85</v>
      </c>
      <c r="I28" s="48">
        <v>28285.646000000001</v>
      </c>
      <c r="J28" s="48">
        <v>28456.922999999999</v>
      </c>
      <c r="K28" s="48">
        <v>28637.43</v>
      </c>
      <c r="L28" s="48">
        <v>29116.873</v>
      </c>
      <c r="M28" s="48">
        <v>28458.192999999999</v>
      </c>
      <c r="N28" s="48">
        <v>28695.179</v>
      </c>
      <c r="O28" s="48">
        <v>29384.805</v>
      </c>
    </row>
    <row r="29" spans="1:15" ht="15">
      <c r="A29" s="2" t="s">
        <v>13</v>
      </c>
      <c r="B29" s="2" t="s">
        <v>114</v>
      </c>
      <c r="C29" s="49">
        <v>5122.5020000000004</v>
      </c>
      <c r="D29" s="49">
        <v>4699.5510000000004</v>
      </c>
      <c r="E29" s="49">
        <v>4861.5879999999997</v>
      </c>
      <c r="F29" s="49">
        <v>4690.2920000000004</v>
      </c>
      <c r="G29" s="49">
        <v>4383.2740000000003</v>
      </c>
      <c r="H29" s="49">
        <v>4189.6689999999999</v>
      </c>
      <c r="I29" s="49">
        <v>4559.9669999999996</v>
      </c>
      <c r="J29" s="49">
        <v>4623.1480000000001</v>
      </c>
      <c r="K29" s="49">
        <v>4653.1310000000003</v>
      </c>
      <c r="L29" s="49">
        <v>4676.3280000000004</v>
      </c>
      <c r="M29" s="49">
        <v>4600.2910000000002</v>
      </c>
      <c r="N29" s="49">
        <v>4681.95</v>
      </c>
      <c r="O29" s="49">
        <v>4767.759</v>
      </c>
    </row>
    <row r="30" spans="1:15" ht="15">
      <c r="A30" s="2" t="s">
        <v>65</v>
      </c>
      <c r="B30" s="2" t="s">
        <v>113</v>
      </c>
      <c r="C30" s="48">
        <v>0</v>
      </c>
      <c r="D30" s="48">
        <v>0</v>
      </c>
      <c r="E30" s="48">
        <v>0</v>
      </c>
      <c r="F30" s="48">
        <v>0</v>
      </c>
      <c r="G30" s="48">
        <v>0</v>
      </c>
      <c r="H30" s="48">
        <v>72594.614000000001</v>
      </c>
      <c r="I30" s="48">
        <v>77547.061000000002</v>
      </c>
      <c r="J30" s="48">
        <v>72463.275999999998</v>
      </c>
      <c r="K30" s="48">
        <v>79132.838000000003</v>
      </c>
      <c r="L30" s="48">
        <v>76040.289000000004</v>
      </c>
      <c r="M30" s="48">
        <v>82166.737999999998</v>
      </c>
      <c r="N30" s="48">
        <v>77344.203999999998</v>
      </c>
      <c r="O30" s="48">
        <v>66316.125</v>
      </c>
    </row>
    <row r="31" spans="1:15" ht="15">
      <c r="A31" s="2" t="s">
        <v>65</v>
      </c>
      <c r="B31" s="2" t="s">
        <v>114</v>
      </c>
      <c r="C31" s="49">
        <v>0</v>
      </c>
      <c r="D31" s="49">
        <v>0</v>
      </c>
      <c r="E31" s="49">
        <v>0</v>
      </c>
      <c r="F31" s="49">
        <v>0</v>
      </c>
      <c r="G31" s="49">
        <v>0</v>
      </c>
      <c r="H31" s="49">
        <v>21455.199000000001</v>
      </c>
      <c r="I31" s="49">
        <v>22922.684000000001</v>
      </c>
      <c r="J31" s="49">
        <v>23857.627</v>
      </c>
      <c r="K31" s="49">
        <v>24461.984</v>
      </c>
      <c r="L31" s="49">
        <v>24653.302</v>
      </c>
      <c r="M31" s="49">
        <v>26557.451000000001</v>
      </c>
      <c r="N31" s="49">
        <v>25385.565999999999</v>
      </c>
      <c r="O31" s="49">
        <v>24034.334999999999</v>
      </c>
    </row>
    <row r="32" spans="1:15" ht="15">
      <c r="A32" s="2" t="s">
        <v>12</v>
      </c>
      <c r="B32" s="2" t="s">
        <v>113</v>
      </c>
      <c r="C32" s="48">
        <v>0</v>
      </c>
      <c r="D32" s="48">
        <v>0</v>
      </c>
      <c r="E32" s="48">
        <v>0</v>
      </c>
      <c r="F32" s="48">
        <v>74341.293000000005</v>
      </c>
      <c r="G32" s="48">
        <v>0</v>
      </c>
      <c r="H32" s="48">
        <v>114056.799</v>
      </c>
      <c r="I32" s="48">
        <v>101054.29</v>
      </c>
      <c r="J32" s="48">
        <v>103384</v>
      </c>
      <c r="K32" s="48">
        <v>87249.755999999994</v>
      </c>
      <c r="L32" s="48">
        <v>95571.611000000004</v>
      </c>
      <c r="M32" s="48">
        <v>101157.35400000001</v>
      </c>
      <c r="N32" s="48">
        <v>94033.78</v>
      </c>
      <c r="O32" s="48">
        <v>102577.031</v>
      </c>
    </row>
    <row r="33" spans="1:15" ht="15">
      <c r="A33" s="2" t="s">
        <v>12</v>
      </c>
      <c r="B33" s="2" t="s">
        <v>114</v>
      </c>
      <c r="C33" s="49">
        <v>0</v>
      </c>
      <c r="D33" s="49">
        <v>0</v>
      </c>
      <c r="E33" s="49">
        <v>0</v>
      </c>
      <c r="F33" s="49">
        <v>13854.212</v>
      </c>
      <c r="G33" s="49">
        <v>0</v>
      </c>
      <c r="H33" s="49">
        <v>20807.101999999999</v>
      </c>
      <c r="I33" s="49">
        <v>21999.937000000002</v>
      </c>
      <c r="J33" s="49">
        <v>24486.097000000002</v>
      </c>
      <c r="K33" s="49">
        <v>24818.682000000001</v>
      </c>
      <c r="L33" s="49">
        <v>22889.402999999998</v>
      </c>
      <c r="M33" s="49">
        <v>24920.776999999998</v>
      </c>
      <c r="N33" s="49">
        <v>24563.963</v>
      </c>
      <c r="O33" s="49">
        <v>27515.187000000002</v>
      </c>
    </row>
    <row r="34" spans="1:15" ht="15">
      <c r="A34" s="2" t="s">
        <v>11</v>
      </c>
      <c r="B34" s="2" t="s">
        <v>113</v>
      </c>
      <c r="C34" s="48">
        <v>304923.38699999999</v>
      </c>
      <c r="D34" s="48">
        <v>273009.87900000002</v>
      </c>
      <c r="E34" s="48">
        <v>270479.99400000001</v>
      </c>
      <c r="F34" s="48">
        <v>265303.02600000001</v>
      </c>
      <c r="G34" s="48">
        <v>265427.74200000003</v>
      </c>
      <c r="H34" s="48">
        <v>281465.109</v>
      </c>
      <c r="I34" s="48">
        <v>243286.315</v>
      </c>
      <c r="J34" s="48">
        <v>241567.079</v>
      </c>
      <c r="K34" s="48">
        <v>253120.198</v>
      </c>
      <c r="L34" s="48">
        <v>238047.87599999999</v>
      </c>
      <c r="M34" s="48">
        <v>241948.06</v>
      </c>
      <c r="N34" s="48">
        <v>244513.99</v>
      </c>
      <c r="O34" s="48">
        <v>235990.174</v>
      </c>
    </row>
    <row r="35" spans="1:15" ht="15">
      <c r="A35" s="2" t="s">
        <v>11</v>
      </c>
      <c r="B35" s="2" t="s">
        <v>114</v>
      </c>
      <c r="C35" s="49">
        <v>136383.95300000001</v>
      </c>
      <c r="D35" s="49">
        <v>117318.913</v>
      </c>
      <c r="E35" s="49">
        <v>118426.807</v>
      </c>
      <c r="F35" s="49">
        <v>111181.89200000001</v>
      </c>
      <c r="G35" s="49">
        <v>109091.986</v>
      </c>
      <c r="H35" s="49">
        <v>114374.447</v>
      </c>
      <c r="I35" s="49">
        <v>114587.704</v>
      </c>
      <c r="J35" s="49">
        <v>114092.674</v>
      </c>
      <c r="K35" s="49">
        <v>122717.3</v>
      </c>
      <c r="L35" s="49">
        <v>115581.399</v>
      </c>
      <c r="M35" s="49">
        <v>115987.7</v>
      </c>
      <c r="N35" s="49">
        <v>120298.516</v>
      </c>
      <c r="O35" s="49">
        <v>114285.72900000001</v>
      </c>
    </row>
    <row r="36" spans="1:15" ht="15">
      <c r="A36" s="2" t="s">
        <v>10</v>
      </c>
      <c r="B36" s="2" t="s">
        <v>113</v>
      </c>
      <c r="C36" s="48">
        <v>1404055.9569999999</v>
      </c>
      <c r="D36" s="48">
        <v>1129315.524</v>
      </c>
      <c r="E36" s="48">
        <v>1297061.3559999999</v>
      </c>
      <c r="F36" s="48">
        <v>1389627.0319999999</v>
      </c>
      <c r="G36" s="48">
        <v>1057551.936</v>
      </c>
      <c r="H36" s="48">
        <v>1145870.801</v>
      </c>
      <c r="I36" s="48">
        <v>1222939.145</v>
      </c>
      <c r="J36" s="48">
        <v>1187369.503</v>
      </c>
      <c r="K36" s="48">
        <v>1130947.01</v>
      </c>
      <c r="L36" s="48">
        <v>1130269.1270000001</v>
      </c>
      <c r="M36" s="48">
        <v>1060672.888</v>
      </c>
      <c r="N36" s="48">
        <v>1207640.3049999999</v>
      </c>
      <c r="O36" s="48">
        <v>1047493.373</v>
      </c>
    </row>
    <row r="37" spans="1:15" ht="15">
      <c r="A37" s="2" t="s">
        <v>10</v>
      </c>
      <c r="B37" s="2" t="s">
        <v>114</v>
      </c>
      <c r="C37" s="49">
        <v>160428.40700000001</v>
      </c>
      <c r="D37" s="49">
        <v>177616.20600000001</v>
      </c>
      <c r="E37" s="49">
        <v>175815.81400000001</v>
      </c>
      <c r="F37" s="49">
        <v>177542.40700000001</v>
      </c>
      <c r="G37" s="49">
        <v>176018.546</v>
      </c>
      <c r="H37" s="49">
        <v>177076.64</v>
      </c>
      <c r="I37" s="49">
        <v>179568.47700000001</v>
      </c>
      <c r="J37" s="49">
        <v>182466.58499999999</v>
      </c>
      <c r="K37" s="49">
        <v>183106.74900000001</v>
      </c>
      <c r="L37" s="49">
        <v>182149.86900000001</v>
      </c>
      <c r="M37" s="49">
        <v>190653.12400000001</v>
      </c>
      <c r="N37" s="49">
        <v>181888.81099999999</v>
      </c>
      <c r="O37" s="49">
        <v>159866.83300000001</v>
      </c>
    </row>
    <row r="38" spans="1:15" ht="15">
      <c r="A38" s="2" t="s">
        <v>66</v>
      </c>
      <c r="B38" s="2" t="s">
        <v>113</v>
      </c>
      <c r="C38" s="48">
        <v>79754.721000000005</v>
      </c>
      <c r="D38" s="48">
        <v>75823.758000000002</v>
      </c>
      <c r="E38" s="48">
        <v>72928.745999999999</v>
      </c>
      <c r="F38" s="48">
        <v>71478.81</v>
      </c>
      <c r="G38" s="48">
        <v>62019.355000000003</v>
      </c>
      <c r="H38" s="48">
        <v>70267.59</v>
      </c>
      <c r="I38" s="48">
        <v>70010.706000000006</v>
      </c>
      <c r="J38" s="48">
        <v>68482.69</v>
      </c>
      <c r="K38" s="48">
        <v>65296.232000000004</v>
      </c>
      <c r="L38" s="48">
        <v>63303.536999999997</v>
      </c>
      <c r="M38" s="48">
        <v>65320.445</v>
      </c>
      <c r="N38" s="48">
        <v>70088.376999999993</v>
      </c>
      <c r="O38" s="48">
        <v>64621.302000000003</v>
      </c>
    </row>
    <row r="39" spans="1:15" ht="15">
      <c r="A39" s="2" t="s">
        <v>66</v>
      </c>
      <c r="B39" s="2" t="s">
        <v>114</v>
      </c>
      <c r="C39" s="49">
        <v>11792.037</v>
      </c>
      <c r="D39" s="49">
        <v>11033.710999999999</v>
      </c>
      <c r="E39" s="49">
        <v>10883.092000000001</v>
      </c>
      <c r="F39" s="49">
        <v>10599.064</v>
      </c>
      <c r="G39" s="49">
        <v>10124.993</v>
      </c>
      <c r="H39" s="49">
        <v>9818.6569999999992</v>
      </c>
      <c r="I39" s="49">
        <v>9574.5889999999999</v>
      </c>
      <c r="J39" s="49">
        <v>9963.6299999999992</v>
      </c>
      <c r="K39" s="49">
        <v>9723.7219999999998</v>
      </c>
      <c r="L39" s="49">
        <v>9293.6919999999991</v>
      </c>
      <c r="M39" s="49">
        <v>9270.66</v>
      </c>
      <c r="N39" s="49">
        <v>9897.3629999999994</v>
      </c>
      <c r="O39" s="49">
        <v>9748.8780000000006</v>
      </c>
    </row>
    <row r="40" spans="1:15" ht="15">
      <c r="A40" s="2" t="s">
        <v>9</v>
      </c>
      <c r="B40" s="2" t="s">
        <v>113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919472.223</v>
      </c>
      <c r="I40" s="48">
        <v>912200.72900000005</v>
      </c>
      <c r="J40" s="48">
        <v>931635.58400000003</v>
      </c>
      <c r="K40" s="48">
        <v>887712.29299999995</v>
      </c>
      <c r="L40" s="48">
        <v>864618.61300000001</v>
      </c>
      <c r="M40" s="48">
        <v>840053.16399999999</v>
      </c>
      <c r="N40" s="48">
        <v>966004.92500000005</v>
      </c>
      <c r="O40" s="48">
        <v>845848.53700000001</v>
      </c>
    </row>
    <row r="41" spans="1:15" ht="15">
      <c r="A41" s="2" t="s">
        <v>9</v>
      </c>
      <c r="B41" s="2" t="s">
        <v>114</v>
      </c>
      <c r="C41" s="49">
        <v>0</v>
      </c>
      <c r="D41" s="49">
        <v>0</v>
      </c>
      <c r="E41" s="49">
        <v>0</v>
      </c>
      <c r="F41" s="49">
        <v>0</v>
      </c>
      <c r="G41" s="49">
        <v>0</v>
      </c>
      <c r="H41" s="49">
        <v>159686.84299999999</v>
      </c>
      <c r="I41" s="49">
        <v>159627.535</v>
      </c>
      <c r="J41" s="49">
        <v>162782.823</v>
      </c>
      <c r="K41" s="49">
        <v>164957.497</v>
      </c>
      <c r="L41" s="49">
        <v>157029.826</v>
      </c>
      <c r="M41" s="49">
        <v>156418.72200000001</v>
      </c>
      <c r="N41" s="49">
        <v>137185.701</v>
      </c>
      <c r="O41" s="49">
        <v>131724.174</v>
      </c>
    </row>
    <row r="42" spans="1:15" ht="15">
      <c r="A42" s="2" t="s">
        <v>67</v>
      </c>
      <c r="B42" s="2" t="s">
        <v>113</v>
      </c>
      <c r="C42" s="48">
        <v>0</v>
      </c>
      <c r="D42" s="48">
        <v>0</v>
      </c>
      <c r="E42" s="48">
        <v>0</v>
      </c>
      <c r="F42" s="48">
        <v>0</v>
      </c>
      <c r="G42" s="48">
        <v>0</v>
      </c>
      <c r="H42" s="48">
        <v>0</v>
      </c>
      <c r="I42" s="48">
        <v>0</v>
      </c>
      <c r="J42" s="48">
        <v>0</v>
      </c>
      <c r="K42" s="48">
        <v>4829.8410000000003</v>
      </c>
      <c r="L42" s="48">
        <v>5563.8159999999998</v>
      </c>
      <c r="M42" s="48">
        <v>5645.018</v>
      </c>
      <c r="N42" s="48">
        <v>5191.8680000000004</v>
      </c>
      <c r="O42" s="48">
        <v>5565.8109999999997</v>
      </c>
    </row>
    <row r="43" spans="1:15" ht="15">
      <c r="A43" s="2" t="s">
        <v>67</v>
      </c>
      <c r="B43" s="2" t="s">
        <v>114</v>
      </c>
      <c r="C43" s="49">
        <v>0</v>
      </c>
      <c r="D43" s="49">
        <v>0</v>
      </c>
      <c r="E43" s="49">
        <v>0</v>
      </c>
      <c r="F43" s="49">
        <v>0</v>
      </c>
      <c r="G43" s="49">
        <v>0</v>
      </c>
      <c r="H43" s="49">
        <v>0</v>
      </c>
      <c r="I43" s="49">
        <v>0</v>
      </c>
      <c r="J43" s="49">
        <v>0</v>
      </c>
      <c r="K43" s="49">
        <v>3322.2559999999999</v>
      </c>
      <c r="L43" s="49">
        <v>3370.26</v>
      </c>
      <c r="M43" s="49">
        <v>3470.9720000000002</v>
      </c>
      <c r="N43" s="49">
        <v>3491.7750000000001</v>
      </c>
      <c r="O43" s="49">
        <v>3473.2339999999999</v>
      </c>
    </row>
    <row r="44" spans="1:15" ht="15">
      <c r="A44" s="2" t="s">
        <v>8</v>
      </c>
      <c r="B44" s="2" t="s">
        <v>113</v>
      </c>
      <c r="C44" s="48">
        <v>38260.082999999999</v>
      </c>
      <c r="D44" s="48">
        <v>36985.093999999997</v>
      </c>
      <c r="E44" s="48">
        <v>38600.608999999997</v>
      </c>
      <c r="F44" s="48">
        <v>34913.603000000003</v>
      </c>
      <c r="G44" s="48">
        <v>34028.915999999997</v>
      </c>
      <c r="H44" s="48">
        <v>29714.271000000001</v>
      </c>
      <c r="I44" s="48">
        <v>30686.973000000002</v>
      </c>
      <c r="J44" s="48">
        <v>32797.031000000003</v>
      </c>
      <c r="K44" s="48">
        <v>33926.53</v>
      </c>
      <c r="L44" s="48">
        <v>32641.973000000002</v>
      </c>
      <c r="M44" s="48">
        <v>29853.687000000002</v>
      </c>
      <c r="N44" s="48">
        <v>32392.934000000001</v>
      </c>
      <c r="O44" s="48">
        <v>29967.654999999999</v>
      </c>
    </row>
    <row r="45" spans="1:15" ht="15">
      <c r="A45" s="2" t="s">
        <v>8</v>
      </c>
      <c r="B45" s="2" t="s">
        <v>114</v>
      </c>
      <c r="C45" s="49">
        <v>10647.227000000001</v>
      </c>
      <c r="D45" s="49">
        <v>9898.9410000000007</v>
      </c>
      <c r="E45" s="49">
        <v>10264.521000000001</v>
      </c>
      <c r="F45" s="49">
        <v>9583.2720000000008</v>
      </c>
      <c r="G45" s="49">
        <v>9305.8539999999994</v>
      </c>
      <c r="H45" s="49">
        <v>8557.2309999999998</v>
      </c>
      <c r="I45" s="49">
        <v>9001.4660000000003</v>
      </c>
      <c r="J45" s="49">
        <v>9285.2530000000006</v>
      </c>
      <c r="K45" s="49">
        <v>9498.2459999999992</v>
      </c>
      <c r="L45" s="49">
        <v>9225.8529999999992</v>
      </c>
      <c r="M45" s="49">
        <v>8730.3790000000008</v>
      </c>
      <c r="N45" s="49">
        <v>9643.402</v>
      </c>
      <c r="O45" s="49">
        <v>8784.3359999999993</v>
      </c>
    </row>
    <row r="46" spans="1:15" ht="15">
      <c r="A46" s="2" t="s">
        <v>68</v>
      </c>
      <c r="B46" s="2" t="s">
        <v>113</v>
      </c>
      <c r="C46" s="48">
        <v>0</v>
      </c>
      <c r="D46" s="48">
        <v>0</v>
      </c>
      <c r="E46" s="48">
        <v>0</v>
      </c>
      <c r="F46" s="48">
        <v>0</v>
      </c>
      <c r="G46" s="48">
        <v>0</v>
      </c>
      <c r="H46" s="48">
        <v>0</v>
      </c>
      <c r="I46" s="48">
        <v>0</v>
      </c>
      <c r="J46" s="48">
        <v>42808.824000000001</v>
      </c>
      <c r="K46" s="48">
        <v>44597.574000000001</v>
      </c>
      <c r="L46" s="48">
        <v>42542.987000000001</v>
      </c>
      <c r="M46" s="48">
        <v>41401.091999999997</v>
      </c>
      <c r="N46" s="48">
        <v>46326.917999999998</v>
      </c>
      <c r="O46" s="48">
        <v>44362.548999999999</v>
      </c>
    </row>
    <row r="47" spans="1:15" ht="15">
      <c r="A47" s="2" t="s">
        <v>68</v>
      </c>
      <c r="B47" s="2" t="s">
        <v>114</v>
      </c>
      <c r="C47" s="49">
        <v>0</v>
      </c>
      <c r="D47" s="49">
        <v>0</v>
      </c>
      <c r="E47" s="49">
        <v>0</v>
      </c>
      <c r="F47" s="49">
        <v>0</v>
      </c>
      <c r="G47" s="49">
        <v>0</v>
      </c>
      <c r="H47" s="49">
        <v>0</v>
      </c>
      <c r="I47" s="49">
        <v>0</v>
      </c>
      <c r="J47" s="49">
        <v>5614.2950000000001</v>
      </c>
      <c r="K47" s="49">
        <v>5535.0010000000002</v>
      </c>
      <c r="L47" s="49">
        <v>5229.1019999999999</v>
      </c>
      <c r="M47" s="49">
        <v>5549.9639999999999</v>
      </c>
      <c r="N47" s="49">
        <v>8001.1310000000003</v>
      </c>
      <c r="O47" s="49">
        <v>7560.0870000000004</v>
      </c>
    </row>
    <row r="48" spans="1:15" ht="15">
      <c r="A48" s="2" t="s">
        <v>7</v>
      </c>
      <c r="B48" s="2" t="s">
        <v>113</v>
      </c>
      <c r="C48" s="48">
        <v>17629.775000000001</v>
      </c>
      <c r="D48" s="48">
        <v>16002.432000000001</v>
      </c>
      <c r="E48" s="48">
        <v>16112.297</v>
      </c>
      <c r="F48" s="48">
        <v>16608.564999999999</v>
      </c>
      <c r="G48" s="48">
        <v>15171.115</v>
      </c>
      <c r="H48" s="48">
        <v>16759.423999999999</v>
      </c>
      <c r="I48" s="48">
        <v>17519.731</v>
      </c>
      <c r="J48" s="48">
        <v>17874.607</v>
      </c>
      <c r="K48" s="48">
        <v>16482.621999999999</v>
      </c>
      <c r="L48" s="48">
        <v>14868.767</v>
      </c>
      <c r="M48" s="48">
        <v>16829.849999999999</v>
      </c>
      <c r="N48" s="48">
        <v>16147.092000000001</v>
      </c>
      <c r="O48" s="48">
        <v>15174.541999999999</v>
      </c>
    </row>
    <row r="49" spans="1:15" ht="15">
      <c r="A49" s="2" t="s">
        <v>7</v>
      </c>
      <c r="B49" s="2" t="s">
        <v>114</v>
      </c>
      <c r="C49" s="49">
        <v>1202.1110000000001</v>
      </c>
      <c r="D49" s="49">
        <v>1271.6030000000001</v>
      </c>
      <c r="E49" s="49">
        <v>1360.1030000000001</v>
      </c>
      <c r="F49" s="49">
        <v>1209.4639999999999</v>
      </c>
      <c r="G49" s="49">
        <v>1195.645</v>
      </c>
      <c r="H49" s="49">
        <v>1529.14</v>
      </c>
      <c r="I49" s="49">
        <v>1462.1030000000001</v>
      </c>
      <c r="J49" s="49">
        <v>1529.62</v>
      </c>
      <c r="K49" s="49">
        <v>1492.5119999999999</v>
      </c>
      <c r="L49" s="49">
        <v>1509.973</v>
      </c>
      <c r="M49" s="49">
        <v>1548.489</v>
      </c>
      <c r="N49" s="49">
        <v>1645.7270000000001</v>
      </c>
      <c r="O49" s="49">
        <v>1566.086</v>
      </c>
    </row>
    <row r="50" spans="1:15" ht="15">
      <c r="A50" s="2" t="s">
        <v>69</v>
      </c>
      <c r="B50" s="2" t="s">
        <v>113</v>
      </c>
      <c r="C50" s="48">
        <v>0</v>
      </c>
      <c r="D50" s="48">
        <v>0</v>
      </c>
      <c r="E50" s="48">
        <v>0</v>
      </c>
      <c r="F50" s="48">
        <v>0</v>
      </c>
      <c r="G50" s="48">
        <v>0</v>
      </c>
      <c r="H50" s="48">
        <v>182590.98</v>
      </c>
      <c r="I50" s="48">
        <v>190617.274</v>
      </c>
      <c r="J50" s="48">
        <v>195009.28599999999</v>
      </c>
      <c r="K50" s="48">
        <v>174740.43599999999</v>
      </c>
      <c r="L50" s="48">
        <v>168015.46599999999</v>
      </c>
      <c r="M50" s="48">
        <v>178312.99100000001</v>
      </c>
      <c r="N50" s="48">
        <v>195633.98</v>
      </c>
      <c r="O50" s="48">
        <v>175240.30300000001</v>
      </c>
    </row>
    <row r="51" spans="1:15" ht="15">
      <c r="A51" s="2" t="s">
        <v>69</v>
      </c>
      <c r="B51" s="2" t="s">
        <v>114</v>
      </c>
      <c r="C51" s="49">
        <v>0</v>
      </c>
      <c r="D51" s="49">
        <v>0</v>
      </c>
      <c r="E51" s="49">
        <v>0</v>
      </c>
      <c r="F51" s="49">
        <v>0</v>
      </c>
      <c r="G51" s="49">
        <v>0</v>
      </c>
      <c r="H51" s="49">
        <v>31454.800999999999</v>
      </c>
      <c r="I51" s="49">
        <v>31646.544000000002</v>
      </c>
      <c r="J51" s="49">
        <v>31490.080999999998</v>
      </c>
      <c r="K51" s="49">
        <v>31268.891</v>
      </c>
      <c r="L51" s="49">
        <v>31226.280999999999</v>
      </c>
      <c r="M51" s="49">
        <v>32084.001</v>
      </c>
      <c r="N51" s="49">
        <v>31944.84</v>
      </c>
      <c r="O51" s="49">
        <v>30365.030999999999</v>
      </c>
    </row>
    <row r="52" spans="1:15" ht="15">
      <c r="A52" s="2" t="s">
        <v>6</v>
      </c>
      <c r="B52" s="2" t="s">
        <v>113</v>
      </c>
      <c r="C52" s="48">
        <v>0</v>
      </c>
      <c r="D52" s="48">
        <v>0</v>
      </c>
      <c r="E52" s="48">
        <v>0</v>
      </c>
      <c r="F52" s="48">
        <v>0</v>
      </c>
      <c r="G52" s="48">
        <v>0</v>
      </c>
      <c r="H52" s="48">
        <v>466.66199999999998</v>
      </c>
      <c r="I52" s="48">
        <v>412.435</v>
      </c>
      <c r="J52" s="48">
        <v>801.53099999999995</v>
      </c>
      <c r="K52" s="48">
        <v>699.43499999999995</v>
      </c>
      <c r="L52" s="48">
        <v>835.10599999999999</v>
      </c>
      <c r="M52" s="48">
        <v>915.07500000000005</v>
      </c>
      <c r="N52" s="48">
        <v>986.69799999999998</v>
      </c>
      <c r="O52" s="48">
        <v>1023.588</v>
      </c>
    </row>
    <row r="53" spans="1:15" ht="15">
      <c r="A53" s="2" t="s">
        <v>6</v>
      </c>
      <c r="B53" s="2" t="s">
        <v>114</v>
      </c>
      <c r="C53" s="49">
        <v>0</v>
      </c>
      <c r="D53" s="49">
        <v>0</v>
      </c>
      <c r="E53" s="49">
        <v>0</v>
      </c>
      <c r="F53" s="49">
        <v>0</v>
      </c>
      <c r="G53" s="49">
        <v>0</v>
      </c>
      <c r="H53" s="49">
        <v>910.58</v>
      </c>
      <c r="I53" s="49">
        <v>922.61900000000003</v>
      </c>
      <c r="J53" s="49">
        <v>959.78</v>
      </c>
      <c r="K53" s="49">
        <v>1064.9829999999999</v>
      </c>
      <c r="L53" s="49">
        <v>1124.5260000000001</v>
      </c>
      <c r="M53" s="49">
        <v>1113.7719999999999</v>
      </c>
      <c r="N53" s="49">
        <v>1062.895</v>
      </c>
      <c r="O53" s="49">
        <v>1103.3679999999999</v>
      </c>
    </row>
    <row r="54" spans="1:15" ht="15">
      <c r="A54" s="2" t="s">
        <v>70</v>
      </c>
      <c r="B54" s="2" t="s">
        <v>113</v>
      </c>
      <c r="C54" s="48">
        <v>373644.45299999998</v>
      </c>
      <c r="D54" s="48">
        <v>282370.48200000002</v>
      </c>
      <c r="E54" s="48">
        <v>305124.67</v>
      </c>
      <c r="F54" s="48">
        <v>327826.04800000001</v>
      </c>
      <c r="G54" s="48">
        <v>233770.163</v>
      </c>
      <c r="H54" s="48">
        <v>252152.86</v>
      </c>
      <c r="I54" s="48">
        <v>264708.36</v>
      </c>
      <c r="J54" s="48">
        <v>256086.49900000001</v>
      </c>
      <c r="K54" s="48">
        <v>255991.041</v>
      </c>
      <c r="L54" s="48">
        <v>247367.87400000001</v>
      </c>
      <c r="M54" s="48">
        <v>237809.39199999999</v>
      </c>
      <c r="N54" s="48">
        <v>278110.86800000002</v>
      </c>
      <c r="O54" s="48">
        <v>217388.66699999999</v>
      </c>
    </row>
    <row r="55" spans="1:15" ht="15">
      <c r="A55" s="2" t="s">
        <v>70</v>
      </c>
      <c r="B55" s="2" t="s">
        <v>114</v>
      </c>
      <c r="C55" s="49">
        <v>65885.773000000001</v>
      </c>
      <c r="D55" s="49">
        <v>65309.425000000003</v>
      </c>
      <c r="E55" s="49">
        <v>66114.61</v>
      </c>
      <c r="F55" s="49">
        <v>66420.684999999998</v>
      </c>
      <c r="G55" s="49">
        <v>66457.736000000004</v>
      </c>
      <c r="H55" s="49">
        <v>66981.490999999995</v>
      </c>
      <c r="I55" s="49">
        <v>67074.664999999994</v>
      </c>
      <c r="J55" s="49">
        <v>67236.887000000002</v>
      </c>
      <c r="K55" s="49">
        <v>67409.740999999995</v>
      </c>
      <c r="L55" s="49">
        <v>67654.778000000006</v>
      </c>
      <c r="M55" s="49">
        <v>68008.945999999996</v>
      </c>
      <c r="N55" s="49">
        <v>68167.047000000006</v>
      </c>
      <c r="O55" s="49">
        <v>68272.55</v>
      </c>
    </row>
    <row r="56" spans="1:15" ht="15">
      <c r="A56" s="2" t="s">
        <v>5</v>
      </c>
      <c r="B56" s="2" t="s">
        <v>113</v>
      </c>
      <c r="C56" s="48">
        <v>211567.04199999999</v>
      </c>
      <c r="D56" s="48">
        <v>190731.84599999999</v>
      </c>
      <c r="E56" s="48">
        <v>195419.27799999999</v>
      </c>
      <c r="F56" s="48">
        <v>205494.88500000001</v>
      </c>
      <c r="G56" s="48">
        <v>178513.717</v>
      </c>
      <c r="H56" s="48">
        <v>193886.97899999999</v>
      </c>
      <c r="I56" s="48">
        <v>203843.75099999999</v>
      </c>
      <c r="J56" s="48">
        <v>205299.75700000001</v>
      </c>
      <c r="K56" s="48">
        <v>189488.53099999999</v>
      </c>
      <c r="L56" s="48">
        <v>193832.16200000001</v>
      </c>
      <c r="M56" s="48">
        <v>200075.25899999999</v>
      </c>
      <c r="N56" s="48">
        <v>228985.70800000001</v>
      </c>
      <c r="O56" s="48">
        <v>191056.391</v>
      </c>
    </row>
    <row r="57" spans="1:15" ht="15">
      <c r="A57" s="2" t="s">
        <v>5</v>
      </c>
      <c r="B57" s="2" t="s">
        <v>114</v>
      </c>
      <c r="C57" s="49">
        <v>40387.964999999997</v>
      </c>
      <c r="D57" s="49">
        <v>41343.612000000001</v>
      </c>
      <c r="E57" s="49">
        <v>41839.250999999997</v>
      </c>
      <c r="F57" s="49">
        <v>41541.822999999997</v>
      </c>
      <c r="G57" s="49">
        <v>42495.391000000003</v>
      </c>
      <c r="H57" s="49">
        <v>42104.964999999997</v>
      </c>
      <c r="I57" s="49">
        <v>41885.315999999999</v>
      </c>
      <c r="J57" s="49">
        <v>41563.637000000002</v>
      </c>
      <c r="K57" s="49">
        <v>39748.025999999998</v>
      </c>
      <c r="L57" s="49">
        <v>40445.326999999997</v>
      </c>
      <c r="M57" s="49">
        <v>43158.279000000002</v>
      </c>
      <c r="N57" s="49">
        <v>44889.919999999998</v>
      </c>
      <c r="O57" s="49">
        <v>39042.807000000001</v>
      </c>
    </row>
    <row r="58" spans="1:15" ht="15">
      <c r="A58" s="2" t="s">
        <v>71</v>
      </c>
      <c r="B58" s="2" t="s">
        <v>113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524336.44799999997</v>
      </c>
      <c r="I58" s="48">
        <v>552897.91200000001</v>
      </c>
      <c r="J58" s="48">
        <v>554882.06700000004</v>
      </c>
      <c r="K58" s="48">
        <v>645960.69999999995</v>
      </c>
      <c r="L58" s="48">
        <v>583130.05799999996</v>
      </c>
      <c r="M58" s="48">
        <v>583739.326</v>
      </c>
      <c r="N58" s="48">
        <v>605836.13899999997</v>
      </c>
      <c r="O58" s="48">
        <v>545381.61100000003</v>
      </c>
    </row>
    <row r="59" spans="1:15" ht="15">
      <c r="A59" s="2" t="s">
        <v>71</v>
      </c>
      <c r="B59" s="2" t="s">
        <v>114</v>
      </c>
      <c r="C59" s="49">
        <v>0</v>
      </c>
      <c r="D59" s="49">
        <v>0</v>
      </c>
      <c r="E59" s="49">
        <v>0</v>
      </c>
      <c r="F59" s="49">
        <v>0</v>
      </c>
      <c r="G59" s="49">
        <v>0</v>
      </c>
      <c r="H59" s="49">
        <v>127966.16899999999</v>
      </c>
      <c r="I59" s="49">
        <v>132211.01699999999</v>
      </c>
      <c r="J59" s="49">
        <v>136072.30499999999</v>
      </c>
      <c r="K59" s="49">
        <v>145833.217</v>
      </c>
      <c r="L59" s="49">
        <v>141782.272</v>
      </c>
      <c r="M59" s="49">
        <v>143472.23499999999</v>
      </c>
      <c r="N59" s="49">
        <v>158176.905</v>
      </c>
      <c r="O59" s="49">
        <v>156493.58300000001</v>
      </c>
    </row>
    <row r="60" spans="1:15" ht="15">
      <c r="A60" s="2" t="s">
        <v>4</v>
      </c>
      <c r="B60" s="2" t="s">
        <v>113</v>
      </c>
      <c r="C60" s="48">
        <v>24524.508000000002</v>
      </c>
      <c r="D60" s="48">
        <v>23202.042000000001</v>
      </c>
      <c r="E60" s="48">
        <v>23106.116000000002</v>
      </c>
      <c r="F60" s="48">
        <v>23113.315999999999</v>
      </c>
      <c r="G60" s="48">
        <v>31640.988000000001</v>
      </c>
      <c r="H60" s="48">
        <v>31532.063999999998</v>
      </c>
      <c r="I60" s="48">
        <v>31947.472000000002</v>
      </c>
      <c r="J60" s="48">
        <v>31925.274000000001</v>
      </c>
      <c r="K60" s="48">
        <v>32831.347000000002</v>
      </c>
      <c r="L60" s="48">
        <v>32961.5</v>
      </c>
      <c r="M60" s="48">
        <v>38446.817000000003</v>
      </c>
      <c r="N60" s="48">
        <v>38938.836000000003</v>
      </c>
      <c r="O60" s="48">
        <v>39980.35</v>
      </c>
    </row>
    <row r="61" spans="1:15" ht="15">
      <c r="A61" s="2" t="s">
        <v>4</v>
      </c>
      <c r="B61" s="2" t="s">
        <v>114</v>
      </c>
      <c r="C61" s="49">
        <v>26114.94</v>
      </c>
      <c r="D61" s="49">
        <v>23418.393</v>
      </c>
      <c r="E61" s="49">
        <v>22533.594000000001</v>
      </c>
      <c r="F61" s="49">
        <v>21936.087</v>
      </c>
      <c r="G61" s="49">
        <v>21338.062000000002</v>
      </c>
      <c r="H61" s="49">
        <v>20788.544000000002</v>
      </c>
      <c r="I61" s="49">
        <v>20389.947</v>
      </c>
      <c r="J61" s="49">
        <v>20642.07</v>
      </c>
      <c r="K61" s="49">
        <v>21242.744999999999</v>
      </c>
      <c r="L61" s="49">
        <v>21280.941999999999</v>
      </c>
      <c r="M61" s="49">
        <v>22610.755000000001</v>
      </c>
      <c r="N61" s="49">
        <v>21330.68</v>
      </c>
      <c r="O61" s="49">
        <v>19980.235000000001</v>
      </c>
    </row>
    <row r="62" spans="1:15" ht="15">
      <c r="A62" s="2" t="s">
        <v>3</v>
      </c>
      <c r="B62" s="2" t="s">
        <v>113</v>
      </c>
      <c r="C62" s="48">
        <v>0</v>
      </c>
      <c r="D62" s="48">
        <v>0</v>
      </c>
      <c r="E62" s="48">
        <v>0</v>
      </c>
      <c r="F62" s="48">
        <v>0</v>
      </c>
      <c r="G62" s="48">
        <v>0</v>
      </c>
      <c r="H62" s="48">
        <v>196268.823</v>
      </c>
      <c r="I62" s="48">
        <v>198044.655</v>
      </c>
      <c r="J62" s="48">
        <v>203963.29699999999</v>
      </c>
      <c r="K62" s="48">
        <v>204321.96299999999</v>
      </c>
      <c r="L62" s="48">
        <v>201727.171</v>
      </c>
      <c r="M62" s="48">
        <v>207901.83799999999</v>
      </c>
      <c r="N62" s="48">
        <v>227547.755</v>
      </c>
      <c r="O62" s="48">
        <v>203233.196</v>
      </c>
    </row>
    <row r="63" spans="1:15" ht="15">
      <c r="A63" s="2" t="s">
        <v>3</v>
      </c>
      <c r="B63" s="2" t="s">
        <v>114</v>
      </c>
      <c r="C63" s="49">
        <v>0</v>
      </c>
      <c r="D63" s="49">
        <v>0</v>
      </c>
      <c r="E63" s="49">
        <v>0</v>
      </c>
      <c r="F63" s="49">
        <v>0</v>
      </c>
      <c r="G63" s="49">
        <v>0</v>
      </c>
      <c r="H63" s="49">
        <v>40736.14</v>
      </c>
      <c r="I63" s="49">
        <v>41120.178</v>
      </c>
      <c r="J63" s="49">
        <v>43078.173999999999</v>
      </c>
      <c r="K63" s="49">
        <v>43953.224000000002</v>
      </c>
      <c r="L63" s="49">
        <v>44283.148000000001</v>
      </c>
      <c r="M63" s="49">
        <v>46107.487000000001</v>
      </c>
      <c r="N63" s="49">
        <v>51610.498</v>
      </c>
      <c r="O63" s="49">
        <v>45669.485000000001</v>
      </c>
    </row>
    <row r="64" spans="1:15" ht="15">
      <c r="A64" s="2" t="s">
        <v>2</v>
      </c>
      <c r="B64" s="2" t="s">
        <v>113</v>
      </c>
      <c r="C64" s="48">
        <v>39857.129000000001</v>
      </c>
      <c r="D64" s="48">
        <v>37328.002999999997</v>
      </c>
      <c r="E64" s="48">
        <v>35583.934000000001</v>
      </c>
      <c r="F64" s="48">
        <v>34935.853999999999</v>
      </c>
      <c r="G64" s="48">
        <v>27970.316999999999</v>
      </c>
      <c r="H64" s="48">
        <v>32276.223999999998</v>
      </c>
      <c r="I64" s="48">
        <v>33015.707000000002</v>
      </c>
      <c r="J64" s="48">
        <v>31659.303</v>
      </c>
      <c r="K64" s="48">
        <v>28692.3</v>
      </c>
      <c r="L64" s="48">
        <v>27687.174999999999</v>
      </c>
      <c r="M64" s="48">
        <v>28524.797999999999</v>
      </c>
      <c r="N64" s="48">
        <v>31168.921999999999</v>
      </c>
      <c r="O64" s="48">
        <v>26870.774000000001</v>
      </c>
    </row>
    <row r="65" spans="1:15" ht="15">
      <c r="A65" s="2" t="s">
        <v>2</v>
      </c>
      <c r="B65" s="2" t="s">
        <v>114</v>
      </c>
      <c r="C65" s="49">
        <v>7865.7070000000003</v>
      </c>
      <c r="D65" s="49">
        <v>7835.4059999999999</v>
      </c>
      <c r="E65" s="49">
        <v>7758.5640000000003</v>
      </c>
      <c r="F65" s="49">
        <v>7703.1009999999997</v>
      </c>
      <c r="G65" s="49">
        <v>7590.027</v>
      </c>
      <c r="H65" s="49">
        <v>7551.8230000000003</v>
      </c>
      <c r="I65" s="49">
        <v>7544.335</v>
      </c>
      <c r="J65" s="49">
        <v>7518.85</v>
      </c>
      <c r="K65" s="49">
        <v>7461.6660000000002</v>
      </c>
      <c r="L65" s="49">
        <v>7418.3289999999997</v>
      </c>
      <c r="M65" s="49">
        <v>7218.7749999999996</v>
      </c>
      <c r="N65" s="49">
        <v>7233.2340000000004</v>
      </c>
      <c r="O65" s="49">
        <v>7210.6620000000003</v>
      </c>
    </row>
    <row r="66" spans="1:15" ht="15">
      <c r="A66" s="2" t="s">
        <v>72</v>
      </c>
      <c r="B66" s="2" t="s">
        <v>113</v>
      </c>
      <c r="C66" s="48">
        <v>0</v>
      </c>
      <c r="D66" s="48">
        <v>0</v>
      </c>
      <c r="E66" s="48">
        <v>0</v>
      </c>
      <c r="F66" s="48">
        <v>0</v>
      </c>
      <c r="G66" s="48">
        <v>0</v>
      </c>
      <c r="H66" s="48">
        <v>56921.680999999997</v>
      </c>
      <c r="I66" s="48">
        <v>58133.256000000001</v>
      </c>
      <c r="J66" s="48">
        <v>60144.663</v>
      </c>
      <c r="K66" s="48">
        <v>57628.23</v>
      </c>
      <c r="L66" s="48">
        <v>80562.73</v>
      </c>
      <c r="M66" s="48">
        <v>83992.8</v>
      </c>
      <c r="N66" s="48">
        <v>92639.629000000001</v>
      </c>
      <c r="O66" s="48">
        <v>78838.557000000001</v>
      </c>
    </row>
    <row r="67" spans="1:15" ht="15">
      <c r="A67" s="2" t="s">
        <v>72</v>
      </c>
      <c r="B67" s="2" t="s">
        <v>114</v>
      </c>
      <c r="C67" s="49">
        <v>0</v>
      </c>
      <c r="D67" s="49">
        <v>0</v>
      </c>
      <c r="E67" s="49">
        <v>0</v>
      </c>
      <c r="F67" s="49">
        <v>0</v>
      </c>
      <c r="G67" s="49">
        <v>0</v>
      </c>
      <c r="H67" s="49">
        <v>11687.567999999999</v>
      </c>
      <c r="I67" s="49">
        <v>11985.382</v>
      </c>
      <c r="J67" s="49">
        <v>12567.066999999999</v>
      </c>
      <c r="K67" s="49">
        <v>12094.43</v>
      </c>
      <c r="L67" s="49">
        <v>13898.44</v>
      </c>
      <c r="M67" s="49">
        <v>14181.808000000001</v>
      </c>
      <c r="N67" s="49">
        <v>14528.636</v>
      </c>
      <c r="O67" s="49">
        <v>15263.891</v>
      </c>
    </row>
    <row r="68" spans="1:15" ht="15">
      <c r="A68" s="2" t="s">
        <v>1</v>
      </c>
      <c r="B68" s="2" t="s">
        <v>113</v>
      </c>
      <c r="C68" s="48">
        <v>0</v>
      </c>
      <c r="D68" s="48">
        <v>0</v>
      </c>
      <c r="E68" s="48">
        <v>0</v>
      </c>
      <c r="F68" s="48">
        <v>0</v>
      </c>
      <c r="G68" s="48">
        <v>0</v>
      </c>
      <c r="H68" s="48">
        <v>133259.23000000001</v>
      </c>
      <c r="I68" s="48">
        <v>147710.723</v>
      </c>
      <c r="J68" s="48">
        <v>162968.255</v>
      </c>
      <c r="K68" s="48">
        <v>159950.17000000001</v>
      </c>
      <c r="L68" s="48">
        <v>155846.14799999999</v>
      </c>
      <c r="M68" s="48">
        <v>140897.704</v>
      </c>
      <c r="N68" s="48">
        <v>166638.29999999999</v>
      </c>
      <c r="O68" s="48">
        <v>155193.394</v>
      </c>
    </row>
    <row r="69" spans="1:15" ht="15">
      <c r="A69" s="2" t="s">
        <v>1</v>
      </c>
      <c r="B69" s="2" t="s">
        <v>114</v>
      </c>
      <c r="C69" s="49">
        <v>0</v>
      </c>
      <c r="D69" s="49">
        <v>0</v>
      </c>
      <c r="E69" s="49">
        <v>0</v>
      </c>
      <c r="F69" s="49">
        <v>0</v>
      </c>
      <c r="G69" s="49">
        <v>0</v>
      </c>
      <c r="H69" s="49">
        <v>32741.82</v>
      </c>
      <c r="I69" s="49">
        <v>32811.440000000002</v>
      </c>
      <c r="J69" s="49">
        <v>35837.144999999997</v>
      </c>
      <c r="K69" s="49">
        <v>35925.440999999999</v>
      </c>
      <c r="L69" s="49">
        <v>36086.574000000001</v>
      </c>
      <c r="M69" s="49">
        <v>36281.457000000002</v>
      </c>
      <c r="N69" s="49">
        <v>36482.533000000003</v>
      </c>
      <c r="O69" s="49">
        <v>36119.106</v>
      </c>
    </row>
    <row r="70" spans="1:15" ht="15">
      <c r="A70" s="2" t="s">
        <v>73</v>
      </c>
      <c r="B70" s="2" t="s">
        <v>113</v>
      </c>
      <c r="C70" s="48">
        <v>0</v>
      </c>
      <c r="D70" s="48">
        <v>0</v>
      </c>
      <c r="E70" s="48">
        <v>0</v>
      </c>
      <c r="F70" s="48">
        <v>0</v>
      </c>
      <c r="G70" s="48">
        <v>0</v>
      </c>
      <c r="H70" s="48">
        <v>174300.27799999999</v>
      </c>
      <c r="I70" s="48">
        <v>180767.45800000001</v>
      </c>
      <c r="J70" s="48">
        <v>177088.09700000001</v>
      </c>
      <c r="K70" s="48">
        <v>171831.60399999999</v>
      </c>
      <c r="L70" s="48">
        <v>170700.41500000001</v>
      </c>
      <c r="M70" s="48">
        <v>167405.182</v>
      </c>
      <c r="N70" s="48">
        <v>177746.291</v>
      </c>
      <c r="O70" s="48">
        <v>166050.82800000001</v>
      </c>
    </row>
    <row r="71" spans="1:15" ht="15">
      <c r="A71" s="2" t="s">
        <v>73</v>
      </c>
      <c r="B71" s="2" t="s">
        <v>114</v>
      </c>
      <c r="C71" s="49">
        <v>0</v>
      </c>
      <c r="D71" s="49">
        <v>0</v>
      </c>
      <c r="E71" s="49">
        <v>0</v>
      </c>
      <c r="F71" s="49">
        <v>0</v>
      </c>
      <c r="G71" s="49">
        <v>0</v>
      </c>
      <c r="H71" s="49">
        <v>42807.000999999997</v>
      </c>
      <c r="I71" s="49">
        <v>44905.256999999998</v>
      </c>
      <c r="J71" s="49">
        <v>44000.857000000004</v>
      </c>
      <c r="K71" s="49">
        <v>44128.474000000002</v>
      </c>
      <c r="L71" s="49">
        <v>43841.434000000001</v>
      </c>
      <c r="M71" s="49">
        <v>42356.087</v>
      </c>
      <c r="N71" s="49">
        <v>45600.207999999999</v>
      </c>
      <c r="O71" s="49">
        <v>42799.805999999997</v>
      </c>
    </row>
    <row r="72" spans="1:15" ht="15">
      <c r="A72" s="2" t="s">
        <v>76</v>
      </c>
      <c r="B72" s="2" t="s">
        <v>113</v>
      </c>
      <c r="C72" s="48">
        <v>139278.51800000001</v>
      </c>
      <c r="D72" s="48">
        <v>119687.31600000001</v>
      </c>
      <c r="E72" s="48">
        <v>129362.606</v>
      </c>
      <c r="F72" s="48">
        <v>124966.245</v>
      </c>
      <c r="G72" s="48">
        <v>113169.772</v>
      </c>
      <c r="H72" s="48">
        <v>120101.86900000001</v>
      </c>
      <c r="I72" s="48">
        <v>124916.25</v>
      </c>
      <c r="J72" s="48">
        <v>127331.08</v>
      </c>
      <c r="K72" s="48">
        <v>127849.189</v>
      </c>
      <c r="L72" s="48">
        <v>125176.05499999999</v>
      </c>
      <c r="M72" s="48">
        <v>126337.467</v>
      </c>
      <c r="N72" s="48">
        <v>134354.01199999999</v>
      </c>
      <c r="O72" s="48">
        <v>123991.93</v>
      </c>
    </row>
    <row r="73" spans="1:15" ht="15">
      <c r="A73" s="2" t="s">
        <v>76</v>
      </c>
      <c r="B73" s="2" t="s">
        <v>114</v>
      </c>
      <c r="C73" s="49">
        <v>22817.128000000001</v>
      </c>
      <c r="D73" s="49">
        <v>22880.722000000002</v>
      </c>
      <c r="E73" s="49">
        <v>23282.203000000001</v>
      </c>
      <c r="F73" s="49">
        <v>23678.011999999999</v>
      </c>
      <c r="G73" s="49">
        <v>23889.965</v>
      </c>
      <c r="H73" s="49">
        <v>24187.556</v>
      </c>
      <c r="I73" s="49">
        <v>24570.184000000001</v>
      </c>
      <c r="J73" s="49">
        <v>24759.739000000001</v>
      </c>
      <c r="K73" s="49">
        <v>24951.543000000001</v>
      </c>
      <c r="L73" s="49">
        <v>24817.367999999999</v>
      </c>
      <c r="M73" s="49">
        <v>24815.917000000001</v>
      </c>
      <c r="N73" s="49">
        <v>25867.91</v>
      </c>
      <c r="O73" s="49">
        <v>24523.888999999999</v>
      </c>
    </row>
    <row r="74" spans="1:15" ht="15">
      <c r="A74" s="2" t="s">
        <v>78</v>
      </c>
      <c r="B74" s="2" t="s">
        <v>113</v>
      </c>
      <c r="C74" s="48">
        <v>1315338.456</v>
      </c>
      <c r="D74" s="48">
        <v>975482.91700000002</v>
      </c>
      <c r="E74" s="48">
        <v>1069788.452</v>
      </c>
      <c r="F74" s="48">
        <v>1072691.6270000001</v>
      </c>
      <c r="G74" s="48">
        <v>897800.45900000003</v>
      </c>
      <c r="H74" s="48">
        <v>951651.66200000001</v>
      </c>
      <c r="I74" s="48">
        <v>980155.8</v>
      </c>
      <c r="J74" s="48">
        <v>955700.201</v>
      </c>
      <c r="K74" s="48">
        <v>1001034.412</v>
      </c>
      <c r="L74" s="48">
        <v>992761.06</v>
      </c>
      <c r="M74" s="48" t="s">
        <v>21</v>
      </c>
      <c r="N74" s="48" t="s">
        <v>21</v>
      </c>
      <c r="O74" s="48" t="s">
        <v>21</v>
      </c>
    </row>
    <row r="75" spans="1:15" ht="15">
      <c r="A75" s="2" t="s">
        <v>78</v>
      </c>
      <c r="B75" s="2" t="s">
        <v>114</v>
      </c>
      <c r="C75" s="49">
        <v>270407.99300000002</v>
      </c>
      <c r="D75" s="49">
        <v>284576.09499999997</v>
      </c>
      <c r="E75" s="49">
        <v>306520.76400000002</v>
      </c>
      <c r="F75" s="49">
        <v>321283.32400000002</v>
      </c>
      <c r="G75" s="49">
        <v>275193.701</v>
      </c>
      <c r="H75" s="49">
        <v>281338.76</v>
      </c>
      <c r="I75" s="49">
        <v>287486.56599999999</v>
      </c>
      <c r="J75" s="49">
        <v>264390.25699999998</v>
      </c>
      <c r="K75" s="49">
        <v>282649.565</v>
      </c>
      <c r="L75" s="49">
        <v>280723.41499999998</v>
      </c>
      <c r="M75" s="49" t="s">
        <v>21</v>
      </c>
      <c r="N75" s="49" t="s">
        <v>21</v>
      </c>
      <c r="O75" s="49" t="s">
        <v>21</v>
      </c>
    </row>
    <row r="76" spans="1:15" ht="15">
      <c r="A76" s="2" t="s">
        <v>79</v>
      </c>
      <c r="B76" s="2" t="s">
        <v>113</v>
      </c>
      <c r="C76" s="48">
        <v>0</v>
      </c>
      <c r="D76" s="48">
        <v>0</v>
      </c>
      <c r="E76" s="48">
        <v>0</v>
      </c>
      <c r="F76" s="48">
        <v>0</v>
      </c>
      <c r="G76" s="48">
        <v>23448.696</v>
      </c>
      <c r="H76" s="48">
        <v>28326.991000000002</v>
      </c>
      <c r="I76" s="48">
        <v>29310.017</v>
      </c>
      <c r="J76" s="48">
        <v>25380.108</v>
      </c>
      <c r="K76" s="48">
        <v>52592.163999999997</v>
      </c>
      <c r="L76" s="48">
        <v>51078.451999999997</v>
      </c>
      <c r="M76" s="48">
        <v>55337.678999999996</v>
      </c>
      <c r="N76" s="48">
        <v>54383.667000000001</v>
      </c>
      <c r="O76" s="48">
        <v>56451.610999999997</v>
      </c>
    </row>
    <row r="77" spans="1:15" ht="15">
      <c r="A77" s="2" t="s">
        <v>79</v>
      </c>
      <c r="B77" s="2" t="s">
        <v>114</v>
      </c>
      <c r="C77" s="49">
        <v>0</v>
      </c>
      <c r="D77" s="49">
        <v>0</v>
      </c>
      <c r="E77" s="49">
        <v>0</v>
      </c>
      <c r="F77" s="49">
        <v>0</v>
      </c>
      <c r="G77" s="49">
        <v>6413.1</v>
      </c>
      <c r="H77" s="49">
        <v>6665.8</v>
      </c>
      <c r="I77" s="49">
        <v>6687.4</v>
      </c>
      <c r="J77" s="49">
        <v>6710.2</v>
      </c>
      <c r="K77" s="49">
        <v>6883.9290000000001</v>
      </c>
      <c r="L77" s="49">
        <v>6957.0690000000004</v>
      </c>
      <c r="M77" s="49">
        <v>7096.1629999999996</v>
      </c>
      <c r="N77" s="49">
        <v>7284.7529999999997</v>
      </c>
      <c r="O77" s="49">
        <v>7295.6809999999996</v>
      </c>
    </row>
    <row r="78" spans="1:15" ht="15">
      <c r="A78" s="2" t="s">
        <v>80</v>
      </c>
      <c r="B78" s="2" t="s">
        <v>113</v>
      </c>
      <c r="C78" s="48">
        <v>5117.21</v>
      </c>
      <c r="D78" s="48">
        <v>4917.38</v>
      </c>
      <c r="E78" s="48">
        <v>5095.68</v>
      </c>
      <c r="F78" s="48">
        <v>4856.91</v>
      </c>
      <c r="G78" s="48">
        <v>4658.75</v>
      </c>
      <c r="H78" s="48">
        <v>4824.87</v>
      </c>
      <c r="I78" s="48">
        <v>4805.46</v>
      </c>
      <c r="J78" s="48">
        <v>4758.8220000000001</v>
      </c>
      <c r="K78" s="48">
        <v>4472.6499999999996</v>
      </c>
      <c r="L78" s="48">
        <v>4410.0079999999998</v>
      </c>
      <c r="M78" s="48">
        <v>4514.7790000000005</v>
      </c>
      <c r="N78" s="48">
        <v>4704.7280000000001</v>
      </c>
      <c r="O78" s="48">
        <v>4480.348</v>
      </c>
    </row>
    <row r="79" spans="1:15" ht="15">
      <c r="A79" s="2" t="s">
        <v>80</v>
      </c>
      <c r="B79" s="2" t="s">
        <v>114</v>
      </c>
      <c r="C79" s="49">
        <v>1647.02</v>
      </c>
      <c r="D79" s="49">
        <v>1574.36</v>
      </c>
      <c r="E79" s="49">
        <v>1683.86</v>
      </c>
      <c r="F79" s="49">
        <v>1625.88</v>
      </c>
      <c r="G79" s="49">
        <v>1525.92</v>
      </c>
      <c r="H79" s="49">
        <v>1549.72</v>
      </c>
      <c r="I79" s="49">
        <v>1549.78</v>
      </c>
      <c r="J79" s="49">
        <v>1533.16</v>
      </c>
      <c r="K79" s="49">
        <v>1452.66</v>
      </c>
      <c r="L79" s="49">
        <v>1453.08</v>
      </c>
      <c r="M79" s="49">
        <v>1325.9</v>
      </c>
      <c r="N79" s="49">
        <v>1537.56</v>
      </c>
      <c r="O79" s="49">
        <v>1509.0440000000001</v>
      </c>
    </row>
    <row r="80" spans="1:15" ht="15">
      <c r="A80" s="2" t="s">
        <v>81</v>
      </c>
      <c r="B80" s="2" t="s">
        <v>113</v>
      </c>
      <c r="C80" s="48">
        <v>0</v>
      </c>
      <c r="D80" s="48">
        <v>0</v>
      </c>
      <c r="E80" s="48">
        <v>0</v>
      </c>
      <c r="F80" s="48">
        <v>0</v>
      </c>
      <c r="G80" s="48">
        <v>0</v>
      </c>
      <c r="H80" s="48">
        <v>0</v>
      </c>
      <c r="I80" s="48">
        <v>0</v>
      </c>
      <c r="J80" s="48">
        <v>38924.243000000002</v>
      </c>
      <c r="K80" s="48">
        <v>39894.972999999998</v>
      </c>
      <c r="L80" s="48">
        <v>35380.574000000001</v>
      </c>
      <c r="M80" s="48">
        <v>35680.322999999997</v>
      </c>
      <c r="N80" s="48">
        <v>38628.877999999997</v>
      </c>
      <c r="O80" s="48">
        <v>31045.034</v>
      </c>
    </row>
    <row r="81" spans="1:15" ht="15">
      <c r="A81" s="2" t="s">
        <v>81</v>
      </c>
      <c r="B81" s="2" t="s">
        <v>114</v>
      </c>
      <c r="C81" s="49">
        <v>0</v>
      </c>
      <c r="D81" s="49">
        <v>0</v>
      </c>
      <c r="E81" s="49">
        <v>0</v>
      </c>
      <c r="F81" s="49">
        <v>0</v>
      </c>
      <c r="G81" s="49">
        <v>0</v>
      </c>
      <c r="H81" s="49">
        <v>0</v>
      </c>
      <c r="I81" s="49">
        <v>0</v>
      </c>
      <c r="J81" s="49">
        <v>5592.34</v>
      </c>
      <c r="K81" s="49">
        <v>5684.7209999999995</v>
      </c>
      <c r="L81" s="49">
        <v>5260.2759999999998</v>
      </c>
      <c r="M81" s="49">
        <v>5273.7030000000004</v>
      </c>
      <c r="N81" s="49">
        <v>4643.7830000000004</v>
      </c>
      <c r="O81" s="49">
        <v>3738</v>
      </c>
    </row>
    <row r="82" spans="1:15" ht="15">
      <c r="A82" s="2" t="s">
        <v>82</v>
      </c>
      <c r="B82" s="2" t="s">
        <v>113</v>
      </c>
      <c r="C82" s="48">
        <v>12176.421</v>
      </c>
      <c r="D82" s="48">
        <v>13614.605</v>
      </c>
      <c r="E82" s="48">
        <v>15045.763000000001</v>
      </c>
      <c r="F82" s="48">
        <v>13415.707</v>
      </c>
      <c r="G82" s="48">
        <v>14007.833000000001</v>
      </c>
      <c r="H82" s="48">
        <v>12460.103999999999</v>
      </c>
      <c r="I82" s="48">
        <v>12281.34</v>
      </c>
      <c r="J82" s="48">
        <v>12817.737999999999</v>
      </c>
      <c r="K82" s="48">
        <v>12238.852000000001</v>
      </c>
      <c r="L82" s="48">
        <v>14309.716</v>
      </c>
      <c r="M82" s="48">
        <v>14937.453</v>
      </c>
      <c r="N82" s="48">
        <v>15474.055</v>
      </c>
      <c r="O82" s="48">
        <v>14675.026</v>
      </c>
    </row>
    <row r="83" spans="1:15" ht="15">
      <c r="A83" s="2" t="s">
        <v>82</v>
      </c>
      <c r="B83" s="2" t="s">
        <v>114</v>
      </c>
      <c r="C83" s="49">
        <v>2788.2950000000001</v>
      </c>
      <c r="D83" s="49">
        <v>2691.72</v>
      </c>
      <c r="E83" s="49">
        <v>2584.9740000000002</v>
      </c>
      <c r="F83" s="49">
        <v>2603.8939999999998</v>
      </c>
      <c r="G83" s="49">
        <v>2500.6550000000002</v>
      </c>
      <c r="H83" s="49">
        <v>2596.194</v>
      </c>
      <c r="I83" s="49">
        <v>2631.9119999999998</v>
      </c>
      <c r="J83" s="49">
        <v>2546.989</v>
      </c>
      <c r="K83" s="49">
        <v>2527.748</v>
      </c>
      <c r="L83" s="49">
        <v>1898.5650000000001</v>
      </c>
      <c r="M83" s="49">
        <v>1920.02</v>
      </c>
      <c r="N83" s="49">
        <v>2102.8539999999998</v>
      </c>
      <c r="O83" s="49">
        <v>2064.1129999999998</v>
      </c>
    </row>
    <row r="84" spans="1:15" ht="15">
      <c r="A84" s="2" t="s">
        <v>83</v>
      </c>
      <c r="B84" s="2" t="s">
        <v>113</v>
      </c>
      <c r="C84" s="48">
        <v>0</v>
      </c>
      <c r="D84" s="48">
        <v>0</v>
      </c>
      <c r="E84" s="48">
        <v>0</v>
      </c>
      <c r="F84" s="48">
        <v>0</v>
      </c>
      <c r="G84" s="48">
        <v>0</v>
      </c>
      <c r="H84" s="48">
        <v>0</v>
      </c>
      <c r="I84" s="48">
        <v>31297.172999999999</v>
      </c>
      <c r="J84" s="48">
        <v>32325.593000000001</v>
      </c>
      <c r="K84" s="48">
        <v>28655.361000000001</v>
      </c>
      <c r="L84" s="48">
        <v>30469.935000000001</v>
      </c>
      <c r="M84" s="48">
        <v>33354.618999999999</v>
      </c>
      <c r="N84" s="48">
        <v>37244.559000000001</v>
      </c>
      <c r="O84" s="48">
        <v>33802.411</v>
      </c>
    </row>
    <row r="85" spans="1:15" ht="15">
      <c r="A85" s="2" t="s">
        <v>83</v>
      </c>
      <c r="B85" s="2" t="s">
        <v>114</v>
      </c>
      <c r="C85" s="49">
        <v>0</v>
      </c>
      <c r="D85" s="49">
        <v>0</v>
      </c>
      <c r="E85" s="49">
        <v>0</v>
      </c>
      <c r="F85" s="49">
        <v>0</v>
      </c>
      <c r="G85" s="49">
        <v>0</v>
      </c>
      <c r="H85" s="49">
        <v>0</v>
      </c>
      <c r="I85" s="49">
        <v>6197.61</v>
      </c>
      <c r="J85" s="49">
        <v>6322.201</v>
      </c>
      <c r="K85" s="49">
        <v>6225.402</v>
      </c>
      <c r="L85" s="49">
        <v>7006.9229999999998</v>
      </c>
      <c r="M85" s="49">
        <v>8033.25</v>
      </c>
      <c r="N85" s="49">
        <v>10587.891</v>
      </c>
      <c r="O85" s="49">
        <v>10929.198</v>
      </c>
    </row>
    <row r="86" spans="1:15" ht="15">
      <c r="A86" s="2" t="s">
        <v>84</v>
      </c>
      <c r="B86" s="2" t="s">
        <v>113</v>
      </c>
      <c r="C86" s="48">
        <v>6657.9</v>
      </c>
      <c r="D86" s="48">
        <v>6522.8370000000004</v>
      </c>
      <c r="E86" s="48">
        <v>6809.7569999999996</v>
      </c>
      <c r="F86" s="48">
        <v>7566.3180000000002</v>
      </c>
      <c r="G86" s="48">
        <v>7449.3360000000002</v>
      </c>
      <c r="H86" s="48">
        <v>7146.3980000000001</v>
      </c>
      <c r="I86" s="48">
        <v>6822.7650000000003</v>
      </c>
      <c r="J86" s="48">
        <v>6527.8770000000004</v>
      </c>
      <c r="K86" s="48">
        <v>6667.12</v>
      </c>
      <c r="L86" s="48">
        <v>6838.125</v>
      </c>
      <c r="M86" s="48">
        <v>7308.3580000000002</v>
      </c>
      <c r="N86" s="48">
        <v>7399.6940000000004</v>
      </c>
      <c r="O86" s="48">
        <v>7113.317</v>
      </c>
    </row>
    <row r="87" spans="1:15" ht="15">
      <c r="A87" s="2" t="s">
        <v>84</v>
      </c>
      <c r="B87" s="2" t="s">
        <v>114</v>
      </c>
      <c r="C87" s="49">
        <v>4099.2049999999999</v>
      </c>
      <c r="D87" s="49">
        <v>4016.0349999999999</v>
      </c>
      <c r="E87" s="49">
        <v>4192.701</v>
      </c>
      <c r="F87" s="49">
        <v>4845.1949999999997</v>
      </c>
      <c r="G87" s="49">
        <v>4563.6769999999997</v>
      </c>
      <c r="H87" s="49">
        <v>4684.97</v>
      </c>
      <c r="I87" s="49">
        <v>4497.1629999999996</v>
      </c>
      <c r="J87" s="49">
        <v>4403.8109999999997</v>
      </c>
      <c r="K87" s="49">
        <v>4538.0919999999996</v>
      </c>
      <c r="L87" s="49">
        <v>4934.1989999999996</v>
      </c>
      <c r="M87" s="49">
        <v>5287.1779999999999</v>
      </c>
      <c r="N87" s="49">
        <v>5358.0290000000005</v>
      </c>
      <c r="O87" s="49">
        <v>5202.2550000000001</v>
      </c>
    </row>
    <row r="88" spans="1:15" ht="15">
      <c r="A88" s="2" t="s">
        <v>85</v>
      </c>
      <c r="B88" s="2" t="s">
        <v>113</v>
      </c>
      <c r="C88" s="48">
        <v>85386.796000000002</v>
      </c>
      <c r="D88" s="48">
        <v>84011.527000000002</v>
      </c>
      <c r="E88" s="48">
        <v>82412.148000000001</v>
      </c>
      <c r="F88" s="48">
        <v>72281.323000000004</v>
      </c>
      <c r="G88" s="48">
        <v>68583.23</v>
      </c>
      <c r="H88" s="48">
        <v>71232.688999999998</v>
      </c>
      <c r="I88" s="48">
        <v>75961.364000000001</v>
      </c>
      <c r="J88" s="48">
        <v>72647.175000000003</v>
      </c>
      <c r="K88" s="48">
        <v>73458.067999999999</v>
      </c>
      <c r="L88" s="48">
        <v>73527.027000000002</v>
      </c>
      <c r="M88" s="48">
        <v>97435.964000000007</v>
      </c>
      <c r="N88" s="48">
        <v>98265.578999999998</v>
      </c>
      <c r="O88" s="48">
        <v>94101.014999999999</v>
      </c>
    </row>
    <row r="89" spans="1:15" ht="15">
      <c r="A89" s="2" t="s">
        <v>85</v>
      </c>
      <c r="B89" s="2" t="s">
        <v>114</v>
      </c>
      <c r="C89" s="49">
        <v>18326.66</v>
      </c>
      <c r="D89" s="49">
        <v>18473.246999999999</v>
      </c>
      <c r="E89" s="49">
        <v>18227.606</v>
      </c>
      <c r="F89" s="49">
        <v>17682.393</v>
      </c>
      <c r="G89" s="49">
        <v>17137.939999999999</v>
      </c>
      <c r="H89" s="49">
        <v>17510.383999999998</v>
      </c>
      <c r="I89" s="49">
        <v>17411.494999999999</v>
      </c>
      <c r="J89" s="49">
        <v>17313.544999999998</v>
      </c>
      <c r="K89" s="49">
        <v>16850.037</v>
      </c>
      <c r="L89" s="49">
        <v>16748.859</v>
      </c>
      <c r="M89" s="49">
        <v>17380.151000000002</v>
      </c>
      <c r="N89" s="49">
        <v>17658.722000000002</v>
      </c>
      <c r="O89" s="49">
        <v>16985.419999999998</v>
      </c>
    </row>
    <row r="90" spans="1:15" ht="15">
      <c r="A90" s="2" t="s">
        <v>86</v>
      </c>
      <c r="B90" s="2" t="s">
        <v>113</v>
      </c>
      <c r="C90" s="48" t="s">
        <v>21</v>
      </c>
      <c r="D90" s="48" t="s">
        <v>21</v>
      </c>
      <c r="E90" s="48" t="s">
        <v>21</v>
      </c>
      <c r="F90" s="48" t="s">
        <v>21</v>
      </c>
      <c r="G90" s="48" t="s">
        <v>21</v>
      </c>
      <c r="H90" s="48" t="s">
        <v>21</v>
      </c>
      <c r="I90" s="48" t="s">
        <v>21</v>
      </c>
      <c r="J90" s="48" t="s">
        <v>21</v>
      </c>
      <c r="K90" s="48" t="s">
        <v>21</v>
      </c>
      <c r="L90" s="48" t="s">
        <v>21</v>
      </c>
      <c r="M90" s="48" t="s">
        <v>21</v>
      </c>
      <c r="N90" s="48" t="s">
        <v>21</v>
      </c>
      <c r="O90" s="48">
        <v>841621.978</v>
      </c>
    </row>
    <row r="91" spans="1:15" ht="15">
      <c r="A91" s="2" t="s">
        <v>86</v>
      </c>
      <c r="B91" s="2" t="s">
        <v>114</v>
      </c>
      <c r="C91" s="49" t="s">
        <v>21</v>
      </c>
      <c r="D91" s="49" t="s">
        <v>21</v>
      </c>
      <c r="E91" s="49" t="s">
        <v>21</v>
      </c>
      <c r="F91" s="49" t="s">
        <v>21</v>
      </c>
      <c r="G91" s="49" t="s">
        <v>21</v>
      </c>
      <c r="H91" s="49" t="s">
        <v>21</v>
      </c>
      <c r="I91" s="49" t="s">
        <v>21</v>
      </c>
      <c r="J91" s="49" t="s">
        <v>21</v>
      </c>
      <c r="K91" s="49" t="s">
        <v>21</v>
      </c>
      <c r="L91" s="49" t="s">
        <v>21</v>
      </c>
      <c r="M91" s="49" t="s">
        <v>21</v>
      </c>
      <c r="N91" s="49" t="s">
        <v>21</v>
      </c>
      <c r="O91" s="49">
        <v>153326.86499999999</v>
      </c>
    </row>
    <row r="92" spans="1:15" ht="15">
      <c r="A92" s="2" t="s">
        <v>87</v>
      </c>
      <c r="B92" s="2" t="s">
        <v>113</v>
      </c>
      <c r="C92" s="48" t="s">
        <v>21</v>
      </c>
      <c r="D92" s="48" t="s">
        <v>21</v>
      </c>
      <c r="E92" s="48" t="s">
        <v>21</v>
      </c>
      <c r="F92" s="48" t="s">
        <v>21</v>
      </c>
      <c r="G92" s="48" t="s">
        <v>21</v>
      </c>
      <c r="H92" s="48" t="s">
        <v>21</v>
      </c>
      <c r="I92" s="48">
        <v>409222.62400000001</v>
      </c>
      <c r="J92" s="48">
        <v>356941.43900000001</v>
      </c>
      <c r="K92" s="48">
        <v>370636.17099999997</v>
      </c>
      <c r="L92" s="48">
        <v>310199.875</v>
      </c>
      <c r="M92" s="48">
        <v>285024.75300000003</v>
      </c>
      <c r="N92" s="48" t="s">
        <v>21</v>
      </c>
      <c r="O92" s="48" t="s">
        <v>21</v>
      </c>
    </row>
    <row r="93" spans="1:15" ht="15">
      <c r="A93" s="2" t="s">
        <v>87</v>
      </c>
      <c r="B93" s="2" t="s">
        <v>114</v>
      </c>
      <c r="C93" s="49" t="s">
        <v>21</v>
      </c>
      <c r="D93" s="49" t="s">
        <v>21</v>
      </c>
      <c r="E93" s="49" t="s">
        <v>21</v>
      </c>
      <c r="F93" s="49" t="s">
        <v>21</v>
      </c>
      <c r="G93" s="49" t="s">
        <v>21</v>
      </c>
      <c r="H93" s="49" t="s">
        <v>21</v>
      </c>
      <c r="I93" s="49">
        <v>93768.42</v>
      </c>
      <c r="J93" s="49">
        <v>90137.620999999999</v>
      </c>
      <c r="K93" s="49">
        <v>90243.986000000004</v>
      </c>
      <c r="L93" s="49">
        <v>82417.604999999996</v>
      </c>
      <c r="M93" s="49">
        <v>76552.493000000002</v>
      </c>
      <c r="N93" s="49" t="s">
        <v>21</v>
      </c>
      <c r="O93" s="49" t="s">
        <v>21</v>
      </c>
    </row>
    <row r="94" spans="1:15" ht="15">
      <c r="A94" s="2" t="s">
        <v>88</v>
      </c>
      <c r="B94" s="2" t="s">
        <v>113</v>
      </c>
      <c r="C94" s="48">
        <v>0</v>
      </c>
      <c r="D94" s="48">
        <v>0</v>
      </c>
      <c r="E94" s="48">
        <v>0</v>
      </c>
      <c r="F94" s="48">
        <v>0</v>
      </c>
      <c r="G94" s="48">
        <v>0</v>
      </c>
      <c r="H94" s="48">
        <v>0</v>
      </c>
      <c r="I94" s="48">
        <v>0</v>
      </c>
      <c r="J94" s="48">
        <v>16499.037</v>
      </c>
      <c r="K94" s="48">
        <v>17536.949000000001</v>
      </c>
      <c r="L94" s="48">
        <v>17196.215</v>
      </c>
      <c r="M94" s="48">
        <v>17087.464</v>
      </c>
      <c r="N94" s="48">
        <v>17752.656999999999</v>
      </c>
      <c r="O94" s="48">
        <v>13326.799000000001</v>
      </c>
    </row>
    <row r="95" spans="1:15" ht="15">
      <c r="A95" s="2" t="s">
        <v>88</v>
      </c>
      <c r="B95" s="2" t="s">
        <v>114</v>
      </c>
      <c r="C95" s="49">
        <v>0</v>
      </c>
      <c r="D95" s="49">
        <v>0</v>
      </c>
      <c r="E95" s="49">
        <v>0</v>
      </c>
      <c r="F95" s="49">
        <v>0</v>
      </c>
      <c r="G95" s="49">
        <v>0</v>
      </c>
      <c r="H95" s="49">
        <v>0</v>
      </c>
      <c r="I95" s="49">
        <v>0</v>
      </c>
      <c r="J95" s="49">
        <v>1575.616</v>
      </c>
      <c r="K95" s="49">
        <v>1620.029</v>
      </c>
      <c r="L95" s="49">
        <v>1738.6130000000001</v>
      </c>
      <c r="M95" s="49">
        <v>1912.8820000000001</v>
      </c>
      <c r="N95" s="49">
        <v>2323.7860000000001</v>
      </c>
      <c r="O95" s="49">
        <v>2355.5050000000001</v>
      </c>
    </row>
    <row r="97" spans="1:19" ht="15">
      <c r="A97" s="9" t="s">
        <v>18</v>
      </c>
      <c r="B97" s="47" t="s">
        <v>115</v>
      </c>
      <c r="C97" s="44">
        <f>IFERROR( SUMIFS(C$14:C$95, $A$14:$A$95,$A97,     $B$14:$B$95, "Final consumption - other sectors - households - energy use - water heating") / SUMIFS(C$14:C$95, $A$14:$A$95,$A97),  "-")</f>
        <v>0.16328934645255572</v>
      </c>
      <c r="D97" s="44">
        <f t="shared" ref="D97:O112" si="0">IFERROR( SUMIFS(D$14:D$95, $A$14:$A$95,$A97,     $B$14:$B$95, "Final consumption - other sectors - households - energy use - water heating") / SUMIFS(D$14:D$95, $A$14:$A$95,$A97),  "-")</f>
        <v>0.19132820790739025</v>
      </c>
      <c r="E97" s="44">
        <f t="shared" si="0"/>
        <v>0.17809681714874342</v>
      </c>
      <c r="F97" s="44">
        <f t="shared" si="0"/>
        <v>0.16226823791203904</v>
      </c>
      <c r="G97" s="44">
        <f t="shared" si="0"/>
        <v>0.19056058425786115</v>
      </c>
      <c r="H97" s="44">
        <f t="shared" si="0"/>
        <v>0.17967513266341656</v>
      </c>
      <c r="I97" s="44">
        <f t="shared" si="0"/>
        <v>0.17611314918814383</v>
      </c>
      <c r="J97" s="44">
        <f t="shared" si="0"/>
        <v>0.18022713506030985</v>
      </c>
      <c r="K97" s="44">
        <f t="shared" si="0"/>
        <v>0.18691968290009034</v>
      </c>
      <c r="L97" s="44">
        <f t="shared" si="0"/>
        <v>0.18691824403498647</v>
      </c>
      <c r="M97" s="44">
        <f t="shared" si="0"/>
        <v>0.19061971130473016</v>
      </c>
      <c r="N97" s="44">
        <f t="shared" si="0"/>
        <v>0.18041758877431824</v>
      </c>
      <c r="O97" s="44">
        <f t="shared" si="0"/>
        <v>0.18959840734129971</v>
      </c>
      <c r="S97" s="50">
        <f>AVERAGE(K97:O97)</f>
        <v>0.18689472687108499</v>
      </c>
    </row>
    <row r="98" spans="1:19" ht="15">
      <c r="A98" s="9" t="s">
        <v>17</v>
      </c>
      <c r="C98" s="44">
        <f t="shared" ref="C98:O131" si="1">IFERROR( SUMIFS(C$14:C$95, $A$14:$A$95,$A98,     $B$14:$B$95, "Final consumption - other sectors - households - energy use - water heating") / SUMIFS(C$14:C$95, $A$14:$A$95,$A98),  "-")</f>
        <v>0.16224355804637416</v>
      </c>
      <c r="D98" s="44">
        <f t="shared" si="0"/>
        <v>0.19066093888917543</v>
      </c>
      <c r="E98" s="44">
        <f t="shared" si="0"/>
        <v>0.17726500975325704</v>
      </c>
      <c r="F98" s="44">
        <f t="shared" si="0"/>
        <v>0.16123302036371159</v>
      </c>
      <c r="G98" s="44">
        <f t="shared" si="0"/>
        <v>0.1895315131046062</v>
      </c>
      <c r="H98" s="44">
        <f t="shared" si="0"/>
        <v>0.17492520112456456</v>
      </c>
      <c r="I98" s="44">
        <f t="shared" si="0"/>
        <v>0.17162714550344924</v>
      </c>
      <c r="J98" s="44">
        <f t="shared" si="0"/>
        <v>0.1766123405219279</v>
      </c>
      <c r="K98" s="44">
        <f t="shared" si="0"/>
        <v>0.18520505958661851</v>
      </c>
      <c r="L98" s="44">
        <f t="shared" si="0"/>
        <v>0.18341540504793069</v>
      </c>
      <c r="M98" s="44">
        <f t="shared" si="0"/>
        <v>0.18834650196351221</v>
      </c>
      <c r="N98" s="44">
        <f t="shared" si="0"/>
        <v>0.17509133617275682</v>
      </c>
      <c r="O98" s="44">
        <f t="shared" si="0"/>
        <v>0.18368494131672516</v>
      </c>
      <c r="S98" s="50">
        <f t="shared" ref="S98:S137" si="2">AVERAGE(K98:O98)</f>
        <v>0.1831486488175087</v>
      </c>
    </row>
    <row r="99" spans="1:19" ht="11.45" customHeight="1">
      <c r="A99" t="s">
        <v>16</v>
      </c>
      <c r="C99" s="44" t="str">
        <f t="shared" si="1"/>
        <v>-</v>
      </c>
      <c r="D99" s="44" t="str">
        <f t="shared" si="0"/>
        <v>-</v>
      </c>
      <c r="E99" s="44" t="str">
        <f t="shared" si="0"/>
        <v>-</v>
      </c>
      <c r="F99" s="44" t="str">
        <f t="shared" si="0"/>
        <v>-</v>
      </c>
      <c r="G99" s="44" t="str">
        <f t="shared" si="0"/>
        <v>-</v>
      </c>
      <c r="H99" s="44" t="str">
        <f t="shared" si="0"/>
        <v>-</v>
      </c>
      <c r="I99" s="44">
        <f t="shared" si="0"/>
        <v>0.13816616499472059</v>
      </c>
      <c r="J99" s="44">
        <f t="shared" si="0"/>
        <v>0.13888416490853209</v>
      </c>
      <c r="K99" s="44">
        <f t="shared" si="0"/>
        <v>0.1387573120125285</v>
      </c>
      <c r="L99" s="44">
        <f t="shared" si="0"/>
        <v>0.14112196173805036</v>
      </c>
      <c r="M99" s="44">
        <f t="shared" si="0"/>
        <v>0.14039018878208676</v>
      </c>
      <c r="N99" s="44">
        <f t="shared" si="0"/>
        <v>0.1274078028380593</v>
      </c>
      <c r="O99" s="44">
        <f t="shared" si="0"/>
        <v>0.16652432243413953</v>
      </c>
      <c r="S99" s="50">
        <f t="shared" si="2"/>
        <v>0.14284031756097287</v>
      </c>
    </row>
    <row r="100" spans="1:19" ht="11.45" customHeight="1">
      <c r="A100" t="s">
        <v>15</v>
      </c>
      <c r="C100" s="44">
        <f t="shared" si="1"/>
        <v>0.24533266916745153</v>
      </c>
      <c r="D100" s="44">
        <f t="shared" si="0"/>
        <v>0.2334237476615223</v>
      </c>
      <c r="E100" s="44">
        <f t="shared" si="0"/>
        <v>0.23481527239219724</v>
      </c>
      <c r="F100" s="44">
        <f t="shared" si="0"/>
        <v>0.24215187749928485</v>
      </c>
      <c r="G100" s="44">
        <f t="shared" si="0"/>
        <v>0.25915591475394906</v>
      </c>
      <c r="H100" s="44">
        <f t="shared" si="0"/>
        <v>0.25124179123334867</v>
      </c>
      <c r="I100" s="44">
        <f t="shared" si="0"/>
        <v>0.24552398625640043</v>
      </c>
      <c r="J100" s="44">
        <f t="shared" si="0"/>
        <v>0.24136643466171384</v>
      </c>
      <c r="K100" s="44">
        <f t="shared" si="0"/>
        <v>0.2543938201140018</v>
      </c>
      <c r="L100" s="44">
        <f t="shared" si="0"/>
        <v>0.25825563222351511</v>
      </c>
      <c r="M100" s="44">
        <f t="shared" si="0"/>
        <v>0.23841663861114815</v>
      </c>
      <c r="N100" s="44">
        <f t="shared" si="0"/>
        <v>0.24620186129086624</v>
      </c>
      <c r="O100" s="44">
        <f t="shared" si="0"/>
        <v>0.29493344039737257</v>
      </c>
      <c r="S100" s="50">
        <f t="shared" si="2"/>
        <v>0.25844027852738077</v>
      </c>
    </row>
    <row r="101" spans="1:19" ht="11.45" customHeight="1">
      <c r="A101" t="s">
        <v>63</v>
      </c>
      <c r="C101" s="44" t="str">
        <f t="shared" si="1"/>
        <v>-</v>
      </c>
      <c r="D101" s="44" t="str">
        <f t="shared" si="0"/>
        <v>-</v>
      </c>
      <c r="E101" s="44" t="str">
        <f t="shared" si="0"/>
        <v>-</v>
      </c>
      <c r="F101" s="44" t="str">
        <f t="shared" si="0"/>
        <v>-</v>
      </c>
      <c r="G101" s="44" t="str">
        <f t="shared" si="0"/>
        <v>-</v>
      </c>
      <c r="H101" s="44">
        <f t="shared" si="0"/>
        <v>0.20306626170930123</v>
      </c>
      <c r="I101" s="44">
        <f t="shared" si="0"/>
        <v>0.19279635456007346</v>
      </c>
      <c r="J101" s="44">
        <f t="shared" si="0"/>
        <v>0.19027678872943812</v>
      </c>
      <c r="K101" s="44">
        <f t="shared" si="0"/>
        <v>0.19907290360216326</v>
      </c>
      <c r="L101" s="44">
        <f t="shared" si="0"/>
        <v>0.19610925868374462</v>
      </c>
      <c r="M101" s="44">
        <f t="shared" si="0"/>
        <v>0.19403817865838763</v>
      </c>
      <c r="N101" s="44">
        <f t="shared" si="0"/>
        <v>0.17960429622504406</v>
      </c>
      <c r="O101" s="44">
        <f t="shared" si="0"/>
        <v>0.1819033522191095</v>
      </c>
      <c r="S101" s="50">
        <f t="shared" si="2"/>
        <v>0.19014559787768981</v>
      </c>
    </row>
    <row r="102" spans="1:19" ht="11.45" customHeight="1">
      <c r="A102" t="s">
        <v>14</v>
      </c>
      <c r="C102" s="44" t="str">
        <f t="shared" si="1"/>
        <v>-</v>
      </c>
      <c r="D102" s="44" t="str">
        <f t="shared" si="0"/>
        <v>-</v>
      </c>
      <c r="E102" s="44" t="str">
        <f t="shared" si="0"/>
        <v>-</v>
      </c>
      <c r="F102" s="44" t="str">
        <f t="shared" si="0"/>
        <v>-</v>
      </c>
      <c r="G102" s="44" t="str">
        <f t="shared" si="0"/>
        <v>-</v>
      </c>
      <c r="H102" s="44">
        <f t="shared" si="0"/>
        <v>0.26154913629566595</v>
      </c>
      <c r="I102" s="44">
        <f t="shared" si="0"/>
        <v>0.24941113289499192</v>
      </c>
      <c r="J102" s="44">
        <f t="shared" si="0"/>
        <v>0.25318162605911043</v>
      </c>
      <c r="K102" s="44">
        <f t="shared" si="0"/>
        <v>0.26083317399548012</v>
      </c>
      <c r="L102" s="44">
        <f t="shared" si="0"/>
        <v>0.27342894921294358</v>
      </c>
      <c r="M102" s="44">
        <f t="shared" si="0"/>
        <v>0.28015470862308328</v>
      </c>
      <c r="N102" s="44">
        <f t="shared" si="0"/>
        <v>0.26679887540129943</v>
      </c>
      <c r="O102" s="44">
        <f t="shared" si="0"/>
        <v>0.30196091054006841</v>
      </c>
      <c r="S102" s="50">
        <f t="shared" si="2"/>
        <v>0.27663532355457499</v>
      </c>
    </row>
    <row r="103" spans="1:19" ht="11.45" customHeight="1">
      <c r="A103" t="s">
        <v>64</v>
      </c>
      <c r="C103" s="44">
        <f t="shared" si="1"/>
        <v>0.17088293164579196</v>
      </c>
      <c r="D103" s="44">
        <f t="shared" si="0"/>
        <v>0.20454873280571148</v>
      </c>
      <c r="E103" s="44">
        <f t="shared" si="0"/>
        <v>0.19007761302904422</v>
      </c>
      <c r="F103" s="44">
        <f t="shared" si="0"/>
        <v>0.16461305228725359</v>
      </c>
      <c r="G103" s="44">
        <f t="shared" si="0"/>
        <v>0.19132209210299056</v>
      </c>
      <c r="H103" s="44">
        <f t="shared" si="0"/>
        <v>0.1817319779394323</v>
      </c>
      <c r="I103" s="44">
        <f t="shared" si="0"/>
        <v>0.17968914058674476</v>
      </c>
      <c r="J103" s="44">
        <f t="shared" si="0"/>
        <v>0.19068461406028203</v>
      </c>
      <c r="K103" s="44">
        <f t="shared" si="0"/>
        <v>0.2020900973212755</v>
      </c>
      <c r="L103" s="44">
        <f t="shared" si="0"/>
        <v>0.19928019206368208</v>
      </c>
      <c r="M103" s="44">
        <f t="shared" si="0"/>
        <v>0.19989468507676572</v>
      </c>
      <c r="N103" s="44">
        <f t="shared" si="0"/>
        <v>0.20225245107180048</v>
      </c>
      <c r="O103" s="44">
        <f t="shared" si="0"/>
        <v>0.20205071228153462</v>
      </c>
      <c r="S103" s="50">
        <f t="shared" si="2"/>
        <v>0.20111362756301171</v>
      </c>
    </row>
    <row r="104" spans="1:19" ht="11.45" customHeight="1">
      <c r="A104" t="s">
        <v>13</v>
      </c>
      <c r="C104" s="44">
        <f t="shared" si="1"/>
        <v>0.14040300924165275</v>
      </c>
      <c r="D104" s="44">
        <f t="shared" si="0"/>
        <v>0.14325728256245068</v>
      </c>
      <c r="E104" s="44">
        <f t="shared" si="0"/>
        <v>0.14182983755781578</v>
      </c>
      <c r="F104" s="44">
        <f t="shared" si="0"/>
        <v>0.14226137216351822</v>
      </c>
      <c r="G104" s="44">
        <f t="shared" si="0"/>
        <v>0.13894990615840871</v>
      </c>
      <c r="H104" s="44">
        <f t="shared" si="0"/>
        <v>0.13735935577503533</v>
      </c>
      <c r="I104" s="44">
        <f t="shared" si="0"/>
        <v>0.13883032111472543</v>
      </c>
      <c r="J104" s="44">
        <f t="shared" si="0"/>
        <v>0.13975629012404481</v>
      </c>
      <c r="K104" s="44">
        <f t="shared" si="0"/>
        <v>0.13977328288339749</v>
      </c>
      <c r="L104" s="44">
        <f t="shared" si="0"/>
        <v>0.13838073522540822</v>
      </c>
      <c r="M104" s="44">
        <f t="shared" si="0"/>
        <v>0.13915613916234032</v>
      </c>
      <c r="N104" s="44">
        <f t="shared" si="0"/>
        <v>0.14027419793955315</v>
      </c>
      <c r="O104" s="44">
        <f t="shared" si="0"/>
        <v>0.13960178802388015</v>
      </c>
      <c r="S104" s="50">
        <f t="shared" si="2"/>
        <v>0.13943722864691585</v>
      </c>
    </row>
    <row r="105" spans="1:19" ht="11.45" customHeight="1">
      <c r="A105" t="s">
        <v>65</v>
      </c>
      <c r="C105" s="44" t="str">
        <f t="shared" si="1"/>
        <v>-</v>
      </c>
      <c r="D105" s="44" t="str">
        <f t="shared" si="0"/>
        <v>-</v>
      </c>
      <c r="E105" s="44" t="str">
        <f t="shared" si="0"/>
        <v>-</v>
      </c>
      <c r="F105" s="44" t="str">
        <f t="shared" si="0"/>
        <v>-</v>
      </c>
      <c r="G105" s="44" t="str">
        <f t="shared" si="0"/>
        <v>-</v>
      </c>
      <c r="H105" s="44">
        <f t="shared" si="0"/>
        <v>0.22812590812913155</v>
      </c>
      <c r="I105" s="44">
        <f t="shared" si="0"/>
        <v>0.22815509285904928</v>
      </c>
      <c r="J105" s="44">
        <f t="shared" si="0"/>
        <v>0.24768898813168314</v>
      </c>
      <c r="K105" s="44">
        <f t="shared" si="0"/>
        <v>0.23613133868795103</v>
      </c>
      <c r="L105" s="44">
        <f t="shared" si="0"/>
        <v>0.24483486739488713</v>
      </c>
      <c r="M105" s="44">
        <f t="shared" si="0"/>
        <v>0.24426442031220855</v>
      </c>
      <c r="N105" s="44">
        <f t="shared" si="0"/>
        <v>0.24711012202207794</v>
      </c>
      <c r="O105" s="44">
        <f t="shared" si="0"/>
        <v>0.2660123147131736</v>
      </c>
      <c r="S105" s="50">
        <f t="shared" si="2"/>
        <v>0.24767061262605963</v>
      </c>
    </row>
    <row r="106" spans="1:19" ht="11.45" customHeight="1">
      <c r="A106" t="s">
        <v>12</v>
      </c>
      <c r="C106" s="44" t="str">
        <f t="shared" si="1"/>
        <v>-</v>
      </c>
      <c r="D106" s="44" t="str">
        <f t="shared" si="0"/>
        <v>-</v>
      </c>
      <c r="E106" s="44" t="str">
        <f t="shared" si="0"/>
        <v>-</v>
      </c>
      <c r="F106" s="44">
        <f t="shared" si="0"/>
        <v>0.15708523920805259</v>
      </c>
      <c r="G106" s="44" t="str">
        <f t="shared" si="0"/>
        <v>-</v>
      </c>
      <c r="H106" s="44">
        <f t="shared" si="0"/>
        <v>0.15428221967270542</v>
      </c>
      <c r="I106" s="44">
        <f t="shared" si="0"/>
        <v>0.17878245661565126</v>
      </c>
      <c r="J106" s="44">
        <f t="shared" si="0"/>
        <v>0.19149197173127974</v>
      </c>
      <c r="K106" s="44">
        <f t="shared" si="0"/>
        <v>0.22146005104488029</v>
      </c>
      <c r="L106" s="44">
        <f t="shared" si="0"/>
        <v>0.1932230885681934</v>
      </c>
      <c r="M106" s="44">
        <f t="shared" si="0"/>
        <v>0.19766137713446907</v>
      </c>
      <c r="N106" s="44">
        <f t="shared" si="0"/>
        <v>0.2071199870978995</v>
      </c>
      <c r="O106" s="44">
        <f t="shared" si="0"/>
        <v>0.21150524929938547</v>
      </c>
      <c r="S106" s="50">
        <f t="shared" si="2"/>
        <v>0.20619395062896553</v>
      </c>
    </row>
    <row r="107" spans="1:19" ht="11.45" customHeight="1">
      <c r="A107" t="s">
        <v>11</v>
      </c>
      <c r="C107" s="44">
        <f t="shared" si="1"/>
        <v>0.30904528576388512</v>
      </c>
      <c r="D107" s="44">
        <f t="shared" si="0"/>
        <v>0.30056433295343482</v>
      </c>
      <c r="E107" s="44">
        <f t="shared" si="0"/>
        <v>0.30451204940486504</v>
      </c>
      <c r="F107" s="44">
        <f t="shared" si="0"/>
        <v>0.2953156598958368</v>
      </c>
      <c r="G107" s="44">
        <f t="shared" si="0"/>
        <v>0.29128501876942514</v>
      </c>
      <c r="H107" s="44">
        <f t="shared" si="0"/>
        <v>0.28894142908749626</v>
      </c>
      <c r="I107" s="44">
        <f t="shared" si="0"/>
        <v>0.32019006107286041</v>
      </c>
      <c r="J107" s="44">
        <f t="shared" si="0"/>
        <v>0.32079163593188459</v>
      </c>
      <c r="K107" s="44">
        <f t="shared" si="0"/>
        <v>0.32651691396689747</v>
      </c>
      <c r="L107" s="44">
        <f t="shared" si="0"/>
        <v>0.3268434124974523</v>
      </c>
      <c r="M107" s="44">
        <f t="shared" si="0"/>
        <v>0.32404613609995264</v>
      </c>
      <c r="N107" s="44">
        <f t="shared" si="0"/>
        <v>0.32975436428706206</v>
      </c>
      <c r="O107" s="44">
        <f t="shared" si="0"/>
        <v>0.32627345478572645</v>
      </c>
      <c r="S107" s="50">
        <f t="shared" si="2"/>
        <v>0.32668685632741817</v>
      </c>
    </row>
    <row r="108" spans="1:19" ht="11.45" customHeight="1">
      <c r="A108" t="s">
        <v>10</v>
      </c>
      <c r="C108" s="44">
        <f t="shared" si="1"/>
        <v>0.10254395038492056</v>
      </c>
      <c r="D108" s="44">
        <f t="shared" si="0"/>
        <v>0.13590320130952824</v>
      </c>
      <c r="E108" s="44">
        <f t="shared" si="0"/>
        <v>0.11936895864846626</v>
      </c>
      <c r="F108" s="44">
        <f t="shared" si="0"/>
        <v>0.11328858423457301</v>
      </c>
      <c r="G108" s="44">
        <f t="shared" si="0"/>
        <v>0.14269030312286607</v>
      </c>
      <c r="H108" s="44">
        <f t="shared" si="0"/>
        <v>0.13385009450273391</v>
      </c>
      <c r="I108" s="44">
        <f t="shared" si="0"/>
        <v>0.12803386889543764</v>
      </c>
      <c r="J108" s="44">
        <f t="shared" si="0"/>
        <v>0.13320322526062695</v>
      </c>
      <c r="K108" s="44">
        <f t="shared" si="0"/>
        <v>0.1393449451713033</v>
      </c>
      <c r="L108" s="44">
        <f t="shared" si="0"/>
        <v>0.13878941828421995</v>
      </c>
      <c r="M108" s="44">
        <f t="shared" si="0"/>
        <v>0.15236087332291467</v>
      </c>
      <c r="N108" s="44">
        <f t="shared" si="0"/>
        <v>0.1308996039777838</v>
      </c>
      <c r="O108" s="44">
        <f t="shared" si="0"/>
        <v>0.13241022207419018</v>
      </c>
      <c r="S108" s="50">
        <f t="shared" si="2"/>
        <v>0.13876101256608236</v>
      </c>
    </row>
    <row r="109" spans="1:19" ht="11.45" customHeight="1">
      <c r="A109" t="s">
        <v>66</v>
      </c>
      <c r="C109" s="44">
        <f t="shared" si="1"/>
        <v>0.12880889785305122</v>
      </c>
      <c r="D109" s="44">
        <f t="shared" si="0"/>
        <v>0.12703237990966557</v>
      </c>
      <c r="E109" s="44">
        <f t="shared" si="0"/>
        <v>0.12985148947574685</v>
      </c>
      <c r="F109" s="44">
        <f t="shared" si="0"/>
        <v>0.12913424146439273</v>
      </c>
      <c r="G109" s="44">
        <f t="shared" si="0"/>
        <v>0.14034353737592861</v>
      </c>
      <c r="H109" s="44">
        <f t="shared" si="0"/>
        <v>0.12260103785360299</v>
      </c>
      <c r="I109" s="44">
        <f t="shared" si="0"/>
        <v>0.12030600627917505</v>
      </c>
      <c r="J109" s="44">
        <f t="shared" si="0"/>
        <v>0.12701207653845328</v>
      </c>
      <c r="K109" s="44">
        <f t="shared" si="0"/>
        <v>0.12961514212605355</v>
      </c>
      <c r="L109" s="44">
        <f t="shared" si="0"/>
        <v>0.12801717266646637</v>
      </c>
      <c r="M109" s="44">
        <f t="shared" si="0"/>
        <v>0.12428640117343751</v>
      </c>
      <c r="N109" s="44">
        <f t="shared" si="0"/>
        <v>0.12373909399350434</v>
      </c>
      <c r="O109" s="44">
        <f t="shared" si="0"/>
        <v>0.13108584650460708</v>
      </c>
      <c r="S109" s="50">
        <f t="shared" si="2"/>
        <v>0.12734873129281377</v>
      </c>
    </row>
    <row r="110" spans="1:19" ht="11.45" customHeight="1">
      <c r="A110" t="s">
        <v>9</v>
      </c>
      <c r="C110" s="44" t="str">
        <f t="shared" si="1"/>
        <v>-</v>
      </c>
      <c r="D110" s="44" t="str">
        <f t="shared" si="0"/>
        <v>-</v>
      </c>
      <c r="E110" s="44" t="str">
        <f t="shared" si="0"/>
        <v>-</v>
      </c>
      <c r="F110" s="44" t="str">
        <f t="shared" si="0"/>
        <v>-</v>
      </c>
      <c r="G110" s="44" t="str">
        <f t="shared" si="0"/>
        <v>-</v>
      </c>
      <c r="H110" s="44">
        <f t="shared" si="0"/>
        <v>0.14797340635972564</v>
      </c>
      <c r="I110" s="44">
        <f t="shared" si="0"/>
        <v>0.14893014148020267</v>
      </c>
      <c r="J110" s="44">
        <f t="shared" si="0"/>
        <v>0.14873911290126901</v>
      </c>
      <c r="K110" s="44">
        <f t="shared" si="0"/>
        <v>0.15670393371885405</v>
      </c>
      <c r="L110" s="44">
        <f t="shared" si="0"/>
        <v>0.1537024087793864</v>
      </c>
      <c r="M110" s="44">
        <f t="shared" si="0"/>
        <v>0.15697253901250557</v>
      </c>
      <c r="N110" s="44">
        <f t="shared" si="0"/>
        <v>0.12435357749314303</v>
      </c>
      <c r="O110" s="44">
        <f t="shared" si="0"/>
        <v>0.13474616518832019</v>
      </c>
      <c r="S110" s="50">
        <f t="shared" si="2"/>
        <v>0.14529572483844183</v>
      </c>
    </row>
    <row r="111" spans="1:19" ht="11.45" customHeight="1">
      <c r="A111" t="s">
        <v>67</v>
      </c>
      <c r="C111" s="44" t="str">
        <f t="shared" si="1"/>
        <v>-</v>
      </c>
      <c r="D111" s="44" t="str">
        <f t="shared" si="0"/>
        <v>-</v>
      </c>
      <c r="E111" s="44" t="str">
        <f t="shared" si="0"/>
        <v>-</v>
      </c>
      <c r="F111" s="44" t="str">
        <f t="shared" si="0"/>
        <v>-</v>
      </c>
      <c r="G111" s="44" t="str">
        <f t="shared" si="0"/>
        <v>-</v>
      </c>
      <c r="H111" s="44" t="str">
        <f t="shared" si="0"/>
        <v>-</v>
      </c>
      <c r="I111" s="44" t="str">
        <f t="shared" si="0"/>
        <v>-</v>
      </c>
      <c r="J111" s="44" t="str">
        <f t="shared" si="0"/>
        <v>-</v>
      </c>
      <c r="K111" s="44">
        <f t="shared" si="0"/>
        <v>0.40753391427996993</v>
      </c>
      <c r="L111" s="44">
        <f t="shared" si="0"/>
        <v>0.37723654914061622</v>
      </c>
      <c r="M111" s="44">
        <f t="shared" si="0"/>
        <v>0.38075645102726091</v>
      </c>
      <c r="N111" s="44">
        <f t="shared" si="0"/>
        <v>0.40210946028066791</v>
      </c>
      <c r="O111" s="44">
        <f t="shared" si="0"/>
        <v>0.3842478934444955</v>
      </c>
      <c r="S111" s="50">
        <f t="shared" si="2"/>
        <v>0.39037685363460206</v>
      </c>
    </row>
    <row r="112" spans="1:19" ht="11.45" customHeight="1">
      <c r="A112" t="s">
        <v>8</v>
      </c>
      <c r="C112" s="44">
        <f t="shared" si="1"/>
        <v>0.21770215945223734</v>
      </c>
      <c r="D112" s="44">
        <f t="shared" si="0"/>
        <v>0.21113671210253132</v>
      </c>
      <c r="E112" s="44">
        <f t="shared" si="0"/>
        <v>0.21005819487229443</v>
      </c>
      <c r="F112" s="44">
        <f t="shared" si="0"/>
        <v>0.2153695512325304</v>
      </c>
      <c r="G112" s="44">
        <f t="shared" si="0"/>
        <v>0.21474335735484462</v>
      </c>
      <c r="H112" s="44">
        <f t="shared" si="0"/>
        <v>0.22359276623112412</v>
      </c>
      <c r="I112" s="44">
        <f t="shared" si="0"/>
        <v>0.22680322599737421</v>
      </c>
      <c r="J112" s="44">
        <f t="shared" si="0"/>
        <v>0.22064517695855104</v>
      </c>
      <c r="K112" s="44">
        <f t="shared" si="0"/>
        <v>0.21872872758169207</v>
      </c>
      <c r="L112" s="44">
        <f t="shared" si="0"/>
        <v>0.2203566289780606</v>
      </c>
      <c r="M112" s="44">
        <f t="shared" si="0"/>
        <v>0.22626902514628705</v>
      </c>
      <c r="N112" s="44">
        <f t="shared" si="0"/>
        <v>0.2294063402671441</v>
      </c>
      <c r="O112" s="44">
        <f t="shared" si="0"/>
        <v>0.22668089492485691</v>
      </c>
      <c r="S112" s="50">
        <f t="shared" si="2"/>
        <v>0.22428832337960816</v>
      </c>
    </row>
    <row r="113" spans="1:19" ht="11.45" customHeight="1">
      <c r="A113" t="s">
        <v>68</v>
      </c>
      <c r="C113" s="44" t="str">
        <f t="shared" si="1"/>
        <v>-</v>
      </c>
      <c r="D113" s="44" t="str">
        <f t="shared" si="1"/>
        <v>-</v>
      </c>
      <c r="E113" s="44" t="str">
        <f t="shared" si="1"/>
        <v>-</v>
      </c>
      <c r="F113" s="44" t="str">
        <f t="shared" si="1"/>
        <v>-</v>
      </c>
      <c r="G113" s="44" t="str">
        <f t="shared" si="1"/>
        <v>-</v>
      </c>
      <c r="H113" s="44" t="str">
        <f t="shared" si="1"/>
        <v>-</v>
      </c>
      <c r="I113" s="44" t="str">
        <f t="shared" si="1"/>
        <v>-</v>
      </c>
      <c r="J113" s="44">
        <f t="shared" si="1"/>
        <v>0.11594244889512384</v>
      </c>
      <c r="K113" s="44">
        <f t="shared" si="1"/>
        <v>0.11040727511004572</v>
      </c>
      <c r="L113" s="44">
        <f t="shared" si="1"/>
        <v>0.10945935397549812</v>
      </c>
      <c r="M113" s="44">
        <f t="shared" si="1"/>
        <v>0.11820743712345895</v>
      </c>
      <c r="N113" s="44">
        <f t="shared" si="1"/>
        <v>0.14727440331972902</v>
      </c>
      <c r="O113" s="44">
        <f t="shared" si="1"/>
        <v>0.14560291199391343</v>
      </c>
      <c r="S113" s="50">
        <f t="shared" si="2"/>
        <v>0.12619027630452903</v>
      </c>
    </row>
    <row r="114" spans="1:19" ht="11.45" customHeight="1">
      <c r="A114" t="s">
        <v>7</v>
      </c>
      <c r="C114" s="44">
        <f t="shared" si="1"/>
        <v>6.3833808254786586E-2</v>
      </c>
      <c r="D114" s="44">
        <f t="shared" si="1"/>
        <v>7.3613547732188811E-2</v>
      </c>
      <c r="E114" s="44">
        <f t="shared" si="1"/>
        <v>7.7842940866738403E-2</v>
      </c>
      <c r="F114" s="44">
        <f t="shared" si="1"/>
        <v>6.7878663796091032E-2</v>
      </c>
      <c r="G114" s="44">
        <f t="shared" si="1"/>
        <v>7.3053249390838501E-2</v>
      </c>
      <c r="H114" s="44">
        <f t="shared" si="1"/>
        <v>8.3611813371459898E-2</v>
      </c>
      <c r="I114" s="44">
        <f t="shared" si="1"/>
        <v>7.7026434853449885E-2</v>
      </c>
      <c r="J114" s="44">
        <f t="shared" si="1"/>
        <v>7.8829215922901749E-2</v>
      </c>
      <c r="K114" s="44">
        <f t="shared" si="1"/>
        <v>8.3032037480221296E-2</v>
      </c>
      <c r="L114" s="44">
        <f t="shared" si="1"/>
        <v>9.2191035452055523E-2</v>
      </c>
      <c r="M114" s="44">
        <f t="shared" si="1"/>
        <v>8.4256199648945429E-2</v>
      </c>
      <c r="N114" s="44">
        <f t="shared" si="1"/>
        <v>9.2493887562167643E-2</v>
      </c>
      <c r="O114" s="44">
        <f t="shared" si="1"/>
        <v>9.3550014969569842E-2</v>
      </c>
      <c r="S114" s="50">
        <f t="shared" si="2"/>
        <v>8.9104635022591944E-2</v>
      </c>
    </row>
    <row r="115" spans="1:19" ht="11.45" customHeight="1">
      <c r="A115" t="s">
        <v>69</v>
      </c>
      <c r="C115" s="44" t="str">
        <f t="shared" si="1"/>
        <v>-</v>
      </c>
      <c r="D115" s="44" t="str">
        <f t="shared" si="1"/>
        <v>-</v>
      </c>
      <c r="E115" s="44" t="str">
        <f t="shared" si="1"/>
        <v>-</v>
      </c>
      <c r="F115" s="44" t="str">
        <f t="shared" si="1"/>
        <v>-</v>
      </c>
      <c r="G115" s="44" t="str">
        <f t="shared" si="1"/>
        <v>-</v>
      </c>
      <c r="H115" s="44">
        <f t="shared" si="1"/>
        <v>0.14695361362903947</v>
      </c>
      <c r="I115" s="44">
        <f t="shared" si="1"/>
        <v>0.14238279664574105</v>
      </c>
      <c r="J115" s="44">
        <f t="shared" si="1"/>
        <v>0.13902944373350057</v>
      </c>
      <c r="K115" s="44">
        <f t="shared" si="1"/>
        <v>0.15178386073752864</v>
      </c>
      <c r="L115" s="44">
        <f t="shared" si="1"/>
        <v>0.15672559325631694</v>
      </c>
      <c r="M115" s="44">
        <f t="shared" si="1"/>
        <v>0.15249267917290377</v>
      </c>
      <c r="N115" s="44">
        <f t="shared" si="1"/>
        <v>0.14036824692209934</v>
      </c>
      <c r="O115" s="44">
        <f t="shared" si="1"/>
        <v>0.14768600799043471</v>
      </c>
      <c r="S115" s="50">
        <f t="shared" si="2"/>
        <v>0.14981127761585669</v>
      </c>
    </row>
    <row r="116" spans="1:19" ht="11.45" customHeight="1">
      <c r="A116" t="s">
        <v>6</v>
      </c>
      <c r="C116" s="44" t="str">
        <f t="shared" si="1"/>
        <v>-</v>
      </c>
      <c r="D116" s="44" t="str">
        <f t="shared" si="1"/>
        <v>-</v>
      </c>
      <c r="E116" s="44" t="str">
        <f t="shared" si="1"/>
        <v>-</v>
      </c>
      <c r="F116" s="44" t="str">
        <f t="shared" si="1"/>
        <v>-</v>
      </c>
      <c r="G116" s="44" t="str">
        <f t="shared" si="1"/>
        <v>-</v>
      </c>
      <c r="H116" s="44">
        <f t="shared" si="1"/>
        <v>0.66116194539521744</v>
      </c>
      <c r="I116" s="44">
        <f t="shared" si="1"/>
        <v>0.69107242104064703</v>
      </c>
      <c r="J116" s="44">
        <f t="shared" si="1"/>
        <v>0.54492363926643284</v>
      </c>
      <c r="K116" s="44">
        <f t="shared" si="1"/>
        <v>0.60358883212481396</v>
      </c>
      <c r="L116" s="44">
        <f t="shared" si="1"/>
        <v>0.57384549752198377</v>
      </c>
      <c r="M116" s="44">
        <f t="shared" si="1"/>
        <v>0.54896796061999742</v>
      </c>
      <c r="N116" s="44">
        <f t="shared" si="1"/>
        <v>0.51858832460883697</v>
      </c>
      <c r="O116" s="44">
        <f t="shared" si="1"/>
        <v>0.51875450173863491</v>
      </c>
      <c r="S116" s="50">
        <f t="shared" si="2"/>
        <v>0.55274902332285347</v>
      </c>
    </row>
    <row r="117" spans="1:19" ht="11.45" customHeight="1">
      <c r="A117" t="s">
        <v>70</v>
      </c>
      <c r="C117" s="44">
        <f t="shared" si="1"/>
        <v>0.14990043710896006</v>
      </c>
      <c r="D117" s="44">
        <f t="shared" si="1"/>
        <v>0.18784354138704945</v>
      </c>
      <c r="E117" s="44">
        <f t="shared" si="1"/>
        <v>0.17809163405337927</v>
      </c>
      <c r="F117" s="44">
        <f t="shared" si="1"/>
        <v>0.16847491542815143</v>
      </c>
      <c r="G117" s="44">
        <f t="shared" si="1"/>
        <v>0.22135762939206396</v>
      </c>
      <c r="H117" s="44">
        <f t="shared" si="1"/>
        <v>0.20988493024995608</v>
      </c>
      <c r="I117" s="44">
        <f t="shared" si="1"/>
        <v>0.2021642457446399</v>
      </c>
      <c r="J117" s="44">
        <f t="shared" si="1"/>
        <v>0.20795553279279341</v>
      </c>
      <c r="K117" s="44">
        <f t="shared" si="1"/>
        <v>0.20844025355510734</v>
      </c>
      <c r="L117" s="44">
        <f t="shared" si="1"/>
        <v>0.2147616292684883</v>
      </c>
      <c r="M117" s="44">
        <f t="shared" si="1"/>
        <v>0.22238347917514351</v>
      </c>
      <c r="N117" s="44">
        <f t="shared" si="1"/>
        <v>0.19685646715298027</v>
      </c>
      <c r="O117" s="44">
        <f t="shared" si="1"/>
        <v>0.23899831666683685</v>
      </c>
      <c r="S117" s="50">
        <f t="shared" si="2"/>
        <v>0.2162880291637112</v>
      </c>
    </row>
    <row r="118" spans="1:19" ht="11.45" customHeight="1">
      <c r="A118" t="s">
        <v>5</v>
      </c>
      <c r="C118" s="44">
        <f t="shared" si="1"/>
        <v>0.16029832262869059</v>
      </c>
      <c r="D118" s="44">
        <f t="shared" si="1"/>
        <v>0.17814728173454689</v>
      </c>
      <c r="E118" s="44">
        <f t="shared" si="1"/>
        <v>0.17634456040988097</v>
      </c>
      <c r="F118" s="44">
        <f t="shared" si="1"/>
        <v>0.16816052697722961</v>
      </c>
      <c r="G118" s="44">
        <f t="shared" si="1"/>
        <v>0.19227891277675307</v>
      </c>
      <c r="H118" s="44">
        <f t="shared" si="1"/>
        <v>0.17841695901280427</v>
      </c>
      <c r="I118" s="44">
        <f t="shared" si="1"/>
        <v>0.17045324149625327</v>
      </c>
      <c r="J118" s="44">
        <f t="shared" si="1"/>
        <v>0.1683669511568005</v>
      </c>
      <c r="K118" s="44">
        <f t="shared" si="1"/>
        <v>0.17339305091726712</v>
      </c>
      <c r="L118" s="44">
        <f t="shared" si="1"/>
        <v>0.1726385542744143</v>
      </c>
      <c r="M118" s="44">
        <f t="shared" si="1"/>
        <v>0.17743555989388274</v>
      </c>
      <c r="N118" s="44">
        <f t="shared" si="1"/>
        <v>0.16390622388641313</v>
      </c>
      <c r="O118" s="44">
        <f t="shared" si="1"/>
        <v>0.16967815333280736</v>
      </c>
      <c r="S118" s="50">
        <f t="shared" si="2"/>
        <v>0.17141030846095692</v>
      </c>
    </row>
    <row r="119" spans="1:19" ht="11.45" customHeight="1">
      <c r="A119" t="s">
        <v>71</v>
      </c>
      <c r="C119" s="44" t="str">
        <f t="shared" si="1"/>
        <v>-</v>
      </c>
      <c r="D119" s="44" t="str">
        <f t="shared" si="1"/>
        <v>-</v>
      </c>
      <c r="E119" s="44" t="str">
        <f t="shared" si="1"/>
        <v>-</v>
      </c>
      <c r="F119" s="44" t="str">
        <f t="shared" si="1"/>
        <v>-</v>
      </c>
      <c r="G119" s="44" t="str">
        <f t="shared" si="1"/>
        <v>-</v>
      </c>
      <c r="H119" s="44">
        <f t="shared" si="1"/>
        <v>0.19617607788932112</v>
      </c>
      <c r="I119" s="44">
        <f t="shared" si="1"/>
        <v>0.1929780964801876</v>
      </c>
      <c r="J119" s="44">
        <f t="shared" si="1"/>
        <v>0.19693385050322831</v>
      </c>
      <c r="K119" s="44">
        <f t="shared" si="1"/>
        <v>0.18418077465477678</v>
      </c>
      <c r="L119" s="44">
        <f t="shared" si="1"/>
        <v>0.19558540547930811</v>
      </c>
      <c r="M119" s="44">
        <f t="shared" si="1"/>
        <v>0.19729091600621568</v>
      </c>
      <c r="N119" s="44">
        <f t="shared" si="1"/>
        <v>0.20703429901126139</v>
      </c>
      <c r="O119" s="44">
        <f t="shared" si="1"/>
        <v>0.22296497203176555</v>
      </c>
      <c r="S119" s="50">
        <f t="shared" si="2"/>
        <v>0.20141127343666548</v>
      </c>
    </row>
    <row r="120" spans="1:19" ht="11.45" customHeight="1">
      <c r="A120" t="s">
        <v>4</v>
      </c>
      <c r="C120" s="44">
        <f t="shared" si="1"/>
        <v>0.51570348871101435</v>
      </c>
      <c r="D120" s="44">
        <f t="shared" si="1"/>
        <v>0.50232034514478474</v>
      </c>
      <c r="E120" s="44">
        <f t="shared" si="1"/>
        <v>0.49372780852463782</v>
      </c>
      <c r="F120" s="44">
        <f t="shared" si="1"/>
        <v>0.48693402218892889</v>
      </c>
      <c r="G120" s="44">
        <f t="shared" si="1"/>
        <v>0.40276414922502385</v>
      </c>
      <c r="H120" s="44">
        <f t="shared" si="1"/>
        <v>0.39732993928510923</v>
      </c>
      <c r="I120" s="44">
        <f t="shared" si="1"/>
        <v>0.38958640662047167</v>
      </c>
      <c r="J120" s="44">
        <f t="shared" si="1"/>
        <v>0.39267858007054723</v>
      </c>
      <c r="K120" s="44">
        <f t="shared" si="1"/>
        <v>0.39284515401571601</v>
      </c>
      <c r="L120" s="44">
        <f t="shared" si="1"/>
        <v>0.3923300872036698</v>
      </c>
      <c r="M120" s="44">
        <f t="shared" si="1"/>
        <v>0.37031860683880452</v>
      </c>
      <c r="N120" s="44">
        <f t="shared" si="1"/>
        <v>0.35392154136429432</v>
      </c>
      <c r="O120" s="44">
        <f t="shared" si="1"/>
        <v>0.33322281628840011</v>
      </c>
      <c r="S120" s="50">
        <f t="shared" si="2"/>
        <v>0.36852764114217695</v>
      </c>
    </row>
    <row r="121" spans="1:19" ht="11.45" customHeight="1">
      <c r="A121" t="s">
        <v>3</v>
      </c>
      <c r="C121" s="44" t="str">
        <f t="shared" si="1"/>
        <v>-</v>
      </c>
      <c r="D121" s="44" t="str">
        <f t="shared" si="1"/>
        <v>-</v>
      </c>
      <c r="E121" s="44" t="str">
        <f t="shared" si="1"/>
        <v>-</v>
      </c>
      <c r="F121" s="44" t="str">
        <f t="shared" si="1"/>
        <v>-</v>
      </c>
      <c r="G121" s="44" t="str">
        <f t="shared" si="1"/>
        <v>-</v>
      </c>
      <c r="H121" s="44">
        <f t="shared" si="1"/>
        <v>0.1718788479547578</v>
      </c>
      <c r="I121" s="44">
        <f t="shared" si="1"/>
        <v>0.17193237602787531</v>
      </c>
      <c r="J121" s="44">
        <f t="shared" si="1"/>
        <v>0.17437628518654669</v>
      </c>
      <c r="K121" s="44">
        <f t="shared" si="1"/>
        <v>0.17703430025006892</v>
      </c>
      <c r="L121" s="44">
        <f t="shared" si="1"/>
        <v>0.18000524604010615</v>
      </c>
      <c r="M121" s="44">
        <f t="shared" si="1"/>
        <v>0.18151887534050179</v>
      </c>
      <c r="N121" s="44">
        <f t="shared" si="1"/>
        <v>0.18487899764869209</v>
      </c>
      <c r="O121" s="44">
        <f t="shared" si="1"/>
        <v>0.18348329883999925</v>
      </c>
      <c r="S121" s="50">
        <f t="shared" si="2"/>
        <v>0.18138414362387364</v>
      </c>
    </row>
    <row r="122" spans="1:19" ht="11.45" customHeight="1">
      <c r="A122" t="s">
        <v>2</v>
      </c>
      <c r="C122" s="44">
        <f t="shared" si="1"/>
        <v>0.16482061124783112</v>
      </c>
      <c r="D122" s="44">
        <f t="shared" si="1"/>
        <v>0.17349013667236679</v>
      </c>
      <c r="E122" s="44">
        <f t="shared" si="1"/>
        <v>0.17900592623895376</v>
      </c>
      <c r="F122" s="44">
        <f t="shared" si="1"/>
        <v>0.18065876614471438</v>
      </c>
      <c r="G122" s="44">
        <f t="shared" si="1"/>
        <v>0.21344076424007599</v>
      </c>
      <c r="H122" s="44">
        <f t="shared" si="1"/>
        <v>0.18961067812338378</v>
      </c>
      <c r="I122" s="44">
        <f t="shared" si="1"/>
        <v>0.18600412198784211</v>
      </c>
      <c r="J122" s="44">
        <f t="shared" si="1"/>
        <v>0.19191435594220077</v>
      </c>
      <c r="K122" s="44">
        <f t="shared" si="1"/>
        <v>0.20638582223593396</v>
      </c>
      <c r="L122" s="44">
        <f t="shared" si="1"/>
        <v>0.21131526839779879</v>
      </c>
      <c r="M122" s="44">
        <f t="shared" si="1"/>
        <v>0.20196008384500341</v>
      </c>
      <c r="N122" s="44">
        <f t="shared" si="1"/>
        <v>0.18835489340754721</v>
      </c>
      <c r="O122" s="44">
        <f t="shared" si="1"/>
        <v>0.21157154293616032</v>
      </c>
      <c r="S122" s="50">
        <f t="shared" si="2"/>
        <v>0.20391752216448875</v>
      </c>
    </row>
    <row r="123" spans="1:19" ht="11.45" customHeight="1">
      <c r="A123" t="s">
        <v>72</v>
      </c>
      <c r="C123" s="44" t="str">
        <f t="shared" si="1"/>
        <v>-</v>
      </c>
      <c r="D123" s="44" t="str">
        <f t="shared" si="1"/>
        <v>-</v>
      </c>
      <c r="E123" s="44" t="str">
        <f t="shared" si="1"/>
        <v>-</v>
      </c>
      <c r="F123" s="44" t="str">
        <f t="shared" si="1"/>
        <v>-</v>
      </c>
      <c r="G123" s="44" t="str">
        <f t="shared" si="1"/>
        <v>-</v>
      </c>
      <c r="H123" s="44">
        <f t="shared" si="1"/>
        <v>0.17034974395361768</v>
      </c>
      <c r="I123" s="44">
        <f t="shared" si="1"/>
        <v>0.17093004573192078</v>
      </c>
      <c r="J123" s="44">
        <f t="shared" si="1"/>
        <v>0.17283410805931862</v>
      </c>
      <c r="K123" s="44">
        <f t="shared" si="1"/>
        <v>0.1734648391211695</v>
      </c>
      <c r="L123" s="44">
        <f t="shared" si="1"/>
        <v>0.14713389639361868</v>
      </c>
      <c r="M123" s="44">
        <f t="shared" si="1"/>
        <v>0.14445494908418682</v>
      </c>
      <c r="N123" s="44">
        <f t="shared" si="1"/>
        <v>0.13556845396349376</v>
      </c>
      <c r="O123" s="44">
        <f t="shared" si="1"/>
        <v>0.16220503636632277</v>
      </c>
      <c r="S123" s="50">
        <f t="shared" si="2"/>
        <v>0.15256543498575831</v>
      </c>
    </row>
    <row r="124" spans="1:19" ht="11.45" customHeight="1">
      <c r="A124" t="s">
        <v>1</v>
      </c>
      <c r="C124" s="44" t="str">
        <f t="shared" si="1"/>
        <v>-</v>
      </c>
      <c r="D124" s="44" t="str">
        <f t="shared" si="1"/>
        <v>-</v>
      </c>
      <c r="E124" s="44" t="str">
        <f t="shared" si="1"/>
        <v>-</v>
      </c>
      <c r="F124" s="44" t="str">
        <f t="shared" si="1"/>
        <v>-</v>
      </c>
      <c r="G124" s="44" t="str">
        <f t="shared" si="1"/>
        <v>-</v>
      </c>
      <c r="H124" s="44">
        <f t="shared" si="1"/>
        <v>0.19723863192431612</v>
      </c>
      <c r="I124" s="44">
        <f t="shared" si="1"/>
        <v>0.18175851349620711</v>
      </c>
      <c r="J124" s="44">
        <f t="shared" si="1"/>
        <v>0.18026243250937851</v>
      </c>
      <c r="K124" s="44">
        <f t="shared" si="1"/>
        <v>0.18340946489759768</v>
      </c>
      <c r="L124" s="44">
        <f t="shared" si="1"/>
        <v>0.18801678850779807</v>
      </c>
      <c r="M124" s="44">
        <f t="shared" si="1"/>
        <v>0.20477271026246707</v>
      </c>
      <c r="N124" s="44">
        <f t="shared" si="1"/>
        <v>0.17961000091014792</v>
      </c>
      <c r="O124" s="44">
        <f t="shared" si="1"/>
        <v>0.18879637242731134</v>
      </c>
      <c r="S124" s="50">
        <f t="shared" si="2"/>
        <v>0.1889210674010644</v>
      </c>
    </row>
    <row r="125" spans="1:19" ht="11.45" customHeight="1">
      <c r="A125" t="s">
        <v>73</v>
      </c>
      <c r="C125" s="44" t="str">
        <f t="shared" si="1"/>
        <v>-</v>
      </c>
      <c r="D125" s="44" t="str">
        <f t="shared" si="1"/>
        <v>-</v>
      </c>
      <c r="E125" s="44" t="str">
        <f t="shared" si="1"/>
        <v>-</v>
      </c>
      <c r="F125" s="44" t="str">
        <f t="shared" si="1"/>
        <v>-</v>
      </c>
      <c r="G125" s="44" t="str">
        <f t="shared" si="1"/>
        <v>-</v>
      </c>
      <c r="H125" s="44">
        <f t="shared" si="1"/>
        <v>0.19716981023008445</v>
      </c>
      <c r="I125" s="44">
        <f t="shared" si="1"/>
        <v>0.19898398882647375</v>
      </c>
      <c r="J125" s="44">
        <f t="shared" si="1"/>
        <v>0.19901879403708245</v>
      </c>
      <c r="K125" s="44">
        <f t="shared" si="1"/>
        <v>0.20433625700024061</v>
      </c>
      <c r="L125" s="44">
        <f t="shared" si="1"/>
        <v>0.2043491011397035</v>
      </c>
      <c r="M125" s="44">
        <f t="shared" si="1"/>
        <v>0.20192520383732041</v>
      </c>
      <c r="N125" s="44">
        <f t="shared" si="1"/>
        <v>0.2041679999649334</v>
      </c>
      <c r="O125" s="44">
        <f t="shared" si="1"/>
        <v>0.20493021821518623</v>
      </c>
      <c r="S125" s="50">
        <f t="shared" si="2"/>
        <v>0.20394175603147682</v>
      </c>
    </row>
    <row r="126" spans="1:19" ht="11.45" customHeight="1">
      <c r="A126" t="s">
        <v>76</v>
      </c>
      <c r="C126" s="44">
        <f t="shared" si="1"/>
        <v>0.14076336140453766</v>
      </c>
      <c r="D126" s="44">
        <f t="shared" si="1"/>
        <v>0.16048984275143074</v>
      </c>
      <c r="E126" s="44">
        <f t="shared" si="1"/>
        <v>0.15252535053452096</v>
      </c>
      <c r="F126" s="44">
        <f t="shared" si="1"/>
        <v>0.1592931504915121</v>
      </c>
      <c r="G126" s="44">
        <f t="shared" si="1"/>
        <v>0.17430330396737884</v>
      </c>
      <c r="H126" s="44">
        <f t="shared" si="1"/>
        <v>0.16763221559722757</v>
      </c>
      <c r="I126" s="44">
        <f t="shared" si="1"/>
        <v>0.16436397164976188</v>
      </c>
      <c r="J126" s="44">
        <f t="shared" si="1"/>
        <v>0.16279575034703442</v>
      </c>
      <c r="K126" s="44">
        <f t="shared" si="1"/>
        <v>0.16329465620622816</v>
      </c>
      <c r="L126" s="44">
        <f t="shared" si="1"/>
        <v>0.16545637471050981</v>
      </c>
      <c r="M126" s="44">
        <f t="shared" si="1"/>
        <v>0.16417705209960762</v>
      </c>
      <c r="N126" s="44">
        <f t="shared" si="1"/>
        <v>0.16145050363332927</v>
      </c>
      <c r="O126" s="44">
        <f t="shared" si="1"/>
        <v>0.16512644353393763</v>
      </c>
      <c r="S126" s="50">
        <f t="shared" si="2"/>
        <v>0.16390100603672247</v>
      </c>
    </row>
    <row r="127" spans="1:19" ht="11.45" customHeight="1">
      <c r="A127" t="s">
        <v>78</v>
      </c>
      <c r="C127" s="44">
        <f t="shared" si="1"/>
        <v>0.17052410438662757</v>
      </c>
      <c r="D127" s="44">
        <f t="shared" si="1"/>
        <v>0.22584346628997401</v>
      </c>
      <c r="E127" s="44">
        <f t="shared" si="1"/>
        <v>0.22271213506136983</v>
      </c>
      <c r="F127" s="44">
        <f t="shared" si="1"/>
        <v>0.23047998371098419</v>
      </c>
      <c r="G127" s="44">
        <f t="shared" si="1"/>
        <v>0.23460790375972543</v>
      </c>
      <c r="H127" s="44">
        <f t="shared" si="1"/>
        <v>0.22817594928567905</v>
      </c>
      <c r="I127" s="44">
        <f t="shared" si="1"/>
        <v>0.22678838583405314</v>
      </c>
      <c r="J127" s="44">
        <f t="shared" si="1"/>
        <v>0.2166972581962443</v>
      </c>
      <c r="K127" s="44">
        <f t="shared" si="1"/>
        <v>0.22018625305315315</v>
      </c>
      <c r="L127" s="44">
        <f t="shared" si="1"/>
        <v>0.22043724953930038</v>
      </c>
      <c r="M127" s="44" t="str">
        <f t="shared" si="1"/>
        <v>-</v>
      </c>
      <c r="N127" s="44" t="str">
        <f t="shared" si="1"/>
        <v>-</v>
      </c>
      <c r="O127" s="44" t="str">
        <f t="shared" si="1"/>
        <v>-</v>
      </c>
      <c r="S127" s="50">
        <f t="shared" si="2"/>
        <v>0.22031175129622677</v>
      </c>
    </row>
    <row r="128" spans="1:19" ht="11.45" customHeight="1">
      <c r="A128" t="s">
        <v>79</v>
      </c>
      <c r="C128" s="44" t="str">
        <f t="shared" si="1"/>
        <v>-</v>
      </c>
      <c r="D128" s="44" t="str">
        <f t="shared" si="1"/>
        <v>-</v>
      </c>
      <c r="E128" s="44" t="str">
        <f t="shared" si="1"/>
        <v>-</v>
      </c>
      <c r="F128" s="44" t="str">
        <f t="shared" si="1"/>
        <v>-</v>
      </c>
      <c r="G128" s="44">
        <f t="shared" si="1"/>
        <v>0.21475935338919333</v>
      </c>
      <c r="H128" s="44">
        <f t="shared" si="1"/>
        <v>0.19049066420566452</v>
      </c>
      <c r="I128" s="44">
        <f t="shared" si="1"/>
        <v>0.18577444042721175</v>
      </c>
      <c r="J128" s="44">
        <f t="shared" si="1"/>
        <v>0.20910363340856683</v>
      </c>
      <c r="K128" s="44">
        <f t="shared" si="1"/>
        <v>0.11574279097317305</v>
      </c>
      <c r="L128" s="44">
        <f t="shared" si="1"/>
        <v>0.11987604970411139</v>
      </c>
      <c r="M128" s="44">
        <f t="shared" si="1"/>
        <v>0.11365891914836829</v>
      </c>
      <c r="N128" s="44">
        <f t="shared" si="1"/>
        <v>0.11812777106986039</v>
      </c>
      <c r="O128" s="44">
        <f t="shared" si="1"/>
        <v>0.11444691642744605</v>
      </c>
      <c r="S128" s="50">
        <f t="shared" si="2"/>
        <v>0.11637048946459183</v>
      </c>
    </row>
    <row r="129" spans="1:19" ht="11.45" customHeight="1">
      <c r="A129" t="s">
        <v>80</v>
      </c>
      <c r="C129" s="44">
        <f t="shared" si="1"/>
        <v>0.24348965070673234</v>
      </c>
      <c r="D129" s="44">
        <f t="shared" si="1"/>
        <v>0.24251741443742356</v>
      </c>
      <c r="E129" s="44">
        <f t="shared" si="1"/>
        <v>0.24837378347203495</v>
      </c>
      <c r="F129" s="44">
        <f t="shared" si="1"/>
        <v>0.25079942432193547</v>
      </c>
      <c r="G129" s="44">
        <f t="shared" si="1"/>
        <v>0.24672617940811717</v>
      </c>
      <c r="H129" s="44">
        <f t="shared" si="1"/>
        <v>0.24310896857680259</v>
      </c>
      <c r="I129" s="44">
        <f t="shared" si="1"/>
        <v>0.24385861116181293</v>
      </c>
      <c r="J129" s="44">
        <f t="shared" si="1"/>
        <v>0.24366884711367581</v>
      </c>
      <c r="K129" s="44">
        <f t="shared" si="1"/>
        <v>0.2451618565104611</v>
      </c>
      <c r="L129" s="44">
        <f t="shared" si="1"/>
        <v>0.24783527042404957</v>
      </c>
      <c r="M129" s="44">
        <f t="shared" si="1"/>
        <v>0.22701127728471296</v>
      </c>
      <c r="N129" s="44">
        <f t="shared" si="1"/>
        <v>0.2463135311924089</v>
      </c>
      <c r="O129" s="44">
        <f t="shared" si="1"/>
        <v>0.2519527858587316</v>
      </c>
      <c r="S129" s="50">
        <f t="shared" si="2"/>
        <v>0.24365494425407283</v>
      </c>
    </row>
    <row r="130" spans="1:19" ht="11.45" customHeight="1">
      <c r="A130" t="s">
        <v>81</v>
      </c>
      <c r="C130" s="44" t="str">
        <f t="shared" si="1"/>
        <v>-</v>
      </c>
      <c r="D130" s="44" t="str">
        <f t="shared" si="1"/>
        <v>-</v>
      </c>
      <c r="E130" s="44" t="str">
        <f t="shared" si="1"/>
        <v>-</v>
      </c>
      <c r="F130" s="44" t="str">
        <f t="shared" si="1"/>
        <v>-</v>
      </c>
      <c r="G130" s="44" t="str">
        <f t="shared" si="1"/>
        <v>-</v>
      </c>
      <c r="H130" s="44" t="str">
        <f t="shared" si="1"/>
        <v>-</v>
      </c>
      <c r="I130" s="44" t="str">
        <f t="shared" si="1"/>
        <v>-</v>
      </c>
      <c r="J130" s="44">
        <f t="shared" si="1"/>
        <v>0.12562374789637382</v>
      </c>
      <c r="K130" s="44">
        <f t="shared" si="1"/>
        <v>0.12472047311243467</v>
      </c>
      <c r="L130" s="44">
        <f t="shared" si="1"/>
        <v>0.12943321805523261</v>
      </c>
      <c r="M130" s="44">
        <f t="shared" si="1"/>
        <v>0.12877129589164202</v>
      </c>
      <c r="N130" s="44">
        <f t="shared" si="1"/>
        <v>0.10731447737868489</v>
      </c>
      <c r="O130" s="44">
        <f t="shared" si="1"/>
        <v>0.1074661859572112</v>
      </c>
      <c r="S130" s="50">
        <f t="shared" si="2"/>
        <v>0.11954113007904107</v>
      </c>
    </row>
    <row r="131" spans="1:19" ht="11.45" customHeight="1">
      <c r="A131" t="s">
        <v>82</v>
      </c>
      <c r="C131" s="44">
        <f t="shared" si="1"/>
        <v>0.18632461852266358</v>
      </c>
      <c r="D131" s="44">
        <f t="shared" si="1"/>
        <v>0.16507214225154962</v>
      </c>
      <c r="E131" s="44">
        <f t="shared" si="1"/>
        <v>0.14661746698393832</v>
      </c>
      <c r="F131" s="44">
        <f t="shared" si="1"/>
        <v>0.16254424813701662</v>
      </c>
      <c r="G131" s="44">
        <f t="shared" si="1"/>
        <v>0.1514769250824182</v>
      </c>
      <c r="H131" s="44">
        <f t="shared" si="1"/>
        <v>0.17243242661642325</v>
      </c>
      <c r="I131" s="44">
        <f t="shared" ref="D131:O137" si="3">IFERROR( SUMIFS(I$14:I$95, $A$14:$A$95,$A131,     $B$14:$B$95, "Final consumption - other sectors - households - energy use - water heating") / SUMIFS(I$14:I$95, $A$14:$A$95,$A131),  "-")</f>
        <v>0.17648142739088696</v>
      </c>
      <c r="J131" s="44">
        <f t="shared" si="3"/>
        <v>0.16576858150489757</v>
      </c>
      <c r="K131" s="44">
        <f t="shared" si="3"/>
        <v>0.17118009562119918</v>
      </c>
      <c r="L131" s="44">
        <f t="shared" si="3"/>
        <v>0.11713549388735302</v>
      </c>
      <c r="M131" s="44">
        <f t="shared" si="3"/>
        <v>0.11389726087652641</v>
      </c>
      <c r="N131" s="44">
        <f t="shared" si="3"/>
        <v>0.11963730369202001</v>
      </c>
      <c r="O131" s="44">
        <f t="shared" si="3"/>
        <v>0.12331058365666238</v>
      </c>
      <c r="S131" s="50">
        <f t="shared" si="2"/>
        <v>0.12903214754675219</v>
      </c>
    </row>
    <row r="132" spans="1:19" ht="11.45" customHeight="1">
      <c r="A132" t="s">
        <v>83</v>
      </c>
      <c r="C132" s="44" t="str">
        <f t="shared" ref="C132:C137" si="4">IFERROR( SUMIFS(C$14:C$95, $A$14:$A$95,$A132,     $B$14:$B$95, "Final consumption - other sectors - households - energy use - water heating") / SUMIFS(C$14:C$95, $A$14:$A$95,$A132),  "-")</f>
        <v>-</v>
      </c>
      <c r="D132" s="44" t="str">
        <f t="shared" si="3"/>
        <v>-</v>
      </c>
      <c r="E132" s="44" t="str">
        <f t="shared" si="3"/>
        <v>-</v>
      </c>
      <c r="F132" s="44" t="str">
        <f t="shared" si="3"/>
        <v>-</v>
      </c>
      <c r="G132" s="44" t="str">
        <f t="shared" si="3"/>
        <v>-</v>
      </c>
      <c r="H132" s="44" t="str">
        <f t="shared" si="3"/>
        <v>-</v>
      </c>
      <c r="I132" s="44">
        <f t="shared" si="3"/>
        <v>0.16529259550588679</v>
      </c>
      <c r="J132" s="44">
        <f t="shared" si="3"/>
        <v>0.16358504187845754</v>
      </c>
      <c r="K132" s="44">
        <f t="shared" si="3"/>
        <v>0.17847665774971724</v>
      </c>
      <c r="L132" s="44">
        <f t="shared" si="3"/>
        <v>0.18696666086575348</v>
      </c>
      <c r="M132" s="44">
        <f t="shared" si="3"/>
        <v>0.1940967291647705</v>
      </c>
      <c r="N132" s="44">
        <f t="shared" si="3"/>
        <v>0.22135372534754127</v>
      </c>
      <c r="O132" s="44">
        <f t="shared" si="3"/>
        <v>0.24432830037479764</v>
      </c>
      <c r="S132" s="50">
        <f t="shared" si="2"/>
        <v>0.20504441470051601</v>
      </c>
    </row>
    <row r="133" spans="1:19" ht="11.45" customHeight="1">
      <c r="A133" t="s">
        <v>84</v>
      </c>
      <c r="C133" s="44">
        <f t="shared" si="4"/>
        <v>0.38106953497246704</v>
      </c>
      <c r="D133" s="44">
        <f t="shared" si="3"/>
        <v>0.38106877092728708</v>
      </c>
      <c r="E133" s="44">
        <f t="shared" si="3"/>
        <v>0.38106948465515622</v>
      </c>
      <c r="F133" s="44">
        <f t="shared" si="3"/>
        <v>0.39037907787712911</v>
      </c>
      <c r="G133" s="44">
        <f t="shared" si="3"/>
        <v>0.37989445279048645</v>
      </c>
      <c r="H133" s="44">
        <f t="shared" si="3"/>
        <v>0.39597872367760012</v>
      </c>
      <c r="I133" s="44">
        <f t="shared" si="3"/>
        <v>0.39727841025137262</v>
      </c>
      <c r="J133" s="44">
        <f t="shared" si="3"/>
        <v>0.40284821520702013</v>
      </c>
      <c r="K133" s="44">
        <f t="shared" si="3"/>
        <v>0.40499831685469223</v>
      </c>
      <c r="L133" s="44">
        <f t="shared" si="3"/>
        <v>0.41913550799315408</v>
      </c>
      <c r="M133" s="44">
        <f t="shared" si="3"/>
        <v>0.41976601869106639</v>
      </c>
      <c r="N133" s="44">
        <f t="shared" si="3"/>
        <v>0.419983174113437</v>
      </c>
      <c r="O133" s="44">
        <f t="shared" si="3"/>
        <v>0.42241277952822653</v>
      </c>
      <c r="S133" s="50">
        <f t="shared" si="2"/>
        <v>0.41725915943611519</v>
      </c>
    </row>
    <row r="134" spans="1:19" ht="11.45" customHeight="1">
      <c r="A134" t="s">
        <v>85</v>
      </c>
      <c r="C134" s="44">
        <f t="shared" si="4"/>
        <v>0.17670474697130908</v>
      </c>
      <c r="D134" s="44">
        <f t="shared" si="3"/>
        <v>0.18025357600925185</v>
      </c>
      <c r="E134" s="44">
        <f t="shared" si="3"/>
        <v>0.18111735448001989</v>
      </c>
      <c r="F134" s="44">
        <f t="shared" si="3"/>
        <v>0.19655027366810859</v>
      </c>
      <c r="G134" s="44">
        <f t="shared" si="3"/>
        <v>0.19992657589717919</v>
      </c>
      <c r="H134" s="44">
        <f t="shared" si="3"/>
        <v>0.19731550202233811</v>
      </c>
      <c r="I134" s="44">
        <f t="shared" si="3"/>
        <v>0.18647276292568057</v>
      </c>
      <c r="J134" s="44">
        <f t="shared" si="3"/>
        <v>0.19245671888797686</v>
      </c>
      <c r="K134" s="44">
        <f t="shared" si="3"/>
        <v>0.18658388413753119</v>
      </c>
      <c r="L134" s="44">
        <f t="shared" si="3"/>
        <v>0.18552971055858705</v>
      </c>
      <c r="M134" s="44">
        <f t="shared" si="3"/>
        <v>0.15137379452353009</v>
      </c>
      <c r="N134" s="44">
        <f t="shared" si="3"/>
        <v>0.15232976906196743</v>
      </c>
      <c r="O134" s="44">
        <f t="shared" si="3"/>
        <v>0.15290273740443644</v>
      </c>
      <c r="S134" s="50">
        <f t="shared" si="2"/>
        <v>0.16574397913721045</v>
      </c>
    </row>
    <row r="135" spans="1:19" ht="11.45" customHeight="1">
      <c r="A135" t="s">
        <v>86</v>
      </c>
      <c r="C135" s="44" t="str">
        <f t="shared" si="4"/>
        <v>-</v>
      </c>
      <c r="D135" s="44" t="str">
        <f t="shared" si="3"/>
        <v>-</v>
      </c>
      <c r="E135" s="44" t="str">
        <f t="shared" si="3"/>
        <v>-</v>
      </c>
      <c r="F135" s="44" t="str">
        <f t="shared" si="3"/>
        <v>-</v>
      </c>
      <c r="G135" s="44" t="str">
        <f t="shared" si="3"/>
        <v>-</v>
      </c>
      <c r="H135" s="44" t="str">
        <f t="shared" si="3"/>
        <v>-</v>
      </c>
      <c r="I135" s="44" t="str">
        <f t="shared" si="3"/>
        <v>-</v>
      </c>
      <c r="J135" s="44" t="str">
        <f t="shared" si="3"/>
        <v>-</v>
      </c>
      <c r="K135" s="44" t="str">
        <f t="shared" si="3"/>
        <v>-</v>
      </c>
      <c r="L135" s="44" t="str">
        <f t="shared" si="3"/>
        <v>-</v>
      </c>
      <c r="M135" s="44" t="str">
        <f t="shared" si="3"/>
        <v>-</v>
      </c>
      <c r="N135" s="44" t="str">
        <f t="shared" si="3"/>
        <v>-</v>
      </c>
      <c r="O135" s="44">
        <f t="shared" si="3"/>
        <v>0.15410527493824122</v>
      </c>
      <c r="S135" s="50">
        <f t="shared" si="2"/>
        <v>0.15410527493824122</v>
      </c>
    </row>
    <row r="136" spans="1:19" ht="11.45" customHeight="1">
      <c r="A136" t="s">
        <v>87</v>
      </c>
      <c r="C136" s="44" t="str">
        <f t="shared" si="4"/>
        <v>-</v>
      </c>
      <c r="D136" s="44" t="str">
        <f t="shared" si="3"/>
        <v>-</v>
      </c>
      <c r="E136" s="44" t="str">
        <f t="shared" si="3"/>
        <v>-</v>
      </c>
      <c r="F136" s="44" t="str">
        <f t="shared" si="3"/>
        <v>-</v>
      </c>
      <c r="G136" s="44" t="str">
        <f t="shared" si="3"/>
        <v>-</v>
      </c>
      <c r="H136" s="44" t="str">
        <f t="shared" si="3"/>
        <v>-</v>
      </c>
      <c r="I136" s="44">
        <f t="shared" si="3"/>
        <v>0.18642164928884897</v>
      </c>
      <c r="J136" s="44">
        <f t="shared" si="3"/>
        <v>0.2016144996815552</v>
      </c>
      <c r="K136" s="44">
        <f t="shared" si="3"/>
        <v>0.19580792236190808</v>
      </c>
      <c r="L136" s="44">
        <f t="shared" si="3"/>
        <v>0.2099183281396437</v>
      </c>
      <c r="M136" s="44">
        <f t="shared" si="3"/>
        <v>0.21171822576468208</v>
      </c>
      <c r="N136" s="44" t="str">
        <f t="shared" si="3"/>
        <v>-</v>
      </c>
      <c r="O136" s="44" t="str">
        <f t="shared" si="3"/>
        <v>-</v>
      </c>
      <c r="S136" s="50">
        <f t="shared" si="2"/>
        <v>0.20581482542207796</v>
      </c>
    </row>
    <row r="137" spans="1:19" ht="11.45" customHeight="1">
      <c r="A137" t="s">
        <v>88</v>
      </c>
      <c r="C137" s="44" t="str">
        <f t="shared" si="4"/>
        <v>-</v>
      </c>
      <c r="D137" s="44" t="str">
        <f t="shared" si="3"/>
        <v>-</v>
      </c>
      <c r="E137" s="44" t="str">
        <f t="shared" si="3"/>
        <v>-</v>
      </c>
      <c r="F137" s="44" t="str">
        <f t="shared" si="3"/>
        <v>-</v>
      </c>
      <c r="G137" s="44" t="str">
        <f t="shared" si="3"/>
        <v>-</v>
      </c>
      <c r="H137" s="44" t="str">
        <f t="shared" si="3"/>
        <v>-</v>
      </c>
      <c r="I137" s="44" t="str">
        <f t="shared" si="3"/>
        <v>-</v>
      </c>
      <c r="J137" s="44">
        <f t="shared" si="3"/>
        <v>8.7172683204485318E-2</v>
      </c>
      <c r="K137" s="44">
        <f t="shared" si="3"/>
        <v>8.4565999919193932E-2</v>
      </c>
      <c r="L137" s="44">
        <f t="shared" si="3"/>
        <v>9.1820902730143622E-2</v>
      </c>
      <c r="M137" s="44">
        <f t="shared" si="3"/>
        <v>0.10067616663401814</v>
      </c>
      <c r="N137" s="44">
        <f t="shared" si="3"/>
        <v>0.11574689799383288</v>
      </c>
      <c r="O137" s="44">
        <f t="shared" si="3"/>
        <v>0.15020146274424984</v>
      </c>
      <c r="S137" s="50">
        <f t="shared" si="2"/>
        <v>0.10860228600428767</v>
      </c>
    </row>
  </sheetData>
  <mergeCells count="2">
    <mergeCell ref="B3:O3"/>
    <mergeCell ref="A12:B12"/>
  </mergeCells>
  <hyperlinks>
    <hyperlink ref="A2" r:id="rId1" xr:uid="{B3E09A4F-6C9B-4C02-8074-33AB80108178}"/>
    <hyperlink ref="B2" r:id="rId2" xr:uid="{C1349595-16CC-46CC-8EDF-575C34CCA27A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74B5-37BF-4B1A-8CF0-C48B335E4D6E}">
  <dimension ref="A3:AH66"/>
  <sheetViews>
    <sheetView workbookViewId="0">
      <pane xSplit="1" ySplit="5" topLeftCell="I19" activePane="bottomRight" state="frozen"/>
      <selection pane="topRight" activeCell="B1" sqref="B1"/>
      <selection pane="bottomLeft" activeCell="A6" sqref="A6"/>
      <selection pane="bottomRight" activeCell="AA69" sqref="AA69"/>
    </sheetView>
  </sheetViews>
  <sheetFormatPr defaultRowHeight="11.45" customHeight="1"/>
  <cols>
    <col min="1" max="1" width="29.85546875" customWidth="1"/>
    <col min="2" max="4" width="10" customWidth="1"/>
    <col min="5" max="25" width="8.5703125" customWidth="1"/>
    <col min="26" max="27" width="10" customWidth="1"/>
    <col min="28" max="29" width="11.28515625" customWidth="1"/>
  </cols>
  <sheetData>
    <row r="3" spans="1:34" ht="11.45" customHeight="1">
      <c r="A3" t="s">
        <v>99</v>
      </c>
    </row>
    <row r="5" spans="1:34" ht="11.45" customHeight="1" thickBot="1">
      <c r="A5" s="15"/>
      <c r="B5" s="16">
        <v>2000</v>
      </c>
      <c r="C5" s="16">
        <v>2001</v>
      </c>
      <c r="D5" s="16">
        <v>2002</v>
      </c>
      <c r="E5" s="16">
        <v>2003</v>
      </c>
      <c r="F5" s="16">
        <v>2004</v>
      </c>
      <c r="G5" s="16">
        <v>2005</v>
      </c>
      <c r="H5" s="16">
        <v>2006</v>
      </c>
      <c r="I5" s="16">
        <v>2007</v>
      </c>
      <c r="J5" s="16">
        <v>2008</v>
      </c>
      <c r="K5" s="16">
        <v>2009</v>
      </c>
      <c r="L5" s="16">
        <v>2010</v>
      </c>
      <c r="M5" s="16">
        <v>2011</v>
      </c>
      <c r="N5" s="16">
        <v>2012</v>
      </c>
      <c r="O5" s="16">
        <v>2013</v>
      </c>
      <c r="P5" s="16">
        <v>2014</v>
      </c>
      <c r="Q5" s="16">
        <v>2015</v>
      </c>
      <c r="R5" s="16">
        <v>2016</v>
      </c>
      <c r="S5" s="16">
        <v>2017</v>
      </c>
      <c r="T5" s="16">
        <v>2018</v>
      </c>
      <c r="U5" s="16">
        <v>2019</v>
      </c>
      <c r="V5" s="16">
        <v>2020</v>
      </c>
      <c r="W5" s="16">
        <v>2021</v>
      </c>
      <c r="X5" s="16">
        <v>2022</v>
      </c>
      <c r="Y5" s="17">
        <v>2023</v>
      </c>
      <c r="AB5" s="29">
        <v>2025</v>
      </c>
      <c r="AC5" s="29">
        <v>2030</v>
      </c>
      <c r="AD5" s="29">
        <v>2035</v>
      </c>
      <c r="AE5" s="29">
        <v>2040</v>
      </c>
      <c r="AG5" s="46" t="s">
        <v>233</v>
      </c>
      <c r="AH5" t="s">
        <v>234</v>
      </c>
    </row>
    <row r="6" spans="1:34" ht="11.45" customHeight="1" thickBot="1">
      <c r="A6" s="18" t="s">
        <v>98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9"/>
      <c r="AG6" s="45"/>
    </row>
    <row r="7" spans="1:34" ht="13.5" customHeight="1" thickBot="1">
      <c r="A7" s="20" t="s">
        <v>92</v>
      </c>
      <c r="B7" s="14">
        <v>213271</v>
      </c>
      <c r="C7" s="14">
        <v>216836</v>
      </c>
      <c r="D7" s="14">
        <v>221597</v>
      </c>
      <c r="E7" s="14">
        <v>224231</v>
      </c>
      <c r="F7" s="14">
        <v>227472</v>
      </c>
      <c r="G7" s="14">
        <v>231704</v>
      </c>
      <c r="H7" s="14">
        <v>235019</v>
      </c>
      <c r="I7" s="14">
        <v>238047</v>
      </c>
      <c r="J7" s="14">
        <v>241565</v>
      </c>
      <c r="K7" s="14">
        <v>244330</v>
      </c>
      <c r="L7" s="14">
        <v>247970</v>
      </c>
      <c r="M7" s="14">
        <v>252439</v>
      </c>
      <c r="N7" s="14">
        <v>256824</v>
      </c>
      <c r="O7" s="14">
        <v>260753</v>
      </c>
      <c r="P7" s="14">
        <v>265543</v>
      </c>
      <c r="Q7" s="14">
        <v>269802</v>
      </c>
      <c r="R7" s="14">
        <v>274583</v>
      </c>
      <c r="S7" s="14">
        <v>279044</v>
      </c>
      <c r="T7" s="14">
        <v>283632</v>
      </c>
      <c r="U7" s="14">
        <v>289731</v>
      </c>
      <c r="V7" s="14">
        <v>292796</v>
      </c>
      <c r="W7" s="14">
        <v>297132</v>
      </c>
      <c r="X7" s="14">
        <v>305274</v>
      </c>
      <c r="Y7" s="21">
        <v>314024</v>
      </c>
      <c r="AB7" s="95">
        <f t="array" ref="AB7">(TREND($K7:$Y7,$K$5:$Y$5,AB$5) - TREND($K7:$Y7,$K$5:$Y$5,$Y$5))/2 + TREND($K7:$Y7,$K$5:$Y$5,$Y$5)</f>
        <v>313631.48571428657</v>
      </c>
      <c r="AC7" s="95">
        <f t="array" ref="AC7">(TREND($K7:$Y7,$K$5:$Y$5,AC$5) - TREND($K7:$Y7,$K$5:$Y$5,$Y$5))/2 + TREND($K7:$Y7,$K$5:$Y$5,$Y$5)</f>
        <v>325518.88750000112</v>
      </c>
      <c r="AD7" s="97">
        <f t="array" ref="AD7">(TREND($K7:$Y7,$K$5:$Y$5,AD$5) - TREND($K7:$Y7,$K$5:$Y$5,$AC$5))/3 + $AC7</f>
        <v>333443.82202381018</v>
      </c>
      <c r="AE7" s="97">
        <f t="array" ref="AE7">(TREND($K7:$Y7,$K$5:$Y$5,AE$5) - TREND($K7:$Y7,$K$5:$Y$5,$AC$5))/3 + $AC7</f>
        <v>341368.75654761988</v>
      </c>
      <c r="AG7" s="45">
        <f>AC7/$AB7-1</f>
        <v>3.7902450255086206E-2</v>
      </c>
      <c r="AH7" s="45">
        <f>AE7/$AB7-1</f>
        <v>8.8439050595199298E-2</v>
      </c>
    </row>
    <row r="8" spans="1:34" ht="13.5" customHeight="1" thickBot="1">
      <c r="A8" s="20" t="s">
        <v>91</v>
      </c>
      <c r="B8" s="14">
        <v>555474</v>
      </c>
      <c r="C8" s="14">
        <v>559718</v>
      </c>
      <c r="D8" s="14">
        <v>559716</v>
      </c>
      <c r="E8" s="14">
        <v>559330</v>
      </c>
      <c r="F8" s="14">
        <v>559046</v>
      </c>
      <c r="G8" s="14">
        <v>560905</v>
      </c>
      <c r="H8" s="14">
        <v>564521</v>
      </c>
      <c r="I8" s="14">
        <v>568531</v>
      </c>
      <c r="J8" s="14">
        <v>576632</v>
      </c>
      <c r="K8" s="14">
        <v>583350</v>
      </c>
      <c r="L8" s="14">
        <v>588549</v>
      </c>
      <c r="M8" s="14">
        <v>595384</v>
      </c>
      <c r="N8" s="14">
        <v>603968</v>
      </c>
      <c r="O8" s="14">
        <v>612664</v>
      </c>
      <c r="P8" s="14">
        <v>620715</v>
      </c>
      <c r="Q8" s="14">
        <v>628208</v>
      </c>
      <c r="R8" s="14">
        <v>635181</v>
      </c>
      <c r="S8" s="14">
        <v>643272</v>
      </c>
      <c r="T8" s="14">
        <v>648042</v>
      </c>
      <c r="U8" s="14">
        <v>653835</v>
      </c>
      <c r="V8" s="14">
        <v>656920</v>
      </c>
      <c r="W8" s="14">
        <v>658457</v>
      </c>
      <c r="X8" s="14">
        <v>664028</v>
      </c>
      <c r="Y8" s="21">
        <v>674500</v>
      </c>
      <c r="AB8" s="95">
        <f t="array" ref="AB8">(TREND($K8:$Y8,$K$5:$Y$5,AB$5) - TREND($K8:$Y8,$K$5:$Y$5,$Y$5))/2 + TREND($K8:$Y8,$K$5:$Y$5,$Y$5)</f>
        <v>682890.42857142724</v>
      </c>
      <c r="AC8" s="95">
        <f t="array" ref="AC8">(TREND($K8:$Y8,$K$5:$Y$5,AC$5) - TREND($K8:$Y8,$K$5:$Y$5,$Y$5))/2 + TREND($K8:$Y8,$K$5:$Y$5,$Y$5)</f>
        <v>699062.99999999907</v>
      </c>
      <c r="AD8" s="97">
        <f t="array" ref="AD8">(TREND($K8:$Y8,$K$5:$Y$5,AD$5) - TREND($K8:$Y8,$K$5:$Y$5,$AC$5))/3 + $AC8</f>
        <v>709844.71428571304</v>
      </c>
      <c r="AE8" s="97">
        <f t="array" ref="AE8">(TREND($K8:$Y8,$K$5:$Y$5,AE$5) - TREND($K8:$Y8,$K$5:$Y$5,$AC$5))/3 + $AC8</f>
        <v>720626.42857142759</v>
      </c>
      <c r="AG8" s="45">
        <f t="shared" ref="AG8:AG13" si="0">AC8/$AB8-1</f>
        <v>2.3682527609010462E-2</v>
      </c>
      <c r="AH8" s="45">
        <f t="shared" ref="AH8:AH13" si="1">AE8/$AB8-1</f>
        <v>5.5259231087690264E-2</v>
      </c>
    </row>
    <row r="9" spans="1:34" ht="13.5" customHeight="1" thickBot="1">
      <c r="A9" s="20" t="s">
        <v>97</v>
      </c>
      <c r="B9" s="14">
        <v>116519</v>
      </c>
      <c r="C9" s="14">
        <v>118380</v>
      </c>
      <c r="D9" s="14">
        <v>119620</v>
      </c>
      <c r="E9" s="14">
        <v>121245</v>
      </c>
      <c r="F9" s="14">
        <v>122974</v>
      </c>
      <c r="G9" s="14">
        <v>124205</v>
      </c>
      <c r="H9" s="14">
        <v>125221</v>
      </c>
      <c r="I9" s="14">
        <v>126546</v>
      </c>
      <c r="J9" s="14">
        <v>128028</v>
      </c>
      <c r="K9" s="14">
        <v>129623</v>
      </c>
      <c r="L9" s="14">
        <v>130816</v>
      </c>
      <c r="M9" s="14">
        <v>132062</v>
      </c>
      <c r="N9" s="14">
        <v>133482</v>
      </c>
      <c r="O9" s="14">
        <v>134658</v>
      </c>
      <c r="P9" s="14">
        <v>135780</v>
      </c>
      <c r="Q9" s="14">
        <v>137368</v>
      </c>
      <c r="R9" s="14">
        <v>138850</v>
      </c>
      <c r="S9" s="14">
        <v>140188</v>
      </c>
      <c r="T9" s="14">
        <v>141305</v>
      </c>
      <c r="U9" s="14">
        <v>142400</v>
      </c>
      <c r="V9" s="14">
        <v>143420</v>
      </c>
      <c r="W9" s="14">
        <v>144473</v>
      </c>
      <c r="X9" s="14">
        <v>145887</v>
      </c>
      <c r="Y9" s="21">
        <v>147746</v>
      </c>
      <c r="AB9" s="95">
        <f t="array" ref="AB9">(TREND($K9:$Y9,$K$5:$Y$5,AB$5) - TREND($K9:$Y9,$K$5:$Y$5,$Y$5))/2 + TREND($K9:$Y9,$K$5:$Y$5,$Y$5)</f>
        <v>148714.05714285746</v>
      </c>
      <c r="AC9" s="95">
        <f t="array" ref="AC9">(TREND($K9:$Y9,$K$5:$Y$5,AC$5) - TREND($K9:$Y9,$K$5:$Y$5,$Y$5))/2 + TREND($K9:$Y9,$K$5:$Y$5,$Y$5)</f>
        <v>151894.32500000019</v>
      </c>
      <c r="AD9" s="97">
        <f t="array" ref="AD9">(TREND($K9:$Y9,$K$5:$Y$5,AD$5) - TREND($K9:$Y9,$K$5:$Y$5,$AC$5))/3 + $AC9</f>
        <v>154014.50357142882</v>
      </c>
      <c r="AE9" s="97">
        <f t="array" ref="AE9">(TREND($K9:$Y9,$K$5:$Y$5,AE$5) - TREND($K9:$Y9,$K$5:$Y$5,$AC$5))/3 + $AC9</f>
        <v>156134.68214285732</v>
      </c>
      <c r="AG9" s="45">
        <f t="shared" si="0"/>
        <v>2.1385119323909629E-2</v>
      </c>
      <c r="AH9" s="45">
        <f t="shared" si="1"/>
        <v>4.9898611755790245E-2</v>
      </c>
    </row>
    <row r="10" spans="1:34" ht="13.5" customHeight="1" thickBot="1">
      <c r="A10" s="20" t="s">
        <v>96</v>
      </c>
      <c r="B10" s="14">
        <v>160851</v>
      </c>
      <c r="C10" s="14">
        <v>164224</v>
      </c>
      <c r="D10" s="14">
        <v>166415</v>
      </c>
      <c r="E10" s="14">
        <v>168549</v>
      </c>
      <c r="F10" s="14">
        <v>170912</v>
      </c>
      <c r="G10" s="14">
        <v>173436</v>
      </c>
      <c r="H10" s="14">
        <v>175286</v>
      </c>
      <c r="I10" s="14">
        <v>177276</v>
      </c>
      <c r="J10" s="14">
        <v>179901</v>
      </c>
      <c r="K10" s="14">
        <v>182528</v>
      </c>
      <c r="L10" s="14">
        <v>185419</v>
      </c>
      <c r="M10" s="14">
        <v>188114</v>
      </c>
      <c r="N10" s="14">
        <v>190847</v>
      </c>
      <c r="O10" s="14">
        <v>193798</v>
      </c>
      <c r="P10" s="14">
        <v>196291</v>
      </c>
      <c r="Q10" s="14">
        <v>198525</v>
      </c>
      <c r="R10" s="14">
        <v>200526</v>
      </c>
      <c r="S10" s="14">
        <v>201810</v>
      </c>
      <c r="T10" s="14">
        <v>203567</v>
      </c>
      <c r="U10" s="14">
        <v>205489</v>
      </c>
      <c r="V10" s="14">
        <v>207327</v>
      </c>
      <c r="W10" s="14">
        <v>209551</v>
      </c>
      <c r="X10" s="14">
        <v>211848</v>
      </c>
      <c r="Y10" s="21">
        <v>214633</v>
      </c>
      <c r="AB10" s="95">
        <f t="array" ref="AB10">(TREND($K10:$Y10,$K$5:$Y$5,AB$5) - TREND($K10:$Y10,$K$5:$Y$5,$Y$5))/2 + TREND($K10:$Y10,$K$5:$Y$5,$Y$5)</f>
        <v>216760.79047619086</v>
      </c>
      <c r="AC10" s="95">
        <f t="array" ref="AC10">(TREND($K10:$Y10,$K$5:$Y$5,AC$5) - TREND($K10:$Y10,$K$5:$Y$5,$Y$5))/2 + TREND($K10:$Y10,$K$5:$Y$5,$Y$5)</f>
        <v>222201.18333333358</v>
      </c>
      <c r="AD10" s="97">
        <f t="array" ref="AD10">(TREND($K10:$Y10,$K$5:$Y$5,AD$5) - TREND($K10:$Y10,$K$5:$Y$5,$AC$5))/3 + $AC10</f>
        <v>225828.11190476207</v>
      </c>
      <c r="AE10" s="97">
        <f t="array" ref="AE10">(TREND($K10:$Y10,$K$5:$Y$5,AE$5) - TREND($K10:$Y10,$K$5:$Y$5,$AC$5))/3 + $AC10</f>
        <v>229455.04047619086</v>
      </c>
      <c r="AG10" s="45">
        <f t="shared" si="0"/>
        <v>2.5098602220406274E-2</v>
      </c>
      <c r="AH10" s="45">
        <f t="shared" si="1"/>
        <v>5.8563405180949157E-2</v>
      </c>
    </row>
    <row r="11" spans="1:34" ht="13.5" customHeight="1" thickBot="1">
      <c r="A11" s="20" t="s">
        <v>95</v>
      </c>
      <c r="B11" s="14">
        <v>195468</v>
      </c>
      <c r="C11" s="14">
        <v>197774</v>
      </c>
      <c r="D11" s="14">
        <v>199823</v>
      </c>
      <c r="E11" s="14">
        <v>200966</v>
      </c>
      <c r="F11" s="14">
        <v>202932</v>
      </c>
      <c r="G11" s="14">
        <v>204337</v>
      </c>
      <c r="H11" s="14">
        <v>206368</v>
      </c>
      <c r="I11" s="14">
        <v>207866</v>
      </c>
      <c r="J11" s="14">
        <v>209552</v>
      </c>
      <c r="K11" s="14">
        <v>211507</v>
      </c>
      <c r="L11" s="14">
        <v>213217</v>
      </c>
      <c r="M11" s="14">
        <v>215168</v>
      </c>
      <c r="N11" s="14">
        <v>217421</v>
      </c>
      <c r="O11" s="14">
        <v>220446</v>
      </c>
      <c r="P11" s="14">
        <v>223004</v>
      </c>
      <c r="Q11" s="14">
        <v>225118</v>
      </c>
      <c r="R11" s="14">
        <v>228274</v>
      </c>
      <c r="S11" s="14">
        <v>231853</v>
      </c>
      <c r="T11" s="14">
        <v>235239</v>
      </c>
      <c r="U11" s="14">
        <v>238140</v>
      </c>
      <c r="V11" s="14">
        <v>241009</v>
      </c>
      <c r="W11" s="14">
        <v>244223</v>
      </c>
      <c r="X11" s="14">
        <v>249009</v>
      </c>
      <c r="Y11" s="21">
        <v>255050</v>
      </c>
      <c r="AB11" s="95">
        <f t="array" ref="AB11">(TREND($K11:$Y11,$K$5:$Y$5,AB$5) - TREND($K11:$Y11,$K$5:$Y$5,$Y$5))/2 + TREND($K11:$Y11,$K$5:$Y$5,$Y$5)</f>
        <v>254010.92380952369</v>
      </c>
      <c r="AC11" s="95">
        <f t="array" ref="AC11">(TREND($K11:$Y11,$K$5:$Y$5,AC$5) - TREND($K11:$Y11,$K$5:$Y$5,$Y$5))/2 + TREND($K11:$Y11,$K$5:$Y$5,$Y$5)</f>
        <v>261541.87916666688</v>
      </c>
      <c r="AD11" s="97">
        <f t="array" ref="AD11">(TREND($K11:$Y11,$K$5:$Y$5,AD$5) - TREND($K11:$Y11,$K$5:$Y$5,$AC$5))/3 + $AC11</f>
        <v>266562.51607142872</v>
      </c>
      <c r="AE11" s="97">
        <f t="array" ref="AE11">(TREND($K11:$Y11,$K$5:$Y$5,AE$5) - TREND($K11:$Y11,$K$5:$Y$5,$AC$5))/3 + $AC11</f>
        <v>271583.1529761905</v>
      </c>
      <c r="AG11" s="45">
        <f t="shared" si="0"/>
        <v>2.9648155458032344E-2</v>
      </c>
      <c r="AH11" s="45">
        <f t="shared" si="1"/>
        <v>6.91790294020731E-2</v>
      </c>
    </row>
    <row r="12" spans="1:34" ht="13.5" customHeight="1" thickBot="1">
      <c r="A12" s="20" t="s">
        <v>94</v>
      </c>
      <c r="B12" s="14">
        <v>172561</v>
      </c>
      <c r="C12" s="14">
        <v>173686</v>
      </c>
      <c r="D12" s="14">
        <v>174618</v>
      </c>
      <c r="E12" s="14">
        <v>175059</v>
      </c>
      <c r="F12" s="14">
        <v>174824</v>
      </c>
      <c r="G12" s="14">
        <v>174868</v>
      </c>
      <c r="H12" s="14">
        <v>175354</v>
      </c>
      <c r="I12" s="14">
        <v>175286</v>
      </c>
      <c r="J12" s="14">
        <v>175582</v>
      </c>
      <c r="K12" s="14">
        <v>176087</v>
      </c>
      <c r="L12" s="14">
        <v>177326</v>
      </c>
      <c r="M12" s="14">
        <v>178630</v>
      </c>
      <c r="N12" s="14">
        <v>180225</v>
      </c>
      <c r="O12" s="14">
        <v>182072</v>
      </c>
      <c r="P12" s="14">
        <v>183824</v>
      </c>
      <c r="Q12" s="14">
        <v>185908</v>
      </c>
      <c r="R12" s="14">
        <v>187604</v>
      </c>
      <c r="S12" s="14">
        <v>189669</v>
      </c>
      <c r="T12" s="14">
        <v>191331</v>
      </c>
      <c r="U12" s="14">
        <v>192962</v>
      </c>
      <c r="V12" s="14">
        <v>194391</v>
      </c>
      <c r="W12" s="14">
        <v>195137</v>
      </c>
      <c r="X12" s="14">
        <v>197900</v>
      </c>
      <c r="Y12" s="21">
        <v>201863</v>
      </c>
      <c r="AB12" s="95">
        <f t="array" ref="AB12">(TREND($K12:$Y12,$K$5:$Y$5,AB$5) - TREND($K12:$Y12,$K$5:$Y$5,$Y$5))/2 + TREND($K12:$Y12,$K$5:$Y$5,$Y$5)</f>
        <v>201791.07619047584</v>
      </c>
      <c r="AC12" s="95">
        <f t="array" ref="AC12">(TREND($K12:$Y12,$K$5:$Y$5,AC$5) - TREND($K12:$Y12,$K$5:$Y$5,$Y$5))/2 + TREND($K12:$Y12,$K$5:$Y$5,$Y$5)</f>
        <v>206206.43333333312</v>
      </c>
      <c r="AD12" s="97">
        <f t="array" ref="AD12">(TREND($K12:$Y12,$K$5:$Y$5,AD$5) - TREND($K12:$Y12,$K$5:$Y$5,$AC$5))/3 + $AC12</f>
        <v>209150.00476190448</v>
      </c>
      <c r="AE12" s="97">
        <f t="array" ref="AE12">(TREND($K12:$Y12,$K$5:$Y$5,AE$5) - TREND($K12:$Y12,$K$5:$Y$5,$AC$5))/3 + $AC12</f>
        <v>212093.57619047599</v>
      </c>
      <c r="AG12" s="45">
        <f t="shared" si="0"/>
        <v>2.1880834505731528E-2</v>
      </c>
      <c r="AH12" s="45">
        <f t="shared" si="1"/>
        <v>5.1055280513372825E-2</v>
      </c>
    </row>
    <row r="13" spans="1:34" ht="13.5" customHeight="1" thickBot="1">
      <c r="A13" s="22" t="s">
        <v>93</v>
      </c>
      <c r="B13" s="23">
        <v>178471</v>
      </c>
      <c r="C13" s="23">
        <v>179856</v>
      </c>
      <c r="D13" s="23">
        <v>181890</v>
      </c>
      <c r="E13" s="23">
        <v>184039</v>
      </c>
      <c r="F13" s="23">
        <v>185429</v>
      </c>
      <c r="G13" s="23">
        <v>187281</v>
      </c>
      <c r="H13" s="23">
        <v>189711</v>
      </c>
      <c r="I13" s="23">
        <v>192522</v>
      </c>
      <c r="J13" s="23">
        <v>195397</v>
      </c>
      <c r="K13" s="23">
        <v>197636</v>
      </c>
      <c r="L13" s="23">
        <v>200055</v>
      </c>
      <c r="M13" s="23">
        <v>203001</v>
      </c>
      <c r="N13" s="23">
        <v>205312</v>
      </c>
      <c r="O13" s="23">
        <v>208098</v>
      </c>
      <c r="P13" s="23">
        <v>210803</v>
      </c>
      <c r="Q13" s="23">
        <v>214605</v>
      </c>
      <c r="R13" s="23">
        <v>219341</v>
      </c>
      <c r="S13" s="23">
        <v>223027</v>
      </c>
      <c r="T13" s="23">
        <v>228166</v>
      </c>
      <c r="U13" s="23">
        <v>233775</v>
      </c>
      <c r="V13" s="23">
        <v>237231</v>
      </c>
      <c r="W13" s="23">
        <v>239206</v>
      </c>
      <c r="X13" s="23">
        <v>242819</v>
      </c>
      <c r="Y13" s="24">
        <v>247443</v>
      </c>
      <c r="AB13" s="95">
        <f t="array" ref="AB13">(TREND($K13:$Y13,$K$5:$Y$5,AB$5) - TREND($K13:$Y13,$K$5:$Y$5,$Y$5))/2 + TREND($K13:$Y13,$K$5:$Y$5,$Y$5)</f>
        <v>250247.28571428591</v>
      </c>
      <c r="AC13" s="95">
        <f t="array" ref="AC13">(TREND($K13:$Y13,$K$5:$Y$5,AC$5) - TREND($K13:$Y13,$K$5:$Y$5,$Y$5))/2 + TREND($K13:$Y13,$K$5:$Y$5,$Y$5)</f>
        <v>259480.43750000047</v>
      </c>
      <c r="AD13" s="97">
        <f t="array" ref="AD13">(TREND($K13:$Y13,$K$5:$Y$5,AD$5) - TREND($K13:$Y13,$K$5:$Y$5,$AC$5))/3 + $AC13</f>
        <v>265635.87202380988</v>
      </c>
      <c r="AE13" s="97">
        <f t="array" ref="AE13">(TREND($K13:$Y13,$K$5:$Y$5,AE$5) - TREND($K13:$Y13,$K$5:$Y$5,$AC$5))/3 + $AC13</f>
        <v>271791.30654761958</v>
      </c>
      <c r="AG13" s="45">
        <f t="shared" si="0"/>
        <v>3.6896111617595206E-2</v>
      </c>
      <c r="AH13" s="45">
        <f t="shared" si="1"/>
        <v>8.609092710772126E-2</v>
      </c>
    </row>
    <row r="17" spans="1:34" ht="15">
      <c r="A17" s="12" t="s">
        <v>47</v>
      </c>
    </row>
    <row r="18" spans="1:34" ht="15">
      <c r="A18" s="11" t="s">
        <v>46</v>
      </c>
      <c r="B18" s="11" t="s">
        <v>45</v>
      </c>
    </row>
    <row r="19" spans="1:34" ht="15"/>
    <row r="20" spans="1:34" ht="15">
      <c r="A20" s="8" t="s">
        <v>48</v>
      </c>
    </row>
    <row r="21" spans="1:34" ht="15">
      <c r="A21" s="8" t="s">
        <v>41</v>
      </c>
      <c r="B21" s="9" t="s">
        <v>47</v>
      </c>
    </row>
    <row r="22" spans="1:34" ht="15">
      <c r="A22" s="8" t="s">
        <v>39</v>
      </c>
      <c r="B22" s="8" t="s">
        <v>49</v>
      </c>
    </row>
    <row r="23" spans="1:34" ht="15"/>
    <row r="24" spans="1:34" ht="15">
      <c r="A24" s="9" t="s">
        <v>37</v>
      </c>
      <c r="C24" s="8" t="s">
        <v>36</v>
      </c>
    </row>
    <row r="25" spans="1:34" ht="15">
      <c r="A25" s="9" t="s">
        <v>50</v>
      </c>
      <c r="C25" s="8" t="s">
        <v>51</v>
      </c>
    </row>
    <row r="26" spans="1:34" ht="15"/>
    <row r="27" spans="1:34" ht="15">
      <c r="A27" s="7" t="s">
        <v>29</v>
      </c>
      <c r="B27" s="37">
        <v>2000</v>
      </c>
      <c r="C27" s="37">
        <v>2001</v>
      </c>
      <c r="D27" s="37">
        <v>2002</v>
      </c>
      <c r="E27" s="37">
        <v>2003</v>
      </c>
      <c r="F27" s="37">
        <v>2004</v>
      </c>
      <c r="G27" s="37">
        <v>2005</v>
      </c>
      <c r="H27" s="37">
        <v>2006</v>
      </c>
      <c r="I27" s="37">
        <v>2007</v>
      </c>
      <c r="J27" s="37">
        <v>2008</v>
      </c>
      <c r="K27" s="37">
        <v>2009</v>
      </c>
      <c r="L27" s="37">
        <v>2010</v>
      </c>
      <c r="M27" s="37">
        <v>2011</v>
      </c>
      <c r="N27" s="37">
        <v>2012</v>
      </c>
      <c r="O27" s="37">
        <v>2013</v>
      </c>
      <c r="P27" s="37">
        <v>2014</v>
      </c>
      <c r="Q27" s="37">
        <v>2015</v>
      </c>
      <c r="R27" s="37">
        <v>2016</v>
      </c>
      <c r="S27" s="37">
        <v>2017</v>
      </c>
      <c r="T27" s="37">
        <v>2018</v>
      </c>
      <c r="U27" s="37">
        <v>2019</v>
      </c>
      <c r="V27" s="37">
        <v>2020</v>
      </c>
      <c r="W27" s="37">
        <v>2021</v>
      </c>
      <c r="X27" s="37">
        <v>2022</v>
      </c>
      <c r="Y27" s="37">
        <v>2023</v>
      </c>
      <c r="AB27" s="6">
        <v>2025</v>
      </c>
      <c r="AC27" s="6">
        <v>2030</v>
      </c>
      <c r="AD27" s="6">
        <v>2035</v>
      </c>
      <c r="AE27" s="6">
        <v>2040</v>
      </c>
      <c r="AG27" s="46" t="s">
        <v>233</v>
      </c>
      <c r="AH27" t="s">
        <v>234</v>
      </c>
    </row>
    <row r="28" spans="1:34" ht="15">
      <c r="A28" s="5" t="s">
        <v>24</v>
      </c>
      <c r="B28" s="4" t="s">
        <v>22</v>
      </c>
      <c r="C28" s="4" t="s">
        <v>22</v>
      </c>
      <c r="D28" s="4" t="s">
        <v>22</v>
      </c>
      <c r="E28" s="4" t="s">
        <v>22</v>
      </c>
      <c r="F28" s="4" t="s">
        <v>22</v>
      </c>
      <c r="G28" s="4" t="s">
        <v>22</v>
      </c>
      <c r="H28" s="4" t="s">
        <v>22</v>
      </c>
      <c r="I28" s="4" t="s">
        <v>22</v>
      </c>
      <c r="J28" s="4" t="s">
        <v>22</v>
      </c>
      <c r="K28" s="4" t="s">
        <v>22</v>
      </c>
      <c r="L28" s="4" t="s">
        <v>22</v>
      </c>
      <c r="M28" s="4" t="s">
        <v>22</v>
      </c>
      <c r="N28" s="4" t="s">
        <v>22</v>
      </c>
      <c r="O28" s="4" t="s">
        <v>22</v>
      </c>
      <c r="P28" s="4" t="s">
        <v>22</v>
      </c>
      <c r="Q28" s="4" t="s">
        <v>22</v>
      </c>
      <c r="R28" s="4" t="s">
        <v>22</v>
      </c>
      <c r="S28" s="4" t="s">
        <v>22</v>
      </c>
      <c r="T28" s="4" t="s">
        <v>22</v>
      </c>
      <c r="U28" s="4" t="s">
        <v>22</v>
      </c>
      <c r="V28" s="4" t="s">
        <v>22</v>
      </c>
      <c r="W28" s="4" t="s">
        <v>22</v>
      </c>
      <c r="X28" s="4" t="s">
        <v>22</v>
      </c>
      <c r="Y28" s="4" t="s">
        <v>22</v>
      </c>
      <c r="AB28" s="4" t="s">
        <v>22</v>
      </c>
      <c r="AC28" s="4" t="s">
        <v>22</v>
      </c>
      <c r="AD28" s="4" t="s">
        <v>22</v>
      </c>
      <c r="AE28" s="4" t="s">
        <v>22</v>
      </c>
      <c r="AG28" s="45"/>
    </row>
    <row r="29" spans="1:34" ht="15">
      <c r="A29" s="2" t="s">
        <v>18</v>
      </c>
      <c r="B29" s="3">
        <v>428929021</v>
      </c>
      <c r="C29" s="3">
        <v>429484826</v>
      </c>
      <c r="D29" s="3">
        <v>430487481</v>
      </c>
      <c r="E29" s="3">
        <v>432062093</v>
      </c>
      <c r="F29" s="3">
        <v>433732008</v>
      </c>
      <c r="G29" s="3">
        <v>435313453</v>
      </c>
      <c r="H29" s="3">
        <v>436777748</v>
      </c>
      <c r="I29" s="3">
        <v>438294379</v>
      </c>
      <c r="J29" s="3">
        <v>439771089</v>
      </c>
      <c r="K29" s="3">
        <v>440886476</v>
      </c>
      <c r="L29" s="3">
        <v>441583436</v>
      </c>
      <c r="M29" s="3">
        <v>440916055</v>
      </c>
      <c r="N29" s="3">
        <v>441511575</v>
      </c>
      <c r="O29" s="3">
        <v>441904222</v>
      </c>
      <c r="P29" s="3">
        <v>442587737</v>
      </c>
      <c r="Q29" s="3">
        <v>443449425</v>
      </c>
      <c r="R29" s="3">
        <v>444320232</v>
      </c>
      <c r="S29" s="3">
        <v>444971270</v>
      </c>
      <c r="T29" s="3">
        <v>445982757</v>
      </c>
      <c r="U29" s="3">
        <v>446575615</v>
      </c>
      <c r="V29" s="3">
        <v>446547542</v>
      </c>
      <c r="W29" s="3">
        <v>445854958</v>
      </c>
      <c r="X29" s="3">
        <v>447320226</v>
      </c>
      <c r="Y29" s="3">
        <v>448382906</v>
      </c>
      <c r="AB29" s="95">
        <f t="array" ref="AB29">(TREND($K29:$Y29,$K$5:$Y$5,AB$5) - TREND($K29:$Y29,$K$5:$Y$5,$Y$5))/2 + TREND($K29:$Y29,$K$5:$Y$5,$Y$5)</f>
        <v>448588015.38095236</v>
      </c>
      <c r="AC29" s="95">
        <f t="array" ref="AC29">(TREND($K29:$Y29,$K$5:$Y$5,AC$5) - TREND($K29:$Y29,$K$5:$Y$5,$Y$5))/2 + TREND($K29:$Y29,$K$5:$Y$5,$Y$5)</f>
        <v>449963552.85416663</v>
      </c>
      <c r="AD29" s="97">
        <f t="array" ref="AD29">(TREND($K29:$Y29,$K$5:$Y$5,AD$5) - TREND($K29:$Y29,$K$5:$Y$5,$AC$5))/3 + $AC29</f>
        <v>450880577.83630955</v>
      </c>
      <c r="AE29" s="97">
        <f t="array" ref="AE29">(TREND($K29:$Y29,$K$5:$Y$5,AE$5) - TREND($K29:$Y29,$K$5:$Y$5,$AC$5))/3 + $AC29</f>
        <v>451797602.81845242</v>
      </c>
      <c r="AG29" s="45">
        <f>AC29/$AB29-1</f>
        <v>3.0663714277925358E-3</v>
      </c>
      <c r="AH29" s="45">
        <f>AE29/$AB29-1</f>
        <v>7.1548666648493242E-3</v>
      </c>
    </row>
    <row r="30" spans="1:34" ht="15">
      <c r="A30" s="2" t="s">
        <v>61</v>
      </c>
      <c r="B30" s="1">
        <v>487821535</v>
      </c>
      <c r="C30" s="1">
        <v>488604498</v>
      </c>
      <c r="D30" s="1">
        <v>489857960</v>
      </c>
      <c r="E30" s="1">
        <v>491709669</v>
      </c>
      <c r="F30" s="1">
        <v>493719913</v>
      </c>
      <c r="G30" s="1">
        <v>495714658</v>
      </c>
      <c r="H30" s="1">
        <v>497624568</v>
      </c>
      <c r="I30" s="1">
        <v>499616842</v>
      </c>
      <c r="J30" s="1">
        <v>501578084</v>
      </c>
      <c r="K30" s="1">
        <v>503162746</v>
      </c>
      <c r="L30" s="1">
        <v>504349800</v>
      </c>
      <c r="M30" s="1">
        <v>504174865</v>
      </c>
      <c r="N30" s="1">
        <v>505211790</v>
      </c>
      <c r="O30" s="1">
        <v>506032495</v>
      </c>
      <c r="P30" s="1">
        <v>507190035</v>
      </c>
      <c r="Q30" s="1">
        <v>508565644</v>
      </c>
      <c r="R30" s="1">
        <v>509931825</v>
      </c>
      <c r="S30" s="1">
        <v>511030129</v>
      </c>
      <c r="T30" s="1">
        <v>512443101</v>
      </c>
      <c r="U30" s="1">
        <v>513411942</v>
      </c>
      <c r="V30" s="1" t="s">
        <v>21</v>
      </c>
      <c r="W30" s="1" t="s">
        <v>21</v>
      </c>
      <c r="X30" s="1" t="s">
        <v>21</v>
      </c>
      <c r="Y30" s="1" t="s">
        <v>21</v>
      </c>
      <c r="AB30" s="95" t="e">
        <f t="array" ref="AB30">(TREND($K30:$Y30,$K$5:$Y$5,AB$5) - TREND($K30:$Y30,$K$5:$Y$5,$Y$5))/2 + TREND($K30:$Y30,$K$5:$Y$5,$Y$5)</f>
        <v>#VALUE!</v>
      </c>
      <c r="AC30" s="95" t="e">
        <f t="array" ref="AC30">(TREND($K30:$Y30,$K$5:$Y$5,AC$5) - TREND($K30:$Y30,$K$5:$Y$5,$Y$5))/2 + TREND($K30:$Y30,$K$5:$Y$5,$Y$5)</f>
        <v>#VALUE!</v>
      </c>
      <c r="AD30" s="97" t="e">
        <f t="array" ref="AD30">(TREND($K30:$Y30,$K$5:$Y$5,AD$5) - TREND($K30:$Y30,$K$5:$Y$5,$AC$5))/3 + $AC30</f>
        <v>#VALUE!</v>
      </c>
      <c r="AE30" s="97" t="e">
        <f t="array" ref="AE30">(TREND($K30:$Y30,$K$5:$Y$5,AE$5) - TREND($K30:$Y30,$K$5:$Y$5,$AC$5))/3 + $AC30</f>
        <v>#VALUE!</v>
      </c>
      <c r="AG30" s="45" t="e">
        <f t="shared" ref="AG30:AG63" si="2">AC30/$AB30-1</f>
        <v>#VALUE!</v>
      </c>
      <c r="AH30" s="45" t="e">
        <f t="shared" ref="AH30:AH63" si="3">AE30/$AB30-1</f>
        <v>#VALUE!</v>
      </c>
    </row>
    <row r="31" spans="1:34" ht="15">
      <c r="A31" s="2" t="s">
        <v>62</v>
      </c>
      <c r="B31" s="3">
        <v>483353233</v>
      </c>
      <c r="C31" s="3">
        <v>484304048</v>
      </c>
      <c r="D31" s="3">
        <v>485552521</v>
      </c>
      <c r="E31" s="3">
        <v>487404115</v>
      </c>
      <c r="F31" s="3">
        <v>489411620</v>
      </c>
      <c r="G31" s="3">
        <v>491402984</v>
      </c>
      <c r="H31" s="3">
        <v>493311559</v>
      </c>
      <c r="I31" s="3">
        <v>495304093</v>
      </c>
      <c r="J31" s="3">
        <v>497267203</v>
      </c>
      <c r="K31" s="3">
        <v>498856425</v>
      </c>
      <c r="L31" s="3">
        <v>500053448</v>
      </c>
      <c r="M31" s="3">
        <v>499891944</v>
      </c>
      <c r="N31" s="3">
        <v>500949897</v>
      </c>
      <c r="O31" s="3">
        <v>501799777</v>
      </c>
      <c r="P31" s="3" t="s">
        <v>21</v>
      </c>
      <c r="Q31" s="3" t="s">
        <v>21</v>
      </c>
      <c r="R31" s="3" t="s">
        <v>21</v>
      </c>
      <c r="S31" s="3" t="s">
        <v>21</v>
      </c>
      <c r="T31" s="3" t="s">
        <v>21</v>
      </c>
      <c r="U31" s="3" t="s">
        <v>21</v>
      </c>
      <c r="V31" s="3" t="s">
        <v>21</v>
      </c>
      <c r="W31" s="3" t="s">
        <v>21</v>
      </c>
      <c r="X31" s="3" t="s">
        <v>21</v>
      </c>
      <c r="Y31" s="3" t="s">
        <v>21</v>
      </c>
      <c r="AB31" s="95" t="e">
        <f t="array" ref="AB31">(TREND($K31:$Y31,$K$5:$Y$5,AB$5) - TREND($K31:$Y31,$K$5:$Y$5,$Y$5))/2 + TREND($K31:$Y31,$K$5:$Y$5,$Y$5)</f>
        <v>#VALUE!</v>
      </c>
      <c r="AC31" s="95" t="e">
        <f t="array" ref="AC31">(TREND($K31:$Y31,$K$5:$Y$5,AC$5) - TREND($K31:$Y31,$K$5:$Y$5,$Y$5))/2 + TREND($K31:$Y31,$K$5:$Y$5,$Y$5)</f>
        <v>#VALUE!</v>
      </c>
      <c r="AD31" s="97" t="e">
        <f t="array" ref="AD31">(TREND($K31:$Y31,$K$5:$Y$5,AD$5) - TREND($K31:$Y31,$K$5:$Y$5,$AC$5))/3 + $AC31</f>
        <v>#VALUE!</v>
      </c>
      <c r="AE31" s="97" t="e">
        <f t="array" ref="AE31">(TREND($K31:$Y31,$K$5:$Y$5,AE$5) - TREND($K31:$Y31,$K$5:$Y$5,$AC$5))/3 + $AC31</f>
        <v>#VALUE!</v>
      </c>
      <c r="AG31" s="45" t="e">
        <f t="shared" si="2"/>
        <v>#VALUE!</v>
      </c>
      <c r="AH31" s="45" t="e">
        <f t="shared" si="3"/>
        <v>#VALUE!</v>
      </c>
    </row>
    <row r="32" spans="1:34" ht="15">
      <c r="A32" s="2" t="s">
        <v>16</v>
      </c>
      <c r="B32" s="1">
        <v>10251250</v>
      </c>
      <c r="C32" s="1">
        <v>10286570</v>
      </c>
      <c r="D32" s="1">
        <v>10332785</v>
      </c>
      <c r="E32" s="1">
        <v>10376133</v>
      </c>
      <c r="F32" s="1">
        <v>10421137</v>
      </c>
      <c r="G32" s="1">
        <v>10478617</v>
      </c>
      <c r="H32" s="1">
        <v>10547958</v>
      </c>
      <c r="I32" s="1">
        <v>10625700</v>
      </c>
      <c r="J32" s="1">
        <v>10709973</v>
      </c>
      <c r="K32" s="1">
        <v>10796493</v>
      </c>
      <c r="L32" s="1">
        <v>10895586</v>
      </c>
      <c r="M32" s="1">
        <v>11038264</v>
      </c>
      <c r="N32" s="1">
        <v>11106932</v>
      </c>
      <c r="O32" s="1">
        <v>11159407</v>
      </c>
      <c r="P32" s="1">
        <v>11209057</v>
      </c>
      <c r="Q32" s="1">
        <v>11274196</v>
      </c>
      <c r="R32" s="1">
        <v>11331422</v>
      </c>
      <c r="S32" s="1">
        <v>11375158</v>
      </c>
      <c r="T32" s="1">
        <v>11427054</v>
      </c>
      <c r="U32" s="1">
        <v>11488980</v>
      </c>
      <c r="V32" s="1">
        <v>11538604</v>
      </c>
      <c r="W32" s="1">
        <v>11586195</v>
      </c>
      <c r="X32" s="1">
        <v>11680210</v>
      </c>
      <c r="Y32" s="1">
        <v>11787423</v>
      </c>
      <c r="AB32" s="95">
        <f t="array" ref="AB32">(TREND($K32:$Y32,$K$5:$Y$5,AB$5) - TREND($K32:$Y32,$K$5:$Y$5,$Y$5))/2 + TREND($K32:$Y32,$K$5:$Y$5,$Y$5)</f>
        <v>11816892.219047621</v>
      </c>
      <c r="AC32" s="95">
        <f t="array" ref="AC32">(TREND($K32:$Y32,$K$5:$Y$5,AC$5) - TREND($K32:$Y32,$K$5:$Y$5,$Y$5))/2 + TREND($K32:$Y32,$K$5:$Y$5,$Y$5)</f>
        <v>11974358.933333337</v>
      </c>
      <c r="AD32" s="97">
        <f t="array" ref="AD32">(TREND($K32:$Y32,$K$5:$Y$5,AD$5) - TREND($K32:$Y32,$K$5:$Y$5,$AC$5))/3 + $AC32</f>
        <v>12079336.742857143</v>
      </c>
      <c r="AE32" s="97">
        <f t="array" ref="AE32">(TREND($K32:$Y32,$K$5:$Y$5,AE$5) - TREND($K32:$Y32,$K$5:$Y$5,$AC$5))/3 + $AC32</f>
        <v>12184314.552380955</v>
      </c>
      <c r="AG32" s="45">
        <f t="shared" si="2"/>
        <v>1.3325560677611703E-2</v>
      </c>
      <c r="AH32" s="45">
        <f t="shared" si="3"/>
        <v>3.1092974914426863E-2</v>
      </c>
    </row>
    <row r="33" spans="1:34" ht="15">
      <c r="A33" s="2" t="s">
        <v>15</v>
      </c>
      <c r="B33" s="3">
        <v>8170172</v>
      </c>
      <c r="C33" s="3">
        <v>8009142</v>
      </c>
      <c r="D33" s="3">
        <v>7837161</v>
      </c>
      <c r="E33" s="3">
        <v>7775327</v>
      </c>
      <c r="F33" s="3">
        <v>7716860</v>
      </c>
      <c r="G33" s="3">
        <v>7658972</v>
      </c>
      <c r="H33" s="3">
        <v>7601022</v>
      </c>
      <c r="I33" s="3">
        <v>7545338</v>
      </c>
      <c r="J33" s="3">
        <v>7492561</v>
      </c>
      <c r="K33" s="3">
        <v>7444443</v>
      </c>
      <c r="L33" s="3">
        <v>7395599</v>
      </c>
      <c r="M33" s="3">
        <v>7348328</v>
      </c>
      <c r="N33" s="3">
        <v>7305888</v>
      </c>
      <c r="O33" s="3">
        <v>7160005</v>
      </c>
      <c r="P33" s="3">
        <v>7073572</v>
      </c>
      <c r="Q33" s="3">
        <v>6984225</v>
      </c>
      <c r="R33" s="3">
        <v>6894139</v>
      </c>
      <c r="S33" s="3">
        <v>6803468</v>
      </c>
      <c r="T33" s="3">
        <v>6710798</v>
      </c>
      <c r="U33" s="3">
        <v>6616726</v>
      </c>
      <c r="V33" s="3">
        <v>6550696</v>
      </c>
      <c r="W33" s="3">
        <v>6507301</v>
      </c>
      <c r="X33" s="3">
        <v>6465097</v>
      </c>
      <c r="Y33" s="3">
        <v>6446596</v>
      </c>
      <c r="AB33" s="95">
        <f t="array" ref="AB33">(TREND($K33:$Y33,$K$5:$Y$5,AB$5) - TREND($K33:$Y33,$K$5:$Y$5,$Y$5))/2 + TREND($K33:$Y33,$K$5:$Y$5,$Y$5)</f>
        <v>6275792.4666666538</v>
      </c>
      <c r="AC33" s="95">
        <f t="array" ref="AC33">(TREND($K33:$Y33,$K$5:$Y$5,AC$5) - TREND($K33:$Y33,$K$5:$Y$5,$Y$5))/2 + TREND($K33:$Y33,$K$5:$Y$5,$Y$5)</f>
        <v>6076417.5916666538</v>
      </c>
      <c r="AD33" s="97">
        <f t="array" ref="AD33">(TREND($K33:$Y33,$K$5:$Y$5,AD$5) - TREND($K33:$Y33,$K$5:$Y$5,$AC$5))/3 + $AC33</f>
        <v>5943501.0083333207</v>
      </c>
      <c r="AE33" s="97">
        <f t="array" ref="AE33">(TREND($K33:$Y33,$K$5:$Y$5,AE$5) - TREND($K33:$Y33,$K$5:$Y$5,$AC$5))/3 + $AC33</f>
        <v>5810584.4249999868</v>
      </c>
      <c r="AG33" s="45">
        <f t="shared" si="2"/>
        <v>-3.1768876370428578E-2</v>
      </c>
      <c r="AH33" s="45">
        <f t="shared" si="3"/>
        <v>-7.4127378197666793E-2</v>
      </c>
    </row>
    <row r="34" spans="1:34" ht="15">
      <c r="A34" s="2" t="s">
        <v>63</v>
      </c>
      <c r="B34" s="1">
        <v>10255063</v>
      </c>
      <c r="C34" s="1">
        <v>10216605</v>
      </c>
      <c r="D34" s="1">
        <v>10196916</v>
      </c>
      <c r="E34" s="1">
        <v>10193998</v>
      </c>
      <c r="F34" s="1">
        <v>10197101</v>
      </c>
      <c r="G34" s="1">
        <v>10211216</v>
      </c>
      <c r="H34" s="1">
        <v>10238905</v>
      </c>
      <c r="I34" s="1">
        <v>10298828</v>
      </c>
      <c r="J34" s="1">
        <v>10384603</v>
      </c>
      <c r="K34" s="1">
        <v>10443936</v>
      </c>
      <c r="L34" s="1">
        <v>10474410</v>
      </c>
      <c r="M34" s="1">
        <v>10496088</v>
      </c>
      <c r="N34" s="1">
        <v>10510785</v>
      </c>
      <c r="O34" s="1">
        <v>10514272</v>
      </c>
      <c r="P34" s="1">
        <v>10525347</v>
      </c>
      <c r="Q34" s="1">
        <v>10546059</v>
      </c>
      <c r="R34" s="1">
        <v>10566332</v>
      </c>
      <c r="S34" s="1">
        <v>10594438</v>
      </c>
      <c r="T34" s="1">
        <v>10629928</v>
      </c>
      <c r="U34" s="1">
        <v>10671870</v>
      </c>
      <c r="V34" s="1">
        <v>10697858</v>
      </c>
      <c r="W34" s="1">
        <v>10505772</v>
      </c>
      <c r="X34" s="1">
        <v>10672118</v>
      </c>
      <c r="Y34" s="1">
        <v>10864042</v>
      </c>
      <c r="AB34" s="95">
        <f t="array" ref="AB34">(TREND($K34:$Y34,$K$5:$Y$5,AB$5) - TREND($K34:$Y34,$K$5:$Y$5,$Y$5))/2 + TREND($K34:$Y34,$K$5:$Y$5,$Y$5)</f>
        <v>10742427.580952376</v>
      </c>
      <c r="AC34" s="95">
        <f t="array" ref="AC34">(TREND($K34:$Y34,$K$5:$Y$5,AC$5) - TREND($K34:$Y34,$K$5:$Y$5,$Y$5))/2 + TREND($K34:$Y34,$K$5:$Y$5,$Y$5)</f>
        <v>10792910.054166663</v>
      </c>
      <c r="AD34" s="97">
        <f t="array" ref="AD34">(TREND($K34:$Y34,$K$5:$Y$5,AD$5) - TREND($K34:$Y34,$K$5:$Y$5,$AC$5))/3 + $AC34</f>
        <v>10826565.03630952</v>
      </c>
      <c r="AE34" s="97">
        <f t="array" ref="AE34">(TREND($K34:$Y34,$K$5:$Y$5,AE$5) - TREND($K34:$Y34,$K$5:$Y$5,$AC$5))/3 + $AC34</f>
        <v>10860220.018452378</v>
      </c>
      <c r="AG34" s="45">
        <f t="shared" si="2"/>
        <v>4.6993542971420776E-3</v>
      </c>
      <c r="AH34" s="45">
        <f t="shared" si="3"/>
        <v>1.0965160026664922E-2</v>
      </c>
    </row>
    <row r="35" spans="1:34" ht="15">
      <c r="A35" s="2" t="s">
        <v>14</v>
      </c>
      <c r="B35" s="3">
        <v>5339616</v>
      </c>
      <c r="C35" s="3">
        <v>5358783</v>
      </c>
      <c r="D35" s="3">
        <v>5375931</v>
      </c>
      <c r="E35" s="3">
        <v>5390574</v>
      </c>
      <c r="F35" s="3">
        <v>5404523</v>
      </c>
      <c r="G35" s="3">
        <v>5419432</v>
      </c>
      <c r="H35" s="3">
        <v>5437272</v>
      </c>
      <c r="I35" s="3">
        <v>5461438</v>
      </c>
      <c r="J35" s="3">
        <v>5493621</v>
      </c>
      <c r="K35" s="3">
        <v>5523095</v>
      </c>
      <c r="L35" s="3">
        <v>5547683</v>
      </c>
      <c r="M35" s="3">
        <v>5570572</v>
      </c>
      <c r="N35" s="3">
        <v>5591572</v>
      </c>
      <c r="O35" s="3">
        <v>5614932</v>
      </c>
      <c r="P35" s="3">
        <v>5643475</v>
      </c>
      <c r="Q35" s="3">
        <v>5683483</v>
      </c>
      <c r="R35" s="3">
        <v>5728010</v>
      </c>
      <c r="S35" s="3">
        <v>5764980</v>
      </c>
      <c r="T35" s="3">
        <v>5793636</v>
      </c>
      <c r="U35" s="3">
        <v>5814422</v>
      </c>
      <c r="V35" s="3">
        <v>5831404</v>
      </c>
      <c r="W35" s="3">
        <v>5856733</v>
      </c>
      <c r="X35" s="3">
        <v>5903037</v>
      </c>
      <c r="Y35" s="3">
        <v>5946952</v>
      </c>
      <c r="AB35" s="95">
        <f t="array" ref="AB35">(TREND($K35:$Y35,$K$5:$Y$5,AB$5) - TREND($K35:$Y35,$K$5:$Y$5,$Y$5))/2 + TREND($K35:$Y35,$K$5:$Y$5,$Y$5)</f>
        <v>5962919.3999999985</v>
      </c>
      <c r="AC35" s="95">
        <f t="array" ref="AC35">(TREND($K35:$Y35,$K$5:$Y$5,AC$5) - TREND($K35:$Y35,$K$5:$Y$5,$Y$5))/2 + TREND($K35:$Y35,$K$5:$Y$5,$Y$5)</f>
        <v>6038540.3374999985</v>
      </c>
      <c r="AD35" s="97">
        <f t="array" ref="AD35">(TREND($K35:$Y35,$K$5:$Y$5,AD$5) - TREND($K35:$Y35,$K$5:$Y$5,$AC$5))/3 + $AC35</f>
        <v>6088954.2958333315</v>
      </c>
      <c r="AE35" s="97">
        <f t="array" ref="AE35">(TREND($K35:$Y35,$K$5:$Y$5,AE$5) - TREND($K35:$Y35,$K$5:$Y$5,$AC$5))/3 + $AC35</f>
        <v>6139368.2541666655</v>
      </c>
      <c r="AG35" s="45">
        <f t="shared" si="2"/>
        <v>1.2681864775834439E-2</v>
      </c>
      <c r="AH35" s="45">
        <f t="shared" si="3"/>
        <v>2.9591017810280507E-2</v>
      </c>
    </row>
    <row r="36" spans="1:34" ht="15">
      <c r="A36" s="2" t="s">
        <v>64</v>
      </c>
      <c r="B36" s="1">
        <v>82211508</v>
      </c>
      <c r="C36" s="1">
        <v>82349925</v>
      </c>
      <c r="D36" s="1">
        <v>82488495</v>
      </c>
      <c r="E36" s="1">
        <v>82534176</v>
      </c>
      <c r="F36" s="1">
        <v>82516260</v>
      </c>
      <c r="G36" s="1">
        <v>82469422</v>
      </c>
      <c r="H36" s="1">
        <v>82376451</v>
      </c>
      <c r="I36" s="1">
        <v>82266372</v>
      </c>
      <c r="J36" s="1">
        <v>82110097</v>
      </c>
      <c r="K36" s="1">
        <v>81902307</v>
      </c>
      <c r="L36" s="1">
        <v>81776930</v>
      </c>
      <c r="M36" s="1">
        <v>80274983</v>
      </c>
      <c r="N36" s="1">
        <v>80425823</v>
      </c>
      <c r="O36" s="1">
        <v>80645605</v>
      </c>
      <c r="P36" s="1">
        <v>80982500</v>
      </c>
      <c r="Q36" s="1">
        <v>81686611</v>
      </c>
      <c r="R36" s="1">
        <v>82348669</v>
      </c>
      <c r="S36" s="1">
        <v>82657002</v>
      </c>
      <c r="T36" s="1">
        <v>82905782</v>
      </c>
      <c r="U36" s="1">
        <v>83092962</v>
      </c>
      <c r="V36" s="1">
        <v>83160871</v>
      </c>
      <c r="W36" s="1">
        <v>83196078</v>
      </c>
      <c r="X36" s="1">
        <v>83797985</v>
      </c>
      <c r="Y36" s="1">
        <v>83901923</v>
      </c>
      <c r="AB36" s="95">
        <f t="array" ref="AB36">(TREND($K36:$Y36,$K$5:$Y$5,AB$5) - TREND($K36:$Y36,$K$5:$Y$5,$Y$5))/2 + TREND($K36:$Y36,$K$5:$Y$5,$Y$5)</f>
        <v>84007402.114285767</v>
      </c>
      <c r="AC36" s="95">
        <f t="array" ref="AC36">(TREND($K36:$Y36,$K$5:$Y$5,AC$5) - TREND($K36:$Y36,$K$5:$Y$5,$Y$5))/2 + TREND($K36:$Y36,$K$5:$Y$5,$Y$5)</f>
        <v>84577297.962500036</v>
      </c>
      <c r="AD36" s="97">
        <f t="array" ref="AD36">(TREND($K36:$Y36,$K$5:$Y$5,AD$5) - TREND($K36:$Y36,$K$5:$Y$5,$AC$5))/3 + $AC36</f>
        <v>84957228.52797623</v>
      </c>
      <c r="AE36" s="97">
        <f t="array" ref="AE36">(TREND($K36:$Y36,$K$5:$Y$5,AE$5) - TREND($K36:$Y36,$K$5:$Y$5,$AC$5))/3 + $AC36</f>
        <v>85337159.093452409</v>
      </c>
      <c r="AG36" s="45">
        <f t="shared" si="2"/>
        <v>6.7838765855294803E-3</v>
      </c>
      <c r="AH36" s="45">
        <f t="shared" si="3"/>
        <v>1.582904536623575E-2</v>
      </c>
    </row>
    <row r="37" spans="1:34" ht="15">
      <c r="A37" s="2" t="s">
        <v>13</v>
      </c>
      <c r="B37" s="1">
        <v>1396985</v>
      </c>
      <c r="C37" s="1">
        <v>1388115</v>
      </c>
      <c r="D37" s="1">
        <v>1379350</v>
      </c>
      <c r="E37" s="1">
        <v>1370720</v>
      </c>
      <c r="F37" s="1">
        <v>1362550</v>
      </c>
      <c r="G37" s="1">
        <v>1354775</v>
      </c>
      <c r="H37" s="1">
        <v>1346810</v>
      </c>
      <c r="I37" s="1">
        <v>1340680</v>
      </c>
      <c r="J37" s="1">
        <v>1337090</v>
      </c>
      <c r="K37" s="1">
        <v>1334515</v>
      </c>
      <c r="L37" s="1">
        <v>1331475</v>
      </c>
      <c r="M37" s="1">
        <v>1327439</v>
      </c>
      <c r="N37" s="1">
        <v>1322696</v>
      </c>
      <c r="O37" s="1">
        <v>1317997</v>
      </c>
      <c r="P37" s="1">
        <v>1314545</v>
      </c>
      <c r="Q37" s="1">
        <v>1315407</v>
      </c>
      <c r="R37" s="1">
        <v>1315790</v>
      </c>
      <c r="S37" s="1">
        <v>1317384</v>
      </c>
      <c r="T37" s="1">
        <v>1321977</v>
      </c>
      <c r="U37" s="1">
        <v>1326898</v>
      </c>
      <c r="V37" s="1">
        <v>1329522</v>
      </c>
      <c r="W37" s="1">
        <v>1330932</v>
      </c>
      <c r="X37" s="1">
        <v>1348840</v>
      </c>
      <c r="Y37" s="1">
        <v>1370286</v>
      </c>
      <c r="AB37" s="95">
        <f t="array" ref="AB37">(TREND($K37:$Y37,$K$5:$Y$5,AB$5) - TREND($K37:$Y37,$K$5:$Y$5,$Y$5))/2 + TREND($K37:$Y37,$K$5:$Y$5,$Y$5)</f>
        <v>1341034.4857142856</v>
      </c>
      <c r="AC37" s="95">
        <f t="array" ref="AC37">(TREND($K37:$Y37,$K$5:$Y$5,AC$5) - TREND($K37:$Y37,$K$5:$Y$5,$Y$5))/2 + TREND($K37:$Y37,$K$5:$Y$5,$Y$5)</f>
        <v>1344988.95</v>
      </c>
      <c r="AD37" s="97">
        <f t="array" ref="AD37">(TREND($K37:$Y37,$K$5:$Y$5,AD$5) - TREND($K37:$Y37,$K$5:$Y$5,$AC$5))/3 + $AC37</f>
        <v>1347625.2595238094</v>
      </c>
      <c r="AE37" s="97">
        <f t="array" ref="AE37">(TREND($K37:$Y37,$K$5:$Y$5,AE$5) - TREND($K37:$Y37,$K$5:$Y$5,$AC$5))/3 + $AC37</f>
        <v>1350261.5690476189</v>
      </c>
      <c r="AG37" s="45">
        <f t="shared" si="2"/>
        <v>2.9488162518118699E-3</v>
      </c>
      <c r="AH37" s="45">
        <f t="shared" si="3"/>
        <v>6.8805712542272524E-3</v>
      </c>
    </row>
    <row r="38" spans="1:34" ht="15">
      <c r="A38" s="2" t="s">
        <v>65</v>
      </c>
      <c r="B38" s="3">
        <v>3805174</v>
      </c>
      <c r="C38" s="3">
        <v>3866243</v>
      </c>
      <c r="D38" s="3">
        <v>3931947</v>
      </c>
      <c r="E38" s="3">
        <v>3996521</v>
      </c>
      <c r="F38" s="3">
        <v>4070262</v>
      </c>
      <c r="G38" s="3">
        <v>4159914</v>
      </c>
      <c r="H38" s="3">
        <v>4274137</v>
      </c>
      <c r="I38" s="3">
        <v>4398942</v>
      </c>
      <c r="J38" s="3">
        <v>4489544</v>
      </c>
      <c r="K38" s="3">
        <v>4535375</v>
      </c>
      <c r="L38" s="3">
        <v>4560155</v>
      </c>
      <c r="M38" s="3">
        <v>4580084</v>
      </c>
      <c r="N38" s="3">
        <v>4599533</v>
      </c>
      <c r="O38" s="3">
        <v>4623816</v>
      </c>
      <c r="P38" s="3">
        <v>4657740</v>
      </c>
      <c r="Q38" s="3">
        <v>4701957</v>
      </c>
      <c r="R38" s="3">
        <v>4762722</v>
      </c>
      <c r="S38" s="3">
        <v>4827445</v>
      </c>
      <c r="T38" s="3">
        <v>4898022</v>
      </c>
      <c r="U38" s="3">
        <v>4976456</v>
      </c>
      <c r="V38" s="3">
        <v>5039747</v>
      </c>
      <c r="W38" s="3">
        <v>5110585</v>
      </c>
      <c r="X38" s="3">
        <v>5212836</v>
      </c>
      <c r="Y38" s="3">
        <v>5307600</v>
      </c>
      <c r="AB38" s="95">
        <f t="array" ref="AB38">(TREND($K38:$Y38,$K$5:$Y$5,AB$5) - TREND($K38:$Y38,$K$5:$Y$5,$Y$5))/2 + TREND($K38:$Y38,$K$5:$Y$5,$Y$5)</f>
        <v>5266242.7904761881</v>
      </c>
      <c r="AC38" s="95">
        <f t="array" ref="AC38">(TREND($K38:$Y38,$K$5:$Y$5,AC$5) - TREND($K38:$Y38,$K$5:$Y$5,$Y$5))/2 + TREND($K38:$Y38,$K$5:$Y$5,$Y$5)</f>
        <v>5403733.8083333299</v>
      </c>
      <c r="AD38" s="97">
        <f t="array" ref="AD38">(TREND($K38:$Y38,$K$5:$Y$5,AD$5) - TREND($K38:$Y38,$K$5:$Y$5,$AC$5))/3 + $AC38</f>
        <v>5495394.486904758</v>
      </c>
      <c r="AE38" s="97">
        <f t="array" ref="AE38">(TREND($K38:$Y38,$K$5:$Y$5,AE$5) - TREND($K38:$Y38,$K$5:$Y$5,$AC$5))/3 + $AC38</f>
        <v>5587055.1654761853</v>
      </c>
      <c r="AG38" s="45">
        <f t="shared" si="2"/>
        <v>2.6107990711288442E-2</v>
      </c>
      <c r="AH38" s="45">
        <f t="shared" si="3"/>
        <v>6.0918644993006144E-2</v>
      </c>
    </row>
    <row r="39" spans="1:34" ht="15">
      <c r="A39" s="2" t="s">
        <v>12</v>
      </c>
      <c r="B39" s="1">
        <v>10805808</v>
      </c>
      <c r="C39" s="1">
        <v>10862132</v>
      </c>
      <c r="D39" s="1">
        <v>10902022</v>
      </c>
      <c r="E39" s="1">
        <v>10928070</v>
      </c>
      <c r="F39" s="1">
        <v>10955141</v>
      </c>
      <c r="G39" s="1">
        <v>10987314</v>
      </c>
      <c r="H39" s="1">
        <v>11020362</v>
      </c>
      <c r="I39" s="1">
        <v>11048473</v>
      </c>
      <c r="J39" s="1">
        <v>11077841</v>
      </c>
      <c r="K39" s="1">
        <v>11107017</v>
      </c>
      <c r="L39" s="1">
        <v>11121341</v>
      </c>
      <c r="M39" s="1">
        <v>11104899</v>
      </c>
      <c r="N39" s="1">
        <v>11045011</v>
      </c>
      <c r="O39" s="1">
        <v>10965211</v>
      </c>
      <c r="P39" s="1">
        <v>10892413</v>
      </c>
      <c r="Q39" s="1">
        <v>10820883</v>
      </c>
      <c r="R39" s="1">
        <v>10775971</v>
      </c>
      <c r="S39" s="1">
        <v>10754679</v>
      </c>
      <c r="T39" s="1">
        <v>10732882</v>
      </c>
      <c r="U39" s="1">
        <v>10721582</v>
      </c>
      <c r="V39" s="1">
        <v>10698599</v>
      </c>
      <c r="W39" s="1">
        <v>10569207</v>
      </c>
      <c r="X39" s="1">
        <v>10436882</v>
      </c>
      <c r="Y39" s="1">
        <v>10405588</v>
      </c>
      <c r="AB39" s="95">
        <f t="array" ref="AB39">(TREND($K39:$Y39,$K$5:$Y$5,AB$5) - TREND($K39:$Y39,$K$5:$Y$5,$Y$5))/2 + TREND($K39:$Y39,$K$5:$Y$5,$Y$5)</f>
        <v>10404515.247619048</v>
      </c>
      <c r="AC39" s="95">
        <f t="array" ref="AC39">(TREND($K39:$Y39,$K$5:$Y$5,AC$5) - TREND($K39:$Y39,$K$5:$Y$5,$Y$5))/2 + TREND($K39:$Y39,$K$5:$Y$5,$Y$5)</f>
        <v>10277756.158333339</v>
      </c>
      <c r="AD39" s="97">
        <f t="array" ref="AD39">(TREND($K39:$Y39,$K$5:$Y$5,AD$5) - TREND($K39:$Y39,$K$5:$Y$5,$AC$5))/3 + $AC39</f>
        <v>10193250.098809527</v>
      </c>
      <c r="AE39" s="97">
        <f t="array" ref="AE39">(TREND($K39:$Y39,$K$5:$Y$5,AE$5) - TREND($K39:$Y39,$K$5:$Y$5,$AC$5))/3 + $AC39</f>
        <v>10108744.039285718</v>
      </c>
      <c r="AG39" s="45">
        <f t="shared" si="2"/>
        <v>-1.2183084580967507E-2</v>
      </c>
      <c r="AH39" s="45">
        <f t="shared" si="3"/>
        <v>-2.8427197355591738E-2</v>
      </c>
    </row>
    <row r="40" spans="1:34" ht="15">
      <c r="A40" s="2" t="s">
        <v>11</v>
      </c>
      <c r="B40" s="3">
        <v>40567864</v>
      </c>
      <c r="C40" s="3">
        <v>40850412</v>
      </c>
      <c r="D40" s="3">
        <v>41431558</v>
      </c>
      <c r="E40" s="3">
        <v>42187645</v>
      </c>
      <c r="F40" s="3">
        <v>42921895</v>
      </c>
      <c r="G40" s="3">
        <v>43653155</v>
      </c>
      <c r="H40" s="3">
        <v>44397319</v>
      </c>
      <c r="I40" s="3">
        <v>45226803</v>
      </c>
      <c r="J40" s="3">
        <v>45954106</v>
      </c>
      <c r="K40" s="3">
        <v>46362946</v>
      </c>
      <c r="L40" s="3">
        <v>46576897</v>
      </c>
      <c r="M40" s="3">
        <v>46742697</v>
      </c>
      <c r="N40" s="3">
        <v>46773055</v>
      </c>
      <c r="O40" s="3">
        <v>46604197</v>
      </c>
      <c r="P40" s="3">
        <v>46460733</v>
      </c>
      <c r="Q40" s="3">
        <v>46422303</v>
      </c>
      <c r="R40" s="3">
        <v>46458139</v>
      </c>
      <c r="S40" s="3">
        <v>46571232</v>
      </c>
      <c r="T40" s="3">
        <v>46782011</v>
      </c>
      <c r="U40" s="3">
        <v>47118501</v>
      </c>
      <c r="V40" s="3">
        <v>47359424</v>
      </c>
      <c r="W40" s="3">
        <v>47443821</v>
      </c>
      <c r="X40" s="3">
        <v>47786102</v>
      </c>
      <c r="Y40" s="3">
        <v>48347910</v>
      </c>
      <c r="AB40" s="95">
        <f t="array" ref="AB40">(TREND($K40:$Y40,$K$5:$Y$5,AB$5) - TREND($K40:$Y40,$K$5:$Y$5,$Y$5))/2 + TREND($K40:$Y40,$K$5:$Y$5,$Y$5)</f>
        <v>47758820.847619027</v>
      </c>
      <c r="AC40" s="95">
        <f t="array" ref="AC40">(TREND($K40:$Y40,$K$5:$Y$5,AC$5) - TREND($K40:$Y40,$K$5:$Y$5,$Y$5))/2 + TREND($K40:$Y40,$K$5:$Y$5,$Y$5)</f>
        <v>48020744.69583331</v>
      </c>
      <c r="AD40" s="97">
        <f t="array" ref="AD40">(TREND($K40:$Y40,$K$5:$Y$5,AD$5) - TREND($K40:$Y40,$K$5:$Y$5,$AC$5))/3 + $AC40</f>
        <v>48195360.594642833</v>
      </c>
      <c r="AE40" s="97">
        <f t="array" ref="AE40">(TREND($K40:$Y40,$K$5:$Y$5,AE$5) - TREND($K40:$Y40,$K$5:$Y$5,$AC$5))/3 + $AC40</f>
        <v>48369976.493452355</v>
      </c>
      <c r="AG40" s="45">
        <f t="shared" si="2"/>
        <v>5.4843030787963265E-3</v>
      </c>
      <c r="AH40" s="45">
        <f t="shared" si="3"/>
        <v>1.2796707183858391E-2</v>
      </c>
    </row>
    <row r="41" spans="1:34" ht="15">
      <c r="A41" s="2" t="s">
        <v>10</v>
      </c>
      <c r="B41" s="1">
        <v>60762169</v>
      </c>
      <c r="C41" s="1">
        <v>61201676</v>
      </c>
      <c r="D41" s="1">
        <v>61644062</v>
      </c>
      <c r="E41" s="1">
        <v>62078165</v>
      </c>
      <c r="F41" s="1">
        <v>62532556</v>
      </c>
      <c r="G41" s="1">
        <v>63001253</v>
      </c>
      <c r="H41" s="1">
        <v>63437350</v>
      </c>
      <c r="I41" s="1">
        <v>63826129</v>
      </c>
      <c r="J41" s="1">
        <v>64178710</v>
      </c>
      <c r="K41" s="1">
        <v>64504541</v>
      </c>
      <c r="L41" s="1">
        <v>64818789</v>
      </c>
      <c r="M41" s="1">
        <v>65127852</v>
      </c>
      <c r="N41" s="1">
        <v>65438667</v>
      </c>
      <c r="O41" s="1">
        <v>65771309</v>
      </c>
      <c r="P41" s="1">
        <v>66312067</v>
      </c>
      <c r="Q41" s="1">
        <v>66548272</v>
      </c>
      <c r="R41" s="1">
        <v>66724104</v>
      </c>
      <c r="S41" s="1">
        <v>66918020</v>
      </c>
      <c r="T41" s="1">
        <v>67158348</v>
      </c>
      <c r="U41" s="1">
        <v>67382061</v>
      </c>
      <c r="V41" s="1">
        <v>67601110</v>
      </c>
      <c r="W41" s="1">
        <v>67842811</v>
      </c>
      <c r="X41" s="1">
        <v>68065015</v>
      </c>
      <c r="Y41" s="1">
        <v>68287487</v>
      </c>
      <c r="AB41" s="95">
        <f t="array" ref="AB41">(TREND($K41:$Y41,$K$5:$Y$5,AB$5) - TREND($K41:$Y41,$K$5:$Y$5,$Y$5))/2 + TREND($K41:$Y41,$K$5:$Y$5,$Y$5)</f>
        <v>68711757.18095243</v>
      </c>
      <c r="AC41" s="95">
        <f t="array" ref="AC41">(TREND($K41:$Y41,$K$5:$Y$5,AC$5) - TREND($K41:$Y41,$K$5:$Y$5,$Y$5))/2 + TREND($K41:$Y41,$K$5:$Y$5,$Y$5)</f>
        <v>69382088.529166758</v>
      </c>
      <c r="AD41" s="97">
        <f t="array" ref="AD41">(TREND($K41:$Y41,$K$5:$Y$5,AD$5) - TREND($K41:$Y41,$K$5:$Y$5,$AC$5))/3 + $AC41</f>
        <v>69828976.094642937</v>
      </c>
      <c r="AE41" s="97">
        <f t="array" ref="AE41">(TREND($K41:$Y41,$K$5:$Y$5,AE$5) - TREND($K41:$Y41,$K$5:$Y$5,$AC$5))/3 + $AC41</f>
        <v>70275863.660119116</v>
      </c>
      <c r="AG41" s="45">
        <f t="shared" si="2"/>
        <v>9.7557008540620771E-3</v>
      </c>
      <c r="AH41" s="45">
        <f t="shared" si="3"/>
        <v>2.2763301992810403E-2</v>
      </c>
    </row>
    <row r="42" spans="1:34" ht="15">
      <c r="A42" s="2" t="s">
        <v>66</v>
      </c>
      <c r="B42" s="1">
        <v>4468302</v>
      </c>
      <c r="C42" s="1">
        <v>4300450</v>
      </c>
      <c r="D42" s="1">
        <v>4305439</v>
      </c>
      <c r="E42" s="1">
        <v>4305555</v>
      </c>
      <c r="F42" s="1">
        <v>4308293</v>
      </c>
      <c r="G42" s="1">
        <v>4311674</v>
      </c>
      <c r="H42" s="1">
        <v>4313009</v>
      </c>
      <c r="I42" s="1">
        <v>4312749</v>
      </c>
      <c r="J42" s="1">
        <v>4310882</v>
      </c>
      <c r="K42" s="1">
        <v>4306322</v>
      </c>
      <c r="L42" s="1">
        <v>4296352</v>
      </c>
      <c r="M42" s="1">
        <v>4282921</v>
      </c>
      <c r="N42" s="1">
        <v>4269062</v>
      </c>
      <c r="O42" s="1">
        <v>4232718</v>
      </c>
      <c r="P42" s="1">
        <v>4199274</v>
      </c>
      <c r="Q42" s="1">
        <v>4156015</v>
      </c>
      <c r="R42" s="1">
        <v>4104942</v>
      </c>
      <c r="S42" s="1">
        <v>4046555</v>
      </c>
      <c r="T42" s="1">
        <v>3991509</v>
      </c>
      <c r="U42" s="1">
        <v>3951094</v>
      </c>
      <c r="V42" s="1">
        <v>3913269</v>
      </c>
      <c r="W42" s="1">
        <v>3877666</v>
      </c>
      <c r="X42" s="1">
        <v>3856600</v>
      </c>
      <c r="Y42" s="1">
        <v>3856431</v>
      </c>
      <c r="AB42" s="95">
        <f t="array" ref="AB42">(TREND($K42:$Y42,$K$5:$Y$5,AB$5) - TREND($K42:$Y42,$K$5:$Y$5,$Y$5))/2 + TREND($K42:$Y42,$K$5:$Y$5,$Y$5)</f>
        <v>3786323.1999999955</v>
      </c>
      <c r="AC42" s="95">
        <f t="array" ref="AC42">(TREND($K42:$Y42,$K$5:$Y$5,AC$5) - TREND($K42:$Y42,$K$5:$Y$5,$Y$5))/2 + TREND($K42:$Y42,$K$5:$Y$5,$Y$5)</f>
        <v>3691617.3249999955</v>
      </c>
      <c r="AD42" s="97">
        <f t="array" ref="AD42">(TREND($K42:$Y42,$K$5:$Y$5,AD$5) - TREND($K42:$Y42,$K$5:$Y$5,$AC$5))/3 + $AC42</f>
        <v>3628480.0749999955</v>
      </c>
      <c r="AE42" s="97">
        <f t="array" ref="AE42">(TREND($K42:$Y42,$K$5:$Y$5,AE$5) - TREND($K42:$Y42,$K$5:$Y$5,$AC$5))/3 + $AC42</f>
        <v>3565342.8249999955</v>
      </c>
      <c r="AG42" s="45">
        <f t="shared" si="2"/>
        <v>-2.5012623063979333E-2</v>
      </c>
      <c r="AH42" s="45">
        <f t="shared" si="3"/>
        <v>-5.8362787149285111E-2</v>
      </c>
    </row>
    <row r="43" spans="1:34" ht="15">
      <c r="A43" s="2" t="s">
        <v>9</v>
      </c>
      <c r="B43" s="3">
        <v>56942108</v>
      </c>
      <c r="C43" s="3">
        <v>56976981</v>
      </c>
      <c r="D43" s="3">
        <v>57089824</v>
      </c>
      <c r="E43" s="3">
        <v>57399184</v>
      </c>
      <c r="F43" s="3">
        <v>57828179</v>
      </c>
      <c r="G43" s="3">
        <v>58166682</v>
      </c>
      <c r="H43" s="3">
        <v>58399861</v>
      </c>
      <c r="I43" s="3">
        <v>58756247</v>
      </c>
      <c r="J43" s="3">
        <v>59211181</v>
      </c>
      <c r="K43" s="3">
        <v>59555454</v>
      </c>
      <c r="L43" s="3">
        <v>59819407</v>
      </c>
      <c r="M43" s="3">
        <v>60026841</v>
      </c>
      <c r="N43" s="3">
        <v>60191247</v>
      </c>
      <c r="O43" s="3">
        <v>60311613</v>
      </c>
      <c r="P43" s="3">
        <v>60320707</v>
      </c>
      <c r="Q43" s="3">
        <v>60229605</v>
      </c>
      <c r="R43" s="3">
        <v>60115223</v>
      </c>
      <c r="S43" s="3">
        <v>60002252</v>
      </c>
      <c r="T43" s="3">
        <v>60148658</v>
      </c>
      <c r="U43" s="3">
        <v>59729081</v>
      </c>
      <c r="V43" s="3">
        <v>59438851</v>
      </c>
      <c r="W43" s="3">
        <v>59133173</v>
      </c>
      <c r="X43" s="3">
        <v>59013667</v>
      </c>
      <c r="Y43" s="3">
        <v>58993475</v>
      </c>
      <c r="AB43" s="95">
        <f t="array" ref="AB43">(TREND($K43:$Y43,$K$5:$Y$5,AB$5) - TREND($K43:$Y43,$K$5:$Y$5,$Y$5))/2 + TREND($K43:$Y43,$K$5:$Y$5,$Y$5)</f>
        <v>59271514.152380966</v>
      </c>
      <c r="AC43" s="95">
        <f t="array" ref="AC43">(TREND($K43:$Y43,$K$5:$Y$5,AC$5) - TREND($K43:$Y43,$K$5:$Y$5,$Y$5))/2 + TREND($K43:$Y43,$K$5:$Y$5,$Y$5)</f>
        <v>59105752.866666682</v>
      </c>
      <c r="AD43" s="97">
        <f t="array" ref="AD43">(TREND($K43:$Y43,$K$5:$Y$5,AD$5) - TREND($K43:$Y43,$K$5:$Y$5,$AC$5))/3 + $AC43</f>
        <v>58995245.342857152</v>
      </c>
      <c r="AE43" s="97">
        <f t="array" ref="AE43">(TREND($K43:$Y43,$K$5:$Y$5,AE$5) - TREND($K43:$Y43,$K$5:$Y$5,$AC$5))/3 + $AC43</f>
        <v>58884737.81904763</v>
      </c>
      <c r="AG43" s="45">
        <f t="shared" si="2"/>
        <v>-2.796643346888783E-3</v>
      </c>
      <c r="AH43" s="45">
        <f t="shared" si="3"/>
        <v>-6.5255011427407528E-3</v>
      </c>
    </row>
    <row r="44" spans="1:34" ht="15">
      <c r="A44" s="2" t="s">
        <v>67</v>
      </c>
      <c r="B44" s="1">
        <v>694023</v>
      </c>
      <c r="C44" s="1">
        <v>701544</v>
      </c>
      <c r="D44" s="1">
        <v>709630</v>
      </c>
      <c r="E44" s="1">
        <v>718307</v>
      </c>
      <c r="F44" s="1">
        <v>727980</v>
      </c>
      <c r="G44" s="1">
        <v>738540</v>
      </c>
      <c r="H44" s="1">
        <v>750965</v>
      </c>
      <c r="I44" s="1">
        <v>767125</v>
      </c>
      <c r="J44" s="1">
        <v>786632</v>
      </c>
      <c r="K44" s="1">
        <v>808035</v>
      </c>
      <c r="L44" s="1">
        <v>829446</v>
      </c>
      <c r="M44" s="1">
        <v>850881</v>
      </c>
      <c r="N44" s="1">
        <v>863945</v>
      </c>
      <c r="O44" s="1">
        <v>861939</v>
      </c>
      <c r="P44" s="1">
        <v>852504</v>
      </c>
      <c r="Q44" s="1">
        <v>847664</v>
      </c>
      <c r="R44" s="1">
        <v>851561</v>
      </c>
      <c r="S44" s="1">
        <v>859519</v>
      </c>
      <c r="T44" s="1">
        <v>870068</v>
      </c>
      <c r="U44" s="1">
        <v>881952</v>
      </c>
      <c r="V44" s="1">
        <v>892006</v>
      </c>
      <c r="W44" s="1">
        <v>900356</v>
      </c>
      <c r="X44" s="1">
        <v>912703</v>
      </c>
      <c r="Y44" s="1">
        <v>927103</v>
      </c>
      <c r="AB44" s="95">
        <f t="array" ref="AB44">(TREND($K44:$Y44,$K$5:$Y$5,AB$5) - TREND($K44:$Y44,$K$5:$Y$5,$Y$5))/2 + TREND($K44:$Y44,$K$5:$Y$5,$Y$5)</f>
        <v>918730.96190476138</v>
      </c>
      <c r="AC44" s="95">
        <f t="array" ref="AC44">(TREND($K44:$Y44,$K$5:$Y$5,AC$5) - TREND($K44:$Y44,$K$5:$Y$5,$Y$5))/2 + TREND($K44:$Y44,$K$5:$Y$5,$Y$5)</f>
        <v>934799.34583333228</v>
      </c>
      <c r="AD44" s="97">
        <f t="array" ref="AD44">(TREND($K44:$Y44,$K$5:$Y$5,AD$5) - TREND($K44:$Y44,$K$5:$Y$5,$AC$5))/3 + $AC44</f>
        <v>945511.60178571346</v>
      </c>
      <c r="AE44" s="97">
        <f t="array" ref="AE44">(TREND($K44:$Y44,$K$5:$Y$5,AE$5) - TREND($K44:$Y44,$K$5:$Y$5,$AC$5))/3 + $AC44</f>
        <v>956223.85773809406</v>
      </c>
      <c r="AG44" s="45">
        <f t="shared" si="2"/>
        <v>1.7489759891467171E-2</v>
      </c>
      <c r="AH44" s="45">
        <f t="shared" si="3"/>
        <v>4.0809439746757326E-2</v>
      </c>
    </row>
    <row r="45" spans="1:34" ht="15">
      <c r="A45" s="2" t="s">
        <v>8</v>
      </c>
      <c r="B45" s="3">
        <v>2367550</v>
      </c>
      <c r="C45" s="3">
        <v>2337170</v>
      </c>
      <c r="D45" s="3">
        <v>2310173</v>
      </c>
      <c r="E45" s="3">
        <v>2287955</v>
      </c>
      <c r="F45" s="3">
        <v>2263122</v>
      </c>
      <c r="G45" s="3">
        <v>2238799</v>
      </c>
      <c r="H45" s="3">
        <v>2218357</v>
      </c>
      <c r="I45" s="3">
        <v>2200325</v>
      </c>
      <c r="J45" s="3">
        <v>2177322</v>
      </c>
      <c r="K45" s="3">
        <v>2141669</v>
      </c>
      <c r="L45" s="3">
        <v>2097555</v>
      </c>
      <c r="M45" s="3">
        <v>2059709</v>
      </c>
      <c r="N45" s="3">
        <v>2034319</v>
      </c>
      <c r="O45" s="3">
        <v>2012647</v>
      </c>
      <c r="P45" s="3">
        <v>1993782</v>
      </c>
      <c r="Q45" s="3">
        <v>1977527</v>
      </c>
      <c r="R45" s="3">
        <v>1959537</v>
      </c>
      <c r="S45" s="3">
        <v>1942248</v>
      </c>
      <c r="T45" s="3">
        <v>1927174</v>
      </c>
      <c r="U45" s="3">
        <v>1913822</v>
      </c>
      <c r="V45" s="3">
        <v>1900449</v>
      </c>
      <c r="W45" s="3">
        <v>1884490</v>
      </c>
      <c r="X45" s="3">
        <v>1879383</v>
      </c>
      <c r="Y45" s="3">
        <v>1877445</v>
      </c>
      <c r="AB45" s="95">
        <f t="array" ref="AB45">(TREND($K45:$Y45,$K$5:$Y$5,AB$5) - TREND($K45:$Y45,$K$5:$Y$5,$Y$5))/2 + TREND($K45:$Y45,$K$5:$Y$5,$Y$5)</f>
        <v>1829589.1142857149</v>
      </c>
      <c r="AC45" s="95">
        <f t="array" ref="AC45">(TREND($K45:$Y45,$K$5:$Y$5,AC$5) - TREND($K45:$Y45,$K$5:$Y$5,$Y$5))/2 + TREND($K45:$Y45,$K$5:$Y$5,$Y$5)</f>
        <v>1784632.4624999985</v>
      </c>
      <c r="AD45" s="97">
        <f t="array" ref="AD45">(TREND($K45:$Y45,$K$5:$Y$5,AD$5) - TREND($K45:$Y45,$K$5:$Y$5,$AC$5))/3 + $AC45</f>
        <v>1754661.3613095235</v>
      </c>
      <c r="AE45" s="97">
        <f t="array" ref="AE45">(TREND($K45:$Y45,$K$5:$Y$5,AE$5) - TREND($K45:$Y45,$K$5:$Y$5,$AC$5))/3 + $AC45</f>
        <v>1724690.2601190459</v>
      </c>
      <c r="AG45" s="45">
        <f t="shared" si="2"/>
        <v>-2.4571993479130305E-2</v>
      </c>
      <c r="AH45" s="45">
        <f t="shared" si="3"/>
        <v>-5.7334651451302676E-2</v>
      </c>
    </row>
    <row r="46" spans="1:34" ht="15">
      <c r="A46" s="2" t="s">
        <v>68</v>
      </c>
      <c r="B46" s="1">
        <v>3499536</v>
      </c>
      <c r="C46" s="1">
        <v>3470818</v>
      </c>
      <c r="D46" s="1">
        <v>3443067</v>
      </c>
      <c r="E46" s="1">
        <v>3415213</v>
      </c>
      <c r="F46" s="1">
        <v>3377075</v>
      </c>
      <c r="G46" s="1">
        <v>3322528</v>
      </c>
      <c r="H46" s="1">
        <v>3269909</v>
      </c>
      <c r="I46" s="1">
        <v>3231294</v>
      </c>
      <c r="J46" s="1">
        <v>3198231</v>
      </c>
      <c r="K46" s="1">
        <v>3162916</v>
      </c>
      <c r="L46" s="1">
        <v>3097282</v>
      </c>
      <c r="M46" s="1">
        <v>3028115</v>
      </c>
      <c r="N46" s="1">
        <v>2989139</v>
      </c>
      <c r="O46" s="1">
        <v>2961250</v>
      </c>
      <c r="P46" s="1">
        <v>2937253</v>
      </c>
      <c r="Q46" s="1">
        <v>2911109</v>
      </c>
      <c r="R46" s="1">
        <v>2877325</v>
      </c>
      <c r="S46" s="1">
        <v>2842639</v>
      </c>
      <c r="T46" s="1">
        <v>2819200</v>
      </c>
      <c r="U46" s="1">
        <v>2811089</v>
      </c>
      <c r="V46" s="1">
        <v>2810369</v>
      </c>
      <c r="W46" s="1">
        <v>2808380</v>
      </c>
      <c r="X46" s="1">
        <v>2831639</v>
      </c>
      <c r="Y46" s="1">
        <v>2871585</v>
      </c>
      <c r="AB46" s="95">
        <f t="array" ref="AB46">(TREND($K46:$Y46,$K$5:$Y$5,AB$5) - TREND($K46:$Y46,$K$5:$Y$5,$Y$5))/2 + TREND($K46:$Y46,$K$5:$Y$5,$Y$5)</f>
        <v>2740086.3142857142</v>
      </c>
      <c r="AC46" s="95">
        <f t="array" ref="AC46">(TREND($K46:$Y46,$K$5:$Y$5,AC$5) - TREND($K46:$Y46,$K$5:$Y$5,$Y$5))/2 + TREND($K46:$Y46,$K$5:$Y$5,$Y$5)</f>
        <v>2684711.4124999978</v>
      </c>
      <c r="AD46" s="97">
        <f t="array" ref="AD46">(TREND($K46:$Y46,$K$5:$Y$5,AD$5) - TREND($K46:$Y46,$K$5:$Y$5,$AC$5))/3 + $AC46</f>
        <v>2647794.8113095225</v>
      </c>
      <c r="AE46" s="97">
        <f t="array" ref="AE46">(TREND($K46:$Y46,$K$5:$Y$5,AE$5) - TREND($K46:$Y46,$K$5:$Y$5,$AC$5))/3 + $AC46</f>
        <v>2610878.2101190449</v>
      </c>
      <c r="AG46" s="45">
        <f t="shared" si="2"/>
        <v>-2.0209181549140975E-2</v>
      </c>
      <c r="AH46" s="45">
        <f t="shared" si="3"/>
        <v>-4.7154756947994647E-2</v>
      </c>
    </row>
    <row r="47" spans="1:34" ht="15">
      <c r="A47" s="2" t="s">
        <v>7</v>
      </c>
      <c r="B47" s="3">
        <v>436300</v>
      </c>
      <c r="C47" s="3">
        <v>441525</v>
      </c>
      <c r="D47" s="3">
        <v>446175</v>
      </c>
      <c r="E47" s="3">
        <v>451630</v>
      </c>
      <c r="F47" s="3">
        <v>458095</v>
      </c>
      <c r="G47" s="3">
        <v>465158</v>
      </c>
      <c r="H47" s="3">
        <v>472637</v>
      </c>
      <c r="I47" s="3">
        <v>479993</v>
      </c>
      <c r="J47" s="3">
        <v>488650</v>
      </c>
      <c r="K47" s="3">
        <v>497783</v>
      </c>
      <c r="L47" s="3">
        <v>506953</v>
      </c>
      <c r="M47" s="3">
        <v>518347</v>
      </c>
      <c r="N47" s="3">
        <v>530946</v>
      </c>
      <c r="O47" s="3">
        <v>543360</v>
      </c>
      <c r="P47" s="3">
        <v>556319</v>
      </c>
      <c r="Q47" s="3">
        <v>569604</v>
      </c>
      <c r="R47" s="3">
        <v>582014</v>
      </c>
      <c r="S47" s="3">
        <v>596336</v>
      </c>
      <c r="T47" s="3">
        <v>607950</v>
      </c>
      <c r="U47" s="3">
        <v>620001</v>
      </c>
      <c r="V47" s="3">
        <v>630419</v>
      </c>
      <c r="W47" s="3">
        <v>640064</v>
      </c>
      <c r="X47" s="3">
        <v>653103</v>
      </c>
      <c r="Y47" s="3">
        <v>666430</v>
      </c>
      <c r="AB47" s="95">
        <f t="array" ref="AB47">(TREND($K47:$Y47,$K$5:$Y$5,AB$5) - TREND($K47:$Y47,$K$5:$Y$5,$Y$5))/2 + TREND($K47:$Y47,$K$5:$Y$5,$Y$5)</f>
        <v>679132.11428571492</v>
      </c>
      <c r="AC47" s="95">
        <f t="array" ref="AC47">(TREND($K47:$Y47,$K$5:$Y$5,AC$5) - TREND($K47:$Y47,$K$5:$Y$5,$Y$5))/2 + TREND($K47:$Y47,$K$5:$Y$5,$Y$5)</f>
        <v>709701.96250000037</v>
      </c>
      <c r="AD47" s="97">
        <f t="array" ref="AD47">(TREND($K47:$Y47,$K$5:$Y$5,AD$5) - TREND($K47:$Y47,$K$5:$Y$5,$AC$5))/3 + $AC47</f>
        <v>730081.86130952521</v>
      </c>
      <c r="AE47" s="97">
        <f t="array" ref="AE47">(TREND($K47:$Y47,$K$5:$Y$5,AE$5) - TREND($K47:$Y47,$K$5:$Y$5,$AC$5))/3 + $AC47</f>
        <v>750461.76011904888</v>
      </c>
      <c r="AG47" s="45">
        <f t="shared" si="2"/>
        <v>4.5013109483767577E-2</v>
      </c>
      <c r="AH47" s="45">
        <f t="shared" si="3"/>
        <v>0.10503058879545946</v>
      </c>
    </row>
    <row r="48" spans="1:34" ht="15">
      <c r="A48" s="2" t="s">
        <v>69</v>
      </c>
      <c r="B48" s="1">
        <v>10210971</v>
      </c>
      <c r="C48" s="1">
        <v>10187576</v>
      </c>
      <c r="D48" s="1">
        <v>10158608</v>
      </c>
      <c r="E48" s="1">
        <v>10129552</v>
      </c>
      <c r="F48" s="1">
        <v>10107146</v>
      </c>
      <c r="G48" s="1">
        <v>10087065</v>
      </c>
      <c r="H48" s="1">
        <v>10071370</v>
      </c>
      <c r="I48" s="1">
        <v>10055780</v>
      </c>
      <c r="J48" s="1">
        <v>10038188</v>
      </c>
      <c r="K48" s="1">
        <v>10022650</v>
      </c>
      <c r="L48" s="1">
        <v>10000023</v>
      </c>
      <c r="M48" s="1">
        <v>9971727</v>
      </c>
      <c r="N48" s="1">
        <v>9920362</v>
      </c>
      <c r="O48" s="1">
        <v>9872734</v>
      </c>
      <c r="P48" s="1">
        <v>9833038</v>
      </c>
      <c r="Q48" s="1">
        <v>9797755</v>
      </c>
      <c r="R48" s="1">
        <v>9759755</v>
      </c>
      <c r="S48" s="1">
        <v>9726756</v>
      </c>
      <c r="T48" s="1">
        <v>9706964</v>
      </c>
      <c r="U48" s="1">
        <v>9694824</v>
      </c>
      <c r="V48" s="1">
        <v>9670419</v>
      </c>
      <c r="W48" s="1">
        <v>9630932</v>
      </c>
      <c r="X48" s="1">
        <v>9605074</v>
      </c>
      <c r="Y48" s="1">
        <v>9592186</v>
      </c>
      <c r="AB48" s="95">
        <f t="array" ref="AB48">(TREND($K48:$Y48,$K$5:$Y$5,AB$5) - TREND($K48:$Y48,$K$5:$Y$5,$Y$5))/2 + TREND($K48:$Y48,$K$5:$Y$5,$Y$5)</f>
        <v>9531482.809523806</v>
      </c>
      <c r="AC48" s="95">
        <f t="array" ref="AC48">(TREND($K48:$Y48,$K$5:$Y$5,AC$5) - TREND($K48:$Y48,$K$5:$Y$5,$Y$5))/2 + TREND($K48:$Y48,$K$5:$Y$5,$Y$5)</f>
        <v>9451629.5416666605</v>
      </c>
      <c r="AD48" s="97">
        <f t="array" ref="AD48">(TREND($K48:$Y48,$K$5:$Y$5,AD$5) - TREND($K48:$Y48,$K$5:$Y$5,$AC$5))/3 + $AC48</f>
        <v>9398394.0297618993</v>
      </c>
      <c r="AE48" s="97">
        <f t="array" ref="AE48">(TREND($K48:$Y48,$K$5:$Y$5,AE$5) - TREND($K48:$Y48,$K$5:$Y$5,$AC$5))/3 + $AC48</f>
        <v>9345158.5178571381</v>
      </c>
      <c r="AG48" s="45">
        <f t="shared" si="2"/>
        <v>-8.3778431386726249E-3</v>
      </c>
      <c r="AH48" s="45">
        <f t="shared" si="3"/>
        <v>-1.9548300656902384E-2</v>
      </c>
    </row>
    <row r="49" spans="1:34" ht="15">
      <c r="A49" s="2" t="s">
        <v>6</v>
      </c>
      <c r="B49" s="3">
        <v>390087</v>
      </c>
      <c r="C49" s="3">
        <v>393028</v>
      </c>
      <c r="D49" s="3">
        <v>395969</v>
      </c>
      <c r="E49" s="3">
        <v>398582</v>
      </c>
      <c r="F49" s="3">
        <v>401268</v>
      </c>
      <c r="G49" s="3">
        <v>403834</v>
      </c>
      <c r="H49" s="3">
        <v>405308</v>
      </c>
      <c r="I49" s="3">
        <v>406724</v>
      </c>
      <c r="J49" s="3">
        <v>409379</v>
      </c>
      <c r="K49" s="3">
        <v>412477</v>
      </c>
      <c r="L49" s="3">
        <v>414508</v>
      </c>
      <c r="M49" s="3">
        <v>416268</v>
      </c>
      <c r="N49" s="3">
        <v>420028</v>
      </c>
      <c r="O49" s="3">
        <v>424810</v>
      </c>
      <c r="P49" s="3">
        <v>433481</v>
      </c>
      <c r="Q49" s="3">
        <v>444220</v>
      </c>
      <c r="R49" s="3">
        <v>454505</v>
      </c>
      <c r="S49" s="3">
        <v>467106</v>
      </c>
      <c r="T49" s="3">
        <v>483903</v>
      </c>
      <c r="U49" s="3">
        <v>503912</v>
      </c>
      <c r="V49" s="3">
        <v>515490</v>
      </c>
      <c r="W49" s="3">
        <v>518150</v>
      </c>
      <c r="X49" s="3">
        <v>531113</v>
      </c>
      <c r="Y49" s="3">
        <v>552747</v>
      </c>
      <c r="AB49" s="95">
        <f t="array" ref="AB49">(TREND($K49:$Y49,$K$5:$Y$5,AB$5) - TREND($K49:$Y49,$K$5:$Y$5,$Y$5))/2 + TREND($K49:$Y49,$K$5:$Y$5,$Y$5)</f>
        <v>550004.45714285411</v>
      </c>
      <c r="AC49" s="95">
        <f t="array" ref="AC49">(TREND($K49:$Y49,$K$5:$Y$5,AC$5) - TREND($K49:$Y49,$K$5:$Y$5,$Y$5))/2 + TREND($K49:$Y49,$K$5:$Y$5,$Y$5)</f>
        <v>576199.22499999776</v>
      </c>
      <c r="AD49" s="97">
        <f t="array" ref="AD49">(TREND($K49:$Y49,$K$5:$Y$5,AD$5) - TREND($K49:$Y49,$K$5:$Y$5,$AC$5))/3 + $AC49</f>
        <v>593662.40357142559</v>
      </c>
      <c r="AE49" s="97">
        <f t="array" ref="AE49">(TREND($K49:$Y49,$K$5:$Y$5,AE$5) - TREND($K49:$Y49,$K$5:$Y$5,$AC$5))/3 + $AC49</f>
        <v>611125.58214285469</v>
      </c>
      <c r="AG49" s="45">
        <f t="shared" si="2"/>
        <v>4.7626464689430659E-2</v>
      </c>
      <c r="AH49" s="45">
        <f t="shared" si="3"/>
        <v>0.11112841760866932</v>
      </c>
    </row>
    <row r="50" spans="1:34" ht="15">
      <c r="A50" s="2" t="s">
        <v>70</v>
      </c>
      <c r="B50" s="1">
        <v>15925513</v>
      </c>
      <c r="C50" s="1">
        <v>16046180</v>
      </c>
      <c r="D50" s="1">
        <v>16148929</v>
      </c>
      <c r="E50" s="1">
        <v>16225302</v>
      </c>
      <c r="F50" s="1">
        <v>16281779</v>
      </c>
      <c r="G50" s="1">
        <v>16319868</v>
      </c>
      <c r="H50" s="1">
        <v>16346101</v>
      </c>
      <c r="I50" s="1">
        <v>16381696</v>
      </c>
      <c r="J50" s="1">
        <v>16445593</v>
      </c>
      <c r="K50" s="1">
        <v>16530388</v>
      </c>
      <c r="L50" s="1">
        <v>16615394</v>
      </c>
      <c r="M50" s="1">
        <v>16693074</v>
      </c>
      <c r="N50" s="1">
        <v>16754962</v>
      </c>
      <c r="O50" s="1">
        <v>16804432</v>
      </c>
      <c r="P50" s="1">
        <v>16865008</v>
      </c>
      <c r="Q50" s="1">
        <v>16939923</v>
      </c>
      <c r="R50" s="1">
        <v>17030314</v>
      </c>
      <c r="S50" s="1">
        <v>17131296</v>
      </c>
      <c r="T50" s="1">
        <v>17231624</v>
      </c>
      <c r="U50" s="1">
        <v>17344874</v>
      </c>
      <c r="V50" s="1">
        <v>17441500</v>
      </c>
      <c r="W50" s="1">
        <v>17533044</v>
      </c>
      <c r="X50" s="1">
        <v>17700982</v>
      </c>
      <c r="Y50" s="1">
        <v>17877117</v>
      </c>
      <c r="AB50" s="95">
        <f t="array" ref="AB50">(TREND($K50:$Y50,$K$5:$Y$5,AB$5) - TREND($K50:$Y50,$K$5:$Y$5,$Y$5))/2 + TREND($K50:$Y50,$K$5:$Y$5,$Y$5)</f>
        <v>17826240.152380943</v>
      </c>
      <c r="AC50" s="95">
        <f t="array" ref="AC50">(TREND($K50:$Y50,$K$5:$Y$5,AC$5) - TREND($K50:$Y50,$K$5:$Y$5,$Y$5))/2 + TREND($K50:$Y50,$K$5:$Y$5,$Y$5)</f>
        <v>18053316.61666666</v>
      </c>
      <c r="AD50" s="97">
        <f t="array" ref="AD50">(TREND($K50:$Y50,$K$5:$Y$5,AD$5) - TREND($K50:$Y50,$K$5:$Y$5,$AC$5))/3 + $AC50</f>
        <v>18204700.926190469</v>
      </c>
      <c r="AE50" s="97">
        <f t="array" ref="AE50">(TREND($K50:$Y50,$K$5:$Y$5,AE$5) - TREND($K50:$Y50,$K$5:$Y$5,$AC$5))/3 + $AC50</f>
        <v>18356085.235714283</v>
      </c>
      <c r="AG50" s="45">
        <f t="shared" si="2"/>
        <v>1.2738326329312155E-2</v>
      </c>
      <c r="AH50" s="45">
        <f t="shared" si="3"/>
        <v>2.9722761435061917E-2</v>
      </c>
    </row>
    <row r="51" spans="1:34" ht="15">
      <c r="A51" s="2" t="s">
        <v>5</v>
      </c>
      <c r="B51" s="3">
        <v>8011566</v>
      </c>
      <c r="C51" s="3">
        <v>8042293</v>
      </c>
      <c r="D51" s="3">
        <v>8081957</v>
      </c>
      <c r="E51" s="3">
        <v>8121423</v>
      </c>
      <c r="F51" s="3">
        <v>8171966</v>
      </c>
      <c r="G51" s="3">
        <v>8227829</v>
      </c>
      <c r="H51" s="3">
        <v>8268641</v>
      </c>
      <c r="I51" s="3">
        <v>8295487</v>
      </c>
      <c r="J51" s="3">
        <v>8321496</v>
      </c>
      <c r="K51" s="3">
        <v>8343323</v>
      </c>
      <c r="L51" s="3">
        <v>8363404</v>
      </c>
      <c r="M51" s="3">
        <v>8391643</v>
      </c>
      <c r="N51" s="3">
        <v>8429991</v>
      </c>
      <c r="O51" s="3">
        <v>8479823</v>
      </c>
      <c r="P51" s="3">
        <v>8546356</v>
      </c>
      <c r="Q51" s="3">
        <v>8642699</v>
      </c>
      <c r="R51" s="3">
        <v>8736668</v>
      </c>
      <c r="S51" s="3">
        <v>8797566</v>
      </c>
      <c r="T51" s="3">
        <v>8840521</v>
      </c>
      <c r="U51" s="3">
        <v>8879920</v>
      </c>
      <c r="V51" s="3">
        <v>8916864</v>
      </c>
      <c r="W51" s="3">
        <v>8955797</v>
      </c>
      <c r="X51" s="3">
        <v>9041851</v>
      </c>
      <c r="Y51" s="3">
        <v>9131761</v>
      </c>
      <c r="AB51" s="95">
        <f t="array" ref="AB51">(TREND($K51:$Y51,$K$5:$Y$5,AB$5) - TREND($K51:$Y51,$K$5:$Y$5,$Y$5))/2 + TREND($K51:$Y51,$K$5:$Y$5,$Y$5)</f>
        <v>9165636.219047606</v>
      </c>
      <c r="AC51" s="95">
        <f t="array" ref="AC51">(TREND($K51:$Y51,$K$5:$Y$5,AC$5) - TREND($K51:$Y51,$K$5:$Y$5,$Y$5))/2 + TREND($K51:$Y51,$K$5:$Y$5,$Y$5)</f>
        <v>9311185.308333315</v>
      </c>
      <c r="AD51" s="97">
        <f t="array" ref="AD51">(TREND($K51:$Y51,$K$5:$Y$5,AD$5) - TREND($K51:$Y51,$K$5:$Y$5,$AC$5))/3 + $AC51</f>
        <v>9408218.0345237926</v>
      </c>
      <c r="AE51" s="97">
        <f t="array" ref="AE51">(TREND($K51:$Y51,$K$5:$Y$5,AE$5) - TREND($K51:$Y51,$K$5:$Y$5,$AC$5))/3 + $AC51</f>
        <v>9505250.7607142702</v>
      </c>
      <c r="AG51" s="45">
        <f t="shared" si="2"/>
        <v>1.5879867562628824E-2</v>
      </c>
      <c r="AH51" s="45">
        <f t="shared" si="3"/>
        <v>3.705302431280133E-2</v>
      </c>
    </row>
    <row r="52" spans="1:34" ht="15">
      <c r="A52" s="2" t="s">
        <v>71</v>
      </c>
      <c r="B52" s="1">
        <v>38258629</v>
      </c>
      <c r="C52" s="1">
        <v>38248076</v>
      </c>
      <c r="D52" s="1">
        <v>38230364</v>
      </c>
      <c r="E52" s="1">
        <v>38204570</v>
      </c>
      <c r="F52" s="1">
        <v>38182222</v>
      </c>
      <c r="G52" s="1">
        <v>38165445</v>
      </c>
      <c r="H52" s="1">
        <v>38141267</v>
      </c>
      <c r="I52" s="1">
        <v>38120560</v>
      </c>
      <c r="J52" s="1">
        <v>38125759</v>
      </c>
      <c r="K52" s="1">
        <v>38151603</v>
      </c>
      <c r="L52" s="1">
        <v>38042794</v>
      </c>
      <c r="M52" s="1">
        <v>38063255</v>
      </c>
      <c r="N52" s="1">
        <v>38063164</v>
      </c>
      <c r="O52" s="1">
        <v>38040196</v>
      </c>
      <c r="P52" s="1">
        <v>38011735</v>
      </c>
      <c r="Q52" s="1">
        <v>37986412</v>
      </c>
      <c r="R52" s="1">
        <v>37970087</v>
      </c>
      <c r="S52" s="1">
        <v>37974826</v>
      </c>
      <c r="T52" s="1">
        <v>37974750</v>
      </c>
      <c r="U52" s="1">
        <v>37965475</v>
      </c>
      <c r="V52" s="1">
        <v>37515748</v>
      </c>
      <c r="W52" s="1">
        <v>36981559</v>
      </c>
      <c r="X52" s="1">
        <v>36821749</v>
      </c>
      <c r="Y52" s="1">
        <v>36687353</v>
      </c>
      <c r="AB52" s="95">
        <f t="array" ref="AB52">(TREND($K52:$Y52,$K$5:$Y$5,AB$5) - TREND($K52:$Y52,$K$5:$Y$5,$Y$5))/2 + TREND($K52:$Y52,$K$5:$Y$5,$Y$5)</f>
        <v>37021936.123809502</v>
      </c>
      <c r="AC52" s="95">
        <f t="array" ref="AC52">(TREND($K52:$Y52,$K$5:$Y$5,AC$5) - TREND($K52:$Y52,$K$5:$Y$5,$Y$5))/2 + TREND($K52:$Y52,$K$5:$Y$5,$Y$5)</f>
        <v>36794401.454166651</v>
      </c>
      <c r="AD52" s="97">
        <f t="array" ref="AD52">(TREND($K52:$Y52,$K$5:$Y$5,AD$5) - TREND($K52:$Y52,$K$5:$Y$5,$AC$5))/3 + $AC52</f>
        <v>36642711.67440474</v>
      </c>
      <c r="AE52" s="97">
        <f t="array" ref="AE52">(TREND($K52:$Y52,$K$5:$Y$5,AE$5) - TREND($K52:$Y52,$K$5:$Y$5,$AC$5))/3 + $AC52</f>
        <v>36491021.894642837</v>
      </c>
      <c r="AG52" s="45">
        <f t="shared" si="2"/>
        <v>-6.145941932424237E-3</v>
      </c>
      <c r="AH52" s="45">
        <f t="shared" si="3"/>
        <v>-1.4340531175656812E-2</v>
      </c>
    </row>
    <row r="53" spans="1:34" ht="15">
      <c r="A53" s="2" t="s">
        <v>4</v>
      </c>
      <c r="B53" s="3">
        <v>10289898</v>
      </c>
      <c r="C53" s="3">
        <v>10362722</v>
      </c>
      <c r="D53" s="3">
        <v>10419631</v>
      </c>
      <c r="E53" s="3">
        <v>10458821</v>
      </c>
      <c r="F53" s="3">
        <v>10483861</v>
      </c>
      <c r="G53" s="3">
        <v>10503330</v>
      </c>
      <c r="H53" s="3">
        <v>10522288</v>
      </c>
      <c r="I53" s="3">
        <v>10542964</v>
      </c>
      <c r="J53" s="3">
        <v>10558177</v>
      </c>
      <c r="K53" s="3">
        <v>10568247</v>
      </c>
      <c r="L53" s="3">
        <v>10573100</v>
      </c>
      <c r="M53" s="3">
        <v>10565836</v>
      </c>
      <c r="N53" s="3">
        <v>10531420</v>
      </c>
      <c r="O53" s="3">
        <v>10473991</v>
      </c>
      <c r="P53" s="3">
        <v>10419607</v>
      </c>
      <c r="Q53" s="3">
        <v>10381838</v>
      </c>
      <c r="R53" s="3">
        <v>10356516</v>
      </c>
      <c r="S53" s="3">
        <v>10340124</v>
      </c>
      <c r="T53" s="3">
        <v>10334633</v>
      </c>
      <c r="U53" s="3">
        <v>10354446</v>
      </c>
      <c r="V53" s="3">
        <v>10384846</v>
      </c>
      <c r="W53" s="3">
        <v>10407707</v>
      </c>
      <c r="X53" s="3">
        <v>10468869</v>
      </c>
      <c r="Y53" s="3">
        <v>10578174</v>
      </c>
      <c r="AB53" s="95">
        <f t="array" ref="AB53">(TREND($K53:$Y53,$K$5:$Y$5,AB$5) - TREND($K53:$Y53,$K$5:$Y$5,$Y$5))/2 + TREND($K53:$Y53,$K$5:$Y$5,$Y$5)</f>
        <v>10377772.123809528</v>
      </c>
      <c r="AC53" s="95">
        <f t="array" ref="AC53">(TREND($K53:$Y53,$K$5:$Y$5,AC$5) - TREND($K53:$Y53,$K$5:$Y$5,$Y$5))/2 + TREND($K53:$Y53,$K$5:$Y$5,$Y$5)</f>
        <v>10355422.704166669</v>
      </c>
      <c r="AD53" s="97">
        <f t="array" ref="AD53">(TREND($K53:$Y53,$K$5:$Y$5,AD$5) - TREND($K53:$Y53,$K$5:$Y$5,$AC$5))/3 + $AC53</f>
        <v>10340523.091071432</v>
      </c>
      <c r="AE53" s="97">
        <f t="array" ref="AE53">(TREND($K53:$Y53,$K$5:$Y$5,AE$5) - TREND($K53:$Y53,$K$5:$Y$5,$AC$5))/3 + $AC53</f>
        <v>10325623.477976194</v>
      </c>
      <c r="AG53" s="45">
        <f t="shared" si="2"/>
        <v>-2.1535855071997956E-3</v>
      </c>
      <c r="AH53" s="45">
        <f t="shared" si="3"/>
        <v>-5.0250328501326713E-3</v>
      </c>
    </row>
    <row r="54" spans="1:34" ht="15">
      <c r="A54" s="2" t="s">
        <v>3</v>
      </c>
      <c r="B54" s="1">
        <v>22442971</v>
      </c>
      <c r="C54" s="1">
        <v>22131970</v>
      </c>
      <c r="D54" s="1">
        <v>21730496</v>
      </c>
      <c r="E54" s="1">
        <v>21574326</v>
      </c>
      <c r="F54" s="1">
        <v>21451748</v>
      </c>
      <c r="G54" s="1">
        <v>21319685</v>
      </c>
      <c r="H54" s="1">
        <v>21193760</v>
      </c>
      <c r="I54" s="1">
        <v>20882982</v>
      </c>
      <c r="J54" s="1">
        <v>20537875</v>
      </c>
      <c r="K54" s="1">
        <v>20367487</v>
      </c>
      <c r="L54" s="1">
        <v>20246871</v>
      </c>
      <c r="M54" s="1">
        <v>20147528</v>
      </c>
      <c r="N54" s="1">
        <v>20058035</v>
      </c>
      <c r="O54" s="1">
        <v>19983693</v>
      </c>
      <c r="P54" s="1">
        <v>19908979</v>
      </c>
      <c r="Q54" s="1">
        <v>19815616</v>
      </c>
      <c r="R54" s="1">
        <v>19702267</v>
      </c>
      <c r="S54" s="1">
        <v>19588715</v>
      </c>
      <c r="T54" s="1">
        <v>19473970</v>
      </c>
      <c r="U54" s="1">
        <v>19371648</v>
      </c>
      <c r="V54" s="1">
        <v>19265250</v>
      </c>
      <c r="W54" s="1">
        <v>19122059</v>
      </c>
      <c r="X54" s="1">
        <v>19048502</v>
      </c>
      <c r="Y54" s="1">
        <v>19059479</v>
      </c>
      <c r="AB54" s="95">
        <f t="array" ref="AB54">(TREND($K54:$Y54,$K$5:$Y$5,AB$5) - TREND($K54:$Y54,$K$5:$Y$5,$Y$5))/2 + TREND($K54:$Y54,$K$5:$Y$5,$Y$5)</f>
        <v>18889402.533333346</v>
      </c>
      <c r="AC54" s="95">
        <f t="array" ref="AC54">(TREND($K54:$Y54,$K$5:$Y$5,AC$5) - TREND($K54:$Y54,$K$5:$Y$5,$Y$5))/2 + TREND($K54:$Y54,$K$5:$Y$5,$Y$5)</f>
        <v>18643172.095833346</v>
      </c>
      <c r="AD54" s="97">
        <f t="array" ref="AD54">(TREND($K54:$Y54,$K$5:$Y$5,AD$5) - TREND($K54:$Y54,$K$5:$Y$5,$AC$5))/3 + $AC54</f>
        <v>18479018.470833346</v>
      </c>
      <c r="AE54" s="97">
        <f t="array" ref="AE54">(TREND($K54:$Y54,$K$5:$Y$5,AE$5) - TREND($K54:$Y54,$K$5:$Y$5,$AC$5))/3 + $AC54</f>
        <v>18314864.845833346</v>
      </c>
      <c r="AG54" s="45">
        <f t="shared" si="2"/>
        <v>-1.3035374573943659E-2</v>
      </c>
      <c r="AH54" s="45">
        <f t="shared" si="3"/>
        <v>-3.0415874005868537E-2</v>
      </c>
    </row>
    <row r="55" spans="1:34" ht="15">
      <c r="A55" s="2" t="s">
        <v>2</v>
      </c>
      <c r="B55" s="3">
        <v>1988925</v>
      </c>
      <c r="C55" s="3">
        <v>1992060</v>
      </c>
      <c r="D55" s="3">
        <v>1994530</v>
      </c>
      <c r="E55" s="3">
        <v>1995733</v>
      </c>
      <c r="F55" s="3">
        <v>1997012</v>
      </c>
      <c r="G55" s="3">
        <v>2000474</v>
      </c>
      <c r="H55" s="3">
        <v>2006868</v>
      </c>
      <c r="I55" s="3">
        <v>2018122</v>
      </c>
      <c r="J55" s="3">
        <v>2021316</v>
      </c>
      <c r="K55" s="3">
        <v>2039669</v>
      </c>
      <c r="L55" s="3">
        <v>2048583</v>
      </c>
      <c r="M55" s="3">
        <v>2052843</v>
      </c>
      <c r="N55" s="3">
        <v>2057159</v>
      </c>
      <c r="O55" s="3">
        <v>2059953</v>
      </c>
      <c r="P55" s="3">
        <v>2061980</v>
      </c>
      <c r="Q55" s="3">
        <v>2063531</v>
      </c>
      <c r="R55" s="3">
        <v>2065042</v>
      </c>
      <c r="S55" s="3">
        <v>2066388</v>
      </c>
      <c r="T55" s="3">
        <v>2073894</v>
      </c>
      <c r="U55" s="3">
        <v>2088385</v>
      </c>
      <c r="V55" s="3">
        <v>2102419</v>
      </c>
      <c r="W55" s="3">
        <v>2108079</v>
      </c>
      <c r="X55" s="3">
        <v>2112076</v>
      </c>
      <c r="Y55" s="3">
        <v>2120461</v>
      </c>
      <c r="AB55" s="95">
        <f t="array" ref="AB55">(TREND($K55:$Y55,$K$5:$Y$5,AB$5) - TREND($K55:$Y55,$K$5:$Y$5,$Y$5))/2 + TREND($K55:$Y55,$K$5:$Y$5,$Y$5)</f>
        <v>2118003.2666666657</v>
      </c>
      <c r="AC55" s="95">
        <f t="array" ref="AC55">(TREND($K55:$Y55,$K$5:$Y$5,AC$5) - TREND($K55:$Y55,$K$5:$Y$5,$Y$5))/2 + TREND($K55:$Y55,$K$5:$Y$5,$Y$5)</f>
        <v>2131536.3291666657</v>
      </c>
      <c r="AD55" s="97">
        <f t="array" ref="AD55">(TREND($K55:$Y55,$K$5:$Y$5,AD$5) - TREND($K55:$Y55,$K$5:$Y$5,$AC$5))/3 + $AC55</f>
        <v>2140558.3708333322</v>
      </c>
      <c r="AE55" s="97">
        <f t="array" ref="AE55">(TREND($K55:$Y55,$K$5:$Y$5,AE$5) - TREND($K55:$Y55,$K$5:$Y$5,$AC$5))/3 + $AC55</f>
        <v>2149580.4124999992</v>
      </c>
      <c r="AG55" s="45">
        <f t="shared" si="2"/>
        <v>6.3895380677567726E-3</v>
      </c>
      <c r="AH55" s="45">
        <f t="shared" si="3"/>
        <v>1.4908922158099358E-2</v>
      </c>
    </row>
    <row r="56" spans="1:34" ht="15">
      <c r="A56" s="2" t="s">
        <v>72</v>
      </c>
      <c r="B56" s="1">
        <v>5388720</v>
      </c>
      <c r="C56" s="1">
        <v>5378867</v>
      </c>
      <c r="D56" s="1">
        <v>5376912</v>
      </c>
      <c r="E56" s="1">
        <v>5373374</v>
      </c>
      <c r="F56" s="1">
        <v>5372280</v>
      </c>
      <c r="G56" s="1">
        <v>5372807</v>
      </c>
      <c r="H56" s="1">
        <v>5373054</v>
      </c>
      <c r="I56" s="1">
        <v>5374622</v>
      </c>
      <c r="J56" s="1">
        <v>5379233</v>
      </c>
      <c r="K56" s="1">
        <v>5386406</v>
      </c>
      <c r="L56" s="1">
        <v>5391428</v>
      </c>
      <c r="M56" s="1">
        <v>5398384</v>
      </c>
      <c r="N56" s="1">
        <v>5407579</v>
      </c>
      <c r="O56" s="1">
        <v>5413393</v>
      </c>
      <c r="P56" s="1">
        <v>5418649</v>
      </c>
      <c r="Q56" s="1">
        <v>5423801</v>
      </c>
      <c r="R56" s="1">
        <v>5430798</v>
      </c>
      <c r="S56" s="1">
        <v>5439232</v>
      </c>
      <c r="T56" s="1">
        <v>5446771</v>
      </c>
      <c r="U56" s="1">
        <v>5454147</v>
      </c>
      <c r="V56" s="1">
        <v>5458827</v>
      </c>
      <c r="W56" s="1">
        <v>5447247</v>
      </c>
      <c r="X56" s="1">
        <v>5431752</v>
      </c>
      <c r="Y56" s="1">
        <v>5426740</v>
      </c>
      <c r="AB56" s="95">
        <f t="array" ref="AB56">(TREND($K56:$Y56,$K$5:$Y$5,AB$5) - TREND($K56:$Y56,$K$5:$Y$5,$Y$5))/2 + TREND($K56:$Y56,$K$5:$Y$5,$Y$5)</f>
        <v>5458368.1523809517</v>
      </c>
      <c r="AC56" s="95">
        <f t="array" ref="AC56">(TREND($K56:$Y56,$K$5:$Y$5,AC$5) - TREND($K56:$Y56,$K$5:$Y$5,$Y$5))/2 + TREND($K56:$Y56,$K$5:$Y$5,$Y$5)</f>
        <v>5468792.4916666653</v>
      </c>
      <c r="AD56" s="97">
        <f t="array" ref="AD56">(TREND($K56:$Y56,$K$5:$Y$5,AD$5) - TREND($K56:$Y56,$K$5:$Y$5,$AC$5))/3 + $AC56</f>
        <v>5475742.051190475</v>
      </c>
      <c r="AE56" s="97">
        <f t="array" ref="AE56">(TREND($K56:$Y56,$K$5:$Y$5,AE$5) - TREND($K56:$Y56,$K$5:$Y$5,$AC$5))/3 + $AC56</f>
        <v>5482691.6107142847</v>
      </c>
      <c r="AG56" s="45">
        <f t="shared" si="2"/>
        <v>1.9097904345581895E-3</v>
      </c>
      <c r="AH56" s="45">
        <f t="shared" si="3"/>
        <v>4.4561776806357756E-3</v>
      </c>
    </row>
    <row r="57" spans="1:34" ht="15">
      <c r="A57" s="2" t="s">
        <v>1</v>
      </c>
      <c r="B57" s="3">
        <v>5176209</v>
      </c>
      <c r="C57" s="3">
        <v>5188008</v>
      </c>
      <c r="D57" s="3">
        <v>5200598</v>
      </c>
      <c r="E57" s="3">
        <v>5213014</v>
      </c>
      <c r="F57" s="3">
        <v>5228172</v>
      </c>
      <c r="G57" s="3">
        <v>5246096</v>
      </c>
      <c r="H57" s="3">
        <v>5266268</v>
      </c>
      <c r="I57" s="3">
        <v>5288720</v>
      </c>
      <c r="J57" s="3">
        <v>5313399</v>
      </c>
      <c r="K57" s="3">
        <v>5338871</v>
      </c>
      <c r="L57" s="3">
        <v>5363352</v>
      </c>
      <c r="M57" s="3">
        <v>5388272</v>
      </c>
      <c r="N57" s="3">
        <v>5413971</v>
      </c>
      <c r="O57" s="3">
        <v>5438972</v>
      </c>
      <c r="P57" s="3">
        <v>5461512</v>
      </c>
      <c r="Q57" s="3">
        <v>5479531</v>
      </c>
      <c r="R57" s="3">
        <v>5495303</v>
      </c>
      <c r="S57" s="3">
        <v>5508214</v>
      </c>
      <c r="T57" s="3">
        <v>5515525</v>
      </c>
      <c r="U57" s="3">
        <v>5521606</v>
      </c>
      <c r="V57" s="3">
        <v>5529543</v>
      </c>
      <c r="W57" s="3">
        <v>5541017</v>
      </c>
      <c r="X57" s="3">
        <v>5556106</v>
      </c>
      <c r="Y57" s="3">
        <v>5583911</v>
      </c>
      <c r="AB57" s="95">
        <f t="array" ref="AB57">(TREND($K57:$Y57,$K$5:$Y$5,AB$5) - TREND($K57:$Y57,$K$5:$Y$5,$Y$5))/2 + TREND($K57:$Y57,$K$5:$Y$5,$Y$5)</f>
        <v>5603783.104761906</v>
      </c>
      <c r="AC57" s="95">
        <f t="array" ref="AC57">(TREND($K57:$Y57,$K$5:$Y$5,AC$5) - TREND($K57:$Y57,$K$5:$Y$5,$Y$5))/2 + TREND($K57:$Y57,$K$5:$Y$5,$Y$5)</f>
        <v>5643804.7833333351</v>
      </c>
      <c r="AD57" s="97">
        <f t="array" ref="AD57">(TREND($K57:$Y57,$K$5:$Y$5,AD$5) - TREND($K57:$Y57,$K$5:$Y$5,$AC$5))/3 + $AC57</f>
        <v>5670485.9023809535</v>
      </c>
      <c r="AE57" s="97">
        <f t="array" ref="AE57">(TREND($K57:$Y57,$K$5:$Y$5,AE$5) - TREND($K57:$Y57,$K$5:$Y$5,$AC$5))/3 + $AC57</f>
        <v>5697167.0214285729</v>
      </c>
      <c r="AG57" s="45">
        <f t="shared" si="2"/>
        <v>7.141903571788788E-3</v>
      </c>
      <c r="AH57" s="45">
        <f t="shared" si="3"/>
        <v>1.6664441667507246E-2</v>
      </c>
    </row>
    <row r="58" spans="1:34" ht="15">
      <c r="A58" s="2" t="s">
        <v>73</v>
      </c>
      <c r="B58" s="1">
        <v>8872109</v>
      </c>
      <c r="C58" s="1">
        <v>8895960</v>
      </c>
      <c r="D58" s="1">
        <v>8924958</v>
      </c>
      <c r="E58" s="1">
        <v>8958229</v>
      </c>
      <c r="F58" s="1">
        <v>8993531</v>
      </c>
      <c r="G58" s="1">
        <v>9029572</v>
      </c>
      <c r="H58" s="1">
        <v>9080505</v>
      </c>
      <c r="I58" s="1">
        <v>9148092</v>
      </c>
      <c r="J58" s="1">
        <v>9219637</v>
      </c>
      <c r="K58" s="1">
        <v>9298515</v>
      </c>
      <c r="L58" s="1">
        <v>9378126</v>
      </c>
      <c r="M58" s="1">
        <v>9449213</v>
      </c>
      <c r="N58" s="1">
        <v>9519374</v>
      </c>
      <c r="O58" s="1">
        <v>9600379</v>
      </c>
      <c r="P58" s="1">
        <v>9696110</v>
      </c>
      <c r="Q58" s="1">
        <v>9799186</v>
      </c>
      <c r="R58" s="1">
        <v>9923085</v>
      </c>
      <c r="S58" s="1">
        <v>10057698</v>
      </c>
      <c r="T58" s="1">
        <v>10175214</v>
      </c>
      <c r="U58" s="1">
        <v>10278887</v>
      </c>
      <c r="V58" s="1">
        <v>10353442</v>
      </c>
      <c r="W58" s="1">
        <v>10415811</v>
      </c>
      <c r="X58" s="1">
        <v>10486941</v>
      </c>
      <c r="Y58" s="1">
        <v>10536632</v>
      </c>
      <c r="AB58" s="95">
        <f t="array" ref="AB58">(TREND($K58:$Y58,$K$5:$Y$5,AB$5) - TREND($K58:$Y58,$K$5:$Y$5,$Y$5))/2 + TREND($K58:$Y58,$K$5:$Y$5,$Y$5)</f>
        <v>10695275.580952391</v>
      </c>
      <c r="AC58" s="95">
        <f t="array" ref="AC58">(TREND($K58:$Y58,$K$5:$Y$5,AC$5) - TREND($K58:$Y58,$K$5:$Y$5,$Y$5))/2 + TREND($K58:$Y58,$K$5:$Y$5,$Y$5)</f>
        <v>10934036.429166675</v>
      </c>
      <c r="AD58" s="97">
        <f t="array" ref="AD58">(TREND($K58:$Y58,$K$5:$Y$5,AD$5) - TREND($K58:$Y58,$K$5:$Y$5,$AC$5))/3 + $AC58</f>
        <v>11093210.327976197</v>
      </c>
      <c r="AE58" s="97">
        <f t="array" ref="AE58">(TREND($K58:$Y58,$K$5:$Y$5,AE$5) - TREND($K58:$Y58,$K$5:$Y$5,$AC$5))/3 + $AC58</f>
        <v>11252384.226785729</v>
      </c>
      <c r="AG58" s="45">
        <f t="shared" si="2"/>
        <v>2.2323954759940978E-2</v>
      </c>
      <c r="AH58" s="45">
        <f t="shared" si="3"/>
        <v>5.20892277731968E-2</v>
      </c>
    </row>
    <row r="59" spans="1:34" ht="15">
      <c r="A59" s="2" t="s">
        <v>74</v>
      </c>
      <c r="B59" s="1">
        <v>281205</v>
      </c>
      <c r="C59" s="1">
        <v>284968</v>
      </c>
      <c r="D59" s="1">
        <v>287523</v>
      </c>
      <c r="E59" s="1">
        <v>289521</v>
      </c>
      <c r="F59" s="1">
        <v>292074</v>
      </c>
      <c r="G59" s="1">
        <v>296734</v>
      </c>
      <c r="H59" s="1">
        <v>303782</v>
      </c>
      <c r="I59" s="1">
        <v>311566</v>
      </c>
      <c r="J59" s="1">
        <v>317414</v>
      </c>
      <c r="K59" s="1">
        <v>318499</v>
      </c>
      <c r="L59" s="1">
        <v>318041</v>
      </c>
      <c r="M59" s="1">
        <v>319014</v>
      </c>
      <c r="N59" s="1">
        <v>320716</v>
      </c>
      <c r="O59" s="1">
        <v>323764</v>
      </c>
      <c r="P59" s="1">
        <v>327386</v>
      </c>
      <c r="Q59" s="1">
        <v>330815</v>
      </c>
      <c r="R59" s="1">
        <v>335439</v>
      </c>
      <c r="S59" s="1">
        <v>343400</v>
      </c>
      <c r="T59" s="1">
        <v>352721</v>
      </c>
      <c r="U59" s="1">
        <v>360563</v>
      </c>
      <c r="V59" s="1">
        <v>366463</v>
      </c>
      <c r="W59" s="1">
        <v>372520</v>
      </c>
      <c r="X59" s="1">
        <v>382003</v>
      </c>
      <c r="Y59" s="1">
        <v>393349</v>
      </c>
      <c r="AB59" s="95">
        <f t="array" ref="AB59">(TREND($K59:$Y59,$K$5:$Y$5,AB$5) - TREND($K59:$Y59,$K$5:$Y$5,$Y$5))/2 + TREND($K59:$Y59,$K$5:$Y$5,$Y$5)</f>
        <v>388081.20952381007</v>
      </c>
      <c r="AC59" s="95">
        <f t="array" ref="AC59">(TREND($K59:$Y59,$K$5:$Y$5,AC$5) - TREND($K59:$Y59,$K$5:$Y$5,$Y$5))/2 + TREND($K59:$Y59,$K$5:$Y$5,$Y$5)</f>
        <v>401758.81666666735</v>
      </c>
      <c r="AD59" s="97">
        <f t="array" ref="AD59">(TREND($K59:$Y59,$K$5:$Y$5,AD$5) - TREND($K59:$Y59,$K$5:$Y$5,$AC$5))/3 + $AC59</f>
        <v>410877.2214285722</v>
      </c>
      <c r="AE59" s="97">
        <f t="array" ref="AE59">(TREND($K59:$Y59,$K$5:$Y$5,AE$5) - TREND($K59:$Y59,$K$5:$Y$5,$AC$5))/3 + $AC59</f>
        <v>419995.62619047705</v>
      </c>
      <c r="AG59" s="45">
        <f t="shared" si="2"/>
        <v>3.5244188090529205E-2</v>
      </c>
      <c r="AH59" s="45">
        <f t="shared" si="3"/>
        <v>8.2236438877901774E-2</v>
      </c>
    </row>
    <row r="60" spans="1:34" ht="15">
      <c r="A60" s="2" t="s">
        <v>75</v>
      </c>
      <c r="B60" s="3">
        <v>32645</v>
      </c>
      <c r="C60" s="3">
        <v>33194</v>
      </c>
      <c r="D60" s="3">
        <v>33694</v>
      </c>
      <c r="E60" s="3">
        <v>34079</v>
      </c>
      <c r="F60" s="3">
        <v>34447</v>
      </c>
      <c r="G60" s="3">
        <v>34753</v>
      </c>
      <c r="H60" s="3">
        <v>35037</v>
      </c>
      <c r="I60" s="3">
        <v>35262</v>
      </c>
      <c r="J60" s="3">
        <v>35473</v>
      </c>
      <c r="K60" s="3">
        <v>35742</v>
      </c>
      <c r="L60" s="3">
        <v>36022</v>
      </c>
      <c r="M60" s="3">
        <v>36312</v>
      </c>
      <c r="N60" s="3">
        <v>36657</v>
      </c>
      <c r="O60" s="3">
        <v>36984</v>
      </c>
      <c r="P60" s="3">
        <v>37248</v>
      </c>
      <c r="Q60" s="3">
        <v>37494</v>
      </c>
      <c r="R60" s="3">
        <v>37716</v>
      </c>
      <c r="S60" s="3">
        <v>37962</v>
      </c>
      <c r="T60" s="3">
        <v>38246</v>
      </c>
      <c r="U60" s="3">
        <v>38563</v>
      </c>
      <c r="V60" s="3">
        <v>38901</v>
      </c>
      <c r="W60" s="3">
        <v>39182</v>
      </c>
      <c r="X60" s="3">
        <v>39493</v>
      </c>
      <c r="Y60" s="3">
        <v>39850</v>
      </c>
      <c r="AB60" s="95">
        <f t="array" ref="AB60">(TREND($K60:$Y60,$K$5:$Y$5,AB$5) - TREND($K60:$Y60,$K$5:$Y$5,$Y$5))/2 + TREND($K60:$Y60,$K$5:$Y$5,$Y$5)</f>
        <v>40046.961904761847</v>
      </c>
      <c r="AC60" s="95">
        <f t="array" ref="AC60">(TREND($K60:$Y60,$K$5:$Y$5,AC$5) - TREND($K60:$Y60,$K$5:$Y$5,$Y$5))/2 + TREND($K60:$Y60,$K$5:$Y$5,$Y$5)</f>
        <v>40762.220833333267</v>
      </c>
      <c r="AD60" s="97">
        <f t="array" ref="AD60">(TREND($K60:$Y60,$K$5:$Y$5,AD$5) - TREND($K60:$Y60,$K$5:$Y$5,$AC$5))/3 + $AC60</f>
        <v>41239.060119047586</v>
      </c>
      <c r="AE60" s="97">
        <f t="array" ref="AE60">(TREND($K60:$Y60,$K$5:$Y$5,AE$5) - TREND($K60:$Y60,$K$5:$Y$5,$AC$5))/3 + $AC60</f>
        <v>41715.899404761869</v>
      </c>
      <c r="AG60" s="45">
        <f t="shared" si="2"/>
        <v>1.7860504131934407E-2</v>
      </c>
      <c r="AH60" s="45">
        <f t="shared" si="3"/>
        <v>4.1674509641181468E-2</v>
      </c>
    </row>
    <row r="61" spans="1:34" ht="15">
      <c r="A61" s="2" t="s">
        <v>76</v>
      </c>
      <c r="B61" s="1">
        <v>4490967</v>
      </c>
      <c r="C61" s="1">
        <v>4513751</v>
      </c>
      <c r="D61" s="1">
        <v>4538159</v>
      </c>
      <c r="E61" s="1">
        <v>4564855</v>
      </c>
      <c r="F61" s="1">
        <v>4591910</v>
      </c>
      <c r="G61" s="1">
        <v>4623291</v>
      </c>
      <c r="H61" s="1">
        <v>4660677</v>
      </c>
      <c r="I61" s="1">
        <v>4709153</v>
      </c>
      <c r="J61" s="1">
        <v>4768212</v>
      </c>
      <c r="K61" s="1">
        <v>4828726</v>
      </c>
      <c r="L61" s="1">
        <v>4889252</v>
      </c>
      <c r="M61" s="1">
        <v>4953088</v>
      </c>
      <c r="N61" s="1">
        <v>5018573</v>
      </c>
      <c r="O61" s="1">
        <v>5079623</v>
      </c>
      <c r="P61" s="1">
        <v>5137429</v>
      </c>
      <c r="Q61" s="1">
        <v>5189894</v>
      </c>
      <c r="R61" s="1">
        <v>5236151</v>
      </c>
      <c r="S61" s="1">
        <v>5276968</v>
      </c>
      <c r="T61" s="1">
        <v>5311916</v>
      </c>
      <c r="U61" s="1">
        <v>5347896</v>
      </c>
      <c r="V61" s="1">
        <v>5379475</v>
      </c>
      <c r="W61" s="1">
        <v>5408320</v>
      </c>
      <c r="X61" s="1">
        <v>5457127</v>
      </c>
      <c r="Y61" s="1">
        <v>5519594</v>
      </c>
      <c r="AB61" s="95">
        <f t="array" ref="AB61">(TREND($K61:$Y61,$K$5:$Y$5,AB$5) - TREND($K61:$Y61,$K$5:$Y$5,$Y$5))/2 + TREND($K61:$Y61,$K$5:$Y$5,$Y$5)</f>
        <v>5579524.8285714164</v>
      </c>
      <c r="AC61" s="95">
        <f t="array" ref="AC61">(TREND($K61:$Y61,$K$5:$Y$5,AC$5) - TREND($K61:$Y61,$K$5:$Y$5,$Y$5))/2 + TREND($K61:$Y61,$K$5:$Y$5,$Y$5)</f>
        <v>5697417.3374999911</v>
      </c>
      <c r="AD61" s="97">
        <f t="array" ref="AD61">(TREND($K61:$Y61,$K$5:$Y$5,AD$5) - TREND($K61:$Y61,$K$5:$Y$5,$AC$5))/3 + $AC61</f>
        <v>5776012.3434523689</v>
      </c>
      <c r="AE61" s="97">
        <f t="array" ref="AE61">(TREND($K61:$Y61,$K$5:$Y$5,AE$5) - TREND($K61:$Y61,$K$5:$Y$5,$AC$5))/3 + $AC61</f>
        <v>5854607.3494047523</v>
      </c>
      <c r="AG61" s="45">
        <f t="shared" si="2"/>
        <v>2.1129489078509867E-2</v>
      </c>
      <c r="AH61" s="45">
        <f t="shared" si="3"/>
        <v>4.9302141183188875E-2</v>
      </c>
    </row>
    <row r="62" spans="1:34" ht="15">
      <c r="A62" s="2" t="s">
        <v>77</v>
      </c>
      <c r="B62" s="3">
        <v>7184250</v>
      </c>
      <c r="C62" s="3">
        <v>7229854</v>
      </c>
      <c r="D62" s="3">
        <v>7284753</v>
      </c>
      <c r="E62" s="3">
        <v>7339001</v>
      </c>
      <c r="F62" s="3">
        <v>7389625</v>
      </c>
      <c r="G62" s="3">
        <v>7437115</v>
      </c>
      <c r="H62" s="3">
        <v>7483934</v>
      </c>
      <c r="I62" s="3">
        <v>7551117</v>
      </c>
      <c r="J62" s="3">
        <v>7647675</v>
      </c>
      <c r="K62" s="3">
        <v>7743831</v>
      </c>
      <c r="L62" s="3">
        <v>7824909</v>
      </c>
      <c r="M62" s="3">
        <v>7912398</v>
      </c>
      <c r="N62" s="3">
        <v>7996861</v>
      </c>
      <c r="O62" s="3">
        <v>8089346</v>
      </c>
      <c r="P62" s="3">
        <v>8188649</v>
      </c>
      <c r="Q62" s="3">
        <v>8282396</v>
      </c>
      <c r="R62" s="3">
        <v>8373338</v>
      </c>
      <c r="S62" s="3">
        <v>8451840</v>
      </c>
      <c r="T62" s="3">
        <v>8514329</v>
      </c>
      <c r="U62" s="3">
        <v>8575280</v>
      </c>
      <c r="V62" s="3">
        <v>8638167</v>
      </c>
      <c r="W62" s="3">
        <v>8704546</v>
      </c>
      <c r="X62" s="3">
        <v>8777088</v>
      </c>
      <c r="Y62" s="3">
        <v>8888093</v>
      </c>
      <c r="AB62" s="95">
        <f t="array" ref="AB62">(TREND($K62:$Y62,$K$5:$Y$5,AB$5) - TREND($K62:$Y62,$K$5:$Y$5,$Y$5))/2 + TREND($K62:$Y62,$K$5:$Y$5,$Y$5)</f>
        <v>8974380.2952381074</v>
      </c>
      <c r="AC62" s="95">
        <f t="array" ref="AC62">(TREND($K62:$Y62,$K$5:$Y$5,AC$5) - TREND($K62:$Y62,$K$5:$Y$5,$Y$5))/2 + TREND($K62:$Y62,$K$5:$Y$5,$Y$5)</f>
        <v>9175518.4916666746</v>
      </c>
      <c r="AD62" s="97">
        <f t="array" ref="AD62">(TREND($K62:$Y62,$K$5:$Y$5,AD$5) - TREND($K62:$Y62,$K$5:$Y$5,$AC$5))/3 + $AC62</f>
        <v>9309610.6226190533</v>
      </c>
      <c r="AE62" s="97">
        <f t="array" ref="AE62">(TREND($K62:$Y62,$K$5:$Y$5,AE$5) - TREND($K62:$Y62,$K$5:$Y$5,$AC$5))/3 + $AC62</f>
        <v>9443702.7535714414</v>
      </c>
      <c r="AG62" s="45">
        <f t="shared" si="2"/>
        <v>2.2412488641170292E-2</v>
      </c>
      <c r="AH62" s="45">
        <f t="shared" si="3"/>
        <v>5.2295806829398606E-2</v>
      </c>
    </row>
    <row r="63" spans="1:34" ht="15">
      <c r="A63" s="2" t="s">
        <v>78</v>
      </c>
      <c r="B63" s="1">
        <v>58892514</v>
      </c>
      <c r="C63" s="1">
        <v>59119673</v>
      </c>
      <c r="D63" s="1">
        <v>59370479</v>
      </c>
      <c r="E63" s="1">
        <v>59647577</v>
      </c>
      <c r="F63" s="1">
        <v>59987905</v>
      </c>
      <c r="G63" s="1">
        <v>60401206</v>
      </c>
      <c r="H63" s="1">
        <v>60846820</v>
      </c>
      <c r="I63" s="1">
        <v>61322463</v>
      </c>
      <c r="J63" s="1">
        <v>61806995</v>
      </c>
      <c r="K63" s="1">
        <v>62276270</v>
      </c>
      <c r="L63" s="1">
        <v>62766365</v>
      </c>
      <c r="M63" s="1">
        <v>63258810</v>
      </c>
      <c r="N63" s="1">
        <v>63700215</v>
      </c>
      <c r="O63" s="1">
        <v>64128273</v>
      </c>
      <c r="P63" s="1">
        <v>64602298</v>
      </c>
      <c r="Q63" s="1">
        <v>65116219</v>
      </c>
      <c r="R63" s="1">
        <v>65611593</v>
      </c>
      <c r="S63" s="1">
        <v>66058859</v>
      </c>
      <c r="T63" s="1">
        <v>66460344</v>
      </c>
      <c r="U63" s="1">
        <v>66836327</v>
      </c>
      <c r="V63" s="1" t="s">
        <v>21</v>
      </c>
      <c r="W63" s="1" t="s">
        <v>21</v>
      </c>
      <c r="X63" s="1" t="s">
        <v>21</v>
      </c>
      <c r="Y63" s="1" t="s">
        <v>21</v>
      </c>
      <c r="AB63" s="95" t="e">
        <f t="array" ref="AB63">(TREND($K63:$Y63,$K$5:$Y$5,AB$5) - TREND($K63:$Y63,$K$5:$Y$5,$Y$5))/2 + TREND($K63:$Y63,$K$5:$Y$5,$Y$5)</f>
        <v>#VALUE!</v>
      </c>
      <c r="AC63" s="95" t="e">
        <f t="array" ref="AC63">(TREND($K63:$Y63,$K$5:$Y$5,AC$5) - TREND($K63:$Y63,$K$5:$Y$5,$Y$5))/2 + TREND($K63:$Y63,$K$5:$Y$5,$Y$5)</f>
        <v>#VALUE!</v>
      </c>
      <c r="AD63" s="97" t="e">
        <f t="array" ref="AD63">(TREND($K63:$Y63,$K$5:$Y$5,AD$5) - TREND($K63:$Y63,$K$5:$Y$5,$AC$5))/3 + $AC63</f>
        <v>#VALUE!</v>
      </c>
      <c r="AE63" s="97" t="e">
        <f t="array" ref="AE63">(TREND($K63:$Y63,$K$5:$Y$5,AE$5) - TREND($K63:$Y63,$K$5:$Y$5,$AC$5))/3 + $AC63</f>
        <v>#VALUE!</v>
      </c>
      <c r="AG63" s="45" t="e">
        <f t="shared" si="2"/>
        <v>#VALUE!</v>
      </c>
      <c r="AH63" s="45" t="e">
        <f t="shared" si="3"/>
        <v>#VALUE!</v>
      </c>
    </row>
    <row r="65" ht="15"/>
    <row r="66" ht="15"/>
  </sheetData>
  <hyperlinks>
    <hyperlink ref="A18" r:id="rId1" xr:uid="{B466BF18-782A-4F7B-92E1-795462FBE705}"/>
    <hyperlink ref="B18" r:id="rId2" xr:uid="{F5B154E8-C9EE-41AE-A111-E586B76F98A9}"/>
  </hyperlinks>
  <pageMargins left="0.7" right="0.7" top="0.75" bottom="0.75" header="0.3" footer="0.3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331B-250C-4287-B58B-F65F9D240B44}">
  <dimension ref="A3:AJ58"/>
  <sheetViews>
    <sheetView workbookViewId="0">
      <selection activeCell="R58" sqref="R58"/>
    </sheetView>
  </sheetViews>
  <sheetFormatPr defaultRowHeight="15"/>
  <cols>
    <col min="1" max="1" width="13.42578125" customWidth="1"/>
    <col min="2" max="26" width="7.140625" customWidth="1"/>
  </cols>
  <sheetData>
    <row r="3" spans="1:36">
      <c r="A3" t="s">
        <v>100</v>
      </c>
    </row>
    <row r="4" spans="1:36">
      <c r="A4" s="25"/>
      <c r="B4" s="27">
        <v>2000</v>
      </c>
      <c r="C4" s="27">
        <v>2001</v>
      </c>
      <c r="D4" s="27">
        <v>2002</v>
      </c>
      <c r="E4" s="27">
        <v>2003</v>
      </c>
      <c r="F4" s="27">
        <v>2004</v>
      </c>
      <c r="G4" s="26">
        <v>2005</v>
      </c>
      <c r="H4" s="26">
        <v>2006</v>
      </c>
      <c r="I4" s="26">
        <v>2007</v>
      </c>
      <c r="J4" s="26">
        <v>2008</v>
      </c>
      <c r="K4" s="27">
        <v>2009</v>
      </c>
      <c r="L4" s="26">
        <v>2010</v>
      </c>
      <c r="M4" s="26">
        <v>2011</v>
      </c>
      <c r="N4" s="27">
        <v>2012</v>
      </c>
      <c r="O4" s="26">
        <v>2013</v>
      </c>
      <c r="P4" s="26">
        <v>2014</v>
      </c>
      <c r="Q4" s="27">
        <v>2015</v>
      </c>
      <c r="R4" s="26">
        <v>2016</v>
      </c>
      <c r="S4" s="26">
        <v>2017</v>
      </c>
      <c r="T4" s="27">
        <v>2018</v>
      </c>
      <c r="U4" s="26">
        <v>2019</v>
      </c>
      <c r="V4" s="26">
        <v>2020</v>
      </c>
      <c r="W4" s="27">
        <v>2021</v>
      </c>
      <c r="X4" s="26">
        <v>2022</v>
      </c>
      <c r="Y4" s="26">
        <v>2023</v>
      </c>
      <c r="Z4" s="26">
        <v>2024</v>
      </c>
      <c r="AA4" s="26"/>
      <c r="AB4" s="26">
        <v>2015</v>
      </c>
      <c r="AC4" s="26">
        <v>2020</v>
      </c>
      <c r="AD4" s="26">
        <v>2025</v>
      </c>
      <c r="AE4" s="26">
        <v>2030</v>
      </c>
      <c r="AF4" s="26">
        <v>2035</v>
      </c>
      <c r="AG4" s="26">
        <v>2040</v>
      </c>
      <c r="AI4" s="46" t="s">
        <v>233</v>
      </c>
      <c r="AJ4" t="s">
        <v>234</v>
      </c>
    </row>
    <row r="5" spans="1:36">
      <c r="A5" t="s">
        <v>92</v>
      </c>
      <c r="B5">
        <v>3271</v>
      </c>
      <c r="C5" s="28">
        <v>3870.7</v>
      </c>
      <c r="D5" s="28">
        <v>3941.4</v>
      </c>
      <c r="E5" s="28">
        <v>4032.8</v>
      </c>
      <c r="F5" s="28">
        <v>3756.8000000000006</v>
      </c>
      <c r="G5">
        <v>3618</v>
      </c>
      <c r="H5">
        <v>3675</v>
      </c>
      <c r="I5" s="28">
        <v>3508.8</v>
      </c>
      <c r="J5">
        <v>3244</v>
      </c>
      <c r="K5">
        <v>3737</v>
      </c>
      <c r="L5">
        <v>4376</v>
      </c>
      <c r="M5">
        <v>3493</v>
      </c>
      <c r="N5">
        <v>3797</v>
      </c>
      <c r="O5" s="28">
        <v>3592</v>
      </c>
      <c r="P5" s="28">
        <v>3464</v>
      </c>
      <c r="Q5" s="28">
        <v>3118</v>
      </c>
      <c r="R5" s="28">
        <v>3589</v>
      </c>
      <c r="S5" s="28">
        <v>3549</v>
      </c>
      <c r="T5" s="28">
        <v>3552</v>
      </c>
      <c r="U5" s="28">
        <v>3419</v>
      </c>
      <c r="V5" s="28">
        <v>2906</v>
      </c>
      <c r="W5" s="28">
        <v>3831</v>
      </c>
      <c r="X5" s="28">
        <v>3541</v>
      </c>
      <c r="Y5" s="28">
        <v>3493</v>
      </c>
      <c r="Z5" s="28">
        <v>3400</v>
      </c>
      <c r="AB5" s="28">
        <f t="array" ref="AB5">TREND($B5:$Z5,$B$4:$Z$4,AB$4)</f>
        <v>3546.3308461538436</v>
      </c>
      <c r="AC5" s="28">
        <f t="array" ref="AC5">TREND($B5:$Z5,$B$4:$Z$4,AC$4)</f>
        <v>3471.8489230769192</v>
      </c>
      <c r="AD5" s="28">
        <f t="array" ref="AD5">TREND($B5:$Z5,$B$4:$Z$4,AD$4)</f>
        <v>3397.3669999999984</v>
      </c>
      <c r="AE5" s="28">
        <f t="array" ref="AE5">TREND($B5:$Z5,$B$4:$Z$4,AE$4)</f>
        <v>3322.8850769230739</v>
      </c>
      <c r="AF5" s="28">
        <f t="array" ref="AF5">TREND($B5:$Z5,$B$4:$Z$4,AF$4)</f>
        <v>3248.4031538461495</v>
      </c>
      <c r="AG5" s="28">
        <f t="array" ref="AG5">TREND($B5:$Z5,$B$4:$Z$4,AG$4)</f>
        <v>3173.9212307692287</v>
      </c>
      <c r="AI5" s="45">
        <f>AE5/$AD5-1</f>
        <v>-2.1923425722603529E-2</v>
      </c>
      <c r="AJ5" s="45">
        <f>AG5/$AD5-1</f>
        <v>-6.5770277167809588E-2</v>
      </c>
    </row>
    <row r="6" spans="1:36">
      <c r="A6" t="s">
        <v>93</v>
      </c>
      <c r="B6">
        <v>3429</v>
      </c>
      <c r="C6" s="28">
        <v>4000.4</v>
      </c>
      <c r="D6" s="28">
        <v>4099.4000000000005</v>
      </c>
      <c r="E6" s="28">
        <v>4146.2</v>
      </c>
      <c r="F6" s="28">
        <v>4040.5</v>
      </c>
      <c r="G6">
        <v>3873</v>
      </c>
      <c r="H6">
        <v>3886</v>
      </c>
      <c r="I6" s="28">
        <v>3723.1</v>
      </c>
      <c r="J6">
        <v>3440</v>
      </c>
      <c r="K6">
        <v>3952</v>
      </c>
      <c r="L6">
        <v>4632</v>
      </c>
      <c r="M6">
        <v>3655</v>
      </c>
      <c r="N6">
        <v>4059</v>
      </c>
      <c r="O6">
        <v>3798</v>
      </c>
      <c r="P6">
        <v>3678</v>
      </c>
      <c r="Q6">
        <v>3263</v>
      </c>
      <c r="R6">
        <v>3817</v>
      </c>
      <c r="S6">
        <v>3802</v>
      </c>
      <c r="T6">
        <v>3789</v>
      </c>
      <c r="U6">
        <v>3629</v>
      </c>
      <c r="V6">
        <v>3148</v>
      </c>
      <c r="W6">
        <v>4118</v>
      </c>
      <c r="X6">
        <v>3860</v>
      </c>
      <c r="Y6">
        <v>3765</v>
      </c>
      <c r="Z6">
        <v>3668</v>
      </c>
      <c r="AB6" s="28">
        <f t="array" ref="AB6">TREND($B6:$Z6,$B$4:$Z$4,AB$4)</f>
        <v>3779.1423846153848</v>
      </c>
      <c r="AC6" s="28">
        <f t="array" ref="AC6">TREND($B6:$Z6,$B$4:$Z$4,AC$4)</f>
        <v>3726.3396923076907</v>
      </c>
      <c r="AD6" s="28">
        <f t="array" ref="AD6">TREND($B6:$Z6,$B$4:$Z$4,AD$4)</f>
        <v>3673.5370000000003</v>
      </c>
      <c r="AE6" s="28">
        <f t="array" ref="AE6">TREND($B6:$Z6,$B$4:$Z$4,AE$4)</f>
        <v>3620.7343076923062</v>
      </c>
      <c r="AF6" s="28">
        <f t="array" ref="AF6">TREND($B6:$Z6,$B$4:$Z$4,AF$4)</f>
        <v>3567.9316153846157</v>
      </c>
      <c r="AG6" s="28">
        <f t="array" ref="AG6">TREND($B6:$Z6,$B$4:$Z$4,AG$4)</f>
        <v>3515.1289230769216</v>
      </c>
      <c r="AI6" s="45">
        <f>AE6/$AD6-1</f>
        <v>-1.4373801681511367E-2</v>
      </c>
      <c r="AJ6" s="45">
        <f>AG6/$AD6-1</f>
        <v>-4.312140504453299E-2</v>
      </c>
    </row>
    <row r="7" spans="1:36">
      <c r="A7" t="s">
        <v>91</v>
      </c>
      <c r="B7">
        <v>3271</v>
      </c>
      <c r="C7" s="28">
        <v>3870.7</v>
      </c>
      <c r="D7" s="28">
        <v>3941.4</v>
      </c>
      <c r="E7" s="28">
        <v>4032.8</v>
      </c>
      <c r="F7" s="28">
        <v>3756.8000000000006</v>
      </c>
      <c r="G7">
        <v>3618</v>
      </c>
      <c r="H7">
        <v>3675</v>
      </c>
      <c r="I7" s="28">
        <v>3508.8</v>
      </c>
      <c r="J7">
        <v>3244</v>
      </c>
      <c r="K7">
        <v>3737</v>
      </c>
      <c r="L7">
        <v>4376</v>
      </c>
      <c r="M7">
        <v>3493</v>
      </c>
      <c r="N7">
        <v>3797</v>
      </c>
      <c r="O7">
        <v>3592</v>
      </c>
      <c r="P7">
        <v>3464</v>
      </c>
      <c r="Q7">
        <v>3118</v>
      </c>
      <c r="R7">
        <v>3589</v>
      </c>
      <c r="S7">
        <v>3549</v>
      </c>
      <c r="T7">
        <v>3552</v>
      </c>
      <c r="U7">
        <v>3419</v>
      </c>
      <c r="V7">
        <v>2906</v>
      </c>
      <c r="W7">
        <v>3831</v>
      </c>
      <c r="X7">
        <v>3541</v>
      </c>
      <c r="Y7">
        <v>3493</v>
      </c>
      <c r="Z7">
        <v>3400</v>
      </c>
      <c r="AB7" s="28">
        <f t="array" ref="AB7">TREND($B7:$Z7,$B$4:$Z$4,AB$4)</f>
        <v>3546.3308461538436</v>
      </c>
      <c r="AC7" s="28">
        <f t="array" ref="AC7">TREND($B7:$Z7,$B$4:$Z$4,AC$4)</f>
        <v>3471.8489230769192</v>
      </c>
      <c r="AD7" s="28">
        <f t="array" ref="AD7">TREND($B7:$Z7,$B$4:$Z$4,AD$4)</f>
        <v>3397.3669999999984</v>
      </c>
      <c r="AE7" s="28">
        <f t="array" ref="AE7">TREND($B7:$Z7,$B$4:$Z$4,AE$4)</f>
        <v>3322.8850769230739</v>
      </c>
      <c r="AF7" s="28">
        <f t="array" ref="AF7">TREND($B7:$Z7,$B$4:$Z$4,AF$4)</f>
        <v>3248.4031538461495</v>
      </c>
      <c r="AG7" s="28">
        <f t="array" ref="AG7">TREND($B7:$Z7,$B$4:$Z$4,AG$4)</f>
        <v>3173.9212307692287</v>
      </c>
      <c r="AI7" s="45">
        <f t="shared" ref="AI7:AI10" si="0">AE7/$AD7-1</f>
        <v>-2.1923425722603529E-2</v>
      </c>
      <c r="AJ7" s="45">
        <f t="shared" ref="AJ7:AJ10" si="1">AG7/$AD7-1</f>
        <v>-6.5770277167809588E-2</v>
      </c>
    </row>
    <row r="8" spans="1:36">
      <c r="A8" t="s">
        <v>94</v>
      </c>
      <c r="B8">
        <v>3398</v>
      </c>
      <c r="C8" s="28">
        <v>3992.4000000000005</v>
      </c>
      <c r="D8" s="28">
        <v>4081.1</v>
      </c>
      <c r="E8" s="28">
        <v>4114.8</v>
      </c>
      <c r="F8" s="28">
        <v>3878.8000000000006</v>
      </c>
      <c r="G8">
        <v>3847</v>
      </c>
      <c r="H8">
        <v>3709</v>
      </c>
      <c r="I8" s="28">
        <v>3714.1</v>
      </c>
      <c r="J8">
        <v>3528</v>
      </c>
      <c r="K8">
        <v>4028</v>
      </c>
      <c r="L8">
        <v>4656</v>
      </c>
      <c r="M8">
        <v>3629</v>
      </c>
      <c r="N8">
        <v>4019</v>
      </c>
      <c r="O8">
        <v>3769</v>
      </c>
      <c r="P8">
        <v>3592</v>
      </c>
      <c r="Q8">
        <v>3284</v>
      </c>
      <c r="R8">
        <v>3772</v>
      </c>
      <c r="S8">
        <v>3725</v>
      </c>
      <c r="T8">
        <v>3737</v>
      </c>
      <c r="U8">
        <v>3614</v>
      </c>
      <c r="V8">
        <v>3180</v>
      </c>
      <c r="W8">
        <v>4030</v>
      </c>
      <c r="X8">
        <v>3772</v>
      </c>
      <c r="Y8">
        <v>3823</v>
      </c>
      <c r="Z8">
        <v>3604</v>
      </c>
      <c r="AB8" s="28">
        <f t="array" ref="AB8">TREND($B8:$Z8,$B$4:$Z$4,AB$4)</f>
        <v>3748.7606923076928</v>
      </c>
      <c r="AC8" s="28">
        <f t="array" ref="AC8">TREND($B8:$Z8,$B$4:$Z$4,AC$4)</f>
        <v>3696.8818461538467</v>
      </c>
      <c r="AD8" s="28">
        <f t="array" ref="AD8">TREND($B8:$Z8,$B$4:$Z$4,AD$4)</f>
        <v>3645.0030000000006</v>
      </c>
      <c r="AE8" s="28">
        <f t="array" ref="AE8">TREND($B8:$Z8,$B$4:$Z$4,AE$4)</f>
        <v>3593.1241538461509</v>
      </c>
      <c r="AF8" s="28">
        <f t="array" ref="AF8">TREND($B8:$Z8,$B$4:$Z$4,AF$4)</f>
        <v>3541.2453076923048</v>
      </c>
      <c r="AG8" s="28">
        <f t="array" ref="AG8">TREND($B8:$Z8,$B$4:$Z$4,AG$4)</f>
        <v>3489.3664615384587</v>
      </c>
      <c r="AI8" s="45">
        <f t="shared" si="0"/>
        <v>-1.4232867888956391E-2</v>
      </c>
      <c r="AJ8" s="45">
        <f t="shared" si="1"/>
        <v>-4.2698603666867174E-2</v>
      </c>
    </row>
    <row r="9" spans="1:36">
      <c r="A9" t="s">
        <v>95</v>
      </c>
      <c r="B9">
        <v>3834</v>
      </c>
      <c r="C9" s="28">
        <v>4400.2</v>
      </c>
      <c r="D9" s="28">
        <v>4459.0999999999995</v>
      </c>
      <c r="E9" s="28">
        <v>4450.8999999999996</v>
      </c>
      <c r="F9" s="28">
        <v>4289.2</v>
      </c>
      <c r="G9">
        <v>4142</v>
      </c>
      <c r="H9">
        <v>4119</v>
      </c>
      <c r="I9" s="28">
        <v>4062.3</v>
      </c>
      <c r="J9">
        <v>3889</v>
      </c>
      <c r="K9">
        <v>4371</v>
      </c>
      <c r="L9">
        <v>4997</v>
      </c>
      <c r="M9">
        <v>3945</v>
      </c>
      <c r="N9">
        <v>4506</v>
      </c>
      <c r="O9">
        <v>4016</v>
      </c>
      <c r="P9">
        <v>4046</v>
      </c>
      <c r="Q9">
        <v>3619</v>
      </c>
      <c r="R9">
        <v>4155</v>
      </c>
      <c r="S9">
        <v>4132</v>
      </c>
      <c r="T9">
        <v>4116</v>
      </c>
      <c r="U9">
        <v>4008</v>
      </c>
      <c r="V9">
        <v>3524</v>
      </c>
      <c r="W9">
        <v>4365</v>
      </c>
      <c r="X9">
        <v>4071</v>
      </c>
      <c r="Y9">
        <v>4114</v>
      </c>
      <c r="Z9">
        <v>3940</v>
      </c>
      <c r="AB9" s="28">
        <f t="array" ref="AB9">TREND($B9:$Z9,$B$4:$Z$4,AB$4)</f>
        <v>4105.2532307692309</v>
      </c>
      <c r="AC9" s="28">
        <f t="array" ref="AC9">TREND($B9:$Z9,$B$4:$Z$4,AC$4)</f>
        <v>4042.6286153846158</v>
      </c>
      <c r="AD9" s="28">
        <f t="array" ref="AD9">TREND($B9:$Z9,$B$4:$Z$4,AD$4)</f>
        <v>3980.0040000000008</v>
      </c>
      <c r="AE9" s="28">
        <f t="array" ref="AE9">TREND($B9:$Z9,$B$4:$Z$4,AE$4)</f>
        <v>3917.3793846153858</v>
      </c>
      <c r="AF9" s="28">
        <f t="array" ref="AF9">TREND($B9:$Z9,$B$4:$Z$4,AF$4)</f>
        <v>3854.7547692307708</v>
      </c>
      <c r="AG9" s="28">
        <f t="array" ref="AG9">TREND($B9:$Z9,$B$4:$Z$4,AG$4)</f>
        <v>3792.1301538461557</v>
      </c>
      <c r="AI9" s="45">
        <f t="shared" si="0"/>
        <v>-1.5734812172202628E-2</v>
      </c>
      <c r="AJ9" s="45">
        <f t="shared" si="1"/>
        <v>-4.7204436516607773E-2</v>
      </c>
    </row>
    <row r="10" spans="1:36">
      <c r="A10" t="s">
        <v>96</v>
      </c>
      <c r="B10">
        <v>4489</v>
      </c>
      <c r="C10" s="28">
        <v>5057.9999999999991</v>
      </c>
      <c r="D10" s="28">
        <v>5120.3999999999996</v>
      </c>
      <c r="E10" s="28">
        <v>4976.7</v>
      </c>
      <c r="F10" s="28">
        <v>4904.8</v>
      </c>
      <c r="G10">
        <v>4646</v>
      </c>
      <c r="H10">
        <v>4748</v>
      </c>
      <c r="I10" s="28">
        <v>4653.7</v>
      </c>
      <c r="J10">
        <v>4591</v>
      </c>
      <c r="K10">
        <v>4941</v>
      </c>
      <c r="L10">
        <v>5605</v>
      </c>
      <c r="M10">
        <v>4537</v>
      </c>
      <c r="N10">
        <v>5209</v>
      </c>
      <c r="O10">
        <v>4557</v>
      </c>
      <c r="P10">
        <v>4513</v>
      </c>
      <c r="Q10">
        <v>4119</v>
      </c>
      <c r="R10">
        <v>4682</v>
      </c>
      <c r="S10">
        <v>4821</v>
      </c>
      <c r="T10">
        <v>4655</v>
      </c>
      <c r="U10">
        <v>4862</v>
      </c>
      <c r="V10">
        <v>4223</v>
      </c>
      <c r="W10">
        <v>5028</v>
      </c>
      <c r="X10">
        <v>4616</v>
      </c>
      <c r="Y10">
        <v>4723</v>
      </c>
      <c r="Z10">
        <v>4532</v>
      </c>
      <c r="AB10" s="28">
        <f t="array" ref="AB10">TREND($B10:$Z10,$B$4:$Z$4,AB$4)</f>
        <v>4716.236615384616</v>
      </c>
      <c r="AC10" s="28">
        <f t="array" ref="AC10">TREND($B10:$Z10,$B$4:$Z$4,AC$4)</f>
        <v>4655.9243076923085</v>
      </c>
      <c r="AD10" s="28">
        <f t="array" ref="AD10">TREND($B10:$Z10,$B$4:$Z$4,AD$4)</f>
        <v>4595.612000000001</v>
      </c>
      <c r="AE10" s="28">
        <f t="array" ref="AE10">TREND($B10:$Z10,$B$4:$Z$4,AE$4)</f>
        <v>4535.2996923076935</v>
      </c>
      <c r="AF10" s="28">
        <f t="array" ref="AF10">TREND($B10:$Z10,$B$4:$Z$4,AF$4)</f>
        <v>4474.9873846153823</v>
      </c>
      <c r="AG10" s="28">
        <f t="array" ref="AG10">TREND($B10:$Z10,$B$4:$Z$4,AG$4)</f>
        <v>4414.6750769230748</v>
      </c>
      <c r="AI10" s="45">
        <f t="shared" si="0"/>
        <v>-1.312389028758465E-2</v>
      </c>
      <c r="AJ10" s="45">
        <f t="shared" si="1"/>
        <v>-3.9371670862754726E-2</v>
      </c>
    </row>
    <row r="11" spans="1:36">
      <c r="A11" t="s">
        <v>97</v>
      </c>
      <c r="B11">
        <v>4248</v>
      </c>
      <c r="C11" s="28">
        <v>4799.8999999999996</v>
      </c>
      <c r="D11" s="28">
        <v>4830.7999999999993</v>
      </c>
      <c r="E11" s="28">
        <v>4784</v>
      </c>
      <c r="F11" s="28">
        <v>4738.5999999999995</v>
      </c>
      <c r="G11">
        <v>4463</v>
      </c>
      <c r="H11">
        <v>4521</v>
      </c>
      <c r="I11">
        <v>4403.8999999999996</v>
      </c>
      <c r="J11">
        <v>4289</v>
      </c>
      <c r="K11">
        <v>4679</v>
      </c>
      <c r="L11">
        <v>5403</v>
      </c>
      <c r="M11">
        <v>4356</v>
      </c>
      <c r="N11">
        <v>4936</v>
      </c>
      <c r="O11">
        <v>4312</v>
      </c>
      <c r="P11">
        <v>4349</v>
      </c>
      <c r="Q11">
        <v>3975</v>
      </c>
      <c r="R11">
        <v>4540</v>
      </c>
      <c r="S11">
        <v>4458</v>
      </c>
      <c r="T11">
        <v>4405</v>
      </c>
      <c r="U11">
        <v>4376</v>
      </c>
      <c r="V11">
        <v>3915</v>
      </c>
      <c r="W11">
        <v>4771</v>
      </c>
      <c r="X11">
        <v>4423</v>
      </c>
      <c r="Y11">
        <v>4519</v>
      </c>
      <c r="Z11">
        <v>4393</v>
      </c>
      <c r="AB11" s="28">
        <f t="array" ref="AB11">TREND($B11:$Z11,$B$4:$Z$4,AB$4)</f>
        <v>4477.6167692307718</v>
      </c>
      <c r="AC11" s="28">
        <f t="array" ref="AC11">TREND($B11:$Z11,$B$4:$Z$4,AC$4)</f>
        <v>4414.4313846153891</v>
      </c>
      <c r="AD11" s="28">
        <f t="array" ref="AD11">TREND($B11:$Z11,$B$4:$Z$4,AD$4)</f>
        <v>4351.2460000000028</v>
      </c>
      <c r="AE11" s="28">
        <f t="array" ref="AE11">TREND($B11:$Z11,$B$4:$Z$4,AE$4)</f>
        <v>4288.0606153846202</v>
      </c>
      <c r="AF11" s="28">
        <f t="array" ref="AF11">TREND($B11:$Z11,$B$4:$Z$4,AF$4)</f>
        <v>4224.8752307692339</v>
      </c>
      <c r="AG11" s="28">
        <f t="array" ref="AG11">TREND($B11:$Z11,$B$4:$Z$4,AG$4)</f>
        <v>4161.6898461538512</v>
      </c>
      <c r="AI11" s="45">
        <f>AE11/$AD11-1</f>
        <v>-1.4521216363171052E-2</v>
      </c>
      <c r="AJ11" s="45">
        <f>AG11/$AD11-1</f>
        <v>-4.3563649089514045E-2</v>
      </c>
    </row>
    <row r="14" spans="1:36">
      <c r="A14" s="31" t="s">
        <v>101</v>
      </c>
    </row>
    <row r="15" spans="1:36">
      <c r="A15" s="32" t="s">
        <v>46</v>
      </c>
      <c r="B15" s="32" t="s">
        <v>45</v>
      </c>
    </row>
    <row r="16" spans="1:36">
      <c r="A16" s="33" t="s">
        <v>44</v>
      </c>
      <c r="B16" s="194" t="s">
        <v>43</v>
      </c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</row>
    <row r="17" spans="1:36">
      <c r="A17" s="34" t="s">
        <v>102</v>
      </c>
    </row>
    <row r="18" spans="1:36">
      <c r="A18" s="34" t="s">
        <v>41</v>
      </c>
      <c r="B18" s="35" t="s">
        <v>101</v>
      </c>
    </row>
    <row r="19" spans="1:36">
      <c r="A19" s="34" t="s">
        <v>39</v>
      </c>
      <c r="B19" s="34" t="s">
        <v>103</v>
      </c>
    </row>
    <row r="21" spans="1:36">
      <c r="A21" s="35" t="s">
        <v>37</v>
      </c>
      <c r="C21" s="34" t="s">
        <v>36</v>
      </c>
    </row>
    <row r="22" spans="1:36">
      <c r="A22" s="35" t="s">
        <v>35</v>
      </c>
      <c r="C22" s="34" t="s">
        <v>104</v>
      </c>
    </row>
    <row r="23" spans="1:36">
      <c r="A23" s="35" t="s">
        <v>105</v>
      </c>
      <c r="C23" s="34" t="s">
        <v>106</v>
      </c>
    </row>
    <row r="25" spans="1:36">
      <c r="A25" s="36" t="s">
        <v>29</v>
      </c>
      <c r="B25" s="37">
        <v>2000</v>
      </c>
      <c r="C25" s="37">
        <v>2001</v>
      </c>
      <c r="D25" s="37">
        <v>2002</v>
      </c>
      <c r="E25" s="37">
        <v>2003</v>
      </c>
      <c r="F25" s="37">
        <v>2004</v>
      </c>
      <c r="G25" s="37">
        <v>2005</v>
      </c>
      <c r="H25" s="37">
        <v>2006</v>
      </c>
      <c r="I25" s="37">
        <v>2007</v>
      </c>
      <c r="J25" s="37">
        <v>2008</v>
      </c>
      <c r="K25" s="37">
        <v>2009</v>
      </c>
      <c r="L25" s="37">
        <v>2010</v>
      </c>
      <c r="M25" s="37">
        <v>2011</v>
      </c>
      <c r="N25" s="37">
        <v>2012</v>
      </c>
      <c r="O25" s="37">
        <v>2013</v>
      </c>
      <c r="P25" s="37">
        <v>2014</v>
      </c>
      <c r="Q25" s="37">
        <v>2015</v>
      </c>
      <c r="R25" s="37">
        <v>2016</v>
      </c>
      <c r="S25" s="37">
        <v>2017</v>
      </c>
      <c r="T25" s="37">
        <v>2018</v>
      </c>
      <c r="U25" s="37">
        <v>2019</v>
      </c>
      <c r="V25" s="37">
        <v>2020</v>
      </c>
      <c r="W25" s="37">
        <v>2021</v>
      </c>
      <c r="X25" s="37">
        <v>2022</v>
      </c>
      <c r="Y25" s="37">
        <v>2023</v>
      </c>
      <c r="AB25" s="6">
        <v>2015</v>
      </c>
      <c r="AC25" s="6">
        <v>2020</v>
      </c>
      <c r="AD25" s="6">
        <v>2025</v>
      </c>
      <c r="AE25" s="6">
        <v>2030</v>
      </c>
      <c r="AF25" s="6">
        <v>2035</v>
      </c>
      <c r="AG25" s="6">
        <v>2040</v>
      </c>
      <c r="AI25" s="46" t="s">
        <v>233</v>
      </c>
      <c r="AJ25" s="46" t="s">
        <v>234</v>
      </c>
    </row>
    <row r="26" spans="1:36">
      <c r="A26" s="38" t="s">
        <v>24</v>
      </c>
      <c r="B26" s="4" t="s">
        <v>22</v>
      </c>
      <c r="C26" s="4" t="s">
        <v>22</v>
      </c>
      <c r="D26" s="4" t="s">
        <v>22</v>
      </c>
      <c r="E26" s="4" t="s">
        <v>22</v>
      </c>
      <c r="F26" s="4" t="s">
        <v>22</v>
      </c>
      <c r="G26" s="4" t="s">
        <v>22</v>
      </c>
      <c r="H26" s="4" t="s">
        <v>22</v>
      </c>
      <c r="I26" s="4" t="s">
        <v>22</v>
      </c>
      <c r="J26" s="4" t="s">
        <v>22</v>
      </c>
      <c r="K26" s="4" t="s">
        <v>22</v>
      </c>
      <c r="L26" s="4" t="s">
        <v>22</v>
      </c>
      <c r="M26" s="4" t="s">
        <v>22</v>
      </c>
      <c r="N26" s="4" t="s">
        <v>22</v>
      </c>
      <c r="O26" s="4" t="s">
        <v>22</v>
      </c>
      <c r="P26" s="4" t="s">
        <v>22</v>
      </c>
      <c r="Q26" s="4" t="s">
        <v>22</v>
      </c>
      <c r="R26" s="4" t="s">
        <v>22</v>
      </c>
      <c r="S26" s="4" t="s">
        <v>22</v>
      </c>
      <c r="T26" s="4" t="s">
        <v>22</v>
      </c>
      <c r="U26" s="4" t="s">
        <v>22</v>
      </c>
      <c r="V26" s="4" t="s">
        <v>22</v>
      </c>
      <c r="W26" s="4" t="s">
        <v>22</v>
      </c>
      <c r="X26" s="4" t="s">
        <v>22</v>
      </c>
      <c r="Y26" s="4" t="s">
        <v>22</v>
      </c>
      <c r="AB26" s="4" t="s">
        <v>22</v>
      </c>
      <c r="AC26" s="4" t="s">
        <v>22</v>
      </c>
      <c r="AD26" s="4" t="s">
        <v>22</v>
      </c>
      <c r="AE26" s="4" t="s">
        <v>22</v>
      </c>
      <c r="AF26" s="4" t="s">
        <v>22</v>
      </c>
      <c r="AG26" s="4" t="s">
        <v>22</v>
      </c>
    </row>
    <row r="27" spans="1:36">
      <c r="A27" s="39" t="s">
        <v>18</v>
      </c>
      <c r="B27" s="40">
        <v>2960.77</v>
      </c>
      <c r="C27" s="40">
        <v>3210.04</v>
      </c>
      <c r="D27" s="41">
        <v>3063</v>
      </c>
      <c r="E27" s="40">
        <v>3225.75</v>
      </c>
      <c r="F27" s="40">
        <v>3215.73</v>
      </c>
      <c r="G27" s="40">
        <v>3209.72</v>
      </c>
      <c r="H27" s="41">
        <v>3084.5</v>
      </c>
      <c r="I27" s="41">
        <v>2985.9</v>
      </c>
      <c r="J27" s="40">
        <v>3036.39</v>
      </c>
      <c r="K27" s="40">
        <v>3113.25</v>
      </c>
      <c r="L27" s="40">
        <v>3497.41</v>
      </c>
      <c r="M27" s="40">
        <v>2968.15</v>
      </c>
      <c r="N27" s="40">
        <v>3237.86</v>
      </c>
      <c r="O27" s="40">
        <v>3160.09</v>
      </c>
      <c r="P27" s="40">
        <v>2815.53</v>
      </c>
      <c r="Q27" s="40">
        <v>2901.23</v>
      </c>
      <c r="R27" s="40">
        <v>3033.05</v>
      </c>
      <c r="S27" s="40">
        <v>3044.85</v>
      </c>
      <c r="T27" s="41">
        <v>2940.9</v>
      </c>
      <c r="U27" s="40">
        <v>2909.29</v>
      </c>
      <c r="V27" s="40">
        <v>2759.16</v>
      </c>
      <c r="W27" s="40">
        <v>3126.31</v>
      </c>
      <c r="X27" s="40">
        <v>2857.63</v>
      </c>
      <c r="Y27" s="40">
        <v>2820.92</v>
      </c>
      <c r="AB27" s="28">
        <f t="array" ref="AB27">TREND($B27:$Y27,$B$4:$Y$4,AB$4)</f>
        <v>3005.4977768115969</v>
      </c>
      <c r="AC27" s="28">
        <f t="array" ref="AC27">TREND($B27:$Y27,$B$4:$Y$4,AC$4)</f>
        <v>2943.266624637683</v>
      </c>
      <c r="AD27" s="28">
        <f t="array" ref="AD27">TREND($B27:$Y27,$B$4:$Y$4,AD$4)</f>
        <v>2881.0354724637691</v>
      </c>
      <c r="AE27" s="28">
        <f t="array" ref="AE27">TREND($B27:$Y27,$B$4:$Y$4,AE$4)</f>
        <v>2818.8043202898589</v>
      </c>
      <c r="AF27" s="28">
        <f t="array" ref="AF27">TREND($B27:$Y27,$B$4:$Y$4,AF$4)</f>
        <v>2756.573168115945</v>
      </c>
      <c r="AG27" s="28">
        <f t="array" ref="AG27">TREND($B27:$Y27,$B$4:$Y$4,AG$4)</f>
        <v>2694.3420159420311</v>
      </c>
      <c r="AI27" s="45">
        <f>AE27/$AD27-1</f>
        <v>-2.1600272807711041E-2</v>
      </c>
      <c r="AJ27" s="45">
        <f>AG27/$AD27-1</f>
        <v>-6.4800818423135786E-2</v>
      </c>
    </row>
    <row r="28" spans="1:36">
      <c r="A28" s="39" t="s">
        <v>16</v>
      </c>
      <c r="B28" s="42">
        <v>2515.89</v>
      </c>
      <c r="C28" s="42">
        <v>2718.99</v>
      </c>
      <c r="D28" s="42">
        <v>2527.9299999999998</v>
      </c>
      <c r="E28" s="42">
        <v>2687.07</v>
      </c>
      <c r="F28" s="42">
        <v>2773.96</v>
      </c>
      <c r="G28" s="42">
        <v>2661.22</v>
      </c>
      <c r="H28" s="42">
        <v>2588.67</v>
      </c>
      <c r="I28" s="42">
        <v>2439.1799999999998</v>
      </c>
      <c r="J28" s="42">
        <v>2698.26</v>
      </c>
      <c r="K28" s="42">
        <v>2692.13</v>
      </c>
      <c r="L28" s="42">
        <v>3193.64</v>
      </c>
      <c r="M28" s="42">
        <v>2404.6799999999998</v>
      </c>
      <c r="N28" s="42">
        <v>2766.54</v>
      </c>
      <c r="O28" s="43">
        <v>3021.7</v>
      </c>
      <c r="P28" s="42">
        <v>2323.21</v>
      </c>
      <c r="Q28" s="42">
        <v>2632.62</v>
      </c>
      <c r="R28" s="42">
        <v>2695.22</v>
      </c>
      <c r="S28" s="42">
        <v>2584.0700000000002</v>
      </c>
      <c r="T28" s="42">
        <v>2511.15</v>
      </c>
      <c r="U28" s="42">
        <v>2532.35</v>
      </c>
      <c r="V28" s="42">
        <v>2339.09</v>
      </c>
      <c r="W28" s="42">
        <v>2770.92</v>
      </c>
      <c r="X28" s="42">
        <v>2377.06</v>
      </c>
      <c r="Y28" s="42">
        <v>2363.29</v>
      </c>
      <c r="AB28" s="28">
        <f t="array" ref="AB28">TREND($B28:$Y28,$B$4:$Y$4,AB$4)</f>
        <v>2590.4126144927541</v>
      </c>
      <c r="AC28" s="28">
        <f t="array" ref="AC28">TREND($B28:$Y28,$B$4:$Y$4,AC$4)</f>
        <v>2551.7853971014501</v>
      </c>
      <c r="AD28" s="28">
        <f t="array" ref="AD28">TREND($B28:$Y28,$B$4:$Y$4,AD$4)</f>
        <v>2513.1581797101462</v>
      </c>
      <c r="AE28" s="28">
        <f t="array" ref="AE28">TREND($B28:$Y28,$B$4:$Y$4,AE$4)</f>
        <v>2474.5309623188423</v>
      </c>
      <c r="AF28" s="28">
        <f t="array" ref="AF28">TREND($B28:$Y28,$B$4:$Y$4,AF$4)</f>
        <v>2435.9037449275384</v>
      </c>
      <c r="AG28" s="28">
        <f t="array" ref="AG28">TREND($B28:$Y28,$B$4:$Y$4,AG$4)</f>
        <v>2397.2765275362326</v>
      </c>
      <c r="AI28" s="45">
        <f>AE28/$AD28-1</f>
        <v>-1.5369990517572152E-2</v>
      </c>
      <c r="AJ28" s="45">
        <f>AG28/$AD28-1</f>
        <v>-4.6109971552717344E-2</v>
      </c>
    </row>
    <row r="29" spans="1:36">
      <c r="A29" s="39" t="s">
        <v>15</v>
      </c>
      <c r="B29" s="40">
        <v>2481.29</v>
      </c>
      <c r="C29" s="40">
        <v>2525.98</v>
      </c>
      <c r="D29" s="40">
        <v>2522.88</v>
      </c>
      <c r="E29" s="40">
        <v>2891.31</v>
      </c>
      <c r="F29" s="41">
        <v>2537.4</v>
      </c>
      <c r="G29" s="40">
        <v>2692.51</v>
      </c>
      <c r="H29" s="40">
        <v>2660.51</v>
      </c>
      <c r="I29" s="40">
        <v>2393.19</v>
      </c>
      <c r="J29" s="40">
        <v>2466.8200000000002</v>
      </c>
      <c r="K29" s="40">
        <v>2437.31</v>
      </c>
      <c r="L29" s="40">
        <v>2516.8200000000002</v>
      </c>
      <c r="M29" s="40">
        <v>2798.59</v>
      </c>
      <c r="N29" s="41">
        <v>2614</v>
      </c>
      <c r="O29" s="40">
        <v>2387.56</v>
      </c>
      <c r="P29" s="40">
        <v>2365.02</v>
      </c>
      <c r="Q29" s="40">
        <v>2371.11</v>
      </c>
      <c r="R29" s="40">
        <v>2420.17</v>
      </c>
      <c r="S29" s="40">
        <v>2527.59</v>
      </c>
      <c r="T29" s="41">
        <v>2352.1</v>
      </c>
      <c r="U29" s="40">
        <v>2152.56</v>
      </c>
      <c r="V29" s="40">
        <v>2247.35</v>
      </c>
      <c r="W29" s="40">
        <v>2503.0700000000002</v>
      </c>
      <c r="X29" s="40">
        <v>2307.09</v>
      </c>
      <c r="Y29" s="41">
        <v>2081</v>
      </c>
      <c r="AB29" s="28">
        <f t="array" ref="AB29">TREND($B29:$Y29,$B$4:$Y$4,AB$4)</f>
        <v>2410.8331420289833</v>
      </c>
      <c r="AC29" s="28">
        <f t="array" ref="AC29">TREND($B29:$Y29,$B$4:$Y$4,AC$4)</f>
        <v>2327.9025115941986</v>
      </c>
      <c r="AD29" s="28">
        <f t="array" ref="AD29">TREND($B29:$Y29,$B$4:$Y$4,AD$4)</f>
        <v>2244.9718811594212</v>
      </c>
      <c r="AE29" s="28">
        <f t="array" ref="AE29">TREND($B29:$Y29,$B$4:$Y$4,AE$4)</f>
        <v>2162.0412507246365</v>
      </c>
      <c r="AF29" s="28">
        <f t="array" ref="AF29">TREND($B29:$Y29,$B$4:$Y$4,AF$4)</f>
        <v>2079.1106202898518</v>
      </c>
      <c r="AG29" s="28">
        <f t="array" ref="AG29">TREND($B29:$Y29,$B$4:$Y$4,AG$4)</f>
        <v>1996.1799898550744</v>
      </c>
      <c r="AI29" s="45">
        <f t="shared" ref="AI29:AI32" si="2">AE29/$AD29-1</f>
        <v>-3.6940609871672359E-2</v>
      </c>
      <c r="AJ29" s="45">
        <f t="shared" ref="AJ29:AJ32" si="3">AG29/$AD29-1</f>
        <v>-0.11082182961501397</v>
      </c>
    </row>
    <row r="30" spans="1:36">
      <c r="A30" s="39" t="s">
        <v>63</v>
      </c>
      <c r="B30" s="42">
        <v>3097.45</v>
      </c>
      <c r="C30" s="42">
        <v>3560.09</v>
      </c>
      <c r="D30" s="42">
        <v>3273.97</v>
      </c>
      <c r="E30" s="42">
        <v>3460.67</v>
      </c>
      <c r="F30" s="42">
        <v>3470.78</v>
      </c>
      <c r="G30" s="43">
        <v>3550</v>
      </c>
      <c r="H30" s="42">
        <v>3430.32</v>
      </c>
      <c r="I30" s="42">
        <v>3180.25</v>
      </c>
      <c r="J30" s="42">
        <v>3210.66</v>
      </c>
      <c r="K30" s="42">
        <v>3333.48</v>
      </c>
      <c r="L30" s="42">
        <v>3828.88</v>
      </c>
      <c r="M30" s="43">
        <v>3234.6</v>
      </c>
      <c r="N30" s="42">
        <v>3399.61</v>
      </c>
      <c r="O30" s="42">
        <v>3514.82</v>
      </c>
      <c r="P30" s="42">
        <v>2919.87</v>
      </c>
      <c r="Q30" s="42">
        <v>3090.62</v>
      </c>
      <c r="R30" s="42">
        <v>3247.67</v>
      </c>
      <c r="S30" s="43">
        <v>3311.5</v>
      </c>
      <c r="T30" s="42">
        <v>2995.64</v>
      </c>
      <c r="U30" s="42">
        <v>2998.07</v>
      </c>
      <c r="V30" s="42">
        <v>3078.94</v>
      </c>
      <c r="W30" s="42">
        <v>3452.39</v>
      </c>
      <c r="X30" s="42">
        <v>3083.31</v>
      </c>
      <c r="Y30" s="42">
        <v>2921.97</v>
      </c>
      <c r="AB30" s="28">
        <f t="array" ref="AB30">TREND($B30:$Y30,$B$4:$Y$4,AB$4)</f>
        <v>3222.373020289855</v>
      </c>
      <c r="AC30" s="28">
        <f t="array" ref="AC30">TREND($B30:$Y30,$B$4:$Y$4,AC$4)</f>
        <v>3144.4797159420268</v>
      </c>
      <c r="AD30" s="28">
        <f t="array" ref="AD30">TREND($B30:$Y30,$B$4:$Y$4,AD$4)</f>
        <v>3066.5864115942022</v>
      </c>
      <c r="AE30" s="28">
        <f t="array" ref="AE30">TREND($B30:$Y30,$B$4:$Y$4,AE$4)</f>
        <v>2988.6931072463776</v>
      </c>
      <c r="AF30" s="28">
        <f t="array" ref="AF30">TREND($B30:$Y30,$B$4:$Y$4,AF$4)</f>
        <v>2910.7998028985494</v>
      </c>
      <c r="AG30" s="28">
        <f t="array" ref="AG30">TREND($B30:$Y30,$B$4:$Y$4,AG$4)</f>
        <v>2832.9064985507248</v>
      </c>
      <c r="AI30" s="45">
        <f t="shared" si="2"/>
        <v>-2.5400655286713647E-2</v>
      </c>
      <c r="AJ30" s="45">
        <f t="shared" si="3"/>
        <v>-7.6201965860142162E-2</v>
      </c>
    </row>
    <row r="31" spans="1:36">
      <c r="A31" s="39" t="s">
        <v>14</v>
      </c>
      <c r="B31" s="40">
        <v>3112.07</v>
      </c>
      <c r="C31" s="40">
        <v>3494.43</v>
      </c>
      <c r="D31" s="40">
        <v>3189.34</v>
      </c>
      <c r="E31" s="40">
        <v>3325.61</v>
      </c>
      <c r="F31" s="40">
        <v>3309.22</v>
      </c>
      <c r="G31" s="40">
        <v>3261.34</v>
      </c>
      <c r="H31" s="40">
        <v>3084.26</v>
      </c>
      <c r="I31" s="40">
        <v>3000.97</v>
      </c>
      <c r="J31" s="40">
        <v>3019.35</v>
      </c>
      <c r="K31" s="40">
        <v>3230.76</v>
      </c>
      <c r="L31" s="40">
        <v>3982.16</v>
      </c>
      <c r="M31" s="40">
        <v>3148.45</v>
      </c>
      <c r="N31" s="40">
        <v>3424.15</v>
      </c>
      <c r="O31" s="40">
        <v>3396.28</v>
      </c>
      <c r="P31" s="40">
        <v>2834.98</v>
      </c>
      <c r="Q31" s="40">
        <v>3114.15</v>
      </c>
      <c r="R31" s="40">
        <v>3141.46</v>
      </c>
      <c r="S31" s="40">
        <v>3112.11</v>
      </c>
      <c r="T31" s="40">
        <v>3048.54</v>
      </c>
      <c r="U31" s="41">
        <v>3026.8</v>
      </c>
      <c r="V31" s="41">
        <v>2921.4</v>
      </c>
      <c r="W31" s="40">
        <v>3263.77</v>
      </c>
      <c r="X31" s="40">
        <v>3019.14</v>
      </c>
      <c r="Y31" s="41">
        <v>3034.4</v>
      </c>
      <c r="AB31" s="28">
        <f t="array" ref="AB31">TREND($B31:$Y31,$B$4:$Y$4,AB$4)</f>
        <v>3148.5630304347833</v>
      </c>
      <c r="AC31" s="28">
        <f t="array" ref="AC31">TREND($B31:$Y31,$B$4:$Y$4,AC$4)</f>
        <v>3093.2280739130438</v>
      </c>
      <c r="AD31" s="28">
        <f t="array" ref="AD31">TREND($B31:$Y31,$B$4:$Y$4,AD$4)</f>
        <v>3037.8931173913043</v>
      </c>
      <c r="AE31" s="28">
        <f t="array" ref="AE31">TREND($B31:$Y31,$B$4:$Y$4,AE$4)</f>
        <v>2982.5581608695647</v>
      </c>
      <c r="AF31" s="28">
        <f t="array" ref="AF31">TREND($B31:$Y31,$B$4:$Y$4,AF$4)</f>
        <v>2927.2232043478289</v>
      </c>
      <c r="AG31" s="28">
        <f t="array" ref="AG31">TREND($B31:$Y31,$B$4:$Y$4,AG$4)</f>
        <v>2871.8882478260894</v>
      </c>
      <c r="AI31" s="45">
        <f t="shared" si="2"/>
        <v>-1.821491223801075E-2</v>
      </c>
      <c r="AJ31" s="45">
        <f t="shared" si="3"/>
        <v>-5.4644736714031028E-2</v>
      </c>
    </row>
    <row r="32" spans="1:36">
      <c r="A32" s="39" t="s">
        <v>64</v>
      </c>
      <c r="B32" s="42">
        <v>2842.27</v>
      </c>
      <c r="C32" s="42">
        <v>3216.74</v>
      </c>
      <c r="D32" s="42">
        <v>3052.98</v>
      </c>
      <c r="E32" s="42">
        <v>3221.84</v>
      </c>
      <c r="F32" s="42">
        <v>3174.13</v>
      </c>
      <c r="G32" s="42">
        <v>3149.06</v>
      </c>
      <c r="H32" s="42">
        <v>3024.04</v>
      </c>
      <c r="I32" s="42">
        <v>2820.38</v>
      </c>
      <c r="J32" s="42">
        <v>2985.84</v>
      </c>
      <c r="K32" s="42">
        <v>3081.38</v>
      </c>
      <c r="L32" s="43">
        <v>3635.4</v>
      </c>
      <c r="M32" s="42">
        <v>2873.02</v>
      </c>
      <c r="N32" s="42">
        <v>3130.93</v>
      </c>
      <c r="O32" s="42">
        <v>3289.06</v>
      </c>
      <c r="P32" s="43">
        <v>2659</v>
      </c>
      <c r="Q32" s="42">
        <v>2908.42</v>
      </c>
      <c r="R32" s="42">
        <v>3009.02</v>
      </c>
      <c r="S32" s="42">
        <v>2965.83</v>
      </c>
      <c r="T32" s="42">
        <v>2774.95</v>
      </c>
      <c r="U32" s="42">
        <v>2800.81</v>
      </c>
      <c r="V32" s="42">
        <v>2741.03</v>
      </c>
      <c r="W32" s="42">
        <v>3114.19</v>
      </c>
      <c r="X32" s="42">
        <v>2736.32</v>
      </c>
      <c r="Y32" s="42">
        <v>2661.88</v>
      </c>
      <c r="AB32" s="28">
        <f t="array" ref="AB32">TREND($B32:$Y32,$B$4:$Y$4,AB$4)</f>
        <v>2942.6466449275395</v>
      </c>
      <c r="AC32" s="28">
        <f t="array" ref="AC32">TREND($B32:$Y32,$B$4:$Y$4,AC$4)</f>
        <v>2868.5394710144938</v>
      </c>
      <c r="AD32" s="28">
        <f t="array" ref="AD32">TREND($B32:$Y32,$B$4:$Y$4,AD$4)</f>
        <v>2794.4322971014517</v>
      </c>
      <c r="AE32" s="28">
        <f t="array" ref="AE32">TREND($B32:$Y32,$B$4:$Y$4,AE$4)</f>
        <v>2720.3251231884096</v>
      </c>
      <c r="AF32" s="28">
        <f t="array" ref="AF32">TREND($B32:$Y32,$B$4:$Y$4,AF$4)</f>
        <v>2646.2179492753639</v>
      </c>
      <c r="AG32" s="28">
        <f t="array" ref="AG32">TREND($B32:$Y32,$B$4:$Y$4,AG$4)</f>
        <v>2572.1107753623219</v>
      </c>
      <c r="AI32" s="45">
        <f t="shared" si="2"/>
        <v>-2.6519581093415789E-2</v>
      </c>
      <c r="AJ32" s="45">
        <f t="shared" si="3"/>
        <v>-7.9558743280248589E-2</v>
      </c>
    </row>
    <row r="33" spans="1:36">
      <c r="A33" s="39" t="s">
        <v>13</v>
      </c>
      <c r="B33" s="40">
        <v>3904.14</v>
      </c>
      <c r="C33" s="40">
        <v>4356.83</v>
      </c>
      <c r="D33" s="41">
        <v>4277.7</v>
      </c>
      <c r="E33" s="40">
        <v>4436.75</v>
      </c>
      <c r="F33" s="41">
        <v>4338.2</v>
      </c>
      <c r="G33" s="40">
        <v>4331.9399999999996</v>
      </c>
      <c r="H33" s="40">
        <v>4173.78</v>
      </c>
      <c r="I33" s="40">
        <v>4056.17</v>
      </c>
      <c r="J33" s="40">
        <v>3882.35</v>
      </c>
      <c r="K33" s="40">
        <v>4318.1499999999996</v>
      </c>
      <c r="L33" s="40">
        <v>4887.2299999999996</v>
      </c>
      <c r="M33" s="41">
        <v>4084</v>
      </c>
      <c r="N33" s="40">
        <v>4579.62</v>
      </c>
      <c r="O33" s="40">
        <v>4154.32</v>
      </c>
      <c r="P33" s="40">
        <v>4143.17</v>
      </c>
      <c r="Q33" s="40">
        <v>3795.56</v>
      </c>
      <c r="R33" s="40">
        <v>4208.45</v>
      </c>
      <c r="S33" s="40">
        <v>4209.57</v>
      </c>
      <c r="T33" s="40">
        <v>4064.64</v>
      </c>
      <c r="U33" s="40">
        <v>3883.05</v>
      </c>
      <c r="V33" s="40">
        <v>3554.43</v>
      </c>
      <c r="W33" s="41">
        <v>4283.1000000000004</v>
      </c>
      <c r="X33" s="40">
        <v>4117.58</v>
      </c>
      <c r="Y33" s="40">
        <v>3985.22</v>
      </c>
      <c r="AB33" s="28">
        <f t="array" ref="AB33">TREND($B33:$Y33,$B$4:$Y$4,AB$4)</f>
        <v>4122.4309362318818</v>
      </c>
      <c r="AC33" s="28">
        <f t="array" ref="AC33">TREND($B33:$Y33,$B$4:$Y$4,AC$4)</f>
        <v>4057.6923927536227</v>
      </c>
      <c r="AD33" s="28">
        <f t="array" ref="AD33">TREND($B33:$Y33,$B$4:$Y$4,AD$4)</f>
        <v>3992.95384927536</v>
      </c>
      <c r="AE33" s="28">
        <f t="array" ref="AE33">TREND($B33:$Y33,$B$4:$Y$4,AE$4)</f>
        <v>3928.2153057971009</v>
      </c>
      <c r="AF33" s="28">
        <f t="array" ref="AF33">TREND($B33:$Y33,$B$4:$Y$4,AF$4)</f>
        <v>3863.4767623188382</v>
      </c>
      <c r="AG33" s="28">
        <f t="array" ref="AG33">TREND($B33:$Y33,$B$4:$Y$4,AG$4)</f>
        <v>3798.7382188405791</v>
      </c>
      <c r="AI33" s="45">
        <f>AE33/$AD33-1</f>
        <v>-1.6213196025295362E-2</v>
      </c>
      <c r="AJ33" s="45">
        <f>AG33/$AD33-1</f>
        <v>-4.8639588075886975E-2</v>
      </c>
    </row>
    <row r="34" spans="1:36">
      <c r="A34" s="39" t="s">
        <v>65</v>
      </c>
      <c r="B34" s="42">
        <v>2792.71</v>
      </c>
      <c r="C34" s="42">
        <v>2800.86</v>
      </c>
      <c r="D34" s="42">
        <v>2699.57</v>
      </c>
      <c r="E34" s="42">
        <v>2630.34</v>
      </c>
      <c r="F34" s="42">
        <v>2700.72</v>
      </c>
      <c r="G34" s="43">
        <v>2608.3000000000002</v>
      </c>
      <c r="H34" s="42">
        <v>2601.42</v>
      </c>
      <c r="I34" s="42">
        <v>2523.35</v>
      </c>
      <c r="J34" s="42">
        <v>2803.54</v>
      </c>
      <c r="K34" s="42">
        <v>2817.65</v>
      </c>
      <c r="L34" s="42">
        <v>3166.33</v>
      </c>
      <c r="M34" s="43">
        <v>2766.1</v>
      </c>
      <c r="N34" s="42">
        <v>2861.13</v>
      </c>
      <c r="O34" s="42">
        <v>2835.61</v>
      </c>
      <c r="P34" s="42">
        <v>2629.47</v>
      </c>
      <c r="Q34" s="42">
        <v>2912.09</v>
      </c>
      <c r="R34" s="42">
        <v>2744.05</v>
      </c>
      <c r="S34" s="42">
        <v>2668.92</v>
      </c>
      <c r="T34" s="42">
        <v>2754.34</v>
      </c>
      <c r="U34" s="42">
        <v>2706.58</v>
      </c>
      <c r="V34" s="42">
        <v>2744.01</v>
      </c>
      <c r="W34" s="42">
        <v>2643.76</v>
      </c>
      <c r="X34" s="43">
        <v>2548.9</v>
      </c>
      <c r="Y34" s="42">
        <v>2396.75</v>
      </c>
      <c r="AB34" s="28">
        <f t="array" ref="AB34">TREND($B34:$Y34,$B$4:$Y$4,AB$4)</f>
        <v>2708.1387173913045</v>
      </c>
      <c r="AC34" s="28">
        <f t="array" ref="AC34">TREND($B34:$Y34,$B$4:$Y$4,AC$4)</f>
        <v>2686.6404565217381</v>
      </c>
      <c r="AD34" s="28">
        <f t="array" ref="AD34">TREND($B34:$Y34,$B$4:$Y$4,AD$4)</f>
        <v>2665.1421956521735</v>
      </c>
      <c r="AE34" s="28">
        <f t="array" ref="AE34">TREND($B34:$Y34,$B$4:$Y$4,AE$4)</f>
        <v>2643.643934782609</v>
      </c>
      <c r="AF34" s="28">
        <f t="array" ref="AF34">TREND($B34:$Y34,$B$4:$Y$4,AF$4)</f>
        <v>2622.1456739130426</v>
      </c>
      <c r="AG34" s="28">
        <f t="array" ref="AG34">TREND($B34:$Y34,$B$4:$Y$4,AG$4)</f>
        <v>2600.6474130434781</v>
      </c>
      <c r="AI34" s="45">
        <f t="shared" ref="AI34:AI55" si="4">AE34/AD34-1</f>
        <v>-8.0664592323201889E-3</v>
      </c>
      <c r="AJ34" s="45">
        <f t="shared" ref="AJ34:AJ55" si="5">AG34/$AD34-1</f>
        <v>-2.4199377696961233E-2</v>
      </c>
    </row>
    <row r="35" spans="1:36">
      <c r="A35" s="39" t="s">
        <v>12</v>
      </c>
      <c r="B35" s="40">
        <v>1661.02</v>
      </c>
      <c r="C35" s="40">
        <v>1593.33</v>
      </c>
      <c r="D35" s="40">
        <v>1549.11</v>
      </c>
      <c r="E35" s="40">
        <v>1747.33</v>
      </c>
      <c r="F35" s="40">
        <v>1594.93</v>
      </c>
      <c r="G35" s="40">
        <v>1691.44</v>
      </c>
      <c r="H35" s="40">
        <v>1749.23</v>
      </c>
      <c r="I35" s="41">
        <v>1546.7</v>
      </c>
      <c r="J35" s="40">
        <v>1498.82</v>
      </c>
      <c r="K35" s="40">
        <v>1496.91</v>
      </c>
      <c r="L35" s="40">
        <v>1390.85</v>
      </c>
      <c r="M35" s="40">
        <v>1796.64</v>
      </c>
      <c r="N35" s="40">
        <v>1654.99</v>
      </c>
      <c r="O35" s="40">
        <v>1439.27</v>
      </c>
      <c r="P35" s="40">
        <v>1397.47</v>
      </c>
      <c r="Q35" s="40">
        <v>1572.95</v>
      </c>
      <c r="R35" s="40">
        <v>1458.36</v>
      </c>
      <c r="S35" s="40">
        <v>1612.13</v>
      </c>
      <c r="T35" s="40">
        <v>1371.74</v>
      </c>
      <c r="U35" s="40">
        <v>1448.99</v>
      </c>
      <c r="V35" s="40">
        <v>1491.43</v>
      </c>
      <c r="W35" s="40">
        <v>1535.61</v>
      </c>
      <c r="X35" s="40">
        <v>1537.62</v>
      </c>
      <c r="Y35" s="41">
        <v>1375.8</v>
      </c>
      <c r="AB35" s="28">
        <f t="array" ref="AB35">TREND($B35:$Y35,$B$4:$Y$4,AB$4)</f>
        <v>1518.6325536231889</v>
      </c>
      <c r="AC35" s="28">
        <f t="array" ref="AC35">TREND($B35:$Y35,$B$4:$Y$4,AC$4)</f>
        <v>1473.0677492753603</v>
      </c>
      <c r="AD35" s="28">
        <f t="array" ref="AD35">TREND($B35:$Y35,$B$4:$Y$4,AD$4)</f>
        <v>1427.5029449275353</v>
      </c>
      <c r="AE35" s="28">
        <f t="array" ref="AE35">TREND($B35:$Y35,$B$4:$Y$4,AE$4)</f>
        <v>1381.9381405797103</v>
      </c>
      <c r="AF35" s="28">
        <f t="array" ref="AF35">TREND($B35:$Y35,$B$4:$Y$4,AF$4)</f>
        <v>1336.3733362318853</v>
      </c>
      <c r="AG35" s="28">
        <f t="array" ref="AG35">TREND($B35:$Y35,$B$4:$Y$4,AG$4)</f>
        <v>1290.8085318840567</v>
      </c>
      <c r="AI35" s="45">
        <f t="shared" si="4"/>
        <v>-3.1919236671093532E-2</v>
      </c>
      <c r="AJ35" s="45">
        <f t="shared" si="5"/>
        <v>-9.5757710013283148E-2</v>
      </c>
    </row>
    <row r="36" spans="1:36">
      <c r="A36" s="39" t="s">
        <v>11</v>
      </c>
      <c r="B36" s="43">
        <v>1814.6</v>
      </c>
      <c r="C36" s="42">
        <v>1787.38</v>
      </c>
      <c r="D36" s="43">
        <v>1680.7</v>
      </c>
      <c r="E36" s="42">
        <v>1776.37</v>
      </c>
      <c r="F36" s="42">
        <v>1935.16</v>
      </c>
      <c r="G36" s="42">
        <v>1962.13</v>
      </c>
      <c r="H36" s="42">
        <v>1684.49</v>
      </c>
      <c r="I36" s="42">
        <v>1829.89</v>
      </c>
      <c r="J36" s="42">
        <v>1864.97</v>
      </c>
      <c r="K36" s="42">
        <v>1720.56</v>
      </c>
      <c r="L36" s="42">
        <v>1953.46</v>
      </c>
      <c r="M36" s="42">
        <v>1572.46</v>
      </c>
      <c r="N36" s="42">
        <v>1873.15</v>
      </c>
      <c r="O36" s="42">
        <v>1921.25</v>
      </c>
      <c r="P36" s="42">
        <v>1554.36</v>
      </c>
      <c r="Q36" s="43">
        <v>1610.6</v>
      </c>
      <c r="R36" s="42">
        <v>1724.77</v>
      </c>
      <c r="S36" s="42">
        <v>1606.48</v>
      </c>
      <c r="T36" s="42">
        <v>1796.63</v>
      </c>
      <c r="U36" s="42">
        <v>1670.72</v>
      </c>
      <c r="V36" s="42">
        <v>1554.52</v>
      </c>
      <c r="W36" s="42">
        <v>1663.07</v>
      </c>
      <c r="X36" s="42">
        <v>1478.27</v>
      </c>
      <c r="Y36" s="42">
        <v>1481.64</v>
      </c>
      <c r="AB36" s="28">
        <f t="array" ref="AB36">TREND($B36:$Y36,$B$4:$Y$4,AB$4)</f>
        <v>1686.4013782608672</v>
      </c>
      <c r="AC36" s="28">
        <f t="array" ref="AC36">TREND($B36:$Y36,$B$4:$Y$4,AC$4)</f>
        <v>1624.2587043478234</v>
      </c>
      <c r="AD36" s="28">
        <f t="array" ref="AD36">TREND($B36:$Y36,$B$4:$Y$4,AD$4)</f>
        <v>1562.1160304347795</v>
      </c>
      <c r="AE36" s="28">
        <f t="array" ref="AE36">TREND($B36:$Y36,$B$4:$Y$4,AE$4)</f>
        <v>1499.9733565217357</v>
      </c>
      <c r="AF36" s="28">
        <f t="array" ref="AF36">TREND($B36:$Y36,$B$4:$Y$4,AF$4)</f>
        <v>1437.8306826086919</v>
      </c>
      <c r="AG36" s="28">
        <f t="array" ref="AG36">TREND($B36:$Y36,$B$4:$Y$4,AG$4)</f>
        <v>1375.688008695648</v>
      </c>
      <c r="AI36" s="45">
        <f t="shared" si="4"/>
        <v>-3.9781087129454717E-2</v>
      </c>
      <c r="AJ36" s="45">
        <f t="shared" si="5"/>
        <v>-0.11934326138836404</v>
      </c>
    </row>
    <row r="37" spans="1:36">
      <c r="A37" s="39" t="s">
        <v>10</v>
      </c>
      <c r="B37" s="40">
        <v>2270.83</v>
      </c>
      <c r="C37" s="40">
        <v>2412.5500000000002</v>
      </c>
      <c r="D37" s="40">
        <v>2210.0100000000002</v>
      </c>
      <c r="E37" s="40">
        <v>2374.08</v>
      </c>
      <c r="F37" s="40">
        <v>2502.7800000000002</v>
      </c>
      <c r="G37" s="40">
        <v>2506.25</v>
      </c>
      <c r="H37" s="40">
        <v>2315.4499999999998</v>
      </c>
      <c r="I37" s="40">
        <v>2264.04</v>
      </c>
      <c r="J37" s="40">
        <v>2442.65</v>
      </c>
      <c r="K37" s="40">
        <v>2384.9299999999998</v>
      </c>
      <c r="L37" s="40">
        <v>2756.06</v>
      </c>
      <c r="M37" s="40">
        <v>2057.4899999999998</v>
      </c>
      <c r="N37" s="40">
        <v>2439.2800000000002</v>
      </c>
      <c r="O37" s="40">
        <v>2637.51</v>
      </c>
      <c r="P37" s="40">
        <v>2080.89</v>
      </c>
      <c r="Q37" s="41">
        <v>2255.6999999999998</v>
      </c>
      <c r="R37" s="41">
        <v>2397.9</v>
      </c>
      <c r="S37" s="41">
        <v>2336</v>
      </c>
      <c r="T37" s="40">
        <v>2181.92</v>
      </c>
      <c r="U37" s="40">
        <v>2246.9499999999998</v>
      </c>
      <c r="V37" s="40">
        <v>2038.31</v>
      </c>
      <c r="W37" s="40">
        <v>2412.69</v>
      </c>
      <c r="X37" s="40">
        <v>2035.58</v>
      </c>
      <c r="Y37" s="40">
        <v>2045.12</v>
      </c>
      <c r="AB37" s="28">
        <f t="array" ref="AB37">TREND($B37:$Y37,$B$4:$Y$4,AB$4)</f>
        <v>2279.7577260869548</v>
      </c>
      <c r="AC37" s="28">
        <f t="array" ref="AC37">TREND($B37:$Y37,$B$4:$Y$4,AC$4)</f>
        <v>2226.7348347826082</v>
      </c>
      <c r="AD37" s="28">
        <f t="array" ref="AD37">TREND($B37:$Y37,$B$4:$Y$4,AD$4)</f>
        <v>2173.711943478258</v>
      </c>
      <c r="AE37" s="28">
        <f t="array" ref="AE37">TREND($B37:$Y37,$B$4:$Y$4,AE$4)</f>
        <v>2120.6890521739115</v>
      </c>
      <c r="AF37" s="28">
        <f t="array" ref="AF37">TREND($B37:$Y37,$B$4:$Y$4,AF$4)</f>
        <v>2067.6661608695649</v>
      </c>
      <c r="AG37" s="28">
        <f t="array" ref="AG37">TREND($B37:$Y37,$B$4:$Y$4,AG$4)</f>
        <v>2014.6432695652147</v>
      </c>
      <c r="AI37" s="45">
        <f t="shared" si="4"/>
        <v>-2.4392786479105477E-2</v>
      </c>
      <c r="AJ37" s="45">
        <f t="shared" si="5"/>
        <v>-7.3178359437318097E-2</v>
      </c>
    </row>
    <row r="38" spans="1:36">
      <c r="A38" s="39" t="s">
        <v>66</v>
      </c>
      <c r="B38" s="42">
        <v>2119.27</v>
      </c>
      <c r="C38" s="42">
        <v>2358.02</v>
      </c>
      <c r="D38" s="42">
        <v>2179.12</v>
      </c>
      <c r="E38" s="42">
        <v>2569.42</v>
      </c>
      <c r="F38" s="42">
        <v>2464.5700000000002</v>
      </c>
      <c r="G38" s="42">
        <v>2684.01</v>
      </c>
      <c r="H38" s="42">
        <v>2408.4899999999998</v>
      </c>
      <c r="I38" s="42">
        <v>2208.64</v>
      </c>
      <c r="J38" s="42">
        <v>2214.64</v>
      </c>
      <c r="K38" s="42">
        <v>2273.67</v>
      </c>
      <c r="L38" s="42">
        <v>2521.2199999999998</v>
      </c>
      <c r="M38" s="42">
        <v>2359.44</v>
      </c>
      <c r="N38" s="42">
        <v>2355.0700000000002</v>
      </c>
      <c r="O38" s="43">
        <v>2290</v>
      </c>
      <c r="P38" s="42">
        <v>1885.28</v>
      </c>
      <c r="Q38" s="42">
        <v>2246.21</v>
      </c>
      <c r="R38" s="42">
        <v>2264.65</v>
      </c>
      <c r="S38" s="42">
        <v>2323.2199999999998</v>
      </c>
      <c r="T38" s="42">
        <v>2139.52</v>
      </c>
      <c r="U38" s="42">
        <v>2076.4699999999998</v>
      </c>
      <c r="V38" s="42">
        <v>2137.3200000000002</v>
      </c>
      <c r="W38" s="42">
        <v>2366.1799999999998</v>
      </c>
      <c r="X38" s="42">
        <v>2114.79</v>
      </c>
      <c r="Y38" s="42">
        <v>1957.53</v>
      </c>
      <c r="AB38" s="28">
        <f t="array" ref="AB38">TREND($B38:$Y38,$B$4:$Y$4,AB$4)</f>
        <v>2228.3562391304367</v>
      </c>
      <c r="AC38" s="28">
        <f t="array" ref="AC38">TREND($B38:$Y38,$B$4:$Y$4,AC$4)</f>
        <v>2166.6776521739121</v>
      </c>
      <c r="AD38" s="28">
        <f t="array" ref="AD38">TREND($B38:$Y38,$B$4:$Y$4,AD$4)</f>
        <v>2104.999065217391</v>
      </c>
      <c r="AE38" s="28">
        <f t="array" ref="AE38">TREND($B38:$Y38,$B$4:$Y$4,AE$4)</f>
        <v>2043.32047826087</v>
      </c>
      <c r="AF38" s="28">
        <f t="array" ref="AF38">TREND($B38:$Y38,$B$4:$Y$4,AF$4)</f>
        <v>1981.641891304349</v>
      </c>
      <c r="AG38" s="28">
        <f t="array" ref="AG38">TREND($B38:$Y38,$B$4:$Y$4,AG$4)</f>
        <v>1919.9633043478279</v>
      </c>
      <c r="AI38" s="45">
        <f t="shared" si="4"/>
        <v>-2.9301004440185463E-2</v>
      </c>
      <c r="AJ38" s="45">
        <f t="shared" si="5"/>
        <v>-8.7903013320556389E-2</v>
      </c>
    </row>
    <row r="39" spans="1:36">
      <c r="A39" s="39" t="s">
        <v>9</v>
      </c>
      <c r="B39" s="41">
        <v>1848.2</v>
      </c>
      <c r="C39" s="40">
        <v>1877.19</v>
      </c>
      <c r="D39" s="40">
        <v>1804.77</v>
      </c>
      <c r="E39" s="40">
        <v>2007.84</v>
      </c>
      <c r="F39" s="40">
        <v>2006.05</v>
      </c>
      <c r="G39" s="40">
        <v>2162.84</v>
      </c>
      <c r="H39" s="41">
        <v>1949</v>
      </c>
      <c r="I39" s="40">
        <v>1836.76</v>
      </c>
      <c r="J39" s="40">
        <v>1896.16</v>
      </c>
      <c r="K39" s="40">
        <v>1947.26</v>
      </c>
      <c r="L39" s="40">
        <v>2074.34</v>
      </c>
      <c r="M39" s="40">
        <v>1856.24</v>
      </c>
      <c r="N39" s="40">
        <v>1952.79</v>
      </c>
      <c r="O39" s="40">
        <v>1932.55</v>
      </c>
      <c r="P39" s="40">
        <v>1631.87</v>
      </c>
      <c r="Q39" s="40">
        <v>1808.06</v>
      </c>
      <c r="R39" s="40">
        <v>1766.12</v>
      </c>
      <c r="S39" s="40">
        <v>1879.86</v>
      </c>
      <c r="T39" s="40">
        <v>1746.84</v>
      </c>
      <c r="U39" s="40">
        <v>1813.91</v>
      </c>
      <c r="V39" s="40">
        <v>1748.95</v>
      </c>
      <c r="W39" s="40">
        <v>1916.57</v>
      </c>
      <c r="X39" s="40">
        <v>1734.63</v>
      </c>
      <c r="Y39" s="40">
        <v>1688.65</v>
      </c>
      <c r="AB39" s="28">
        <f t="array" ref="AB39">TREND($B39:$Y39,$B$4:$Y$4,AB$4)</f>
        <v>1838.1268362318842</v>
      </c>
      <c r="AC39" s="28">
        <f t="array" ref="AC39">TREND($B39:$Y39,$B$4:$Y$4,AC$4)</f>
        <v>1792.1502927536239</v>
      </c>
      <c r="AD39" s="28">
        <f t="array" ref="AD39">TREND($B39:$Y39,$B$4:$Y$4,AD$4)</f>
        <v>1746.1737492753637</v>
      </c>
      <c r="AE39" s="28">
        <f t="array" ref="AE39">TREND($B39:$Y39,$B$4:$Y$4,AE$4)</f>
        <v>1700.1972057971034</v>
      </c>
      <c r="AF39" s="28">
        <f t="array" ref="AF39">TREND($B39:$Y39,$B$4:$Y$4,AF$4)</f>
        <v>1654.2206623188431</v>
      </c>
      <c r="AG39" s="28">
        <f t="array" ref="AG39">TREND($B39:$Y39,$B$4:$Y$4,AG$4)</f>
        <v>1608.2441188405828</v>
      </c>
      <c r="AI39" s="45">
        <f t="shared" si="4"/>
        <v>-2.6329878969569842E-2</v>
      </c>
      <c r="AJ39" s="45">
        <f t="shared" si="5"/>
        <v>-7.8989636908709415E-2</v>
      </c>
    </row>
    <row r="40" spans="1:36">
      <c r="A40" s="39" t="s">
        <v>67</v>
      </c>
      <c r="B40" s="42">
        <v>863.34</v>
      </c>
      <c r="C40" s="42">
        <v>636.57000000000005</v>
      </c>
      <c r="D40" s="42">
        <v>714.82</v>
      </c>
      <c r="E40" s="42">
        <v>793.64</v>
      </c>
      <c r="F40" s="42">
        <v>844.33</v>
      </c>
      <c r="G40" s="42">
        <v>767.46</v>
      </c>
      <c r="H40" s="42">
        <v>852.91</v>
      </c>
      <c r="I40" s="42">
        <v>804.12</v>
      </c>
      <c r="J40" s="42">
        <v>734.66</v>
      </c>
      <c r="K40" s="42">
        <v>710.65</v>
      </c>
      <c r="L40" s="42">
        <v>498.76</v>
      </c>
      <c r="M40" s="42">
        <v>794.38</v>
      </c>
      <c r="N40" s="42">
        <v>817.04</v>
      </c>
      <c r="O40" s="42">
        <v>707.11</v>
      </c>
      <c r="P40" s="42">
        <v>523.15</v>
      </c>
      <c r="Q40" s="42">
        <v>749.52</v>
      </c>
      <c r="R40" s="42">
        <v>677.81</v>
      </c>
      <c r="S40" s="42">
        <v>720.83</v>
      </c>
      <c r="T40" s="42">
        <v>470.75</v>
      </c>
      <c r="U40" s="42">
        <v>693.06</v>
      </c>
      <c r="V40" s="42">
        <v>626.42999999999995</v>
      </c>
      <c r="W40" s="42">
        <v>609.84</v>
      </c>
      <c r="X40" s="42">
        <v>695.96</v>
      </c>
      <c r="Y40" s="42">
        <v>529.77</v>
      </c>
      <c r="AB40" s="28">
        <f t="array" ref="AB40">TREND($B40:$Y40,$B$4:$Y$4,AB$4)</f>
        <v>670.85382753623344</v>
      </c>
      <c r="AC40" s="28">
        <f t="array" ref="AC40">TREND($B40:$Y40,$B$4:$Y$4,AC$4)</f>
        <v>627.01941449275182</v>
      </c>
      <c r="AD40" s="28">
        <f t="array" ref="AD40">TREND($B40:$Y40,$B$4:$Y$4,AD$4)</f>
        <v>583.18500144927384</v>
      </c>
      <c r="AE40" s="28">
        <f t="array" ref="AE40">TREND($B40:$Y40,$B$4:$Y$4,AE$4)</f>
        <v>539.35058840579586</v>
      </c>
      <c r="AF40" s="28">
        <f t="array" ref="AF40">TREND($B40:$Y40,$B$4:$Y$4,AF$4)</f>
        <v>495.51617536231788</v>
      </c>
      <c r="AG40" s="28">
        <f t="array" ref="AG40">TREND($B40:$Y40,$B$4:$Y$4,AG$4)</f>
        <v>451.6817623188399</v>
      </c>
      <c r="AI40" s="45">
        <f t="shared" si="4"/>
        <v>-7.5163820973696227E-2</v>
      </c>
      <c r="AJ40" s="45">
        <f t="shared" si="5"/>
        <v>-0.22549146292108857</v>
      </c>
    </row>
    <row r="41" spans="1:36">
      <c r="A41" s="39" t="s">
        <v>8</v>
      </c>
      <c r="B41" s="40">
        <v>3732.08</v>
      </c>
      <c r="C41" s="40">
        <v>4180.03</v>
      </c>
      <c r="D41" s="40">
        <v>4057.45</v>
      </c>
      <c r="E41" s="40">
        <v>4244.78</v>
      </c>
      <c r="F41" s="40">
        <v>4206.53</v>
      </c>
      <c r="G41" s="41">
        <v>4181.3</v>
      </c>
      <c r="H41" s="40">
        <v>4013.78</v>
      </c>
      <c r="I41" s="40">
        <v>3900.67</v>
      </c>
      <c r="J41" s="40">
        <v>3727.95</v>
      </c>
      <c r="K41" s="40">
        <v>4150.4399999999996</v>
      </c>
      <c r="L41" s="40">
        <v>4635.9799999999996</v>
      </c>
      <c r="M41" s="40">
        <v>3937.92</v>
      </c>
      <c r="N41" s="40">
        <v>4322.0200000000004</v>
      </c>
      <c r="O41" s="40">
        <v>4036.79</v>
      </c>
      <c r="P41" s="40">
        <v>3939.85</v>
      </c>
      <c r="Q41" s="40">
        <v>3657.39</v>
      </c>
      <c r="R41" s="40">
        <v>4002.81</v>
      </c>
      <c r="S41" s="40">
        <v>3997.38</v>
      </c>
      <c r="T41" s="40">
        <v>3862.19</v>
      </c>
      <c r="U41" s="40">
        <v>3622.92</v>
      </c>
      <c r="V41" s="40">
        <v>3402.72</v>
      </c>
      <c r="W41" s="41">
        <v>4143.7</v>
      </c>
      <c r="X41" s="40">
        <v>4025.74</v>
      </c>
      <c r="Y41" s="40">
        <v>3755.06</v>
      </c>
      <c r="AB41" s="28">
        <f t="array" ref="AB41">TREND($B41:$Y41,$B$4:$Y$4,AB$4)</f>
        <v>3942.6305449275351</v>
      </c>
      <c r="AC41" s="28">
        <f t="array" ref="AC41">TREND($B41:$Y41,$B$4:$Y$4,AC$4)</f>
        <v>3876.3003710144912</v>
      </c>
      <c r="AD41" s="28">
        <f t="array" ref="AD41">TREND($B41:$Y41,$B$4:$Y$4,AD$4)</f>
        <v>3809.9701971014474</v>
      </c>
      <c r="AE41" s="28">
        <f t="array" ref="AE41">TREND($B41:$Y41,$B$4:$Y$4,AE$4)</f>
        <v>3743.6400231884036</v>
      </c>
      <c r="AF41" s="28">
        <f t="array" ref="AF41">TREND($B41:$Y41,$B$4:$Y$4,AF$4)</f>
        <v>3677.3098492753597</v>
      </c>
      <c r="AG41" s="28">
        <f t="array" ref="AG41">TREND($B41:$Y41,$B$4:$Y$4,AG$4)</f>
        <v>3610.9796753623159</v>
      </c>
      <c r="AI41" s="45">
        <f t="shared" si="4"/>
        <v>-1.7409630648425156E-2</v>
      </c>
      <c r="AJ41" s="45">
        <f t="shared" si="5"/>
        <v>-5.2228891945275469E-2</v>
      </c>
    </row>
    <row r="42" spans="1:36">
      <c r="A42" s="39" t="s">
        <v>68</v>
      </c>
      <c r="B42" s="42">
        <v>3566.72</v>
      </c>
      <c r="C42" s="42">
        <v>4011.72</v>
      </c>
      <c r="D42" s="43">
        <v>3834.5</v>
      </c>
      <c r="E42" s="42">
        <v>4085.35</v>
      </c>
      <c r="F42" s="42">
        <v>4071.09</v>
      </c>
      <c r="G42" s="42">
        <v>4020.15</v>
      </c>
      <c r="H42" s="42">
        <v>3892.89</v>
      </c>
      <c r="I42" s="43">
        <v>3739.7</v>
      </c>
      <c r="J42" s="42">
        <v>3555.94</v>
      </c>
      <c r="K42" s="42">
        <v>3949.81</v>
      </c>
      <c r="L42" s="43">
        <v>4415</v>
      </c>
      <c r="M42" s="42">
        <v>3767.86</v>
      </c>
      <c r="N42" s="42">
        <v>4081.27</v>
      </c>
      <c r="O42" s="42">
        <v>3873.17</v>
      </c>
      <c r="P42" s="42">
        <v>3729.28</v>
      </c>
      <c r="Q42" s="42">
        <v>3523.32</v>
      </c>
      <c r="R42" s="42">
        <v>3829.94</v>
      </c>
      <c r="S42" s="43">
        <v>3761.5</v>
      </c>
      <c r="T42" s="42">
        <v>3687.57</v>
      </c>
      <c r="U42" s="42">
        <v>3391.36</v>
      </c>
      <c r="V42" s="42">
        <v>3304.68</v>
      </c>
      <c r="W42" s="42">
        <v>4016.22</v>
      </c>
      <c r="X42" s="42">
        <v>3773.19</v>
      </c>
      <c r="Y42" s="42">
        <v>3461.92</v>
      </c>
      <c r="AB42" s="28">
        <f t="array" ref="AB42">TREND($B42:$Y42,$B$4:$Y$4,AB$4)</f>
        <v>3752.6937478260879</v>
      </c>
      <c r="AC42" s="28">
        <f t="array" ref="AC42">TREND($B42:$Y42,$B$4:$Y$4,AC$4)</f>
        <v>3676.5330304347808</v>
      </c>
      <c r="AD42" s="28">
        <f t="array" ref="AD42">TREND($B42:$Y42,$B$4:$Y$4,AD$4)</f>
        <v>3600.3723130434773</v>
      </c>
      <c r="AE42" s="28">
        <f t="array" ref="AE42">TREND($B42:$Y42,$B$4:$Y$4,AE$4)</f>
        <v>3524.2115956521739</v>
      </c>
      <c r="AF42" s="28">
        <f t="array" ref="AF42">TREND($B42:$Y42,$B$4:$Y$4,AF$4)</f>
        <v>3448.0508782608704</v>
      </c>
      <c r="AG42" s="28">
        <f t="array" ref="AG42">TREND($B42:$Y42,$B$4:$Y$4,AG$4)</f>
        <v>3371.8901608695633</v>
      </c>
      <c r="AI42" s="45">
        <f t="shared" si="4"/>
        <v>-2.1153567122874306E-2</v>
      </c>
      <c r="AJ42" s="45">
        <f t="shared" si="5"/>
        <v>-6.3460701368624028E-2</v>
      </c>
    </row>
    <row r="43" spans="1:36">
      <c r="A43" s="39" t="s">
        <v>7</v>
      </c>
      <c r="B43" s="40">
        <v>2730.74</v>
      </c>
      <c r="C43" s="40">
        <v>2989.14</v>
      </c>
      <c r="D43" s="40">
        <v>2784.61</v>
      </c>
      <c r="E43" s="40">
        <v>2893.41</v>
      </c>
      <c r="F43" s="40">
        <v>3081.54</v>
      </c>
      <c r="G43" s="40">
        <v>2958.31</v>
      </c>
      <c r="H43" s="40">
        <v>2833.89</v>
      </c>
      <c r="I43" s="40">
        <v>2643.84</v>
      </c>
      <c r="J43" s="40">
        <v>2912.21</v>
      </c>
      <c r="K43" s="40">
        <v>2869.92</v>
      </c>
      <c r="L43" s="40">
        <v>3344.46</v>
      </c>
      <c r="M43" s="40">
        <v>2633.71</v>
      </c>
      <c r="N43" s="40">
        <v>2921.04</v>
      </c>
      <c r="O43" s="40">
        <v>3204.69</v>
      </c>
      <c r="P43" s="40">
        <v>2515.66</v>
      </c>
      <c r="Q43" s="41">
        <v>2850.7</v>
      </c>
      <c r="R43" s="40">
        <v>2962.58</v>
      </c>
      <c r="S43" s="40">
        <v>2871.62</v>
      </c>
      <c r="T43" s="40">
        <v>2666.78</v>
      </c>
      <c r="U43" s="41">
        <v>2753.6</v>
      </c>
      <c r="V43" s="40">
        <v>2563.11</v>
      </c>
      <c r="W43" s="40">
        <v>3173.52</v>
      </c>
      <c r="X43" s="40">
        <v>2671.19</v>
      </c>
      <c r="Y43" s="40">
        <v>2732.68</v>
      </c>
      <c r="AB43" s="28">
        <f t="array" ref="AB43">TREND($B43:$Y43,$B$4:$Y$4,AB$4)</f>
        <v>2837.5893594202898</v>
      </c>
      <c r="AC43" s="28">
        <f t="array" ref="AC43">TREND($B43:$Y43,$B$4:$Y$4,AC$4)</f>
        <v>2810.1604681159406</v>
      </c>
      <c r="AD43" s="28">
        <f t="array" ref="AD43">TREND($B43:$Y43,$B$4:$Y$4,AD$4)</f>
        <v>2782.7315768115932</v>
      </c>
      <c r="AE43" s="28">
        <f t="array" ref="AE43">TREND($B43:$Y43,$B$4:$Y$4,AE$4)</f>
        <v>2755.3026855072458</v>
      </c>
      <c r="AF43" s="28">
        <f t="array" ref="AF43">TREND($B43:$Y43,$B$4:$Y$4,AF$4)</f>
        <v>2727.8737942028984</v>
      </c>
      <c r="AG43" s="28">
        <f t="array" ref="AG43">TREND($B43:$Y43,$B$4:$Y$4,AG$4)</f>
        <v>2700.4449028985509</v>
      </c>
      <c r="AI43" s="45">
        <f t="shared" si="4"/>
        <v>-9.8568225311098656E-3</v>
      </c>
      <c r="AJ43" s="45">
        <f t="shared" si="5"/>
        <v>-2.9570467593329597E-2</v>
      </c>
    </row>
    <row r="44" spans="1:36">
      <c r="A44" s="39" t="s">
        <v>69</v>
      </c>
      <c r="B44" s="42">
        <v>2502.9499999999998</v>
      </c>
      <c r="C44" s="42">
        <v>2856.12</v>
      </c>
      <c r="D44" s="42">
        <v>2650.18</v>
      </c>
      <c r="E44" s="42">
        <v>3110.57</v>
      </c>
      <c r="F44" s="42">
        <v>2892.42</v>
      </c>
      <c r="G44" s="42">
        <v>3042.39</v>
      </c>
      <c r="H44" s="43">
        <v>2825.8</v>
      </c>
      <c r="I44" s="43">
        <v>2572.6</v>
      </c>
      <c r="J44" s="42">
        <v>2553.4299999999998</v>
      </c>
      <c r="K44" s="42">
        <v>2618.66</v>
      </c>
      <c r="L44" s="42">
        <v>2950.73</v>
      </c>
      <c r="M44" s="42">
        <v>2815.26</v>
      </c>
      <c r="N44" s="42">
        <v>2768.77</v>
      </c>
      <c r="O44" s="42">
        <v>2688.69</v>
      </c>
      <c r="P44" s="42">
        <v>2277.6799999999998</v>
      </c>
      <c r="Q44" s="42">
        <v>2598.04</v>
      </c>
      <c r="R44" s="42">
        <v>2707.02</v>
      </c>
      <c r="S44" s="42">
        <v>2742.93</v>
      </c>
      <c r="T44" s="43">
        <v>2468.6999999999998</v>
      </c>
      <c r="U44" s="42">
        <v>2381.2199999999998</v>
      </c>
      <c r="V44" s="42">
        <v>2546.9899999999998</v>
      </c>
      <c r="W44" s="42">
        <v>2803.43</v>
      </c>
      <c r="X44" s="42">
        <v>2549.79</v>
      </c>
      <c r="Y44" s="42">
        <v>2324.16</v>
      </c>
      <c r="AB44" s="28">
        <f t="array" ref="AB44">TREND($B44:$Y44,$B$4:$Y$4,AB$4)</f>
        <v>2624.8763289855087</v>
      </c>
      <c r="AC44" s="28">
        <f t="array" ref="AC44">TREND($B44:$Y44,$B$4:$Y$4,AC$4)</f>
        <v>2550.3823942028976</v>
      </c>
      <c r="AD44" s="28">
        <f t="array" ref="AD44">TREND($B44:$Y44,$B$4:$Y$4,AD$4)</f>
        <v>2475.88845942029</v>
      </c>
      <c r="AE44" s="28">
        <f t="array" ref="AE44">TREND($B44:$Y44,$B$4:$Y$4,AE$4)</f>
        <v>2401.3945246376825</v>
      </c>
      <c r="AF44" s="28">
        <f t="array" ref="AF44">TREND($B44:$Y44,$B$4:$Y$4,AF$4)</f>
        <v>2326.9005898550713</v>
      </c>
      <c r="AG44" s="28">
        <f t="array" ref="AG44">TREND($B44:$Y44,$B$4:$Y$4,AG$4)</f>
        <v>2252.4066550724638</v>
      </c>
      <c r="AI44" s="45">
        <f t="shared" si="4"/>
        <v>-3.0087758799945963E-2</v>
      </c>
      <c r="AJ44" s="45">
        <f t="shared" si="5"/>
        <v>-9.0263276399839443E-2</v>
      </c>
    </row>
    <row r="45" spans="1:36">
      <c r="A45" s="39" t="s">
        <v>6</v>
      </c>
      <c r="B45" s="40">
        <v>512.79</v>
      </c>
      <c r="C45" s="40">
        <v>419.81</v>
      </c>
      <c r="D45" s="40">
        <v>449.86</v>
      </c>
      <c r="E45" s="40">
        <v>646.01</v>
      </c>
      <c r="F45" s="40">
        <v>550.67999999999995</v>
      </c>
      <c r="G45" s="40">
        <v>713.46</v>
      </c>
      <c r="H45" s="40">
        <v>506.75</v>
      </c>
      <c r="I45" s="40">
        <v>367.07</v>
      </c>
      <c r="J45" s="40">
        <v>345.03</v>
      </c>
      <c r="K45" s="40">
        <v>534.04999999999995</v>
      </c>
      <c r="L45" s="40">
        <v>402.95</v>
      </c>
      <c r="M45" s="40">
        <v>549.19000000000005</v>
      </c>
      <c r="N45" s="40">
        <v>662.36</v>
      </c>
      <c r="O45" s="40">
        <v>460.65</v>
      </c>
      <c r="P45" s="40">
        <v>374.61</v>
      </c>
      <c r="Q45" s="41">
        <v>543.9</v>
      </c>
      <c r="R45" s="40">
        <v>322.36</v>
      </c>
      <c r="S45" s="40">
        <v>534.15</v>
      </c>
      <c r="T45" s="40">
        <v>365.57</v>
      </c>
      <c r="U45" s="40">
        <v>515.23</v>
      </c>
      <c r="V45" s="40">
        <v>401.93</v>
      </c>
      <c r="W45" s="40">
        <v>465.87</v>
      </c>
      <c r="X45" s="40">
        <v>543.62</v>
      </c>
      <c r="Y45" s="40">
        <v>392.62</v>
      </c>
      <c r="AB45" s="28">
        <f t="array" ref="AB45">TREND($B45:$Y45,$B$4:$Y$4,AB$4)</f>
        <v>469.91676666666626</v>
      </c>
      <c r="AC45" s="28">
        <f t="array" ref="AC45">TREND($B45:$Y45,$B$4:$Y$4,AC$4)</f>
        <v>451.90976666666666</v>
      </c>
      <c r="AD45" s="28">
        <f t="array" ref="AD45">TREND($B45:$Y45,$B$4:$Y$4,AD$4)</f>
        <v>433.90276666666614</v>
      </c>
      <c r="AE45" s="28">
        <f t="array" ref="AE45">TREND($B45:$Y45,$B$4:$Y$4,AE$4)</f>
        <v>415.89576666666653</v>
      </c>
      <c r="AF45" s="28">
        <f t="array" ref="AF45">TREND($B45:$Y45,$B$4:$Y$4,AF$4)</f>
        <v>397.88876666666602</v>
      </c>
      <c r="AG45" s="28">
        <f t="array" ref="AG45">TREND($B45:$Y45,$B$4:$Y$4,AG$4)</f>
        <v>379.88176666666641</v>
      </c>
      <c r="AI45" s="45">
        <f t="shared" si="4"/>
        <v>-4.150008108575387E-2</v>
      </c>
      <c r="AJ45" s="45">
        <f t="shared" si="5"/>
        <v>-0.12450024325726383</v>
      </c>
    </row>
    <row r="46" spans="1:36">
      <c r="A46" s="39" t="s">
        <v>70</v>
      </c>
      <c r="B46" s="42">
        <v>2496.48</v>
      </c>
      <c r="C46" s="42">
        <v>2728.84</v>
      </c>
      <c r="D46" s="42">
        <v>2594.89</v>
      </c>
      <c r="E46" s="42">
        <v>2762.17</v>
      </c>
      <c r="F46" s="42">
        <v>2772.07</v>
      </c>
      <c r="G46" s="42">
        <v>2650.18</v>
      </c>
      <c r="H46" s="42">
        <v>2566.5100000000002</v>
      </c>
      <c r="I46" s="42">
        <v>2424.77</v>
      </c>
      <c r="J46" s="42">
        <v>2697.32</v>
      </c>
      <c r="K46" s="42">
        <v>2727.14</v>
      </c>
      <c r="L46" s="42">
        <v>3311.71</v>
      </c>
      <c r="M46" s="42">
        <v>2516.5700000000002</v>
      </c>
      <c r="N46" s="42">
        <v>2817.13</v>
      </c>
      <c r="O46" s="42">
        <v>3012.96</v>
      </c>
      <c r="P46" s="42">
        <v>2282.08</v>
      </c>
      <c r="Q46" s="42">
        <v>2625.49</v>
      </c>
      <c r="R46" s="42">
        <v>2679.86</v>
      </c>
      <c r="S46" s="42">
        <v>2538.98</v>
      </c>
      <c r="T46" s="42">
        <v>2528.64</v>
      </c>
      <c r="U46" s="42">
        <v>2514.41</v>
      </c>
      <c r="V46" s="42">
        <v>2386.5300000000002</v>
      </c>
      <c r="W46" s="42">
        <v>2722.19</v>
      </c>
      <c r="X46" s="43">
        <v>2395.8000000000002</v>
      </c>
      <c r="Y46" s="42">
        <v>2318.86</v>
      </c>
      <c r="AB46" s="28">
        <f t="array" ref="AB46">TREND($B46:$Y46,$B$4:$Y$4,AB$4)</f>
        <v>2594.7750782608673</v>
      </c>
      <c r="AC46" s="28">
        <f t="array" ref="AC46">TREND($B46:$Y46,$B$4:$Y$4,AC$4)</f>
        <v>2547.3359043478231</v>
      </c>
      <c r="AD46" s="28">
        <f t="array" ref="AD46">TREND($B46:$Y46,$B$4:$Y$4,AD$4)</f>
        <v>2499.8967304347789</v>
      </c>
      <c r="AE46" s="28">
        <f t="array" ref="AE46">TREND($B46:$Y46,$B$4:$Y$4,AE$4)</f>
        <v>2452.4575565217347</v>
      </c>
      <c r="AF46" s="28">
        <f t="array" ref="AF46">TREND($B46:$Y46,$B$4:$Y$4,AF$4)</f>
        <v>2405.0183826086904</v>
      </c>
      <c r="AG46" s="28">
        <f t="array" ref="AG46">TREND($B46:$Y46,$B$4:$Y$4,AG$4)</f>
        <v>2357.5792086956499</v>
      </c>
      <c r="AI46" s="45">
        <f t="shared" si="4"/>
        <v>-1.8976453441256202E-2</v>
      </c>
      <c r="AJ46" s="45">
        <f t="shared" si="5"/>
        <v>-5.6929360323767164E-2</v>
      </c>
    </row>
    <row r="47" spans="1:36">
      <c r="A47" s="39" t="s">
        <v>5</v>
      </c>
      <c r="B47" s="40">
        <v>3408.97</v>
      </c>
      <c r="C47" s="40">
        <v>3747.09</v>
      </c>
      <c r="D47" s="40">
        <v>3480.79</v>
      </c>
      <c r="E47" s="40">
        <v>3703.61</v>
      </c>
      <c r="F47" s="40">
        <v>3737.74</v>
      </c>
      <c r="G47" s="40">
        <v>3853.61</v>
      </c>
      <c r="H47" s="40">
        <v>3649.35</v>
      </c>
      <c r="I47" s="40">
        <v>3363.28</v>
      </c>
      <c r="J47" s="40">
        <v>3444.43</v>
      </c>
      <c r="K47" s="40">
        <v>3504.84</v>
      </c>
      <c r="L47" s="40">
        <v>3905.88</v>
      </c>
      <c r="M47" s="40">
        <v>3409.28</v>
      </c>
      <c r="N47" s="40">
        <v>3552.85</v>
      </c>
      <c r="O47" s="40">
        <v>3635.43</v>
      </c>
      <c r="P47" s="40">
        <v>3126.98</v>
      </c>
      <c r="Q47" s="40">
        <v>3316.42</v>
      </c>
      <c r="R47" s="41">
        <v>3419.3</v>
      </c>
      <c r="S47" s="40">
        <v>3498.07</v>
      </c>
      <c r="T47" s="40">
        <v>3193.65</v>
      </c>
      <c r="U47" s="41">
        <v>3279.5</v>
      </c>
      <c r="V47" s="40">
        <v>3322.37</v>
      </c>
      <c r="W47" s="40">
        <v>3633.44</v>
      </c>
      <c r="X47" s="40">
        <v>3228.81</v>
      </c>
      <c r="Y47" s="40">
        <v>3147.64</v>
      </c>
      <c r="AB47" s="28">
        <f t="array" ref="AB47">TREND($B47:$Y47,$B$4:$Y$4,AB$4)</f>
        <v>3420.1120884057964</v>
      </c>
      <c r="AC47" s="28">
        <f t="array" ref="AC47">TREND($B47:$Y47,$B$4:$Y$4,AC$4)</f>
        <v>3331.9787623188386</v>
      </c>
      <c r="AD47" s="28">
        <f t="array" ref="AD47">TREND($B47:$Y47,$B$4:$Y$4,AD$4)</f>
        <v>3243.8454362318807</v>
      </c>
      <c r="AE47" s="28">
        <f t="array" ref="AE47">TREND($B47:$Y47,$B$4:$Y$4,AE$4)</f>
        <v>3155.7121101449229</v>
      </c>
      <c r="AF47" s="28">
        <f t="array" ref="AF47">TREND($B47:$Y47,$B$4:$Y$4,AF$4)</f>
        <v>3067.5787840579651</v>
      </c>
      <c r="AG47" s="28">
        <f t="array" ref="AG47">TREND($B47:$Y47,$B$4:$Y$4,AG$4)</f>
        <v>2979.4454579710145</v>
      </c>
      <c r="AI47" s="45">
        <f t="shared" si="4"/>
        <v>-2.7169397500435566E-2</v>
      </c>
      <c r="AJ47" s="45">
        <f t="shared" si="5"/>
        <v>-8.1508192501304477E-2</v>
      </c>
    </row>
    <row r="48" spans="1:36">
      <c r="A48" s="39" t="s">
        <v>71</v>
      </c>
      <c r="B48" s="42">
        <v>3104.32</v>
      </c>
      <c r="C48" s="42">
        <v>3588.96</v>
      </c>
      <c r="D48" s="42">
        <v>3344.88</v>
      </c>
      <c r="E48" s="42">
        <v>3597.66</v>
      </c>
      <c r="F48" s="42">
        <v>3515.39</v>
      </c>
      <c r="G48" s="42">
        <v>3544.15</v>
      </c>
      <c r="H48" s="42">
        <v>3462.59</v>
      </c>
      <c r="I48" s="42">
        <v>3232.13</v>
      </c>
      <c r="J48" s="42">
        <v>3174.47</v>
      </c>
      <c r="K48" s="42">
        <v>3448.86</v>
      </c>
      <c r="L48" s="42">
        <v>3923.03</v>
      </c>
      <c r="M48" s="42">
        <v>3315.94</v>
      </c>
      <c r="N48" s="42">
        <v>3551.16</v>
      </c>
      <c r="O48" s="42">
        <v>3502.91</v>
      </c>
      <c r="P48" s="42">
        <v>3094.64</v>
      </c>
      <c r="Q48" s="42">
        <v>3112.56</v>
      </c>
      <c r="R48" s="42">
        <v>3286.01</v>
      </c>
      <c r="S48" s="42">
        <v>3288.37</v>
      </c>
      <c r="T48" s="42">
        <v>3123.43</v>
      </c>
      <c r="U48" s="42">
        <v>2951.82</v>
      </c>
      <c r="V48" s="42">
        <v>3005.65</v>
      </c>
      <c r="W48" s="42">
        <v>3491.49</v>
      </c>
      <c r="X48" s="42">
        <v>3200.38</v>
      </c>
      <c r="Y48" s="42">
        <v>2972.75</v>
      </c>
      <c r="AB48" s="28">
        <f t="array" ref="AB48">TREND($B48:$Y48,$B$4:$Y$4,AB$4)</f>
        <v>3270.0191710144936</v>
      </c>
      <c r="AC48" s="28">
        <f t="array" ref="AC48">TREND($B48:$Y48,$B$4:$Y$4,AC$4)</f>
        <v>3189.4781057971049</v>
      </c>
      <c r="AD48" s="28">
        <f t="array" ref="AD48">TREND($B48:$Y48,$B$4:$Y$4,AD$4)</f>
        <v>3108.9370405797126</v>
      </c>
      <c r="AE48" s="28">
        <f t="array" ref="AE48">TREND($B48:$Y48,$B$4:$Y$4,AE$4)</f>
        <v>3028.3959753623203</v>
      </c>
      <c r="AF48" s="28">
        <f t="array" ref="AF48">TREND($B48:$Y48,$B$4:$Y$4,AF$4)</f>
        <v>2947.8549101449316</v>
      </c>
      <c r="AG48" s="28">
        <f t="array" ref="AG48">TREND($B48:$Y48,$B$4:$Y$4,AG$4)</f>
        <v>2867.3138449275357</v>
      </c>
      <c r="AI48" s="45">
        <f t="shared" si="4"/>
        <v>-2.5906303075978077E-2</v>
      </c>
      <c r="AJ48" s="45">
        <f t="shared" si="5"/>
        <v>-7.7718909227934119E-2</v>
      </c>
    </row>
    <row r="49" spans="1:36">
      <c r="A49" s="39" t="s">
        <v>4</v>
      </c>
      <c r="B49" s="40">
        <v>1263.95</v>
      </c>
      <c r="C49" s="40">
        <v>1246.56</v>
      </c>
      <c r="D49" s="40">
        <v>1137.33</v>
      </c>
      <c r="E49" s="41">
        <v>1220.4000000000001</v>
      </c>
      <c r="F49" s="40">
        <v>1344.48</v>
      </c>
      <c r="G49" s="40">
        <v>1338.02</v>
      </c>
      <c r="H49" s="41">
        <v>1189.3</v>
      </c>
      <c r="I49" s="41">
        <v>1236.5999999999999</v>
      </c>
      <c r="J49" s="40">
        <v>1267.83</v>
      </c>
      <c r="K49" s="40">
        <v>1153.8499999999999</v>
      </c>
      <c r="L49" s="40">
        <v>1298.28</v>
      </c>
      <c r="M49" s="40">
        <v>1089.29</v>
      </c>
      <c r="N49" s="40">
        <v>1347.73</v>
      </c>
      <c r="O49" s="40">
        <v>1336.17</v>
      </c>
      <c r="P49" s="40">
        <v>1138.56</v>
      </c>
      <c r="Q49" s="40">
        <v>1080.28</v>
      </c>
      <c r="R49" s="40">
        <v>1233.04</v>
      </c>
      <c r="S49" s="40">
        <v>1054.83</v>
      </c>
      <c r="T49" s="40">
        <v>1307.33</v>
      </c>
      <c r="U49" s="40">
        <v>1109.07</v>
      </c>
      <c r="V49" s="41">
        <v>1010.1</v>
      </c>
      <c r="W49" s="40">
        <v>1064.78</v>
      </c>
      <c r="X49" s="40">
        <v>967.88</v>
      </c>
      <c r="Y49" s="40">
        <v>1046.75</v>
      </c>
      <c r="AB49" s="28">
        <f t="array" ref="AB49">TREND($B49:$Y49,$B$4:$Y$4,AB$4)</f>
        <v>1152.8932463768106</v>
      </c>
      <c r="AC49" s="28">
        <f t="array" ref="AC49">TREND($B49:$Y49,$B$4:$Y$4,AC$4)</f>
        <v>1104.5020507246372</v>
      </c>
      <c r="AD49" s="28">
        <f t="array" ref="AD49">TREND($B49:$Y49,$B$4:$Y$4,AD$4)</f>
        <v>1056.1108550724639</v>
      </c>
      <c r="AE49" s="28">
        <f t="array" ref="AE49">TREND($B49:$Y49,$B$4:$Y$4,AE$4)</f>
        <v>1007.7196594202906</v>
      </c>
      <c r="AF49" s="28">
        <f t="array" ref="AF49">TREND($B49:$Y49,$B$4:$Y$4,AF$4)</f>
        <v>959.32846376811722</v>
      </c>
      <c r="AG49" s="28">
        <f t="array" ref="AG49">TREND($B49:$Y49,$B$4:$Y$4,AG$4)</f>
        <v>910.93726811594024</v>
      </c>
      <c r="AI49" s="45">
        <f t="shared" si="4"/>
        <v>-4.5820185844840156E-2</v>
      </c>
      <c r="AJ49" s="45">
        <f t="shared" si="5"/>
        <v>-0.13746055753452391</v>
      </c>
    </row>
    <row r="50" spans="1:36">
      <c r="A50" s="39" t="s">
        <v>3</v>
      </c>
      <c r="B50" s="42">
        <v>2931.43</v>
      </c>
      <c r="C50" s="42">
        <v>3028.97</v>
      </c>
      <c r="D50" s="43">
        <v>2932</v>
      </c>
      <c r="E50" s="42">
        <v>3393.84</v>
      </c>
      <c r="F50" s="42">
        <v>3107.75</v>
      </c>
      <c r="G50" s="42">
        <v>3248.31</v>
      </c>
      <c r="H50" s="42">
        <v>3164.93</v>
      </c>
      <c r="I50" s="42">
        <v>2837.51</v>
      </c>
      <c r="J50" s="42">
        <v>2871.73</v>
      </c>
      <c r="K50" s="43">
        <v>2850.3</v>
      </c>
      <c r="L50" s="42">
        <v>3056.91</v>
      </c>
      <c r="M50" s="43">
        <v>3174.1</v>
      </c>
      <c r="N50" s="42">
        <v>3089.55</v>
      </c>
      <c r="O50" s="42">
        <v>2865.71</v>
      </c>
      <c r="P50" s="42">
        <v>2730.97</v>
      </c>
      <c r="Q50" s="42">
        <v>2787.05</v>
      </c>
      <c r="R50" s="42">
        <v>2920.43</v>
      </c>
      <c r="S50" s="42">
        <v>2918.88</v>
      </c>
      <c r="T50" s="42">
        <v>2748.49</v>
      </c>
      <c r="U50" s="42">
        <v>2568.23</v>
      </c>
      <c r="V50" s="42">
        <v>2665.22</v>
      </c>
      <c r="W50" s="43">
        <v>2993.6</v>
      </c>
      <c r="X50" s="42">
        <v>2751.22</v>
      </c>
      <c r="Y50" s="42">
        <v>2506.5300000000002</v>
      </c>
      <c r="AB50" s="28">
        <f t="array" ref="AB50">TREND($B50:$Y50,$B$4:$Y$4,AB$4)</f>
        <v>2853.8396391304341</v>
      </c>
      <c r="AC50" s="28">
        <f t="array" ref="AC50">TREND($B50:$Y50,$B$4:$Y$4,AC$4)</f>
        <v>2755.5355521739111</v>
      </c>
      <c r="AD50" s="28">
        <f t="array" ref="AD50">TREND($B50:$Y50,$B$4:$Y$4,AD$4)</f>
        <v>2657.2314652173882</v>
      </c>
      <c r="AE50" s="28">
        <f t="array" ref="AE50">TREND($B50:$Y50,$B$4:$Y$4,AE$4)</f>
        <v>2558.9273782608652</v>
      </c>
      <c r="AF50" s="28">
        <f t="array" ref="AF50">TREND($B50:$Y50,$B$4:$Y$4,AF$4)</f>
        <v>2460.6232913043496</v>
      </c>
      <c r="AG50" s="28">
        <f t="array" ref="AG50">TREND($B50:$Y50,$B$4:$Y$4,AG$4)</f>
        <v>2362.3192043478266</v>
      </c>
      <c r="AI50" s="45">
        <f t="shared" si="4"/>
        <v>-3.699492808334659E-2</v>
      </c>
      <c r="AJ50" s="45">
        <f t="shared" si="5"/>
        <v>-0.11098478425003699</v>
      </c>
    </row>
    <row r="51" spans="1:36">
      <c r="A51" s="39" t="s">
        <v>2</v>
      </c>
      <c r="B51" s="40">
        <v>2594.38</v>
      </c>
      <c r="C51" s="41">
        <v>2877.1</v>
      </c>
      <c r="D51" s="40">
        <v>2674.53</v>
      </c>
      <c r="E51" s="40">
        <v>3063.34</v>
      </c>
      <c r="F51" s="40">
        <v>3072.24</v>
      </c>
      <c r="G51" s="40">
        <v>3192.52</v>
      </c>
      <c r="H51" s="40">
        <v>2978.51</v>
      </c>
      <c r="I51" s="40">
        <v>2685.84</v>
      </c>
      <c r="J51" s="40">
        <v>2793.77</v>
      </c>
      <c r="K51" s="41">
        <v>2795.7</v>
      </c>
      <c r="L51" s="40">
        <v>3136.59</v>
      </c>
      <c r="M51" s="40">
        <v>2826.88</v>
      </c>
      <c r="N51" s="40">
        <v>2836.51</v>
      </c>
      <c r="O51" s="40">
        <v>2870.67</v>
      </c>
      <c r="P51" s="40">
        <v>2345.7199999999998</v>
      </c>
      <c r="Q51" s="40">
        <v>2703.06</v>
      </c>
      <c r="R51" s="40">
        <v>2759.75</v>
      </c>
      <c r="S51" s="40">
        <v>2834.88</v>
      </c>
      <c r="T51" s="40">
        <v>2579.61</v>
      </c>
      <c r="U51" s="40">
        <v>2600.7199999999998</v>
      </c>
      <c r="V51" s="41">
        <v>2693</v>
      </c>
      <c r="W51" s="40">
        <v>2985.84</v>
      </c>
      <c r="X51" s="40">
        <v>2643.91</v>
      </c>
      <c r="Y51" s="40">
        <v>2489.96</v>
      </c>
      <c r="AB51" s="28">
        <f t="array" ref="AB51">TREND($B51:$Y51,$B$4:$Y$4,AB$4)</f>
        <v>2751.5707347826101</v>
      </c>
      <c r="AC51" s="28">
        <f t="array" ref="AC51">TREND($B51:$Y51,$B$4:$Y$4,AC$4)</f>
        <v>2692.2057130434805</v>
      </c>
      <c r="AD51" s="28">
        <f t="array" ref="AD51">TREND($B51:$Y51,$B$4:$Y$4,AD$4)</f>
        <v>2632.8406913043473</v>
      </c>
      <c r="AE51" s="28">
        <f t="array" ref="AE51">TREND($B51:$Y51,$B$4:$Y$4,AE$4)</f>
        <v>2573.4756695652177</v>
      </c>
      <c r="AF51" s="28">
        <f t="array" ref="AF51">TREND($B51:$Y51,$B$4:$Y$4,AF$4)</f>
        <v>2514.1106478260881</v>
      </c>
      <c r="AG51" s="28">
        <f t="array" ref="AG51">TREND($B51:$Y51,$B$4:$Y$4,AG$4)</f>
        <v>2454.7456260869585</v>
      </c>
      <c r="AI51" s="45">
        <f t="shared" si="4"/>
        <v>-2.2547897385207682E-2</v>
      </c>
      <c r="AJ51" s="45">
        <f t="shared" si="5"/>
        <v>-6.7643692155622936E-2</v>
      </c>
    </row>
    <row r="52" spans="1:36">
      <c r="A52" s="39" t="s">
        <v>72</v>
      </c>
      <c r="B52" s="42">
        <v>3057.85</v>
      </c>
      <c r="C52" s="42">
        <v>3419.03</v>
      </c>
      <c r="D52" s="43">
        <v>3231.5</v>
      </c>
      <c r="E52" s="42">
        <v>3473.71</v>
      </c>
      <c r="F52" s="42">
        <v>3436.66</v>
      </c>
      <c r="G52" s="43">
        <v>3542.9</v>
      </c>
      <c r="H52" s="42">
        <v>3383.84</v>
      </c>
      <c r="I52" s="43">
        <v>3098</v>
      </c>
      <c r="J52" s="42">
        <v>3044.68</v>
      </c>
      <c r="K52" s="42">
        <v>3182.56</v>
      </c>
      <c r="L52" s="42">
        <v>3491.35</v>
      </c>
      <c r="M52" s="42">
        <v>3244.11</v>
      </c>
      <c r="N52" s="42">
        <v>3296.36</v>
      </c>
      <c r="O52" s="42">
        <v>3237.52</v>
      </c>
      <c r="P52" s="42">
        <v>2713.17</v>
      </c>
      <c r="Q52" s="42">
        <v>3058.95</v>
      </c>
      <c r="R52" s="42">
        <v>3176.37</v>
      </c>
      <c r="S52" s="42">
        <v>3289.94</v>
      </c>
      <c r="T52" s="42">
        <v>2923.83</v>
      </c>
      <c r="U52" s="42">
        <v>2899.05</v>
      </c>
      <c r="V52" s="42">
        <v>3048.53</v>
      </c>
      <c r="W52" s="42">
        <v>3382.63</v>
      </c>
      <c r="X52" s="42">
        <v>3042.68</v>
      </c>
      <c r="Y52" s="42">
        <v>2841.65</v>
      </c>
      <c r="AB52" s="28">
        <f t="array" ref="AB52">TREND($B52:$Y52,$B$4:$Y$4,AB$4)</f>
        <v>3132.4639405797061</v>
      </c>
      <c r="AC52" s="28">
        <f t="array" ref="AC52">TREND($B52:$Y52,$B$4:$Y$4,AC$4)</f>
        <v>3052.8368318840548</v>
      </c>
      <c r="AD52" s="28">
        <f t="array" ref="AD52">TREND($B52:$Y52,$B$4:$Y$4,AD$4)</f>
        <v>2973.2097231884036</v>
      </c>
      <c r="AE52" s="28">
        <f t="array" ref="AE52">TREND($B52:$Y52,$B$4:$Y$4,AE$4)</f>
        <v>2893.5826144927523</v>
      </c>
      <c r="AF52" s="28">
        <f t="array" ref="AF52">TREND($B52:$Y52,$B$4:$Y$4,AF$4)</f>
        <v>2813.9555057970974</v>
      </c>
      <c r="AG52" s="28">
        <f t="array" ref="AG52">TREND($B52:$Y52,$B$4:$Y$4,AG$4)</f>
        <v>2734.3283971014462</v>
      </c>
      <c r="AI52" s="45">
        <f t="shared" si="4"/>
        <v>-2.6781531109168033E-2</v>
      </c>
      <c r="AJ52" s="45">
        <f t="shared" si="5"/>
        <v>-8.0344593327505431E-2</v>
      </c>
    </row>
    <row r="53" spans="1:36">
      <c r="A53" s="39" t="s">
        <v>1</v>
      </c>
      <c r="B53" s="40">
        <v>5211.6899999999996</v>
      </c>
      <c r="C53" s="40">
        <v>5766.64</v>
      </c>
      <c r="D53" s="40">
        <v>5736.48</v>
      </c>
      <c r="E53" s="41">
        <v>5665.7</v>
      </c>
      <c r="F53" s="40">
        <v>5561.61</v>
      </c>
      <c r="G53" s="40">
        <v>5295.38</v>
      </c>
      <c r="H53" s="40">
        <v>5442.56</v>
      </c>
      <c r="I53" s="40">
        <v>5321.96</v>
      </c>
      <c r="J53" s="40">
        <v>5332.63</v>
      </c>
      <c r="K53" s="41">
        <v>5608.3</v>
      </c>
      <c r="L53" s="40">
        <v>6179.75</v>
      </c>
      <c r="M53" s="40">
        <v>5239.13</v>
      </c>
      <c r="N53" s="40">
        <v>5839.92</v>
      </c>
      <c r="O53" s="40">
        <v>5238.58</v>
      </c>
      <c r="P53" s="40">
        <v>5237.1400000000003</v>
      </c>
      <c r="Q53" s="40">
        <v>5014.74</v>
      </c>
      <c r="R53" s="41">
        <v>5325.9</v>
      </c>
      <c r="S53" s="40">
        <v>5508.23</v>
      </c>
      <c r="T53" s="40">
        <v>5349.59</v>
      </c>
      <c r="U53" s="40">
        <v>5482.97</v>
      </c>
      <c r="V53" s="40">
        <v>4873.47</v>
      </c>
      <c r="W53" s="40">
        <v>5623.37</v>
      </c>
      <c r="X53" s="40">
        <v>5276.82</v>
      </c>
      <c r="Y53" s="40">
        <v>5437.01</v>
      </c>
      <c r="AB53" s="28">
        <f t="array" ref="AB53">TREND($B53:$Y53,$B$4:$Y$4,AB$4)</f>
        <v>5399.7049347826105</v>
      </c>
      <c r="AC53" s="28">
        <f t="array" ref="AC53">TREND($B53:$Y53,$B$4:$Y$4,AC$4)</f>
        <v>5341.570913043477</v>
      </c>
      <c r="AD53" s="28">
        <f t="array" ref="AD53">TREND($B53:$Y53,$B$4:$Y$4,AD$4)</f>
        <v>5283.4368913043472</v>
      </c>
      <c r="AE53" s="28">
        <f t="array" ref="AE53">TREND($B53:$Y53,$B$4:$Y$4,AE$4)</f>
        <v>5225.3028695652174</v>
      </c>
      <c r="AF53" s="28">
        <f t="array" ref="AF53">TREND($B53:$Y53,$B$4:$Y$4,AF$4)</f>
        <v>5167.1688478260876</v>
      </c>
      <c r="AG53" s="28">
        <f t="array" ref="AG53">TREND($B53:$Y53,$B$4:$Y$4,AG$4)</f>
        <v>5109.0348260869578</v>
      </c>
      <c r="AI53" s="45">
        <f t="shared" si="4"/>
        <v>-1.1003069201944826E-2</v>
      </c>
      <c r="AJ53" s="45">
        <f t="shared" si="5"/>
        <v>-3.3009207605834368E-2</v>
      </c>
    </row>
    <row r="54" spans="1:36">
      <c r="A54" s="39" t="s">
        <v>73</v>
      </c>
      <c r="B54" s="42">
        <v>4925.62</v>
      </c>
      <c r="C54" s="42">
        <v>5422.89</v>
      </c>
      <c r="D54" s="43">
        <v>5210.8999999999996</v>
      </c>
      <c r="E54" s="42">
        <v>5224.63</v>
      </c>
      <c r="F54" s="42">
        <v>5281.26</v>
      </c>
      <c r="G54" s="42">
        <v>5085.0600000000004</v>
      </c>
      <c r="H54" s="42">
        <v>4985.68</v>
      </c>
      <c r="I54" s="43">
        <v>5069.6000000000004</v>
      </c>
      <c r="J54" s="42">
        <v>5074.88</v>
      </c>
      <c r="K54" s="42">
        <v>5294.04</v>
      </c>
      <c r="L54" s="42">
        <v>5986.18</v>
      </c>
      <c r="M54" s="42">
        <v>4895.71</v>
      </c>
      <c r="N54" s="42">
        <v>5471.41</v>
      </c>
      <c r="O54" s="42">
        <v>5155.24</v>
      </c>
      <c r="P54" s="42">
        <v>4850.03</v>
      </c>
      <c r="Q54" s="42">
        <v>4875.4799999999996</v>
      </c>
      <c r="R54" s="42">
        <v>5092.4799999999996</v>
      </c>
      <c r="S54" s="42">
        <v>5181.13</v>
      </c>
      <c r="T54" s="42">
        <v>5122.22</v>
      </c>
      <c r="U54" s="42">
        <v>5119.6099999999997</v>
      </c>
      <c r="V54" s="42">
        <v>4592.22</v>
      </c>
      <c r="W54" s="42">
        <v>5201.47</v>
      </c>
      <c r="X54" s="42">
        <v>4919.42</v>
      </c>
      <c r="Y54" s="42">
        <v>5180.32</v>
      </c>
      <c r="AB54" s="28">
        <f t="array" ref="AB54">TREND($B54:$Y54,$B$4:$Y$4,AB$4)</f>
        <v>5102.464762318843</v>
      </c>
      <c r="AC54" s="28">
        <f t="array" ref="AC54">TREND($B54:$Y54,$B$4:$Y$4,AC$4)</f>
        <v>5057.3263275362333</v>
      </c>
      <c r="AD54" s="28">
        <f t="array" ref="AD54">TREND($B54:$Y54,$B$4:$Y$4,AD$4)</f>
        <v>5012.1878927536236</v>
      </c>
      <c r="AE54" s="28">
        <f t="array" ref="AE54">TREND($B54:$Y54,$B$4:$Y$4,AE$4)</f>
        <v>4967.0494579710139</v>
      </c>
      <c r="AF54" s="28">
        <f t="array" ref="AF54">TREND($B54:$Y54,$B$4:$Y$4,AF$4)</f>
        <v>4921.9110231884079</v>
      </c>
      <c r="AG54" s="28">
        <f t="array" ref="AG54">TREND($B54:$Y54,$B$4:$Y$4,AG$4)</f>
        <v>4876.7725884057982</v>
      </c>
      <c r="AI54" s="45">
        <f t="shared" si="4"/>
        <v>-9.0057347706116175E-3</v>
      </c>
      <c r="AJ54" s="45">
        <f t="shared" si="5"/>
        <v>-2.7017204311833964E-2</v>
      </c>
    </row>
    <row r="55" spans="1:36">
      <c r="A55" s="39" t="s">
        <v>76</v>
      </c>
      <c r="B55" s="41">
        <v>5334.5</v>
      </c>
      <c r="C55" s="40">
        <v>5760.83</v>
      </c>
      <c r="D55" s="40">
        <v>5474.51</v>
      </c>
      <c r="E55" s="40">
        <v>5387.57</v>
      </c>
      <c r="F55" s="40">
        <v>5431.36</v>
      </c>
      <c r="G55" s="40">
        <v>5365.38</v>
      </c>
      <c r="H55" s="40">
        <v>5228.95</v>
      </c>
      <c r="I55" s="40">
        <v>5404.05</v>
      </c>
      <c r="J55" s="41">
        <v>5450.1</v>
      </c>
      <c r="K55" s="41">
        <v>5527.4</v>
      </c>
      <c r="L55" s="40">
        <v>6205.66</v>
      </c>
      <c r="M55" s="40">
        <v>5198.7700000000004</v>
      </c>
      <c r="N55" s="41">
        <v>5783.7</v>
      </c>
      <c r="O55" s="40">
        <v>5492.84</v>
      </c>
      <c r="P55" s="40">
        <v>5136.42</v>
      </c>
      <c r="Q55" s="40">
        <v>5264.25</v>
      </c>
      <c r="R55" s="40">
        <v>5371.01</v>
      </c>
      <c r="S55" s="40">
        <v>5513.51</v>
      </c>
      <c r="T55" s="40">
        <v>5420.27</v>
      </c>
      <c r="U55" s="40">
        <v>5509.44</v>
      </c>
      <c r="V55" s="40">
        <v>5088.9399999999996</v>
      </c>
      <c r="W55" s="40">
        <v>5539.23</v>
      </c>
      <c r="X55" s="40">
        <v>5294.82</v>
      </c>
      <c r="Y55" s="40">
        <v>5586.96</v>
      </c>
      <c r="AB55" s="28">
        <f t="array" ref="AB55">TREND($B55:$Y55,$B$4:$Y$4,AB$4)</f>
        <v>5436.7197376811591</v>
      </c>
      <c r="AC55" s="28">
        <f t="array" ref="AC55">TREND($B55:$Y55,$B$4:$Y$4,AC$4)</f>
        <v>5419.505672463767</v>
      </c>
      <c r="AD55" s="28">
        <f t="array" ref="AD55">TREND($B55:$Y55,$B$4:$Y$4,AD$4)</f>
        <v>5402.2916072463759</v>
      </c>
      <c r="AE55" s="28">
        <f t="array" ref="AE55">TREND($B55:$Y55,$B$4:$Y$4,AE$4)</f>
        <v>5385.0775420289847</v>
      </c>
      <c r="AF55" s="28">
        <f t="array" ref="AF55">TREND($B55:$Y55,$B$4:$Y$4,AF$4)</f>
        <v>5367.8634768115935</v>
      </c>
      <c r="AG55" s="28">
        <f t="array" ref="AG55">TREND($B55:$Y55,$B$4:$Y$4,AG$4)</f>
        <v>5350.6494115942023</v>
      </c>
      <c r="AI55" s="45">
        <f t="shared" si="4"/>
        <v>-3.1864376210830603E-3</v>
      </c>
      <c r="AJ55" s="45">
        <f t="shared" si="5"/>
        <v>-9.5593128632491808E-3</v>
      </c>
    </row>
    <row r="57" spans="1:36">
      <c r="A57" s="35" t="s">
        <v>89</v>
      </c>
    </row>
    <row r="58" spans="1:36">
      <c r="A58" s="35" t="s">
        <v>21</v>
      </c>
      <c r="B58" s="34" t="s">
        <v>90</v>
      </c>
    </row>
  </sheetData>
  <mergeCells count="1">
    <mergeCell ref="B16:O16"/>
  </mergeCells>
  <hyperlinks>
    <hyperlink ref="A15" r:id="rId1" xr:uid="{BC0FE4F1-D819-4456-817A-9A5DA7EF390F}"/>
    <hyperlink ref="B15" r:id="rId2" xr:uid="{7BA76B62-1928-43FF-84AE-1BB5B3B32E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variantdata</vt:lpstr>
      <vt:lpstr>nodedata</vt:lpstr>
      <vt:lpstr>demanddata_dh</vt:lpstr>
      <vt:lpstr>Finland</vt:lpstr>
      <vt:lpstr>Norway</vt:lpstr>
      <vt:lpstr>Lithuania</vt:lpstr>
      <vt:lpstr>Latvia</vt:lpstr>
      <vt:lpstr>Estonia</vt:lpstr>
      <vt:lpstr>Sweden</vt:lpstr>
      <vt:lpstr>Denmark</vt:lpstr>
      <vt:lpstr>Poland</vt:lpstr>
      <vt:lpstr>Germany</vt:lpstr>
      <vt:lpstr>Austria</vt:lpstr>
      <vt:lpstr>DH demand, eurostat</vt:lpstr>
      <vt:lpstr>waterHeatingShare</vt:lpstr>
      <vt:lpstr>POP</vt:lpstr>
      <vt:lpstr>HDD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Lindroos Tomi J</dc:creator>
  <cp:lastModifiedBy>Lindroos Tomi J</cp:lastModifiedBy>
  <dcterms:created xsi:type="dcterms:W3CDTF">2025-02-20T04:49:29Z</dcterms:created>
  <dcterms:modified xsi:type="dcterms:W3CDTF">2026-10-15T11:59:47Z</dcterms:modified>
</cp:coreProperties>
</file>