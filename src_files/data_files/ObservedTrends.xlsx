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DFF71EF9-448F-430C-9498-4C54EA4B36A7}" xr6:coauthVersionLast="47" xr6:coauthVersionMax="47" xr10:uidLastSave="{00000000-0000-0000-0000-000000000000}"/>
  <bookViews>
    <workbookView xWindow="17880" yWindow="-120" windowWidth="29040" windowHeight="17520" tabRatio="770" firstSheet="6" activeTab="14" xr2:uid="{FFD27B4C-068C-4319-9C46-FFCA72C83648}"/>
  </bookViews>
  <sheets>
    <sheet name="VRE cap - ENTSOE NT2030" sheetId="7" r:id="rId1"/>
    <sheet name="wind_total" sheetId="2" r:id="rId2"/>
    <sheet name="wind_onshore" sheetId="5" r:id="rId3"/>
    <sheet name="wind_offshore" sheetId="4" r:id="rId4"/>
    <sheet name="PV" sheetId="3" r:id="rId5"/>
    <sheet name="VRE summary" sheetId="6" r:id="rId6"/>
    <sheet name="unitdata_VRE" sheetId="8" r:id="rId7"/>
    <sheet name="battery cap eurostat" sheetId="9" r:id="rId8"/>
    <sheet name="battery scen SPE" sheetId="11" r:id="rId9"/>
    <sheet name="battery summary" sheetId="13" r:id="rId10"/>
    <sheet name="unitdata_battery" sheetId="12" r:id="rId11"/>
    <sheet name="unittypedata_battery" sheetId="14" r:id="rId12"/>
    <sheet name="transferdata" sheetId="15" r:id="rId13"/>
    <sheet name="emissiondata" sheetId="16" r:id="rId14"/>
    <sheet name="unitdata_other" sheetId="18" r:id="rId15"/>
    <sheet name="fueldata" sheetId="17" r:id="rId16"/>
  </sheets>
  <externalReferences>
    <externalReference r:id="rId17"/>
    <externalReference r:id="rId18"/>
  </externalReferences>
  <definedNames>
    <definedName name="_xlnm._FilterDatabase" localSheetId="11" hidden="1">unittypedata_battery!$C$1:$M$5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7" i="12" l="1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E177" i="12" l="1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N6" i="5"/>
  <c r="R6" i="5"/>
  <c r="AA6" i="5"/>
  <c r="A39" i="6"/>
  <c r="A37" i="6"/>
  <c r="A36" i="6"/>
  <c r="A41" i="6"/>
  <c r="A32" i="6"/>
  <c r="I6" i="5"/>
  <c r="X6" i="5"/>
  <c r="S6" i="5"/>
  <c r="P6" i="5"/>
  <c r="Q6" i="5"/>
  <c r="AF6" i="5"/>
  <c r="T6" i="5"/>
  <c r="A29" i="6"/>
  <c r="F6" i="5"/>
  <c r="A35" i="6"/>
  <c r="AD6" i="5"/>
  <c r="A25" i="6"/>
  <c r="A42" i="6"/>
  <c r="A9" i="6"/>
  <c r="W6" i="5"/>
  <c r="O6" i="5"/>
  <c r="A44" i="6"/>
  <c r="A34" i="6"/>
  <c r="A43" i="6"/>
  <c r="A40" i="6"/>
  <c r="A5" i="6"/>
  <c r="A46" i="6"/>
  <c r="J6" i="5"/>
  <c r="AE6" i="5"/>
  <c r="K6" i="5"/>
  <c r="A51" i="6"/>
  <c r="A69" i="6"/>
  <c r="AB6" i="5"/>
  <c r="U6" i="5"/>
  <c r="A30" i="6"/>
  <c r="Y6" i="5"/>
  <c r="G6" i="5"/>
  <c r="A45" i="6"/>
  <c r="H6" i="5"/>
  <c r="AC6" i="5"/>
  <c r="M6" i="5"/>
  <c r="Z6" i="5"/>
  <c r="A28" i="6"/>
  <c r="A33" i="6"/>
  <c r="A27" i="6"/>
  <c r="A31" i="6"/>
  <c r="L6" i="5"/>
  <c r="A26" i="6"/>
  <c r="V6" i="5"/>
  <c r="A38" i="6"/>
  <c r="F9" i="13" l="1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A64" i="6"/>
  <c r="A65" i="6"/>
  <c r="A63" i="6"/>
  <c r="A52" i="6"/>
  <c r="A50" i="6"/>
  <c r="A62" i="6"/>
  <c r="A48" i="6"/>
  <c r="A60" i="6"/>
  <c r="A68" i="6"/>
  <c r="A57" i="6"/>
  <c r="A61" i="6"/>
  <c r="A58" i="6"/>
  <c r="A49" i="6"/>
  <c r="A53" i="6"/>
  <c r="A67" i="6"/>
  <c r="A66" i="6"/>
  <c r="A55" i="6"/>
  <c r="A56" i="6"/>
  <c r="A59" i="6"/>
  <c r="A54" i="6"/>
  <c r="A21" i="6"/>
  <c r="A2" i="6"/>
  <c r="A7" i="6"/>
  <c r="A14" i="6"/>
  <c r="A3" i="6"/>
  <c r="A16" i="6"/>
  <c r="A10" i="6"/>
  <c r="A17" i="6"/>
  <c r="A20" i="6"/>
  <c r="A11" i="6"/>
  <c r="A19" i="6"/>
  <c r="A8" i="6"/>
  <c r="A23" i="6"/>
  <c r="A13" i="6"/>
  <c r="A22" i="6"/>
  <c r="A12" i="6"/>
  <c r="A4" i="6"/>
  <c r="A18" i="6"/>
  <c r="A15" i="6"/>
  <c r="A6" i="6"/>
  <c r="S44" i="5"/>
  <c r="F31" i="5"/>
  <c r="R58" i="6"/>
  <c r="V43" i="5"/>
  <c r="Y22" i="5"/>
  <c r="S25" i="5"/>
  <c r="AB28" i="5"/>
  <c r="AE17" i="5"/>
  <c r="K8" i="5"/>
  <c r="AF32" i="5"/>
  <c r="AF19" i="5"/>
  <c r="H30" i="5"/>
  <c r="P20" i="5"/>
  <c r="Z44" i="5"/>
  <c r="X13" i="5"/>
  <c r="AF24" i="5"/>
  <c r="J16" i="5"/>
  <c r="I45" i="5"/>
  <c r="L10" i="5"/>
  <c r="F33" i="5"/>
  <c r="K51" i="6"/>
  <c r="M64" i="6"/>
  <c r="P69" i="6"/>
  <c r="P58" i="6"/>
  <c r="J11" i="5"/>
  <c r="Q20" i="5"/>
  <c r="Z24" i="5"/>
  <c r="AF36" i="5"/>
  <c r="V41" i="5"/>
  <c r="G59" i="6"/>
  <c r="U28" i="5"/>
  <c r="Q36" i="5"/>
  <c r="F12" i="5"/>
  <c r="S9" i="5"/>
  <c r="S12" i="5"/>
  <c r="Z59" i="6"/>
  <c r="AA23" i="5"/>
  <c r="AB7" i="5"/>
  <c r="T58" i="6"/>
  <c r="S40" i="5"/>
  <c r="R22" i="5"/>
  <c r="N16" i="5"/>
  <c r="AA32" i="5"/>
  <c r="F19" i="5"/>
  <c r="Z32" i="5"/>
  <c r="F51" i="6"/>
  <c r="O15" i="5"/>
  <c r="AB15" i="5"/>
  <c r="N13" i="5"/>
  <c r="J27" i="5"/>
  <c r="V60" i="6"/>
  <c r="AB14" i="5"/>
  <c r="AD2" i="6"/>
  <c r="AD27" i="5"/>
  <c r="J20" i="5"/>
  <c r="P59" i="6"/>
  <c r="AF14" i="5"/>
  <c r="AB57" i="6"/>
  <c r="L16" i="5"/>
  <c r="AB26" i="5"/>
  <c r="AC28" i="5"/>
  <c r="W30" i="5"/>
  <c r="K21" i="5"/>
  <c r="AE12" i="5"/>
  <c r="G46" i="6"/>
  <c r="Y39" i="5"/>
  <c r="S5" i="5"/>
  <c r="L20" i="5"/>
  <c r="AC36" i="5"/>
  <c r="H56" i="6"/>
  <c r="X21" i="5"/>
  <c r="AF27" i="5"/>
  <c r="O31" i="5"/>
  <c r="AC22" i="5"/>
  <c r="AA26" i="6"/>
  <c r="O16" i="5"/>
  <c r="M24" i="5"/>
  <c r="J25" i="5"/>
  <c r="T60" i="6"/>
  <c r="S57" i="6"/>
  <c r="F48" i="6"/>
  <c r="W31" i="5"/>
  <c r="N54" i="6"/>
  <c r="Y59" i="6"/>
  <c r="X55" i="6"/>
  <c r="Y18" i="5"/>
  <c r="Q45" i="5"/>
  <c r="W37" i="5"/>
  <c r="X27" i="5"/>
  <c r="J22" i="5"/>
  <c r="N22" i="5"/>
  <c r="T59" i="6"/>
  <c r="AF11" i="5"/>
  <c r="AD3" i="6"/>
  <c r="X14" i="5"/>
  <c r="AC37" i="5"/>
  <c r="W48" i="6"/>
  <c r="K54" i="6"/>
  <c r="V69" i="6"/>
  <c r="R18" i="5"/>
  <c r="Y19" i="5"/>
  <c r="AA34" i="5"/>
  <c r="O41" i="5"/>
  <c r="V33" i="5"/>
  <c r="N12" i="5"/>
  <c r="V21" i="5"/>
  <c r="U29" i="5"/>
  <c r="AC14" i="6"/>
  <c r="I40" i="5"/>
  <c r="S20" i="5"/>
  <c r="J31" i="5"/>
  <c r="F60" i="6"/>
  <c r="F56" i="6"/>
  <c r="P38" i="5"/>
  <c r="F55" i="6"/>
  <c r="AD64" i="6"/>
  <c r="T69" i="6"/>
  <c r="G16" i="5"/>
  <c r="M59" i="6"/>
  <c r="G19" i="5"/>
  <c r="S13" i="5"/>
  <c r="J46" i="6"/>
  <c r="K64" i="6"/>
  <c r="K34" i="5"/>
  <c r="P8" i="5"/>
  <c r="AF39" i="5"/>
  <c r="N17" i="5"/>
  <c r="R14" i="5"/>
  <c r="Y20" i="5"/>
  <c r="P23" i="5"/>
  <c r="AE26" i="5"/>
  <c r="F69" i="6"/>
  <c r="R36" i="5"/>
  <c r="N60" i="6"/>
  <c r="F21" i="5"/>
  <c r="I42" i="5"/>
  <c r="G69" i="6"/>
  <c r="S48" i="6"/>
  <c r="T54" i="6"/>
  <c r="S36" i="5"/>
  <c r="N27" i="5"/>
  <c r="Y38" i="5"/>
  <c r="J59" i="6"/>
  <c r="Q12" i="5"/>
  <c r="AF16" i="5"/>
  <c r="L11" i="5"/>
  <c r="U40" i="5"/>
  <c r="U12" i="5"/>
  <c r="Q5" i="5"/>
  <c r="AB38" i="5"/>
  <c r="Q22" i="5"/>
  <c r="N28" i="5"/>
  <c r="E50" i="6"/>
  <c r="P18" i="5"/>
  <c r="U64" i="6"/>
  <c r="Y17" i="5"/>
  <c r="O60" i="6"/>
  <c r="V27" i="5"/>
  <c r="W55" i="6"/>
  <c r="R17" i="5"/>
  <c r="AE8" i="5"/>
  <c r="V8" i="5"/>
  <c r="R26" i="5"/>
  <c r="AD24" i="5"/>
  <c r="W9" i="5"/>
  <c r="J55" i="6"/>
  <c r="AD69" i="6"/>
  <c r="W32" i="5"/>
  <c r="S7" i="5"/>
  <c r="L50" i="6"/>
  <c r="Q21" i="5"/>
  <c r="L9" i="5"/>
  <c r="X43" i="5"/>
  <c r="Z33" i="5"/>
  <c r="Y42" i="5"/>
  <c r="I49" i="6"/>
  <c r="M36" i="5"/>
  <c r="I36" i="6" s="1"/>
  <c r="AD66" i="6"/>
  <c r="O17" i="5"/>
  <c r="V31" i="5"/>
  <c r="V17" i="5"/>
  <c r="N19" i="5"/>
  <c r="O18" i="5"/>
  <c r="L17" i="5"/>
  <c r="R40" i="5"/>
  <c r="E56" i="6"/>
  <c r="AC16" i="5"/>
  <c r="H60" i="6"/>
  <c r="AA69" i="6"/>
  <c r="R48" i="6"/>
  <c r="S22" i="5"/>
  <c r="AC23" i="5"/>
  <c r="AB42" i="5"/>
  <c r="K9" i="5"/>
  <c r="T56" i="6"/>
  <c r="AC8" i="5"/>
  <c r="X15" i="5"/>
  <c r="D57" i="6"/>
  <c r="AA8" i="5"/>
  <c r="L34" i="5"/>
  <c r="Z11" i="5"/>
  <c r="AC64" i="6"/>
  <c r="AE40" i="5"/>
  <c r="W19" i="5"/>
  <c r="G7" i="5"/>
  <c r="G57" i="6"/>
  <c r="U21" i="5"/>
  <c r="Q69" i="6"/>
  <c r="Y44" i="5"/>
  <c r="U30" i="5"/>
  <c r="Y46" i="6"/>
  <c r="AE31" i="5"/>
  <c r="G14" i="5"/>
  <c r="V48" i="6"/>
  <c r="J21" i="5"/>
  <c r="G28" i="5"/>
  <c r="S16" i="5"/>
  <c r="AE30" i="5"/>
  <c r="Y54" i="6"/>
  <c r="K32" i="5"/>
  <c r="Z45" i="5"/>
  <c r="AC11" i="6"/>
  <c r="AA27" i="5"/>
  <c r="I25" i="5"/>
  <c r="AE43" i="5"/>
  <c r="AE7" i="5"/>
  <c r="X26" i="5"/>
  <c r="O22" i="5"/>
  <c r="U24" i="5"/>
  <c r="O58" i="6"/>
  <c r="AD56" i="6"/>
  <c r="L22" i="5"/>
  <c r="R10" i="5"/>
  <c r="P15" i="5"/>
  <c r="R64" i="6"/>
  <c r="F17" i="5"/>
  <c r="W60" i="6"/>
  <c r="Y41" i="5"/>
  <c r="U19" i="5"/>
  <c r="O46" i="6"/>
  <c r="F29" i="5"/>
  <c r="G39" i="5"/>
  <c r="E69" i="6"/>
  <c r="S15" i="5"/>
  <c r="I5" i="5"/>
  <c r="T32" i="5"/>
  <c r="Y9" i="5"/>
  <c r="W44" i="5"/>
  <c r="F30" i="5"/>
  <c r="AC20" i="5"/>
  <c r="W5" i="5"/>
  <c r="V58" i="6"/>
  <c r="G51" i="6"/>
  <c r="AC39" i="5"/>
  <c r="H25" i="5"/>
  <c r="Y16" i="5"/>
  <c r="Q39" i="5"/>
  <c r="M55" i="6"/>
  <c r="P46" i="6"/>
  <c r="O49" i="6"/>
  <c r="V49" i="6"/>
  <c r="I59" i="6"/>
  <c r="Y26" i="5"/>
  <c r="F15" i="5"/>
  <c r="T11" i="5"/>
  <c r="V56" i="6"/>
  <c r="M5" i="5"/>
  <c r="AB18" i="5"/>
  <c r="P36" i="5"/>
  <c r="E49" i="6"/>
  <c r="T31" i="6"/>
  <c r="Z46" i="6"/>
  <c r="AF43" i="5"/>
  <c r="AB34" i="5"/>
  <c r="AC33" i="5"/>
  <c r="AD20" i="5"/>
  <c r="W18" i="5"/>
  <c r="K30" i="5"/>
  <c r="AE21" i="5"/>
  <c r="AE9" i="5"/>
  <c r="F27" i="5"/>
  <c r="AD16" i="5"/>
  <c r="I43" i="5"/>
  <c r="W33" i="5"/>
  <c r="J34" i="5"/>
  <c r="T25" i="5"/>
  <c r="AC17" i="5"/>
  <c r="Y26" i="6" s="1"/>
  <c r="L15" i="5"/>
  <c r="AC9" i="5"/>
  <c r="J42" i="5"/>
  <c r="I26" i="5"/>
  <c r="K69" i="6"/>
  <c r="AC59" i="6"/>
  <c r="Q56" i="6"/>
  <c r="AF5" i="5"/>
  <c r="AA58" i="6"/>
  <c r="U50" i="6"/>
  <c r="AA17" i="5"/>
  <c r="P40" i="5"/>
  <c r="P34" i="5"/>
  <c r="F22" i="5"/>
  <c r="O35" i="6"/>
  <c r="L55" i="6"/>
  <c r="H22" i="5"/>
  <c r="K35" i="5"/>
  <c r="P9" i="5"/>
  <c r="U31" i="5"/>
  <c r="N34" i="5"/>
  <c r="S10" i="5"/>
  <c r="G37" i="5"/>
  <c r="O8" i="5"/>
  <c r="K34" i="6" s="1"/>
  <c r="Z13" i="5"/>
  <c r="Z21" i="5"/>
  <c r="H9" i="5"/>
  <c r="AC5" i="6"/>
  <c r="R7" i="5"/>
  <c r="M21" i="5"/>
  <c r="R5" i="5"/>
  <c r="N28" i="6" s="1"/>
  <c r="Q31" i="5"/>
  <c r="AF25" i="5"/>
  <c r="Y30" i="5"/>
  <c r="M8" i="5"/>
  <c r="W54" i="6"/>
  <c r="K7" i="5"/>
  <c r="P24" i="5"/>
  <c r="AD14" i="5"/>
  <c r="U17" i="5"/>
  <c r="Z9" i="5"/>
  <c r="L37" i="5"/>
  <c r="AB35" i="5"/>
  <c r="Y15" i="5"/>
  <c r="AD57" i="6"/>
  <c r="N21" i="5"/>
  <c r="Z14" i="5"/>
  <c r="V33" i="6" s="1"/>
  <c r="I55" i="6"/>
  <c r="L40" i="5"/>
  <c r="S11" i="5"/>
  <c r="AA40" i="5"/>
  <c r="D55" i="6"/>
  <c r="V9" i="5"/>
  <c r="G58" i="6"/>
  <c r="J33" i="5"/>
  <c r="N36" i="6"/>
  <c r="AC50" i="6"/>
  <c r="AE11" i="5"/>
  <c r="R46" i="6"/>
  <c r="L43" i="5"/>
  <c r="O35" i="5"/>
  <c r="U10" i="5"/>
  <c r="AC38" i="5"/>
  <c r="AA25" i="5"/>
  <c r="V37" i="5"/>
  <c r="Z22" i="5"/>
  <c r="H57" i="6"/>
  <c r="AC44" i="5"/>
  <c r="V34" i="5"/>
  <c r="P31" i="5"/>
  <c r="AB12" i="5"/>
  <c r="U18" i="5"/>
  <c r="N39" i="5"/>
  <c r="H37" i="5"/>
  <c r="T27" i="5"/>
  <c r="W42" i="5"/>
  <c r="P41" i="5"/>
  <c r="L57" i="6"/>
  <c r="N69" i="6"/>
  <c r="N23" i="5"/>
  <c r="Y45" i="5"/>
  <c r="AD50" i="6"/>
  <c r="P27" i="5"/>
  <c r="L31" i="6" s="1"/>
  <c r="E64" i="6"/>
  <c r="Q48" i="6"/>
  <c r="Q40" i="5"/>
  <c r="Y7" i="5"/>
  <c r="AC29" i="5"/>
  <c r="I22" i="5"/>
  <c r="AF21" i="5"/>
  <c r="O30" i="5"/>
  <c r="Y12" i="5"/>
  <c r="AC2" i="6"/>
  <c r="H41" i="5"/>
  <c r="H48" i="6"/>
  <c r="O34" i="5"/>
  <c r="H21" i="5"/>
  <c r="F34" i="5"/>
  <c r="N30" i="5"/>
  <c r="U55" i="6"/>
  <c r="R54" i="6"/>
  <c r="Y64" i="6"/>
  <c r="U32" i="5"/>
  <c r="AB29" i="5"/>
  <c r="AE22" i="5"/>
  <c r="S19" i="5"/>
  <c r="R33" i="5"/>
  <c r="AA14" i="5"/>
  <c r="R57" i="6"/>
  <c r="W10" i="5"/>
  <c r="M15" i="5"/>
  <c r="Z34" i="5"/>
  <c r="H33" i="5"/>
  <c r="X19" i="5"/>
  <c r="H59" i="6"/>
  <c r="AD13" i="5"/>
  <c r="M40" i="5"/>
  <c r="P11" i="5"/>
  <c r="T29" i="5"/>
  <c r="AA41" i="5"/>
  <c r="AF44" i="5"/>
  <c r="AD7" i="5"/>
  <c r="U22" i="5"/>
  <c r="AE42" i="5"/>
  <c r="F35" i="5"/>
  <c r="J36" i="5"/>
  <c r="F36" i="6" s="1"/>
  <c r="P21" i="5"/>
  <c r="AD55" i="6"/>
  <c r="U11" i="5"/>
  <c r="T35" i="5"/>
  <c r="Z20" i="5"/>
  <c r="P14" i="5"/>
  <c r="M23" i="5"/>
  <c r="U34" i="5"/>
  <c r="R24" i="5"/>
  <c r="M19" i="5"/>
  <c r="Q10" i="5"/>
  <c r="M26" i="5"/>
  <c r="Q13" i="5"/>
  <c r="V29" i="5"/>
  <c r="W7" i="5"/>
  <c r="E54" i="6"/>
  <c r="J40" i="5"/>
  <c r="AB37" i="5"/>
  <c r="AD31" i="5"/>
  <c r="T48" i="6"/>
  <c r="N7" i="5"/>
  <c r="N5" i="5"/>
  <c r="AC42" i="5"/>
  <c r="O11" i="5"/>
  <c r="T44" i="5"/>
  <c r="R35" i="5"/>
  <c r="O59" i="6"/>
  <c r="U54" i="6"/>
  <c r="K58" i="6"/>
  <c r="AB22" i="5"/>
  <c r="AB45" i="5"/>
  <c r="AB24" i="5"/>
  <c r="X5" i="5"/>
  <c r="Z60" i="6"/>
  <c r="H55" i="6"/>
  <c r="Z31" i="6"/>
  <c r="S45" i="5"/>
  <c r="X34" i="5"/>
  <c r="R56" i="6"/>
  <c r="X28" i="5"/>
  <c r="W59" i="6"/>
  <c r="T12" i="5"/>
  <c r="N9" i="5"/>
  <c r="AB16" i="5"/>
  <c r="O44" i="5"/>
  <c r="R29" i="5"/>
  <c r="I21" i="5"/>
  <c r="L59" i="6"/>
  <c r="AB31" i="5"/>
  <c r="J10" i="5"/>
  <c r="AD5" i="5"/>
  <c r="V26" i="5"/>
  <c r="I28" i="6"/>
  <c r="T15" i="5"/>
  <c r="Y23" i="5"/>
  <c r="X64" i="6"/>
  <c r="X51" i="6"/>
  <c r="N33" i="5"/>
  <c r="O19" i="5"/>
  <c r="T57" i="6"/>
  <c r="F64" i="6"/>
  <c r="L5" i="5"/>
  <c r="I54" i="6"/>
  <c r="I34" i="5"/>
  <c r="P49" i="6"/>
  <c r="V44" i="5"/>
  <c r="M9" i="5"/>
  <c r="U42" i="5"/>
  <c r="G13" i="5"/>
  <c r="X38" i="5"/>
  <c r="AE41" i="5"/>
  <c r="Z12" i="5"/>
  <c r="W69" i="6"/>
  <c r="AA49" i="6"/>
  <c r="U58" i="6"/>
  <c r="P43" i="5"/>
  <c r="S32" i="5"/>
  <c r="F42" i="5"/>
  <c r="G33" i="5"/>
  <c r="T7" i="5"/>
  <c r="I14" i="5"/>
  <c r="AF26" i="5"/>
  <c r="N64" i="6"/>
  <c r="X69" i="6"/>
  <c r="AD35" i="5"/>
  <c r="K27" i="5"/>
  <c r="Z42" i="5"/>
  <c r="R51" i="6"/>
  <c r="V30" i="5"/>
  <c r="P7" i="5"/>
  <c r="AB23" i="5"/>
  <c r="H5" i="5"/>
  <c r="I36" i="5"/>
  <c r="AE29" i="5"/>
  <c r="AD19" i="5"/>
  <c r="AA5" i="5"/>
  <c r="R49" i="6"/>
  <c r="P28" i="5"/>
  <c r="O27" i="5"/>
  <c r="N59" i="6"/>
  <c r="K55" i="6"/>
  <c r="Z19" i="5"/>
  <c r="W20" i="5"/>
  <c r="AB49" i="6"/>
  <c r="U41" i="5"/>
  <c r="Z38" i="5"/>
  <c r="AD54" i="6"/>
  <c r="W17" i="5"/>
  <c r="AC8" i="6"/>
  <c r="AB44" i="5"/>
  <c r="I10" i="5"/>
  <c r="AD43" i="5"/>
  <c r="X22" i="5"/>
  <c r="M50" i="6"/>
  <c r="Q28" i="5"/>
  <c r="R28" i="5"/>
  <c r="L64" i="6"/>
  <c r="L14" i="5"/>
  <c r="R37" i="5"/>
  <c r="U36" i="5"/>
  <c r="Q36" i="6" s="1"/>
  <c r="G35" i="5"/>
  <c r="S69" i="6"/>
  <c r="F49" i="6"/>
  <c r="R38" i="5"/>
  <c r="F20" i="5"/>
  <c r="AE10" i="5"/>
  <c r="N37" i="5"/>
  <c r="U48" i="6"/>
  <c r="F58" i="6"/>
  <c r="M27" i="5"/>
  <c r="AF30" i="5"/>
  <c r="I8" i="5"/>
  <c r="I38" i="5"/>
  <c r="L35" i="5"/>
  <c r="AE15" i="5"/>
  <c r="AD39" i="5"/>
  <c r="Z29" i="5"/>
  <c r="AA12" i="5"/>
  <c r="I51" i="6"/>
  <c r="H69" i="6"/>
  <c r="F50" i="6"/>
  <c r="AA38" i="5"/>
  <c r="R59" i="6"/>
  <c r="R44" i="5"/>
  <c r="Z56" i="6"/>
  <c r="V38" i="5"/>
  <c r="AC11" i="5"/>
  <c r="R32" i="5"/>
  <c r="R27" i="5"/>
  <c r="S31" i="5"/>
  <c r="M20" i="5"/>
  <c r="AA43" i="5"/>
  <c r="AB55" i="6"/>
  <c r="F7" i="5"/>
  <c r="M46" i="6"/>
  <c r="K14" i="5"/>
  <c r="N57" i="6"/>
  <c r="Y11" i="5"/>
  <c r="AE23" i="5"/>
  <c r="AA36" i="5"/>
  <c r="AA31" i="5"/>
  <c r="AE37" i="5"/>
  <c r="Z58" i="6"/>
  <c r="AE18" i="5"/>
  <c r="N49" i="6"/>
  <c r="K56" i="6"/>
  <c r="Q29" i="5"/>
  <c r="N31" i="5"/>
  <c r="J9" i="5"/>
  <c r="X44" i="5"/>
  <c r="S27" i="5"/>
  <c r="Q42" i="5"/>
  <c r="S64" i="6"/>
  <c r="N26" i="5"/>
  <c r="H18" i="5"/>
  <c r="X24" i="5"/>
  <c r="AE19" i="5"/>
  <c r="F39" i="5"/>
  <c r="K5" i="5"/>
  <c r="F45" i="5"/>
  <c r="K17" i="5"/>
  <c r="R23" i="5"/>
  <c r="V28" i="5"/>
  <c r="E46" i="6"/>
  <c r="H11" i="5"/>
  <c r="G48" i="6"/>
  <c r="M12" i="5"/>
  <c r="I37" i="6" s="1"/>
  <c r="O51" i="6"/>
  <c r="H24" i="5"/>
  <c r="G44" i="5"/>
  <c r="G25" i="5"/>
  <c r="F57" i="6"/>
  <c r="S37" i="5"/>
  <c r="O12" i="5"/>
  <c r="U14" i="5"/>
  <c r="K29" i="5"/>
  <c r="AB28" i="6"/>
  <c r="V40" i="5"/>
  <c r="T50" i="6"/>
  <c r="N45" i="5"/>
  <c r="AF9" i="5"/>
  <c r="M42" i="5"/>
  <c r="Z15" i="5"/>
  <c r="AB51" i="6"/>
  <c r="Q51" i="6"/>
  <c r="P5" i="5"/>
  <c r="F32" i="5"/>
  <c r="AD13" i="6"/>
  <c r="Q49" i="6"/>
  <c r="K49" i="6"/>
  <c r="AB43" i="5"/>
  <c r="AB64" i="6"/>
  <c r="M11" i="5"/>
  <c r="N41" i="5"/>
  <c r="AB36" i="5"/>
  <c r="Q50" i="6"/>
  <c r="O38" i="5"/>
  <c r="W35" i="5"/>
  <c r="AC46" i="6"/>
  <c r="AC69" i="6"/>
  <c r="AB59" i="6"/>
  <c r="V55" i="6"/>
  <c r="N51" i="6"/>
  <c r="K19" i="5"/>
  <c r="AE35" i="5"/>
  <c r="F23" i="5"/>
  <c r="AC18" i="6"/>
  <c r="L25" i="5"/>
  <c r="Q55" i="6"/>
  <c r="F37" i="5"/>
  <c r="U27" i="6"/>
  <c r="G15" i="5"/>
  <c r="N32" i="6"/>
  <c r="H46" i="6"/>
  <c r="J69" i="6"/>
  <c r="Q8" i="5"/>
  <c r="H26" i="5"/>
  <c r="J48" i="6"/>
  <c r="AB40" i="5"/>
  <c r="AD44" i="5"/>
  <c r="F10" i="5"/>
  <c r="AA37" i="5"/>
  <c r="L58" i="6"/>
  <c r="AB50" i="6"/>
  <c r="W12" i="5"/>
  <c r="P19" i="5"/>
  <c r="V16" i="5"/>
  <c r="AD38" i="5"/>
  <c r="AF8" i="5"/>
  <c r="AC68" i="6"/>
  <c r="W34" i="5"/>
  <c r="AE38" i="5"/>
  <c r="AD11" i="6"/>
  <c r="AD25" i="5"/>
  <c r="V23" i="5"/>
  <c r="AA27" i="6"/>
  <c r="O48" i="6"/>
  <c r="G5" i="5"/>
  <c r="S18" i="5"/>
  <c r="H39" i="5"/>
  <c r="AB46" i="6"/>
  <c r="AA20" i="5"/>
  <c r="AC30" i="5"/>
  <c r="N18" i="5"/>
  <c r="Z37" i="5"/>
  <c r="U44" i="5"/>
  <c r="AD8" i="5"/>
  <c r="M14" i="5"/>
  <c r="I33" i="6" s="1"/>
  <c r="J60" i="6"/>
  <c r="D64" i="6"/>
  <c r="AD58" i="6"/>
  <c r="O29" i="5"/>
  <c r="J7" i="5"/>
  <c r="AD12" i="6"/>
  <c r="J51" i="6"/>
  <c r="U56" i="6"/>
  <c r="AC19" i="5"/>
  <c r="Y35" i="5"/>
  <c r="M48" i="6"/>
  <c r="X60" i="6"/>
  <c r="I35" i="5"/>
  <c r="X10" i="5"/>
  <c r="O39" i="5"/>
  <c r="O13" i="5"/>
  <c r="T41" i="6"/>
  <c r="W58" i="6"/>
  <c r="V12" i="5"/>
  <c r="L49" i="6"/>
  <c r="L60" i="6"/>
  <c r="P57" i="6"/>
  <c r="W11" i="5"/>
  <c r="S41" i="5"/>
  <c r="N11" i="5"/>
  <c r="AC27" i="5"/>
  <c r="K13" i="5"/>
  <c r="L8" i="5"/>
  <c r="AD34" i="5"/>
  <c r="W28" i="5"/>
  <c r="L19" i="5"/>
  <c r="I28" i="5"/>
  <c r="W8" i="5"/>
  <c r="K16" i="5"/>
  <c r="G55" i="6"/>
  <c r="X59" i="6"/>
  <c r="S17" i="5"/>
  <c r="J24" i="5"/>
  <c r="Q17" i="5"/>
  <c r="AF34" i="5"/>
  <c r="AD42" i="5"/>
  <c r="L24" i="5"/>
  <c r="AD4" i="6"/>
  <c r="AA59" i="6"/>
  <c r="W57" i="6"/>
  <c r="N35" i="5"/>
  <c r="O42" i="5"/>
  <c r="Y34" i="5"/>
  <c r="M41" i="5"/>
  <c r="V18" i="5"/>
  <c r="H19" i="5"/>
  <c r="N40" i="5"/>
  <c r="H27" i="5"/>
  <c r="Y8" i="5"/>
  <c r="I50" i="6"/>
  <c r="AA60" i="6"/>
  <c r="AA44" i="5"/>
  <c r="AD21" i="5"/>
  <c r="F24" i="5"/>
  <c r="Q18" i="5"/>
  <c r="Y60" i="6"/>
  <c r="AC10" i="6"/>
  <c r="L21" i="5"/>
  <c r="Z51" i="6"/>
  <c r="P13" i="5"/>
  <c r="X36" i="6"/>
  <c r="AB19" i="5"/>
  <c r="J57" i="6"/>
  <c r="G54" i="6"/>
  <c r="Z57" i="6"/>
  <c r="D58" i="6"/>
  <c r="Y37" i="5"/>
  <c r="N10" i="5"/>
  <c r="AB48" i="6"/>
  <c r="AA18" i="5"/>
  <c r="I19" i="5"/>
  <c r="V19" i="5"/>
  <c r="AC51" i="6"/>
  <c r="H34" i="5"/>
  <c r="H42" i="5"/>
  <c r="J32" i="5"/>
  <c r="L41" i="5"/>
  <c r="AF33" i="5"/>
  <c r="Q9" i="5"/>
  <c r="T46" i="6"/>
  <c r="K38" i="5"/>
  <c r="S56" i="6"/>
  <c r="K23" i="5"/>
  <c r="G29" i="5"/>
  <c r="Q44" i="5"/>
  <c r="R50" i="6"/>
  <c r="P16" i="5"/>
  <c r="V22" i="5"/>
  <c r="P39" i="5"/>
  <c r="I39" i="5"/>
  <c r="AB8" i="5"/>
  <c r="AA55" i="6"/>
  <c r="V7" i="5"/>
  <c r="V25" i="5"/>
  <c r="K46" i="6"/>
  <c r="W39" i="5"/>
  <c r="T30" i="5"/>
  <c r="AA16" i="5"/>
  <c r="U9" i="5"/>
  <c r="J18" i="5"/>
  <c r="T42" i="5"/>
  <c r="I11" i="5"/>
  <c r="AF37" i="5"/>
  <c r="AC58" i="6"/>
  <c r="M30" i="5"/>
  <c r="T64" i="6"/>
  <c r="K50" i="6"/>
  <c r="V15" i="5"/>
  <c r="K25" i="5"/>
  <c r="AE24" i="5"/>
  <c r="O26" i="5"/>
  <c r="AB69" i="6"/>
  <c r="AB54" i="6"/>
  <c r="T9" i="5"/>
  <c r="U60" i="6"/>
  <c r="AE20" i="5"/>
  <c r="F36" i="5"/>
  <c r="K39" i="5"/>
  <c r="R12" i="5"/>
  <c r="AA54" i="6"/>
  <c r="E48" i="6"/>
  <c r="AD51" i="6"/>
  <c r="E51" i="6"/>
  <c r="W29" i="5"/>
  <c r="T38" i="5"/>
  <c r="AD60" i="6"/>
  <c r="J45" i="5"/>
  <c r="AC60" i="6"/>
  <c r="AD23" i="5"/>
  <c r="V50" i="6"/>
  <c r="X57" i="6"/>
  <c r="N48" i="6"/>
  <c r="L46" i="6"/>
  <c r="AB20" i="5"/>
  <c r="Y32" i="5"/>
  <c r="H17" i="5"/>
  <c r="AE14" i="5"/>
  <c r="F38" i="5"/>
  <c r="I30" i="5"/>
  <c r="AB10" i="5"/>
  <c r="X36" i="5"/>
  <c r="T16" i="5"/>
  <c r="L12" i="5"/>
  <c r="Y14" i="5"/>
  <c r="S38" i="5"/>
  <c r="Z48" i="6"/>
  <c r="G17" i="5"/>
  <c r="Z43" i="5"/>
  <c r="AA13" i="5"/>
  <c r="Y36" i="5"/>
  <c r="S60" i="6"/>
  <c r="AB58" i="6"/>
  <c r="K41" i="5"/>
  <c r="M31" i="5"/>
  <c r="I18" i="5"/>
  <c r="J26" i="5"/>
  <c r="M45" i="5"/>
  <c r="H32" i="5"/>
  <c r="P31" i="6"/>
  <c r="AF7" i="5"/>
  <c r="T43" i="5"/>
  <c r="N43" i="5"/>
  <c r="AA30" i="5"/>
  <c r="I60" i="6"/>
  <c r="AA45" i="5"/>
  <c r="G18" i="5"/>
  <c r="I13" i="5"/>
  <c r="L38" i="5"/>
  <c r="L29" i="5"/>
  <c r="S55" i="6"/>
  <c r="L30" i="5"/>
  <c r="AB5" i="5"/>
  <c r="AD40" i="5"/>
  <c r="R45" i="5"/>
  <c r="W26" i="5"/>
  <c r="G41" i="5"/>
  <c r="L54" i="6"/>
  <c r="G26" i="5"/>
  <c r="S58" i="6"/>
  <c r="AF13" i="5"/>
  <c r="S26" i="5"/>
  <c r="AC26" i="5"/>
  <c r="M38" i="5"/>
  <c r="M18" i="5"/>
  <c r="R30" i="5"/>
  <c r="F9" i="5"/>
  <c r="R9" i="5"/>
  <c r="V37" i="6"/>
  <c r="M51" i="6"/>
  <c r="F32" i="6"/>
  <c r="K18" i="5"/>
  <c r="AA24" i="5"/>
  <c r="O28" i="5"/>
  <c r="O57" i="6"/>
  <c r="W22" i="5"/>
  <c r="S24" i="5"/>
  <c r="O21" i="5"/>
  <c r="I41" i="5"/>
  <c r="AA56" i="6"/>
  <c r="AC49" i="6"/>
  <c r="N44" i="5"/>
  <c r="G22" i="5"/>
  <c r="X32" i="5"/>
  <c r="AB21" i="5"/>
  <c r="P22" i="5"/>
  <c r="R35" i="6"/>
  <c r="Z25" i="5"/>
  <c r="U26" i="6"/>
  <c r="Z7" i="5"/>
  <c r="W37" i="6"/>
  <c r="S30" i="5"/>
  <c r="S35" i="5"/>
  <c r="AD59" i="6"/>
  <c r="AE33" i="5"/>
  <c r="L26" i="5"/>
  <c r="M10" i="5"/>
  <c r="O36" i="5"/>
  <c r="H50" i="6"/>
  <c r="L27" i="5"/>
  <c r="R43" i="5"/>
  <c r="O24" i="5"/>
  <c r="K37" i="5"/>
  <c r="X12" i="5"/>
  <c r="V20" i="5"/>
  <c r="M54" i="6"/>
  <c r="H14" i="5"/>
  <c r="Z33" i="6"/>
  <c r="M37" i="5"/>
  <c r="AC15" i="5"/>
  <c r="F54" i="6"/>
  <c r="H44" i="5"/>
  <c r="S42" i="5"/>
  <c r="M58" i="6"/>
  <c r="L44" i="5"/>
  <c r="O32" i="5"/>
  <c r="Q30" i="5"/>
  <c r="O37" i="6"/>
  <c r="AB25" i="5"/>
  <c r="W36" i="5"/>
  <c r="P64" i="6"/>
  <c r="AB56" i="6"/>
  <c r="Q60" i="6"/>
  <c r="H15" i="5"/>
  <c r="AA22" i="5"/>
  <c r="U38" i="5"/>
  <c r="V36" i="5"/>
  <c r="M16" i="5"/>
  <c r="I58" i="6"/>
  <c r="K45" i="5"/>
  <c r="Q37" i="5"/>
  <c r="G21" i="5"/>
  <c r="X7" i="5"/>
  <c r="W45" i="5"/>
  <c r="G10" i="5"/>
  <c r="AD11" i="5"/>
  <c r="AA21" i="5"/>
  <c r="L23" i="5"/>
  <c r="AF35" i="5"/>
  <c r="AA28" i="5"/>
  <c r="AC18" i="5"/>
  <c r="O56" i="6"/>
  <c r="J49" i="6"/>
  <c r="T55" i="6"/>
  <c r="AC4" i="6"/>
  <c r="Z18" i="5"/>
  <c r="AC61" i="6"/>
  <c r="Q15" i="5"/>
  <c r="R8" i="5"/>
  <c r="T20" i="5"/>
  <c r="AA46" i="6"/>
  <c r="U26" i="5"/>
  <c r="M44" i="5"/>
  <c r="Q35" i="5"/>
  <c r="R34" i="5"/>
  <c r="Q38" i="5"/>
  <c r="AE32" i="5"/>
  <c r="Q27" i="5"/>
  <c r="AC57" i="6"/>
  <c r="F11" i="5"/>
  <c r="H23" i="5"/>
  <c r="G43" i="5"/>
  <c r="AC24" i="5"/>
  <c r="AB11" i="5"/>
  <c r="X31" i="5"/>
  <c r="I69" i="6"/>
  <c r="O55" i="6"/>
  <c r="H36" i="5"/>
  <c r="Q59" i="6"/>
  <c r="U35" i="5"/>
  <c r="X9" i="5"/>
  <c r="V39" i="5"/>
  <c r="T5" i="5"/>
  <c r="O37" i="5"/>
  <c r="W16" i="5"/>
  <c r="W14" i="5"/>
  <c r="M25" i="5"/>
  <c r="I35" i="6" s="1"/>
  <c r="Z49" i="6"/>
  <c r="AA39" i="5"/>
  <c r="Q41" i="5"/>
  <c r="U27" i="5"/>
  <c r="Q31" i="6" s="1"/>
  <c r="AC12" i="6"/>
  <c r="I44" i="5"/>
  <c r="AF12" i="5"/>
  <c r="Y50" i="6"/>
  <c r="AC41" i="5"/>
  <c r="J28" i="5"/>
  <c r="AC7" i="5"/>
  <c r="Q7" i="5"/>
  <c r="M32" i="6" s="1"/>
  <c r="AE27" i="5"/>
  <c r="T13" i="5"/>
  <c r="X54" i="6"/>
  <c r="D59" i="6"/>
  <c r="H10" i="5"/>
  <c r="G64" i="6"/>
  <c r="O50" i="6"/>
  <c r="X42" i="5"/>
  <c r="Q43" i="5"/>
  <c r="P44" i="5"/>
  <c r="J43" i="5"/>
  <c r="R37" i="6"/>
  <c r="AD46" i="6"/>
  <c r="G31" i="5"/>
  <c r="AD22" i="5"/>
  <c r="Y58" i="6"/>
  <c r="P10" i="5"/>
  <c r="X33" i="5"/>
  <c r="Q14" i="5"/>
  <c r="AA26" i="5"/>
  <c r="O33" i="5"/>
  <c r="L7" i="5"/>
  <c r="Y48" i="6"/>
  <c r="K43" i="5"/>
  <c r="AB32" i="5"/>
  <c r="N58" i="6"/>
  <c r="R20" i="5"/>
  <c r="P60" i="6"/>
  <c r="S36" i="6"/>
  <c r="I46" i="6"/>
  <c r="AC31" i="5"/>
  <c r="H58" i="6"/>
  <c r="L45" i="5"/>
  <c r="Q24" i="5"/>
  <c r="L32" i="5"/>
  <c r="K44" i="5"/>
  <c r="H31" i="5"/>
  <c r="M7" i="5"/>
  <c r="K10" i="5"/>
  <c r="Q11" i="5"/>
  <c r="L31" i="5"/>
  <c r="X41" i="5"/>
  <c r="Z35" i="5"/>
  <c r="N15" i="5"/>
  <c r="AE13" i="5"/>
  <c r="D60" i="6"/>
  <c r="Q26" i="5"/>
  <c r="S33" i="5"/>
  <c r="G38" i="5"/>
  <c r="AF20" i="5"/>
  <c r="O54" i="6"/>
  <c r="X56" i="6"/>
  <c r="G40" i="5"/>
  <c r="Q33" i="5"/>
  <c r="AD33" i="5"/>
  <c r="Z30" i="5"/>
  <c r="AC35" i="5"/>
  <c r="K26" i="5"/>
  <c r="S59" i="6"/>
  <c r="J30" i="5"/>
  <c r="AA15" i="5"/>
  <c r="W38" i="5"/>
  <c r="M39" i="5"/>
  <c r="AB30" i="5"/>
  <c r="S54" i="6"/>
  <c r="P30" i="5"/>
  <c r="J15" i="5"/>
  <c r="X35" i="5"/>
  <c r="X50" i="6"/>
  <c r="K59" i="6"/>
  <c r="Q23" i="5"/>
  <c r="AD26" i="5"/>
  <c r="G42" i="5"/>
  <c r="O10" i="5"/>
  <c r="L33" i="5"/>
  <c r="Y43" i="5"/>
  <c r="AE39" i="5"/>
  <c r="V42" i="5"/>
  <c r="G24" i="5"/>
  <c r="I23" i="5"/>
  <c r="AE28" i="5"/>
  <c r="K24" i="5"/>
  <c r="L48" i="6"/>
  <c r="U25" i="5"/>
  <c r="F46" i="6"/>
  <c r="W51" i="6"/>
  <c r="AB13" i="5"/>
  <c r="F18" i="5"/>
  <c r="Z50" i="6"/>
  <c r="V24" i="5"/>
  <c r="Y25" i="5"/>
  <c r="Y31" i="5"/>
  <c r="O45" i="5"/>
  <c r="R39" i="5"/>
  <c r="P35" i="6"/>
  <c r="AA19" i="5"/>
  <c r="X37" i="6"/>
  <c r="T36" i="5"/>
  <c r="AA57" i="6"/>
  <c r="Y21" i="5"/>
  <c r="T14" i="5"/>
  <c r="D54" i="6"/>
  <c r="S46" i="6"/>
  <c r="R15" i="5"/>
  <c r="AA7" i="5"/>
  <c r="P42" i="5"/>
  <c r="R21" i="5"/>
  <c r="K37" i="6"/>
  <c r="H8" i="5"/>
  <c r="G49" i="6"/>
  <c r="AA25" i="6"/>
  <c r="U5" i="5"/>
  <c r="G36" i="5"/>
  <c r="Q25" i="5"/>
  <c r="AF28" i="5"/>
  <c r="F59" i="6"/>
  <c r="R19" i="5"/>
  <c r="T41" i="5"/>
  <c r="K48" i="6"/>
  <c r="S21" i="5"/>
  <c r="AE44" i="5"/>
  <c r="P17" i="5"/>
  <c r="W25" i="5"/>
  <c r="Y49" i="6"/>
  <c r="P50" i="6"/>
  <c r="W43" i="5"/>
  <c r="J13" i="5"/>
  <c r="U43" i="5"/>
  <c r="I27" i="5"/>
  <c r="X30" i="5"/>
  <c r="AC54" i="6"/>
  <c r="K11" i="5"/>
  <c r="AD48" i="6"/>
  <c r="P48" i="6"/>
  <c r="I37" i="5"/>
  <c r="T24" i="5"/>
  <c r="H35" i="5"/>
  <c r="V51" i="6"/>
  <c r="AF38" i="5"/>
  <c r="Z27" i="5"/>
  <c r="V54" i="6"/>
  <c r="E55" i="6"/>
  <c r="E60" i="6"/>
  <c r="P37" i="5"/>
  <c r="AA9" i="5"/>
  <c r="W41" i="5"/>
  <c r="AC21" i="5"/>
  <c r="AE25" i="5"/>
  <c r="X49" i="6"/>
  <c r="I12" i="5"/>
  <c r="F25" i="5"/>
  <c r="I17" i="5"/>
  <c r="U33" i="5"/>
  <c r="AA48" i="6"/>
  <c r="H43" i="5"/>
  <c r="I32" i="5"/>
  <c r="Q54" i="6"/>
  <c r="M22" i="5"/>
  <c r="L51" i="6"/>
  <c r="O40" i="5"/>
  <c r="Q16" i="5"/>
  <c r="J17" i="5"/>
  <c r="AF40" i="5"/>
  <c r="U39" i="5"/>
  <c r="J37" i="6"/>
  <c r="F13" i="5"/>
  <c r="H45" i="5"/>
  <c r="M28" i="5"/>
  <c r="AE45" i="5"/>
  <c r="F41" i="5"/>
  <c r="F43" i="5"/>
  <c r="H20" i="5"/>
  <c r="Q58" i="6"/>
  <c r="AC56" i="6"/>
  <c r="AF29" i="5"/>
  <c r="Y33" i="5"/>
  <c r="R55" i="6"/>
  <c r="AA11" i="5"/>
  <c r="X46" i="6"/>
  <c r="N32" i="5"/>
  <c r="P51" i="6"/>
  <c r="AA64" i="6"/>
  <c r="T19" i="5"/>
  <c r="W25" i="6"/>
  <c r="P54" i="6"/>
  <c r="T18" i="5"/>
  <c r="X39" i="5"/>
  <c r="W50" i="6"/>
  <c r="V64" i="6"/>
  <c r="G45" i="5"/>
  <c r="V46" i="6"/>
  <c r="P33" i="5"/>
  <c r="Z26" i="5"/>
  <c r="Q19" i="5"/>
  <c r="T33" i="5"/>
  <c r="O23" i="5"/>
  <c r="T8" i="5"/>
  <c r="U45" i="5"/>
  <c r="T49" i="6"/>
  <c r="H54" i="6"/>
  <c r="H40" i="5"/>
  <c r="V59" i="6"/>
  <c r="J64" i="6"/>
  <c r="V57" i="6"/>
  <c r="I48" i="6"/>
  <c r="I56" i="6"/>
  <c r="U59" i="6"/>
  <c r="O9" i="5"/>
  <c r="T21" i="5"/>
  <c r="W21" i="5"/>
  <c r="Y40" i="5"/>
  <c r="S8" i="5"/>
  <c r="J35" i="5"/>
  <c r="F5" i="5"/>
  <c r="L28" i="5"/>
  <c r="U23" i="5"/>
  <c r="E28" i="6"/>
  <c r="H26" i="6"/>
  <c r="G32" i="6"/>
  <c r="M34" i="5"/>
  <c r="AD17" i="5"/>
  <c r="W13" i="5"/>
  <c r="G60" i="6"/>
  <c r="R60" i="6"/>
  <c r="N26" i="6"/>
  <c r="H29" i="5"/>
  <c r="K15" i="5"/>
  <c r="I64" i="6"/>
  <c r="N42" i="5"/>
  <c r="X16" i="5"/>
  <c r="AF45" i="5"/>
  <c r="W15" i="5"/>
  <c r="O25" i="5"/>
  <c r="M57" i="6"/>
  <c r="U20" i="5"/>
  <c r="AD18" i="6"/>
  <c r="K31" i="5"/>
  <c r="Y69" i="6"/>
  <c r="F35" i="6"/>
  <c r="W49" i="6"/>
  <c r="J38" i="5"/>
  <c r="AF17" i="5"/>
  <c r="Y27" i="5"/>
  <c r="U57" i="6"/>
  <c r="M35" i="5"/>
  <c r="W24" i="5"/>
  <c r="Z55" i="6"/>
  <c r="Y56" i="6"/>
  <c r="H13" i="5"/>
  <c r="N46" i="6"/>
  <c r="U46" i="6"/>
  <c r="Z23" i="5"/>
  <c r="N25" i="5"/>
  <c r="T40" i="5"/>
  <c r="X29" i="5"/>
  <c r="H38" i="5"/>
  <c r="I20" i="5"/>
  <c r="N29" i="5"/>
  <c r="Y13" i="5"/>
  <c r="AC14" i="5"/>
  <c r="AE5" i="5"/>
  <c r="AD32" i="5"/>
  <c r="V10" i="5"/>
  <c r="L27" i="6"/>
  <c r="Z54" i="6"/>
  <c r="F31" i="6"/>
  <c r="AD18" i="5"/>
  <c r="V35" i="5"/>
  <c r="S39" i="5"/>
  <c r="P25" i="5"/>
  <c r="AC13" i="6"/>
  <c r="J19" i="5"/>
  <c r="AD10" i="6"/>
  <c r="Y51" i="6"/>
  <c r="Z40" i="5"/>
  <c r="T17" i="5"/>
  <c r="G12" i="5"/>
  <c r="K36" i="5"/>
  <c r="Z34" i="6"/>
  <c r="N38" i="5"/>
  <c r="T33" i="6"/>
  <c r="U35" i="6"/>
  <c r="AC3" i="6"/>
  <c r="X11" i="5"/>
  <c r="G32" i="5"/>
  <c r="Z36" i="5"/>
  <c r="T10" i="5"/>
  <c r="D46" i="6"/>
  <c r="AC5" i="5"/>
  <c r="X8" i="5"/>
  <c r="AC40" i="5"/>
  <c r="M60" i="6"/>
  <c r="AF42" i="5"/>
  <c r="D51" i="6"/>
  <c r="T23" i="5"/>
  <c r="J37" i="5"/>
  <c r="AE36" i="5"/>
  <c r="N20" i="5"/>
  <c r="X40" i="5"/>
  <c r="U8" i="5"/>
  <c r="AB9" i="5"/>
  <c r="X45" i="5"/>
  <c r="E59" i="6"/>
  <c r="AB17" i="5"/>
  <c r="J5" i="5"/>
  <c r="F14" i="5"/>
  <c r="I29" i="5"/>
  <c r="AD49" i="6"/>
  <c r="L13" i="5"/>
  <c r="H41" i="6" s="1"/>
  <c r="Z41" i="5"/>
  <c r="X34" i="6"/>
  <c r="D50" i="6"/>
  <c r="AD14" i="6"/>
  <c r="S50" i="6"/>
  <c r="AF15" i="5"/>
  <c r="I57" i="6"/>
  <c r="J56" i="6"/>
  <c r="AD12" i="5"/>
  <c r="Z37" i="6" s="1"/>
  <c r="D69" i="6"/>
  <c r="N24" i="5"/>
  <c r="O26" i="6"/>
  <c r="Y29" i="5"/>
  <c r="AC13" i="5"/>
  <c r="AC12" i="5"/>
  <c r="Y37" i="6" s="1"/>
  <c r="X20" i="5"/>
  <c r="L39" i="5"/>
  <c r="Y55" i="6"/>
  <c r="AD9" i="6"/>
  <c r="U51" i="6"/>
  <c r="J44" i="5"/>
  <c r="AA35" i="5"/>
  <c r="AD5" i="6"/>
  <c r="U32" i="6"/>
  <c r="R11" i="5"/>
  <c r="V5" i="5"/>
  <c r="I15" i="5"/>
  <c r="K25" i="6"/>
  <c r="S49" i="6"/>
  <c r="G11" i="5"/>
  <c r="O64" i="6"/>
  <c r="Q64" i="6"/>
  <c r="AC32" i="5"/>
  <c r="X48" i="6"/>
  <c r="M29" i="5"/>
  <c r="W56" i="6"/>
  <c r="E33" i="6"/>
  <c r="Z39" i="5"/>
  <c r="D56" i="6"/>
  <c r="AA29" i="5"/>
  <c r="Z28" i="5"/>
  <c r="P35" i="5"/>
  <c r="J39" i="5"/>
  <c r="Z31" i="5"/>
  <c r="N36" i="5"/>
  <c r="U16" i="5"/>
  <c r="R69" i="6"/>
  <c r="M49" i="6"/>
  <c r="U25" i="6"/>
  <c r="J8" i="5"/>
  <c r="G9" i="5"/>
  <c r="P12" i="5"/>
  <c r="Q28" i="6"/>
  <c r="T22" i="5"/>
  <c r="J12" i="5"/>
  <c r="O20" i="5"/>
  <c r="V13" i="5"/>
  <c r="M56" i="6"/>
  <c r="Q57" i="6"/>
  <c r="AC10" i="5"/>
  <c r="N50" i="6"/>
  <c r="N14" i="5"/>
  <c r="M69" i="6"/>
  <c r="S29" i="5"/>
  <c r="K22" i="5"/>
  <c r="O43" i="5"/>
  <c r="AB27" i="5"/>
  <c r="P56" i="6"/>
  <c r="G27" i="5"/>
  <c r="K36" i="6"/>
  <c r="J14" i="5"/>
  <c r="G8" i="5"/>
  <c r="T45" i="5"/>
  <c r="T26" i="5"/>
  <c r="X23" i="5"/>
  <c r="R25" i="5"/>
  <c r="N35" i="6" s="1"/>
  <c r="W46" i="6"/>
  <c r="V32" i="5"/>
  <c r="AC55" i="6"/>
  <c r="Q46" i="6"/>
  <c r="AF10" i="5"/>
  <c r="AD30" i="5"/>
  <c r="AD29" i="5"/>
  <c r="K60" i="6"/>
  <c r="N55" i="6"/>
  <c r="F44" i="5"/>
  <c r="S43" i="5"/>
  <c r="O5" i="5"/>
  <c r="Y5" i="5"/>
  <c r="J29" i="5"/>
  <c r="K20" i="5"/>
  <c r="F28" i="5"/>
  <c r="S34" i="5"/>
  <c r="Z64" i="6"/>
  <c r="P45" i="5"/>
  <c r="X25" i="5"/>
  <c r="U69" i="6"/>
  <c r="H49" i="6"/>
  <c r="R41" i="5"/>
  <c r="W27" i="5"/>
  <c r="AD36" i="5"/>
  <c r="U37" i="5"/>
  <c r="J41" i="5"/>
  <c r="Z69" i="6"/>
  <c r="AA51" i="6"/>
  <c r="AD41" i="5"/>
  <c r="J54" i="6"/>
  <c r="H64" i="6"/>
  <c r="J58" i="6"/>
  <c r="X37" i="5"/>
  <c r="Z17" i="5"/>
  <c r="V26" i="6" s="1"/>
  <c r="H16" i="5"/>
  <c r="M17" i="5"/>
  <c r="I26" i="6" s="1"/>
  <c r="AA33" i="5"/>
  <c r="I24" i="5"/>
  <c r="S14" i="5"/>
  <c r="O33" i="6" s="1"/>
  <c r="AB33" i="5"/>
  <c r="O41" i="6"/>
  <c r="AC43" i="5"/>
  <c r="R42" i="5"/>
  <c r="O14" i="5"/>
  <c r="AB60" i="6"/>
  <c r="O69" i="6"/>
  <c r="S28" i="5"/>
  <c r="I33" i="5"/>
  <c r="AF22" i="5"/>
  <c r="K57" i="6"/>
  <c r="K28" i="5"/>
  <c r="M25" i="6"/>
  <c r="E58" i="6"/>
  <c r="AA42" i="5"/>
  <c r="Z10" i="5"/>
  <c r="Z8" i="5"/>
  <c r="Y57" i="6"/>
  <c r="T51" i="6"/>
  <c r="W40" i="5"/>
  <c r="AD37" i="5"/>
  <c r="T34" i="5"/>
  <c r="U33" i="6"/>
  <c r="AA10" i="5"/>
  <c r="J23" i="5"/>
  <c r="Z5" i="5"/>
  <c r="V28" i="6" s="1"/>
  <c r="V14" i="5"/>
  <c r="AD9" i="5"/>
  <c r="W23" i="5"/>
  <c r="N56" i="6"/>
  <c r="R31" i="5"/>
  <c r="Z16" i="5"/>
  <c r="F26" i="5"/>
  <c r="X58" i="6"/>
  <c r="X17" i="5"/>
  <c r="H7" i="5"/>
  <c r="W64" i="6"/>
  <c r="P29" i="5"/>
  <c r="AD10" i="5"/>
  <c r="Y34" i="6"/>
  <c r="E57" i="6"/>
  <c r="G34" i="5"/>
  <c r="Q32" i="5"/>
  <c r="K33" i="5"/>
  <c r="P41" i="6"/>
  <c r="M33" i="5"/>
  <c r="AD45" i="5"/>
  <c r="L56" i="6"/>
  <c r="L18" i="5"/>
  <c r="Y10" i="5"/>
  <c r="K12" i="5"/>
  <c r="AC9" i="6"/>
  <c r="S51" i="6"/>
  <c r="T31" i="5"/>
  <c r="AC25" i="5"/>
  <c r="I31" i="5"/>
  <c r="V45" i="5"/>
  <c r="R16" i="5"/>
  <c r="F16" i="5"/>
  <c r="V11" i="5"/>
  <c r="AF18" i="5"/>
  <c r="K40" i="5"/>
  <c r="D49" i="6"/>
  <c r="D48" i="6"/>
  <c r="Y24" i="5"/>
  <c r="O7" i="5"/>
  <c r="K32" i="6" s="1"/>
  <c r="AA50" i="6"/>
  <c r="I7" i="5"/>
  <c r="G23" i="5"/>
  <c r="X18" i="5"/>
  <c r="P32" i="5"/>
  <c r="F8" i="5"/>
  <c r="AD68" i="6"/>
  <c r="AC45" i="5"/>
  <c r="T28" i="5"/>
  <c r="U7" i="5"/>
  <c r="N8" i="5"/>
  <c r="AF31" i="5"/>
  <c r="Y28" i="5"/>
  <c r="L42" i="5"/>
  <c r="H12" i="5"/>
  <c r="AF41" i="5"/>
  <c r="M13" i="5"/>
  <c r="G50" i="6"/>
  <c r="S33" i="6"/>
  <c r="AE34" i="5"/>
  <c r="AB39" i="5"/>
  <c r="AD15" i="5"/>
  <c r="AC34" i="5"/>
  <c r="M28" i="6"/>
  <c r="H28" i="5"/>
  <c r="AD8" i="6"/>
  <c r="L69" i="6"/>
  <c r="S23" i="5"/>
  <c r="AB41" i="5"/>
  <c r="J50" i="6"/>
  <c r="K42" i="5"/>
  <c r="H51" i="6"/>
  <c r="AE16" i="5"/>
  <c r="T37" i="5"/>
  <c r="M43" i="5"/>
  <c r="AC48" i="6"/>
  <c r="L36" i="5"/>
  <c r="Q34" i="5"/>
  <c r="G56" i="6"/>
  <c r="U49" i="6"/>
  <c r="R13" i="5"/>
  <c r="T39" i="5"/>
  <c r="P26" i="5"/>
  <c r="I16" i="5"/>
  <c r="AD28" i="5"/>
  <c r="P55" i="6"/>
  <c r="G30" i="5"/>
  <c r="I9" i="5"/>
  <c r="G20" i="5"/>
  <c r="F40" i="5"/>
  <c r="U13" i="5"/>
  <c r="U15" i="5"/>
  <c r="M32" i="5"/>
  <c r="S26" i="6"/>
  <c r="AG41" i="5" l="1"/>
  <c r="AH41" i="5" s="1"/>
  <c r="AG31" i="5"/>
  <c r="AH31" i="5" s="1"/>
  <c r="AG18" i="5"/>
  <c r="AH18" i="5" s="1"/>
  <c r="AG22" i="5"/>
  <c r="AH22" i="5" s="1"/>
  <c r="AG10" i="5"/>
  <c r="AH10" i="5" s="1"/>
  <c r="AG15" i="5"/>
  <c r="AH15" i="5" s="1"/>
  <c r="AG42" i="5"/>
  <c r="AH42" i="5" s="1"/>
  <c r="AG17" i="5"/>
  <c r="AH17" i="5" s="1"/>
  <c r="AG45" i="5"/>
  <c r="AH45" i="5" s="1"/>
  <c r="AG29" i="5"/>
  <c r="AH29" i="5" s="1"/>
  <c r="AG40" i="5"/>
  <c r="AH40" i="5" s="1"/>
  <c r="AG38" i="5"/>
  <c r="AH38" i="5" s="1"/>
  <c r="AG28" i="5"/>
  <c r="AH28" i="5" s="1"/>
  <c r="AG20" i="5"/>
  <c r="AH20" i="5" s="1"/>
  <c r="AG12" i="5"/>
  <c r="AH12" i="5" s="1"/>
  <c r="AG35" i="5"/>
  <c r="AH35" i="5" s="1"/>
  <c r="AG13" i="5"/>
  <c r="AH13" i="5" s="1"/>
  <c r="AG7" i="5"/>
  <c r="AH7" i="5" s="1"/>
  <c r="AG37" i="5"/>
  <c r="AH37" i="5" s="1"/>
  <c r="AG33" i="5"/>
  <c r="AH33" i="5" s="1"/>
  <c r="AG34" i="5"/>
  <c r="AH34" i="5" s="1"/>
  <c r="AG8" i="5"/>
  <c r="AH8" i="5" s="1"/>
  <c r="AG9" i="5"/>
  <c r="AH9" i="5" s="1"/>
  <c r="AG30" i="5"/>
  <c r="AH30" i="5" s="1"/>
  <c r="AG26" i="5"/>
  <c r="AH26" i="5" s="1"/>
  <c r="AG44" i="5"/>
  <c r="AH44" i="5" s="1"/>
  <c r="AG21" i="5"/>
  <c r="AH21" i="5" s="1"/>
  <c r="AG25" i="5"/>
  <c r="AH25" i="5" s="1"/>
  <c r="AG43" i="5"/>
  <c r="AH43" i="5" s="1"/>
  <c r="AG16" i="5"/>
  <c r="AH16" i="5" s="1"/>
  <c r="AG39" i="5"/>
  <c r="AH39" i="5" s="1"/>
  <c r="AG11" i="5"/>
  <c r="AH11" i="5" s="1"/>
  <c r="AG27" i="5"/>
  <c r="AH27" i="5" s="1"/>
  <c r="AG14" i="5"/>
  <c r="AH14" i="5" s="1"/>
  <c r="AG36" i="5"/>
  <c r="AH36" i="5" s="1"/>
  <c r="AG24" i="5"/>
  <c r="AH24" i="5" s="1"/>
  <c r="AG19" i="5"/>
  <c r="AH19" i="5" s="1"/>
  <c r="AG32" i="5"/>
  <c r="AH32" i="5" s="1"/>
  <c r="AG5" i="5"/>
  <c r="AH5" i="5" s="1"/>
  <c r="AF23" i="5"/>
  <c r="AG23" i="5" s="1"/>
  <c r="E222" i="8"/>
  <c r="E264" i="8"/>
  <c r="E181" i="8"/>
  <c r="E210" i="8"/>
  <c r="E229" i="8"/>
  <c r="E200" i="8"/>
  <c r="E179" i="8"/>
  <c r="E180" i="8"/>
  <c r="E245" i="8"/>
  <c r="E230" i="8"/>
  <c r="E201" i="8"/>
  <c r="E244" i="8"/>
  <c r="E228" i="8"/>
  <c r="E202" i="8"/>
  <c r="E184" i="8"/>
  <c r="E189" i="8"/>
  <c r="E208" i="8"/>
  <c r="E206" i="8"/>
  <c r="E231" i="8"/>
  <c r="E235" i="8"/>
  <c r="E255" i="8"/>
  <c r="E223" i="8"/>
  <c r="E188" i="8"/>
  <c r="E185" i="8"/>
  <c r="E190" i="8"/>
  <c r="E209" i="8"/>
  <c r="E234" i="8"/>
  <c r="E256" i="8"/>
  <c r="E247" i="8"/>
  <c r="E232" i="8"/>
  <c r="E186" i="8"/>
  <c r="E225" i="8"/>
  <c r="E211" i="8"/>
  <c r="E212" i="8"/>
  <c r="E254" i="8"/>
  <c r="E242" i="8"/>
  <c r="E243" i="8"/>
  <c r="E194" i="8"/>
  <c r="E199" i="8"/>
  <c r="E250" i="8"/>
  <c r="E221" i="8"/>
  <c r="E203" i="8"/>
  <c r="E216" i="8"/>
  <c r="E251" i="8"/>
  <c r="E246" i="8"/>
  <c r="E224" i="8"/>
  <c r="E253" i="8"/>
  <c r="E233" i="8"/>
  <c r="E252" i="8"/>
  <c r="E238" i="8"/>
  <c r="E262" i="8"/>
  <c r="E265" i="8"/>
  <c r="F265" i="8" s="1"/>
  <c r="E260" i="8"/>
  <c r="E207" i="8"/>
  <c r="E187" i="8"/>
  <c r="E178" i="8"/>
  <c r="E91" i="8"/>
  <c r="F91" i="8" s="1"/>
  <c r="E98" i="8"/>
  <c r="F98" i="8" s="1"/>
  <c r="E121" i="8"/>
  <c r="F121" i="8" s="1"/>
  <c r="E133" i="8"/>
  <c r="F133" i="8" s="1"/>
  <c r="E111" i="8"/>
  <c r="F111" i="8" s="1"/>
  <c r="E124" i="8"/>
  <c r="F124" i="8" s="1"/>
  <c r="E101" i="8"/>
  <c r="F101" i="8" s="1"/>
  <c r="E177" i="8"/>
  <c r="E123" i="8"/>
  <c r="F123" i="8" s="1"/>
  <c r="E155" i="8"/>
  <c r="F155" i="8" s="1"/>
  <c r="G30" i="4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E74" i="8"/>
  <c r="F74" i="8" s="1"/>
  <c r="E53" i="8"/>
  <c r="F53" i="8" s="1"/>
  <c r="E71" i="8"/>
  <c r="F71" i="8" s="1"/>
  <c r="E75" i="8"/>
  <c r="F75" i="8" s="1"/>
  <c r="E80" i="8"/>
  <c r="F80" i="8" s="1"/>
  <c r="E47" i="8"/>
  <c r="F47" i="8" s="1"/>
  <c r="E76" i="8"/>
  <c r="F76" i="8" s="1"/>
  <c r="E57" i="8"/>
  <c r="F57" i="8" s="1"/>
  <c r="E84" i="8"/>
  <c r="F84" i="8" s="1"/>
  <c r="E56" i="8"/>
  <c r="F56" i="8" s="1"/>
  <c r="E48" i="8"/>
  <c r="F48" i="8" s="1"/>
  <c r="E54" i="8"/>
  <c r="F54" i="8" s="1"/>
  <c r="E70" i="8"/>
  <c r="F70" i="8" s="1"/>
  <c r="E78" i="8"/>
  <c r="F78" i="8" s="1"/>
  <c r="E77" i="8"/>
  <c r="F77" i="8" s="1"/>
  <c r="E62" i="8"/>
  <c r="F62" i="8" s="1"/>
  <c r="E79" i="8"/>
  <c r="F79" i="8" s="1"/>
  <c r="E52" i="8"/>
  <c r="F52" i="8" s="1"/>
  <c r="E46" i="8"/>
  <c r="F46" i="8" s="1"/>
  <c r="E49" i="8"/>
  <c r="F49" i="8" s="1"/>
  <c r="E55" i="8"/>
  <c r="F55" i="8" s="1"/>
  <c r="E58" i="8"/>
  <c r="F58" i="8" s="1"/>
  <c r="E69" i="8"/>
  <c r="F69" i="8" s="1"/>
  <c r="E68" i="8"/>
  <c r="F68" i="8" s="1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AE48" i="5"/>
  <c r="AE49" i="5"/>
  <c r="AF48" i="5"/>
  <c r="AF49" i="5"/>
  <c r="AF50" i="5"/>
  <c r="AF51" i="5"/>
  <c r="AF52" i="5"/>
  <c r="AE50" i="5"/>
  <c r="AE51" i="5"/>
  <c r="AE52" i="5"/>
  <c r="AF53" i="5"/>
  <c r="AF54" i="5"/>
  <c r="AF55" i="5"/>
  <c r="AF56" i="5"/>
  <c r="AE54" i="5"/>
  <c r="AE55" i="5"/>
  <c r="AE56" i="5"/>
  <c r="AE53" i="5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Z48" i="5"/>
  <c r="Z49" i="5"/>
  <c r="N48" i="5"/>
  <c r="N49" i="5"/>
  <c r="W49" i="5"/>
  <c r="W48" i="5"/>
  <c r="Y49" i="5"/>
  <c r="Y48" i="5"/>
  <c r="M49" i="5"/>
  <c r="M48" i="5"/>
  <c r="K48" i="5"/>
  <c r="K49" i="5"/>
  <c r="X49" i="5"/>
  <c r="X48" i="5"/>
  <c r="L49" i="5"/>
  <c r="L48" i="5"/>
  <c r="AD49" i="5"/>
  <c r="AD48" i="5"/>
  <c r="J48" i="5"/>
  <c r="J49" i="5"/>
  <c r="H49" i="5"/>
  <c r="H48" i="5"/>
  <c r="G49" i="5"/>
  <c r="G48" i="5"/>
  <c r="F49" i="5"/>
  <c r="AC49" i="5"/>
  <c r="AC48" i="5"/>
  <c r="I49" i="5"/>
  <c r="I48" i="5"/>
  <c r="AB48" i="5"/>
  <c r="AB49" i="5"/>
  <c r="V49" i="5"/>
  <c r="V48" i="5"/>
  <c r="AA48" i="5"/>
  <c r="AA49" i="5"/>
  <c r="U49" i="5"/>
  <c r="U48" i="5"/>
  <c r="S49" i="5"/>
  <c r="S48" i="5"/>
  <c r="P49" i="5"/>
  <c r="P48" i="5"/>
  <c r="O49" i="5"/>
  <c r="O48" i="5"/>
  <c r="T49" i="5"/>
  <c r="T48" i="5"/>
  <c r="Q49" i="5"/>
  <c r="Q48" i="5"/>
  <c r="R49" i="5"/>
  <c r="R48" i="5"/>
  <c r="Z52" i="5"/>
  <c r="Z51" i="5"/>
  <c r="Z50" i="5"/>
  <c r="N52" i="5"/>
  <c r="N51" i="5"/>
  <c r="N50" i="5"/>
  <c r="W51" i="5"/>
  <c r="W50" i="5"/>
  <c r="W52" i="5"/>
  <c r="Y50" i="5"/>
  <c r="Y52" i="5"/>
  <c r="Y51" i="5"/>
  <c r="M52" i="5"/>
  <c r="M50" i="5"/>
  <c r="M51" i="5"/>
  <c r="K51" i="5"/>
  <c r="K50" i="5"/>
  <c r="K52" i="5"/>
  <c r="X50" i="5"/>
  <c r="X51" i="5"/>
  <c r="X52" i="5"/>
  <c r="L50" i="5"/>
  <c r="L52" i="5"/>
  <c r="L51" i="5"/>
  <c r="AD52" i="5"/>
  <c r="AD51" i="5"/>
  <c r="AD50" i="5"/>
  <c r="J52" i="5"/>
  <c r="J51" i="5"/>
  <c r="J50" i="5"/>
  <c r="G51" i="5"/>
  <c r="G52" i="5"/>
  <c r="G50" i="5"/>
  <c r="V52" i="5"/>
  <c r="V51" i="5"/>
  <c r="V50" i="5"/>
  <c r="AC52" i="5"/>
  <c r="AC51" i="5"/>
  <c r="AC50" i="5"/>
  <c r="I50" i="5"/>
  <c r="I52" i="5"/>
  <c r="I51" i="5"/>
  <c r="AA52" i="5"/>
  <c r="AA51" i="5"/>
  <c r="AA50" i="5"/>
  <c r="F51" i="5"/>
  <c r="F52" i="5"/>
  <c r="F50" i="5"/>
  <c r="AB52" i="5"/>
  <c r="AB51" i="5"/>
  <c r="AB50" i="5"/>
  <c r="H52" i="5"/>
  <c r="H51" i="5"/>
  <c r="H50" i="5"/>
  <c r="P52" i="5"/>
  <c r="P51" i="5"/>
  <c r="P50" i="5"/>
  <c r="O52" i="5"/>
  <c r="O51" i="5"/>
  <c r="O50" i="5"/>
  <c r="U52" i="5"/>
  <c r="U51" i="5"/>
  <c r="U50" i="5"/>
  <c r="T52" i="5"/>
  <c r="T51" i="5"/>
  <c r="T50" i="5"/>
  <c r="S52" i="5"/>
  <c r="S51" i="5"/>
  <c r="S50" i="5"/>
  <c r="R52" i="5"/>
  <c r="R51" i="5"/>
  <c r="R50" i="5"/>
  <c r="Q52" i="5"/>
  <c r="Q51" i="5"/>
  <c r="Q50" i="5"/>
  <c r="T54" i="5"/>
  <c r="T53" i="5"/>
  <c r="T55" i="5"/>
  <c r="T56" i="5"/>
  <c r="H54" i="5"/>
  <c r="H53" i="5"/>
  <c r="H55" i="5"/>
  <c r="H56" i="5"/>
  <c r="S55" i="5"/>
  <c r="S54" i="5"/>
  <c r="S53" i="5"/>
  <c r="S56" i="5"/>
  <c r="G55" i="5"/>
  <c r="G54" i="5"/>
  <c r="G53" i="5"/>
  <c r="G56" i="5"/>
  <c r="Q56" i="5"/>
  <c r="Q55" i="5"/>
  <c r="Q54" i="5"/>
  <c r="Q53" i="5"/>
  <c r="AD56" i="5"/>
  <c r="AD55" i="5"/>
  <c r="AD54" i="5"/>
  <c r="AD53" i="5"/>
  <c r="R56" i="5"/>
  <c r="R55" i="5"/>
  <c r="R54" i="5"/>
  <c r="R53" i="5"/>
  <c r="F56" i="5"/>
  <c r="F53" i="5"/>
  <c r="F55" i="5"/>
  <c r="F54" i="5"/>
  <c r="AC56" i="5"/>
  <c r="AC55" i="5"/>
  <c r="AC54" i="5"/>
  <c r="AC53" i="5"/>
  <c r="M56" i="5"/>
  <c r="M55" i="5"/>
  <c r="M54" i="5"/>
  <c r="M53" i="5"/>
  <c r="AB54" i="5"/>
  <c r="AB56" i="5"/>
  <c r="AB55" i="5"/>
  <c r="AB53" i="5"/>
  <c r="K55" i="5"/>
  <c r="K54" i="5"/>
  <c r="K56" i="5"/>
  <c r="K53" i="5"/>
  <c r="J55" i="5"/>
  <c r="J54" i="5"/>
  <c r="J56" i="5"/>
  <c r="J53" i="5"/>
  <c r="Y55" i="5"/>
  <c r="Y56" i="5"/>
  <c r="Y54" i="5"/>
  <c r="Y53" i="5"/>
  <c r="I53" i="5"/>
  <c r="I55" i="5"/>
  <c r="I54" i="5"/>
  <c r="I56" i="5"/>
  <c r="L56" i="5"/>
  <c r="L55" i="5"/>
  <c r="L54" i="5"/>
  <c r="L53" i="5"/>
  <c r="AA56" i="5"/>
  <c r="AA55" i="5"/>
  <c r="AA54" i="5"/>
  <c r="AA53" i="5"/>
  <c r="Z56" i="5"/>
  <c r="Z55" i="5"/>
  <c r="Z54" i="5"/>
  <c r="Z53" i="5"/>
  <c r="V55" i="5"/>
  <c r="V53" i="5"/>
  <c r="V56" i="5"/>
  <c r="V54" i="5"/>
  <c r="U53" i="5"/>
  <c r="U54" i="5"/>
  <c r="U55" i="5"/>
  <c r="U56" i="5"/>
  <c r="P56" i="5"/>
  <c r="P55" i="5"/>
  <c r="P54" i="5"/>
  <c r="P53" i="5"/>
  <c r="O54" i="5"/>
  <c r="O56" i="5"/>
  <c r="O55" i="5"/>
  <c r="O53" i="5"/>
  <c r="N56" i="5"/>
  <c r="N55" i="5"/>
  <c r="N54" i="5"/>
  <c r="N53" i="5"/>
  <c r="X56" i="5"/>
  <c r="X54" i="5"/>
  <c r="X55" i="5"/>
  <c r="X53" i="5"/>
  <c r="W56" i="5"/>
  <c r="W54" i="5"/>
  <c r="W53" i="5"/>
  <c r="W55" i="5"/>
  <c r="F48" i="5"/>
  <c r="AD63" i="6"/>
  <c r="AC62" i="6"/>
  <c r="AD65" i="6"/>
  <c r="AC66" i="6"/>
  <c r="AD61" i="6"/>
  <c r="AC67" i="6"/>
  <c r="AD67" i="6"/>
  <c r="AC65" i="6"/>
  <c r="AD62" i="6"/>
  <c r="AC53" i="6"/>
  <c r="AD53" i="6"/>
  <c r="AC63" i="6"/>
  <c r="AD52" i="6"/>
  <c r="AC52" i="6"/>
  <c r="AC23" i="6"/>
  <c r="AC6" i="6"/>
  <c r="AD6" i="6"/>
  <c r="AD19" i="6"/>
  <c r="Q41" i="6"/>
  <c r="S25" i="6"/>
  <c r="AA31" i="6"/>
  <c r="G41" i="6"/>
  <c r="E25" i="6"/>
  <c r="J31" i="6"/>
  <c r="H36" i="6"/>
  <c r="P25" i="6"/>
  <c r="P28" i="6"/>
  <c r="Z35" i="6"/>
  <c r="P37" i="6"/>
  <c r="Y36" i="6"/>
  <c r="J34" i="6"/>
  <c r="P34" i="6"/>
  <c r="M27" i="6"/>
  <c r="Z27" i="6"/>
  <c r="L25" i="6"/>
  <c r="J41" i="6"/>
  <c r="R33" i="6"/>
  <c r="H61" i="6"/>
  <c r="L23" i="6"/>
  <c r="R52" i="6"/>
  <c r="S11" i="6"/>
  <c r="E45" i="6"/>
  <c r="G66" i="6"/>
  <c r="E13" i="6"/>
  <c r="K9" i="6"/>
  <c r="U45" i="6"/>
  <c r="L29" i="6"/>
  <c r="G28" i="6"/>
  <c r="T12" i="6"/>
  <c r="X43" i="6"/>
  <c r="I3" i="6"/>
  <c r="L52" i="6"/>
  <c r="H14" i="6"/>
  <c r="Q67" i="6"/>
  <c r="H17" i="6"/>
  <c r="M38" i="6"/>
  <c r="P27" i="6"/>
  <c r="J9" i="6"/>
  <c r="F29" i="6"/>
  <c r="Q42" i="6"/>
  <c r="Z65" i="6"/>
  <c r="AD31" i="6"/>
  <c r="U9" i="6"/>
  <c r="D7" i="6"/>
  <c r="AB31" i="6"/>
  <c r="M33" i="6"/>
  <c r="I45" i="6"/>
  <c r="Q29" i="6"/>
  <c r="Z66" i="6"/>
  <c r="F41" i="6"/>
  <c r="O15" i="6"/>
  <c r="Z30" i="6"/>
  <c r="T61" i="6"/>
  <c r="AC17" i="6"/>
  <c r="M4" i="6"/>
  <c r="I61" i="6"/>
  <c r="Q2" i="6"/>
  <c r="V19" i="6"/>
  <c r="K7" i="6"/>
  <c r="L61" i="6"/>
  <c r="J17" i="6"/>
  <c r="D68" i="6"/>
  <c r="M36" i="6"/>
  <c r="T9" i="6"/>
  <c r="V38" i="6"/>
  <c r="F28" i="6"/>
  <c r="L53" i="6"/>
  <c r="N68" i="6"/>
  <c r="S13" i="6"/>
  <c r="E10" i="6"/>
  <c r="P26" i="6"/>
  <c r="W36" i="6"/>
  <c r="T67" i="6"/>
  <c r="P6" i="6"/>
  <c r="G29" i="6"/>
  <c r="W38" i="6"/>
  <c r="H62" i="6"/>
  <c r="R68" i="6"/>
  <c r="W29" i="6"/>
  <c r="F5" i="6"/>
  <c r="W32" i="6"/>
  <c r="T10" i="6"/>
  <c r="J42" i="6"/>
  <c r="X17" i="6"/>
  <c r="W10" i="6"/>
  <c r="X44" i="6"/>
  <c r="R32" i="6"/>
  <c r="W8" i="6"/>
  <c r="S23" i="6"/>
  <c r="T63" i="6"/>
  <c r="E34" i="6"/>
  <c r="F10" i="6"/>
  <c r="P2" i="6"/>
  <c r="V36" i="6"/>
  <c r="Y40" i="6"/>
  <c r="R39" i="6"/>
  <c r="V44" i="6"/>
  <c r="S4" i="6"/>
  <c r="AC26" i="6"/>
  <c r="H9" i="6"/>
  <c r="L43" i="6"/>
  <c r="V7" i="6"/>
  <c r="AD15" i="6"/>
  <c r="O52" i="6"/>
  <c r="Y30" i="6"/>
  <c r="S20" i="6"/>
  <c r="R3" i="6"/>
  <c r="G6" i="6"/>
  <c r="I15" i="6"/>
  <c r="D29" i="6"/>
  <c r="AC16" i="6"/>
  <c r="F15" i="6"/>
  <c r="AB2" i="6"/>
  <c r="AB26" i="6"/>
  <c r="AC33" i="6"/>
  <c r="E43" i="6"/>
  <c r="F37" i="6"/>
  <c r="W13" i="6"/>
  <c r="AB45" i="6"/>
  <c r="AA38" i="6"/>
  <c r="X28" i="6"/>
  <c r="X33" i="6"/>
  <c r="O68" i="6"/>
  <c r="L3" i="6"/>
  <c r="W5" i="6"/>
  <c r="X5" i="6"/>
  <c r="U37" i="6"/>
  <c r="N41" i="6"/>
  <c r="E61" i="6"/>
  <c r="AA19" i="6"/>
  <c r="V30" i="6"/>
  <c r="L7" i="6"/>
  <c r="AB3" i="6"/>
  <c r="V4" i="6"/>
  <c r="J44" i="6"/>
  <c r="J62" i="6"/>
  <c r="N20" i="6"/>
  <c r="Q32" i="6"/>
  <c r="F26" i="6"/>
  <c r="T32" i="6"/>
  <c r="S37" i="6"/>
  <c r="Z32" i="6"/>
  <c r="K33" i="6"/>
  <c r="E26" i="6"/>
  <c r="R36" i="6"/>
  <c r="M34" i="6"/>
  <c r="Z41" i="6"/>
  <c r="AA34" i="6"/>
  <c r="AB10" i="6"/>
  <c r="R66" i="6"/>
  <c r="X65" i="6"/>
  <c r="AA65" i="6"/>
  <c r="AD33" i="6"/>
  <c r="T29" i="6"/>
  <c r="S40" i="6"/>
  <c r="AA10" i="6"/>
  <c r="O16" i="6"/>
  <c r="Y20" i="6"/>
  <c r="J33" i="6"/>
  <c r="AB7" i="6"/>
  <c r="F9" i="6"/>
  <c r="Y16" i="6"/>
  <c r="W35" i="6"/>
  <c r="E52" i="6"/>
  <c r="L67" i="6"/>
  <c r="I40" i="6"/>
  <c r="AA45" i="6"/>
  <c r="M13" i="6"/>
  <c r="X16" i="6"/>
  <c r="AB65" i="6"/>
  <c r="U62" i="6"/>
  <c r="AD17" i="6"/>
  <c r="AB68" i="6"/>
  <c r="G21" i="6"/>
  <c r="M39" i="6"/>
  <c r="AB37" i="6"/>
  <c r="X41" i="6"/>
  <c r="Y62" i="6"/>
  <c r="AB22" i="6"/>
  <c r="Z13" i="6"/>
  <c r="H65" i="6"/>
  <c r="E5" i="6"/>
  <c r="J39" i="6"/>
  <c r="Q3" i="6"/>
  <c r="D66" i="6"/>
  <c r="O29" i="6"/>
  <c r="U5" i="6"/>
  <c r="S32" i="6"/>
  <c r="Z6" i="6"/>
  <c r="S62" i="6"/>
  <c r="J68" i="6"/>
  <c r="U15" i="6"/>
  <c r="S29" i="6"/>
  <c r="F12" i="6"/>
  <c r="P42" i="6"/>
  <c r="W65" i="6"/>
  <c r="K66" i="6"/>
  <c r="Q17" i="6"/>
  <c r="AC41" i="6"/>
  <c r="AC27" i="6"/>
  <c r="T40" i="6"/>
  <c r="X26" i="6"/>
  <c r="V34" i="6"/>
  <c r="AA12" i="6"/>
  <c r="Y67" i="6"/>
  <c r="M66" i="6"/>
  <c r="N44" i="6"/>
  <c r="AB35" i="6"/>
  <c r="AA39" i="6"/>
  <c r="U4" i="6"/>
  <c r="W2" i="6"/>
  <c r="R21" i="6"/>
  <c r="AB12" i="6"/>
  <c r="S5" i="6"/>
  <c r="Q52" i="6"/>
  <c r="J35" i="6"/>
  <c r="H43" i="6"/>
  <c r="P23" i="6"/>
  <c r="H40" i="6"/>
  <c r="S66" i="6"/>
  <c r="V5" i="6"/>
  <c r="U13" i="6"/>
  <c r="R2" i="6"/>
  <c r="X6" i="6"/>
  <c r="G43" i="6"/>
  <c r="R30" i="6"/>
  <c r="L13" i="6"/>
  <c r="O17" i="6"/>
  <c r="U7" i="6"/>
  <c r="AA2" i="6"/>
  <c r="Y42" i="6"/>
  <c r="E8" i="6"/>
  <c r="T7" i="6"/>
  <c r="J7" i="6"/>
  <c r="T45" i="6"/>
  <c r="D45" i="6"/>
  <c r="K2" i="6"/>
  <c r="T8" i="6"/>
  <c r="Q21" i="6"/>
  <c r="N38" i="6"/>
  <c r="T22" i="6"/>
  <c r="N29" i="6"/>
  <c r="O53" i="6"/>
  <c r="P52" i="6"/>
  <c r="N61" i="6"/>
  <c r="Y10" i="6"/>
  <c r="E30" i="6"/>
  <c r="I6" i="6"/>
  <c r="H6" i="6"/>
  <c r="Z21" i="6"/>
  <c r="AB11" i="6"/>
  <c r="AA40" i="6"/>
  <c r="J13" i="6"/>
  <c r="K62" i="6"/>
  <c r="Z4" i="6"/>
  <c r="AA62" i="6"/>
  <c r="AA23" i="6"/>
  <c r="AA16" i="6"/>
  <c r="D23" i="6"/>
  <c r="E18" i="6"/>
  <c r="AB38" i="6"/>
  <c r="S43" i="6"/>
  <c r="M63" i="6"/>
  <c r="F8" i="6"/>
  <c r="O38" i="6"/>
  <c r="G68" i="6"/>
  <c r="F68" i="6"/>
  <c r="E17" i="6"/>
  <c r="U16" i="6"/>
  <c r="T62" i="6"/>
  <c r="I68" i="6"/>
  <c r="W3" i="6"/>
  <c r="G22" i="6"/>
  <c r="R13" i="6"/>
  <c r="Y43" i="6"/>
  <c r="D8" i="6"/>
  <c r="Q43" i="6"/>
  <c r="D42" i="6"/>
  <c r="M6" i="6"/>
  <c r="J52" i="6"/>
  <c r="P21" i="6"/>
  <c r="S31" i="6"/>
  <c r="AA35" i="6"/>
  <c r="Q27" i="6"/>
  <c r="H35" i="6"/>
  <c r="Y27" i="6"/>
  <c r="U34" i="6"/>
  <c r="AB39" i="6"/>
  <c r="Q53" i="6"/>
  <c r="AD16" i="6"/>
  <c r="T18" i="6"/>
  <c r="U66" i="6"/>
  <c r="W14" i="6"/>
  <c r="M67" i="6"/>
  <c r="P3" i="6"/>
  <c r="R45" i="6"/>
  <c r="O66" i="6"/>
  <c r="Z36" i="6"/>
  <c r="W16" i="6"/>
  <c r="T4" i="6"/>
  <c r="F3" i="6"/>
  <c r="AB33" i="6"/>
  <c r="V42" i="6"/>
  <c r="AC21" i="6"/>
  <c r="I42" i="6"/>
  <c r="F42" i="6"/>
  <c r="D19" i="6"/>
  <c r="X27" i="6"/>
  <c r="N53" i="6"/>
  <c r="AA67" i="6"/>
  <c r="N3" i="6"/>
  <c r="R42" i="6"/>
  <c r="J63" i="6"/>
  <c r="U39" i="6"/>
  <c r="R25" i="6"/>
  <c r="Y32" i="6"/>
  <c r="AA8" i="6"/>
  <c r="O28" i="6"/>
  <c r="D11" i="6"/>
  <c r="I53" i="6"/>
  <c r="T26" i="6"/>
  <c r="N23" i="6"/>
  <c r="T6" i="6"/>
  <c r="M35" i="6"/>
  <c r="W6" i="6"/>
  <c r="I16" i="6"/>
  <c r="AD27" i="6"/>
  <c r="O5" i="6"/>
  <c r="N66" i="6"/>
  <c r="Q7" i="6"/>
  <c r="X11" i="6"/>
  <c r="T3" i="6"/>
  <c r="K20" i="6"/>
  <c r="T5" i="6"/>
  <c r="W62" i="6"/>
  <c r="W61" i="6"/>
  <c r="Y63" i="6"/>
  <c r="F23" i="6"/>
  <c r="Q5" i="6"/>
  <c r="F17" i="6"/>
  <c r="N34" i="6"/>
  <c r="R34" i="6"/>
  <c r="P39" i="6"/>
  <c r="O61" i="6"/>
  <c r="R28" i="6"/>
  <c r="Z42" i="6"/>
  <c r="AA6" i="6"/>
  <c r="T2" i="6"/>
  <c r="AB23" i="6"/>
  <c r="D34" i="6"/>
  <c r="T13" i="6"/>
  <c r="K65" i="6"/>
  <c r="U28" i="6"/>
  <c r="V31" i="6"/>
  <c r="T37" i="6"/>
  <c r="K27" i="6"/>
  <c r="J25" i="6"/>
  <c r="K28" i="6"/>
  <c r="AB27" i="6"/>
  <c r="V32" i="6"/>
  <c r="N31" i="6"/>
  <c r="I34" i="6"/>
  <c r="AB36" i="6"/>
  <c r="O45" i="6"/>
  <c r="L5" i="6"/>
  <c r="AD41" i="6"/>
  <c r="AB6" i="6"/>
  <c r="AB63" i="6"/>
  <c r="T44" i="6"/>
  <c r="J65" i="6"/>
  <c r="P68" i="6"/>
  <c r="AD35" i="6"/>
  <c r="O13" i="6"/>
  <c r="D31" i="6"/>
  <c r="U20" i="6"/>
  <c r="N27" i="6"/>
  <c r="Q61" i="6"/>
  <c r="Y38" i="6"/>
  <c r="J21" i="6"/>
  <c r="E15" i="6"/>
  <c r="I5" i="6"/>
  <c r="O25" i="6"/>
  <c r="AB15" i="6"/>
  <c r="X14" i="6"/>
  <c r="D38" i="6"/>
  <c r="W52" i="6"/>
  <c r="R11" i="6"/>
  <c r="V8" i="6"/>
  <c r="D2" i="6"/>
  <c r="X30" i="6"/>
  <c r="O34" i="6"/>
  <c r="AB25" i="6"/>
  <c r="I67" i="6"/>
  <c r="N6" i="6"/>
  <c r="H16" i="6"/>
  <c r="O22" i="6"/>
  <c r="I65" i="6"/>
  <c r="E3" i="6"/>
  <c r="P18" i="6"/>
  <c r="H27" i="6"/>
  <c r="W28" i="6"/>
  <c r="E29" i="6"/>
  <c r="F62" i="6"/>
  <c r="X68" i="6"/>
  <c r="G30" i="6"/>
  <c r="K38" i="6"/>
  <c r="M5" i="6"/>
  <c r="V52" i="6"/>
  <c r="R16" i="6"/>
  <c r="Q4" i="6"/>
  <c r="F6" i="6"/>
  <c r="M20" i="6"/>
  <c r="L12" i="6"/>
  <c r="AA14" i="6"/>
  <c r="T66" i="6"/>
  <c r="E6" i="6"/>
  <c r="R26" i="6"/>
  <c r="N33" i="6"/>
  <c r="W45" i="6"/>
  <c r="AA17" i="6"/>
  <c r="M10" i="6"/>
  <c r="T14" i="6"/>
  <c r="K68" i="6"/>
  <c r="AB53" i="6"/>
  <c r="J67" i="6"/>
  <c r="Q38" i="6"/>
  <c r="L19" i="6"/>
  <c r="AC31" i="6"/>
  <c r="AD22" i="6"/>
  <c r="S17" i="6"/>
  <c r="Q68" i="6"/>
  <c r="S6" i="6"/>
  <c r="AD26" i="6"/>
  <c r="J53" i="6"/>
  <c r="S18" i="6"/>
  <c r="Y18" i="6"/>
  <c r="P29" i="6"/>
  <c r="E41" i="6"/>
  <c r="K8" i="6"/>
  <c r="AD37" i="6"/>
  <c r="AC32" i="6"/>
  <c r="S22" i="6"/>
  <c r="W17" i="6"/>
  <c r="AB30" i="6"/>
  <c r="Q20" i="6"/>
  <c r="K11" i="6"/>
  <c r="W53" i="6"/>
  <c r="W4" i="6"/>
  <c r="E35" i="6"/>
  <c r="L10" i="6"/>
  <c r="J12" i="6"/>
  <c r="M8" i="6"/>
  <c r="X10" i="6"/>
  <c r="K4" i="6"/>
  <c r="X2" i="6"/>
  <c r="L20" i="6"/>
  <c r="E36" i="6"/>
  <c r="N63" i="6"/>
  <c r="R65" i="6"/>
  <c r="D39" i="6"/>
  <c r="AB4" i="6"/>
  <c r="G67" i="6"/>
  <c r="Q34" i="6"/>
  <c r="S35" i="6"/>
  <c r="O27" i="6"/>
  <c r="I31" i="6"/>
  <c r="L36" i="6"/>
  <c r="F33" i="6"/>
  <c r="U40" i="6"/>
  <c r="AA68" i="6"/>
  <c r="G25" i="6"/>
  <c r="O11" i="6"/>
  <c r="Y44" i="6"/>
  <c r="AD36" i="6"/>
  <c r="F18" i="6"/>
  <c r="Z15" i="6"/>
  <c r="U18" i="6"/>
  <c r="L37" i="6"/>
  <c r="Q26" i="6"/>
  <c r="K10" i="6"/>
  <c r="AC7" i="6"/>
  <c r="AB20" i="6"/>
  <c r="N30" i="6"/>
  <c r="Y31" i="6"/>
  <c r="H29" i="6"/>
  <c r="E22" i="6"/>
  <c r="X35" i="6"/>
  <c r="D52" i="6"/>
  <c r="W11" i="6"/>
  <c r="Q10" i="6"/>
  <c r="S34" i="6"/>
  <c r="H67" i="6"/>
  <c r="Q8" i="6"/>
  <c r="F16" i="6"/>
  <c r="W40" i="6"/>
  <c r="L35" i="6"/>
  <c r="P38" i="6"/>
  <c r="S53" i="6"/>
  <c r="N11" i="6"/>
  <c r="F2" i="6"/>
  <c r="Y21" i="6"/>
  <c r="D30" i="6"/>
  <c r="D65" i="6"/>
  <c r="K3" i="6"/>
  <c r="T25" i="6"/>
  <c r="N40" i="6"/>
  <c r="P66" i="6"/>
  <c r="M52" i="6"/>
  <c r="G45" i="6"/>
  <c r="L30" i="6"/>
  <c r="H44" i="6"/>
  <c r="W44" i="6"/>
  <c r="S8" i="6"/>
  <c r="U8" i="6"/>
  <c r="T21" i="6"/>
  <c r="V41" i="6"/>
  <c r="X40" i="6"/>
  <c r="AB40" i="6"/>
  <c r="X3" i="6"/>
  <c r="L68" i="6"/>
  <c r="V22" i="6"/>
  <c r="D36" i="6"/>
  <c r="K31" i="6"/>
  <c r="F30" i="6"/>
  <c r="AA4" i="6"/>
  <c r="O18" i="6"/>
  <c r="L11" i="6"/>
  <c r="O36" i="6"/>
  <c r="Y45" i="6"/>
  <c r="E67" i="6"/>
  <c r="M37" i="6"/>
  <c r="W34" i="6"/>
  <c r="X22" i="6"/>
  <c r="R63" i="6"/>
  <c r="M61" i="6"/>
  <c r="O19" i="6"/>
  <c r="F63" i="6"/>
  <c r="O6" i="6"/>
  <c r="G23" i="6"/>
  <c r="K15" i="6"/>
  <c r="H2" i="6"/>
  <c r="Y39" i="6"/>
  <c r="U29" i="6"/>
  <c r="O23" i="6"/>
  <c r="R4" i="6"/>
  <c r="J4" i="6"/>
  <c r="P22" i="6"/>
  <c r="O63" i="6"/>
  <c r="I52" i="6"/>
  <c r="P33" i="6"/>
  <c r="X7" i="6"/>
  <c r="G2" i="6"/>
  <c r="R14" i="6"/>
  <c r="I4" i="6"/>
  <c r="H4" i="6"/>
  <c r="AA66" i="6"/>
  <c r="H38" i="6"/>
  <c r="P45" i="6"/>
  <c r="Z11" i="6"/>
  <c r="G17" i="6"/>
  <c r="E62" i="6"/>
  <c r="K61" i="6"/>
  <c r="L16" i="6"/>
  <c r="T65" i="6"/>
  <c r="H5" i="6"/>
  <c r="X45" i="6"/>
  <c r="Q6" i="6"/>
  <c r="AB61" i="6"/>
  <c r="O21" i="6"/>
  <c r="J15" i="6"/>
  <c r="AD7" i="6"/>
  <c r="X18" i="6"/>
  <c r="X53" i="6"/>
  <c r="H52" i="6"/>
  <c r="T34" i="6"/>
  <c r="P36" i="6"/>
  <c r="H37" i="6"/>
  <c r="H33" i="6"/>
  <c r="D35" i="6"/>
  <c r="P32" i="6"/>
  <c r="R61" i="6"/>
  <c r="L2" i="6"/>
  <c r="N45" i="6"/>
  <c r="N10" i="6"/>
  <c r="P13" i="6"/>
  <c r="M43" i="6"/>
  <c r="F20" i="6"/>
  <c r="AB8" i="6"/>
  <c r="K26" i="6"/>
  <c r="E37" i="6"/>
  <c r="F27" i="6"/>
  <c r="J16" i="6"/>
  <c r="R44" i="6"/>
  <c r="Q65" i="6"/>
  <c r="AA53" i="6"/>
  <c r="R40" i="6"/>
  <c r="X63" i="6"/>
  <c r="O44" i="6"/>
  <c r="X25" i="6"/>
  <c r="T35" i="6"/>
  <c r="AA5" i="6"/>
  <c r="T17" i="6"/>
  <c r="J28" i="6"/>
  <c r="AA9" i="6"/>
  <c r="AA18" i="6"/>
  <c r="X20" i="6"/>
  <c r="W12" i="6"/>
  <c r="E31" i="6"/>
  <c r="X12" i="6"/>
  <c r="S14" i="6"/>
  <c r="V10" i="6"/>
  <c r="R22" i="6"/>
  <c r="T39" i="6"/>
  <c r="G10" i="6"/>
  <c r="X42" i="6"/>
  <c r="N7" i="6"/>
  <c r="L28" i="6"/>
  <c r="V15" i="6"/>
  <c r="AC28" i="6"/>
  <c r="AC20" i="6"/>
  <c r="Z67" i="6"/>
  <c r="Y41" i="6"/>
  <c r="D6" i="6"/>
  <c r="S3" i="6"/>
  <c r="Z26" i="6"/>
  <c r="AA3" i="6"/>
  <c r="L18" i="6"/>
  <c r="V62" i="6"/>
  <c r="Q66" i="6"/>
  <c r="G26" i="6"/>
  <c r="M68" i="6"/>
  <c r="Q39" i="6"/>
  <c r="K13" i="6"/>
  <c r="V35" i="6"/>
  <c r="Y35" i="6"/>
  <c r="I62" i="6"/>
  <c r="D21" i="6"/>
  <c r="AA37" i="6"/>
  <c r="F7" i="6"/>
  <c r="T43" i="6"/>
  <c r="D17" i="6"/>
  <c r="S30" i="6"/>
  <c r="H22" i="6"/>
  <c r="L44" i="6"/>
  <c r="Z22" i="6"/>
  <c r="H66" i="6"/>
  <c r="M44" i="6"/>
  <c r="O67" i="6"/>
  <c r="E9" i="6"/>
  <c r="W33" i="6"/>
  <c r="Y66" i="6"/>
  <c r="G9" i="6"/>
  <c r="Y8" i="6"/>
  <c r="P5" i="6"/>
  <c r="W9" i="6"/>
  <c r="Z9" i="6"/>
  <c r="O32" i="6"/>
  <c r="G39" i="6"/>
  <c r="S38" i="6"/>
  <c r="Y2" i="6"/>
  <c r="S9" i="6"/>
  <c r="R43" i="6"/>
  <c r="T36" i="6"/>
  <c r="V43" i="6"/>
  <c r="F38" i="6"/>
  <c r="W67" i="6"/>
  <c r="F14" i="6"/>
  <c r="G12" i="6"/>
  <c r="S12" i="6"/>
  <c r="M2" i="6"/>
  <c r="H12" i="6"/>
  <c r="AD20" i="6"/>
  <c r="W23" i="6"/>
  <c r="I9" i="6"/>
  <c r="Y28" i="6"/>
  <c r="S27" i="6"/>
  <c r="G27" i="6"/>
  <c r="D28" i="6"/>
  <c r="AA32" i="6"/>
  <c r="G52" i="6"/>
  <c r="Q18" i="6"/>
  <c r="U22" i="6"/>
  <c r="W20" i="6"/>
  <c r="Z7" i="6"/>
  <c r="S68" i="6"/>
  <c r="I10" i="6"/>
  <c r="D63" i="6"/>
  <c r="E39" i="6"/>
  <c r="F45" i="6"/>
  <c r="AB34" i="6"/>
  <c r="Q35" i="6"/>
  <c r="P8" i="6"/>
  <c r="V66" i="6"/>
  <c r="Q45" i="6"/>
  <c r="Z61" i="6"/>
  <c r="X21" i="6"/>
  <c r="V53" i="6"/>
  <c r="Y9" i="6"/>
  <c r="L41" i="6"/>
  <c r="W7" i="6"/>
  <c r="R7" i="6"/>
  <c r="I8" i="6"/>
  <c r="Q63" i="6"/>
  <c r="L63" i="6"/>
  <c r="W66" i="6"/>
  <c r="G18" i="6"/>
  <c r="E38" i="6"/>
  <c r="U41" i="6"/>
  <c r="O30" i="6"/>
  <c r="J22" i="6"/>
  <c r="R10" i="6"/>
  <c r="L15" i="6"/>
  <c r="W42" i="6"/>
  <c r="I17" i="6"/>
  <c r="R9" i="6"/>
  <c r="N52" i="6"/>
  <c r="I25" i="6"/>
  <c r="Q23" i="6"/>
  <c r="S42" i="6"/>
  <c r="AA7" i="6"/>
  <c r="Q62" i="6"/>
  <c r="AA21" i="6"/>
  <c r="W30" i="6"/>
  <c r="AB18" i="6"/>
  <c r="R41" i="6"/>
  <c r="G62" i="6"/>
  <c r="Y17" i="6"/>
  <c r="P12" i="6"/>
  <c r="V27" i="6"/>
  <c r="AA13" i="6"/>
  <c r="H20" i="6"/>
  <c r="U68" i="6"/>
  <c r="N13" i="6"/>
  <c r="X31" i="6"/>
  <c r="U36" i="6"/>
  <c r="AD28" i="6"/>
  <c r="V18" i="6"/>
  <c r="R38" i="6"/>
  <c r="S16" i="6"/>
  <c r="U3" i="6"/>
  <c r="U19" i="6"/>
  <c r="AB9" i="6"/>
  <c r="I43" i="6"/>
  <c r="U65" i="6"/>
  <c r="I2" i="6"/>
  <c r="AA20" i="6"/>
  <c r="S41" i="6"/>
  <c r="AA61" i="6"/>
  <c r="AA30" i="6"/>
  <c r="R12" i="6"/>
  <c r="E16" i="6"/>
  <c r="S52" i="6"/>
  <c r="Y6" i="6"/>
  <c r="G53" i="6"/>
  <c r="N4" i="6"/>
  <c r="O20" i="6"/>
  <c r="J2" i="6"/>
  <c r="D15" i="6"/>
  <c r="R31" i="6"/>
  <c r="U10" i="6"/>
  <c r="O4" i="6"/>
  <c r="K16" i="6"/>
  <c r="H45" i="6"/>
  <c r="I14" i="6"/>
  <c r="K19" i="6"/>
  <c r="E65" i="6"/>
  <c r="X9" i="6"/>
  <c r="M18" i="6"/>
  <c r="E21" i="6"/>
  <c r="Y7" i="6"/>
  <c r="P40" i="6"/>
  <c r="Y15" i="6"/>
  <c r="P14" i="6"/>
  <c r="AB13" i="6"/>
  <c r="D16" i="6"/>
  <c r="G19" i="6"/>
  <c r="M19" i="6"/>
  <c r="T15" i="6"/>
  <c r="G36" i="6"/>
  <c r="I32" i="6"/>
  <c r="Z25" i="6"/>
  <c r="H28" i="6"/>
  <c r="W31" i="6"/>
  <c r="X8" i="6"/>
  <c r="L39" i="6"/>
  <c r="P7" i="6"/>
  <c r="Z5" i="6"/>
  <c r="Y19" i="6"/>
  <c r="J11" i="6"/>
  <c r="Y52" i="6"/>
  <c r="O62" i="6"/>
  <c r="I38" i="6"/>
  <c r="O9" i="6"/>
  <c r="AB32" i="6"/>
  <c r="J38" i="6"/>
  <c r="J8" i="6"/>
  <c r="AB67" i="6"/>
  <c r="Z53" i="6"/>
  <c r="Q22" i="6"/>
  <c r="V12" i="6"/>
  <c r="M40" i="6"/>
  <c r="I13" i="6"/>
  <c r="Y33" i="6"/>
  <c r="AC15" i="6"/>
  <c r="N37" i="6"/>
  <c r="P44" i="6"/>
  <c r="M16" i="6"/>
  <c r="E66" i="6"/>
  <c r="Y65" i="6"/>
  <c r="X38" i="6"/>
  <c r="T27" i="6"/>
  <c r="X32" i="6"/>
  <c r="L40" i="6"/>
  <c r="N39" i="6"/>
  <c r="Z63" i="6"/>
  <c r="N12" i="6"/>
  <c r="P62" i="6"/>
  <c r="D40" i="6"/>
  <c r="V40" i="6"/>
  <c r="T19" i="6"/>
  <c r="G31" i="6"/>
  <c r="S44" i="6"/>
  <c r="P53" i="6"/>
  <c r="J10" i="6"/>
  <c r="N14" i="6"/>
  <c r="Q16" i="6"/>
  <c r="H13" i="6"/>
  <c r="G42" i="6"/>
  <c r="T28" i="6"/>
  <c r="W26" i="6"/>
  <c r="E23" i="6"/>
  <c r="H42" i="6"/>
  <c r="E68" i="6"/>
  <c r="AA43" i="6"/>
  <c r="M42" i="6"/>
  <c r="T52" i="6"/>
  <c r="X61" i="6"/>
  <c r="W27" i="6"/>
  <c r="Z14" i="6"/>
  <c r="AA44" i="6"/>
  <c r="U17" i="6"/>
  <c r="S7" i="6"/>
  <c r="R5" i="6"/>
  <c r="V3" i="6"/>
  <c r="P15" i="6"/>
  <c r="V21" i="6"/>
  <c r="J61" i="6"/>
  <c r="AA29" i="6"/>
  <c r="G20" i="6"/>
  <c r="L32" i="6"/>
  <c r="Q9" i="6"/>
  <c r="P16" i="6"/>
  <c r="L21" i="6"/>
  <c r="D61" i="6"/>
  <c r="Z16" i="6"/>
  <c r="AB62" i="6"/>
  <c r="U6" i="6"/>
  <c r="Z44" i="6"/>
  <c r="Z12" i="6"/>
  <c r="E4" i="6"/>
  <c r="J19" i="6"/>
  <c r="V45" i="6"/>
  <c r="H19" i="6"/>
  <c r="G15" i="6"/>
  <c r="K18" i="6"/>
  <c r="G5" i="6"/>
  <c r="S19" i="6"/>
  <c r="T30" i="6"/>
  <c r="L34" i="6"/>
  <c r="F53" i="6"/>
  <c r="F34" i="6"/>
  <c r="M12" i="6"/>
  <c r="E7" i="6"/>
  <c r="D25" i="6"/>
  <c r="V23" i="6"/>
  <c r="W22" i="6"/>
  <c r="Q25" i="6"/>
  <c r="O39" i="6"/>
  <c r="D12" i="6"/>
  <c r="D10" i="6"/>
  <c r="Q37" i="6"/>
  <c r="L9" i="6"/>
  <c r="H15" i="6"/>
  <c r="G61" i="6"/>
  <c r="P17" i="6"/>
  <c r="H63" i="6"/>
  <c r="S15" i="6"/>
  <c r="Z17" i="6"/>
  <c r="J29" i="6"/>
  <c r="AC35" i="6"/>
  <c r="J40" i="6"/>
  <c r="O43" i="6"/>
  <c r="Y25" i="6"/>
  <c r="W68" i="6"/>
  <c r="F22" i="6"/>
  <c r="AC25" i="6"/>
  <c r="W18" i="6"/>
  <c r="V9" i="6"/>
  <c r="K40" i="6"/>
  <c r="L45" i="6"/>
  <c r="N43" i="6"/>
  <c r="F11" i="6"/>
  <c r="S21" i="6"/>
  <c r="P19" i="6"/>
  <c r="M45" i="6"/>
  <c r="J43" i="6"/>
  <c r="V61" i="6"/>
  <c r="U12" i="6"/>
  <c r="O14" i="6"/>
  <c r="AB43" i="6"/>
  <c r="V11" i="6"/>
  <c r="U44" i="6"/>
  <c r="P67" i="6"/>
  <c r="D18" i="6"/>
  <c r="I7" i="6"/>
  <c r="G40" i="6"/>
  <c r="R15" i="6"/>
  <c r="F66" i="6"/>
  <c r="L17" i="6"/>
  <c r="I63" i="6"/>
  <c r="Z38" i="6"/>
  <c r="Z68" i="6"/>
  <c r="K5" i="6"/>
  <c r="H23" i="6"/>
  <c r="E19" i="6"/>
  <c r="T23" i="6"/>
  <c r="F13" i="6"/>
  <c r="E40" i="6"/>
  <c r="I11" i="6"/>
  <c r="F40" i="6"/>
  <c r="X62" i="6"/>
  <c r="O31" i="6"/>
  <c r="E11" i="6"/>
  <c r="G13" i="6"/>
  <c r="D22" i="6"/>
  <c r="K39" i="6"/>
  <c r="F19" i="6"/>
  <c r="H39" i="6"/>
  <c r="N5" i="6"/>
  <c r="F67" i="6"/>
  <c r="Y11" i="6"/>
  <c r="D27" i="6"/>
  <c r="R6" i="6"/>
  <c r="M62" i="6"/>
  <c r="L66" i="6"/>
  <c r="Z2" i="6"/>
  <c r="O3" i="6"/>
  <c r="H8" i="6"/>
  <c r="V25" i="6"/>
  <c r="H32" i="6"/>
  <c r="AB29" i="6"/>
  <c r="M9" i="6"/>
  <c r="H7" i="6"/>
  <c r="R8" i="6"/>
  <c r="H18" i="6"/>
  <c r="G4" i="6"/>
  <c r="E53" i="6"/>
  <c r="G33" i="6"/>
  <c r="V39" i="6"/>
  <c r="L65" i="6"/>
  <c r="J3" i="6"/>
  <c r="R20" i="6"/>
  <c r="AA15" i="6"/>
  <c r="Y61" i="6"/>
  <c r="O8" i="6"/>
  <c r="R53" i="6"/>
  <c r="N25" i="6"/>
  <c r="U63" i="6"/>
  <c r="AB21" i="6"/>
  <c r="Y29" i="6"/>
  <c r="O10" i="6"/>
  <c r="H10" i="6"/>
  <c r="Z39" i="6"/>
  <c r="H68" i="6"/>
  <c r="Q40" i="6"/>
  <c r="I18" i="6"/>
  <c r="V17" i="6"/>
  <c r="K53" i="6"/>
  <c r="E27" i="6"/>
  <c r="U31" i="6"/>
  <c r="W41" i="6"/>
  <c r="Q12" i="6"/>
  <c r="M53" i="6"/>
  <c r="Q11" i="6"/>
  <c r="I22" i="6"/>
  <c r="K29" i="6"/>
  <c r="S63" i="6"/>
  <c r="M65" i="6"/>
  <c r="T68" i="6"/>
  <c r="Q30" i="6"/>
  <c r="L22" i="6"/>
  <c r="R29" i="6"/>
  <c r="Z40" i="6"/>
  <c r="O65" i="6"/>
  <c r="M15" i="6"/>
  <c r="AB14" i="6"/>
  <c r="D3" i="6"/>
  <c r="G11" i="6"/>
  <c r="V2" i="6"/>
  <c r="N19" i="6"/>
  <c r="AA52" i="6"/>
  <c r="S45" i="6"/>
  <c r="T38" i="6"/>
  <c r="S28" i="6"/>
  <c r="Y12" i="6"/>
  <c r="M22" i="6"/>
  <c r="D4" i="6"/>
  <c r="P63" i="6"/>
  <c r="I39" i="6"/>
  <c r="Z45" i="6"/>
  <c r="D43" i="6"/>
  <c r="N18" i="6"/>
  <c r="K63" i="6"/>
  <c r="E20" i="6"/>
  <c r="M41" i="6"/>
  <c r="H34" i="6"/>
  <c r="N65" i="6"/>
  <c r="X39" i="6"/>
  <c r="K42" i="6"/>
  <c r="S2" i="6"/>
  <c r="V29" i="6"/>
  <c r="S61" i="6"/>
  <c r="M31" i="6"/>
  <c r="T42" i="6"/>
  <c r="N15" i="6"/>
  <c r="I41" i="6"/>
  <c r="R23" i="6"/>
  <c r="W21" i="6"/>
  <c r="P9" i="6"/>
  <c r="M11" i="6"/>
  <c r="G16" i="6"/>
  <c r="AA22" i="6"/>
  <c r="I12" i="6"/>
  <c r="AC37" i="6"/>
  <c r="D14" i="6"/>
  <c r="F39" i="6"/>
  <c r="U52" i="6"/>
  <c r="E63" i="6"/>
  <c r="D41" i="6"/>
  <c r="E14" i="6"/>
  <c r="J36" i="6"/>
  <c r="K23" i="6"/>
  <c r="I29" i="6"/>
  <c r="J20" i="6"/>
  <c r="O2" i="6"/>
  <c r="Z3" i="6"/>
  <c r="J23" i="6"/>
  <c r="X13" i="6"/>
  <c r="V65" i="6"/>
  <c r="AB44" i="6"/>
  <c r="Z19" i="6"/>
  <c r="Y22" i="6"/>
  <c r="W39" i="6"/>
  <c r="F4" i="6"/>
  <c r="L6" i="6"/>
  <c r="M3" i="6"/>
  <c r="I19" i="6"/>
  <c r="K17" i="6"/>
  <c r="AB16" i="6"/>
  <c r="Y14" i="6"/>
  <c r="E42" i="6"/>
  <c r="D33" i="6"/>
  <c r="Y68" i="6"/>
  <c r="AB41" i="6"/>
  <c r="J18" i="6"/>
  <c r="AA63" i="6"/>
  <c r="K22" i="6"/>
  <c r="N62" i="6"/>
  <c r="I27" i="6"/>
  <c r="P65" i="6"/>
  <c r="AC19" i="6"/>
  <c r="P4" i="6"/>
  <c r="M23" i="6"/>
  <c r="U23" i="6"/>
  <c r="F65" i="6"/>
  <c r="E12" i="6"/>
  <c r="T11" i="6"/>
  <c r="V16" i="6"/>
  <c r="N22" i="6"/>
  <c r="V68" i="6"/>
  <c r="V20" i="6"/>
  <c r="G7" i="6"/>
  <c r="K14" i="6"/>
  <c r="K43" i="6"/>
  <c r="T53" i="6"/>
  <c r="Q13" i="6"/>
  <c r="AA11" i="6"/>
  <c r="O7" i="6"/>
  <c r="X29" i="6"/>
  <c r="K35" i="6"/>
  <c r="W15" i="6"/>
  <c r="F25" i="6"/>
  <c r="D67" i="6"/>
  <c r="L42" i="6"/>
  <c r="W43" i="6"/>
  <c r="Z10" i="6"/>
  <c r="R18" i="6"/>
  <c r="V67" i="6"/>
  <c r="D5" i="6"/>
  <c r="AB52" i="6"/>
  <c r="N21" i="6"/>
  <c r="M30" i="6"/>
  <c r="Q15" i="6"/>
  <c r="Z62" i="6"/>
  <c r="R62" i="6"/>
  <c r="J26" i="6"/>
  <c r="J27" i="6"/>
  <c r="L4" i="6"/>
  <c r="Z18" i="6"/>
  <c r="M14" i="6"/>
  <c r="Q44" i="6"/>
  <c r="F61" i="6"/>
  <c r="H25" i="6"/>
  <c r="N42" i="6"/>
  <c r="U11" i="6"/>
  <c r="M26" i="6"/>
  <c r="Z23" i="6"/>
  <c r="F44" i="6"/>
  <c r="N8" i="6"/>
  <c r="D53" i="6"/>
  <c r="D62" i="6"/>
  <c r="O42" i="6"/>
  <c r="I44" i="6"/>
  <c r="D26" i="6"/>
  <c r="G38" i="6"/>
  <c r="G44" i="6"/>
  <c r="AB19" i="6"/>
  <c r="H31" i="6"/>
  <c r="R19" i="6"/>
  <c r="I30" i="6"/>
  <c r="X15" i="6"/>
  <c r="Y23" i="6"/>
  <c r="V14" i="6"/>
  <c r="K44" i="6"/>
  <c r="T16" i="6"/>
  <c r="U42" i="6"/>
  <c r="O40" i="6"/>
  <c r="G35" i="6"/>
  <c r="G37" i="6"/>
  <c r="D20" i="6"/>
  <c r="L33" i="6"/>
  <c r="Y5" i="6"/>
  <c r="J66" i="6"/>
  <c r="H30" i="6"/>
  <c r="Z29" i="6"/>
  <c r="I23" i="6"/>
  <c r="J5" i="6"/>
  <c r="AA41" i="6"/>
  <c r="U30" i="6"/>
  <c r="X19" i="6"/>
  <c r="F52" i="6"/>
  <c r="I21" i="6"/>
  <c r="R67" i="6"/>
  <c r="AA33" i="6"/>
  <c r="K52" i="6"/>
  <c r="H3" i="6"/>
  <c r="K41" i="6"/>
  <c r="O12" i="6"/>
  <c r="K6" i="6"/>
  <c r="I20" i="6"/>
  <c r="V63" i="6"/>
  <c r="M21" i="6"/>
  <c r="AC34" i="6"/>
  <c r="S65" i="6"/>
  <c r="AC22" i="6"/>
  <c r="K21" i="6"/>
  <c r="U67" i="6"/>
  <c r="V6" i="6"/>
  <c r="AB5" i="6"/>
  <c r="W63" i="6"/>
  <c r="M17" i="6"/>
  <c r="D13" i="6"/>
  <c r="D44" i="6"/>
  <c r="V13" i="6"/>
  <c r="J14" i="6"/>
  <c r="AA28" i="6"/>
  <c r="AD25" i="6"/>
  <c r="D9" i="6"/>
  <c r="U43" i="6"/>
  <c r="X66" i="6"/>
  <c r="E32" i="6"/>
  <c r="Y53" i="6"/>
  <c r="X67" i="6"/>
  <c r="K67" i="6"/>
  <c r="AB17" i="6"/>
  <c r="AB66" i="6"/>
  <c r="G34" i="6"/>
  <c r="U21" i="6"/>
  <c r="J45" i="6"/>
  <c r="AA36" i="6"/>
  <c r="D37" i="6"/>
  <c r="P30" i="6"/>
  <c r="X23" i="6"/>
  <c r="H11" i="6"/>
  <c r="G14" i="6"/>
  <c r="M7" i="6"/>
  <c r="AD21" i="6"/>
  <c r="AD32" i="6"/>
  <c r="X4" i="6"/>
  <c r="N67" i="6"/>
  <c r="U38" i="6"/>
  <c r="G8" i="6"/>
  <c r="G3" i="6"/>
  <c r="H21" i="6"/>
  <c r="F43" i="6"/>
  <c r="J6" i="6"/>
  <c r="N9" i="6"/>
  <c r="AC36" i="6"/>
  <c r="Q33" i="6"/>
  <c r="N2" i="6"/>
  <c r="X52" i="6"/>
  <c r="P11" i="6"/>
  <c r="Y4" i="6"/>
  <c r="D32" i="6"/>
  <c r="I66" i="6"/>
  <c r="L26" i="6"/>
  <c r="Z28" i="6"/>
  <c r="K45" i="6"/>
  <c r="P20" i="6"/>
  <c r="S10" i="6"/>
  <c r="L62" i="6"/>
  <c r="J32" i="6"/>
  <c r="Z20" i="6"/>
  <c r="S67" i="6"/>
  <c r="E2" i="6"/>
  <c r="W19" i="6"/>
  <c r="S39" i="6"/>
  <c r="H53" i="6"/>
  <c r="Z8" i="6"/>
  <c r="L38" i="6"/>
  <c r="F21" i="6"/>
  <c r="R27" i="6"/>
  <c r="Z52" i="6"/>
  <c r="P61" i="6"/>
  <c r="N17" i="6"/>
  <c r="L8" i="6"/>
  <c r="E44" i="6"/>
  <c r="G65" i="6"/>
  <c r="N16" i="6"/>
  <c r="P10" i="6"/>
  <c r="K30" i="6"/>
  <c r="Z43" i="6"/>
  <c r="U14" i="6"/>
  <c r="R17" i="6"/>
  <c r="Y13" i="6"/>
  <c r="Q19" i="6"/>
  <c r="AA42" i="6"/>
  <c r="P43" i="6"/>
  <c r="K12" i="6"/>
  <c r="AD34" i="6"/>
  <c r="U2" i="6"/>
  <c r="Y3" i="6"/>
  <c r="M29" i="6"/>
  <c r="AB42" i="6"/>
  <c r="U53" i="6"/>
  <c r="U61" i="6"/>
  <c r="Q14" i="6"/>
  <c r="L14" i="6"/>
  <c r="T20" i="6"/>
  <c r="G63" i="6"/>
  <c r="J30" i="6"/>
  <c r="F211" i="8" l="1"/>
  <c r="F187" i="8"/>
  <c r="F186" i="8"/>
  <c r="F179" i="8"/>
  <c r="F207" i="8"/>
  <c r="F206" i="8"/>
  <c r="F221" i="8"/>
  <c r="F208" i="8"/>
  <c r="F189" i="8"/>
  <c r="F210" i="8"/>
  <c r="F199" i="8"/>
  <c r="F184" i="8"/>
  <c r="F181" i="8"/>
  <c r="F194" i="8"/>
  <c r="F209" i="8"/>
  <c r="F202" i="8"/>
  <c r="F178" i="8"/>
  <c r="F180" i="8"/>
  <c r="F216" i="8"/>
  <c r="F203" i="8"/>
  <c r="F200" i="8"/>
  <c r="F177" i="8"/>
  <c r="F190" i="8"/>
  <c r="F185" i="8"/>
  <c r="F188" i="8"/>
  <c r="F201" i="8"/>
  <c r="F212" i="8"/>
  <c r="F231" i="8"/>
  <c r="F256" i="8"/>
  <c r="F262" i="8"/>
  <c r="F234" i="8"/>
  <c r="F238" i="8"/>
  <c r="F252" i="8"/>
  <c r="F233" i="8"/>
  <c r="F242" i="8"/>
  <c r="F244" i="8"/>
  <c r="F225" i="8"/>
  <c r="F235" i="8"/>
  <c r="F243" i="8"/>
  <c r="F228" i="8"/>
  <c r="F222" i="8"/>
  <c r="F253" i="8"/>
  <c r="F254" i="8"/>
  <c r="F251" i="8"/>
  <c r="F260" i="8"/>
  <c r="F247" i="8"/>
  <c r="F229" i="8"/>
  <c r="F224" i="8"/>
  <c r="F223" i="8"/>
  <c r="F230" i="8"/>
  <c r="F232" i="8"/>
  <c r="F250" i="8"/>
  <c r="F264" i="8"/>
  <c r="F246" i="8"/>
  <c r="F255" i="8"/>
  <c r="F245" i="8"/>
  <c r="AH23" i="5"/>
  <c r="E197" i="8"/>
  <c r="E204" i="8"/>
  <c r="E219" i="8"/>
  <c r="E218" i="8"/>
  <c r="E195" i="8"/>
  <c r="E191" i="8"/>
  <c r="E193" i="8"/>
  <c r="E214" i="8"/>
  <c r="E213" i="8"/>
  <c r="E182" i="8"/>
  <c r="E198" i="8"/>
  <c r="E215" i="8"/>
  <c r="E205" i="8"/>
  <c r="E183" i="8"/>
  <c r="E220" i="8"/>
  <c r="E196" i="8"/>
  <c r="E192" i="8"/>
  <c r="E217" i="8"/>
  <c r="E226" i="8"/>
  <c r="E248" i="8"/>
  <c r="E237" i="8"/>
  <c r="E249" i="8"/>
  <c r="E227" i="8"/>
  <c r="E258" i="8"/>
  <c r="E239" i="8"/>
  <c r="E263" i="8"/>
  <c r="E241" i="8"/>
  <c r="E257" i="8"/>
  <c r="E240" i="8"/>
  <c r="E261" i="8"/>
  <c r="E236" i="8"/>
  <c r="E259" i="8"/>
  <c r="E165" i="8"/>
  <c r="E104" i="8"/>
  <c r="F104" i="8" s="1"/>
  <c r="E145" i="8"/>
  <c r="F145" i="8" s="1"/>
  <c r="E163" i="8"/>
  <c r="E156" i="8"/>
  <c r="E143" i="8"/>
  <c r="F143" i="8" s="1"/>
  <c r="E116" i="8"/>
  <c r="F116" i="8" s="1"/>
  <c r="E146" i="8"/>
  <c r="F146" i="8" s="1"/>
  <c r="E126" i="8"/>
  <c r="F126" i="8" s="1"/>
  <c r="E93" i="8"/>
  <c r="F93" i="8" s="1"/>
  <c r="E110" i="8"/>
  <c r="F110" i="8" s="1"/>
  <c r="E134" i="8"/>
  <c r="F134" i="8" s="1"/>
  <c r="E144" i="8"/>
  <c r="F144" i="8" s="1"/>
  <c r="E109" i="8"/>
  <c r="F109" i="8" s="1"/>
  <c r="E119" i="8"/>
  <c r="F119" i="8" s="1"/>
  <c r="E125" i="8"/>
  <c r="F125" i="8" s="1"/>
  <c r="E106" i="8"/>
  <c r="F106" i="8" s="1"/>
  <c r="E159" i="8"/>
  <c r="E118" i="8"/>
  <c r="F118" i="8" s="1"/>
  <c r="E107" i="8"/>
  <c r="F107" i="8" s="1"/>
  <c r="E92" i="8"/>
  <c r="F92" i="8" s="1"/>
  <c r="E103" i="8"/>
  <c r="F103" i="8" s="1"/>
  <c r="E95" i="8"/>
  <c r="F95" i="8" s="1"/>
  <c r="E137" i="8"/>
  <c r="F137" i="8" s="1"/>
  <c r="E129" i="8"/>
  <c r="F129" i="8" s="1"/>
  <c r="E112" i="8"/>
  <c r="F112" i="8" s="1"/>
  <c r="E132" i="8"/>
  <c r="F132" i="8" s="1"/>
  <c r="E127" i="8"/>
  <c r="F127" i="8" s="1"/>
  <c r="E99" i="8"/>
  <c r="F99" i="8" s="1"/>
  <c r="E122" i="8"/>
  <c r="F122" i="8" s="1"/>
  <c r="E167" i="8"/>
  <c r="E100" i="8"/>
  <c r="F100" i="8" s="1"/>
  <c r="E141" i="8"/>
  <c r="F141" i="8" s="1"/>
  <c r="E168" i="8"/>
  <c r="E157" i="8"/>
  <c r="E140" i="8"/>
  <c r="F140" i="8" s="1"/>
  <c r="E117" i="8"/>
  <c r="F117" i="8" s="1"/>
  <c r="E166" i="8"/>
  <c r="E172" i="8"/>
  <c r="E158" i="8"/>
  <c r="E114" i="8"/>
  <c r="F114" i="8" s="1"/>
  <c r="E96" i="8"/>
  <c r="F96" i="8" s="1"/>
  <c r="E108" i="8"/>
  <c r="F108" i="8" s="1"/>
  <c r="E113" i="8"/>
  <c r="F113" i="8" s="1"/>
  <c r="E136" i="8"/>
  <c r="F136" i="8" s="1"/>
  <c r="E150" i="8"/>
  <c r="F150" i="8" s="1"/>
  <c r="E94" i="8"/>
  <c r="F94" i="8" s="1"/>
  <c r="E97" i="8"/>
  <c r="F97" i="8" s="1"/>
  <c r="E128" i="8"/>
  <c r="F128" i="8" s="1"/>
  <c r="E105" i="8"/>
  <c r="F105" i="8" s="1"/>
  <c r="E164" i="8"/>
  <c r="E102" i="8"/>
  <c r="F102" i="8" s="1"/>
  <c r="E120" i="8"/>
  <c r="F120" i="8" s="1"/>
  <c r="E115" i="8"/>
  <c r="F115" i="8" s="1"/>
  <c r="E142" i="8"/>
  <c r="F142" i="8" s="1"/>
  <c r="E135" i="8"/>
  <c r="F135" i="8" s="1"/>
  <c r="E131" i="8"/>
  <c r="F131" i="8" s="1"/>
  <c r="E162" i="8"/>
  <c r="E130" i="8"/>
  <c r="F130" i="8" s="1"/>
  <c r="E90" i="8"/>
  <c r="F90" i="8" s="1"/>
  <c r="E67" i="8"/>
  <c r="F67" i="8" s="1"/>
  <c r="E50" i="8"/>
  <c r="F50" i="8" s="1"/>
  <c r="E85" i="8"/>
  <c r="F85" i="8" s="1"/>
  <c r="E72" i="8"/>
  <c r="F72" i="8" s="1"/>
  <c r="E10" i="8"/>
  <c r="F10" i="8" s="1"/>
  <c r="E26" i="8"/>
  <c r="F26" i="8" s="1"/>
  <c r="E87" i="8"/>
  <c r="F87" i="8" s="1"/>
  <c r="E45" i="8"/>
  <c r="F45" i="8" s="1"/>
  <c r="E66" i="8"/>
  <c r="F66" i="8" s="1"/>
  <c r="E41" i="8"/>
  <c r="F41" i="8" s="1"/>
  <c r="E37" i="8"/>
  <c r="F37" i="8" s="1"/>
  <c r="E63" i="8"/>
  <c r="F63" i="8" s="1"/>
  <c r="E35" i="8"/>
  <c r="F35" i="8" s="1"/>
  <c r="E21" i="8"/>
  <c r="F21" i="8" s="1"/>
  <c r="E15" i="8"/>
  <c r="F15" i="8" s="1"/>
  <c r="E19" i="8"/>
  <c r="F19" i="8" s="1"/>
  <c r="E7" i="8"/>
  <c r="F7" i="8" s="1"/>
  <c r="E59" i="8"/>
  <c r="F59" i="8" s="1"/>
  <c r="E30" i="8"/>
  <c r="F30" i="8" s="1"/>
  <c r="E31" i="8"/>
  <c r="F31" i="8" s="1"/>
  <c r="E16" i="8"/>
  <c r="F16" i="8" s="1"/>
  <c r="E43" i="8"/>
  <c r="F43" i="8" s="1"/>
  <c r="E86" i="8"/>
  <c r="F86" i="8" s="1"/>
  <c r="E12" i="8"/>
  <c r="F12" i="8" s="1"/>
  <c r="E9" i="8"/>
  <c r="F9" i="8" s="1"/>
  <c r="E3" i="8"/>
  <c r="F3" i="8" s="1"/>
  <c r="E64" i="8"/>
  <c r="F64" i="8" s="1"/>
  <c r="E14" i="8"/>
  <c r="F14" i="8" s="1"/>
  <c r="E34" i="8"/>
  <c r="F34" i="8" s="1"/>
  <c r="E42" i="8"/>
  <c r="F42" i="8" s="1"/>
  <c r="E40" i="8"/>
  <c r="F40" i="8" s="1"/>
  <c r="E73" i="8"/>
  <c r="F73" i="8" s="1"/>
  <c r="E29" i="8"/>
  <c r="F29" i="8" s="1"/>
  <c r="E44" i="8"/>
  <c r="F44" i="8" s="1"/>
  <c r="E25" i="8"/>
  <c r="F25" i="8" s="1"/>
  <c r="E8" i="8"/>
  <c r="F8" i="8" s="1"/>
  <c r="E51" i="8"/>
  <c r="F51" i="8" s="1"/>
  <c r="E24" i="8"/>
  <c r="F24" i="8" s="1"/>
  <c r="E32" i="8"/>
  <c r="F32" i="8" s="1"/>
  <c r="E22" i="8"/>
  <c r="F22" i="8" s="1"/>
  <c r="E18" i="8"/>
  <c r="F18" i="8" s="1"/>
  <c r="E6" i="8"/>
  <c r="F6" i="8" s="1"/>
  <c r="E17" i="8"/>
  <c r="F17" i="8" s="1"/>
  <c r="E88" i="8"/>
  <c r="F88" i="8" s="1"/>
  <c r="E36" i="8"/>
  <c r="F36" i="8" s="1"/>
  <c r="E33" i="8"/>
  <c r="F33" i="8" s="1"/>
  <c r="E65" i="8"/>
  <c r="F65" i="8" s="1"/>
  <c r="E82" i="8"/>
  <c r="F82" i="8" s="1"/>
  <c r="E28" i="8"/>
  <c r="F28" i="8" s="1"/>
  <c r="E5" i="8"/>
  <c r="F5" i="8" s="1"/>
  <c r="E83" i="8"/>
  <c r="F83" i="8" s="1"/>
  <c r="E38" i="8"/>
  <c r="F38" i="8" s="1"/>
  <c r="E27" i="8"/>
  <c r="F27" i="8" s="1"/>
  <c r="E60" i="8"/>
  <c r="F60" i="8" s="1"/>
  <c r="E20" i="8"/>
  <c r="F20" i="8" s="1"/>
  <c r="E81" i="8"/>
  <c r="F81" i="8" s="1"/>
  <c r="E4" i="8"/>
  <c r="F4" i="8" s="1"/>
  <c r="E23" i="8"/>
  <c r="F23" i="8" s="1"/>
  <c r="E39" i="8"/>
  <c r="F39" i="8" s="1"/>
  <c r="E13" i="8"/>
  <c r="F13" i="8" s="1"/>
  <c r="E61" i="8"/>
  <c r="F61" i="8" s="1"/>
  <c r="E11" i="8"/>
  <c r="F11" i="8" s="1"/>
  <c r="E2" i="8"/>
  <c r="F2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Y74" i="6"/>
  <c r="X74" i="6"/>
  <c r="T74" i="6"/>
  <c r="S74" i="6"/>
  <c r="R74" i="6"/>
  <c r="Q74" i="6"/>
  <c r="P74" i="6"/>
  <c r="AB74" i="6"/>
  <c r="AA74" i="6"/>
  <c r="Z74" i="6"/>
  <c r="W74" i="6"/>
  <c r="V74" i="6"/>
  <c r="U74" i="6"/>
  <c r="P73" i="6"/>
  <c r="W73" i="6"/>
  <c r="R73" i="6"/>
  <c r="U73" i="6"/>
  <c r="AB73" i="6"/>
  <c r="X73" i="6"/>
  <c r="Z73" i="6"/>
  <c r="S73" i="6"/>
  <c r="AA73" i="6"/>
  <c r="Y73" i="6"/>
  <c r="T73" i="6"/>
  <c r="Q73" i="6"/>
  <c r="V73" i="6"/>
  <c r="AC74" i="6"/>
  <c r="O74" i="6"/>
  <c r="O73" i="6"/>
  <c r="AH56" i="5"/>
  <c r="AH55" i="5"/>
  <c r="AH54" i="5"/>
  <c r="AH53" i="5"/>
  <c r="AH51" i="5"/>
  <c r="AH50" i="5"/>
  <c r="AH52" i="5"/>
  <c r="AH48" i="5"/>
  <c r="AH49" i="5"/>
  <c r="AG50" i="5"/>
  <c r="AG52" i="5"/>
  <c r="AG51" i="5"/>
  <c r="AG56" i="5"/>
  <c r="AG55" i="5"/>
  <c r="AG54" i="5"/>
  <c r="AG53" i="5"/>
  <c r="AG49" i="5"/>
  <c r="AG48" i="5"/>
  <c r="AD23" i="6"/>
  <c r="AC30" i="6"/>
  <c r="AD40" i="6"/>
  <c r="AD39" i="6"/>
  <c r="AD45" i="6"/>
  <c r="AC43" i="6"/>
  <c r="AD29" i="6"/>
  <c r="AC29" i="6"/>
  <c r="AC44" i="6"/>
  <c r="AD38" i="6"/>
  <c r="AD44" i="6"/>
  <c r="AC45" i="6"/>
  <c r="AD42" i="6"/>
  <c r="AD30" i="6"/>
  <c r="AC40" i="6"/>
  <c r="AC38" i="6"/>
  <c r="AC39" i="6"/>
  <c r="AC42" i="6"/>
  <c r="AD43" i="6"/>
  <c r="F172" i="8" l="1"/>
  <c r="F198" i="8"/>
  <c r="F166" i="8"/>
  <c r="F165" i="8"/>
  <c r="F213" i="8"/>
  <c r="F214" i="8"/>
  <c r="F193" i="8"/>
  <c r="F162" i="8"/>
  <c r="F168" i="8"/>
  <c r="F217" i="8"/>
  <c r="F191" i="8"/>
  <c r="F192" i="8"/>
  <c r="F195" i="8"/>
  <c r="F196" i="8"/>
  <c r="F218" i="8"/>
  <c r="F157" i="8"/>
  <c r="F167" i="8"/>
  <c r="F220" i="8"/>
  <c r="F219" i="8"/>
  <c r="F158" i="8"/>
  <c r="F163" i="8"/>
  <c r="F204" i="8"/>
  <c r="F215" i="8"/>
  <c r="F164" i="8"/>
  <c r="F182" i="8"/>
  <c r="F159" i="8"/>
  <c r="F183" i="8"/>
  <c r="F156" i="8"/>
  <c r="F205" i="8"/>
  <c r="F197" i="8"/>
  <c r="F239" i="8"/>
  <c r="F258" i="8"/>
  <c r="F227" i="8"/>
  <c r="F249" i="8"/>
  <c r="F237" i="8"/>
  <c r="F259" i="8"/>
  <c r="F248" i="8"/>
  <c r="F236" i="8"/>
  <c r="F226" i="8"/>
  <c r="F261" i="8"/>
  <c r="F240" i="8"/>
  <c r="F257" i="8"/>
  <c r="F241" i="8"/>
  <c r="F263" i="8"/>
  <c r="E174" i="8"/>
  <c r="E151" i="8"/>
  <c r="F151" i="8" s="1"/>
  <c r="E148" i="8"/>
  <c r="F148" i="8" s="1"/>
  <c r="E147" i="8"/>
  <c r="F147" i="8" s="1"/>
  <c r="E149" i="8"/>
  <c r="F149" i="8" s="1"/>
  <c r="E161" i="8"/>
  <c r="E173" i="8"/>
  <c r="E154" i="8"/>
  <c r="F154" i="8" s="1"/>
  <c r="E175" i="8"/>
  <c r="E169" i="8"/>
  <c r="E153" i="8"/>
  <c r="F153" i="8" s="1"/>
  <c r="E138" i="8"/>
  <c r="F138" i="8" s="1"/>
  <c r="E160" i="8"/>
  <c r="E152" i="8"/>
  <c r="F152" i="8" s="1"/>
  <c r="E176" i="8"/>
  <c r="E170" i="8"/>
  <c r="E171" i="8"/>
  <c r="E139" i="8"/>
  <c r="F139" i="8" s="1"/>
  <c r="E89" i="8"/>
  <c r="F89" i="8" s="1"/>
  <c r="AD74" i="6"/>
  <c r="D57" i="11"/>
  <c r="D64" i="11"/>
  <c r="D62" i="11"/>
  <c r="D61" i="11"/>
  <c r="D60" i="11"/>
  <c r="D59" i="11"/>
  <c r="D58" i="11"/>
  <c r="F48" i="11"/>
  <c r="E55" i="11"/>
  <c r="E63" i="11" s="1"/>
  <c r="AC73" i="6"/>
  <c r="AD73" i="6"/>
  <c r="F175" i="8" l="1"/>
  <c r="F173" i="8"/>
  <c r="F176" i="8"/>
  <c r="F169" i="8"/>
  <c r="F161" i="8"/>
  <c r="F171" i="8"/>
  <c r="F170" i="8"/>
  <c r="F160" i="8"/>
  <c r="F174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<sst xmlns="http://schemas.openxmlformats.org/spreadsheetml/2006/main" count="3560" uniqueCount="345">
  <si>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</si>
  <si>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</si>
  <si>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</si>
  <si>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</si>
  <si>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</si>
  <si>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</si>
  <si>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</si>
  <si>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</si>
  <si>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</si>
  <si>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</si>
  <si>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</si>
  <si>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</si>
  <si>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</si>
  <si>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</si>
  <si>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</si>
  <si>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</si>
  <si>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</si>
  <si>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</si>
  <si>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</si>
  <si>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</si>
  <si>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</si>
  <si>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</si>
  <si>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</si>
  <si>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</si>
  <si>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</si>
  <si>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</si>
  <si>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</si>
  <si>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</si>
  <si>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</si>
  <si>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</si>
  <si>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</si>
  <si>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</si>
  <si>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</si>
  <si>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</si>
  <si>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</si>
  <si>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</si>
  <si>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</si>
  <si>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</si>
  <si>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</si>
  <si>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</si>
  <si>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</si>
  <si>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</si>
  <si>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</si>
  <si>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</si>
  <si>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</si>
  <si>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</si>
  <si>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</si>
  <si>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</si>
  <si>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</si>
  <si>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</si>
  <si>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</si>
  <si>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</si>
  <si>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</si>
  <si>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</si>
  <si>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</si>
  <si>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</si>
  <si>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</si>
  <si>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</si>
  <si>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</si>
  <si>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</si>
  <si>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</si>
  <si>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</si>
  <si>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</si>
  <si>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</si>
  <si>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</si>
  <si>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</si>
  <si>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</si>
  <si>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</si>
  <si>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</si>
  <si>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</si>
  <si>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</si>
  <si>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</si>
  <si>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</si>
  <si>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</si>
  <si>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</si>
  <si>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</si>
  <si>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</si>
  <si>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</si>
  <si>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</si>
  <si>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</si>
  <si>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</si>
  <si>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</si>
  <si>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</si>
  <si>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</si>
  <si>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</si>
  <si>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</si>
  <si>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</si>
  <si>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</si>
  <si>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</si>
  <si>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</si>
  <si>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</si>
  <si>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</si>
  <si>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</si>
  <si>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</si>
  <si>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</si>
  <si>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</si>
  <si>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</si>
  <si>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</si>
  <si>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</si>
  <si>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</si>
  <si>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</si>
  <si>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</si>
  <si>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</si>
  <si>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</si>
  <si>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</si>
  <si>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</si>
  <si>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</si>
  <si>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</si>
  <si>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</si>
  <si>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</si>
  <si>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</si>
  <si>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</si>
  <si>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</si>
  <si>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</si>
  <si>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</si>
  <si>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</si>
  <si>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</si>
  <si>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</si>
  <si>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</si>
  <si>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</si>
  <si>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</si>
  <si>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</si>
  <si>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</si>
  <si>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</si>
  <si>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</si>
  <si>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</si>
  <si>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</si>
  <si>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</si>
  <si>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</si>
  <si>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</si>
  <si>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</si>
  <si>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</si>
  <si>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</si>
  <si>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</si>
  <si>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</si>
  <si>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</si>
  <si>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</si>
  <si>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</si>
  <si>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</si>
  <si>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</si>
  <si>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</si>
  <si>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</si>
  <si>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</si>
  <si>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</si>
  <si>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</si>
  <si>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</si>
  <si>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</si>
  <si>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</si>
  <si>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</si>
  <si>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</si>
  <si>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</si>
  <si>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</si>
  <si>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</si>
  <si>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</si>
  <si>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</si>
  <si>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</si>
  <si>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</si>
  <si>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</si>
  <si>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</si>
  <si>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</si>
  <si>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</si>
  <si>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</si>
  <si>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</si>
  <si>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</si>
  <si>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</si>
  <si>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</si>
  <si>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</si>
  <si>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</si>
  <si>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</si>
  <si>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</si>
  <si>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</si>
  <si>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</si>
  <si>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</si>
  <si>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</si>
  <si>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</si>
  <si>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</si>
  <si>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</si>
  <si>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</si>
  <si>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</si>
  <si>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</si>
  <si>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</si>
  <si>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</si>
  <si>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</si>
  <si>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</si>
  <si>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</si>
  <si>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</si>
  <si>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</si>
  <si>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</si>
  <si>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</si>
  <si>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</si>
  <si>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</si>
  <si>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</si>
  <si>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</si>
  <si>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</si>
  <si>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</si>
  <si>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</si>
  <si>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</si>
  <si>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</si>
  <si>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</si>
  <si>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</si>
  <si>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</si>
  <si>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</si>
  <si>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</si>
  <si>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</si>
  <si>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</si>
  <si>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</si>
  <si>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</si>
  <si>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</si>
  <si>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</si>
  <si>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</si>
  <si>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</si>
  <si>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</si>
  <si>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</si>
  <si>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</si>
  <si>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</si>
  <si>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</si>
  <si>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</si>
  <si>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</si>
  <si>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</si>
  <si>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</si>
  <si>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</si>
  <si>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x</t>
  </si>
  <si>
    <t>Battery charger 4h</t>
  </si>
  <si>
    <t>Battery discharger 4h</t>
  </si>
  <si>
    <t>Battery charger</t>
  </si>
  <si>
    <t>Battery discharger</t>
  </si>
  <si>
    <t>first clear, then reintroduce</t>
  </si>
  <si>
    <t>Splitting batteries according to wind shares</t>
  </si>
  <si>
    <t>https://www.renewableuk.com/energypulse/blog/stacking-up-the-storage-where-the-uk-battery-market-stands-in-2025/</t>
  </si>
  <si>
    <t>MW</t>
  </si>
  <si>
    <t>year</t>
  </si>
  <si>
    <t>unittype</t>
  </si>
  <si>
    <t>grid_input1</t>
  </si>
  <si>
    <t>grid_output1</t>
  </si>
  <si>
    <t>eff00</t>
  </si>
  <si>
    <t>eff01</t>
  </si>
  <si>
    <t>op00</t>
  </si>
  <si>
    <t>op01</t>
  </si>
  <si>
    <t>vomCosts</t>
  </si>
  <si>
    <t>vomCosts_input1</t>
  </si>
  <si>
    <t>upperLimitCapacityRatio_input1</t>
  </si>
  <si>
    <t>Batterychar</t>
  </si>
  <si>
    <t>elec</t>
  </si>
  <si>
    <t>batterystor</t>
  </si>
  <si>
    <t>Batterychar4h</t>
  </si>
  <si>
    <t>Batterydisch</t>
  </si>
  <si>
    <t>Batterydisch4h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</si>
  <si>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</si>
  <si>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</si>
  <si>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</si>
  <si>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</si>
  <si>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</si>
  <si>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</si>
  <si>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</si>
  <si>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</si>
  <si>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</si>
  <si>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</si>
  <si>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</si>
  <si>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</si>
  <si>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</si>
  <si>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</si>
  <si>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</si>
  <si>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</si>
  <si>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</si>
  <si>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</si>
  <si>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</si>
  <si>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</si>
  <si>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</si>
  <si>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</si>
  <si>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</si>
  <si>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</si>
  <si>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Industry non-renewable CHP</t>
  </si>
  <si>
    <t>Industry renewable CHP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</si>
  <si>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</si>
  <si>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</si>
  <si>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</si>
  <si>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</si>
  <si>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</si>
  <si>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</si>
  <si>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</si>
  <si>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</si>
  <si>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</si>
  <si>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Solar Thermal</t>
  </si>
  <si>
    <t>MSW</t>
  </si>
  <si>
    <t>from-to</t>
  </si>
  <si>
    <t>from</t>
  </si>
  <si>
    <t>to</t>
  </si>
  <si>
    <t>grid</t>
  </si>
  <si>
    <t>export_capacity</t>
  </si>
  <si>
    <t>import_capacity</t>
  </si>
  <si>
    <t>rampLimit</t>
  </si>
  <si>
    <t>variableTransCost</t>
  </si>
  <si>
    <t>transferLoss</t>
  </si>
  <si>
    <t>AT00-CH00</t>
  </si>
  <si>
    <t>AT00-DE00</t>
  </si>
  <si>
    <t>BE00-DE00</t>
  </si>
  <si>
    <t>BE00-FR00</t>
  </si>
  <si>
    <t>BE00-NL00</t>
  </si>
  <si>
    <t>BE00-UK00</t>
  </si>
  <si>
    <t>CH00-DE00</t>
  </si>
  <si>
    <t>CH00-FR00</t>
  </si>
  <si>
    <t>DE00-DKE1</t>
  </si>
  <si>
    <t>DE00-DKW1</t>
  </si>
  <si>
    <t>DE00-FR00</t>
  </si>
  <si>
    <t>DE00-NL00</t>
  </si>
  <si>
    <t>DE00-NOS0</t>
  </si>
  <si>
    <t>DE00-PL00</t>
  </si>
  <si>
    <t>DE00-SE04</t>
  </si>
  <si>
    <t>DE00-UK00</t>
  </si>
  <si>
    <t>DKE1-DKW1</t>
  </si>
  <si>
    <t>DKE1-PL00</t>
  </si>
  <si>
    <t>DKE1-SE04</t>
  </si>
  <si>
    <t>DKW1-NL00</t>
  </si>
  <si>
    <t>DKW1-NOS0</t>
  </si>
  <si>
    <t>DKW1-SE03</t>
  </si>
  <si>
    <t>DKW1-UK00</t>
  </si>
  <si>
    <t>EE00-FI00</t>
  </si>
  <si>
    <t>EE00-LV00</t>
  </si>
  <si>
    <t>ES00-FR00</t>
  </si>
  <si>
    <t>FI00-NON1</t>
  </si>
  <si>
    <t>FI00-SE01</t>
  </si>
  <si>
    <t>FI00-SE03</t>
  </si>
  <si>
    <t>FR00-UK00</t>
  </si>
  <si>
    <t>LT00-LV00</t>
  </si>
  <si>
    <t>LT00-PL00</t>
  </si>
  <si>
    <t>LT00-SE04</t>
  </si>
  <si>
    <t>NL00-NOS0</t>
  </si>
  <si>
    <t>NL00-UK00</t>
  </si>
  <si>
    <t>NOM1-NON1</t>
  </si>
  <si>
    <t>NOM1-NOS0</t>
  </si>
  <si>
    <t>NOM1-SE02</t>
  </si>
  <si>
    <t>NON1-SE01</t>
  </si>
  <si>
    <t>NON1-SE02</t>
  </si>
  <si>
    <t>NOS0-SE03</t>
  </si>
  <si>
    <t>NOS0-UK00</t>
  </si>
  <si>
    <t>PL00-SE04</t>
  </si>
  <si>
    <t>SE01-SE02</t>
  </si>
  <si>
    <t>SE02-SE03</t>
  </si>
  <si>
    <t>SE03-SE04</t>
  </si>
  <si>
    <t>emission</t>
  </si>
  <si>
    <t>group</t>
  </si>
  <si>
    <t>price</t>
  </si>
  <si>
    <t>emission_CO2</t>
  </si>
  <si>
    <t>Black liquor</t>
  </si>
  <si>
    <t>Observed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</si>
</sst>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00"/>
    <numFmt numFmtId="166" formatCode="0.0"/>
    <numFmt numFmtId="167" formatCode="#,##0.0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b/>
      <sz val="1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FFAFAF"/>
        <bgColor rgb="FFFF99CC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18" fillId="0" borderId="0"/>
    <xf numFmtId="0" fontId="18" fillId="0" borderId="0"/>
  </cellStyleXfs>
  <cellXfs count="99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14" fillId="0" borderId="0" xfId="0" applyFont="1" applyBorder="1" applyAlignment="1">
      <alignment horizontal="center" vertical="top" wrapText="1"/>
    </xf>
    <xf numFmtId="0" fontId="17" fillId="0" borderId="0" xfId="0" applyFont="1" applyBorder="1" applyAlignment="1">
      <alignment horizontal="center" vertical="top" wrapText="1"/>
    </xf>
    <xf numFmtId="0" fontId="0" fillId="15" borderId="0" xfId="0" applyFill="1"/>
    <xf numFmtId="0" fontId="0" fillId="19" borderId="0" xfId="0" applyFill="1"/>
    <xf numFmtId="0" fontId="19" fillId="20" borderId="8" xfId="2" applyFont="1" applyFill="1" applyBorder="1" applyAlignment="1">
      <alignment wrapText="1"/>
    </xf>
    <xf numFmtId="0" fontId="19" fillId="21" borderId="8" xfId="2" applyFont="1" applyFill="1" applyBorder="1" applyAlignment="1">
      <alignment wrapText="1"/>
    </xf>
    <xf numFmtId="0" fontId="19" fillId="22" borderId="8" xfId="2" applyFont="1" applyFill="1" applyBorder="1" applyAlignment="1">
      <alignment wrapText="1"/>
    </xf>
    <xf numFmtId="0" fontId="19" fillId="23" borderId="8" xfId="2" applyFont="1" applyFill="1" applyBorder="1" applyAlignment="1">
      <alignment wrapText="1"/>
    </xf>
    <xf numFmtId="0" fontId="19" fillId="23" borderId="0" xfId="2" applyFont="1" applyFill="1" applyAlignment="1">
      <alignment wrapText="1"/>
    </xf>
    <xf numFmtId="0" fontId="18" fillId="0" borderId="0" xfId="3"/>
    <xf numFmtId="0" fontId="18" fillId="0" borderId="0" xfId="3" applyAlignment="1">
      <alignment horizontal="left"/>
    </xf>
    <xf numFmtId="0" fontId="20" fillId="0" borderId="0" xfId="3" applyFont="1"/>
    <xf numFmtId="0" fontId="21" fillId="0" borderId="0" xfId="3" applyFont="1"/>
    <xf numFmtId="0" fontId="20" fillId="24" borderId="0" xfId="3" applyFont="1" applyFill="1"/>
    <xf numFmtId="0" fontId="22" fillId="0" borderId="10" xfId="0" applyFont="1" applyBorder="1" applyAlignment="1">
      <alignment horizontal="center" vertical="top"/>
    </xf>
    <xf numFmtId="0" fontId="14" fillId="0" borderId="0" xfId="0" applyFont="1"/>
    <xf numFmtId="0" fontId="19" fillId="0" borderId="0" xfId="0" applyFont="1" applyAlignment="1">
      <alignment wrapText="1"/>
    </xf>
    <xf numFmtId="0" fontId="19" fillId="0" borderId="0" xfId="0" applyFont="1"/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5" borderId="0" xfId="0" applyFill="1"/>
    <xf numFmtId="0" fontId="0" fillId="0" borderId="0" xfId="0" applyFill="1"/>
    <xf numFmtId="0" fontId="22" fillId="0" borderId="10" xfId="0" applyFont="1" applyFill="1" applyBorder="1" applyAlignment="1">
      <alignment horizontal="center" vertical="top"/>
    </xf>
    <xf numFmtId="0" fontId="0" fillId="26" borderId="0" xfId="0" applyFill="1"/>
  </cellXfs>
  <cellStyles count="4">
    <cellStyle name="Hyperlink" xfId="1" builtinId="8"/>
    <cellStyle name="Normal" xfId="0" builtinId="0"/>
    <cellStyle name="Normal 2" xfId="3" xr:uid="{62486F86-6C17-4B0E-AABD-6659D8476E79}"/>
    <cellStyle name="Standard_Data provided by OT3" xfId="2" xr:uid="{CF5A235E-FF11-451C-B874-DD8F77BDC2C9}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maf2020.xlsx" TargetMode="External"/><Relationship Id="rId1" Type="http://schemas.openxmlformats.org/officeDocument/2006/relationships/externalLinkPath" Target="unittypedata_maf20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K93" totalsRowShown="0" headerRowDxfId="16" headerRowBorderDxfId="14" tableBorderDxfId="15">
  <autoFilter ref="A1:K93" xr:uid="{B440C99F-3BB1-4A8C-9867-FC60A58307DE}"/>
  <tableColumns count="11">
    <tableColumn id="1" xr3:uid="{4D600E68-4859-4617-99C0-EA7B63208C31}" name="from-to"/>
    <tableColumn id="2" xr3:uid="{55683E09-DD2F-48C0-AB3E-CC91087C7173}" name="from"/>
    <tableColumn id="3" xr3:uid="{C8327C88-FBE8-4FC2-A619-A4BA01413A1C}" name="to"/>
    <tableColumn id="4" xr3:uid="{742C6874-D199-4EE2-A562-EA0C285890D2}" name="grid"/>
    <tableColumn id="5" xr3:uid="{1268EAAB-42FE-4A83-98BF-F41F14FEF437}" name="scenario"/>
    <tableColumn id="6" xr3:uid="{DD03EC9C-1908-4818-A7AD-696B46FD7E55}" name="Year"/>
    <tableColumn id="7" xr3:uid="{DC5490B1-E58F-4907-8D03-C2EB2A32E369}" name="export_capacity"/>
    <tableColumn id="8" xr3:uid="{858FE1C4-CAB1-497D-B42D-428703C91594}" name="import_capacity"/>
    <tableColumn id="9" xr3:uid="{BEFF1833-3A5D-4270-8A18-81866BBAA2B1}" name="rampLimit"/>
    <tableColumn id="13" xr3:uid="{6B3C7099-C2EE-43D1-8DCB-B97F67C67328}" name="variableTransCost"/>
    <tableColumn id="14" xr3:uid="{D34FA260-2E1D-4900-A826-F04BF8F07C5D}" name="transferLos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E154" totalsRowShown="0" headerRowDxfId="0" dataDxfId="5" headerRowBorderDxfId="7" tableBorderDxfId="8">
  <autoFilter ref="A1:E154" xr:uid="{E20E85B3-70B8-42FA-A4DB-D01011C9C779}"/>
  <tableColumns count="5">
    <tableColumn id="1" xr3:uid="{9E8A91B3-5637-47C2-B0AE-8BCDAB50C806}" name="Country" dataDxfId="6"/>
    <tableColumn id="2" xr3:uid="{41E09046-0D25-4DEB-9887-2ECB6AE473F2}" name="Generator_ID" dataDxfId="4"/>
    <tableColumn id="3" xr3:uid="{5500E0F2-38FA-425D-A49B-9DFF7856120F}" name="Scenario" dataDxfId="3"/>
    <tableColumn id="4" xr3:uid="{2F7FD309-B9BB-4C5B-B61A-862D1DC7A785}" name="Year" dataDxfId="1"/>
    <tableColumn id="5" xr3:uid="{278785FB-0A20-4E0A-8E84-551D5FDF9FC2}" name="capacity_output1" dataDxfId="2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E21" totalsRowShown="0" headerRowDxfId="13">
  <autoFilter ref="A1:E21" xr:uid="{D9844F2F-2EE0-434B-9492-0280A28AB057}"/>
  <tableColumns count="5">
    <tableColumn id="1" xr3:uid="{46AB9A07-935D-4BDF-BDAD-833C2B08B5EA}" name="Scenario" dataDxfId="9"/>
    <tableColumn id="2" xr3:uid="{9C0117C3-729A-4483-9D40-255263DE774C}" name="Year"/>
    <tableColumn id="3" xr3:uid="{F8AC0906-AF4C-4DB5-A628-E0D92C5871CF}" name="grid" dataDxfId="12"/>
    <tableColumn id="4" xr3:uid="{2FBFC74F-134A-4E2A-8A69-7E943A399965}" name="price" dataDxfId="11"/>
    <tableColumn id="5" xr3:uid="{78F6DB46-B023-4964-AA01-C06A0F1B985D}" name="emission_CO2" dataDxfId="10">
      <calculatedColumnFormula>IFERROR(VLOOKUP($C2, [2]data_fuelEmissions!$D$4:$F$14,3,FALSE),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47" t="s">
        <v>1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49" t="s">
        <v>12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1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67">
        <v>2025</v>
      </c>
      <c r="AH4" s="23">
        <v>2030</v>
      </c>
      <c r="AJ4" s="71" t="s">
        <v>219</v>
      </c>
      <c r="AK4" s="7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58">
        <f ca="1">SUMIFS(  INDIRECT(CONCATENATE("'wind_total'!", $C5, ":", $C5)),   wind_total!$6:$6, F$4) - SUMIFS(   INDIRECT(CONCATENATE("wind_offshore!",$D5,":", $D5)), wind_offshore!$4:$4, F$4)</f>
        <v>2875</v>
      </c>
      <c r="G5" s="58">
        <f ca="1">SUMIFS(  INDIRECT(CONCATENATE("'wind_total'!", $C5, ":", $C5)),   wind_total!$6:$6, G$4) - SUMIFS(   INDIRECT(CONCATENATE("wind_offshore!",$D5,":", $D5)), wind_offshore!$4:$4, G$4)</f>
        <v>4442</v>
      </c>
      <c r="H5" s="58">
        <f ca="1">SUMIFS(  INDIRECT(CONCATENATE("'wind_total'!", $C5, ":", $C5)),   wind_total!$6:$6, H$4) - SUMIFS(   INDIRECT(CONCATENATE("wind_offshore!",$D5,":", $D5)), wind_offshore!$4:$4, H$4)</f>
        <v>6113</v>
      </c>
      <c r="I5" s="58">
        <f ca="1">SUMIFS(  INDIRECT(CONCATENATE("'wind_total'!", $C5, ":", $C5)),   wind_total!$6:$6, I$4) - SUMIFS(   INDIRECT(CONCATENATE("wind_offshore!",$D5,":", $D5)), wind_offshore!$4:$4, I$4)</f>
        <v>8754</v>
      </c>
      <c r="J5" s="58">
        <f ca="1">SUMIFS(  INDIRECT(CONCATENATE("'wind_total'!", $C5, ":", $C5)),   wind_total!$6:$6, J$4) - SUMIFS(   INDIRECT(CONCATENATE("wind_offshore!",$D5,":", $D5)), wind_offshore!$4:$4, J$4)</f>
        <v>11994</v>
      </c>
      <c r="K5" s="58">
        <f ca="1">SUMIFS(  INDIRECT(CONCATENATE("'wind_total'!", $C5, ":", $C5)),   wind_total!$6:$6, K$4) - SUMIFS(   INDIRECT(CONCATENATE("wind_offshore!",$D5,":", $D5)), wind_offshore!$4:$4, K$4)</f>
        <v>14609</v>
      </c>
      <c r="L5" s="58">
        <f ca="1">SUMIFS(  INDIRECT(CONCATENATE("'wind_total'!", $C5, ":", $C5)),   wind_total!$6:$6, L$4) - SUMIFS(   INDIRECT(CONCATENATE("wind_offshore!",$D5,":", $D5)), wind_offshore!$4:$4, L$4)</f>
        <v>16629</v>
      </c>
      <c r="M5" s="58">
        <f ca="1">SUMIFS(  INDIRECT(CONCATENATE("'wind_total'!", $C5, ":", $C5)),   wind_total!$6:$6, M$4) - SUMIFS(   INDIRECT(CONCATENATE("wind_offshore!",$D5,":", $D5)), wind_offshore!$4:$4, M$4)</f>
        <v>18415</v>
      </c>
      <c r="N5" s="58">
        <f ca="1">SUMIFS(  INDIRECT(CONCATENATE("'wind_total'!", $C5, ":", $C5)),   wind_total!$6:$6, N$4) - SUMIFS(   INDIRECT(CONCATENATE("wind_offshore!",$D5,":", $D5)), wind_offshore!$4:$4, N$4)</f>
        <v>20622</v>
      </c>
      <c r="O5" s="58">
        <f ca="1">SUMIFS(  INDIRECT(CONCATENATE("'wind_total'!", $C5, ":", $C5)),   wind_total!$6:$6, O$4) - SUMIFS(   INDIRECT(CONCATENATE("wind_offshore!",$D5,":", $D5)), wind_offshore!$4:$4, O$4)</f>
        <v>22247</v>
      </c>
      <c r="P5" s="58">
        <f ca="1">SUMIFS(  INDIRECT(CONCATENATE("'wind_total'!", $C5, ":", $C5)),   wind_total!$6:$6, P$4) - SUMIFS(   INDIRECT(CONCATENATE("wind_offshore!",$D5,":", $D5)), wind_offshore!$4:$4, P$4)</f>
        <v>23885</v>
      </c>
      <c r="Q5" s="58">
        <f ca="1">SUMIFS(  INDIRECT(CONCATENATE("'wind_total'!", $C5, ":", $C5)),   wind_total!$6:$6, Q$4) - SUMIFS(   INDIRECT(CONCATENATE("wind_offshore!",$D5,":", $D5)), wind_offshore!$4:$4, Q$4)</f>
        <v>25705</v>
      </c>
      <c r="R5" s="58">
        <f ca="1">SUMIFS(  INDIRECT(CONCATENATE("'wind_total'!", $C5, ":", $C5)),   wind_total!$6:$6, R$4) - SUMIFS(   INDIRECT(CONCATENATE("wind_offshore!",$D5,":", $D5)), wind_offshore!$4:$4, R$4)</f>
        <v>26994.7</v>
      </c>
      <c r="S5" s="58">
        <f ca="1">SUMIFS(  INDIRECT(CONCATENATE("'wind_total'!", $C5, ":", $C5)),   wind_total!$6:$6, S$4) - SUMIFS(   INDIRECT(CONCATENATE("wind_offshore!",$D5,":", $D5)), wind_offshore!$4:$4, S$4)</f>
        <v>28554.7</v>
      </c>
      <c r="T5" s="58">
        <f ca="1">SUMIFS(  INDIRECT(CONCATENATE("'wind_total'!", $C5, ":", $C5)),   wind_total!$6:$6, T$4) - SUMIFS(   INDIRECT(CONCATENATE("wind_offshore!",$D5,":", $D5)), wind_offshore!$4:$4, T$4)</f>
        <v>30395</v>
      </c>
      <c r="U5" s="58">
        <f ca="1">SUMIFS(  INDIRECT(CONCATENATE("'wind_total'!", $C5, ":", $C5)),   wind_total!$6:$6, U$4) - SUMIFS(   INDIRECT(CONCATENATE("wind_offshore!",$D5,":", $D5)), wind_offshore!$4:$4, U$4)</f>
        <v>32577</v>
      </c>
      <c r="V5" s="58">
        <f ca="1">SUMIFS(  INDIRECT(CONCATENATE("'wind_total'!", $C5, ":", $C5)),   wind_total!$6:$6, V$4) - SUMIFS(   INDIRECT(CONCATENATE("wind_offshore!",$D5,":", $D5)), wind_offshore!$4:$4, V$4)</f>
        <v>37597.5</v>
      </c>
      <c r="W5" s="58">
        <f ca="1">SUMIFS(  INDIRECT(CONCATENATE("'wind_total'!", $C5, ":", $C5)),   wind_total!$6:$6, W$4) - SUMIFS(   INDIRECT(CONCATENATE("wind_offshore!",$D5,":", $D5)), wind_offshore!$4:$4, W$4)</f>
        <v>41285.1</v>
      </c>
      <c r="X5" s="58">
        <f ca="1">SUMIFS(  INDIRECT(CONCATENATE("'wind_total'!", $C5, ":", $C5)),   wind_total!$6:$6, X$4) - SUMIFS(   INDIRECT(CONCATENATE("wind_offshore!",$D5,":", $D5)), wind_offshore!$4:$4, X$4)</f>
        <v>45298</v>
      </c>
      <c r="Y5" s="58">
        <f ca="1">SUMIFS(  INDIRECT(CONCATENATE("'wind_total'!", $C5, ":", $C5)),   wind_total!$6:$6, Y$4) - SUMIFS(   INDIRECT(CONCATENATE("wind_offshore!",$D5,":", $D5)), wind_offshore!$4:$4, Y$4)</f>
        <v>50173</v>
      </c>
      <c r="Z5" s="58">
        <f ca="1">SUMIFS(  INDIRECT(CONCATENATE("'wind_total'!", $C5, ":", $C5)),   wind_total!$6:$6, Z$4) - SUMIFS(   INDIRECT(CONCATENATE("wind_offshore!",$D5,":", $D5)), wind_offshore!$4:$4, Z$4)</f>
        <v>52454</v>
      </c>
      <c r="AA5" s="58">
        <f ca="1">SUMIFS(  INDIRECT(CONCATENATE("'wind_total'!", $C5, ":", $C5)),   wind_total!$6:$6, AA$4) - SUMIFS(   INDIRECT(CONCATENATE("wind_offshore!",$D5,":", $D5)), wind_offshore!$4:$4, AA$4)</f>
        <v>53213</v>
      </c>
      <c r="AB5" s="58">
        <f ca="1">SUMIFS(  INDIRECT(CONCATENATE("'wind_total'!", $C5, ":", $C5)),   wind_total!$6:$6, AB$4) - SUMIFS(   INDIRECT(CONCATENATE("wind_offshore!",$D5,":", $D5)), wind_offshore!$4:$4, AB$4)</f>
        <v>54806</v>
      </c>
      <c r="AC5" s="58">
        <f ca="1">SUMIFS(  INDIRECT(CONCATENATE("'wind_total'!", $C5, ":", $C5)),   wind_total!$6:$6, AC$4) - SUMIFS(   INDIRECT(CONCATENATE("wind_offshore!",$D5,":", $D5)), wind_offshore!$4:$4, AC$4)</f>
        <v>56266</v>
      </c>
      <c r="AD5" s="58">
        <f ca="1">SUMIFS(  INDIRECT(CONCATENATE("'wind_total'!", $C5, ":", $C5)),   wind_total!$6:$6, AD$4) - SUMIFS(   INDIRECT(CONCATENATE("wind_offshore!",$D5,":", $D5)), wind_offshore!$4:$4, AD$4)</f>
        <v>58193</v>
      </c>
      <c r="AE5" s="58">
        <f ca="1">SUMIFS(  INDIRECT(CONCATENATE("'wind_total'!", $C5, ":", $C5)),   wind_total!$6:$6, AE$4) - SUMIFS(   INDIRECT(CONCATENATE("wind_offshore!",$D5,":", $D5)), wind_offshore!$4:$4, AE$4)</f>
        <v>61202</v>
      </c>
      <c r="AF5" s="58">
        <f ca="1">SUMIFS(  INDIRECT(CONCATENATE("'wind_total'!", $C5, ":", $C5)),   wind_total!$6:$6, AF$4) - SUMIFS(   INDIRECT(CONCATENATE("wind_offshore!",$D5,":", $D5)), wind_offshore!$4:$4, AF$4)</f>
        <v>63457</v>
      </c>
      <c r="AG5" s="6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58">
        <f ca="1">SUMIFS(  INDIRECT(CONCATENATE("'wind_total'!", $C6, ":", $C6)),   wind_total!$6:$6, F$4) - SUMIFS(   INDIRECT(CONCATENATE("wind_offshore!",$D6,":", $D6)), wind_offshore!$4:$4, F$4)</f>
        <v>333</v>
      </c>
      <c r="G6" s="58">
        <f ca="1">SUMIFS(  INDIRECT(CONCATENATE("'wind_total'!", $C6, ":", $C6)),   wind_total!$6:$6, G$4) - SUMIFS(   INDIRECT(CONCATENATE("wind_offshore!",$D6,":", $D6)), wind_offshore!$4:$4, G$4)</f>
        <v>362</v>
      </c>
      <c r="H6" s="58">
        <f ca="1">SUMIFS(  INDIRECT(CONCATENATE("'wind_total'!", $C6, ":", $C6)),   wind_total!$6:$6, H$4) - SUMIFS(   INDIRECT(CONCATENATE("wind_offshore!",$D6,":", $D6)), wind_offshore!$4:$4, H$4)</f>
        <v>406</v>
      </c>
      <c r="I6" s="58">
        <f ca="1">SUMIFS(  INDIRECT(CONCATENATE("'wind_total'!", $C6, ":", $C6)),   wind_total!$6:$6, I$4) - SUMIFS(   INDIRECT(CONCATENATE("wind_offshore!",$D6,":", $D6)), wind_offshore!$4:$4, I$4)</f>
        <v>474</v>
      </c>
      <c r="J6" s="58">
        <f ca="1">SUMIFS(  INDIRECT(CONCATENATE("'wind_total'!", $C6, ":", $C6)),   wind_total!$6:$6, J$4) - SUMIFS(   INDIRECT(CONCATENATE("wind_offshore!",$D6,":", $D6)), wind_offshore!$4:$4, J$4)</f>
        <v>552</v>
      </c>
      <c r="K6" s="58">
        <f ca="1">SUMIFS(  INDIRECT(CONCATENATE("'wind_total'!", $C6, ":", $C6)),   wind_total!$6:$6, K$4) - SUMIFS(   INDIRECT(CONCATENATE("wind_offshore!",$D6,":", $D6)), wind_offshore!$4:$4, K$4)</f>
        <v>667</v>
      </c>
      <c r="L6" s="58">
        <f ca="1">SUMIFS(  INDIRECT(CONCATENATE("'wind_total'!", $C6, ":", $C6)),   wind_total!$6:$6, L$4) - SUMIFS(   INDIRECT(CONCATENATE("wind_offshore!",$D6,":", $D6)), wind_offshore!$4:$4, L$4)</f>
        <v>904</v>
      </c>
      <c r="M6" s="58">
        <f ca="1">SUMIFS(  INDIRECT(CONCATENATE("'wind_total'!", $C6, ":", $C6)),   wind_total!$6:$6, M$4) - SUMIFS(   INDIRECT(CONCATENATE("wind_offshore!",$D6,":", $D6)), wind_offshore!$4:$4, M$4)</f>
        <v>1332</v>
      </c>
      <c r="N6" s="58">
        <f ca="1">SUMIFS(  INDIRECT(CONCATENATE("'wind_total'!", $C6, ":", $C6)),   wind_total!$6:$6, N$4) - SUMIFS(   INDIRECT(CONCATENATE("wind_offshore!",$D6,":", $D6)), wind_offshore!$4:$4, N$4)</f>
        <v>1962</v>
      </c>
      <c r="O6" s="58">
        <f ca="1">SUMIFS(  INDIRECT(CONCATENATE("'wind_total'!", $C6, ":", $C6)),   wind_total!$6:$6, O$4) - SUMIFS(   INDIRECT(CONCATENATE("wind_offshore!",$D6,":", $D6)), wind_offshore!$4:$4, O$4)</f>
        <v>2406</v>
      </c>
      <c r="P6" s="58">
        <f ca="1">SUMIFS(  INDIRECT(CONCATENATE("'wind_total'!", $C6, ":", $C6)),   wind_total!$6:$6, P$4) - SUMIFS(   INDIRECT(CONCATENATE("wind_offshore!",$D6,":", $D6)), wind_offshore!$4:$4, P$4)</f>
        <v>2388</v>
      </c>
      <c r="Q6" s="58">
        <f ca="1">SUMIFS(  INDIRECT(CONCATENATE("'wind_total'!", $C6, ":", $C6)),   wind_total!$6:$6, Q$4) - SUMIFS(   INDIRECT(CONCATENATE("wind_offshore!",$D6,":", $D6)), wind_offshore!$4:$4, Q$4)</f>
        <v>3362.8</v>
      </c>
      <c r="R6" s="58">
        <f ca="1">SUMIFS(  INDIRECT(CONCATENATE("'wind_total'!", $C6, ":", $C6)),   wind_total!$6:$6, R$4) - SUMIFS(   INDIRECT(CONCATENATE("wind_offshore!",$D6,":", $D6)), wind_offshore!$4:$4, R$4)</f>
        <v>3862.8</v>
      </c>
      <c r="S6" s="58">
        <f ca="1">SUMIFS(  INDIRECT(CONCATENATE("'wind_total'!", $C6, ":", $C6)),   wind_total!$6:$6, S$4) - SUMIFS(   INDIRECT(CONCATENATE("wind_offshore!",$D6,":", $D6)), wind_offshore!$4:$4, S$4)</f>
        <v>4446.3</v>
      </c>
      <c r="T6" s="58">
        <f ca="1">SUMIFS(  INDIRECT(CONCATENATE("'wind_total'!", $C6, ":", $C6)),   wind_total!$6:$6, T$4) - SUMIFS(   INDIRECT(CONCATENATE("wind_offshore!",$D6,":", $D6)), wind_offshore!$4:$4, T$4)</f>
        <v>5450</v>
      </c>
      <c r="U6" s="58">
        <f ca="1">SUMIFS(  INDIRECT(CONCATENATE("'wind_total'!", $C6, ":", $C6)),   wind_total!$6:$6, U$4) - SUMIFS(   INDIRECT(CONCATENATE("wind_offshore!",$D6,":", $D6)), wind_offshore!$4:$4, U$4)</f>
        <v>6874</v>
      </c>
      <c r="V6" s="58">
        <f ca="1">SUMIFS(  INDIRECT(CONCATENATE("'wind_total'!", $C6, ":", $C6)),   wind_total!$6:$6, V$4) - SUMIFS(   INDIRECT(CONCATENATE("wind_offshore!",$D6,":", $D6)), wind_offshore!$4:$4, V$4)</f>
        <v>7938.7</v>
      </c>
      <c r="W6" s="58">
        <f ca="1">SUMIFS(  INDIRECT(CONCATENATE("'wind_total'!", $C6, ":", $C6)),   wind_total!$6:$6, W$4) - SUMIFS(   INDIRECT(CONCATENATE("wind_offshore!",$D6,":", $D6)), wind_offshore!$4:$4, W$4)</f>
        <v>9186.5</v>
      </c>
      <c r="X6" s="58">
        <f ca="1">SUMIFS(  INDIRECT(CONCATENATE("'wind_total'!", $C6, ":", $C6)),   wind_total!$6:$6, X$4) - SUMIFS(   INDIRECT(CONCATENATE("wind_offshore!",$D6,":", $D6)), wind_offshore!$4:$4, X$4)</f>
        <v>9737</v>
      </c>
      <c r="Y6" s="58">
        <f ca="1">SUMIFS(  INDIRECT(CONCATENATE("'wind_total'!", $C6, ":", $C6)),   wind_total!$6:$6, Y$4) - SUMIFS(   INDIRECT(CONCATENATE("wind_offshore!",$D6,":", $D6)), wind_offshore!$4:$4, Y$4)</f>
        <v>12511.5</v>
      </c>
      <c r="Z6" s="58">
        <f ca="1">SUMIFS(  INDIRECT(CONCATENATE("'wind_total'!", $C6, ":", $C6)),   wind_total!$6:$6, Z$4) - SUMIFS(   INDIRECT(CONCATENATE("wind_offshore!",$D6,":", $D6)), wind_offshore!$4:$4, Z$4)</f>
        <v>13542.5</v>
      </c>
      <c r="AA6" s="58">
        <f ca="1">SUMIFS(  INDIRECT(CONCATENATE("'wind_total'!", $C6, ":", $C6)),   wind_total!$6:$6, AA$4) - SUMIFS(   INDIRECT(CONCATENATE("wind_offshore!",$D6,":", $D6)), wind_offshore!$4:$4, AA$4)</f>
        <v>15499.5</v>
      </c>
      <c r="AB6" s="58">
        <f ca="1">SUMIFS(  INDIRECT(CONCATENATE("'wind_total'!", $C6, ":", $C6)),   wind_total!$6:$6, AB$4) - SUMIFS(   INDIRECT(CONCATENATE("wind_offshore!",$D6,":", $D6)), wind_offshore!$4:$4, AB$4)</f>
        <v>14219.5</v>
      </c>
      <c r="AC6" s="58">
        <f ca="1">SUMIFS(  INDIRECT(CONCATENATE("'wind_total'!", $C6, ":", $C6)),   wind_total!$6:$6, AC$4) - SUMIFS(   INDIRECT(CONCATENATE("wind_offshore!",$D6,":", $D6)), wind_offshore!$4:$4, AC$4)</f>
        <v>16816.5</v>
      </c>
      <c r="AD6" s="58">
        <f ca="1">SUMIFS(  INDIRECT(CONCATENATE("'wind_total'!", $C6, ":", $C6)),   wind_total!$6:$6, AD$4) - SUMIFS(   INDIRECT(CONCATENATE("wind_offshore!",$D6,":", $D6)), wind_offshore!$4:$4, AD$4)</f>
        <v>15306.5</v>
      </c>
      <c r="AE6" s="58">
        <f ca="1">SUMIFS(  INDIRECT(CONCATENATE("'wind_total'!", $C6, ":", $C6)),   wind_total!$6:$6, AE$4) - SUMIFS(   INDIRECT(CONCATENATE("wind_offshore!",$D6,":", $D6)), wind_offshore!$4:$4, AE$4)</f>
        <v>15295.5</v>
      </c>
      <c r="AF6" s="58">
        <f ca="1">SUMIFS(  INDIRECT(CONCATENATE("'wind_total'!", $C6, ":", $C6)),   wind_total!$6:$6, AF$4) - SUMIFS(   INDIRECT(CONCATENATE("wind_offshore!",$D6,":", $D6)), wind_offshore!$4:$4, AF$4)</f>
        <v>15736</v>
      </c>
      <c r="AG6" s="6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58">
        <f ca="1">SUMIFS(  INDIRECT(CONCATENATE("'wind_total'!", $C7, ":", $C7)),   wind_total!$6:$6, F$4) - SUMIFS(   INDIRECT(CONCATENATE("wind_offshore!",$D7,":", $D7)), wind_offshore!$4:$4, F$4)</f>
        <v>834</v>
      </c>
      <c r="G7" s="58">
        <f ca="1">SUMIFS(  INDIRECT(CONCATENATE("'wind_total'!", $C7, ":", $C7)),   wind_total!$6:$6, G$4) - SUMIFS(   INDIRECT(CONCATENATE("wind_offshore!",$D7,":", $D7)), wind_offshore!$4:$4, G$4)</f>
        <v>1812</v>
      </c>
      <c r="H7" s="58">
        <f ca="1">SUMIFS(  INDIRECT(CONCATENATE("'wind_total'!", $C7, ":", $C7)),   wind_total!$6:$6, H$4) - SUMIFS(   INDIRECT(CONCATENATE("wind_offshore!",$D7,":", $D7)), wind_offshore!$4:$4, H$4)</f>
        <v>2235</v>
      </c>
      <c r="I7" s="58">
        <f ca="1">SUMIFS(  INDIRECT(CONCATENATE("'wind_total'!", $C7, ":", $C7)),   wind_total!$6:$6, I$4) - SUMIFS(   INDIRECT(CONCATENATE("wind_offshore!",$D7,":", $D7)), wind_offshore!$4:$4, I$4)</f>
        <v>3337</v>
      </c>
      <c r="J7" s="58">
        <f ca="1">SUMIFS(  INDIRECT(CONCATENATE("'wind_total'!", $C7, ":", $C7)),   wind_total!$6:$6, J$4) - SUMIFS(   INDIRECT(CONCATENATE("wind_offshore!",$D7,":", $D7)), wind_offshore!$4:$4, J$4)</f>
        <v>4825</v>
      </c>
      <c r="K7" s="58">
        <f ca="1">SUMIFS(  INDIRECT(CONCATENATE("'wind_total'!", $C7, ":", $C7)),   wind_total!$6:$6, K$4) - SUMIFS(   INDIRECT(CONCATENATE("wind_offshore!",$D7,":", $D7)), wind_offshore!$4:$4, K$4)</f>
        <v>6203</v>
      </c>
      <c r="L7" s="58">
        <f ca="1">SUMIFS(  INDIRECT(CONCATENATE("'wind_total'!", $C7, ":", $C7)),   wind_total!$6:$6, L$4) - SUMIFS(   INDIRECT(CONCATENATE("wind_offshore!",$D7,":", $D7)), wind_offshore!$4:$4, L$4)</f>
        <v>8264</v>
      </c>
      <c r="M7" s="58">
        <f ca="1">SUMIFS(  INDIRECT(CONCATENATE("'wind_total'!", $C7, ":", $C7)),   wind_total!$6:$6, M$4) - SUMIFS(   INDIRECT(CONCATENATE("wind_offshore!",$D7,":", $D7)), wind_offshore!$4:$4, M$4)</f>
        <v>10028</v>
      </c>
      <c r="N7" s="58">
        <f ca="1">SUMIFS(  INDIRECT(CONCATENATE("'wind_total'!", $C7, ":", $C7)),   wind_total!$6:$6, N$4) - SUMIFS(   INDIRECT(CONCATENATE("wind_offshore!",$D7,":", $D7)), wind_offshore!$4:$4, N$4)</f>
        <v>11623</v>
      </c>
      <c r="O7" s="58">
        <f ca="1">SUMIFS(  INDIRECT(CONCATENATE("'wind_total'!", $C7, ":", $C7)),   wind_total!$6:$6, O$4) - SUMIFS(   INDIRECT(CONCATENATE("wind_offshore!",$D7,":", $D7)), wind_offshore!$4:$4, O$4)</f>
        <v>15131</v>
      </c>
      <c r="P7" s="58">
        <f ca="1">SUMIFS(  INDIRECT(CONCATENATE("'wind_total'!", $C7, ":", $C7)),   wind_total!$6:$6, P$4) - SUMIFS(   INDIRECT(CONCATENATE("wind_offshore!",$D7,":", $D7)), wind_offshore!$4:$4, P$4)</f>
        <v>16689</v>
      </c>
      <c r="Q7" s="58">
        <f ca="1">SUMIFS(  INDIRECT(CONCATENATE("'wind_total'!", $C7, ":", $C7)),   wind_total!$6:$6, Q$4) - SUMIFS(   INDIRECT(CONCATENATE("wind_offshore!",$D7,":", $D7)), wind_offshore!$4:$4, Q$4)</f>
        <v>19149</v>
      </c>
      <c r="R7" s="58">
        <f ca="1">SUMIFS(  INDIRECT(CONCATENATE("'wind_total'!", $C7, ":", $C7)),   wind_total!$6:$6, R$4) - SUMIFS(   INDIRECT(CONCATENATE("wind_offshore!",$D7,":", $D7)), wind_offshore!$4:$4, R$4)</f>
        <v>20676</v>
      </c>
      <c r="S7" s="58">
        <f ca="1">SUMIFS(  INDIRECT(CONCATENATE("'wind_total'!", $C7, ":", $C7)),   wind_total!$6:$6, S$4) - SUMIFS(   INDIRECT(CONCATENATE("wind_offshore!",$D7,":", $D7)), wind_offshore!$4:$4, S$4)</f>
        <v>21674</v>
      </c>
      <c r="T7" s="58">
        <f ca="1">SUMIFS(  INDIRECT(CONCATENATE("'wind_total'!", $C7, ":", $C7)),   wind_total!$6:$6, T$4) - SUMIFS(   INDIRECT(CONCATENATE("wind_offshore!",$D7,":", $D7)), wind_offshore!$4:$4, T$4)</f>
        <v>22796</v>
      </c>
      <c r="U7" s="58">
        <f ca="1">SUMIFS(  INDIRECT(CONCATENATE("'wind_total'!", $C7, ":", $C7)),   wind_total!$6:$6, U$4) - SUMIFS(   INDIRECT(CONCATENATE("wind_offshore!",$D7,":", $D7)), wind_offshore!$4:$4, U$4)</f>
        <v>22954</v>
      </c>
      <c r="V7" s="58">
        <f ca="1">SUMIFS(  INDIRECT(CONCATENATE("'wind_total'!", $C7, ":", $C7)),   wind_total!$6:$6, V$4) - SUMIFS(   INDIRECT(CONCATENATE("wind_offshore!",$D7,":", $D7)), wind_offshore!$4:$4, V$4)</f>
        <v>22981</v>
      </c>
      <c r="W7" s="58">
        <f ca="1">SUMIFS(  INDIRECT(CONCATENATE("'wind_total'!", $C7, ":", $C7)),   wind_total!$6:$6, W$4) - SUMIFS(   INDIRECT(CONCATENATE("wind_offshore!",$D7,":", $D7)), wind_offshore!$4:$4, W$4)</f>
        <v>22982</v>
      </c>
      <c r="X7" s="58">
        <f ca="1">SUMIFS(  INDIRECT(CONCATENATE("'wind_total'!", $C7, ":", $C7)),   wind_total!$6:$6, X$4) - SUMIFS(   INDIRECT(CONCATENATE("wind_offshore!",$D7,":", $D7)), wind_offshore!$4:$4, X$4)</f>
        <v>23021</v>
      </c>
      <c r="Y7" s="58">
        <f ca="1">SUMIFS(  INDIRECT(CONCATENATE("'wind_total'!", $C7, ":", $C7)),   wind_total!$6:$6, Y$4) - SUMIFS(   INDIRECT(CONCATENATE("wind_offshore!",$D7,":", $D7)), wind_offshore!$4:$4, Y$4)</f>
        <v>23165</v>
      </c>
      <c r="Z7" s="58">
        <f ca="1">SUMIFS(  INDIRECT(CONCATENATE("'wind_total'!", $C7, ":", $C7)),   wind_total!$6:$6, Z$4) - SUMIFS(   INDIRECT(CONCATENATE("wind_offshore!",$D7,":", $D7)), wind_offshore!$4:$4, Z$4)</f>
        <v>23489</v>
      </c>
      <c r="AA7" s="58">
        <f ca="1">SUMIFS(  INDIRECT(CONCATENATE("'wind_total'!", $C7, ":", $C7)),   wind_total!$6:$6, AA$4) - SUMIFS(   INDIRECT(CONCATENATE("wind_offshore!",$D7,":", $D7)), wind_offshore!$4:$4, AA$4)</f>
        <v>25803</v>
      </c>
      <c r="AB7" s="58">
        <f ca="1">SUMIFS(  INDIRECT(CONCATENATE("'wind_total'!", $C7, ":", $C7)),   wind_total!$6:$6, AB$4) - SUMIFS(   INDIRECT(CONCATENATE("wind_offshore!",$D7,":", $D7)), wind_offshore!$4:$4, AB$4)</f>
        <v>27264</v>
      </c>
      <c r="AC7" s="58">
        <f ca="1">SUMIFS(  INDIRECT(CONCATENATE("'wind_total'!", $C7, ":", $C7)),   wind_total!$6:$6, AC$4) - SUMIFS(   INDIRECT(CONCATENATE("wind_offshore!",$D7,":", $D7)), wind_offshore!$4:$4, AC$4)</f>
        <v>28196</v>
      </c>
      <c r="AD7" s="58">
        <f ca="1">SUMIFS(  INDIRECT(CONCATENATE("'wind_total'!", $C7, ":", $C7)),   wind_total!$6:$6, AD$4) - SUMIFS(   INDIRECT(CONCATENATE("wind_offshore!",$D7,":", $D7)), wind_offshore!$4:$4, AD$4)</f>
        <v>29798</v>
      </c>
      <c r="AE7" s="58">
        <f ca="1">SUMIFS(  INDIRECT(CONCATENATE("'wind_total'!", $C7, ":", $C7)),   wind_total!$6:$6, AE$4) - SUMIFS(   INDIRECT(CONCATENATE("wind_offshore!",$D7,":", $D7)), wind_offshore!$4:$4, AE$4)</f>
        <v>30564</v>
      </c>
      <c r="AF7" s="58">
        <f ca="1">SUMIFS(  INDIRECT(CONCATENATE("'wind_total'!", $C7, ":", $C7)),   wind_total!$6:$6, AF$4) - SUMIFS(   INDIRECT(CONCATENATE("wind_offshore!",$D7,":", $D7)), wind_offshore!$4:$4, AF$4)</f>
        <v>31175</v>
      </c>
      <c r="AG7" s="6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58">
        <f ca="1">SUMIFS(  INDIRECT(CONCATENATE("'wind_total'!", $C8, ":", $C8)),   wind_total!$6:$6, F$4) - SUMIFS(   INDIRECT(CONCATENATE("wind_offshore!",$D8,":", $D8)), wind_offshore!$4:$4, F$4)</f>
        <v>19</v>
      </c>
      <c r="G8" s="58">
        <f ca="1">SUMIFS(  INDIRECT(CONCATENATE("'wind_total'!", $C8, ":", $C8)),   wind_total!$6:$6, G$4) - SUMIFS(   INDIRECT(CONCATENATE("wind_offshore!",$D8,":", $D8)), wind_offshore!$4:$4, G$4)</f>
        <v>25</v>
      </c>
      <c r="H8" s="58">
        <f ca="1">SUMIFS(  INDIRECT(CONCATENATE("'wind_total'!", $C8, ":", $C8)),   wind_total!$6:$6, H$4) - SUMIFS(   INDIRECT(CONCATENATE("wind_offshore!",$D8,":", $D8)), wind_offshore!$4:$4, H$4)</f>
        <v>66</v>
      </c>
      <c r="I8" s="58">
        <f ca="1">SUMIFS(  INDIRECT(CONCATENATE("'wind_total'!", $C8, ":", $C8)),   wind_total!$6:$6, I$4) - SUMIFS(   INDIRECT(CONCATENATE("wind_offshore!",$D8,":", $D8)), wind_offshore!$4:$4, I$4)</f>
        <v>93</v>
      </c>
      <c r="J8" s="58">
        <f ca="1">SUMIFS(  INDIRECT(CONCATENATE("'wind_total'!", $C8, ":", $C8)),   wind_total!$6:$6, J$4) - SUMIFS(   INDIRECT(CONCATENATE("wind_offshore!",$D8,":", $D8)), wind_offshore!$4:$4, J$4)</f>
        <v>148</v>
      </c>
      <c r="K8" s="58">
        <f ca="1">SUMIFS(  INDIRECT(CONCATENATE("'wind_total'!", $C8, ":", $C8)),   wind_total!$6:$6, K$4) - SUMIFS(   INDIRECT(CONCATENATE("wind_offshore!",$D8,":", $D8)), wind_offshore!$4:$4, K$4)</f>
        <v>257</v>
      </c>
      <c r="L8" s="58">
        <f ca="1">SUMIFS(  INDIRECT(CONCATENATE("'wind_total'!", $C8, ":", $C8)),   wind_total!$6:$6, L$4) - SUMIFS(   INDIRECT(CONCATENATE("wind_offshore!",$D8,":", $D8)), wind_offshore!$4:$4, L$4)</f>
        <v>390</v>
      </c>
      <c r="M8" s="58">
        <f ca="1">SUMIFS(  INDIRECT(CONCATENATE("'wind_total'!", $C8, ":", $C8)),   wind_total!$6:$6, M$4) - SUMIFS(   INDIRECT(CONCATENATE("wind_offshore!",$D8,":", $D8)), wind_offshore!$4:$4, M$4)</f>
        <v>757</v>
      </c>
      <c r="N8" s="58">
        <f ca="1">SUMIFS(  INDIRECT(CONCATENATE("'wind_total'!", $C8, ":", $C8)),   wind_total!$6:$6, N$4) - SUMIFS(   INDIRECT(CONCATENATE("wind_offshore!",$D8,":", $D8)), wind_offshore!$4:$4, N$4)</f>
        <v>1567</v>
      </c>
      <c r="O8" s="58">
        <f ca="1">SUMIFS(  INDIRECT(CONCATENATE("'wind_total'!", $C8, ":", $C8)),   wind_total!$6:$6, O$4) - SUMIFS(   INDIRECT(CONCATENATE("wind_offshore!",$D8,":", $D8)), wind_offshore!$4:$4, O$4)</f>
        <v>2454</v>
      </c>
      <c r="P8" s="58">
        <f ca="1">SUMIFS(  INDIRECT(CONCATENATE("'wind_total'!", $C8, ":", $C8)),   wind_total!$6:$6, P$4) - SUMIFS(   INDIRECT(CONCATENATE("wind_offshore!",$D8,":", $D8)), wind_offshore!$4:$4, P$4)</f>
        <v>3404</v>
      </c>
      <c r="Q8" s="58">
        <f ca="1">SUMIFS(  INDIRECT(CONCATENATE("'wind_total'!", $C8, ":", $C8)),   wind_total!$6:$6, Q$4) - SUMIFS(   INDIRECT(CONCATENATE("wind_offshore!",$D8,":", $D8)), wind_offshore!$4:$4, Q$4)</f>
        <v>4492</v>
      </c>
      <c r="R8" s="58">
        <f ca="1">SUMIFS(  INDIRECT(CONCATENATE("'wind_total'!", $C8, ":", $C8)),   wind_total!$6:$6, R$4) - SUMIFS(   INDIRECT(CONCATENATE("wind_offshore!",$D8,":", $D8)), wind_offshore!$4:$4, R$4)</f>
        <v>5660</v>
      </c>
      <c r="S8" s="58">
        <f ca="1">SUMIFS(  INDIRECT(CONCATENATE("'wind_total'!", $C8, ":", $C8)),   wind_total!$6:$6, S$4) - SUMIFS(   INDIRECT(CONCATENATE("wind_offshore!",$D8,":", $D8)), wind_offshore!$4:$4, S$4)</f>
        <v>6800</v>
      </c>
      <c r="T8" s="58">
        <f ca="1">SUMIFS(  INDIRECT(CONCATENATE("'wind_total'!", $C8, ":", $C8)),   wind_total!$6:$6, T$4) - SUMIFS(   INDIRECT(CONCATENATE("wind_offshore!",$D8,":", $D8)), wind_offshore!$4:$4, T$4)</f>
        <v>7196</v>
      </c>
      <c r="U8" s="58">
        <f ca="1">SUMIFS(  INDIRECT(CONCATENATE("'wind_total'!", $C8, ":", $C8)),   wind_total!$6:$6, U$4) - SUMIFS(   INDIRECT(CONCATENATE("wind_offshore!",$D8,":", $D8)), wind_offshore!$4:$4, U$4)</f>
        <v>8254</v>
      </c>
      <c r="V8" s="58">
        <f ca="1">SUMIFS(  INDIRECT(CONCATENATE("'wind_total'!", $C8, ":", $C8)),   wind_total!$6:$6, V$4) - SUMIFS(   INDIRECT(CONCATENATE("wind_offshore!",$D8,":", $D8)), wind_offshore!$4:$4, V$4)</f>
        <v>9285</v>
      </c>
      <c r="W8" s="58">
        <f ca="1">SUMIFS(  INDIRECT(CONCATENATE("'wind_total'!", $C8, ":", $C8)),   wind_total!$6:$6, W$4) - SUMIFS(   INDIRECT(CONCATENATE("wind_offshore!",$D8,":", $D8)), wind_offshore!$4:$4, W$4)</f>
        <v>10324</v>
      </c>
      <c r="X8" s="58">
        <f ca="1">SUMIFS(  INDIRECT(CONCATENATE("'wind_total'!", $C8, ":", $C8)),   wind_total!$6:$6, X$4) - SUMIFS(   INDIRECT(CONCATENATE("wind_offshore!",$D8,":", $D8)), wind_offshore!$4:$4, X$4)</f>
        <v>11670</v>
      </c>
      <c r="Y8" s="58">
        <f ca="1">SUMIFS(  INDIRECT(CONCATENATE("'wind_total'!", $C8, ":", $C8)),   wind_total!$6:$6, Y$4) - SUMIFS(   INDIRECT(CONCATENATE("wind_offshore!",$D8,":", $D8)), wind_offshore!$4:$4, Y$4)</f>
        <v>13759</v>
      </c>
      <c r="Z8" s="58">
        <f ca="1">SUMIFS(  INDIRECT(CONCATENATE("'wind_total'!", $C8, ":", $C8)),   wind_total!$6:$6, Z$4) - SUMIFS(   INDIRECT(CONCATENATE("wind_offshore!",$D8,":", $D8)), wind_offshore!$4:$4, Z$4)</f>
        <v>15309</v>
      </c>
      <c r="AA8" s="58">
        <f ca="1">SUMIFS(  INDIRECT(CONCATENATE("'wind_total'!", $C8, ":", $C8)),   wind_total!$6:$6, AA$4) - SUMIFS(   INDIRECT(CONCATENATE("wind_offshore!",$D8,":", $D8)), wind_offshore!$4:$4, AA$4)</f>
        <v>16646</v>
      </c>
      <c r="AB8" s="58">
        <f ca="1">SUMIFS(  INDIRECT(CONCATENATE("'wind_total'!", $C8, ":", $C8)),   wind_total!$6:$6, AB$4) - SUMIFS(   INDIRECT(CONCATENATE("wind_offshore!",$D8,":", $D8)), wind_offshore!$4:$4, AB$4)</f>
        <v>17949</v>
      </c>
      <c r="AC8" s="58">
        <f ca="1">SUMIFS(  INDIRECT(CONCATENATE("'wind_total'!", $C8, ":", $C8)),   wind_total!$6:$6, AC$4) - SUMIFS(   INDIRECT(CONCATENATE("wind_offshore!",$D8,":", $D8)), wind_offshore!$4:$4, AC$4)</f>
        <v>19081</v>
      </c>
      <c r="AD8" s="58">
        <f ca="1">SUMIFS(  INDIRECT(CONCATENATE("'wind_total'!", $C8, ":", $C8)),   wind_total!$6:$6, AD$4) - SUMIFS(   INDIRECT(CONCATENATE("wind_offshore!",$D8,":", $D8)), wind_offshore!$4:$4, AD$4)</f>
        <v>20655</v>
      </c>
      <c r="AE8" s="58">
        <f ca="1">SUMIFS(  INDIRECT(CONCATENATE("'wind_total'!", $C8, ":", $C8)),   wind_total!$6:$6, AE$4) - SUMIFS(   INDIRECT(CONCATENATE("wind_offshore!",$D8,":", $D8)), wind_offshore!$4:$4, AE$4)</f>
        <v>21309</v>
      </c>
      <c r="AF8" s="58">
        <f ca="1">SUMIFS(  INDIRECT(CONCATENATE("'wind_total'!", $C8, ":", $C8)),   wind_total!$6:$6, AF$4) - SUMIFS(   INDIRECT(CONCATENATE("wind_offshore!",$D8,":", $D8)), wind_offshore!$4:$4, AF$4)</f>
        <v>22875</v>
      </c>
      <c r="AG8" s="6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58">
        <f ca="1">SUMIFS(  INDIRECT(CONCATENATE("'wind_total'!", $C9, ":", $C9)),   wind_total!$6:$6, F$4) - SUMIFS(   INDIRECT(CONCATENATE("wind_offshore!",$D9,":", $D9)), wind_offshore!$4:$4, F$4)</f>
        <v>174</v>
      </c>
      <c r="G9" s="58">
        <f ca="1">SUMIFS(  INDIRECT(CONCATENATE("'wind_total'!", $C9, ":", $C9)),   wind_total!$6:$6, G$4) - SUMIFS(   INDIRECT(CONCATENATE("wind_offshore!",$D9,":", $D9)), wind_offshore!$4:$4, G$4)</f>
        <v>220</v>
      </c>
      <c r="H9" s="58">
        <f ca="1">SUMIFS(  INDIRECT(CONCATENATE("'wind_total'!", $C9, ":", $C9)),   wind_total!$6:$6, H$4) - SUMIFS(   INDIRECT(CONCATENATE("wind_offshore!",$D9,":", $D9)), wind_offshore!$4:$4, H$4)</f>
        <v>231</v>
      </c>
      <c r="I9" s="58">
        <f ca="1">SUMIFS(  INDIRECT(CONCATENATE("'wind_total'!", $C9, ":", $C9)),   wind_total!$6:$6, I$4) - SUMIFS(   INDIRECT(CONCATENATE("wind_offshore!",$D9,":", $D9)), wind_offshore!$4:$4, I$4)</f>
        <v>293</v>
      </c>
      <c r="J9" s="58">
        <f ca="1">SUMIFS(  INDIRECT(CONCATENATE("'wind_total'!", $C9, ":", $C9)),   wind_total!$6:$6, J$4) - SUMIFS(   INDIRECT(CONCATENATE("wind_offshore!",$D9,":", $D9)), wind_offshore!$4:$4, J$4)</f>
        <v>345</v>
      </c>
      <c r="K9" s="58">
        <f ca="1">SUMIFS(  INDIRECT(CONCATENATE("'wind_total'!", $C9, ":", $C9)),   wind_total!$6:$6, K$4) - SUMIFS(   INDIRECT(CONCATENATE("wind_offshore!",$D9,":", $D9)), wind_offshore!$4:$4, K$4)</f>
        <v>399</v>
      </c>
      <c r="L9" s="58">
        <f ca="1">SUMIFS(  INDIRECT(CONCATENATE("'wind_total'!", $C9, ":", $C9)),   wind_total!$6:$6, L$4) - SUMIFS(   INDIRECT(CONCATENATE("wind_offshore!",$D9,":", $D9)), wind_offshore!$4:$4, L$4)</f>
        <v>442</v>
      </c>
      <c r="M9" s="58">
        <f ca="1">SUMIFS(  INDIRECT(CONCATENATE("'wind_total'!", $C9, ":", $C9)),   wind_total!$6:$6, M$4) - SUMIFS(   INDIRECT(CONCATENATE("wind_offshore!",$D9,":", $D9)), wind_offshore!$4:$4, M$4)</f>
        <v>509</v>
      </c>
      <c r="N9" s="58">
        <f ca="1">SUMIFS(  INDIRECT(CONCATENATE("'wind_total'!", $C9, ":", $C9)),   wind_total!$6:$6, N$4) - SUMIFS(   INDIRECT(CONCATENATE("wind_offshore!",$D9,":", $D9)), wind_offshore!$4:$4, N$4)</f>
        <v>571</v>
      </c>
      <c r="O9" s="58">
        <f ca="1">SUMIFS(  INDIRECT(CONCATENATE("'wind_total'!", $C9, ":", $C9)),   wind_total!$6:$6, O$4) - SUMIFS(   INDIRECT(CONCATENATE("wind_offshore!",$D9,":", $D9)), wind_offshore!$4:$4, O$4)</f>
        <v>788</v>
      </c>
      <c r="P9" s="58">
        <f ca="1">SUMIFS(  INDIRECT(CONCATENATE("'wind_total'!", $C9, ":", $C9)),   wind_total!$6:$6, P$4) - SUMIFS(   INDIRECT(CONCATENATE("wind_offshore!",$D9,":", $D9)), wind_offshore!$4:$4, P$4)</f>
        <v>914.3</v>
      </c>
      <c r="Q9" s="58">
        <f ca="1">SUMIFS(  INDIRECT(CONCATENATE("'wind_total'!", $C9, ":", $C9)),   wind_total!$6:$6, Q$4) - SUMIFS(   INDIRECT(CONCATENATE("wind_offshore!",$D9,":", $D9)), wind_offshore!$4:$4, Q$4)</f>
        <v>1396.3</v>
      </c>
      <c r="R9" s="58">
        <f ca="1">SUMIFS(  INDIRECT(CONCATENATE("'wind_total'!", $C9, ":", $C9)),   wind_total!$6:$6, R$4) - SUMIFS(   INDIRECT(CONCATENATE("wind_offshore!",$D9,":", $D9)), wind_offshore!$4:$4, R$4)</f>
        <v>1999.6</v>
      </c>
      <c r="S9" s="58">
        <f ca="1">SUMIFS(  INDIRECT(CONCATENATE("'wind_total'!", $C9, ":", $C9)),   wind_total!$6:$6, S$4) - SUMIFS(   INDIRECT(CONCATENATE("wind_offshore!",$D9,":", $D9)), wind_offshore!$4:$4, S$4)</f>
        <v>2743.6</v>
      </c>
      <c r="T9" s="58">
        <f ca="1">SUMIFS(  INDIRECT(CONCATENATE("'wind_total'!", $C9, ":", $C9)),   wind_total!$6:$6, T$4) - SUMIFS(   INDIRECT(CONCATENATE("wind_offshore!",$D9,":", $D9)), wind_offshore!$4:$4, T$4)</f>
        <v>3581.3</v>
      </c>
      <c r="U9" s="58">
        <f ca="1">SUMIFS(  INDIRECT(CONCATENATE("'wind_total'!", $C9, ":", $C9)),   wind_total!$6:$6, U$4) - SUMIFS(   INDIRECT(CONCATENATE("wind_offshore!",$D9,":", $D9)), wind_offshore!$4:$4, U$4)</f>
        <v>4258.3</v>
      </c>
      <c r="V9" s="58">
        <f ca="1">SUMIFS(  INDIRECT(CONCATENATE("'wind_total'!", $C9, ":", $C9)),   wind_total!$6:$6, V$4) - SUMIFS(   INDIRECT(CONCATENATE("wind_offshore!",$D9,":", $D9)), wind_offshore!$4:$4, V$4)</f>
        <v>5213.3</v>
      </c>
      <c r="W9" s="58">
        <f ca="1">SUMIFS(  INDIRECT(CONCATENATE("'wind_total'!", $C9, ":", $C9)),   wind_total!$6:$6, W$4) - SUMIFS(   INDIRECT(CONCATENATE("wind_offshore!",$D9,":", $D9)), wind_offshore!$4:$4, W$4)</f>
        <v>5827.3</v>
      </c>
      <c r="X9" s="58">
        <f ca="1">SUMIFS(  INDIRECT(CONCATENATE("'wind_total'!", $C9, ":", $C9)),   wind_total!$6:$6, X$4) - SUMIFS(   INDIRECT(CONCATENATE("wind_offshore!",$D9,":", $D9)), wind_offshore!$4:$4, X$4)</f>
        <v>6317.3</v>
      </c>
      <c r="Y9" s="58">
        <f ca="1">SUMIFS(  INDIRECT(CONCATENATE("'wind_total'!", $C9, ":", $C9)),   wind_total!$6:$6, Y$4) - SUMIFS(   INDIRECT(CONCATENATE("wind_offshore!",$D9,":", $D9)), wind_offshore!$4:$4, Y$4)</f>
        <v>6489.3</v>
      </c>
      <c r="Z9" s="58">
        <f ca="1">SUMIFS(  INDIRECT(CONCATENATE("'wind_total'!", $C9, ":", $C9)),   wind_total!$6:$6, Z$4) - SUMIFS(   INDIRECT(CONCATENATE("wind_offshore!",$D9,":", $D9)), wind_offshore!$4:$4, Z$4)</f>
        <v>7204</v>
      </c>
      <c r="AA9" s="58">
        <f ca="1">SUMIFS(  INDIRECT(CONCATENATE("'wind_total'!", $C9, ":", $C9)),   wind_total!$6:$6, AA$4) - SUMIFS(   INDIRECT(CONCATENATE("wind_offshore!",$D9,":", $D9)), wind_offshore!$4:$4, AA$4)</f>
        <v>8792.5</v>
      </c>
      <c r="AB9" s="58">
        <f ca="1">SUMIFS(  INDIRECT(CONCATENATE("'wind_total'!", $C9, ":", $C9)),   wind_total!$6:$6, AB$4) - SUMIFS(   INDIRECT(CONCATENATE("wind_offshore!",$D9,":", $D9)), wind_offshore!$4:$4, AB$4)</f>
        <v>9789</v>
      </c>
      <c r="AC9" s="58">
        <f ca="1">SUMIFS(  INDIRECT(CONCATENATE("'wind_total'!", $C9, ":", $C9)),   wind_total!$6:$6, AC$4) - SUMIFS(   INDIRECT(CONCATENATE("wind_offshore!",$D9,":", $D9)), wind_offshore!$4:$4, AC$4)</f>
        <v>11894</v>
      </c>
      <c r="AD9" s="58">
        <f ca="1">SUMIFS(  INDIRECT(CONCATENATE("'wind_total'!", $C9, ":", $C9)),   wind_total!$6:$6, AD$4) - SUMIFS(   INDIRECT(CONCATENATE("wind_offshore!",$D9,":", $D9)), wind_offshore!$4:$4, AD$4)</f>
        <v>14392</v>
      </c>
      <c r="AE9" s="58">
        <f ca="1">SUMIFS(  INDIRECT(CONCATENATE("'wind_total'!", $C9, ":", $C9)),   wind_total!$6:$6, AE$4) - SUMIFS(   INDIRECT(CONCATENATE("wind_offshore!",$D9,":", $D9)), wind_offshore!$4:$4, AE$4)</f>
        <v>16248</v>
      </c>
      <c r="AF9" s="58">
        <f ca="1">SUMIFS(  INDIRECT(CONCATENATE("'wind_total'!", $C9, ":", $C9)),   wind_total!$6:$6, AF$4) - SUMIFS(   INDIRECT(CONCATENATE("wind_offshore!",$D9,":", $D9)), wind_offshore!$4:$4, AF$4)</f>
        <v>17007</v>
      </c>
      <c r="AG9" s="6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58">
        <f ca="1">SUMIFS(  INDIRECT(CONCATENATE("'wind_total'!", $C10, ":", $C10)),   wind_total!$6:$6, F$4) - SUMIFS(   INDIRECT(CONCATENATE("wind_offshore!",$D10,":", $D10)), wind_offshore!$4:$4, F$4)</f>
        <v>0</v>
      </c>
      <c r="G10" s="58">
        <f ca="1">SUMIFS(  INDIRECT(CONCATENATE("'wind_total'!", $C10, ":", $C10)),   wind_total!$6:$6, G$4) - SUMIFS(   INDIRECT(CONCATENATE("wind_offshore!",$D10,":", $D10)), wind_offshore!$4:$4, G$4)</f>
        <v>0</v>
      </c>
      <c r="H10" s="58">
        <f ca="1">SUMIFS(  INDIRECT(CONCATENATE("'wind_total'!", $C10, ":", $C10)),   wind_total!$6:$6, H$4) - SUMIFS(   INDIRECT(CONCATENATE("wind_offshore!",$D10,":", $D10)), wind_offshore!$4:$4, H$4)</f>
        <v>0</v>
      </c>
      <c r="I10" s="58">
        <f ca="1">SUMIFS(  INDIRECT(CONCATENATE("'wind_total'!", $C10, ":", $C10)),   wind_total!$6:$6, I$4) - SUMIFS(   INDIRECT(CONCATENATE("wind_offshore!",$D10,":", $D10)), wind_offshore!$4:$4, I$4)</f>
        <v>0</v>
      </c>
      <c r="J10" s="58">
        <f ca="1">SUMIFS(  INDIRECT(CONCATENATE("'wind_total'!", $C10, ":", $C10)),   wind_total!$6:$6, J$4) - SUMIFS(   INDIRECT(CONCATENATE("wind_offshore!",$D10,":", $D10)), wind_offshore!$4:$4, J$4)</f>
        <v>0</v>
      </c>
      <c r="K10" s="58">
        <f ca="1">SUMIFS(  INDIRECT(CONCATENATE("'wind_total'!", $C10, ":", $C10)),   wind_total!$6:$6, K$4) - SUMIFS(   INDIRECT(CONCATENATE("wind_offshore!",$D10,":", $D10)), wind_offshore!$4:$4, K$4)</f>
        <v>0</v>
      </c>
      <c r="L10" s="58">
        <f ca="1">SUMIFS(  INDIRECT(CONCATENATE("'wind_total'!", $C10, ":", $C10)),   wind_total!$6:$6, L$4) - SUMIFS(   INDIRECT(CONCATENATE("wind_offshore!",$D10,":", $D10)), wind_offshore!$4:$4, L$4)</f>
        <v>0</v>
      </c>
      <c r="M10" s="58">
        <f ca="1">SUMIFS(  INDIRECT(CONCATENATE("'wind_total'!", $C10, ":", $C10)),   wind_total!$6:$6, M$4) - SUMIFS(   INDIRECT(CONCATENATE("wind_offshore!",$D10,":", $D10)), wind_offshore!$4:$4, M$4)</f>
        <v>0</v>
      </c>
      <c r="N10" s="58">
        <f ca="1">SUMIFS(  INDIRECT(CONCATENATE("'wind_total'!", $C10, ":", $C10)),   wind_total!$6:$6, N$4) - SUMIFS(   INDIRECT(CONCATENATE("wind_offshore!",$D10,":", $D10)), wind_offshore!$4:$4, N$4)</f>
        <v>0</v>
      </c>
      <c r="O10" s="58">
        <f ca="1">SUMIFS(  INDIRECT(CONCATENATE("'wind_total'!", $C10, ":", $C10)),   wind_total!$6:$6, O$4) - SUMIFS(   INDIRECT(CONCATENATE("wind_offshore!",$D10,":", $D10)), wind_offshore!$4:$4, O$4)</f>
        <v>0</v>
      </c>
      <c r="P10" s="58">
        <f ca="1">SUMIFS(  INDIRECT(CONCATENATE("'wind_total'!", $C10, ":", $C10)),   wind_total!$6:$6, P$4) - SUMIFS(   INDIRECT(CONCATENATE("wind_offshore!",$D10,":", $D10)), wind_offshore!$4:$4, P$4)</f>
        <v>458</v>
      </c>
      <c r="Q10" s="58">
        <f ca="1">SUMIFS(  INDIRECT(CONCATENATE("'wind_total'!", $C10, ":", $C10)),   wind_total!$6:$6, Q$4) - SUMIFS(   INDIRECT(CONCATENATE("wind_offshore!",$D10,":", $D10)), wind_offshore!$4:$4, Q$4)</f>
        <v>801</v>
      </c>
      <c r="R10" s="58">
        <f ca="1">SUMIFS(  INDIRECT(CONCATENATE("'wind_total'!", $C10, ":", $C10)),   wind_total!$6:$6, R$4) - SUMIFS(   INDIRECT(CONCATENATE("wind_offshore!",$D10,":", $D10)), wind_offshore!$4:$4, R$4)</f>
        <v>1329</v>
      </c>
      <c r="S10" s="58">
        <f ca="1">SUMIFS(  INDIRECT(CONCATENATE("'wind_total'!", $C10, ":", $C10)),   wind_total!$6:$6, S$4) - SUMIFS(   INDIRECT(CONCATENATE("wind_offshore!",$D10,":", $D10)), wind_offshore!$4:$4, S$4)</f>
        <v>1691</v>
      </c>
      <c r="T10" s="58">
        <f ca="1">SUMIFS(  INDIRECT(CONCATENATE("'wind_total'!", $C10, ":", $C10)),   wind_total!$6:$6, T$4) - SUMIFS(   INDIRECT(CONCATENATE("wind_offshore!",$D10,":", $D10)), wind_offshore!$4:$4, T$4)</f>
        <v>2312</v>
      </c>
      <c r="U10" s="58">
        <f ca="1">SUMIFS(  INDIRECT(CONCATENATE("'wind_total'!", $C10, ":", $C10)),   wind_total!$6:$6, U$4) - SUMIFS(   INDIRECT(CONCATENATE("wind_offshore!",$D10,":", $D10)), wind_offshore!$4:$4, U$4)</f>
        <v>2956</v>
      </c>
      <c r="V10" s="58">
        <f ca="1">SUMIFS(  INDIRECT(CONCATENATE("'wind_total'!", $C10, ":", $C10)),   wind_total!$6:$6, V$4) - SUMIFS(   INDIRECT(CONCATENATE("wind_offshore!",$D10,":", $D10)), wind_offshore!$4:$4, V$4)</f>
        <v>3763</v>
      </c>
      <c r="W10" s="58">
        <f ca="1">SUMIFS(  INDIRECT(CONCATENATE("'wind_total'!", $C10, ":", $C10)),   wind_total!$6:$6, W$4) - SUMIFS(   INDIRECT(CONCATENATE("wind_offshore!",$D10,":", $D10)), wind_offshore!$4:$4, W$4)</f>
        <v>4718</v>
      </c>
      <c r="X10" s="58">
        <f ca="1">SUMIFS(  INDIRECT(CONCATENATE("'wind_total'!", $C10, ":", $C10)),   wind_total!$6:$6, X$4) - SUMIFS(   INDIRECT(CONCATENATE("wind_offshore!",$D10,":", $D10)), wind_offshore!$4:$4, X$4)</f>
        <v>6101</v>
      </c>
      <c r="Y10" s="58">
        <f ca="1">SUMIFS(  INDIRECT(CONCATENATE("'wind_total'!", $C10, ":", $C10)),   wind_total!$6:$6, Y$4) - SUMIFS(   INDIRECT(CONCATENATE("wind_offshore!",$D10,":", $D10)), wind_offshore!$4:$4, Y$4)</f>
        <v>6857</v>
      </c>
      <c r="Z10" s="58">
        <f ca="1">SUMIFS(  INDIRECT(CONCATENATE("'wind_total'!", $C10, ":", $C10)),   wind_total!$6:$6, Z$4) - SUMIFS(   INDIRECT(CONCATENATE("wind_offshore!",$D10,":", $D10)), wind_offshore!$4:$4, Z$4)</f>
        <v>7369</v>
      </c>
      <c r="AA10" s="58">
        <f ca="1">SUMIFS(  INDIRECT(CONCATENATE("'wind_total'!", $C10, ":", $C10)),   wind_total!$6:$6, AA$4) - SUMIFS(   INDIRECT(CONCATENATE("wind_offshore!",$D10,":", $D10)), wind_offshore!$4:$4, AA$4)</f>
        <v>8056</v>
      </c>
      <c r="AB10" s="58">
        <f ca="1">SUMIFS(  INDIRECT(CONCATENATE("'wind_total'!", $C10, ":", $C10)),   wind_total!$6:$6, AB$4) - SUMIFS(   INDIRECT(CONCATENATE("wind_offshore!",$D10,":", $D10)), wind_offshore!$4:$4, AB$4)</f>
        <v>9305</v>
      </c>
      <c r="AC10" s="58">
        <f ca="1">SUMIFS(  INDIRECT(CONCATENATE("'wind_total'!", $C10, ":", $C10)),   wind_total!$6:$6, AC$4) - SUMIFS(   INDIRECT(CONCATENATE("wind_offshore!",$D10,":", $D10)), wind_offshore!$4:$4, AC$4)</f>
        <v>10750</v>
      </c>
      <c r="AD10" s="58">
        <f ca="1">SUMIFS(  INDIRECT(CONCATENATE("'wind_total'!", $C10, ":", $C10)),   wind_total!$6:$6, AD$4) - SUMIFS(   INDIRECT(CONCATENATE("wind_offshore!",$D10,":", $D10)), wind_offshore!$4:$4, AD$4)</f>
        <v>11969</v>
      </c>
      <c r="AE10" s="58">
        <f ca="1">SUMIFS(  INDIRECT(CONCATENATE("'wind_total'!", $C10, ":", $C10)),   wind_total!$6:$6, AE$4) - SUMIFS(   INDIRECT(CONCATENATE("wind_offshore!",$D10,":", $D10)), wind_offshore!$4:$4, AE$4)</f>
        <v>12342</v>
      </c>
      <c r="AF10" s="58">
        <f ca="1">SUMIFS(  INDIRECT(CONCATENATE("'wind_total'!", $C10, ":", $C10)),   wind_total!$6:$6, AF$4) - SUMIFS(   INDIRECT(CONCATENATE("wind_offshore!",$D10,":", $D10)), wind_offshore!$4:$4, AF$4)</f>
        <v>13793</v>
      </c>
      <c r="AG10" s="6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58">
        <f ca="1">SUMIFS(  INDIRECT(CONCATENATE("'wind_total'!", $C11, ":", $C11)),   wind_total!$6:$6, F$4) - SUMIFS(   INDIRECT(CONCATENATE("wind_offshore!",$D11,":", $D11)), wind_offshore!$4:$4, F$4)</f>
        <v>180</v>
      </c>
      <c r="G11" s="58">
        <f ca="1">SUMIFS(  INDIRECT(CONCATENATE("'wind_total'!", $C11, ":", $C11)),   wind_total!$6:$6, G$4) - SUMIFS(   INDIRECT(CONCATENATE("wind_offshore!",$D11,":", $D11)), wind_offshore!$4:$4, G$4)</f>
        <v>277</v>
      </c>
      <c r="H11" s="58">
        <f ca="1">SUMIFS(  INDIRECT(CONCATENATE("'wind_total'!", $C11, ":", $C11)),   wind_total!$6:$6, H$4) - SUMIFS(   INDIRECT(CONCATENATE("wind_offshore!",$D11,":", $D11)), wind_offshore!$4:$4, H$4)</f>
        <v>427</v>
      </c>
      <c r="I11" s="58">
        <f ca="1">SUMIFS(  INDIRECT(CONCATENATE("'wind_total'!", $C11, ":", $C11)),   wind_total!$6:$6, I$4) - SUMIFS(   INDIRECT(CONCATENATE("wind_offshore!",$D11,":", $D11)), wind_offshore!$4:$4, I$4)</f>
        <v>682</v>
      </c>
      <c r="J11" s="58">
        <f ca="1">SUMIFS(  INDIRECT(CONCATENATE("'wind_total'!", $C11, ":", $C11)),   wind_total!$6:$6, J$4) - SUMIFS(   INDIRECT(CONCATENATE("wind_offshore!",$D11,":", $D11)), wind_offshore!$4:$4, J$4)</f>
        <v>788</v>
      </c>
      <c r="K11" s="58">
        <f ca="1">SUMIFS(  INDIRECT(CONCATENATE("'wind_total'!", $C11, ":", $C11)),   wind_total!$6:$6, K$4) - SUMIFS(   INDIRECT(CONCATENATE("wind_offshore!",$D11,":", $D11)), wind_offshore!$4:$4, K$4)</f>
        <v>905</v>
      </c>
      <c r="L11" s="58">
        <f ca="1">SUMIFS(  INDIRECT(CONCATENATE("'wind_total'!", $C11, ":", $C11)),   wind_total!$6:$6, L$4) - SUMIFS(   INDIRECT(CONCATENATE("wind_offshore!",$D11,":", $D11)), wind_offshore!$4:$4, L$4)</f>
        <v>1266</v>
      </c>
      <c r="M11" s="58">
        <f ca="1">SUMIFS(  INDIRECT(CONCATENATE("'wind_total'!", $C11, ":", $C11)),   wind_total!$6:$6, M$4) - SUMIFS(   INDIRECT(CONCATENATE("wind_offshore!",$D11,":", $D11)), wind_offshore!$4:$4, M$4)</f>
        <v>1718</v>
      </c>
      <c r="N11" s="58">
        <f ca="1">SUMIFS(  INDIRECT(CONCATENATE("'wind_total'!", $C11, ":", $C11)),   wind_total!$6:$6, N$4) - SUMIFS(   INDIRECT(CONCATENATE("wind_offshore!",$D11,":", $D11)), wind_offshore!$4:$4, N$4)</f>
        <v>2123</v>
      </c>
      <c r="O11" s="58">
        <f ca="1">SUMIFS(  INDIRECT(CONCATENATE("'wind_total'!", $C11, ":", $C11)),   wind_total!$6:$6, O$4) - SUMIFS(   INDIRECT(CONCATENATE("wind_offshore!",$D11,":", $D11)), wind_offshore!$4:$4, O$4)</f>
        <v>2726</v>
      </c>
      <c r="P11" s="58">
        <f ca="1">SUMIFS(  INDIRECT(CONCATENATE("'wind_total'!", $C11, ":", $C11)),   wind_total!$6:$6, P$4) - SUMIFS(   INDIRECT(CONCATENATE("wind_offshore!",$D11,":", $D11)), wind_offshore!$4:$4, P$4)</f>
        <v>3735.9</v>
      </c>
      <c r="Q11" s="58">
        <f ca="1">SUMIFS(  INDIRECT(CONCATENATE("'wind_total'!", $C11, ":", $C11)),   wind_total!$6:$6, Q$4) - SUMIFS(   INDIRECT(CONCATENATE("wind_offshore!",$D11,":", $D11)), wind_offshore!$4:$4, Q$4)</f>
        <v>4849.8999999999996</v>
      </c>
      <c r="R11" s="58">
        <f ca="1">SUMIFS(  INDIRECT(CONCATENATE("'wind_total'!", $C11, ":", $C11)),   wind_total!$6:$6, R$4) - SUMIFS(   INDIRECT(CONCATENATE("wind_offshore!",$D11,":", $D11)), wind_offshore!$4:$4, R$4)</f>
        <v>5797</v>
      </c>
      <c r="S11" s="58">
        <f ca="1">SUMIFS(  INDIRECT(CONCATENATE("'wind_total'!", $C11, ":", $C11)),   wind_total!$6:$6, S$4) - SUMIFS(   INDIRECT(CONCATENATE("wind_offshore!",$D11,":", $D11)), wind_offshore!$4:$4, S$4)</f>
        <v>6747</v>
      </c>
      <c r="T11" s="58">
        <f ca="1">SUMIFS(  INDIRECT(CONCATENATE("'wind_total'!", $C11, ":", $C11)),   wind_total!$6:$6, T$4) - SUMIFS(   INDIRECT(CONCATENATE("wind_offshore!",$D11,":", $D11)), wind_offshore!$4:$4, T$4)</f>
        <v>8144</v>
      </c>
      <c r="U11" s="58">
        <f ca="1">SUMIFS(  INDIRECT(CONCATENATE("'wind_total'!", $C11, ":", $C11)),   wind_total!$6:$6, U$4) - SUMIFS(   INDIRECT(CONCATENATE("wind_offshore!",$D11,":", $D11)), wind_offshore!$4:$4, U$4)</f>
        <v>8551</v>
      </c>
      <c r="V11" s="58">
        <f ca="1">SUMIFS(  INDIRECT(CONCATENATE("'wind_total'!", $C11, ":", $C11)),   wind_total!$6:$6, V$4) - SUMIFS(   INDIRECT(CONCATENATE("wind_offshore!",$D11,":", $D11)), wind_offshore!$4:$4, V$4)</f>
        <v>8663</v>
      </c>
      <c r="W11" s="58">
        <f ca="1">SUMIFS(  INDIRECT(CONCATENATE("'wind_total'!", $C11, ":", $C11)),   wind_total!$6:$6, W$4) - SUMIFS(   INDIRECT(CONCATENATE("wind_offshore!",$D11,":", $D11)), wind_offshore!$4:$4, W$4)</f>
        <v>8973</v>
      </c>
      <c r="X11" s="58">
        <f ca="1">SUMIFS(  INDIRECT(CONCATENATE("'wind_total'!", $C11, ":", $C11)),   wind_total!$6:$6, X$4) - SUMIFS(   INDIRECT(CONCATENATE("wind_offshore!",$D11,":", $D11)), wind_offshore!$4:$4, X$4)</f>
        <v>9255</v>
      </c>
      <c r="Y11" s="58">
        <f ca="1">SUMIFS(  INDIRECT(CONCATENATE("'wind_total'!", $C11, ":", $C11)),   wind_total!$6:$6, Y$4) - SUMIFS(   INDIRECT(CONCATENATE("wind_offshore!",$D11,":", $D11)), wind_offshore!$4:$4, Y$4)</f>
        <v>9479</v>
      </c>
      <c r="Z11" s="58">
        <f ca="1">SUMIFS(  INDIRECT(CONCATENATE("'wind_total'!", $C11, ":", $C11)),   wind_total!$6:$6, Z$4) - SUMIFS(   INDIRECT(CONCATENATE("wind_offshore!",$D11,":", $D11)), wind_offshore!$4:$4, Z$4)</f>
        <v>9958</v>
      </c>
      <c r="AA11" s="58">
        <f ca="1">SUMIFS(  INDIRECT(CONCATENATE("'wind_total'!", $C11, ":", $C11)),   wind_total!$6:$6, AA$4) - SUMIFS(   INDIRECT(CONCATENATE("wind_offshore!",$D11,":", $D11)), wind_offshore!$4:$4, AA$4)</f>
        <v>10512</v>
      </c>
      <c r="AB11" s="58">
        <f ca="1">SUMIFS(  INDIRECT(CONCATENATE("'wind_total'!", $C11, ":", $C11)),   wind_total!$6:$6, AB$4) - SUMIFS(   INDIRECT(CONCATENATE("wind_offshore!",$D11,":", $D11)), wind_offshore!$4:$4, AB$4)</f>
        <v>10852</v>
      </c>
      <c r="AC11" s="58">
        <f ca="1">SUMIFS(  INDIRECT(CONCATENATE("'wind_total'!", $C11, ":", $C11)),   wind_total!$6:$6, AC$4) - SUMIFS(   INDIRECT(CONCATENATE("wind_offshore!",$D11,":", $D11)), wind_offshore!$4:$4, AC$4)</f>
        <v>11108</v>
      </c>
      <c r="AD11" s="58">
        <f ca="1">SUMIFS(  INDIRECT(CONCATENATE("'wind_total'!", $C11, ":", $C11)),   wind_total!$6:$6, AD$4) - SUMIFS(   INDIRECT(CONCATENATE("wind_offshore!",$D11,":", $D11)), wind_offshore!$4:$4, AD$4)</f>
        <v>11818</v>
      </c>
      <c r="AE11" s="58">
        <f ca="1">SUMIFS(  INDIRECT(CONCATENATE("'wind_total'!", $C11, ":", $C11)),   wind_total!$6:$6, AE$4) - SUMIFS(   INDIRECT(CONCATENATE("wind_offshore!",$D11,":", $D11)), wind_offshore!$4:$4, AE$4)</f>
        <v>12305</v>
      </c>
      <c r="AF11" s="58">
        <f ca="1">SUMIFS(  INDIRECT(CONCATENATE("'wind_total'!", $C11, ":", $C11)),   wind_total!$6:$6, AF$4) - SUMIFS(   INDIRECT(CONCATENATE("wind_offshore!",$D11,":", $D11)), wind_offshore!$4:$4, AF$4)</f>
        <v>12914</v>
      </c>
      <c r="AG11" s="6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58">
        <f ca="1">SUMIFS(  INDIRECT(CONCATENATE("'wind_total'!", $C12, ":", $C12)),   wind_total!$6:$6, F$4) - SUMIFS(   INDIRECT(CONCATENATE("wind_offshore!",$D12,":", $D12)), wind_offshore!$4:$4, F$4)</f>
        <v>361</v>
      </c>
      <c r="G12" s="58">
        <f ca="1">SUMIFS(  INDIRECT(CONCATENATE("'wind_total'!", $C12, ":", $C12)),   wind_total!$6:$6, G$4) - SUMIFS(   INDIRECT(CONCATENATE("wind_offshore!",$D12,":", $D12)), wind_offshore!$4:$4, G$4)</f>
        <v>433</v>
      </c>
      <c r="H12" s="58">
        <f ca="1">SUMIFS(  INDIRECT(CONCATENATE("'wind_total'!", $C12, ":", $C12)),   wind_total!$6:$6, H$4) - SUMIFS(   INDIRECT(CONCATENATE("wind_offshore!",$D12,":", $D12)), wind_offshore!$4:$4, H$4)</f>
        <v>446</v>
      </c>
      <c r="I12" s="58">
        <f ca="1">SUMIFS(  INDIRECT(CONCATENATE("'wind_total'!", $C12, ":", $C12)),   wind_total!$6:$6, I$4) - SUMIFS(   INDIRECT(CONCATENATE("wind_offshore!",$D12,":", $D12)), wind_offshore!$4:$4, I$4)</f>
        <v>486</v>
      </c>
      <c r="J12" s="58">
        <f ca="1">SUMIFS(  INDIRECT(CONCATENATE("'wind_total'!", $C12, ":", $C12)),   wind_total!$6:$6, J$4) - SUMIFS(   INDIRECT(CONCATENATE("wind_offshore!",$D12,":", $D12)), wind_offshore!$4:$4, J$4)</f>
        <v>693</v>
      </c>
      <c r="K12" s="58">
        <f ca="1">SUMIFS(  INDIRECT(CONCATENATE("'wind_total'!", $C12, ":", $C12)),   wind_total!$6:$6, K$4) - SUMIFS(   INDIRECT(CONCATENATE("wind_offshore!",$D12,":", $D12)), wind_offshore!$4:$4, K$4)</f>
        <v>910</v>
      </c>
      <c r="L12" s="58">
        <f ca="1">SUMIFS(  INDIRECT(CONCATENATE("'wind_total'!", $C12, ":", $C12)),   wind_total!$6:$6, L$4) - SUMIFS(   INDIRECT(CONCATENATE("wind_offshore!",$D12,":", $D12)), wind_offshore!$4:$4, L$4)</f>
        <v>1079</v>
      </c>
      <c r="M12" s="58">
        <f ca="1">SUMIFS(  INDIRECT(CONCATENATE("'wind_total'!", $C12, ":", $C12)),   wind_total!$6:$6, M$4) - SUMIFS(   INDIRECT(CONCATENATE("wind_offshore!",$D12,":", $D12)), wind_offshore!$4:$4, M$4)</f>
        <v>1219</v>
      </c>
      <c r="N12" s="58">
        <f ca="1">SUMIFS(  INDIRECT(CONCATENATE("'wind_total'!", $C12, ":", $C12)),   wind_total!$6:$6, N$4) - SUMIFS(   INDIRECT(CONCATENATE("wind_offshore!",$D12,":", $D12)), wind_offshore!$4:$4, N$4)</f>
        <v>1558</v>
      </c>
      <c r="O12" s="58">
        <f ca="1">SUMIFS(  INDIRECT(CONCATENATE("'wind_total'!", $C12, ":", $C12)),   wind_total!$6:$6, O$4) - SUMIFS(   INDIRECT(CONCATENATE("wind_offshore!",$D12,":", $D12)), wind_offshore!$4:$4, O$4)</f>
        <v>1747</v>
      </c>
      <c r="P12" s="58">
        <f ca="1">SUMIFS(  INDIRECT(CONCATENATE("'wind_total'!", $C12, ":", $C12)),   wind_total!$6:$6, P$4) - SUMIFS(   INDIRECT(CONCATENATE("wind_offshore!",$D12,":", $D12)), wind_offshore!$4:$4, P$4)</f>
        <v>1978.2</v>
      </c>
      <c r="Q12" s="58">
        <f ca="1">SUMIFS(  INDIRECT(CONCATENATE("'wind_total'!", $C12, ":", $C12)),   wind_total!$6:$6, Q$4) - SUMIFS(   INDIRECT(CONCATENATE("wind_offshore!",$D12,":", $D12)), wind_offshore!$4:$4, Q$4)</f>
        <v>1982.2</v>
      </c>
      <c r="R12" s="58">
        <f ca="1">SUMIFS(  INDIRECT(CONCATENATE("'wind_total'!", $C12, ":", $C12)),   wind_total!$6:$6, R$4) - SUMIFS(   INDIRECT(CONCATENATE("wind_offshore!",$D12,":", $D12)), wind_offshore!$4:$4, R$4)</f>
        <v>2017</v>
      </c>
      <c r="S12" s="58">
        <f ca="1">SUMIFS(  INDIRECT(CONCATENATE("'wind_total'!", $C12, ":", $C12)),   wind_total!$6:$6, S$4) - SUMIFS(   INDIRECT(CONCATENATE("wind_offshore!",$D12,":", $D12)), wind_offshore!$4:$4, S$4)</f>
        <v>2100</v>
      </c>
      <c r="T12" s="58">
        <f ca="1">SUMIFS(  INDIRECT(CONCATENATE("'wind_total'!", $C12, ":", $C12)),   wind_total!$6:$6, T$4) - SUMIFS(   INDIRECT(CONCATENATE("wind_offshore!",$D12,":", $D12)), wind_offshore!$4:$4, T$4)</f>
        <v>2163</v>
      </c>
      <c r="U12" s="58">
        <f ca="1">SUMIFS(  INDIRECT(CONCATENATE("'wind_total'!", $C12, ":", $C12)),   wind_total!$6:$6, U$4) - SUMIFS(   INDIRECT(CONCATENATE("wind_offshore!",$D12,":", $D12)), wind_offshore!$4:$4, U$4)</f>
        <v>2465</v>
      </c>
      <c r="V12" s="58">
        <f ca="1">SUMIFS(  INDIRECT(CONCATENATE("'wind_total'!", $C12, ":", $C12)),   wind_total!$6:$6, V$4) - SUMIFS(   INDIRECT(CONCATENATE("wind_offshore!",$D12,":", $D12)), wind_offshore!$4:$4, V$4)</f>
        <v>2577</v>
      </c>
      <c r="W12" s="58">
        <f ca="1">SUMIFS(  INDIRECT(CONCATENATE("'wind_total'!", $C12, ":", $C12)),   wind_total!$6:$6, W$4) - SUMIFS(   INDIRECT(CONCATENATE("wind_offshore!",$D12,":", $D12)), wind_offshore!$4:$4, W$4)</f>
        <v>3034</v>
      </c>
      <c r="X12" s="58">
        <f ca="1">SUMIFS(  INDIRECT(CONCATENATE("'wind_total'!", $C12, ":", $C12)),   wind_total!$6:$6, X$4) - SUMIFS(   INDIRECT(CONCATENATE("wind_offshore!",$D12,":", $D12)), wind_offshore!$4:$4, X$4)</f>
        <v>3223</v>
      </c>
      <c r="Y12" s="58">
        <f ca="1">SUMIFS(  INDIRECT(CONCATENATE("'wind_total'!", $C12, ":", $C12)),   wind_total!$6:$6, Y$4) - SUMIFS(   INDIRECT(CONCATENATE("wind_offshore!",$D12,":", $D12)), wind_offshore!$4:$4, Y$4)</f>
        <v>3384</v>
      </c>
      <c r="Z12" s="58">
        <f ca="1">SUMIFS(  INDIRECT(CONCATENATE("'wind_total'!", $C12, ":", $C12)),   wind_total!$6:$6, Z$4) - SUMIFS(   INDIRECT(CONCATENATE("wind_offshore!",$D12,":", $D12)), wind_offshore!$4:$4, Z$4)</f>
        <v>3514</v>
      </c>
      <c r="AA12" s="58">
        <f ca="1">SUMIFS(  INDIRECT(CONCATENATE("'wind_total'!", $C12, ":", $C12)),   wind_total!$6:$6, AA$4) - SUMIFS(   INDIRECT(CONCATENATE("wind_offshore!",$D12,":", $D12)), wind_offshore!$4:$4, AA$4)</f>
        <v>3643</v>
      </c>
      <c r="AB12" s="58">
        <f ca="1">SUMIFS(  INDIRECT(CONCATENATE("'wind_total'!", $C12, ":", $C12)),   wind_total!$6:$6, AB$4) - SUMIFS(   INDIRECT(CONCATENATE("wind_offshore!",$D12,":", $D12)), wind_offshore!$4:$4, AB$4)</f>
        <v>4324.5</v>
      </c>
      <c r="AC12" s="58">
        <f ca="1">SUMIFS(  INDIRECT(CONCATENATE("'wind_total'!", $C12, ":", $C12)),   wind_total!$6:$6, AC$4) - SUMIFS(   INDIRECT(CONCATENATE("wind_offshore!",$D12,":", $D12)), wind_offshore!$4:$4, AC$4)</f>
        <v>5705.5</v>
      </c>
      <c r="AD12" s="58">
        <f ca="1">SUMIFS(  INDIRECT(CONCATENATE("'wind_total'!", $C12, ":", $C12)),   wind_total!$6:$6, AD$4) - SUMIFS(   INDIRECT(CONCATENATE("wind_offshore!",$D12,":", $D12)), wind_offshore!$4:$4, AD$4)</f>
        <v>6481</v>
      </c>
      <c r="AE12" s="58">
        <f ca="1">SUMIFS(  INDIRECT(CONCATENATE("'wind_total'!", $C12, ":", $C12)),   wind_total!$6:$6, AE$4) - SUMIFS(   INDIRECT(CONCATENATE("wind_offshore!",$D12,":", $D12)), wind_offshore!$4:$4, AE$4)</f>
        <v>7515.5</v>
      </c>
      <c r="AF12" s="58">
        <f ca="1">SUMIFS(  INDIRECT(CONCATENATE("'wind_total'!", $C12, ":", $C12)),   wind_total!$6:$6, AF$4) - SUMIFS(   INDIRECT(CONCATENATE("wind_offshore!",$D12,":", $D12)), wind_offshore!$4:$4, AF$4)</f>
        <v>6958</v>
      </c>
      <c r="AG12" s="6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58">
        <f ca="1">SUMIFS(  INDIRECT(CONCATENATE("'wind_total'!", $C13, ":", $C13)),   wind_total!$6:$6, F$4) - SUMIFS(   INDIRECT(CONCATENATE("wind_offshore!",$D13,":", $D13)), wind_offshore!$4:$4, F$4)</f>
        <v>0</v>
      </c>
      <c r="G13" s="58">
        <f ca="1">SUMIFS(  INDIRECT(CONCATENATE("'wind_total'!", $C13, ":", $C13)),   wind_total!$6:$6, G$4) - SUMIFS(   INDIRECT(CONCATENATE("wind_offshore!",$D13,":", $D13)), wind_offshore!$4:$4, G$4)</f>
        <v>0</v>
      </c>
      <c r="H13" s="58">
        <f ca="1">SUMIFS(  INDIRECT(CONCATENATE("'wind_total'!", $C13, ":", $C13)),   wind_total!$6:$6, H$4) - SUMIFS(   INDIRECT(CONCATENATE("wind_offshore!",$D13,":", $D13)), wind_offshore!$4:$4, H$4)</f>
        <v>0</v>
      </c>
      <c r="I13" s="58">
        <f ca="1">SUMIFS(  INDIRECT(CONCATENATE("'wind_total'!", $C13, ":", $C13)),   wind_total!$6:$6, I$4) - SUMIFS(   INDIRECT(CONCATENATE("wind_offshore!",$D13,":", $D13)), wind_offshore!$4:$4, I$4)</f>
        <v>0</v>
      </c>
      <c r="J13" s="58">
        <f ca="1">SUMIFS(  INDIRECT(CONCATENATE("'wind_total'!", $C13, ":", $C13)),   wind_total!$6:$6, J$4) - SUMIFS(   INDIRECT(CONCATENATE("wind_offshore!",$D13,":", $D13)), wind_offshore!$4:$4, J$4)</f>
        <v>27</v>
      </c>
      <c r="K13" s="58">
        <f ca="1">SUMIFS(  INDIRECT(CONCATENATE("'wind_total'!", $C13, ":", $C13)),   wind_total!$6:$6, K$4) - SUMIFS(   INDIRECT(CONCATENATE("wind_offshore!",$D13,":", $D13)), wind_offshore!$4:$4, K$4)</f>
        <v>63</v>
      </c>
      <c r="L13" s="58">
        <f ca="1">SUMIFS(  INDIRECT(CONCATENATE("'wind_total'!", $C13, ":", $C13)),   wind_total!$6:$6, L$4) - SUMIFS(   INDIRECT(CONCATENATE("wind_offshore!",$D13,":", $D13)), wind_offshore!$4:$4, L$4)</f>
        <v>63</v>
      </c>
      <c r="M13" s="58">
        <f ca="1">SUMIFS(  INDIRECT(CONCATENATE("'wind_total'!", $C13, ":", $C13)),   wind_total!$6:$6, M$4) - SUMIFS(   INDIRECT(CONCATENATE("wind_offshore!",$D13,":", $D13)), wind_offshore!$4:$4, M$4)</f>
        <v>83</v>
      </c>
      <c r="N13" s="58">
        <f ca="1">SUMIFS(  INDIRECT(CONCATENATE("'wind_total'!", $C13, ":", $C13)),   wind_total!$6:$6, N$4) - SUMIFS(   INDIRECT(CONCATENATE("wind_offshore!",$D13,":", $D13)), wind_offshore!$4:$4, N$4)</f>
        <v>153</v>
      </c>
      <c r="O13" s="58">
        <f ca="1">SUMIFS(  INDIRECT(CONCATENATE("'wind_total'!", $C13, ":", $C13)),   wind_total!$6:$6, O$4) - SUMIFS(   INDIRECT(CONCATENATE("wind_offshore!",$D13,":", $D13)), wind_offshore!$4:$4, O$4)</f>
        <v>276</v>
      </c>
      <c r="P13" s="58">
        <f ca="1">SUMIFS(  INDIRECT(CONCATENATE("'wind_total'!", $C13, ":", $C13)),   wind_total!$6:$6, P$4) - SUMIFS(   INDIRECT(CONCATENATE("wind_offshore!",$D13,":", $D13)), wind_offshore!$4:$4, P$4)</f>
        <v>544</v>
      </c>
      <c r="Q13" s="58">
        <f ca="1">SUMIFS(  INDIRECT(CONCATENATE("'wind_total'!", $C13, ":", $C13)),   wind_total!$6:$6, Q$4) - SUMIFS(   INDIRECT(CONCATENATE("wind_offshore!",$D13,":", $D13)), wind_offshore!$4:$4, Q$4)</f>
        <v>725</v>
      </c>
      <c r="R13" s="58">
        <f ca="1">SUMIFS(  INDIRECT(CONCATENATE("'wind_total'!", $C13, ":", $C13)),   wind_total!$6:$6, R$4) - SUMIFS(   INDIRECT(CONCATENATE("wind_offshore!",$D13,":", $D13)), wind_offshore!$4:$4, R$4)</f>
        <v>1107</v>
      </c>
      <c r="S13" s="58">
        <f ca="1">SUMIFS(  INDIRECT(CONCATENATE("'wind_total'!", $C13, ":", $C13)),   wind_total!$6:$6, S$4) - SUMIFS(   INDIRECT(CONCATENATE("wind_offshore!",$D13,":", $D13)), wind_offshore!$4:$4, S$4)</f>
        <v>1616</v>
      </c>
      <c r="T13" s="58">
        <f ca="1">SUMIFS(  INDIRECT(CONCATENATE("'wind_total'!", $C13, ":", $C13)),   wind_total!$6:$6, T$4) - SUMIFS(   INDIRECT(CONCATENATE("wind_offshore!",$D13,":", $D13)), wind_offshore!$4:$4, T$4)</f>
        <v>2497</v>
      </c>
      <c r="U13" s="58">
        <f ca="1">SUMIFS(  INDIRECT(CONCATENATE("'wind_total'!", $C13, ":", $C13)),   wind_total!$6:$6, U$4) - SUMIFS(   INDIRECT(CONCATENATE("wind_offshore!",$D13,":", $D13)), wind_offshore!$4:$4, U$4)</f>
        <v>3390</v>
      </c>
      <c r="V13" s="58">
        <f ca="1">SUMIFS(  INDIRECT(CONCATENATE("'wind_total'!", $C13, ":", $C13)),   wind_total!$6:$6, V$4) - SUMIFS(   INDIRECT(CONCATENATE("wind_offshore!",$D13,":", $D13)), wind_offshore!$4:$4, V$4)</f>
        <v>3834</v>
      </c>
      <c r="W13" s="58">
        <f ca="1">SUMIFS(  INDIRECT(CONCATENATE("'wind_total'!", $C13, ":", $C13)),   wind_total!$6:$6, W$4) - SUMIFS(   INDIRECT(CONCATENATE("wind_offshore!",$D13,":", $D13)), wind_offshore!$4:$4, W$4)</f>
        <v>5100</v>
      </c>
      <c r="X13" s="58">
        <f ca="1">SUMIFS(  INDIRECT(CONCATENATE("'wind_total'!", $C13, ":", $C13)),   wind_total!$6:$6, X$4) - SUMIFS(   INDIRECT(CONCATENATE("wind_offshore!",$D13,":", $D13)), wind_offshore!$4:$4, X$4)</f>
        <v>5782</v>
      </c>
      <c r="Y13" s="58">
        <f ca="1">SUMIFS(  INDIRECT(CONCATENATE("'wind_total'!", $C13, ":", $C13)),   wind_total!$6:$6, Y$4) - SUMIFS(   INDIRECT(CONCATENATE("wind_offshore!",$D13,":", $D13)), wind_offshore!$4:$4, Y$4)</f>
        <v>6397</v>
      </c>
      <c r="Z13" s="58">
        <f ca="1">SUMIFS(  INDIRECT(CONCATENATE("'wind_total'!", $C13, ":", $C13)),   wind_total!$6:$6, Z$4) - SUMIFS(   INDIRECT(CONCATENATE("wind_offshore!",$D13,":", $D13)), wind_offshore!$4:$4, Z$4)</f>
        <v>5864</v>
      </c>
      <c r="AA13" s="58">
        <f ca="1">SUMIFS(  INDIRECT(CONCATENATE("'wind_total'!", $C13, ":", $C13)),   wind_total!$6:$6, AA$4) - SUMIFS(   INDIRECT(CONCATENATE("wind_offshore!",$D13,":", $D13)), wind_offshore!$4:$4, AA$4)</f>
        <v>5917</v>
      </c>
      <c r="AB13" s="58">
        <f ca="1">SUMIFS(  INDIRECT(CONCATENATE("'wind_total'!", $C13, ":", $C13)),   wind_total!$6:$6, AB$4) - SUMIFS(   INDIRECT(CONCATENATE("wind_offshore!",$D13,":", $D13)), wind_offshore!$4:$4, AB$4)</f>
        <v>6614</v>
      </c>
      <c r="AC13" s="58">
        <f ca="1">SUMIFS(  INDIRECT(CONCATENATE("'wind_total'!", $C13, ":", $C13)),   wind_total!$6:$6, AC$4) - SUMIFS(   INDIRECT(CONCATENATE("wind_offshore!",$D13,":", $D13)), wind_offshore!$4:$4, AC$4)</f>
        <v>7116</v>
      </c>
      <c r="AD13" s="58">
        <f ca="1">SUMIFS(  INDIRECT(CONCATENATE("'wind_total'!", $C13, ":", $C13)),   wind_total!$6:$6, AD$4) - SUMIFS(   INDIRECT(CONCATENATE("wind_offshore!",$D13,":", $D13)), wind_offshore!$4:$4, AD$4)</f>
        <v>7864</v>
      </c>
      <c r="AE13" s="58">
        <f ca="1">SUMIFS(  INDIRECT(CONCATENATE("'wind_total'!", $C13, ":", $C13)),   wind_total!$6:$6, AE$4) - SUMIFS(   INDIRECT(CONCATENATE("wind_offshore!",$D13,":", $D13)), wind_offshore!$4:$4, AE$4)</f>
        <v>9383</v>
      </c>
      <c r="AF13" s="58">
        <f ca="1">SUMIFS(  INDIRECT(CONCATENATE("'wind_total'!", $C13, ":", $C13)),   wind_total!$6:$6, AF$4) - SUMIFS(   INDIRECT(CONCATENATE("wind_offshore!",$D13,":", $D13)), wind_offshore!$4:$4, AF$4)</f>
        <v>10233</v>
      </c>
      <c r="AG13" s="6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58">
        <f ca="1">SUMIFS(  INDIRECT(CONCATENATE("'wind_total'!", $C14, ":", $C14)),   wind_total!$6:$6, F$4) - SUMIFS(   INDIRECT(CONCATENATE("wind_offshore!",$D14,":", $D14)), wind_offshore!$4:$4, F$4)</f>
        <v>17</v>
      </c>
      <c r="G14" s="58">
        <f ca="1">SUMIFS(  INDIRECT(CONCATENATE("'wind_total'!", $C14, ":", $C14)),   wind_total!$6:$6, G$4) - SUMIFS(   INDIRECT(CONCATENATE("wind_offshore!",$D14,":", $D14)), wind_offshore!$4:$4, G$4)</f>
        <v>39</v>
      </c>
      <c r="H14" s="58">
        <f ca="1">SUMIFS(  INDIRECT(CONCATENATE("'wind_total'!", $C14, ":", $C14)),   wind_total!$6:$6, H$4) - SUMIFS(   INDIRECT(CONCATENATE("wind_offshore!",$D14,":", $D14)), wind_offshore!$4:$4, H$4)</f>
        <v>39</v>
      </c>
      <c r="I14" s="58">
        <f ca="1">SUMIFS(  INDIRECT(CONCATENATE("'wind_total'!", $C14, ":", $C14)),   wind_total!$6:$6, I$4) - SUMIFS(   INDIRECT(CONCATENATE("wind_offshore!",$D14,":", $D14)), wind_offshore!$4:$4, I$4)</f>
        <v>39</v>
      </c>
      <c r="J14" s="58">
        <f ca="1">SUMIFS(  INDIRECT(CONCATENATE("'wind_total'!", $C14, ":", $C14)),   wind_total!$6:$6, J$4) - SUMIFS(   INDIRECT(CONCATENATE("wind_offshore!",$D14,":", $D14)), wind_offshore!$4:$4, J$4)</f>
        <v>43</v>
      </c>
      <c r="K14" s="58">
        <f ca="1">SUMIFS(  INDIRECT(CONCATENATE("'wind_total'!", $C14, ":", $C14)),   wind_total!$6:$6, K$4) - SUMIFS(   INDIRECT(CONCATENATE("wind_offshore!",$D14,":", $D14)), wind_offshore!$4:$4, K$4)</f>
        <v>52</v>
      </c>
      <c r="L14" s="58">
        <f ca="1">SUMIFS(  INDIRECT(CONCATENATE("'wind_total'!", $C14, ":", $C14)),   wind_total!$6:$6, L$4) - SUMIFS(   INDIRECT(CONCATENATE("wind_offshore!",$D14,":", $D14)), wind_offshore!$4:$4, L$4)</f>
        <v>82</v>
      </c>
      <c r="M14" s="58">
        <f ca="1">SUMIFS(  INDIRECT(CONCATENATE("'wind_total'!", $C14, ":", $C14)),   wind_total!$6:$6, M$4) - SUMIFS(   INDIRECT(CONCATENATE("wind_offshore!",$D14,":", $D14)), wind_offshore!$4:$4, M$4)</f>
        <v>82</v>
      </c>
      <c r="N14" s="58">
        <f ca="1">SUMIFS(  INDIRECT(CONCATENATE("'wind_total'!", $C14, ":", $C14)),   wind_total!$6:$6, N$4) - SUMIFS(   INDIRECT(CONCATENATE("wind_offshore!",$D14,":", $D14)), wind_offshore!$4:$4, N$4)</f>
        <v>86</v>
      </c>
      <c r="O14" s="58">
        <f ca="1">SUMIFS(  INDIRECT(CONCATENATE("'wind_total'!", $C14, ":", $C14)),   wind_total!$6:$6, O$4) - SUMIFS(   INDIRECT(CONCATENATE("wind_offshore!",$D14,":", $D14)), wind_offshore!$4:$4, O$4)</f>
        <v>110</v>
      </c>
      <c r="P14" s="58">
        <f ca="1">SUMIFS(  INDIRECT(CONCATENATE("'wind_total'!", $C14, ":", $C14)),   wind_total!$6:$6, P$4) - SUMIFS(   INDIRECT(CONCATENATE("wind_offshore!",$D14,":", $D14)), wind_offshore!$4:$4, P$4)</f>
        <v>119</v>
      </c>
      <c r="Q14" s="58">
        <f ca="1">SUMIFS(  INDIRECT(CONCATENATE("'wind_total'!", $C14, ":", $C14)),   wind_total!$6:$6, Q$4) - SUMIFS(   INDIRECT(CONCATENATE("wind_offshore!",$D14,":", $D14)), wind_offshore!$4:$4, Q$4)</f>
        <v>122</v>
      </c>
      <c r="R14" s="58">
        <f ca="1">SUMIFS(  INDIRECT(CONCATENATE("'wind_total'!", $C14, ":", $C14)),   wind_total!$6:$6, R$4) - SUMIFS(   INDIRECT(CONCATENATE("wind_offshore!",$D14,":", $D14)), wind_offshore!$4:$4, R$4)</f>
        <v>171</v>
      </c>
      <c r="S14" s="58">
        <f ca="1">SUMIFS(  INDIRECT(CONCATENATE("'wind_total'!", $C14, ":", $C14)),   wind_total!$6:$6, S$4) - SUMIFS(   INDIRECT(CONCATENATE("wind_offshore!",$D14,":", $D14)), wind_offshore!$4:$4, S$4)</f>
        <v>171</v>
      </c>
      <c r="T14" s="58">
        <f ca="1">SUMIFS(  INDIRECT(CONCATENATE("'wind_total'!", $C14, ":", $C14)),   wind_total!$6:$6, T$4) - SUMIFS(   INDIRECT(CONCATENATE("wind_offshore!",$D14,":", $D14)), wind_offshore!$4:$4, T$4)</f>
        <v>262</v>
      </c>
      <c r="U14" s="58">
        <f ca="1">SUMIFS(  INDIRECT(CONCATENATE("'wind_total'!", $C14, ":", $C14)),   wind_total!$6:$6, U$4) - SUMIFS(   INDIRECT(CONCATENATE("wind_offshore!",$D14,":", $D14)), wind_offshore!$4:$4, U$4)</f>
        <v>422</v>
      </c>
      <c r="V14" s="58">
        <f ca="1">SUMIFS(  INDIRECT(CONCATENATE("'wind_total'!", $C14, ":", $C14)),   wind_total!$6:$6, V$4) - SUMIFS(   INDIRECT(CONCATENATE("wind_offshore!",$D14,":", $D14)), wind_offshore!$4:$4, V$4)</f>
        <v>599</v>
      </c>
      <c r="W14" s="58">
        <f ca="1">SUMIFS(  INDIRECT(CONCATENATE("'wind_total'!", $C14, ":", $C14)),   wind_total!$6:$6, W$4) - SUMIFS(   INDIRECT(CONCATENATE("wind_offshore!",$D14,":", $D14)), wind_offshore!$4:$4, W$4)</f>
        <v>977</v>
      </c>
      <c r="X14" s="58">
        <f ca="1">SUMIFS(  INDIRECT(CONCATENATE("'wind_total'!", $C14, ":", $C14)),   wind_total!$6:$6, X$4) - SUMIFS(   INDIRECT(CONCATENATE("wind_offshore!",$D14,":", $D14)), wind_offshore!$4:$4, X$4)</f>
        <v>1501</v>
      </c>
      <c r="Y14" s="58">
        <f ca="1">SUMIFS(  INDIRECT(CONCATENATE("'wind_total'!", $C14, ":", $C14)),   wind_total!$6:$6, Y$4) - SUMIFS(   INDIRECT(CONCATENATE("wind_offshore!",$D14,":", $D14)), wind_offshore!$4:$4, Y$4)</f>
        <v>2040.3</v>
      </c>
      <c r="Z14" s="58">
        <f ca="1">SUMIFS(  INDIRECT(CONCATENATE("'wind_total'!", $C14, ":", $C14)),   wind_total!$6:$6, Z$4) - SUMIFS(   INDIRECT(CONCATENATE("wind_offshore!",$D14,":", $D14)), wind_offshore!$4:$4, Z$4)</f>
        <v>1968.3</v>
      </c>
      <c r="AA14" s="58">
        <f ca="1">SUMIFS(  INDIRECT(CONCATENATE("'wind_total'!", $C14, ":", $C14)),   wind_total!$6:$6, AA$4) - SUMIFS(   INDIRECT(CONCATENATE("wind_offshore!",$D14,":", $D14)), wind_offshore!$4:$4, AA$4)</f>
        <v>2211.3000000000002</v>
      </c>
      <c r="AB14" s="58">
        <f ca="1">SUMIFS(  INDIRECT(CONCATENATE("'wind_total'!", $C14, ":", $C14)),   wind_total!$6:$6, AB$4) - SUMIFS(   INDIRECT(CONCATENATE("wind_offshore!",$D14,":", $D14)), wind_offshore!$4:$4, AB$4)</f>
        <v>2513</v>
      </c>
      <c r="AC14" s="58">
        <f ca="1">SUMIFS(  INDIRECT(CONCATENATE("'wind_total'!", $C14, ":", $C14)),   wind_total!$6:$6, AC$4) - SUMIFS(   INDIRECT(CONCATENATE("wind_offshore!",$D14,":", $D14)), wind_offshore!$4:$4, AC$4)</f>
        <v>3255</v>
      </c>
      <c r="AD14" s="58">
        <f ca="1">SUMIFS(  INDIRECT(CONCATENATE("'wind_total'!", $C14, ":", $C14)),   wind_total!$6:$6, AD$4) - SUMIFS(   INDIRECT(CONCATENATE("wind_offshore!",$D14,":", $D14)), wind_offshore!$4:$4, AD$4)</f>
        <v>5605</v>
      </c>
      <c r="AE14" s="58">
        <f ca="1">SUMIFS(  INDIRECT(CONCATENATE("'wind_total'!", $C14, ":", $C14)),   wind_total!$6:$6, AE$4) - SUMIFS(   INDIRECT(CONCATENATE("wind_offshore!",$D14,":", $D14)), wind_offshore!$4:$4, AE$4)</f>
        <v>6870</v>
      </c>
      <c r="AF14" s="58">
        <f ca="1">SUMIFS(  INDIRECT(CONCATENATE("'wind_total'!", $C14, ":", $C14)),   wind_total!$6:$6, AF$4) - SUMIFS(   INDIRECT(CONCATENATE("wind_offshore!",$D14,":", $D14)), wind_offshore!$4:$4, AF$4)</f>
        <v>8284</v>
      </c>
      <c r="AG14" s="6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58">
        <f ca="1">SUMIFS(  INDIRECT(CONCATENATE("'wind_total'!", $C15, ":", $C15)),   wind_total!$6:$6, F$4) - SUMIFS(   INDIRECT(CONCATENATE("wind_offshore!",$D15,":", $D15)), wind_offshore!$4:$4, F$4)</f>
        <v>1443</v>
      </c>
      <c r="G15" s="58">
        <f ca="1">SUMIFS(  INDIRECT(CONCATENATE("'wind_total'!", $C15, ":", $C15)),   wind_total!$6:$6, G$4) - SUMIFS(   INDIRECT(CONCATENATE("wind_offshore!",$D15,":", $D15)), wind_offshore!$4:$4, G$4)</f>
        <v>1771</v>
      </c>
      <c r="H15" s="58">
        <f ca="1">SUMIFS(  INDIRECT(CONCATENATE("'wind_total'!", $C15, ":", $C15)),   wind_total!$6:$6, H$4) - SUMIFS(   INDIRECT(CONCATENATE("wind_offshore!",$D15,":", $D15)), wind_offshore!$4:$4, H$4)</f>
        <v>2417</v>
      </c>
      <c r="I15" s="58">
        <f ca="1">SUMIFS(  INDIRECT(CONCATENATE("'wind_total'!", $C15, ":", $C15)),   wind_total!$6:$6, I$4) - SUMIFS(   INDIRECT(CONCATENATE("wind_offshore!",$D15,":", $D15)), wind_offshore!$4:$4, I$4)</f>
        <v>2489</v>
      </c>
      <c r="J15" s="58">
        <f ca="1">SUMIFS(  INDIRECT(CONCATENATE("'wind_total'!", $C15, ":", $C15)),   wind_total!$6:$6, J$4) - SUMIFS(   INDIRECT(CONCATENATE("wind_offshore!",$D15,":", $D15)), wind_offshore!$4:$4, J$4)</f>
        <v>2889</v>
      </c>
      <c r="K15" s="58">
        <f ca="1">SUMIFS(  INDIRECT(CONCATENATE("'wind_total'!", $C15, ":", $C15)),   wind_total!$6:$6, K$4) - SUMIFS(   INDIRECT(CONCATENATE("wind_offshore!",$D15,":", $D15)), wind_offshore!$4:$4, K$4)</f>
        <v>3116</v>
      </c>
      <c r="L15" s="58">
        <f ca="1">SUMIFS(  INDIRECT(CONCATENATE("'wind_total'!", $C15, ":", $C15)),   wind_total!$6:$6, L$4) - SUMIFS(   INDIRECT(CONCATENATE("wind_offshore!",$D15,":", $D15)), wind_offshore!$4:$4, L$4)</f>
        <v>3118</v>
      </c>
      <c r="M15" s="58">
        <f ca="1">SUMIFS(  INDIRECT(CONCATENATE("'wind_total'!", $C15, ":", $C15)),   wind_total!$6:$6, M$4) - SUMIFS(   INDIRECT(CONCATENATE("wind_offshore!",$D15,":", $D15)), wind_offshore!$4:$4, M$4)</f>
        <v>3128</v>
      </c>
      <c r="N15" s="58">
        <f ca="1">SUMIFS(  INDIRECT(CONCATENATE("'wind_total'!", $C15, ":", $C15)),   wind_total!$6:$6, N$4) - SUMIFS(   INDIRECT(CONCATENATE("wind_offshore!",$D15,":", $D15)), wind_offshore!$4:$4, N$4)</f>
        <v>3136</v>
      </c>
      <c r="O15" s="58">
        <f ca="1">SUMIFS(  INDIRECT(CONCATENATE("'wind_total'!", $C15, ":", $C15)),   wind_total!$6:$6, O$4) - SUMIFS(   INDIRECT(CONCATENATE("wind_offshore!",$D15,":", $D15)), wind_offshore!$4:$4, O$4)</f>
        <v>3125</v>
      </c>
      <c r="P15" s="58">
        <f ca="1">SUMIFS(  INDIRECT(CONCATENATE("'wind_total'!", $C15, ":", $C15)),   wind_total!$6:$6, P$4) - SUMIFS(   INDIRECT(CONCATENATE("wind_offshore!",$D15,":", $D15)), wind_offshore!$4:$4, P$4)</f>
        <v>2739.6</v>
      </c>
      <c r="Q15" s="58">
        <f ca="1">SUMIFS(  INDIRECT(CONCATENATE("'wind_total'!", $C15, ":", $C15)),   wind_total!$6:$6, Q$4) - SUMIFS(   INDIRECT(CONCATENATE("wind_offshore!",$D15,":", $D15)), wind_offshore!$4:$4, Q$4)</f>
        <v>2801.1</v>
      </c>
      <c r="R15" s="58">
        <f ca="1">SUMIFS(  INDIRECT(CONCATENATE("'wind_total'!", $C15, ":", $C15)),   wind_total!$6:$6, R$4) - SUMIFS(   INDIRECT(CONCATENATE("wind_offshore!",$D15,":", $D15)), wind_offshore!$4:$4, R$4)</f>
        <v>2884.1</v>
      </c>
      <c r="S15" s="58">
        <f ca="1">SUMIFS(  INDIRECT(CONCATENATE("'wind_total'!", $C15, ":", $C15)),   wind_total!$6:$6, S$4) - SUMIFS(   INDIRECT(CONCATENATE("wind_offshore!",$D15,":", $D15)), wind_offshore!$4:$4, S$4)</f>
        <v>2999.5</v>
      </c>
      <c r="T15" s="58">
        <f ca="1">SUMIFS(  INDIRECT(CONCATENATE("'wind_total'!", $C15, ":", $C15)),   wind_total!$6:$6, T$4) - SUMIFS(   INDIRECT(CONCATENATE("wind_offshore!",$D15,":", $D15)), wind_offshore!$4:$4, T$4)</f>
        <v>3240.1</v>
      </c>
      <c r="U15" s="58">
        <f ca="1">SUMIFS(  INDIRECT(CONCATENATE("'wind_total'!", $C15, ":", $C15)),   wind_total!$6:$6, U$4) - SUMIFS(   INDIRECT(CONCATENATE("wind_offshore!",$D15,":", $D15)), wind_offshore!$4:$4, U$4)</f>
        <v>3500.9</v>
      </c>
      <c r="V15" s="58">
        <f ca="1">SUMIFS(  INDIRECT(CONCATENATE("'wind_total'!", $C15, ":", $C15)),   wind_total!$6:$6, V$4) - SUMIFS(   INDIRECT(CONCATENATE("wind_offshore!",$D15,":", $D15)), wind_offshore!$4:$4, V$4)</f>
        <v>3573.9</v>
      </c>
      <c r="W15" s="58">
        <f ca="1">SUMIFS(  INDIRECT(CONCATENATE("'wind_total'!", $C15, ":", $C15)),   wind_total!$6:$6, W$4) - SUMIFS(   INDIRECT(CONCATENATE("wind_offshore!",$D15,":", $D15)), wind_offshore!$4:$4, W$4)</f>
        <v>3803.9</v>
      </c>
      <c r="X15" s="58">
        <f ca="1">SUMIFS(  INDIRECT(CONCATENATE("'wind_total'!", $C15, ":", $C15)),   wind_total!$6:$6, X$4) - SUMIFS(   INDIRECT(CONCATENATE("wind_offshore!",$D15,":", $D15)), wind_offshore!$4:$4, X$4)</f>
        <v>3970.9</v>
      </c>
      <c r="Y15" s="58">
        <f ca="1">SUMIFS(  INDIRECT(CONCATENATE("'wind_total'!", $C15, ":", $C15)),   wind_total!$6:$6, Y$4) - SUMIFS(   INDIRECT(CONCATENATE("wind_offshore!",$D15,":", $D15)), wind_offshore!$4:$4, Y$4)</f>
        <v>4184.2</v>
      </c>
      <c r="Z15" s="58">
        <f ca="1">SUMIFS(  INDIRECT(CONCATENATE("'wind_total'!", $C15, ":", $C15)),   wind_total!$6:$6, Z$4) - SUMIFS(   INDIRECT(CONCATENATE("wind_offshore!",$D15,":", $D15)), wind_offshore!$4:$4, Z$4)</f>
        <v>4057.2</v>
      </c>
      <c r="AA15" s="58">
        <f ca="1">SUMIFS(  INDIRECT(CONCATENATE("'wind_total'!", $C15, ":", $C15)),   wind_total!$6:$6, AA$4) - SUMIFS(   INDIRECT(CONCATENATE("wind_offshore!",$D15,":", $D15)), wind_offshore!$4:$4, AA$4)</f>
        <v>4427.2</v>
      </c>
      <c r="AB15" s="58">
        <f ca="1">SUMIFS(  INDIRECT(CONCATENATE("'wind_total'!", $C15, ":", $C15)),   wind_total!$6:$6, AB$4) - SUMIFS(   INDIRECT(CONCATENATE("wind_offshore!",$D15,":", $D15)), wind_offshore!$4:$4, AB$4)</f>
        <v>4479.2</v>
      </c>
      <c r="AC15" s="58">
        <f ca="1">SUMIFS(  INDIRECT(CONCATENATE("'wind_total'!", $C15, ":", $C15)),   wind_total!$6:$6, AC$4) - SUMIFS(   INDIRECT(CONCATENATE("wind_offshore!",$D15,":", $D15)), wind_offshore!$4:$4, AC$4)</f>
        <v>4872.3999999999996</v>
      </c>
      <c r="AD15" s="58">
        <f ca="1">SUMIFS(  INDIRECT(CONCATENATE("'wind_total'!", $C15, ":", $C15)),   wind_total!$6:$6, AD$4) - SUMIFS(   INDIRECT(CONCATENATE("wind_offshore!",$D15,":", $D15)), wind_offshore!$4:$4, AD$4)</f>
        <v>4976.3999999999996</v>
      </c>
      <c r="AE15" s="58">
        <f ca="1">SUMIFS(  INDIRECT(CONCATENATE("'wind_total'!", $C15, ":", $C15)),   wind_total!$6:$6, AE$4) - SUMIFS(   INDIRECT(CONCATENATE("wind_offshore!",$D15,":", $D15)), wind_offshore!$4:$4, AE$4)</f>
        <v>5094.8999999999996</v>
      </c>
      <c r="AF15" s="58">
        <f ca="1">SUMIFS(  INDIRECT(CONCATENATE("'wind_total'!", $C15, ":", $C15)),   wind_total!$6:$6, AF$4) - SUMIFS(   INDIRECT(CONCATENATE("wind_offshore!",$D15,":", $D15)), wind_offshore!$4:$4, AF$4)</f>
        <v>4970.5</v>
      </c>
      <c r="AG15" s="6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58">
        <f ca="1">SUMIFS(  INDIRECT(CONCATENATE("'wind_total'!", $C16, ":", $C16)),   wind_total!$6:$6, F$4) - SUMIFS(   INDIRECT(CONCATENATE("wind_offshore!",$D16,":", $D16)), wind_offshore!$4:$4, F$4)</f>
        <v>60</v>
      </c>
      <c r="G16" s="58">
        <f ca="1">SUMIFS(  INDIRECT(CONCATENATE("'wind_total'!", $C16, ":", $C16)),   wind_total!$6:$6, G$4) - SUMIFS(   INDIRECT(CONCATENATE("wind_offshore!",$D16,":", $D16)), wind_offshore!$4:$4, G$4)</f>
        <v>61</v>
      </c>
      <c r="H16" s="58">
        <f ca="1">SUMIFS(  INDIRECT(CONCATENATE("'wind_total'!", $C16, ":", $C16)),   wind_total!$6:$6, H$4) - SUMIFS(   INDIRECT(CONCATENATE("wind_offshore!",$D16,":", $D16)), wind_offshore!$4:$4, H$4)</f>
        <v>100</v>
      </c>
      <c r="I16" s="58">
        <f ca="1">SUMIFS(  INDIRECT(CONCATENATE("'wind_total'!", $C16, ":", $C16)),   wind_total!$6:$6, I$4) - SUMIFS(   INDIRECT(CONCATENATE("wind_offshore!",$D16,":", $D16)), wind_offshore!$4:$4, I$4)</f>
        <v>131</v>
      </c>
      <c r="J16" s="58">
        <f ca="1">SUMIFS(  INDIRECT(CONCATENATE("'wind_total'!", $C16, ":", $C16)),   wind_total!$6:$6, J$4) - SUMIFS(   INDIRECT(CONCATENATE("wind_offshore!",$D16,":", $D16)), wind_offshore!$4:$4, J$4)</f>
        <v>195</v>
      </c>
      <c r="K16" s="58">
        <f ca="1">SUMIFS(  INDIRECT(CONCATENATE("'wind_total'!", $C16, ":", $C16)),   wind_total!$6:$6, K$4) - SUMIFS(   INDIRECT(CONCATENATE("wind_offshore!",$D16,":", $D16)), wind_offshore!$4:$4, K$4)</f>
        <v>296</v>
      </c>
      <c r="L16" s="58">
        <f ca="1">SUMIFS(  INDIRECT(CONCATENATE("'wind_total'!", $C16, ":", $C16)),   wind_total!$6:$6, L$4) - SUMIFS(   INDIRECT(CONCATENATE("wind_offshore!",$D16,":", $D16)), wind_offshore!$4:$4, L$4)</f>
        <v>522</v>
      </c>
      <c r="M16" s="58">
        <f ca="1">SUMIFS(  INDIRECT(CONCATENATE("'wind_total'!", $C16, ":", $C16)),   wind_total!$6:$6, M$4) - SUMIFS(   INDIRECT(CONCATENATE("wind_offshore!",$D16,":", $D16)), wind_offshore!$4:$4, M$4)</f>
        <v>1022</v>
      </c>
      <c r="N16" s="58">
        <f ca="1">SUMIFS(  INDIRECT(CONCATENATE("'wind_total'!", $C16, ":", $C16)),   wind_total!$6:$6, N$4) - SUMIFS(   INDIRECT(CONCATENATE("wind_offshore!",$D16,":", $D16)), wind_offshore!$4:$4, N$4)</f>
        <v>1716</v>
      </c>
      <c r="O16" s="58">
        <f ca="1">SUMIFS(  INDIRECT(CONCATENATE("'wind_total'!", $C16, ":", $C16)),   wind_total!$6:$6, O$4) - SUMIFS(   INDIRECT(CONCATENATE("wind_offshore!",$D16,":", $D16)), wind_offshore!$4:$4, O$4)</f>
        <v>2150</v>
      </c>
      <c r="P16" s="58">
        <f ca="1">SUMIFS(  INDIRECT(CONCATENATE("'wind_total'!", $C16, ":", $C16)),   wind_total!$6:$6, P$4) - SUMIFS(   INDIRECT(CONCATENATE("wind_offshore!",$D16,":", $D16)), wind_offshore!$4:$4, P$4)</f>
        <v>2862</v>
      </c>
      <c r="Q16" s="58">
        <f ca="1">SUMIFS(  INDIRECT(CONCATENATE("'wind_total'!", $C16, ":", $C16)),   wind_total!$6:$6, Q$4) - SUMIFS(   INDIRECT(CONCATENATE("wind_offshore!",$D16,":", $D16)), wind_offshore!$4:$4, Q$4)</f>
        <v>3535</v>
      </c>
      <c r="R16" s="58">
        <f ca="1">SUMIFS(  INDIRECT(CONCATENATE("'wind_total'!", $C16, ":", $C16)),   wind_total!$6:$6, R$4) - SUMIFS(   INDIRECT(CONCATENATE("wind_offshore!",$D16,":", $D16)), wind_offshore!$4:$4, R$4)</f>
        <v>3898</v>
      </c>
      <c r="S16" s="58">
        <f ca="1">SUMIFS(  INDIRECT(CONCATENATE("'wind_total'!", $C16, ":", $C16)),   wind_total!$6:$6, S$4) - SUMIFS(   INDIRECT(CONCATENATE("wind_offshore!",$D16,":", $D16)), wind_offshore!$4:$4, S$4)</f>
        <v>4081</v>
      </c>
      <c r="T16" s="58">
        <f ca="1">SUMIFS(  INDIRECT(CONCATENATE("'wind_total'!", $C16, ":", $C16)),   wind_total!$6:$6, T$4) - SUMIFS(   INDIRECT(CONCATENATE("wind_offshore!",$D16,":", $D16)), wind_offshore!$4:$4, T$4)</f>
        <v>4523</v>
      </c>
      <c r="U16" s="58">
        <f ca="1">SUMIFS(  INDIRECT(CONCATENATE("'wind_total'!", $C16, ":", $C16)),   wind_total!$6:$6, U$4) - SUMIFS(   INDIRECT(CONCATENATE("wind_offshore!",$D16,":", $D16)), wind_offshore!$4:$4, U$4)</f>
        <v>4722</v>
      </c>
      <c r="V16" s="58">
        <f ca="1">SUMIFS(  INDIRECT(CONCATENATE("'wind_total'!", $C16, ":", $C16)),   wind_total!$6:$6, V$4) - SUMIFS(   INDIRECT(CONCATENATE("wind_offshore!",$D16,":", $D16)), wind_offshore!$4:$4, V$4)</f>
        <v>4912</v>
      </c>
      <c r="W16" s="58">
        <f ca="1">SUMIFS(  INDIRECT(CONCATENATE("'wind_total'!", $C16, ":", $C16)),   wind_total!$6:$6, W$4) - SUMIFS(   INDIRECT(CONCATENATE("wind_offshore!",$D16,":", $D16)), wind_offshore!$4:$4, W$4)</f>
        <v>5032</v>
      </c>
      <c r="X16" s="58">
        <f ca="1">SUMIFS(  INDIRECT(CONCATENATE("'wind_total'!", $C16, ":", $C16)),   wind_total!$6:$6, X$4) - SUMIFS(   INDIRECT(CONCATENATE("wind_offshore!",$D16,":", $D16)), wind_offshore!$4:$4, X$4)</f>
        <v>5267</v>
      </c>
      <c r="Y16" s="58">
        <f ca="1">SUMIFS(  INDIRECT(CONCATENATE("'wind_total'!", $C16, ":", $C16)),   wind_total!$6:$6, Y$4) - SUMIFS(   INDIRECT(CONCATENATE("wind_offshore!",$D16,":", $D16)), wind_offshore!$4:$4, Y$4)</f>
        <v>5307.6</v>
      </c>
      <c r="Z16" s="58">
        <f ca="1">SUMIFS(  INDIRECT(CONCATENATE("'wind_total'!", $C16, ":", $C16)),   wind_total!$6:$6, Z$4) - SUMIFS(   INDIRECT(CONCATENATE("wind_offshore!",$D16,":", $D16)), wind_offshore!$4:$4, Z$4)</f>
        <v>5371.6</v>
      </c>
      <c r="AA16" s="58">
        <f ca="1">SUMIFS(  INDIRECT(CONCATENATE("'wind_total'!", $C16, ":", $C16)),   wind_total!$6:$6, AA$4) - SUMIFS(   INDIRECT(CONCATENATE("wind_offshore!",$D16,":", $D16)), wind_offshore!$4:$4, AA$4)</f>
        <v>5428.6</v>
      </c>
      <c r="AB16" s="58">
        <f ca="1">SUMIFS(  INDIRECT(CONCATENATE("'wind_total'!", $C16, ":", $C16)),   wind_total!$6:$6, AB$4) - SUMIFS(   INDIRECT(CONCATENATE("wind_offshore!",$D16,":", $D16)), wind_offshore!$4:$4, AB$4)</f>
        <v>5461</v>
      </c>
      <c r="AC16" s="58">
        <f ca="1">SUMIFS(  INDIRECT(CONCATENATE("'wind_total'!", $C16, ":", $C16)),   wind_total!$6:$6, AC$4) - SUMIFS(   INDIRECT(CONCATENATE("wind_offshore!",$D16,":", $D16)), wind_offshore!$4:$4, AC$4)</f>
        <v>5587</v>
      </c>
      <c r="AD16" s="58">
        <f ca="1">SUMIFS(  INDIRECT(CONCATENATE("'wind_total'!", $C16, ":", $C16)),   wind_total!$6:$6, AD$4) - SUMIFS(   INDIRECT(CONCATENATE("wind_offshore!",$D16,":", $D16)), wind_offshore!$4:$4, AD$4)</f>
        <v>5671</v>
      </c>
      <c r="AE16" s="58">
        <f ca="1">SUMIFS(  INDIRECT(CONCATENATE("'wind_total'!", $C16, ":", $C16)),   wind_total!$6:$6, AE$4) - SUMIFS(   INDIRECT(CONCATENATE("wind_offshore!",$D16,":", $D16)), wind_offshore!$4:$4, AE$4)</f>
        <v>5809</v>
      </c>
      <c r="AF16" s="58">
        <f ca="1">SUMIFS(  INDIRECT(CONCATENATE("'wind_total'!", $C16, ":", $C16)),   wind_total!$6:$6, AF$4) - SUMIFS(   INDIRECT(CONCATENATE("wind_offshore!",$D16,":", $D16)), wind_offshore!$4:$4, AF$4)</f>
        <v>5938</v>
      </c>
      <c r="AG16" s="6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58">
        <f ca="1">SUMIFS(  INDIRECT(CONCATENATE("'wind_total'!", $C17, ":", $C17)),   wind_total!$6:$6, F$4) - SUMIFS(   INDIRECT(CONCATENATE("wind_offshore!",$D17,":", $D17)), wind_offshore!$4:$4, F$4)</f>
        <v>6</v>
      </c>
      <c r="G17" s="58">
        <f ca="1">SUMIFS(  INDIRECT(CONCATENATE("'wind_total'!", $C17, ":", $C17)),   wind_total!$6:$6, G$4) - SUMIFS(   INDIRECT(CONCATENATE("wind_offshore!",$D17,":", $D17)), wind_offshore!$4:$4, G$4)</f>
        <v>6</v>
      </c>
      <c r="H17" s="58">
        <f ca="1">SUMIFS(  INDIRECT(CONCATENATE("'wind_total'!", $C17, ":", $C17)),   wind_total!$6:$6, H$4) - SUMIFS(   INDIRECT(CONCATENATE("wind_offshore!",$D17,":", $D17)), wind_offshore!$4:$4, H$4)</f>
        <v>13</v>
      </c>
      <c r="I17" s="58">
        <f ca="1">SUMIFS(  INDIRECT(CONCATENATE("'wind_total'!", $C17, ":", $C17)),   wind_total!$6:$6, I$4) - SUMIFS(   INDIRECT(CONCATENATE("wind_offshore!",$D17,":", $D17)), wind_offshore!$4:$4, I$4)</f>
        <v>32</v>
      </c>
      <c r="J17" s="58">
        <f ca="1">SUMIFS(  INDIRECT(CONCATENATE("'wind_total'!", $C17, ":", $C17)),   wind_total!$6:$6, J$4) - SUMIFS(   INDIRECT(CONCATENATE("wind_offshore!",$D17,":", $D17)), wind_offshore!$4:$4, J$4)</f>
        <v>35</v>
      </c>
      <c r="K17" s="58">
        <f ca="1">SUMIFS(  INDIRECT(CONCATENATE("'wind_total'!", $C17, ":", $C17)),   wind_total!$6:$6, K$4) - SUMIFS(   INDIRECT(CONCATENATE("wind_offshore!",$D17,":", $D17)), wind_offshore!$4:$4, K$4)</f>
        <v>68</v>
      </c>
      <c r="L17" s="58">
        <f ca="1">SUMIFS(  INDIRECT(CONCATENATE("'wind_total'!", $C17, ":", $C17)),   wind_total!$6:$6, L$4) - SUMIFS(   INDIRECT(CONCATENATE("wind_offshore!",$D17,":", $D17)), wind_offshore!$4:$4, L$4)</f>
        <v>96</v>
      </c>
      <c r="M17" s="58">
        <f ca="1">SUMIFS(  INDIRECT(CONCATENATE("'wind_total'!", $C17, ":", $C17)),   wind_total!$6:$6, M$4) - SUMIFS(   INDIRECT(CONCATENATE("wind_offshore!",$D17,":", $D17)), wind_offshore!$4:$4, M$4)</f>
        <v>167</v>
      </c>
      <c r="N17" s="58">
        <f ca="1">SUMIFS(  INDIRECT(CONCATENATE("'wind_total'!", $C17, ":", $C17)),   wind_total!$6:$6, N$4) - SUMIFS(   INDIRECT(CONCATENATE("wind_offshore!",$D17,":", $D17)), wind_offshore!$4:$4, N$4)</f>
        <v>194</v>
      </c>
      <c r="O17" s="58">
        <f ca="1">SUMIFS(  INDIRECT(CONCATENATE("'wind_total'!", $C17, ":", $C17)),   wind_total!$6:$6, O$4) - SUMIFS(   INDIRECT(CONCATENATE("wind_offshore!",$D17,":", $D17)), wind_offshore!$4:$4, O$4)</f>
        <v>287</v>
      </c>
      <c r="P17" s="58">
        <f ca="1">SUMIFS(  INDIRECT(CONCATENATE("'wind_total'!", $C17, ":", $C17)),   wind_total!$6:$6, P$4) - SUMIFS(   INDIRECT(CONCATENATE("wind_offshore!",$D17,":", $D17)), wind_offshore!$4:$4, P$4)</f>
        <v>385</v>
      </c>
      <c r="Q17" s="58">
        <f ca="1">SUMIFS(  INDIRECT(CONCATENATE("'wind_total'!", $C17, ":", $C17)),   wind_total!$6:$6, Q$4) - SUMIFS(   INDIRECT(CONCATENATE("wind_offshore!",$D17,":", $D17)), wind_offshore!$4:$4, Q$4)</f>
        <v>533</v>
      </c>
      <c r="R17" s="58">
        <f ca="1">SUMIFS(  INDIRECT(CONCATENATE("'wind_total'!", $C17, ":", $C17)),   wind_total!$6:$6, R$4) - SUMIFS(   INDIRECT(CONCATENATE("wind_offshore!",$D17,":", $D17)), wind_offshore!$4:$4, R$4)</f>
        <v>716</v>
      </c>
      <c r="S17" s="58">
        <f ca="1">SUMIFS(  INDIRECT(CONCATENATE("'wind_total'!", $C17, ":", $C17)),   wind_total!$6:$6, S$4) - SUMIFS(   INDIRECT(CONCATENATE("wind_offshore!",$D17,":", $D17)), wind_offshore!$4:$4, S$4)</f>
        <v>883</v>
      </c>
      <c r="T17" s="58">
        <f ca="1">SUMIFS(  INDIRECT(CONCATENATE("'wind_total'!", $C17, ":", $C17)),   wind_total!$6:$6, T$4) - SUMIFS(   INDIRECT(CONCATENATE("wind_offshore!",$D17,":", $D17)), wind_offshore!$4:$4, T$4)</f>
        <v>995.5</v>
      </c>
      <c r="U17" s="58">
        <f ca="1">SUMIFS(  INDIRECT(CONCATENATE("'wind_total'!", $C17, ":", $C17)),   wind_total!$6:$6, U$4) - SUMIFS(   INDIRECT(CONCATENATE("wind_offshore!",$D17,":", $D17)), wind_offshore!$4:$4, U$4)</f>
        <v>1025.8</v>
      </c>
      <c r="V17" s="58">
        <f ca="1">SUMIFS(  INDIRECT(CONCATENATE("'wind_total'!", $C17, ":", $C17)),   wind_total!$6:$6, V$4) - SUMIFS(   INDIRECT(CONCATENATE("wind_offshore!",$D17,":", $D17)), wind_offshore!$4:$4, V$4)</f>
        <v>1246.8</v>
      </c>
      <c r="W17" s="58">
        <f ca="1">SUMIFS(  INDIRECT(CONCATENATE("'wind_total'!", $C17, ":", $C17)),   wind_total!$6:$6, W$4) - SUMIFS(   INDIRECT(CONCATENATE("wind_offshore!",$D17,":", $D17)), wind_offshore!$4:$4, W$4)</f>
        <v>1456.8</v>
      </c>
      <c r="X17" s="58">
        <f ca="1">SUMIFS(  INDIRECT(CONCATENATE("'wind_total'!", $C17, ":", $C17)),   wind_total!$6:$6, X$4) - SUMIFS(   INDIRECT(CONCATENATE("wind_offshore!",$D17,":", $D17)), wind_offshore!$4:$4, X$4)</f>
        <v>1687.8</v>
      </c>
      <c r="Y17" s="58">
        <f ca="1">SUMIFS(  INDIRECT(CONCATENATE("'wind_total'!", $C17, ":", $C17)),   wind_total!$6:$6, Y$4) - SUMIFS(   INDIRECT(CONCATENATE("wind_offshore!",$D17,":", $D17)), wind_offshore!$4:$4, Y$4)</f>
        <v>1966</v>
      </c>
      <c r="Z17" s="58">
        <f ca="1">SUMIFS(  INDIRECT(CONCATENATE("'wind_total'!", $C17, ":", $C17)),   wind_total!$6:$6, Z$4) - SUMIFS(   INDIRECT(CONCATENATE("wind_offshore!",$D17,":", $D17)), wind_offshore!$4:$4, Z$4)</f>
        <v>2174.1</v>
      </c>
      <c r="AA17" s="58">
        <f ca="1">SUMIFS(  INDIRECT(CONCATENATE("'wind_total'!", $C17, ":", $C17)),   wind_total!$6:$6, AA$4) - SUMIFS(   INDIRECT(CONCATENATE("wind_offshore!",$D17,":", $D17)), wind_offshore!$4:$4, AA$4)</f>
        <v>2331</v>
      </c>
      <c r="AB17" s="58">
        <f ca="1">SUMIFS(  INDIRECT(CONCATENATE("'wind_total'!", $C17, ":", $C17)),   wind_total!$6:$6, AB$4) - SUMIFS(   INDIRECT(CONCATENATE("wind_offshore!",$D17,":", $D17)), wind_offshore!$4:$4, AB$4)</f>
        <v>2457.1999999999998</v>
      </c>
      <c r="AC17" s="58">
        <f ca="1">SUMIFS(  INDIRECT(CONCATENATE("'wind_total'!", $C17, ":", $C17)),   wind_total!$6:$6, AC$4) - SUMIFS(   INDIRECT(CONCATENATE("wind_offshore!",$D17,":", $D17)), wind_offshore!$4:$4, AC$4)</f>
        <v>2740.2</v>
      </c>
      <c r="AD17" s="58">
        <f ca="1">SUMIFS(  INDIRECT(CONCATENATE("'wind_total'!", $C17, ":", $C17)),   wind_total!$6:$6, AD$4) - SUMIFS(   INDIRECT(CONCATENATE("wind_offshore!",$D17,":", $D17)), wind_offshore!$4:$4, AD$4)</f>
        <v>3044.2</v>
      </c>
      <c r="AE17" s="58">
        <f ca="1">SUMIFS(  INDIRECT(CONCATENATE("'wind_total'!", $C17, ":", $C17)),   wind_total!$6:$6, AE$4) - SUMIFS(   INDIRECT(CONCATENATE("wind_offshore!",$D17,":", $D17)), wind_offshore!$4:$4, AE$4)</f>
        <v>3230.2</v>
      </c>
      <c r="AF17" s="58">
        <f ca="1">SUMIFS(  INDIRECT(CONCATENATE("'wind_total'!", $C17, ":", $C17)),   wind_total!$6:$6, AF$4) - SUMIFS(   INDIRECT(CONCATENATE("wind_offshore!",$D17,":", $D17)), wind_offshore!$4:$4, AF$4)</f>
        <v>3386.2</v>
      </c>
      <c r="AG17" s="6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58">
        <f ca="1">SUMIFS(  INDIRECT(CONCATENATE("'wind_total'!", $C18, ":", $C18)),   wind_total!$6:$6, F$4) - SUMIFS(   INDIRECT(CONCATENATE("wind_offshore!",$D18,":", $D18)), wind_offshore!$4:$4, F$4)</f>
        <v>39</v>
      </c>
      <c r="G18" s="58">
        <f ca="1">SUMIFS(  INDIRECT(CONCATENATE("'wind_total'!", $C18, ":", $C18)),   wind_total!$6:$6, G$4) - SUMIFS(   INDIRECT(CONCATENATE("wind_offshore!",$D18,":", $D18)), wind_offshore!$4:$4, G$4)</f>
        <v>112</v>
      </c>
      <c r="H18" s="58">
        <f ca="1">SUMIFS(  INDIRECT(CONCATENATE("'wind_total'!", $C18, ":", $C18)),   wind_total!$6:$6, H$4) - SUMIFS(   INDIRECT(CONCATENATE("wind_offshore!",$D18,":", $D18)), wind_offshore!$4:$4, H$4)</f>
        <v>189</v>
      </c>
      <c r="I18" s="58">
        <f ca="1">SUMIFS(  INDIRECT(CONCATENATE("'wind_total'!", $C18, ":", $C18)),   wind_total!$6:$6, I$4) - SUMIFS(   INDIRECT(CONCATENATE("wind_offshore!",$D18,":", $D18)), wind_offshore!$4:$4, I$4)</f>
        <v>272</v>
      </c>
      <c r="J18" s="58">
        <f ca="1">SUMIFS(  INDIRECT(CONCATENATE("'wind_total'!", $C18, ":", $C18)),   wind_total!$6:$6, J$4) - SUMIFS(   INDIRECT(CONCATENATE("wind_offshore!",$D18,":", $D18)), wind_offshore!$4:$4, J$4)</f>
        <v>297</v>
      </c>
      <c r="K18" s="58">
        <f ca="1">SUMIFS(  INDIRECT(CONCATENATE("'wind_total'!", $C18, ":", $C18)),   wind_total!$6:$6, K$4) - SUMIFS(   INDIRECT(CONCATENATE("wind_offshore!",$D18,":", $D18)), wind_offshore!$4:$4, K$4)</f>
        <v>383</v>
      </c>
      <c r="L18" s="58">
        <f ca="1">SUMIFS(  INDIRECT(CONCATENATE("'wind_total'!", $C18, ":", $C18)),   wind_total!$6:$6, L$4) - SUMIFS(   INDIRECT(CONCATENATE("wind_offshore!",$D18,":", $D18)), wind_offshore!$4:$4, L$4)</f>
        <v>473</v>
      </c>
      <c r="M18" s="58">
        <f ca="1">SUMIFS(  INDIRECT(CONCATENATE("'wind_total'!", $C18, ":", $C18)),   wind_total!$6:$6, M$4) - SUMIFS(   INDIRECT(CONCATENATE("wind_offshore!",$D18,":", $D18)), wind_offshore!$4:$4, M$4)</f>
        <v>573</v>
      </c>
      <c r="N18" s="58">
        <f ca="1">SUMIFS(  INDIRECT(CONCATENATE("'wind_total'!", $C18, ":", $C18)),   wind_total!$6:$6, N$4) - SUMIFS(   INDIRECT(CONCATENATE("wind_offshore!",$D18,":", $D18)), wind_offshore!$4:$4, N$4)</f>
        <v>746</v>
      </c>
      <c r="O18" s="58">
        <f ca="1">SUMIFS(  INDIRECT(CONCATENATE("'wind_total'!", $C18, ":", $C18)),   wind_total!$6:$6, O$4) - SUMIFS(   INDIRECT(CONCATENATE("wind_offshore!",$D18,":", $D18)), wind_offshore!$4:$4, O$4)</f>
        <v>871</v>
      </c>
      <c r="P18" s="58">
        <f ca="1">SUMIFS(  INDIRECT(CONCATENATE("'wind_total'!", $C18, ":", $C18)),   wind_total!$6:$6, P$4) - SUMIFS(   INDIRECT(CONCATENATE("wind_offshore!",$D18,":", $D18)), wind_offshore!$4:$4, P$4)</f>
        <v>985</v>
      </c>
      <c r="Q18" s="58">
        <f ca="1">SUMIFS(  INDIRECT(CONCATENATE("'wind_total'!", $C18, ":", $C18)),   wind_total!$6:$6, Q$4) - SUMIFS(   INDIRECT(CONCATENATE("wind_offshore!",$D18,":", $D18)), wind_offshore!$4:$4, Q$4)</f>
        <v>1087</v>
      </c>
      <c r="R18" s="58">
        <f ca="1">SUMIFS(  INDIRECT(CONCATENATE("'wind_total'!", $C18, ":", $C18)),   wind_total!$6:$6, R$4) - SUMIFS(   INDIRECT(CONCATENATE("wind_offshore!",$D18,":", $D18)), wind_offshore!$4:$4, R$4)</f>
        <v>1208</v>
      </c>
      <c r="S18" s="58">
        <f ca="1">SUMIFS(  INDIRECT(CONCATENATE("'wind_total'!", $C18, ":", $C18)),   wind_total!$6:$6, S$4) - SUMIFS(   INDIRECT(CONCATENATE("wind_offshore!",$D18,":", $D18)), wind_offshore!$4:$4, S$4)</f>
        <v>1629</v>
      </c>
      <c r="T18" s="58">
        <f ca="1">SUMIFS(  INDIRECT(CONCATENATE("'wind_total'!", $C18, ":", $C18)),   wind_total!$6:$6, T$4) - SUMIFS(   INDIRECT(CONCATENATE("wind_offshore!",$D18,":", $D18)), wind_offshore!$4:$4, T$4)</f>
        <v>1749</v>
      </c>
      <c r="U18" s="58">
        <f ca="1">SUMIFS(  INDIRECT(CONCATENATE("'wind_total'!", $C18, ":", $C18)),   wind_total!$6:$6, U$4) - SUMIFS(   INDIRECT(CONCATENATE("wind_offshore!",$D18,":", $D18)), wind_offshore!$4:$4, U$4)</f>
        <v>1865</v>
      </c>
      <c r="V18" s="58">
        <f ca="1">SUMIFS(  INDIRECT(CONCATENATE("'wind_total'!", $C18, ":", $C18)),   wind_total!$6:$6, V$4) - SUMIFS(   INDIRECT(CONCATENATE("wind_offshore!",$D18,":", $D18)), wind_offshore!$4:$4, V$4)</f>
        <v>1980</v>
      </c>
      <c r="W18" s="58">
        <f ca="1">SUMIFS(  INDIRECT(CONCATENATE("'wind_total'!", $C18, ":", $C18)),   wind_total!$6:$6, W$4) - SUMIFS(   INDIRECT(CONCATENATE("wind_offshore!",$D18,":", $D18)), wind_offshore!$4:$4, W$4)</f>
        <v>2136</v>
      </c>
      <c r="X18" s="58">
        <f ca="1">SUMIFS(  INDIRECT(CONCATENATE("'wind_total'!", $C18, ":", $C18)),   wind_total!$6:$6, X$4) - SUMIFS(   INDIRECT(CONCATENATE("wind_offshore!",$D18,":", $D18)), wind_offshore!$4:$4, X$4)</f>
        <v>2374</v>
      </c>
      <c r="Y18" s="58">
        <f ca="1">SUMIFS(  INDIRECT(CONCATENATE("'wind_total'!", $C18, ":", $C18)),   wind_total!$6:$6, Y$4) - SUMIFS(   INDIRECT(CONCATENATE("wind_offshore!",$D18,":", $D18)), wind_offshore!$4:$4, Y$4)</f>
        <v>2651</v>
      </c>
      <c r="Z18" s="58">
        <f ca="1">SUMIFS(  INDIRECT(CONCATENATE("'wind_total'!", $C18, ":", $C18)),   wind_total!$6:$6, Z$4) - SUMIFS(   INDIRECT(CONCATENATE("wind_offshore!",$D18,":", $D18)), wind_offshore!$4:$4, Z$4)</f>
        <v>2844</v>
      </c>
      <c r="AA18" s="58">
        <f ca="1">SUMIFS(  INDIRECT(CONCATENATE("'wind_total'!", $C18, ":", $C18)),   wind_total!$6:$6, AA$4) - SUMIFS(   INDIRECT(CONCATENATE("wind_offshore!",$D18,":", $D18)), wind_offshore!$4:$4, AA$4)</f>
        <v>3576</v>
      </c>
      <c r="AB18" s="58">
        <f ca="1">SUMIFS(  INDIRECT(CONCATENATE("'wind_total'!", $C18, ":", $C18)),   wind_total!$6:$6, AB$4) - SUMIFS(   INDIRECT(CONCATENATE("wind_offshore!",$D18,":", $D18)), wind_offshore!$4:$4, AB$4)</f>
        <v>4113</v>
      </c>
      <c r="AC18" s="58">
        <f ca="1">SUMIFS(  INDIRECT(CONCATENATE("'wind_total'!", $C18, ":", $C18)),   wind_total!$6:$6, AC$4) - SUMIFS(   INDIRECT(CONCATENATE("wind_offshore!",$D18,":", $D18)), wind_offshore!$4:$4, AC$4)</f>
        <v>4452</v>
      </c>
      <c r="AD18" s="58">
        <f ca="1">SUMIFS(  INDIRECT(CONCATENATE("'wind_total'!", $C18, ":", $C18)),   wind_total!$6:$6, AD$4) - SUMIFS(   INDIRECT(CONCATENATE("wind_offshore!",$D18,":", $D18)), wind_offshore!$4:$4, AD$4)</f>
        <v>4682</v>
      </c>
      <c r="AE18" s="58">
        <f ca="1">SUMIFS(  INDIRECT(CONCATENATE("'wind_total'!", $C18, ":", $C18)),   wind_total!$6:$6, AE$4) - SUMIFS(   INDIRECT(CONCATENATE("wind_offshore!",$D18,":", $D18)), wind_offshore!$4:$4, AE$4)</f>
        <v>5226</v>
      </c>
      <c r="AF18" s="58">
        <f ca="1">SUMIFS(  INDIRECT(CONCATENATE("'wind_total'!", $C18, ":", $C18)),   wind_total!$6:$6, AF$4) - SUMIFS(   INDIRECT(CONCATENATE("wind_offshore!",$D18,":", $D18)), wind_offshore!$4:$4, AF$4)</f>
        <v>5354</v>
      </c>
      <c r="AG18" s="6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58">
        <f ca="1">SUMIFS(  INDIRECT(CONCATENATE("'wind_total'!", $C19, ":", $C19)),   wind_total!$6:$6, F$4) - SUMIFS(   INDIRECT(CONCATENATE("wind_offshore!",$D19,":", $D19)), wind_offshore!$4:$4, F$4)</f>
        <v>0</v>
      </c>
      <c r="G19" s="58">
        <f ca="1">SUMIFS(  INDIRECT(CONCATENATE("'wind_total'!", $C19, ":", $C19)),   wind_total!$6:$6, G$4) - SUMIFS(   INDIRECT(CONCATENATE("wind_offshore!",$D19,":", $D19)), wind_offshore!$4:$4, G$4)</f>
        <v>0</v>
      </c>
      <c r="H19" s="58">
        <f ca="1">SUMIFS(  INDIRECT(CONCATENATE("'wind_total'!", $C19, ":", $C19)),   wind_total!$6:$6, H$4) - SUMIFS(   INDIRECT(CONCATENATE("wind_offshore!",$D19,":", $D19)), wind_offshore!$4:$4, H$4)</f>
        <v>0</v>
      </c>
      <c r="I19" s="58">
        <f ca="1">SUMIFS(  INDIRECT(CONCATENATE("'wind_total'!", $C19, ":", $C19)),   wind_total!$6:$6, I$4) - SUMIFS(   INDIRECT(CONCATENATE("wind_offshore!",$D19,":", $D19)), wind_offshore!$4:$4, I$4)</f>
        <v>0</v>
      </c>
      <c r="J19" s="58">
        <f ca="1">SUMIFS(  INDIRECT(CONCATENATE("'wind_total'!", $C19, ":", $C19)),   wind_total!$6:$6, J$4) - SUMIFS(   INDIRECT(CONCATENATE("wind_offshore!",$D19,":", $D19)), wind_offshore!$4:$4, J$4)</f>
        <v>0</v>
      </c>
      <c r="K19" s="58">
        <f ca="1">SUMIFS(  INDIRECT(CONCATENATE("'wind_total'!", $C19, ":", $C19)),   wind_total!$6:$6, K$4) - SUMIFS(   INDIRECT(CONCATENATE("wind_offshore!",$D19,":", $D19)), wind_offshore!$4:$4, K$4)</f>
        <v>101</v>
      </c>
      <c r="L19" s="58">
        <f ca="1">SUMIFS(  INDIRECT(CONCATENATE("'wind_total'!", $C19, ":", $C19)),   wind_total!$6:$6, L$4) - SUMIFS(   INDIRECT(CONCATENATE("wind_offshore!",$D19,":", $D19)), wind_offshore!$4:$4, L$4)</f>
        <v>160</v>
      </c>
      <c r="M19" s="58">
        <f ca="1">SUMIFS(  INDIRECT(CONCATENATE("'wind_total'!", $C19, ":", $C19)),   wind_total!$6:$6, M$4) - SUMIFS(   INDIRECT(CONCATENATE("wind_offshore!",$D19,":", $D19)), wind_offshore!$4:$4, M$4)</f>
        <v>267</v>
      </c>
      <c r="N19" s="58">
        <f ca="1">SUMIFS(  INDIRECT(CONCATENATE("'wind_total'!", $C19, ":", $C19)),   wind_total!$6:$6, N$4) - SUMIFS(   INDIRECT(CONCATENATE("wind_offshore!",$D19,":", $D19)), wind_offshore!$4:$4, N$4)</f>
        <v>314</v>
      </c>
      <c r="O19" s="58">
        <f ca="1">SUMIFS(  INDIRECT(CONCATENATE("'wind_total'!", $C19, ":", $C19)),   wind_total!$6:$6, O$4) - SUMIFS(   INDIRECT(CONCATENATE("wind_offshore!",$D19,":", $D19)), wind_offshore!$4:$4, O$4)</f>
        <v>333</v>
      </c>
      <c r="P19" s="58">
        <f ca="1">SUMIFS(  INDIRECT(CONCATENATE("'wind_total'!", $C19, ":", $C19)),   wind_total!$6:$6, P$4) - SUMIFS(   INDIRECT(CONCATENATE("wind_offshore!",$D19,":", $D19)), wind_offshore!$4:$4, P$4)</f>
        <v>423</v>
      </c>
      <c r="Q19" s="58">
        <f ca="1">SUMIFS(  INDIRECT(CONCATENATE("'wind_total'!", $C19, ":", $C19)),   wind_total!$6:$6, Q$4) - SUMIFS(   INDIRECT(CONCATENATE("wind_offshore!",$D19,":", $D19)), wind_offshore!$4:$4, Q$4)</f>
        <v>425</v>
      </c>
      <c r="R19" s="58">
        <f ca="1">SUMIFS(  INDIRECT(CONCATENATE("'wind_total'!", $C19, ":", $C19)),   wind_total!$6:$6, R$4) - SUMIFS(   INDIRECT(CONCATENATE("wind_offshore!",$D19,":", $D19)), wind_offshore!$4:$4, R$4)</f>
        <v>435</v>
      </c>
      <c r="S19" s="58">
        <f ca="1">SUMIFS(  INDIRECT(CONCATENATE("'wind_total'!", $C19, ":", $C19)),   wind_total!$6:$6, S$4) - SUMIFS(   INDIRECT(CONCATENATE("wind_offshore!",$D19,":", $D19)), wind_offshore!$4:$4, S$4)</f>
        <v>514</v>
      </c>
      <c r="T19" s="58">
        <f ca="1">SUMIFS(  INDIRECT(CONCATENATE("'wind_total'!", $C19, ":", $C19)),   wind_total!$6:$6, T$4) - SUMIFS(   INDIRECT(CONCATENATE("wind_offshore!",$D19,":", $D19)), wind_offshore!$4:$4, T$4)</f>
        <v>697</v>
      </c>
      <c r="U19" s="58">
        <f ca="1">SUMIFS(  INDIRECT(CONCATENATE("'wind_total'!", $C19, ":", $C19)),   wind_total!$6:$6, U$4) - SUMIFS(   INDIRECT(CONCATENATE("wind_offshore!",$D19,":", $D19)), wind_offshore!$4:$4, U$4)</f>
        <v>762</v>
      </c>
      <c r="V19" s="58">
        <f ca="1">SUMIFS(  INDIRECT(CONCATENATE("'wind_total'!", $C19, ":", $C19)),   wind_total!$6:$6, V$4) - SUMIFS(   INDIRECT(CONCATENATE("wind_offshore!",$D19,":", $D19)), wind_offshore!$4:$4, V$4)</f>
        <v>813</v>
      </c>
      <c r="W19" s="58">
        <f ca="1">SUMIFS(  INDIRECT(CONCATENATE("'wind_total'!", $C19, ":", $C19)),   wind_total!$6:$6, W$4) - SUMIFS(   INDIRECT(CONCATENATE("wind_offshore!",$D19,":", $D19)), wind_offshore!$4:$4, W$4)</f>
        <v>816</v>
      </c>
      <c r="X19" s="58">
        <f ca="1">SUMIFS(  INDIRECT(CONCATENATE("'wind_total'!", $C19, ":", $C19)),   wind_total!$6:$6, X$4) - SUMIFS(   INDIRECT(CONCATENATE("wind_offshore!",$D19,":", $D19)), wind_offshore!$4:$4, X$4)</f>
        <v>832</v>
      </c>
      <c r="Y19" s="58">
        <f ca="1">SUMIFS(  INDIRECT(CONCATENATE("'wind_total'!", $C19, ":", $C19)),   wind_total!$6:$6, Y$4) - SUMIFS(   INDIRECT(CONCATENATE("wind_offshore!",$D19,":", $D19)), wind_offshore!$4:$4, Y$4)</f>
        <v>1156</v>
      </c>
      <c r="Z19" s="58">
        <f ca="1">SUMIFS(  INDIRECT(CONCATENATE("'wind_total'!", $C19, ":", $C19)),   wind_total!$6:$6, Z$4) - SUMIFS(   INDIRECT(CONCATENATE("wind_offshore!",$D19,":", $D19)), wind_offshore!$4:$4, Z$4)</f>
        <v>1669</v>
      </c>
      <c r="AA19" s="58">
        <f ca="1">SUMIFS(  INDIRECT(CONCATENATE("'wind_total'!", $C19, ":", $C19)),   wind_total!$6:$6, AA$4) - SUMIFS(   INDIRECT(CONCATENATE("wind_offshore!",$D19,":", $D19)), wind_offshore!$4:$4, AA$4)</f>
        <v>2438</v>
      </c>
      <c r="AB19" s="58">
        <f ca="1">SUMIFS(  INDIRECT(CONCATENATE("'wind_total'!", $C19, ":", $C19)),   wind_total!$6:$6, AB$4) - SUMIFS(   INDIRECT(CONCATENATE("wind_offshore!",$D19,":", $D19)), wind_offshore!$4:$4, AB$4)</f>
        <v>3974</v>
      </c>
      <c r="AC19" s="58">
        <f ca="1">SUMIFS(  INDIRECT(CONCATENATE("'wind_total'!", $C19, ":", $C19)),   wind_total!$6:$6, AC$4) - SUMIFS(   INDIRECT(CONCATENATE("wind_offshore!",$D19,":", $D19)), wind_offshore!$4:$4, AC$4)</f>
        <v>4649</v>
      </c>
      <c r="AD19" s="58">
        <f ca="1">SUMIFS(  INDIRECT(CONCATENATE("'wind_total'!", $C19, ":", $C19)),   wind_total!$6:$6, AD$4) - SUMIFS(   INDIRECT(CONCATENATE("wind_offshore!",$D19,":", $D19)), wind_offshore!$4:$4, AD$4)</f>
        <v>5143</v>
      </c>
      <c r="AE19" s="58">
        <f ca="1">SUMIFS(  INDIRECT(CONCATENATE("'wind_total'!", $C19, ":", $C19)),   wind_total!$6:$6, AE$4) - SUMIFS(   INDIRECT(CONCATENATE("wind_offshore!",$D19,":", $D19)), wind_offshore!$4:$4, AE$4)</f>
        <v>5089.3999999999996</v>
      </c>
      <c r="AF19" s="58">
        <f ca="1">SUMIFS(  INDIRECT(CONCATENATE("'wind_total'!", $C19, ":", $C19)),   wind_total!$6:$6, AF$4) - SUMIFS(   INDIRECT(CONCATENATE("wind_offshore!",$D19,":", $D19)), wind_offshore!$4:$4, AF$4)</f>
        <v>5093.3999999999996</v>
      </c>
      <c r="AG19" s="6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58">
        <f ca="1">SUMIFS(  INDIRECT(CONCATENATE("'wind_total'!", $C20, ":", $C20)),   wind_total!$6:$6, F$4) - SUMIFS(   INDIRECT(CONCATENATE("wind_offshore!",$D20,":", $D20)), wind_offshore!$4:$4, F$4)</f>
        <v>73</v>
      </c>
      <c r="G20" s="58">
        <f ca="1">SUMIFS(  INDIRECT(CONCATENATE("'wind_total'!", $C20, ":", $C20)),   wind_total!$6:$6, G$4) - SUMIFS(   INDIRECT(CONCATENATE("wind_offshore!",$D20,":", $D20)), wind_offshore!$4:$4, G$4)</f>
        <v>74</v>
      </c>
      <c r="H20" s="58">
        <f ca="1">SUMIFS(  INDIRECT(CONCATENATE("'wind_total'!", $C20, ":", $C20)),   wind_total!$6:$6, H$4) - SUMIFS(   INDIRECT(CONCATENATE("wind_offshore!",$D20,":", $D20)), wind_offshore!$4:$4, H$4)</f>
        <v>118</v>
      </c>
      <c r="I20" s="58">
        <f ca="1">SUMIFS(  INDIRECT(CONCATENATE("'wind_total'!", $C20, ":", $C20)),   wind_total!$6:$6, I$4) - SUMIFS(   INDIRECT(CONCATENATE("wind_offshore!",$D20,":", $D20)), wind_offshore!$4:$4, I$4)</f>
        <v>124</v>
      </c>
      <c r="J20" s="58">
        <f ca="1">SUMIFS(  INDIRECT(CONCATENATE("'wind_total'!", $C20, ":", $C20)),   wind_total!$6:$6, J$4) - SUMIFS(   INDIRECT(CONCATENATE("wind_offshore!",$D20,":", $D20)), wind_offshore!$4:$4, J$4)</f>
        <v>137</v>
      </c>
      <c r="K20" s="58">
        <f ca="1">SUMIFS(  INDIRECT(CONCATENATE("'wind_total'!", $C20, ":", $C20)),   wind_total!$6:$6, K$4) - SUMIFS(   INDIRECT(CONCATENATE("wind_offshore!",$D20,":", $D20)), wind_offshore!$4:$4, K$4)</f>
        <v>190</v>
      </c>
      <c r="L20" s="58">
        <f ca="1">SUMIFS(  INDIRECT(CONCATENATE("'wind_total'!", $C20, ":", $C20)),   wind_total!$6:$6, L$4) - SUMIFS(   INDIRECT(CONCATENATE("wind_offshore!",$D20,":", $D20)), wind_offshore!$4:$4, L$4)</f>
        <v>339</v>
      </c>
      <c r="M20" s="58">
        <f ca="1">SUMIFS(  INDIRECT(CONCATENATE("'wind_total'!", $C20, ":", $C20)),   wind_total!$6:$6, M$4) - SUMIFS(   INDIRECT(CONCATENATE("wind_offshore!",$D20,":", $D20)), wind_offshore!$4:$4, M$4)</f>
        <v>496</v>
      </c>
      <c r="N20" s="58">
        <f ca="1">SUMIFS(  INDIRECT(CONCATENATE("'wind_total'!", $C20, ":", $C20)),   wind_total!$6:$6, N$4) - SUMIFS(   INDIRECT(CONCATENATE("wind_offshore!",$D20,":", $D20)), wind_offshore!$4:$4, N$4)</f>
        <v>746</v>
      </c>
      <c r="O20" s="58">
        <f ca="1">SUMIFS(  INDIRECT(CONCATENATE("'wind_total'!", $C20, ":", $C20)),   wind_total!$6:$6, O$4) - SUMIFS(   INDIRECT(CONCATENATE("wind_offshore!",$D20,":", $D20)), wind_offshore!$4:$4, O$4)</f>
        <v>795</v>
      </c>
      <c r="P20" s="58">
        <f ca="1">SUMIFS(  INDIRECT(CONCATENATE("'wind_total'!", $C20, ":", $C20)),   wind_total!$6:$6, P$4) - SUMIFS(   INDIRECT(CONCATENATE("wind_offshore!",$D20,":", $D20)), wind_offshore!$4:$4, P$4)</f>
        <v>1001.8</v>
      </c>
      <c r="Q20" s="58">
        <f ca="1">SUMIFS(  INDIRECT(CONCATENATE("'wind_total'!", $C20, ":", $C20)),   wind_total!$6:$6, Q$4) - SUMIFS(   INDIRECT(CONCATENATE("wind_offshore!",$D20,":", $D20)), wind_offshore!$4:$4, Q$4)</f>
        <v>1234.8</v>
      </c>
      <c r="R20" s="58">
        <f ca="1">SUMIFS(  INDIRECT(CONCATENATE("'wind_total'!", $C20, ":", $C20)),   wind_total!$6:$6, R$4) - SUMIFS(   INDIRECT(CONCATENATE("wind_offshore!",$D20,":", $D20)), wind_offshore!$4:$4, R$4)</f>
        <v>1402.8</v>
      </c>
      <c r="S20" s="58">
        <f ca="1">SUMIFS(  INDIRECT(CONCATENATE("'wind_total'!", $C20, ":", $C20)),   wind_total!$6:$6, S$4) - SUMIFS(   INDIRECT(CONCATENATE("wind_offshore!",$D20,":", $D20)), wind_offshore!$4:$4, S$4)</f>
        <v>1605.8</v>
      </c>
      <c r="T20" s="58">
        <f ca="1">SUMIFS(  INDIRECT(CONCATENATE("'wind_total'!", $C20, ":", $C20)),   wind_total!$6:$6, T$4) - SUMIFS(   INDIRECT(CONCATENATE("wind_offshore!",$D20,":", $D20)), wind_offshore!$4:$4, T$4)</f>
        <v>1712.8</v>
      </c>
      <c r="U20" s="58">
        <f ca="1">SUMIFS(  INDIRECT(CONCATENATE("'wind_total'!", $C20, ":", $C20)),   wind_total!$6:$6, U$4) - SUMIFS(   INDIRECT(CONCATENATE("wind_offshore!",$D20,":", $D20)), wind_offshore!$4:$4, U$4)</f>
        <v>2011.8</v>
      </c>
      <c r="V20" s="58">
        <f ca="1">SUMIFS(  INDIRECT(CONCATENATE("'wind_total'!", $C20, ":", $C20)),   wind_total!$6:$6, V$4) - SUMIFS(   INDIRECT(CONCATENATE("wind_offshore!",$D20,":", $D20)), wind_offshore!$4:$4, V$4)</f>
        <v>2246.8000000000002</v>
      </c>
      <c r="W20" s="58">
        <f ca="1">SUMIFS(  INDIRECT(CONCATENATE("'wind_total'!", $C20, ":", $C20)),   wind_total!$6:$6, W$4) - SUMIFS(   INDIRECT(CONCATENATE("wind_offshore!",$D20,":", $D20)), wind_offshore!$4:$4, W$4)</f>
        <v>2414.8000000000002</v>
      </c>
      <c r="X20" s="58">
        <f ca="1">SUMIFS(  INDIRECT(CONCATENATE("'wind_total'!", $C20, ":", $C20)),   wind_total!$6:$6, X$4) - SUMIFS(   INDIRECT(CONCATENATE("wind_offshore!",$D20,":", $D20)), wind_offshore!$4:$4, X$4)</f>
        <v>2739.8</v>
      </c>
      <c r="Y20" s="58">
        <f ca="1">SUMIFS(  INDIRECT(CONCATENATE("'wind_total'!", $C20, ":", $C20)),   wind_total!$6:$6, Y$4) - SUMIFS(   INDIRECT(CONCATENATE("wind_offshore!",$D20,":", $D20)), wind_offshore!$4:$4, Y$4)</f>
        <v>3101.8</v>
      </c>
      <c r="Z20" s="58">
        <f ca="1">SUMIFS(  INDIRECT(CONCATENATE("'wind_total'!", $C20, ":", $C20)),   wind_total!$6:$6, Z$4) - SUMIFS(   INDIRECT(CONCATENATE("wind_offshore!",$D20,":", $D20)), wind_offshore!$4:$4, Z$4)</f>
        <v>3538.8</v>
      </c>
      <c r="AA20" s="58">
        <f ca="1">SUMIFS(  INDIRECT(CONCATENATE("'wind_total'!", $C20, ":", $C20)),   wind_total!$6:$6, AA$4) - SUMIFS(   INDIRECT(CONCATENATE("wind_offshore!",$D20,":", $D20)), wind_offshore!$4:$4, AA$4)</f>
        <v>4129.8</v>
      </c>
      <c r="AB20" s="58">
        <f ca="1">SUMIFS(  INDIRECT(CONCATENATE("'wind_total'!", $C20, ":", $C20)),   wind_total!$6:$6, AB$4) - SUMIFS(   INDIRECT(CONCATENATE("wind_offshore!",$D20,":", $D20)), wind_offshore!$4:$4, AB$4)</f>
        <v>4325.8</v>
      </c>
      <c r="AC20" s="58">
        <f ca="1">SUMIFS(  INDIRECT(CONCATENATE("'wind_total'!", $C20, ":", $C20)),   wind_total!$6:$6, AC$4) - SUMIFS(   INDIRECT(CONCATENATE("wind_offshore!",$D20,":", $D20)), wind_offshore!$4:$4, AC$4)</f>
        <v>4379.8</v>
      </c>
      <c r="AD20" s="58">
        <f ca="1">SUMIFS(  INDIRECT(CONCATENATE("'wind_total'!", $C20, ":", $C20)),   wind_total!$6:$6, AD$4) - SUMIFS(   INDIRECT(CONCATENATE("wind_offshore!",$D20,":", $D20)), wind_offshore!$4:$4, AD$4)</f>
        <v>4615.3999999999996</v>
      </c>
      <c r="AE20" s="58">
        <f ca="1">SUMIFS(  INDIRECT(CONCATENATE("'wind_total'!", $C20, ":", $C20)),   wind_total!$6:$6, AE$4) - SUMIFS(   INDIRECT(CONCATENATE("wind_offshore!",$D20,":", $D20)), wind_offshore!$4:$4, AE$4)</f>
        <v>4777</v>
      </c>
      <c r="AF20" s="58">
        <f ca="1">SUMIFS(  INDIRECT(CONCATENATE("'wind_total'!", $C20, ":", $C20)),   wind_total!$6:$6, AF$4) - SUMIFS(   INDIRECT(CONCATENATE("wind_offshore!",$D20,":", $D20)), wind_offshore!$4:$4, AF$4)</f>
        <v>4836</v>
      </c>
      <c r="AG20" s="6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58">
        <f ca="1">SUMIFS(  INDIRECT(CONCATENATE("'wind_total'!", $C21, ":", $C21)),   wind_total!$6:$6, F$4) - SUMIFS(   INDIRECT(CONCATENATE("wind_offshore!",$D21,":", $D21)), wind_offshore!$4:$4, F$4)</f>
        <v>30</v>
      </c>
      <c r="G21" s="58">
        <f ca="1">SUMIFS(  INDIRECT(CONCATENATE("'wind_total'!", $C21, ":", $C21)),   wind_total!$6:$6, G$4) - SUMIFS(   INDIRECT(CONCATENATE("wind_offshore!",$D21,":", $D21)), wind_offshore!$4:$4, G$4)</f>
        <v>34</v>
      </c>
      <c r="H21" s="58">
        <f ca="1">SUMIFS(  INDIRECT(CONCATENATE("'wind_total'!", $C21, ":", $C21)),   wind_total!$6:$6, H$4) - SUMIFS(   INDIRECT(CONCATENATE("wind_offshore!",$D21,":", $D21)), wind_offshore!$4:$4, H$4)</f>
        <v>77</v>
      </c>
      <c r="I21" s="58">
        <f ca="1">SUMIFS(  INDIRECT(CONCATENATE("'wind_total'!", $C21, ":", $C21)),   wind_total!$6:$6, I$4) - SUMIFS(   INDIRECT(CONCATENATE("wind_offshore!",$D21,":", $D21)), wind_offshore!$4:$4, I$4)</f>
        <v>94</v>
      </c>
      <c r="J21" s="58">
        <f ca="1">SUMIFS(  INDIRECT(CONCATENATE("'wind_total'!", $C21, ":", $C21)),   wind_total!$6:$6, J$4) - SUMIFS(   INDIRECT(CONCATENATE("wind_offshore!",$D21,":", $D21)), wind_offshore!$4:$4, J$4)</f>
        <v>140</v>
      </c>
      <c r="K21" s="58">
        <f ca="1">SUMIFS(  INDIRECT(CONCATENATE("'wind_total'!", $C21, ":", $C21)),   wind_total!$6:$6, K$4) - SUMIFS(   INDIRECT(CONCATENATE("wind_offshore!",$D21,":", $D21)), wind_offshore!$4:$4, K$4)</f>
        <v>415</v>
      </c>
      <c r="L21" s="58">
        <f ca="1">SUMIFS(  INDIRECT(CONCATENATE("'wind_total'!", $C21, ":", $C21)),   wind_total!$6:$6, L$4) - SUMIFS(   INDIRECT(CONCATENATE("wind_offshore!",$D21,":", $D21)), wind_offshore!$4:$4, L$4)</f>
        <v>606</v>
      </c>
      <c r="M21" s="58">
        <f ca="1">SUMIFS(  INDIRECT(CONCATENATE("'wind_total'!", $C21, ":", $C21)),   wind_total!$6:$6, M$4) - SUMIFS(   INDIRECT(CONCATENATE("wind_offshore!",$D21,":", $D21)), wind_offshore!$4:$4, M$4)</f>
        <v>819</v>
      </c>
      <c r="N21" s="58">
        <f ca="1">SUMIFS(  INDIRECT(CONCATENATE("'wind_total'!", $C21, ":", $C21)),   wind_total!$6:$6, N$4) - SUMIFS(   INDIRECT(CONCATENATE("wind_offshore!",$D21,":", $D21)), wind_offshore!$4:$4, N$4)</f>
        <v>965</v>
      </c>
      <c r="O21" s="58">
        <f ca="1">SUMIFS(  INDIRECT(CONCATENATE("'wind_total'!", $C21, ":", $C21)),   wind_total!$6:$6, O$4) - SUMIFS(   INDIRECT(CONCATENATE("wind_offshore!",$D21,":", $D21)), wind_offshore!$4:$4, O$4)</f>
        <v>982</v>
      </c>
      <c r="P21" s="58">
        <f ca="1">SUMIFS(  INDIRECT(CONCATENATE("'wind_total'!", $C21, ":", $C21)),   wind_total!$6:$6, P$4) - SUMIFS(   INDIRECT(CONCATENATE("wind_offshore!",$D21,":", $D21)), wind_offshore!$4:$4, P$4)</f>
        <v>995</v>
      </c>
      <c r="Q21" s="58">
        <f ca="1">SUMIFS(  INDIRECT(CONCATENATE("'wind_total'!", $C21, ":", $C21)),   wind_total!$6:$6, Q$4) - SUMIFS(   INDIRECT(CONCATENATE("wind_offshore!",$D21,":", $D21)), wind_offshore!$4:$4, Q$4)</f>
        <v>995</v>
      </c>
      <c r="R21" s="58">
        <f ca="1">SUMIFS(  INDIRECT(CONCATENATE("'wind_total'!", $C21, ":", $C21)),   wind_total!$6:$6, R$4) - SUMIFS(   INDIRECT(CONCATENATE("wind_offshore!",$D21,":", $D21)), wind_offshore!$4:$4, R$4)</f>
        <v>1011</v>
      </c>
      <c r="S21" s="58">
        <f ca="1">SUMIFS(  INDIRECT(CONCATENATE("'wind_total'!", $C21, ":", $C21)),   wind_total!$6:$6, S$4) - SUMIFS(   INDIRECT(CONCATENATE("wind_offshore!",$D21,":", $D21)), wind_offshore!$4:$4, S$4)</f>
        <v>1084</v>
      </c>
      <c r="T21" s="58">
        <f ca="1">SUMIFS(  INDIRECT(CONCATENATE("'wind_total'!", $C21, ":", $C21)),   wind_total!$6:$6, T$4) - SUMIFS(   INDIRECT(CONCATENATE("wind_offshore!",$D21,":", $D21)), wind_offshore!$4:$4, T$4)</f>
        <v>1378</v>
      </c>
      <c r="U21" s="58">
        <f ca="1">SUMIFS(  INDIRECT(CONCATENATE("'wind_total'!", $C21, ":", $C21)),   wind_total!$6:$6, U$4) - SUMIFS(   INDIRECT(CONCATENATE("wind_offshore!",$D21,":", $D21)), wind_offshore!$4:$4, U$4)</f>
        <v>1684</v>
      </c>
      <c r="V21" s="58">
        <f ca="1">SUMIFS(  INDIRECT(CONCATENATE("'wind_total'!", $C21, ":", $C21)),   wind_total!$6:$6, V$4) - SUMIFS(   INDIRECT(CONCATENATE("wind_offshore!",$D21,":", $D21)), wind_offshore!$4:$4, V$4)</f>
        <v>2095</v>
      </c>
      <c r="W21" s="58">
        <f ca="1">SUMIFS(  INDIRECT(CONCATENATE("'wind_total'!", $C21, ":", $C21)),   wind_total!$6:$6, W$4) - SUMIFS(   INDIRECT(CONCATENATE("wind_offshore!",$D21,":", $D21)), wind_offshore!$4:$4, W$4)</f>
        <v>2404</v>
      </c>
      <c r="X21" s="58">
        <f ca="1">SUMIFS(  INDIRECT(CONCATENATE("'wind_total'!", $C21, ":", $C21)),   wind_total!$6:$6, X$4) - SUMIFS(   INDIRECT(CONCATENATE("wind_offshore!",$D21,":", $D21)), wind_offshore!$4:$4, X$4)</f>
        <v>2632</v>
      </c>
      <c r="Y21" s="58">
        <f ca="1">SUMIFS(  INDIRECT(CONCATENATE("'wind_total'!", $C21, ":", $C21)),   wind_total!$6:$6, Y$4) - SUMIFS(   INDIRECT(CONCATENATE("wind_offshore!",$D21,":", $D21)), wind_offshore!$4:$4, Y$4)</f>
        <v>2828</v>
      </c>
      <c r="Z21" s="58">
        <f ca="1">SUMIFS(  INDIRECT(CONCATENATE("'wind_total'!", $C21, ":", $C21)),   wind_total!$6:$6, Z$4) - SUMIFS(   INDIRECT(CONCATENATE("wind_offshore!",$D21,":", $D21)), wind_offshore!$4:$4, Z$4)</f>
        <v>3045</v>
      </c>
      <c r="AA21" s="58">
        <f ca="1">SUMIFS(  INDIRECT(CONCATENATE("'wind_total'!", $C21, ":", $C21)),   wind_total!$6:$6, AA$4) - SUMIFS(   INDIRECT(CONCATENATE("wind_offshore!",$D21,":", $D21)), wind_offshore!$4:$4, AA$4)</f>
        <v>3159</v>
      </c>
      <c r="AB21" s="58">
        <f ca="1">SUMIFS(  INDIRECT(CONCATENATE("'wind_total'!", $C21, ":", $C21)),   wind_total!$6:$6, AB$4) - SUMIFS(   INDIRECT(CONCATENATE("wind_offshore!",$D21,":", $D21)), wind_offshore!$4:$4, AB$4)</f>
        <v>3120</v>
      </c>
      <c r="AC21" s="58">
        <f ca="1">SUMIFS(  INDIRECT(CONCATENATE("'wind_total'!", $C21, ":", $C21)),   wind_total!$6:$6, AC$4) - SUMIFS(   INDIRECT(CONCATENATE("wind_offshore!",$D21,":", $D21)), wind_offshore!$4:$4, AC$4)</f>
        <v>3300</v>
      </c>
      <c r="AD21" s="58">
        <f ca="1">SUMIFS(  INDIRECT(CONCATENATE("'wind_total'!", $C21, ":", $C21)),   wind_total!$6:$6, AD$4) - SUMIFS(   INDIRECT(CONCATENATE("wind_offshore!",$D21,":", $D21)), wind_offshore!$4:$4, AD$4)</f>
        <v>3586</v>
      </c>
      <c r="AE21" s="58">
        <f ca="1">SUMIFS(  INDIRECT(CONCATENATE("'wind_total'!", $C21, ":", $C21)),   wind_total!$6:$6, AE$4) - SUMIFS(   INDIRECT(CONCATENATE("wind_offshore!",$D21,":", $D21)), wind_offshore!$4:$4, AE$4)</f>
        <v>3885</v>
      </c>
      <c r="AF21" s="58">
        <f ca="1">SUMIFS(  INDIRECT(CONCATENATE("'wind_total'!", $C21, ":", $C21)),   wind_total!$6:$6, AF$4) - SUMIFS(   INDIRECT(CONCATENATE("wind_offshore!",$D21,":", $D21)), wind_offshore!$4:$4, AF$4)</f>
        <v>4028</v>
      </c>
      <c r="AG21" s="6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58">
        <f ca="1">SUMIFS(  INDIRECT(CONCATENATE("'wind_total'!", $C22, ":", $C22)),   wind_total!$6:$6, F$4) - SUMIFS(   INDIRECT(CONCATENATE("wind_offshore!",$D22,":", $D22)), wind_offshore!$4:$4, F$4)</f>
        <v>0</v>
      </c>
      <c r="G22" s="58">
        <f ca="1">SUMIFS(  INDIRECT(CONCATENATE("'wind_total'!", $C22, ":", $C22)),   wind_total!$6:$6, G$4) - SUMIFS(   INDIRECT(CONCATENATE("wind_offshore!",$D22,":", $D22)), wind_offshore!$4:$4, G$4)</f>
        <v>0</v>
      </c>
      <c r="H22" s="58">
        <f ca="1">SUMIFS(  INDIRECT(CONCATENATE("'wind_total'!", $C22, ":", $C22)),   wind_total!$6:$6, H$4) - SUMIFS(   INDIRECT(CONCATENATE("wind_offshore!",$D22,":", $D22)), wind_offshore!$4:$4, H$4)</f>
        <v>0</v>
      </c>
      <c r="I22" s="58">
        <f ca="1">SUMIFS(  INDIRECT(CONCATENATE("'wind_total'!", $C22, ":", $C22)),   wind_total!$6:$6, I$4) - SUMIFS(   INDIRECT(CONCATENATE("wind_offshore!",$D22,":", $D22)), wind_offshore!$4:$4, I$4)</f>
        <v>0</v>
      </c>
      <c r="J22" s="58">
        <f ca="1">SUMIFS(  INDIRECT(CONCATENATE("'wind_total'!", $C22, ":", $C22)),   wind_total!$6:$6, J$4) - SUMIFS(   INDIRECT(CONCATENATE("wind_offshore!",$D22,":", $D22)), wind_offshore!$4:$4, J$4)</f>
        <v>0</v>
      </c>
      <c r="K22" s="58">
        <f ca="1">SUMIFS(  INDIRECT(CONCATENATE("'wind_total'!", $C22, ":", $C22)),   wind_total!$6:$6, K$4) - SUMIFS(   INDIRECT(CONCATENATE("wind_offshore!",$D22,":", $D22)), wind_offshore!$4:$4, K$4)</f>
        <v>1</v>
      </c>
      <c r="L22" s="58">
        <f ca="1">SUMIFS(  INDIRECT(CONCATENATE("'wind_total'!", $C22, ":", $C22)),   wind_total!$6:$6, L$4) - SUMIFS(   INDIRECT(CONCATENATE("wind_offshore!",$D22,":", $D22)), wind_offshore!$4:$4, L$4)</f>
        <v>1</v>
      </c>
      <c r="M22" s="58">
        <f ca="1">SUMIFS(  INDIRECT(CONCATENATE("'wind_total'!", $C22, ":", $C22)),   wind_total!$6:$6, M$4) - SUMIFS(   INDIRECT(CONCATENATE("wind_offshore!",$D22,":", $D22)), wind_offshore!$4:$4, M$4)</f>
        <v>2</v>
      </c>
      <c r="N22" s="58">
        <f ca="1">SUMIFS(  INDIRECT(CONCATENATE("'wind_total'!", $C22, ":", $C22)),   wind_total!$6:$6, N$4) - SUMIFS(   INDIRECT(CONCATENATE("wind_offshore!",$D22,":", $D22)), wind_offshore!$4:$4, N$4)</f>
        <v>3</v>
      </c>
      <c r="O22" s="58">
        <f ca="1">SUMIFS(  INDIRECT(CONCATENATE("'wind_total'!", $C22, ":", $C22)),   wind_total!$6:$6, O$4) - SUMIFS(   INDIRECT(CONCATENATE("wind_offshore!",$D22,":", $D22)), wind_offshore!$4:$4, O$4)</f>
        <v>8</v>
      </c>
      <c r="P22" s="58">
        <f ca="1">SUMIFS(  INDIRECT(CONCATENATE("'wind_total'!", $C22, ":", $C22)),   wind_total!$6:$6, P$4) - SUMIFS(   INDIRECT(CONCATENATE("wind_offshore!",$D22,":", $D22)), wind_offshore!$4:$4, P$4)</f>
        <v>11</v>
      </c>
      <c r="Q22" s="58">
        <f ca="1">SUMIFS(  INDIRECT(CONCATENATE("'wind_total'!", $C22, ":", $C22)),   wind_total!$6:$6, Q$4) - SUMIFS(   INDIRECT(CONCATENATE("wind_offshore!",$D22,":", $D22)), wind_offshore!$4:$4, Q$4)</f>
        <v>14</v>
      </c>
      <c r="R22" s="58">
        <f ca="1">SUMIFS(  INDIRECT(CONCATENATE("'wind_total'!", $C22, ":", $C22)),   wind_total!$6:$6, R$4) - SUMIFS(   INDIRECT(CONCATENATE("wind_offshore!",$D22,":", $D22)), wind_offshore!$4:$4, R$4)</f>
        <v>462</v>
      </c>
      <c r="S22" s="58">
        <f ca="1">SUMIFS(  INDIRECT(CONCATENATE("'wind_total'!", $C22, ":", $C22)),   wind_total!$6:$6, S$4) - SUMIFS(   INDIRECT(CONCATENATE("wind_offshore!",$D22,":", $D22)), wind_offshore!$4:$4, S$4)</f>
        <v>982</v>
      </c>
      <c r="T22" s="58">
        <f ca="1">SUMIFS(  INDIRECT(CONCATENATE("'wind_total'!", $C22, ":", $C22)),   wind_total!$6:$6, T$4) - SUMIFS(   INDIRECT(CONCATENATE("wind_offshore!",$D22,":", $D22)), wind_offshore!$4:$4, T$4)</f>
        <v>1905</v>
      </c>
      <c r="U22" s="58">
        <f ca="1">SUMIFS(  INDIRECT(CONCATENATE("'wind_total'!", $C22, ":", $C22)),   wind_total!$6:$6, U$4) - SUMIFS(   INDIRECT(CONCATENATE("wind_offshore!",$D22,":", $D22)), wind_offshore!$4:$4, U$4)</f>
        <v>2599</v>
      </c>
      <c r="V22" s="58">
        <f ca="1">SUMIFS(  INDIRECT(CONCATENATE("'wind_total'!", $C22, ":", $C22)),   wind_total!$6:$6, V$4) - SUMIFS(   INDIRECT(CONCATENATE("wind_offshore!",$D22,":", $D22)), wind_offshore!$4:$4, V$4)</f>
        <v>2954</v>
      </c>
      <c r="W22" s="58">
        <f ca="1">SUMIFS(  INDIRECT(CONCATENATE("'wind_total'!", $C22, ":", $C22)),   wind_total!$6:$6, W$4) - SUMIFS(   INDIRECT(CONCATENATE("wind_offshore!",$D22,":", $D22)), wind_offshore!$4:$4, W$4)</f>
        <v>2976</v>
      </c>
      <c r="X22" s="58">
        <f ca="1">SUMIFS(  INDIRECT(CONCATENATE("'wind_total'!", $C22, ":", $C22)),   wind_total!$6:$6, X$4) - SUMIFS(   INDIRECT(CONCATENATE("wind_offshore!",$D22,":", $D22)), wind_offshore!$4:$4, X$4)</f>
        <v>3028</v>
      </c>
      <c r="Y22" s="58">
        <f ca="1">SUMIFS(  INDIRECT(CONCATENATE("'wind_total'!", $C22, ":", $C22)),   wind_total!$6:$6, Y$4) - SUMIFS(   INDIRECT(CONCATENATE("wind_offshore!",$D22,":", $D22)), wind_offshore!$4:$4, Y$4)</f>
        <v>3029</v>
      </c>
      <c r="Z22" s="58">
        <f ca="1">SUMIFS(  INDIRECT(CONCATENATE("'wind_total'!", $C22, ":", $C22)),   wind_total!$6:$6, Z$4) - SUMIFS(   INDIRECT(CONCATENATE("wind_offshore!",$D22,":", $D22)), wind_offshore!$4:$4, Z$4)</f>
        <v>3029</v>
      </c>
      <c r="AA22" s="58">
        <f ca="1">SUMIFS(  INDIRECT(CONCATENATE("'wind_total'!", $C22, ":", $C22)),   wind_total!$6:$6, AA$4) - SUMIFS(   INDIRECT(CONCATENATE("wind_offshore!",$D22,":", $D22)), wind_offshore!$4:$4, AA$4)</f>
        <v>3029</v>
      </c>
      <c r="AB22" s="58">
        <f ca="1">SUMIFS(  INDIRECT(CONCATENATE("'wind_total'!", $C22, ":", $C22)),   wind_total!$6:$6, AB$4) - SUMIFS(   INDIRECT(CONCATENATE("wind_offshore!",$D22,":", $D22)), wind_offshore!$4:$4, AB$4)</f>
        <v>3029</v>
      </c>
      <c r="AC22" s="58">
        <f ca="1">SUMIFS(  INDIRECT(CONCATENATE("'wind_total'!", $C22, ":", $C22)),   wind_total!$6:$6, AC$4) - SUMIFS(   INDIRECT(CONCATENATE("wind_offshore!",$D22,":", $D22)), wind_offshore!$4:$4, AC$4)</f>
        <v>3029</v>
      </c>
      <c r="AD22" s="58">
        <f ca="1">SUMIFS(  INDIRECT(CONCATENATE("'wind_total'!", $C22, ":", $C22)),   wind_total!$6:$6, AD$4) - SUMIFS(   INDIRECT(CONCATENATE("wind_offshore!",$D22,":", $D22)), wind_offshore!$4:$4, AD$4)</f>
        <v>3029</v>
      </c>
      <c r="AE22" s="58">
        <f ca="1">SUMIFS(  INDIRECT(CONCATENATE("'wind_total'!", $C22, ":", $C22)),   wind_total!$6:$6, AE$4) - SUMIFS(   INDIRECT(CONCATENATE("wind_offshore!",$D22,":", $D22)), wind_offshore!$4:$4, AE$4)</f>
        <v>3100</v>
      </c>
      <c r="AF22" s="58">
        <f ca="1">SUMIFS(  INDIRECT(CONCATENATE("'wind_total'!", $C22, ":", $C22)),   wind_total!$6:$6, AF$4) - SUMIFS(   INDIRECT(CONCATENATE("wind_offshore!",$D22,":", $D22)), wind_offshore!$4:$4, AF$4)</f>
        <v>3150</v>
      </c>
      <c r="AG22" s="6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58">
        <f ca="1">SUMIFS(  INDIRECT(CONCATENATE("'wind_total'!", $C23, ":", $C23)),   wind_total!$6:$6, F$4) - SUMIFS(   INDIRECT(CONCATENATE("wind_offshore!",$D23,":", $D23)), wind_offshore!$4:$4, F$4)</f>
        <v>0</v>
      </c>
      <c r="G23" s="58">
        <f ca="1">SUMIFS(  INDIRECT(CONCATENATE("'wind_total'!", $C23, ":", $C23)),   wind_total!$6:$6, G$4) - SUMIFS(   INDIRECT(CONCATENATE("wind_offshore!",$D23,":", $D23)), wind_offshore!$4:$4, G$4)</f>
        <v>0</v>
      </c>
      <c r="H23" s="58">
        <f ca="1">SUMIFS(  INDIRECT(CONCATENATE("'wind_total'!", $C23, ":", $C23)),   wind_total!$6:$6, H$4) - SUMIFS(   INDIRECT(CONCATENATE("wind_offshore!",$D23,":", $D23)), wind_offshore!$4:$4, H$4)</f>
        <v>0</v>
      </c>
      <c r="I23" s="58">
        <f ca="1">SUMIFS(  INDIRECT(CONCATENATE("'wind_total'!", $C23, ":", $C23)),   wind_total!$6:$6, I$4) - SUMIFS(   INDIRECT(CONCATENATE("wind_offshore!",$D23,":", $D23)), wind_offshore!$4:$4, I$4)</f>
        <v>0</v>
      </c>
      <c r="J23" s="58">
        <f ca="1">SUMIFS(  INDIRECT(CONCATENATE("'wind_total'!", $C23, ":", $C23)),   wind_total!$6:$6, J$4) - SUMIFS(   INDIRECT(CONCATENATE("wind_offshore!",$D23,":", $D23)), wind_offshore!$4:$4, J$4)</f>
        <v>0</v>
      </c>
      <c r="K23" s="58">
        <f ca="1">SUMIFS(  INDIRECT(CONCATENATE("'wind_total'!", $C23, ":", $C23)),   wind_total!$6:$6, K$4) - SUMIFS(   INDIRECT(CONCATENATE("wind_offshore!",$D23,":", $D23)), wind_offshore!$4:$4, K$4)</f>
        <v>0</v>
      </c>
      <c r="L23" s="58">
        <f ca="1">SUMIFS(  INDIRECT(CONCATENATE("'wind_total'!", $C23, ":", $C23)),   wind_total!$6:$6, L$4) - SUMIFS(   INDIRECT(CONCATENATE("wind_offshore!",$D23,":", $D23)), wind_offshore!$4:$4, L$4)</f>
        <v>0</v>
      </c>
      <c r="M23" s="58">
        <f ca="1">SUMIFS(  INDIRECT(CONCATENATE("'wind_total'!", $C23, ":", $C23)),   wind_total!$6:$6, M$4) - SUMIFS(   INDIRECT(CONCATENATE("wind_offshore!",$D23,":", $D23)), wind_offshore!$4:$4, M$4)</f>
        <v>0</v>
      </c>
      <c r="N23" s="58">
        <f ca="1">SUMIFS(  INDIRECT(CONCATENATE("'wind_total'!", $C23, ":", $C23)),   wind_total!$6:$6, N$4) - SUMIFS(   INDIRECT(CONCATENATE("wind_offshore!",$D23,":", $D23)), wind_offshore!$4:$4, N$4)</f>
        <v>0</v>
      </c>
      <c r="O23" s="58">
        <f ca="1">SUMIFS(  INDIRECT(CONCATENATE("'wind_total'!", $C23, ":", $C23)),   wind_total!$6:$6, O$4) - SUMIFS(   INDIRECT(CONCATENATE("wind_offshore!",$D23,":", $D23)), wind_offshore!$4:$4, O$4)</f>
        <v>0</v>
      </c>
      <c r="P23" s="58">
        <f ca="1">SUMIFS(  INDIRECT(CONCATENATE("'wind_total'!", $C23, ":", $C23)),   wind_total!$6:$6, P$4) - SUMIFS(   INDIRECT(CONCATENATE("wind_offshore!",$D23,":", $D23)), wind_offshore!$4:$4, P$4)</f>
        <v>0</v>
      </c>
      <c r="Q23" s="58">
        <f ca="1">SUMIFS(  INDIRECT(CONCATENATE("'wind_total'!", $C23, ":", $C23)),   wind_total!$6:$6, Q$4) - SUMIFS(   INDIRECT(CONCATENATE("wind_offshore!",$D23,":", $D23)), wind_offshore!$4:$4, Q$4)</f>
        <v>9</v>
      </c>
      <c r="R23" s="58">
        <f ca="1">SUMIFS(  INDIRECT(CONCATENATE("'wind_total'!", $C23, ":", $C23)),   wind_total!$6:$6, R$4) - SUMIFS(   INDIRECT(CONCATENATE("wind_offshore!",$D23,":", $D23)), wind_offshore!$4:$4, R$4)</f>
        <v>9</v>
      </c>
      <c r="S23" s="58">
        <f ca="1">SUMIFS(  INDIRECT(CONCATENATE("'wind_total'!", $C23, ":", $C23)),   wind_total!$6:$6, S$4) - SUMIFS(   INDIRECT(CONCATENATE("wind_offshore!",$D23,":", $D23)), wind_offshore!$4:$4, S$4)</f>
        <v>15</v>
      </c>
      <c r="T23" s="58">
        <f ca="1">SUMIFS(  INDIRECT(CONCATENATE("'wind_total'!", $C23, ":", $C23)),   wind_total!$6:$6, T$4) - SUMIFS(   INDIRECT(CONCATENATE("wind_offshore!",$D23,":", $D23)), wind_offshore!$4:$4, T$4)</f>
        <v>15</v>
      </c>
      <c r="U23" s="58">
        <f ca="1">SUMIFS(  INDIRECT(CONCATENATE("'wind_total'!", $C23, ":", $C23)),   wind_total!$6:$6, U$4) - SUMIFS(   INDIRECT(CONCATENATE("wind_offshore!",$D23,":", $D23)), wind_offshore!$4:$4, U$4)</f>
        <v>15</v>
      </c>
      <c r="V23" s="58">
        <f ca="1">SUMIFS(  INDIRECT(CONCATENATE("'wind_total'!", $C23, ":", $C23)),   wind_total!$6:$6, V$4) - SUMIFS(   INDIRECT(CONCATENATE("wind_offshore!",$D23,":", $D23)), wind_offshore!$4:$4, V$4)</f>
        <v>15</v>
      </c>
      <c r="W23" s="58">
        <f ca="1">SUMIFS(  INDIRECT(CONCATENATE("'wind_total'!", $C23, ":", $C23)),   wind_total!$6:$6, W$4) - SUMIFS(   INDIRECT(CONCATENATE("wind_offshore!",$D23,":", $D23)), wind_offshore!$4:$4, W$4)</f>
        <v>15</v>
      </c>
      <c r="X23" s="58">
        <f ca="1">SUMIFS(  INDIRECT(CONCATENATE("'wind_total'!", $C23, ":", $C23)),   wind_total!$6:$6, X$4) - SUMIFS(   INDIRECT(CONCATENATE("wind_offshore!",$D23,":", $D23)), wind_offshore!$4:$4, X$4)</f>
        <v>15</v>
      </c>
      <c r="Y23" s="58">
        <f ca="1">SUMIFS(  INDIRECT(CONCATENATE("'wind_total'!", $C23, ":", $C23)),   wind_total!$6:$6, Y$4) - SUMIFS(   INDIRECT(CONCATENATE("wind_offshore!",$D23,":", $D23)), wind_offshore!$4:$4, Y$4)</f>
        <v>104</v>
      </c>
      <c r="Z23" s="58">
        <f ca="1">SUMIFS(  INDIRECT(CONCATENATE("'wind_total'!", $C23, ":", $C23)),   wind_total!$6:$6, Z$4) - SUMIFS(   INDIRECT(CONCATENATE("wind_offshore!",$D23,":", $D23)), wind_offshore!$4:$4, Z$4)</f>
        <v>139</v>
      </c>
      <c r="AA23" s="58">
        <f ca="1">SUMIFS(  INDIRECT(CONCATENATE("'wind_total'!", $C23, ":", $C23)),   wind_total!$6:$6, AA$4) - SUMIFS(   INDIRECT(CONCATENATE("wind_offshore!",$D23,":", $D23)), wind_offshore!$4:$4, AA$4)</f>
        <v>191</v>
      </c>
      <c r="AB23" s="58">
        <f ca="1">SUMIFS(  INDIRECT(CONCATENATE("'wind_total'!", $C23, ":", $C23)),   wind_total!$6:$6, AB$4) - SUMIFS(   INDIRECT(CONCATENATE("wind_offshore!",$D23,":", $D23)), wind_offshore!$4:$4, AB$4)</f>
        <v>905</v>
      </c>
      <c r="AC23" s="58">
        <f ca="1">SUMIFS(  INDIRECT(CONCATENATE("'wind_total'!", $C23, ":", $C23)),   wind_total!$6:$6, AC$4) - SUMIFS(   INDIRECT(CONCATENATE("wind_offshore!",$D23,":", $D23)), wind_offshore!$4:$4, AC$4)</f>
        <v>2043</v>
      </c>
      <c r="AD23" s="58">
        <f ca="1">SUMIFS(  INDIRECT(CONCATENATE("'wind_total'!", $C23, ":", $C23)),   wind_total!$6:$6, AD$4) - SUMIFS(   INDIRECT(CONCATENATE("wind_offshore!",$D23,":", $D23)), wind_offshore!$4:$4, AD$4)</f>
        <v>2043</v>
      </c>
      <c r="AE23" s="58">
        <f ca="1">SUMIFS(  INDIRECT(CONCATENATE("'wind_total'!", $C23, ":", $C23)),   wind_total!$6:$6, AE$4) - SUMIFS(   INDIRECT(CONCATENATE("wind_offshore!",$D23,":", $D23)), wind_offshore!$4:$4, AE$4)</f>
        <v>2043</v>
      </c>
      <c r="AF23" s="59">
        <f ca="1">AE23</f>
        <v>2043</v>
      </c>
      <c r="AG23" s="6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58">
        <f ca="1">SUMIFS(  INDIRECT(CONCATENATE("'wind_total'!", $C24, ":", $C24)),   wind_total!$6:$6, F$4) - SUMIFS(   INDIRECT(CONCATENATE("wind_offshore!",$D24,":", $D24)), wind_offshore!$4:$4, F$4)</f>
        <v>0</v>
      </c>
      <c r="G24" s="58">
        <f ca="1">SUMIFS(  INDIRECT(CONCATENATE("'wind_total'!", $C24, ":", $C24)),   wind_total!$6:$6, G$4) - SUMIFS(   INDIRECT(CONCATENATE("wind_offshore!",$D24,":", $D24)), wind_offshore!$4:$4, G$4)</f>
        <v>0</v>
      </c>
      <c r="H24" s="58">
        <f ca="1">SUMIFS(  INDIRECT(CONCATENATE("'wind_total'!", $C24, ":", $C24)),   wind_total!$6:$6, H$4) - SUMIFS(   INDIRECT(CONCATENATE("wind_offshore!",$D24,":", $D24)), wind_offshore!$4:$4, H$4)</f>
        <v>0</v>
      </c>
      <c r="I24" s="58">
        <f ca="1">SUMIFS(  INDIRECT(CONCATENATE("'wind_total'!", $C24, ":", $C24)),   wind_total!$6:$6, I$4) - SUMIFS(   INDIRECT(CONCATENATE("wind_offshore!",$D24,":", $D24)), wind_offshore!$4:$4, I$4)</f>
        <v>0</v>
      </c>
      <c r="J24" s="58">
        <f ca="1">SUMIFS(  INDIRECT(CONCATENATE("'wind_total'!", $C24, ":", $C24)),   wind_total!$6:$6, J$4) - SUMIFS(   INDIRECT(CONCATENATE("wind_offshore!",$D24,":", $D24)), wind_offshore!$4:$4, J$4)</f>
        <v>0</v>
      </c>
      <c r="K24" s="58">
        <f ca="1">SUMIFS(  INDIRECT(CONCATENATE("'wind_total'!", $C24, ":", $C24)),   wind_total!$6:$6, K$4) - SUMIFS(   INDIRECT(CONCATENATE("wind_offshore!",$D24,":", $D24)), wind_offshore!$4:$4, K$4)</f>
        <v>0</v>
      </c>
      <c r="L24" s="58">
        <f ca="1">SUMIFS(  INDIRECT(CONCATENATE("'wind_total'!", $C24, ":", $C24)),   wind_total!$6:$6, L$4) - SUMIFS(   INDIRECT(CONCATENATE("wind_offshore!",$D24,":", $D24)), wind_offshore!$4:$4, L$4)</f>
        <v>0</v>
      </c>
      <c r="M24" s="58">
        <f ca="1">SUMIFS(  INDIRECT(CONCATENATE("'wind_total'!", $C24, ":", $C24)),   wind_total!$6:$6, M$4) - SUMIFS(   INDIRECT(CONCATENATE("wind_offshore!",$D24,":", $D24)), wind_offshore!$4:$4, M$4)</f>
        <v>77</v>
      </c>
      <c r="N24" s="58">
        <f ca="1">SUMIFS(  INDIRECT(CONCATENATE("'wind_total'!", $C24, ":", $C24)),   wind_total!$6:$6, N$4) - SUMIFS(   INDIRECT(CONCATENATE("wind_offshore!",$D24,":", $D24)), wind_offshore!$4:$4, N$4)</f>
        <v>86</v>
      </c>
      <c r="O24" s="58">
        <f ca="1">SUMIFS(  INDIRECT(CONCATENATE("'wind_total'!", $C24, ":", $C24)),   wind_total!$6:$6, O$4) - SUMIFS(   INDIRECT(CONCATENATE("wind_offshore!",$D24,":", $D24)), wind_offshore!$4:$4, O$4)</f>
        <v>89</v>
      </c>
      <c r="P24" s="58">
        <f ca="1">SUMIFS(  INDIRECT(CONCATENATE("'wind_total'!", $C24, ":", $C24)),   wind_total!$6:$6, P$4) - SUMIFS(   INDIRECT(CONCATENATE("wind_offshore!",$D24,":", $D24)), wind_offshore!$4:$4, P$4)</f>
        <v>90</v>
      </c>
      <c r="Q24" s="58">
        <f ca="1">SUMIFS(  INDIRECT(CONCATENATE("'wind_total'!", $C24, ":", $C24)),   wind_total!$6:$6, Q$4) - SUMIFS(   INDIRECT(CONCATENATE("wind_offshore!",$D24,":", $D24)), wind_offshore!$4:$4, Q$4)</f>
        <v>94</v>
      </c>
      <c r="R24" s="58">
        <f ca="1">SUMIFS(  INDIRECT(CONCATENATE("'wind_total'!", $C24, ":", $C24)),   wind_total!$6:$6, R$4) - SUMIFS(   INDIRECT(CONCATENATE("wind_offshore!",$D24,":", $D24)), wind_offshore!$4:$4, R$4)</f>
        <v>87</v>
      </c>
      <c r="S24" s="58">
        <f ca="1">SUMIFS(  INDIRECT(CONCATENATE("'wind_total'!", $C24, ":", $C24)),   wind_total!$6:$6, S$4) - SUMIFS(   INDIRECT(CONCATENATE("wind_offshore!",$D24,":", $D24)), wind_offshore!$4:$4, S$4)</f>
        <v>151</v>
      </c>
      <c r="T24" s="58">
        <f ca="1">SUMIFS(  INDIRECT(CONCATENATE("'wind_total'!", $C24, ":", $C24)),   wind_total!$6:$6, T$4) - SUMIFS(   INDIRECT(CONCATENATE("wind_offshore!",$D24,":", $D24)), wind_offshore!$4:$4, T$4)</f>
        <v>278</v>
      </c>
      <c r="U24" s="58">
        <f ca="1">SUMIFS(  INDIRECT(CONCATENATE("'wind_total'!", $C24, ":", $C24)),   wind_total!$6:$6, U$4) - SUMIFS(   INDIRECT(CONCATENATE("wind_offshore!",$D24,":", $D24)), wind_offshore!$4:$4, U$4)</f>
        <v>371</v>
      </c>
      <c r="V24" s="58">
        <f ca="1">SUMIFS(  INDIRECT(CONCATENATE("'wind_total'!", $C24, ":", $C24)),   wind_total!$6:$6, V$4) - SUMIFS(   INDIRECT(CONCATENATE("wind_offshore!",$D24,":", $D24)), wind_offshore!$4:$4, V$4)</f>
        <v>498</v>
      </c>
      <c r="W24" s="58">
        <f ca="1">SUMIFS(  INDIRECT(CONCATENATE("'wind_total'!", $C24, ":", $C24)),   wind_total!$6:$6, W$4) - SUMIFS(   INDIRECT(CONCATENATE("wind_offshore!",$D24,":", $D24)), wind_offshore!$4:$4, W$4)</f>
        <v>514</v>
      </c>
      <c r="X24" s="58">
        <f ca="1">SUMIFS(  INDIRECT(CONCATENATE("'wind_total'!", $C24, ":", $C24)),   wind_total!$6:$6, X$4) - SUMIFS(   INDIRECT(CONCATENATE("wind_offshore!",$D24,":", $D24)), wind_offshore!$4:$4, X$4)</f>
        <v>526</v>
      </c>
      <c r="Y24" s="58">
        <f ca="1">SUMIFS(  INDIRECT(CONCATENATE("'wind_total'!", $C24, ":", $C24)),   wind_total!$6:$6, Y$4) - SUMIFS(   INDIRECT(CONCATENATE("wind_offshore!",$D24,":", $D24)), wind_offshore!$4:$4, Y$4)</f>
        <v>593</v>
      </c>
      <c r="Z24" s="58">
        <f ca="1">SUMIFS(  INDIRECT(CONCATENATE("'wind_total'!", $C24, ":", $C24)),   wind_total!$6:$6, Z$4) - SUMIFS(   INDIRECT(CONCATENATE("wind_offshore!",$D24,":", $D24)), wind_offshore!$4:$4, Z$4)</f>
        <v>533</v>
      </c>
      <c r="AA24" s="58">
        <f ca="1">SUMIFS(  INDIRECT(CONCATENATE("'wind_total'!", $C24, ":", $C24)),   wind_total!$6:$6, AA$4) - SUMIFS(   INDIRECT(CONCATENATE("wind_offshore!",$D24,":", $D24)), wind_offshore!$4:$4, AA$4)</f>
        <v>1170</v>
      </c>
      <c r="AB24" s="58">
        <f ca="1">SUMIFS(  INDIRECT(CONCATENATE("'wind_total'!", $C24, ":", $C24)),   wind_total!$6:$6, AB$4) - SUMIFS(   INDIRECT(CONCATENATE("wind_offshore!",$D24,":", $D24)), wind_offshore!$4:$4, AB$4)</f>
        <v>1314</v>
      </c>
      <c r="AC24" s="58">
        <f ca="1">SUMIFS(  INDIRECT(CONCATENATE("'wind_total'!", $C24, ":", $C24)),   wind_total!$6:$6, AC$4) - SUMIFS(   INDIRECT(CONCATENATE("wind_offshore!",$D24,":", $D24)), wind_offshore!$4:$4, AC$4)</f>
        <v>1673</v>
      </c>
      <c r="AD24" s="58">
        <f ca="1">SUMIFS(  INDIRECT(CONCATENATE("'wind_total'!", $C24, ":", $C24)),   wind_total!$6:$6, AD$4) - SUMIFS(   INDIRECT(CONCATENATE("wind_offshore!",$D24,":", $D24)), wind_offshore!$4:$4, AD$4)</f>
        <v>1673</v>
      </c>
      <c r="AE24" s="58">
        <f ca="1">SUMIFS(  INDIRECT(CONCATENATE("'wind_total'!", $C24, ":", $C24)),   wind_total!$6:$6, AE$4) - SUMIFS(   INDIRECT(CONCATENATE("wind_offshore!",$D24,":", $D24)), wind_offshore!$4:$4, AE$4)</f>
        <v>1902</v>
      </c>
      <c r="AF24" s="58">
        <f ca="1">SUMIFS(  INDIRECT(CONCATENATE("'wind_total'!", $C24, ":", $C24)),   wind_total!$6:$6, AF$4) - SUMIFS(   INDIRECT(CONCATENATE("wind_offshore!",$D24,":", $D24)), wind_offshore!$4:$4, AF$4)</f>
        <v>1947</v>
      </c>
      <c r="AG24" s="6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58">
        <f ca="1">SUMIFS(  INDIRECT(CONCATENATE("'wind_total'!", $C25, ":", $C25)),   wind_total!$6:$6, F$4) - SUMIFS(   INDIRECT(CONCATENATE("wind_offshore!",$D25,":", $D25)), wind_offshore!$4:$4, F$4)</f>
        <v>0</v>
      </c>
      <c r="G25" s="58">
        <f ca="1">SUMIFS(  INDIRECT(CONCATENATE("'wind_total'!", $C25, ":", $C25)),   wind_total!$6:$6, G$4) - SUMIFS(   INDIRECT(CONCATENATE("wind_offshore!",$D25,":", $D25)), wind_offshore!$4:$4, G$4)</f>
        <v>0</v>
      </c>
      <c r="H25" s="58">
        <f ca="1">SUMIFS(  INDIRECT(CONCATENATE("'wind_total'!", $C25, ":", $C25)),   wind_total!$6:$6, H$4) - SUMIFS(   INDIRECT(CONCATENATE("wind_offshore!",$D25,":", $D25)), wind_offshore!$4:$4, H$4)</f>
        <v>0</v>
      </c>
      <c r="I25" s="58">
        <f ca="1">SUMIFS(  INDIRECT(CONCATENATE("'wind_total'!", $C25, ":", $C25)),   wind_total!$6:$6, I$4) - SUMIFS(   INDIRECT(CONCATENATE("wind_offshore!",$D25,":", $D25)), wind_offshore!$4:$4, I$4)</f>
        <v>0</v>
      </c>
      <c r="J25" s="58">
        <f ca="1">SUMIFS(  INDIRECT(CONCATENATE("'wind_total'!", $C25, ":", $C25)),   wind_total!$6:$6, J$4) - SUMIFS(   INDIRECT(CONCATENATE("wind_offshore!",$D25,":", $D25)), wind_offshore!$4:$4, J$4)</f>
        <v>0</v>
      </c>
      <c r="K25" s="58">
        <f ca="1">SUMIFS(  INDIRECT(CONCATENATE("'wind_total'!", $C25, ":", $C25)),   wind_total!$6:$6, K$4) - SUMIFS(   INDIRECT(CONCATENATE("wind_offshore!",$D25,":", $D25)), wind_offshore!$4:$4, K$4)</f>
        <v>6</v>
      </c>
      <c r="L25" s="58">
        <f ca="1">SUMIFS(  INDIRECT(CONCATENATE("'wind_total'!", $C25, ":", $C25)),   wind_total!$6:$6, L$4) - SUMIFS(   INDIRECT(CONCATENATE("wind_offshore!",$D25,":", $D25)), wind_offshore!$4:$4, L$4)</f>
        <v>6</v>
      </c>
      <c r="M25" s="58">
        <f ca="1">SUMIFS(  INDIRECT(CONCATENATE("'wind_total'!", $C25, ":", $C25)),   wind_total!$6:$6, M$4) - SUMIFS(   INDIRECT(CONCATENATE("wind_offshore!",$D25,":", $D25)), wind_offshore!$4:$4, M$4)</f>
        <v>48</v>
      </c>
      <c r="N25" s="58">
        <f ca="1">SUMIFS(  INDIRECT(CONCATENATE("'wind_total'!", $C25, ":", $C25)),   wind_total!$6:$6, N$4) - SUMIFS(   INDIRECT(CONCATENATE("wind_offshore!",$D25,":", $D25)), wind_offshore!$4:$4, N$4)</f>
        <v>51</v>
      </c>
      <c r="O25" s="58">
        <f ca="1">SUMIFS(  INDIRECT(CONCATENATE("'wind_total'!", $C25, ":", $C25)),   wind_total!$6:$6, O$4) - SUMIFS(   INDIRECT(CONCATENATE("wind_offshore!",$D25,":", $D25)), wind_offshore!$4:$4, O$4)</f>
        <v>54</v>
      </c>
      <c r="P25" s="58">
        <f ca="1">SUMIFS(  INDIRECT(CONCATENATE("'wind_total'!", $C25, ":", $C25)),   wind_total!$6:$6, P$4) - SUMIFS(   INDIRECT(CONCATENATE("wind_offshore!",$D25,":", $D25)), wind_offshore!$4:$4, P$4)</f>
        <v>54</v>
      </c>
      <c r="Q25" s="58">
        <f ca="1">SUMIFS(  INDIRECT(CONCATENATE("'wind_total'!", $C25, ":", $C25)),   wind_total!$6:$6, Q$4) - SUMIFS(   INDIRECT(CONCATENATE("wind_offshore!",$D25,":", $D25)), wind_offshore!$4:$4, Q$4)</f>
        <v>91</v>
      </c>
      <c r="R25" s="58">
        <f ca="1">SUMIFS(  INDIRECT(CONCATENATE("'wind_total'!", $C25, ":", $C25)),   wind_total!$6:$6, R$4) - SUMIFS(   INDIRECT(CONCATENATE("wind_offshore!",$D25,":", $D25)), wind_offshore!$4:$4, R$4)</f>
        <v>163</v>
      </c>
      <c r="S25" s="58">
        <f ca="1">SUMIFS(  INDIRECT(CONCATENATE("'wind_total'!", $C25, ":", $C25)),   wind_total!$6:$6, S$4) - SUMIFS(   INDIRECT(CONCATENATE("wind_offshore!",$D25,":", $D25)), wind_offshore!$4:$4, S$4)</f>
        <v>179</v>
      </c>
      <c r="T25" s="58">
        <f ca="1">SUMIFS(  INDIRECT(CONCATENATE("'wind_total'!", $C25, ":", $C25)),   wind_total!$6:$6, T$4) - SUMIFS(   INDIRECT(CONCATENATE("wind_offshore!",$D25,":", $D25)), wind_offshore!$4:$4, T$4)</f>
        <v>225</v>
      </c>
      <c r="U25" s="58">
        <f ca="1">SUMIFS(  INDIRECT(CONCATENATE("'wind_total'!", $C25, ":", $C25)),   wind_total!$6:$6, U$4) - SUMIFS(   INDIRECT(CONCATENATE("wind_offshore!",$D25,":", $D25)), wind_offshore!$4:$4, U$4)</f>
        <v>279</v>
      </c>
      <c r="V25" s="58">
        <f ca="1">SUMIFS(  INDIRECT(CONCATENATE("'wind_total'!", $C25, ":", $C25)),   wind_total!$6:$6, V$4) - SUMIFS(   INDIRECT(CONCATENATE("wind_offshore!",$D25,":", $D25)), wind_offshore!$4:$4, V$4)</f>
        <v>279</v>
      </c>
      <c r="W25" s="58">
        <f ca="1">SUMIFS(  INDIRECT(CONCATENATE("'wind_total'!", $C25, ":", $C25)),   wind_total!$6:$6, W$4) - SUMIFS(   INDIRECT(CONCATENATE("wind_offshore!",$D25,":", $D25)), wind_offshore!$4:$4, W$4)</f>
        <v>421</v>
      </c>
      <c r="X25" s="58">
        <f ca="1">SUMIFS(  INDIRECT(CONCATENATE("'wind_total'!", $C25, ":", $C25)),   wind_total!$6:$6, X$4) - SUMIFS(   INDIRECT(CONCATENATE("wind_offshore!",$D25,":", $D25)), wind_offshore!$4:$4, X$4)</f>
        <v>421</v>
      </c>
      <c r="Y25" s="58">
        <f ca="1">SUMIFS(  INDIRECT(CONCATENATE("'wind_total'!", $C25, ":", $C25)),   wind_total!$6:$6, Y$4) - SUMIFS(   INDIRECT(CONCATENATE("wind_offshore!",$D25,":", $D25)), wind_offshore!$4:$4, Y$4)</f>
        <v>421</v>
      </c>
      <c r="Z25" s="58">
        <f ca="1">SUMIFS(  INDIRECT(CONCATENATE("'wind_total'!", $C25, ":", $C25)),   wind_total!$6:$6, Z$4) - SUMIFS(   INDIRECT(CONCATENATE("wind_offshore!",$D25,":", $D25)), wind_offshore!$4:$4, Z$4)</f>
        <v>439</v>
      </c>
      <c r="AA25" s="58">
        <f ca="1">SUMIFS(  INDIRECT(CONCATENATE("'wind_total'!", $C25, ":", $C25)),   wind_total!$6:$6, AA$4) - SUMIFS(   INDIRECT(CONCATENATE("wind_offshore!",$D25,":", $D25)), wind_offshore!$4:$4, AA$4)</f>
        <v>548</v>
      </c>
      <c r="AB25" s="58">
        <f ca="1">SUMIFS(  INDIRECT(CONCATENATE("'wind_total'!", $C25, ":", $C25)),   wind_total!$6:$6, AB$4) - SUMIFS(   INDIRECT(CONCATENATE("wind_offshore!",$D25,":", $D25)), wind_offshore!$4:$4, AB$4)</f>
        <v>548</v>
      </c>
      <c r="AC25" s="58">
        <f ca="1">SUMIFS(  INDIRECT(CONCATENATE("'wind_total'!", $C25, ":", $C25)),   wind_total!$6:$6, AC$4) - SUMIFS(   INDIRECT(CONCATENATE("wind_offshore!",$D25,":", $D25)), wind_offshore!$4:$4, AC$4)</f>
        <v>668</v>
      </c>
      <c r="AD25" s="58">
        <f ca="1">SUMIFS(  INDIRECT(CONCATENATE("'wind_total'!", $C25, ":", $C25)),   wind_total!$6:$6, AD$4) - SUMIFS(   INDIRECT(CONCATENATE("wind_offshore!",$D25,":", $D25)), wind_offshore!$4:$4, AD$4)</f>
        <v>740</v>
      </c>
      <c r="AE25" s="58">
        <f ca="1">SUMIFS(  INDIRECT(CONCATENATE("'wind_total'!", $C25, ":", $C25)),   wind_total!$6:$6, AE$4) - SUMIFS(   INDIRECT(CONCATENATE("wind_offshore!",$D25,":", $D25)), wind_offshore!$4:$4, AE$4)</f>
        <v>1208</v>
      </c>
      <c r="AF25" s="58">
        <f ca="1">SUMIFS(  INDIRECT(CONCATENATE("'wind_total'!", $C25, ":", $C25)),   wind_total!$6:$6, AF$4) - SUMIFS(   INDIRECT(CONCATENATE("wind_offshore!",$D25,":", $D25)), wind_offshore!$4:$4, AF$4)</f>
        <v>1750</v>
      </c>
      <c r="AG25" s="6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58">
        <f ca="1">SUMIFS(  INDIRECT(CONCATENATE("'wind_total'!", $C26, ":", $C26)),   wind_total!$6:$6, F$4) - SUMIFS(   INDIRECT(CONCATENATE("wind_offshore!",$D26,":", $D26)), wind_offshore!$4:$4, F$4)</f>
        <v>0</v>
      </c>
      <c r="G26" s="58">
        <f ca="1">SUMIFS(  INDIRECT(CONCATENATE("'wind_total'!", $C26, ":", $C26)),   wind_total!$6:$6, G$4) - SUMIFS(   INDIRECT(CONCATENATE("wind_offshore!",$D26,":", $D26)), wind_offshore!$4:$4, G$4)</f>
        <v>0</v>
      </c>
      <c r="H26" s="58">
        <f ca="1">SUMIFS(  INDIRECT(CONCATENATE("'wind_total'!", $C26, ":", $C26)),   wind_total!$6:$6, H$4) - SUMIFS(   INDIRECT(CONCATENATE("wind_offshore!",$D26,":", $D26)), wind_offshore!$4:$4, H$4)</f>
        <v>0</v>
      </c>
      <c r="I26" s="58">
        <f ca="1">SUMIFS(  INDIRECT(CONCATENATE("'wind_total'!", $C26, ":", $C26)),   wind_total!$6:$6, I$4) - SUMIFS(   INDIRECT(CONCATENATE("wind_offshore!",$D26,":", $D26)), wind_offshore!$4:$4, I$4)</f>
        <v>0</v>
      </c>
      <c r="J26" s="58">
        <f ca="1">SUMIFS(  INDIRECT(CONCATENATE("'wind_total'!", $C26, ":", $C26)),   wind_total!$6:$6, J$4) - SUMIFS(   INDIRECT(CONCATENATE("wind_offshore!",$D26,":", $D26)), wind_offshore!$4:$4, J$4)</f>
        <v>0</v>
      </c>
      <c r="K26" s="58">
        <f ca="1">SUMIFS(  INDIRECT(CONCATENATE("'wind_total'!", $C26, ":", $C26)),   wind_total!$6:$6, K$4) - SUMIFS(   INDIRECT(CONCATENATE("wind_offshore!",$D26,":", $D26)), wind_offshore!$4:$4, K$4)</f>
        <v>0</v>
      </c>
      <c r="L26" s="58">
        <f ca="1">SUMIFS(  INDIRECT(CONCATENATE("'wind_total'!", $C26, ":", $C26)),   wind_total!$6:$6, L$4) - SUMIFS(   INDIRECT(CONCATENATE("wind_offshore!",$D26,":", $D26)), wind_offshore!$4:$4, L$4)</f>
        <v>0</v>
      </c>
      <c r="M26" s="58">
        <f ca="1">SUMIFS(  INDIRECT(CONCATENATE("'wind_total'!", $C26, ":", $C26)),   wind_total!$6:$6, M$4) - SUMIFS(   INDIRECT(CONCATENATE("wind_offshore!",$D26,":", $D26)), wind_offshore!$4:$4, M$4)</f>
        <v>0</v>
      </c>
      <c r="N26" s="58">
        <f ca="1">SUMIFS(  INDIRECT(CONCATENATE("'wind_total'!", $C26, ":", $C26)),   wind_total!$6:$6, N$4) - SUMIFS(   INDIRECT(CONCATENATE("wind_offshore!",$D26,":", $D26)), wind_offshore!$4:$4, N$4)</f>
        <v>0</v>
      </c>
      <c r="O26" s="58">
        <f ca="1">SUMIFS(  INDIRECT(CONCATENATE("'wind_total'!", $C26, ":", $C26)),   wind_total!$6:$6, O$4) - SUMIFS(   INDIRECT(CONCATENATE("wind_offshore!",$D26,":", $D26)), wind_offshore!$4:$4, O$4)</f>
        <v>0</v>
      </c>
      <c r="P26" s="58">
        <f ca="1">SUMIFS(  INDIRECT(CONCATENATE("'wind_total'!", $C26, ":", $C26)),   wind_total!$6:$6, P$4) - SUMIFS(   INDIRECT(CONCATENATE("wind_offshore!",$D26,":", $D26)), wind_offshore!$4:$4, P$4)</f>
        <v>0</v>
      </c>
      <c r="Q26" s="58">
        <f ca="1">SUMIFS(  INDIRECT(CONCATENATE("'wind_total'!", $C26, ":", $C26)),   wind_total!$6:$6, Q$4) - SUMIFS(   INDIRECT(CONCATENATE("wind_offshore!",$D26,":", $D26)), wind_offshore!$4:$4, Q$4)</f>
        <v>28</v>
      </c>
      <c r="R26" s="58">
        <f ca="1">SUMIFS(  INDIRECT(CONCATENATE("'wind_total'!", $C26, ":", $C26)),   wind_total!$6:$6, R$4) - SUMIFS(   INDIRECT(CONCATENATE("wind_offshore!",$D26,":", $D26)), wind_offshore!$4:$4, R$4)</f>
        <v>89</v>
      </c>
      <c r="S26" s="58">
        <f ca="1">SUMIFS(  INDIRECT(CONCATENATE("'wind_total'!", $C26, ":", $C26)),   wind_total!$6:$6, S$4) - SUMIFS(   INDIRECT(CONCATENATE("wind_offshore!",$D26,":", $D26)), wind_offshore!$4:$4, S$4)</f>
        <v>131</v>
      </c>
      <c r="T26" s="58">
        <f ca="1">SUMIFS(  INDIRECT(CONCATENATE("'wind_total'!", $C26, ":", $C26)),   wind_total!$6:$6, T$4) - SUMIFS(   INDIRECT(CONCATENATE("wind_offshore!",$D26,":", $D26)), wind_offshore!$4:$4, T$4)</f>
        <v>180</v>
      </c>
      <c r="U26" s="58">
        <f ca="1">SUMIFS(  INDIRECT(CONCATENATE("'wind_total'!", $C26, ":", $C26)),   wind_total!$6:$6, U$4) - SUMIFS(   INDIRECT(CONCATENATE("wind_offshore!",$D26,":", $D26)), wind_offshore!$4:$4, U$4)</f>
        <v>0</v>
      </c>
      <c r="V26" s="58">
        <f ca="1">SUMIFS(  INDIRECT(CONCATENATE("'wind_total'!", $C26, ":", $C26)),   wind_total!$6:$6, V$4) - SUMIFS(   INDIRECT(CONCATENATE("wind_offshore!",$D26,":", $D26)), wind_offshore!$4:$4, V$4)</f>
        <v>347</v>
      </c>
      <c r="W26" s="58">
        <f ca="1">SUMIFS(  INDIRECT(CONCATENATE("'wind_total'!", $C26, ":", $C26)),   wind_total!$6:$6, W$4) - SUMIFS(   INDIRECT(CONCATENATE("wind_offshore!",$D26,":", $D26)), wind_offshore!$4:$4, W$4)</f>
        <v>462</v>
      </c>
      <c r="X26" s="58">
        <f ca="1">SUMIFS(  INDIRECT(CONCATENATE("'wind_total'!", $C26, ":", $C26)),   wind_total!$6:$6, X$4) - SUMIFS(   INDIRECT(CONCATENATE("wind_offshore!",$D26,":", $D26)), wind_offshore!$4:$4, X$4)</f>
        <v>466</v>
      </c>
      <c r="Y26" s="58">
        <f ca="1">SUMIFS(  INDIRECT(CONCATENATE("'wind_total'!", $C26, ":", $C26)),   wind_total!$6:$6, Y$4) - SUMIFS(   INDIRECT(CONCATENATE("wind_offshore!",$D26,":", $D26)), wind_offshore!$4:$4, Y$4)</f>
        <v>583</v>
      </c>
      <c r="Z26" s="58">
        <f ca="1">SUMIFS(  INDIRECT(CONCATENATE("'wind_total'!", $C26, ":", $C26)),   wind_total!$6:$6, Z$4) - SUMIFS(   INDIRECT(CONCATENATE("wind_offshore!",$D26,":", $D26)), wind_offshore!$4:$4, Z$4)</f>
        <v>583</v>
      </c>
      <c r="AA26" s="58">
        <f ca="1">SUMIFS(  INDIRECT(CONCATENATE("'wind_total'!", $C26, ":", $C26)),   wind_total!$6:$6, AA$4) - SUMIFS(   INDIRECT(CONCATENATE("wind_offshore!",$D26,":", $D26)), wind_offshore!$4:$4, AA$4)</f>
        <v>652</v>
      </c>
      <c r="AB26" s="58">
        <f ca="1">SUMIFS(  INDIRECT(CONCATENATE("'wind_total'!", $C26, ":", $C26)),   wind_total!$6:$6, AB$4) - SUMIFS(   INDIRECT(CONCATENATE("wind_offshore!",$D26,":", $D26)), wind_offshore!$4:$4, AB$4)</f>
        <v>803</v>
      </c>
      <c r="AC26" s="58">
        <f ca="1">SUMIFS(  INDIRECT(CONCATENATE("'wind_total'!", $C26, ":", $C26)),   wind_total!$6:$6, AC$4) - SUMIFS(   INDIRECT(CONCATENATE("wind_offshore!",$D26,":", $D26)), wind_offshore!$4:$4, AC$4)</f>
        <v>990</v>
      </c>
      <c r="AD26" s="58">
        <f ca="1">SUMIFS(  INDIRECT(CONCATENATE("'wind_total'!", $C26, ":", $C26)),   wind_total!$6:$6, AD$4) - SUMIFS(   INDIRECT(CONCATENATE("wind_offshore!",$D26,":", $D26)), wind_offshore!$4:$4, AD$4)</f>
        <v>1100</v>
      </c>
      <c r="AE26" s="58">
        <f ca="1">SUMIFS(  INDIRECT(CONCATENATE("'wind_total'!", $C26, ":", $C26)),   wind_total!$6:$6, AE$4) - SUMIFS(   INDIRECT(CONCATENATE("wind_offshore!",$D26,":", $D26)), wind_offshore!$4:$4, AE$4)</f>
        <v>1256</v>
      </c>
      <c r="AF26" s="58">
        <f ca="1">SUMIFS(  INDIRECT(CONCATENATE("'wind_total'!", $C26, ":", $C26)),   wind_total!$6:$6, AF$4) - SUMIFS(   INDIRECT(CONCATENATE("wind_offshore!",$D26,":", $D26)), wind_offshore!$4:$4, AF$4)</f>
        <v>1303</v>
      </c>
      <c r="AG26" s="6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58">
        <f ca="1">SUMIFS(  INDIRECT(CONCATENATE("'wind_total'!", $C27, ":", $C27)),   wind_total!$6:$6, F$4) - SUMIFS(   INDIRECT(CONCATENATE("wind_offshore!",$D27,":", $D27)), wind_offshore!$4:$4, F$4)</f>
        <v>0</v>
      </c>
      <c r="G27" s="58">
        <f ca="1">SUMIFS(  INDIRECT(CONCATENATE("'wind_total'!", $C27, ":", $C27)),   wind_total!$6:$6, G$4) - SUMIFS(   INDIRECT(CONCATENATE("wind_offshore!",$D27,":", $D27)), wind_offshore!$4:$4, G$4)</f>
        <v>0</v>
      </c>
      <c r="H27" s="58">
        <f ca="1">SUMIFS(  INDIRECT(CONCATENATE("'wind_total'!", $C27, ":", $C27)),   wind_total!$6:$6, H$4) - SUMIFS(   INDIRECT(CONCATENATE("wind_offshore!",$D27,":", $D27)), wind_offshore!$4:$4, H$4)</f>
        <v>0</v>
      </c>
      <c r="I27" s="58">
        <f ca="1">SUMIFS(  INDIRECT(CONCATENATE("'wind_total'!", $C27, ":", $C27)),   wind_total!$6:$6, I$4) - SUMIFS(   INDIRECT(CONCATENATE("wind_offshore!",$D27,":", $D27)), wind_offshore!$4:$4, I$4)</f>
        <v>0</v>
      </c>
      <c r="J27" s="58">
        <f ca="1">SUMIFS(  INDIRECT(CONCATENATE("'wind_total'!", $C27, ":", $C27)),   wind_total!$6:$6, J$4) - SUMIFS(   INDIRECT(CONCATENATE("wind_offshore!",$D27,":", $D27)), wind_offshore!$4:$4, J$4)</f>
        <v>2</v>
      </c>
      <c r="K27" s="58">
        <f ca="1">SUMIFS(  INDIRECT(CONCATENATE("'wind_total'!", $C27, ":", $C27)),   wind_total!$6:$6, K$4) - SUMIFS(   INDIRECT(CONCATENATE("wind_offshore!",$D27,":", $D27)), wind_offshore!$4:$4, K$4)</f>
        <v>2</v>
      </c>
      <c r="L27" s="58">
        <f ca="1">SUMIFS(  INDIRECT(CONCATENATE("'wind_total'!", $C27, ":", $C27)),   wind_total!$6:$6, L$4) - SUMIFS(   INDIRECT(CONCATENATE("wind_offshore!",$D27,":", $D27)), wind_offshore!$4:$4, L$4)</f>
        <v>6</v>
      </c>
      <c r="M27" s="58">
        <f ca="1">SUMIFS(  INDIRECT(CONCATENATE("'wind_total'!", $C27, ":", $C27)),   wind_total!$6:$6, M$4) - SUMIFS(   INDIRECT(CONCATENATE("wind_offshore!",$D27,":", $D27)), wind_offshore!$4:$4, M$4)</f>
        <v>32</v>
      </c>
      <c r="N27" s="58">
        <f ca="1">SUMIFS(  INDIRECT(CONCATENATE("'wind_total'!", $C27, ":", $C27)),   wind_total!$6:$6, N$4) - SUMIFS(   INDIRECT(CONCATENATE("wind_offshore!",$D27,":", $D27)), wind_offshore!$4:$4, N$4)</f>
        <v>32</v>
      </c>
      <c r="O27" s="58">
        <f ca="1">SUMIFS(  INDIRECT(CONCATENATE("'wind_total'!", $C27, ":", $C27)),   wind_total!$6:$6, O$4) - SUMIFS(   INDIRECT(CONCATENATE("wind_offshore!",$D27,":", $D27)), wind_offshore!$4:$4, O$4)</f>
        <v>59</v>
      </c>
      <c r="P27" s="58">
        <f ca="1">SUMIFS(  INDIRECT(CONCATENATE("'wind_total'!", $C27, ":", $C27)),   wind_total!$6:$6, P$4) - SUMIFS(   INDIRECT(CONCATENATE("wind_offshore!",$D27,":", $D27)), wind_offshore!$4:$4, P$4)</f>
        <v>78</v>
      </c>
      <c r="Q27" s="58">
        <f ca="1">SUMIFS(  INDIRECT(CONCATENATE("'wind_total'!", $C27, ":", $C27)),   wind_total!$6:$6, Q$4) - SUMIFS(   INDIRECT(CONCATENATE("wind_offshore!",$D27,":", $D27)), wind_offshore!$4:$4, Q$4)</f>
        <v>142</v>
      </c>
      <c r="R27" s="58">
        <f ca="1">SUMIFS(  INDIRECT(CONCATENATE("'wind_total'!", $C27, ":", $C27)),   wind_total!$6:$6, R$4) - SUMIFS(   INDIRECT(CONCATENATE("wind_offshore!",$D27,":", $D27)), wind_offshore!$4:$4, R$4)</f>
        <v>149</v>
      </c>
      <c r="S27" s="58">
        <f ca="1">SUMIFS(  INDIRECT(CONCATENATE("'wind_total'!", $C27, ":", $C27)),   wind_total!$6:$6, S$4) - SUMIFS(   INDIRECT(CONCATENATE("wind_offshore!",$D27,":", $D27)), wind_offshore!$4:$4, S$4)</f>
        <v>184</v>
      </c>
      <c r="T27" s="58">
        <f ca="1">SUMIFS(  INDIRECT(CONCATENATE("'wind_total'!", $C27, ":", $C27)),   wind_total!$6:$6, T$4) - SUMIFS(   INDIRECT(CONCATENATE("wind_offshore!",$D27,":", $D27)), wind_offshore!$4:$4, T$4)</f>
        <v>269</v>
      </c>
      <c r="U27" s="58">
        <f ca="1">SUMIFS(  INDIRECT(CONCATENATE("'wind_total'!", $C27, ":", $C27)),   wind_total!$6:$6, U$4) - SUMIFS(   INDIRECT(CONCATENATE("wind_offshore!",$D27,":", $D27)), wind_offshore!$4:$4, U$4)</f>
        <v>280</v>
      </c>
      <c r="V27" s="58">
        <f ca="1">SUMIFS(  INDIRECT(CONCATENATE("'wind_total'!", $C27, ":", $C27)),   wind_total!$6:$6, V$4) - SUMIFS(   INDIRECT(CONCATENATE("wind_offshore!",$D27,":", $D27)), wind_offshore!$4:$4, V$4)</f>
        <v>302</v>
      </c>
      <c r="W27" s="58">
        <f ca="1">SUMIFS(  INDIRECT(CONCATENATE("'wind_total'!", $C27, ":", $C27)),   wind_total!$6:$6, W$4) - SUMIFS(   INDIRECT(CONCATENATE("wind_offshore!",$D27,":", $D27)), wind_offshore!$4:$4, W$4)</f>
        <v>302</v>
      </c>
      <c r="X27" s="58">
        <f ca="1">SUMIFS(  INDIRECT(CONCATENATE("'wind_total'!", $C27, ":", $C27)),   wind_total!$6:$6, X$4) - SUMIFS(   INDIRECT(CONCATENATE("wind_offshore!",$D27,":", $D27)), wind_offshore!$4:$4, X$4)</f>
        <v>310</v>
      </c>
      <c r="Y27" s="58">
        <f ca="1">SUMIFS(  INDIRECT(CONCATENATE("'wind_total'!", $C27, ":", $C27)),   wind_total!$6:$6, Y$4) - SUMIFS(   INDIRECT(CONCATENATE("wind_offshore!",$D27,":", $D27)), wind_offshore!$4:$4, Y$4)</f>
        <v>310</v>
      </c>
      <c r="Z27" s="58">
        <f ca="1">SUMIFS(  INDIRECT(CONCATENATE("'wind_total'!", $C27, ":", $C27)),   wind_total!$6:$6, Z$4) - SUMIFS(   INDIRECT(CONCATENATE("wind_offshore!",$D27,":", $D27)), wind_offshore!$4:$4, Z$4)</f>
        <v>310</v>
      </c>
      <c r="AA27" s="58">
        <f ca="1">SUMIFS(  INDIRECT(CONCATENATE("'wind_total'!", $C27, ":", $C27)),   wind_total!$6:$6, AA$4) - SUMIFS(   INDIRECT(CONCATENATE("wind_offshore!",$D27,":", $D27)), wind_offshore!$4:$4, AA$4)</f>
        <v>320</v>
      </c>
      <c r="AB27" s="58">
        <f ca="1">SUMIFS(  INDIRECT(CONCATENATE("'wind_total'!", $C27, ":", $C27)),   wind_total!$6:$6, AB$4) - SUMIFS(   INDIRECT(CONCATENATE("wind_offshore!",$D27,":", $D27)), wind_offshore!$4:$4, AB$4)</f>
        <v>320</v>
      </c>
      <c r="AC27" s="58">
        <f ca="1">SUMIFS(  INDIRECT(CONCATENATE("'wind_total'!", $C27, ":", $C27)),   wind_total!$6:$6, AC$4) - SUMIFS(   INDIRECT(CONCATENATE("wind_offshore!",$D27,":", $D27)), wind_offshore!$4:$4, AC$4)</f>
        <v>320</v>
      </c>
      <c r="AD27" s="58">
        <f ca="1">SUMIFS(  INDIRECT(CONCATENATE("'wind_total'!", $C27, ":", $C27)),   wind_total!$6:$6, AD$4) - SUMIFS(   INDIRECT(CONCATENATE("wind_offshore!",$D27,":", $D27)), wind_offshore!$4:$4, AD$4)</f>
        <v>320</v>
      </c>
      <c r="AE27" s="58">
        <f ca="1">SUMIFS(  INDIRECT(CONCATENATE("'wind_total'!", $C27, ":", $C27)),   wind_total!$6:$6, AE$4) - SUMIFS(   INDIRECT(CONCATENATE("wind_offshore!",$D27,":", $D27)), wind_offshore!$4:$4, AE$4)</f>
        <v>376</v>
      </c>
      <c r="AF27" s="58">
        <f ca="1">SUMIFS(  INDIRECT(CONCATENATE("'wind_total'!", $C27, ":", $C27)),   wind_total!$6:$6, AF$4) - SUMIFS(   INDIRECT(CONCATENATE("wind_offshore!",$D27,":", $D27)), wind_offshore!$4:$4, AF$4)</f>
        <v>711</v>
      </c>
      <c r="AG27" s="6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58">
        <f ca="1">SUMIFS(  INDIRECT(CONCATENATE("'wind_total'!", $C28, ":", $C28)),   wind_total!$6:$6, F$4) - SUMIFS(   INDIRECT(CONCATENATE("wind_offshore!",$D28,":", $D28)), wind_offshore!$4:$4, F$4)</f>
        <v>0</v>
      </c>
      <c r="G28" s="58">
        <f ca="1">SUMIFS(  INDIRECT(CONCATENATE("'wind_total'!", $C28, ":", $C28)),   wind_total!$6:$6, G$4) - SUMIFS(   INDIRECT(CONCATENATE("wind_offshore!",$D28,":", $D28)), wind_offshore!$4:$4, G$4)</f>
        <v>0</v>
      </c>
      <c r="H28" s="58">
        <f ca="1">SUMIFS(  INDIRECT(CONCATENATE("'wind_total'!", $C28, ":", $C28)),   wind_total!$6:$6, H$4) - SUMIFS(   INDIRECT(CONCATENATE("wind_offshore!",$D28,":", $D28)), wind_offshore!$4:$4, H$4)</f>
        <v>0</v>
      </c>
      <c r="I28" s="58">
        <f ca="1">SUMIFS(  INDIRECT(CONCATENATE("'wind_total'!", $C28, ":", $C28)),   wind_total!$6:$6, I$4) - SUMIFS(   INDIRECT(CONCATENATE("wind_offshore!",$D28,":", $D28)), wind_offshore!$4:$4, I$4)</f>
        <v>0</v>
      </c>
      <c r="J28" s="58">
        <f ca="1">SUMIFS(  INDIRECT(CONCATENATE("'wind_total'!", $C28, ":", $C28)),   wind_total!$6:$6, J$4) - SUMIFS(   INDIRECT(CONCATENATE("wind_offshore!",$D28,":", $D28)), wind_offshore!$4:$4, J$4)</f>
        <v>0</v>
      </c>
      <c r="K28" s="58">
        <f ca="1">SUMIFS(  INDIRECT(CONCATENATE("'wind_total'!", $C28, ":", $C28)),   wind_total!$6:$6, K$4) - SUMIFS(   INDIRECT(CONCATENATE("wind_offshore!",$D28,":", $D28)), wind_offshore!$4:$4, K$4)</f>
        <v>0</v>
      </c>
      <c r="L28" s="58">
        <f ca="1">SUMIFS(  INDIRECT(CONCATENATE("'wind_total'!", $C28, ":", $C28)),   wind_total!$6:$6, L$4) - SUMIFS(   INDIRECT(CONCATENATE("wind_offshore!",$D28,":", $D28)), wind_offshore!$4:$4, L$4)</f>
        <v>10</v>
      </c>
      <c r="M28" s="58">
        <f ca="1">SUMIFS(  INDIRECT(CONCATENATE("'wind_total'!", $C28, ":", $C28)),   wind_total!$6:$6, M$4) - SUMIFS(   INDIRECT(CONCATENATE("wind_offshore!",$D28,":", $D28)), wind_offshore!$4:$4, M$4)</f>
        <v>10</v>
      </c>
      <c r="N28" s="58">
        <f ca="1">SUMIFS(  INDIRECT(CONCATENATE("'wind_total'!", $C28, ":", $C28)),   wind_total!$6:$6, N$4) - SUMIFS(   INDIRECT(CONCATENATE("wind_offshore!",$D28,":", $D28)), wind_offshore!$4:$4, N$4)</f>
        <v>36</v>
      </c>
      <c r="O28" s="58">
        <f ca="1">SUMIFS(  INDIRECT(CONCATENATE("'wind_total'!", $C28, ":", $C28)),   wind_total!$6:$6, O$4) - SUMIFS(   INDIRECT(CONCATENATE("wind_offshore!",$D28,":", $D28)), wind_offshore!$4:$4, O$4)</f>
        <v>57</v>
      </c>
      <c r="P28" s="58">
        <f ca="1">SUMIFS(  INDIRECT(CONCATENATE("'wind_total'!", $C28, ":", $C28)),   wind_total!$6:$6, P$4) - SUMIFS(   INDIRECT(CONCATENATE("wind_offshore!",$D28,":", $D28)), wind_offshore!$4:$4, P$4)</f>
        <v>120</v>
      </c>
      <c r="Q28" s="58">
        <f ca="1">SUMIFS(  INDIRECT(CONCATENATE("'wind_total'!", $C28, ":", $C28)),   wind_total!$6:$6, Q$4) - SUMIFS(   INDIRECT(CONCATENATE("wind_offshore!",$D28,":", $D28)), wind_offshore!$4:$4, Q$4)</f>
        <v>177</v>
      </c>
      <c r="R28" s="58">
        <f ca="1">SUMIFS(  INDIRECT(CONCATENATE("'wind_total'!", $C28, ":", $C28)),   wind_total!$6:$6, R$4) - SUMIFS(   INDIRECT(CONCATENATE("wind_offshore!",$D28,":", $D28)), wind_offshore!$4:$4, R$4)</f>
        <v>375</v>
      </c>
      <c r="S28" s="58">
        <f ca="1">SUMIFS(  INDIRECT(CONCATENATE("'wind_total'!", $C28, ":", $C28)),   wind_total!$6:$6, S$4) - SUMIFS(   INDIRECT(CONCATENATE("wind_offshore!",$D28,":", $D28)), wind_offshore!$4:$4, S$4)</f>
        <v>612</v>
      </c>
      <c r="T28" s="58">
        <f ca="1">SUMIFS(  INDIRECT(CONCATENATE("'wind_total'!", $C28, ":", $C28)),   wind_total!$6:$6, T$4) - SUMIFS(   INDIRECT(CONCATENATE("wind_offshore!",$D28,":", $D28)), wind_offshore!$4:$4, T$4)</f>
        <v>674</v>
      </c>
      <c r="U28" s="58">
        <f ca="1">SUMIFS(  INDIRECT(CONCATENATE("'wind_total'!", $C28, ":", $C28)),   wind_total!$6:$6, U$4) - SUMIFS(   INDIRECT(CONCATENATE("wind_offshore!",$D28,":", $D28)), wind_offshore!$4:$4, U$4)</f>
        <v>681</v>
      </c>
      <c r="V28" s="58">
        <f ca="1">SUMIFS(  INDIRECT(CONCATENATE("'wind_total'!", $C28, ":", $C28)),   wind_total!$6:$6, V$4) - SUMIFS(   INDIRECT(CONCATENATE("wind_offshore!",$D28,":", $D28)), wind_offshore!$4:$4, V$4)</f>
        <v>691</v>
      </c>
      <c r="W28" s="58">
        <f ca="1">SUMIFS(  INDIRECT(CONCATENATE("'wind_total'!", $C28, ":", $C28)),   wind_total!$6:$6, W$4) - SUMIFS(   INDIRECT(CONCATENATE("wind_offshore!",$D28,":", $D28)), wind_offshore!$4:$4, W$4)</f>
        <v>691</v>
      </c>
      <c r="X28" s="58">
        <f ca="1">SUMIFS(  INDIRECT(CONCATENATE("'wind_total'!", $C28, ":", $C28)),   wind_total!$6:$6, X$4) - SUMIFS(   INDIRECT(CONCATENATE("wind_offshore!",$D28,":", $D28)), wind_offshore!$4:$4, X$4)</f>
        <v>691</v>
      </c>
      <c r="Y28" s="58">
        <f ca="1">SUMIFS(  INDIRECT(CONCATENATE("'wind_total'!", $C28, ":", $C28)),   wind_total!$6:$6, Y$4) - SUMIFS(   INDIRECT(CONCATENATE("wind_offshore!",$D28,":", $D28)), wind_offshore!$4:$4, Y$4)</f>
        <v>691</v>
      </c>
      <c r="Z28" s="58">
        <f ca="1">SUMIFS(  INDIRECT(CONCATENATE("'wind_total'!", $C28, ":", $C28)),   wind_total!$6:$6, Z$4) - SUMIFS(   INDIRECT(CONCATENATE("wind_offshore!",$D28,":", $D28)), wind_offshore!$4:$4, Z$4)</f>
        <v>691</v>
      </c>
      <c r="AA28" s="58">
        <f ca="1">SUMIFS(  INDIRECT(CONCATENATE("'wind_total'!", $C28, ":", $C28)),   wind_total!$6:$6, AA$4) - SUMIFS(   INDIRECT(CONCATENATE("wind_offshore!",$D28,":", $D28)), wind_offshore!$4:$4, AA$4)</f>
        <v>691</v>
      </c>
      <c r="AB28" s="58">
        <f ca="1">SUMIFS(  INDIRECT(CONCATENATE("'wind_total'!", $C28, ":", $C28)),   wind_total!$6:$6, AB$4) - SUMIFS(   INDIRECT(CONCATENATE("wind_offshore!",$D28,":", $D28)), wind_offshore!$4:$4, AB$4)</f>
        <v>691</v>
      </c>
      <c r="AC28" s="58">
        <f ca="1">SUMIFS(  INDIRECT(CONCATENATE("'wind_total'!", $C28, ":", $C28)),   wind_total!$6:$6, AC$4) - SUMIFS(   INDIRECT(CONCATENATE("wind_offshore!",$D28,":", $D28)), wind_offshore!$4:$4, AC$4)</f>
        <v>707</v>
      </c>
      <c r="AD28" s="58">
        <f ca="1">SUMIFS(  INDIRECT(CONCATENATE("'wind_total'!", $C28, ":", $C28)),   wind_total!$6:$6, AD$4) - SUMIFS(   INDIRECT(CONCATENATE("wind_offshore!",$D28,":", $D28)), wind_offshore!$4:$4, AD$4)</f>
        <v>707</v>
      </c>
      <c r="AE28" s="58">
        <f ca="1">SUMIFS(  INDIRECT(CONCATENATE("'wind_total'!", $C28, ":", $C28)),   wind_total!$6:$6, AE$4) - SUMIFS(   INDIRECT(CONCATENATE("wind_offshore!",$D28,":", $D28)), wind_offshore!$4:$4, AE$4)</f>
        <v>706</v>
      </c>
      <c r="AF28" s="58">
        <f ca="1">SUMIFS(  INDIRECT(CONCATENATE("'wind_total'!", $C28, ":", $C28)),   wind_total!$6:$6, AF$4) - SUMIFS(   INDIRECT(CONCATENATE("wind_offshore!",$D28,":", $D28)), wind_offshore!$4:$4, AF$4)</f>
        <v>706</v>
      </c>
      <c r="AG28" s="6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58">
        <f ca="1">SUMIFS(  INDIRECT(CONCATENATE("'wind_total'!", $C29, ":", $C29)),   wind_total!$6:$6, F$4) - SUMIFS(   INDIRECT(CONCATENATE("wind_offshore!",$D29,":", $D29)), wind_offshore!$4:$4, F$4)</f>
        <v>0</v>
      </c>
      <c r="G29" s="58">
        <f ca="1">SUMIFS(  INDIRECT(CONCATENATE("'wind_total'!", $C29, ":", $C29)),   wind_total!$6:$6, G$4) - SUMIFS(   INDIRECT(CONCATENATE("wind_offshore!",$D29,":", $D29)), wind_offshore!$4:$4, G$4)</f>
        <v>0</v>
      </c>
      <c r="H29" s="58">
        <f ca="1">SUMIFS(  INDIRECT(CONCATENATE("'wind_total'!", $C29, ":", $C29)),   wind_total!$6:$6, H$4) - SUMIFS(   INDIRECT(CONCATENATE("wind_offshore!",$D29,":", $D29)), wind_offshore!$4:$4, H$4)</f>
        <v>0</v>
      </c>
      <c r="I29" s="58">
        <f ca="1">SUMIFS(  INDIRECT(CONCATENATE("'wind_total'!", $C29, ":", $C29)),   wind_total!$6:$6, I$4) - SUMIFS(   INDIRECT(CONCATENATE("wind_offshore!",$D29,":", $D29)), wind_offshore!$4:$4, I$4)</f>
        <v>0</v>
      </c>
      <c r="J29" s="58">
        <f ca="1">SUMIFS(  INDIRECT(CONCATENATE("'wind_total'!", $C29, ":", $C29)),   wind_total!$6:$6, J$4) - SUMIFS(   INDIRECT(CONCATENATE("wind_offshore!",$D29,":", $D29)), wind_offshore!$4:$4, J$4)</f>
        <v>0</v>
      </c>
      <c r="K29" s="58">
        <f ca="1">SUMIFS(  INDIRECT(CONCATENATE("'wind_total'!", $C29, ":", $C29)),   wind_total!$6:$6, K$4) - SUMIFS(   INDIRECT(CONCATENATE("wind_offshore!",$D29,":", $D29)), wind_offshore!$4:$4, K$4)</f>
        <v>0</v>
      </c>
      <c r="L29" s="58">
        <f ca="1">SUMIFS(  INDIRECT(CONCATENATE("'wind_total'!", $C29, ":", $C29)),   wind_total!$6:$6, L$4) - SUMIFS(   INDIRECT(CONCATENATE("wind_offshore!",$D29,":", $D29)), wind_offshore!$4:$4, L$4)</f>
        <v>0</v>
      </c>
      <c r="M29" s="58">
        <f ca="1">SUMIFS(  INDIRECT(CONCATENATE("'wind_total'!", $C29, ":", $C29)),   wind_total!$6:$6, M$4) - SUMIFS(   INDIRECT(CONCATENATE("wind_offshore!",$D29,":", $D29)), wind_offshore!$4:$4, M$4)</f>
        <v>0</v>
      </c>
      <c r="N29" s="58">
        <f ca="1">SUMIFS(  INDIRECT(CONCATENATE("'wind_total'!", $C29, ":", $C29)),   wind_total!$6:$6, N$4) - SUMIFS(   INDIRECT(CONCATENATE("wind_offshore!",$D29,":", $D29)), wind_offshore!$4:$4, N$4)</f>
        <v>0</v>
      </c>
      <c r="O29" s="58">
        <f ca="1">SUMIFS(  INDIRECT(CONCATENATE("'wind_total'!", $C29, ":", $C29)),   wind_total!$6:$6, O$4) - SUMIFS(   INDIRECT(CONCATENATE("wind_offshore!",$D29,":", $D29)), wind_offshore!$4:$4, O$4)</f>
        <v>0</v>
      </c>
      <c r="P29" s="58">
        <f ca="1">SUMIFS(  INDIRECT(CONCATENATE("'wind_total'!", $C29, ":", $C29)),   wind_total!$6:$6, P$4) - SUMIFS(   INDIRECT(CONCATENATE("wind_offshore!",$D29,":", $D29)), wind_offshore!$4:$4, P$4)</f>
        <v>0</v>
      </c>
      <c r="Q29" s="58">
        <f ca="1">SUMIFS(  INDIRECT(CONCATENATE("'wind_total'!", $C29, ":", $C29)),   wind_total!$6:$6, Q$4) - SUMIFS(   INDIRECT(CONCATENATE("wind_offshore!",$D29,":", $D29)), wind_offshore!$4:$4, Q$4)</f>
        <v>0</v>
      </c>
      <c r="R29" s="58">
        <f ca="1">SUMIFS(  INDIRECT(CONCATENATE("'wind_total'!", $C29, ":", $C29)),   wind_total!$6:$6, R$4) - SUMIFS(   INDIRECT(CONCATENATE("wind_offshore!",$D29,":", $D29)), wind_offshore!$4:$4, R$4)</f>
        <v>0</v>
      </c>
      <c r="S29" s="58">
        <f ca="1">SUMIFS(  INDIRECT(CONCATENATE("'wind_total'!", $C29, ":", $C29)),   wind_total!$6:$6, S$4) - SUMIFS(   INDIRECT(CONCATENATE("wind_offshore!",$D29,":", $D29)), wind_offshore!$4:$4, S$4)</f>
        <v>0</v>
      </c>
      <c r="T29" s="58">
        <f ca="1">SUMIFS(  INDIRECT(CONCATENATE("'wind_total'!", $C29, ":", $C29)),   wind_total!$6:$6, T$4) - SUMIFS(   INDIRECT(CONCATENATE("wind_offshore!",$D29,":", $D29)), wind_offshore!$4:$4, T$4)</f>
        <v>0</v>
      </c>
      <c r="U29" s="58">
        <f ca="1">SUMIFS(  INDIRECT(CONCATENATE("'wind_total'!", $C29, ":", $C29)),   wind_total!$6:$6, U$4) - SUMIFS(   INDIRECT(CONCATENATE("wind_offshore!",$D29,":", $D29)), wind_offshore!$4:$4, U$4)</f>
        <v>0</v>
      </c>
      <c r="V29" s="58">
        <f ca="1">SUMIFS(  INDIRECT(CONCATENATE("'wind_total'!", $C29, ":", $C29)),   wind_total!$6:$6, V$4) - SUMIFS(   INDIRECT(CONCATENATE("wind_offshore!",$D29,":", $D29)), wind_offshore!$4:$4, V$4)</f>
        <v>0</v>
      </c>
      <c r="W29" s="58">
        <f ca="1">SUMIFS(  INDIRECT(CONCATENATE("'wind_total'!", $C29, ":", $C29)),   wind_total!$6:$6, W$4) - SUMIFS(   INDIRECT(CONCATENATE("wind_offshore!",$D29,":", $D29)), wind_offshore!$4:$4, W$4)</f>
        <v>0</v>
      </c>
      <c r="X29" s="58">
        <f ca="1">SUMIFS(  INDIRECT(CONCATENATE("'wind_total'!", $C29, ":", $C29)),   wind_total!$6:$6, X$4) - SUMIFS(   INDIRECT(CONCATENATE("wind_offshore!",$D29,":", $D29)), wind_offshore!$4:$4, X$4)</f>
        <v>10</v>
      </c>
      <c r="Y29" s="58">
        <f ca="1">SUMIFS(  INDIRECT(CONCATENATE("'wind_total'!", $C29, ":", $C29)),   wind_total!$6:$6, Y$4) - SUMIFS(   INDIRECT(CONCATENATE("wind_offshore!",$D29,":", $D29)), wind_offshore!$4:$4, Y$4)</f>
        <v>18</v>
      </c>
      <c r="Z29" s="58">
        <f ca="1">SUMIFS(  INDIRECT(CONCATENATE("'wind_total'!", $C29, ":", $C29)),   wind_total!$6:$6, Z$4) - SUMIFS(   INDIRECT(CONCATENATE("wind_offshore!",$D29,":", $D29)), wind_offshore!$4:$4, Z$4)</f>
        <v>374</v>
      </c>
      <c r="AA29" s="58">
        <f ca="1">SUMIFS(  INDIRECT(CONCATENATE("'wind_total'!", $C29, ":", $C29)),   wind_total!$6:$6, AA$4) - SUMIFS(   INDIRECT(CONCATENATE("wind_offshore!",$D29,":", $D29)), wind_offshore!$4:$4, AA$4)</f>
        <v>374</v>
      </c>
      <c r="AB29" s="58">
        <f ca="1">SUMIFS(  INDIRECT(CONCATENATE("'wind_total'!", $C29, ":", $C29)),   wind_total!$6:$6, AB$4) - SUMIFS(   INDIRECT(CONCATENATE("wind_offshore!",$D29,":", $D29)), wind_offshore!$4:$4, AB$4)</f>
        <v>374</v>
      </c>
      <c r="AC29" s="58">
        <f ca="1">SUMIFS(  INDIRECT(CONCATENATE("'wind_total'!", $C29, ":", $C29)),   wind_total!$6:$6, AC$4) - SUMIFS(   INDIRECT(CONCATENATE("wind_offshore!",$D29,":", $D29)), wind_offshore!$4:$4, AC$4)</f>
        <v>374</v>
      </c>
      <c r="AD29" s="58">
        <f ca="1">SUMIFS(  INDIRECT(CONCATENATE("'wind_total'!", $C29, ":", $C29)),   wind_total!$6:$6, AD$4) - SUMIFS(   INDIRECT(CONCATENATE("wind_offshore!",$D29,":", $D29)), wind_offshore!$4:$4, AD$4)</f>
        <v>374</v>
      </c>
      <c r="AE29" s="58">
        <f ca="1">SUMIFS(  INDIRECT(CONCATENATE("'wind_total'!", $C29, ":", $C29)),   wind_total!$6:$6, AE$4) - SUMIFS(   INDIRECT(CONCATENATE("wind_offshore!",$D29,":", $D29)), wind_offshore!$4:$4, AE$4)</f>
        <v>512</v>
      </c>
      <c r="AF29" s="58">
        <f ca="1">SUMIFS(  INDIRECT(CONCATENATE("'wind_total'!", $C29, ":", $C29)),   wind_total!$6:$6, AF$4) - SUMIFS(   INDIRECT(CONCATENATE("wind_offshore!",$D29,":", $D29)), wind_offshore!$4:$4, AF$4)</f>
        <v>623</v>
      </c>
      <c r="AG29" s="6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58">
        <f ca="1">SUMIFS(  INDIRECT(CONCATENATE("'wind_total'!", $C30, ":", $C30)),   wind_total!$6:$6, F$4) - SUMIFS(   INDIRECT(CONCATENATE("wind_offshore!",$D30,":", $D30)), wind_offshore!$4:$4, F$4)</f>
        <v>0</v>
      </c>
      <c r="G30" s="58">
        <f ca="1">SUMIFS(  INDIRECT(CONCATENATE("'wind_total'!", $C30, ":", $C30)),   wind_total!$6:$6, G$4) - SUMIFS(   INDIRECT(CONCATENATE("wind_offshore!",$D30,":", $D30)), wind_offshore!$4:$4, G$4)</f>
        <v>0</v>
      </c>
      <c r="H30" s="58">
        <f ca="1">SUMIFS(  INDIRECT(CONCATENATE("'wind_total'!", $C30, ":", $C30)),   wind_total!$6:$6, H$4) - SUMIFS(   INDIRECT(CONCATENATE("wind_offshore!",$D30,":", $D30)), wind_offshore!$4:$4, H$4)</f>
        <v>0</v>
      </c>
      <c r="I30" s="58">
        <f ca="1">SUMIFS(  INDIRECT(CONCATENATE("'wind_total'!", $C30, ":", $C30)),   wind_total!$6:$6, I$4) - SUMIFS(   INDIRECT(CONCATENATE("wind_offshore!",$D30,":", $D30)), wind_offshore!$4:$4, I$4)</f>
        <v>0</v>
      </c>
      <c r="J30" s="58">
        <f ca="1">SUMIFS(  INDIRECT(CONCATENATE("'wind_total'!", $C30, ":", $C30)),   wind_total!$6:$6, J$4) - SUMIFS(   INDIRECT(CONCATENATE("wind_offshore!",$D30,":", $D30)), wind_offshore!$4:$4, J$4)</f>
        <v>3</v>
      </c>
      <c r="K30" s="58">
        <f ca="1">SUMIFS(  INDIRECT(CONCATENATE("'wind_total'!", $C30, ":", $C30)),   wind_total!$6:$6, K$4) - SUMIFS(   INDIRECT(CONCATENATE("wind_offshore!",$D30,":", $D30)), wind_offshore!$4:$4, K$4)</f>
        <v>9</v>
      </c>
      <c r="L30" s="58">
        <f ca="1">SUMIFS(  INDIRECT(CONCATENATE("'wind_total'!", $C30, ":", $C30)),   wind_total!$6:$6, L$4) - SUMIFS(   INDIRECT(CONCATENATE("wind_offshore!",$D30,":", $D30)), wind_offshore!$4:$4, L$4)</f>
        <v>17</v>
      </c>
      <c r="M30" s="58">
        <f ca="1">SUMIFS(  INDIRECT(CONCATENATE("'wind_total'!", $C30, ":", $C30)),   wind_total!$6:$6, M$4) - SUMIFS(   INDIRECT(CONCATENATE("wind_offshore!",$D30,":", $D30)), wind_offshore!$4:$4, M$4)</f>
        <v>28</v>
      </c>
      <c r="N30" s="58">
        <f ca="1">SUMIFS(  INDIRECT(CONCATENATE("'wind_total'!", $C30, ":", $C30)),   wind_total!$6:$6, N$4) - SUMIFS(   INDIRECT(CONCATENATE("wind_offshore!",$D30,":", $D30)), wind_offshore!$4:$4, N$4)</f>
        <v>54</v>
      </c>
      <c r="O30" s="58">
        <f ca="1">SUMIFS(  INDIRECT(CONCATENATE("'wind_total'!", $C30, ":", $C30)),   wind_total!$6:$6, O$4) - SUMIFS(   INDIRECT(CONCATENATE("wind_offshore!",$D30,":", $D30)), wind_offshore!$4:$4, O$4)</f>
        <v>116</v>
      </c>
      <c r="P30" s="58">
        <f ca="1">SUMIFS(  INDIRECT(CONCATENATE("'wind_total'!", $C30, ":", $C30)),   wind_total!$6:$6, P$4) - SUMIFS(   INDIRECT(CONCATENATE("wind_offshore!",$D30,":", $D30)), wind_offshore!$4:$4, P$4)</f>
        <v>150</v>
      </c>
      <c r="Q30" s="58">
        <f ca="1">SUMIFS(  INDIRECT(CONCATENATE("'wind_total'!", $C30, ":", $C30)),   wind_total!$6:$6, Q$4) - SUMIFS(   INDIRECT(CONCATENATE("wind_offshore!",$D30,":", $D30)), wind_offshore!$4:$4, Q$4)</f>
        <v>192</v>
      </c>
      <c r="R30" s="58">
        <f ca="1">SUMIFS(  INDIRECT(CONCATENATE("'wind_total'!", $C30, ":", $C30)),   wind_total!$6:$6, R$4) - SUMIFS(   INDIRECT(CONCATENATE("wind_offshore!",$D30,":", $D30)), wind_offshore!$4:$4, R$4)</f>
        <v>215</v>
      </c>
      <c r="S30" s="58">
        <f ca="1">SUMIFS(  INDIRECT(CONCATENATE("'wind_total'!", $C30, ":", $C30)),   wind_total!$6:$6, S$4) - SUMIFS(   INDIRECT(CONCATENATE("wind_offshore!",$D30,":", $D30)), wind_offshore!$4:$4, S$4)</f>
        <v>217</v>
      </c>
      <c r="T30" s="58">
        <f ca="1">SUMIFS(  INDIRECT(CONCATENATE("'wind_total'!", $C30, ":", $C30)),   wind_total!$6:$6, T$4) - SUMIFS(   INDIRECT(CONCATENATE("wind_offshore!",$D30,":", $D30)), wind_offshore!$4:$4, T$4)</f>
        <v>260</v>
      </c>
      <c r="U30" s="58">
        <f ca="1">SUMIFS(  INDIRECT(CONCATENATE("'wind_total'!", $C30, ":", $C30)),   wind_total!$6:$6, U$4) - SUMIFS(   INDIRECT(CONCATENATE("wind_offshore!",$D30,":", $D30)), wind_offshore!$4:$4, U$4)</f>
        <v>269</v>
      </c>
      <c r="V30" s="58">
        <f ca="1">SUMIFS(  INDIRECT(CONCATENATE("'wind_total'!", $C30, ":", $C30)),   wind_total!$6:$6, V$4) - SUMIFS(   INDIRECT(CONCATENATE("wind_offshore!",$D30,":", $D30)), wind_offshore!$4:$4, V$4)</f>
        <v>281</v>
      </c>
      <c r="W30" s="58">
        <f ca="1">SUMIFS(  INDIRECT(CONCATENATE("'wind_total'!", $C30, ":", $C30)),   wind_total!$6:$6, W$4) - SUMIFS(   INDIRECT(CONCATENATE("wind_offshore!",$D30,":", $D30)), wind_offshore!$4:$4, W$4)</f>
        <v>281</v>
      </c>
      <c r="X30" s="58">
        <f ca="1">SUMIFS(  INDIRECT(CONCATENATE("'wind_total'!", $C30, ":", $C30)),   wind_total!$6:$6, X$4) - SUMIFS(   INDIRECT(CONCATENATE("wind_offshore!",$D30,":", $D30)), wind_offshore!$4:$4, X$4)</f>
        <v>281</v>
      </c>
      <c r="Y30" s="58">
        <f ca="1">SUMIFS(  INDIRECT(CONCATENATE("'wind_total'!", $C30, ":", $C30)),   wind_total!$6:$6, Y$4) - SUMIFS(   INDIRECT(CONCATENATE("wind_offshore!",$D30,":", $D30)), wind_offshore!$4:$4, Y$4)</f>
        <v>308</v>
      </c>
      <c r="Z30" s="58">
        <f ca="1">SUMIFS(  INDIRECT(CONCATENATE("'wind_total'!", $C30, ":", $C30)),   wind_total!$6:$6, Z$4) - SUMIFS(   INDIRECT(CONCATENATE("wind_offshore!",$D30,":", $D30)), wind_offshore!$4:$4, Z$4)</f>
        <v>317</v>
      </c>
      <c r="AA30" s="58">
        <f ca="1">SUMIFS(  INDIRECT(CONCATENATE("'wind_total'!", $C30, ":", $C30)),   wind_total!$6:$6, AA$4) - SUMIFS(   INDIRECT(CONCATENATE("wind_offshore!",$D30,":", $D30)), wind_offshore!$4:$4, AA$4)</f>
        <v>337</v>
      </c>
      <c r="AB30" s="58">
        <f ca="1">SUMIFS(  INDIRECT(CONCATENATE("'wind_total'!", $C30, ":", $C30)),   wind_total!$6:$6, AB$4) - SUMIFS(   INDIRECT(CONCATENATE("wind_offshore!",$D30,":", $D30)), wind_offshore!$4:$4, AB$4)</f>
        <v>337</v>
      </c>
      <c r="AC30" s="58">
        <f ca="1">SUMIFS(  INDIRECT(CONCATENATE("'wind_total'!", $C30, ":", $C30)),   wind_total!$6:$6, AC$4) - SUMIFS(   INDIRECT(CONCATENATE("wind_offshore!",$D30,":", $D30)), wind_offshore!$4:$4, AC$4)</f>
        <v>337</v>
      </c>
      <c r="AD30" s="58">
        <f ca="1">SUMIFS(  INDIRECT(CONCATENATE("'wind_total'!", $C30, ":", $C30)),   wind_total!$6:$6, AD$4) - SUMIFS(   INDIRECT(CONCATENATE("wind_offshore!",$D30,":", $D30)), wind_offshore!$4:$4, AD$4)</f>
        <v>337</v>
      </c>
      <c r="AE30" s="58">
        <f ca="1">SUMIFS(  INDIRECT(CONCATENATE("'wind_total'!", $C30, ":", $C30)),   wind_total!$6:$6, AE$4) - SUMIFS(   INDIRECT(CONCATENATE("wind_offshore!",$D30,":", $D30)), wind_offshore!$4:$4, AE$4)</f>
        <v>337</v>
      </c>
      <c r="AF30" s="58">
        <f ca="1">SUMIFS(  INDIRECT(CONCATENATE("'wind_total'!", $C30, ":", $C30)),   wind_total!$6:$6, AF$4) - SUMIFS(   INDIRECT(CONCATENATE("wind_offshore!",$D30,":", $D30)), wind_offshore!$4:$4, AF$4)</f>
        <v>371</v>
      </c>
      <c r="AG30" s="6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58">
        <f ca="1">SUMIFS(  INDIRECT(CONCATENATE("'wind_total'!", $C31, ":", $C31)),   wind_total!$6:$6, F$4) - SUMIFS(   INDIRECT(CONCATENATE("wind_offshore!",$D31,":", $D31)), wind_offshore!$4:$4, F$4)</f>
        <v>0</v>
      </c>
      <c r="G31" s="58">
        <f ca="1">SUMIFS(  INDIRECT(CONCATENATE("'wind_total'!", $C31, ":", $C31)),   wind_total!$6:$6, G$4) - SUMIFS(   INDIRECT(CONCATENATE("wind_offshore!",$D31,":", $D31)), wind_offshore!$4:$4, G$4)</f>
        <v>0</v>
      </c>
      <c r="H31" s="58">
        <f ca="1">SUMIFS(  INDIRECT(CONCATENATE("'wind_total'!", $C31, ":", $C31)),   wind_total!$6:$6, H$4) - SUMIFS(   INDIRECT(CONCATENATE("wind_offshore!",$D31,":", $D31)), wind_offshore!$4:$4, H$4)</f>
        <v>0</v>
      </c>
      <c r="I31" s="58">
        <f ca="1">SUMIFS(  INDIRECT(CONCATENATE("'wind_total'!", $C31, ":", $C31)),   wind_total!$6:$6, I$4) - SUMIFS(   INDIRECT(CONCATENATE("wind_offshore!",$D31,":", $D31)), wind_offshore!$4:$4, I$4)</f>
        <v>0</v>
      </c>
      <c r="J31" s="58">
        <f ca="1">SUMIFS(  INDIRECT(CONCATENATE("'wind_total'!", $C31, ":", $C31)),   wind_total!$6:$6, J$4) - SUMIFS(   INDIRECT(CONCATENATE("wind_offshore!",$D31,":", $D31)), wind_offshore!$4:$4, J$4)</f>
        <v>3</v>
      </c>
      <c r="K31" s="58">
        <f ca="1">SUMIFS(  INDIRECT(CONCATENATE("'wind_total'!", $C31, ":", $C31)),   wind_total!$6:$6, K$4) - SUMIFS(   INDIRECT(CONCATENATE("wind_offshore!",$D31,":", $D31)), wind_offshore!$4:$4, K$4)</f>
        <v>3</v>
      </c>
      <c r="L31" s="58">
        <f ca="1">SUMIFS(  INDIRECT(CONCATENATE("'wind_total'!", $C31, ":", $C31)),   wind_total!$6:$6, L$4) - SUMIFS(   INDIRECT(CONCATENATE("wind_offshore!",$D31,":", $D31)), wind_offshore!$4:$4, L$4)</f>
        <v>3</v>
      </c>
      <c r="M31" s="58">
        <f ca="1">SUMIFS(  INDIRECT(CONCATENATE("'wind_total'!", $C31, ":", $C31)),   wind_total!$6:$6, M$4) - SUMIFS(   INDIRECT(CONCATENATE("wind_offshore!",$D31,":", $D31)), wind_offshore!$4:$4, M$4)</f>
        <v>17</v>
      </c>
      <c r="N31" s="58">
        <f ca="1">SUMIFS(  INDIRECT(CONCATENATE("'wind_total'!", $C31, ":", $C31)),   wind_total!$6:$6, N$4) - SUMIFS(   INDIRECT(CONCATENATE("wind_offshore!",$D31,":", $D31)), wind_offshore!$4:$4, N$4)</f>
        <v>61</v>
      </c>
      <c r="O31" s="58">
        <f ca="1">SUMIFS(  INDIRECT(CONCATENATE("'wind_total'!", $C31, ":", $C31)),   wind_total!$6:$6, O$4) - SUMIFS(   INDIRECT(CONCATENATE("wind_offshore!",$D31,":", $D31)), wind_offshore!$4:$4, O$4)</f>
        <v>65</v>
      </c>
      <c r="P31" s="58">
        <f ca="1">SUMIFS(  INDIRECT(CONCATENATE("'wind_total'!", $C31, ":", $C31)),   wind_total!$6:$6, P$4) - SUMIFS(   INDIRECT(CONCATENATE("wind_offshore!",$D31,":", $D31)), wind_offshore!$4:$4, P$4)</f>
        <v>127</v>
      </c>
      <c r="Q31" s="58">
        <f ca="1">SUMIFS(  INDIRECT(CONCATENATE("'wind_total'!", $C31, ":", $C31)),   wind_total!$6:$6, Q$4) - SUMIFS(   INDIRECT(CONCATENATE("wind_offshore!",$D31,":", $D31)), wind_offshore!$4:$4, Q$4)</f>
        <v>201</v>
      </c>
      <c r="R31" s="58">
        <f ca="1">SUMIFS(  INDIRECT(CONCATENATE("'wind_total'!", $C31, ":", $C31)),   wind_total!$6:$6, R$4) - SUMIFS(   INDIRECT(CONCATENATE("wind_offshore!",$D31,":", $D31)), wind_offshore!$4:$4, R$4)</f>
        <v>295</v>
      </c>
      <c r="S31" s="58">
        <f ca="1">SUMIFS(  INDIRECT(CONCATENATE("'wind_total'!", $C31, ":", $C31)),   wind_total!$6:$6, S$4) - SUMIFS(   INDIRECT(CONCATENATE("wind_offshore!",$D31,":", $D31)), wind_offshore!$4:$4, S$4)</f>
        <v>329</v>
      </c>
      <c r="T31" s="58">
        <f ca="1">SUMIFS(  INDIRECT(CONCATENATE("'wind_total'!", $C31, ":", $C31)),   wind_total!$6:$6, T$4) - SUMIFS(   INDIRECT(CONCATENATE("wind_offshore!",$D31,":", $D31)), wind_offshore!$4:$4, T$4)</f>
        <v>329</v>
      </c>
      <c r="U31" s="58">
        <f ca="1">SUMIFS(  INDIRECT(CONCATENATE("'wind_total'!", $C31, ":", $C31)),   wind_total!$6:$6, U$4) - SUMIFS(   INDIRECT(CONCATENATE("wind_offshore!",$D31,":", $D31)), wind_offshore!$4:$4, U$4)</f>
        <v>329</v>
      </c>
      <c r="V31" s="58">
        <f ca="1">SUMIFS(  INDIRECT(CONCATENATE("'wind_total'!", $C31, ":", $C31)),   wind_total!$6:$6, V$4) - SUMIFS(   INDIRECT(CONCATENATE("wind_offshore!",$D31,":", $D31)), wind_offshore!$4:$4, V$4)</f>
        <v>329</v>
      </c>
      <c r="W31" s="58">
        <f ca="1">SUMIFS(  INDIRECT(CONCATENATE("'wind_total'!", $C31, ":", $C31)),   wind_total!$6:$6, W$4) - SUMIFS(   INDIRECT(CONCATENATE("wind_offshore!",$D31,":", $D31)), wind_offshore!$4:$4, W$4)</f>
        <v>329</v>
      </c>
      <c r="X31" s="58">
        <f ca="1">SUMIFS(  INDIRECT(CONCATENATE("'wind_total'!", $C31, ":", $C31)),   wind_total!$6:$6, X$4) - SUMIFS(   INDIRECT(CONCATENATE("wind_offshore!",$D31,":", $D31)), wind_offshore!$4:$4, X$4)</f>
        <v>329</v>
      </c>
      <c r="Y31" s="58">
        <f ca="1">SUMIFS(  INDIRECT(CONCATENATE("'wind_total'!", $C31, ":", $C31)),   wind_total!$6:$6, Y$4) - SUMIFS(   INDIRECT(CONCATENATE("wind_offshore!",$D31,":", $D31)), wind_offshore!$4:$4, Y$4)</f>
        <v>329</v>
      </c>
      <c r="Z31" s="58">
        <f ca="1">SUMIFS(  INDIRECT(CONCATENATE("'wind_total'!", $C31, ":", $C31)),   wind_total!$6:$6, Z$4) - SUMIFS(   INDIRECT(CONCATENATE("wind_offshore!",$D31,":", $D31)), wind_offshore!$4:$4, Z$4)</f>
        <v>329</v>
      </c>
      <c r="AA31" s="58">
        <f ca="1">SUMIFS(  INDIRECT(CONCATENATE("'wind_total'!", $C31, ":", $C31)),   wind_total!$6:$6, AA$4) - SUMIFS(   INDIRECT(CONCATENATE("wind_offshore!",$D31,":", $D31)), wind_offshore!$4:$4, AA$4)</f>
        <v>329</v>
      </c>
      <c r="AB31" s="58">
        <f ca="1">SUMIFS(  INDIRECT(CONCATENATE("'wind_total'!", $C31, ":", $C31)),   wind_total!$6:$6, AB$4) - SUMIFS(   INDIRECT(CONCATENATE("wind_offshore!",$D31,":", $D31)), wind_offshore!$4:$4, AB$4)</f>
        <v>329</v>
      </c>
      <c r="AC31" s="58">
        <f ca="1">SUMIFS(  INDIRECT(CONCATENATE("'wind_total'!", $C31, ":", $C31)),   wind_total!$6:$6, AC$4) - SUMIFS(   INDIRECT(CONCATENATE("wind_offshore!",$D31,":", $D31)), wind_offshore!$4:$4, AC$4)</f>
        <v>329</v>
      </c>
      <c r="AD31" s="58">
        <f ca="1">SUMIFS(  INDIRECT(CONCATENATE("'wind_total'!", $C31, ":", $C31)),   wind_total!$6:$6, AD$4) - SUMIFS(   INDIRECT(CONCATENATE("wind_offshore!",$D31,":", $D31)), wind_offshore!$4:$4, AD$4)</f>
        <v>329</v>
      </c>
      <c r="AE31" s="58">
        <f ca="1">SUMIFS(  INDIRECT(CONCATENATE("'wind_total'!", $C31, ":", $C31)),   wind_total!$6:$6, AE$4) - SUMIFS(   INDIRECT(CONCATENATE("wind_offshore!",$D31,":", $D31)), wind_offshore!$4:$4, AE$4)</f>
        <v>329</v>
      </c>
      <c r="AF31" s="58">
        <f ca="1">SUMIFS(  INDIRECT(CONCATENATE("'wind_total'!", $C31, ":", $C31)),   wind_total!$6:$6, AF$4) - SUMIFS(   INDIRECT(CONCATENATE("wind_offshore!",$D31,":", $D31)), wind_offshore!$4:$4, AF$4)</f>
        <v>329</v>
      </c>
      <c r="AG31" s="6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58">
        <f ca="1">SUMIFS(  INDIRECT(CONCATENATE("'wind_total'!", $C32, ":", $C32)),   wind_total!$6:$6, F$4) - SUMIFS(   INDIRECT(CONCATENATE("wind_offshore!",$D32,":", $D32)), wind_offshore!$4:$4, F$4)</f>
        <v>0</v>
      </c>
      <c r="G32" s="58">
        <f ca="1">SUMIFS(  INDIRECT(CONCATENATE("'wind_total'!", $C32, ":", $C32)),   wind_total!$6:$6, G$4) - SUMIFS(   INDIRECT(CONCATENATE("wind_offshore!",$D32,":", $D32)), wind_offshore!$4:$4, G$4)</f>
        <v>0</v>
      </c>
      <c r="H32" s="58">
        <f ca="1">SUMIFS(  INDIRECT(CONCATENATE("'wind_total'!", $C32, ":", $C32)),   wind_total!$6:$6, H$4) - SUMIFS(   INDIRECT(CONCATENATE("wind_offshore!",$D32,":", $D32)), wind_offshore!$4:$4, H$4)</f>
        <v>0</v>
      </c>
      <c r="I32" s="58">
        <f ca="1">SUMIFS(  INDIRECT(CONCATENATE("'wind_total'!", $C32, ":", $C32)),   wind_total!$6:$6, I$4) - SUMIFS(   INDIRECT(CONCATENATE("wind_offshore!",$D32,":", $D32)), wind_offshore!$4:$4, I$4)</f>
        <v>0</v>
      </c>
      <c r="J32" s="58">
        <f ca="1">SUMIFS(  INDIRECT(CONCATENATE("'wind_total'!", $C32, ":", $C32)),   wind_total!$6:$6, J$4) - SUMIFS(   INDIRECT(CONCATENATE("wind_offshore!",$D32,":", $D32)), wind_offshore!$4:$4, J$4)</f>
        <v>0</v>
      </c>
      <c r="K32" s="58">
        <f ca="1">SUMIFS(  INDIRECT(CONCATENATE("'wind_total'!", $C32, ":", $C32)),   wind_total!$6:$6, K$4) - SUMIFS(   INDIRECT(CONCATENATE("wind_offshore!",$D32,":", $D32)), wind_offshore!$4:$4, K$4)</f>
        <v>0</v>
      </c>
      <c r="L32" s="58">
        <f ca="1">SUMIFS(  INDIRECT(CONCATENATE("'wind_total'!", $C32, ":", $C32)),   wind_total!$6:$6, L$4) - SUMIFS(   INDIRECT(CONCATENATE("wind_offshore!",$D32,":", $D32)), wind_offshore!$4:$4, L$4)</f>
        <v>0</v>
      </c>
      <c r="M32" s="58">
        <f ca="1">SUMIFS(  INDIRECT(CONCATENATE("'wind_total'!", $C32, ":", $C32)),   wind_total!$6:$6, M$4) - SUMIFS(   INDIRECT(CONCATENATE("wind_offshore!",$D32,":", $D32)), wind_offshore!$4:$4, M$4)</f>
        <v>0</v>
      </c>
      <c r="N32" s="58">
        <f ca="1">SUMIFS(  INDIRECT(CONCATENATE("'wind_total'!", $C32, ":", $C32)),   wind_total!$6:$6, N$4) - SUMIFS(   INDIRECT(CONCATENATE("wind_offshore!",$D32,":", $D32)), wind_offshore!$4:$4, N$4)</f>
        <v>0</v>
      </c>
      <c r="O32" s="58">
        <f ca="1">SUMIFS(  INDIRECT(CONCATENATE("'wind_total'!", $C32, ":", $C32)),   wind_total!$6:$6, O$4) - SUMIFS(   INDIRECT(CONCATENATE("wind_offshore!",$D32,":", $D32)), wind_offshore!$4:$4, O$4)</f>
        <v>0</v>
      </c>
      <c r="P32" s="58">
        <f ca="1">SUMIFS(  INDIRECT(CONCATENATE("'wind_total'!", $C32, ":", $C32)),   wind_total!$6:$6, P$4) - SUMIFS(   INDIRECT(CONCATENATE("wind_offshore!",$D32,":", $D32)), wind_offshore!$4:$4, P$4)</f>
        <v>0</v>
      </c>
      <c r="Q32" s="58">
        <f ca="1">SUMIFS(  INDIRECT(CONCATENATE("'wind_total'!", $C32, ":", $C32)),   wind_total!$6:$6, Q$4) - SUMIFS(   INDIRECT(CONCATENATE("wind_offshore!",$D32,":", $D32)), wind_offshore!$4:$4, Q$4)</f>
        <v>0</v>
      </c>
      <c r="R32" s="58">
        <f ca="1">SUMIFS(  INDIRECT(CONCATENATE("'wind_total'!", $C32, ":", $C32)),   wind_total!$6:$6, R$4) - SUMIFS(   INDIRECT(CONCATENATE("wind_offshore!",$D32,":", $D32)), wind_offshore!$4:$4, R$4)</f>
        <v>0</v>
      </c>
      <c r="S32" s="58">
        <f ca="1">SUMIFS(  INDIRECT(CONCATENATE("'wind_total'!", $C32, ":", $C32)),   wind_total!$6:$6, S$4) - SUMIFS(   INDIRECT(CONCATENATE("wind_offshore!",$D32,":", $D32)), wind_offshore!$4:$4, S$4)</f>
        <v>0</v>
      </c>
      <c r="T32" s="58">
        <f ca="1">SUMIFS(  INDIRECT(CONCATENATE("'wind_total'!", $C32, ":", $C32)),   wind_total!$6:$6, T$4) - SUMIFS(   INDIRECT(CONCATENATE("wind_offshore!",$D32,":", $D32)), wind_offshore!$4:$4, T$4)</f>
        <v>0</v>
      </c>
      <c r="U32" s="58">
        <f ca="1">SUMIFS(  INDIRECT(CONCATENATE("'wind_total'!", $C32, ":", $C32)),   wind_total!$6:$6, U$4) - SUMIFS(   INDIRECT(CONCATENATE("wind_offshore!",$D32,":", $D32)), wind_offshore!$4:$4, U$4)</f>
        <v>0</v>
      </c>
      <c r="V32" s="58">
        <f ca="1">SUMIFS(  INDIRECT(CONCATENATE("'wind_total'!", $C32, ":", $C32)),   wind_total!$6:$6, V$4) - SUMIFS(   INDIRECT(CONCATENATE("wind_offshore!",$D32,":", $D32)), wind_offshore!$4:$4, V$4)</f>
        <v>0</v>
      </c>
      <c r="W32" s="58">
        <f ca="1">SUMIFS(  INDIRECT(CONCATENATE("'wind_total'!", $C32, ":", $C32)),   wind_total!$6:$6, W$4) - SUMIFS(   INDIRECT(CONCATENATE("wind_offshore!",$D32,":", $D32)), wind_offshore!$4:$4, W$4)</f>
        <v>0</v>
      </c>
      <c r="X32" s="58">
        <f ca="1">SUMIFS(  INDIRECT(CONCATENATE("'wind_total'!", $C32, ":", $C32)),   wind_total!$6:$6, X$4) - SUMIFS(   INDIRECT(CONCATENATE("wind_offshore!",$D32,":", $D32)), wind_offshore!$4:$4, X$4)</f>
        <v>0</v>
      </c>
      <c r="Y32" s="58">
        <f ca="1">SUMIFS(  INDIRECT(CONCATENATE("'wind_total'!", $C32, ":", $C32)),   wind_total!$6:$6, Y$4) - SUMIFS(   INDIRECT(CONCATENATE("wind_offshore!",$D32,":", $D32)), wind_offshore!$4:$4, Y$4)</f>
        <v>0</v>
      </c>
      <c r="Z32" s="58">
        <f ca="1">SUMIFS(  INDIRECT(CONCATENATE("'wind_total'!", $C32, ":", $C32)),   wind_total!$6:$6, Z$4) - SUMIFS(   INDIRECT(CONCATENATE("wind_offshore!",$D32,":", $D32)), wind_offshore!$4:$4, Z$4)</f>
        <v>51</v>
      </c>
      <c r="AA32" s="58">
        <f ca="1">SUMIFS(  INDIRECT(CONCATENATE("'wind_total'!", $C32, ":", $C32)),   wind_total!$6:$6, AA$4) - SUMIFS(   INDIRECT(CONCATENATE("wind_offshore!",$D32,":", $D32)), wind_offshore!$4:$4, AA$4)</f>
        <v>87</v>
      </c>
      <c r="AB32" s="58">
        <f ca="1">SUMIFS(  INDIRECT(CONCATENATE("'wind_total'!", $C32, ":", $C32)),   wind_total!$6:$6, AB$4) - SUMIFS(   INDIRECT(CONCATENATE("wind_offshore!",$D32,":", $D32)), wind_offshore!$4:$4, AB$4)</f>
        <v>135</v>
      </c>
      <c r="AC32" s="58">
        <f ca="1">SUMIFS(  INDIRECT(CONCATENATE("'wind_total'!", $C32, ":", $C32)),   wind_total!$6:$6, AC$4) - SUMIFS(   INDIRECT(CONCATENATE("wind_offshore!",$D32,":", $D32)), wind_offshore!$4:$4, AC$4)</f>
        <v>135</v>
      </c>
      <c r="AD32" s="58">
        <f ca="1">SUMIFS(  INDIRECT(CONCATENATE("'wind_total'!", $C32, ":", $C32)),   wind_total!$6:$6, AD$4) - SUMIFS(   INDIRECT(CONCATENATE("wind_offshore!",$D32,":", $D32)), wind_offshore!$4:$4, AD$4)</f>
        <v>135</v>
      </c>
      <c r="AE32" s="58">
        <f ca="1">SUMIFS(  INDIRECT(CONCATENATE("'wind_total'!", $C32, ":", $C32)),   wind_total!$6:$6, AE$4) - SUMIFS(   INDIRECT(CONCATENATE("wind_offshore!",$D32,":", $D32)), wind_offshore!$4:$4, AE$4)</f>
        <v>135</v>
      </c>
      <c r="AF32" s="58">
        <f ca="1">SUMIFS(  INDIRECT(CONCATENATE("'wind_total'!", $C32, ":", $C32)),   wind_total!$6:$6, AF$4) - SUMIFS(   INDIRECT(CONCATENATE("wind_offshore!",$D32,":", $D32)), wind_offshore!$4:$4, AF$4)</f>
        <v>244</v>
      </c>
      <c r="AG32" s="6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58">
        <f ca="1">SUMIFS(  INDIRECT(CONCATENATE("'wind_total'!", $C33, ":", $C33)),   wind_total!$6:$6, F$4) - SUMIFS(   INDIRECT(CONCATENATE("wind_offshore!",$D33,":", $D33)), wind_offshore!$4:$4, F$4)</f>
        <v>9</v>
      </c>
      <c r="G33" s="58">
        <f ca="1">SUMIFS(  INDIRECT(CONCATENATE("'wind_total'!", $C33, ":", $C33)),   wind_total!$6:$6, G$4) - SUMIFS(   INDIRECT(CONCATENATE("wind_offshore!",$D33,":", $D33)), wind_offshore!$4:$4, G$4)</f>
        <v>10</v>
      </c>
      <c r="H33" s="58">
        <f ca="1">SUMIFS(  INDIRECT(CONCATENATE("'wind_total'!", $C33, ":", $C33)),   wind_total!$6:$6, H$4) - SUMIFS(   INDIRECT(CONCATENATE("wind_offshore!",$D33,":", $D33)), wind_offshore!$4:$4, H$4)</f>
        <v>10</v>
      </c>
      <c r="I33" s="58">
        <f ca="1">SUMIFS(  INDIRECT(CONCATENATE("'wind_total'!", $C33, ":", $C33)),   wind_total!$6:$6, I$4) - SUMIFS(   INDIRECT(CONCATENATE("wind_offshore!",$D33,":", $D33)), wind_offshore!$4:$4, I$4)</f>
        <v>15</v>
      </c>
      <c r="J33" s="58">
        <f ca="1">SUMIFS(  INDIRECT(CONCATENATE("'wind_total'!", $C33, ":", $C33)),   wind_total!$6:$6, J$4) - SUMIFS(   INDIRECT(CONCATENATE("wind_offshore!",$D33,":", $D33)), wind_offshore!$4:$4, J$4)</f>
        <v>17</v>
      </c>
      <c r="K33" s="58">
        <f ca="1">SUMIFS(  INDIRECT(CONCATENATE("'wind_total'!", $C33, ":", $C33)),   wind_total!$6:$6, K$4) - SUMIFS(   INDIRECT(CONCATENATE("wind_offshore!",$D33,":", $D33)), wind_offshore!$4:$4, K$4)</f>
        <v>22</v>
      </c>
      <c r="L33" s="58">
        <f ca="1">SUMIFS(  INDIRECT(CONCATENATE("'wind_total'!", $C33, ":", $C33)),   wind_total!$6:$6, L$4) - SUMIFS(   INDIRECT(CONCATENATE("wind_offshore!",$D33,":", $D33)), wind_offshore!$4:$4, L$4)</f>
        <v>35</v>
      </c>
      <c r="M33" s="58">
        <f ca="1">SUMIFS(  INDIRECT(CONCATENATE("'wind_total'!", $C33, ":", $C33)),   wind_total!$6:$6, M$4) - SUMIFS(   INDIRECT(CONCATENATE("wind_offshore!",$D33,":", $D33)), wind_offshore!$4:$4, M$4)</f>
        <v>35</v>
      </c>
      <c r="N33" s="58">
        <f ca="1">SUMIFS(  INDIRECT(CONCATENATE("'wind_total'!", $C33, ":", $C33)),   wind_total!$6:$6, N$4) - SUMIFS(   INDIRECT(CONCATENATE("wind_offshore!",$D33,":", $D33)), wind_offshore!$4:$4, N$4)</f>
        <v>35</v>
      </c>
      <c r="O33" s="58">
        <f ca="1">SUMIFS(  INDIRECT(CONCATENATE("'wind_total'!", $C33, ":", $C33)),   wind_total!$6:$6, O$4) - SUMIFS(   INDIRECT(CONCATENATE("wind_offshore!",$D33,":", $D33)), wind_offshore!$4:$4, O$4)</f>
        <v>35</v>
      </c>
      <c r="P33" s="58">
        <f ca="1">SUMIFS(  INDIRECT(CONCATENATE("'wind_total'!", $C33, ":", $C33)),   wind_total!$6:$6, P$4) - SUMIFS(   INDIRECT(CONCATENATE("wind_offshore!",$D33,":", $D33)), wind_offshore!$4:$4, P$4)</f>
        <v>35</v>
      </c>
      <c r="Q33" s="58">
        <f ca="1">SUMIFS(  INDIRECT(CONCATENATE("'wind_total'!", $C33, ":", $C33)),   wind_total!$6:$6, Q$4) - SUMIFS(   INDIRECT(CONCATENATE("wind_offshore!",$D33,":", $D33)), wind_offshore!$4:$4, Q$4)</f>
        <v>35</v>
      </c>
      <c r="R33" s="58">
        <f ca="1">SUMIFS(  INDIRECT(CONCATENATE("'wind_total'!", $C33, ":", $C33)),   wind_total!$6:$6, R$4) - SUMIFS(   INDIRECT(CONCATENATE("wind_offshore!",$D33,":", $D33)), wind_offshore!$4:$4, R$4)</f>
        <v>44</v>
      </c>
      <c r="S33" s="58">
        <f ca="1">SUMIFS(  INDIRECT(CONCATENATE("'wind_total'!", $C33, ":", $C33)),   wind_total!$6:$6, S$4) - SUMIFS(   INDIRECT(CONCATENATE("wind_offshore!",$D33,":", $D33)), wind_offshore!$4:$4, S$4)</f>
        <v>44</v>
      </c>
      <c r="T33" s="58">
        <f ca="1">SUMIFS(  INDIRECT(CONCATENATE("'wind_total'!", $C33, ":", $C33)),   wind_total!$6:$6, T$4) - SUMIFS(   INDIRECT(CONCATENATE("wind_offshore!",$D33,":", $D33)), wind_offshore!$4:$4, T$4)</f>
        <v>58</v>
      </c>
      <c r="U33" s="58">
        <f ca="1">SUMIFS(  INDIRECT(CONCATENATE("'wind_total'!", $C33, ":", $C33)),   wind_total!$6:$6, U$4) - SUMIFS(   INDIRECT(CONCATENATE("wind_offshore!",$D33,":", $D33)), wind_offshore!$4:$4, U$4)</f>
        <v>58</v>
      </c>
      <c r="V33" s="58">
        <f ca="1">SUMIFS(  INDIRECT(CONCATENATE("'wind_total'!", $C33, ":", $C33)),   wind_total!$6:$6, V$4) - SUMIFS(   INDIRECT(CONCATENATE("wind_offshore!",$D33,":", $D33)), wind_offshore!$4:$4, V$4)</f>
        <v>58</v>
      </c>
      <c r="W33" s="58">
        <f ca="1">SUMIFS(  INDIRECT(CONCATENATE("'wind_total'!", $C33, ":", $C33)),   wind_total!$6:$6, W$4) - SUMIFS(   INDIRECT(CONCATENATE("wind_offshore!",$D33,":", $D33)), wind_offshore!$4:$4, W$4)</f>
        <v>58</v>
      </c>
      <c r="X33" s="58">
        <f ca="1">SUMIFS(  INDIRECT(CONCATENATE("'wind_total'!", $C33, ":", $C33)),   wind_total!$6:$6, X$4) - SUMIFS(   INDIRECT(CONCATENATE("wind_offshore!",$D33,":", $D33)), wind_offshore!$4:$4, X$4)</f>
        <v>100</v>
      </c>
      <c r="Y33" s="58">
        <f ca="1">SUMIFS(  INDIRECT(CONCATENATE("'wind_total'!", $C33, ":", $C33)),   wind_total!$6:$6, Y$4) - SUMIFS(   INDIRECT(CONCATENATE("wind_offshore!",$D33,":", $D33)), wind_offshore!$4:$4, Y$4)</f>
        <v>120</v>
      </c>
      <c r="Z33" s="58">
        <f ca="1">SUMIFS(  INDIRECT(CONCATENATE("'wind_total'!", $C33, ":", $C33)),   wind_total!$6:$6, Z$4) - SUMIFS(   INDIRECT(CONCATENATE("wind_offshore!",$D33,":", $D33)), wind_offshore!$4:$4, Z$4)</f>
        <v>120</v>
      </c>
      <c r="AA33" s="58">
        <f ca="1">SUMIFS(  INDIRECT(CONCATENATE("'wind_total'!", $C33, ":", $C33)),   wind_total!$6:$6, AA$4) - SUMIFS(   INDIRECT(CONCATENATE("wind_offshore!",$D33,":", $D33)), wind_offshore!$4:$4, AA$4)</f>
        <v>136</v>
      </c>
      <c r="AB33" s="58">
        <f ca="1">SUMIFS(  INDIRECT(CONCATENATE("'wind_total'!", $C33, ":", $C33)),   wind_total!$6:$6, AB$4) - SUMIFS(   INDIRECT(CONCATENATE("wind_offshore!",$D33,":", $D33)), wind_offshore!$4:$4, AB$4)</f>
        <v>166</v>
      </c>
      <c r="AC33" s="58">
        <f ca="1">SUMIFS(  INDIRECT(CONCATENATE("'wind_total'!", $C33, ":", $C33)),   wind_total!$6:$6, AC$4) - SUMIFS(   INDIRECT(CONCATENATE("wind_offshore!",$D33,":", $D33)), wind_offshore!$4:$4, AC$4)</f>
        <v>168</v>
      </c>
      <c r="AD33" s="58">
        <f ca="1">SUMIFS(  INDIRECT(CONCATENATE("'wind_total'!", $C33, ":", $C33)),   wind_total!$6:$6, AD$4) - SUMIFS(   INDIRECT(CONCATENATE("wind_offshore!",$D33,":", $D33)), wind_offshore!$4:$4, AD$4)</f>
        <v>166</v>
      </c>
      <c r="AE33" s="58">
        <f ca="1">SUMIFS(  INDIRECT(CONCATENATE("'wind_total'!", $C33, ":", $C33)),   wind_total!$6:$6, AE$4) - SUMIFS(   INDIRECT(CONCATENATE("wind_offshore!",$D33,":", $D33)), wind_offshore!$4:$4, AE$4)</f>
        <v>208</v>
      </c>
      <c r="AF33" s="58">
        <f ca="1">SUMIFS(  INDIRECT(CONCATENATE("'wind_total'!", $C33, ":", $C33)),   wind_total!$6:$6, AF$4) - SUMIFS(   INDIRECT(CONCATENATE("wind_offshore!",$D33,":", $D33)), wind_offshore!$4:$4, AF$4)</f>
        <v>214</v>
      </c>
      <c r="AG33" s="6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58">
        <f ca="1">SUMIFS(  INDIRECT(CONCATENATE("'wind_total'!", $C34, ":", $C34)),   wind_total!$6:$6, F$4) - SUMIFS(   INDIRECT(CONCATENATE("wind_offshore!",$D34,":", $D34)), wind_offshore!$4:$4, F$4)</f>
        <v>0</v>
      </c>
      <c r="G34" s="58">
        <f ca="1">SUMIFS(  INDIRECT(CONCATENATE("'wind_total'!", $C34, ":", $C34)),   wind_total!$6:$6, G$4) - SUMIFS(   INDIRECT(CONCATENATE("wind_offshore!",$D34,":", $D34)), wind_offshore!$4:$4, G$4)</f>
        <v>0</v>
      </c>
      <c r="H34" s="58">
        <f ca="1">SUMIFS(  INDIRECT(CONCATENATE("'wind_total'!", $C34, ":", $C34)),   wind_total!$6:$6, H$4) - SUMIFS(   INDIRECT(CONCATENATE("wind_offshore!",$D34,":", $D34)), wind_offshore!$4:$4, H$4)</f>
        <v>0</v>
      </c>
      <c r="I34" s="58">
        <f ca="1">SUMIFS(  INDIRECT(CONCATENATE("'wind_total'!", $C34, ":", $C34)),   wind_total!$6:$6, I$4) - SUMIFS(   INDIRECT(CONCATENATE("wind_offshore!",$D34,":", $D34)), wind_offshore!$4:$4, I$4)</f>
        <v>0</v>
      </c>
      <c r="J34" s="58">
        <f ca="1">SUMIFS(  INDIRECT(CONCATENATE("'wind_total'!", $C34, ":", $C34)),   wind_total!$6:$6, J$4) - SUMIFS(   INDIRECT(CONCATENATE("wind_offshore!",$D34,":", $D34)), wind_offshore!$4:$4, J$4)</f>
        <v>0</v>
      </c>
      <c r="K34" s="58">
        <f ca="1">SUMIFS(  INDIRECT(CONCATENATE("'wind_total'!", $C34, ":", $C34)),   wind_total!$6:$6, K$4) - SUMIFS(   INDIRECT(CONCATENATE("wind_offshore!",$D34,":", $D34)), wind_offshore!$4:$4, K$4)</f>
        <v>0</v>
      </c>
      <c r="L34" s="58">
        <f ca="1">SUMIFS(  INDIRECT(CONCATENATE("'wind_total'!", $C34, ":", $C34)),   wind_total!$6:$6, L$4) - SUMIFS(   INDIRECT(CONCATENATE("wind_offshore!",$D34,":", $D34)), wind_offshore!$4:$4, L$4)</f>
        <v>0</v>
      </c>
      <c r="M34" s="58">
        <f ca="1">SUMIFS(  INDIRECT(CONCATENATE("'wind_total'!", $C34, ":", $C34)),   wind_total!$6:$6, M$4) - SUMIFS(   INDIRECT(CONCATENATE("wind_offshore!",$D34,":", $D34)), wind_offshore!$4:$4, M$4)</f>
        <v>0</v>
      </c>
      <c r="N34" s="58">
        <f ca="1">SUMIFS(  INDIRECT(CONCATENATE("'wind_total'!", $C34, ":", $C34)),   wind_total!$6:$6, N$4) - SUMIFS(   INDIRECT(CONCATENATE("wind_offshore!",$D34,":", $D34)), wind_offshore!$4:$4, N$4)</f>
        <v>0</v>
      </c>
      <c r="O34" s="58">
        <f ca="1">SUMIFS(  INDIRECT(CONCATENATE("'wind_total'!", $C34, ":", $C34)),   wind_total!$6:$6, O$4) - SUMIFS(   INDIRECT(CONCATENATE("wind_offshore!",$D34,":", $D34)), wind_offshore!$4:$4, O$4)</f>
        <v>0</v>
      </c>
      <c r="P34" s="58">
        <f ca="1">SUMIFS(  INDIRECT(CONCATENATE("'wind_total'!", $C34, ":", $C34)),   wind_total!$6:$6, P$4) - SUMIFS(   INDIRECT(CONCATENATE("wind_offshore!",$D34,":", $D34)), wind_offshore!$4:$4, P$4)</f>
        <v>0</v>
      </c>
      <c r="Q34" s="58">
        <f ca="1">SUMIFS(  INDIRECT(CONCATENATE("'wind_total'!", $C34, ":", $C34)),   wind_total!$6:$6, Q$4) - SUMIFS(   INDIRECT(CONCATENATE("wind_offshore!",$D34,":", $D34)), wind_offshore!$4:$4, Q$4)</f>
        <v>0</v>
      </c>
      <c r="R34" s="58">
        <f ca="1">SUMIFS(  INDIRECT(CONCATENATE("'wind_total'!", $C34, ":", $C34)),   wind_total!$6:$6, R$4) - SUMIFS(   INDIRECT(CONCATENATE("wind_offshore!",$D34,":", $D34)), wind_offshore!$4:$4, R$4)</f>
        <v>82</v>
      </c>
      <c r="S34" s="58">
        <f ca="1">SUMIFS(  INDIRECT(CONCATENATE("'wind_total'!", $C34, ":", $C34)),   wind_total!$6:$6, S$4) - SUMIFS(   INDIRECT(CONCATENATE("wind_offshore!",$D34,":", $D34)), wind_offshore!$4:$4, S$4)</f>
        <v>134</v>
      </c>
      <c r="T34" s="58">
        <f ca="1">SUMIFS(  INDIRECT(CONCATENATE("'wind_total'!", $C34, ":", $C34)),   wind_total!$6:$6, T$4) - SUMIFS(   INDIRECT(CONCATENATE("wind_offshore!",$D34,":", $D34)), wind_offshore!$4:$4, T$4)</f>
        <v>147</v>
      </c>
      <c r="U34" s="58">
        <f ca="1">SUMIFS(  INDIRECT(CONCATENATE("'wind_total'!", $C34, ":", $C34)),   wind_total!$6:$6, U$4) - SUMIFS(   INDIRECT(CONCATENATE("wind_offshore!",$D34,":", $D34)), wind_offshore!$4:$4, U$4)</f>
        <v>147</v>
      </c>
      <c r="V34" s="58">
        <f ca="1">SUMIFS(  INDIRECT(CONCATENATE("'wind_total'!", $C34, ":", $C34)),   wind_total!$6:$6, V$4) - SUMIFS(   INDIRECT(CONCATENATE("wind_offshore!",$D34,":", $D34)), wind_offshore!$4:$4, V$4)</f>
        <v>147</v>
      </c>
      <c r="W34" s="58">
        <f ca="1">SUMIFS(  INDIRECT(CONCATENATE("'wind_total'!", $C34, ":", $C34)),   wind_total!$6:$6, W$4) - SUMIFS(   INDIRECT(CONCATENATE("wind_offshore!",$D34,":", $D34)), wind_offshore!$4:$4, W$4)</f>
        <v>158</v>
      </c>
      <c r="X34" s="58">
        <f ca="1">SUMIFS(  INDIRECT(CONCATENATE("'wind_total'!", $C34, ":", $C34)),   wind_total!$6:$6, X$4) - SUMIFS(   INDIRECT(CONCATENATE("wind_offshore!",$D34,":", $D34)), wind_offshore!$4:$4, X$4)</f>
        <v>158</v>
      </c>
      <c r="Y34" s="58">
        <f ca="1">SUMIFS(  INDIRECT(CONCATENATE("'wind_total'!", $C34, ":", $C34)),   wind_total!$6:$6, Y$4) - SUMIFS(   INDIRECT(CONCATENATE("wind_offshore!",$D34,":", $D34)), wind_offshore!$4:$4, Y$4)</f>
        <v>158</v>
      </c>
      <c r="Z34" s="58">
        <f ca="1">SUMIFS(  INDIRECT(CONCATENATE("'wind_total'!", $C34, ":", $C34)),   wind_total!$6:$6, Z$4) - SUMIFS(   INDIRECT(CONCATENATE("wind_offshore!",$D34,":", $D34)), wind_offshore!$4:$4, Z$4)</f>
        <v>158</v>
      </c>
      <c r="AA34" s="58">
        <f ca="1">SUMIFS(  INDIRECT(CONCATENATE("'wind_total'!", $C34, ":", $C34)),   wind_total!$6:$6, AA$4) - SUMIFS(   INDIRECT(CONCATENATE("wind_offshore!",$D34,":", $D34)), wind_offshore!$4:$4, AA$4)</f>
        <v>158</v>
      </c>
      <c r="AB34" s="58">
        <f ca="1">SUMIFS(  INDIRECT(CONCATENATE("'wind_total'!", $C34, ":", $C34)),   wind_total!$6:$6, AB$4) - SUMIFS(   INDIRECT(CONCATENATE("wind_offshore!",$D34,":", $D34)), wind_offshore!$4:$4, AB$4)</f>
        <v>158</v>
      </c>
      <c r="AC34" s="58">
        <f ca="1">SUMIFS(  INDIRECT(CONCATENATE("'wind_total'!", $C34, ":", $C34)),   wind_total!$6:$6, AC$4) - SUMIFS(   INDIRECT(CONCATENATE("wind_offshore!",$D34,":", $D34)), wind_offshore!$4:$4, AC$4)</f>
        <v>158</v>
      </c>
      <c r="AD34" s="58">
        <f ca="1">SUMIFS(  INDIRECT(CONCATENATE("'wind_total'!", $C34, ":", $C34)),   wind_total!$6:$6, AD$4) - SUMIFS(   INDIRECT(CONCATENATE("wind_offshore!",$D34,":", $D34)), wind_offshore!$4:$4, AD$4)</f>
        <v>158</v>
      </c>
      <c r="AE34" s="58">
        <f ca="1">SUMIFS(  INDIRECT(CONCATENATE("'wind_total'!", $C34, ":", $C34)),   wind_total!$6:$6, AE$4) - SUMIFS(   INDIRECT(CONCATENATE("wind_offshore!",$D34,":", $D34)), wind_offshore!$4:$4, AE$4)</f>
        <v>158</v>
      </c>
      <c r="AF34" s="58">
        <f ca="1">SUMIFS(  INDIRECT(CONCATENATE("'wind_total'!", $C34, ":", $C34)),   wind_total!$6:$6, AF$4) - SUMIFS(   INDIRECT(CONCATENATE("wind_offshore!",$D34,":", $D34)), wind_offshore!$4:$4, AF$4)</f>
        <v>158</v>
      </c>
      <c r="AG34" s="6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58">
        <f ca="1">SUMIFS(  INDIRECT(CONCATENATE("'wind_total'!", $C35, ":", $C35)),   wind_total!$6:$6, F$4) - SUMIFS(   INDIRECT(CONCATENATE("wind_offshore!",$D35,":", $D35)), wind_offshore!$4:$4, F$4)</f>
        <v>0</v>
      </c>
      <c r="G35" s="58">
        <f ca="1">SUMIFS(  INDIRECT(CONCATENATE("'wind_total'!", $C35, ":", $C35)),   wind_total!$6:$6, G$4) - SUMIFS(   INDIRECT(CONCATENATE("wind_offshore!",$D35,":", $D35)), wind_offshore!$4:$4, G$4)</f>
        <v>0</v>
      </c>
      <c r="H35" s="58">
        <f ca="1">SUMIFS(  INDIRECT(CONCATENATE("'wind_total'!", $C35, ":", $C35)),   wind_total!$6:$6, H$4) - SUMIFS(   INDIRECT(CONCATENATE("wind_offshore!",$D35,":", $D35)), wind_offshore!$4:$4, H$4)</f>
        <v>0</v>
      </c>
      <c r="I35" s="58">
        <f ca="1">SUMIFS(  INDIRECT(CONCATENATE("'wind_total'!", $C35, ":", $C35)),   wind_total!$6:$6, I$4) - SUMIFS(   INDIRECT(CONCATENATE("wind_offshore!",$D35,":", $D35)), wind_offshore!$4:$4, I$4)</f>
        <v>0</v>
      </c>
      <c r="J35" s="58">
        <f ca="1">SUMIFS(  INDIRECT(CONCATENATE("'wind_total'!", $C35, ":", $C35)),   wind_total!$6:$6, J$4) - SUMIFS(   INDIRECT(CONCATENATE("wind_offshore!",$D35,":", $D35)), wind_offshore!$4:$4, J$4)</f>
        <v>0</v>
      </c>
      <c r="K35" s="58">
        <f ca="1">SUMIFS(  INDIRECT(CONCATENATE("'wind_total'!", $C35, ":", $C35)),   wind_total!$6:$6, K$4) - SUMIFS(   INDIRECT(CONCATENATE("wind_offshore!",$D35,":", $D35)), wind_offshore!$4:$4, K$4)</f>
        <v>0</v>
      </c>
      <c r="L35" s="58">
        <f ca="1">SUMIFS(  INDIRECT(CONCATENATE("'wind_total'!", $C35, ":", $C35)),   wind_total!$6:$6, L$4) - SUMIFS(   INDIRECT(CONCATENATE("wind_offshore!",$D35,":", $D35)), wind_offshore!$4:$4, L$4)</f>
        <v>0</v>
      </c>
      <c r="M35" s="58">
        <f ca="1">SUMIFS(  INDIRECT(CONCATENATE("'wind_total'!", $C35, ":", $C35)),   wind_total!$6:$6, M$4) - SUMIFS(   INDIRECT(CONCATENATE("wind_offshore!",$D35,":", $D35)), wind_offshore!$4:$4, M$4)</f>
        <v>0</v>
      </c>
      <c r="N35" s="58">
        <f ca="1">SUMIFS(  INDIRECT(CONCATENATE("'wind_total'!", $C35, ":", $C35)),   wind_total!$6:$6, N$4) - SUMIFS(   INDIRECT(CONCATENATE("wind_offshore!",$D35,":", $D35)), wind_offshore!$4:$4, N$4)</f>
        <v>0</v>
      </c>
      <c r="O35" s="58">
        <f ca="1">SUMIFS(  INDIRECT(CONCATENATE("'wind_total'!", $C35, ":", $C35)),   wind_total!$6:$6, O$4) - SUMIFS(   INDIRECT(CONCATENATE("wind_offshore!",$D35,":", $D35)), wind_offshore!$4:$4, O$4)</f>
        <v>0</v>
      </c>
      <c r="P35" s="58">
        <f ca="1">SUMIFS(  INDIRECT(CONCATENATE("'wind_total'!", $C35, ":", $C35)),   wind_total!$6:$6, P$4) - SUMIFS(   INDIRECT(CONCATENATE("wind_offshore!",$D35,":", $D35)), wind_offshore!$4:$4, P$4)</f>
        <v>0</v>
      </c>
      <c r="Q35" s="58">
        <f ca="1">SUMIFS(  INDIRECT(CONCATENATE("'wind_total'!", $C35, ":", $C35)),   wind_total!$6:$6, Q$4) - SUMIFS(   INDIRECT(CONCATENATE("wind_offshore!",$D35,":", $D35)), wind_offshore!$4:$4, Q$4)</f>
        <v>0</v>
      </c>
      <c r="R35" s="58">
        <f ca="1">SUMIFS(  INDIRECT(CONCATENATE("'wind_total'!", $C35, ":", $C35)),   wind_total!$6:$6, R$4) - SUMIFS(   INDIRECT(CONCATENATE("wind_offshore!",$D35,":", $D35)), wind_offshore!$4:$4, R$4)</f>
        <v>0</v>
      </c>
      <c r="S35" s="58">
        <f ca="1">SUMIFS(  INDIRECT(CONCATENATE("'wind_total'!", $C35, ":", $C35)),   wind_total!$6:$6, S$4) - SUMIFS(   INDIRECT(CONCATENATE("wind_offshore!",$D35,":", $D35)), wind_offshore!$4:$4, S$4)</f>
        <v>0</v>
      </c>
      <c r="T35" s="58">
        <f ca="1">SUMIFS(  INDIRECT(CONCATENATE("'wind_total'!", $C35, ":", $C35)),   wind_total!$6:$6, T$4) - SUMIFS(   INDIRECT(CONCATENATE("wind_offshore!",$D35,":", $D35)), wind_offshore!$4:$4, T$4)</f>
        <v>0</v>
      </c>
      <c r="U35" s="58">
        <f ca="1">SUMIFS(  INDIRECT(CONCATENATE("'wind_total'!", $C35, ":", $C35)),   wind_total!$6:$6, U$4) - SUMIFS(   INDIRECT(CONCATENATE("wind_offshore!",$D35,":", $D35)), wind_offshore!$4:$4, U$4)</f>
        <v>0</v>
      </c>
      <c r="V35" s="58">
        <f ca="1">SUMIFS(  INDIRECT(CONCATENATE("'wind_total'!", $C35, ":", $C35)),   wind_total!$6:$6, V$4) - SUMIFS(   INDIRECT(CONCATENATE("wind_offshore!",$D35,":", $D35)), wind_offshore!$4:$4, V$4)</f>
        <v>0</v>
      </c>
      <c r="W35" s="58">
        <f ca="1">SUMIFS(  INDIRECT(CONCATENATE("'wind_total'!", $C35, ":", $C35)),   wind_total!$6:$6, W$4) - SUMIFS(   INDIRECT(CONCATENATE("wind_offshore!",$D35,":", $D35)), wind_offshore!$4:$4, W$4)</f>
        <v>0</v>
      </c>
      <c r="X35" s="58">
        <f ca="1">SUMIFS(  INDIRECT(CONCATENATE("'wind_total'!", $C35, ":", $C35)),   wind_total!$6:$6, X$4) - SUMIFS(   INDIRECT(CONCATENATE("wind_offshore!",$D35,":", $D35)), wind_offshore!$4:$4, X$4)</f>
        <v>0</v>
      </c>
      <c r="Y35" s="58">
        <f ca="1">SUMIFS(  INDIRECT(CONCATENATE("'wind_total'!", $C35, ":", $C35)),   wind_total!$6:$6, Y$4) - SUMIFS(   INDIRECT(CONCATENATE("wind_offshore!",$D35,":", $D35)), wind_offshore!$4:$4, Y$4)</f>
        <v>0</v>
      </c>
      <c r="Z35" s="58">
        <f ca="1">SUMIFS(  INDIRECT(CONCATENATE("'wind_total'!", $C35, ":", $C35)),   wind_total!$6:$6, Z$4) - SUMIFS(   INDIRECT(CONCATENATE("wind_offshore!",$D35,":", $D35)), wind_offshore!$4:$4, Z$4)</f>
        <v>32</v>
      </c>
      <c r="AA35" s="58">
        <f ca="1">SUMIFS(  INDIRECT(CONCATENATE("'wind_total'!", $C35, ":", $C35)),   wind_total!$6:$6, AA$4) - SUMIFS(   INDIRECT(CONCATENATE("wind_offshore!",$D35,":", $D35)), wind_offshore!$4:$4, AA$4)</f>
        <v>32</v>
      </c>
      <c r="AB35" s="58">
        <f ca="1">SUMIFS(  INDIRECT(CONCATENATE("'wind_total'!", $C35, ":", $C35)),   wind_total!$6:$6, AB$4) - SUMIFS(   INDIRECT(CONCATENATE("wind_offshore!",$D35,":", $D35)), wind_offshore!$4:$4, AB$4)</f>
        <v>32</v>
      </c>
      <c r="AC35" s="58">
        <f ca="1">SUMIFS(  INDIRECT(CONCATENATE("'wind_total'!", $C35, ":", $C35)),   wind_total!$6:$6, AC$4) - SUMIFS(   INDIRECT(CONCATENATE("wind_offshore!",$D35,":", $D35)), wind_offshore!$4:$4, AC$4)</f>
        <v>137</v>
      </c>
      <c r="AD35" s="58">
        <f ca="1">SUMIFS(  INDIRECT(CONCATENATE("'wind_total'!", $C35, ":", $C35)),   wind_total!$6:$6, AD$4) - SUMIFS(   INDIRECT(CONCATENATE("wind_offshore!",$D35,":", $D35)), wind_offshore!$4:$4, AD$4)</f>
        <v>137</v>
      </c>
      <c r="AE35" s="58">
        <f ca="1">SUMIFS(  INDIRECT(CONCATENATE("'wind_total'!", $C35, ":", $C35)),   wind_total!$6:$6, AE$4) - SUMIFS(   INDIRECT(CONCATENATE("wind_offshore!",$D35,":", $D35)), wind_offshore!$4:$4, AE$4)</f>
        <v>137</v>
      </c>
      <c r="AF35" s="58">
        <f ca="1">SUMIFS(  INDIRECT(CONCATENATE("'wind_total'!", $C35, ":", $C35)),   wind_total!$6:$6, AF$4) - SUMIFS(   INDIRECT(CONCATENATE("wind_offshore!",$D35,":", $D35)), wind_offshore!$4:$4, AF$4)</f>
        <v>137</v>
      </c>
      <c r="AG35" s="6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58">
        <f ca="1">SUMIFS(  INDIRECT(CONCATENATE("'wind_total'!", $C36, ":", $C36)),   wind_total!$6:$6, F$4) - SUMIFS(   INDIRECT(CONCATENATE("wind_offshore!",$D36,":", $D36)), wind_offshore!$4:$4, F$4)</f>
        <v>0</v>
      </c>
      <c r="G36" s="58">
        <f ca="1">SUMIFS(  INDIRECT(CONCATENATE("'wind_total'!", $C36, ":", $C36)),   wind_total!$6:$6, G$4) - SUMIFS(   INDIRECT(CONCATENATE("wind_offshore!",$D36,":", $D36)), wind_offshore!$4:$4, G$4)</f>
        <v>0</v>
      </c>
      <c r="H36" s="58">
        <f ca="1">SUMIFS(  INDIRECT(CONCATENATE("'wind_total'!", $C36, ":", $C36)),   wind_total!$6:$6, H$4) - SUMIFS(   INDIRECT(CONCATENATE("wind_offshore!",$D36,":", $D36)), wind_offshore!$4:$4, H$4)</f>
        <v>0</v>
      </c>
      <c r="I36" s="58">
        <f ca="1">SUMIFS(  INDIRECT(CONCATENATE("'wind_total'!", $C36, ":", $C36)),   wind_total!$6:$6, I$4) - SUMIFS(   INDIRECT(CONCATENATE("wind_offshore!",$D36,":", $D36)), wind_offshore!$4:$4, I$4)</f>
        <v>0</v>
      </c>
      <c r="J36" s="58">
        <f ca="1">SUMIFS(  INDIRECT(CONCATENATE("'wind_total'!", $C36, ":", $C36)),   wind_total!$6:$6, J$4) - SUMIFS(   INDIRECT(CONCATENATE("wind_offshore!",$D36,":", $D36)), wind_offshore!$4:$4, J$4)</f>
        <v>24</v>
      </c>
      <c r="K36" s="58">
        <f ca="1">SUMIFS(  INDIRECT(CONCATENATE("'wind_total'!", $C36, ":", $C36)),   wind_total!$6:$6, K$4) - SUMIFS(   INDIRECT(CONCATENATE("wind_offshore!",$D36,":", $D36)), wind_offshore!$4:$4, K$4)</f>
        <v>27</v>
      </c>
      <c r="L36" s="58">
        <f ca="1">SUMIFS(  INDIRECT(CONCATENATE("'wind_total'!", $C36, ":", $C36)),   wind_total!$6:$6, L$4) - SUMIFS(   INDIRECT(CONCATENATE("wind_offshore!",$D36,":", $D36)), wind_offshore!$4:$4, L$4)</f>
        <v>27</v>
      </c>
      <c r="M36" s="58">
        <f ca="1">SUMIFS(  INDIRECT(CONCATENATE("'wind_total'!", $C36, ":", $C36)),   wind_total!$6:$6, M$4) - SUMIFS(   INDIRECT(CONCATENATE("wind_offshore!",$D36,":", $D36)), wind_offshore!$4:$4, M$4)</f>
        <v>27</v>
      </c>
      <c r="N36" s="58">
        <f ca="1">SUMIFS(  INDIRECT(CONCATENATE("'wind_total'!", $C36, ":", $C36)),   wind_total!$6:$6, N$4) - SUMIFS(   INDIRECT(CONCATENATE("wind_offshore!",$D36,":", $D36)), wind_offshore!$4:$4, N$4)</f>
        <v>27</v>
      </c>
      <c r="O36" s="58">
        <f ca="1">SUMIFS(  INDIRECT(CONCATENATE("'wind_total'!", $C36, ":", $C36)),   wind_total!$6:$6, O$4) - SUMIFS(   INDIRECT(CONCATENATE("wind_offshore!",$D36,":", $D36)), wind_offshore!$4:$4, O$4)</f>
        <v>27</v>
      </c>
      <c r="P36" s="58">
        <f ca="1">SUMIFS(  INDIRECT(CONCATENATE("'wind_total'!", $C36, ":", $C36)),   wind_total!$6:$6, P$4) - SUMIFS(   INDIRECT(CONCATENATE("wind_offshore!",$D36,":", $D36)), wind_offshore!$4:$4, P$4)</f>
        <v>27</v>
      </c>
      <c r="Q36" s="58">
        <f ca="1">SUMIFS(  INDIRECT(CONCATENATE("'wind_total'!", $C36, ":", $C36)),   wind_total!$6:$6, Q$4) - SUMIFS(   INDIRECT(CONCATENATE("wind_offshore!",$D36,":", $D36)), wind_offshore!$4:$4, Q$4)</f>
        <v>28</v>
      </c>
      <c r="R36" s="58">
        <f ca="1">SUMIFS(  INDIRECT(CONCATENATE("'wind_total'!", $C36, ":", $C36)),   wind_total!$6:$6, R$4) - SUMIFS(   INDIRECT(CONCATENATE("wind_offshore!",$D36,":", $D36)), wind_offshore!$4:$4, R$4)</f>
        <v>30</v>
      </c>
      <c r="S36" s="58">
        <f ca="1">SUMIFS(  INDIRECT(CONCATENATE("'wind_total'!", $C36, ":", $C36)),   wind_total!$6:$6, S$4) - SUMIFS(   INDIRECT(CONCATENATE("wind_offshore!",$D36,":", $D36)), wind_offshore!$4:$4, S$4)</f>
        <v>31</v>
      </c>
      <c r="T36" s="58">
        <f ca="1">SUMIFS(  INDIRECT(CONCATENATE("'wind_total'!", $C36, ":", $C36)),   wind_total!$6:$6, T$4) - SUMIFS(   INDIRECT(CONCATENATE("wind_offshore!",$D36,":", $D36)), wind_offshore!$4:$4, T$4)</f>
        <v>60</v>
      </c>
      <c r="U36" s="58">
        <f ca="1">SUMIFS(  INDIRECT(CONCATENATE("'wind_total'!", $C36, ":", $C36)),   wind_total!$6:$6, U$4) - SUMIFS(   INDIRECT(CONCATENATE("wind_offshore!",$D36,":", $D36)), wind_offshore!$4:$4, U$4)</f>
        <v>62</v>
      </c>
      <c r="V36" s="58">
        <f ca="1">SUMIFS(  INDIRECT(CONCATENATE("'wind_total'!", $C36, ":", $C36)),   wind_total!$6:$6, V$4) - SUMIFS(   INDIRECT(CONCATENATE("wind_offshore!",$D36,":", $D36)), wind_offshore!$4:$4, V$4)</f>
        <v>62</v>
      </c>
      <c r="W36" s="58">
        <f ca="1">SUMIFS(  INDIRECT(CONCATENATE("'wind_total'!", $C36, ":", $C36)),   wind_total!$6:$6, W$4) - SUMIFS(   INDIRECT(CONCATENATE("wind_offshore!",$D36,":", $D36)), wind_offshore!$4:$4, W$4)</f>
        <v>69</v>
      </c>
      <c r="X36" s="58">
        <f ca="1">SUMIFS(  INDIRECT(CONCATENATE("'wind_total'!", $C36, ":", $C36)),   wind_total!$6:$6, X$4) - SUMIFS(   INDIRECT(CONCATENATE("wind_offshore!",$D36,":", $D36)), wind_offshore!$4:$4, X$4)</f>
        <v>70</v>
      </c>
      <c r="Y36" s="58">
        <f ca="1">SUMIFS(  INDIRECT(CONCATENATE("'wind_total'!", $C36, ":", $C36)),   wind_total!$6:$6, Y$4) - SUMIFS(   INDIRECT(CONCATENATE("wind_offshore!",$D36,":", $D36)), wind_offshore!$4:$4, Y$4)</f>
        <v>66</v>
      </c>
      <c r="Z36" s="58">
        <f ca="1">SUMIFS(  INDIRECT(CONCATENATE("'wind_total'!", $C36, ":", $C36)),   wind_total!$6:$6, Z$4) - SUMIFS(   INDIRECT(CONCATENATE("wind_offshore!",$D36,":", $D36)), wind_offshore!$4:$4, Z$4)</f>
        <v>66</v>
      </c>
      <c r="AA36" s="58">
        <f ca="1">SUMIFS(  INDIRECT(CONCATENATE("'wind_total'!", $C36, ":", $C36)),   wind_total!$6:$6, AA$4) - SUMIFS(   INDIRECT(CONCATENATE("wind_offshore!",$D36,":", $D36)), wind_offshore!$4:$4, AA$4)</f>
        <v>66</v>
      </c>
      <c r="AB36" s="58">
        <f ca="1">SUMIFS(  INDIRECT(CONCATENATE("'wind_total'!", $C36, ":", $C36)),   wind_total!$6:$6, AB$4) - SUMIFS(   INDIRECT(CONCATENATE("wind_offshore!",$D36,":", $D36)), wind_offshore!$4:$4, AB$4)</f>
        <v>66</v>
      </c>
      <c r="AC36" s="58">
        <f ca="1">SUMIFS(  INDIRECT(CONCATENATE("'wind_total'!", $C36, ":", $C36)),   wind_total!$6:$6, AC$4) - SUMIFS(   INDIRECT(CONCATENATE("wind_offshore!",$D36,":", $D36)), wind_offshore!$4:$4, AC$4)</f>
        <v>66</v>
      </c>
      <c r="AD36" s="58">
        <f ca="1">SUMIFS(  INDIRECT(CONCATENATE("'wind_total'!", $C36, ":", $C36)),   wind_total!$6:$6, AD$4) - SUMIFS(   INDIRECT(CONCATENATE("wind_offshore!",$D36,":", $D36)), wind_offshore!$4:$4, AD$4)</f>
        <v>137</v>
      </c>
      <c r="AE36" s="58">
        <f ca="1">SUMIFS(  INDIRECT(CONCATENATE("'wind_total'!", $C36, ":", $C36)),   wind_total!$6:$6, AE$4) - SUMIFS(   INDIRECT(CONCATENATE("wind_offshore!",$D36,":", $D36)), wind_offshore!$4:$4, AE$4)</f>
        <v>137</v>
      </c>
      <c r="AF36" s="58">
        <f ca="1">SUMIFS(  INDIRECT(CONCATENATE("'wind_total'!", $C36, ":", $C36)),   wind_total!$6:$6, AF$4) - SUMIFS(   INDIRECT(CONCATENATE("wind_offshore!",$D36,":", $D36)), wind_offshore!$4:$4, AF$4)</f>
        <v>137</v>
      </c>
      <c r="AG36" s="6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58">
        <f ca="1">SUMIFS(  INDIRECT(CONCATENATE("'wind_total'!", $C37, ":", $C37)),   wind_total!$6:$6, F$4) - SUMIFS(   INDIRECT(CONCATENATE("wind_offshore!",$D37,":", $D37)), wind_offshore!$4:$4, F$4)</f>
        <v>0</v>
      </c>
      <c r="G37" s="58">
        <f ca="1">SUMIFS(  INDIRECT(CONCATENATE("'wind_total'!", $C37, ":", $C37)),   wind_total!$6:$6, G$4) - SUMIFS(   INDIRECT(CONCATENATE("wind_offshore!",$D37,":", $D37)), wind_offshore!$4:$4, G$4)</f>
        <v>0</v>
      </c>
      <c r="H37" s="58">
        <f ca="1">SUMIFS(  INDIRECT(CONCATENATE("'wind_total'!", $C37, ":", $C37)),   wind_total!$6:$6, H$4) - SUMIFS(   INDIRECT(CONCATENATE("wind_offshore!",$D37,":", $D37)), wind_offshore!$4:$4, H$4)</f>
        <v>0</v>
      </c>
      <c r="I37" s="58">
        <f ca="1">SUMIFS(  INDIRECT(CONCATENATE("'wind_total'!", $C37, ":", $C37)),   wind_total!$6:$6, I$4) - SUMIFS(   INDIRECT(CONCATENATE("wind_offshore!",$D37,":", $D37)), wind_offshore!$4:$4, I$4)</f>
        <v>0</v>
      </c>
      <c r="J37" s="58">
        <f ca="1">SUMIFS(  INDIRECT(CONCATENATE("'wind_total'!", $C37, ":", $C37)),   wind_total!$6:$6, J$4) - SUMIFS(   INDIRECT(CONCATENATE("wind_offshore!",$D37,":", $D37)), wind_offshore!$4:$4, J$4)</f>
        <v>0</v>
      </c>
      <c r="K37" s="58">
        <f ca="1">SUMIFS(  INDIRECT(CONCATENATE("'wind_total'!", $C37, ":", $C37)),   wind_total!$6:$6, K$4) - SUMIFS(   INDIRECT(CONCATENATE("wind_offshore!",$D37,":", $D37)), wind_offshore!$4:$4, K$4)</f>
        <v>0</v>
      </c>
      <c r="L37" s="58">
        <f ca="1">SUMIFS(  INDIRECT(CONCATENATE("'wind_total'!", $C37, ":", $C37)),   wind_total!$6:$6, L$4) - SUMIFS(   INDIRECT(CONCATENATE("wind_offshore!",$D37,":", $D37)), wind_offshore!$4:$4, L$4)</f>
        <v>0</v>
      </c>
      <c r="M37" s="58">
        <f ca="1">SUMIFS(  INDIRECT(CONCATENATE("'wind_total'!", $C37, ":", $C37)),   wind_total!$6:$6, M$4) - SUMIFS(   INDIRECT(CONCATENATE("wind_offshore!",$D37,":", $D37)), wind_offshore!$4:$4, M$4)</f>
        <v>0</v>
      </c>
      <c r="N37" s="58">
        <f ca="1">SUMIFS(  INDIRECT(CONCATENATE("'wind_total'!", $C37, ":", $C37)),   wind_total!$6:$6, N$4) - SUMIFS(   INDIRECT(CONCATENATE("wind_offshore!",$D37,":", $D37)), wind_offshore!$4:$4, N$4)</f>
        <v>0</v>
      </c>
      <c r="O37" s="58">
        <f ca="1">SUMIFS(  INDIRECT(CONCATENATE("'wind_total'!", $C37, ":", $C37)),   wind_total!$6:$6, O$4) - SUMIFS(   INDIRECT(CONCATENATE("wind_offshore!",$D37,":", $D37)), wind_offshore!$4:$4, O$4)</f>
        <v>0</v>
      </c>
      <c r="P37" s="58">
        <f ca="1">SUMIFS(  INDIRECT(CONCATENATE("'wind_total'!", $C37, ":", $C37)),   wind_total!$6:$6, P$4) - SUMIFS(   INDIRECT(CONCATENATE("wind_offshore!",$D37,":", $D37)), wind_offshore!$4:$4, P$4)</f>
        <v>0</v>
      </c>
      <c r="Q37" s="58">
        <f ca="1">SUMIFS(  INDIRECT(CONCATENATE("'wind_total'!", $C37, ":", $C37)),   wind_total!$6:$6, Q$4) - SUMIFS(   INDIRECT(CONCATENATE("wind_offshore!",$D37,":", $D37)), wind_offshore!$4:$4, Q$4)</f>
        <v>0</v>
      </c>
      <c r="R37" s="58">
        <f ca="1">SUMIFS(  INDIRECT(CONCATENATE("'wind_total'!", $C37, ":", $C37)),   wind_total!$6:$6, R$4) - SUMIFS(   INDIRECT(CONCATENATE("wind_offshore!",$D37,":", $D37)), wind_offshore!$4:$4, R$4)</f>
        <v>0</v>
      </c>
      <c r="S37" s="58">
        <f ca="1">SUMIFS(  INDIRECT(CONCATENATE("'wind_total'!", $C37, ":", $C37)),   wind_total!$6:$6, S$4) - SUMIFS(   INDIRECT(CONCATENATE("wind_offshore!",$D37,":", $D37)), wind_offshore!$4:$4, S$4)</f>
        <v>0</v>
      </c>
      <c r="T37" s="58">
        <f ca="1">SUMIFS(  INDIRECT(CONCATENATE("'wind_total'!", $C37, ":", $C37)),   wind_total!$6:$6, T$4) - SUMIFS(   INDIRECT(CONCATENATE("wind_offshore!",$D37,":", $D37)), wind_offshore!$4:$4, T$4)</f>
        <v>0</v>
      </c>
      <c r="U37" s="58">
        <f ca="1">SUMIFS(  INDIRECT(CONCATENATE("'wind_total'!", $C37, ":", $C37)),   wind_total!$6:$6, U$4) - SUMIFS(   INDIRECT(CONCATENATE("wind_offshore!",$D37,":", $D37)), wind_offshore!$4:$4, U$4)</f>
        <v>0</v>
      </c>
      <c r="V37" s="58">
        <f ca="1">SUMIFS(  INDIRECT(CONCATENATE("'wind_total'!", $C37, ":", $C37)),   wind_total!$6:$6, V$4) - SUMIFS(   INDIRECT(CONCATENATE("wind_offshore!",$D37,":", $D37)), wind_offshore!$4:$4, V$4)</f>
        <v>0</v>
      </c>
      <c r="W37" s="58">
        <f ca="1">SUMIFS(  INDIRECT(CONCATENATE("'wind_total'!", $C37, ":", $C37)),   wind_total!$6:$6, W$4) - SUMIFS(   INDIRECT(CONCATENATE("wind_offshore!",$D37,":", $D37)), wind_offshore!$4:$4, W$4)</f>
        <v>0</v>
      </c>
      <c r="X37" s="58">
        <f ca="1">SUMIFS(  INDIRECT(CONCATENATE("'wind_total'!", $C37, ":", $C37)),   wind_total!$6:$6, X$4) - SUMIFS(   INDIRECT(CONCATENATE("wind_offshore!",$D37,":", $D37)), wind_offshore!$4:$4, X$4)</f>
        <v>0</v>
      </c>
      <c r="Y37" s="58">
        <f ca="1">SUMIFS(  INDIRECT(CONCATENATE("'wind_total'!", $C37, ":", $C37)),   wind_total!$6:$6, Y$4) - SUMIFS(   INDIRECT(CONCATENATE("wind_offshore!",$D37,":", $D37)), wind_offshore!$4:$4, Y$4)</f>
        <v>0</v>
      </c>
      <c r="Z37" s="58">
        <f ca="1">SUMIFS(  INDIRECT(CONCATENATE("'wind_total'!", $C37, ":", $C37)),   wind_total!$6:$6, Z$4) - SUMIFS(   INDIRECT(CONCATENATE("wind_offshore!",$D37,":", $D37)), wind_offshore!$4:$4, Z$4)</f>
        <v>118</v>
      </c>
      <c r="AA37" s="58">
        <f ca="1">SUMIFS(  INDIRECT(CONCATENATE("'wind_total'!", $C37, ":", $C37)),   wind_total!$6:$6, AA$4) - SUMIFS(   INDIRECT(CONCATENATE("wind_offshore!",$D37,":", $D37)), wind_offshore!$4:$4, AA$4)</f>
        <v>118</v>
      </c>
      <c r="AB37" s="58">
        <f ca="1">SUMIFS(  INDIRECT(CONCATENATE("'wind_total'!", $C37, ":", $C37)),   wind_total!$6:$6, AB$4) - SUMIFS(   INDIRECT(CONCATENATE("wind_offshore!",$D37,":", $D37)), wind_offshore!$4:$4, AB$4)</f>
        <v>118</v>
      </c>
      <c r="AC37" s="58">
        <f ca="1">SUMIFS(  INDIRECT(CONCATENATE("'wind_total'!", $C37, ":", $C37)),   wind_total!$6:$6, AC$4) - SUMIFS(   INDIRECT(CONCATENATE("wind_offshore!",$D37,":", $D37)), wind_offshore!$4:$4, AC$4)</f>
        <v>118</v>
      </c>
      <c r="AD37" s="58">
        <f ca="1">SUMIFS(  INDIRECT(CONCATENATE("'wind_total'!", $C37, ":", $C37)),   wind_total!$6:$6, AD$4) - SUMIFS(   INDIRECT(CONCATENATE("wind_offshore!",$D37,":", $D37)), wind_offshore!$4:$4, AD$4)</f>
        <v>118</v>
      </c>
      <c r="AE37" s="58">
        <f ca="1">SUMIFS(  INDIRECT(CONCATENATE("'wind_total'!", $C37, ":", $C37)),   wind_total!$6:$6, AE$4) - SUMIFS(   INDIRECT(CONCATENATE("wind_offshore!",$D37,":", $D37)), wind_offshore!$4:$4, AE$4)</f>
        <v>118</v>
      </c>
      <c r="AF37" s="58">
        <f ca="1">SUMIFS(  INDIRECT(CONCATENATE("'wind_total'!", $C37, ":", $C37)),   wind_total!$6:$6, AF$4) - SUMIFS(   INDIRECT(CONCATENATE("wind_offshore!",$D37,":", $D37)), wind_offshore!$4:$4, AF$4)</f>
        <v>118</v>
      </c>
      <c r="AG37" s="6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58">
        <f ca="1">SUMIFS(  INDIRECT(CONCATENATE("'wind_total'!", $C38, ":", $C38)),   wind_total!$6:$6, F$4) - SUMIFS(   INDIRECT(CONCATENATE("wind_offshore!",$D38,":", $D38)), wind_offshore!$4:$4, F$4)</f>
        <v>0</v>
      </c>
      <c r="G38" s="58">
        <f ca="1">SUMIFS(  INDIRECT(CONCATENATE("'wind_total'!", $C38, ":", $C38)),   wind_total!$6:$6, G$4) - SUMIFS(   INDIRECT(CONCATENATE("wind_offshore!",$D38,":", $D38)), wind_offshore!$4:$4, G$4)</f>
        <v>0</v>
      </c>
      <c r="H38" s="58">
        <f ca="1">SUMIFS(  INDIRECT(CONCATENATE("'wind_total'!", $C38, ":", $C38)),   wind_total!$6:$6, H$4) - SUMIFS(   INDIRECT(CONCATENATE("wind_offshore!",$D38,":", $D38)), wind_offshore!$4:$4, H$4)</f>
        <v>0</v>
      </c>
      <c r="I38" s="58">
        <f ca="1">SUMIFS(  INDIRECT(CONCATENATE("'wind_total'!", $C38, ":", $C38)),   wind_total!$6:$6, I$4) - SUMIFS(   INDIRECT(CONCATENATE("wind_offshore!",$D38,":", $D38)), wind_offshore!$4:$4, I$4)</f>
        <v>0</v>
      </c>
      <c r="J38" s="58">
        <f ca="1">SUMIFS(  INDIRECT(CONCATENATE("'wind_total'!", $C38, ":", $C38)),   wind_total!$6:$6, J$4) - SUMIFS(   INDIRECT(CONCATENATE("wind_offshore!",$D38,":", $D38)), wind_offshore!$4:$4, J$4)</f>
        <v>0</v>
      </c>
      <c r="K38" s="58">
        <f ca="1">SUMIFS(  INDIRECT(CONCATENATE("'wind_total'!", $C38, ":", $C38)),   wind_total!$6:$6, K$4) - SUMIFS(   INDIRECT(CONCATENATE("wind_offshore!",$D38,":", $D38)), wind_offshore!$4:$4, K$4)</f>
        <v>0</v>
      </c>
      <c r="L38" s="58">
        <f ca="1">SUMIFS(  INDIRECT(CONCATENATE("'wind_total'!", $C38, ":", $C38)),   wind_total!$6:$6, L$4) - SUMIFS(   INDIRECT(CONCATENATE("wind_offshore!",$D38,":", $D38)), wind_offshore!$4:$4, L$4)</f>
        <v>0</v>
      </c>
      <c r="M38" s="58">
        <f ca="1">SUMIFS(  INDIRECT(CONCATENATE("'wind_total'!", $C38, ":", $C38)),   wind_total!$6:$6, M$4) - SUMIFS(   INDIRECT(CONCATENATE("wind_offshore!",$D38,":", $D38)), wind_offshore!$4:$4, M$4)</f>
        <v>12</v>
      </c>
      <c r="N38" s="58">
        <f ca="1">SUMIFS(  INDIRECT(CONCATENATE("'wind_total'!", $C38, ":", $C38)),   wind_total!$6:$6, N$4) - SUMIFS(   INDIRECT(CONCATENATE("wind_offshore!",$D38,":", $D38)), wind_offshore!$4:$4, N$4)</f>
        <v>12</v>
      </c>
      <c r="O38" s="58">
        <f ca="1">SUMIFS(  INDIRECT(CONCATENATE("'wind_total'!", $C38, ":", $C38)),   wind_total!$6:$6, O$4) - SUMIFS(   INDIRECT(CONCATENATE("wind_offshore!",$D38,":", $D38)), wind_offshore!$4:$4, O$4)</f>
        <v>12</v>
      </c>
      <c r="P38" s="58">
        <f ca="1">SUMIFS(  INDIRECT(CONCATENATE("'wind_total'!", $C38, ":", $C38)),   wind_total!$6:$6, P$4) - SUMIFS(   INDIRECT(CONCATENATE("wind_offshore!",$D38,":", $D38)), wind_offshore!$4:$4, P$4)</f>
        <v>14</v>
      </c>
      <c r="Q38" s="58">
        <f ca="1">SUMIFS(  INDIRECT(CONCATENATE("'wind_total'!", $C38, ":", $C38)),   wind_total!$6:$6, Q$4) - SUMIFS(   INDIRECT(CONCATENATE("wind_offshore!",$D38,":", $D38)), wind_offshore!$4:$4, Q$4)</f>
        <v>18</v>
      </c>
      <c r="R38" s="58">
        <f ca="1">SUMIFS(  INDIRECT(CONCATENATE("'wind_total'!", $C38, ":", $C38)),   wind_total!$6:$6, R$4) - SUMIFS(   INDIRECT(CONCATENATE("wind_offshore!",$D38,":", $D38)), wind_offshore!$4:$4, R$4)</f>
        <v>42</v>
      </c>
      <c r="S38" s="58">
        <f ca="1">SUMIFS(  INDIRECT(CONCATENATE("'wind_total'!", $C38, ":", $C38)),   wind_total!$6:$6, S$4) - SUMIFS(   INDIRECT(CONCATENATE("wind_offshore!",$D38,":", $D38)), wind_offshore!$4:$4, S$4)</f>
        <v>46</v>
      </c>
      <c r="T38" s="58">
        <f ca="1">SUMIFS(  INDIRECT(CONCATENATE("'wind_total'!", $C38, ":", $C38)),   wind_total!$6:$6, T$4) - SUMIFS(   INDIRECT(CONCATENATE("wind_offshore!",$D38,":", $D38)), wind_offshore!$4:$4, T$4)</f>
        <v>50</v>
      </c>
      <c r="U38" s="58">
        <f ca="1">SUMIFS(  INDIRECT(CONCATENATE("'wind_total'!", $C38, ":", $C38)),   wind_total!$6:$6, U$4) - SUMIFS(   INDIRECT(CONCATENATE("wind_offshore!",$D38,":", $D38)), wind_offshore!$4:$4, U$4)</f>
        <v>60</v>
      </c>
      <c r="V38" s="58">
        <f ca="1">SUMIFS(  INDIRECT(CONCATENATE("'wind_total'!", $C38, ":", $C38)),   wind_total!$6:$6, V$4) - SUMIFS(   INDIRECT(CONCATENATE("wind_offshore!",$D38,":", $D38)), wind_offshore!$4:$4, V$4)</f>
        <v>60</v>
      </c>
      <c r="W38" s="58">
        <f ca="1">SUMIFS(  INDIRECT(CONCATENATE("'wind_total'!", $C38, ":", $C38)),   wind_total!$6:$6, W$4) - SUMIFS(   INDIRECT(CONCATENATE("wind_offshore!",$D38,":", $D38)), wind_offshore!$4:$4, W$4)</f>
        <v>60</v>
      </c>
      <c r="X38" s="58">
        <f ca="1">SUMIFS(  INDIRECT(CONCATENATE("'wind_total'!", $C38, ":", $C38)),   wind_total!$6:$6, X$4) - SUMIFS(   INDIRECT(CONCATENATE("wind_offshore!",$D38,":", $D38)), wind_offshore!$4:$4, X$4)</f>
        <v>75</v>
      </c>
      <c r="Y38" s="58">
        <f ca="1">SUMIFS(  INDIRECT(CONCATENATE("'wind_total'!", $C38, ":", $C38)),   wind_total!$6:$6, Y$4) - SUMIFS(   INDIRECT(CONCATENATE("wind_offshore!",$D38,":", $D38)), wind_offshore!$4:$4, Y$4)</f>
        <v>75</v>
      </c>
      <c r="Z38" s="58">
        <f ca="1">SUMIFS(  INDIRECT(CONCATENATE("'wind_total'!", $C38, ":", $C38)),   wind_total!$6:$6, Z$4) - SUMIFS(   INDIRECT(CONCATENATE("wind_offshore!",$D38,":", $D38)), wind_offshore!$4:$4, Z$4)</f>
        <v>75</v>
      </c>
      <c r="AA38" s="58">
        <f ca="1">SUMIFS(  INDIRECT(CONCATENATE("'wind_total'!", $C38, ":", $C38)),   wind_total!$6:$6, AA$4) - SUMIFS(   INDIRECT(CONCATENATE("wind_offshore!",$D38,":", $D38)), wind_offshore!$4:$4, AA$4)</f>
        <v>75</v>
      </c>
      <c r="AB38" s="58">
        <f ca="1">SUMIFS(  INDIRECT(CONCATENATE("'wind_total'!", $C38, ":", $C38)),   wind_total!$6:$6, AB$4) - SUMIFS(   INDIRECT(CONCATENATE("wind_offshore!",$D38,":", $D38)), wind_offshore!$4:$4, AB$4)</f>
        <v>87</v>
      </c>
      <c r="AC38" s="58">
        <f ca="1">SUMIFS(  INDIRECT(CONCATENATE("'wind_total'!", $C38, ":", $C38)),   wind_total!$6:$6, AC$4) - SUMIFS(   INDIRECT(CONCATENATE("wind_offshore!",$D38,":", $D38)), wind_offshore!$4:$4, AC$4)</f>
        <v>87</v>
      </c>
      <c r="AD38" s="58">
        <f ca="1">SUMIFS(  INDIRECT(CONCATENATE("'wind_total'!", $C38, ":", $C38)),   wind_total!$6:$6, AD$4) - SUMIFS(   INDIRECT(CONCATENATE("wind_offshore!",$D38,":", $D38)), wind_offshore!$4:$4, AD$4)</f>
        <v>87</v>
      </c>
      <c r="AE38" s="58">
        <f ca="1">SUMIFS(  INDIRECT(CONCATENATE("'wind_total'!", $C38, ":", $C38)),   wind_total!$6:$6, AE$4) - SUMIFS(   INDIRECT(CONCATENATE("wind_offshore!",$D38,":", $D38)), wind_offshore!$4:$4, AE$4)</f>
        <v>101</v>
      </c>
      <c r="AF38" s="58">
        <f ca="1">SUMIFS(  INDIRECT(CONCATENATE("'wind_total'!", $C38, ":", $C38)),   wind_total!$6:$6, AF$4) - SUMIFS(   INDIRECT(CONCATENATE("wind_offshore!",$D38,":", $D38)), wind_offshore!$4:$4, AF$4)</f>
        <v>100</v>
      </c>
      <c r="AG38" s="6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58">
        <f ca="1">SUMIFS(  INDIRECT(CONCATENATE("'wind_total'!", $C39, ":", $C39)),   wind_total!$6:$6, F$4) - SUMIFS(   INDIRECT(CONCATENATE("wind_offshore!",$D39,":", $D39)), wind_offshore!$4:$4, F$4)</f>
        <v>0</v>
      </c>
      <c r="G39" s="58">
        <f ca="1">SUMIFS(  INDIRECT(CONCATENATE("'wind_total'!", $C39, ":", $C39)),   wind_total!$6:$6, G$4) - SUMIFS(   INDIRECT(CONCATENATE("wind_offshore!",$D39,":", $D39)), wind_offshore!$4:$4, G$4)</f>
        <v>0</v>
      </c>
      <c r="H39" s="58">
        <f ca="1">SUMIFS(  INDIRECT(CONCATENATE("'wind_total'!", $C39, ":", $C39)),   wind_total!$6:$6, H$4) - SUMIFS(   INDIRECT(CONCATENATE("wind_offshore!",$D39,":", $D39)), wind_offshore!$4:$4, H$4)</f>
        <v>0</v>
      </c>
      <c r="I39" s="58">
        <f ca="1">SUMIFS(  INDIRECT(CONCATENATE("'wind_total'!", $C39, ":", $C39)),   wind_total!$6:$6, I$4) - SUMIFS(   INDIRECT(CONCATENATE("wind_offshore!",$D39,":", $D39)), wind_offshore!$4:$4, I$4)</f>
        <v>0</v>
      </c>
      <c r="J39" s="58">
        <f ca="1">SUMIFS(  INDIRECT(CONCATENATE("'wind_total'!", $C39, ":", $C39)),   wind_total!$6:$6, J$4) - SUMIFS(   INDIRECT(CONCATENATE("wind_offshore!",$D39,":", $D39)), wind_offshore!$4:$4, J$4)</f>
        <v>0</v>
      </c>
      <c r="K39" s="58">
        <f ca="1">SUMIFS(  INDIRECT(CONCATENATE("'wind_total'!", $C39, ":", $C39)),   wind_total!$6:$6, K$4) - SUMIFS(   INDIRECT(CONCATENATE("wind_offshore!",$D39,":", $D39)), wind_offshore!$4:$4, K$4)</f>
        <v>0</v>
      </c>
      <c r="L39" s="58">
        <f ca="1">SUMIFS(  INDIRECT(CONCATENATE("'wind_total'!", $C39, ":", $C39)),   wind_total!$6:$6, L$4) - SUMIFS(   INDIRECT(CONCATENATE("wind_offshore!",$D39,":", $D39)), wind_offshore!$4:$4, L$4)</f>
        <v>0</v>
      </c>
      <c r="M39" s="58">
        <f ca="1">SUMIFS(  INDIRECT(CONCATENATE("'wind_total'!", $C39, ":", $C39)),   wind_total!$6:$6, M$4) - SUMIFS(   INDIRECT(CONCATENATE("wind_offshore!",$D39,":", $D39)), wind_offshore!$4:$4, M$4)</f>
        <v>0</v>
      </c>
      <c r="N39" s="58">
        <f ca="1">SUMIFS(  INDIRECT(CONCATENATE("'wind_total'!", $C39, ":", $C39)),   wind_total!$6:$6, N$4) - SUMIFS(   INDIRECT(CONCATENATE("wind_offshore!",$D39,":", $D39)), wind_offshore!$4:$4, N$4)</f>
        <v>0</v>
      </c>
      <c r="O39" s="58">
        <f ca="1">SUMIFS(  INDIRECT(CONCATENATE("'wind_total'!", $C39, ":", $C39)),   wind_total!$6:$6, O$4) - SUMIFS(   INDIRECT(CONCATENATE("wind_offshore!",$D39,":", $D39)), wind_offshore!$4:$4, O$4)</f>
        <v>0</v>
      </c>
      <c r="P39" s="58">
        <f ca="1">SUMIFS(  INDIRECT(CONCATENATE("'wind_total'!", $C39, ":", $C39)),   wind_total!$6:$6, P$4) - SUMIFS(   INDIRECT(CONCATENATE("wind_offshore!",$D39,":", $D39)), wind_offshore!$4:$4, P$4)</f>
        <v>0</v>
      </c>
      <c r="Q39" s="58">
        <f ca="1">SUMIFS(  INDIRECT(CONCATENATE("'wind_total'!", $C39, ":", $C39)),   wind_total!$6:$6, Q$4) - SUMIFS(   INDIRECT(CONCATENATE("wind_offshore!",$D39,":", $D39)), wind_offshore!$4:$4, Q$4)</f>
        <v>0</v>
      </c>
      <c r="R39" s="58">
        <f ca="1">SUMIFS(  INDIRECT(CONCATENATE("'wind_total'!", $C39, ":", $C39)),   wind_total!$6:$6, R$4) - SUMIFS(   INDIRECT(CONCATENATE("wind_offshore!",$D39,":", $D39)), wind_offshore!$4:$4, R$4)</f>
        <v>0</v>
      </c>
      <c r="S39" s="58">
        <f ca="1">SUMIFS(  INDIRECT(CONCATENATE("'wind_total'!", $C39, ":", $C39)),   wind_total!$6:$6, S$4) - SUMIFS(   INDIRECT(CONCATENATE("wind_offshore!",$D39,":", $D39)), wind_offshore!$4:$4, S$4)</f>
        <v>0</v>
      </c>
      <c r="T39" s="58">
        <f ca="1">SUMIFS(  INDIRECT(CONCATENATE("'wind_total'!", $C39, ":", $C39)),   wind_total!$6:$6, T$4) - SUMIFS(   INDIRECT(CONCATENATE("wind_offshore!",$D39,":", $D39)), wind_offshore!$4:$4, T$4)</f>
        <v>0</v>
      </c>
      <c r="U39" s="58">
        <f ca="1">SUMIFS(  INDIRECT(CONCATENATE("'wind_total'!", $C39, ":", $C39)),   wind_total!$6:$6, U$4) - SUMIFS(   INDIRECT(CONCATENATE("wind_offshore!",$D39,":", $D39)), wind_offshore!$4:$4, U$4)</f>
        <v>0</v>
      </c>
      <c r="V39" s="58">
        <f ca="1">SUMIFS(  INDIRECT(CONCATENATE("'wind_total'!", $C39, ":", $C39)),   wind_total!$6:$6, V$4) - SUMIFS(   INDIRECT(CONCATENATE("wind_offshore!",$D39,":", $D39)), wind_offshore!$4:$4, V$4)</f>
        <v>37</v>
      </c>
      <c r="W39" s="58">
        <f ca="1">SUMIFS(  INDIRECT(CONCATENATE("'wind_total'!", $C39, ":", $C39)),   wind_total!$6:$6, W$4) - SUMIFS(   INDIRECT(CONCATENATE("wind_offshore!",$D39,":", $D39)), wind_offshore!$4:$4, W$4)</f>
        <v>37</v>
      </c>
      <c r="X39" s="58">
        <f ca="1">SUMIFS(  INDIRECT(CONCATENATE("'wind_total'!", $C39, ":", $C39)),   wind_total!$6:$6, X$4) - SUMIFS(   INDIRECT(CONCATENATE("wind_offshore!",$D39,":", $D39)), wind_offshore!$4:$4, X$4)</f>
        <v>37</v>
      </c>
      <c r="Y39" s="58">
        <f ca="1">SUMIFS(  INDIRECT(CONCATENATE("'wind_total'!", $C39, ":", $C39)),   wind_total!$6:$6, Y$4) - SUMIFS(   INDIRECT(CONCATENATE("wind_offshore!",$D39,":", $D39)), wind_offshore!$4:$4, Y$4)</f>
        <v>37</v>
      </c>
      <c r="Z39" s="58">
        <f ca="1">SUMIFS(  INDIRECT(CONCATENATE("'wind_total'!", $C39, ":", $C39)),   wind_total!$6:$6, Z$4) - SUMIFS(   INDIRECT(CONCATENATE("wind_offshore!",$D39,":", $D39)), wind_offshore!$4:$4, Z$4)</f>
        <v>37</v>
      </c>
      <c r="AA39" s="58">
        <f ca="1">SUMIFS(  INDIRECT(CONCATENATE("'wind_total'!", $C39, ":", $C39)),   wind_total!$6:$6, AA$4) - SUMIFS(   INDIRECT(CONCATENATE("wind_offshore!",$D39,":", $D39)), wind_offshore!$4:$4, AA$4)</f>
        <v>37</v>
      </c>
      <c r="AB39" s="58">
        <f ca="1">SUMIFS(  INDIRECT(CONCATENATE("'wind_total'!", $C39, ":", $C39)),   wind_total!$6:$6, AB$4) - SUMIFS(   INDIRECT(CONCATENATE("wind_offshore!",$D39,":", $D39)), wind_offshore!$4:$4, AB$4)</f>
        <v>37</v>
      </c>
      <c r="AC39" s="58">
        <f ca="1">SUMIFS(  INDIRECT(CONCATENATE("'wind_total'!", $C39, ":", $C39)),   wind_total!$6:$6, AC$4) - SUMIFS(   INDIRECT(CONCATENATE("wind_offshore!",$D39,":", $D39)), wind_offshore!$4:$4, AC$4)</f>
        <v>37</v>
      </c>
      <c r="AD39" s="58">
        <f ca="1">SUMIFS(  INDIRECT(CONCATENATE("'wind_total'!", $C39, ":", $C39)),   wind_total!$6:$6, AD$4) - SUMIFS(   INDIRECT(CONCATENATE("wind_offshore!",$D39,":", $D39)), wind_offshore!$4:$4, AD$4)</f>
        <v>37</v>
      </c>
      <c r="AE39" s="58">
        <f ca="1">SUMIFS(  INDIRECT(CONCATENATE("'wind_total'!", $C39, ":", $C39)),   wind_total!$6:$6, AE$4) - SUMIFS(   INDIRECT(CONCATENATE("wind_offshore!",$D39,":", $D39)), wind_offshore!$4:$4, AE$4)</f>
        <v>73</v>
      </c>
      <c r="AF39" s="58">
        <f ca="1">SUMIFS(  INDIRECT(CONCATENATE("'wind_total'!", $C39, ":", $C39)),   wind_total!$6:$6, AF$4) - SUMIFS(   INDIRECT(CONCATENATE("wind_offshore!",$D39,":", $D39)), wind_offshore!$4:$4, AF$4)</f>
        <v>73</v>
      </c>
      <c r="AG39" s="6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58">
        <f ca="1">SUMIFS(  INDIRECT(CONCATENATE("'wind_total'!", $C40, ":", $C40)),   wind_total!$6:$6, F$4) - SUMIFS(   INDIRECT(CONCATENATE("wind_offshore!",$D40,":", $D40)), wind_offshore!$4:$4, F$4)</f>
        <v>0</v>
      </c>
      <c r="G40" s="58">
        <f ca="1">SUMIFS(  INDIRECT(CONCATENATE("'wind_total'!", $C40, ":", $C40)),   wind_total!$6:$6, G$4) - SUMIFS(   INDIRECT(CONCATENATE("wind_offshore!",$D40,":", $D40)), wind_offshore!$4:$4, G$4)</f>
        <v>0</v>
      </c>
      <c r="H40" s="58">
        <f ca="1">SUMIFS(  INDIRECT(CONCATENATE("'wind_total'!", $C40, ":", $C40)),   wind_total!$6:$6, H$4) - SUMIFS(   INDIRECT(CONCATENATE("wind_offshore!",$D40,":", $D40)), wind_offshore!$4:$4, H$4)</f>
        <v>0</v>
      </c>
      <c r="I40" s="58">
        <f ca="1">SUMIFS(  INDIRECT(CONCATENATE("'wind_total'!", $C40, ":", $C40)),   wind_total!$6:$6, I$4) - SUMIFS(   INDIRECT(CONCATENATE("wind_offshore!",$D40,":", $D40)), wind_offshore!$4:$4, I$4)</f>
        <v>0</v>
      </c>
      <c r="J40" s="58">
        <f ca="1">SUMIFS(  INDIRECT(CONCATENATE("'wind_total'!", $C40, ":", $C40)),   wind_total!$6:$6, J$4) - SUMIFS(   INDIRECT(CONCATENATE("wind_offshore!",$D40,":", $D40)), wind_offshore!$4:$4, J$4)</f>
        <v>0</v>
      </c>
      <c r="K40" s="58">
        <f ca="1">SUMIFS(  INDIRECT(CONCATENATE("'wind_total'!", $C40, ":", $C40)),   wind_total!$6:$6, K$4) - SUMIFS(   INDIRECT(CONCATENATE("wind_offshore!",$D40,":", $D40)), wind_offshore!$4:$4, K$4)</f>
        <v>0</v>
      </c>
      <c r="L40" s="58">
        <f ca="1">SUMIFS(  INDIRECT(CONCATENATE("'wind_total'!", $C40, ":", $C40)),   wind_total!$6:$6, L$4) - SUMIFS(   INDIRECT(CONCATENATE("wind_offshore!",$D40,":", $D40)), wind_offshore!$4:$4, L$4)</f>
        <v>0</v>
      </c>
      <c r="M40" s="58">
        <f ca="1">SUMIFS(  INDIRECT(CONCATENATE("'wind_total'!", $C40, ":", $C40)),   wind_total!$6:$6, M$4) - SUMIFS(   INDIRECT(CONCATENATE("wind_offshore!",$D40,":", $D40)), wind_offshore!$4:$4, M$4)</f>
        <v>0</v>
      </c>
      <c r="N40" s="58">
        <f ca="1">SUMIFS(  INDIRECT(CONCATENATE("'wind_total'!", $C40, ":", $C40)),   wind_total!$6:$6, N$4) - SUMIFS(   INDIRECT(CONCATENATE("wind_offshore!",$D40,":", $D40)), wind_offshore!$4:$4, N$4)</f>
        <v>0</v>
      </c>
      <c r="O40" s="58">
        <f ca="1">SUMIFS(  INDIRECT(CONCATENATE("'wind_total'!", $C40, ":", $C40)),   wind_total!$6:$6, O$4) - SUMIFS(   INDIRECT(CONCATENATE("wind_offshore!",$D40,":", $D40)), wind_offshore!$4:$4, O$4)</f>
        <v>0</v>
      </c>
      <c r="P40" s="58">
        <f ca="1">SUMIFS(  INDIRECT(CONCATENATE("'wind_total'!", $C40, ":", $C40)),   wind_total!$6:$6, P$4) - SUMIFS(   INDIRECT(CONCATENATE("wind_offshore!",$D40,":", $D40)), wind_offshore!$4:$4, P$4)</f>
        <v>0</v>
      </c>
      <c r="Q40" s="58">
        <f ca="1">SUMIFS(  INDIRECT(CONCATENATE("'wind_total'!", $C40, ":", $C40)),   wind_total!$6:$6, Q$4) - SUMIFS(   INDIRECT(CONCATENATE("wind_offshore!",$D40,":", $D40)), wind_offshore!$4:$4, Q$4)</f>
        <v>0</v>
      </c>
      <c r="R40" s="58">
        <f ca="1">SUMIFS(  INDIRECT(CONCATENATE("'wind_total'!", $C40, ":", $C40)),   wind_total!$6:$6, R$4) - SUMIFS(   INDIRECT(CONCATENATE("wind_offshore!",$D40,":", $D40)), wind_offshore!$4:$4, R$4)</f>
        <v>0</v>
      </c>
      <c r="S40" s="58">
        <f ca="1">SUMIFS(  INDIRECT(CONCATENATE("'wind_total'!", $C40, ":", $C40)),   wind_total!$6:$6, S$4) - SUMIFS(   INDIRECT(CONCATENATE("wind_offshore!",$D40,":", $D40)), wind_offshore!$4:$4, S$4)</f>
        <v>0</v>
      </c>
      <c r="T40" s="58">
        <f ca="1">SUMIFS(  INDIRECT(CONCATENATE("'wind_total'!", $C40, ":", $C40)),   wind_total!$6:$6, T$4) - SUMIFS(   INDIRECT(CONCATENATE("wind_offshore!",$D40,":", $D40)), wind_offshore!$4:$4, T$4)</f>
        <v>7</v>
      </c>
      <c r="U40" s="58">
        <f ca="1">SUMIFS(  INDIRECT(CONCATENATE("'wind_total'!", $C40, ":", $C40)),   wind_total!$6:$6, U$4) - SUMIFS(   INDIRECT(CONCATENATE("wind_offshore!",$D40,":", $D40)), wind_offshore!$4:$4, U$4)</f>
        <v>7</v>
      </c>
      <c r="V40" s="58">
        <f ca="1">SUMIFS(  INDIRECT(CONCATENATE("'wind_total'!", $C40, ":", $C40)),   wind_total!$6:$6, V$4) - SUMIFS(   INDIRECT(CONCATENATE("wind_offshore!",$D40,":", $D40)), wind_offshore!$4:$4, V$4)</f>
        <v>18</v>
      </c>
      <c r="W40" s="58">
        <f ca="1">SUMIFS(  INDIRECT(CONCATENATE("'wind_total'!", $C40, ":", $C40)),   wind_total!$6:$6, W$4) - SUMIFS(   INDIRECT(CONCATENATE("wind_offshore!",$D40,":", $D40)), wind_offshore!$4:$4, W$4)</f>
        <v>18</v>
      </c>
      <c r="X40" s="58">
        <f ca="1">SUMIFS(  INDIRECT(CONCATENATE("'wind_total'!", $C40, ":", $C40)),   wind_total!$6:$6, X$4) - SUMIFS(   INDIRECT(CONCATENATE("wind_offshore!",$D40,":", $D40)), wind_offshore!$4:$4, X$4)</f>
        <v>18</v>
      </c>
      <c r="Y40" s="58">
        <f ca="1">SUMIFS(  INDIRECT(CONCATENATE("'wind_total'!", $C40, ":", $C40)),   wind_total!$6:$6, Y$4) - SUMIFS(   INDIRECT(CONCATENATE("wind_offshore!",$D40,":", $D40)), wind_offshore!$4:$4, Y$4)</f>
        <v>18</v>
      </c>
      <c r="Z40" s="58">
        <f ca="1">SUMIFS(  INDIRECT(CONCATENATE("'wind_total'!", $C40, ":", $C40)),   wind_total!$6:$6, Z$4) - SUMIFS(   INDIRECT(CONCATENATE("wind_offshore!",$D40,":", $D40)), wind_offshore!$4:$4, Z$4)</f>
        <v>0</v>
      </c>
      <c r="AA40" s="58">
        <f ca="1">SUMIFS(  INDIRECT(CONCATENATE("'wind_total'!", $C40, ":", $C40)),   wind_total!$6:$6, AA$4) - SUMIFS(   INDIRECT(CONCATENATE("wind_offshore!",$D40,":", $D40)), wind_offshore!$4:$4, AA$4)</f>
        <v>0</v>
      </c>
      <c r="AB40" s="58">
        <f ca="1">SUMIFS(  INDIRECT(CONCATENATE("'wind_total'!", $C40, ":", $C40)),   wind_total!$6:$6, AB$4) - SUMIFS(   INDIRECT(CONCATENATE("wind_offshore!",$D40,":", $D40)), wind_offshore!$4:$4, AB$4)</f>
        <v>0</v>
      </c>
      <c r="AC40" s="58">
        <f ca="1">SUMIFS(  INDIRECT(CONCATENATE("'wind_total'!", $C40, ":", $C40)),   wind_total!$6:$6, AC$4) - SUMIFS(   INDIRECT(CONCATENATE("wind_offshore!",$D40,":", $D40)), wind_offshore!$4:$4, AC$4)</f>
        <v>0</v>
      </c>
      <c r="AD40" s="58">
        <f ca="1">SUMIFS(  INDIRECT(CONCATENATE("'wind_total'!", $C40, ":", $C40)),   wind_total!$6:$6, AD$4) - SUMIFS(   INDIRECT(CONCATENATE("wind_offshore!",$D40,":", $D40)), wind_offshore!$4:$4, AD$4)</f>
        <v>68</v>
      </c>
      <c r="AE40" s="58">
        <f ca="1">SUMIFS(  INDIRECT(CONCATENATE("'wind_total'!", $C40, ":", $C40)),   wind_total!$6:$6, AE$4) - SUMIFS(   INDIRECT(CONCATENATE("wind_offshore!",$D40,":", $D40)), wind_offshore!$4:$4, AE$4)</f>
        <v>68</v>
      </c>
      <c r="AF40" s="58">
        <f ca="1">SUMIFS(  INDIRECT(CONCATENATE("'wind_total'!", $C40, ":", $C40)),   wind_total!$6:$6, AF$4) - SUMIFS(   INDIRECT(CONCATENATE("wind_offshore!",$D40,":", $D40)), wind_offshore!$4:$4, AF$4)</f>
        <v>71</v>
      </c>
      <c r="AG40" s="6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58">
        <f ca="1">SUMIFS(  INDIRECT(CONCATENATE("'wind_total'!", $C41, ":", $C41)),   wind_total!$6:$6, F$4) - SUMIFS(   INDIRECT(CONCATENATE("wind_offshore!",$D41,":", $D41)), wind_offshore!$4:$4, F$4)</f>
        <v>0</v>
      </c>
      <c r="G41" s="58">
        <f ca="1">SUMIFS(  INDIRECT(CONCATENATE("'wind_total'!", $C41, ":", $C41)),   wind_total!$6:$6, G$4) - SUMIFS(   INDIRECT(CONCATENATE("wind_offshore!",$D41,":", $D41)), wind_offshore!$4:$4, G$4)</f>
        <v>0</v>
      </c>
      <c r="H41" s="58">
        <f ca="1">SUMIFS(  INDIRECT(CONCATENATE("'wind_total'!", $C41, ":", $C41)),   wind_total!$6:$6, H$4) - SUMIFS(   INDIRECT(CONCATENATE("wind_offshore!",$D41,":", $D41)), wind_offshore!$4:$4, H$4)</f>
        <v>0</v>
      </c>
      <c r="I41" s="58">
        <f ca="1">SUMIFS(  INDIRECT(CONCATENATE("'wind_total'!", $C41, ":", $C41)),   wind_total!$6:$6, I$4) - SUMIFS(   INDIRECT(CONCATENATE("wind_offshore!",$D41,":", $D41)), wind_offshore!$4:$4, I$4)</f>
        <v>0</v>
      </c>
      <c r="J41" s="58">
        <f ca="1">SUMIFS(  INDIRECT(CONCATENATE("'wind_total'!", $C41, ":", $C41)),   wind_total!$6:$6, J$4) - SUMIFS(   INDIRECT(CONCATENATE("wind_offshore!",$D41,":", $D41)), wind_offshore!$4:$4, J$4)</f>
        <v>0</v>
      </c>
      <c r="K41" s="58">
        <f ca="1">SUMIFS(  INDIRECT(CONCATENATE("'wind_total'!", $C41, ":", $C41)),   wind_total!$6:$6, K$4) - SUMIFS(   INDIRECT(CONCATENATE("wind_offshore!",$D41,":", $D41)), wind_offshore!$4:$4, K$4)</f>
        <v>0</v>
      </c>
      <c r="L41" s="58">
        <f ca="1">SUMIFS(  INDIRECT(CONCATENATE("'wind_total'!", $C41, ":", $C41)),   wind_total!$6:$6, L$4) - SUMIFS(   INDIRECT(CONCATENATE("wind_offshore!",$D41,":", $D41)), wind_offshore!$4:$4, L$4)</f>
        <v>0</v>
      </c>
      <c r="M41" s="58">
        <f ca="1">SUMIFS(  INDIRECT(CONCATENATE("'wind_total'!", $C41, ":", $C41)),   wind_total!$6:$6, M$4) - SUMIFS(   INDIRECT(CONCATENATE("wind_offshore!",$D41,":", $D41)), wind_offshore!$4:$4, M$4)</f>
        <v>3</v>
      </c>
      <c r="N41" s="58">
        <f ca="1">SUMIFS(  INDIRECT(CONCATENATE("'wind_total'!", $C41, ":", $C41)),   wind_total!$6:$6, N$4) - SUMIFS(   INDIRECT(CONCATENATE("wind_offshore!",$D41,":", $D41)), wind_offshore!$4:$4, N$4)</f>
        <v>5</v>
      </c>
      <c r="O41" s="58">
        <f ca="1">SUMIFS(  INDIRECT(CONCATENATE("'wind_total'!", $C41, ":", $C41)),   wind_total!$6:$6, O$4) - SUMIFS(   INDIRECT(CONCATENATE("wind_offshore!",$D41,":", $D41)), wind_offshore!$4:$4, O$4)</f>
        <v>5</v>
      </c>
      <c r="P41" s="58">
        <f ca="1">SUMIFS(  INDIRECT(CONCATENATE("'wind_total'!", $C41, ":", $C41)),   wind_total!$6:$6, P$4) - SUMIFS(   INDIRECT(CONCATENATE("wind_offshore!",$D41,":", $D41)), wind_offshore!$4:$4, P$4)</f>
        <v>5</v>
      </c>
      <c r="Q41" s="58">
        <f ca="1">SUMIFS(  INDIRECT(CONCATENATE("'wind_total'!", $C41, ":", $C41)),   wind_total!$6:$6, Q$4) - SUMIFS(   INDIRECT(CONCATENATE("wind_offshore!",$D41,":", $D41)), wind_offshore!$4:$4, Q$4)</f>
        <v>5</v>
      </c>
      <c r="R41" s="58">
        <f ca="1">SUMIFS(  INDIRECT(CONCATENATE("'wind_total'!", $C41, ":", $C41)),   wind_total!$6:$6, R$4) - SUMIFS(   INDIRECT(CONCATENATE("wind_offshore!",$D41,":", $D41)), wind_offshore!$4:$4, R$4)</f>
        <v>3</v>
      </c>
      <c r="S41" s="58">
        <f ca="1">SUMIFS(  INDIRECT(CONCATENATE("'wind_total'!", $C41, ":", $C41)),   wind_total!$6:$6, S$4) - SUMIFS(   INDIRECT(CONCATENATE("wind_offshore!",$D41,":", $D41)), wind_offshore!$4:$4, S$4)</f>
        <v>3</v>
      </c>
      <c r="T41" s="58">
        <f ca="1">SUMIFS(  INDIRECT(CONCATENATE("'wind_total'!", $C41, ":", $C41)),   wind_total!$6:$6, T$4) - SUMIFS(   INDIRECT(CONCATENATE("wind_offshore!",$D41,":", $D41)), wind_offshore!$4:$4, T$4)</f>
        <v>3</v>
      </c>
      <c r="U41" s="58">
        <f ca="1">SUMIFS(  INDIRECT(CONCATENATE("'wind_total'!", $C41, ":", $C41)),   wind_total!$6:$6, U$4) - SUMIFS(   INDIRECT(CONCATENATE("wind_offshore!",$D41,":", $D41)), wind_offshore!$4:$4, U$4)</f>
        <v>3</v>
      </c>
      <c r="V41" s="58">
        <f ca="1">SUMIFS(  INDIRECT(CONCATENATE("'wind_total'!", $C41, ":", $C41)),   wind_total!$6:$6, V$4) - SUMIFS(   INDIRECT(CONCATENATE("wind_offshore!",$D41,":", $D41)), wind_offshore!$4:$4, V$4)</f>
        <v>3</v>
      </c>
      <c r="W41" s="58">
        <f ca="1">SUMIFS(  INDIRECT(CONCATENATE("'wind_total'!", $C41, ":", $C41)),   wind_total!$6:$6, W$4) - SUMIFS(   INDIRECT(CONCATENATE("wind_offshore!",$D41,":", $D41)), wind_offshore!$4:$4, W$4)</f>
        <v>3</v>
      </c>
      <c r="X41" s="58">
        <f ca="1">SUMIFS(  INDIRECT(CONCATENATE("'wind_total'!", $C41, ":", $C41)),   wind_total!$6:$6, X$4) - SUMIFS(   INDIRECT(CONCATENATE("wind_offshore!",$D41,":", $D41)), wind_offshore!$4:$4, X$4)</f>
        <v>3</v>
      </c>
      <c r="Y41" s="58">
        <f ca="1">SUMIFS(  INDIRECT(CONCATENATE("'wind_total'!", $C41, ":", $C41)),   wind_total!$6:$6, Y$4) - SUMIFS(   INDIRECT(CONCATENATE("wind_offshore!",$D41,":", $D41)), wind_offshore!$4:$4, Y$4)</f>
        <v>3</v>
      </c>
      <c r="Z41" s="58">
        <f ca="1">SUMIFS(  INDIRECT(CONCATENATE("'wind_total'!", $C41, ":", $C41)),   wind_total!$6:$6, Z$4) - SUMIFS(   INDIRECT(CONCATENATE("wind_offshore!",$D41,":", $D41)), wind_offshore!$4:$4, Z$4)</f>
        <v>3</v>
      </c>
      <c r="AA41" s="58">
        <f ca="1">SUMIFS(  INDIRECT(CONCATENATE("'wind_total'!", $C41, ":", $C41)),   wind_total!$6:$6, AA$4) - SUMIFS(   INDIRECT(CONCATENATE("wind_offshore!",$D41,":", $D41)), wind_offshore!$4:$4, AA$4)</f>
        <v>3</v>
      </c>
      <c r="AB41" s="58">
        <f ca="1">SUMIFS(  INDIRECT(CONCATENATE("'wind_total'!", $C41, ":", $C41)),   wind_total!$6:$6, AB$4) - SUMIFS(   INDIRECT(CONCATENATE("wind_offshore!",$D41,":", $D41)), wind_offshore!$4:$4, AB$4)</f>
        <v>3</v>
      </c>
      <c r="AC41" s="58">
        <f ca="1">SUMIFS(  INDIRECT(CONCATENATE("'wind_total'!", $C41, ":", $C41)),   wind_total!$6:$6, AC$4) - SUMIFS(   INDIRECT(CONCATENATE("wind_offshore!",$D41,":", $D41)), wind_offshore!$4:$4, AC$4)</f>
        <v>3</v>
      </c>
      <c r="AD41" s="58">
        <f ca="1">SUMIFS(  INDIRECT(CONCATENATE("'wind_total'!", $C41, ":", $C41)),   wind_total!$6:$6, AD$4) - SUMIFS(   INDIRECT(CONCATENATE("wind_offshore!",$D41,":", $D41)), wind_offshore!$4:$4, AD$4)</f>
        <v>3</v>
      </c>
      <c r="AE41" s="58">
        <f ca="1">SUMIFS(  INDIRECT(CONCATENATE("'wind_total'!", $C41, ":", $C41)),   wind_total!$6:$6, AE$4) - SUMIFS(   INDIRECT(CONCATENATE("wind_offshore!",$D41,":", $D41)), wind_offshore!$4:$4, AE$4)</f>
        <v>3</v>
      </c>
      <c r="AF41" s="58">
        <f ca="1">SUMIFS(  INDIRECT(CONCATENATE("'wind_total'!", $C41, ":", $C41)),   wind_total!$6:$6, AF$4) - SUMIFS(   INDIRECT(CONCATENATE("wind_offshore!",$D41,":", $D41)), wind_offshore!$4:$4, AF$4)</f>
        <v>4</v>
      </c>
      <c r="AG41" s="6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58">
        <f ca="1">SUMIFS(  INDIRECT(CONCATENATE("'wind_total'!", $C42, ":", $C42)),   wind_total!$6:$6, F$4) - SUMIFS(   INDIRECT(CONCATENATE("wind_offshore!",$D42,":", $D42)), wind_offshore!$4:$4, F$4)</f>
        <v>0</v>
      </c>
      <c r="G42" s="58">
        <f ca="1">SUMIFS(  INDIRECT(CONCATENATE("'wind_total'!", $C42, ":", $C42)),   wind_total!$6:$6, G$4) - SUMIFS(   INDIRECT(CONCATENATE("wind_offshore!",$D42,":", $D42)), wind_offshore!$4:$4, G$4)</f>
        <v>0</v>
      </c>
      <c r="H42" s="58">
        <f ca="1">SUMIFS(  INDIRECT(CONCATENATE("'wind_total'!", $C42, ":", $C42)),   wind_total!$6:$6, H$4) - SUMIFS(   INDIRECT(CONCATENATE("wind_offshore!",$D42,":", $D42)), wind_offshore!$4:$4, H$4)</f>
        <v>0</v>
      </c>
      <c r="I42" s="58">
        <f ca="1">SUMIFS(  INDIRECT(CONCATENATE("'wind_total'!", $C42, ":", $C42)),   wind_total!$6:$6, I$4) - SUMIFS(   INDIRECT(CONCATENATE("wind_offshore!",$D42,":", $D42)), wind_offshore!$4:$4, I$4)</f>
        <v>0</v>
      </c>
      <c r="J42" s="58">
        <f ca="1">SUMIFS(  INDIRECT(CONCATENATE("'wind_total'!", $C42, ":", $C42)),   wind_total!$6:$6, J$4) - SUMIFS(   INDIRECT(CONCATENATE("wind_offshore!",$D42,":", $D42)), wind_offshore!$4:$4, J$4)</f>
        <v>0</v>
      </c>
      <c r="K42" s="58">
        <f ca="1">SUMIFS(  INDIRECT(CONCATENATE("'wind_total'!", $C42, ":", $C42)),   wind_total!$6:$6, K$4) - SUMIFS(   INDIRECT(CONCATENATE("wind_offshore!",$D42,":", $D42)), wind_offshore!$4:$4, K$4)</f>
        <v>0</v>
      </c>
      <c r="L42" s="58">
        <f ca="1">SUMIFS(  INDIRECT(CONCATENATE("'wind_total'!", $C42, ":", $C42)),   wind_total!$6:$6, L$4) - SUMIFS(   INDIRECT(CONCATENATE("wind_offshore!",$D42,":", $D42)), wind_offshore!$4:$4, L$4)</f>
        <v>0</v>
      </c>
      <c r="M42" s="58">
        <f ca="1">SUMIFS(  INDIRECT(CONCATENATE("'wind_total'!", $C42, ":", $C42)),   wind_total!$6:$6, M$4) - SUMIFS(   INDIRECT(CONCATENATE("wind_offshore!",$D42,":", $D42)), wind_offshore!$4:$4, M$4)</f>
        <v>0</v>
      </c>
      <c r="N42" s="58">
        <f ca="1">SUMIFS(  INDIRECT(CONCATENATE("'wind_total'!", $C42, ":", $C42)),   wind_total!$6:$6, N$4) - SUMIFS(   INDIRECT(CONCATENATE("wind_offshore!",$D42,":", $D42)), wind_offshore!$4:$4, N$4)</f>
        <v>0</v>
      </c>
      <c r="O42" s="58">
        <f ca="1">SUMIFS(  INDIRECT(CONCATENATE("'wind_total'!", $C42, ":", $C42)),   wind_total!$6:$6, O$4) - SUMIFS(   INDIRECT(CONCATENATE("wind_offshore!",$D42,":", $D42)), wind_offshore!$4:$4, O$4)</f>
        <v>0</v>
      </c>
      <c r="P42" s="58">
        <f ca="1">SUMIFS(  INDIRECT(CONCATENATE("'wind_total'!", $C42, ":", $C42)),   wind_total!$6:$6, P$4) - SUMIFS(   INDIRECT(CONCATENATE("wind_offshore!",$D42,":", $D42)), wind_offshore!$4:$4, P$4)</f>
        <v>0</v>
      </c>
      <c r="Q42" s="58">
        <f ca="1">SUMIFS(  INDIRECT(CONCATENATE("'wind_total'!", $C42, ":", $C42)),   wind_total!$6:$6, Q$4) - SUMIFS(   INDIRECT(CONCATENATE("wind_offshore!",$D42,":", $D42)), wind_offshore!$4:$4, Q$4)</f>
        <v>0</v>
      </c>
      <c r="R42" s="58">
        <f ca="1">SUMIFS(  INDIRECT(CONCATENATE("'wind_total'!", $C42, ":", $C42)),   wind_total!$6:$6, R$4) - SUMIFS(   INDIRECT(CONCATENATE("wind_offshore!",$D42,":", $D42)), wind_offshore!$4:$4, R$4)</f>
        <v>0</v>
      </c>
      <c r="S42" s="58">
        <f ca="1">SUMIFS(  INDIRECT(CONCATENATE("'wind_total'!", $C42, ":", $C42)),   wind_total!$6:$6, S$4) - SUMIFS(   INDIRECT(CONCATENATE("wind_offshore!",$D42,":", $D42)), wind_offshore!$4:$4, S$4)</f>
        <v>0</v>
      </c>
      <c r="T42" s="58">
        <f ca="1">SUMIFS(  INDIRECT(CONCATENATE("'wind_total'!", $C42, ":", $C42)),   wind_total!$6:$6, T$4) - SUMIFS(   INDIRECT(CONCATENATE("wind_offshore!",$D42,":", $D42)), wind_offshore!$4:$4, T$4)</f>
        <v>0</v>
      </c>
      <c r="U42" s="58">
        <f ca="1">SUMIFS(  INDIRECT(CONCATENATE("'wind_total'!", $C42, ":", $C42)),   wind_total!$6:$6, U$4) - SUMIFS(   INDIRECT(CONCATENATE("wind_offshore!",$D42,":", $D42)), wind_offshore!$4:$4, U$4)</f>
        <v>3</v>
      </c>
      <c r="V42" s="58">
        <f ca="1">SUMIFS(  INDIRECT(CONCATENATE("'wind_total'!", $C42, ":", $C42)),   wind_total!$6:$6, V$4) - SUMIFS(   INDIRECT(CONCATENATE("wind_offshore!",$D42,":", $D42)), wind_offshore!$4:$4, V$4)</f>
        <v>3</v>
      </c>
      <c r="W42" s="58">
        <f ca="1">SUMIFS(  INDIRECT(CONCATENATE("'wind_total'!", $C42, ":", $C42)),   wind_total!$6:$6, W$4) - SUMIFS(   INDIRECT(CONCATENATE("wind_offshore!",$D42,":", $D42)), wind_offshore!$4:$4, W$4)</f>
        <v>3</v>
      </c>
      <c r="X42" s="58">
        <f ca="1">SUMIFS(  INDIRECT(CONCATENATE("'wind_total'!", $C42, ":", $C42)),   wind_total!$6:$6, X$4) - SUMIFS(   INDIRECT(CONCATENATE("wind_offshore!",$D42,":", $D42)), wind_offshore!$4:$4, X$4)</f>
        <v>3</v>
      </c>
      <c r="Y42" s="58">
        <f ca="1">SUMIFS(  INDIRECT(CONCATENATE("'wind_total'!", $C42, ":", $C42)),   wind_total!$6:$6, Y$4) - SUMIFS(   INDIRECT(CONCATENATE("wind_offshore!",$D42,":", $D42)), wind_offshore!$4:$4, Y$4)</f>
        <v>3</v>
      </c>
      <c r="Z42" s="58">
        <f ca="1">SUMIFS(  INDIRECT(CONCATENATE("'wind_total'!", $C42, ":", $C42)),   wind_total!$6:$6, Z$4) - SUMIFS(   INDIRECT(CONCATENATE("wind_offshore!",$D42,":", $D42)), wind_offshore!$4:$4, Z$4)</f>
        <v>3</v>
      </c>
      <c r="AA42" s="58">
        <f ca="1">SUMIFS(  INDIRECT(CONCATENATE("'wind_total'!", $C42, ":", $C42)),   wind_total!$6:$6, AA$4) - SUMIFS(   INDIRECT(CONCATENATE("wind_offshore!",$D42,":", $D42)), wind_offshore!$4:$4, AA$4)</f>
        <v>3</v>
      </c>
      <c r="AB42" s="58">
        <f ca="1">SUMIFS(  INDIRECT(CONCATENATE("'wind_total'!", $C42, ":", $C42)),   wind_total!$6:$6, AB$4) - SUMIFS(   INDIRECT(CONCATENATE("wind_offshore!",$D42,":", $D42)), wind_offshore!$4:$4, AB$4)</f>
        <v>3</v>
      </c>
      <c r="AC42" s="58">
        <f ca="1">SUMIFS(  INDIRECT(CONCATENATE("'wind_total'!", $C42, ":", $C42)),   wind_total!$6:$6, AC$4) - SUMIFS(   INDIRECT(CONCATENATE("wind_offshore!",$D42,":", $D42)), wind_offshore!$4:$4, AC$4)</f>
        <v>3</v>
      </c>
      <c r="AD42" s="58">
        <f ca="1">SUMIFS(  INDIRECT(CONCATENATE("'wind_total'!", $C42, ":", $C42)),   wind_total!$6:$6, AD$4) - SUMIFS(   INDIRECT(CONCATENATE("wind_offshore!",$D42,":", $D42)), wind_offshore!$4:$4, AD$4)</f>
        <v>3</v>
      </c>
      <c r="AE42" s="58">
        <f ca="1">SUMIFS(  INDIRECT(CONCATENATE("'wind_total'!", $C42, ":", $C42)),   wind_total!$6:$6, AE$4) - SUMIFS(   INDIRECT(CONCATENATE("wind_offshore!",$D42,":", $D42)), wind_offshore!$4:$4, AE$4)</f>
        <v>3</v>
      </c>
      <c r="AF42" s="58">
        <f ca="1">SUMIFS(  INDIRECT(CONCATENATE("'wind_total'!", $C42, ":", $C42)),   wind_total!$6:$6, AF$4) - SUMIFS(   INDIRECT(CONCATENATE("wind_offshore!",$D42,":", $D42)), wind_offshore!$4:$4, AF$4)</f>
        <v>3</v>
      </c>
      <c r="AG42" s="6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58">
        <f ca="1">SUMIFS(  INDIRECT(CONCATENATE("'wind_total'!", $C43, ":", $C43)),   wind_total!$6:$6, F$4) - SUMIFS(   INDIRECT(CONCATENATE("wind_offshore!",$D43,":", $D43)), wind_offshore!$4:$4, F$4)</f>
        <v>0</v>
      </c>
      <c r="G43" s="58">
        <f ca="1">SUMIFS(  INDIRECT(CONCATENATE("'wind_total'!", $C43, ":", $C43)),   wind_total!$6:$6, G$4) - SUMIFS(   INDIRECT(CONCATENATE("wind_offshore!",$D43,":", $D43)), wind_offshore!$4:$4, G$4)</f>
        <v>0</v>
      </c>
      <c r="H43" s="58">
        <f ca="1">SUMIFS(  INDIRECT(CONCATENATE("'wind_total'!", $C43, ":", $C43)),   wind_total!$6:$6, H$4) - SUMIFS(   INDIRECT(CONCATENATE("wind_offshore!",$D43,":", $D43)), wind_offshore!$4:$4, H$4)</f>
        <v>0</v>
      </c>
      <c r="I43" s="58">
        <f ca="1">SUMIFS(  INDIRECT(CONCATENATE("'wind_total'!", $C43, ":", $C43)),   wind_total!$6:$6, I$4) - SUMIFS(   INDIRECT(CONCATENATE("wind_offshore!",$D43,":", $D43)), wind_offshore!$4:$4, I$4)</f>
        <v>0</v>
      </c>
      <c r="J43" s="58">
        <f ca="1">SUMIFS(  INDIRECT(CONCATENATE("'wind_total'!", $C43, ":", $C43)),   wind_total!$6:$6, J$4) - SUMIFS(   INDIRECT(CONCATENATE("wind_offshore!",$D43,":", $D43)), wind_offshore!$4:$4, J$4)</f>
        <v>0</v>
      </c>
      <c r="K43" s="58">
        <f ca="1">SUMIFS(  INDIRECT(CONCATENATE("'wind_total'!", $C43, ":", $C43)),   wind_total!$6:$6, K$4) - SUMIFS(   INDIRECT(CONCATENATE("wind_offshore!",$D43,":", $D43)), wind_offshore!$4:$4, K$4)</f>
        <v>0</v>
      </c>
      <c r="L43" s="58">
        <f ca="1">SUMIFS(  INDIRECT(CONCATENATE("'wind_total'!", $C43, ":", $C43)),   wind_total!$6:$6, L$4) - SUMIFS(   INDIRECT(CONCATENATE("wind_offshore!",$D43,":", $D43)), wind_offshore!$4:$4, L$4)</f>
        <v>0</v>
      </c>
      <c r="M43" s="58">
        <f ca="1">SUMIFS(  INDIRECT(CONCATENATE("'wind_total'!", $C43, ":", $C43)),   wind_total!$6:$6, M$4) - SUMIFS(   INDIRECT(CONCATENATE("wind_offshore!",$D43,":", $D43)), wind_offshore!$4:$4, M$4)</f>
        <v>0</v>
      </c>
      <c r="N43" s="58">
        <f ca="1">SUMIFS(  INDIRECT(CONCATENATE("'wind_total'!", $C43, ":", $C43)),   wind_total!$6:$6, N$4) - SUMIFS(   INDIRECT(CONCATENATE("wind_offshore!",$D43,":", $D43)), wind_offshore!$4:$4, N$4)</f>
        <v>0</v>
      </c>
      <c r="O43" s="58">
        <f ca="1">SUMIFS(  INDIRECT(CONCATENATE("'wind_total'!", $C43, ":", $C43)),   wind_total!$6:$6, O$4) - SUMIFS(   INDIRECT(CONCATENATE("wind_offshore!",$D43,":", $D43)), wind_offshore!$4:$4, O$4)</f>
        <v>0</v>
      </c>
      <c r="P43" s="58">
        <f ca="1">SUMIFS(  INDIRECT(CONCATENATE("'wind_total'!", $C43, ":", $C43)),   wind_total!$6:$6, P$4) - SUMIFS(   INDIRECT(CONCATENATE("wind_offshore!",$D43,":", $D43)), wind_offshore!$4:$4, P$4)</f>
        <v>0</v>
      </c>
      <c r="Q43" s="58">
        <f ca="1">SUMIFS(  INDIRECT(CONCATENATE("'wind_total'!", $C43, ":", $C43)),   wind_total!$6:$6, Q$4) - SUMIFS(   INDIRECT(CONCATENATE("wind_offshore!",$D43,":", $D43)), wind_offshore!$4:$4, Q$4)</f>
        <v>0</v>
      </c>
      <c r="R43" s="58">
        <f ca="1">SUMIFS(  INDIRECT(CONCATENATE("'wind_total'!", $C43, ":", $C43)),   wind_total!$6:$6, R$4) - SUMIFS(   INDIRECT(CONCATENATE("wind_offshore!",$D43,":", $D43)), wind_offshore!$4:$4, R$4)</f>
        <v>0</v>
      </c>
      <c r="S43" s="58">
        <f ca="1">SUMIFS(  INDIRECT(CONCATENATE("'wind_total'!", $C43, ":", $C43)),   wind_total!$6:$6, S$4) - SUMIFS(   INDIRECT(CONCATENATE("wind_offshore!",$D43,":", $D43)), wind_offshore!$4:$4, S$4)</f>
        <v>0</v>
      </c>
      <c r="T43" s="58">
        <f ca="1">SUMIFS(  INDIRECT(CONCATENATE("'wind_total'!", $C43, ":", $C43)),   wind_total!$6:$6, T$4) - SUMIFS(   INDIRECT(CONCATENATE("wind_offshore!",$D43,":", $D43)), wind_offshore!$4:$4, T$4)</f>
        <v>0</v>
      </c>
      <c r="U43" s="58">
        <f ca="1">SUMIFS(  INDIRECT(CONCATENATE("'wind_total'!", $C43, ":", $C43)),   wind_total!$6:$6, U$4) - SUMIFS(   INDIRECT(CONCATENATE("wind_offshore!",$D43,":", $D43)), wind_offshore!$4:$4, U$4)</f>
        <v>1.8</v>
      </c>
      <c r="V43" s="58">
        <f ca="1">SUMIFS(  INDIRECT(CONCATENATE("'wind_total'!", $C43, ":", $C43)),   wind_total!$6:$6, V$4) - SUMIFS(   INDIRECT(CONCATENATE("wind_offshore!",$D43,":", $D43)), wind_offshore!$4:$4, V$4)</f>
        <v>3</v>
      </c>
      <c r="W43" s="58">
        <f ca="1">SUMIFS(  INDIRECT(CONCATENATE("'wind_total'!", $C43, ":", $C43)),   wind_total!$6:$6, W$4) - SUMIFS(   INDIRECT(CONCATENATE("wind_offshore!",$D43,":", $D43)), wind_offshore!$4:$4, W$4)</f>
        <v>3</v>
      </c>
      <c r="X43" s="58">
        <f ca="1">SUMIFS(  INDIRECT(CONCATENATE("'wind_total'!", $C43, ":", $C43)),   wind_total!$6:$6, X$4) - SUMIFS(   INDIRECT(CONCATENATE("wind_offshore!",$D43,":", $D43)), wind_offshore!$4:$4, X$4)</f>
        <v>3</v>
      </c>
      <c r="Y43" s="58">
        <f ca="1">SUMIFS(  INDIRECT(CONCATENATE("'wind_total'!", $C43, ":", $C43)),   wind_total!$6:$6, Y$4) - SUMIFS(   INDIRECT(CONCATENATE("wind_offshore!",$D43,":", $D43)), wind_offshore!$4:$4, Y$4)</f>
        <v>3</v>
      </c>
      <c r="Z43" s="58">
        <f ca="1">SUMIFS(  INDIRECT(CONCATENATE("'wind_total'!", $C43, ":", $C43)),   wind_total!$6:$6, Z$4) - SUMIFS(   INDIRECT(CONCATENATE("wind_offshore!",$D43,":", $D43)), wind_offshore!$4:$4, Z$4)</f>
        <v>3</v>
      </c>
      <c r="AA43" s="58">
        <f ca="1">SUMIFS(  INDIRECT(CONCATENATE("'wind_total'!", $C43, ":", $C43)),   wind_total!$6:$6, AA$4) - SUMIFS(   INDIRECT(CONCATENATE("wind_offshore!",$D43,":", $D43)), wind_offshore!$4:$4, AA$4)</f>
        <v>3</v>
      </c>
      <c r="AB43" s="58">
        <f ca="1">SUMIFS(  INDIRECT(CONCATENATE("'wind_total'!", $C43, ":", $C43)),   wind_total!$6:$6, AB$4) - SUMIFS(   INDIRECT(CONCATENATE("wind_offshore!",$D43,":", $D43)), wind_offshore!$4:$4, AB$4)</f>
        <v>3</v>
      </c>
      <c r="AC43" s="58">
        <f ca="1">SUMIFS(  INDIRECT(CONCATENATE("'wind_total'!", $C43, ":", $C43)),   wind_total!$6:$6, AC$4) - SUMIFS(   INDIRECT(CONCATENATE("wind_offshore!",$D43,":", $D43)), wind_offshore!$4:$4, AC$4)</f>
        <v>3</v>
      </c>
      <c r="AD43" s="58">
        <f ca="1">SUMIFS(  INDIRECT(CONCATENATE("'wind_total'!", $C43, ":", $C43)),   wind_total!$6:$6, AD$4) - SUMIFS(   INDIRECT(CONCATENATE("wind_offshore!",$D43,":", $D43)), wind_offshore!$4:$4, AD$4)</f>
        <v>3</v>
      </c>
      <c r="AE43" s="58">
        <f ca="1">SUMIFS(  INDIRECT(CONCATENATE("'wind_total'!", $C43, ":", $C43)),   wind_total!$6:$6, AE$4) - SUMIFS(   INDIRECT(CONCATENATE("wind_offshore!",$D43,":", $D43)), wind_offshore!$4:$4, AE$4)</f>
        <v>3</v>
      </c>
      <c r="AF43" s="58">
        <f ca="1">SUMIFS(  INDIRECT(CONCATENATE("'wind_total'!", $C43, ":", $C43)),   wind_total!$6:$6, AF$4) - SUMIFS(   INDIRECT(CONCATENATE("wind_offshore!",$D43,":", $D43)), wind_offshore!$4:$4, AF$4)</f>
        <v>3</v>
      </c>
      <c r="AG43" s="6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58">
        <f ca="1">SUMIFS(  INDIRECT(CONCATENATE("'wind_total'!", $C44, ":", $C44)),   wind_total!$6:$6, F$4) - SUMIFS(   INDIRECT(CONCATENATE("wind_offshore!",$D44,":", $D44)), wind_offshore!$4:$4, F$4)</f>
        <v>0</v>
      </c>
      <c r="G44" s="58">
        <f ca="1">SUMIFS(  INDIRECT(CONCATENATE("'wind_total'!", $C44, ":", $C44)),   wind_total!$6:$6, G$4) - SUMIFS(   INDIRECT(CONCATENATE("wind_offshore!",$D44,":", $D44)), wind_offshore!$4:$4, G$4)</f>
        <v>0</v>
      </c>
      <c r="H44" s="58">
        <f ca="1">SUMIFS(  INDIRECT(CONCATENATE("'wind_total'!", $C44, ":", $C44)),   wind_total!$6:$6, H$4) - SUMIFS(   INDIRECT(CONCATENATE("wind_offshore!",$D44,":", $D44)), wind_offshore!$4:$4, H$4)</f>
        <v>0</v>
      </c>
      <c r="I44" s="58">
        <f ca="1">SUMIFS(  INDIRECT(CONCATENATE("'wind_total'!", $C44, ":", $C44)),   wind_total!$6:$6, I$4) - SUMIFS(   INDIRECT(CONCATENATE("wind_offshore!",$D44,":", $D44)), wind_offshore!$4:$4, I$4)</f>
        <v>0</v>
      </c>
      <c r="J44" s="58">
        <f ca="1">SUMIFS(  INDIRECT(CONCATENATE("'wind_total'!", $C44, ":", $C44)),   wind_total!$6:$6, J$4) - SUMIFS(   INDIRECT(CONCATENATE("wind_offshore!",$D44,":", $D44)), wind_offshore!$4:$4, J$4)</f>
        <v>0</v>
      </c>
      <c r="K44" s="58">
        <f ca="1">SUMIFS(  INDIRECT(CONCATENATE("'wind_total'!", $C44, ":", $C44)),   wind_total!$6:$6, K$4) - SUMIFS(   INDIRECT(CONCATENATE("wind_offshore!",$D44,":", $D44)), wind_offshore!$4:$4, K$4)</f>
        <v>0</v>
      </c>
      <c r="L44" s="58">
        <f ca="1">SUMIFS(  INDIRECT(CONCATENATE("'wind_total'!", $C44, ":", $C44)),   wind_total!$6:$6, L$4) - SUMIFS(   INDIRECT(CONCATENATE("wind_offshore!",$D44,":", $D44)), wind_offshore!$4:$4, L$4)</f>
        <v>0</v>
      </c>
      <c r="M44" s="58">
        <f ca="1">SUMIFS(  INDIRECT(CONCATENATE("'wind_total'!", $C44, ":", $C44)),   wind_total!$6:$6, M$4) - SUMIFS(   INDIRECT(CONCATENATE("wind_offshore!",$D44,":", $D44)), wind_offshore!$4:$4, M$4)</f>
        <v>0</v>
      </c>
      <c r="N44" s="58">
        <f ca="1">SUMIFS(  INDIRECT(CONCATENATE("'wind_total'!", $C44, ":", $C44)),   wind_total!$6:$6, N$4) - SUMIFS(   INDIRECT(CONCATENATE("wind_offshore!",$D44,":", $D44)), wind_offshore!$4:$4, N$4)</f>
        <v>0</v>
      </c>
      <c r="O44" s="58">
        <f ca="1">SUMIFS(  INDIRECT(CONCATENATE("'wind_total'!", $C44, ":", $C44)),   wind_total!$6:$6, O$4) - SUMIFS(   INDIRECT(CONCATENATE("wind_offshore!",$D44,":", $D44)), wind_offshore!$4:$4, O$4)</f>
        <v>0</v>
      </c>
      <c r="P44" s="58">
        <f ca="1">SUMIFS(  INDIRECT(CONCATENATE("'wind_total'!", $C44, ":", $C44)),   wind_total!$6:$6, P$4) - SUMIFS(   INDIRECT(CONCATENATE("wind_offshore!",$D44,":", $D44)), wind_offshore!$4:$4, P$4)</f>
        <v>0</v>
      </c>
      <c r="Q44" s="58">
        <f ca="1">SUMIFS(  INDIRECT(CONCATENATE("'wind_total'!", $C44, ":", $C44)),   wind_total!$6:$6, Q$4) - SUMIFS(   INDIRECT(CONCATENATE("wind_offshore!",$D44,":", $D44)), wind_offshore!$4:$4, Q$4)</f>
        <v>0</v>
      </c>
      <c r="R44" s="58">
        <f ca="1">SUMIFS(  INDIRECT(CONCATENATE("'wind_total'!", $C44, ":", $C44)),   wind_total!$6:$6, R$4) - SUMIFS(   INDIRECT(CONCATENATE("wind_offshore!",$D44,":", $D44)), wind_offshore!$4:$4, R$4)</f>
        <v>0</v>
      </c>
      <c r="S44" s="58">
        <f ca="1">SUMIFS(  INDIRECT(CONCATENATE("'wind_total'!", $C44, ":", $C44)),   wind_total!$6:$6, S$4) - SUMIFS(   INDIRECT(CONCATENATE("wind_offshore!",$D44,":", $D44)), wind_offshore!$4:$4, S$4)</f>
        <v>0</v>
      </c>
      <c r="T44" s="58">
        <f ca="1">SUMIFS(  INDIRECT(CONCATENATE("'wind_total'!", $C44, ":", $C44)),   wind_total!$6:$6, T$4) - SUMIFS(   INDIRECT(CONCATENATE("wind_offshore!",$D44,":", $D44)), wind_offshore!$4:$4, T$4)</f>
        <v>0</v>
      </c>
      <c r="U44" s="58">
        <f ca="1">SUMIFS(  INDIRECT(CONCATENATE("'wind_total'!", $C44, ":", $C44)),   wind_total!$6:$6, U$4) - SUMIFS(   INDIRECT(CONCATENATE("wind_offshore!",$D44,":", $D44)), wind_offshore!$4:$4, U$4)</f>
        <v>0</v>
      </c>
      <c r="V44" s="58">
        <f ca="1">SUMIFS(  INDIRECT(CONCATENATE("'wind_total'!", $C44, ":", $C44)),   wind_total!$6:$6, V$4) - SUMIFS(   INDIRECT(CONCATENATE("wind_offshore!",$D44,":", $D44)), wind_offshore!$4:$4, V$4)</f>
        <v>2</v>
      </c>
      <c r="W44" s="58">
        <f ca="1">SUMIFS(  INDIRECT(CONCATENATE("'wind_total'!", $C44, ":", $C44)),   wind_total!$6:$6, W$4) - SUMIFS(   INDIRECT(CONCATENATE("wind_offshore!",$D44,":", $D44)), wind_offshore!$4:$4, W$4)</f>
        <v>5</v>
      </c>
      <c r="X44" s="58">
        <f ca="1">SUMIFS(  INDIRECT(CONCATENATE("'wind_total'!", $C44, ":", $C44)),   wind_total!$6:$6, X$4) - SUMIFS(   INDIRECT(CONCATENATE("wind_offshore!",$D44,":", $D44)), wind_offshore!$4:$4, X$4)</f>
        <v>3</v>
      </c>
      <c r="Y44" s="58">
        <f ca="1">SUMIFS(  INDIRECT(CONCATENATE("'wind_total'!", $C44, ":", $C44)),   wind_total!$6:$6, Y$4) - SUMIFS(   INDIRECT(CONCATENATE("wind_offshore!",$D44,":", $D44)), wind_offshore!$4:$4, Y$4)</f>
        <v>3</v>
      </c>
      <c r="Z44" s="58">
        <f ca="1">SUMIFS(  INDIRECT(CONCATENATE("'wind_total'!", $C44, ":", $C44)),   wind_total!$6:$6, Z$4) - SUMIFS(   INDIRECT(CONCATENATE("wind_offshore!",$D44,":", $D44)), wind_offshore!$4:$4, Z$4)</f>
        <v>3</v>
      </c>
      <c r="AA44" s="58">
        <f ca="1">SUMIFS(  INDIRECT(CONCATENATE("'wind_total'!", $C44, ":", $C44)),   wind_total!$6:$6, AA$4) - SUMIFS(   INDIRECT(CONCATENATE("wind_offshore!",$D44,":", $D44)), wind_offshore!$4:$4, AA$4)</f>
        <v>3</v>
      </c>
      <c r="AB44" s="58">
        <f ca="1">SUMIFS(  INDIRECT(CONCATENATE("'wind_total'!", $C44, ":", $C44)),   wind_total!$6:$6, AB$4) - SUMIFS(   INDIRECT(CONCATENATE("wind_offshore!",$D44,":", $D44)), wind_offshore!$4:$4, AB$4)</f>
        <v>3</v>
      </c>
      <c r="AC44" s="58">
        <f ca="1">SUMIFS(  INDIRECT(CONCATENATE("'wind_total'!", $C44, ":", $C44)),   wind_total!$6:$6, AC$4) - SUMIFS(   INDIRECT(CONCATENATE("wind_offshore!",$D44,":", $D44)), wind_offshore!$4:$4, AC$4)</f>
        <v>3</v>
      </c>
      <c r="AD44" s="58">
        <f ca="1">SUMIFS(  INDIRECT(CONCATENATE("'wind_total'!", $C44, ":", $C44)),   wind_total!$6:$6, AD$4) - SUMIFS(   INDIRECT(CONCATENATE("wind_offshore!",$D44,":", $D44)), wind_offshore!$4:$4, AD$4)</f>
        <v>3</v>
      </c>
      <c r="AE44" s="58">
        <f ca="1">SUMIFS(  INDIRECT(CONCATENATE("'wind_total'!", $C44, ":", $C44)),   wind_total!$6:$6, AE$4) - SUMIFS(   INDIRECT(CONCATENATE("wind_offshore!",$D44,":", $D44)), wind_offshore!$4:$4, AE$4)</f>
        <v>3</v>
      </c>
      <c r="AF44" s="58">
        <f ca="1">SUMIFS(  INDIRECT(CONCATENATE("'wind_total'!", $C44, ":", $C44)),   wind_total!$6:$6, AF$4) - SUMIFS(   INDIRECT(CONCATENATE("wind_offshore!",$D44,":", $D44)), wind_offshore!$4:$4, AF$4)</f>
        <v>3</v>
      </c>
      <c r="AG44" s="6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58">
        <f ca="1">SUMIFS(  INDIRECT(CONCATENATE("'wind_total'!", $C45, ":", $C45)),   wind_total!$6:$6, F$4) - SUMIFS(   INDIRECT(CONCATENATE("wind_offshore!",$D45,":", $D45)), wind_offshore!$4:$4, F$4)</f>
        <v>0</v>
      </c>
      <c r="G45" s="58">
        <f ca="1">SUMIFS(  INDIRECT(CONCATENATE("'wind_total'!", $C45, ":", $C45)),   wind_total!$6:$6, G$4) - SUMIFS(   INDIRECT(CONCATENATE("wind_offshore!",$D45,":", $D45)), wind_offshore!$4:$4, G$4)</f>
        <v>0</v>
      </c>
      <c r="H45" s="58">
        <f ca="1">SUMIFS(  INDIRECT(CONCATENATE("'wind_total'!", $C45, ":", $C45)),   wind_total!$6:$6, H$4) - SUMIFS(   INDIRECT(CONCATENATE("wind_offshore!",$D45,":", $D45)), wind_offshore!$4:$4, H$4)</f>
        <v>0</v>
      </c>
      <c r="I45" s="58">
        <f ca="1">SUMIFS(  INDIRECT(CONCATENATE("'wind_total'!", $C45, ":", $C45)),   wind_total!$6:$6, I$4) - SUMIFS(   INDIRECT(CONCATENATE("wind_offshore!",$D45,":", $D45)), wind_offshore!$4:$4, I$4)</f>
        <v>0</v>
      </c>
      <c r="J45" s="58">
        <f ca="1">SUMIFS(  INDIRECT(CONCATENATE("'wind_total'!", $C45, ":", $C45)),   wind_total!$6:$6, J$4) - SUMIFS(   INDIRECT(CONCATENATE("wind_offshore!",$D45,":", $D45)), wind_offshore!$4:$4, J$4)</f>
        <v>0</v>
      </c>
      <c r="K45" s="58">
        <f ca="1">SUMIFS(  INDIRECT(CONCATENATE("'wind_total'!", $C45, ":", $C45)),   wind_total!$6:$6, K$4) - SUMIFS(   INDIRECT(CONCATENATE("wind_offshore!",$D45,":", $D45)), wind_offshore!$4:$4, K$4)</f>
        <v>0</v>
      </c>
      <c r="L45" s="58">
        <f ca="1">SUMIFS(  INDIRECT(CONCATENATE("'wind_total'!", $C45, ":", $C45)),   wind_total!$6:$6, L$4) - SUMIFS(   INDIRECT(CONCATENATE("wind_offshore!",$D45,":", $D45)), wind_offshore!$4:$4, L$4)</f>
        <v>0</v>
      </c>
      <c r="M45" s="58">
        <f ca="1">SUMIFS(  INDIRECT(CONCATENATE("'wind_total'!", $C45, ":", $C45)),   wind_total!$6:$6, M$4) - SUMIFS(   INDIRECT(CONCATENATE("wind_offshore!",$D45,":", $D45)), wind_offshore!$4:$4, M$4)</f>
        <v>0</v>
      </c>
      <c r="N45" s="58">
        <f ca="1">SUMIFS(  INDIRECT(CONCATENATE("'wind_total'!", $C45, ":", $C45)),   wind_total!$6:$6, N$4) - SUMIFS(   INDIRECT(CONCATENATE("wind_offshore!",$D45,":", $D45)), wind_offshore!$4:$4, N$4)</f>
        <v>0</v>
      </c>
      <c r="O45" s="58">
        <f ca="1">SUMIFS(  INDIRECT(CONCATENATE("'wind_total'!", $C45, ":", $C45)),   wind_total!$6:$6, O$4) - SUMIFS(   INDIRECT(CONCATENATE("wind_offshore!",$D45,":", $D45)), wind_offshore!$4:$4, O$4)</f>
        <v>0</v>
      </c>
      <c r="P45" s="58">
        <f ca="1">SUMIFS(  INDIRECT(CONCATENATE("'wind_total'!", $C45, ":", $C45)),   wind_total!$6:$6, P$4) - SUMIFS(   INDIRECT(CONCATENATE("wind_offshore!",$D45,":", $D45)), wind_offshore!$4:$4, P$4)</f>
        <v>0</v>
      </c>
      <c r="Q45" s="58">
        <f ca="1">SUMIFS(  INDIRECT(CONCATENATE("'wind_total'!", $C45, ":", $C45)),   wind_total!$6:$6, Q$4) - SUMIFS(   INDIRECT(CONCATENATE("wind_offshore!",$D45,":", $D45)), wind_offshore!$4:$4, Q$4)</f>
        <v>0</v>
      </c>
      <c r="R45" s="58">
        <f ca="1">SUMIFS(  INDIRECT(CONCATENATE("'wind_total'!", $C45, ":", $C45)),   wind_total!$6:$6, R$4) - SUMIFS(   INDIRECT(CONCATENATE("wind_offshore!",$D45,":", $D45)), wind_offshore!$4:$4, R$4)</f>
        <v>0</v>
      </c>
      <c r="S45" s="58">
        <f ca="1">SUMIFS(  INDIRECT(CONCATENATE("'wind_total'!", $C45, ":", $C45)),   wind_total!$6:$6, S$4) - SUMIFS(   INDIRECT(CONCATENATE("wind_offshore!",$D45,":", $D45)), wind_offshore!$4:$4, S$4)</f>
        <v>0</v>
      </c>
      <c r="T45" s="58">
        <f ca="1">SUMIFS(  INDIRECT(CONCATENATE("'wind_total'!", $C45, ":", $C45)),   wind_total!$6:$6, T$4) - SUMIFS(   INDIRECT(CONCATENATE("wind_offshore!",$D45,":", $D45)), wind_offshore!$4:$4, T$4)</f>
        <v>0</v>
      </c>
      <c r="U45" s="58">
        <f ca="1">SUMIFS(  INDIRECT(CONCATENATE("'wind_total'!", $C45, ":", $C45)),   wind_total!$6:$6, U$4) - SUMIFS(   INDIRECT(CONCATENATE("wind_offshore!",$D45,":", $D45)), wind_offshore!$4:$4, U$4)</f>
        <v>0</v>
      </c>
      <c r="V45" s="58">
        <f ca="1">SUMIFS(  INDIRECT(CONCATENATE("'wind_total'!", $C45, ":", $C45)),   wind_total!$6:$6, V$4) - SUMIFS(   INDIRECT(CONCATENATE("wind_offshore!",$D45,":", $D45)), wind_offshore!$4:$4, V$4)</f>
        <v>0</v>
      </c>
      <c r="W45" s="58">
        <f ca="1">SUMIFS(  INDIRECT(CONCATENATE("'wind_total'!", $C45, ":", $C45)),   wind_total!$6:$6, W$4) - SUMIFS(   INDIRECT(CONCATENATE("wind_offshore!",$D45,":", $D45)), wind_offshore!$4:$4, W$4)</f>
        <v>0</v>
      </c>
      <c r="X45" s="58">
        <f ca="1">SUMIFS(  INDIRECT(CONCATENATE("'wind_total'!", $C45, ":", $C45)),   wind_total!$6:$6, X$4) - SUMIFS(   INDIRECT(CONCATENATE("wind_offshore!",$D45,":", $D45)), wind_offshore!$4:$4, X$4)</f>
        <v>0</v>
      </c>
      <c r="Y45" s="58">
        <f ca="1">SUMIFS(  INDIRECT(CONCATENATE("'wind_total'!", $C45, ":", $C45)),   wind_total!$6:$6, Y$4) - SUMIFS(   INDIRECT(CONCATENATE("wind_offshore!",$D45,":", $D45)), wind_offshore!$4:$4, Y$4)</f>
        <v>0</v>
      </c>
      <c r="Z45" s="58">
        <f ca="1">SUMIFS(  INDIRECT(CONCATENATE("'wind_total'!", $C45, ":", $C45)),   wind_total!$6:$6, Z$4) - SUMIFS(   INDIRECT(CONCATENATE("wind_offshore!",$D45,":", $D45)), wind_offshore!$4:$4, Z$4)</f>
        <v>0</v>
      </c>
      <c r="AA45" s="58">
        <f ca="1">SUMIFS(  INDIRECT(CONCATENATE("'wind_total'!", $C45, ":", $C45)),   wind_total!$6:$6, AA$4) - SUMIFS(   INDIRECT(CONCATENATE("wind_offshore!",$D45,":", $D45)), wind_offshore!$4:$4, AA$4)</f>
        <v>0</v>
      </c>
      <c r="AB45" s="58">
        <f ca="1">SUMIFS(  INDIRECT(CONCATENATE("'wind_total'!", $C45, ":", $C45)),   wind_total!$6:$6, AB$4) - SUMIFS(   INDIRECT(CONCATENATE("wind_offshore!",$D45,":", $D45)), wind_offshore!$4:$4, AB$4)</f>
        <v>0</v>
      </c>
      <c r="AC45" s="58">
        <f ca="1">SUMIFS(  INDIRECT(CONCATENATE("'wind_total'!", $C45, ":", $C45)),   wind_total!$6:$6, AC$4) - SUMIFS(   INDIRECT(CONCATENATE("wind_offshore!",$D45,":", $D45)), wind_offshore!$4:$4, AC$4)</f>
        <v>0</v>
      </c>
      <c r="AD45" s="58">
        <f ca="1">SUMIFS(  INDIRECT(CONCATENATE("'wind_total'!", $C45, ":", $C45)),   wind_total!$6:$6, AD$4) - SUMIFS(   INDIRECT(CONCATENATE("wind_offshore!",$D45,":", $D45)), wind_offshore!$4:$4, AD$4)</f>
        <v>0</v>
      </c>
      <c r="AE45" s="58">
        <f ca="1">SUMIFS(  INDIRECT(CONCATENATE("'wind_total'!", $C45, ":", $C45)),   wind_total!$6:$6, AE$4) - SUMIFS(   INDIRECT(CONCATENATE("wind_offshore!",$D45,":", $D45)), wind_offshore!$4:$4, AE$4)</f>
        <v>0</v>
      </c>
      <c r="AF45" s="58">
        <f ca="1">SUMIFS(  INDIRECT(CONCATENATE("'wind_total'!", $C45, ":", $C45)),   wind_total!$6:$6, AF$4) - SUMIFS(   INDIRECT(CONCATENATE("wind_offshore!",$D45,":", $D45)), wind_offshore!$4:$4, AF$4)</f>
        <v>0</v>
      </c>
      <c r="AG45" s="6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69"/>
    </row>
    <row r="47" spans="1:37">
      <c r="D47" s="17" t="s">
        <v>145</v>
      </c>
      <c r="E47" s="17" t="s">
        <v>139</v>
      </c>
      <c r="AG47" s="6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7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7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7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7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7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7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7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7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7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67">
        <v>2025</v>
      </c>
      <c r="X4" s="23">
        <v>2030</v>
      </c>
      <c r="Z4" s="71" t="s">
        <v>219</v>
      </c>
      <c r="AA4" s="7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68">
        <f>AVERAGE(TREND($M5:$V5,$M$4:$V$4,W$4), TREND($R5:$V5,$R$4:$V$4,W$4)) * Z5</f>
        <v>18646.668333333779</v>
      </c>
      <c r="X5" s="24">
        <f t="shared" ref="X5:X14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6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6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6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6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6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6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6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6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6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6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6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72"/>
    </row>
    <row r="18" spans="1:24">
      <c r="D18" t="s">
        <v>143</v>
      </c>
      <c r="W18" s="72"/>
    </row>
    <row r="19" spans="1:24">
      <c r="D19" t="s">
        <v>142</v>
      </c>
      <c r="W19" s="7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6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72"/>
    </row>
    <row r="22" spans="1:24">
      <c r="W22" s="7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7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7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7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7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7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7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7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7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7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52" t="s">
        <v>55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4"/>
    </row>
    <row r="4" spans="2:24" ht="23.25" thickBot="1">
      <c r="B4" s="12" t="s">
        <v>108</v>
      </c>
      <c r="C4" s="12" t="s">
        <v>3</v>
      </c>
      <c r="D4" s="12"/>
      <c r="E4" s="65" t="s">
        <v>218</v>
      </c>
      <c r="F4" s="6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66">
        <v>95000</v>
      </c>
      <c r="J5" s="66">
        <v>74700</v>
      </c>
      <c r="K5" s="6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66">
        <v>37400</v>
      </c>
      <c r="J6" s="6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66">
        <v>24400</v>
      </c>
      <c r="J8" s="6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66">
        <v>24900</v>
      </c>
      <c r="J9" s="6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66">
        <v>20900</v>
      </c>
      <c r="J10" s="6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66">
        <v>9100</v>
      </c>
      <c r="J11" s="6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6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6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6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6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66">
        <v>1200</v>
      </c>
      <c r="J23" s="7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73">
        <v>660</v>
      </c>
      <c r="J30" s="7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55" t="s">
        <v>57</v>
      </c>
      <c r="C33" s="56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>D48/SUMIFS($D$48:$D$56,$A$48:$A$56,$A48,    $C$48:$C$56,$C48)</f>
        <v>0.27529064723234431</v>
      </c>
      <c r="G48" s="22">
        <f>SUMIFS(G$5:G$45,$D$5:$D$45,$A48)*$E48</f>
        <v>2074.9340375795932</v>
      </c>
      <c r="H48" s="22">
        <f>SUMIFS(H$5:H$45,$D$5:$D$45,$A48)*$E48</f>
        <v>1193.6464818670545</v>
      </c>
      <c r="I48" s="22">
        <f>SUMIFS(I$5:I$45,$D$5:$D$45,$A48)*$E48</f>
        <v>1086.0216033315983</v>
      </c>
      <c r="J48" s="22">
        <f>SUMIFS(J$5:J$45,$D$5:$D$45,$A48)*$E48</f>
        <v>971.50069408294303</v>
      </c>
      <c r="K48" s="22">
        <f>SUMIFS(K$5:K$45,$D$5:$D$45,$A48)*$E48</f>
        <v>845.14228700329704</v>
      </c>
      <c r="L48" s="22">
        <f>SUMIFS(L$5:L$45,$D$5:$D$45,$A48)*$E48</f>
        <v>469.0952628839147</v>
      </c>
      <c r="M48" s="22">
        <f>SUMIFS(M$5:M$45,$D$5:$D$45,$A48)*$E48</f>
        <v>358.97900399097699</v>
      </c>
      <c r="N48" s="22">
        <f>SUMIFS(N$5:N$45,$D$5:$D$45,$A48)*$E48</f>
        <v>297.31389901093183</v>
      </c>
      <c r="O48" s="22">
        <f>SUMIFS(O$5:O$45,$D$5:$D$45,$A48)*$E48</f>
        <v>274.74006593787965</v>
      </c>
      <c r="P48" s="22">
        <f>SUMIFS(P$5:P$45,$D$5:$D$45,$A48)*$E48</f>
        <v>249.41332639250393</v>
      </c>
      <c r="Q48" s="22">
        <f>SUMIFS(Q$5:Q$45,$D$5:$D$45,$A48)*$E48</f>
        <v>234.27234079472501</v>
      </c>
      <c r="R48" s="22">
        <f>SUMIFS(R$5:R$45,$D$5:$D$45,$A48)*$E48</f>
        <v>215.27728613569326</v>
      </c>
      <c r="S48" s="22">
        <f>SUMIFS(S$5:S$45,$D$5:$D$45,$A48)*$E48</f>
        <v>167.10142287003299</v>
      </c>
      <c r="T48" s="22">
        <f>SUMIFS(T$5:T$45,$D$5:$D$45,$A48)*$E48</f>
        <v>157.19095956966859</v>
      </c>
      <c r="U48" s="22">
        <f>SUMIFS(U$5:U$45,$D$5:$D$45,$A48)*$E48</f>
        <v>107.63864306784663</v>
      </c>
      <c r="V48" s="22">
        <f>SUMIFS(V$5:V$45,$D$5:$D$45,$A48)*$E48</f>
        <v>4.404650355717509</v>
      </c>
      <c r="W48" s="22">
        <f>SUMIFS(W$5:W$45,$D$5:$D$45,$A48)*$E48</f>
        <v>1.9270345306264103</v>
      </c>
      <c r="X48" s="22">
        <f>SUMIFS(X$5:X$45,$D$5:$D$45,$A48)*$E48</f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>D49/SUMIFS($D$48:$D$56,$A$48:$A$56,$A49,    $C$48:$C$56,$C49)</f>
        <v>0.7247093527676558</v>
      </c>
      <c r="G49" s="22">
        <f>SUMIFS(G$5:G$45,$D$5:$D$45,$A49)*$E49</f>
        <v>5462.3145338488312</v>
      </c>
      <c r="H49" s="22">
        <f>SUMIFS(H$5:H$45,$D$5:$D$45,$A49)*$E49</f>
        <v>3142.3035181328414</v>
      </c>
      <c r="I49" s="22">
        <f>SUMIFS(I$5:I$45,$D$5:$D$45,$A49)*$E49</f>
        <v>2858.9783966684022</v>
      </c>
      <c r="J49" s="22">
        <f>SUMIFS(J$5:J$45,$D$5:$D$45,$A49)*$E49</f>
        <v>2557.4993059170574</v>
      </c>
      <c r="K49" s="22">
        <f>SUMIFS(K$5:K$45,$D$5:$D$45,$A49)*$E49</f>
        <v>2224.8577129967034</v>
      </c>
      <c r="L49" s="22">
        <f>SUMIFS(L$5:L$45,$D$5:$D$45,$A49)*$E49</f>
        <v>1234.9047371160855</v>
      </c>
      <c r="M49" s="22">
        <f>SUMIFS(M$5:M$45,$D$5:$D$45,$A49)*$E49</f>
        <v>945.02099600902318</v>
      </c>
      <c r="N49" s="22">
        <f>SUMIFS(N$5:N$45,$D$5:$D$45,$A49)*$E49</f>
        <v>782.68610098906822</v>
      </c>
      <c r="O49" s="22">
        <f>SUMIFS(O$5:O$45,$D$5:$D$45,$A49)*$E49</f>
        <v>723.25993406212046</v>
      </c>
      <c r="P49" s="22">
        <f>SUMIFS(P$5:P$45,$D$5:$D$45,$A49)*$E49</f>
        <v>656.58667360749621</v>
      </c>
      <c r="Q49" s="22">
        <f>SUMIFS(Q$5:Q$45,$D$5:$D$45,$A49)*$E49</f>
        <v>616.72765920527513</v>
      </c>
      <c r="R49" s="22">
        <f>SUMIFS(R$5:R$45,$D$5:$D$45,$A49)*$E49</f>
        <v>566.7227138643068</v>
      </c>
      <c r="S49" s="22">
        <f>SUMIFS(S$5:S$45,$D$5:$D$45,$A49)*$E49</f>
        <v>439.89857712996707</v>
      </c>
      <c r="T49" s="22">
        <f>SUMIFS(T$5:T$45,$D$5:$D$45,$A49)*$E49</f>
        <v>413.80904043033144</v>
      </c>
      <c r="U49" s="22">
        <f>SUMIFS(U$5:U$45,$D$5:$D$45,$A49)*$E49</f>
        <v>283.3613569321534</v>
      </c>
      <c r="V49" s="22">
        <f>SUMIFS(V$5:V$45,$D$5:$D$45,$A49)*$E49</f>
        <v>11.595349644282493</v>
      </c>
      <c r="W49" s="22">
        <f>SUMIFS(W$5:W$45,$D$5:$D$45,$A49)*$E49</f>
        <v>5.0729654693735906</v>
      </c>
      <c r="X49" s="22">
        <f>SUMIFS(X$5:X$45,$D$5:$D$45,$A49)*$E49</f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>D50/SUMIFS($D$48:$D$56,$A$48:$A$56,$A50,    $C$48:$C$56,$C50)</f>
        <v>0.23456790123456789</v>
      </c>
      <c r="G50" s="22">
        <f>SUMIFS(G$5:G$45,$D$5:$D$45,$A50)*$E50</f>
        <v>320.94006734006132</v>
      </c>
      <c r="H50" s="22">
        <f>SUMIFS(H$5:H$45,$D$5:$D$45,$A50)*$E50</f>
        <v>183.36954732509696</v>
      </c>
      <c r="I50" s="22">
        <f>SUMIFS(I$5:I$45,$D$5:$D$45,$A50)*$E50</f>
        <v>167.48148148148147</v>
      </c>
      <c r="J50" s="22">
        <f>SUMIFS(J$5:J$45,$D$5:$D$45,$A50)*$E50</f>
        <v>157.16049382716048</v>
      </c>
      <c r="K50" s="22">
        <f>SUMIFS(K$5:K$45,$D$5:$D$45,$A50)*$E50</f>
        <v>86.790123456790113</v>
      </c>
      <c r="L50" s="22">
        <f>SUMIFS(L$5:L$45,$D$5:$D$45,$A50)*$E50</f>
        <v>49.25925925925926</v>
      </c>
      <c r="M50" s="22">
        <f>SUMIFS(M$5:M$45,$D$5:$D$45,$A50)*$E50</f>
        <v>37.53086419753086</v>
      </c>
      <c r="N50" s="22">
        <f>SUMIFS(N$5:N$45,$D$5:$D$45,$A50)*$E50</f>
        <v>28.148148148148145</v>
      </c>
      <c r="O50" s="22">
        <f>SUMIFS(O$5:O$45,$D$5:$D$45,$A50)*$E50</f>
        <v>16.419753086419753</v>
      </c>
      <c r="P50" s="22">
        <f>SUMIFS(P$5:P$45,$D$5:$D$45,$A50)*$E50</f>
        <v>9.3827160493827151</v>
      </c>
      <c r="Q50" s="22">
        <f>SUMIFS(Q$5:Q$45,$D$5:$D$45,$A50)*$E50</f>
        <v>7.0370370370370363</v>
      </c>
      <c r="R50" s="22">
        <f>SUMIFS(R$5:R$45,$D$5:$D$45,$A50)*$E50</f>
        <v>4.6913580246913575</v>
      </c>
      <c r="S50" s="22">
        <f>SUMIFS(S$5:S$45,$D$5:$D$45,$A50)*$E50</f>
        <v>2.3456790123456788</v>
      </c>
      <c r="T50" s="22">
        <f>SUMIFS(T$5:T$45,$D$5:$D$45,$A50)*$E50</f>
        <v>0</v>
      </c>
      <c r="U50" s="22">
        <f>SUMIFS(U$5:U$45,$D$5:$D$45,$A50)*$E50</f>
        <v>0</v>
      </c>
      <c r="V50" s="22">
        <f>SUMIFS(V$5:V$45,$D$5:$D$45,$A50)*$E50</f>
        <v>0</v>
      </c>
      <c r="W50" s="22">
        <f>SUMIFS(W$5:W$45,$D$5:$D$45,$A50)*$E50</f>
        <v>0</v>
      </c>
      <c r="X50" s="22">
        <f>SUMIFS(X$5:X$45,$D$5:$D$45,$A50)*$E50</f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64">
        <v>10</v>
      </c>
      <c r="E51">
        <f>D51/SUMIFS($D$48:$D$56,$A$48:$A$56,$A51,    $C$48:$C$56,$C51)</f>
        <v>6.1728395061728392E-2</v>
      </c>
      <c r="G51" s="22">
        <f>SUMIFS(G$5:G$45,$D$5:$D$45,$A51)*$E51</f>
        <v>84.457912457910865</v>
      </c>
      <c r="H51" s="22">
        <f>SUMIFS(H$5:H$45,$D$5:$D$45,$A51)*$E51</f>
        <v>48.255144032920249</v>
      </c>
      <c r="I51" s="22">
        <f>SUMIFS(I$5:I$45,$D$5:$D$45,$A51)*$E51</f>
        <v>44.074074074074069</v>
      </c>
      <c r="J51" s="22">
        <f>SUMIFS(J$5:J$45,$D$5:$D$45,$A51)*$E51</f>
        <v>41.358024691358025</v>
      </c>
      <c r="K51" s="22">
        <f>SUMIFS(K$5:K$45,$D$5:$D$45,$A51)*$E51</f>
        <v>22.839506172839506</v>
      </c>
      <c r="L51" s="22">
        <f>SUMIFS(L$5:L$45,$D$5:$D$45,$A51)*$E51</f>
        <v>12.962962962962962</v>
      </c>
      <c r="M51" s="22">
        <f>SUMIFS(M$5:M$45,$D$5:$D$45,$A51)*$E51</f>
        <v>9.8765432098765427</v>
      </c>
      <c r="N51" s="22">
        <f>SUMIFS(N$5:N$45,$D$5:$D$45,$A51)*$E51</f>
        <v>7.4074074074074066</v>
      </c>
      <c r="O51" s="22">
        <f>SUMIFS(O$5:O$45,$D$5:$D$45,$A51)*$E51</f>
        <v>4.3209876543209873</v>
      </c>
      <c r="P51" s="22">
        <f>SUMIFS(P$5:P$45,$D$5:$D$45,$A51)*$E51</f>
        <v>2.4691358024691357</v>
      </c>
      <c r="Q51" s="22">
        <f>SUMIFS(Q$5:Q$45,$D$5:$D$45,$A51)*$E51</f>
        <v>1.8518518518518516</v>
      </c>
      <c r="R51" s="22">
        <f>SUMIFS(R$5:R$45,$D$5:$D$45,$A51)*$E51</f>
        <v>1.2345679012345678</v>
      </c>
      <c r="S51" s="22">
        <f>SUMIFS(S$5:S$45,$D$5:$D$45,$A51)*$E51</f>
        <v>0.61728395061728392</v>
      </c>
      <c r="T51" s="22">
        <f>SUMIFS(T$5:T$45,$D$5:$D$45,$A51)*$E51</f>
        <v>0</v>
      </c>
      <c r="U51" s="22">
        <f>SUMIFS(U$5:U$45,$D$5:$D$45,$A51)*$E51</f>
        <v>0</v>
      </c>
      <c r="V51" s="22">
        <f>SUMIFS(V$5:V$45,$D$5:$D$45,$A51)*$E51</f>
        <v>0</v>
      </c>
      <c r="W51" s="22">
        <f>SUMIFS(W$5:W$45,$D$5:$D$45,$A51)*$E51</f>
        <v>0</v>
      </c>
      <c r="X51" s="22">
        <f>SUMIFS(X$5:X$45,$D$5:$D$45,$A51)*$E51</f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>D52/SUMIFS($D$48:$D$56,$A$48:$A$56,$A52,    $C$48:$C$56,$C52)</f>
        <v>0.70370370370370372</v>
      </c>
      <c r="G52" s="22">
        <f>SUMIFS(G$5:G$45,$D$5:$D$45,$A52)*$E52</f>
        <v>962.82020202018396</v>
      </c>
      <c r="H52" s="22">
        <f>SUMIFS(H$5:H$45,$D$5:$D$45,$A52)*$E52</f>
        <v>550.10864197529088</v>
      </c>
      <c r="I52" s="22">
        <f>SUMIFS(I$5:I$45,$D$5:$D$45,$A52)*$E52</f>
        <v>502.44444444444446</v>
      </c>
      <c r="J52" s="22">
        <f>SUMIFS(J$5:J$45,$D$5:$D$45,$A52)*$E52</f>
        <v>471.48148148148147</v>
      </c>
      <c r="K52" s="22">
        <f>SUMIFS(K$5:K$45,$D$5:$D$45,$A52)*$E52</f>
        <v>260.37037037037038</v>
      </c>
      <c r="L52" s="22">
        <f>SUMIFS(L$5:L$45,$D$5:$D$45,$A52)*$E52</f>
        <v>147.77777777777777</v>
      </c>
      <c r="M52" s="22">
        <f>SUMIFS(M$5:M$45,$D$5:$D$45,$A52)*$E52</f>
        <v>112.5925925925926</v>
      </c>
      <c r="N52" s="22">
        <f>SUMIFS(N$5:N$45,$D$5:$D$45,$A52)*$E52</f>
        <v>84.444444444444443</v>
      </c>
      <c r="O52" s="22">
        <f>SUMIFS(O$5:O$45,$D$5:$D$45,$A52)*$E52</f>
        <v>49.25925925925926</v>
      </c>
      <c r="P52" s="22">
        <f>SUMIFS(P$5:P$45,$D$5:$D$45,$A52)*$E52</f>
        <v>28.148148148148149</v>
      </c>
      <c r="Q52" s="22">
        <f>SUMIFS(Q$5:Q$45,$D$5:$D$45,$A52)*$E52</f>
        <v>21.111111111111111</v>
      </c>
      <c r="R52" s="22">
        <f>SUMIFS(R$5:R$45,$D$5:$D$45,$A52)*$E52</f>
        <v>14.074074074074074</v>
      </c>
      <c r="S52" s="22">
        <f>SUMIFS(S$5:S$45,$D$5:$D$45,$A52)*$E52</f>
        <v>7.0370370370370372</v>
      </c>
      <c r="T52" s="22">
        <f>SUMIFS(T$5:T$45,$D$5:$D$45,$A52)*$E52</f>
        <v>0</v>
      </c>
      <c r="U52" s="22">
        <f>SUMIFS(U$5:U$45,$D$5:$D$45,$A52)*$E52</f>
        <v>0</v>
      </c>
      <c r="V52" s="22">
        <f>SUMIFS(V$5:V$45,$D$5:$D$45,$A52)*$E52</f>
        <v>0</v>
      </c>
      <c r="W52" s="22">
        <f>SUMIFS(W$5:W$45,$D$5:$D$45,$A52)*$E52</f>
        <v>0</v>
      </c>
      <c r="X52" s="22">
        <f>SUMIFS(X$5:X$45,$D$5:$D$45,$A52)*$E52</f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64">
        <v>20</v>
      </c>
      <c r="E53">
        <f>D53/SUMIFS($D$48:$D$56,$A$48:$A$56,$A53,    $C$48:$C$56,$C53)</f>
        <v>1.252191334835963E-2</v>
      </c>
      <c r="G53" s="22">
        <f>SUMIFS(G$5:G$45,$D$5:$D$45,$A53)*$E53</f>
        <v>106.92624050963565</v>
      </c>
      <c r="H53" s="22">
        <f>SUMIFS(H$5:H$45,$D$5:$D$45,$A53)*$E53</f>
        <v>64.636927122463248</v>
      </c>
      <c r="I53" s="22">
        <f>SUMIFS(I$5:I$45,$D$5:$D$45,$A53)*$E53</f>
        <v>62.146255947908841</v>
      </c>
      <c r="J53" s="22">
        <f>SUMIFS(J$5:J$45,$D$5:$D$45,$A53)*$E53</f>
        <v>43.676433759078392</v>
      </c>
      <c r="K53" s="22">
        <f>SUMIFS(K$5:K$45,$D$5:$D$45,$A53)*$E53</f>
        <v>29.902329075882797</v>
      </c>
      <c r="L53" s="22">
        <f>SUMIFS(L$5:L$45,$D$5:$D$45,$A53)*$E53</f>
        <v>20.110192837465565</v>
      </c>
      <c r="M53" s="22">
        <f>SUMIFS(M$5:M$45,$D$5:$D$45,$A53)*$E53</f>
        <v>13.861758076634111</v>
      </c>
      <c r="N53" s="22">
        <f>SUMIFS(N$5:N$45,$D$5:$D$45,$A53)*$E53</f>
        <v>8.9406461307287763</v>
      </c>
      <c r="O53" s="22">
        <f>SUMIFS(O$5:O$45,$D$5:$D$45,$A53)*$E53</f>
        <v>5.3593789130979221</v>
      </c>
      <c r="P53" s="22">
        <f>SUMIFS(P$5:P$45,$D$5:$D$45,$A53)*$E53</f>
        <v>3.0553468569997499</v>
      </c>
      <c r="Q53" s="22">
        <f>SUMIFS(Q$5:Q$45,$D$5:$D$45,$A53)*$E53</f>
        <v>1.9158527422990235</v>
      </c>
      <c r="R53" s="22">
        <f>SUMIFS(R$5:R$45,$D$5:$D$45,$A53)*$E53</f>
        <v>1.3022789882294015</v>
      </c>
      <c r="S53" s="22">
        <f>SUMIFS(S$5:S$45,$D$5:$D$45,$A53)*$E53</f>
        <v>0.75131480090157776</v>
      </c>
      <c r="T53" s="22">
        <f>SUMIFS(T$5:T$45,$D$5:$D$45,$A53)*$E53</f>
        <v>0.53844227397946409</v>
      </c>
      <c r="U53" s="22">
        <f>SUMIFS(U$5:U$45,$D$5:$D$45,$A53)*$E53</f>
        <v>0.28800400701227147</v>
      </c>
      <c r="V53" s="22">
        <f>SUMIFS(V$5:V$45,$D$5:$D$45,$A53)*$E53</f>
        <v>0.22539444027047334</v>
      </c>
      <c r="W53" s="22">
        <f>SUMIFS(W$5:W$45,$D$5:$D$45,$A53)*$E53</f>
        <v>0.12521913348359631</v>
      </c>
      <c r="X53" s="22">
        <f>SUMIFS(X$5:X$45,$D$5:$D$45,$A53)*$E53</f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>D54/SUMIFS($D$48:$D$56,$A$48:$A$56,$A54,    $C$48:$C$56,$C54)</f>
        <v>4.5141497620836468E-2</v>
      </c>
      <c r="G54" s="22">
        <f>SUMIFS(G$5:G$45,$D$5:$D$45,$A54)*$E54</f>
        <v>385.46909703723651</v>
      </c>
      <c r="H54" s="22">
        <f>SUMIFS(H$5:H$45,$D$5:$D$45,$A54)*$E54</f>
        <v>233.01612227647999</v>
      </c>
      <c r="I54" s="22">
        <f>SUMIFS(I$5:I$45,$D$5:$D$45,$A54)*$E54</f>
        <v>224.03725269221138</v>
      </c>
      <c r="J54" s="22">
        <f>SUMIFS(J$5:J$45,$D$5:$D$45,$A54)*$E54</f>
        <v>157.4535437014776</v>
      </c>
      <c r="K54" s="22">
        <f>SUMIFS(K$5:K$45,$D$5:$D$45,$A54)*$E54</f>
        <v>107.79789631855749</v>
      </c>
      <c r="L54" s="22">
        <f>SUMIFS(L$5:L$45,$D$5:$D$45,$A54)*$E54</f>
        <v>72.49724517906337</v>
      </c>
      <c r="M54" s="22">
        <f>SUMIFS(M$5:M$45,$D$5:$D$45,$A54)*$E54</f>
        <v>49.971637866265972</v>
      </c>
      <c r="N54" s="22">
        <f>SUMIFS(N$5:N$45,$D$5:$D$45,$A54)*$E54</f>
        <v>32.231029301277239</v>
      </c>
      <c r="O54" s="22">
        <f>SUMIFS(O$5:O$45,$D$5:$D$45,$A54)*$E54</f>
        <v>19.320560981718007</v>
      </c>
      <c r="P54" s="22">
        <f>SUMIFS(P$5:P$45,$D$5:$D$45,$A54)*$E54</f>
        <v>11.014525419484098</v>
      </c>
      <c r="Q54" s="22">
        <f>SUMIFS(Q$5:Q$45,$D$5:$D$45,$A54)*$E54</f>
        <v>6.9066491359879798</v>
      </c>
      <c r="R54" s="22">
        <f>SUMIFS(R$5:R$45,$D$5:$D$45,$A54)*$E54</f>
        <v>4.6947157525669923</v>
      </c>
      <c r="S54" s="22">
        <f>SUMIFS(S$5:S$45,$D$5:$D$45,$A54)*$E54</f>
        <v>2.7084898572501883</v>
      </c>
      <c r="T54" s="22">
        <f>SUMIFS(T$5:T$45,$D$5:$D$45,$A54)*$E54</f>
        <v>1.9410843976959682</v>
      </c>
      <c r="U54" s="22">
        <f>SUMIFS(U$5:U$45,$D$5:$D$45,$A54)*$E54</f>
        <v>1.0382544452792388</v>
      </c>
      <c r="V54" s="22">
        <f>SUMIFS(V$5:V$45,$D$5:$D$45,$A54)*$E54</f>
        <v>0.81254695717505643</v>
      </c>
      <c r="W54" s="22">
        <f>SUMIFS(W$5:W$45,$D$5:$D$45,$A54)*$E54</f>
        <v>0.45141497620836468</v>
      </c>
      <c r="X54" s="22">
        <f>SUMIFS(X$5:X$45,$D$5:$D$45,$A54)*$E54</f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>D55/SUMIFS($D$48:$D$56,$A$48:$A$56,$A55,    $C$48:$C$56,$C55)</f>
        <v>0.65614825945404465</v>
      </c>
      <c r="G55" s="22">
        <f>SUMIFS(G$5:G$45,$D$5:$D$45,$A55)*$E55</f>
        <v>5602.9350027049086</v>
      </c>
      <c r="H55" s="22">
        <f>SUMIFS(H$5:H$45,$D$5:$D$45,$A55)*$E55</f>
        <v>3386.9749812170739</v>
      </c>
      <c r="I55" s="22">
        <f>SUMIFS(I$5:I$45,$D$5:$D$45,$A55)*$E55</f>
        <v>3256.4638116704236</v>
      </c>
      <c r="J55" s="22">
        <f>SUMIFS(J$5:J$45,$D$5:$D$45,$A55)*$E55</f>
        <v>2288.6451289757078</v>
      </c>
      <c r="K55" s="22">
        <f>SUMIFS(K$5:K$45,$D$5:$D$45,$A55)*$E55</f>
        <v>1566.8820435762586</v>
      </c>
      <c r="L55" s="22">
        <f>SUMIFS(L$5:L$45,$D$5:$D$45,$A55)*$E55</f>
        <v>1053.7741046831957</v>
      </c>
      <c r="M55" s="22">
        <f>SUMIFS(M$5:M$45,$D$5:$D$45,$A55)*$E55</f>
        <v>726.35612321562746</v>
      </c>
      <c r="N55" s="22">
        <f>SUMIFS(N$5:N$45,$D$5:$D$45,$A55)*$E55</f>
        <v>468.48985725018787</v>
      </c>
      <c r="O55" s="22">
        <f>SUMIFS(O$5:O$45,$D$5:$D$45,$A55)*$E55</f>
        <v>280.83145504633109</v>
      </c>
      <c r="P55" s="22">
        <f>SUMIFS(P$5:P$45,$D$5:$D$45,$A55)*$E55</f>
        <v>160.10017530678689</v>
      </c>
      <c r="Q55" s="22">
        <f>SUMIFS(Q$5:Q$45,$D$5:$D$45,$A55)*$E55</f>
        <v>100.39068369646883</v>
      </c>
      <c r="R55" s="22">
        <f>SUMIFS(R$5:R$45,$D$5:$D$45,$A55)*$E55</f>
        <v>68.239418983220645</v>
      </c>
      <c r="S55" s="22">
        <f>SUMIFS(S$5:S$45,$D$5:$D$45,$A55)*$E55</f>
        <v>39.368895567242681</v>
      </c>
      <c r="T55" s="22">
        <f>SUMIFS(T$5:T$45,$D$5:$D$45,$A55)*$E55</f>
        <v>28.214375156523921</v>
      </c>
      <c r="U55" s="22">
        <f>SUMIFS(U$5:U$45,$D$5:$D$45,$A55)*$E55</f>
        <v>15.091409967443028</v>
      </c>
      <c r="V55" s="22">
        <f>SUMIFS(V$5:V$45,$D$5:$D$45,$A55)*$E55</f>
        <v>11.810668670172804</v>
      </c>
      <c r="W55" s="22">
        <f>SUMIFS(W$5:W$45,$D$5:$D$45,$A55)*$E55</f>
        <v>6.5614825945404469</v>
      </c>
      <c r="X55" s="22">
        <f>SUMIFS(X$5:X$45,$D$5:$D$45,$A55)*$E55</f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>D56/SUMIFS($D$48:$D$56,$A$48:$A$56,$A56,    $C$48:$C$56,$C56)</f>
        <v>0.28618832957675938</v>
      </c>
      <c r="G56" s="22">
        <f>SUMIFS(G$5:G$45,$D$5:$D$45,$A56)*$E56</f>
        <v>2443.7992268477228</v>
      </c>
      <c r="H56" s="22">
        <f>SUMIFS(H$5:H$45,$D$5:$D$45,$A56)*$E56</f>
        <v>1477.2769693838975</v>
      </c>
      <c r="I56" s="22">
        <f>SUMIFS(I$5:I$45,$D$5:$D$45,$A56)*$E56</f>
        <v>1420.3526796894569</v>
      </c>
      <c r="J56" s="22">
        <f>SUMIFS(J$5:J$45,$D$5:$D$45,$A56)*$E56</f>
        <v>998.22489356373671</v>
      </c>
      <c r="K56" s="22">
        <f>SUMIFS(K$5:K$45,$D$5:$D$45,$A56)*$E56</f>
        <v>683.41773102930142</v>
      </c>
      <c r="L56" s="22">
        <f>SUMIFS(L$5:L$45,$D$5:$D$45,$A56)*$E56</f>
        <v>459.61845730027557</v>
      </c>
      <c r="M56" s="22">
        <f>SUMIFS(M$5:M$45,$D$5:$D$45,$A56)*$E56</f>
        <v>316.81048084147261</v>
      </c>
      <c r="N56" s="22">
        <f>SUMIFS(N$5:N$45,$D$5:$D$45,$A56)*$E56</f>
        <v>204.33846731780619</v>
      </c>
      <c r="O56" s="22">
        <f>SUMIFS(O$5:O$45,$D$5:$D$45,$A56)*$E56</f>
        <v>122.48860505885301</v>
      </c>
      <c r="P56" s="22">
        <f>SUMIFS(P$5:P$45,$D$5:$D$45,$A56)*$E56</f>
        <v>69.829952416729284</v>
      </c>
      <c r="Q56" s="22">
        <f>SUMIFS(Q$5:Q$45,$D$5:$D$45,$A56)*$E56</f>
        <v>43.786814425244188</v>
      </c>
      <c r="R56" s="22">
        <f>SUMIFS(R$5:R$45,$D$5:$D$45,$A56)*$E56</f>
        <v>29.763586275982977</v>
      </c>
      <c r="S56" s="22">
        <f>SUMIFS(S$5:S$45,$D$5:$D$45,$A56)*$E56</f>
        <v>17.171299774605561</v>
      </c>
      <c r="T56" s="22">
        <f>SUMIFS(T$5:T$45,$D$5:$D$45,$A56)*$E56</f>
        <v>12.306098171800654</v>
      </c>
      <c r="U56" s="22">
        <f>SUMIFS(U$5:U$45,$D$5:$D$45,$A56)*$E56</f>
        <v>6.5823315802654658</v>
      </c>
      <c r="V56" s="22">
        <f>SUMIFS(V$5:V$45,$D$5:$D$45,$A56)*$E56</f>
        <v>5.1513899323816688</v>
      </c>
      <c r="W56" s="22">
        <f>SUMIFS(W$5:W$45,$D$5:$D$45,$A56)*$E56</f>
        <v>2.8618832957675937</v>
      </c>
      <c r="X56" s="22">
        <f>SUMIFS(X$5:X$45,$D$5:$D$45,$A56)*$E56</f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H265"/>
  <sheetViews>
    <sheetView workbookViewId="0">
      <pane ySplit="1" topLeftCell="A2" activePane="bottomLeft" state="frozen"/>
      <selection pane="bottomLeft" activeCell="F2" sqref="F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63" t="s">
        <v>3</v>
      </c>
      <c r="B1" s="63" t="s">
        <v>209</v>
      </c>
      <c r="C1" s="63" t="s">
        <v>210</v>
      </c>
      <c r="D1" s="63" t="s">
        <v>211</v>
      </c>
      <c r="E1" s="63" t="s">
        <v>212</v>
      </c>
      <c r="F1" s="63" t="s">
        <v>213</v>
      </c>
    </row>
    <row r="2" spans="1:6">
      <c r="A2" t="s">
        <v>111</v>
      </c>
      <c r="B2" t="s">
        <v>217</v>
      </c>
      <c r="C2" s="19" t="s">
        <v>344</v>
      </c>
      <c r="D2" s="19">
        <v>2015</v>
      </c>
      <c r="E2">
        <f ca="1">ROUND(VLOOKUP($A2,    'VRE summary'!$B$2:$AD$23,    MATCH($D2, 'VRE summary'!$B$1:$AD$1, 0), FALSE), 0)</f>
        <v>937</v>
      </c>
      <c r="F2" s="98" t="str">
        <f ca="1">IF(E2=0, "remove", "replace")</f>
        <v>replace</v>
      </c>
    </row>
    <row r="3" spans="1:6">
      <c r="A3" t="s">
        <v>114</v>
      </c>
      <c r="B3" t="s">
        <v>217</v>
      </c>
      <c r="C3" s="19" t="s">
        <v>344</v>
      </c>
      <c r="D3" s="19">
        <v>2015</v>
      </c>
      <c r="E3">
        <f ca="1">ROUND(VLOOKUP($A3,    'VRE summary'!$B$2:$AD$23,    MATCH($D3, 'VRE summary'!$B$1:$AD$1, 0), FALSE), 0)</f>
        <v>3132</v>
      </c>
      <c r="F3" s="98" t="str">
        <f ca="1">IF(E3=0, "remove", "replace")</f>
        <v>replace</v>
      </c>
    </row>
    <row r="4" spans="1:6">
      <c r="A4" t="s">
        <v>116</v>
      </c>
      <c r="B4" t="s">
        <v>217</v>
      </c>
      <c r="C4" s="19" t="s">
        <v>344</v>
      </c>
      <c r="D4" s="19">
        <v>2015</v>
      </c>
      <c r="E4">
        <f ca="1">ROUND(VLOOKUP($A4,    'VRE summary'!$B$2:$AD$23,    MATCH($D4, 'VRE summary'!$B$1:$AD$1, 0), FALSE), 0)</f>
        <v>1394</v>
      </c>
      <c r="F4" s="98" t="str">
        <f ca="1">IF(E4=0, "remove", "replace")</f>
        <v>replace</v>
      </c>
    </row>
    <row r="5" spans="1:6">
      <c r="A5" t="s">
        <v>117</v>
      </c>
      <c r="B5" t="s">
        <v>217</v>
      </c>
      <c r="C5" s="19" t="s">
        <v>344</v>
      </c>
      <c r="D5" s="19">
        <v>2015</v>
      </c>
      <c r="E5">
        <f ca="1">ROUND(VLOOKUP($A5,    'VRE summary'!$B$2:$AD$23,    MATCH($D5, 'VRE summary'!$B$1:$AD$1, 0), FALSE), 0)</f>
        <v>39222</v>
      </c>
      <c r="F5" s="98" t="str">
        <f ca="1">IF(E5=0, "remove", "replace")</f>
        <v>replace</v>
      </c>
    </row>
    <row r="6" spans="1:6">
      <c r="A6" t="s">
        <v>118</v>
      </c>
      <c r="B6" t="s">
        <v>217</v>
      </c>
      <c r="C6" s="19" t="s">
        <v>344</v>
      </c>
      <c r="D6" s="19">
        <v>2015</v>
      </c>
      <c r="E6">
        <f ca="1">ROUND(VLOOKUP($A6,    'VRE summary'!$B$2:$AD$23,    MATCH($D6, 'VRE summary'!$B$1:$AD$1, 0), FALSE), 0)</f>
        <v>215</v>
      </c>
      <c r="F6" s="98" t="str">
        <f ca="1">IF(E6=0, "remove", "replace")</f>
        <v>replace</v>
      </c>
    </row>
    <row r="7" spans="1:6">
      <c r="A7" t="s">
        <v>119</v>
      </c>
      <c r="B7" t="s">
        <v>217</v>
      </c>
      <c r="C7" s="19" t="s">
        <v>344</v>
      </c>
      <c r="D7" s="19">
        <v>2015</v>
      </c>
      <c r="E7">
        <f ca="1">ROUND(VLOOKUP($A7,    'VRE summary'!$B$2:$AD$23,    MATCH($D7, 'VRE summary'!$B$1:$AD$1, 0), FALSE), 0)</f>
        <v>567</v>
      </c>
      <c r="F7" s="98" t="str">
        <f ca="1">IF(E7=0, "remove", "replace")</f>
        <v>replace</v>
      </c>
    </row>
    <row r="8" spans="1:6">
      <c r="A8" t="s">
        <v>120</v>
      </c>
      <c r="B8" t="s">
        <v>217</v>
      </c>
      <c r="C8" s="19" t="s">
        <v>344</v>
      </c>
      <c r="D8" s="19">
        <v>2015</v>
      </c>
      <c r="E8">
        <f ca="1">ROUND(VLOOKUP($A8,    'VRE summary'!$B$2:$AD$23,    MATCH($D8, 'VRE summary'!$B$1:$AD$1, 0), FALSE), 0)</f>
        <v>7</v>
      </c>
      <c r="F8" s="98" t="str">
        <f ca="1">IF(E8=0, "remove", "replace")</f>
        <v>replace</v>
      </c>
    </row>
    <row r="9" spans="1:6">
      <c r="A9" t="s">
        <v>121</v>
      </c>
      <c r="B9" t="s">
        <v>217</v>
      </c>
      <c r="C9" s="19" t="s">
        <v>344</v>
      </c>
      <c r="D9" s="19">
        <v>2015</v>
      </c>
      <c r="E9">
        <f ca="1">ROUND(VLOOKUP($A9,    'VRE summary'!$B$2:$AD$23,    MATCH($D9, 'VRE summary'!$B$1:$AD$1, 0), FALSE), 0)</f>
        <v>4704</v>
      </c>
      <c r="F9" s="98" t="str">
        <f ca="1">IF(E9=0, "remove", "replace")</f>
        <v>replace</v>
      </c>
    </row>
    <row r="10" spans="1:6">
      <c r="A10" t="s">
        <v>122</v>
      </c>
      <c r="B10" t="s">
        <v>217</v>
      </c>
      <c r="C10" s="19" t="s">
        <v>344</v>
      </c>
      <c r="D10" s="19">
        <v>2015</v>
      </c>
      <c r="E10">
        <f ca="1">ROUND(VLOOKUP($A10,    'VRE summary'!$B$2:$AD$23,    MATCH($D10, 'VRE summary'!$B$1:$AD$1, 0), FALSE), 0)</f>
        <v>17</v>
      </c>
      <c r="F10" s="98" t="str">
        <f ca="1">IF(E10=0, "remove", "replace")</f>
        <v>replace</v>
      </c>
    </row>
    <row r="11" spans="1:6">
      <c r="A11" t="s">
        <v>123</v>
      </c>
      <c r="B11" t="s">
        <v>217</v>
      </c>
      <c r="C11" s="19" t="s">
        <v>344</v>
      </c>
      <c r="D11" s="19">
        <v>2015</v>
      </c>
      <c r="E11">
        <f ca="1">ROUND(VLOOKUP($A11,    'VRE summary'!$B$2:$AD$23,    MATCH($D11, 'VRE summary'!$B$1:$AD$1, 0), FALSE), 0)</f>
        <v>7138</v>
      </c>
      <c r="F11" s="98" t="str">
        <f ca="1">IF(E11=0, "remove", "replace")</f>
        <v>replace</v>
      </c>
    </row>
    <row r="12" spans="1:6">
      <c r="A12" t="s">
        <v>124</v>
      </c>
      <c r="B12" t="s">
        <v>217</v>
      </c>
      <c r="C12" s="19" t="s">
        <v>344</v>
      </c>
      <c r="D12" s="19">
        <v>2015</v>
      </c>
      <c r="E12">
        <f ca="1">ROUND(VLOOKUP($A12,    'VRE summary'!$B$2:$AD$23,    MATCH($D12, 'VRE summary'!$B$1:$AD$1, 0), FALSE), 0)</f>
        <v>69</v>
      </c>
      <c r="F12" s="98" t="str">
        <f ca="1">IF(E12=0, "remove", "replace")</f>
        <v>replace</v>
      </c>
    </row>
    <row r="13" spans="1:6">
      <c r="A13" t="s">
        <v>125</v>
      </c>
      <c r="B13" t="s">
        <v>217</v>
      </c>
      <c r="C13" s="19" t="s">
        <v>344</v>
      </c>
      <c r="D13" s="19">
        <v>2015</v>
      </c>
      <c r="E13">
        <f ca="1">ROUND(VLOOKUP($A13,    'VRE summary'!$B$2:$AD$23,    MATCH($D13, 'VRE summary'!$B$1:$AD$1, 0), FALSE), 0)</f>
        <v>2</v>
      </c>
      <c r="F13" s="98" t="str">
        <f ca="1">IF(E13=0, "remove", "replace")</f>
        <v>replace</v>
      </c>
    </row>
    <row r="14" spans="1:6">
      <c r="A14" t="s">
        <v>126</v>
      </c>
      <c r="B14" t="s">
        <v>217</v>
      </c>
      <c r="C14" s="19" t="s">
        <v>344</v>
      </c>
      <c r="D14" s="19">
        <v>2015</v>
      </c>
      <c r="E14">
        <f ca="1">ROUND(VLOOKUP($A14,    'VRE summary'!$B$2:$AD$23,    MATCH($D14, 'VRE summary'!$B$1:$AD$1, 0), FALSE), 0)</f>
        <v>1526</v>
      </c>
      <c r="F14" s="98" t="str">
        <f ca="1">IF(E14=0, "remove", "replace")</f>
        <v>replace</v>
      </c>
    </row>
    <row r="15" spans="1:6">
      <c r="A15" t="s">
        <v>127</v>
      </c>
      <c r="B15" t="s">
        <v>217</v>
      </c>
      <c r="C15" s="19" t="s">
        <v>344</v>
      </c>
      <c r="D15" s="19">
        <v>2015</v>
      </c>
      <c r="E15">
        <f ca="1">ROUND(VLOOKUP($A15,    'VRE summary'!$B$2:$AD$23,    MATCH($D15, 'VRE summary'!$B$1:$AD$1, 0), FALSE), 0)</f>
        <v>5</v>
      </c>
      <c r="F15" s="98" t="str">
        <f ca="1">IF(E15=0, "remove", "replace")</f>
        <v>replace</v>
      </c>
    </row>
    <row r="16" spans="1:6">
      <c r="A16" t="s">
        <v>128</v>
      </c>
      <c r="B16" t="s">
        <v>217</v>
      </c>
      <c r="C16" s="19" t="s">
        <v>344</v>
      </c>
      <c r="D16" s="19">
        <v>2015</v>
      </c>
      <c r="E16">
        <f ca="1">ROUND(VLOOKUP($A16,    'VRE summary'!$B$2:$AD$23,    MATCH($D16, 'VRE summary'!$B$1:$AD$1, 0), FALSE), 0)</f>
        <v>1</v>
      </c>
      <c r="F16" s="98" t="str">
        <f ca="1">IF(E16=0, "remove", "replace")</f>
        <v>replace</v>
      </c>
    </row>
    <row r="17" spans="1:6">
      <c r="A17" t="s">
        <v>129</v>
      </c>
      <c r="B17" t="s">
        <v>217</v>
      </c>
      <c r="C17" s="19" t="s">
        <v>344</v>
      </c>
      <c r="D17" s="19">
        <v>2015</v>
      </c>
      <c r="E17">
        <f ca="1">ROUND(VLOOKUP($A17,    'VRE summary'!$B$2:$AD$23,    MATCH($D17, 'VRE summary'!$B$1:$AD$1, 0), FALSE), 0)</f>
        <v>14</v>
      </c>
      <c r="F17" s="98" t="str">
        <f ca="1">IF(E17=0, "remove", "replace")</f>
        <v>replace</v>
      </c>
    </row>
    <row r="18" spans="1:6">
      <c r="A18" t="s">
        <v>130</v>
      </c>
      <c r="B18" t="s">
        <v>217</v>
      </c>
      <c r="C18" s="19" t="s">
        <v>344</v>
      </c>
      <c r="D18" s="19">
        <v>2015</v>
      </c>
      <c r="E18">
        <f ca="1">ROUND(VLOOKUP($A18,    'VRE summary'!$B$2:$AD$23,    MATCH($D18, 'VRE summary'!$B$1:$AD$1, 0), FALSE), 0)</f>
        <v>108</v>
      </c>
      <c r="F18" s="98" t="str">
        <f ca="1">IF(E18=0, "remove", "replace")</f>
        <v>replace</v>
      </c>
    </row>
    <row r="19" spans="1:6">
      <c r="A19" t="s">
        <v>131</v>
      </c>
      <c r="B19" t="s">
        <v>217</v>
      </c>
      <c r="C19" s="19" t="s">
        <v>344</v>
      </c>
      <c r="D19" s="19">
        <v>2015</v>
      </c>
      <c r="E19">
        <f ca="1">ROUND(VLOOKUP($A19,    'VRE summary'!$B$2:$AD$23,    MATCH($D19, 'VRE summary'!$B$1:$AD$1, 0), FALSE), 0)</f>
        <v>1</v>
      </c>
      <c r="F19" s="98" t="str">
        <f ca="1">IF(E19=0, "remove", "replace")</f>
        <v>replace</v>
      </c>
    </row>
    <row r="20" spans="1:6">
      <c r="A20" t="s">
        <v>132</v>
      </c>
      <c r="B20" t="s">
        <v>217</v>
      </c>
      <c r="C20" s="19" t="s">
        <v>344</v>
      </c>
      <c r="D20" s="19">
        <v>2015</v>
      </c>
      <c r="E20">
        <f ca="1">ROUND(VLOOKUP($A20,    'VRE summary'!$B$2:$AD$23,    MATCH($D20, 'VRE summary'!$B$1:$AD$1, 0), FALSE), 0)</f>
        <v>5</v>
      </c>
      <c r="F20" s="98" t="str">
        <f ca="1">IF(E20=0, "remove", "replace")</f>
        <v>replace</v>
      </c>
    </row>
    <row r="21" spans="1:6">
      <c r="A21" t="s">
        <v>133</v>
      </c>
      <c r="B21" t="s">
        <v>217</v>
      </c>
      <c r="C21" s="19" t="s">
        <v>344</v>
      </c>
      <c r="D21" s="19">
        <v>2015</v>
      </c>
      <c r="E21">
        <f ca="1">ROUND(VLOOKUP($A21,    'VRE summary'!$B$2:$AD$23,    MATCH($D21, 'VRE summary'!$B$1:$AD$1, 0), FALSE), 0)</f>
        <v>68</v>
      </c>
      <c r="F21" s="98" t="str">
        <f ca="1">IF(E21=0, "remove", "replace")</f>
        <v>replace</v>
      </c>
    </row>
    <row r="22" spans="1:6">
      <c r="A22" t="s">
        <v>134</v>
      </c>
      <c r="B22" t="s">
        <v>217</v>
      </c>
      <c r="C22" s="19" t="s">
        <v>344</v>
      </c>
      <c r="D22" s="19">
        <v>2015</v>
      </c>
      <c r="E22">
        <f ca="1">ROUND(VLOOKUP($A22,    'VRE summary'!$B$2:$AD$23,    MATCH($D22, 'VRE summary'!$B$1:$AD$1, 0), FALSE), 0)</f>
        <v>30</v>
      </c>
      <c r="F22" s="98" t="str">
        <f ca="1">IF(E22=0, "remove", "replace")</f>
        <v>replace</v>
      </c>
    </row>
    <row r="23" spans="1:6">
      <c r="A23" t="s">
        <v>135</v>
      </c>
      <c r="B23" t="s">
        <v>217</v>
      </c>
      <c r="C23" s="19" t="s">
        <v>344</v>
      </c>
      <c r="D23" s="19">
        <v>2015</v>
      </c>
      <c r="E23">
        <f ca="1">ROUND(VLOOKUP($A23,    'VRE summary'!$B$2:$AD$23,    MATCH($D23, 'VRE summary'!$B$1:$AD$1, 0), FALSE), 0)</f>
        <v>9601</v>
      </c>
      <c r="F23" s="98" t="str">
        <f ca="1">IF(E23=0, "remove", "replace")</f>
        <v>replace</v>
      </c>
    </row>
    <row r="24" spans="1:6">
      <c r="A24" t="s">
        <v>111</v>
      </c>
      <c r="B24" t="s">
        <v>217</v>
      </c>
      <c r="C24" s="19" t="s">
        <v>344</v>
      </c>
      <c r="D24" s="19">
        <v>2020</v>
      </c>
      <c r="E24">
        <f ca="1">ROUND(VLOOKUP($A24,    'VRE summary'!$B$2:$AD$23,    MATCH($D24, 'VRE summary'!$B$1:$AD$1, 0), FALSE), 0)</f>
        <v>2043</v>
      </c>
      <c r="F24" s="98" t="str">
        <f ca="1">IF(E24=0, "remove", "replace")</f>
        <v>replace</v>
      </c>
    </row>
    <row r="25" spans="1:6">
      <c r="A25" t="s">
        <v>114</v>
      </c>
      <c r="B25" t="s">
        <v>217</v>
      </c>
      <c r="C25" s="19" t="s">
        <v>344</v>
      </c>
      <c r="D25" s="19">
        <v>2020</v>
      </c>
      <c r="E25">
        <f ca="1">ROUND(VLOOKUP($A25,    'VRE summary'!$B$2:$AD$23,    MATCH($D25, 'VRE summary'!$B$1:$AD$1, 0), FALSE), 0)</f>
        <v>5573</v>
      </c>
      <c r="F25" s="98" t="str">
        <f ca="1">IF(E25=0, "remove", "replace")</f>
        <v>replace</v>
      </c>
    </row>
    <row r="26" spans="1:6">
      <c r="A26" t="s">
        <v>116</v>
      </c>
      <c r="B26" t="s">
        <v>217</v>
      </c>
      <c r="C26" s="19" t="s">
        <v>344</v>
      </c>
      <c r="D26" s="19">
        <v>2020</v>
      </c>
      <c r="E26">
        <f ca="1">ROUND(VLOOKUP($A26,    'VRE summary'!$B$2:$AD$23,    MATCH($D26, 'VRE summary'!$B$1:$AD$1, 0), FALSE), 0)</f>
        <v>2973</v>
      </c>
      <c r="F26" s="98" t="str">
        <f ca="1">IF(E26=0, "remove", "replace")</f>
        <v>replace</v>
      </c>
    </row>
    <row r="27" spans="1:6">
      <c r="A27" t="s">
        <v>117</v>
      </c>
      <c r="B27" t="s">
        <v>217</v>
      </c>
      <c r="C27" s="19" t="s">
        <v>344</v>
      </c>
      <c r="D27" s="19">
        <v>2020</v>
      </c>
      <c r="E27">
        <f ca="1">ROUND(VLOOKUP($A27,    'VRE summary'!$B$2:$AD$23,    MATCH($D27, 'VRE summary'!$B$1:$AD$1, 0), FALSE), 0)</f>
        <v>53669</v>
      </c>
      <c r="F27" s="98" t="str">
        <f ca="1">IF(E27=0, "remove", "replace")</f>
        <v>replace</v>
      </c>
    </row>
    <row r="28" spans="1:6">
      <c r="A28" t="s">
        <v>118</v>
      </c>
      <c r="B28" t="s">
        <v>217</v>
      </c>
      <c r="C28" s="19" t="s">
        <v>344</v>
      </c>
      <c r="D28" s="19">
        <v>2020</v>
      </c>
      <c r="E28">
        <f ca="1">ROUND(VLOOKUP($A28,    'VRE summary'!$B$2:$AD$23,    MATCH($D28, 'VRE summary'!$B$1:$AD$1, 0), FALSE), 0)</f>
        <v>359</v>
      </c>
      <c r="F28" s="98" t="str">
        <f ca="1">IF(E28=0, "remove", "replace")</f>
        <v>replace</v>
      </c>
    </row>
    <row r="29" spans="1:6">
      <c r="A29" t="s">
        <v>119</v>
      </c>
      <c r="B29" t="s">
        <v>217</v>
      </c>
      <c r="C29" s="19" t="s">
        <v>344</v>
      </c>
      <c r="D29" s="19">
        <v>2020</v>
      </c>
      <c r="E29">
        <f ca="1">ROUND(VLOOKUP($A29,    'VRE summary'!$B$2:$AD$23,    MATCH($D29, 'VRE summary'!$B$1:$AD$1, 0), FALSE), 0)</f>
        <v>945</v>
      </c>
      <c r="F29" s="98" t="str">
        <f ca="1">IF(E29=0, "remove", "replace")</f>
        <v>replace</v>
      </c>
    </row>
    <row r="30" spans="1:6">
      <c r="A30" t="s">
        <v>120</v>
      </c>
      <c r="B30" t="s">
        <v>217</v>
      </c>
      <c r="C30" s="19" t="s">
        <v>344</v>
      </c>
      <c r="D30" s="19">
        <v>2020</v>
      </c>
      <c r="E30">
        <f ca="1">ROUND(VLOOKUP($A30,    'VRE summary'!$B$2:$AD$23,    MATCH($D30, 'VRE summary'!$B$1:$AD$1, 0), FALSE), 0)</f>
        <v>208</v>
      </c>
      <c r="F30" s="98" t="str">
        <f ca="1">IF(E30=0, "remove", "replace")</f>
        <v>replace</v>
      </c>
    </row>
    <row r="31" spans="1:6">
      <c r="A31" t="s">
        <v>121</v>
      </c>
      <c r="B31" t="s">
        <v>217</v>
      </c>
      <c r="C31" s="19" t="s">
        <v>344</v>
      </c>
      <c r="D31" s="19">
        <v>2020</v>
      </c>
      <c r="E31">
        <f ca="1">ROUND(VLOOKUP($A31,    'VRE summary'!$B$2:$AD$23,    MATCH($D31, 'VRE summary'!$B$1:$AD$1, 0), FALSE), 0)</f>
        <v>10136</v>
      </c>
      <c r="F31" s="98" t="str">
        <f ca="1">IF(E31=0, "remove", "replace")</f>
        <v>replace</v>
      </c>
    </row>
    <row r="32" spans="1:6">
      <c r="A32" t="s">
        <v>122</v>
      </c>
      <c r="B32" t="s">
        <v>217</v>
      </c>
      <c r="C32" s="19" t="s">
        <v>344</v>
      </c>
      <c r="D32" s="19">
        <v>2020</v>
      </c>
      <c r="E32">
        <f ca="1">ROUND(VLOOKUP($A32,    'VRE summary'!$B$2:$AD$23,    MATCH($D32, 'VRE summary'!$B$1:$AD$1, 0), FALSE), 0)</f>
        <v>318</v>
      </c>
      <c r="F32" s="98" t="str">
        <f ca="1">IF(E32=0, "remove", "replace")</f>
        <v>replace</v>
      </c>
    </row>
    <row r="33" spans="1:6">
      <c r="A33" t="s">
        <v>123</v>
      </c>
      <c r="B33" t="s">
        <v>217</v>
      </c>
      <c r="C33" s="19" t="s">
        <v>344</v>
      </c>
      <c r="D33" s="19">
        <v>2020</v>
      </c>
      <c r="E33">
        <f ca="1">ROUND(VLOOKUP($A33,    'VRE summary'!$B$2:$AD$23,    MATCH($D33, 'VRE summary'!$B$1:$AD$1, 0), FALSE), 0)</f>
        <v>12056</v>
      </c>
      <c r="F33" s="98" t="str">
        <f ca="1">IF(E33=0, "remove", "replace")</f>
        <v>replace</v>
      </c>
    </row>
    <row r="34" spans="1:6">
      <c r="A34" t="s">
        <v>124</v>
      </c>
      <c r="B34" t="s">
        <v>217</v>
      </c>
      <c r="C34" s="19" t="s">
        <v>344</v>
      </c>
      <c r="D34" s="19">
        <v>2020</v>
      </c>
      <c r="E34">
        <f ca="1">ROUND(VLOOKUP($A34,    'VRE summary'!$B$2:$AD$23,    MATCH($D34, 'VRE summary'!$B$1:$AD$1, 0), FALSE), 0)</f>
        <v>164</v>
      </c>
      <c r="F34" s="98" t="str">
        <f ca="1">IF(E34=0, "remove", "replace")</f>
        <v>replace</v>
      </c>
    </row>
    <row r="35" spans="1:6">
      <c r="A35" t="s">
        <v>125</v>
      </c>
      <c r="B35" t="s">
        <v>217</v>
      </c>
      <c r="C35" s="19" t="s">
        <v>344</v>
      </c>
      <c r="D35" s="19">
        <v>2020</v>
      </c>
      <c r="E35">
        <f ca="1">ROUND(VLOOKUP($A35,    'VRE summary'!$B$2:$AD$23,    MATCH($D35, 'VRE summary'!$B$1:$AD$1, 0), FALSE), 0)</f>
        <v>5</v>
      </c>
      <c r="F35" s="98" t="str">
        <f ca="1">IF(E35=0, "remove", "replace")</f>
        <v>replace</v>
      </c>
    </row>
    <row r="36" spans="1:6">
      <c r="A36" t="s">
        <v>126</v>
      </c>
      <c r="B36" t="s">
        <v>217</v>
      </c>
      <c r="C36" s="19" t="s">
        <v>344</v>
      </c>
      <c r="D36" s="19">
        <v>2020</v>
      </c>
      <c r="E36">
        <f ca="1">ROUND(VLOOKUP($A36,    'VRE summary'!$B$2:$AD$23,    MATCH($D36, 'VRE summary'!$B$1:$AD$1, 0), FALSE), 0)</f>
        <v>11108</v>
      </c>
      <c r="F36" s="98" t="str">
        <f ca="1">IF(E36=0, "remove", "replace")</f>
        <v>replace</v>
      </c>
    </row>
    <row r="37" spans="1:6">
      <c r="A37" t="s">
        <v>127</v>
      </c>
      <c r="B37" t="s">
        <v>217</v>
      </c>
      <c r="C37" s="19" t="s">
        <v>344</v>
      </c>
      <c r="D37" s="19">
        <v>2020</v>
      </c>
      <c r="E37">
        <f ca="1">ROUND(VLOOKUP($A37,    'VRE summary'!$B$2:$AD$23,    MATCH($D37, 'VRE summary'!$B$1:$AD$1, 0), FALSE), 0)</f>
        <v>38</v>
      </c>
      <c r="F37" s="98" t="str">
        <f ca="1">IF(E37=0, "remove", "replace")</f>
        <v>replace</v>
      </c>
    </row>
    <row r="38" spans="1:6">
      <c r="A38" t="s">
        <v>128</v>
      </c>
      <c r="B38" t="s">
        <v>217</v>
      </c>
      <c r="C38" s="19" t="s">
        <v>344</v>
      </c>
      <c r="D38" s="19">
        <v>2020</v>
      </c>
      <c r="E38">
        <f ca="1">ROUND(VLOOKUP($A38,    'VRE summary'!$B$2:$AD$23,    MATCH($D38, 'VRE summary'!$B$1:$AD$1, 0), FALSE), 0)</f>
        <v>10</v>
      </c>
      <c r="F38" s="98" t="str">
        <f ca="1">IF(E38=0, "remove", "replace")</f>
        <v>replace</v>
      </c>
    </row>
    <row r="39" spans="1:6">
      <c r="A39" t="s">
        <v>129</v>
      </c>
      <c r="B39" t="s">
        <v>217</v>
      </c>
      <c r="C39" s="19" t="s">
        <v>344</v>
      </c>
      <c r="D39" s="19">
        <v>2020</v>
      </c>
      <c r="E39">
        <f ca="1">ROUND(VLOOKUP($A39,    'VRE summary'!$B$2:$AD$23,    MATCH($D39, 'VRE summary'!$B$1:$AD$1, 0), FALSE), 0)</f>
        <v>113</v>
      </c>
      <c r="F39" s="98" t="str">
        <f ca="1">IF(E39=0, "remove", "replace")</f>
        <v>replace</v>
      </c>
    </row>
    <row r="40" spans="1:6">
      <c r="A40" t="s">
        <v>130</v>
      </c>
      <c r="B40" t="s">
        <v>217</v>
      </c>
      <c r="C40" s="19" t="s">
        <v>344</v>
      </c>
      <c r="D40" s="19">
        <v>2020</v>
      </c>
      <c r="E40">
        <f ca="1">ROUND(VLOOKUP($A40,    'VRE summary'!$B$2:$AD$23,    MATCH($D40, 'VRE summary'!$B$1:$AD$1, 0), FALSE), 0)</f>
        <v>3955</v>
      </c>
      <c r="F40" s="98" t="str">
        <f ca="1">IF(E40=0, "remove", "replace")</f>
        <v>replace</v>
      </c>
    </row>
    <row r="41" spans="1:6">
      <c r="A41" t="s">
        <v>131</v>
      </c>
      <c r="B41" t="s">
        <v>217</v>
      </c>
      <c r="C41" s="19" t="s">
        <v>344</v>
      </c>
      <c r="D41" s="19">
        <v>2020</v>
      </c>
      <c r="E41">
        <f ca="1">ROUND(VLOOKUP($A41,    'VRE summary'!$B$2:$AD$23,    MATCH($D41, 'VRE summary'!$B$1:$AD$1, 0), FALSE), 0)</f>
        <v>14</v>
      </c>
      <c r="F41" s="98" t="str">
        <f ca="1">IF(E41=0, "remove", "replace")</f>
        <v>replace</v>
      </c>
    </row>
    <row r="42" spans="1:6">
      <c r="A42" t="s">
        <v>132</v>
      </c>
      <c r="B42" t="s">
        <v>217</v>
      </c>
      <c r="C42" s="19" t="s">
        <v>344</v>
      </c>
      <c r="D42" s="19">
        <v>2020</v>
      </c>
      <c r="E42">
        <f ca="1">ROUND(VLOOKUP($A42,    'VRE summary'!$B$2:$AD$23,    MATCH($D42, 'VRE summary'!$B$1:$AD$1, 0), FALSE), 0)</f>
        <v>50</v>
      </c>
      <c r="F42" s="98" t="str">
        <f ca="1">IF(E42=0, "remove", "replace")</f>
        <v>replace</v>
      </c>
    </row>
    <row r="43" spans="1:6">
      <c r="A43" t="s">
        <v>133</v>
      </c>
      <c r="B43" t="s">
        <v>217</v>
      </c>
      <c r="C43" s="19" t="s">
        <v>344</v>
      </c>
      <c r="D43" s="19">
        <v>2020</v>
      </c>
      <c r="E43">
        <f ca="1">ROUND(VLOOKUP($A43,    'VRE summary'!$B$2:$AD$23,    MATCH($D43, 'VRE summary'!$B$1:$AD$1, 0), FALSE), 0)</f>
        <v>726</v>
      </c>
      <c r="F43" s="98" t="str">
        <f ca="1">IF(E43=0, "remove", "replace")</f>
        <v>replace</v>
      </c>
    </row>
    <row r="44" spans="1:6">
      <c r="A44" t="s">
        <v>134</v>
      </c>
      <c r="B44" t="s">
        <v>217</v>
      </c>
      <c r="C44" s="19" t="s">
        <v>344</v>
      </c>
      <c r="D44" s="19">
        <v>2020</v>
      </c>
      <c r="E44">
        <f ca="1">ROUND(VLOOKUP($A44,    'VRE summary'!$B$2:$AD$23,    MATCH($D44, 'VRE summary'!$B$1:$AD$1, 0), FALSE), 0)</f>
        <v>317</v>
      </c>
      <c r="F44" s="98" t="str">
        <f ca="1">IF(E44=0, "remove", "replace")</f>
        <v>replace</v>
      </c>
    </row>
    <row r="45" spans="1:6">
      <c r="A45" t="s">
        <v>135</v>
      </c>
      <c r="B45" t="s">
        <v>217</v>
      </c>
      <c r="C45" s="19" t="s">
        <v>344</v>
      </c>
      <c r="D45" s="19">
        <v>2020</v>
      </c>
      <c r="E45">
        <f ca="1">ROUND(VLOOKUP($A45,    'VRE summary'!$B$2:$AD$23,    MATCH($D45, 'VRE summary'!$B$1:$AD$1, 0), FALSE), 0)</f>
        <v>13224</v>
      </c>
      <c r="F45" s="98" t="str">
        <f ca="1">IF(E45=0, "remove", "replace")</f>
        <v>replace</v>
      </c>
    </row>
    <row r="46" spans="1:6">
      <c r="A46" t="s">
        <v>111</v>
      </c>
      <c r="B46" t="s">
        <v>217</v>
      </c>
      <c r="C46" s="19" t="s">
        <v>344</v>
      </c>
      <c r="D46" s="19">
        <v>2025</v>
      </c>
      <c r="E46">
        <f ca="1">ROUND(VLOOKUP($A46,    'VRE summary'!$B$2:$AD$23,    MATCH($D46, 'VRE summary'!$B$1:$AD$1, 0), FALSE), 0)</f>
        <v>8735</v>
      </c>
      <c r="F46" s="98" t="str">
        <f ca="1">IF(E46=0, "remove", "replace")</f>
        <v>replace</v>
      </c>
    </row>
    <row r="47" spans="1:6">
      <c r="A47" t="s">
        <v>114</v>
      </c>
      <c r="B47" t="s">
        <v>217</v>
      </c>
      <c r="C47" s="19" t="s">
        <v>344</v>
      </c>
      <c r="D47" s="19">
        <v>2025</v>
      </c>
      <c r="E47">
        <f ca="1">ROUND(VLOOKUP($A47,    'VRE summary'!$B$2:$AD$23,    MATCH($D47, 'VRE summary'!$B$1:$AD$1, 0), FALSE), 0)</f>
        <v>9551</v>
      </c>
      <c r="F47" s="98" t="str">
        <f ca="1">IF(E47=0, "remove", "replace")</f>
        <v>replace</v>
      </c>
    </row>
    <row r="48" spans="1:6">
      <c r="A48" t="s">
        <v>116</v>
      </c>
      <c r="B48" t="s">
        <v>217</v>
      </c>
      <c r="C48" s="19" t="s">
        <v>344</v>
      </c>
      <c r="D48" s="19">
        <v>2025</v>
      </c>
      <c r="E48">
        <f ca="1">ROUND(VLOOKUP($A48,    'VRE summary'!$B$2:$AD$23,    MATCH($D48, 'VRE summary'!$B$1:$AD$1, 0), FALSE), 0)</f>
        <v>8209</v>
      </c>
      <c r="F48" s="98" t="str">
        <f ca="1">IF(E48=0, "remove", "replace")</f>
        <v>replace</v>
      </c>
    </row>
    <row r="49" spans="1:6">
      <c r="A49" t="s">
        <v>117</v>
      </c>
      <c r="B49" t="s">
        <v>217</v>
      </c>
      <c r="C49" s="19" t="s">
        <v>344</v>
      </c>
      <c r="D49" s="19">
        <v>2025</v>
      </c>
      <c r="E49">
        <f ca="1">ROUND(VLOOKUP($A49,    'VRE summary'!$B$2:$AD$23,    MATCH($D49, 'VRE summary'!$B$1:$AD$1, 0), FALSE), 0)</f>
        <v>102767</v>
      </c>
      <c r="F49" s="98" t="str">
        <f ca="1">IF(E49=0, "remove", "replace")</f>
        <v>replace</v>
      </c>
    </row>
    <row r="50" spans="1:6">
      <c r="A50" t="s">
        <v>118</v>
      </c>
      <c r="B50" t="s">
        <v>217</v>
      </c>
      <c r="C50" s="19" t="s">
        <v>344</v>
      </c>
      <c r="D50" s="19">
        <v>2025</v>
      </c>
      <c r="E50">
        <f ca="1">ROUND(VLOOKUP($A50,    'VRE summary'!$B$2:$AD$23,    MATCH($D50, 'VRE summary'!$B$1:$AD$1, 0), FALSE), 0)</f>
        <v>1194</v>
      </c>
      <c r="F50" s="98" t="str">
        <f ca="1">IF(E50=0, "remove", "replace")</f>
        <v>replace</v>
      </c>
    </row>
    <row r="51" spans="1:6">
      <c r="A51" t="s">
        <v>119</v>
      </c>
      <c r="B51" t="s">
        <v>217</v>
      </c>
      <c r="C51" s="19" t="s">
        <v>344</v>
      </c>
      <c r="D51" s="19">
        <v>2025</v>
      </c>
      <c r="E51">
        <f ca="1">ROUND(VLOOKUP($A51,    'VRE summary'!$B$2:$AD$23,    MATCH($D51, 'VRE summary'!$B$1:$AD$1, 0), FALSE), 0)</f>
        <v>3142</v>
      </c>
      <c r="F51" s="98" t="str">
        <f ca="1">IF(E51=0, "remove", "replace")</f>
        <v>replace</v>
      </c>
    </row>
    <row r="52" spans="1:6">
      <c r="A52" t="s">
        <v>120</v>
      </c>
      <c r="B52" t="s">
        <v>217</v>
      </c>
      <c r="C52" s="19" t="s">
        <v>344</v>
      </c>
      <c r="D52" s="19">
        <v>2025</v>
      </c>
      <c r="E52">
        <f ca="1">ROUND(VLOOKUP($A52,    'VRE summary'!$B$2:$AD$23,    MATCH($D52, 'VRE summary'!$B$1:$AD$1, 0), FALSE), 0)</f>
        <v>1408</v>
      </c>
      <c r="F52" s="98" t="str">
        <f ca="1">IF(E52=0, "remove", "replace")</f>
        <v>replace</v>
      </c>
    </row>
    <row r="53" spans="1:6">
      <c r="A53" t="s">
        <v>121</v>
      </c>
      <c r="B53" t="s">
        <v>217</v>
      </c>
      <c r="C53" s="19" t="s">
        <v>344</v>
      </c>
      <c r="D53" s="19">
        <v>2025</v>
      </c>
      <c r="E53">
        <f ca="1">ROUND(VLOOKUP($A53,    'VRE summary'!$B$2:$AD$23,    MATCH($D53, 'VRE summary'!$B$1:$AD$1, 0), FALSE), 0)</f>
        <v>38898</v>
      </c>
      <c r="F53" s="98" t="str">
        <f ca="1">IF(E53=0, "remove", "replace")</f>
        <v>replace</v>
      </c>
    </row>
    <row r="54" spans="1:6">
      <c r="A54" t="s">
        <v>122</v>
      </c>
      <c r="B54" t="s">
        <v>217</v>
      </c>
      <c r="C54" s="19" t="s">
        <v>344</v>
      </c>
      <c r="D54" s="19">
        <v>2025</v>
      </c>
      <c r="E54">
        <f ca="1">ROUND(VLOOKUP($A54,    'VRE summary'!$B$2:$AD$23,    MATCH($D54, 'VRE summary'!$B$1:$AD$1, 0), FALSE), 0)</f>
        <v>1292</v>
      </c>
      <c r="F54" s="98" t="str">
        <f ca="1">IF(E54=0, "remove", "replace")</f>
        <v>replace</v>
      </c>
    </row>
    <row r="55" spans="1:6">
      <c r="A55" t="s">
        <v>123</v>
      </c>
      <c r="B55" t="s">
        <v>217</v>
      </c>
      <c r="C55" s="19" t="s">
        <v>344</v>
      </c>
      <c r="D55" s="19">
        <v>2025</v>
      </c>
      <c r="E55">
        <f ca="1">ROUND(VLOOKUP($A55,    'VRE summary'!$B$2:$AD$23,    MATCH($D55, 'VRE summary'!$B$1:$AD$1, 0), FALSE), 0)</f>
        <v>26548</v>
      </c>
      <c r="F55" s="98" t="str">
        <f ca="1">IF(E55=0, "remove", "replace")</f>
        <v>replace</v>
      </c>
    </row>
    <row r="56" spans="1:6">
      <c r="A56" t="s">
        <v>124</v>
      </c>
      <c r="B56" t="s">
        <v>217</v>
      </c>
      <c r="C56" s="19" t="s">
        <v>344</v>
      </c>
      <c r="D56" s="19">
        <v>2025</v>
      </c>
      <c r="E56">
        <f ca="1">ROUND(VLOOKUP($A56,    'VRE summary'!$B$2:$AD$23,    MATCH($D56, 'VRE summary'!$B$1:$AD$1, 0), FALSE), 0)</f>
        <v>2651</v>
      </c>
      <c r="F56" s="98" t="str">
        <f ca="1">IF(E56=0, "remove", "replace")</f>
        <v>replace</v>
      </c>
    </row>
    <row r="57" spans="1:6">
      <c r="A57" t="s">
        <v>125</v>
      </c>
      <c r="B57" t="s">
        <v>217</v>
      </c>
      <c r="C57" s="19" t="s">
        <v>344</v>
      </c>
      <c r="D57" s="19">
        <v>2025</v>
      </c>
      <c r="E57">
        <f ca="1">ROUND(VLOOKUP($A57,    'VRE summary'!$B$2:$AD$23,    MATCH($D57, 'VRE summary'!$B$1:$AD$1, 0), FALSE), 0)</f>
        <v>722</v>
      </c>
      <c r="F57" s="98" t="str">
        <f ca="1">IF(E57=0, "remove", "replace")</f>
        <v>replace</v>
      </c>
    </row>
    <row r="58" spans="1:6">
      <c r="A58" t="s">
        <v>126</v>
      </c>
      <c r="B58" t="s">
        <v>217</v>
      </c>
      <c r="C58" s="19" t="s">
        <v>344</v>
      </c>
      <c r="D58" s="19">
        <v>2025</v>
      </c>
      <c r="E58">
        <f ca="1">ROUND(VLOOKUP($A58,    'VRE summary'!$B$2:$AD$23,    MATCH($D58, 'VRE summary'!$B$1:$AD$1, 0), FALSE), 0)</f>
        <v>25132</v>
      </c>
      <c r="F58" s="98" t="str">
        <f ca="1">IF(E58=0, "remove", "replace")</f>
        <v>replace</v>
      </c>
    </row>
    <row r="59" spans="1:6">
      <c r="A59" t="s">
        <v>127</v>
      </c>
      <c r="B59" t="s">
        <v>217</v>
      </c>
      <c r="C59" s="19" t="s">
        <v>344</v>
      </c>
      <c r="D59" s="19">
        <v>2025</v>
      </c>
      <c r="E59">
        <f ca="1">ROUND(VLOOKUP($A59,    'VRE summary'!$B$2:$AD$23,    MATCH($D59, 'VRE summary'!$B$1:$AD$1, 0), FALSE), 0)</f>
        <v>183</v>
      </c>
      <c r="F59" s="98" t="str">
        <f ca="1">IF(E59=0, "remove", "replace")</f>
        <v>replace</v>
      </c>
    </row>
    <row r="60" spans="1:6">
      <c r="A60" t="s">
        <v>128</v>
      </c>
      <c r="B60" t="s">
        <v>217</v>
      </c>
      <c r="C60" s="19" t="s">
        <v>344</v>
      </c>
      <c r="D60" s="19">
        <v>2025</v>
      </c>
      <c r="E60">
        <f ca="1">ROUND(VLOOKUP($A60,    'VRE summary'!$B$2:$AD$23,    MATCH($D60, 'VRE summary'!$B$1:$AD$1, 0), FALSE), 0)</f>
        <v>48</v>
      </c>
      <c r="F60" s="98" t="str">
        <f ca="1">IF(E60=0, "remove", "replace")</f>
        <v>replace</v>
      </c>
    </row>
    <row r="61" spans="1:6">
      <c r="A61" t="s">
        <v>129</v>
      </c>
      <c r="B61" t="s">
        <v>217</v>
      </c>
      <c r="C61" s="19" t="s">
        <v>344</v>
      </c>
      <c r="D61" s="19">
        <v>2025</v>
      </c>
      <c r="E61">
        <f ca="1">ROUND(VLOOKUP($A61,    'VRE summary'!$B$2:$AD$23,    MATCH($D61, 'VRE summary'!$B$1:$AD$1, 0), FALSE), 0)</f>
        <v>550</v>
      </c>
      <c r="F61" s="98" t="str">
        <f ca="1">IF(E61=0, "remove", "replace")</f>
        <v>replace</v>
      </c>
    </row>
    <row r="62" spans="1:6">
      <c r="A62" t="s">
        <v>130</v>
      </c>
      <c r="B62" t="s">
        <v>217</v>
      </c>
      <c r="C62" s="19" t="s">
        <v>344</v>
      </c>
      <c r="D62" s="19">
        <v>2025</v>
      </c>
      <c r="E62">
        <f ca="1">ROUND(VLOOKUP($A62,    'VRE summary'!$B$2:$AD$23,    MATCH($D62, 'VRE summary'!$B$1:$AD$1, 0), FALSE), 0)</f>
        <v>22158</v>
      </c>
      <c r="F62" s="98" t="str">
        <f ca="1">IF(E62=0, "remove", "replace")</f>
        <v>replace</v>
      </c>
    </row>
    <row r="63" spans="1:6">
      <c r="A63" t="s">
        <v>131</v>
      </c>
      <c r="B63" t="s">
        <v>217</v>
      </c>
      <c r="C63" s="19" t="s">
        <v>344</v>
      </c>
      <c r="D63" s="19">
        <v>2025</v>
      </c>
      <c r="E63">
        <f ca="1">ROUND(VLOOKUP($A63,    'VRE summary'!$B$2:$AD$23,    MATCH($D63, 'VRE summary'!$B$1:$AD$1, 0), FALSE), 0)</f>
        <v>65</v>
      </c>
      <c r="F63" s="98" t="str">
        <f ca="1">IF(E63=0, "remove", "replace")</f>
        <v>replace</v>
      </c>
    </row>
    <row r="64" spans="1:6">
      <c r="A64" t="s">
        <v>132</v>
      </c>
      <c r="B64" t="s">
        <v>217</v>
      </c>
      <c r="C64" s="19" t="s">
        <v>344</v>
      </c>
      <c r="D64" s="19">
        <v>2025</v>
      </c>
      <c r="E64">
        <f ca="1">ROUND(VLOOKUP($A64,    'VRE summary'!$B$2:$AD$23,    MATCH($D64, 'VRE summary'!$B$1:$AD$1, 0), FALSE), 0)</f>
        <v>233</v>
      </c>
      <c r="F64" s="98" t="str">
        <f ca="1">IF(E64=0, "remove", "replace")</f>
        <v>replace</v>
      </c>
    </row>
    <row r="65" spans="1:6">
      <c r="A65" t="s">
        <v>133</v>
      </c>
      <c r="B65" t="s">
        <v>217</v>
      </c>
      <c r="C65" s="19" t="s">
        <v>344</v>
      </c>
      <c r="D65" s="19">
        <v>2025</v>
      </c>
      <c r="E65">
        <f ca="1">ROUND(VLOOKUP($A65,    'VRE summary'!$B$2:$AD$23,    MATCH($D65, 'VRE summary'!$B$1:$AD$1, 0), FALSE), 0)</f>
        <v>3387</v>
      </c>
      <c r="F65" s="98" t="str">
        <f ca="1">IF(E65=0, "remove", "replace")</f>
        <v>replace</v>
      </c>
    </row>
    <row r="66" spans="1:6">
      <c r="A66" t="s">
        <v>134</v>
      </c>
      <c r="B66" t="s">
        <v>217</v>
      </c>
      <c r="C66" s="19" t="s">
        <v>344</v>
      </c>
      <c r="D66" s="19">
        <v>2025</v>
      </c>
      <c r="E66">
        <f ca="1">ROUND(VLOOKUP($A66,    'VRE summary'!$B$2:$AD$23,    MATCH($D66, 'VRE summary'!$B$1:$AD$1, 0), FALSE), 0)</f>
        <v>1477</v>
      </c>
      <c r="F66" s="98" t="str">
        <f ca="1">IF(E66=0, "remove", "replace")</f>
        <v>replace</v>
      </c>
    </row>
    <row r="67" spans="1:6">
      <c r="A67" t="s">
        <v>135</v>
      </c>
      <c r="B67" t="s">
        <v>217</v>
      </c>
      <c r="C67" s="19" t="s">
        <v>344</v>
      </c>
      <c r="D67" s="19">
        <v>2025</v>
      </c>
      <c r="E67">
        <f ca="1">ROUND(VLOOKUP($A67,    'VRE summary'!$B$2:$AD$23,    MATCH($D67, 'VRE summary'!$B$1:$AD$1, 0), FALSE), 0)</f>
        <v>21186</v>
      </c>
      <c r="F67" s="98" t="str">
        <f ca="1">IF(E67=0, "remove", "replace")</f>
        <v>replace</v>
      </c>
    </row>
    <row r="68" spans="1:6">
      <c r="A68" t="s">
        <v>111</v>
      </c>
      <c r="B68" t="s">
        <v>217</v>
      </c>
      <c r="C68" s="19" t="s">
        <v>344</v>
      </c>
      <c r="D68" s="19">
        <v>2030</v>
      </c>
      <c r="E68">
        <f ca="1">ROUND(VLOOKUP($A68,    'VRE summary'!$B$2:$AD$23,    MATCH($D68, 'VRE summary'!$B$1:$AD$1, 0), FALSE), 0)</f>
        <v>14218</v>
      </c>
      <c r="F68" s="98" t="str">
        <f ca="1">IF(E68=0, "remove", "replace")</f>
        <v>replace</v>
      </c>
    </row>
    <row r="69" spans="1:6">
      <c r="A69" t="s">
        <v>114</v>
      </c>
      <c r="B69" t="s">
        <v>217</v>
      </c>
      <c r="C69" s="19" t="s">
        <v>344</v>
      </c>
      <c r="D69" s="19">
        <v>2030</v>
      </c>
      <c r="E69">
        <f ca="1">ROUND(VLOOKUP($A69,    'VRE summary'!$B$2:$AD$23,    MATCH($D69, 'VRE summary'!$B$1:$AD$1, 0), FALSE), 0)</f>
        <v>13432</v>
      </c>
      <c r="F69" s="98" t="str">
        <f ca="1">IF(E69=0, "remove", "replace")</f>
        <v>replace</v>
      </c>
    </row>
    <row r="70" spans="1:6">
      <c r="A70" t="s">
        <v>116</v>
      </c>
      <c r="B70" t="s">
        <v>217</v>
      </c>
      <c r="C70" s="19" t="s">
        <v>344</v>
      </c>
      <c r="D70" s="19">
        <v>2030</v>
      </c>
      <c r="E70">
        <f ca="1">ROUND(VLOOKUP($A70,    'VRE summary'!$B$2:$AD$23,    MATCH($D70, 'VRE summary'!$B$1:$AD$1, 0), FALSE), 0)</f>
        <v>13189</v>
      </c>
      <c r="F70" s="98" t="str">
        <f ca="1">IF(E70=0, "remove", "replace")</f>
        <v>replace</v>
      </c>
    </row>
    <row r="71" spans="1:6">
      <c r="A71" t="s">
        <v>117</v>
      </c>
      <c r="B71" t="s">
        <v>217</v>
      </c>
      <c r="C71" s="19" t="s">
        <v>344</v>
      </c>
      <c r="D71" s="19">
        <v>2030</v>
      </c>
      <c r="E71">
        <f ca="1">ROUND(VLOOKUP($A71,    'VRE summary'!$B$2:$AD$23,    MATCH($D71, 'VRE summary'!$B$1:$AD$1, 0), FALSE), 0)</f>
        <v>151691</v>
      </c>
      <c r="F71" s="98" t="str">
        <f ca="1">IF(E71=0, "remove", "replace")</f>
        <v>replace</v>
      </c>
    </row>
    <row r="72" spans="1:6">
      <c r="A72" t="s">
        <v>118</v>
      </c>
      <c r="B72" t="s">
        <v>217</v>
      </c>
      <c r="C72" s="19" t="s">
        <v>344</v>
      </c>
      <c r="D72" s="19">
        <v>2030</v>
      </c>
      <c r="E72">
        <f ca="1">ROUND(VLOOKUP($A72,    'VRE summary'!$B$2:$AD$23,    MATCH($D72, 'VRE summary'!$B$1:$AD$1, 0), FALSE), 0)</f>
        <v>2075</v>
      </c>
      <c r="F72" s="98" t="str">
        <f ca="1">IF(E72=0, "remove", "replace")</f>
        <v>replace</v>
      </c>
    </row>
    <row r="73" spans="1:6">
      <c r="A73" t="s">
        <v>119</v>
      </c>
      <c r="B73" t="s">
        <v>217</v>
      </c>
      <c r="C73" s="19" t="s">
        <v>344</v>
      </c>
      <c r="D73" s="19">
        <v>2030</v>
      </c>
      <c r="E73">
        <f ca="1">ROUND(VLOOKUP($A73,    'VRE summary'!$B$2:$AD$23,    MATCH($D73, 'VRE summary'!$B$1:$AD$1, 0), FALSE), 0)</f>
        <v>5462</v>
      </c>
      <c r="F73" s="98" t="str">
        <f ca="1">IF(E73=0, "remove", "replace")</f>
        <v>replace</v>
      </c>
    </row>
    <row r="74" spans="1:6">
      <c r="A74" t="s">
        <v>120</v>
      </c>
      <c r="B74" t="s">
        <v>217</v>
      </c>
      <c r="C74" s="19" t="s">
        <v>344</v>
      </c>
      <c r="D74" s="19">
        <v>2030</v>
      </c>
      <c r="E74">
        <f ca="1">ROUND(VLOOKUP($A74,    'VRE summary'!$B$2:$AD$23,    MATCH($D74, 'VRE summary'!$B$1:$AD$1, 0), FALSE), 0)</f>
        <v>2226</v>
      </c>
      <c r="F74" s="98" t="str">
        <f ca="1">IF(E74=0, "remove", "replace")</f>
        <v>replace</v>
      </c>
    </row>
    <row r="75" spans="1:6">
      <c r="A75" t="s">
        <v>121</v>
      </c>
      <c r="B75" t="s">
        <v>217</v>
      </c>
      <c r="C75" s="19" t="s">
        <v>344</v>
      </c>
      <c r="D75" s="19">
        <v>2030</v>
      </c>
      <c r="E75">
        <f ca="1">ROUND(VLOOKUP($A75,    'VRE summary'!$B$2:$AD$23,    MATCH($D75, 'VRE summary'!$B$1:$AD$1, 0), FALSE), 0)</f>
        <v>63683</v>
      </c>
      <c r="F75" s="98" t="str">
        <f ca="1">IF(E75=0, "remove", "replace")</f>
        <v>replace</v>
      </c>
    </row>
    <row r="76" spans="1:6">
      <c r="A76" t="s">
        <v>122</v>
      </c>
      <c r="B76" t="s">
        <v>217</v>
      </c>
      <c r="C76" s="19" t="s">
        <v>344</v>
      </c>
      <c r="D76" s="19">
        <v>2030</v>
      </c>
      <c r="E76">
        <f ca="1">ROUND(VLOOKUP($A76,    'VRE summary'!$B$2:$AD$23,    MATCH($D76, 'VRE summary'!$B$1:$AD$1, 0), FALSE), 0)</f>
        <v>2109</v>
      </c>
      <c r="F76" s="98" t="str">
        <f ca="1">IF(E76=0, "remove", "replace")</f>
        <v>replace</v>
      </c>
    </row>
    <row r="77" spans="1:6">
      <c r="A77" t="s">
        <v>123</v>
      </c>
      <c r="B77" t="s">
        <v>217</v>
      </c>
      <c r="C77" s="19" t="s">
        <v>344</v>
      </c>
      <c r="D77" s="19">
        <v>2030</v>
      </c>
      <c r="E77">
        <f ca="1">ROUND(VLOOKUP($A77,    'VRE summary'!$B$2:$AD$23,    MATCH($D77, 'VRE summary'!$B$1:$AD$1, 0), FALSE), 0)</f>
        <v>41909</v>
      </c>
      <c r="F77" s="98" t="str">
        <f ca="1">IF(E77=0, "remove", "replace")</f>
        <v>replace</v>
      </c>
    </row>
    <row r="78" spans="1:6">
      <c r="A78" t="s">
        <v>124</v>
      </c>
      <c r="B78" t="s">
        <v>217</v>
      </c>
      <c r="C78" s="19" t="s">
        <v>344</v>
      </c>
      <c r="D78" s="19">
        <v>2030</v>
      </c>
      <c r="E78">
        <f ca="1">ROUND(VLOOKUP($A78,    'VRE summary'!$B$2:$AD$23,    MATCH($D78, 'VRE summary'!$B$1:$AD$1, 0), FALSE), 0)</f>
        <v>4242</v>
      </c>
      <c r="F78" s="98" t="str">
        <f ca="1">IF(E78=0, "remove", "replace")</f>
        <v>replace</v>
      </c>
    </row>
    <row r="79" spans="1:6">
      <c r="A79" t="s">
        <v>125</v>
      </c>
      <c r="B79" t="s">
        <v>217</v>
      </c>
      <c r="C79" s="19" t="s">
        <v>344</v>
      </c>
      <c r="D79" s="19">
        <v>2030</v>
      </c>
      <c r="E79">
        <f ca="1">ROUND(VLOOKUP($A79,    'VRE summary'!$B$2:$AD$23,    MATCH($D79, 'VRE summary'!$B$1:$AD$1, 0), FALSE), 0)</f>
        <v>1189</v>
      </c>
      <c r="F79" s="98" t="str">
        <f ca="1">IF(E79=0, "remove", "replace")</f>
        <v>replace</v>
      </c>
    </row>
    <row r="80" spans="1:6">
      <c r="A80" t="s">
        <v>126</v>
      </c>
      <c r="B80" t="s">
        <v>217</v>
      </c>
      <c r="C80" s="19" t="s">
        <v>344</v>
      </c>
      <c r="D80" s="19">
        <v>2030</v>
      </c>
      <c r="E80">
        <f ca="1">ROUND(VLOOKUP($A80,    'VRE summary'!$B$2:$AD$23,    MATCH($D80, 'VRE summary'!$B$1:$AD$1, 0), FALSE), 0)</f>
        <v>34180</v>
      </c>
      <c r="F80" s="98" t="str">
        <f ca="1">IF(E80=0, "remove", "replace")</f>
        <v>replace</v>
      </c>
    </row>
    <row r="81" spans="1:8">
      <c r="A81" t="s">
        <v>127</v>
      </c>
      <c r="B81" t="s">
        <v>217</v>
      </c>
      <c r="C81" s="19" t="s">
        <v>344</v>
      </c>
      <c r="D81" s="19">
        <v>2030</v>
      </c>
      <c r="E81">
        <f ca="1">ROUND(VLOOKUP($A81,    'VRE summary'!$B$2:$AD$23,    MATCH($D81, 'VRE summary'!$B$1:$AD$1, 0), FALSE), 0)</f>
        <v>321</v>
      </c>
      <c r="F81" s="98" t="str">
        <f ca="1">IF(E81=0, "remove", "replace")</f>
        <v>replace</v>
      </c>
    </row>
    <row r="82" spans="1:8">
      <c r="A82" t="s">
        <v>128</v>
      </c>
      <c r="B82" t="s">
        <v>217</v>
      </c>
      <c r="C82" s="19" t="s">
        <v>344</v>
      </c>
      <c r="D82" s="19">
        <v>2030</v>
      </c>
      <c r="E82">
        <f ca="1">ROUND(VLOOKUP($A82,    'VRE summary'!$B$2:$AD$23,    MATCH($D82, 'VRE summary'!$B$1:$AD$1, 0), FALSE), 0)</f>
        <v>84</v>
      </c>
      <c r="F82" s="98" t="str">
        <f ca="1">IF(E82=0, "remove", "replace")</f>
        <v>replace</v>
      </c>
    </row>
    <row r="83" spans="1:8">
      <c r="A83" t="s">
        <v>129</v>
      </c>
      <c r="B83" t="s">
        <v>217</v>
      </c>
      <c r="C83" s="19" t="s">
        <v>344</v>
      </c>
      <c r="D83" s="19">
        <v>2030</v>
      </c>
      <c r="E83">
        <f ca="1">ROUND(VLOOKUP($A83,    'VRE summary'!$B$2:$AD$23,    MATCH($D83, 'VRE summary'!$B$1:$AD$1, 0), FALSE), 0)</f>
        <v>963</v>
      </c>
      <c r="F83" s="98" t="str">
        <f ca="1">IF(E83=0, "remove", "replace")</f>
        <v>replace</v>
      </c>
    </row>
    <row r="84" spans="1:8">
      <c r="A84" t="s">
        <v>130</v>
      </c>
      <c r="B84" t="s">
        <v>217</v>
      </c>
      <c r="C84" s="19" t="s">
        <v>344</v>
      </c>
      <c r="D84" s="19">
        <v>2030</v>
      </c>
      <c r="E84">
        <f ca="1">ROUND(VLOOKUP($A84,    'VRE summary'!$B$2:$AD$23,    MATCH($D84, 'VRE summary'!$B$1:$AD$1, 0), FALSE), 0)</f>
        <v>37722</v>
      </c>
      <c r="F84" s="98" t="str">
        <f ca="1">IF(E84=0, "remove", "replace")</f>
        <v>replace</v>
      </c>
    </row>
    <row r="85" spans="1:8">
      <c r="A85" t="s">
        <v>131</v>
      </c>
      <c r="B85" t="s">
        <v>217</v>
      </c>
      <c r="C85" s="19" t="s">
        <v>344</v>
      </c>
      <c r="D85" s="19">
        <v>2030</v>
      </c>
      <c r="E85">
        <f ca="1">ROUND(VLOOKUP($A85,    'VRE summary'!$B$2:$AD$23,    MATCH($D85, 'VRE summary'!$B$1:$AD$1, 0), FALSE), 0)</f>
        <v>107</v>
      </c>
      <c r="F85" s="98" t="str">
        <f ca="1">IF(E85=0, "remove", "replace")</f>
        <v>replace</v>
      </c>
    </row>
    <row r="86" spans="1:8">
      <c r="A86" t="s">
        <v>132</v>
      </c>
      <c r="B86" t="s">
        <v>217</v>
      </c>
      <c r="C86" s="19" t="s">
        <v>344</v>
      </c>
      <c r="D86" s="19">
        <v>2030</v>
      </c>
      <c r="E86">
        <f ca="1">ROUND(VLOOKUP($A86,    'VRE summary'!$B$2:$AD$23,    MATCH($D86, 'VRE summary'!$B$1:$AD$1, 0), FALSE), 0)</f>
        <v>385</v>
      </c>
      <c r="F86" s="98" t="str">
        <f ca="1">IF(E86=0, "remove", "replace")</f>
        <v>replace</v>
      </c>
    </row>
    <row r="87" spans="1:8">
      <c r="A87" t="s">
        <v>133</v>
      </c>
      <c r="B87" t="s">
        <v>217</v>
      </c>
      <c r="C87" s="19" t="s">
        <v>344</v>
      </c>
      <c r="D87" s="19">
        <v>2030</v>
      </c>
      <c r="E87">
        <f ca="1">ROUND(VLOOKUP($A87,    'VRE summary'!$B$2:$AD$23,    MATCH($D87, 'VRE summary'!$B$1:$AD$1, 0), FALSE), 0)</f>
        <v>5603</v>
      </c>
      <c r="F87" s="98" t="str">
        <f ca="1">IF(E87=0, "remove", "replace")</f>
        <v>replace</v>
      </c>
    </row>
    <row r="88" spans="1:8">
      <c r="A88" t="s">
        <v>134</v>
      </c>
      <c r="B88" t="s">
        <v>217</v>
      </c>
      <c r="C88" s="19" t="s">
        <v>344</v>
      </c>
      <c r="D88" s="19">
        <v>2030</v>
      </c>
      <c r="E88">
        <f ca="1">ROUND(VLOOKUP($A88,    'VRE summary'!$B$2:$AD$23,    MATCH($D88, 'VRE summary'!$B$1:$AD$1, 0), FALSE), 0)</f>
        <v>2444</v>
      </c>
      <c r="F88" s="98" t="str">
        <f ca="1">IF(E88=0, "remove", "replace")</f>
        <v>replace</v>
      </c>
    </row>
    <row r="89" spans="1:8">
      <c r="A89" t="s">
        <v>135</v>
      </c>
      <c r="B89" t="s">
        <v>217</v>
      </c>
      <c r="C89" s="19" t="s">
        <v>344</v>
      </c>
      <c r="D89" s="19">
        <v>2030</v>
      </c>
      <c r="E89">
        <f ca="1">ROUND(VLOOKUP($A89,    'VRE summary'!$B$2:$AD$23,    MATCH($D89, 'VRE summary'!$B$1:$AD$1, 0), FALSE), 0)</f>
        <v>27943</v>
      </c>
      <c r="F89" s="98" t="str">
        <f ca="1">IF(E89=0, "remove", "replace")</f>
        <v>replace</v>
      </c>
    </row>
    <row r="90" spans="1:8">
      <c r="A90" t="s">
        <v>111</v>
      </c>
      <c r="B90" t="s">
        <v>216</v>
      </c>
      <c r="C90" s="19" t="s">
        <v>344</v>
      </c>
      <c r="D90" s="19">
        <v>2015</v>
      </c>
      <c r="E90">
        <f ca="1">ROUND(VLOOKUP($A90,    'VRE summary'!$B$25:$AD$46,    MATCH($D90, 'VRE summary'!$B$1:$AD$1, 0), FALSE), 0)</f>
        <v>2404</v>
      </c>
      <c r="F90" s="98" t="str">
        <f ca="1">IF(E90=0, "remove", "replace")</f>
        <v>replace</v>
      </c>
      <c r="H90" t="s">
        <v>221</v>
      </c>
    </row>
    <row r="91" spans="1:8">
      <c r="A91" t="s">
        <v>114</v>
      </c>
      <c r="B91" t="s">
        <v>216</v>
      </c>
      <c r="C91" s="19" t="s">
        <v>344</v>
      </c>
      <c r="D91" s="19">
        <v>2015</v>
      </c>
      <c r="E91">
        <f ca="1">ROUND(VLOOKUP($A91,    'VRE summary'!$B$25:$AD$46,    MATCH($D91, 'VRE summary'!$B$1:$AD$1, 0), FALSE), 0)</f>
        <v>1457</v>
      </c>
      <c r="F91" s="98" t="str">
        <f ca="1">IF(E91=0, "remove", "replace")</f>
        <v>replace</v>
      </c>
    </row>
    <row r="92" spans="1:8">
      <c r="A92" t="s">
        <v>116</v>
      </c>
      <c r="B92" t="s">
        <v>216</v>
      </c>
      <c r="C92" s="19" t="s">
        <v>344</v>
      </c>
      <c r="D92" s="19">
        <v>2015</v>
      </c>
      <c r="E92">
        <f ca="1">ROUND(VLOOKUP($A92,    'VRE summary'!$B$25:$AD$46,    MATCH($D92, 'VRE summary'!$B$1:$AD$1, 0), FALSE), 0)</f>
        <v>60</v>
      </c>
      <c r="F92" s="98" t="str">
        <f ca="1">IF(E92=0, "remove", "replace")</f>
        <v>replace</v>
      </c>
    </row>
    <row r="93" spans="1:8">
      <c r="A93" t="s">
        <v>117</v>
      </c>
      <c r="B93" t="s">
        <v>216</v>
      </c>
      <c r="C93" s="19" t="s">
        <v>344</v>
      </c>
      <c r="D93" s="19">
        <v>2015</v>
      </c>
      <c r="E93">
        <f ca="1">ROUND(VLOOKUP($A93,    'VRE summary'!$B$25:$AD$46,    MATCH($D93, 'VRE summary'!$B$1:$AD$1, 0), FALSE), 0)</f>
        <v>41285</v>
      </c>
      <c r="F93" s="98" t="str">
        <f ca="1">IF(E93=0, "remove", "replace")</f>
        <v>replace</v>
      </c>
    </row>
    <row r="94" spans="1:8">
      <c r="A94" t="s">
        <v>118</v>
      </c>
      <c r="B94" t="s">
        <v>216</v>
      </c>
      <c r="C94" s="19" t="s">
        <v>344</v>
      </c>
      <c r="D94" s="19">
        <v>2015</v>
      </c>
      <c r="E94">
        <f ca="1">ROUND(VLOOKUP($A94,    'VRE summary'!$B$25:$AD$46,    MATCH($D94, 'VRE summary'!$B$1:$AD$1, 0), FALSE), 0)</f>
        <v>602</v>
      </c>
      <c r="F94" s="98" t="str">
        <f ca="1">IF(E94=0, "remove", "replace")</f>
        <v>replace</v>
      </c>
    </row>
    <row r="95" spans="1:8">
      <c r="A95" t="s">
        <v>119</v>
      </c>
      <c r="B95" t="s">
        <v>216</v>
      </c>
      <c r="C95" s="19" t="s">
        <v>344</v>
      </c>
      <c r="D95" s="19">
        <v>2015</v>
      </c>
      <c r="E95">
        <f ca="1">ROUND(VLOOKUP($A95,    'VRE summary'!$B$25:$AD$46,    MATCH($D95, 'VRE summary'!$B$1:$AD$1, 0), FALSE), 0)</f>
        <v>3202</v>
      </c>
      <c r="F95" s="98" t="str">
        <f ca="1">IF(E95=0, "remove", "replace")</f>
        <v>replace</v>
      </c>
    </row>
    <row r="96" spans="1:8">
      <c r="A96" t="s">
        <v>120</v>
      </c>
      <c r="B96" t="s">
        <v>216</v>
      </c>
      <c r="C96" s="19" t="s">
        <v>344</v>
      </c>
      <c r="D96" s="19">
        <v>2015</v>
      </c>
      <c r="E96">
        <f ca="1">ROUND(VLOOKUP($A96,    'VRE summary'!$B$25:$AD$46,    MATCH($D96, 'VRE summary'!$B$1:$AD$1, 0), FALSE), 0)</f>
        <v>302</v>
      </c>
      <c r="F96" s="98" t="str">
        <f ca="1">IF(E96=0, "remove", "replace")</f>
        <v>replace</v>
      </c>
    </row>
    <row r="97" spans="1:6">
      <c r="A97" t="s">
        <v>121</v>
      </c>
      <c r="B97" t="s">
        <v>216</v>
      </c>
      <c r="C97" s="19" t="s">
        <v>344</v>
      </c>
      <c r="D97" s="19">
        <v>2015</v>
      </c>
      <c r="E97">
        <f ca="1">ROUND(VLOOKUP($A97,    'VRE summary'!$B$25:$AD$46,    MATCH($D97, 'VRE summary'!$B$1:$AD$1, 0), FALSE), 0)</f>
        <v>22982</v>
      </c>
      <c r="F97" s="98" t="str">
        <f ca="1">IF(E97=0, "remove", "replace")</f>
        <v>replace</v>
      </c>
    </row>
    <row r="98" spans="1:6">
      <c r="A98" t="s">
        <v>122</v>
      </c>
      <c r="B98" t="s">
        <v>216</v>
      </c>
      <c r="C98" s="19" t="s">
        <v>344</v>
      </c>
      <c r="D98" s="19">
        <v>2015</v>
      </c>
      <c r="E98">
        <f ca="1">ROUND(VLOOKUP($A98,    'VRE summary'!$B$25:$AD$46,    MATCH($D98, 'VRE summary'!$B$1:$AD$1, 0), FALSE), 0)</f>
        <v>977</v>
      </c>
      <c r="F98" s="98" t="str">
        <f ca="1">IF(E98=0, "remove", "replace")</f>
        <v>replace</v>
      </c>
    </row>
    <row r="99" spans="1:6">
      <c r="A99" t="s">
        <v>123</v>
      </c>
      <c r="B99" t="s">
        <v>216</v>
      </c>
      <c r="C99" s="19" t="s">
        <v>344</v>
      </c>
      <c r="D99" s="19">
        <v>2015</v>
      </c>
      <c r="E99">
        <f ca="1">ROUND(VLOOKUP($A99,    'VRE summary'!$B$25:$AD$46,    MATCH($D99, 'VRE summary'!$B$1:$AD$1, 0), FALSE), 0)</f>
        <v>10324</v>
      </c>
      <c r="F99" s="98" t="str">
        <f ca="1">IF(E99=0, "remove", "replace")</f>
        <v>replace</v>
      </c>
    </row>
    <row r="100" spans="1:6">
      <c r="A100" t="s">
        <v>124</v>
      </c>
      <c r="B100" t="s">
        <v>216</v>
      </c>
      <c r="C100" s="19" t="s">
        <v>344</v>
      </c>
      <c r="D100" s="19">
        <v>2015</v>
      </c>
      <c r="E100">
        <f ca="1">ROUND(VLOOKUP($A100,    'VRE summary'!$B$25:$AD$46,    MATCH($D100, 'VRE summary'!$B$1:$AD$1, 0), FALSE), 0)</f>
        <v>421</v>
      </c>
      <c r="F100" s="98" t="str">
        <f ca="1">IF(E100=0, "remove", "replace")</f>
        <v>replace</v>
      </c>
    </row>
    <row r="101" spans="1:6">
      <c r="A101" t="s">
        <v>125</v>
      </c>
      <c r="B101" t="s">
        <v>216</v>
      </c>
      <c r="C101" s="19" t="s">
        <v>344</v>
      </c>
      <c r="D101" s="19">
        <v>2015</v>
      </c>
      <c r="E101">
        <f ca="1">ROUND(VLOOKUP($A101,    'VRE summary'!$B$25:$AD$46,    MATCH($D101, 'VRE summary'!$B$1:$AD$1, 0), FALSE), 0)</f>
        <v>69</v>
      </c>
      <c r="F101" s="98" t="str">
        <f ca="1">IF(E101=0, "remove", "replace")</f>
        <v>replace</v>
      </c>
    </row>
    <row r="102" spans="1:6">
      <c r="A102" t="s">
        <v>126</v>
      </c>
      <c r="B102" t="s">
        <v>216</v>
      </c>
      <c r="C102" s="19" t="s">
        <v>344</v>
      </c>
      <c r="D102" s="19">
        <v>2015</v>
      </c>
      <c r="E102">
        <f ca="1">ROUND(VLOOKUP($A102,    'VRE summary'!$B$25:$AD$46,    MATCH($D102, 'VRE summary'!$B$1:$AD$1, 0), FALSE), 0)</f>
        <v>3034</v>
      </c>
      <c r="F102" s="98" t="str">
        <f ca="1">IF(E102=0, "remove", "replace")</f>
        <v>replace</v>
      </c>
    </row>
    <row r="103" spans="1:6">
      <c r="A103" t="s">
        <v>127</v>
      </c>
      <c r="B103" t="s">
        <v>216</v>
      </c>
      <c r="C103" s="19" t="s">
        <v>344</v>
      </c>
      <c r="D103" s="19">
        <v>2015</v>
      </c>
      <c r="E103">
        <f ca="1">ROUND(VLOOKUP($A103,    'VRE summary'!$B$25:$AD$46,    MATCH($D103, 'VRE summary'!$B$1:$AD$1, 0), FALSE), 0)</f>
        <v>343</v>
      </c>
      <c r="F103" s="98" t="str">
        <f ca="1">IF(E103=0, "remove", "replace")</f>
        <v>replace</v>
      </c>
    </row>
    <row r="104" spans="1:6">
      <c r="A104" t="s">
        <v>128</v>
      </c>
      <c r="B104" t="s">
        <v>216</v>
      </c>
      <c r="C104" s="19" t="s">
        <v>344</v>
      </c>
      <c r="D104" s="19">
        <v>2015</v>
      </c>
      <c r="E104">
        <f ca="1">ROUND(VLOOKUP($A104,    'VRE summary'!$B$25:$AD$46,    MATCH($D104, 'VRE summary'!$B$1:$AD$1, 0), FALSE), 0)</f>
        <v>157</v>
      </c>
      <c r="F104" s="98" t="str">
        <f ca="1">IF(E104=0, "remove", "replace")</f>
        <v>replace</v>
      </c>
    </row>
    <row r="105" spans="1:6">
      <c r="A105" t="s">
        <v>129</v>
      </c>
      <c r="B105" t="s">
        <v>216</v>
      </c>
      <c r="C105" s="19" t="s">
        <v>344</v>
      </c>
      <c r="D105" s="19">
        <v>2015</v>
      </c>
      <c r="E105">
        <f ca="1">ROUND(VLOOKUP($A105,    'VRE summary'!$B$25:$AD$46,    MATCH($D105, 'VRE summary'!$B$1:$AD$1, 0), FALSE), 0)</f>
        <v>317</v>
      </c>
      <c r="F105" s="98" t="str">
        <f ca="1">IF(E105=0, "remove", "replace")</f>
        <v>replace</v>
      </c>
    </row>
    <row r="106" spans="1:6">
      <c r="A106" t="s">
        <v>130</v>
      </c>
      <c r="B106" t="s">
        <v>216</v>
      </c>
      <c r="C106" s="19" t="s">
        <v>344</v>
      </c>
      <c r="D106" s="19">
        <v>2015</v>
      </c>
      <c r="E106">
        <f ca="1">ROUND(VLOOKUP($A106,    'VRE summary'!$B$25:$AD$46,    MATCH($D106, 'VRE summary'!$B$1:$AD$1, 0), FALSE), 0)</f>
        <v>5100</v>
      </c>
      <c r="F106" s="98" t="str">
        <f ca="1">IF(E106=0, "remove", "replace")</f>
        <v>replace</v>
      </c>
    </row>
    <row r="107" spans="1:6">
      <c r="A107" t="s">
        <v>131</v>
      </c>
      <c r="B107" t="s">
        <v>216</v>
      </c>
      <c r="C107" s="19" t="s">
        <v>344</v>
      </c>
      <c r="D107" s="19">
        <v>2015</v>
      </c>
      <c r="E107">
        <f ca="1">ROUND(VLOOKUP($A107,    'VRE summary'!$B$25:$AD$46,    MATCH($D107, 'VRE summary'!$B$1:$AD$1, 0), FALSE), 0)</f>
        <v>1162</v>
      </c>
      <c r="F107" s="98" t="str">
        <f ca="1">IF(E107=0, "remove", "replace")</f>
        <v>replace</v>
      </c>
    </row>
    <row r="108" spans="1:6">
      <c r="A108" t="s">
        <v>132</v>
      </c>
      <c r="B108" t="s">
        <v>216</v>
      </c>
      <c r="C108" s="19" t="s">
        <v>344</v>
      </c>
      <c r="D108" s="19">
        <v>2015</v>
      </c>
      <c r="E108">
        <f ca="1">ROUND(VLOOKUP($A108,    'VRE summary'!$B$25:$AD$46,    MATCH($D108, 'VRE summary'!$B$1:$AD$1, 0), FALSE), 0)</f>
        <v>2688</v>
      </c>
      <c r="F108" s="98" t="str">
        <f ca="1">IF(E108=0, "remove", "replace")</f>
        <v>replace</v>
      </c>
    </row>
    <row r="109" spans="1:6">
      <c r="A109" t="s">
        <v>133</v>
      </c>
      <c r="B109" t="s">
        <v>216</v>
      </c>
      <c r="C109" s="19" t="s">
        <v>344</v>
      </c>
      <c r="D109" s="19">
        <v>2015</v>
      </c>
      <c r="E109">
        <f ca="1">ROUND(VLOOKUP($A109,    'VRE summary'!$B$25:$AD$46,    MATCH($D109, 'VRE summary'!$B$1:$AD$1, 0), FALSE), 0)</f>
        <v>1256</v>
      </c>
      <c r="F109" s="98" t="str">
        <f ca="1">IF(E109=0, "remove", "replace")</f>
        <v>replace</v>
      </c>
    </row>
    <row r="110" spans="1:6">
      <c r="A110" t="s">
        <v>134</v>
      </c>
      <c r="B110" t="s">
        <v>216</v>
      </c>
      <c r="C110" s="19" t="s">
        <v>344</v>
      </c>
      <c r="D110" s="19">
        <v>2015</v>
      </c>
      <c r="E110">
        <f ca="1">ROUND(VLOOKUP($A110,    'VRE summary'!$B$25:$AD$46,    MATCH($D110, 'VRE summary'!$B$1:$AD$1, 0), FALSE), 0)</f>
        <v>722</v>
      </c>
      <c r="F110" s="98" t="str">
        <f ca="1">IF(E110=0, "remove", "replace")</f>
        <v>replace</v>
      </c>
    </row>
    <row r="111" spans="1:6">
      <c r="A111" t="s">
        <v>135</v>
      </c>
      <c r="B111" t="s">
        <v>216</v>
      </c>
      <c r="C111" s="19" t="s">
        <v>344</v>
      </c>
      <c r="D111" s="19">
        <v>2015</v>
      </c>
      <c r="E111">
        <f ca="1">ROUND(VLOOKUP($A111,    'VRE summary'!$B$25:$AD$46,    MATCH($D111, 'VRE summary'!$B$1:$AD$1, 0), FALSE), 0)</f>
        <v>9187</v>
      </c>
      <c r="F111" s="98" t="str">
        <f ca="1">IF(E111=0, "remove", "replace")</f>
        <v>replace</v>
      </c>
    </row>
    <row r="112" spans="1:6">
      <c r="A112" t="s">
        <v>111</v>
      </c>
      <c r="B112" t="s">
        <v>216</v>
      </c>
      <c r="C112" s="19" t="s">
        <v>344</v>
      </c>
      <c r="D112" s="19">
        <v>2020</v>
      </c>
      <c r="E112">
        <f ca="1">ROUND(VLOOKUP($A112,    'VRE summary'!$B$25:$AD$46,    MATCH($D112, 'VRE summary'!$B$1:$AD$1, 0), FALSE), 0)</f>
        <v>3120</v>
      </c>
      <c r="F112" s="98" t="str">
        <f ca="1">IF(E112=0, "remove", "replace")</f>
        <v>replace</v>
      </c>
    </row>
    <row r="113" spans="1:6">
      <c r="A113" t="s">
        <v>114</v>
      </c>
      <c r="B113" t="s">
        <v>216</v>
      </c>
      <c r="C113" s="19" t="s">
        <v>344</v>
      </c>
      <c r="D113" s="19">
        <v>2020</v>
      </c>
      <c r="E113">
        <f ca="1">ROUND(VLOOKUP($A113,    'VRE summary'!$B$25:$AD$46,    MATCH($D113, 'VRE summary'!$B$1:$AD$1, 0), FALSE), 0)</f>
        <v>2457</v>
      </c>
      <c r="F113" s="98" t="str">
        <f ca="1">IF(E113=0, "remove", "replace")</f>
        <v>replace</v>
      </c>
    </row>
    <row r="114" spans="1:6">
      <c r="A114" t="s">
        <v>116</v>
      </c>
      <c r="B114" t="s">
        <v>216</v>
      </c>
      <c r="C114" s="19" t="s">
        <v>344</v>
      </c>
      <c r="D114" s="19">
        <v>2020</v>
      </c>
      <c r="E114">
        <f ca="1">ROUND(VLOOKUP($A114,    'VRE summary'!$B$25:$AD$46,    MATCH($D114, 'VRE summary'!$B$1:$AD$1, 0), FALSE), 0)</f>
        <v>87</v>
      </c>
      <c r="F114" s="98" t="str">
        <f ca="1">IF(E114=0, "remove", "replace")</f>
        <v>replace</v>
      </c>
    </row>
    <row r="115" spans="1:6">
      <c r="A115" t="s">
        <v>117</v>
      </c>
      <c r="B115" t="s">
        <v>216</v>
      </c>
      <c r="C115" s="19" t="s">
        <v>344</v>
      </c>
      <c r="D115" s="19">
        <v>2020</v>
      </c>
      <c r="E115">
        <f ca="1">ROUND(VLOOKUP($A115,    'VRE summary'!$B$25:$AD$46,    MATCH($D115, 'VRE summary'!$B$1:$AD$1, 0), FALSE), 0)</f>
        <v>54806</v>
      </c>
      <c r="F115" s="98" t="str">
        <f ca="1">IF(E115=0, "remove", "replace")</f>
        <v>replace</v>
      </c>
    </row>
    <row r="116" spans="1:6">
      <c r="A116" t="s">
        <v>118</v>
      </c>
      <c r="B116" t="s">
        <v>216</v>
      </c>
      <c r="C116" s="19" t="s">
        <v>344</v>
      </c>
      <c r="D116" s="19">
        <v>2020</v>
      </c>
      <c r="E116">
        <f ca="1">ROUND(VLOOKUP($A116,    'VRE summary'!$B$25:$AD$46,    MATCH($D116, 'VRE summary'!$B$1:$AD$1, 0), FALSE), 0)</f>
        <v>708</v>
      </c>
      <c r="F116" s="98" t="str">
        <f ca="1">IF(E116=0, "remove", "replace")</f>
        <v>replace</v>
      </c>
    </row>
    <row r="117" spans="1:6">
      <c r="A117" t="s">
        <v>119</v>
      </c>
      <c r="B117" t="s">
        <v>216</v>
      </c>
      <c r="C117" s="19" t="s">
        <v>344</v>
      </c>
      <c r="D117" s="19">
        <v>2020</v>
      </c>
      <c r="E117">
        <f ca="1">ROUND(VLOOKUP($A117,    'VRE summary'!$B$25:$AD$46,    MATCH($D117, 'VRE summary'!$B$1:$AD$1, 0), FALSE), 0)</f>
        <v>3771</v>
      </c>
      <c r="F117" s="98" t="str">
        <f ca="1">IF(E117=0, "remove", "replace")</f>
        <v>replace</v>
      </c>
    </row>
    <row r="118" spans="1:6">
      <c r="A118" t="s">
        <v>120</v>
      </c>
      <c r="B118" t="s">
        <v>216</v>
      </c>
      <c r="C118" s="19" t="s">
        <v>344</v>
      </c>
      <c r="D118" s="19">
        <v>2020</v>
      </c>
      <c r="E118">
        <f ca="1">ROUND(VLOOKUP($A118,    'VRE summary'!$B$25:$AD$46,    MATCH($D118, 'VRE summary'!$B$1:$AD$1, 0), FALSE), 0)</f>
        <v>320</v>
      </c>
      <c r="F118" s="98" t="str">
        <f ca="1">IF(E118=0, "remove", "replace")</f>
        <v>replace</v>
      </c>
    </row>
    <row r="119" spans="1:6">
      <c r="A119" t="s">
        <v>121</v>
      </c>
      <c r="B119" t="s">
        <v>216</v>
      </c>
      <c r="C119" s="19" t="s">
        <v>344</v>
      </c>
      <c r="D119" s="19">
        <v>2020</v>
      </c>
      <c r="E119">
        <f ca="1">ROUND(VLOOKUP($A119,    'VRE summary'!$B$25:$AD$46,    MATCH($D119, 'VRE summary'!$B$1:$AD$1, 0), FALSE), 0)</f>
        <v>27264</v>
      </c>
      <c r="F119" s="98" t="str">
        <f ca="1">IF(E119=0, "remove", "replace")</f>
        <v>replace</v>
      </c>
    </row>
    <row r="120" spans="1:6">
      <c r="A120" t="s">
        <v>122</v>
      </c>
      <c r="B120" t="s">
        <v>216</v>
      </c>
      <c r="C120" s="19" t="s">
        <v>344</v>
      </c>
      <c r="D120" s="19">
        <v>2020</v>
      </c>
      <c r="E120">
        <f ca="1">ROUND(VLOOKUP($A120,    'VRE summary'!$B$25:$AD$46,    MATCH($D120, 'VRE summary'!$B$1:$AD$1, 0), FALSE), 0)</f>
        <v>2513</v>
      </c>
      <c r="F120" s="98" t="str">
        <f ca="1">IF(E120=0, "remove", "replace")</f>
        <v>replace</v>
      </c>
    </row>
    <row r="121" spans="1:6">
      <c r="A121" t="s">
        <v>123</v>
      </c>
      <c r="B121" t="s">
        <v>216</v>
      </c>
      <c r="C121" s="19" t="s">
        <v>344</v>
      </c>
      <c r="D121" s="19">
        <v>2020</v>
      </c>
      <c r="E121">
        <f ca="1">ROUND(VLOOKUP($A121,    'VRE summary'!$B$25:$AD$46,    MATCH($D121, 'VRE summary'!$B$1:$AD$1, 0), FALSE), 0)</f>
        <v>17949</v>
      </c>
      <c r="F121" s="98" t="str">
        <f ca="1">IF(E121=0, "remove", "replace")</f>
        <v>replace</v>
      </c>
    </row>
    <row r="122" spans="1:6">
      <c r="A122" t="s">
        <v>124</v>
      </c>
      <c r="B122" t="s">
        <v>216</v>
      </c>
      <c r="C122" s="19" t="s">
        <v>344</v>
      </c>
      <c r="D122" s="19">
        <v>2020</v>
      </c>
      <c r="E122">
        <f ca="1">ROUND(VLOOKUP($A122,    'VRE summary'!$B$25:$AD$46,    MATCH($D122, 'VRE summary'!$B$1:$AD$1, 0), FALSE), 0)</f>
        <v>548</v>
      </c>
      <c r="F122" s="98" t="str">
        <f ca="1">IF(E122=0, "remove", "replace")</f>
        <v>replace</v>
      </c>
    </row>
    <row r="123" spans="1:6">
      <c r="A123" t="s">
        <v>125</v>
      </c>
      <c r="B123" t="s">
        <v>216</v>
      </c>
      <c r="C123" s="19" t="s">
        <v>344</v>
      </c>
      <c r="D123" s="19">
        <v>2020</v>
      </c>
      <c r="E123">
        <f ca="1">ROUND(VLOOKUP($A123,    'VRE summary'!$B$25:$AD$46,    MATCH($D123, 'VRE summary'!$B$1:$AD$1, 0), FALSE), 0)</f>
        <v>66</v>
      </c>
      <c r="F123" s="98" t="str">
        <f ca="1">IF(E123=0, "remove", "replace")</f>
        <v>replace</v>
      </c>
    </row>
    <row r="124" spans="1:6">
      <c r="A124" t="s">
        <v>126</v>
      </c>
      <c r="B124" t="s">
        <v>216</v>
      </c>
      <c r="C124" s="19" t="s">
        <v>344</v>
      </c>
      <c r="D124" s="19">
        <v>2020</v>
      </c>
      <c r="E124">
        <f ca="1">ROUND(VLOOKUP($A124,    'VRE summary'!$B$25:$AD$46,    MATCH($D124, 'VRE summary'!$B$1:$AD$1, 0), FALSE), 0)</f>
        <v>4325</v>
      </c>
      <c r="F124" s="98" t="str">
        <f ca="1">IF(E124=0, "remove", "replace")</f>
        <v>replace</v>
      </c>
    </row>
    <row r="125" spans="1:6">
      <c r="A125" t="s">
        <v>127</v>
      </c>
      <c r="B125" t="s">
        <v>216</v>
      </c>
      <c r="C125" s="19" t="s">
        <v>344</v>
      </c>
      <c r="D125" s="19">
        <v>2020</v>
      </c>
      <c r="E125">
        <f ca="1">ROUND(VLOOKUP($A125,    'VRE summary'!$B$25:$AD$46,    MATCH($D125, 'VRE summary'!$B$1:$AD$1, 0), FALSE), 0)</f>
        <v>1669</v>
      </c>
      <c r="F125" s="98" t="str">
        <f ca="1">IF(E125=0, "remove", "replace")</f>
        <v>replace</v>
      </c>
    </row>
    <row r="126" spans="1:6">
      <c r="A126" t="s">
        <v>128</v>
      </c>
      <c r="B126" t="s">
        <v>216</v>
      </c>
      <c r="C126" s="19" t="s">
        <v>344</v>
      </c>
      <c r="D126" s="19">
        <v>2020</v>
      </c>
      <c r="E126">
        <f ca="1">ROUND(VLOOKUP($A126,    'VRE summary'!$B$25:$AD$46,    MATCH($D126, 'VRE summary'!$B$1:$AD$1, 0), FALSE), 0)</f>
        <v>763</v>
      </c>
      <c r="F126" s="98" t="str">
        <f ca="1">IF(E126=0, "remove", "replace")</f>
        <v>replace</v>
      </c>
    </row>
    <row r="127" spans="1:6">
      <c r="A127" t="s">
        <v>129</v>
      </c>
      <c r="B127" t="s">
        <v>216</v>
      </c>
      <c r="C127" s="19" t="s">
        <v>344</v>
      </c>
      <c r="D127" s="19">
        <v>2020</v>
      </c>
      <c r="E127">
        <f ca="1">ROUND(VLOOKUP($A127,    'VRE summary'!$B$25:$AD$46,    MATCH($D127, 'VRE summary'!$B$1:$AD$1, 0), FALSE), 0)</f>
        <v>1542</v>
      </c>
      <c r="F127" s="98" t="str">
        <f ca="1">IF(E127=0, "remove", "replace")</f>
        <v>replace</v>
      </c>
    </row>
    <row r="128" spans="1:6">
      <c r="A128" t="s">
        <v>130</v>
      </c>
      <c r="B128" t="s">
        <v>216</v>
      </c>
      <c r="C128" s="19" t="s">
        <v>344</v>
      </c>
      <c r="D128" s="19">
        <v>2020</v>
      </c>
      <c r="E128">
        <f ca="1">ROUND(VLOOKUP($A128,    'VRE summary'!$B$25:$AD$46,    MATCH($D128, 'VRE summary'!$B$1:$AD$1, 0), FALSE), 0)</f>
        <v>6614</v>
      </c>
      <c r="F128" s="98" t="str">
        <f ca="1">IF(E128=0, "remove", "replace")</f>
        <v>replace</v>
      </c>
    </row>
    <row r="129" spans="1:6">
      <c r="A129" t="s">
        <v>131</v>
      </c>
      <c r="B129" t="s">
        <v>216</v>
      </c>
      <c r="C129" s="19" t="s">
        <v>344</v>
      </c>
      <c r="D129" s="19">
        <v>2020</v>
      </c>
      <c r="E129">
        <f ca="1">ROUND(VLOOKUP($A129,    'VRE summary'!$B$25:$AD$46,    MATCH($D129, 'VRE summary'!$B$1:$AD$1, 0), FALSE), 0)</f>
        <v>1952</v>
      </c>
      <c r="F129" s="98" t="str">
        <f ca="1">IF(E129=0, "remove", "replace")</f>
        <v>replace</v>
      </c>
    </row>
    <row r="130" spans="1:6">
      <c r="A130" t="s">
        <v>132</v>
      </c>
      <c r="B130" t="s">
        <v>216</v>
      </c>
      <c r="C130" s="19" t="s">
        <v>344</v>
      </c>
      <c r="D130" s="19">
        <v>2020</v>
      </c>
      <c r="E130">
        <f ca="1">ROUND(VLOOKUP($A130,    'VRE summary'!$B$25:$AD$46,    MATCH($D130, 'VRE summary'!$B$1:$AD$1, 0), FALSE), 0)</f>
        <v>4515</v>
      </c>
      <c r="F130" s="98" t="str">
        <f ca="1">IF(E130=0, "remove", "replace")</f>
        <v>replace</v>
      </c>
    </row>
    <row r="131" spans="1:6">
      <c r="A131" t="s">
        <v>133</v>
      </c>
      <c r="B131" t="s">
        <v>216</v>
      </c>
      <c r="C131" s="19" t="s">
        <v>344</v>
      </c>
      <c r="D131" s="19">
        <v>2020</v>
      </c>
      <c r="E131">
        <f ca="1">ROUND(VLOOKUP($A131,    'VRE summary'!$B$25:$AD$46,    MATCH($D131, 'VRE summary'!$B$1:$AD$1, 0), FALSE), 0)</f>
        <v>2109</v>
      </c>
      <c r="F131" s="98" t="str">
        <f ca="1">IF(E131=0, "remove", "replace")</f>
        <v>replace</v>
      </c>
    </row>
    <row r="132" spans="1:6">
      <c r="A132" t="s">
        <v>134</v>
      </c>
      <c r="B132" t="s">
        <v>216</v>
      </c>
      <c r="C132" s="19" t="s">
        <v>344</v>
      </c>
      <c r="D132" s="19">
        <v>2020</v>
      </c>
      <c r="E132">
        <f ca="1">ROUND(VLOOKUP($A132,    'VRE summary'!$B$25:$AD$46,    MATCH($D132, 'VRE summary'!$B$1:$AD$1, 0), FALSE), 0)</f>
        <v>1212</v>
      </c>
      <c r="F132" s="98" t="str">
        <f ca="1">IF(E132=0, "remove", "replace")</f>
        <v>replace</v>
      </c>
    </row>
    <row r="133" spans="1:6">
      <c r="A133" t="s">
        <v>135</v>
      </c>
      <c r="B133" t="s">
        <v>216</v>
      </c>
      <c r="C133" s="19" t="s">
        <v>344</v>
      </c>
      <c r="D133" s="19">
        <v>2020</v>
      </c>
      <c r="E133">
        <f ca="1">ROUND(VLOOKUP($A133,    'VRE summary'!$B$25:$AD$46,    MATCH($D133, 'VRE summary'!$B$1:$AD$1, 0), FALSE), 0)</f>
        <v>14220</v>
      </c>
      <c r="F133" s="98" t="str">
        <f ca="1">IF(E133=0, "remove", "replace")</f>
        <v>replace</v>
      </c>
    </row>
    <row r="134" spans="1:6">
      <c r="A134" t="s">
        <v>111</v>
      </c>
      <c r="B134" t="s">
        <v>216</v>
      </c>
      <c r="C134" s="19" t="s">
        <v>344</v>
      </c>
      <c r="D134" s="19">
        <v>2025</v>
      </c>
      <c r="E134">
        <f ca="1">ROUND(VLOOKUP($A134,    'VRE summary'!$B$25:$AD$46,    MATCH($D134, 'VRE summary'!$B$1:$AD$1, 0), FALSE), 0)</f>
        <v>4216</v>
      </c>
      <c r="F134" s="98" t="str">
        <f ca="1">IF(E134=0, "remove", "replace")</f>
        <v>replace</v>
      </c>
    </row>
    <row r="135" spans="1:6">
      <c r="A135" t="s">
        <v>114</v>
      </c>
      <c r="B135" t="s">
        <v>216</v>
      </c>
      <c r="C135" s="19" t="s">
        <v>344</v>
      </c>
      <c r="D135" s="19">
        <v>2025</v>
      </c>
      <c r="E135">
        <f ca="1">ROUND(VLOOKUP($A135,    'VRE summary'!$B$25:$AD$46,    MATCH($D135, 'VRE summary'!$B$1:$AD$1, 0), FALSE), 0)</f>
        <v>3651</v>
      </c>
      <c r="F135" s="98" t="str">
        <f ca="1">IF(E135=0, "remove", "replace")</f>
        <v>replace</v>
      </c>
    </row>
    <row r="136" spans="1:6">
      <c r="A136" t="s">
        <v>116</v>
      </c>
      <c r="B136" t="s">
        <v>216</v>
      </c>
      <c r="C136" s="19" t="s">
        <v>344</v>
      </c>
      <c r="D136" s="19">
        <v>2025</v>
      </c>
      <c r="E136">
        <f ca="1">ROUND(VLOOKUP($A136,    'VRE summary'!$B$25:$AD$46,    MATCH($D136, 'VRE summary'!$B$1:$AD$1, 0), FALSE), 0)</f>
        <v>104</v>
      </c>
      <c r="F136" s="98" t="str">
        <f ca="1">IF(E136=0, "remove", "replace")</f>
        <v>replace</v>
      </c>
    </row>
    <row r="137" spans="1:6">
      <c r="A137" t="s">
        <v>117</v>
      </c>
      <c r="B137" t="s">
        <v>216</v>
      </c>
      <c r="C137" s="19" t="s">
        <v>344</v>
      </c>
      <c r="D137" s="19">
        <v>2025</v>
      </c>
      <c r="E137">
        <f ca="1">ROUND(VLOOKUP($A137,    'VRE summary'!$B$25:$AD$46,    MATCH($D137, 'VRE summary'!$B$1:$AD$1, 0), FALSE), 0)</f>
        <v>65612</v>
      </c>
      <c r="F137" s="98" t="str">
        <f ca="1">IF(E137=0, "remove", "replace")</f>
        <v>replace</v>
      </c>
    </row>
    <row r="138" spans="1:6">
      <c r="A138" t="s">
        <v>118</v>
      </c>
      <c r="B138" t="s">
        <v>216</v>
      </c>
      <c r="C138" s="19" t="s">
        <v>344</v>
      </c>
      <c r="D138" s="19">
        <v>2025</v>
      </c>
      <c r="E138">
        <f ca="1">ROUND(VLOOKUP($A138,    'VRE summary'!$B$25:$AD$46,    MATCH($D138, 'VRE summary'!$B$1:$AD$1, 0), FALSE), 0)</f>
        <v>834</v>
      </c>
      <c r="F138" s="98" t="str">
        <f ca="1">IF(E138=0, "remove", "replace")</f>
        <v>replace</v>
      </c>
    </row>
    <row r="139" spans="1:6">
      <c r="A139" t="s">
        <v>119</v>
      </c>
      <c r="B139" t="s">
        <v>216</v>
      </c>
      <c r="C139" s="19" t="s">
        <v>344</v>
      </c>
      <c r="D139" s="19">
        <v>2025</v>
      </c>
      <c r="E139">
        <f ca="1">ROUND(VLOOKUP($A139,    'VRE summary'!$B$25:$AD$46,    MATCH($D139, 'VRE summary'!$B$1:$AD$1, 0), FALSE), 0)</f>
        <v>4441</v>
      </c>
      <c r="F139" s="98" t="str">
        <f ca="1">IF(E139=0, "remove", "replace")</f>
        <v>replace</v>
      </c>
    </row>
    <row r="140" spans="1:6">
      <c r="A140" t="s">
        <v>120</v>
      </c>
      <c r="B140" t="s">
        <v>216</v>
      </c>
      <c r="C140" s="19" t="s">
        <v>344</v>
      </c>
      <c r="D140" s="19">
        <v>2025</v>
      </c>
      <c r="E140">
        <f ca="1">ROUND(VLOOKUP($A140,    'VRE summary'!$B$25:$AD$46,    MATCH($D140, 'VRE summary'!$B$1:$AD$1, 0), FALSE), 0)</f>
        <v>732</v>
      </c>
      <c r="F140" s="98" t="str">
        <f ca="1">IF(E140=0, "remove", "replace")</f>
        <v>replace</v>
      </c>
    </row>
    <row r="141" spans="1:6">
      <c r="A141" t="s">
        <v>121</v>
      </c>
      <c r="B141" t="s">
        <v>216</v>
      </c>
      <c r="C141" s="19" t="s">
        <v>344</v>
      </c>
      <c r="D141" s="19">
        <v>2025</v>
      </c>
      <c r="E141">
        <f ca="1">ROUND(VLOOKUP($A141,    'VRE summary'!$B$25:$AD$46,    MATCH($D141, 'VRE summary'!$B$1:$AD$1, 0), FALSE), 0)</f>
        <v>32422</v>
      </c>
      <c r="F141" s="98" t="str">
        <f ca="1">IF(E141=0, "remove", "replace")</f>
        <v>replace</v>
      </c>
    </row>
    <row r="142" spans="1:6">
      <c r="A142" t="s">
        <v>122</v>
      </c>
      <c r="B142" t="s">
        <v>216</v>
      </c>
      <c r="C142" s="19" t="s">
        <v>344</v>
      </c>
      <c r="D142" s="19">
        <v>2025</v>
      </c>
      <c r="E142">
        <f ca="1">ROUND(VLOOKUP($A142,    'VRE summary'!$B$25:$AD$46,    MATCH($D142, 'VRE summary'!$B$1:$AD$1, 0), FALSE), 0)</f>
        <v>8776</v>
      </c>
      <c r="F142" s="98" t="str">
        <f ca="1">IF(E142=0, "remove", "replace")</f>
        <v>replace</v>
      </c>
    </row>
    <row r="143" spans="1:6">
      <c r="A143" t="s">
        <v>123</v>
      </c>
      <c r="B143" t="s">
        <v>216</v>
      </c>
      <c r="C143" s="19" t="s">
        <v>344</v>
      </c>
      <c r="D143" s="19">
        <v>2025</v>
      </c>
      <c r="E143">
        <f ca="1">ROUND(VLOOKUP($A143,    'VRE summary'!$B$25:$AD$46,    MATCH($D143, 'VRE summary'!$B$1:$AD$1, 0), FALSE), 0)</f>
        <v>24270</v>
      </c>
      <c r="F143" s="98" t="str">
        <f ca="1">IF(E143=0, "remove", "replace")</f>
        <v>replace</v>
      </c>
    </row>
    <row r="144" spans="1:6">
      <c r="A144" t="s">
        <v>124</v>
      </c>
      <c r="B144" t="s">
        <v>216</v>
      </c>
      <c r="C144" s="19" t="s">
        <v>344</v>
      </c>
      <c r="D144" s="19">
        <v>2025</v>
      </c>
      <c r="E144">
        <f ca="1">ROUND(VLOOKUP($A144,    'VRE summary'!$B$25:$AD$46,    MATCH($D144, 'VRE summary'!$B$1:$AD$1, 0), FALSE), 0)</f>
        <v>1944</v>
      </c>
      <c r="F144" s="98" t="str">
        <f ca="1">IF(E144=0, "remove", "replace")</f>
        <v>replace</v>
      </c>
    </row>
    <row r="145" spans="1:6">
      <c r="A145" t="s">
        <v>125</v>
      </c>
      <c r="B145" t="s">
        <v>216</v>
      </c>
      <c r="C145" s="19" t="s">
        <v>344</v>
      </c>
      <c r="D145" s="19">
        <v>2025</v>
      </c>
      <c r="E145">
        <f ca="1">ROUND(VLOOKUP($A145,    'VRE summary'!$B$25:$AD$46,    MATCH($D145, 'VRE summary'!$B$1:$AD$1, 0), FALSE), 0)</f>
        <v>154</v>
      </c>
      <c r="F145" s="98" t="str">
        <f ca="1">IF(E145=0, "remove", "replace")</f>
        <v>replace</v>
      </c>
    </row>
    <row r="146" spans="1:6">
      <c r="A146" t="s">
        <v>126</v>
      </c>
      <c r="B146" t="s">
        <v>216</v>
      </c>
      <c r="C146" s="19" t="s">
        <v>344</v>
      </c>
      <c r="D146" s="19">
        <v>2025</v>
      </c>
      <c r="E146">
        <f ca="1">ROUND(VLOOKUP($A146,    'VRE summary'!$B$25:$AD$46,    MATCH($D146, 'VRE summary'!$B$1:$AD$1, 0), FALSE), 0)</f>
        <v>8018</v>
      </c>
      <c r="F146" s="98" t="str">
        <f ca="1">IF(E146=0, "remove", "replace")</f>
        <v>replace</v>
      </c>
    </row>
    <row r="147" spans="1:6">
      <c r="A147" t="s">
        <v>127</v>
      </c>
      <c r="B147" t="s">
        <v>216</v>
      </c>
      <c r="C147" s="19" t="s">
        <v>344</v>
      </c>
      <c r="D147" s="19">
        <v>2025</v>
      </c>
      <c r="E147">
        <f ca="1">ROUND(VLOOKUP($A147,    'VRE summary'!$B$25:$AD$46,    MATCH($D147, 'VRE summary'!$B$1:$AD$1, 0), FALSE), 0)</f>
        <v>2513</v>
      </c>
      <c r="F147" s="98" t="str">
        <f ca="1">IF(E147=0, "remove", "replace")</f>
        <v>replace</v>
      </c>
    </row>
    <row r="148" spans="1:6">
      <c r="A148" t="s">
        <v>128</v>
      </c>
      <c r="B148" t="s">
        <v>216</v>
      </c>
      <c r="C148" s="19" t="s">
        <v>344</v>
      </c>
      <c r="D148" s="19">
        <v>2025</v>
      </c>
      <c r="E148">
        <f ca="1">ROUND(VLOOKUP($A148,    'VRE summary'!$B$25:$AD$46,    MATCH($D148, 'VRE summary'!$B$1:$AD$1, 0), FALSE), 0)</f>
        <v>1149</v>
      </c>
      <c r="F148" s="98" t="str">
        <f ca="1">IF(E148=0, "remove", "replace")</f>
        <v>replace</v>
      </c>
    </row>
    <row r="149" spans="1:6">
      <c r="A149" t="s">
        <v>129</v>
      </c>
      <c r="B149" t="s">
        <v>216</v>
      </c>
      <c r="C149" s="19" t="s">
        <v>344</v>
      </c>
      <c r="D149" s="19">
        <v>2025</v>
      </c>
      <c r="E149">
        <f ca="1">ROUND(VLOOKUP($A149,    'VRE summary'!$B$25:$AD$46,    MATCH($D149, 'VRE summary'!$B$1:$AD$1, 0), FALSE), 0)</f>
        <v>2323</v>
      </c>
      <c r="F149" s="98" t="str">
        <f ca="1">IF(E149=0, "remove", "replace")</f>
        <v>replace</v>
      </c>
    </row>
    <row r="150" spans="1:6">
      <c r="A150" t="s">
        <v>130</v>
      </c>
      <c r="B150" t="s">
        <v>216</v>
      </c>
      <c r="C150" s="19" t="s">
        <v>344</v>
      </c>
      <c r="D150" s="19">
        <v>2025</v>
      </c>
      <c r="E150">
        <f ca="1">ROUND(VLOOKUP($A150,    'VRE summary'!$B$25:$AD$46,    MATCH($D150, 'VRE summary'!$B$1:$AD$1, 0), FALSE), 0)</f>
        <v>10540</v>
      </c>
      <c r="F150" s="98" t="str">
        <f ca="1">IF(E150=0, "remove", "replace")</f>
        <v>replace</v>
      </c>
    </row>
    <row r="151" spans="1:6">
      <c r="A151" t="s">
        <v>131</v>
      </c>
      <c r="B151" t="s">
        <v>216</v>
      </c>
      <c r="C151" s="19" t="s">
        <v>344</v>
      </c>
      <c r="D151" s="19">
        <v>2025</v>
      </c>
      <c r="E151">
        <f ca="1">ROUND(VLOOKUP($A151,    'VRE summary'!$B$25:$AD$46,    MATCH($D151, 'VRE summary'!$B$1:$AD$1, 0), FALSE), 0)</f>
        <v>3729</v>
      </c>
      <c r="F151" s="98" t="str">
        <f ca="1">IF(E151=0, "remove", "replace")</f>
        <v>replace</v>
      </c>
    </row>
    <row r="152" spans="1:6">
      <c r="A152" t="s">
        <v>132</v>
      </c>
      <c r="B152" t="s">
        <v>216</v>
      </c>
      <c r="C152" s="19" t="s">
        <v>344</v>
      </c>
      <c r="D152" s="19">
        <v>2025</v>
      </c>
      <c r="E152">
        <f ca="1">ROUND(VLOOKUP($A152,    'VRE summary'!$B$25:$AD$46,    MATCH($D152, 'VRE summary'!$B$1:$AD$1, 0), FALSE), 0)</f>
        <v>8623</v>
      </c>
      <c r="F152" s="98" t="str">
        <f ca="1">IF(E152=0, "remove", "replace")</f>
        <v>replace</v>
      </c>
    </row>
    <row r="153" spans="1:6">
      <c r="A153" t="s">
        <v>133</v>
      </c>
      <c r="B153" t="s">
        <v>216</v>
      </c>
      <c r="C153" s="19" t="s">
        <v>344</v>
      </c>
      <c r="D153" s="19">
        <v>2025</v>
      </c>
      <c r="E153">
        <f ca="1">ROUND(VLOOKUP($A153,    'VRE summary'!$B$25:$AD$46,    MATCH($D153, 'VRE summary'!$B$1:$AD$1, 0), FALSE), 0)</f>
        <v>4028</v>
      </c>
      <c r="F153" s="98" t="str">
        <f ca="1">IF(E153=0, "remove", "replace")</f>
        <v>replace</v>
      </c>
    </row>
    <row r="154" spans="1:6">
      <c r="A154" t="s">
        <v>134</v>
      </c>
      <c r="B154" t="s">
        <v>216</v>
      </c>
      <c r="C154" s="19" t="s">
        <v>344</v>
      </c>
      <c r="D154" s="19">
        <v>2025</v>
      </c>
      <c r="E154">
        <f ca="1">ROUND(VLOOKUP($A154,    'VRE summary'!$B$25:$AD$46,    MATCH($D154, 'VRE summary'!$B$1:$AD$1, 0), FALSE), 0)</f>
        <v>2315</v>
      </c>
      <c r="F154" s="98" t="str">
        <f ca="1">IF(E154=0, "remove", "replace")</f>
        <v>replace</v>
      </c>
    </row>
    <row r="155" spans="1:6">
      <c r="A155" t="s">
        <v>135</v>
      </c>
      <c r="B155" t="s">
        <v>216</v>
      </c>
      <c r="C155" s="19" t="s">
        <v>344</v>
      </c>
      <c r="D155" s="19">
        <v>2025</v>
      </c>
      <c r="E155">
        <f ca="1">ROUND(VLOOKUP($A155,    'VRE summary'!$B$25:$AD$46,    MATCH($D155, 'VRE summary'!$B$1:$AD$1, 0), FALSE), 0)</f>
        <v>16863</v>
      </c>
      <c r="F155" s="98" t="str">
        <f ca="1">IF(E155=0, "remove", "replace")</f>
        <v>replace</v>
      </c>
    </row>
    <row r="156" spans="1:6">
      <c r="A156" t="s">
        <v>111</v>
      </c>
      <c r="B156" t="s">
        <v>216</v>
      </c>
      <c r="C156" s="19" t="s">
        <v>344</v>
      </c>
      <c r="D156" s="19">
        <v>2030</v>
      </c>
      <c r="E156">
        <f ca="1">ROUND(VLOOKUP($A156,    'VRE summary'!$B$25:$AD$46,    MATCH($D156, 'VRE summary'!$B$1:$AD$1, 0), FALSE), 0)</f>
        <v>5209</v>
      </c>
      <c r="F156" s="98" t="str">
        <f ca="1">IF(E156=0, "remove", "replace")</f>
        <v>replace</v>
      </c>
    </row>
    <row r="157" spans="1:6">
      <c r="A157" t="s">
        <v>114</v>
      </c>
      <c r="B157" t="s">
        <v>216</v>
      </c>
      <c r="C157" s="19" t="s">
        <v>344</v>
      </c>
      <c r="D157" s="19">
        <v>2030</v>
      </c>
      <c r="E157">
        <f ca="1">ROUND(VLOOKUP($A157,    'VRE summary'!$B$25:$AD$46,    MATCH($D157, 'VRE summary'!$B$1:$AD$1, 0), FALSE), 0)</f>
        <v>4766</v>
      </c>
      <c r="F157" s="98" t="str">
        <f ca="1">IF(E157=0, "remove", "replace")</f>
        <v>replace</v>
      </c>
    </row>
    <row r="158" spans="1:6">
      <c r="A158" t="s">
        <v>116</v>
      </c>
      <c r="B158" t="s">
        <v>216</v>
      </c>
      <c r="C158" s="19" t="s">
        <v>344</v>
      </c>
      <c r="D158" s="19">
        <v>2030</v>
      </c>
      <c r="E158">
        <f ca="1">ROUND(VLOOKUP($A158,    'VRE summary'!$B$25:$AD$46,    MATCH($D158, 'VRE summary'!$B$1:$AD$1, 0), FALSE), 0)</f>
        <v>124</v>
      </c>
      <c r="F158" s="98" t="str">
        <f ca="1">IF(E158=0, "remove", "replace")</f>
        <v>replace</v>
      </c>
    </row>
    <row r="159" spans="1:6">
      <c r="A159" t="s">
        <v>117</v>
      </c>
      <c r="B159" t="s">
        <v>216</v>
      </c>
      <c r="C159" s="19" t="s">
        <v>344</v>
      </c>
      <c r="D159" s="19">
        <v>2030</v>
      </c>
      <c r="E159">
        <f ca="1">ROUND(VLOOKUP($A159,    'VRE summary'!$B$25:$AD$46,    MATCH($D159, 'VRE summary'!$B$1:$AD$1, 0), FALSE), 0)</f>
        <v>84415</v>
      </c>
      <c r="F159" s="98" t="str">
        <f ca="1">IF(E159=0, "remove", "replace")</f>
        <v>replace</v>
      </c>
    </row>
    <row r="160" spans="1:6">
      <c r="A160" t="s">
        <v>118</v>
      </c>
      <c r="B160" t="s">
        <v>216</v>
      </c>
      <c r="C160" s="19" t="s">
        <v>344</v>
      </c>
      <c r="D160" s="19">
        <v>2030</v>
      </c>
      <c r="E160">
        <f ca="1">ROUND(VLOOKUP($A160,    'VRE summary'!$B$25:$AD$46,    MATCH($D160, 'VRE summary'!$B$1:$AD$1, 0), FALSE), 0)</f>
        <v>943</v>
      </c>
      <c r="F160" s="98" t="str">
        <f ca="1">IF(E160=0, "remove", "replace")</f>
        <v>replace</v>
      </c>
    </row>
    <row r="161" spans="1:6">
      <c r="A161" t="s">
        <v>119</v>
      </c>
      <c r="B161" t="s">
        <v>216</v>
      </c>
      <c r="C161" s="19" t="s">
        <v>344</v>
      </c>
      <c r="D161" s="19">
        <v>2030</v>
      </c>
      <c r="E161">
        <f ca="1">ROUND(VLOOKUP($A161,    'VRE summary'!$B$25:$AD$46,    MATCH($D161, 'VRE summary'!$B$1:$AD$1, 0), FALSE), 0)</f>
        <v>5022</v>
      </c>
      <c r="F161" s="98" t="str">
        <f ca="1">IF(E161=0, "remove", "replace")</f>
        <v>replace</v>
      </c>
    </row>
    <row r="162" spans="1:6">
      <c r="A162" t="s">
        <v>120</v>
      </c>
      <c r="B162" t="s">
        <v>216</v>
      </c>
      <c r="C162" s="19" t="s">
        <v>344</v>
      </c>
      <c r="D162" s="19">
        <v>2030</v>
      </c>
      <c r="E162">
        <f ca="1">ROUND(VLOOKUP($A162,    'VRE summary'!$B$25:$AD$46,    MATCH($D162, 'VRE summary'!$B$1:$AD$1, 0), FALSE), 0)</f>
        <v>962</v>
      </c>
      <c r="F162" s="98" t="str">
        <f ca="1">IF(E162=0, "remove", "replace")</f>
        <v>replace</v>
      </c>
    </row>
    <row r="163" spans="1:6">
      <c r="A163" t="s">
        <v>121</v>
      </c>
      <c r="B163" t="s">
        <v>216</v>
      </c>
      <c r="C163" s="19" t="s">
        <v>344</v>
      </c>
      <c r="D163" s="19">
        <v>2030</v>
      </c>
      <c r="E163">
        <f ca="1">ROUND(VLOOKUP($A163,    'VRE summary'!$B$25:$AD$46,    MATCH($D163, 'VRE summary'!$B$1:$AD$1, 0), FALSE), 0)</f>
        <v>37614</v>
      </c>
      <c r="F163" s="98" t="str">
        <f ca="1">IF(E163=0, "remove", "replace")</f>
        <v>replace</v>
      </c>
    </row>
    <row r="164" spans="1:6">
      <c r="A164" t="s">
        <v>122</v>
      </c>
      <c r="B164" t="s">
        <v>216</v>
      </c>
      <c r="C164" s="19" t="s">
        <v>344</v>
      </c>
      <c r="D164" s="19">
        <v>2030</v>
      </c>
      <c r="E164">
        <f ca="1">ROUND(VLOOKUP($A164,    'VRE summary'!$B$25:$AD$46,    MATCH($D164, 'VRE summary'!$B$1:$AD$1, 0), FALSE), 0)</f>
        <v>14092</v>
      </c>
      <c r="F164" s="98" t="str">
        <f ca="1">IF(E164=0, "remove", "replace")</f>
        <v>replace</v>
      </c>
    </row>
    <row r="165" spans="1:6">
      <c r="A165" t="s">
        <v>123</v>
      </c>
      <c r="B165" t="s">
        <v>216</v>
      </c>
      <c r="C165" s="19" t="s">
        <v>344</v>
      </c>
      <c r="D165" s="19">
        <v>2030</v>
      </c>
      <c r="E165">
        <f ca="1">ROUND(VLOOKUP($A165,    'VRE summary'!$B$25:$AD$46,    MATCH($D165, 'VRE summary'!$B$1:$AD$1, 0), FALSE), 0)</f>
        <v>30832</v>
      </c>
      <c r="F165" s="98" t="str">
        <f ca="1">IF(E165=0, "remove", "replace")</f>
        <v>replace</v>
      </c>
    </row>
    <row r="166" spans="1:6">
      <c r="A166" t="s">
        <v>124</v>
      </c>
      <c r="B166" t="s">
        <v>216</v>
      </c>
      <c r="C166" s="19" t="s">
        <v>344</v>
      </c>
      <c r="D166" s="19">
        <v>2030</v>
      </c>
      <c r="E166">
        <f ca="1">ROUND(VLOOKUP($A166,    'VRE summary'!$B$25:$AD$46,    MATCH($D166, 'VRE summary'!$B$1:$AD$1, 0), FALSE), 0)</f>
        <v>2860</v>
      </c>
      <c r="F166" s="98" t="str">
        <f ca="1">IF(E166=0, "remove", "replace")</f>
        <v>replace</v>
      </c>
    </row>
    <row r="167" spans="1:6">
      <c r="A167" t="s">
        <v>125</v>
      </c>
      <c r="B167" t="s">
        <v>216</v>
      </c>
      <c r="C167" s="19" t="s">
        <v>344</v>
      </c>
      <c r="D167" s="19">
        <v>2030</v>
      </c>
      <c r="E167">
        <f ca="1">ROUND(VLOOKUP($A167,    'VRE summary'!$B$25:$AD$46,    MATCH($D167, 'VRE summary'!$B$1:$AD$1, 0), FALSE), 0)</f>
        <v>223</v>
      </c>
      <c r="F167" s="98" t="str">
        <f ca="1">IF(E167=0, "remove", "replace")</f>
        <v>replace</v>
      </c>
    </row>
    <row r="168" spans="1:6">
      <c r="A168" t="s">
        <v>126</v>
      </c>
      <c r="B168" t="s">
        <v>216</v>
      </c>
      <c r="C168" s="19" t="s">
        <v>344</v>
      </c>
      <c r="D168" s="19">
        <v>2030</v>
      </c>
      <c r="E168">
        <f ca="1">ROUND(VLOOKUP($A168,    'VRE summary'!$B$25:$AD$46,    MATCH($D168, 'VRE summary'!$B$1:$AD$1, 0), FALSE), 0)</f>
        <v>11017</v>
      </c>
      <c r="F168" s="98" t="str">
        <f ca="1">IF(E168=0, "remove", "replace")</f>
        <v>replace</v>
      </c>
    </row>
    <row r="169" spans="1:6">
      <c r="A169" t="s">
        <v>127</v>
      </c>
      <c r="B169" t="s">
        <v>216</v>
      </c>
      <c r="C169" s="19" t="s">
        <v>344</v>
      </c>
      <c r="D169" s="19">
        <v>2030</v>
      </c>
      <c r="E169">
        <f ca="1">ROUND(VLOOKUP($A169,    'VRE summary'!$B$25:$AD$46,    MATCH($D169, 'VRE summary'!$B$1:$AD$1, 0), FALSE), 0)</f>
        <v>3480</v>
      </c>
      <c r="F169" s="98" t="str">
        <f ca="1">IF(E169=0, "remove", "replace")</f>
        <v>replace</v>
      </c>
    </row>
    <row r="170" spans="1:6">
      <c r="A170" t="s">
        <v>128</v>
      </c>
      <c r="B170" t="s">
        <v>216</v>
      </c>
      <c r="C170" s="19" t="s">
        <v>344</v>
      </c>
      <c r="D170" s="19">
        <v>2030</v>
      </c>
      <c r="E170">
        <f ca="1">ROUND(VLOOKUP($A170,    'VRE summary'!$B$25:$AD$46,    MATCH($D170, 'VRE summary'!$B$1:$AD$1, 0), FALSE), 0)</f>
        <v>1590</v>
      </c>
      <c r="F170" s="98" t="str">
        <f ca="1">IF(E170=0, "remove", "replace")</f>
        <v>replace</v>
      </c>
    </row>
    <row r="171" spans="1:6">
      <c r="A171" t="s">
        <v>129</v>
      </c>
      <c r="B171" t="s">
        <v>216</v>
      </c>
      <c r="C171" s="19" t="s">
        <v>344</v>
      </c>
      <c r="D171" s="19">
        <v>2030</v>
      </c>
      <c r="E171">
        <f ca="1">ROUND(VLOOKUP($A171,    'VRE summary'!$B$25:$AD$46,    MATCH($D171, 'VRE summary'!$B$1:$AD$1, 0), FALSE), 0)</f>
        <v>3216</v>
      </c>
      <c r="F171" s="98" t="str">
        <f ca="1">IF(E171=0, "remove", "replace")</f>
        <v>replace</v>
      </c>
    </row>
    <row r="172" spans="1:6">
      <c r="A172" t="s">
        <v>130</v>
      </c>
      <c r="B172" t="s">
        <v>216</v>
      </c>
      <c r="C172" s="19" t="s">
        <v>344</v>
      </c>
      <c r="D172" s="19">
        <v>2030</v>
      </c>
      <c r="E172">
        <f ca="1">ROUND(VLOOKUP($A172,    'VRE summary'!$B$25:$AD$46,    MATCH($D172, 'VRE summary'!$B$1:$AD$1, 0), FALSE), 0)</f>
        <v>13943</v>
      </c>
      <c r="F172" s="98" t="str">
        <f ca="1">IF(E172=0, "remove", "replace")</f>
        <v>replace</v>
      </c>
    </row>
    <row r="173" spans="1:6">
      <c r="A173" t="s">
        <v>131</v>
      </c>
      <c r="B173" t="s">
        <v>216</v>
      </c>
      <c r="C173" s="19" t="s">
        <v>344</v>
      </c>
      <c r="D173" s="19">
        <v>2030</v>
      </c>
      <c r="E173">
        <f ca="1">ROUND(VLOOKUP($A173,    'VRE summary'!$B$25:$AD$46,    MATCH($D173, 'VRE summary'!$B$1:$AD$1, 0), FALSE), 0)</f>
        <v>5289</v>
      </c>
      <c r="F173" s="98" t="str">
        <f ca="1">IF(E173=0, "remove", "replace")</f>
        <v>replace</v>
      </c>
    </row>
    <row r="174" spans="1:6">
      <c r="A174" t="s">
        <v>132</v>
      </c>
      <c r="B174" t="s">
        <v>216</v>
      </c>
      <c r="C174" s="19" t="s">
        <v>344</v>
      </c>
      <c r="D174" s="19">
        <v>2030</v>
      </c>
      <c r="E174">
        <f ca="1">ROUND(VLOOKUP($A174,    'VRE summary'!$B$25:$AD$46,    MATCH($D174, 'VRE summary'!$B$1:$AD$1, 0), FALSE), 0)</f>
        <v>12231</v>
      </c>
      <c r="F174" s="98" t="str">
        <f ca="1">IF(E174=0, "remove", "replace")</f>
        <v>replace</v>
      </c>
    </row>
    <row r="175" spans="1:6">
      <c r="A175" t="s">
        <v>133</v>
      </c>
      <c r="B175" t="s">
        <v>216</v>
      </c>
      <c r="C175" s="19" t="s">
        <v>344</v>
      </c>
      <c r="D175" s="19">
        <v>2030</v>
      </c>
      <c r="E175">
        <f ca="1">ROUND(VLOOKUP($A175,    'VRE summary'!$B$25:$AD$46,    MATCH($D175, 'VRE summary'!$B$1:$AD$1, 0), FALSE), 0)</f>
        <v>5714</v>
      </c>
      <c r="F175" s="98" t="str">
        <f ca="1">IF(E175=0, "remove", "replace")</f>
        <v>replace</v>
      </c>
    </row>
    <row r="176" spans="1:6">
      <c r="A176" t="s">
        <v>134</v>
      </c>
      <c r="B176" t="s">
        <v>216</v>
      </c>
      <c r="C176" s="19" t="s">
        <v>344</v>
      </c>
      <c r="D176" s="19">
        <v>2030</v>
      </c>
      <c r="E176">
        <f ca="1">ROUND(VLOOKUP($A176,    'VRE summary'!$B$25:$AD$46,    MATCH($D176, 'VRE summary'!$B$1:$AD$1, 0), FALSE), 0)</f>
        <v>3283</v>
      </c>
      <c r="F176" s="98" t="str">
        <f ca="1">IF(E176=0, "remove", "replace")</f>
        <v>replace</v>
      </c>
    </row>
    <row r="177" spans="1:8">
      <c r="A177" t="s">
        <v>135</v>
      </c>
      <c r="B177" t="s">
        <v>216</v>
      </c>
      <c r="C177" s="19" t="s">
        <v>344</v>
      </c>
      <c r="D177" s="19">
        <v>2030</v>
      </c>
      <c r="E177">
        <f ca="1">ROUND(VLOOKUP($A177,    'VRE summary'!$B$25:$AD$46,    MATCH($D177, 'VRE summary'!$B$1:$AD$1, 0), FALSE), 0)</f>
        <v>19388</v>
      </c>
      <c r="F177" s="98" t="str">
        <f ca="1">IF(E177=0, "remove", "replace")</f>
        <v>replace</v>
      </c>
    </row>
    <row r="178" spans="1:8">
      <c r="A178" t="s">
        <v>111</v>
      </c>
      <c r="B178" t="s">
        <v>215</v>
      </c>
      <c r="C178" s="19" t="s">
        <v>344</v>
      </c>
      <c r="D178" s="19">
        <v>2015</v>
      </c>
      <c r="E178">
        <f ca="1">ROUND(VLOOKUP($A178,    'VRE summary'!$B$48:$AD$69,    MATCH($D178, 'VRE summary'!$B$1:$AD$1, 0), FALSE), 0)</f>
        <v>0</v>
      </c>
      <c r="F178" s="98" t="str">
        <f ca="1">IF(E178=0, "remove", "replace")</f>
        <v>remove</v>
      </c>
      <c r="H178" t="s">
        <v>221</v>
      </c>
    </row>
    <row r="179" spans="1:8">
      <c r="A179" t="s">
        <v>114</v>
      </c>
      <c r="B179" t="s">
        <v>215</v>
      </c>
      <c r="C179" s="19" t="s">
        <v>344</v>
      </c>
      <c r="D179" s="19">
        <v>2015</v>
      </c>
      <c r="E179">
        <f ca="1">ROUND(VLOOKUP($A179,    'VRE summary'!$B$48:$AD$69,    MATCH($D179, 'VRE summary'!$B$1:$AD$1, 0), FALSE), 0)</f>
        <v>712</v>
      </c>
      <c r="F179" s="98" t="str">
        <f ca="1">IF(E179=0, "remove", "replace")</f>
        <v>replace</v>
      </c>
    </row>
    <row r="180" spans="1:8">
      <c r="A180" t="s">
        <v>116</v>
      </c>
      <c r="B180" t="s">
        <v>215</v>
      </c>
      <c r="C180" s="19" t="s">
        <v>344</v>
      </c>
      <c r="D180" s="19">
        <v>2015</v>
      </c>
      <c r="E180">
        <f ca="1">ROUND(VLOOKUP($A180,    'VRE summary'!$B$48:$AD$69,    MATCH($D180, 'VRE summary'!$B$1:$AD$1, 0), FALSE), 0)</f>
        <v>0</v>
      </c>
      <c r="F180" s="98" t="str">
        <f ca="1">IF(E180=0, "remove", "replace")</f>
        <v>remove</v>
      </c>
    </row>
    <row r="181" spans="1:8">
      <c r="A181" t="s">
        <v>117</v>
      </c>
      <c r="B181" t="s">
        <v>215</v>
      </c>
      <c r="C181" s="19" t="s">
        <v>344</v>
      </c>
      <c r="D181" s="19">
        <v>2015</v>
      </c>
      <c r="E181">
        <f ca="1">ROUND(VLOOKUP($A181,    'VRE summary'!$B$48:$AD$69,    MATCH($D181, 'VRE summary'!$B$1:$AD$1, 0), FALSE), 0)</f>
        <v>3295</v>
      </c>
      <c r="F181" s="98" t="str">
        <f ca="1">IF(E181=0, "remove", "replace")</f>
        <v>replace</v>
      </c>
    </row>
    <row r="182" spans="1:8">
      <c r="A182" t="s">
        <v>118</v>
      </c>
      <c r="B182" t="s">
        <v>215</v>
      </c>
      <c r="C182" s="19" t="s">
        <v>344</v>
      </c>
      <c r="D182" s="19">
        <v>2015</v>
      </c>
      <c r="E182">
        <f ca="1">ROUND(VLOOKUP($A182,    'VRE summary'!$B$48:$AD$69,    MATCH($D182, 'VRE summary'!$B$1:$AD$1, 0), FALSE), 0)</f>
        <v>852</v>
      </c>
      <c r="F182" s="98" t="str">
        <f ca="1">IF(E182=0, "remove", "replace")</f>
        <v>replace</v>
      </c>
    </row>
    <row r="183" spans="1:8">
      <c r="A183" t="s">
        <v>119</v>
      </c>
      <c r="B183" t="s">
        <v>215</v>
      </c>
      <c r="C183" s="19" t="s">
        <v>344</v>
      </c>
      <c r="D183" s="19">
        <v>2015</v>
      </c>
      <c r="E183">
        <f ca="1">ROUND(VLOOKUP($A183,    'VRE summary'!$B$48:$AD$69,    MATCH($D183, 'VRE summary'!$B$1:$AD$1, 0), FALSE), 0)</f>
        <v>419</v>
      </c>
      <c r="F183" s="98" t="str">
        <f ca="1">IF(E183=0, "remove", "replace")</f>
        <v>replace</v>
      </c>
    </row>
    <row r="184" spans="1:8">
      <c r="A184" t="s">
        <v>120</v>
      </c>
      <c r="B184" t="s">
        <v>215</v>
      </c>
      <c r="C184" s="19" t="s">
        <v>344</v>
      </c>
      <c r="D184" s="19">
        <v>2015</v>
      </c>
      <c r="E184">
        <f ca="1">ROUND(VLOOKUP($A184,    'VRE summary'!$B$48:$AD$69,    MATCH($D184, 'VRE summary'!$B$1:$AD$1, 0), FALSE), 0)</f>
        <v>0</v>
      </c>
      <c r="F184" s="98" t="str">
        <f ca="1">IF(E184=0, "remove", "replace")</f>
        <v>remove</v>
      </c>
    </row>
    <row r="185" spans="1:8">
      <c r="A185" t="s">
        <v>121</v>
      </c>
      <c r="B185" t="s">
        <v>215</v>
      </c>
      <c r="C185" s="19" t="s">
        <v>344</v>
      </c>
      <c r="D185" s="19">
        <v>2015</v>
      </c>
      <c r="E185">
        <f ca="1">ROUND(VLOOKUP($A185,    'VRE summary'!$B$48:$AD$69,    MATCH($D185, 'VRE summary'!$B$1:$AD$1, 0), FALSE), 0)</f>
        <v>5</v>
      </c>
      <c r="F185" s="98" t="str">
        <f ca="1">IF(E185=0, "remove", "replace")</f>
        <v>replace</v>
      </c>
    </row>
    <row r="186" spans="1:8">
      <c r="A186" t="s">
        <v>122</v>
      </c>
      <c r="B186" t="s">
        <v>215</v>
      </c>
      <c r="C186" s="19" t="s">
        <v>344</v>
      </c>
      <c r="D186" s="19">
        <v>2015</v>
      </c>
      <c r="E186">
        <f ca="1">ROUND(VLOOKUP($A186,    'VRE summary'!$B$48:$AD$69,    MATCH($D186, 'VRE summary'!$B$1:$AD$1, 0), FALSE), 0)</f>
        <v>28</v>
      </c>
      <c r="F186" s="98" t="str">
        <f ca="1">IF(E186=0, "remove", "replace")</f>
        <v>replace</v>
      </c>
    </row>
    <row r="187" spans="1:8">
      <c r="A187" t="s">
        <v>123</v>
      </c>
      <c r="B187" t="s">
        <v>215</v>
      </c>
      <c r="C187" s="19" t="s">
        <v>344</v>
      </c>
      <c r="D187" s="19">
        <v>2015</v>
      </c>
      <c r="E187">
        <f ca="1">ROUND(VLOOKUP($A187,    'VRE summary'!$B$48:$AD$69,    MATCH($D187, 'VRE summary'!$B$1:$AD$1, 0), FALSE), 0)</f>
        <v>0</v>
      </c>
      <c r="F187" s="98" t="str">
        <f ca="1">IF(E187=0, "remove", "replace")</f>
        <v>remove</v>
      </c>
    </row>
    <row r="188" spans="1:8">
      <c r="A188" t="s">
        <v>124</v>
      </c>
      <c r="B188" t="s">
        <v>215</v>
      </c>
      <c r="C188" s="19" t="s">
        <v>344</v>
      </c>
      <c r="D188" s="19">
        <v>2015</v>
      </c>
      <c r="E188">
        <f ca="1">ROUND(VLOOKUP($A188,    'VRE summary'!$B$48:$AD$69,    MATCH($D188, 'VRE summary'!$B$1:$AD$1, 0), FALSE), 0)</f>
        <v>0</v>
      </c>
      <c r="F188" s="98" t="str">
        <f ca="1">IF(E188=0, "remove", "replace")</f>
        <v>remove</v>
      </c>
    </row>
    <row r="189" spans="1:8">
      <c r="A189" t="s">
        <v>125</v>
      </c>
      <c r="B189" t="s">
        <v>215</v>
      </c>
      <c r="C189" s="19" t="s">
        <v>344</v>
      </c>
      <c r="D189" s="19">
        <v>2015</v>
      </c>
      <c r="E189">
        <f ca="1">ROUND(VLOOKUP($A189,    'VRE summary'!$B$48:$AD$69,    MATCH($D189, 'VRE summary'!$B$1:$AD$1, 0), FALSE), 0)</f>
        <v>0</v>
      </c>
      <c r="F189" s="98" t="str">
        <f ca="1">IF(E189=0, "remove", "replace")</f>
        <v>remove</v>
      </c>
    </row>
    <row r="190" spans="1:8">
      <c r="A190" t="s">
        <v>126</v>
      </c>
      <c r="B190" t="s">
        <v>215</v>
      </c>
      <c r="C190" s="19" t="s">
        <v>344</v>
      </c>
      <c r="D190" s="19">
        <v>2015</v>
      </c>
      <c r="E190">
        <f ca="1">ROUND(VLOOKUP($A190,    'VRE summary'!$B$48:$AD$69,    MATCH($D190, 'VRE summary'!$B$1:$AD$1, 0), FALSE), 0)</f>
        <v>357</v>
      </c>
      <c r="F190" s="98" t="str">
        <f ca="1">IF(E190=0, "remove", "replace")</f>
        <v>replace</v>
      </c>
    </row>
    <row r="191" spans="1:8">
      <c r="A191" t="s">
        <v>127</v>
      </c>
      <c r="B191" t="s">
        <v>215</v>
      </c>
      <c r="C191" s="19" t="s">
        <v>344</v>
      </c>
      <c r="D191" s="19">
        <v>2015</v>
      </c>
      <c r="E191">
        <f ca="1">ROUND(VLOOKUP($A191,    'VRE summary'!$B$48:$AD$69,    MATCH($D191, 'VRE summary'!$B$1:$AD$1, 0), FALSE), 0)</f>
        <v>0</v>
      </c>
      <c r="F191" s="98" t="str">
        <f ca="1">IF(E191=0, "remove", "replace")</f>
        <v>remove</v>
      </c>
    </row>
    <row r="192" spans="1:8">
      <c r="A192" t="s">
        <v>128</v>
      </c>
      <c r="B192" t="s">
        <v>215</v>
      </c>
      <c r="C192" s="19" t="s">
        <v>344</v>
      </c>
      <c r="D192" s="19">
        <v>2015</v>
      </c>
      <c r="E192">
        <f ca="1">ROUND(VLOOKUP($A192,    'VRE summary'!$B$48:$AD$69,    MATCH($D192, 'VRE summary'!$B$1:$AD$1, 0), FALSE), 0)</f>
        <v>0</v>
      </c>
      <c r="F192" s="98" t="str">
        <f ca="1">IF(E192=0, "remove", "replace")</f>
        <v>remove</v>
      </c>
    </row>
    <row r="193" spans="1:6">
      <c r="A193" t="s">
        <v>129</v>
      </c>
      <c r="B193" t="s">
        <v>215</v>
      </c>
      <c r="C193" s="19" t="s">
        <v>344</v>
      </c>
      <c r="D193" s="19">
        <v>2015</v>
      </c>
      <c r="E193">
        <f ca="1">ROUND(VLOOKUP($A193,    'VRE summary'!$B$48:$AD$69,    MATCH($D193, 'VRE summary'!$B$1:$AD$1, 0), FALSE), 0)</f>
        <v>6</v>
      </c>
      <c r="F193" s="98" t="str">
        <f ca="1">IF(E193=0, "remove", "replace")</f>
        <v>replace</v>
      </c>
    </row>
    <row r="194" spans="1:6">
      <c r="A194" t="s">
        <v>130</v>
      </c>
      <c r="B194" t="s">
        <v>215</v>
      </c>
      <c r="C194" s="19" t="s">
        <v>344</v>
      </c>
      <c r="D194" s="19">
        <v>2015</v>
      </c>
      <c r="E194">
        <f ca="1">ROUND(VLOOKUP($A194,    'VRE summary'!$B$48:$AD$69,    MATCH($D194, 'VRE summary'!$B$1:$AD$1, 0), FALSE), 0)</f>
        <v>0</v>
      </c>
      <c r="F194" s="98" t="str">
        <f ca="1">IF(E194=0, "remove", "replace")</f>
        <v>remove</v>
      </c>
    </row>
    <row r="195" spans="1:6">
      <c r="A195" t="s">
        <v>131</v>
      </c>
      <c r="B195" t="s">
        <v>215</v>
      </c>
      <c r="C195" s="19" t="s">
        <v>344</v>
      </c>
      <c r="D195" s="19">
        <v>2015</v>
      </c>
      <c r="E195">
        <f ca="1">ROUND(VLOOKUP($A195,    'VRE summary'!$B$48:$AD$69,    MATCH($D195, 'VRE summary'!$B$1:$AD$1, 0), FALSE), 0)</f>
        <v>0</v>
      </c>
      <c r="F195" s="98" t="str">
        <f ca="1">IF(E195=0, "remove", "replace")</f>
        <v>remove</v>
      </c>
    </row>
    <row r="196" spans="1:6">
      <c r="A196" t="s">
        <v>132</v>
      </c>
      <c r="B196" t="s">
        <v>215</v>
      </c>
      <c r="C196" s="19" t="s">
        <v>344</v>
      </c>
      <c r="D196" s="19">
        <v>2015</v>
      </c>
      <c r="E196">
        <f ca="1">ROUND(VLOOKUP($A196,    'VRE summary'!$B$48:$AD$69,    MATCH($D196, 'VRE summary'!$B$1:$AD$1, 0), FALSE), 0)</f>
        <v>0</v>
      </c>
      <c r="F196" s="98" t="str">
        <f ca="1">IF(E196=0, "remove", "replace")</f>
        <v>remove</v>
      </c>
    </row>
    <row r="197" spans="1:6">
      <c r="A197" t="s">
        <v>133</v>
      </c>
      <c r="B197" t="s">
        <v>215</v>
      </c>
      <c r="C197" s="19" t="s">
        <v>344</v>
      </c>
      <c r="D197" s="19">
        <v>2015</v>
      </c>
      <c r="E197">
        <f ca="1">ROUND(VLOOKUP($A197,    'VRE summary'!$B$48:$AD$69,    MATCH($D197, 'VRE summary'!$B$1:$AD$1, 0), FALSE), 0)</f>
        <v>0</v>
      </c>
      <c r="F197" s="98" t="str">
        <f ca="1">IF(E197=0, "remove", "replace")</f>
        <v>remove</v>
      </c>
    </row>
    <row r="198" spans="1:6">
      <c r="A198" t="s">
        <v>134</v>
      </c>
      <c r="B198" t="s">
        <v>215</v>
      </c>
      <c r="C198" s="19" t="s">
        <v>344</v>
      </c>
      <c r="D198" s="19">
        <v>2015</v>
      </c>
      <c r="E198">
        <f ca="1">ROUND(VLOOKUP($A198,    'VRE summary'!$B$48:$AD$69,    MATCH($D198, 'VRE summary'!$B$1:$AD$1, 0), FALSE), 0)</f>
        <v>202</v>
      </c>
      <c r="F198" s="98" t="str">
        <f ca="1">IF(E198=0, "remove", "replace")</f>
        <v>replace</v>
      </c>
    </row>
    <row r="199" spans="1:6">
      <c r="A199" t="s">
        <v>135</v>
      </c>
      <c r="B199" t="s">
        <v>215</v>
      </c>
      <c r="C199" s="19" t="s">
        <v>344</v>
      </c>
      <c r="D199" s="19">
        <v>2015</v>
      </c>
      <c r="E199">
        <f ca="1">ROUND(VLOOKUP($A199,    'VRE summary'!$B$48:$AD$69,    MATCH($D199, 'VRE summary'!$B$1:$AD$1, 0), FALSE), 0)</f>
        <v>5105</v>
      </c>
      <c r="F199" s="98" t="str">
        <f ca="1">IF(E199=0, "remove", "replace")</f>
        <v>replace</v>
      </c>
    </row>
    <row r="200" spans="1:6">
      <c r="A200" t="s">
        <v>111</v>
      </c>
      <c r="B200" t="s">
        <v>215</v>
      </c>
      <c r="C200" s="19" t="s">
        <v>344</v>
      </c>
      <c r="D200" s="19">
        <v>2020</v>
      </c>
      <c r="E200">
        <f ca="1">ROUND(VLOOKUP($A200,    'VRE summary'!$B$48:$AD$69,    MATCH($D200, 'VRE summary'!$B$1:$AD$1, 0), FALSE), 0)</f>
        <v>0</v>
      </c>
      <c r="F200" s="98" t="str">
        <f ca="1">IF(E200=0, "remove", "replace")</f>
        <v>remove</v>
      </c>
    </row>
    <row r="201" spans="1:6">
      <c r="A201" t="s">
        <v>114</v>
      </c>
      <c r="B201" t="s">
        <v>215</v>
      </c>
      <c r="C201" s="19" t="s">
        <v>344</v>
      </c>
      <c r="D201" s="19">
        <v>2020</v>
      </c>
      <c r="E201">
        <f ca="1">ROUND(VLOOKUP($A201,    'VRE summary'!$B$48:$AD$69,    MATCH($D201, 'VRE summary'!$B$1:$AD$1, 0), FALSE), 0)</f>
        <v>2262</v>
      </c>
      <c r="F201" s="98" t="str">
        <f ca="1">IF(E201=0, "remove", "replace")</f>
        <v>replace</v>
      </c>
    </row>
    <row r="202" spans="1:6">
      <c r="A202" t="s">
        <v>116</v>
      </c>
      <c r="B202" t="s">
        <v>215</v>
      </c>
      <c r="C202" s="19" t="s">
        <v>344</v>
      </c>
      <c r="D202" s="19">
        <v>2020</v>
      </c>
      <c r="E202">
        <f ca="1">ROUND(VLOOKUP($A202,    'VRE summary'!$B$48:$AD$69,    MATCH($D202, 'VRE summary'!$B$1:$AD$1, 0), FALSE), 0)</f>
        <v>0</v>
      </c>
      <c r="F202" s="98" t="str">
        <f ca="1">IF(E202=0, "remove", "replace")</f>
        <v>remove</v>
      </c>
    </row>
    <row r="203" spans="1:6">
      <c r="A203" t="s">
        <v>117</v>
      </c>
      <c r="B203" t="s">
        <v>215</v>
      </c>
      <c r="C203" s="19" t="s">
        <v>344</v>
      </c>
      <c r="D203" s="19">
        <v>2020</v>
      </c>
      <c r="E203">
        <f ca="1">ROUND(VLOOKUP($A203,    'VRE summary'!$B$48:$AD$69,    MATCH($D203, 'VRE summary'!$B$1:$AD$1, 0), FALSE), 0)</f>
        <v>7774</v>
      </c>
      <c r="F203" s="98" t="str">
        <f ca="1">IF(E203=0, "remove", "replace")</f>
        <v>replace</v>
      </c>
    </row>
    <row r="204" spans="1:6">
      <c r="A204" t="s">
        <v>118</v>
      </c>
      <c r="B204" t="s">
        <v>215</v>
      </c>
      <c r="C204" s="19" t="s">
        <v>344</v>
      </c>
      <c r="D204" s="19">
        <v>2020</v>
      </c>
      <c r="E204">
        <f ca="1">ROUND(VLOOKUP($A204,    'VRE summary'!$B$48:$AD$69,    MATCH($D204, 'VRE summary'!$B$1:$AD$1, 0), FALSE), 0)</f>
        <v>1140</v>
      </c>
      <c r="F204" s="98" t="str">
        <f ca="1">IF(E204=0, "remove", "replace")</f>
        <v>replace</v>
      </c>
    </row>
    <row r="205" spans="1:6">
      <c r="A205" t="s">
        <v>119</v>
      </c>
      <c r="B205" t="s">
        <v>215</v>
      </c>
      <c r="C205" s="19" t="s">
        <v>344</v>
      </c>
      <c r="D205" s="19">
        <v>2020</v>
      </c>
      <c r="E205">
        <f ca="1">ROUND(VLOOKUP($A205,    'VRE summary'!$B$48:$AD$69,    MATCH($D205, 'VRE summary'!$B$1:$AD$1, 0), FALSE), 0)</f>
        <v>561</v>
      </c>
      <c r="F205" s="98" t="str">
        <f ca="1">IF(E205=0, "remove", "replace")</f>
        <v>replace</v>
      </c>
    </row>
    <row r="206" spans="1:6">
      <c r="A206" t="s">
        <v>120</v>
      </c>
      <c r="B206" t="s">
        <v>215</v>
      </c>
      <c r="C206" s="19" t="s">
        <v>344</v>
      </c>
      <c r="D206" s="19">
        <v>2020</v>
      </c>
      <c r="E206">
        <f ca="1">ROUND(VLOOKUP($A206,    'VRE summary'!$B$48:$AD$69,    MATCH($D206, 'VRE summary'!$B$1:$AD$1, 0), FALSE), 0)</f>
        <v>0</v>
      </c>
      <c r="F206" s="98" t="str">
        <f ca="1">IF(E206=0, "remove", "replace")</f>
        <v>remove</v>
      </c>
    </row>
    <row r="207" spans="1:6">
      <c r="A207" t="s">
        <v>121</v>
      </c>
      <c r="B207" t="s">
        <v>215</v>
      </c>
      <c r="C207" s="19" t="s">
        <v>344</v>
      </c>
      <c r="D207" s="19">
        <v>2020</v>
      </c>
      <c r="E207">
        <f ca="1">ROUND(VLOOKUP($A207,    'VRE summary'!$B$48:$AD$69,    MATCH($D207, 'VRE summary'!$B$1:$AD$1, 0), FALSE), 0)</f>
        <v>0</v>
      </c>
      <c r="F207" s="98" t="str">
        <f ca="1">IF(E207=0, "remove", "replace")</f>
        <v>remove</v>
      </c>
    </row>
    <row r="208" spans="1:6">
      <c r="A208" t="s">
        <v>122</v>
      </c>
      <c r="B208" t="s">
        <v>215</v>
      </c>
      <c r="C208" s="19" t="s">
        <v>344</v>
      </c>
      <c r="D208" s="19">
        <v>2020</v>
      </c>
      <c r="E208">
        <f ca="1">ROUND(VLOOKUP($A208,    'VRE summary'!$B$48:$AD$69,    MATCH($D208, 'VRE summary'!$B$1:$AD$1, 0), FALSE), 0)</f>
        <v>73</v>
      </c>
      <c r="F208" s="98" t="str">
        <f ca="1">IF(E208=0, "remove", "replace")</f>
        <v>replace</v>
      </c>
    </row>
    <row r="209" spans="1:6">
      <c r="A209" t="s">
        <v>123</v>
      </c>
      <c r="B209" t="s">
        <v>215</v>
      </c>
      <c r="C209" s="19" t="s">
        <v>344</v>
      </c>
      <c r="D209" s="19">
        <v>2020</v>
      </c>
      <c r="E209">
        <f ca="1">ROUND(VLOOKUP($A209,    'VRE summary'!$B$48:$AD$69,    MATCH($D209, 'VRE summary'!$B$1:$AD$1, 0), FALSE), 0)</f>
        <v>0</v>
      </c>
      <c r="F209" s="98" t="str">
        <f ca="1">IF(E209=0, "remove", "replace")</f>
        <v>remove</v>
      </c>
    </row>
    <row r="210" spans="1:6">
      <c r="A210" t="s">
        <v>124</v>
      </c>
      <c r="B210" t="s">
        <v>215</v>
      </c>
      <c r="C210" s="19" t="s">
        <v>344</v>
      </c>
      <c r="D210" s="19">
        <v>2020</v>
      </c>
      <c r="E210">
        <f ca="1">ROUND(VLOOKUP($A210,    'VRE summary'!$B$48:$AD$69,    MATCH($D210, 'VRE summary'!$B$1:$AD$1, 0), FALSE), 0)</f>
        <v>0</v>
      </c>
      <c r="F210" s="98" t="str">
        <f ca="1">IF(E210=0, "remove", "replace")</f>
        <v>remove</v>
      </c>
    </row>
    <row r="211" spans="1:6">
      <c r="A211" t="s">
        <v>125</v>
      </c>
      <c r="B211" t="s">
        <v>215</v>
      </c>
      <c r="C211" s="19" t="s">
        <v>344</v>
      </c>
      <c r="D211" s="19">
        <v>2020</v>
      </c>
      <c r="E211">
        <f ca="1">ROUND(VLOOKUP($A211,    'VRE summary'!$B$48:$AD$69,    MATCH($D211, 'VRE summary'!$B$1:$AD$1, 0), FALSE), 0)</f>
        <v>0</v>
      </c>
      <c r="F211" s="98" t="str">
        <f ca="1">IF(E211=0, "remove", "replace")</f>
        <v>remove</v>
      </c>
    </row>
    <row r="212" spans="1:6">
      <c r="A212" t="s">
        <v>126</v>
      </c>
      <c r="B212" t="s">
        <v>215</v>
      </c>
      <c r="C212" s="19" t="s">
        <v>344</v>
      </c>
      <c r="D212" s="19">
        <v>2020</v>
      </c>
      <c r="E212">
        <f ca="1">ROUND(VLOOKUP($A212,    'VRE summary'!$B$48:$AD$69,    MATCH($D212, 'VRE summary'!$B$1:$AD$1, 0), FALSE), 0)</f>
        <v>2460</v>
      </c>
      <c r="F212" s="98" t="str">
        <f ca="1">IF(E212=0, "remove", "replace")</f>
        <v>replace</v>
      </c>
    </row>
    <row r="213" spans="1:6">
      <c r="A213" t="s">
        <v>127</v>
      </c>
      <c r="B213" t="s">
        <v>215</v>
      </c>
      <c r="C213" s="19" t="s">
        <v>344</v>
      </c>
      <c r="D213" s="19">
        <v>2020</v>
      </c>
      <c r="E213">
        <f ca="1">ROUND(VLOOKUP($A213,    'VRE summary'!$B$48:$AD$69,    MATCH($D213, 'VRE summary'!$B$1:$AD$1, 0), FALSE), 0)</f>
        <v>0</v>
      </c>
      <c r="F213" s="98" t="str">
        <f ca="1">IF(E213=0, "remove", "replace")</f>
        <v>remove</v>
      </c>
    </row>
    <row r="214" spans="1:6">
      <c r="A214" t="s">
        <v>128</v>
      </c>
      <c r="B214" t="s">
        <v>215</v>
      </c>
      <c r="C214" s="19" t="s">
        <v>344</v>
      </c>
      <c r="D214" s="19">
        <v>2020</v>
      </c>
      <c r="E214">
        <f ca="1">ROUND(VLOOKUP($A214,    'VRE summary'!$B$48:$AD$69,    MATCH($D214, 'VRE summary'!$B$1:$AD$1, 0), FALSE), 0)</f>
        <v>0</v>
      </c>
      <c r="F214" s="98" t="str">
        <f ca="1">IF(E214=0, "remove", "replace")</f>
        <v>remove</v>
      </c>
    </row>
    <row r="215" spans="1:6">
      <c r="A215" t="s">
        <v>129</v>
      </c>
      <c r="B215" t="s">
        <v>215</v>
      </c>
      <c r="C215" s="19" t="s">
        <v>344</v>
      </c>
      <c r="D215" s="19">
        <v>2020</v>
      </c>
      <c r="E215">
        <f ca="1">ROUND(VLOOKUP($A215,    'VRE summary'!$B$48:$AD$69,    MATCH($D215, 'VRE summary'!$B$1:$AD$1, 0), FALSE), 0)</f>
        <v>6</v>
      </c>
      <c r="F215" s="98" t="str">
        <f ca="1">IF(E215=0, "remove", "replace")</f>
        <v>replace</v>
      </c>
    </row>
    <row r="216" spans="1:6">
      <c r="A216" t="s">
        <v>130</v>
      </c>
      <c r="B216" t="s">
        <v>215</v>
      </c>
      <c r="C216" s="19" t="s">
        <v>344</v>
      </c>
      <c r="D216" s="19">
        <v>2020</v>
      </c>
      <c r="E216">
        <f ca="1">ROUND(VLOOKUP($A216,    'VRE summary'!$B$48:$AD$69,    MATCH($D216, 'VRE summary'!$B$1:$AD$1, 0), FALSE), 0)</f>
        <v>0</v>
      </c>
      <c r="F216" s="98" t="str">
        <f ca="1">IF(E216=0, "remove", "replace")</f>
        <v>remove</v>
      </c>
    </row>
    <row r="217" spans="1:6">
      <c r="A217" t="s">
        <v>131</v>
      </c>
      <c r="B217" t="s">
        <v>215</v>
      </c>
      <c r="C217" s="19" t="s">
        <v>344</v>
      </c>
      <c r="D217" s="19">
        <v>2020</v>
      </c>
      <c r="E217">
        <f ca="1">ROUND(VLOOKUP($A217,    'VRE summary'!$B$48:$AD$69,    MATCH($D217, 'VRE summary'!$B$1:$AD$1, 0), FALSE), 0)</f>
        <v>0</v>
      </c>
      <c r="F217" s="98" t="str">
        <f ca="1">IF(E217=0, "remove", "replace")</f>
        <v>remove</v>
      </c>
    </row>
    <row r="218" spans="1:6">
      <c r="A218" t="s">
        <v>132</v>
      </c>
      <c r="B218" t="s">
        <v>215</v>
      </c>
      <c r="C218" s="19" t="s">
        <v>344</v>
      </c>
      <c r="D218" s="19">
        <v>2020</v>
      </c>
      <c r="E218">
        <f ca="1">ROUND(VLOOKUP($A218,    'VRE summary'!$B$48:$AD$69,    MATCH($D218, 'VRE summary'!$B$1:$AD$1, 0), FALSE), 0)</f>
        <v>0</v>
      </c>
      <c r="F218" s="98" t="str">
        <f ca="1">IF(E218=0, "remove", "replace")</f>
        <v>remove</v>
      </c>
    </row>
    <row r="219" spans="1:6">
      <c r="A219" t="s">
        <v>133</v>
      </c>
      <c r="B219" t="s">
        <v>215</v>
      </c>
      <c r="C219" s="19" t="s">
        <v>344</v>
      </c>
      <c r="D219" s="19">
        <v>2020</v>
      </c>
      <c r="E219">
        <f ca="1">ROUND(VLOOKUP($A219,    'VRE summary'!$B$48:$AD$69,    MATCH($D219, 'VRE summary'!$B$1:$AD$1, 0), FALSE), 0)</f>
        <v>0</v>
      </c>
      <c r="F219" s="98" t="str">
        <f ca="1">IF(E219=0, "remove", "replace")</f>
        <v>remove</v>
      </c>
    </row>
    <row r="220" spans="1:6">
      <c r="A220" t="s">
        <v>134</v>
      </c>
      <c r="B220" t="s">
        <v>215</v>
      </c>
      <c r="C220" s="19" t="s">
        <v>344</v>
      </c>
      <c r="D220" s="19">
        <v>2020</v>
      </c>
      <c r="E220">
        <f ca="1">ROUND(VLOOKUP($A220,    'VRE summary'!$B$48:$AD$69,    MATCH($D220, 'VRE summary'!$B$1:$AD$1, 0), FALSE), 0)</f>
        <v>203</v>
      </c>
      <c r="F220" s="98" t="str">
        <f ca="1">IF(E220=0, "remove", "replace")</f>
        <v>replace</v>
      </c>
    </row>
    <row r="221" spans="1:6">
      <c r="A221" t="s">
        <v>135</v>
      </c>
      <c r="B221" t="s">
        <v>215</v>
      </c>
      <c r="C221" s="19" t="s">
        <v>344</v>
      </c>
      <c r="D221" s="19">
        <v>2020</v>
      </c>
      <c r="E221">
        <f ca="1">ROUND(VLOOKUP($A221,    'VRE summary'!$B$48:$AD$69,    MATCH($D221, 'VRE summary'!$B$1:$AD$1, 0), FALSE), 0)</f>
        <v>9948</v>
      </c>
      <c r="F221" s="98" t="str">
        <f ca="1">IF(E221=0, "remove", "replace")</f>
        <v>replace</v>
      </c>
    </row>
    <row r="222" spans="1:6">
      <c r="A222" t="s">
        <v>111</v>
      </c>
      <c r="B222" t="s">
        <v>215</v>
      </c>
      <c r="C222" s="19" t="s">
        <v>344</v>
      </c>
      <c r="D222" s="19">
        <v>2025</v>
      </c>
      <c r="E222">
        <f ca="1">ROUND(VLOOKUP($A222,    'VRE summary'!$B$48:$AD$69,    MATCH($D222, 'VRE summary'!$B$1:$AD$1, 0), FALSE), 0)</f>
        <v>0</v>
      </c>
      <c r="F222" s="98" t="str">
        <f ca="1">IF(E222=0, "remove", "replace")</f>
        <v>remove</v>
      </c>
    </row>
    <row r="223" spans="1:6">
      <c r="A223" t="s">
        <v>114</v>
      </c>
      <c r="B223" t="s">
        <v>215</v>
      </c>
      <c r="C223" s="19" t="s">
        <v>344</v>
      </c>
      <c r="D223" s="19">
        <v>2025</v>
      </c>
      <c r="E223">
        <f ca="1">ROUND(VLOOKUP($A223,    'VRE summary'!$B$48:$AD$69,    MATCH($D223, 'VRE summary'!$B$1:$AD$1, 0), FALSE), 0)</f>
        <v>2542</v>
      </c>
      <c r="F223" s="98" t="str">
        <f ca="1">IF(E223=0, "remove", "replace")</f>
        <v>replace</v>
      </c>
    </row>
    <row r="224" spans="1:6">
      <c r="A224" t="s">
        <v>116</v>
      </c>
      <c r="B224" t="s">
        <v>215</v>
      </c>
      <c r="C224" s="19" t="s">
        <v>344</v>
      </c>
      <c r="D224" s="19">
        <v>2025</v>
      </c>
      <c r="E224">
        <f ca="1">ROUND(VLOOKUP($A224,    'VRE summary'!$B$48:$AD$69,    MATCH($D224, 'VRE summary'!$B$1:$AD$1, 0), FALSE), 0)</f>
        <v>0</v>
      </c>
      <c r="F224" s="98" t="str">
        <f ca="1">IF(E224=0, "remove", "replace")</f>
        <v>remove</v>
      </c>
    </row>
    <row r="225" spans="1:6">
      <c r="A225" t="s">
        <v>117</v>
      </c>
      <c r="B225" t="s">
        <v>215</v>
      </c>
      <c r="C225" s="19" t="s">
        <v>344</v>
      </c>
      <c r="D225" s="19">
        <v>2025</v>
      </c>
      <c r="E225">
        <f ca="1">ROUND(VLOOKUP($A225,    'VRE summary'!$B$48:$AD$69,    MATCH($D225, 'VRE summary'!$B$1:$AD$1, 0), FALSE), 0)</f>
        <v>9773</v>
      </c>
      <c r="F225" s="98" t="str">
        <f ca="1">IF(E225=0, "remove", "replace")</f>
        <v>replace</v>
      </c>
    </row>
    <row r="226" spans="1:6">
      <c r="A226" t="s">
        <v>118</v>
      </c>
      <c r="B226" t="s">
        <v>215</v>
      </c>
      <c r="C226" s="19" t="s">
        <v>344</v>
      </c>
      <c r="D226" s="19">
        <v>2025</v>
      </c>
      <c r="E226">
        <f ca="1">ROUND(VLOOKUP($A226,    'VRE summary'!$B$48:$AD$69,    MATCH($D226, 'VRE summary'!$B$1:$AD$1, 0), FALSE), 0)</f>
        <v>1904</v>
      </c>
      <c r="F226" s="98" t="str">
        <f ca="1">IF(E226=0, "remove", "replace")</f>
        <v>replace</v>
      </c>
    </row>
    <row r="227" spans="1:6">
      <c r="A227" t="s">
        <v>119</v>
      </c>
      <c r="B227" t="s">
        <v>215</v>
      </c>
      <c r="C227" s="19" t="s">
        <v>344</v>
      </c>
      <c r="D227" s="19">
        <v>2025</v>
      </c>
      <c r="E227">
        <f ca="1">ROUND(VLOOKUP($A227,    'VRE summary'!$B$48:$AD$69,    MATCH($D227, 'VRE summary'!$B$1:$AD$1, 0), FALSE), 0)</f>
        <v>937</v>
      </c>
      <c r="F227" s="98" t="str">
        <f ca="1">IF(E227=0, "remove", "replace")</f>
        <v>replace</v>
      </c>
    </row>
    <row r="228" spans="1:6">
      <c r="A228" t="s">
        <v>120</v>
      </c>
      <c r="B228" t="s">
        <v>215</v>
      </c>
      <c r="C228" s="19" t="s">
        <v>344</v>
      </c>
      <c r="D228" s="19">
        <v>2025</v>
      </c>
      <c r="E228">
        <f ca="1">ROUND(VLOOKUP($A228,    'VRE summary'!$B$48:$AD$69,    MATCH($D228, 'VRE summary'!$B$1:$AD$1, 0), FALSE), 0)</f>
        <v>0</v>
      </c>
      <c r="F228" s="98" t="str">
        <f ca="1">IF(E228=0, "remove", "replace")</f>
        <v>remove</v>
      </c>
    </row>
    <row r="229" spans="1:6">
      <c r="A229" t="s">
        <v>121</v>
      </c>
      <c r="B229" t="s">
        <v>215</v>
      </c>
      <c r="C229" s="19" t="s">
        <v>344</v>
      </c>
      <c r="D229" s="19">
        <v>2025</v>
      </c>
      <c r="E229">
        <f ca="1">ROUND(VLOOKUP($A229,    'VRE summary'!$B$48:$AD$69,    MATCH($D229, 'VRE summary'!$B$1:$AD$1, 0), FALSE), 0)</f>
        <v>4</v>
      </c>
      <c r="F229" s="98" t="str">
        <f ca="1">IF(E229=0, "remove", "replace")</f>
        <v>replace</v>
      </c>
    </row>
    <row r="230" spans="1:6">
      <c r="A230" t="s">
        <v>122</v>
      </c>
      <c r="B230" t="s">
        <v>215</v>
      </c>
      <c r="C230" s="19" t="s">
        <v>344</v>
      </c>
      <c r="D230" s="19">
        <v>2025</v>
      </c>
      <c r="E230">
        <f ca="1">ROUND(VLOOKUP($A230,    'VRE summary'!$B$48:$AD$69,    MATCH($D230, 'VRE summary'!$B$1:$AD$1, 0), FALSE), 0)</f>
        <v>80</v>
      </c>
      <c r="F230" s="98" t="str">
        <f ca="1">IF(E230=0, "remove", "replace")</f>
        <v>replace</v>
      </c>
    </row>
    <row r="231" spans="1:6">
      <c r="A231" t="s">
        <v>123</v>
      </c>
      <c r="B231" t="s">
        <v>215</v>
      </c>
      <c r="C231" s="19" t="s">
        <v>344</v>
      </c>
      <c r="D231" s="19">
        <v>2025</v>
      </c>
      <c r="E231">
        <f ca="1">ROUND(VLOOKUP($A231,    'VRE summary'!$B$48:$AD$69,    MATCH($D231, 'VRE summary'!$B$1:$AD$1, 0), FALSE), 0)</f>
        <v>1635</v>
      </c>
      <c r="F231" s="98" t="str">
        <f ca="1">IF(E231=0, "remove", "replace")</f>
        <v>replace</v>
      </c>
    </row>
    <row r="232" spans="1:6">
      <c r="A232" t="s">
        <v>124</v>
      </c>
      <c r="B232" t="s">
        <v>215</v>
      </c>
      <c r="C232" s="19" t="s">
        <v>344</v>
      </c>
      <c r="D232" s="19">
        <v>2025</v>
      </c>
      <c r="E232">
        <f ca="1">ROUND(VLOOKUP($A232,    'VRE summary'!$B$48:$AD$69,    MATCH($D232, 'VRE summary'!$B$1:$AD$1, 0), FALSE), 0)</f>
        <v>0</v>
      </c>
      <c r="F232" s="98" t="str">
        <f ca="1">IF(E232=0, "remove", "replace")</f>
        <v>remove</v>
      </c>
    </row>
    <row r="233" spans="1:6">
      <c r="A233" t="s">
        <v>125</v>
      </c>
      <c r="B233" t="s">
        <v>215</v>
      </c>
      <c r="C233" s="19" t="s">
        <v>344</v>
      </c>
      <c r="D233" s="19">
        <v>2025</v>
      </c>
      <c r="E233">
        <f ca="1">ROUND(VLOOKUP($A233,    'VRE summary'!$B$48:$AD$69,    MATCH($D233, 'VRE summary'!$B$1:$AD$1, 0), FALSE), 0)</f>
        <v>0</v>
      </c>
      <c r="F233" s="98" t="str">
        <f ca="1">IF(E233=0, "remove", "replace")</f>
        <v>remove</v>
      </c>
    </row>
    <row r="234" spans="1:6">
      <c r="A234" t="s">
        <v>126</v>
      </c>
      <c r="B234" t="s">
        <v>215</v>
      </c>
      <c r="C234" s="19" t="s">
        <v>344</v>
      </c>
      <c r="D234" s="19">
        <v>2025</v>
      </c>
      <c r="E234">
        <f ca="1">ROUND(VLOOKUP($A234,    'VRE summary'!$B$48:$AD$69,    MATCH($D234, 'VRE summary'!$B$1:$AD$1, 0), FALSE), 0)</f>
        <v>4802</v>
      </c>
      <c r="F234" s="98" t="str">
        <f ca="1">IF(E234=0, "remove", "replace")</f>
        <v>replace</v>
      </c>
    </row>
    <row r="235" spans="1:6">
      <c r="A235" t="s">
        <v>127</v>
      </c>
      <c r="B235" t="s">
        <v>215</v>
      </c>
      <c r="C235" s="19" t="s">
        <v>344</v>
      </c>
      <c r="D235" s="19">
        <v>2025</v>
      </c>
      <c r="E235">
        <f ca="1">ROUND(VLOOKUP($A235,    'VRE summary'!$B$48:$AD$69,    MATCH($D235, 'VRE summary'!$B$1:$AD$1, 0), FALSE), 0)</f>
        <v>0</v>
      </c>
      <c r="F235" s="98" t="str">
        <f ca="1">IF(E235=0, "remove", "replace")</f>
        <v>remove</v>
      </c>
    </row>
    <row r="236" spans="1:6">
      <c r="A236" t="s">
        <v>128</v>
      </c>
      <c r="B236" t="s">
        <v>215</v>
      </c>
      <c r="C236" s="19" t="s">
        <v>344</v>
      </c>
      <c r="D236" s="19">
        <v>2025</v>
      </c>
      <c r="E236">
        <f ca="1">ROUND(VLOOKUP($A236,    'VRE summary'!$B$48:$AD$69,    MATCH($D236, 'VRE summary'!$B$1:$AD$1, 0), FALSE), 0)</f>
        <v>0</v>
      </c>
      <c r="F236" s="98" t="str">
        <f ca="1">IF(E236=0, "remove", "replace")</f>
        <v>remove</v>
      </c>
    </row>
    <row r="237" spans="1:6">
      <c r="A237" t="s">
        <v>129</v>
      </c>
      <c r="B237" t="s">
        <v>215</v>
      </c>
      <c r="C237" s="19" t="s">
        <v>344</v>
      </c>
      <c r="D237" s="19">
        <v>2025</v>
      </c>
      <c r="E237">
        <f ca="1">ROUND(VLOOKUP($A237,    'VRE summary'!$B$48:$AD$69,    MATCH($D237, 'VRE summary'!$B$1:$AD$1, 0), FALSE), 0)</f>
        <v>96</v>
      </c>
      <c r="F237" s="98" t="str">
        <f ca="1">IF(E237=0, "remove", "replace")</f>
        <v>replace</v>
      </c>
    </row>
    <row r="238" spans="1:6">
      <c r="A238" t="s">
        <v>130</v>
      </c>
      <c r="B238" t="s">
        <v>215</v>
      </c>
      <c r="C238" s="19" t="s">
        <v>344</v>
      </c>
      <c r="D238" s="19">
        <v>2025</v>
      </c>
      <c r="E238">
        <f ca="1">ROUND(VLOOKUP($A238,    'VRE summary'!$B$48:$AD$69,    MATCH($D238, 'VRE summary'!$B$1:$AD$1, 0), FALSE), 0)</f>
        <v>0</v>
      </c>
      <c r="F238" s="98" t="str">
        <f ca="1">IF(E238=0, "remove", "replace")</f>
        <v>remove</v>
      </c>
    </row>
    <row r="239" spans="1:6">
      <c r="A239" t="s">
        <v>131</v>
      </c>
      <c r="B239" t="s">
        <v>215</v>
      </c>
      <c r="C239" s="19" t="s">
        <v>344</v>
      </c>
      <c r="D239" s="19">
        <v>2025</v>
      </c>
      <c r="E239">
        <f ca="1">ROUND(VLOOKUP($A239,    'VRE summary'!$B$48:$AD$69,    MATCH($D239, 'VRE summary'!$B$1:$AD$1, 0), FALSE), 0)</f>
        <v>0</v>
      </c>
      <c r="F239" s="98" t="str">
        <f ca="1">IF(E239=0, "remove", "replace")</f>
        <v>remove</v>
      </c>
    </row>
    <row r="240" spans="1:6">
      <c r="A240" t="s">
        <v>132</v>
      </c>
      <c r="B240" t="s">
        <v>215</v>
      </c>
      <c r="C240" s="19" t="s">
        <v>344</v>
      </c>
      <c r="D240" s="19">
        <v>2025</v>
      </c>
      <c r="E240">
        <f ca="1">ROUND(VLOOKUP($A240,    'VRE summary'!$B$48:$AD$69,    MATCH($D240, 'VRE summary'!$B$1:$AD$1, 0), FALSE), 0)</f>
        <v>0</v>
      </c>
      <c r="F240" s="98" t="str">
        <f ca="1">IF(E240=0, "remove", "replace")</f>
        <v>remove</v>
      </c>
    </row>
    <row r="241" spans="1:6">
      <c r="A241" t="s">
        <v>133</v>
      </c>
      <c r="B241" t="s">
        <v>215</v>
      </c>
      <c r="C241" s="19" t="s">
        <v>344</v>
      </c>
      <c r="D241" s="19">
        <v>2025</v>
      </c>
      <c r="E241">
        <f ca="1">ROUND(VLOOKUP($A241,    'VRE summary'!$B$48:$AD$69,    MATCH($D241, 'VRE summary'!$B$1:$AD$1, 0), FALSE), 0)</f>
        <v>0</v>
      </c>
      <c r="F241" s="98" t="str">
        <f ca="1">IF(E241=0, "remove", "replace")</f>
        <v>remove</v>
      </c>
    </row>
    <row r="242" spans="1:6">
      <c r="A242" t="s">
        <v>134</v>
      </c>
      <c r="B242" t="s">
        <v>215</v>
      </c>
      <c r="C242" s="19" t="s">
        <v>344</v>
      </c>
      <c r="D242" s="19">
        <v>2025</v>
      </c>
      <c r="E242">
        <f ca="1">ROUND(VLOOKUP($A242,    'VRE summary'!$B$48:$AD$69,    MATCH($D242, 'VRE summary'!$B$1:$AD$1, 0), FALSE), 0)</f>
        <v>190</v>
      </c>
      <c r="F242" s="98" t="str">
        <f ca="1">IF(E242=0, "remove", "replace")</f>
        <v>replace</v>
      </c>
    </row>
    <row r="243" spans="1:6">
      <c r="A243" t="s">
        <v>135</v>
      </c>
      <c r="B243" t="s">
        <v>215</v>
      </c>
      <c r="C243" s="19" t="s">
        <v>344</v>
      </c>
      <c r="D243" s="19">
        <v>2025</v>
      </c>
      <c r="E243">
        <f ca="1">ROUND(VLOOKUP($A243,    'VRE summary'!$B$48:$AD$69,    MATCH($D243, 'VRE summary'!$B$1:$AD$1, 0), FALSE), 0)</f>
        <v>18647</v>
      </c>
      <c r="F243" s="98" t="str">
        <f ca="1">IF(E243=0, "remove", "replace")</f>
        <v>replace</v>
      </c>
    </row>
    <row r="244" spans="1:6">
      <c r="A244" t="s">
        <v>111</v>
      </c>
      <c r="B244" t="s">
        <v>215</v>
      </c>
      <c r="C244" s="19" t="s">
        <v>344</v>
      </c>
      <c r="D244" s="19">
        <v>2030</v>
      </c>
      <c r="E244">
        <f ca="1">ROUND(VLOOKUP($A244,    'VRE summary'!$B$48:$AD$69,    MATCH($D244, 'VRE summary'!$B$1:$AD$1, 0), FALSE), 0)</f>
        <v>0</v>
      </c>
      <c r="F244" s="98" t="str">
        <f ca="1">IF(E244=0, "remove", "replace")</f>
        <v>remove</v>
      </c>
    </row>
    <row r="245" spans="1:6">
      <c r="A245" t="s">
        <v>114</v>
      </c>
      <c r="B245" t="s">
        <v>215</v>
      </c>
      <c r="C245" s="19" t="s">
        <v>344</v>
      </c>
      <c r="D245" s="19">
        <v>2030</v>
      </c>
      <c r="E245">
        <f ca="1">ROUND(VLOOKUP($A245,    'VRE summary'!$B$48:$AD$69,    MATCH($D245, 'VRE summary'!$B$1:$AD$1, 0), FALSE), 0)</f>
        <v>3180</v>
      </c>
      <c r="F245" s="98" t="str">
        <f ca="1">IF(E245=0, "remove", "replace")</f>
        <v>replace</v>
      </c>
    </row>
    <row r="246" spans="1:6">
      <c r="A246" t="s">
        <v>116</v>
      </c>
      <c r="B246" t="s">
        <v>215</v>
      </c>
      <c r="C246" s="19" t="s">
        <v>344</v>
      </c>
      <c r="D246" s="19">
        <v>2030</v>
      </c>
      <c r="E246">
        <f ca="1">ROUND(VLOOKUP($A246,    'VRE summary'!$B$48:$AD$69,    MATCH($D246, 'VRE summary'!$B$1:$AD$1, 0), FALSE), 0)</f>
        <v>0</v>
      </c>
      <c r="F246" s="98" t="str">
        <f ca="1">IF(E246=0, "remove", "replace")</f>
        <v>remove</v>
      </c>
    </row>
    <row r="247" spans="1:6">
      <c r="A247" t="s">
        <v>117</v>
      </c>
      <c r="B247" t="s">
        <v>215</v>
      </c>
      <c r="C247" s="19" t="s">
        <v>344</v>
      </c>
      <c r="D247" s="19">
        <v>2030</v>
      </c>
      <c r="E247">
        <f ca="1">ROUND(VLOOKUP($A247,    'VRE summary'!$B$48:$AD$69,    MATCH($D247, 'VRE summary'!$B$1:$AD$1, 0), FALSE), 0)</f>
        <v>13592</v>
      </c>
      <c r="F247" s="98" t="str">
        <f ca="1">IF(E247=0, "remove", "replace")</f>
        <v>replace</v>
      </c>
    </row>
    <row r="248" spans="1:6">
      <c r="A248" t="s">
        <v>118</v>
      </c>
      <c r="B248" t="s">
        <v>215</v>
      </c>
      <c r="C248" s="19" t="s">
        <v>344</v>
      </c>
      <c r="D248" s="19">
        <v>2030</v>
      </c>
      <c r="E248">
        <f ca="1">ROUND(VLOOKUP($A248,    'VRE summary'!$B$48:$AD$69,    MATCH($D248, 'VRE summary'!$B$1:$AD$1, 0), FALSE), 0)</f>
        <v>2513</v>
      </c>
      <c r="F248" s="98" t="str">
        <f ca="1">IF(E248=0, "remove", "replace")</f>
        <v>replace</v>
      </c>
    </row>
    <row r="249" spans="1:6">
      <c r="A249" t="s">
        <v>119</v>
      </c>
      <c r="B249" t="s">
        <v>215</v>
      </c>
      <c r="C249" s="19" t="s">
        <v>344</v>
      </c>
      <c r="D249" s="19">
        <v>2030</v>
      </c>
      <c r="E249">
        <f ca="1">ROUND(VLOOKUP($A249,    'VRE summary'!$B$48:$AD$69,    MATCH($D249, 'VRE summary'!$B$1:$AD$1, 0), FALSE), 0)</f>
        <v>1237</v>
      </c>
      <c r="F249" s="98" t="str">
        <f ca="1">IF(E249=0, "remove", "replace")</f>
        <v>replace</v>
      </c>
    </row>
    <row r="250" spans="1:6">
      <c r="A250" t="s">
        <v>120</v>
      </c>
      <c r="B250" t="s">
        <v>215</v>
      </c>
      <c r="C250" s="19" t="s">
        <v>344</v>
      </c>
      <c r="D250" s="19">
        <v>2030</v>
      </c>
      <c r="E250">
        <f ca="1">ROUND(VLOOKUP($A250,    'VRE summary'!$B$48:$AD$69,    MATCH($D250, 'VRE summary'!$B$1:$AD$1, 0), FALSE), 0)</f>
        <v>0</v>
      </c>
      <c r="F250" s="98" t="str">
        <f ca="1">IF(E250=0, "remove", "replace")</f>
        <v>remove</v>
      </c>
    </row>
    <row r="251" spans="1:6">
      <c r="A251" t="s">
        <v>121</v>
      </c>
      <c r="B251" t="s">
        <v>215</v>
      </c>
      <c r="C251" s="19" t="s">
        <v>344</v>
      </c>
      <c r="D251" s="19">
        <v>2030</v>
      </c>
      <c r="E251">
        <f ca="1">ROUND(VLOOKUP($A251,    'VRE summary'!$B$48:$AD$69,    MATCH($D251, 'VRE summary'!$B$1:$AD$1, 0), FALSE), 0)</f>
        <v>7</v>
      </c>
      <c r="F251" s="98" t="str">
        <f ca="1">IF(E251=0, "remove", "replace")</f>
        <v>replace</v>
      </c>
    </row>
    <row r="252" spans="1:6">
      <c r="A252" t="s">
        <v>122</v>
      </c>
      <c r="B252" t="s">
        <v>215</v>
      </c>
      <c r="C252" s="19" t="s">
        <v>344</v>
      </c>
      <c r="D252" s="19">
        <v>2030</v>
      </c>
      <c r="E252">
        <f ca="1">ROUND(VLOOKUP($A252,    'VRE summary'!$B$48:$AD$69,    MATCH($D252, 'VRE summary'!$B$1:$AD$1, 0), FALSE), 0)</f>
        <v>93</v>
      </c>
      <c r="F252" s="98" t="str">
        <f ca="1">IF(E252=0, "remove", "replace")</f>
        <v>replace</v>
      </c>
    </row>
    <row r="253" spans="1:6">
      <c r="A253" t="s">
        <v>123</v>
      </c>
      <c r="B253" t="s">
        <v>215</v>
      </c>
      <c r="C253" s="19" t="s">
        <v>344</v>
      </c>
      <c r="D253" s="19">
        <v>2030</v>
      </c>
      <c r="E253">
        <f ca="1">ROUND(VLOOKUP($A253,    'VRE summary'!$B$48:$AD$69,    MATCH($D253, 'VRE summary'!$B$1:$AD$1, 0), FALSE), 0)</f>
        <v>3600</v>
      </c>
      <c r="F253" s="98" t="str">
        <f ca="1">IF(E253=0, "remove", "replace")</f>
        <v>replace</v>
      </c>
    </row>
    <row r="254" spans="1:6">
      <c r="A254" t="s">
        <v>124</v>
      </c>
      <c r="B254" t="s">
        <v>215</v>
      </c>
      <c r="C254" s="19" t="s">
        <v>344</v>
      </c>
      <c r="D254" s="19">
        <v>2030</v>
      </c>
      <c r="E254">
        <f ca="1">ROUND(VLOOKUP($A254,    'VRE summary'!$B$48:$AD$69,    MATCH($D254, 'VRE summary'!$B$1:$AD$1, 0), FALSE), 0)</f>
        <v>0</v>
      </c>
      <c r="F254" s="98" t="str">
        <f ca="1">IF(E254=0, "remove", "replace")</f>
        <v>remove</v>
      </c>
    </row>
    <row r="255" spans="1:6">
      <c r="A255" t="s">
        <v>125</v>
      </c>
      <c r="B255" t="s">
        <v>215</v>
      </c>
      <c r="C255" s="19" t="s">
        <v>344</v>
      </c>
      <c r="D255" s="19">
        <v>2030</v>
      </c>
      <c r="E255">
        <f ca="1">ROUND(VLOOKUP($A255,    'VRE summary'!$B$48:$AD$69,    MATCH($D255, 'VRE summary'!$B$1:$AD$1, 0), FALSE), 0)</f>
        <v>0</v>
      </c>
      <c r="F255" s="98" t="str">
        <f ca="1">IF(E255=0, "remove", "replace")</f>
        <v>remove</v>
      </c>
    </row>
    <row r="256" spans="1:6">
      <c r="A256" t="s">
        <v>126</v>
      </c>
      <c r="B256" t="s">
        <v>215</v>
      </c>
      <c r="C256" s="19" t="s">
        <v>344</v>
      </c>
      <c r="D256" s="19">
        <v>2030</v>
      </c>
      <c r="E256">
        <f ca="1">ROUND(VLOOKUP($A256,    'VRE summary'!$B$48:$AD$69,    MATCH($D256, 'VRE summary'!$B$1:$AD$1, 0), FALSE), 0)</f>
        <v>7364</v>
      </c>
      <c r="F256" s="98" t="str">
        <f ca="1">IF(E256=0, "remove", "replace")</f>
        <v>replace</v>
      </c>
    </row>
    <row r="257" spans="1:6">
      <c r="A257" t="s">
        <v>127</v>
      </c>
      <c r="B257" t="s">
        <v>215</v>
      </c>
      <c r="C257" s="19" t="s">
        <v>344</v>
      </c>
      <c r="D257" s="19">
        <v>2030</v>
      </c>
      <c r="E257">
        <f ca="1">ROUND(VLOOKUP($A257,    'VRE summary'!$B$48:$AD$69,    MATCH($D257, 'VRE summary'!$B$1:$AD$1, 0), FALSE), 0)</f>
        <v>0</v>
      </c>
      <c r="F257" s="98" t="str">
        <f ca="1">IF(E257=0, "remove", "replace")</f>
        <v>remove</v>
      </c>
    </row>
    <row r="258" spans="1:6">
      <c r="A258" t="s">
        <v>128</v>
      </c>
      <c r="B258" t="s">
        <v>215</v>
      </c>
      <c r="C258" s="19" t="s">
        <v>344</v>
      </c>
      <c r="D258" s="19">
        <v>2030</v>
      </c>
      <c r="E258">
        <f ca="1">ROUND(VLOOKUP($A258,    'VRE summary'!$B$48:$AD$69,    MATCH($D258, 'VRE summary'!$B$1:$AD$1, 0), FALSE), 0)</f>
        <v>0</v>
      </c>
      <c r="F258" s="98" t="str">
        <f ca="1">IF(E258=0, "remove", "replace")</f>
        <v>remove</v>
      </c>
    </row>
    <row r="259" spans="1:6">
      <c r="A259" t="s">
        <v>129</v>
      </c>
      <c r="B259" t="s">
        <v>215</v>
      </c>
      <c r="C259" s="19" t="s">
        <v>344</v>
      </c>
      <c r="D259" s="19">
        <v>2030</v>
      </c>
      <c r="E259">
        <f ca="1">ROUND(VLOOKUP($A259,    'VRE summary'!$B$48:$AD$69,    MATCH($D259, 'VRE summary'!$B$1:$AD$1, 0), FALSE), 0)</f>
        <v>184</v>
      </c>
      <c r="F259" s="98" t="str">
        <f ca="1">IF(E259=0, "remove", "replace")</f>
        <v>replace</v>
      </c>
    </row>
    <row r="260" spans="1:6">
      <c r="A260" t="s">
        <v>130</v>
      </c>
      <c r="B260" t="s">
        <v>215</v>
      </c>
      <c r="C260" s="19" t="s">
        <v>344</v>
      </c>
      <c r="D260" s="19">
        <v>2030</v>
      </c>
      <c r="E260">
        <f ca="1">ROUND(VLOOKUP($A260,    'VRE summary'!$B$48:$AD$69,    MATCH($D260, 'VRE summary'!$B$1:$AD$1, 0), FALSE), 0)</f>
        <v>0</v>
      </c>
      <c r="F260" s="98" t="str">
        <f ca="1">IF(E260=0, "remove", "replace")</f>
        <v>remove</v>
      </c>
    </row>
    <row r="261" spans="1:6">
      <c r="A261" t="s">
        <v>131</v>
      </c>
      <c r="B261" t="s">
        <v>215</v>
      </c>
      <c r="C261" s="19" t="s">
        <v>344</v>
      </c>
      <c r="D261" s="19">
        <v>2030</v>
      </c>
      <c r="E261">
        <f ca="1">ROUND(VLOOKUP($A261,    'VRE summary'!$B$48:$AD$69,    MATCH($D261, 'VRE summary'!$B$1:$AD$1, 0), FALSE), 0)</f>
        <v>0</v>
      </c>
      <c r="F261" s="98" t="str">
        <f ca="1">IF(E261=0, "remove", "replace")</f>
        <v>remove</v>
      </c>
    </row>
    <row r="262" spans="1:6">
      <c r="A262" t="s">
        <v>132</v>
      </c>
      <c r="B262" t="s">
        <v>215</v>
      </c>
      <c r="C262" s="19" t="s">
        <v>344</v>
      </c>
      <c r="D262" s="19">
        <v>2030</v>
      </c>
      <c r="E262">
        <f ca="1">ROUND(VLOOKUP($A262,    'VRE summary'!$B$48:$AD$69,    MATCH($D262, 'VRE summary'!$B$1:$AD$1, 0), FALSE), 0)</f>
        <v>0</v>
      </c>
      <c r="F262" s="98" t="str">
        <f ca="1">IF(E262=0, "remove", "replace")</f>
        <v>remove</v>
      </c>
    </row>
    <row r="263" spans="1:6">
      <c r="A263" t="s">
        <v>133</v>
      </c>
      <c r="B263" t="s">
        <v>215</v>
      </c>
      <c r="C263" s="19" t="s">
        <v>344</v>
      </c>
      <c r="D263" s="19">
        <v>2030</v>
      </c>
      <c r="E263">
        <f ca="1">ROUND(VLOOKUP($A263,    'VRE summary'!$B$48:$AD$69,    MATCH($D263, 'VRE summary'!$B$1:$AD$1, 0), FALSE), 0)</f>
        <v>0</v>
      </c>
      <c r="F263" s="98" t="str">
        <f ca="1">IF(E263=0, "remove", "replace")</f>
        <v>remove</v>
      </c>
    </row>
    <row r="264" spans="1:6">
      <c r="A264" t="s">
        <v>134</v>
      </c>
      <c r="B264" t="s">
        <v>215</v>
      </c>
      <c r="C264" s="19" t="s">
        <v>344</v>
      </c>
      <c r="D264" s="19">
        <v>2030</v>
      </c>
      <c r="E264">
        <f ca="1">ROUND(VLOOKUP($A264,    'VRE summary'!$B$48:$AD$69,    MATCH($D264, 'VRE summary'!$B$1:$AD$1, 0), FALSE), 0)</f>
        <v>181</v>
      </c>
      <c r="F264" s="98" t="str">
        <f ca="1">IF(E264=0, "remove", "replace")</f>
        <v>replace</v>
      </c>
    </row>
    <row r="265" spans="1:6">
      <c r="A265" t="s">
        <v>135</v>
      </c>
      <c r="B265" t="s">
        <v>215</v>
      </c>
      <c r="C265" s="19" t="s">
        <v>344</v>
      </c>
      <c r="D265" s="19">
        <v>2030</v>
      </c>
      <c r="E265">
        <f ca="1">ROUND(VLOOKUP($A265,    'VRE summary'!$B$48:$AD$69,    MATCH($D265, 'VRE summary'!$B$1:$AD$1, 0), FALSE), 0)</f>
        <v>27952</v>
      </c>
      <c r="F265" s="98" t="str">
        <f ca="1">IF(E265=0, "remove", "replace")</f>
        <v>replace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57" t="str">
        <f>VLOOKUP($A14, wind_total!$B$7:$C$47, 2, FALSE)</f>
        <v>BE</v>
      </c>
      <c r="O14" s="58">
        <f>MAX(0, J14-I14)</f>
        <v>231.7</v>
      </c>
      <c r="P14" s="58">
        <f>MAX(0, K14-J14)</f>
        <v>0</v>
      </c>
      <c r="R14">
        <v>0</v>
      </c>
      <c r="S14">
        <v>1.2</v>
      </c>
      <c r="T14" s="60">
        <f>(K14 + R14)*S14^2</f>
        <v>362.44799999999998</v>
      </c>
      <c r="U14">
        <v>1.1000000000000001</v>
      </c>
      <c r="V14" s="6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58"/>
      <c r="P15" s="5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57" t="str">
        <f>VLOOKUP($A16, wind_total!$B$7:$C$47, 2, FALSE)</f>
        <v>CZ</v>
      </c>
      <c r="O16" s="58">
        <f>MAX(0, J16-I16)</f>
        <v>6.95</v>
      </c>
      <c r="P16" s="58">
        <f>MAX(0, K16-J16)</f>
        <v>7.4539999999999997</v>
      </c>
      <c r="R16">
        <v>50</v>
      </c>
      <c r="S16">
        <v>1.2</v>
      </c>
      <c r="T16" s="60">
        <f>(K16 + R16)*S16^2</f>
        <v>92.741759999999985</v>
      </c>
      <c r="U16">
        <v>1.1000000000000001</v>
      </c>
      <c r="V16" s="6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57" t="str">
        <f>VLOOKUP($A17, wind_total!$B$7:$C$47, 2, FALSE)</f>
        <v>DK</v>
      </c>
      <c r="O17" s="58"/>
      <c r="P17" s="58"/>
      <c r="R17">
        <v>75</v>
      </c>
      <c r="S17">
        <v>1.2</v>
      </c>
      <c r="T17" s="60">
        <f>(K17 + R17)*S17^2</f>
        <v>108</v>
      </c>
      <c r="U17">
        <v>1.1000000000000001</v>
      </c>
      <c r="V17" s="6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57" t="str">
        <f>VLOOKUP($A18, wind_total!$B$7:$C$47, 2, FALSE)</f>
        <v>DE</v>
      </c>
      <c r="O18" s="58">
        <f>MAX(0, J18-I18)</f>
        <v>463.73</v>
      </c>
      <c r="P18" s="58">
        <f>MAX(0, K18-J18)</f>
        <v>298.03999999999996</v>
      </c>
      <c r="R18">
        <v>0</v>
      </c>
      <c r="S18">
        <v>1.2</v>
      </c>
      <c r="T18" s="60">
        <f>(K18 + R18)*S18^2</f>
        <v>1096.9487999999999</v>
      </c>
      <c r="U18">
        <v>1.2</v>
      </c>
      <c r="V18" s="6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57" t="str">
        <f>VLOOKUP($A19, wind_total!$B$7:$C$47, 2, FALSE)</f>
        <v>EE</v>
      </c>
      <c r="O19" s="58"/>
      <c r="P19" s="58"/>
      <c r="R19">
        <v>50</v>
      </c>
      <c r="S19">
        <v>1.2</v>
      </c>
      <c r="T19" s="60">
        <f>(K19 + R19)*S19^2</f>
        <v>72</v>
      </c>
      <c r="U19">
        <v>1.1000000000000001</v>
      </c>
      <c r="V19" s="6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58">
        <f>MAX(0, J20-I20)</f>
        <v>163.97000000000003</v>
      </c>
      <c r="P20" s="5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58"/>
      <c r="P21" s="5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57" t="str">
        <f>VLOOKUP($A22, wind_total!$B$7:$C$47, 2, FALSE)</f>
        <v>ES</v>
      </c>
      <c r="O22" s="58">
        <f>MAX(0, J22-I22)</f>
        <v>6.85</v>
      </c>
      <c r="P22" s="58">
        <f>MAX(0, K22-J22)</f>
        <v>31.122</v>
      </c>
      <c r="R22">
        <v>200</v>
      </c>
      <c r="S22">
        <v>1.2</v>
      </c>
      <c r="T22" s="60">
        <f>(K22 + R22)*S22^2</f>
        <v>342.67968000000002</v>
      </c>
      <c r="U22">
        <v>1.1000000000000001</v>
      </c>
      <c r="V22" s="6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57" t="str">
        <f>VLOOKUP($A23, wind_total!$B$7:$C$47, 2, FALSE)</f>
        <v>FR</v>
      </c>
      <c r="O23" s="59">
        <f>K23-I23</f>
        <v>485.91300000000001</v>
      </c>
      <c r="P23" s="59">
        <f>J23-K23</f>
        <v>1075.0709999999999</v>
      </c>
      <c r="R23">
        <v>0</v>
      </c>
      <c r="S23">
        <v>1.1499999999999999</v>
      </c>
      <c r="T23" s="61">
        <f>(J23 + R23)*S23^2</f>
        <v>2578.5747924999996</v>
      </c>
      <c r="U23">
        <v>1.1000000000000001</v>
      </c>
      <c r="V23" s="6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58"/>
      <c r="P24" s="5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58">
        <f>MAX(0, J25-I25)</f>
        <v>3129.154</v>
      </c>
      <c r="P25" s="5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58"/>
      <c r="P26" s="5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57" t="str">
        <f>VLOOKUP($A27, wind_total!$B$7:$C$47, 2, FALSE)</f>
        <v>LV</v>
      </c>
      <c r="O27" s="58"/>
      <c r="P27" s="58"/>
      <c r="R27">
        <v>50</v>
      </c>
      <c r="S27">
        <v>1.2</v>
      </c>
      <c r="T27" s="60">
        <f>(K27 + R27)*S27^2</f>
        <v>72</v>
      </c>
      <c r="U27">
        <v>1.1000000000000001</v>
      </c>
      <c r="V27" s="6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57" t="str">
        <f>VLOOKUP($A28, wind_total!$B$7:$C$47, 2, FALSE)</f>
        <v>LT</v>
      </c>
      <c r="O28" s="58"/>
      <c r="P28" s="58"/>
      <c r="R28">
        <v>50</v>
      </c>
      <c r="S28">
        <v>1.2</v>
      </c>
      <c r="T28" s="60">
        <f>(K28 + R28)*S28^2</f>
        <v>72</v>
      </c>
      <c r="U28">
        <v>1.1000000000000001</v>
      </c>
      <c r="V28" s="6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57" t="str">
        <f>VLOOKUP($A29, wind_total!$B$7:$C$47, 2, FALSE)</f>
        <v>LU</v>
      </c>
      <c r="O29" s="58"/>
      <c r="P29" s="58"/>
      <c r="R29">
        <v>20</v>
      </c>
      <c r="S29">
        <v>1.2</v>
      </c>
      <c r="T29" s="60">
        <f>(K29 + R29)*S29^2</f>
        <v>28.799999999999997</v>
      </c>
      <c r="U29">
        <v>1.1000000000000001</v>
      </c>
      <c r="V29" s="6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58">
        <f>MAX(0, J30-I30)</f>
        <v>27.6</v>
      </c>
      <c r="P30" s="5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58"/>
      <c r="P31" s="5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57" t="str">
        <f>VLOOKUP($A32, wind_total!$B$7:$C$47, 2, FALSE)</f>
        <v>NL</v>
      </c>
      <c r="O32" s="58">
        <f>MAX(0, J32-I32)</f>
        <v>157</v>
      </c>
      <c r="P32" s="58">
        <f>MAX(0, K32-J32)</f>
        <v>186</v>
      </c>
      <c r="R32">
        <v>0</v>
      </c>
      <c r="S32">
        <v>1.2</v>
      </c>
      <c r="T32" s="60">
        <f>(K32 + R32)*S32^2</f>
        <v>493.91999999999996</v>
      </c>
      <c r="U32">
        <v>1.1000000000000001</v>
      </c>
      <c r="V32" s="6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57" t="str">
        <f>VLOOKUP($A33, wind_total!$B$7:$C$47, 2, FALSE)</f>
        <v>AT</v>
      </c>
      <c r="O33" s="58">
        <f>MAX(0, J33-I33)</f>
        <v>0</v>
      </c>
      <c r="P33" s="58">
        <f>MAX(0, K33-J33)</f>
        <v>0</v>
      </c>
      <c r="R33">
        <v>75</v>
      </c>
      <c r="S33">
        <v>1.2</v>
      </c>
      <c r="T33" s="60">
        <f>(K33 + R33)*S33^2</f>
        <v>128.44800000000001</v>
      </c>
      <c r="U33">
        <v>1.1000000000000001</v>
      </c>
      <c r="V33" s="6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57" t="str">
        <f>VLOOKUP($A34, wind_total!$B$7:$C$47, 2, FALSE)</f>
        <v>PL</v>
      </c>
      <c r="O34" s="58">
        <f>MAX(0, J34-I34)</f>
        <v>0</v>
      </c>
      <c r="P34" s="58">
        <f>MAX(0, K34-J34)</f>
        <v>72.424999999999997</v>
      </c>
      <c r="R34">
        <v>0</v>
      </c>
      <c r="S34">
        <v>1.2</v>
      </c>
      <c r="T34" s="60">
        <f>(K34 + R34)*S34^2</f>
        <v>104.29199999999999</v>
      </c>
      <c r="U34">
        <v>1.1000000000000001</v>
      </c>
      <c r="V34" s="6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58"/>
      <c r="P35" s="5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58"/>
      <c r="P36" s="5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58">
        <f>MAX(0, J37-I37)</f>
        <v>64.533000000000001</v>
      </c>
      <c r="P37" s="5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58"/>
      <c r="P38" s="5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57" t="str">
        <f>VLOOKUP($A39, wind_total!$B$7:$C$47, 2, FALSE)</f>
        <v>FI</v>
      </c>
      <c r="O39" s="58">
        <f>MAX(0, J39-I39)</f>
        <v>39</v>
      </c>
      <c r="P39" s="58">
        <f>MAX(0, K39-J39)</f>
        <v>0</v>
      </c>
      <c r="R39">
        <v>75</v>
      </c>
      <c r="S39">
        <v>1.2</v>
      </c>
      <c r="T39" s="60">
        <f>(K39 + R39)*S39^2</f>
        <v>164.16</v>
      </c>
      <c r="U39">
        <v>1.1000000000000001</v>
      </c>
      <c r="V39" s="6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57" t="str">
        <f>VLOOKUP($A40, wind_total!$B$7:$C$47, 2, FALSE)</f>
        <v>SE</v>
      </c>
      <c r="O40" s="58"/>
      <c r="P40" s="58"/>
      <c r="R40">
        <v>300</v>
      </c>
      <c r="S40">
        <v>1.2</v>
      </c>
      <c r="T40" s="60">
        <f>(K40 + R40)*S40^2</f>
        <v>432</v>
      </c>
      <c r="U40">
        <v>1.1000000000000001</v>
      </c>
      <c r="V40" s="6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58"/>
      <c r="P41" s="5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57" t="str">
        <f>VLOOKUP($A42, wind_total!$B$7:$C$47, 2, FALSE)</f>
        <v>NO</v>
      </c>
      <c r="O42" s="19"/>
      <c r="P42" s="19"/>
      <c r="R42">
        <v>50</v>
      </c>
      <c r="S42">
        <v>1.2</v>
      </c>
      <c r="T42" s="60">
        <f>(K42 + R42)*S42^2</f>
        <v>72</v>
      </c>
      <c r="U42">
        <v>1.1000000000000001</v>
      </c>
      <c r="V42" s="6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57" t="str">
        <f>VLOOKUP($A73, wind_total!$B$7:$C$47, 2, FALSE)</f>
        <v>BE</v>
      </c>
      <c r="O73" s="62">
        <f>J14/J73</f>
        <v>2.394862036156042</v>
      </c>
      <c r="P73" s="6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58"/>
      <c r="P74" s="5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57" t="str">
        <f>VLOOKUP($A75, wind_total!$B$7:$C$47, 2, FALSE)</f>
        <v>CZ</v>
      </c>
      <c r="O75" s="62">
        <f>J16/J75</f>
        <v>0.7730812013348165</v>
      </c>
      <c r="P75" s="6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57" t="str">
        <f>VLOOKUP($A76, wind_total!$B$7:$C$47, 2, FALSE)</f>
        <v>DK</v>
      </c>
      <c r="O76" s="58"/>
      <c r="P76" s="5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57" t="str">
        <f>VLOOKUP($A77, wind_total!$B$7:$C$47, 2, FALSE)</f>
        <v>DE</v>
      </c>
      <c r="O77" s="62">
        <f>J18/J77</f>
        <v>1.0483327681700012</v>
      </c>
      <c r="P77" s="6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57" t="str">
        <f>VLOOKUP($A78, wind_total!$B$7:$C$47, 2, FALSE)</f>
        <v>EE</v>
      </c>
      <c r="O78" s="58"/>
      <c r="P78" s="5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62">
        <f>J20/J79</f>
        <v>0.79224450350326181</v>
      </c>
      <c r="P79" s="6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58"/>
      <c r="P80" s="5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57" t="str">
        <f>VLOOKUP($A81, wind_total!$B$7:$C$47, 2, FALSE)</f>
        <v>ES</v>
      </c>
      <c r="O81" s="62">
        <f>J22/J81</f>
        <v>1.0036630036630036</v>
      </c>
      <c r="P81" s="6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57" t="str">
        <f>VLOOKUP($A82, wind_total!$B$7:$C$47, 2, FALSE)</f>
        <v>FR</v>
      </c>
      <c r="O82" s="62">
        <f>J23/J82</f>
        <v>1</v>
      </c>
      <c r="P82" s="6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58"/>
      <c r="P83" s="5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62">
        <f>J25/J84</f>
        <v>2.4273509975386367</v>
      </c>
      <c r="P84" s="6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58"/>
      <c r="P85" s="5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57" t="str">
        <f>VLOOKUP($A86, wind_total!$B$7:$C$47, 2, FALSE)</f>
        <v>LV</v>
      </c>
      <c r="O86" s="58"/>
      <c r="P86" s="5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57" t="str">
        <f>VLOOKUP($A87, wind_total!$B$7:$C$47, 2, FALSE)</f>
        <v>LT</v>
      </c>
      <c r="O87" s="58"/>
      <c r="P87" s="5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57" t="str">
        <f>VLOOKUP($A88, wind_total!$B$7:$C$47, 2, FALSE)</f>
        <v>LU</v>
      </c>
      <c r="O88" s="58"/>
      <c r="P88" s="5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62">
        <f>J30/J89</f>
        <v>1.0072992700729928</v>
      </c>
      <c r="P89" s="6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58"/>
      <c r="P90" s="5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57" t="str">
        <f>VLOOKUP($A91, wind_total!$B$7:$C$47, 2, FALSE)</f>
        <v>NL</v>
      </c>
      <c r="O91" s="62">
        <f>J32/J91</f>
        <v>1.1893939393939394</v>
      </c>
      <c r="P91" s="62">
        <f>K32/K91</f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57" t="str">
        <f>VLOOKUP($A92, wind_total!$B$7:$C$47, 2, FALSE)</f>
        <v>AT</v>
      </c>
      <c r="O92" s="62">
        <f>J33/J92</f>
        <v>1.7749999999999999</v>
      </c>
      <c r="P92" s="62">
        <f>K33/K92</f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57" t="str">
        <f>VLOOKUP($A93, wind_total!$B$7:$C$47, 2, FALSE)</f>
        <v>PL</v>
      </c>
      <c r="O93" s="62" t="e">
        <f>J34/J93</f>
        <v>#DIV/0!</v>
      </c>
      <c r="P93" s="62">
        <f>K34/K93</f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58"/>
      <c r="P94" s="5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58"/>
      <c r="P95" s="5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62">
        <f>J37/J96</f>
        <v>3.1868148148148148</v>
      </c>
      <c r="P96" s="6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58"/>
      <c r="P97" s="5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57" t="str">
        <f>VLOOKUP($A98, wind_total!$B$7:$C$47, 2, FALSE)</f>
        <v>FI</v>
      </c>
      <c r="O98" s="62">
        <f>J39/J98</f>
        <v>0.97499999999999998</v>
      </c>
      <c r="P98" s="6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57" t="str">
        <f>VLOOKUP($A99, wind_total!$B$7:$C$47, 2, FALSE)</f>
        <v>SE</v>
      </c>
      <c r="O99" s="58"/>
      <c r="P99" s="5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58"/>
      <c r="P100" s="5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5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229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228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76">
        <f>ROUND(F$29*$F36, 0)</f>
        <v>9</v>
      </c>
      <c r="G8" s="76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76">
        <f t="shared" ref="F9:G9" si="2">ROUND(F$29*$F37, 0)</f>
        <v>45</v>
      </c>
      <c r="G9" s="76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76">
        <f>ROUND(F$30*$F38, 0)</f>
        <v>15</v>
      </c>
      <c r="G17" s="76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76">
        <f t="shared" ref="F18:G18" si="4">ROUND(F$30*$F39, 0)</f>
        <v>7</v>
      </c>
      <c r="G18" s="76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76">
        <f t="shared" ref="F19:G19" si="5">ROUND(F$30*$F40, 0)</f>
        <v>14</v>
      </c>
      <c r="G19" s="76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76">
        <f>ROUND(F$31*$F41, 0)</f>
        <v>43</v>
      </c>
      <c r="G21" s="76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76">
        <f t="shared" ref="F22:G22" si="7">ROUND(F$31*$F42, 0)</f>
        <v>100</v>
      </c>
      <c r="G22" s="76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76">
        <f t="shared" ref="F23:G23" si="8">ROUND(F$31*$F43, 0)</f>
        <v>47</v>
      </c>
      <c r="G23" s="76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76">
        <f t="shared" ref="F24:G24" si="9">ROUND(F$31*$F44, 0)</f>
        <v>27</v>
      </c>
      <c r="G24" s="76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77">
        <v>7000</v>
      </c>
      <c r="G25" s="77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227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I265"/>
  <sheetViews>
    <sheetView workbookViewId="0">
      <pane ySplit="1" topLeftCell="A2" activePane="bottomLeft" state="frozen"/>
      <selection pane="bottomLeft" activeCell="F38" sqref="F38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63" t="s">
        <v>3</v>
      </c>
      <c r="B1" s="63" t="s">
        <v>209</v>
      </c>
      <c r="C1" s="63" t="s">
        <v>210</v>
      </c>
      <c r="D1" s="63" t="s">
        <v>211</v>
      </c>
      <c r="E1" s="63" t="s">
        <v>212</v>
      </c>
      <c r="F1" s="63" t="s">
        <v>213</v>
      </c>
    </row>
    <row r="2" spans="1:6">
      <c r="A2" t="s">
        <v>111</v>
      </c>
      <c r="B2" t="s">
        <v>222</v>
      </c>
      <c r="C2" s="75" t="s">
        <v>214</v>
      </c>
      <c r="D2" s="75">
        <v>1</v>
      </c>
      <c r="E2" s="74"/>
      <c r="F2" s="98" t="str">
        <f>IF(E2=0, "remove", "replace")</f>
        <v>remove</v>
      </c>
    </row>
    <row r="3" spans="1:6">
      <c r="A3" t="s">
        <v>114</v>
      </c>
      <c r="B3" t="s">
        <v>222</v>
      </c>
      <c r="C3" s="75" t="s">
        <v>214</v>
      </c>
      <c r="D3" s="75">
        <v>1</v>
      </c>
      <c r="E3" s="74"/>
      <c r="F3" s="98" t="str">
        <f t="shared" ref="F3:F66" si="0">IF(E3=0, "remove", "replace")</f>
        <v>remove</v>
      </c>
    </row>
    <row r="4" spans="1:6">
      <c r="A4" t="s">
        <v>116</v>
      </c>
      <c r="B4" t="s">
        <v>222</v>
      </c>
      <c r="C4" s="75" t="s">
        <v>214</v>
      </c>
      <c r="D4" s="75">
        <v>1</v>
      </c>
      <c r="E4" s="74"/>
      <c r="F4" s="98" t="str">
        <f t="shared" si="0"/>
        <v>remove</v>
      </c>
    </row>
    <row r="5" spans="1:6">
      <c r="A5" t="s">
        <v>117</v>
      </c>
      <c r="B5" t="s">
        <v>222</v>
      </c>
      <c r="C5" s="75" t="s">
        <v>214</v>
      </c>
      <c r="D5" s="75">
        <v>1</v>
      </c>
      <c r="E5" s="74"/>
      <c r="F5" s="98" t="str">
        <f t="shared" si="0"/>
        <v>remove</v>
      </c>
    </row>
    <row r="6" spans="1:6">
      <c r="A6" t="s">
        <v>118</v>
      </c>
      <c r="B6" t="s">
        <v>222</v>
      </c>
      <c r="C6" s="75" t="s">
        <v>214</v>
      </c>
      <c r="D6" s="75">
        <v>1</v>
      </c>
      <c r="E6" s="74"/>
      <c r="F6" s="98" t="str">
        <f t="shared" si="0"/>
        <v>remove</v>
      </c>
    </row>
    <row r="7" spans="1:6">
      <c r="A7" t="s">
        <v>119</v>
      </c>
      <c r="B7" t="s">
        <v>222</v>
      </c>
      <c r="C7" s="75" t="s">
        <v>214</v>
      </c>
      <c r="D7" s="75">
        <v>1</v>
      </c>
      <c r="E7" s="74"/>
      <c r="F7" s="98" t="str">
        <f t="shared" si="0"/>
        <v>remove</v>
      </c>
    </row>
    <row r="8" spans="1:6">
      <c r="A8" t="s">
        <v>120</v>
      </c>
      <c r="B8" t="s">
        <v>222</v>
      </c>
      <c r="C8" s="75" t="s">
        <v>214</v>
      </c>
      <c r="D8" s="75">
        <v>1</v>
      </c>
      <c r="E8" s="74"/>
      <c r="F8" s="98" t="str">
        <f t="shared" si="0"/>
        <v>remove</v>
      </c>
    </row>
    <row r="9" spans="1:6">
      <c r="A9" t="s">
        <v>121</v>
      </c>
      <c r="B9" t="s">
        <v>222</v>
      </c>
      <c r="C9" s="75" t="s">
        <v>214</v>
      </c>
      <c r="D9" s="75">
        <v>1</v>
      </c>
      <c r="E9" s="74"/>
      <c r="F9" s="98" t="str">
        <f t="shared" si="0"/>
        <v>remove</v>
      </c>
    </row>
    <row r="10" spans="1:6">
      <c r="A10" t="s">
        <v>122</v>
      </c>
      <c r="B10" t="s">
        <v>222</v>
      </c>
      <c r="C10" s="75" t="s">
        <v>214</v>
      </c>
      <c r="D10" s="75">
        <v>1</v>
      </c>
      <c r="E10" s="74"/>
      <c r="F10" s="98" t="str">
        <f t="shared" si="0"/>
        <v>remove</v>
      </c>
    </row>
    <row r="11" spans="1:6">
      <c r="A11" t="s">
        <v>123</v>
      </c>
      <c r="B11" t="s">
        <v>222</v>
      </c>
      <c r="C11" s="75" t="s">
        <v>214</v>
      </c>
      <c r="D11" s="75">
        <v>1</v>
      </c>
      <c r="E11" s="74"/>
      <c r="F11" s="98" t="str">
        <f t="shared" si="0"/>
        <v>remove</v>
      </c>
    </row>
    <row r="12" spans="1:6">
      <c r="A12" t="s">
        <v>124</v>
      </c>
      <c r="B12" t="s">
        <v>222</v>
      </c>
      <c r="C12" s="75" t="s">
        <v>214</v>
      </c>
      <c r="D12" s="75">
        <v>1</v>
      </c>
      <c r="E12" s="74"/>
      <c r="F12" s="98" t="str">
        <f t="shared" si="0"/>
        <v>remove</v>
      </c>
    </row>
    <row r="13" spans="1:6">
      <c r="A13" t="s">
        <v>125</v>
      </c>
      <c r="B13" t="s">
        <v>222</v>
      </c>
      <c r="C13" s="75" t="s">
        <v>214</v>
      </c>
      <c r="D13" s="75">
        <v>1</v>
      </c>
      <c r="E13" s="74"/>
      <c r="F13" s="98" t="str">
        <f t="shared" si="0"/>
        <v>remove</v>
      </c>
    </row>
    <row r="14" spans="1:6">
      <c r="A14" t="s">
        <v>126</v>
      </c>
      <c r="B14" t="s">
        <v>222</v>
      </c>
      <c r="C14" s="75" t="s">
        <v>214</v>
      </c>
      <c r="D14" s="75">
        <v>1</v>
      </c>
      <c r="E14" s="74"/>
      <c r="F14" s="98" t="str">
        <f t="shared" si="0"/>
        <v>remove</v>
      </c>
    </row>
    <row r="15" spans="1:6">
      <c r="A15" t="s">
        <v>127</v>
      </c>
      <c r="B15" t="s">
        <v>222</v>
      </c>
      <c r="C15" s="75" t="s">
        <v>214</v>
      </c>
      <c r="D15" s="75">
        <v>1</v>
      </c>
      <c r="E15" s="74"/>
      <c r="F15" s="98" t="str">
        <f t="shared" si="0"/>
        <v>remove</v>
      </c>
    </row>
    <row r="16" spans="1:6">
      <c r="A16" t="s">
        <v>128</v>
      </c>
      <c r="B16" t="s">
        <v>222</v>
      </c>
      <c r="C16" s="75" t="s">
        <v>214</v>
      </c>
      <c r="D16" s="75">
        <v>1</v>
      </c>
      <c r="E16" s="74"/>
      <c r="F16" s="98" t="str">
        <f t="shared" si="0"/>
        <v>remove</v>
      </c>
    </row>
    <row r="17" spans="1:6">
      <c r="A17" t="s">
        <v>129</v>
      </c>
      <c r="B17" t="s">
        <v>222</v>
      </c>
      <c r="C17" s="75" t="s">
        <v>214</v>
      </c>
      <c r="D17" s="75">
        <v>1</v>
      </c>
      <c r="E17" s="74"/>
      <c r="F17" s="98" t="str">
        <f t="shared" si="0"/>
        <v>remove</v>
      </c>
    </row>
    <row r="18" spans="1:6">
      <c r="A18" t="s">
        <v>130</v>
      </c>
      <c r="B18" t="s">
        <v>222</v>
      </c>
      <c r="C18" s="75" t="s">
        <v>214</v>
      </c>
      <c r="D18" s="75">
        <v>1</v>
      </c>
      <c r="E18" s="74"/>
      <c r="F18" s="98" t="str">
        <f t="shared" si="0"/>
        <v>remove</v>
      </c>
    </row>
    <row r="19" spans="1:6">
      <c r="A19" t="s">
        <v>131</v>
      </c>
      <c r="B19" t="s">
        <v>222</v>
      </c>
      <c r="C19" s="75" t="s">
        <v>214</v>
      </c>
      <c r="D19" s="75">
        <v>1</v>
      </c>
      <c r="E19" s="74"/>
      <c r="F19" s="98" t="str">
        <f t="shared" si="0"/>
        <v>remove</v>
      </c>
    </row>
    <row r="20" spans="1:6">
      <c r="A20" t="s">
        <v>132</v>
      </c>
      <c r="B20" t="s">
        <v>222</v>
      </c>
      <c r="C20" s="75" t="s">
        <v>214</v>
      </c>
      <c r="D20" s="75">
        <v>1</v>
      </c>
      <c r="E20" s="74"/>
      <c r="F20" s="98" t="str">
        <f t="shared" si="0"/>
        <v>remove</v>
      </c>
    </row>
    <row r="21" spans="1:6">
      <c r="A21" t="s">
        <v>133</v>
      </c>
      <c r="B21" t="s">
        <v>222</v>
      </c>
      <c r="C21" s="75" t="s">
        <v>214</v>
      </c>
      <c r="D21" s="75">
        <v>1</v>
      </c>
      <c r="E21" s="74"/>
      <c r="F21" s="98" t="str">
        <f t="shared" si="0"/>
        <v>remove</v>
      </c>
    </row>
    <row r="22" spans="1:6">
      <c r="A22" t="s">
        <v>134</v>
      </c>
      <c r="B22" t="s">
        <v>222</v>
      </c>
      <c r="C22" s="75" t="s">
        <v>214</v>
      </c>
      <c r="D22" s="75">
        <v>1</v>
      </c>
      <c r="E22" s="74"/>
      <c r="F22" s="98" t="str">
        <f t="shared" si="0"/>
        <v>remove</v>
      </c>
    </row>
    <row r="23" spans="1:6">
      <c r="A23" t="s">
        <v>135</v>
      </c>
      <c r="B23" t="s">
        <v>222</v>
      </c>
      <c r="C23" s="75" t="s">
        <v>214</v>
      </c>
      <c r="D23" s="75">
        <v>1</v>
      </c>
      <c r="E23" s="74"/>
      <c r="F23" s="98" t="str">
        <f t="shared" si="0"/>
        <v>remove</v>
      </c>
    </row>
    <row r="24" spans="1:6">
      <c r="A24" t="s">
        <v>111</v>
      </c>
      <c r="B24" t="s">
        <v>223</v>
      </c>
      <c r="C24" s="75" t="s">
        <v>214</v>
      </c>
      <c r="D24" s="75">
        <v>1</v>
      </c>
      <c r="E24" s="74"/>
      <c r="F24" s="98" t="str">
        <f t="shared" si="0"/>
        <v>remove</v>
      </c>
    </row>
    <row r="25" spans="1:6">
      <c r="A25" t="s">
        <v>114</v>
      </c>
      <c r="B25" t="s">
        <v>223</v>
      </c>
      <c r="C25" s="75" t="s">
        <v>214</v>
      </c>
      <c r="D25" s="75">
        <v>1</v>
      </c>
      <c r="E25" s="74"/>
      <c r="F25" s="98" t="str">
        <f t="shared" si="0"/>
        <v>remove</v>
      </c>
    </row>
    <row r="26" spans="1:6">
      <c r="A26" t="s">
        <v>116</v>
      </c>
      <c r="B26" t="s">
        <v>223</v>
      </c>
      <c r="C26" s="75" t="s">
        <v>214</v>
      </c>
      <c r="D26" s="75">
        <v>1</v>
      </c>
      <c r="E26" s="74"/>
      <c r="F26" s="98" t="str">
        <f t="shared" si="0"/>
        <v>remove</v>
      </c>
    </row>
    <row r="27" spans="1:6">
      <c r="A27" t="s">
        <v>117</v>
      </c>
      <c r="B27" t="s">
        <v>223</v>
      </c>
      <c r="C27" s="75" t="s">
        <v>214</v>
      </c>
      <c r="D27" s="75">
        <v>1</v>
      </c>
      <c r="E27" s="74"/>
      <c r="F27" s="98" t="str">
        <f t="shared" si="0"/>
        <v>remove</v>
      </c>
    </row>
    <row r="28" spans="1:6">
      <c r="A28" t="s">
        <v>118</v>
      </c>
      <c r="B28" t="s">
        <v>223</v>
      </c>
      <c r="C28" s="75" t="s">
        <v>214</v>
      </c>
      <c r="D28" s="75">
        <v>1</v>
      </c>
      <c r="E28" s="74"/>
      <c r="F28" s="98" t="str">
        <f t="shared" si="0"/>
        <v>remove</v>
      </c>
    </row>
    <row r="29" spans="1:6">
      <c r="A29" t="s">
        <v>119</v>
      </c>
      <c r="B29" t="s">
        <v>223</v>
      </c>
      <c r="C29" s="75" t="s">
        <v>214</v>
      </c>
      <c r="D29" s="75">
        <v>1</v>
      </c>
      <c r="E29" s="74"/>
      <c r="F29" s="98" t="str">
        <f t="shared" si="0"/>
        <v>remove</v>
      </c>
    </row>
    <row r="30" spans="1:6">
      <c r="A30" t="s">
        <v>120</v>
      </c>
      <c r="B30" t="s">
        <v>223</v>
      </c>
      <c r="C30" s="75" t="s">
        <v>214</v>
      </c>
      <c r="D30" s="75">
        <v>1</v>
      </c>
      <c r="E30" s="74"/>
      <c r="F30" s="98" t="str">
        <f t="shared" si="0"/>
        <v>remove</v>
      </c>
    </row>
    <row r="31" spans="1:6">
      <c r="A31" t="s">
        <v>121</v>
      </c>
      <c r="B31" t="s">
        <v>223</v>
      </c>
      <c r="C31" s="75" t="s">
        <v>214</v>
      </c>
      <c r="D31" s="75">
        <v>1</v>
      </c>
      <c r="E31" s="74"/>
      <c r="F31" s="98" t="str">
        <f t="shared" si="0"/>
        <v>remove</v>
      </c>
    </row>
    <row r="32" spans="1:6">
      <c r="A32" t="s">
        <v>122</v>
      </c>
      <c r="B32" t="s">
        <v>223</v>
      </c>
      <c r="C32" s="75" t="s">
        <v>214</v>
      </c>
      <c r="D32" s="75">
        <v>1</v>
      </c>
      <c r="E32" s="74"/>
      <c r="F32" s="98" t="str">
        <f t="shared" si="0"/>
        <v>remove</v>
      </c>
    </row>
    <row r="33" spans="1:9">
      <c r="A33" t="s">
        <v>123</v>
      </c>
      <c r="B33" t="s">
        <v>223</v>
      </c>
      <c r="C33" s="75" t="s">
        <v>214</v>
      </c>
      <c r="D33" s="75">
        <v>1</v>
      </c>
      <c r="E33" s="74"/>
      <c r="F33" s="98" t="str">
        <f t="shared" si="0"/>
        <v>remove</v>
      </c>
    </row>
    <row r="34" spans="1:9">
      <c r="A34" t="s">
        <v>124</v>
      </c>
      <c r="B34" t="s">
        <v>223</v>
      </c>
      <c r="C34" s="75" t="s">
        <v>214</v>
      </c>
      <c r="D34" s="75">
        <v>1</v>
      </c>
      <c r="E34" s="74"/>
      <c r="F34" s="98" t="str">
        <f t="shared" si="0"/>
        <v>remove</v>
      </c>
    </row>
    <row r="35" spans="1:9">
      <c r="A35" t="s">
        <v>125</v>
      </c>
      <c r="B35" t="s">
        <v>223</v>
      </c>
      <c r="C35" s="75" t="s">
        <v>214</v>
      </c>
      <c r="D35" s="75">
        <v>1</v>
      </c>
      <c r="E35" s="74"/>
      <c r="F35" s="98" t="str">
        <f t="shared" si="0"/>
        <v>remove</v>
      </c>
    </row>
    <row r="36" spans="1:9">
      <c r="A36" t="s">
        <v>126</v>
      </c>
      <c r="B36" t="s">
        <v>223</v>
      </c>
      <c r="C36" s="75" t="s">
        <v>214</v>
      </c>
      <c r="D36" s="75">
        <v>1</v>
      </c>
      <c r="E36" s="74"/>
      <c r="F36" s="98" t="str">
        <f t="shared" si="0"/>
        <v>remove</v>
      </c>
    </row>
    <row r="37" spans="1:9">
      <c r="A37" t="s">
        <v>127</v>
      </c>
      <c r="B37" t="s">
        <v>223</v>
      </c>
      <c r="C37" s="75" t="s">
        <v>214</v>
      </c>
      <c r="D37" s="75">
        <v>1</v>
      </c>
      <c r="E37" s="74"/>
      <c r="F37" s="98" t="str">
        <f t="shared" si="0"/>
        <v>remove</v>
      </c>
    </row>
    <row r="38" spans="1:9">
      <c r="A38" t="s">
        <v>128</v>
      </c>
      <c r="B38" t="s">
        <v>223</v>
      </c>
      <c r="C38" s="75" t="s">
        <v>214</v>
      </c>
      <c r="D38" s="75">
        <v>1</v>
      </c>
      <c r="E38" s="74"/>
      <c r="F38" s="98" t="str">
        <f t="shared" si="0"/>
        <v>remove</v>
      </c>
    </row>
    <row r="39" spans="1:9">
      <c r="A39" t="s">
        <v>129</v>
      </c>
      <c r="B39" t="s">
        <v>223</v>
      </c>
      <c r="C39" s="75" t="s">
        <v>214</v>
      </c>
      <c r="D39" s="75">
        <v>1</v>
      </c>
      <c r="E39" s="74"/>
      <c r="F39" s="98" t="str">
        <f t="shared" si="0"/>
        <v>remove</v>
      </c>
    </row>
    <row r="40" spans="1:9">
      <c r="A40" t="s">
        <v>130</v>
      </c>
      <c r="B40" t="s">
        <v>223</v>
      </c>
      <c r="C40" s="75" t="s">
        <v>214</v>
      </c>
      <c r="D40" s="75">
        <v>1</v>
      </c>
      <c r="E40" s="74"/>
      <c r="F40" s="98" t="str">
        <f t="shared" si="0"/>
        <v>remove</v>
      </c>
    </row>
    <row r="41" spans="1:9">
      <c r="A41" t="s">
        <v>131</v>
      </c>
      <c r="B41" t="s">
        <v>223</v>
      </c>
      <c r="C41" s="75" t="s">
        <v>214</v>
      </c>
      <c r="D41" s="75">
        <v>1</v>
      </c>
      <c r="E41" s="74"/>
      <c r="F41" s="98" t="str">
        <f t="shared" si="0"/>
        <v>remove</v>
      </c>
    </row>
    <row r="42" spans="1:9">
      <c r="A42" t="s">
        <v>132</v>
      </c>
      <c r="B42" t="s">
        <v>223</v>
      </c>
      <c r="C42" s="75" t="s">
        <v>214</v>
      </c>
      <c r="D42" s="75">
        <v>1</v>
      </c>
      <c r="E42" s="74"/>
      <c r="F42" s="98" t="str">
        <f t="shared" si="0"/>
        <v>remove</v>
      </c>
    </row>
    <row r="43" spans="1:9">
      <c r="A43" t="s">
        <v>133</v>
      </c>
      <c r="B43" t="s">
        <v>223</v>
      </c>
      <c r="C43" s="75" t="s">
        <v>214</v>
      </c>
      <c r="D43" s="75">
        <v>1</v>
      </c>
      <c r="E43" s="74"/>
      <c r="F43" s="98" t="str">
        <f t="shared" si="0"/>
        <v>remove</v>
      </c>
    </row>
    <row r="44" spans="1:9">
      <c r="A44" t="s">
        <v>134</v>
      </c>
      <c r="B44" t="s">
        <v>223</v>
      </c>
      <c r="C44" s="75" t="s">
        <v>214</v>
      </c>
      <c r="D44" s="75">
        <v>1</v>
      </c>
      <c r="E44" s="74"/>
      <c r="F44" s="98" t="str">
        <f t="shared" si="0"/>
        <v>remove</v>
      </c>
    </row>
    <row r="45" spans="1:9">
      <c r="A45" t="s">
        <v>135</v>
      </c>
      <c r="B45" t="s">
        <v>223</v>
      </c>
      <c r="C45" s="75" t="s">
        <v>214</v>
      </c>
      <c r="D45" s="75">
        <v>1</v>
      </c>
      <c r="E45" s="74"/>
      <c r="F45" s="98" t="str">
        <f t="shared" si="0"/>
        <v>remove</v>
      </c>
    </row>
    <row r="46" spans="1:9">
      <c r="A46" t="s">
        <v>111</v>
      </c>
      <c r="B46" t="s">
        <v>224</v>
      </c>
      <c r="C46" s="75" t="s">
        <v>214</v>
      </c>
      <c r="D46" s="75">
        <v>1</v>
      </c>
      <c r="F46" s="98" t="str">
        <f t="shared" si="0"/>
        <v>remove</v>
      </c>
      <c r="H46" t="s">
        <v>221</v>
      </c>
      <c r="I46" t="s">
        <v>226</v>
      </c>
    </row>
    <row r="47" spans="1:9">
      <c r="A47" t="s">
        <v>114</v>
      </c>
      <c r="B47" t="s">
        <v>224</v>
      </c>
      <c r="C47" s="75" t="s">
        <v>214</v>
      </c>
      <c r="D47" s="75">
        <v>1</v>
      </c>
      <c r="F47" s="98" t="str">
        <f t="shared" si="0"/>
        <v>remove</v>
      </c>
    </row>
    <row r="48" spans="1:9">
      <c r="A48" t="s">
        <v>116</v>
      </c>
      <c r="B48" t="s">
        <v>224</v>
      </c>
      <c r="C48" s="75" t="s">
        <v>214</v>
      </c>
      <c r="D48" s="75">
        <v>1</v>
      </c>
      <c r="F48" s="98" t="str">
        <f t="shared" si="0"/>
        <v>remove</v>
      </c>
    </row>
    <row r="49" spans="1:6">
      <c r="A49" t="s">
        <v>117</v>
      </c>
      <c r="B49" t="s">
        <v>224</v>
      </c>
      <c r="C49" s="75" t="s">
        <v>214</v>
      </c>
      <c r="D49" s="75">
        <v>1</v>
      </c>
      <c r="F49" s="98" t="str">
        <f t="shared" si="0"/>
        <v>remove</v>
      </c>
    </row>
    <row r="50" spans="1:6">
      <c r="A50" t="s">
        <v>118</v>
      </c>
      <c r="B50" t="s">
        <v>224</v>
      </c>
      <c r="C50" s="75" t="s">
        <v>214</v>
      </c>
      <c r="D50" s="75">
        <v>1</v>
      </c>
      <c r="F50" s="98" t="str">
        <f t="shared" si="0"/>
        <v>remove</v>
      </c>
    </row>
    <row r="51" spans="1:6">
      <c r="A51" t="s">
        <v>119</v>
      </c>
      <c r="B51" t="s">
        <v>224</v>
      </c>
      <c r="C51" s="75" t="s">
        <v>214</v>
      </c>
      <c r="D51" s="75">
        <v>1</v>
      </c>
      <c r="F51" s="98" t="str">
        <f t="shared" si="0"/>
        <v>remove</v>
      </c>
    </row>
    <row r="52" spans="1:6">
      <c r="A52" t="s">
        <v>120</v>
      </c>
      <c r="B52" t="s">
        <v>224</v>
      </c>
      <c r="C52" s="75" t="s">
        <v>214</v>
      </c>
      <c r="D52" s="75">
        <v>1</v>
      </c>
      <c r="F52" s="98" t="str">
        <f t="shared" si="0"/>
        <v>remove</v>
      </c>
    </row>
    <row r="53" spans="1:6">
      <c r="A53" t="s">
        <v>121</v>
      </c>
      <c r="B53" t="s">
        <v>224</v>
      </c>
      <c r="C53" s="75" t="s">
        <v>214</v>
      </c>
      <c r="D53" s="75">
        <v>1</v>
      </c>
      <c r="F53" s="98" t="str">
        <f t="shared" si="0"/>
        <v>remove</v>
      </c>
    </row>
    <row r="54" spans="1:6">
      <c r="A54" t="s">
        <v>122</v>
      </c>
      <c r="B54" t="s">
        <v>224</v>
      </c>
      <c r="C54" s="75" t="s">
        <v>214</v>
      </c>
      <c r="D54" s="75">
        <v>1</v>
      </c>
      <c r="F54" s="98" t="str">
        <f t="shared" si="0"/>
        <v>remove</v>
      </c>
    </row>
    <row r="55" spans="1:6">
      <c r="A55" t="s">
        <v>123</v>
      </c>
      <c r="B55" t="s">
        <v>224</v>
      </c>
      <c r="C55" s="75" t="s">
        <v>214</v>
      </c>
      <c r="D55" s="75">
        <v>1</v>
      </c>
      <c r="F55" s="98" t="str">
        <f t="shared" si="0"/>
        <v>remove</v>
      </c>
    </row>
    <row r="56" spans="1:6">
      <c r="A56" t="s">
        <v>124</v>
      </c>
      <c r="B56" t="s">
        <v>224</v>
      </c>
      <c r="C56" s="75" t="s">
        <v>214</v>
      </c>
      <c r="D56" s="75">
        <v>1</v>
      </c>
      <c r="F56" s="98" t="str">
        <f t="shared" si="0"/>
        <v>remove</v>
      </c>
    </row>
    <row r="57" spans="1:6">
      <c r="A57" t="s">
        <v>125</v>
      </c>
      <c r="B57" t="s">
        <v>224</v>
      </c>
      <c r="C57" s="75" t="s">
        <v>214</v>
      </c>
      <c r="D57" s="75">
        <v>1</v>
      </c>
      <c r="F57" s="98" t="str">
        <f t="shared" si="0"/>
        <v>remove</v>
      </c>
    </row>
    <row r="58" spans="1:6">
      <c r="A58" t="s">
        <v>126</v>
      </c>
      <c r="B58" t="s">
        <v>224</v>
      </c>
      <c r="C58" s="75" t="s">
        <v>214</v>
      </c>
      <c r="D58" s="75">
        <v>1</v>
      </c>
      <c r="F58" s="98" t="str">
        <f t="shared" si="0"/>
        <v>remove</v>
      </c>
    </row>
    <row r="59" spans="1:6">
      <c r="A59" t="s">
        <v>127</v>
      </c>
      <c r="B59" t="s">
        <v>224</v>
      </c>
      <c r="C59" s="75" t="s">
        <v>214</v>
      </c>
      <c r="D59" s="75">
        <v>1</v>
      </c>
      <c r="F59" s="98" t="str">
        <f t="shared" si="0"/>
        <v>remove</v>
      </c>
    </row>
    <row r="60" spans="1:6">
      <c r="A60" t="s">
        <v>128</v>
      </c>
      <c r="B60" t="s">
        <v>224</v>
      </c>
      <c r="C60" s="75" t="s">
        <v>214</v>
      </c>
      <c r="D60" s="75">
        <v>1</v>
      </c>
      <c r="F60" s="98" t="str">
        <f t="shared" si="0"/>
        <v>remove</v>
      </c>
    </row>
    <row r="61" spans="1:6">
      <c r="A61" t="s">
        <v>129</v>
      </c>
      <c r="B61" t="s">
        <v>224</v>
      </c>
      <c r="C61" s="75" t="s">
        <v>214</v>
      </c>
      <c r="D61" s="75">
        <v>1</v>
      </c>
      <c r="F61" s="98" t="str">
        <f t="shared" si="0"/>
        <v>remove</v>
      </c>
    </row>
    <row r="62" spans="1:6">
      <c r="A62" t="s">
        <v>130</v>
      </c>
      <c r="B62" t="s">
        <v>224</v>
      </c>
      <c r="C62" s="75" t="s">
        <v>214</v>
      </c>
      <c r="D62" s="75">
        <v>1</v>
      </c>
      <c r="F62" s="98" t="str">
        <f t="shared" si="0"/>
        <v>remove</v>
      </c>
    </row>
    <row r="63" spans="1:6">
      <c r="A63" t="s">
        <v>131</v>
      </c>
      <c r="B63" t="s">
        <v>224</v>
      </c>
      <c r="C63" s="75" t="s">
        <v>214</v>
      </c>
      <c r="D63" s="75">
        <v>1</v>
      </c>
      <c r="F63" s="98" t="str">
        <f t="shared" si="0"/>
        <v>remove</v>
      </c>
    </row>
    <row r="64" spans="1:6">
      <c r="A64" t="s">
        <v>132</v>
      </c>
      <c r="B64" t="s">
        <v>224</v>
      </c>
      <c r="C64" s="75" t="s">
        <v>214</v>
      </c>
      <c r="D64" s="75">
        <v>1</v>
      </c>
      <c r="F64" s="98" t="str">
        <f t="shared" si="0"/>
        <v>remove</v>
      </c>
    </row>
    <row r="65" spans="1:6">
      <c r="A65" t="s">
        <v>133</v>
      </c>
      <c r="B65" t="s">
        <v>224</v>
      </c>
      <c r="C65" s="75" t="s">
        <v>214</v>
      </c>
      <c r="D65" s="75">
        <v>1</v>
      </c>
      <c r="F65" s="98" t="str">
        <f t="shared" si="0"/>
        <v>remove</v>
      </c>
    </row>
    <row r="66" spans="1:6">
      <c r="A66" t="s">
        <v>134</v>
      </c>
      <c r="B66" t="s">
        <v>224</v>
      </c>
      <c r="C66" s="75" t="s">
        <v>214</v>
      </c>
      <c r="D66" s="75">
        <v>1</v>
      </c>
      <c r="F66" s="98" t="str">
        <f t="shared" si="0"/>
        <v>remove</v>
      </c>
    </row>
    <row r="67" spans="1:6">
      <c r="A67" t="s">
        <v>135</v>
      </c>
      <c r="B67" t="s">
        <v>224</v>
      </c>
      <c r="C67" s="75" t="s">
        <v>214</v>
      </c>
      <c r="D67" s="75">
        <v>1</v>
      </c>
      <c r="F67" s="98" t="str">
        <f t="shared" ref="F67:F130" si="1">IF(E67=0, "remove", "replace")</f>
        <v>remove</v>
      </c>
    </row>
    <row r="68" spans="1:6">
      <c r="A68" t="s">
        <v>111</v>
      </c>
      <c r="B68" t="s">
        <v>224</v>
      </c>
      <c r="C68" s="19" t="s">
        <v>344</v>
      </c>
      <c r="D68" s="19">
        <v>2025</v>
      </c>
      <c r="E68">
        <f>VLOOKUP($A68, 'battery summary'!$C$4:$G$25, MATCH($D68, 'battery summary'!$C$3:$G$3,0), FALSE)</f>
        <v>64</v>
      </c>
      <c r="F68" s="98" t="str">
        <f t="shared" si="1"/>
        <v>replace</v>
      </c>
    </row>
    <row r="69" spans="1:6">
      <c r="A69" t="s">
        <v>114</v>
      </c>
      <c r="B69" t="s">
        <v>224</v>
      </c>
      <c r="C69" s="19" t="s">
        <v>344</v>
      </c>
      <c r="D69" s="19">
        <v>2025</v>
      </c>
      <c r="E69">
        <f>VLOOKUP($A69, 'battery summary'!$C$4:$G$25, MATCH($D69, 'battery summary'!$C$3:$G$3,0), FALSE)</f>
        <v>181</v>
      </c>
      <c r="F69" s="98" t="str">
        <f t="shared" si="1"/>
        <v>replace</v>
      </c>
    </row>
    <row r="70" spans="1:6">
      <c r="A70" t="s">
        <v>116</v>
      </c>
      <c r="B70" t="s">
        <v>224</v>
      </c>
      <c r="C70" s="19" t="s">
        <v>344</v>
      </c>
      <c r="D70" s="19">
        <v>2025</v>
      </c>
      <c r="E70">
        <f>VLOOKUP($A70, 'battery summary'!$C$4:$G$25, MATCH($D70, 'battery summary'!$C$3:$G$3,0), FALSE)</f>
        <v>0</v>
      </c>
      <c r="F70" s="98" t="str">
        <f t="shared" si="1"/>
        <v>remove</v>
      </c>
    </row>
    <row r="71" spans="1:6">
      <c r="A71" t="s">
        <v>117</v>
      </c>
      <c r="B71" t="s">
        <v>224</v>
      </c>
      <c r="C71" s="19" t="s">
        <v>344</v>
      </c>
      <c r="D71" s="19">
        <v>2025</v>
      </c>
      <c r="E71">
        <f>VLOOKUP($A71, 'battery summary'!$C$4:$G$25, MATCH($D71, 'battery summary'!$C$3:$G$3,0), FALSE)</f>
        <v>548</v>
      </c>
      <c r="F71" s="98" t="str">
        <f t="shared" si="1"/>
        <v>replace</v>
      </c>
    </row>
    <row r="72" spans="1:6">
      <c r="A72" t="s">
        <v>118</v>
      </c>
      <c r="B72" t="s">
        <v>224</v>
      </c>
      <c r="C72" s="19" t="s">
        <v>344</v>
      </c>
      <c r="D72" s="19">
        <v>2025</v>
      </c>
      <c r="E72">
        <f>VLOOKUP($A72, 'battery summary'!$C$4:$G$25, MATCH($D72, 'battery summary'!$C$3:$G$3,0), FALSE)</f>
        <v>9</v>
      </c>
      <c r="F72" s="98" t="str">
        <f t="shared" si="1"/>
        <v>replace</v>
      </c>
    </row>
    <row r="73" spans="1:6">
      <c r="A73" t="s">
        <v>119</v>
      </c>
      <c r="B73" t="s">
        <v>224</v>
      </c>
      <c r="C73" s="19" t="s">
        <v>344</v>
      </c>
      <c r="D73" s="19">
        <v>2025</v>
      </c>
      <c r="E73">
        <f>VLOOKUP($A73, 'battery summary'!$C$4:$G$25, MATCH($D73, 'battery summary'!$C$3:$G$3,0), FALSE)</f>
        <v>45</v>
      </c>
      <c r="F73" s="98" t="str">
        <f t="shared" si="1"/>
        <v>replace</v>
      </c>
    </row>
    <row r="74" spans="1:6">
      <c r="A74" t="s">
        <v>120</v>
      </c>
      <c r="B74" t="s">
        <v>224</v>
      </c>
      <c r="C74" s="19" t="s">
        <v>344</v>
      </c>
      <c r="D74" s="19">
        <v>2025</v>
      </c>
      <c r="E74">
        <f>VLOOKUP($A74, 'battery summary'!$C$4:$G$25, MATCH($D74, 'battery summary'!$C$3:$G$3,0), FALSE)</f>
        <v>36</v>
      </c>
      <c r="F74" s="98" t="str">
        <f t="shared" si="1"/>
        <v>replace</v>
      </c>
    </row>
    <row r="75" spans="1:6">
      <c r="A75" t="s">
        <v>121</v>
      </c>
      <c r="B75" t="s">
        <v>224</v>
      </c>
      <c r="C75" s="19" t="s">
        <v>344</v>
      </c>
      <c r="D75" s="19">
        <v>2025</v>
      </c>
      <c r="E75">
        <f>VLOOKUP($A75, 'battery summary'!$C$4:$G$25, MATCH($D75, 'battery summary'!$C$3:$G$3,0), FALSE)</f>
        <v>171</v>
      </c>
      <c r="F75" s="98" t="str">
        <f t="shared" si="1"/>
        <v>replace</v>
      </c>
    </row>
    <row r="76" spans="1:6">
      <c r="A76" t="s">
        <v>122</v>
      </c>
      <c r="B76" t="s">
        <v>224</v>
      </c>
      <c r="C76" s="19" t="s">
        <v>344</v>
      </c>
      <c r="D76" s="19">
        <v>2025</v>
      </c>
      <c r="E76">
        <f>VLOOKUP($A76, 'battery summary'!$C$4:$G$25, MATCH($D76, 'battery summary'!$C$3:$G$3,0), FALSE)</f>
        <v>82</v>
      </c>
      <c r="F76" s="98" t="str">
        <f t="shared" si="1"/>
        <v>replace</v>
      </c>
    </row>
    <row r="77" spans="1:6">
      <c r="A77" t="s">
        <v>123</v>
      </c>
      <c r="B77" t="s">
        <v>224</v>
      </c>
      <c r="C77" s="19" t="s">
        <v>344</v>
      </c>
      <c r="D77" s="19">
        <v>2025</v>
      </c>
      <c r="E77">
        <f>VLOOKUP($A77, 'battery summary'!$C$4:$G$25, MATCH($D77, 'battery summary'!$C$3:$G$3,0), FALSE)</f>
        <v>1289</v>
      </c>
      <c r="F77" s="98" t="str">
        <f t="shared" si="1"/>
        <v>replace</v>
      </c>
    </row>
    <row r="78" spans="1:6">
      <c r="A78" t="s">
        <v>124</v>
      </c>
      <c r="B78" t="s">
        <v>224</v>
      </c>
      <c r="C78" s="19" t="s">
        <v>344</v>
      </c>
      <c r="D78" s="19">
        <v>2025</v>
      </c>
      <c r="E78">
        <f>VLOOKUP($A78, 'battery summary'!$C$4:$G$25, MATCH($D78, 'battery summary'!$C$3:$G$3,0), FALSE)</f>
        <v>36</v>
      </c>
      <c r="F78" s="98" t="str">
        <f t="shared" si="1"/>
        <v>replace</v>
      </c>
    </row>
    <row r="79" spans="1:6">
      <c r="A79" t="s">
        <v>125</v>
      </c>
      <c r="B79" t="s">
        <v>224</v>
      </c>
      <c r="C79" s="19" t="s">
        <v>344</v>
      </c>
      <c r="D79" s="19">
        <v>2025</v>
      </c>
      <c r="E79">
        <f>VLOOKUP($A79, 'battery summary'!$C$4:$G$25, MATCH($D79, 'battery summary'!$C$3:$G$3,0), FALSE)</f>
        <v>36</v>
      </c>
      <c r="F79" s="98" t="str">
        <f t="shared" si="1"/>
        <v>replace</v>
      </c>
    </row>
    <row r="80" spans="1:6">
      <c r="A80" t="s">
        <v>126</v>
      </c>
      <c r="B80" t="s">
        <v>224</v>
      </c>
      <c r="C80" s="19" t="s">
        <v>344</v>
      </c>
      <c r="D80" s="19">
        <v>2025</v>
      </c>
      <c r="E80">
        <f>VLOOKUP($A80, 'battery summary'!$C$4:$G$25, MATCH($D80, 'battery summary'!$C$3:$G$3,0), FALSE)</f>
        <v>247</v>
      </c>
      <c r="F80" s="98" t="str">
        <f t="shared" si="1"/>
        <v>replace</v>
      </c>
    </row>
    <row r="81" spans="1:6">
      <c r="A81" t="s">
        <v>127</v>
      </c>
      <c r="B81" t="s">
        <v>224</v>
      </c>
      <c r="C81" s="19" t="s">
        <v>344</v>
      </c>
      <c r="D81" s="19">
        <v>2025</v>
      </c>
      <c r="E81">
        <f>VLOOKUP($A81, 'battery summary'!$C$4:$G$25, MATCH($D81, 'battery summary'!$C$3:$G$3,0), FALSE)</f>
        <v>15</v>
      </c>
      <c r="F81" s="98" t="str">
        <f t="shared" si="1"/>
        <v>replace</v>
      </c>
    </row>
    <row r="82" spans="1:6">
      <c r="A82" t="s">
        <v>128</v>
      </c>
      <c r="B82" t="s">
        <v>224</v>
      </c>
      <c r="C82" s="19" t="s">
        <v>344</v>
      </c>
      <c r="D82" s="19">
        <v>2025</v>
      </c>
      <c r="E82">
        <f>VLOOKUP($A82, 'battery summary'!$C$4:$G$25, MATCH($D82, 'battery summary'!$C$3:$G$3,0), FALSE)</f>
        <v>7</v>
      </c>
      <c r="F82" s="98" t="str">
        <f t="shared" si="1"/>
        <v>replace</v>
      </c>
    </row>
    <row r="83" spans="1:6">
      <c r="A83" t="s">
        <v>129</v>
      </c>
      <c r="B83" t="s">
        <v>224</v>
      </c>
      <c r="C83" s="19" t="s">
        <v>344</v>
      </c>
      <c r="D83" s="19">
        <v>2025</v>
      </c>
      <c r="E83">
        <f>VLOOKUP($A83, 'battery summary'!$C$4:$G$25, MATCH($D83, 'battery summary'!$C$3:$G$3,0), FALSE)</f>
        <v>14</v>
      </c>
      <c r="F83" s="98" t="str">
        <f t="shared" si="1"/>
        <v>replace</v>
      </c>
    </row>
    <row r="84" spans="1:6">
      <c r="A84" t="s">
        <v>130</v>
      </c>
      <c r="B84" t="s">
        <v>224</v>
      </c>
      <c r="C84" s="19" t="s">
        <v>344</v>
      </c>
      <c r="D84" s="19">
        <v>2025</v>
      </c>
      <c r="E84">
        <f>VLOOKUP($A84, 'battery summary'!$C$4:$G$25, MATCH($D84, 'battery summary'!$C$3:$G$3,0), FALSE)</f>
        <v>52</v>
      </c>
      <c r="F84" s="98" t="str">
        <f t="shared" si="1"/>
        <v>replace</v>
      </c>
    </row>
    <row r="85" spans="1:6">
      <c r="A85" t="s">
        <v>131</v>
      </c>
      <c r="B85" t="s">
        <v>224</v>
      </c>
      <c r="C85" s="19" t="s">
        <v>344</v>
      </c>
      <c r="D85" s="19">
        <v>2025</v>
      </c>
      <c r="E85">
        <f>VLOOKUP($A85, 'battery summary'!$C$4:$G$25, MATCH($D85, 'battery summary'!$C$3:$G$3,0), FALSE)</f>
        <v>43</v>
      </c>
      <c r="F85" s="98" t="str">
        <f t="shared" si="1"/>
        <v>replace</v>
      </c>
    </row>
    <row r="86" spans="1:6">
      <c r="A86" t="s">
        <v>132</v>
      </c>
      <c r="B86" t="s">
        <v>224</v>
      </c>
      <c r="C86" s="19" t="s">
        <v>344</v>
      </c>
      <c r="D86" s="19">
        <v>2025</v>
      </c>
      <c r="E86">
        <f>VLOOKUP($A86, 'battery summary'!$C$4:$G$25, MATCH($D86, 'battery summary'!$C$3:$G$3,0), FALSE)</f>
        <v>100</v>
      </c>
      <c r="F86" s="98" t="str">
        <f t="shared" si="1"/>
        <v>replace</v>
      </c>
    </row>
    <row r="87" spans="1:6">
      <c r="A87" t="s">
        <v>133</v>
      </c>
      <c r="B87" t="s">
        <v>224</v>
      </c>
      <c r="C87" s="19" t="s">
        <v>344</v>
      </c>
      <c r="D87" s="19">
        <v>2025</v>
      </c>
      <c r="E87">
        <f>VLOOKUP($A87, 'battery summary'!$C$4:$G$25, MATCH($D87, 'battery summary'!$C$3:$G$3,0), FALSE)</f>
        <v>47</v>
      </c>
      <c r="F87" s="98" t="str">
        <f t="shared" si="1"/>
        <v>replace</v>
      </c>
    </row>
    <row r="88" spans="1:6">
      <c r="A88" t="s">
        <v>134</v>
      </c>
      <c r="B88" t="s">
        <v>224</v>
      </c>
      <c r="C88" s="19" t="s">
        <v>344</v>
      </c>
      <c r="D88" s="19">
        <v>2025</v>
      </c>
      <c r="E88">
        <f>VLOOKUP($A88, 'battery summary'!$C$4:$G$25, MATCH($D88, 'battery summary'!$C$3:$G$3,0), FALSE)</f>
        <v>27</v>
      </c>
      <c r="F88" s="98" t="str">
        <f t="shared" si="1"/>
        <v>replace</v>
      </c>
    </row>
    <row r="89" spans="1:6">
      <c r="A89" t="s">
        <v>135</v>
      </c>
      <c r="B89" t="s">
        <v>224</v>
      </c>
      <c r="C89" s="19" t="s">
        <v>344</v>
      </c>
      <c r="D89" s="19">
        <v>2025</v>
      </c>
      <c r="E89">
        <f>VLOOKUP($A89, 'battery summary'!$C$4:$G$25, MATCH($D89, 'battery summary'!$C$3:$G$3,0), FALSE)</f>
        <v>7000</v>
      </c>
      <c r="F89" s="98" t="str">
        <f t="shared" si="1"/>
        <v>replace</v>
      </c>
    </row>
    <row r="90" spans="1:6">
      <c r="A90" t="s">
        <v>111</v>
      </c>
      <c r="B90" t="s">
        <v>224</v>
      </c>
      <c r="C90" s="19" t="s">
        <v>344</v>
      </c>
      <c r="D90" s="19">
        <v>2030</v>
      </c>
      <c r="E90">
        <f>VLOOKUP($A90, 'battery summary'!$C$4:$G$25, MATCH($D90, 'battery summary'!$C$3:$G$3,0), FALSE)</f>
        <v>103</v>
      </c>
      <c r="F90" s="98" t="str">
        <f t="shared" si="1"/>
        <v>replace</v>
      </c>
    </row>
    <row r="91" spans="1:6">
      <c r="A91" t="s">
        <v>114</v>
      </c>
      <c r="B91" t="s">
        <v>224</v>
      </c>
      <c r="C91" s="19" t="s">
        <v>344</v>
      </c>
      <c r="D91" s="19">
        <v>2030</v>
      </c>
      <c r="E91">
        <f>VLOOKUP($A91, 'battery summary'!$C$4:$G$25, MATCH($D91, 'battery summary'!$C$3:$G$3,0), FALSE)</f>
        <v>292</v>
      </c>
      <c r="F91" s="98" t="str">
        <f t="shared" si="1"/>
        <v>replace</v>
      </c>
    </row>
    <row r="92" spans="1:6">
      <c r="A92" t="s">
        <v>116</v>
      </c>
      <c r="B92" t="s">
        <v>224</v>
      </c>
      <c r="C92" s="19" t="s">
        <v>344</v>
      </c>
      <c r="D92" s="19">
        <v>2030</v>
      </c>
      <c r="E92">
        <f>VLOOKUP($A92, 'battery summary'!$C$4:$G$25, MATCH($D92, 'battery summary'!$C$3:$G$3,0), FALSE)</f>
        <v>0</v>
      </c>
      <c r="F92" s="98" t="str">
        <f t="shared" si="1"/>
        <v>remove</v>
      </c>
    </row>
    <row r="93" spans="1:6">
      <c r="A93" t="s">
        <v>117</v>
      </c>
      <c r="B93" t="s">
        <v>224</v>
      </c>
      <c r="C93" s="19" t="s">
        <v>344</v>
      </c>
      <c r="D93" s="19">
        <v>2030</v>
      </c>
      <c r="E93">
        <f>VLOOKUP($A93, 'battery summary'!$C$4:$G$25, MATCH($D93, 'battery summary'!$C$3:$G$3,0), FALSE)</f>
        <v>1365</v>
      </c>
      <c r="F93" s="98" t="str">
        <f t="shared" si="1"/>
        <v>replace</v>
      </c>
    </row>
    <row r="94" spans="1:6">
      <c r="A94" t="s">
        <v>118</v>
      </c>
      <c r="B94" t="s">
        <v>224</v>
      </c>
      <c r="C94" s="19" t="s">
        <v>344</v>
      </c>
      <c r="D94" s="19">
        <v>2030</v>
      </c>
      <c r="E94">
        <f>VLOOKUP($A94, 'battery summary'!$C$4:$G$25, MATCH($D94, 'battery summary'!$C$3:$G$3,0), FALSE)</f>
        <v>14</v>
      </c>
      <c r="F94" s="98" t="str">
        <f t="shared" si="1"/>
        <v>replace</v>
      </c>
    </row>
    <row r="95" spans="1:6">
      <c r="A95" t="s">
        <v>119</v>
      </c>
      <c r="B95" t="s">
        <v>224</v>
      </c>
      <c r="C95" s="19" t="s">
        <v>344</v>
      </c>
      <c r="D95" s="19">
        <v>2030</v>
      </c>
      <c r="E95">
        <f>VLOOKUP($A95, 'battery summary'!$C$4:$G$25, MATCH($D95, 'battery summary'!$C$3:$G$3,0), FALSE)</f>
        <v>73</v>
      </c>
      <c r="F95" s="98" t="str">
        <f t="shared" si="1"/>
        <v>replace</v>
      </c>
    </row>
    <row r="96" spans="1:6">
      <c r="A96" t="s">
        <v>120</v>
      </c>
      <c r="B96" t="s">
        <v>224</v>
      </c>
      <c r="C96" s="19" t="s">
        <v>344</v>
      </c>
      <c r="D96" s="19">
        <v>2030</v>
      </c>
      <c r="E96">
        <f>VLOOKUP($A96, 'battery summary'!$C$4:$G$25, MATCH($D96, 'battery summary'!$C$3:$G$3,0), FALSE)</f>
        <v>58</v>
      </c>
      <c r="F96" s="98" t="str">
        <f t="shared" si="1"/>
        <v>replace</v>
      </c>
    </row>
    <row r="97" spans="1:9">
      <c r="A97" t="s">
        <v>121</v>
      </c>
      <c r="B97" t="s">
        <v>224</v>
      </c>
      <c r="C97" s="19" t="s">
        <v>344</v>
      </c>
      <c r="D97" s="19">
        <v>2030</v>
      </c>
      <c r="E97">
        <f>VLOOKUP($A97, 'battery summary'!$C$4:$G$25, MATCH($D97, 'battery summary'!$C$3:$G$3,0), FALSE)</f>
        <v>276</v>
      </c>
      <c r="F97" s="98" t="str">
        <f t="shared" si="1"/>
        <v>replace</v>
      </c>
    </row>
    <row r="98" spans="1:9">
      <c r="A98" t="s">
        <v>122</v>
      </c>
      <c r="B98" t="s">
        <v>224</v>
      </c>
      <c r="C98" s="19" t="s">
        <v>344</v>
      </c>
      <c r="D98" s="19">
        <v>2030</v>
      </c>
      <c r="E98">
        <f>VLOOKUP($A98, 'battery summary'!$C$4:$G$25, MATCH($D98, 'battery summary'!$C$3:$G$3,0), FALSE)</f>
        <v>132</v>
      </c>
      <c r="F98" s="98" t="str">
        <f t="shared" si="1"/>
        <v>replace</v>
      </c>
    </row>
    <row r="99" spans="1:9">
      <c r="A99" t="s">
        <v>123</v>
      </c>
      <c r="B99" t="s">
        <v>224</v>
      </c>
      <c r="C99" s="19" t="s">
        <v>344</v>
      </c>
      <c r="D99" s="19">
        <v>2030</v>
      </c>
      <c r="E99">
        <f>VLOOKUP($A99, 'battery summary'!$C$4:$G$25, MATCH($D99, 'battery summary'!$C$3:$G$3,0), FALSE)</f>
        <v>2076</v>
      </c>
      <c r="F99" s="98" t="str">
        <f t="shared" si="1"/>
        <v>replace</v>
      </c>
    </row>
    <row r="100" spans="1:9">
      <c r="A100" t="s">
        <v>124</v>
      </c>
      <c r="B100" t="s">
        <v>224</v>
      </c>
      <c r="C100" s="19" t="s">
        <v>344</v>
      </c>
      <c r="D100" s="19">
        <v>2030</v>
      </c>
      <c r="E100">
        <f>VLOOKUP($A100, 'battery summary'!$C$4:$G$25, MATCH($D100, 'battery summary'!$C$3:$G$3,0), FALSE)</f>
        <v>58</v>
      </c>
      <c r="F100" s="98" t="str">
        <f t="shared" si="1"/>
        <v>replace</v>
      </c>
    </row>
    <row r="101" spans="1:9">
      <c r="A101" t="s">
        <v>125</v>
      </c>
      <c r="B101" t="s">
        <v>224</v>
      </c>
      <c r="C101" s="19" t="s">
        <v>344</v>
      </c>
      <c r="D101" s="19">
        <v>2030</v>
      </c>
      <c r="E101">
        <f>VLOOKUP($A101, 'battery summary'!$C$4:$G$25, MATCH($D101, 'battery summary'!$C$3:$G$3,0), FALSE)</f>
        <v>58</v>
      </c>
      <c r="F101" s="98" t="str">
        <f t="shared" si="1"/>
        <v>replace</v>
      </c>
    </row>
    <row r="102" spans="1:9">
      <c r="A102" t="s">
        <v>126</v>
      </c>
      <c r="B102" t="s">
        <v>224</v>
      </c>
      <c r="C102" s="19" t="s">
        <v>344</v>
      </c>
      <c r="D102" s="19">
        <v>2030</v>
      </c>
      <c r="E102">
        <f>VLOOKUP($A102, 'battery summary'!$C$4:$G$25, MATCH($D102, 'battery summary'!$C$3:$G$3,0), FALSE)</f>
        <v>398</v>
      </c>
      <c r="F102" s="98" t="str">
        <f t="shared" si="1"/>
        <v>replace</v>
      </c>
    </row>
    <row r="103" spans="1:9">
      <c r="A103" t="s">
        <v>127</v>
      </c>
      <c r="B103" t="s">
        <v>224</v>
      </c>
      <c r="C103" s="19" t="s">
        <v>344</v>
      </c>
      <c r="D103" s="19">
        <v>2030</v>
      </c>
      <c r="E103">
        <f>VLOOKUP($A103, 'battery summary'!$C$4:$G$25, MATCH($D103, 'battery summary'!$C$3:$G$3,0), FALSE)</f>
        <v>24</v>
      </c>
      <c r="F103" s="98" t="str">
        <f t="shared" si="1"/>
        <v>replace</v>
      </c>
    </row>
    <row r="104" spans="1:9">
      <c r="A104" t="s">
        <v>128</v>
      </c>
      <c r="B104" t="s">
        <v>224</v>
      </c>
      <c r="C104" s="19" t="s">
        <v>344</v>
      </c>
      <c r="D104" s="19">
        <v>2030</v>
      </c>
      <c r="E104">
        <f>VLOOKUP($A104, 'battery summary'!$C$4:$G$25, MATCH($D104, 'battery summary'!$C$3:$G$3,0), FALSE)</f>
        <v>11</v>
      </c>
      <c r="F104" s="98" t="str">
        <f t="shared" si="1"/>
        <v>replace</v>
      </c>
    </row>
    <row r="105" spans="1:9">
      <c r="A105" t="s">
        <v>129</v>
      </c>
      <c r="B105" t="s">
        <v>224</v>
      </c>
      <c r="C105" s="19" t="s">
        <v>344</v>
      </c>
      <c r="D105" s="19">
        <v>2030</v>
      </c>
      <c r="E105">
        <f>VLOOKUP($A105, 'battery summary'!$C$4:$G$25, MATCH($D105, 'battery summary'!$C$3:$G$3,0), FALSE)</f>
        <v>23</v>
      </c>
      <c r="F105" s="98" t="str">
        <f t="shared" si="1"/>
        <v>replace</v>
      </c>
    </row>
    <row r="106" spans="1:9">
      <c r="A106" t="s">
        <v>130</v>
      </c>
      <c r="B106" t="s">
        <v>224</v>
      </c>
      <c r="C106" s="19" t="s">
        <v>344</v>
      </c>
      <c r="D106" s="19">
        <v>2030</v>
      </c>
      <c r="E106">
        <f>VLOOKUP($A106, 'battery summary'!$C$4:$G$25, MATCH($D106, 'battery summary'!$C$3:$G$3,0), FALSE)</f>
        <v>84</v>
      </c>
      <c r="F106" s="98" t="str">
        <f t="shared" si="1"/>
        <v>replace</v>
      </c>
    </row>
    <row r="107" spans="1:9">
      <c r="A107" t="s">
        <v>131</v>
      </c>
      <c r="B107" t="s">
        <v>224</v>
      </c>
      <c r="C107" s="19" t="s">
        <v>344</v>
      </c>
      <c r="D107" s="19">
        <v>2030</v>
      </c>
      <c r="E107">
        <f>VLOOKUP($A107, 'battery summary'!$C$4:$G$25, MATCH($D107, 'battery summary'!$C$3:$G$3,0), FALSE)</f>
        <v>69</v>
      </c>
      <c r="F107" s="98" t="str">
        <f t="shared" si="1"/>
        <v>replace</v>
      </c>
    </row>
    <row r="108" spans="1:9">
      <c r="A108" t="s">
        <v>132</v>
      </c>
      <c r="B108" t="s">
        <v>224</v>
      </c>
      <c r="C108" s="19" t="s">
        <v>344</v>
      </c>
      <c r="D108" s="19">
        <v>2030</v>
      </c>
      <c r="E108">
        <f>VLOOKUP($A108, 'battery summary'!$C$4:$G$25, MATCH($D108, 'battery summary'!$C$3:$G$3,0), FALSE)</f>
        <v>161</v>
      </c>
      <c r="F108" s="98" t="str">
        <f t="shared" si="1"/>
        <v>replace</v>
      </c>
    </row>
    <row r="109" spans="1:9">
      <c r="A109" t="s">
        <v>133</v>
      </c>
      <c r="B109" t="s">
        <v>224</v>
      </c>
      <c r="C109" s="19" t="s">
        <v>344</v>
      </c>
      <c r="D109" s="19">
        <v>2030</v>
      </c>
      <c r="E109">
        <f>VLOOKUP($A109, 'battery summary'!$C$4:$G$25, MATCH($D109, 'battery summary'!$C$3:$G$3,0), FALSE)</f>
        <v>75</v>
      </c>
      <c r="F109" s="98" t="str">
        <f t="shared" si="1"/>
        <v>replace</v>
      </c>
    </row>
    <row r="110" spans="1:9">
      <c r="A110" t="s">
        <v>134</v>
      </c>
      <c r="B110" t="s">
        <v>224</v>
      </c>
      <c r="C110" s="19" t="s">
        <v>344</v>
      </c>
      <c r="D110" s="19">
        <v>2030</v>
      </c>
      <c r="E110">
        <f>VLOOKUP($A110, 'battery summary'!$C$4:$G$25, MATCH($D110, 'battery summary'!$C$3:$G$3,0), FALSE)</f>
        <v>43</v>
      </c>
      <c r="F110" s="98" t="str">
        <f t="shared" si="1"/>
        <v>replace</v>
      </c>
    </row>
    <row r="111" spans="1:9">
      <c r="A111" t="s">
        <v>135</v>
      </c>
      <c r="B111" t="s">
        <v>224</v>
      </c>
      <c r="C111" s="19" t="s">
        <v>344</v>
      </c>
      <c r="D111" s="19">
        <v>2030</v>
      </c>
      <c r="E111">
        <f>VLOOKUP($A111, 'battery summary'!$C$4:$G$25, MATCH($D111, 'battery summary'!$C$3:$G$3,0), FALSE)</f>
        <v>10000</v>
      </c>
      <c r="F111" s="98" t="str">
        <f t="shared" si="1"/>
        <v>replace</v>
      </c>
    </row>
    <row r="112" spans="1:9">
      <c r="A112" t="s">
        <v>111</v>
      </c>
      <c r="B112" t="s">
        <v>225</v>
      </c>
      <c r="C112" s="75" t="s">
        <v>214</v>
      </c>
      <c r="D112" s="75">
        <v>1</v>
      </c>
      <c r="F112" s="98" t="str">
        <f t="shared" si="1"/>
        <v>remove</v>
      </c>
      <c r="H112" t="s">
        <v>221</v>
      </c>
      <c r="I112" t="s">
        <v>226</v>
      </c>
    </row>
    <row r="113" spans="1:6">
      <c r="A113" t="s">
        <v>114</v>
      </c>
      <c r="B113" t="s">
        <v>225</v>
      </c>
      <c r="C113" s="75" t="s">
        <v>214</v>
      </c>
      <c r="D113" s="75">
        <v>1</v>
      </c>
      <c r="F113" s="98" t="str">
        <f t="shared" si="1"/>
        <v>remove</v>
      </c>
    </row>
    <row r="114" spans="1:6">
      <c r="A114" t="s">
        <v>116</v>
      </c>
      <c r="B114" t="s">
        <v>225</v>
      </c>
      <c r="C114" s="75" t="s">
        <v>214</v>
      </c>
      <c r="D114" s="75">
        <v>1</v>
      </c>
      <c r="F114" s="98" t="str">
        <f t="shared" si="1"/>
        <v>remove</v>
      </c>
    </row>
    <row r="115" spans="1:6">
      <c r="A115" t="s">
        <v>117</v>
      </c>
      <c r="B115" t="s">
        <v>225</v>
      </c>
      <c r="C115" s="75" t="s">
        <v>214</v>
      </c>
      <c r="D115" s="75">
        <v>1</v>
      </c>
      <c r="F115" s="98" t="str">
        <f t="shared" si="1"/>
        <v>remove</v>
      </c>
    </row>
    <row r="116" spans="1:6">
      <c r="A116" t="s">
        <v>118</v>
      </c>
      <c r="B116" t="s">
        <v>225</v>
      </c>
      <c r="C116" s="75" t="s">
        <v>214</v>
      </c>
      <c r="D116" s="75">
        <v>1</v>
      </c>
      <c r="F116" s="98" t="str">
        <f t="shared" si="1"/>
        <v>remove</v>
      </c>
    </row>
    <row r="117" spans="1:6">
      <c r="A117" t="s">
        <v>119</v>
      </c>
      <c r="B117" t="s">
        <v>225</v>
      </c>
      <c r="C117" s="75" t="s">
        <v>214</v>
      </c>
      <c r="D117" s="75">
        <v>1</v>
      </c>
      <c r="F117" s="98" t="str">
        <f t="shared" si="1"/>
        <v>remove</v>
      </c>
    </row>
    <row r="118" spans="1:6">
      <c r="A118" t="s">
        <v>120</v>
      </c>
      <c r="B118" t="s">
        <v>225</v>
      </c>
      <c r="C118" s="75" t="s">
        <v>214</v>
      </c>
      <c r="D118" s="75">
        <v>1</v>
      </c>
      <c r="F118" s="98" t="str">
        <f t="shared" si="1"/>
        <v>remove</v>
      </c>
    </row>
    <row r="119" spans="1:6">
      <c r="A119" t="s">
        <v>121</v>
      </c>
      <c r="B119" t="s">
        <v>225</v>
      </c>
      <c r="C119" s="75" t="s">
        <v>214</v>
      </c>
      <c r="D119" s="75">
        <v>1</v>
      </c>
      <c r="F119" s="98" t="str">
        <f t="shared" si="1"/>
        <v>remove</v>
      </c>
    </row>
    <row r="120" spans="1:6">
      <c r="A120" t="s">
        <v>122</v>
      </c>
      <c r="B120" t="s">
        <v>225</v>
      </c>
      <c r="C120" s="75" t="s">
        <v>214</v>
      </c>
      <c r="D120" s="75">
        <v>1</v>
      </c>
      <c r="F120" s="98" t="str">
        <f t="shared" si="1"/>
        <v>remove</v>
      </c>
    </row>
    <row r="121" spans="1:6">
      <c r="A121" t="s">
        <v>123</v>
      </c>
      <c r="B121" t="s">
        <v>225</v>
      </c>
      <c r="C121" s="75" t="s">
        <v>214</v>
      </c>
      <c r="D121" s="75">
        <v>1</v>
      </c>
      <c r="F121" s="98" t="str">
        <f t="shared" si="1"/>
        <v>remove</v>
      </c>
    </row>
    <row r="122" spans="1:6">
      <c r="A122" t="s">
        <v>124</v>
      </c>
      <c r="B122" t="s">
        <v>225</v>
      </c>
      <c r="C122" s="75" t="s">
        <v>214</v>
      </c>
      <c r="D122" s="75">
        <v>1</v>
      </c>
      <c r="F122" s="98" t="str">
        <f t="shared" si="1"/>
        <v>remove</v>
      </c>
    </row>
    <row r="123" spans="1:6">
      <c r="A123" t="s">
        <v>125</v>
      </c>
      <c r="B123" t="s">
        <v>225</v>
      </c>
      <c r="C123" s="75" t="s">
        <v>214</v>
      </c>
      <c r="D123" s="75">
        <v>1</v>
      </c>
      <c r="F123" s="98" t="str">
        <f t="shared" si="1"/>
        <v>remove</v>
      </c>
    </row>
    <row r="124" spans="1:6">
      <c r="A124" t="s">
        <v>126</v>
      </c>
      <c r="B124" t="s">
        <v>225</v>
      </c>
      <c r="C124" s="75" t="s">
        <v>214</v>
      </c>
      <c r="D124" s="75">
        <v>1</v>
      </c>
      <c r="F124" s="98" t="str">
        <f t="shared" si="1"/>
        <v>remove</v>
      </c>
    </row>
    <row r="125" spans="1:6">
      <c r="A125" t="s">
        <v>127</v>
      </c>
      <c r="B125" t="s">
        <v>225</v>
      </c>
      <c r="C125" s="75" t="s">
        <v>214</v>
      </c>
      <c r="D125" s="75">
        <v>1</v>
      </c>
      <c r="F125" s="98" t="str">
        <f t="shared" si="1"/>
        <v>remove</v>
      </c>
    </row>
    <row r="126" spans="1:6">
      <c r="A126" t="s">
        <v>128</v>
      </c>
      <c r="B126" t="s">
        <v>225</v>
      </c>
      <c r="C126" s="75" t="s">
        <v>214</v>
      </c>
      <c r="D126" s="75">
        <v>1</v>
      </c>
      <c r="F126" s="98" t="str">
        <f t="shared" si="1"/>
        <v>remove</v>
      </c>
    </row>
    <row r="127" spans="1:6">
      <c r="A127" t="s">
        <v>129</v>
      </c>
      <c r="B127" t="s">
        <v>225</v>
      </c>
      <c r="C127" s="75" t="s">
        <v>214</v>
      </c>
      <c r="D127" s="75">
        <v>1</v>
      </c>
      <c r="F127" s="98" t="str">
        <f t="shared" si="1"/>
        <v>remove</v>
      </c>
    </row>
    <row r="128" spans="1:6">
      <c r="A128" t="s">
        <v>130</v>
      </c>
      <c r="B128" t="s">
        <v>225</v>
      </c>
      <c r="C128" s="75" t="s">
        <v>214</v>
      </c>
      <c r="D128" s="75">
        <v>1</v>
      </c>
      <c r="F128" s="98" t="str">
        <f t="shared" si="1"/>
        <v>remove</v>
      </c>
    </row>
    <row r="129" spans="1:6">
      <c r="A129" t="s">
        <v>131</v>
      </c>
      <c r="B129" t="s">
        <v>225</v>
      </c>
      <c r="C129" s="75" t="s">
        <v>214</v>
      </c>
      <c r="D129" s="75">
        <v>1</v>
      </c>
      <c r="F129" s="98" t="str">
        <f t="shared" si="1"/>
        <v>remove</v>
      </c>
    </row>
    <row r="130" spans="1:6">
      <c r="A130" t="s">
        <v>132</v>
      </c>
      <c r="B130" t="s">
        <v>225</v>
      </c>
      <c r="C130" s="75" t="s">
        <v>214</v>
      </c>
      <c r="D130" s="75">
        <v>1</v>
      </c>
      <c r="F130" s="98" t="str">
        <f t="shared" si="1"/>
        <v>remove</v>
      </c>
    </row>
    <row r="131" spans="1:6">
      <c r="A131" t="s">
        <v>133</v>
      </c>
      <c r="B131" t="s">
        <v>225</v>
      </c>
      <c r="C131" s="75" t="s">
        <v>214</v>
      </c>
      <c r="D131" s="75">
        <v>1</v>
      </c>
      <c r="F131" s="98" t="str">
        <f t="shared" ref="F131:F177" si="2">IF(E131=0, "remove", "replace")</f>
        <v>remove</v>
      </c>
    </row>
    <row r="132" spans="1:6">
      <c r="A132" t="s">
        <v>134</v>
      </c>
      <c r="B132" t="s">
        <v>225</v>
      </c>
      <c r="C132" s="75" t="s">
        <v>214</v>
      </c>
      <c r="D132" s="75">
        <v>1</v>
      </c>
      <c r="F132" s="98" t="str">
        <f t="shared" si="2"/>
        <v>remove</v>
      </c>
    </row>
    <row r="133" spans="1:6">
      <c r="A133" t="s">
        <v>135</v>
      </c>
      <c r="B133" t="s">
        <v>225</v>
      </c>
      <c r="C133" s="75" t="s">
        <v>214</v>
      </c>
      <c r="D133" s="75">
        <v>1</v>
      </c>
      <c r="F133" s="98" t="str">
        <f t="shared" si="2"/>
        <v>remove</v>
      </c>
    </row>
    <row r="134" spans="1:6">
      <c r="A134" t="s">
        <v>111</v>
      </c>
      <c r="B134" t="s">
        <v>225</v>
      </c>
      <c r="C134" s="19" t="s">
        <v>344</v>
      </c>
      <c r="D134" s="19">
        <v>2025</v>
      </c>
      <c r="E134">
        <f>E68</f>
        <v>64</v>
      </c>
      <c r="F134" s="98" t="str">
        <f t="shared" si="2"/>
        <v>replace</v>
      </c>
    </row>
    <row r="135" spans="1:6">
      <c r="A135" t="s">
        <v>114</v>
      </c>
      <c r="B135" t="s">
        <v>225</v>
      </c>
      <c r="C135" s="19" t="s">
        <v>344</v>
      </c>
      <c r="D135" s="19">
        <v>2025</v>
      </c>
      <c r="E135">
        <f t="shared" ref="E135:E177" si="3">E69</f>
        <v>181</v>
      </c>
      <c r="F135" s="98" t="str">
        <f t="shared" si="2"/>
        <v>replace</v>
      </c>
    </row>
    <row r="136" spans="1:6">
      <c r="A136" t="s">
        <v>116</v>
      </c>
      <c r="B136" t="s">
        <v>225</v>
      </c>
      <c r="C136" s="19" t="s">
        <v>344</v>
      </c>
      <c r="D136" s="19">
        <v>2025</v>
      </c>
      <c r="E136">
        <f t="shared" si="3"/>
        <v>0</v>
      </c>
      <c r="F136" s="98" t="str">
        <f t="shared" si="2"/>
        <v>remove</v>
      </c>
    </row>
    <row r="137" spans="1:6">
      <c r="A137" t="s">
        <v>117</v>
      </c>
      <c r="B137" t="s">
        <v>225</v>
      </c>
      <c r="C137" s="19" t="s">
        <v>344</v>
      </c>
      <c r="D137" s="19">
        <v>2025</v>
      </c>
      <c r="E137">
        <f t="shared" si="3"/>
        <v>548</v>
      </c>
      <c r="F137" s="98" t="str">
        <f t="shared" si="2"/>
        <v>replace</v>
      </c>
    </row>
    <row r="138" spans="1:6">
      <c r="A138" t="s">
        <v>118</v>
      </c>
      <c r="B138" t="s">
        <v>225</v>
      </c>
      <c r="C138" s="19" t="s">
        <v>344</v>
      </c>
      <c r="D138" s="19">
        <v>2025</v>
      </c>
      <c r="E138">
        <f t="shared" si="3"/>
        <v>9</v>
      </c>
      <c r="F138" s="98" t="str">
        <f t="shared" si="2"/>
        <v>replace</v>
      </c>
    </row>
    <row r="139" spans="1:6">
      <c r="A139" t="s">
        <v>119</v>
      </c>
      <c r="B139" t="s">
        <v>225</v>
      </c>
      <c r="C139" s="19" t="s">
        <v>344</v>
      </c>
      <c r="D139" s="19">
        <v>2025</v>
      </c>
      <c r="E139">
        <f t="shared" si="3"/>
        <v>45</v>
      </c>
      <c r="F139" s="98" t="str">
        <f t="shared" si="2"/>
        <v>replace</v>
      </c>
    </row>
    <row r="140" spans="1:6">
      <c r="A140" t="s">
        <v>120</v>
      </c>
      <c r="B140" t="s">
        <v>225</v>
      </c>
      <c r="C140" s="19" t="s">
        <v>344</v>
      </c>
      <c r="D140" s="19">
        <v>2025</v>
      </c>
      <c r="E140">
        <f t="shared" si="3"/>
        <v>36</v>
      </c>
      <c r="F140" s="98" t="str">
        <f t="shared" si="2"/>
        <v>replace</v>
      </c>
    </row>
    <row r="141" spans="1:6">
      <c r="A141" t="s">
        <v>121</v>
      </c>
      <c r="B141" t="s">
        <v>225</v>
      </c>
      <c r="C141" s="19" t="s">
        <v>344</v>
      </c>
      <c r="D141" s="19">
        <v>2025</v>
      </c>
      <c r="E141">
        <f t="shared" si="3"/>
        <v>171</v>
      </c>
      <c r="F141" s="98" t="str">
        <f t="shared" si="2"/>
        <v>replace</v>
      </c>
    </row>
    <row r="142" spans="1:6">
      <c r="A142" t="s">
        <v>122</v>
      </c>
      <c r="B142" t="s">
        <v>225</v>
      </c>
      <c r="C142" s="19" t="s">
        <v>344</v>
      </c>
      <c r="D142" s="19">
        <v>2025</v>
      </c>
      <c r="E142">
        <f t="shared" si="3"/>
        <v>82</v>
      </c>
      <c r="F142" s="98" t="str">
        <f t="shared" si="2"/>
        <v>replace</v>
      </c>
    </row>
    <row r="143" spans="1:6">
      <c r="A143" t="s">
        <v>123</v>
      </c>
      <c r="B143" t="s">
        <v>225</v>
      </c>
      <c r="C143" s="19" t="s">
        <v>344</v>
      </c>
      <c r="D143" s="19">
        <v>2025</v>
      </c>
      <c r="E143">
        <f t="shared" si="3"/>
        <v>1289</v>
      </c>
      <c r="F143" s="98" t="str">
        <f t="shared" si="2"/>
        <v>replace</v>
      </c>
    </row>
    <row r="144" spans="1:6">
      <c r="A144" t="s">
        <v>124</v>
      </c>
      <c r="B144" t="s">
        <v>225</v>
      </c>
      <c r="C144" s="19" t="s">
        <v>344</v>
      </c>
      <c r="D144" s="19">
        <v>2025</v>
      </c>
      <c r="E144">
        <f t="shared" si="3"/>
        <v>36</v>
      </c>
      <c r="F144" s="98" t="str">
        <f t="shared" si="2"/>
        <v>replace</v>
      </c>
    </row>
    <row r="145" spans="1:6">
      <c r="A145" t="s">
        <v>125</v>
      </c>
      <c r="B145" t="s">
        <v>225</v>
      </c>
      <c r="C145" s="19" t="s">
        <v>344</v>
      </c>
      <c r="D145" s="19">
        <v>2025</v>
      </c>
      <c r="E145">
        <f t="shared" si="3"/>
        <v>36</v>
      </c>
      <c r="F145" s="98" t="str">
        <f t="shared" si="2"/>
        <v>replace</v>
      </c>
    </row>
    <row r="146" spans="1:6">
      <c r="A146" t="s">
        <v>126</v>
      </c>
      <c r="B146" t="s">
        <v>225</v>
      </c>
      <c r="C146" s="19" t="s">
        <v>344</v>
      </c>
      <c r="D146" s="19">
        <v>2025</v>
      </c>
      <c r="E146">
        <f t="shared" si="3"/>
        <v>247</v>
      </c>
      <c r="F146" s="98" t="str">
        <f t="shared" si="2"/>
        <v>replace</v>
      </c>
    </row>
    <row r="147" spans="1:6">
      <c r="A147" t="s">
        <v>127</v>
      </c>
      <c r="B147" t="s">
        <v>225</v>
      </c>
      <c r="C147" s="19" t="s">
        <v>344</v>
      </c>
      <c r="D147" s="19">
        <v>2025</v>
      </c>
      <c r="E147">
        <f t="shared" si="3"/>
        <v>15</v>
      </c>
      <c r="F147" s="98" t="str">
        <f t="shared" si="2"/>
        <v>replace</v>
      </c>
    </row>
    <row r="148" spans="1:6">
      <c r="A148" t="s">
        <v>128</v>
      </c>
      <c r="B148" t="s">
        <v>225</v>
      </c>
      <c r="C148" s="19" t="s">
        <v>344</v>
      </c>
      <c r="D148" s="19">
        <v>2025</v>
      </c>
      <c r="E148">
        <f t="shared" si="3"/>
        <v>7</v>
      </c>
      <c r="F148" s="98" t="str">
        <f t="shared" si="2"/>
        <v>replace</v>
      </c>
    </row>
    <row r="149" spans="1:6">
      <c r="A149" t="s">
        <v>129</v>
      </c>
      <c r="B149" t="s">
        <v>225</v>
      </c>
      <c r="C149" s="19" t="s">
        <v>344</v>
      </c>
      <c r="D149" s="19">
        <v>2025</v>
      </c>
      <c r="E149">
        <f t="shared" si="3"/>
        <v>14</v>
      </c>
      <c r="F149" s="98" t="str">
        <f t="shared" si="2"/>
        <v>replace</v>
      </c>
    </row>
    <row r="150" spans="1:6">
      <c r="A150" t="s">
        <v>130</v>
      </c>
      <c r="B150" t="s">
        <v>225</v>
      </c>
      <c r="C150" s="19" t="s">
        <v>344</v>
      </c>
      <c r="D150" s="19">
        <v>2025</v>
      </c>
      <c r="E150">
        <f t="shared" si="3"/>
        <v>52</v>
      </c>
      <c r="F150" s="98" t="str">
        <f t="shared" si="2"/>
        <v>replace</v>
      </c>
    </row>
    <row r="151" spans="1:6">
      <c r="A151" t="s">
        <v>131</v>
      </c>
      <c r="B151" t="s">
        <v>225</v>
      </c>
      <c r="C151" s="19" t="s">
        <v>344</v>
      </c>
      <c r="D151" s="19">
        <v>2025</v>
      </c>
      <c r="E151">
        <f t="shared" si="3"/>
        <v>43</v>
      </c>
      <c r="F151" s="98" t="str">
        <f t="shared" si="2"/>
        <v>replace</v>
      </c>
    </row>
    <row r="152" spans="1:6">
      <c r="A152" t="s">
        <v>132</v>
      </c>
      <c r="B152" t="s">
        <v>225</v>
      </c>
      <c r="C152" s="19" t="s">
        <v>344</v>
      </c>
      <c r="D152" s="19">
        <v>2025</v>
      </c>
      <c r="E152">
        <f t="shared" si="3"/>
        <v>100</v>
      </c>
      <c r="F152" s="98" t="str">
        <f t="shared" si="2"/>
        <v>replace</v>
      </c>
    </row>
    <row r="153" spans="1:6">
      <c r="A153" t="s">
        <v>133</v>
      </c>
      <c r="B153" t="s">
        <v>225</v>
      </c>
      <c r="C153" s="19" t="s">
        <v>344</v>
      </c>
      <c r="D153" s="19">
        <v>2025</v>
      </c>
      <c r="E153">
        <f t="shared" si="3"/>
        <v>47</v>
      </c>
      <c r="F153" s="98" t="str">
        <f t="shared" si="2"/>
        <v>replace</v>
      </c>
    </row>
    <row r="154" spans="1:6">
      <c r="A154" t="s">
        <v>134</v>
      </c>
      <c r="B154" t="s">
        <v>225</v>
      </c>
      <c r="C154" s="19" t="s">
        <v>344</v>
      </c>
      <c r="D154" s="19">
        <v>2025</v>
      </c>
      <c r="E154">
        <f t="shared" si="3"/>
        <v>27</v>
      </c>
      <c r="F154" s="98" t="str">
        <f t="shared" si="2"/>
        <v>replace</v>
      </c>
    </row>
    <row r="155" spans="1:6">
      <c r="A155" t="s">
        <v>135</v>
      </c>
      <c r="B155" t="s">
        <v>225</v>
      </c>
      <c r="C155" s="19" t="s">
        <v>344</v>
      </c>
      <c r="D155" s="19">
        <v>2025</v>
      </c>
      <c r="E155">
        <f t="shared" si="3"/>
        <v>7000</v>
      </c>
      <c r="F155" s="98" t="str">
        <f t="shared" si="2"/>
        <v>replace</v>
      </c>
    </row>
    <row r="156" spans="1:6">
      <c r="A156" t="s">
        <v>111</v>
      </c>
      <c r="B156" t="s">
        <v>225</v>
      </c>
      <c r="C156" s="19" t="s">
        <v>344</v>
      </c>
      <c r="D156" s="19">
        <v>2030</v>
      </c>
      <c r="E156">
        <f t="shared" si="3"/>
        <v>103</v>
      </c>
      <c r="F156" s="98" t="str">
        <f t="shared" si="2"/>
        <v>replace</v>
      </c>
    </row>
    <row r="157" spans="1:6">
      <c r="A157" t="s">
        <v>114</v>
      </c>
      <c r="B157" t="s">
        <v>225</v>
      </c>
      <c r="C157" s="19" t="s">
        <v>344</v>
      </c>
      <c r="D157" s="19">
        <v>2030</v>
      </c>
      <c r="E157">
        <f t="shared" si="3"/>
        <v>292</v>
      </c>
      <c r="F157" s="98" t="str">
        <f t="shared" si="2"/>
        <v>replace</v>
      </c>
    </row>
    <row r="158" spans="1:6">
      <c r="A158" t="s">
        <v>116</v>
      </c>
      <c r="B158" t="s">
        <v>225</v>
      </c>
      <c r="C158" s="19" t="s">
        <v>344</v>
      </c>
      <c r="D158" s="19">
        <v>2030</v>
      </c>
      <c r="E158">
        <f t="shared" si="3"/>
        <v>0</v>
      </c>
      <c r="F158" s="98" t="str">
        <f t="shared" si="2"/>
        <v>remove</v>
      </c>
    </row>
    <row r="159" spans="1:6">
      <c r="A159" t="s">
        <v>117</v>
      </c>
      <c r="B159" t="s">
        <v>225</v>
      </c>
      <c r="C159" s="19" t="s">
        <v>344</v>
      </c>
      <c r="D159" s="19">
        <v>2030</v>
      </c>
      <c r="E159">
        <f t="shared" si="3"/>
        <v>1365</v>
      </c>
      <c r="F159" s="98" t="str">
        <f t="shared" si="2"/>
        <v>replace</v>
      </c>
    </row>
    <row r="160" spans="1:6">
      <c r="A160" t="s">
        <v>118</v>
      </c>
      <c r="B160" t="s">
        <v>225</v>
      </c>
      <c r="C160" s="19" t="s">
        <v>344</v>
      </c>
      <c r="D160" s="19">
        <v>2030</v>
      </c>
      <c r="E160">
        <f t="shared" si="3"/>
        <v>14</v>
      </c>
      <c r="F160" s="98" t="str">
        <f t="shared" si="2"/>
        <v>replace</v>
      </c>
    </row>
    <row r="161" spans="1:6">
      <c r="A161" t="s">
        <v>119</v>
      </c>
      <c r="B161" t="s">
        <v>225</v>
      </c>
      <c r="C161" s="19" t="s">
        <v>344</v>
      </c>
      <c r="D161" s="19">
        <v>2030</v>
      </c>
      <c r="E161">
        <f t="shared" si="3"/>
        <v>73</v>
      </c>
      <c r="F161" s="98" t="str">
        <f t="shared" si="2"/>
        <v>replace</v>
      </c>
    </row>
    <row r="162" spans="1:6">
      <c r="A162" t="s">
        <v>120</v>
      </c>
      <c r="B162" t="s">
        <v>225</v>
      </c>
      <c r="C162" s="19" t="s">
        <v>344</v>
      </c>
      <c r="D162" s="19">
        <v>2030</v>
      </c>
      <c r="E162">
        <f t="shared" si="3"/>
        <v>58</v>
      </c>
      <c r="F162" s="98" t="str">
        <f t="shared" si="2"/>
        <v>replace</v>
      </c>
    </row>
    <row r="163" spans="1:6">
      <c r="A163" t="s">
        <v>121</v>
      </c>
      <c r="B163" t="s">
        <v>225</v>
      </c>
      <c r="C163" s="19" t="s">
        <v>344</v>
      </c>
      <c r="D163" s="19">
        <v>2030</v>
      </c>
      <c r="E163">
        <f t="shared" si="3"/>
        <v>276</v>
      </c>
      <c r="F163" s="98" t="str">
        <f t="shared" si="2"/>
        <v>replace</v>
      </c>
    </row>
    <row r="164" spans="1:6">
      <c r="A164" t="s">
        <v>122</v>
      </c>
      <c r="B164" t="s">
        <v>225</v>
      </c>
      <c r="C164" s="19" t="s">
        <v>344</v>
      </c>
      <c r="D164" s="19">
        <v>2030</v>
      </c>
      <c r="E164">
        <f t="shared" si="3"/>
        <v>132</v>
      </c>
      <c r="F164" s="98" t="str">
        <f t="shared" si="2"/>
        <v>replace</v>
      </c>
    </row>
    <row r="165" spans="1:6">
      <c r="A165" t="s">
        <v>123</v>
      </c>
      <c r="B165" t="s">
        <v>225</v>
      </c>
      <c r="C165" s="19" t="s">
        <v>344</v>
      </c>
      <c r="D165" s="19">
        <v>2030</v>
      </c>
      <c r="E165">
        <f t="shared" si="3"/>
        <v>2076</v>
      </c>
      <c r="F165" s="98" t="str">
        <f t="shared" si="2"/>
        <v>replace</v>
      </c>
    </row>
    <row r="166" spans="1:6">
      <c r="A166" t="s">
        <v>124</v>
      </c>
      <c r="B166" t="s">
        <v>225</v>
      </c>
      <c r="C166" s="19" t="s">
        <v>344</v>
      </c>
      <c r="D166" s="19">
        <v>2030</v>
      </c>
      <c r="E166">
        <f t="shared" si="3"/>
        <v>58</v>
      </c>
      <c r="F166" s="98" t="str">
        <f t="shared" si="2"/>
        <v>replace</v>
      </c>
    </row>
    <row r="167" spans="1:6">
      <c r="A167" t="s">
        <v>125</v>
      </c>
      <c r="B167" t="s">
        <v>225</v>
      </c>
      <c r="C167" s="19" t="s">
        <v>344</v>
      </c>
      <c r="D167" s="19">
        <v>2030</v>
      </c>
      <c r="E167">
        <f t="shared" si="3"/>
        <v>58</v>
      </c>
      <c r="F167" s="98" t="str">
        <f t="shared" si="2"/>
        <v>replace</v>
      </c>
    </row>
    <row r="168" spans="1:6">
      <c r="A168" t="s">
        <v>126</v>
      </c>
      <c r="B168" t="s">
        <v>225</v>
      </c>
      <c r="C168" s="19" t="s">
        <v>344</v>
      </c>
      <c r="D168" s="19">
        <v>2030</v>
      </c>
      <c r="E168">
        <f t="shared" si="3"/>
        <v>398</v>
      </c>
      <c r="F168" s="98" t="str">
        <f t="shared" si="2"/>
        <v>replace</v>
      </c>
    </row>
    <row r="169" spans="1:6">
      <c r="A169" t="s">
        <v>127</v>
      </c>
      <c r="B169" t="s">
        <v>225</v>
      </c>
      <c r="C169" s="19" t="s">
        <v>344</v>
      </c>
      <c r="D169" s="19">
        <v>2030</v>
      </c>
      <c r="E169">
        <f t="shared" si="3"/>
        <v>24</v>
      </c>
      <c r="F169" s="98" t="str">
        <f t="shared" si="2"/>
        <v>replace</v>
      </c>
    </row>
    <row r="170" spans="1:6">
      <c r="A170" t="s">
        <v>128</v>
      </c>
      <c r="B170" t="s">
        <v>225</v>
      </c>
      <c r="C170" s="19" t="s">
        <v>344</v>
      </c>
      <c r="D170" s="19">
        <v>2030</v>
      </c>
      <c r="E170">
        <f t="shared" si="3"/>
        <v>11</v>
      </c>
      <c r="F170" s="98" t="str">
        <f t="shared" si="2"/>
        <v>replace</v>
      </c>
    </row>
    <row r="171" spans="1:6">
      <c r="A171" t="s">
        <v>129</v>
      </c>
      <c r="B171" t="s">
        <v>225</v>
      </c>
      <c r="C171" s="19" t="s">
        <v>344</v>
      </c>
      <c r="D171" s="19">
        <v>2030</v>
      </c>
      <c r="E171">
        <f t="shared" si="3"/>
        <v>23</v>
      </c>
      <c r="F171" s="98" t="str">
        <f t="shared" si="2"/>
        <v>replace</v>
      </c>
    </row>
    <row r="172" spans="1:6">
      <c r="A172" t="s">
        <v>130</v>
      </c>
      <c r="B172" t="s">
        <v>225</v>
      </c>
      <c r="C172" s="19" t="s">
        <v>344</v>
      </c>
      <c r="D172" s="19">
        <v>2030</v>
      </c>
      <c r="E172">
        <f t="shared" si="3"/>
        <v>84</v>
      </c>
      <c r="F172" s="98" t="str">
        <f t="shared" si="2"/>
        <v>replace</v>
      </c>
    </row>
    <row r="173" spans="1:6">
      <c r="A173" t="s">
        <v>131</v>
      </c>
      <c r="B173" t="s">
        <v>225</v>
      </c>
      <c r="C173" s="19" t="s">
        <v>344</v>
      </c>
      <c r="D173" s="19">
        <v>2030</v>
      </c>
      <c r="E173">
        <f t="shared" si="3"/>
        <v>69</v>
      </c>
      <c r="F173" s="98" t="str">
        <f t="shared" si="2"/>
        <v>replace</v>
      </c>
    </row>
    <row r="174" spans="1:6">
      <c r="A174" t="s">
        <v>132</v>
      </c>
      <c r="B174" t="s">
        <v>225</v>
      </c>
      <c r="C174" s="19" t="s">
        <v>344</v>
      </c>
      <c r="D174" s="19">
        <v>2030</v>
      </c>
      <c r="E174">
        <f t="shared" si="3"/>
        <v>161</v>
      </c>
      <c r="F174" s="98" t="str">
        <f t="shared" si="2"/>
        <v>replace</v>
      </c>
    </row>
    <row r="175" spans="1:6">
      <c r="A175" t="s">
        <v>133</v>
      </c>
      <c r="B175" t="s">
        <v>225</v>
      </c>
      <c r="C175" s="19" t="s">
        <v>344</v>
      </c>
      <c r="D175" s="19">
        <v>2030</v>
      </c>
      <c r="E175">
        <f t="shared" si="3"/>
        <v>75</v>
      </c>
      <c r="F175" s="98" t="str">
        <f t="shared" si="2"/>
        <v>replace</v>
      </c>
    </row>
    <row r="176" spans="1:6">
      <c r="A176" t="s">
        <v>134</v>
      </c>
      <c r="B176" t="s">
        <v>225</v>
      </c>
      <c r="C176" s="19" t="s">
        <v>344</v>
      </c>
      <c r="D176" s="19">
        <v>2030</v>
      </c>
      <c r="E176">
        <f t="shared" si="3"/>
        <v>43</v>
      </c>
      <c r="F176" s="98" t="str">
        <f t="shared" si="2"/>
        <v>replace</v>
      </c>
    </row>
    <row r="177" spans="1:6">
      <c r="A177" t="s">
        <v>135</v>
      </c>
      <c r="B177" t="s">
        <v>225</v>
      </c>
      <c r="C177" s="19" t="s">
        <v>344</v>
      </c>
      <c r="D177" s="19">
        <v>2030</v>
      </c>
      <c r="E177">
        <f t="shared" si="3"/>
        <v>10000</v>
      </c>
      <c r="F177" s="98" t="str">
        <f t="shared" si="2"/>
        <v>replace</v>
      </c>
    </row>
    <row r="178" spans="1:6">
      <c r="C178" s="19"/>
      <c r="D178" s="19"/>
    </row>
    <row r="179" spans="1:6">
      <c r="C179" s="19"/>
      <c r="D179" s="19"/>
    </row>
    <row r="180" spans="1:6">
      <c r="C180" s="19"/>
      <c r="D180" s="19"/>
    </row>
    <row r="181" spans="1:6">
      <c r="C181" s="19"/>
      <c r="D181" s="19"/>
    </row>
    <row r="182" spans="1:6">
      <c r="C182" s="19"/>
      <c r="D182" s="19"/>
    </row>
    <row r="183" spans="1:6">
      <c r="C183" s="19"/>
      <c r="D183" s="19"/>
    </row>
    <row r="184" spans="1:6">
      <c r="C184" s="19"/>
      <c r="D184" s="19"/>
    </row>
    <row r="185" spans="1:6">
      <c r="C185" s="19"/>
      <c r="D185" s="19"/>
    </row>
    <row r="186" spans="1:6">
      <c r="C186" s="19"/>
      <c r="D186" s="19"/>
    </row>
    <row r="187" spans="1:6">
      <c r="C187" s="19"/>
      <c r="D187" s="19"/>
    </row>
    <row r="188" spans="1:6">
      <c r="C188" s="19"/>
      <c r="D188" s="19"/>
    </row>
    <row r="189" spans="1:6">
      <c r="C189" s="19"/>
      <c r="D189" s="19"/>
    </row>
    <row r="190" spans="1:6">
      <c r="C190" s="19"/>
      <c r="D190" s="19"/>
    </row>
    <row r="191" spans="1:6">
      <c r="C191" s="19"/>
      <c r="D191" s="19"/>
    </row>
    <row r="192" spans="1:6">
      <c r="C192" s="19"/>
      <c r="D192" s="19"/>
    </row>
    <row r="193" spans="3:4">
      <c r="C193" s="19"/>
      <c r="D193" s="19"/>
    </row>
    <row r="194" spans="3:4">
      <c r="C194" s="19"/>
      <c r="D194" s="19"/>
    </row>
    <row r="195" spans="3:4">
      <c r="C195" s="19"/>
      <c r="D195" s="19"/>
    </row>
    <row r="196" spans="3:4">
      <c r="C196" s="19"/>
      <c r="D196" s="19"/>
    </row>
    <row r="197" spans="3:4">
      <c r="C197" s="19"/>
      <c r="D197" s="19"/>
    </row>
    <row r="198" spans="3:4">
      <c r="C198" s="19"/>
      <c r="D198" s="19"/>
    </row>
    <row r="199" spans="3:4">
      <c r="C199" s="19"/>
      <c r="D199" s="19"/>
    </row>
    <row r="200" spans="3:4">
      <c r="C200" s="19"/>
      <c r="D200" s="19"/>
    </row>
    <row r="201" spans="3:4">
      <c r="C201" s="19"/>
      <c r="D201" s="19"/>
    </row>
    <row r="202" spans="3:4">
      <c r="C202" s="19"/>
      <c r="D202" s="19"/>
    </row>
    <row r="203" spans="3:4">
      <c r="C203" s="19"/>
      <c r="D203" s="19"/>
    </row>
    <row r="204" spans="3:4">
      <c r="C204" s="19"/>
      <c r="D204" s="19"/>
    </row>
    <row r="205" spans="3:4">
      <c r="C205" s="19"/>
      <c r="D205" s="19"/>
    </row>
    <row r="206" spans="3:4">
      <c r="C206" s="19"/>
      <c r="D206" s="19"/>
    </row>
    <row r="207" spans="3:4">
      <c r="C207" s="19"/>
      <c r="D207" s="19"/>
    </row>
    <row r="208" spans="3:4">
      <c r="C208" s="19"/>
      <c r="D208" s="19"/>
    </row>
    <row r="209" spans="3:4">
      <c r="C209" s="19"/>
      <c r="D209" s="19"/>
    </row>
    <row r="210" spans="3:4">
      <c r="C210" s="19"/>
      <c r="D210" s="19"/>
    </row>
    <row r="211" spans="3:4">
      <c r="C211" s="19"/>
      <c r="D211" s="19"/>
    </row>
    <row r="212" spans="3:4">
      <c r="C212" s="19"/>
      <c r="D212" s="19"/>
    </row>
    <row r="213" spans="3:4">
      <c r="C213" s="19"/>
      <c r="D213" s="19"/>
    </row>
    <row r="214" spans="3:4">
      <c r="C214" s="19"/>
      <c r="D214" s="19"/>
    </row>
    <row r="215" spans="3:4">
      <c r="C215" s="19"/>
      <c r="D215" s="19"/>
    </row>
    <row r="216" spans="3:4">
      <c r="C216" s="19"/>
      <c r="D216" s="19"/>
    </row>
    <row r="217" spans="3:4">
      <c r="C217" s="19"/>
      <c r="D217" s="19"/>
    </row>
    <row r="218" spans="3:4">
      <c r="C218" s="19"/>
      <c r="D218" s="19"/>
    </row>
    <row r="219" spans="3:4">
      <c r="C219" s="19"/>
      <c r="D219" s="19"/>
    </row>
    <row r="220" spans="3:4">
      <c r="C220" s="19"/>
      <c r="D220" s="19"/>
    </row>
    <row r="221" spans="3:4">
      <c r="C221" s="19"/>
      <c r="D221" s="19"/>
    </row>
    <row r="222" spans="3:4">
      <c r="C222" s="19"/>
      <c r="D222" s="19"/>
    </row>
    <row r="223" spans="3:4">
      <c r="C223" s="19"/>
      <c r="D223" s="19"/>
    </row>
    <row r="224" spans="3:4">
      <c r="C224" s="19"/>
      <c r="D224" s="19"/>
    </row>
    <row r="225" spans="3:4">
      <c r="C225" s="19"/>
      <c r="D225" s="19"/>
    </row>
    <row r="226" spans="3:4">
      <c r="C226" s="19"/>
      <c r="D226" s="19"/>
    </row>
    <row r="227" spans="3:4">
      <c r="C227" s="19"/>
      <c r="D227" s="19"/>
    </row>
    <row r="228" spans="3:4">
      <c r="C228" s="19"/>
      <c r="D228" s="19"/>
    </row>
    <row r="229" spans="3:4">
      <c r="C229" s="19"/>
      <c r="D229" s="19"/>
    </row>
    <row r="230" spans="3:4">
      <c r="C230" s="19"/>
      <c r="D230" s="19"/>
    </row>
    <row r="231" spans="3:4">
      <c r="C231" s="19"/>
      <c r="D231" s="19"/>
    </row>
    <row r="232" spans="3:4">
      <c r="C232" s="19"/>
      <c r="D232" s="19"/>
    </row>
    <row r="233" spans="3:4">
      <c r="C233" s="19"/>
      <c r="D233" s="19"/>
    </row>
    <row r="234" spans="3:4">
      <c r="C234" s="19"/>
      <c r="D234" s="19"/>
    </row>
    <row r="235" spans="3:4">
      <c r="C235" s="19"/>
      <c r="D235" s="19"/>
    </row>
    <row r="236" spans="3:4">
      <c r="C236" s="19"/>
      <c r="D236" s="19"/>
    </row>
    <row r="237" spans="3:4">
      <c r="C237" s="19"/>
      <c r="D237" s="19"/>
    </row>
    <row r="238" spans="3:4">
      <c r="C238" s="19"/>
      <c r="D238" s="19"/>
    </row>
    <row r="239" spans="3:4">
      <c r="C239" s="19"/>
      <c r="D239" s="19"/>
    </row>
    <row r="240" spans="3:4">
      <c r="C240" s="19"/>
      <c r="D240" s="19"/>
    </row>
    <row r="241" spans="3:4">
      <c r="C241" s="19"/>
      <c r="D241" s="19"/>
    </row>
    <row r="242" spans="3:4">
      <c r="C242" s="19"/>
      <c r="D242" s="19"/>
    </row>
    <row r="243" spans="3:4">
      <c r="C243" s="19"/>
      <c r="D243" s="19"/>
    </row>
    <row r="244" spans="3:4">
      <c r="C244" s="19"/>
      <c r="D244" s="19"/>
    </row>
    <row r="245" spans="3:4">
      <c r="C245" s="19"/>
      <c r="D245" s="19"/>
    </row>
    <row r="246" spans="3:4">
      <c r="C246" s="19"/>
      <c r="D246" s="19"/>
    </row>
    <row r="247" spans="3:4">
      <c r="C247" s="19"/>
      <c r="D247" s="19"/>
    </row>
    <row r="248" spans="3:4">
      <c r="C248" s="19"/>
      <c r="D248" s="19"/>
    </row>
    <row r="249" spans="3:4">
      <c r="C249" s="19"/>
      <c r="D249" s="19"/>
    </row>
    <row r="250" spans="3:4">
      <c r="C250" s="19"/>
      <c r="D250" s="19"/>
    </row>
    <row r="251" spans="3:4">
      <c r="C251" s="19"/>
      <c r="D251" s="19"/>
    </row>
    <row r="252" spans="3:4">
      <c r="C252" s="19"/>
      <c r="D252" s="19"/>
    </row>
    <row r="253" spans="3:4">
      <c r="C253" s="19"/>
      <c r="D253" s="19"/>
    </row>
    <row r="254" spans="3:4">
      <c r="C254" s="19"/>
      <c r="D254" s="19"/>
    </row>
    <row r="255" spans="3:4">
      <c r="C255" s="19"/>
      <c r="D255" s="19"/>
    </row>
    <row r="256" spans="3:4">
      <c r="C256" s="19"/>
      <c r="D256" s="19"/>
    </row>
    <row r="257" spans="3:4">
      <c r="C257" s="19"/>
      <c r="D257" s="19"/>
    </row>
    <row r="258" spans="3:4">
      <c r="C258" s="19"/>
      <c r="D258" s="19"/>
    </row>
    <row r="259" spans="3:4">
      <c r="C259" s="19"/>
      <c r="D259" s="19"/>
    </row>
    <row r="260" spans="3:4">
      <c r="C260" s="19"/>
      <c r="D260" s="19"/>
    </row>
    <row r="261" spans="3:4">
      <c r="C261" s="19"/>
      <c r="D261" s="19"/>
    </row>
    <row r="262" spans="3:4">
      <c r="C262" s="19"/>
      <c r="D262" s="19"/>
    </row>
    <row r="263" spans="3:4">
      <c r="C263" s="19"/>
      <c r="D263" s="19"/>
    </row>
    <row r="264" spans="3:4">
      <c r="C264" s="19"/>
      <c r="D264" s="19"/>
    </row>
    <row r="265" spans="3:4">
      <c r="C265" s="19"/>
      <c r="D265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28EA-FDBB-4AFE-9F8E-6E17AC1AE4AB}">
  <sheetPr>
    <tabColor theme="5"/>
  </sheetPr>
  <dimension ref="A1:M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0" sqref="H20"/>
    </sheetView>
  </sheetViews>
  <sheetFormatPr defaultColWidth="8.42578125" defaultRowHeight="15"/>
  <cols>
    <col min="1" max="1" width="9.42578125" style="83" customWidth="1"/>
    <col min="2" max="2" width="7.7109375" style="83" customWidth="1"/>
    <col min="3" max="3" width="37" style="83" bestFit="1" customWidth="1"/>
    <col min="4" max="4" width="23.85546875" style="83" bestFit="1" customWidth="1"/>
    <col min="5" max="5" width="16.5703125" style="83" customWidth="1"/>
    <col min="6" max="6" width="18.42578125" style="83" customWidth="1"/>
    <col min="7" max="8" width="12.7109375" style="83" customWidth="1"/>
    <col min="9" max="10" width="10.140625" style="83" customWidth="1"/>
    <col min="11" max="12" width="12.7109375" style="83" customWidth="1"/>
    <col min="13" max="13" width="15.85546875" style="83" customWidth="1"/>
    <col min="14" max="1008" width="8.42578125" style="83"/>
    <col min="1009" max="1009" width="9.140625" style="83" customWidth="1"/>
    <col min="1010" max="16384" width="8.42578125" style="83"/>
  </cols>
  <sheetData>
    <row r="1" spans="1:13" ht="48" customHeight="1">
      <c r="A1" s="78" t="s">
        <v>137</v>
      </c>
      <c r="B1" s="78" t="s">
        <v>230</v>
      </c>
      <c r="C1" s="79" t="s">
        <v>209</v>
      </c>
      <c r="D1" s="79" t="s">
        <v>231</v>
      </c>
      <c r="E1" s="80" t="s">
        <v>232</v>
      </c>
      <c r="F1" s="80" t="s">
        <v>233</v>
      </c>
      <c r="G1" s="81" t="s">
        <v>234</v>
      </c>
      <c r="H1" s="81" t="s">
        <v>235</v>
      </c>
      <c r="I1" s="82" t="s">
        <v>236</v>
      </c>
      <c r="J1" s="82" t="s">
        <v>237</v>
      </c>
      <c r="K1" s="81" t="s">
        <v>238</v>
      </c>
      <c r="L1" s="81" t="s">
        <v>239</v>
      </c>
      <c r="M1" s="82" t="s">
        <v>240</v>
      </c>
    </row>
    <row r="2" spans="1:13">
      <c r="A2" s="84" t="s">
        <v>214</v>
      </c>
      <c r="B2" s="84">
        <v>1</v>
      </c>
      <c r="C2" s="85" t="s">
        <v>224</v>
      </c>
      <c r="D2" s="83" t="s">
        <v>241</v>
      </c>
      <c r="E2" s="85" t="s">
        <v>242</v>
      </c>
      <c r="F2" s="85" t="s">
        <v>243</v>
      </c>
      <c r="G2" s="85">
        <v>0.95</v>
      </c>
      <c r="H2" s="85">
        <v>0.95</v>
      </c>
      <c r="I2" s="85">
        <v>0</v>
      </c>
      <c r="J2" s="83">
        <v>1</v>
      </c>
      <c r="K2" s="85">
        <v>0</v>
      </c>
      <c r="L2" s="85">
        <v>1</v>
      </c>
      <c r="M2" s="85"/>
    </row>
    <row r="3" spans="1:13">
      <c r="A3" s="84" t="s">
        <v>214</v>
      </c>
      <c r="B3" s="84">
        <v>1</v>
      </c>
      <c r="C3" s="86" t="s">
        <v>222</v>
      </c>
      <c r="D3" s="83" t="s">
        <v>244</v>
      </c>
      <c r="E3" s="86" t="s">
        <v>242</v>
      </c>
      <c r="F3" s="86" t="s">
        <v>243</v>
      </c>
      <c r="G3" s="86">
        <v>0.95</v>
      </c>
      <c r="H3" s="86">
        <v>0.95</v>
      </c>
      <c r="I3" s="86">
        <v>0</v>
      </c>
      <c r="J3" s="83">
        <v>1</v>
      </c>
      <c r="K3" s="86">
        <v>0</v>
      </c>
      <c r="L3" s="86">
        <v>1</v>
      </c>
      <c r="M3" s="86"/>
    </row>
    <row r="4" spans="1:13">
      <c r="A4" s="84" t="s">
        <v>214</v>
      </c>
      <c r="B4" s="84">
        <v>1</v>
      </c>
      <c r="C4" s="85" t="s">
        <v>225</v>
      </c>
      <c r="D4" s="83" t="s">
        <v>245</v>
      </c>
      <c r="E4" s="85" t="s">
        <v>243</v>
      </c>
      <c r="F4" s="83" t="s">
        <v>242</v>
      </c>
      <c r="G4" s="85">
        <v>0.95</v>
      </c>
      <c r="H4" s="85">
        <v>0.95</v>
      </c>
      <c r="I4" s="85">
        <v>0</v>
      </c>
      <c r="J4" s="83">
        <v>1</v>
      </c>
      <c r="K4" s="85">
        <v>0</v>
      </c>
      <c r="L4" s="85"/>
      <c r="M4" s="87">
        <v>2</v>
      </c>
    </row>
    <row r="5" spans="1:13" s="85" customFormat="1">
      <c r="A5" s="84" t="s">
        <v>214</v>
      </c>
      <c r="B5" s="84">
        <v>1</v>
      </c>
      <c r="C5" s="86" t="s">
        <v>223</v>
      </c>
      <c r="D5" s="83" t="s">
        <v>246</v>
      </c>
      <c r="E5" s="86" t="s">
        <v>243</v>
      </c>
      <c r="F5" s="83" t="s">
        <v>242</v>
      </c>
      <c r="G5" s="86">
        <v>0.95</v>
      </c>
      <c r="H5" s="86">
        <v>0.95</v>
      </c>
      <c r="I5" s="86">
        <v>0</v>
      </c>
      <c r="J5" s="83">
        <v>1</v>
      </c>
      <c r="K5" s="86">
        <v>0</v>
      </c>
      <c r="L5" s="86"/>
      <c r="M5" s="86">
        <v>4</v>
      </c>
    </row>
  </sheetData>
  <autoFilter ref="C1:M5" xr:uid="{00000000-0001-0000-0000-000000000000}">
    <sortState xmlns:xlrd2="http://schemas.microsoft.com/office/spreadsheetml/2017/richdata2" ref="C2:M5">
      <sortCondition ref="C1:C5"/>
    </sortState>
  </autoFilter>
  <pageMargins left="0.7" right="0.7" top="0.75" bottom="0.75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K93"/>
  <sheetViews>
    <sheetView workbookViewId="0">
      <selection activeCell="F2" sqref="F2"/>
    </sheetView>
  </sheetViews>
  <sheetFormatPr defaultRowHeight="15"/>
  <cols>
    <col min="1" max="6" width="14.5703125" customWidth="1"/>
    <col min="7" max="7" width="17.140625" customWidth="1"/>
    <col min="8" max="8" width="17.28515625" customWidth="1"/>
    <col min="9" max="9" width="14.5703125" customWidth="1"/>
    <col min="10" max="10" width="21.42578125" bestFit="1" customWidth="1"/>
    <col min="11" max="11" width="16.28515625" bestFit="1" customWidth="1"/>
  </cols>
  <sheetData>
    <row r="1" spans="1:11">
      <c r="A1" s="88" t="s">
        <v>284</v>
      </c>
      <c r="B1" s="88" t="s">
        <v>285</v>
      </c>
      <c r="C1" s="88" t="s">
        <v>286</v>
      </c>
      <c r="D1" s="88" t="s">
        <v>287</v>
      </c>
      <c r="E1" s="88" t="s">
        <v>137</v>
      </c>
      <c r="F1" s="88" t="s">
        <v>211</v>
      </c>
      <c r="G1" s="88" t="s">
        <v>288</v>
      </c>
      <c r="H1" s="88" t="s">
        <v>289</v>
      </c>
      <c r="I1" s="88" t="s">
        <v>290</v>
      </c>
      <c r="J1" s="88" t="s">
        <v>291</v>
      </c>
      <c r="K1" s="88" t="s">
        <v>292</v>
      </c>
    </row>
    <row r="2" spans="1:11">
      <c r="A2" t="s">
        <v>293</v>
      </c>
      <c r="B2" t="s">
        <v>111</v>
      </c>
      <c r="C2" t="s">
        <v>116</v>
      </c>
      <c r="D2" t="s">
        <v>242</v>
      </c>
      <c r="E2" t="s">
        <v>214</v>
      </c>
      <c r="F2">
        <v>1</v>
      </c>
      <c r="G2">
        <v>1200</v>
      </c>
      <c r="H2">
        <v>1200</v>
      </c>
      <c r="I2">
        <v>8.7790000000000003E-3</v>
      </c>
      <c r="J2">
        <v>1</v>
      </c>
      <c r="K2">
        <v>0.01</v>
      </c>
    </row>
    <row r="3" spans="1:11">
      <c r="A3" t="s">
        <v>294</v>
      </c>
      <c r="B3" t="s">
        <v>111</v>
      </c>
      <c r="C3" t="s">
        <v>117</v>
      </c>
      <c r="D3" t="s">
        <v>242</v>
      </c>
      <c r="E3" t="s">
        <v>214</v>
      </c>
      <c r="F3">
        <v>1</v>
      </c>
      <c r="G3">
        <v>7500</v>
      </c>
      <c r="H3">
        <v>7500</v>
      </c>
      <c r="I3">
        <v>2.134E-3</v>
      </c>
      <c r="J3">
        <v>1</v>
      </c>
      <c r="K3">
        <v>0.01</v>
      </c>
    </row>
    <row r="4" spans="1:11">
      <c r="A4" t="s">
        <v>295</v>
      </c>
      <c r="B4" t="s">
        <v>114</v>
      </c>
      <c r="C4" t="s">
        <v>117</v>
      </c>
      <c r="D4" t="s">
        <v>242</v>
      </c>
      <c r="E4" t="s">
        <v>214</v>
      </c>
      <c r="F4">
        <v>1</v>
      </c>
      <c r="G4">
        <v>1000</v>
      </c>
      <c r="H4">
        <v>1000</v>
      </c>
      <c r="I4">
        <v>9.5930000000000008E-3</v>
      </c>
      <c r="J4">
        <v>1</v>
      </c>
      <c r="K4">
        <v>0.01</v>
      </c>
    </row>
    <row r="5" spans="1:11">
      <c r="A5" t="s">
        <v>296</v>
      </c>
      <c r="B5" t="s">
        <v>114</v>
      </c>
      <c r="C5" t="s">
        <v>123</v>
      </c>
      <c r="D5" t="s">
        <v>242</v>
      </c>
      <c r="E5" t="s">
        <v>214</v>
      </c>
      <c r="F5">
        <v>1</v>
      </c>
      <c r="G5">
        <v>2800</v>
      </c>
      <c r="H5">
        <v>4300</v>
      </c>
      <c r="I5">
        <v>4.0200000000000001E-3</v>
      </c>
      <c r="J5">
        <v>1</v>
      </c>
      <c r="K5">
        <v>0.01</v>
      </c>
    </row>
    <row r="6" spans="1:11">
      <c r="A6" t="s">
        <v>297</v>
      </c>
      <c r="B6" t="s">
        <v>114</v>
      </c>
      <c r="C6" t="s">
        <v>126</v>
      </c>
      <c r="D6" t="s">
        <v>242</v>
      </c>
      <c r="E6" t="s">
        <v>214</v>
      </c>
      <c r="F6">
        <v>1</v>
      </c>
      <c r="G6">
        <v>3400</v>
      </c>
      <c r="H6">
        <v>3400</v>
      </c>
      <c r="I6">
        <v>4.6319999999999998E-3</v>
      </c>
      <c r="J6">
        <v>1</v>
      </c>
      <c r="K6">
        <v>0.01</v>
      </c>
    </row>
    <row r="7" spans="1:11">
      <c r="A7" t="s">
        <v>298</v>
      </c>
      <c r="B7" t="s">
        <v>114</v>
      </c>
      <c r="C7" t="s">
        <v>135</v>
      </c>
      <c r="D7" t="s">
        <v>242</v>
      </c>
      <c r="E7" t="s">
        <v>214</v>
      </c>
      <c r="F7">
        <v>1</v>
      </c>
      <c r="G7">
        <v>2400</v>
      </c>
      <c r="H7">
        <v>2400</v>
      </c>
      <c r="I7">
        <v>8.4419999999999999E-3</v>
      </c>
      <c r="J7">
        <v>1</v>
      </c>
      <c r="K7">
        <v>0.01</v>
      </c>
    </row>
    <row r="8" spans="1:11">
      <c r="A8" t="s">
        <v>299</v>
      </c>
      <c r="B8" t="s">
        <v>116</v>
      </c>
      <c r="C8" t="s">
        <v>117</v>
      </c>
      <c r="D8" t="s">
        <v>242</v>
      </c>
      <c r="E8" t="s">
        <v>214</v>
      </c>
      <c r="F8">
        <v>1</v>
      </c>
      <c r="G8">
        <v>4200</v>
      </c>
      <c r="H8">
        <v>4400</v>
      </c>
      <c r="I8">
        <v>5.7710000000000001E-3</v>
      </c>
      <c r="J8">
        <v>1</v>
      </c>
      <c r="K8">
        <v>0.01</v>
      </c>
    </row>
    <row r="9" spans="1:11">
      <c r="A9" t="s">
        <v>300</v>
      </c>
      <c r="B9" t="s">
        <v>116</v>
      </c>
      <c r="C9" t="s">
        <v>123</v>
      </c>
      <c r="D9" t="s">
        <v>242</v>
      </c>
      <c r="E9" t="s">
        <v>214</v>
      </c>
      <c r="F9">
        <v>1</v>
      </c>
      <c r="G9">
        <v>2200</v>
      </c>
      <c r="H9">
        <v>4500</v>
      </c>
      <c r="I9">
        <v>7.3699999999999998E-3</v>
      </c>
      <c r="J9">
        <v>1</v>
      </c>
      <c r="K9">
        <v>0.01</v>
      </c>
    </row>
    <row r="10" spans="1:11">
      <c r="A10" t="s">
        <v>301</v>
      </c>
      <c r="B10" t="s">
        <v>117</v>
      </c>
      <c r="C10" t="s">
        <v>118</v>
      </c>
      <c r="D10" t="s">
        <v>242</v>
      </c>
      <c r="E10" t="s">
        <v>214</v>
      </c>
      <c r="F10">
        <v>1</v>
      </c>
      <c r="G10">
        <v>2200</v>
      </c>
      <c r="H10">
        <v>3000</v>
      </c>
      <c r="I10">
        <v>5.143E-3</v>
      </c>
      <c r="J10">
        <v>1</v>
      </c>
      <c r="K10">
        <v>0.01</v>
      </c>
    </row>
    <row r="11" spans="1:11">
      <c r="A11" t="s">
        <v>302</v>
      </c>
      <c r="B11" t="s">
        <v>117</v>
      </c>
      <c r="C11" t="s">
        <v>119</v>
      </c>
      <c r="D11" t="s">
        <v>242</v>
      </c>
      <c r="E11" t="s">
        <v>214</v>
      </c>
      <c r="F11">
        <v>1</v>
      </c>
      <c r="G11">
        <v>3500</v>
      </c>
      <c r="H11">
        <v>3500</v>
      </c>
      <c r="I11">
        <v>4.2859999999999999E-3</v>
      </c>
      <c r="J11">
        <v>1</v>
      </c>
      <c r="K11">
        <v>0.01</v>
      </c>
    </row>
    <row r="12" spans="1:11">
      <c r="A12" t="s">
        <v>303</v>
      </c>
      <c r="B12" t="s">
        <v>117</v>
      </c>
      <c r="C12" t="s">
        <v>123</v>
      </c>
      <c r="D12" t="s">
        <v>242</v>
      </c>
      <c r="E12" t="s">
        <v>214</v>
      </c>
      <c r="F12">
        <v>1</v>
      </c>
      <c r="G12">
        <v>4800</v>
      </c>
      <c r="H12">
        <v>4800</v>
      </c>
      <c r="I12">
        <v>4.2189999999999997E-3</v>
      </c>
      <c r="J12">
        <v>1</v>
      </c>
      <c r="K12">
        <v>0.01</v>
      </c>
    </row>
    <row r="13" spans="1:11">
      <c r="A13" t="s">
        <v>304</v>
      </c>
      <c r="B13" t="s">
        <v>117</v>
      </c>
      <c r="C13" t="s">
        <v>126</v>
      </c>
      <c r="D13" t="s">
        <v>242</v>
      </c>
      <c r="E13" t="s">
        <v>214</v>
      </c>
      <c r="F13">
        <v>1</v>
      </c>
      <c r="G13">
        <v>5000</v>
      </c>
      <c r="H13">
        <v>5000</v>
      </c>
      <c r="I13">
        <v>2.7590000000000002E-3</v>
      </c>
      <c r="J13">
        <v>1</v>
      </c>
      <c r="K13">
        <v>0.01</v>
      </c>
    </row>
    <row r="14" spans="1:11">
      <c r="A14" t="s">
        <v>305</v>
      </c>
      <c r="B14" t="s">
        <v>117</v>
      </c>
      <c r="C14" t="s">
        <v>129</v>
      </c>
      <c r="D14" t="s">
        <v>242</v>
      </c>
      <c r="E14" t="s">
        <v>214</v>
      </c>
      <c r="F14">
        <v>1</v>
      </c>
      <c r="G14">
        <v>1400</v>
      </c>
      <c r="H14">
        <v>1400</v>
      </c>
      <c r="I14">
        <v>3.571E-3</v>
      </c>
      <c r="J14">
        <v>1</v>
      </c>
      <c r="K14">
        <v>0.01</v>
      </c>
    </row>
    <row r="15" spans="1:11">
      <c r="A15" t="s">
        <v>306</v>
      </c>
      <c r="B15" t="s">
        <v>117</v>
      </c>
      <c r="C15" t="s">
        <v>130</v>
      </c>
      <c r="D15" t="s">
        <v>242</v>
      </c>
      <c r="E15" t="s">
        <v>214</v>
      </c>
      <c r="F15">
        <v>1</v>
      </c>
      <c r="G15">
        <v>2000</v>
      </c>
      <c r="H15">
        <v>3000</v>
      </c>
      <c r="I15">
        <v>3.388E-3</v>
      </c>
      <c r="J15">
        <v>1</v>
      </c>
      <c r="K15">
        <v>0.01</v>
      </c>
    </row>
    <row r="16" spans="1:11">
      <c r="A16" t="s">
        <v>307</v>
      </c>
      <c r="B16" t="s">
        <v>117</v>
      </c>
      <c r="C16" t="s">
        <v>134</v>
      </c>
      <c r="D16" t="s">
        <v>242</v>
      </c>
      <c r="E16" t="s">
        <v>214</v>
      </c>
      <c r="F16">
        <v>1</v>
      </c>
      <c r="G16">
        <v>1315</v>
      </c>
      <c r="H16">
        <v>1315</v>
      </c>
      <c r="I16">
        <v>8.1300000000000001E-3</v>
      </c>
      <c r="J16">
        <v>1</v>
      </c>
      <c r="K16">
        <v>0.01</v>
      </c>
    </row>
    <row r="17" spans="1:11">
      <c r="A17" t="s">
        <v>308</v>
      </c>
      <c r="B17" t="s">
        <v>117</v>
      </c>
      <c r="C17" t="s">
        <v>135</v>
      </c>
      <c r="D17" t="s">
        <v>242</v>
      </c>
      <c r="E17" t="s">
        <v>214</v>
      </c>
      <c r="F17">
        <v>1</v>
      </c>
      <c r="G17">
        <v>1400</v>
      </c>
      <c r="H17">
        <v>1400</v>
      </c>
      <c r="I17">
        <v>4.7959999999999999E-3</v>
      </c>
      <c r="J17">
        <v>1</v>
      </c>
      <c r="K17">
        <v>0.01</v>
      </c>
    </row>
    <row r="18" spans="1:11">
      <c r="A18" t="s">
        <v>309</v>
      </c>
      <c r="B18" t="s">
        <v>118</v>
      </c>
      <c r="C18" t="s">
        <v>119</v>
      </c>
      <c r="D18" t="s">
        <v>242</v>
      </c>
      <c r="E18" t="s">
        <v>214</v>
      </c>
      <c r="F18">
        <v>1</v>
      </c>
      <c r="G18">
        <v>600</v>
      </c>
      <c r="H18">
        <v>590</v>
      </c>
      <c r="I18">
        <v>8.4030000000000007E-3</v>
      </c>
      <c r="J18">
        <v>1</v>
      </c>
      <c r="K18">
        <v>0.01</v>
      </c>
    </row>
    <row r="19" spans="1:11">
      <c r="A19" t="s">
        <v>310</v>
      </c>
      <c r="B19" t="s">
        <v>118</v>
      </c>
      <c r="C19" t="s">
        <v>130</v>
      </c>
      <c r="D19" t="s">
        <v>242</v>
      </c>
      <c r="E19" t="s">
        <v>214</v>
      </c>
      <c r="F19">
        <v>1</v>
      </c>
      <c r="G19">
        <v>0</v>
      </c>
      <c r="H19">
        <v>0</v>
      </c>
      <c r="J19">
        <v>1</v>
      </c>
      <c r="K19">
        <v>0.01</v>
      </c>
    </row>
    <row r="20" spans="1:11">
      <c r="A20" t="s">
        <v>311</v>
      </c>
      <c r="B20" t="s">
        <v>118</v>
      </c>
      <c r="C20" t="s">
        <v>134</v>
      </c>
      <c r="D20" t="s">
        <v>242</v>
      </c>
      <c r="E20" t="s">
        <v>214</v>
      </c>
      <c r="F20">
        <v>1</v>
      </c>
      <c r="G20">
        <v>1700</v>
      </c>
      <c r="H20">
        <v>1300</v>
      </c>
      <c r="I20">
        <v>5.5469999999999998E-3</v>
      </c>
      <c r="J20">
        <v>1</v>
      </c>
      <c r="K20">
        <v>0.01</v>
      </c>
    </row>
    <row r="21" spans="1:11">
      <c r="A21" t="s">
        <v>312</v>
      </c>
      <c r="B21" t="s">
        <v>119</v>
      </c>
      <c r="C21" t="s">
        <v>126</v>
      </c>
      <c r="D21" t="s">
        <v>242</v>
      </c>
      <c r="E21" t="s">
        <v>214</v>
      </c>
      <c r="F21">
        <v>1</v>
      </c>
      <c r="G21">
        <v>700</v>
      </c>
      <c r="H21">
        <v>700</v>
      </c>
      <c r="I21">
        <v>4.7959999999999999E-3</v>
      </c>
      <c r="J21">
        <v>1</v>
      </c>
      <c r="K21">
        <v>0.01</v>
      </c>
    </row>
    <row r="22" spans="1:11">
      <c r="A22" t="s">
        <v>313</v>
      </c>
      <c r="B22" t="s">
        <v>119</v>
      </c>
      <c r="C22" t="s">
        <v>129</v>
      </c>
      <c r="D22" t="s">
        <v>242</v>
      </c>
      <c r="E22" t="s">
        <v>214</v>
      </c>
      <c r="F22">
        <v>1</v>
      </c>
      <c r="G22">
        <v>1632</v>
      </c>
      <c r="H22">
        <v>1632</v>
      </c>
      <c r="I22">
        <v>2.3080000000000002E-3</v>
      </c>
      <c r="J22">
        <v>1</v>
      </c>
      <c r="K22">
        <v>0.01</v>
      </c>
    </row>
    <row r="23" spans="1:11">
      <c r="A23" t="s">
        <v>314</v>
      </c>
      <c r="B23" t="s">
        <v>119</v>
      </c>
      <c r="C23" t="s">
        <v>133</v>
      </c>
      <c r="D23" t="s">
        <v>242</v>
      </c>
      <c r="E23" t="s">
        <v>214</v>
      </c>
      <c r="F23">
        <v>1</v>
      </c>
      <c r="G23">
        <v>715</v>
      </c>
      <c r="H23">
        <v>715</v>
      </c>
      <c r="I23">
        <v>6.8729999999999998E-3</v>
      </c>
      <c r="J23">
        <v>1</v>
      </c>
      <c r="K23">
        <v>0.01</v>
      </c>
    </row>
    <row r="24" spans="1:11">
      <c r="A24" t="s">
        <v>315</v>
      </c>
      <c r="B24" t="s">
        <v>119</v>
      </c>
      <c r="C24" t="s">
        <v>135</v>
      </c>
      <c r="D24" t="s">
        <v>242</v>
      </c>
      <c r="E24" t="s">
        <v>214</v>
      </c>
      <c r="F24">
        <v>1</v>
      </c>
      <c r="G24">
        <v>1400</v>
      </c>
      <c r="H24">
        <v>1400</v>
      </c>
      <c r="I24">
        <v>4.7959999999999999E-3</v>
      </c>
      <c r="J24">
        <v>1</v>
      </c>
      <c r="K24">
        <v>0.01</v>
      </c>
    </row>
    <row r="25" spans="1:11">
      <c r="A25" t="s">
        <v>316</v>
      </c>
      <c r="B25" t="s">
        <v>120</v>
      </c>
      <c r="C25" t="s">
        <v>122</v>
      </c>
      <c r="D25" t="s">
        <v>242</v>
      </c>
      <c r="E25" t="s">
        <v>214</v>
      </c>
      <c r="F25">
        <v>1</v>
      </c>
      <c r="G25">
        <v>1016</v>
      </c>
      <c r="H25">
        <v>1016</v>
      </c>
      <c r="I25">
        <v>3.2859999999999999E-3</v>
      </c>
      <c r="J25">
        <v>1</v>
      </c>
      <c r="K25">
        <v>0.01</v>
      </c>
    </row>
    <row r="26" spans="1:11">
      <c r="A26" t="s">
        <v>317</v>
      </c>
      <c r="B26" t="s">
        <v>120</v>
      </c>
      <c r="C26" t="s">
        <v>125</v>
      </c>
      <c r="D26" t="s">
        <v>242</v>
      </c>
      <c r="E26" t="s">
        <v>214</v>
      </c>
      <c r="F26">
        <v>1</v>
      </c>
      <c r="G26">
        <v>950</v>
      </c>
      <c r="H26">
        <v>879</v>
      </c>
      <c r="I26">
        <v>3.3059999999999999E-3</v>
      </c>
      <c r="J26">
        <v>1</v>
      </c>
      <c r="K26">
        <v>0.01</v>
      </c>
    </row>
    <row r="27" spans="1:11">
      <c r="A27" t="s">
        <v>318</v>
      </c>
      <c r="B27" t="s">
        <v>121</v>
      </c>
      <c r="C27" t="s">
        <v>123</v>
      </c>
      <c r="D27" t="s">
        <v>242</v>
      </c>
      <c r="E27" t="s">
        <v>214</v>
      </c>
      <c r="F27">
        <v>1</v>
      </c>
      <c r="G27">
        <v>5000</v>
      </c>
      <c r="H27">
        <v>5000</v>
      </c>
      <c r="I27">
        <v>4.627E-3</v>
      </c>
      <c r="J27">
        <v>1</v>
      </c>
      <c r="K27">
        <v>0.01</v>
      </c>
    </row>
    <row r="28" spans="1:11">
      <c r="A28" t="s">
        <v>319</v>
      </c>
      <c r="B28" t="s">
        <v>122</v>
      </c>
      <c r="C28" t="s">
        <v>128</v>
      </c>
      <c r="D28" t="s">
        <v>242</v>
      </c>
      <c r="E28" t="s">
        <v>214</v>
      </c>
      <c r="F28">
        <v>1</v>
      </c>
      <c r="G28">
        <v>0</v>
      </c>
      <c r="H28">
        <v>0</v>
      </c>
      <c r="J28">
        <v>1</v>
      </c>
      <c r="K28">
        <v>0.01</v>
      </c>
    </row>
    <row r="29" spans="1:11">
      <c r="A29" t="s">
        <v>320</v>
      </c>
      <c r="B29" t="s">
        <v>122</v>
      </c>
      <c r="C29" t="s">
        <v>131</v>
      </c>
      <c r="D29" t="s">
        <v>242</v>
      </c>
      <c r="E29" t="s">
        <v>214</v>
      </c>
      <c r="F29">
        <v>1</v>
      </c>
      <c r="G29">
        <v>2000</v>
      </c>
      <c r="H29">
        <v>2000</v>
      </c>
      <c r="I29">
        <v>2.9039999999999999E-3</v>
      </c>
      <c r="J29">
        <v>1</v>
      </c>
      <c r="K29">
        <v>0.01</v>
      </c>
    </row>
    <row r="30" spans="1:11">
      <c r="A30" t="s">
        <v>321</v>
      </c>
      <c r="B30" t="s">
        <v>122</v>
      </c>
      <c r="C30" t="s">
        <v>133</v>
      </c>
      <c r="D30" t="s">
        <v>242</v>
      </c>
      <c r="E30" t="s">
        <v>214</v>
      </c>
      <c r="F30">
        <v>1</v>
      </c>
      <c r="G30">
        <v>1200</v>
      </c>
      <c r="H30">
        <v>1200</v>
      </c>
      <c r="I30">
        <v>4.1539999999999997E-3</v>
      </c>
      <c r="J30">
        <v>1</v>
      </c>
      <c r="K30">
        <v>0.01</v>
      </c>
    </row>
    <row r="31" spans="1:11">
      <c r="A31" t="s">
        <v>322</v>
      </c>
      <c r="B31" t="s">
        <v>123</v>
      </c>
      <c r="C31" t="s">
        <v>135</v>
      </c>
      <c r="D31" t="s">
        <v>242</v>
      </c>
      <c r="E31" t="s">
        <v>214</v>
      </c>
      <c r="F31">
        <v>1</v>
      </c>
      <c r="G31">
        <v>5600</v>
      </c>
      <c r="H31">
        <v>5600</v>
      </c>
      <c r="I31">
        <v>4.3889999999999997E-3</v>
      </c>
      <c r="J31">
        <v>1</v>
      </c>
      <c r="K31">
        <v>0.01</v>
      </c>
    </row>
    <row r="32" spans="1:11">
      <c r="A32" t="s">
        <v>323</v>
      </c>
      <c r="B32" t="s">
        <v>124</v>
      </c>
      <c r="C32" t="s">
        <v>125</v>
      </c>
      <c r="D32" t="s">
        <v>242</v>
      </c>
      <c r="E32" t="s">
        <v>214</v>
      </c>
      <c r="F32">
        <v>1</v>
      </c>
      <c r="G32">
        <v>950</v>
      </c>
      <c r="H32">
        <v>950</v>
      </c>
      <c r="I32">
        <v>3.3210000000000002E-3</v>
      </c>
      <c r="J32">
        <v>1</v>
      </c>
      <c r="K32">
        <v>0.01</v>
      </c>
    </row>
    <row r="33" spans="1:11">
      <c r="A33" t="s">
        <v>324</v>
      </c>
      <c r="B33" t="s">
        <v>124</v>
      </c>
      <c r="C33" t="s">
        <v>130</v>
      </c>
      <c r="D33" t="s">
        <v>242</v>
      </c>
      <c r="E33" t="s">
        <v>214</v>
      </c>
      <c r="F33">
        <v>1</v>
      </c>
      <c r="G33">
        <v>700</v>
      </c>
      <c r="H33">
        <v>700</v>
      </c>
      <c r="I33">
        <v>8.796E-3</v>
      </c>
      <c r="J33">
        <v>1</v>
      </c>
      <c r="K33">
        <v>0.01</v>
      </c>
    </row>
    <row r="34" spans="1:11">
      <c r="A34" t="s">
        <v>325</v>
      </c>
      <c r="B34" t="s">
        <v>124</v>
      </c>
      <c r="C34" t="s">
        <v>134</v>
      </c>
      <c r="D34" t="s">
        <v>242</v>
      </c>
      <c r="E34" t="s">
        <v>214</v>
      </c>
      <c r="F34">
        <v>1</v>
      </c>
      <c r="G34">
        <v>700</v>
      </c>
      <c r="H34">
        <v>700</v>
      </c>
      <c r="I34">
        <v>4.8089999999999999E-3</v>
      </c>
      <c r="J34">
        <v>1</v>
      </c>
      <c r="K34">
        <v>0.01</v>
      </c>
    </row>
    <row r="35" spans="1:11">
      <c r="A35" t="s">
        <v>326</v>
      </c>
      <c r="B35" t="s">
        <v>126</v>
      </c>
      <c r="C35" t="s">
        <v>129</v>
      </c>
      <c r="D35" t="s">
        <v>242</v>
      </c>
      <c r="E35" t="s">
        <v>214</v>
      </c>
      <c r="F35">
        <v>1</v>
      </c>
      <c r="G35">
        <v>700</v>
      </c>
      <c r="H35">
        <v>700</v>
      </c>
      <c r="I35">
        <v>3.813E-3</v>
      </c>
      <c r="J35">
        <v>1</v>
      </c>
      <c r="K35">
        <v>0.01</v>
      </c>
    </row>
    <row r="36" spans="1:11">
      <c r="A36" t="s">
        <v>327</v>
      </c>
      <c r="B36" t="s">
        <v>126</v>
      </c>
      <c r="C36" t="s">
        <v>135</v>
      </c>
      <c r="D36" t="s">
        <v>242</v>
      </c>
      <c r="E36" t="s">
        <v>214</v>
      </c>
      <c r="F36">
        <v>1</v>
      </c>
      <c r="G36">
        <v>2800</v>
      </c>
      <c r="H36">
        <v>2800</v>
      </c>
      <c r="I36">
        <v>9.7680000000000006E-3</v>
      </c>
      <c r="J36">
        <v>1</v>
      </c>
      <c r="K36">
        <v>0.01</v>
      </c>
    </row>
    <row r="37" spans="1:11">
      <c r="A37" t="s">
        <v>328</v>
      </c>
      <c r="B37" t="s">
        <v>127</v>
      </c>
      <c r="C37" t="s">
        <v>128</v>
      </c>
      <c r="D37" t="s">
        <v>242</v>
      </c>
      <c r="E37" t="s">
        <v>214</v>
      </c>
      <c r="F37">
        <v>1</v>
      </c>
      <c r="G37">
        <v>350</v>
      </c>
      <c r="H37">
        <v>1300</v>
      </c>
      <c r="I37">
        <v>2.5279999999999999E-3</v>
      </c>
      <c r="J37">
        <v>1</v>
      </c>
      <c r="K37">
        <v>0.01</v>
      </c>
    </row>
    <row r="38" spans="1:11">
      <c r="A38" t="s">
        <v>329</v>
      </c>
      <c r="B38" t="s">
        <v>127</v>
      </c>
      <c r="C38" t="s">
        <v>129</v>
      </c>
      <c r="D38" t="s">
        <v>242</v>
      </c>
      <c r="E38" t="s">
        <v>214</v>
      </c>
      <c r="F38">
        <v>1</v>
      </c>
      <c r="G38">
        <v>800</v>
      </c>
      <c r="H38">
        <v>600</v>
      </c>
      <c r="I38">
        <v>1.603E-3</v>
      </c>
      <c r="J38">
        <v>1</v>
      </c>
      <c r="K38">
        <v>0.01</v>
      </c>
    </row>
    <row r="39" spans="1:11">
      <c r="A39" t="s">
        <v>330</v>
      </c>
      <c r="B39" t="s">
        <v>127</v>
      </c>
      <c r="C39" t="s">
        <v>132</v>
      </c>
      <c r="D39" t="s">
        <v>242</v>
      </c>
      <c r="E39" t="s">
        <v>214</v>
      </c>
      <c r="F39">
        <v>1</v>
      </c>
      <c r="G39">
        <v>600</v>
      </c>
      <c r="H39">
        <v>1000</v>
      </c>
      <c r="I39">
        <v>3.9880000000000002E-3</v>
      </c>
      <c r="J39">
        <v>1</v>
      </c>
      <c r="K39">
        <v>0.01</v>
      </c>
    </row>
    <row r="40" spans="1:11">
      <c r="A40" t="s">
        <v>331</v>
      </c>
      <c r="B40" t="s">
        <v>128</v>
      </c>
      <c r="C40" t="s">
        <v>131</v>
      </c>
      <c r="D40" t="s">
        <v>242</v>
      </c>
      <c r="E40" t="s">
        <v>214</v>
      </c>
      <c r="F40">
        <v>1</v>
      </c>
      <c r="G40">
        <v>700</v>
      </c>
      <c r="H40">
        <v>600</v>
      </c>
      <c r="I40">
        <v>4.3309999999999998E-3</v>
      </c>
      <c r="J40">
        <v>1</v>
      </c>
      <c r="K40">
        <v>0.01</v>
      </c>
    </row>
    <row r="41" spans="1:11">
      <c r="A41" t="s">
        <v>332</v>
      </c>
      <c r="B41" t="s">
        <v>128</v>
      </c>
      <c r="C41" t="s">
        <v>132</v>
      </c>
      <c r="D41" t="s">
        <v>242</v>
      </c>
      <c r="E41" t="s">
        <v>214</v>
      </c>
      <c r="F41">
        <v>1</v>
      </c>
      <c r="G41">
        <v>250</v>
      </c>
      <c r="H41">
        <v>300</v>
      </c>
      <c r="I41">
        <v>3.2550000000000001E-3</v>
      </c>
      <c r="J41">
        <v>1</v>
      </c>
      <c r="K41">
        <v>0.01</v>
      </c>
    </row>
    <row r="42" spans="1:11">
      <c r="A42" t="s">
        <v>333</v>
      </c>
      <c r="B42" t="s">
        <v>129</v>
      </c>
      <c r="C42" t="s">
        <v>133</v>
      </c>
      <c r="D42" t="s">
        <v>242</v>
      </c>
      <c r="E42" t="s">
        <v>214</v>
      </c>
      <c r="F42">
        <v>1</v>
      </c>
      <c r="G42">
        <v>2145</v>
      </c>
      <c r="H42">
        <v>2095</v>
      </c>
      <c r="I42">
        <v>4.248E-3</v>
      </c>
      <c r="J42">
        <v>1</v>
      </c>
      <c r="K42">
        <v>0.01</v>
      </c>
    </row>
    <row r="43" spans="1:11">
      <c r="A43" t="s">
        <v>334</v>
      </c>
      <c r="B43" t="s">
        <v>129</v>
      </c>
      <c r="C43" t="s">
        <v>135</v>
      </c>
      <c r="D43" t="s">
        <v>242</v>
      </c>
      <c r="E43" t="s">
        <v>214</v>
      </c>
      <c r="F43">
        <v>1</v>
      </c>
      <c r="G43">
        <v>1400</v>
      </c>
      <c r="H43">
        <v>1400</v>
      </c>
      <c r="I43">
        <v>2.7680000000000001E-3</v>
      </c>
      <c r="J43">
        <v>1</v>
      </c>
      <c r="K43">
        <v>0.01</v>
      </c>
    </row>
    <row r="44" spans="1:11">
      <c r="A44" t="s">
        <v>335</v>
      </c>
      <c r="B44" t="s">
        <v>130</v>
      </c>
      <c r="C44" t="s">
        <v>134</v>
      </c>
      <c r="D44" t="s">
        <v>242</v>
      </c>
      <c r="E44" t="s">
        <v>214</v>
      </c>
      <c r="F44">
        <v>1</v>
      </c>
      <c r="G44">
        <v>600</v>
      </c>
      <c r="H44">
        <v>600</v>
      </c>
      <c r="I44">
        <v>8.3330000000000001E-3</v>
      </c>
      <c r="J44">
        <v>1</v>
      </c>
      <c r="K44">
        <v>0.01</v>
      </c>
    </row>
    <row r="45" spans="1:11">
      <c r="A45" t="s">
        <v>336</v>
      </c>
      <c r="B45" t="s">
        <v>131</v>
      </c>
      <c r="C45" t="s">
        <v>132</v>
      </c>
      <c r="D45" t="s">
        <v>242</v>
      </c>
      <c r="E45" t="s">
        <v>214</v>
      </c>
      <c r="F45">
        <v>1</v>
      </c>
      <c r="G45">
        <v>3300</v>
      </c>
      <c r="H45">
        <v>3300</v>
      </c>
      <c r="I45">
        <v>2.1359999999999999E-3</v>
      </c>
      <c r="J45">
        <v>1</v>
      </c>
      <c r="K45">
        <v>0.01</v>
      </c>
    </row>
    <row r="46" spans="1:11">
      <c r="A46" t="s">
        <v>337</v>
      </c>
      <c r="B46" t="s">
        <v>132</v>
      </c>
      <c r="C46" t="s">
        <v>133</v>
      </c>
      <c r="D46" t="s">
        <v>242</v>
      </c>
      <c r="E46" t="s">
        <v>214</v>
      </c>
      <c r="F46">
        <v>1</v>
      </c>
      <c r="G46">
        <v>7300</v>
      </c>
      <c r="H46">
        <v>7300</v>
      </c>
      <c r="I46">
        <v>1.8680000000000001E-3</v>
      </c>
      <c r="J46">
        <v>1</v>
      </c>
      <c r="K46">
        <v>0.01</v>
      </c>
    </row>
    <row r="47" spans="1:11">
      <c r="A47" t="s">
        <v>338</v>
      </c>
      <c r="B47" t="s">
        <v>133</v>
      </c>
      <c r="C47" t="s">
        <v>134</v>
      </c>
      <c r="D47" t="s">
        <v>242</v>
      </c>
      <c r="E47" t="s">
        <v>214</v>
      </c>
      <c r="F47">
        <v>1</v>
      </c>
      <c r="G47">
        <v>6200</v>
      </c>
      <c r="H47">
        <v>2800</v>
      </c>
      <c r="I47">
        <v>2.679E-3</v>
      </c>
      <c r="J47">
        <v>1</v>
      </c>
      <c r="K47">
        <v>0.01</v>
      </c>
    </row>
    <row r="48" spans="1:11">
      <c r="A48" t="s">
        <v>293</v>
      </c>
      <c r="B48" t="s">
        <v>111</v>
      </c>
      <c r="C48" t="s">
        <v>116</v>
      </c>
      <c r="D48" t="s">
        <v>242</v>
      </c>
      <c r="E48" t="s">
        <v>214</v>
      </c>
      <c r="F48">
        <v>2040</v>
      </c>
      <c r="G48">
        <v>1200</v>
      </c>
      <c r="H48">
        <v>1200</v>
      </c>
      <c r="I48">
        <v>8.7790000000000003E-3</v>
      </c>
      <c r="J48">
        <v>1</v>
      </c>
      <c r="K48">
        <v>0.01</v>
      </c>
    </row>
    <row r="49" spans="1:11">
      <c r="A49" t="s">
        <v>294</v>
      </c>
      <c r="B49" t="s">
        <v>111</v>
      </c>
      <c r="C49" t="s">
        <v>117</v>
      </c>
      <c r="D49" t="s">
        <v>242</v>
      </c>
      <c r="E49" t="s">
        <v>214</v>
      </c>
      <c r="F49">
        <v>2040</v>
      </c>
      <c r="G49">
        <v>7500</v>
      </c>
      <c r="H49">
        <v>7500</v>
      </c>
      <c r="I49">
        <v>2.134E-3</v>
      </c>
      <c r="J49">
        <v>1</v>
      </c>
      <c r="K49">
        <v>0.01</v>
      </c>
    </row>
    <row r="50" spans="1:11">
      <c r="A50" t="s">
        <v>295</v>
      </c>
      <c r="B50" t="s">
        <v>114</v>
      </c>
      <c r="C50" t="s">
        <v>117</v>
      </c>
      <c r="D50" t="s">
        <v>242</v>
      </c>
      <c r="E50" t="s">
        <v>214</v>
      </c>
      <c r="F50">
        <v>2040</v>
      </c>
      <c r="G50">
        <v>1000</v>
      </c>
      <c r="H50">
        <v>1000</v>
      </c>
      <c r="I50">
        <v>9.5930000000000008E-3</v>
      </c>
      <c r="J50">
        <v>1</v>
      </c>
      <c r="K50">
        <v>0.01</v>
      </c>
    </row>
    <row r="51" spans="1:11">
      <c r="A51" t="s">
        <v>296</v>
      </c>
      <c r="B51" t="s">
        <v>114</v>
      </c>
      <c r="C51" t="s">
        <v>123</v>
      </c>
      <c r="D51" t="s">
        <v>242</v>
      </c>
      <c r="E51" t="s">
        <v>214</v>
      </c>
      <c r="F51">
        <v>2040</v>
      </c>
      <c r="G51">
        <v>3800</v>
      </c>
      <c r="H51">
        <v>5300</v>
      </c>
      <c r="I51">
        <v>4.0200000000000001E-3</v>
      </c>
      <c r="J51">
        <v>1</v>
      </c>
      <c r="K51">
        <v>0.01</v>
      </c>
    </row>
    <row r="52" spans="1:11">
      <c r="A52" t="s">
        <v>297</v>
      </c>
      <c r="B52" t="s">
        <v>114</v>
      </c>
      <c r="C52" t="s">
        <v>126</v>
      </c>
      <c r="D52" t="s">
        <v>242</v>
      </c>
      <c r="E52" t="s">
        <v>214</v>
      </c>
      <c r="F52">
        <v>2040</v>
      </c>
      <c r="G52">
        <v>5400</v>
      </c>
      <c r="H52">
        <v>4400</v>
      </c>
      <c r="I52">
        <v>4.6319999999999998E-3</v>
      </c>
      <c r="J52">
        <v>1</v>
      </c>
      <c r="K52">
        <v>0.01</v>
      </c>
    </row>
    <row r="53" spans="1:11">
      <c r="A53" t="s">
        <v>298</v>
      </c>
      <c r="B53" t="s">
        <v>114</v>
      </c>
      <c r="C53" t="s">
        <v>135</v>
      </c>
      <c r="D53" t="s">
        <v>242</v>
      </c>
      <c r="E53" t="s">
        <v>214</v>
      </c>
      <c r="F53">
        <v>2040</v>
      </c>
      <c r="G53">
        <v>4800</v>
      </c>
      <c r="H53">
        <v>4800</v>
      </c>
      <c r="I53">
        <v>8.4419999999999999E-3</v>
      </c>
      <c r="J53">
        <v>1</v>
      </c>
      <c r="K53">
        <v>0.01</v>
      </c>
    </row>
    <row r="54" spans="1:11">
      <c r="A54" t="s">
        <v>299</v>
      </c>
      <c r="B54" t="s">
        <v>116</v>
      </c>
      <c r="C54" t="s">
        <v>117</v>
      </c>
      <c r="D54" t="s">
        <v>242</v>
      </c>
      <c r="E54" t="s">
        <v>214</v>
      </c>
      <c r="F54">
        <v>2040</v>
      </c>
      <c r="G54">
        <v>4500</v>
      </c>
      <c r="H54">
        <v>5000</v>
      </c>
      <c r="I54">
        <v>5.7710000000000001E-3</v>
      </c>
      <c r="J54">
        <v>1</v>
      </c>
      <c r="K54">
        <v>0.01</v>
      </c>
    </row>
    <row r="55" spans="1:11">
      <c r="A55" t="s">
        <v>300</v>
      </c>
      <c r="B55" t="s">
        <v>116</v>
      </c>
      <c r="C55" t="s">
        <v>123</v>
      </c>
      <c r="D55" t="s">
        <v>242</v>
      </c>
      <c r="E55" t="s">
        <v>214</v>
      </c>
      <c r="F55">
        <v>2040</v>
      </c>
      <c r="G55">
        <v>2200</v>
      </c>
      <c r="H55">
        <v>4500</v>
      </c>
      <c r="I55">
        <v>7.3699999999999998E-3</v>
      </c>
      <c r="J55">
        <v>1</v>
      </c>
      <c r="K55">
        <v>0.01</v>
      </c>
    </row>
    <row r="56" spans="1:11">
      <c r="A56" t="s">
        <v>301</v>
      </c>
      <c r="B56" t="s">
        <v>117</v>
      </c>
      <c r="C56" t="s">
        <v>118</v>
      </c>
      <c r="D56" t="s">
        <v>242</v>
      </c>
      <c r="E56" t="s">
        <v>214</v>
      </c>
      <c r="F56">
        <v>2040</v>
      </c>
      <c r="G56">
        <v>2200</v>
      </c>
      <c r="H56">
        <v>3000</v>
      </c>
      <c r="I56">
        <v>5.143E-3</v>
      </c>
      <c r="J56">
        <v>1</v>
      </c>
      <c r="K56">
        <v>0.01</v>
      </c>
    </row>
    <row r="57" spans="1:11">
      <c r="A57" t="s">
        <v>302</v>
      </c>
      <c r="B57" t="s">
        <v>117</v>
      </c>
      <c r="C57" t="s">
        <v>119</v>
      </c>
      <c r="D57" t="s">
        <v>242</v>
      </c>
      <c r="E57" t="s">
        <v>214</v>
      </c>
      <c r="F57">
        <v>2040</v>
      </c>
      <c r="G57">
        <v>3500</v>
      </c>
      <c r="H57">
        <v>3500</v>
      </c>
      <c r="I57">
        <v>4.2859999999999999E-3</v>
      </c>
      <c r="J57">
        <v>1</v>
      </c>
      <c r="K57">
        <v>0.01</v>
      </c>
    </row>
    <row r="58" spans="1:11">
      <c r="A58" t="s">
        <v>303</v>
      </c>
      <c r="B58" t="s">
        <v>117</v>
      </c>
      <c r="C58" t="s">
        <v>123</v>
      </c>
      <c r="D58" t="s">
        <v>242</v>
      </c>
      <c r="E58" t="s">
        <v>214</v>
      </c>
      <c r="F58">
        <v>2040</v>
      </c>
      <c r="G58">
        <v>4800</v>
      </c>
      <c r="H58">
        <v>4800</v>
      </c>
      <c r="I58">
        <v>4.2189999999999997E-3</v>
      </c>
      <c r="J58">
        <v>1</v>
      </c>
      <c r="K58">
        <v>0.01</v>
      </c>
    </row>
    <row r="59" spans="1:11">
      <c r="A59" t="s">
        <v>304</v>
      </c>
      <c r="B59" t="s">
        <v>117</v>
      </c>
      <c r="C59" t="s">
        <v>126</v>
      </c>
      <c r="D59" t="s">
        <v>242</v>
      </c>
      <c r="E59" t="s">
        <v>214</v>
      </c>
      <c r="F59">
        <v>2040</v>
      </c>
      <c r="G59">
        <v>5000</v>
      </c>
      <c r="H59">
        <v>5000</v>
      </c>
      <c r="I59">
        <v>2.7590000000000002E-3</v>
      </c>
      <c r="J59">
        <v>1</v>
      </c>
      <c r="K59">
        <v>0.01</v>
      </c>
    </row>
    <row r="60" spans="1:11">
      <c r="A60" t="s">
        <v>305</v>
      </c>
      <c r="B60" t="s">
        <v>117</v>
      </c>
      <c r="C60" t="s">
        <v>129</v>
      </c>
      <c r="D60" t="s">
        <v>242</v>
      </c>
      <c r="E60" t="s">
        <v>214</v>
      </c>
      <c r="F60">
        <v>2040</v>
      </c>
      <c r="G60">
        <v>1400</v>
      </c>
      <c r="H60">
        <v>1400</v>
      </c>
      <c r="I60">
        <v>3.571E-3</v>
      </c>
      <c r="J60">
        <v>1</v>
      </c>
      <c r="K60">
        <v>0.01</v>
      </c>
    </row>
    <row r="61" spans="1:11">
      <c r="A61" t="s">
        <v>306</v>
      </c>
      <c r="B61" t="s">
        <v>117</v>
      </c>
      <c r="C61" t="s">
        <v>130</v>
      </c>
      <c r="D61" t="s">
        <v>242</v>
      </c>
      <c r="E61" t="s">
        <v>214</v>
      </c>
      <c r="F61">
        <v>2040</v>
      </c>
      <c r="G61">
        <v>2000</v>
      </c>
      <c r="H61">
        <v>3000</v>
      </c>
      <c r="I61">
        <v>3.388E-3</v>
      </c>
      <c r="J61">
        <v>1</v>
      </c>
      <c r="K61">
        <v>0.01</v>
      </c>
    </row>
    <row r="62" spans="1:11">
      <c r="A62" t="s">
        <v>307</v>
      </c>
      <c r="B62" t="s">
        <v>117</v>
      </c>
      <c r="C62" t="s">
        <v>134</v>
      </c>
      <c r="D62" t="s">
        <v>242</v>
      </c>
      <c r="E62" t="s">
        <v>214</v>
      </c>
      <c r="F62">
        <v>2040</v>
      </c>
      <c r="G62">
        <v>2015</v>
      </c>
      <c r="H62">
        <v>2015</v>
      </c>
      <c r="I62">
        <v>8.1300000000000001E-3</v>
      </c>
      <c r="J62">
        <v>1</v>
      </c>
      <c r="K62">
        <v>0.01</v>
      </c>
    </row>
    <row r="63" spans="1:11">
      <c r="A63" t="s">
        <v>308</v>
      </c>
      <c r="B63" t="s">
        <v>117</v>
      </c>
      <c r="C63" t="s">
        <v>135</v>
      </c>
      <c r="D63" t="s">
        <v>242</v>
      </c>
      <c r="E63" t="s">
        <v>214</v>
      </c>
      <c r="F63">
        <v>2040</v>
      </c>
      <c r="G63">
        <v>2800</v>
      </c>
      <c r="H63">
        <v>2800</v>
      </c>
      <c r="I63">
        <v>4.7959999999999999E-3</v>
      </c>
      <c r="J63">
        <v>1</v>
      </c>
      <c r="K63">
        <v>0.01</v>
      </c>
    </row>
    <row r="64" spans="1:11">
      <c r="A64" t="s">
        <v>309</v>
      </c>
      <c r="B64" t="s">
        <v>118</v>
      </c>
      <c r="C64" t="s">
        <v>119</v>
      </c>
      <c r="D64" t="s">
        <v>242</v>
      </c>
      <c r="E64" t="s">
        <v>214</v>
      </c>
      <c r="F64">
        <v>2040</v>
      </c>
      <c r="G64">
        <v>600</v>
      </c>
      <c r="H64">
        <v>590</v>
      </c>
      <c r="I64">
        <v>8.4030000000000007E-3</v>
      </c>
      <c r="J64">
        <v>1</v>
      </c>
      <c r="K64">
        <v>0.01</v>
      </c>
    </row>
    <row r="65" spans="1:11">
      <c r="A65" t="s">
        <v>310</v>
      </c>
      <c r="B65" t="s">
        <v>118</v>
      </c>
      <c r="C65" t="s">
        <v>130</v>
      </c>
      <c r="D65" t="s">
        <v>242</v>
      </c>
      <c r="E65" t="s">
        <v>214</v>
      </c>
      <c r="F65">
        <v>2040</v>
      </c>
      <c r="G65">
        <v>0</v>
      </c>
      <c r="H65">
        <v>0</v>
      </c>
      <c r="I65">
        <v>4.7959999999999999E-3</v>
      </c>
      <c r="J65">
        <v>1</v>
      </c>
      <c r="K65">
        <v>0.01</v>
      </c>
    </row>
    <row r="66" spans="1:11">
      <c r="A66" t="s">
        <v>311</v>
      </c>
      <c r="B66" t="s">
        <v>118</v>
      </c>
      <c r="C66" t="s">
        <v>134</v>
      </c>
      <c r="D66" t="s">
        <v>242</v>
      </c>
      <c r="E66" t="s">
        <v>214</v>
      </c>
      <c r="F66">
        <v>2040</v>
      </c>
      <c r="G66">
        <v>1700</v>
      </c>
      <c r="H66">
        <v>1300</v>
      </c>
      <c r="I66">
        <v>5.5469999999999998E-3</v>
      </c>
      <c r="J66">
        <v>1</v>
      </c>
      <c r="K66">
        <v>0.01</v>
      </c>
    </row>
    <row r="67" spans="1:11">
      <c r="A67" t="s">
        <v>312</v>
      </c>
      <c r="B67" t="s">
        <v>119</v>
      </c>
      <c r="C67" t="s">
        <v>126</v>
      </c>
      <c r="D67" t="s">
        <v>242</v>
      </c>
      <c r="E67" t="s">
        <v>214</v>
      </c>
      <c r="F67">
        <v>2040</v>
      </c>
      <c r="G67">
        <v>700</v>
      </c>
      <c r="H67">
        <v>700</v>
      </c>
      <c r="I67">
        <v>4.7959999999999999E-3</v>
      </c>
      <c r="J67">
        <v>1</v>
      </c>
      <c r="K67">
        <v>0.01</v>
      </c>
    </row>
    <row r="68" spans="1:11">
      <c r="A68" t="s">
        <v>313</v>
      </c>
      <c r="B68" t="s">
        <v>119</v>
      </c>
      <c r="C68" t="s">
        <v>129</v>
      </c>
      <c r="D68" t="s">
        <v>242</v>
      </c>
      <c r="E68" t="s">
        <v>214</v>
      </c>
      <c r="F68">
        <v>2040</v>
      </c>
      <c r="G68">
        <v>1632</v>
      </c>
      <c r="H68">
        <v>1632</v>
      </c>
      <c r="I68">
        <v>2.3080000000000002E-3</v>
      </c>
      <c r="J68">
        <v>1</v>
      </c>
      <c r="K68">
        <v>0.01</v>
      </c>
    </row>
    <row r="69" spans="1:11">
      <c r="A69" t="s">
        <v>314</v>
      </c>
      <c r="B69" t="s">
        <v>119</v>
      </c>
      <c r="C69" t="s">
        <v>133</v>
      </c>
      <c r="D69" t="s">
        <v>242</v>
      </c>
      <c r="E69" t="s">
        <v>214</v>
      </c>
      <c r="F69">
        <v>2040</v>
      </c>
      <c r="G69">
        <v>715</v>
      </c>
      <c r="H69">
        <v>715</v>
      </c>
      <c r="I69">
        <v>6.8729999999999998E-3</v>
      </c>
      <c r="J69">
        <v>1</v>
      </c>
      <c r="K69">
        <v>0.01</v>
      </c>
    </row>
    <row r="70" spans="1:11">
      <c r="A70" t="s">
        <v>315</v>
      </c>
      <c r="B70" t="s">
        <v>119</v>
      </c>
      <c r="C70" t="s">
        <v>135</v>
      </c>
      <c r="D70" t="s">
        <v>242</v>
      </c>
      <c r="E70" t="s">
        <v>214</v>
      </c>
      <c r="F70">
        <v>2040</v>
      </c>
      <c r="G70">
        <v>2800</v>
      </c>
      <c r="H70">
        <v>2800</v>
      </c>
      <c r="I70">
        <v>4.7959999999999999E-3</v>
      </c>
      <c r="J70">
        <v>1</v>
      </c>
      <c r="K70">
        <v>0.01</v>
      </c>
    </row>
    <row r="71" spans="1:11">
      <c r="A71" t="s">
        <v>316</v>
      </c>
      <c r="B71" t="s">
        <v>120</v>
      </c>
      <c r="C71" t="s">
        <v>122</v>
      </c>
      <c r="D71" t="s">
        <v>242</v>
      </c>
      <c r="E71" t="s">
        <v>214</v>
      </c>
      <c r="F71">
        <v>2040</v>
      </c>
      <c r="G71">
        <v>1716</v>
      </c>
      <c r="H71">
        <v>1716</v>
      </c>
      <c r="I71">
        <v>3.2859999999999999E-3</v>
      </c>
      <c r="J71">
        <v>1</v>
      </c>
      <c r="K71">
        <v>0.01</v>
      </c>
    </row>
    <row r="72" spans="1:11">
      <c r="A72" t="s">
        <v>317</v>
      </c>
      <c r="B72" t="s">
        <v>120</v>
      </c>
      <c r="C72" t="s">
        <v>125</v>
      </c>
      <c r="D72" t="s">
        <v>242</v>
      </c>
      <c r="E72" t="s">
        <v>214</v>
      </c>
      <c r="F72">
        <v>2040</v>
      </c>
      <c r="G72">
        <v>1950</v>
      </c>
      <c r="H72">
        <v>1879</v>
      </c>
      <c r="I72">
        <v>3.3059999999999999E-3</v>
      </c>
      <c r="J72">
        <v>1</v>
      </c>
      <c r="K72">
        <v>0.01</v>
      </c>
    </row>
    <row r="73" spans="1:11">
      <c r="A73" t="s">
        <v>318</v>
      </c>
      <c r="B73" t="s">
        <v>121</v>
      </c>
      <c r="C73" t="s">
        <v>123</v>
      </c>
      <c r="D73" t="s">
        <v>242</v>
      </c>
      <c r="E73" t="s">
        <v>214</v>
      </c>
      <c r="F73">
        <v>2040</v>
      </c>
      <c r="G73">
        <v>6500</v>
      </c>
      <c r="H73">
        <v>6500</v>
      </c>
      <c r="I73">
        <v>4.627E-3</v>
      </c>
      <c r="J73">
        <v>1</v>
      </c>
      <c r="K73">
        <v>0.01</v>
      </c>
    </row>
    <row r="74" spans="1:11">
      <c r="A74" t="s">
        <v>319</v>
      </c>
      <c r="B74" t="s">
        <v>122</v>
      </c>
      <c r="C74" t="s">
        <v>128</v>
      </c>
      <c r="D74" t="s">
        <v>242</v>
      </c>
      <c r="E74" t="s">
        <v>214</v>
      </c>
      <c r="F74">
        <v>2040</v>
      </c>
      <c r="G74">
        <v>0</v>
      </c>
      <c r="H74">
        <v>0</v>
      </c>
      <c r="I74">
        <v>4.7959999999999999E-3</v>
      </c>
      <c r="J74">
        <v>1</v>
      </c>
      <c r="K74">
        <v>0.01</v>
      </c>
    </row>
    <row r="75" spans="1:11">
      <c r="A75" t="s">
        <v>320</v>
      </c>
      <c r="B75" t="s">
        <v>122</v>
      </c>
      <c r="C75" t="s">
        <v>131</v>
      </c>
      <c r="D75" t="s">
        <v>242</v>
      </c>
      <c r="E75" t="s">
        <v>214</v>
      </c>
      <c r="F75">
        <v>2040</v>
      </c>
      <c r="G75">
        <v>2800</v>
      </c>
      <c r="H75">
        <v>2800</v>
      </c>
      <c r="I75">
        <v>2.9039999999999999E-3</v>
      </c>
      <c r="J75">
        <v>1</v>
      </c>
      <c r="K75">
        <v>0.01</v>
      </c>
    </row>
    <row r="76" spans="1:11">
      <c r="A76" t="s">
        <v>321</v>
      </c>
      <c r="B76" t="s">
        <v>122</v>
      </c>
      <c r="C76" t="s">
        <v>133</v>
      </c>
      <c r="D76" t="s">
        <v>242</v>
      </c>
      <c r="E76" t="s">
        <v>214</v>
      </c>
      <c r="F76">
        <v>2040</v>
      </c>
      <c r="G76">
        <v>1200</v>
      </c>
      <c r="H76">
        <v>1200</v>
      </c>
      <c r="I76">
        <v>4.1539999999999997E-3</v>
      </c>
      <c r="J76">
        <v>1</v>
      </c>
      <c r="K76">
        <v>0.01</v>
      </c>
    </row>
    <row r="77" spans="1:11">
      <c r="A77" t="s">
        <v>322</v>
      </c>
      <c r="B77" t="s">
        <v>123</v>
      </c>
      <c r="C77" t="s">
        <v>135</v>
      </c>
      <c r="D77" t="s">
        <v>242</v>
      </c>
      <c r="E77" t="s">
        <v>214</v>
      </c>
      <c r="F77">
        <v>2040</v>
      </c>
      <c r="G77">
        <v>8725</v>
      </c>
      <c r="H77">
        <v>8725</v>
      </c>
      <c r="I77">
        <v>4.3889999999999997E-3</v>
      </c>
      <c r="J77">
        <v>1</v>
      </c>
      <c r="K77">
        <v>0.01</v>
      </c>
    </row>
    <row r="78" spans="1:11">
      <c r="A78" t="s">
        <v>323</v>
      </c>
      <c r="B78" t="s">
        <v>124</v>
      </c>
      <c r="C78" t="s">
        <v>125</v>
      </c>
      <c r="D78" t="s">
        <v>242</v>
      </c>
      <c r="E78" t="s">
        <v>214</v>
      </c>
      <c r="F78">
        <v>2040</v>
      </c>
      <c r="G78">
        <v>950</v>
      </c>
      <c r="H78">
        <v>950</v>
      </c>
      <c r="I78">
        <v>3.3210000000000002E-3</v>
      </c>
      <c r="J78">
        <v>1</v>
      </c>
      <c r="K78">
        <v>0.01</v>
      </c>
    </row>
    <row r="79" spans="1:11">
      <c r="A79" t="s">
        <v>324</v>
      </c>
      <c r="B79" t="s">
        <v>124</v>
      </c>
      <c r="C79" t="s">
        <v>130</v>
      </c>
      <c r="D79" t="s">
        <v>242</v>
      </c>
      <c r="E79" t="s">
        <v>214</v>
      </c>
      <c r="F79">
        <v>2040</v>
      </c>
      <c r="G79">
        <v>700</v>
      </c>
      <c r="H79">
        <v>700</v>
      </c>
      <c r="I79">
        <v>8.796E-3</v>
      </c>
      <c r="J79">
        <v>1</v>
      </c>
      <c r="K79">
        <v>0.01</v>
      </c>
    </row>
    <row r="80" spans="1:11">
      <c r="A80" t="s">
        <v>325</v>
      </c>
      <c r="B80" t="s">
        <v>124</v>
      </c>
      <c r="C80" t="s">
        <v>134</v>
      </c>
      <c r="D80" t="s">
        <v>242</v>
      </c>
      <c r="E80" t="s">
        <v>214</v>
      </c>
      <c r="F80">
        <v>2040</v>
      </c>
      <c r="G80">
        <v>700</v>
      </c>
      <c r="H80">
        <v>700</v>
      </c>
      <c r="I80">
        <v>4.8089999999999999E-3</v>
      </c>
      <c r="J80">
        <v>1</v>
      </c>
      <c r="K80">
        <v>0.01</v>
      </c>
    </row>
    <row r="81" spans="1:11">
      <c r="A81" t="s">
        <v>326</v>
      </c>
      <c r="B81" t="s">
        <v>126</v>
      </c>
      <c r="C81" t="s">
        <v>129</v>
      </c>
      <c r="D81" t="s">
        <v>242</v>
      </c>
      <c r="E81" t="s">
        <v>214</v>
      </c>
      <c r="F81">
        <v>2040</v>
      </c>
      <c r="G81">
        <v>700</v>
      </c>
      <c r="H81">
        <v>700</v>
      </c>
      <c r="I81">
        <v>3.813E-3</v>
      </c>
      <c r="J81">
        <v>1</v>
      </c>
      <c r="K81">
        <v>0.01</v>
      </c>
    </row>
    <row r="82" spans="1:11">
      <c r="A82" t="s">
        <v>327</v>
      </c>
      <c r="B82" t="s">
        <v>126</v>
      </c>
      <c r="C82" t="s">
        <v>135</v>
      </c>
      <c r="D82" t="s">
        <v>242</v>
      </c>
      <c r="E82" t="s">
        <v>214</v>
      </c>
      <c r="F82">
        <v>2040</v>
      </c>
      <c r="G82">
        <v>2800</v>
      </c>
      <c r="H82">
        <v>2800</v>
      </c>
      <c r="I82">
        <v>9.7680000000000006E-3</v>
      </c>
      <c r="J82">
        <v>1</v>
      </c>
      <c r="K82">
        <v>0.01</v>
      </c>
    </row>
    <row r="83" spans="1:11">
      <c r="A83" t="s">
        <v>328</v>
      </c>
      <c r="B83" t="s">
        <v>127</v>
      </c>
      <c r="C83" t="s">
        <v>128</v>
      </c>
      <c r="D83" t="s">
        <v>242</v>
      </c>
      <c r="E83" t="s">
        <v>214</v>
      </c>
      <c r="F83">
        <v>2040</v>
      </c>
      <c r="G83">
        <v>350</v>
      </c>
      <c r="H83">
        <v>1300</v>
      </c>
      <c r="I83">
        <v>2.5279999999999999E-3</v>
      </c>
      <c r="J83">
        <v>1</v>
      </c>
      <c r="K83">
        <v>0.01</v>
      </c>
    </row>
    <row r="84" spans="1:11">
      <c r="A84" t="s">
        <v>329</v>
      </c>
      <c r="B84" t="s">
        <v>127</v>
      </c>
      <c r="C84" t="s">
        <v>129</v>
      </c>
      <c r="D84" t="s">
        <v>242</v>
      </c>
      <c r="E84" t="s">
        <v>214</v>
      </c>
      <c r="F84">
        <v>2040</v>
      </c>
      <c r="G84">
        <v>800</v>
      </c>
      <c r="H84">
        <v>600</v>
      </c>
      <c r="I84">
        <v>1.603E-3</v>
      </c>
      <c r="J84">
        <v>1</v>
      </c>
      <c r="K84">
        <v>0.01</v>
      </c>
    </row>
    <row r="85" spans="1:11">
      <c r="A85" t="s">
        <v>330</v>
      </c>
      <c r="B85" t="s">
        <v>127</v>
      </c>
      <c r="C85" t="s">
        <v>132</v>
      </c>
      <c r="D85" t="s">
        <v>242</v>
      </c>
      <c r="E85" t="s">
        <v>214</v>
      </c>
      <c r="F85">
        <v>2040</v>
      </c>
      <c r="G85">
        <v>600</v>
      </c>
      <c r="H85">
        <v>1000</v>
      </c>
      <c r="I85">
        <v>3.9880000000000002E-3</v>
      </c>
      <c r="J85">
        <v>1</v>
      </c>
      <c r="K85">
        <v>0.01</v>
      </c>
    </row>
    <row r="86" spans="1:11">
      <c r="A86" t="s">
        <v>331</v>
      </c>
      <c r="B86" t="s">
        <v>128</v>
      </c>
      <c r="C86" t="s">
        <v>131</v>
      </c>
      <c r="D86" t="s">
        <v>242</v>
      </c>
      <c r="E86" t="s">
        <v>214</v>
      </c>
      <c r="F86">
        <v>2040</v>
      </c>
      <c r="G86">
        <v>700</v>
      </c>
      <c r="H86">
        <v>600</v>
      </c>
      <c r="I86">
        <v>4.3309999999999998E-3</v>
      </c>
      <c r="J86">
        <v>1</v>
      </c>
      <c r="K86">
        <v>0.01</v>
      </c>
    </row>
    <row r="87" spans="1:11">
      <c r="A87" t="s">
        <v>332</v>
      </c>
      <c r="B87" t="s">
        <v>128</v>
      </c>
      <c r="C87" t="s">
        <v>132</v>
      </c>
      <c r="D87" t="s">
        <v>242</v>
      </c>
      <c r="E87" t="s">
        <v>214</v>
      </c>
      <c r="F87">
        <v>2040</v>
      </c>
      <c r="G87">
        <v>250</v>
      </c>
      <c r="H87">
        <v>300</v>
      </c>
      <c r="I87">
        <v>3.2550000000000001E-3</v>
      </c>
      <c r="J87">
        <v>1</v>
      </c>
      <c r="K87">
        <v>0.01</v>
      </c>
    </row>
    <row r="88" spans="1:11">
      <c r="A88" t="s">
        <v>333</v>
      </c>
      <c r="B88" t="s">
        <v>129</v>
      </c>
      <c r="C88" t="s">
        <v>133</v>
      </c>
      <c r="D88" t="s">
        <v>242</v>
      </c>
      <c r="E88" t="s">
        <v>214</v>
      </c>
      <c r="F88">
        <v>2040</v>
      </c>
      <c r="G88">
        <v>2145</v>
      </c>
      <c r="H88">
        <v>2095</v>
      </c>
      <c r="I88">
        <v>4.248E-3</v>
      </c>
      <c r="J88">
        <v>1</v>
      </c>
      <c r="K88">
        <v>0.01</v>
      </c>
    </row>
    <row r="89" spans="1:11">
      <c r="A89" t="s">
        <v>334</v>
      </c>
      <c r="B89" t="s">
        <v>129</v>
      </c>
      <c r="C89" t="s">
        <v>135</v>
      </c>
      <c r="D89" t="s">
        <v>242</v>
      </c>
      <c r="E89" t="s">
        <v>214</v>
      </c>
      <c r="F89">
        <v>2040</v>
      </c>
      <c r="G89">
        <v>1400</v>
      </c>
      <c r="H89">
        <v>1400</v>
      </c>
      <c r="I89">
        <v>2.7680000000000001E-3</v>
      </c>
      <c r="J89">
        <v>1</v>
      </c>
      <c r="K89">
        <v>0.01</v>
      </c>
    </row>
    <row r="90" spans="1:11">
      <c r="A90" t="s">
        <v>335</v>
      </c>
      <c r="B90" t="s">
        <v>130</v>
      </c>
      <c r="C90" t="s">
        <v>134</v>
      </c>
      <c r="D90" t="s">
        <v>242</v>
      </c>
      <c r="E90" t="s">
        <v>214</v>
      </c>
      <c r="F90">
        <v>2040</v>
      </c>
      <c r="G90">
        <v>600</v>
      </c>
      <c r="H90">
        <v>600</v>
      </c>
      <c r="I90">
        <v>8.3330000000000001E-3</v>
      </c>
      <c r="J90">
        <v>1</v>
      </c>
      <c r="K90">
        <v>0.01</v>
      </c>
    </row>
    <row r="91" spans="1:11">
      <c r="A91" t="s">
        <v>336</v>
      </c>
      <c r="B91" t="s">
        <v>131</v>
      </c>
      <c r="C91" t="s">
        <v>132</v>
      </c>
      <c r="D91" t="s">
        <v>242</v>
      </c>
      <c r="E91" t="s">
        <v>214</v>
      </c>
      <c r="F91">
        <v>2040</v>
      </c>
      <c r="G91">
        <v>3300</v>
      </c>
      <c r="H91">
        <v>3300</v>
      </c>
      <c r="I91">
        <v>2.1359999999999999E-3</v>
      </c>
      <c r="J91">
        <v>1</v>
      </c>
      <c r="K91">
        <v>0.01</v>
      </c>
    </row>
    <row r="92" spans="1:11">
      <c r="A92" t="s">
        <v>337</v>
      </c>
      <c r="B92" t="s">
        <v>132</v>
      </c>
      <c r="C92" t="s">
        <v>133</v>
      </c>
      <c r="D92" t="s">
        <v>242</v>
      </c>
      <c r="E92" t="s">
        <v>214</v>
      </c>
      <c r="F92">
        <v>2040</v>
      </c>
      <c r="G92">
        <v>7300</v>
      </c>
      <c r="H92">
        <v>7300</v>
      </c>
      <c r="I92">
        <v>1.8680000000000001E-3</v>
      </c>
      <c r="J92">
        <v>1</v>
      </c>
      <c r="K92">
        <v>0.01</v>
      </c>
    </row>
    <row r="93" spans="1:11">
      <c r="A93" t="s">
        <v>338</v>
      </c>
      <c r="B93" t="s">
        <v>133</v>
      </c>
      <c r="C93" t="s">
        <v>134</v>
      </c>
      <c r="D93" t="s">
        <v>242</v>
      </c>
      <c r="E93" t="s">
        <v>214</v>
      </c>
      <c r="F93">
        <v>2040</v>
      </c>
      <c r="G93">
        <v>6200</v>
      </c>
      <c r="H93">
        <v>2800</v>
      </c>
      <c r="I93">
        <v>2.679E-3</v>
      </c>
      <c r="J93">
        <v>1</v>
      </c>
      <c r="K93">
        <v>0.01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E3" sqref="E3"/>
    </sheetView>
  </sheetViews>
  <sheetFormatPr defaultRowHeight="15"/>
  <cols>
    <col min="1" max="1" width="14.140625" customWidth="1"/>
  </cols>
  <sheetData>
    <row r="1" spans="1:5">
      <c r="A1" s="89" t="s">
        <v>210</v>
      </c>
      <c r="B1" s="89" t="s">
        <v>211</v>
      </c>
      <c r="C1" s="89" t="s">
        <v>339</v>
      </c>
      <c r="D1" s="89" t="s">
        <v>340</v>
      </c>
      <c r="E1" s="89" t="s">
        <v>341</v>
      </c>
    </row>
    <row r="2" spans="1:5">
      <c r="A2" s="90" t="s">
        <v>214</v>
      </c>
      <c r="B2">
        <v>1</v>
      </c>
      <c r="C2" s="91" t="s">
        <v>253</v>
      </c>
      <c r="D2" t="s">
        <v>248</v>
      </c>
      <c r="E2" s="91">
        <v>95</v>
      </c>
    </row>
    <row r="3" spans="1:5">
      <c r="A3" s="90"/>
      <c r="C3" s="91"/>
      <c r="E3" s="9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E154"/>
  <sheetViews>
    <sheetView tabSelected="1" topLeftCell="A133" workbookViewId="0">
      <selection activeCell="K152" sqref="K152"/>
    </sheetView>
  </sheetViews>
  <sheetFormatPr defaultRowHeight="15"/>
  <cols>
    <col min="1" max="1" width="10.140625" customWidth="1"/>
    <col min="2" max="2" width="26.42578125" bestFit="1" customWidth="1"/>
    <col min="3" max="3" width="15.28515625" bestFit="1" customWidth="1"/>
    <col min="5" max="5" width="18.28515625" customWidth="1"/>
    <col min="10" max="10" width="20.85546875" customWidth="1"/>
  </cols>
  <sheetData>
    <row r="1" spans="1:5">
      <c r="A1" s="97" t="s">
        <v>3</v>
      </c>
      <c r="B1" s="97" t="s">
        <v>209</v>
      </c>
      <c r="C1" s="97" t="s">
        <v>210</v>
      </c>
      <c r="D1" s="97" t="s">
        <v>211</v>
      </c>
      <c r="E1" s="97" t="s">
        <v>212</v>
      </c>
    </row>
    <row r="2" spans="1:5">
      <c r="A2" s="95" t="s">
        <v>111</v>
      </c>
      <c r="B2" s="95" t="s">
        <v>250</v>
      </c>
      <c r="C2" s="96" t="s">
        <v>214</v>
      </c>
      <c r="D2" s="96">
        <v>1</v>
      </c>
      <c r="E2" s="95">
        <v>1009.997</v>
      </c>
    </row>
    <row r="3" spans="1:5">
      <c r="A3" t="s">
        <v>111</v>
      </c>
      <c r="B3" t="s">
        <v>254</v>
      </c>
      <c r="C3" s="96" t="s">
        <v>214</v>
      </c>
      <c r="D3" s="96">
        <v>1</v>
      </c>
      <c r="E3">
        <v>113</v>
      </c>
    </row>
    <row r="4" spans="1:5">
      <c r="A4" s="95" t="s">
        <v>111</v>
      </c>
      <c r="B4" s="95" t="s">
        <v>255</v>
      </c>
      <c r="C4" s="96" t="s">
        <v>214</v>
      </c>
      <c r="D4" s="96">
        <v>1</v>
      </c>
      <c r="E4" s="95">
        <v>356.50299999999999</v>
      </c>
    </row>
    <row r="5" spans="1:5">
      <c r="A5" t="s">
        <v>111</v>
      </c>
      <c r="B5" t="s">
        <v>256</v>
      </c>
      <c r="C5" s="96" t="s">
        <v>214</v>
      </c>
      <c r="D5" s="96">
        <v>1</v>
      </c>
      <c r="E5">
        <v>220.00200000000001</v>
      </c>
    </row>
    <row r="6" spans="1:5">
      <c r="A6" s="95" t="s">
        <v>111</v>
      </c>
      <c r="B6" s="95" t="s">
        <v>258</v>
      </c>
      <c r="C6" s="96" t="s">
        <v>214</v>
      </c>
      <c r="D6" s="96">
        <v>1</v>
      </c>
      <c r="E6" s="95">
        <v>370</v>
      </c>
    </row>
    <row r="7" spans="1:5">
      <c r="A7" t="s">
        <v>111</v>
      </c>
      <c r="B7" t="s">
        <v>259</v>
      </c>
      <c r="C7" s="96" t="s">
        <v>214</v>
      </c>
      <c r="D7" s="96">
        <v>1</v>
      </c>
      <c r="E7">
        <v>1751.6</v>
      </c>
    </row>
    <row r="8" spans="1:5">
      <c r="A8" s="95" t="s">
        <v>111</v>
      </c>
      <c r="B8" s="95" t="s">
        <v>262</v>
      </c>
      <c r="C8" s="96" t="s">
        <v>214</v>
      </c>
      <c r="D8" s="96">
        <v>1</v>
      </c>
      <c r="E8" s="95">
        <v>51.2</v>
      </c>
    </row>
    <row r="9" spans="1:5">
      <c r="A9" t="s">
        <v>111</v>
      </c>
      <c r="B9" t="s">
        <v>263</v>
      </c>
      <c r="C9" s="96" t="s">
        <v>214</v>
      </c>
      <c r="D9" s="96">
        <v>1</v>
      </c>
      <c r="E9">
        <v>17.2</v>
      </c>
    </row>
    <row r="10" spans="1:5">
      <c r="A10" s="95" t="s">
        <v>111</v>
      </c>
      <c r="B10" s="95" t="s">
        <v>260</v>
      </c>
      <c r="C10" s="96" t="s">
        <v>214</v>
      </c>
      <c r="D10" s="96">
        <v>1</v>
      </c>
      <c r="E10" s="95">
        <v>414.33</v>
      </c>
    </row>
    <row r="11" spans="1:5">
      <c r="A11" t="s">
        <v>111</v>
      </c>
      <c r="B11" t="s">
        <v>261</v>
      </c>
      <c r="C11" s="96" t="s">
        <v>214</v>
      </c>
      <c r="D11" s="96">
        <v>1</v>
      </c>
      <c r="E11">
        <v>79.456000000000003</v>
      </c>
    </row>
    <row r="12" spans="1:5">
      <c r="A12" s="95" t="s">
        <v>111</v>
      </c>
      <c r="B12" s="95" t="s">
        <v>271</v>
      </c>
      <c r="C12" s="96" t="s">
        <v>214</v>
      </c>
      <c r="D12" s="96">
        <v>1</v>
      </c>
      <c r="E12" s="95">
        <v>845.24</v>
      </c>
    </row>
    <row r="13" spans="1:5">
      <c r="A13" t="s">
        <v>111</v>
      </c>
      <c r="B13" t="s">
        <v>272</v>
      </c>
      <c r="C13" s="96" t="s">
        <v>214</v>
      </c>
      <c r="D13" s="96">
        <v>1</v>
      </c>
      <c r="E13">
        <v>760.64499999999998</v>
      </c>
    </row>
    <row r="14" spans="1:5">
      <c r="A14" s="95" t="s">
        <v>111</v>
      </c>
      <c r="B14" s="95" t="s">
        <v>273</v>
      </c>
      <c r="C14" s="96" t="s">
        <v>214</v>
      </c>
      <c r="D14" s="96">
        <v>1</v>
      </c>
      <c r="E14" s="95">
        <v>120</v>
      </c>
    </row>
    <row r="15" spans="1:5">
      <c r="A15" t="s">
        <v>114</v>
      </c>
      <c r="B15" t="s">
        <v>250</v>
      </c>
      <c r="C15" s="96" t="s">
        <v>214</v>
      </c>
      <c r="D15" s="96">
        <v>1</v>
      </c>
      <c r="E15">
        <v>2871.2750000000001</v>
      </c>
    </row>
    <row r="16" spans="1:5">
      <c r="A16" s="95" t="s">
        <v>114</v>
      </c>
      <c r="B16" s="95" t="s">
        <v>254</v>
      </c>
      <c r="C16" s="96" t="s">
        <v>214</v>
      </c>
      <c r="D16" s="96">
        <v>1</v>
      </c>
      <c r="E16" s="95">
        <v>1775</v>
      </c>
    </row>
    <row r="17" spans="1:5">
      <c r="A17" t="s">
        <v>114</v>
      </c>
      <c r="B17" t="s">
        <v>259</v>
      </c>
      <c r="C17" s="96" t="s">
        <v>214</v>
      </c>
      <c r="D17" s="96">
        <v>1</v>
      </c>
      <c r="E17">
        <v>1732.1</v>
      </c>
    </row>
    <row r="18" spans="1:5">
      <c r="A18" s="95" t="s">
        <v>114</v>
      </c>
      <c r="B18" s="95" t="s">
        <v>262</v>
      </c>
      <c r="C18" s="96" t="s">
        <v>214</v>
      </c>
      <c r="D18" s="96">
        <v>1</v>
      </c>
      <c r="E18" s="95">
        <v>244</v>
      </c>
    </row>
    <row r="19" spans="1:5">
      <c r="A19" t="s">
        <v>114</v>
      </c>
      <c r="B19" t="s">
        <v>261</v>
      </c>
      <c r="C19" s="96" t="s">
        <v>214</v>
      </c>
      <c r="D19" s="96">
        <v>1</v>
      </c>
      <c r="E19">
        <v>870.99800000000005</v>
      </c>
    </row>
    <row r="20" spans="1:5">
      <c r="A20" s="95" t="s">
        <v>114</v>
      </c>
      <c r="B20" s="95" t="s">
        <v>265</v>
      </c>
      <c r="C20" s="96" t="s">
        <v>214</v>
      </c>
      <c r="D20" s="96">
        <v>1</v>
      </c>
      <c r="E20" s="95">
        <v>354.4</v>
      </c>
    </row>
    <row r="21" spans="1:5">
      <c r="A21" t="s">
        <v>114</v>
      </c>
      <c r="B21" t="s">
        <v>268</v>
      </c>
      <c r="C21" s="96" t="s">
        <v>214</v>
      </c>
      <c r="D21" s="96">
        <v>1</v>
      </c>
      <c r="E21">
        <v>140</v>
      </c>
    </row>
    <row r="22" spans="1:5">
      <c r="A22" s="95" t="s">
        <v>114</v>
      </c>
      <c r="B22" s="95" t="s">
        <v>271</v>
      </c>
      <c r="C22" s="96" t="s">
        <v>214</v>
      </c>
      <c r="D22" s="96">
        <v>1</v>
      </c>
      <c r="E22" s="95">
        <v>1594</v>
      </c>
    </row>
    <row r="23" spans="1:5">
      <c r="A23" t="s">
        <v>114</v>
      </c>
      <c r="B23" t="s">
        <v>272</v>
      </c>
      <c r="C23" s="96" t="s">
        <v>214</v>
      </c>
      <c r="D23" s="96">
        <v>1</v>
      </c>
      <c r="E23">
        <v>614.625</v>
      </c>
    </row>
    <row r="24" spans="1:5">
      <c r="A24" s="95" t="s">
        <v>114</v>
      </c>
      <c r="B24" s="95" t="s">
        <v>278</v>
      </c>
      <c r="C24" s="96" t="s">
        <v>214</v>
      </c>
      <c r="D24" s="96">
        <v>1</v>
      </c>
      <c r="E24" s="95">
        <v>2077</v>
      </c>
    </row>
    <row r="25" spans="1:5">
      <c r="A25" t="s">
        <v>116</v>
      </c>
      <c r="B25" t="s">
        <v>250</v>
      </c>
      <c r="C25" s="96" t="s">
        <v>214</v>
      </c>
      <c r="D25" s="96">
        <v>1</v>
      </c>
      <c r="E25">
        <v>2491.98</v>
      </c>
    </row>
    <row r="26" spans="1:5">
      <c r="A26" s="95" t="s">
        <v>116</v>
      </c>
      <c r="B26" s="95" t="s">
        <v>271</v>
      </c>
      <c r="C26" s="96" t="s">
        <v>214</v>
      </c>
      <c r="D26" s="96">
        <v>1</v>
      </c>
      <c r="E26" s="95">
        <v>566.59900000000005</v>
      </c>
    </row>
    <row r="27" spans="1:5">
      <c r="A27" t="s">
        <v>116</v>
      </c>
      <c r="B27" t="s">
        <v>272</v>
      </c>
      <c r="C27" s="96" t="s">
        <v>214</v>
      </c>
      <c r="D27" s="96">
        <v>1</v>
      </c>
      <c r="E27">
        <v>425.88900000000001</v>
      </c>
    </row>
    <row r="28" spans="1:5">
      <c r="A28" s="95" t="s">
        <v>116</v>
      </c>
      <c r="B28" s="95" t="s">
        <v>278</v>
      </c>
      <c r="C28" s="96" t="s">
        <v>214</v>
      </c>
      <c r="D28" s="96">
        <v>1</v>
      </c>
      <c r="E28" s="95">
        <v>1190</v>
      </c>
    </row>
    <row r="29" spans="1:5">
      <c r="A29" t="s">
        <v>117</v>
      </c>
      <c r="B29" t="s">
        <v>250</v>
      </c>
      <c r="C29" s="96" t="s">
        <v>214</v>
      </c>
      <c r="D29" s="96">
        <v>1</v>
      </c>
      <c r="E29">
        <v>53701.56</v>
      </c>
    </row>
    <row r="30" spans="1:5">
      <c r="A30" s="95" t="s">
        <v>117</v>
      </c>
      <c r="B30" s="95" t="s">
        <v>254</v>
      </c>
      <c r="C30" s="96" t="s">
        <v>214</v>
      </c>
      <c r="D30" s="96">
        <v>1</v>
      </c>
      <c r="E30" s="95">
        <v>1620.404</v>
      </c>
    </row>
    <row r="31" spans="1:5">
      <c r="A31" t="s">
        <v>117</v>
      </c>
      <c r="B31" t="s">
        <v>255</v>
      </c>
      <c r="C31" s="96" t="s">
        <v>214</v>
      </c>
      <c r="D31" s="96">
        <v>1</v>
      </c>
      <c r="E31">
        <v>53.6</v>
      </c>
    </row>
    <row r="32" spans="1:5">
      <c r="A32" s="95" t="s">
        <v>117</v>
      </c>
      <c r="B32" s="95" t="s">
        <v>256</v>
      </c>
      <c r="C32" s="96" t="s">
        <v>214</v>
      </c>
      <c r="D32" s="96">
        <v>1</v>
      </c>
      <c r="E32" s="95">
        <v>460.41399999999999</v>
      </c>
    </row>
    <row r="33" spans="1:5">
      <c r="A33" t="s">
        <v>117</v>
      </c>
      <c r="B33" t="s">
        <v>258</v>
      </c>
      <c r="C33" s="96" t="s">
        <v>214</v>
      </c>
      <c r="D33" s="96">
        <v>1</v>
      </c>
      <c r="E33">
        <v>1658.6</v>
      </c>
    </row>
    <row r="34" spans="1:5">
      <c r="A34" s="95" t="s">
        <v>117</v>
      </c>
      <c r="B34" s="95" t="s">
        <v>259</v>
      </c>
      <c r="C34" s="96" t="s">
        <v>214</v>
      </c>
      <c r="D34" s="96">
        <v>1</v>
      </c>
      <c r="E34" s="95">
        <v>18452.862000000001</v>
      </c>
    </row>
    <row r="35" spans="1:5">
      <c r="A35" t="s">
        <v>117</v>
      </c>
      <c r="B35" t="s">
        <v>262</v>
      </c>
      <c r="C35" s="96" t="s">
        <v>214</v>
      </c>
      <c r="D35" s="96">
        <v>1</v>
      </c>
      <c r="E35">
        <v>2355.79</v>
      </c>
    </row>
    <row r="36" spans="1:5">
      <c r="A36" s="95" t="s">
        <v>117</v>
      </c>
      <c r="B36" s="95" t="s">
        <v>263</v>
      </c>
      <c r="C36" s="96" t="s">
        <v>214</v>
      </c>
      <c r="D36" s="96">
        <v>1</v>
      </c>
      <c r="E36" s="95">
        <v>43.298999999999999</v>
      </c>
    </row>
    <row r="37" spans="1:5">
      <c r="A37" t="s">
        <v>117</v>
      </c>
      <c r="B37" t="s">
        <v>260</v>
      </c>
      <c r="C37" s="96" t="s">
        <v>214</v>
      </c>
      <c r="D37" s="96">
        <v>1</v>
      </c>
      <c r="E37">
        <v>109.68</v>
      </c>
    </row>
    <row r="38" spans="1:5">
      <c r="A38" s="95" t="s">
        <v>117</v>
      </c>
      <c r="B38" s="95" t="s">
        <v>261</v>
      </c>
      <c r="C38" s="96" t="s">
        <v>214</v>
      </c>
      <c r="D38" s="96">
        <v>1</v>
      </c>
      <c r="E38" s="95">
        <v>945.08699999999999</v>
      </c>
    </row>
    <row r="39" spans="1:5">
      <c r="A39" t="s">
        <v>117</v>
      </c>
      <c r="B39" t="s">
        <v>271</v>
      </c>
      <c r="C39" s="96" t="s">
        <v>214</v>
      </c>
      <c r="D39" s="96">
        <v>1</v>
      </c>
      <c r="E39">
        <v>7280.02</v>
      </c>
    </row>
    <row r="40" spans="1:5">
      <c r="A40" s="95" t="s">
        <v>117</v>
      </c>
      <c r="B40" s="95" t="s">
        <v>272</v>
      </c>
      <c r="C40" s="96" t="s">
        <v>214</v>
      </c>
      <c r="D40" s="96">
        <v>1</v>
      </c>
      <c r="E40" s="95">
        <v>13067.585999999999</v>
      </c>
    </row>
    <row r="41" spans="1:5">
      <c r="A41" t="s">
        <v>117</v>
      </c>
      <c r="B41" t="s">
        <v>273</v>
      </c>
      <c r="C41" s="96" t="s">
        <v>214</v>
      </c>
      <c r="D41" s="96">
        <v>1</v>
      </c>
      <c r="E41">
        <v>1585.3389999999999</v>
      </c>
    </row>
    <row r="42" spans="1:5">
      <c r="A42" s="95" t="s">
        <v>118</v>
      </c>
      <c r="B42" s="95" t="s">
        <v>250</v>
      </c>
      <c r="C42" s="96" t="s">
        <v>214</v>
      </c>
      <c r="D42" s="96">
        <v>1</v>
      </c>
      <c r="E42" s="95">
        <v>893.73099999999999</v>
      </c>
    </row>
    <row r="43" spans="1:5">
      <c r="A43" t="s">
        <v>118</v>
      </c>
      <c r="B43" t="s">
        <v>256</v>
      </c>
      <c r="C43" s="96" t="s">
        <v>214</v>
      </c>
      <c r="D43" s="96">
        <v>1</v>
      </c>
      <c r="E43">
        <v>57.752000000000002</v>
      </c>
    </row>
    <row r="44" spans="1:5">
      <c r="A44" s="95" t="s">
        <v>118</v>
      </c>
      <c r="B44" s="95" t="s">
        <v>257</v>
      </c>
      <c r="C44" s="96" t="s">
        <v>214</v>
      </c>
      <c r="D44" s="96">
        <v>1</v>
      </c>
      <c r="E44" s="95">
        <v>54.555</v>
      </c>
    </row>
    <row r="45" spans="1:5">
      <c r="A45" t="s">
        <v>118</v>
      </c>
      <c r="B45" t="s">
        <v>262</v>
      </c>
      <c r="C45" s="96" t="s">
        <v>214</v>
      </c>
      <c r="D45" s="96">
        <v>1</v>
      </c>
      <c r="E45">
        <v>71.959999999999994</v>
      </c>
    </row>
    <row r="46" spans="1:5">
      <c r="A46" s="95" t="s">
        <v>118</v>
      </c>
      <c r="B46" s="95" t="s">
        <v>263</v>
      </c>
      <c r="C46" s="96" t="s">
        <v>214</v>
      </c>
      <c r="D46" s="96">
        <v>1</v>
      </c>
      <c r="E46" s="95">
        <v>103.084</v>
      </c>
    </row>
    <row r="47" spans="1:5">
      <c r="A47" t="s">
        <v>118</v>
      </c>
      <c r="B47" t="s">
        <v>265</v>
      </c>
      <c r="C47" s="96" t="s">
        <v>214</v>
      </c>
      <c r="D47" s="96">
        <v>1</v>
      </c>
      <c r="E47">
        <v>1165.52</v>
      </c>
    </row>
    <row r="48" spans="1:5">
      <c r="A48" s="95" t="s">
        <v>118</v>
      </c>
      <c r="B48" s="95" t="s">
        <v>268</v>
      </c>
      <c r="C48" s="96" t="s">
        <v>214</v>
      </c>
      <c r="D48" s="96">
        <v>1</v>
      </c>
      <c r="E48" s="95">
        <v>65.099999999999994</v>
      </c>
    </row>
    <row r="49" spans="1:5">
      <c r="A49" t="s">
        <v>118</v>
      </c>
      <c r="B49" t="s">
        <v>273</v>
      </c>
      <c r="C49" s="96" t="s">
        <v>214</v>
      </c>
      <c r="D49" s="96">
        <v>1</v>
      </c>
      <c r="E49">
        <v>531</v>
      </c>
    </row>
    <row r="50" spans="1:5">
      <c r="A50" s="95" t="s">
        <v>119</v>
      </c>
      <c r="B50" s="95" t="s">
        <v>250</v>
      </c>
      <c r="C50" s="96" t="s">
        <v>214</v>
      </c>
      <c r="D50" s="96">
        <v>1</v>
      </c>
      <c r="E50" s="95">
        <v>1392.133</v>
      </c>
    </row>
    <row r="51" spans="1:5">
      <c r="A51" t="s">
        <v>119</v>
      </c>
      <c r="B51" t="s">
        <v>255</v>
      </c>
      <c r="C51" s="96" t="s">
        <v>214</v>
      </c>
      <c r="D51" s="96">
        <v>1</v>
      </c>
      <c r="E51">
        <v>47.2</v>
      </c>
    </row>
    <row r="52" spans="1:5">
      <c r="A52" s="95" t="s">
        <v>119</v>
      </c>
      <c r="B52" s="95" t="s">
        <v>256</v>
      </c>
      <c r="C52" s="96" t="s">
        <v>214</v>
      </c>
      <c r="D52" s="96">
        <v>1</v>
      </c>
      <c r="E52" s="95">
        <v>54.3</v>
      </c>
    </row>
    <row r="53" spans="1:5">
      <c r="A53" t="s">
        <v>119</v>
      </c>
      <c r="B53" t="s">
        <v>257</v>
      </c>
      <c r="C53" s="96" t="s">
        <v>214</v>
      </c>
      <c r="D53" s="96">
        <v>1</v>
      </c>
      <c r="E53">
        <v>129.565</v>
      </c>
    </row>
    <row r="54" spans="1:5">
      <c r="A54" s="95" t="s">
        <v>119</v>
      </c>
      <c r="B54" s="95" t="s">
        <v>262</v>
      </c>
      <c r="C54" s="96" t="s">
        <v>214</v>
      </c>
      <c r="D54" s="96">
        <v>1</v>
      </c>
      <c r="E54" s="95">
        <v>69.680000000000007</v>
      </c>
    </row>
    <row r="55" spans="1:5">
      <c r="A55" t="s">
        <v>119</v>
      </c>
      <c r="B55" t="s">
        <v>263</v>
      </c>
      <c r="C55" s="96" t="s">
        <v>214</v>
      </c>
      <c r="D55" s="96">
        <v>1</v>
      </c>
      <c r="E55">
        <v>448.18200000000002</v>
      </c>
    </row>
    <row r="56" spans="1:5">
      <c r="A56" s="95" t="s">
        <v>119</v>
      </c>
      <c r="B56" s="95" t="s">
        <v>260</v>
      </c>
      <c r="C56" s="96" t="s">
        <v>214</v>
      </c>
      <c r="D56" s="96">
        <v>1</v>
      </c>
      <c r="E56" s="95">
        <v>111.706</v>
      </c>
    </row>
    <row r="57" spans="1:5">
      <c r="A57" t="s">
        <v>119</v>
      </c>
      <c r="B57" t="s">
        <v>261</v>
      </c>
      <c r="C57" s="96" t="s">
        <v>214</v>
      </c>
      <c r="D57" s="96">
        <v>1</v>
      </c>
      <c r="E57">
        <v>375.42</v>
      </c>
    </row>
    <row r="58" spans="1:5">
      <c r="A58" s="95" t="s">
        <v>119</v>
      </c>
      <c r="B58" s="95" t="s">
        <v>265</v>
      </c>
      <c r="C58" s="96" t="s">
        <v>214</v>
      </c>
      <c r="D58" s="96">
        <v>1</v>
      </c>
      <c r="E58" s="95">
        <v>778.06</v>
      </c>
    </row>
    <row r="59" spans="1:5">
      <c r="A59" t="s">
        <v>119</v>
      </c>
      <c r="B59" t="s">
        <v>272</v>
      </c>
      <c r="C59" s="96" t="s">
        <v>214</v>
      </c>
      <c r="D59" s="96">
        <v>1</v>
      </c>
      <c r="E59">
        <v>7.26</v>
      </c>
    </row>
    <row r="60" spans="1:5">
      <c r="A60" s="95" t="s">
        <v>119</v>
      </c>
      <c r="B60" s="95" t="s">
        <v>273</v>
      </c>
      <c r="C60" s="96" t="s">
        <v>214</v>
      </c>
      <c r="D60" s="96">
        <v>1</v>
      </c>
      <c r="E60" s="95">
        <v>165.8</v>
      </c>
    </row>
    <row r="61" spans="1:5">
      <c r="A61" t="s">
        <v>120</v>
      </c>
      <c r="B61" t="s">
        <v>250</v>
      </c>
      <c r="C61" s="96" t="s">
        <v>214</v>
      </c>
      <c r="D61" s="96">
        <v>1</v>
      </c>
      <c r="E61">
        <v>198</v>
      </c>
    </row>
    <row r="62" spans="1:5">
      <c r="A62" s="95" t="s">
        <v>120</v>
      </c>
      <c r="B62" s="95" t="s">
        <v>254</v>
      </c>
      <c r="C62" s="96" t="s">
        <v>214</v>
      </c>
      <c r="D62" s="96">
        <v>1</v>
      </c>
      <c r="E62" s="95">
        <v>250</v>
      </c>
    </row>
    <row r="63" spans="1:5">
      <c r="A63" t="s">
        <v>120</v>
      </c>
      <c r="B63" t="s">
        <v>271</v>
      </c>
      <c r="C63" s="96" t="s">
        <v>214</v>
      </c>
      <c r="D63" s="96">
        <v>1</v>
      </c>
      <c r="E63">
        <v>134.952</v>
      </c>
    </row>
    <row r="64" spans="1:5">
      <c r="A64" s="95" t="s">
        <v>120</v>
      </c>
      <c r="B64" s="95" t="s">
        <v>272</v>
      </c>
      <c r="C64" s="96" t="s">
        <v>214</v>
      </c>
      <c r="D64" s="96">
        <v>1</v>
      </c>
      <c r="E64" s="95">
        <v>167.65</v>
      </c>
    </row>
    <row r="65" spans="1:5">
      <c r="A65" t="s">
        <v>120</v>
      </c>
      <c r="B65" t="s">
        <v>280</v>
      </c>
      <c r="C65" s="96" t="s">
        <v>214</v>
      </c>
      <c r="D65" s="96">
        <v>1</v>
      </c>
      <c r="E65">
        <v>657.99900000000002</v>
      </c>
    </row>
    <row r="66" spans="1:5">
      <c r="A66" s="95" t="s">
        <v>120</v>
      </c>
      <c r="B66" s="95" t="s">
        <v>281</v>
      </c>
      <c r="C66" s="96" t="s">
        <v>214</v>
      </c>
      <c r="D66" s="96">
        <v>1</v>
      </c>
      <c r="E66" s="95">
        <v>173</v>
      </c>
    </row>
    <row r="67" spans="1:5">
      <c r="A67" t="s">
        <v>121</v>
      </c>
      <c r="B67" t="s">
        <v>250</v>
      </c>
      <c r="C67" s="96" t="s">
        <v>214</v>
      </c>
      <c r="D67" s="96">
        <v>1</v>
      </c>
      <c r="E67">
        <v>1000</v>
      </c>
    </row>
    <row r="68" spans="1:5">
      <c r="A68" s="95" t="s">
        <v>121</v>
      </c>
      <c r="B68" s="95" t="s">
        <v>258</v>
      </c>
      <c r="C68" s="96" t="s">
        <v>214</v>
      </c>
      <c r="D68" s="96">
        <v>1</v>
      </c>
      <c r="E68" s="95">
        <v>24498</v>
      </c>
    </row>
    <row r="69" spans="1:5">
      <c r="A69" t="s">
        <v>121</v>
      </c>
      <c r="B69" t="s">
        <v>271</v>
      </c>
      <c r="C69" s="96" t="s">
        <v>214</v>
      </c>
      <c r="D69" s="96">
        <v>1</v>
      </c>
      <c r="E69">
        <v>3980.011</v>
      </c>
    </row>
    <row r="70" spans="1:5">
      <c r="A70" s="95" t="s">
        <v>121</v>
      </c>
      <c r="B70" s="95" t="s">
        <v>272</v>
      </c>
      <c r="C70" s="96" t="s">
        <v>214</v>
      </c>
      <c r="D70" s="96">
        <v>1</v>
      </c>
      <c r="E70" s="95">
        <v>1730</v>
      </c>
    </row>
    <row r="71" spans="1:5">
      <c r="A71" t="s">
        <v>121</v>
      </c>
      <c r="B71" t="s">
        <v>278</v>
      </c>
      <c r="C71" s="96" t="s">
        <v>214</v>
      </c>
      <c r="D71" s="96">
        <v>1</v>
      </c>
      <c r="E71">
        <v>5100.3599999999997</v>
      </c>
    </row>
    <row r="72" spans="1:5">
      <c r="A72" s="95" t="s">
        <v>121</v>
      </c>
      <c r="B72" s="95" t="s">
        <v>282</v>
      </c>
      <c r="C72" s="96" t="s">
        <v>214</v>
      </c>
      <c r="D72" s="96">
        <v>1</v>
      </c>
      <c r="E72" s="95">
        <v>3800</v>
      </c>
    </row>
    <row r="73" spans="1:5">
      <c r="A73" t="s">
        <v>122</v>
      </c>
      <c r="B73" t="s">
        <v>250</v>
      </c>
      <c r="C73" s="96" t="s">
        <v>214</v>
      </c>
      <c r="D73" s="96">
        <v>1</v>
      </c>
      <c r="E73">
        <v>4960.607</v>
      </c>
    </row>
    <row r="74" spans="1:5">
      <c r="A74" s="95" t="s">
        <v>122</v>
      </c>
      <c r="B74" s="95" t="s">
        <v>254</v>
      </c>
      <c r="C74" s="96" t="s">
        <v>214</v>
      </c>
      <c r="D74" s="96">
        <v>1</v>
      </c>
      <c r="E74" s="95">
        <v>45</v>
      </c>
    </row>
    <row r="75" spans="1:5">
      <c r="A75" t="s">
        <v>122</v>
      </c>
      <c r="B75" t="s">
        <v>256</v>
      </c>
      <c r="C75" s="96" t="s">
        <v>214</v>
      </c>
      <c r="D75" s="96">
        <v>1</v>
      </c>
      <c r="E75">
        <v>640</v>
      </c>
    </row>
    <row r="76" spans="1:5">
      <c r="A76" s="95" t="s">
        <v>122</v>
      </c>
      <c r="B76" s="95" t="s">
        <v>258</v>
      </c>
      <c r="C76" s="96" t="s">
        <v>214</v>
      </c>
      <c r="D76" s="96">
        <v>1</v>
      </c>
      <c r="E76" s="95">
        <v>234</v>
      </c>
    </row>
    <row r="77" spans="1:5">
      <c r="A77" t="s">
        <v>122</v>
      </c>
      <c r="B77" t="s">
        <v>262</v>
      </c>
      <c r="C77" s="96" t="s">
        <v>214</v>
      </c>
      <c r="D77" s="96">
        <v>1</v>
      </c>
      <c r="E77">
        <v>87</v>
      </c>
    </row>
    <row r="78" spans="1:5">
      <c r="A78" s="95" t="s">
        <v>122</v>
      </c>
      <c r="B78" s="95" t="s">
        <v>263</v>
      </c>
      <c r="C78" s="96" t="s">
        <v>214</v>
      </c>
      <c r="D78" s="96">
        <v>1</v>
      </c>
      <c r="E78" s="95">
        <v>38</v>
      </c>
    </row>
    <row r="79" spans="1:5">
      <c r="A79" t="s">
        <v>122</v>
      </c>
      <c r="B79" t="s">
        <v>265</v>
      </c>
      <c r="C79" s="96" t="s">
        <v>214</v>
      </c>
      <c r="D79" s="96">
        <v>1</v>
      </c>
      <c r="E79">
        <v>1195.998</v>
      </c>
    </row>
    <row r="80" spans="1:5">
      <c r="A80" s="95" t="s">
        <v>122</v>
      </c>
      <c r="B80" s="95" t="s">
        <v>271</v>
      </c>
      <c r="C80" s="96" t="s">
        <v>214</v>
      </c>
      <c r="D80" s="96">
        <v>1</v>
      </c>
      <c r="E80" s="95">
        <v>390.5</v>
      </c>
    </row>
    <row r="81" spans="1:5">
      <c r="A81" t="s">
        <v>122</v>
      </c>
      <c r="B81" t="s">
        <v>272</v>
      </c>
      <c r="C81" s="96" t="s">
        <v>214</v>
      </c>
      <c r="D81" s="96">
        <v>1</v>
      </c>
      <c r="E81">
        <v>2624.82</v>
      </c>
    </row>
    <row r="82" spans="1:5">
      <c r="A82" s="95" t="s">
        <v>122</v>
      </c>
      <c r="B82" s="95" t="s">
        <v>278</v>
      </c>
      <c r="C82" s="96" t="s">
        <v>214</v>
      </c>
      <c r="D82" s="96">
        <v>1</v>
      </c>
      <c r="E82" s="95">
        <v>4394</v>
      </c>
    </row>
    <row r="83" spans="1:5">
      <c r="A83" t="s">
        <v>123</v>
      </c>
      <c r="B83" t="s">
        <v>250</v>
      </c>
      <c r="C83" s="96" t="s">
        <v>214</v>
      </c>
      <c r="D83" s="96">
        <v>1</v>
      </c>
      <c r="E83">
        <v>5000.8999999999996</v>
      </c>
    </row>
    <row r="84" spans="1:5">
      <c r="A84" s="95" t="s">
        <v>123</v>
      </c>
      <c r="B84" s="95" t="s">
        <v>254</v>
      </c>
      <c r="C84" s="96" t="s">
        <v>214</v>
      </c>
      <c r="D84" s="96">
        <v>1</v>
      </c>
      <c r="E84" s="95">
        <v>414</v>
      </c>
    </row>
    <row r="85" spans="1:5">
      <c r="A85" t="s">
        <v>123</v>
      </c>
      <c r="B85" t="s">
        <v>258</v>
      </c>
      <c r="C85" s="96" t="s">
        <v>214</v>
      </c>
      <c r="D85" s="96">
        <v>1</v>
      </c>
      <c r="E85">
        <v>792</v>
      </c>
    </row>
    <row r="86" spans="1:5">
      <c r="A86" s="95" t="s">
        <v>123</v>
      </c>
      <c r="B86" s="95" t="s">
        <v>259</v>
      </c>
      <c r="C86" s="96" t="s">
        <v>214</v>
      </c>
      <c r="D86" s="96">
        <v>1</v>
      </c>
      <c r="E86" s="95">
        <v>5346.9960000000001</v>
      </c>
    </row>
    <row r="87" spans="1:5">
      <c r="A87" t="s">
        <v>123</v>
      </c>
      <c r="B87" t="s">
        <v>262</v>
      </c>
      <c r="C87" s="96" t="s">
        <v>214</v>
      </c>
      <c r="D87" s="96">
        <v>1</v>
      </c>
      <c r="E87">
        <v>437.00099999999998</v>
      </c>
    </row>
    <row r="88" spans="1:5">
      <c r="A88" s="95" t="s">
        <v>123</v>
      </c>
      <c r="B88" s="95" t="s">
        <v>263</v>
      </c>
      <c r="C88" s="96" t="s">
        <v>214</v>
      </c>
      <c r="D88" s="96">
        <v>1</v>
      </c>
      <c r="E88" s="95">
        <v>199</v>
      </c>
    </row>
    <row r="89" spans="1:5">
      <c r="A89" t="s">
        <v>123</v>
      </c>
      <c r="B89" t="s">
        <v>271</v>
      </c>
      <c r="C89" s="96" t="s">
        <v>214</v>
      </c>
      <c r="D89" s="96">
        <v>1</v>
      </c>
      <c r="E89">
        <v>4400</v>
      </c>
    </row>
    <row r="90" spans="1:5">
      <c r="A90" s="95" t="s">
        <v>123</v>
      </c>
      <c r="B90" s="95" t="s">
        <v>272</v>
      </c>
      <c r="C90" s="96" t="s">
        <v>214</v>
      </c>
      <c r="D90" s="96">
        <v>1</v>
      </c>
      <c r="E90" s="95">
        <v>2426</v>
      </c>
    </row>
    <row r="91" spans="1:5">
      <c r="A91" t="s">
        <v>123</v>
      </c>
      <c r="B91" t="s">
        <v>273</v>
      </c>
      <c r="C91" s="96" t="s">
        <v>214</v>
      </c>
      <c r="D91" s="96">
        <v>1</v>
      </c>
      <c r="E91">
        <v>1254.998</v>
      </c>
    </row>
    <row r="92" spans="1:5">
      <c r="A92" s="95" t="s">
        <v>123</v>
      </c>
      <c r="B92" s="95" t="s">
        <v>278</v>
      </c>
      <c r="C92" s="96" t="s">
        <v>214</v>
      </c>
      <c r="D92" s="96">
        <v>1</v>
      </c>
      <c r="E92" s="95">
        <v>61760.982000000004</v>
      </c>
    </row>
    <row r="93" spans="1:5">
      <c r="A93" t="s">
        <v>124</v>
      </c>
      <c r="B93" t="s">
        <v>250</v>
      </c>
      <c r="C93" s="96" t="s">
        <v>214</v>
      </c>
      <c r="D93" s="96">
        <v>1</v>
      </c>
      <c r="E93">
        <v>40</v>
      </c>
    </row>
    <row r="94" spans="1:5">
      <c r="A94" s="95" t="s">
        <v>124</v>
      </c>
      <c r="B94" s="95" t="s">
        <v>254</v>
      </c>
      <c r="C94" s="96" t="s">
        <v>214</v>
      </c>
      <c r="D94" s="96">
        <v>1</v>
      </c>
      <c r="E94" s="95">
        <v>510</v>
      </c>
    </row>
    <row r="95" spans="1:5">
      <c r="A95" t="s">
        <v>124</v>
      </c>
      <c r="B95" t="s">
        <v>259</v>
      </c>
      <c r="C95" s="96" t="s">
        <v>214</v>
      </c>
      <c r="D95" s="96">
        <v>1</v>
      </c>
      <c r="E95">
        <v>402.99900000000002</v>
      </c>
    </row>
    <row r="96" spans="1:5">
      <c r="A96" s="95" t="s">
        <v>124</v>
      </c>
      <c r="B96" s="95" t="s">
        <v>261</v>
      </c>
      <c r="C96" s="96" t="s">
        <v>214</v>
      </c>
      <c r="D96" s="96">
        <v>1</v>
      </c>
      <c r="E96" s="95">
        <v>110</v>
      </c>
    </row>
    <row r="97" spans="1:5">
      <c r="A97" t="s">
        <v>124</v>
      </c>
      <c r="B97" t="s">
        <v>271</v>
      </c>
      <c r="C97" s="96" t="s">
        <v>214</v>
      </c>
      <c r="D97" s="96">
        <v>1</v>
      </c>
      <c r="E97">
        <v>106.89</v>
      </c>
    </row>
    <row r="98" spans="1:5">
      <c r="A98" s="95" t="s">
        <v>124</v>
      </c>
      <c r="B98" s="95" t="s">
        <v>272</v>
      </c>
      <c r="C98" s="96" t="s">
        <v>214</v>
      </c>
      <c r="D98" s="96">
        <v>1</v>
      </c>
      <c r="E98" s="95">
        <v>209.89</v>
      </c>
    </row>
    <row r="99" spans="1:5">
      <c r="A99" t="s">
        <v>125</v>
      </c>
      <c r="B99" t="s">
        <v>250</v>
      </c>
      <c r="C99" s="96" t="s">
        <v>214</v>
      </c>
      <c r="D99" s="96">
        <v>1</v>
      </c>
      <c r="E99">
        <v>150</v>
      </c>
    </row>
    <row r="100" spans="1:5">
      <c r="A100" s="95" t="s">
        <v>125</v>
      </c>
      <c r="B100" s="95" t="s">
        <v>254</v>
      </c>
      <c r="C100" s="96" t="s">
        <v>214</v>
      </c>
      <c r="D100" s="96">
        <v>1</v>
      </c>
      <c r="E100" s="95">
        <v>1004.003</v>
      </c>
    </row>
    <row r="101" spans="1:5">
      <c r="A101" t="s">
        <v>125</v>
      </c>
      <c r="B101" t="s">
        <v>258</v>
      </c>
      <c r="C101" s="96" t="s">
        <v>214</v>
      </c>
      <c r="D101" s="96">
        <v>1</v>
      </c>
      <c r="E101">
        <v>73</v>
      </c>
    </row>
    <row r="102" spans="1:5">
      <c r="A102" s="95" t="s">
        <v>125</v>
      </c>
      <c r="B102" s="95" t="s">
        <v>272</v>
      </c>
      <c r="C102" s="96" t="s">
        <v>214</v>
      </c>
      <c r="D102" s="96">
        <v>1</v>
      </c>
      <c r="E102" s="95">
        <v>159.018</v>
      </c>
    </row>
    <row r="103" spans="1:5">
      <c r="A103" t="s">
        <v>125</v>
      </c>
      <c r="B103" t="s">
        <v>282</v>
      </c>
      <c r="C103" s="96" t="s">
        <v>214</v>
      </c>
      <c r="D103" s="96">
        <v>1</v>
      </c>
      <c r="E103">
        <v>70</v>
      </c>
    </row>
    <row r="104" spans="1:5">
      <c r="A104" s="95" t="s">
        <v>126</v>
      </c>
      <c r="B104" s="95" t="s">
        <v>250</v>
      </c>
      <c r="C104" s="96" t="s">
        <v>214</v>
      </c>
      <c r="D104" s="96">
        <v>1</v>
      </c>
      <c r="E104" s="95">
        <v>1687</v>
      </c>
    </row>
    <row r="105" spans="1:5">
      <c r="A105" t="s">
        <v>126</v>
      </c>
      <c r="B105" t="s">
        <v>256</v>
      </c>
      <c r="C105" s="96" t="s">
        <v>214</v>
      </c>
      <c r="D105" s="96">
        <v>1</v>
      </c>
      <c r="E105">
        <v>2536.5059999999999</v>
      </c>
    </row>
    <row r="106" spans="1:5">
      <c r="A106" s="95" t="s">
        <v>126</v>
      </c>
      <c r="B106" s="95" t="s">
        <v>259</v>
      </c>
      <c r="C106" s="96" t="s">
        <v>214</v>
      </c>
      <c r="D106" s="96">
        <v>1</v>
      </c>
      <c r="E106" s="95">
        <v>7083.0060000000003</v>
      </c>
    </row>
    <row r="107" spans="1:5">
      <c r="A107" t="s">
        <v>126</v>
      </c>
      <c r="B107" t="s">
        <v>262</v>
      </c>
      <c r="C107" s="96" t="s">
        <v>214</v>
      </c>
      <c r="D107" s="96">
        <v>1</v>
      </c>
      <c r="E107">
        <v>314</v>
      </c>
    </row>
    <row r="108" spans="1:5">
      <c r="A108" s="95" t="s">
        <v>126</v>
      </c>
      <c r="B108" s="95" t="s">
        <v>263</v>
      </c>
      <c r="C108" s="96" t="s">
        <v>214</v>
      </c>
      <c r="D108" s="96">
        <v>1</v>
      </c>
      <c r="E108" s="95">
        <v>165</v>
      </c>
    </row>
    <row r="109" spans="1:5">
      <c r="A109" t="s">
        <v>126</v>
      </c>
      <c r="B109" t="s">
        <v>271</v>
      </c>
      <c r="C109" s="96" t="s">
        <v>214</v>
      </c>
      <c r="D109" s="96">
        <v>1</v>
      </c>
      <c r="E109">
        <v>4381.5</v>
      </c>
    </row>
    <row r="110" spans="1:5">
      <c r="A110" s="95" t="s">
        <v>126</v>
      </c>
      <c r="B110" s="95" t="s">
        <v>272</v>
      </c>
      <c r="C110" s="96" t="s">
        <v>214</v>
      </c>
      <c r="D110" s="96">
        <v>1</v>
      </c>
      <c r="E110" s="95">
        <v>415</v>
      </c>
    </row>
    <row r="111" spans="1:5">
      <c r="A111" t="s">
        <v>126</v>
      </c>
      <c r="B111" t="s">
        <v>278</v>
      </c>
      <c r="C111" s="96" t="s">
        <v>214</v>
      </c>
      <c r="D111" s="96">
        <v>1</v>
      </c>
      <c r="E111">
        <v>486</v>
      </c>
    </row>
    <row r="112" spans="1:5">
      <c r="A112" s="95" t="s">
        <v>127</v>
      </c>
      <c r="B112" s="95" t="s">
        <v>250</v>
      </c>
      <c r="C112" s="96" t="s">
        <v>214</v>
      </c>
      <c r="D112" s="96">
        <v>1</v>
      </c>
      <c r="E112" s="95">
        <v>2037.546</v>
      </c>
    </row>
    <row r="113" spans="1:5">
      <c r="A113" t="s">
        <v>127</v>
      </c>
      <c r="B113" t="s">
        <v>271</v>
      </c>
      <c r="C113" s="96" t="s">
        <v>214</v>
      </c>
      <c r="D113" s="96">
        <v>1</v>
      </c>
      <c r="E113">
        <v>20</v>
      </c>
    </row>
    <row r="114" spans="1:5">
      <c r="A114" s="95" t="s">
        <v>128</v>
      </c>
      <c r="B114" s="95" t="s">
        <v>250</v>
      </c>
      <c r="C114" s="96" t="s">
        <v>214</v>
      </c>
      <c r="D114" s="96">
        <v>1</v>
      </c>
      <c r="E114" s="95">
        <v>1562.6130000000001</v>
      </c>
    </row>
    <row r="115" spans="1:5">
      <c r="A115" t="s">
        <v>128</v>
      </c>
      <c r="B115" t="s">
        <v>271</v>
      </c>
      <c r="C115" s="96" t="s">
        <v>214</v>
      </c>
      <c r="D115" s="96">
        <v>1</v>
      </c>
      <c r="E115">
        <v>195</v>
      </c>
    </row>
    <row r="116" spans="1:5">
      <c r="A116" s="95" t="s">
        <v>129</v>
      </c>
      <c r="B116" s="95" t="s">
        <v>250</v>
      </c>
      <c r="C116" s="96" t="s">
        <v>214</v>
      </c>
      <c r="D116" s="96">
        <v>1</v>
      </c>
      <c r="E116" s="95">
        <v>5968.29</v>
      </c>
    </row>
    <row r="117" spans="1:5">
      <c r="A117" t="s">
        <v>129</v>
      </c>
      <c r="B117" t="s">
        <v>271</v>
      </c>
      <c r="C117" s="96" t="s">
        <v>214</v>
      </c>
      <c r="D117" s="96">
        <v>1</v>
      </c>
      <c r="E117">
        <v>50</v>
      </c>
    </row>
    <row r="118" spans="1:5">
      <c r="A118" s="95" t="s">
        <v>130</v>
      </c>
      <c r="B118" s="95" t="s">
        <v>254</v>
      </c>
      <c r="C118" s="96" t="s">
        <v>214</v>
      </c>
      <c r="D118" s="96">
        <v>1</v>
      </c>
      <c r="E118" s="95">
        <v>9620.7150000000001</v>
      </c>
    </row>
    <row r="119" spans="1:5">
      <c r="A119" t="s">
        <v>130</v>
      </c>
      <c r="B119" t="s">
        <v>264</v>
      </c>
      <c r="C119" s="96" t="s">
        <v>214</v>
      </c>
      <c r="D119" s="96">
        <v>1</v>
      </c>
      <c r="E119">
        <v>1663</v>
      </c>
    </row>
    <row r="120" spans="1:5">
      <c r="A120" s="95" t="s">
        <v>130</v>
      </c>
      <c r="B120" s="95" t="s">
        <v>265</v>
      </c>
      <c r="C120" s="96" t="s">
        <v>214</v>
      </c>
      <c r="D120" s="96">
        <v>1</v>
      </c>
      <c r="E120" s="95">
        <v>3305.5059999999999</v>
      </c>
    </row>
    <row r="121" spans="1:5">
      <c r="A121" t="s">
        <v>130</v>
      </c>
      <c r="B121" t="s">
        <v>266</v>
      </c>
      <c r="C121" s="96" t="s">
        <v>214</v>
      </c>
      <c r="D121" s="96">
        <v>1</v>
      </c>
      <c r="E121">
        <v>5466.5709999999999</v>
      </c>
    </row>
    <row r="122" spans="1:5">
      <c r="A122" s="95" t="s">
        <v>130</v>
      </c>
      <c r="B122" s="95" t="s">
        <v>267</v>
      </c>
      <c r="C122" s="96" t="s">
        <v>214</v>
      </c>
      <c r="D122" s="96">
        <v>1</v>
      </c>
      <c r="E122" s="95">
        <v>1872.12</v>
      </c>
    </row>
    <row r="123" spans="1:5">
      <c r="A123" t="s">
        <v>130</v>
      </c>
      <c r="B123" t="s">
        <v>271</v>
      </c>
      <c r="C123" s="96" t="s">
        <v>214</v>
      </c>
      <c r="D123" s="96">
        <v>1</v>
      </c>
      <c r="E123">
        <v>5614.3209999999999</v>
      </c>
    </row>
    <row r="124" spans="1:5">
      <c r="A124" s="95" t="s">
        <v>130</v>
      </c>
      <c r="B124" s="95" t="s">
        <v>272</v>
      </c>
      <c r="C124" s="96" t="s">
        <v>214</v>
      </c>
      <c r="D124" s="96">
        <v>1</v>
      </c>
      <c r="E124" s="95">
        <v>2155.0540000000001</v>
      </c>
    </row>
    <row r="125" spans="1:5">
      <c r="A125" t="s">
        <v>130</v>
      </c>
      <c r="B125" t="s">
        <v>275</v>
      </c>
      <c r="C125" s="96" t="s">
        <v>214</v>
      </c>
      <c r="D125" s="96">
        <v>1</v>
      </c>
      <c r="E125">
        <v>4696.0050000000001</v>
      </c>
    </row>
    <row r="126" spans="1:5">
      <c r="A126" s="95" t="s">
        <v>130</v>
      </c>
      <c r="B126" s="95" t="s">
        <v>277</v>
      </c>
      <c r="C126" s="96" t="s">
        <v>214</v>
      </c>
      <c r="D126" s="96">
        <v>1</v>
      </c>
      <c r="E126" s="95">
        <v>1824</v>
      </c>
    </row>
    <row r="127" spans="1:5">
      <c r="A127" t="s">
        <v>131</v>
      </c>
      <c r="B127" t="s">
        <v>250</v>
      </c>
      <c r="C127" s="96" t="s">
        <v>214</v>
      </c>
      <c r="D127" s="96">
        <v>1</v>
      </c>
      <c r="E127">
        <v>236.768</v>
      </c>
    </row>
    <row r="128" spans="1:5">
      <c r="A128" s="95" t="s">
        <v>131</v>
      </c>
      <c r="B128" s="95" t="s">
        <v>263</v>
      </c>
      <c r="C128" s="96" t="s">
        <v>214</v>
      </c>
      <c r="D128" s="96">
        <v>1</v>
      </c>
      <c r="E128" s="95">
        <v>97</v>
      </c>
    </row>
    <row r="129" spans="1:5">
      <c r="A129" t="s">
        <v>131</v>
      </c>
      <c r="B129" t="s">
        <v>272</v>
      </c>
      <c r="C129" s="96" t="s">
        <v>214</v>
      </c>
      <c r="D129" s="96">
        <v>1</v>
      </c>
      <c r="E129">
        <v>198.7</v>
      </c>
    </row>
    <row r="130" spans="1:5">
      <c r="A130" s="95" t="s">
        <v>132</v>
      </c>
      <c r="B130" s="95" t="s">
        <v>250</v>
      </c>
      <c r="C130" s="96" t="s">
        <v>214</v>
      </c>
      <c r="D130" s="96">
        <v>1</v>
      </c>
      <c r="E130" s="95">
        <v>369.29199999999997</v>
      </c>
    </row>
    <row r="131" spans="1:5">
      <c r="A131" t="s">
        <v>132</v>
      </c>
      <c r="B131" t="s">
        <v>272</v>
      </c>
      <c r="C131" s="96" t="s">
        <v>214</v>
      </c>
      <c r="D131" s="96">
        <v>1</v>
      </c>
      <c r="E131">
        <v>743.57</v>
      </c>
    </row>
    <row r="132" spans="1:5">
      <c r="A132" s="95" t="s">
        <v>133</v>
      </c>
      <c r="B132" s="95" t="s">
        <v>250</v>
      </c>
      <c r="C132" s="96" t="s">
        <v>214</v>
      </c>
      <c r="D132" s="96">
        <v>1</v>
      </c>
      <c r="E132" s="95">
        <v>968.27100000000007</v>
      </c>
    </row>
    <row r="133" spans="1:5">
      <c r="A133" t="s">
        <v>133</v>
      </c>
      <c r="B133" t="s">
        <v>263</v>
      </c>
      <c r="C133" s="96" t="s">
        <v>214</v>
      </c>
      <c r="D133" s="96">
        <v>1</v>
      </c>
      <c r="E133">
        <v>54</v>
      </c>
    </row>
    <row r="134" spans="1:5">
      <c r="A134" s="95" t="s">
        <v>133</v>
      </c>
      <c r="B134" s="95" t="s">
        <v>272</v>
      </c>
      <c r="C134" s="96" t="s">
        <v>214</v>
      </c>
      <c r="D134" s="96">
        <v>1</v>
      </c>
      <c r="E134" s="95">
        <v>2818.0549999999998</v>
      </c>
    </row>
    <row r="135" spans="1:5">
      <c r="A135" t="s">
        <v>133</v>
      </c>
      <c r="B135" t="s">
        <v>278</v>
      </c>
      <c r="C135" s="96" t="s">
        <v>214</v>
      </c>
      <c r="D135" s="96">
        <v>1</v>
      </c>
      <c r="E135">
        <v>6883</v>
      </c>
    </row>
    <row r="136" spans="1:5">
      <c r="A136" s="95" t="s">
        <v>134</v>
      </c>
      <c r="B136" s="95" t="s">
        <v>250</v>
      </c>
      <c r="C136" s="96" t="s">
        <v>214</v>
      </c>
      <c r="D136" s="96">
        <v>1</v>
      </c>
      <c r="E136" s="95">
        <v>393.99</v>
      </c>
    </row>
    <row r="137" spans="1:5">
      <c r="A137" t="s">
        <v>134</v>
      </c>
      <c r="B137" t="s">
        <v>272</v>
      </c>
      <c r="C137" s="96" t="s">
        <v>214</v>
      </c>
      <c r="D137" s="96">
        <v>1</v>
      </c>
      <c r="E137">
        <v>698.09</v>
      </c>
    </row>
    <row r="138" spans="1:5">
      <c r="A138" s="95" t="s">
        <v>135</v>
      </c>
      <c r="B138" s="95" t="s">
        <v>250</v>
      </c>
      <c r="C138" s="96" t="s">
        <v>214</v>
      </c>
      <c r="D138" s="96">
        <v>1</v>
      </c>
      <c r="E138" s="95">
        <v>11485.967000000001</v>
      </c>
    </row>
    <row r="139" spans="1:5">
      <c r="A139" t="s">
        <v>135</v>
      </c>
      <c r="B139" t="s">
        <v>251</v>
      </c>
      <c r="C139" s="96" t="s">
        <v>214</v>
      </c>
      <c r="D139" s="96">
        <v>1</v>
      </c>
      <c r="E139">
        <v>3270</v>
      </c>
    </row>
    <row r="140" spans="1:5">
      <c r="A140" s="95" t="s">
        <v>135</v>
      </c>
      <c r="B140" s="95" t="s">
        <v>254</v>
      </c>
      <c r="C140" s="96" t="s">
        <v>214</v>
      </c>
      <c r="D140" s="96">
        <v>1</v>
      </c>
      <c r="E140" s="95">
        <v>1029.999</v>
      </c>
    </row>
    <row r="141" spans="1:5">
      <c r="A141" t="s">
        <v>135</v>
      </c>
      <c r="B141" t="s">
        <v>256</v>
      </c>
      <c r="C141" s="96" t="s">
        <v>214</v>
      </c>
      <c r="D141" s="96">
        <v>1</v>
      </c>
      <c r="E141">
        <v>539.00099999999998</v>
      </c>
    </row>
    <row r="142" spans="1:5">
      <c r="A142" s="95" t="s">
        <v>135</v>
      </c>
      <c r="B142" s="95" t="s">
        <v>258</v>
      </c>
      <c r="C142" s="96" t="s">
        <v>214</v>
      </c>
      <c r="D142" s="96">
        <v>1</v>
      </c>
      <c r="E142" s="95">
        <v>21988.455000000002</v>
      </c>
    </row>
    <row r="143" spans="1:5">
      <c r="A143" t="s">
        <v>135</v>
      </c>
      <c r="B143" t="s">
        <v>259</v>
      </c>
      <c r="C143" s="96" t="s">
        <v>214</v>
      </c>
      <c r="D143" s="96">
        <v>1</v>
      </c>
      <c r="E143">
        <v>408</v>
      </c>
    </row>
    <row r="144" spans="1:5">
      <c r="A144" s="95" t="s">
        <v>135</v>
      </c>
      <c r="B144" s="95" t="s">
        <v>263</v>
      </c>
      <c r="C144" s="96" t="s">
        <v>214</v>
      </c>
      <c r="D144" s="96">
        <v>1</v>
      </c>
      <c r="E144" s="95">
        <v>2456.89</v>
      </c>
    </row>
    <row r="145" spans="1:5">
      <c r="A145" t="s">
        <v>135</v>
      </c>
      <c r="B145" t="s">
        <v>260</v>
      </c>
      <c r="C145" s="96" t="s">
        <v>214</v>
      </c>
      <c r="D145" s="96">
        <v>1</v>
      </c>
      <c r="E145">
        <v>2448.7399999999998</v>
      </c>
    </row>
    <row r="146" spans="1:5">
      <c r="A146" s="95" t="s">
        <v>135</v>
      </c>
      <c r="B146" s="95" t="s">
        <v>261</v>
      </c>
      <c r="C146" s="96" t="s">
        <v>214</v>
      </c>
      <c r="D146" s="96">
        <v>1</v>
      </c>
      <c r="E146" s="95">
        <v>5062.1400000000003</v>
      </c>
    </row>
    <row r="147" spans="1:5">
      <c r="A147" t="s">
        <v>135</v>
      </c>
      <c r="B147" t="s">
        <v>268</v>
      </c>
      <c r="C147" s="96" t="s">
        <v>214</v>
      </c>
      <c r="D147" s="96">
        <v>1</v>
      </c>
      <c r="E147">
        <v>204.66</v>
      </c>
    </row>
    <row r="148" spans="1:5">
      <c r="A148" s="95" t="s">
        <v>135</v>
      </c>
      <c r="B148" s="95" t="s">
        <v>270</v>
      </c>
      <c r="C148" s="96" t="s">
        <v>214</v>
      </c>
      <c r="D148" s="96">
        <v>1</v>
      </c>
      <c r="E148" s="95">
        <v>70.8</v>
      </c>
    </row>
    <row r="149" spans="1:5">
      <c r="A149" t="s">
        <v>135</v>
      </c>
      <c r="B149" t="s">
        <v>271</v>
      </c>
      <c r="C149" s="96" t="s">
        <v>214</v>
      </c>
      <c r="D149" s="96">
        <v>1</v>
      </c>
      <c r="E149">
        <v>8657.1929999999993</v>
      </c>
    </row>
    <row r="150" spans="1:5">
      <c r="A150" s="95" t="s">
        <v>135</v>
      </c>
      <c r="B150" s="95" t="s">
        <v>272</v>
      </c>
      <c r="C150" s="96" t="s">
        <v>214</v>
      </c>
      <c r="D150" s="96">
        <v>1</v>
      </c>
      <c r="E150" s="95">
        <v>2906.1660000000002</v>
      </c>
    </row>
    <row r="151" spans="1:5">
      <c r="A151" t="s">
        <v>135</v>
      </c>
      <c r="B151" t="s">
        <v>273</v>
      </c>
      <c r="C151" s="96" t="s">
        <v>214</v>
      </c>
      <c r="D151" s="96">
        <v>1</v>
      </c>
      <c r="E151">
        <v>389</v>
      </c>
    </row>
    <row r="152" spans="1:5">
      <c r="A152" s="95" t="s">
        <v>135</v>
      </c>
      <c r="B152" s="95" t="s">
        <v>276</v>
      </c>
      <c r="C152" s="96" t="s">
        <v>214</v>
      </c>
      <c r="D152" s="96">
        <v>1</v>
      </c>
      <c r="E152" s="95">
        <v>18</v>
      </c>
    </row>
    <row r="153" spans="1:5">
      <c r="A153" t="s">
        <v>135</v>
      </c>
      <c r="B153" t="s">
        <v>278</v>
      </c>
      <c r="C153" s="96" t="s">
        <v>214</v>
      </c>
      <c r="D153" s="96">
        <v>1</v>
      </c>
      <c r="E153">
        <v>5510.0010000000002</v>
      </c>
    </row>
    <row r="154" spans="1:5">
      <c r="A154" s="95"/>
      <c r="B154" s="95"/>
      <c r="C154" s="96"/>
      <c r="D154" s="96"/>
      <c r="E154" s="9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E21"/>
  <sheetViews>
    <sheetView workbookViewId="0">
      <selection activeCell="B2" sqref="B2:B21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" bestFit="1" customWidth="1"/>
    <col min="5" max="5" width="18.28515625" bestFit="1" customWidth="1"/>
  </cols>
  <sheetData>
    <row r="1" spans="1:5">
      <c r="A1" s="89" t="s">
        <v>210</v>
      </c>
      <c r="B1" s="89" t="s">
        <v>211</v>
      </c>
      <c r="C1" s="89" t="s">
        <v>287</v>
      </c>
      <c r="D1" s="92" t="s">
        <v>341</v>
      </c>
      <c r="E1" s="92" t="s">
        <v>342</v>
      </c>
    </row>
    <row r="2" spans="1:5">
      <c r="A2" s="90" t="s">
        <v>214</v>
      </c>
      <c r="B2">
        <v>1</v>
      </c>
      <c r="C2" s="91" t="s">
        <v>249</v>
      </c>
      <c r="D2" s="93">
        <v>27</v>
      </c>
      <c r="E2" s="19">
        <f>IFERROR(VLOOKUP($C2, [2]data_fuelEmissions!$D$4:$F$14,3,FALSE), 0)</f>
        <v>0.34200000000000003</v>
      </c>
    </row>
    <row r="3" spans="1:5">
      <c r="A3" s="90" t="s">
        <v>214</v>
      </c>
      <c r="B3">
        <v>1</v>
      </c>
      <c r="C3" s="91" t="s">
        <v>278</v>
      </c>
      <c r="D3" s="93">
        <v>2.5</v>
      </c>
      <c r="E3" s="19">
        <f>IFERROR(VLOOKUP($C3, [2]data_fuelEmissions!$D$4:$F$14,3,FALSE), 0)</f>
        <v>0</v>
      </c>
    </row>
    <row r="4" spans="1:5">
      <c r="A4" s="90" t="s">
        <v>214</v>
      </c>
      <c r="B4">
        <v>1</v>
      </c>
      <c r="C4" s="91" t="s">
        <v>252</v>
      </c>
      <c r="D4" s="93">
        <v>55</v>
      </c>
      <c r="E4" s="19">
        <f>IFERROR(VLOOKUP($C4, [2]data_fuelEmissions!$D$4:$F$14,3,FALSE), 0)</f>
        <v>0.19800000000000001</v>
      </c>
    </row>
    <row r="5" spans="1:5">
      <c r="A5" s="90" t="s">
        <v>214</v>
      </c>
      <c r="B5">
        <v>1</v>
      </c>
      <c r="C5" s="91" t="s">
        <v>269</v>
      </c>
      <c r="D5" s="93">
        <v>46</v>
      </c>
      <c r="E5" s="19">
        <f>IFERROR(VLOOKUP($C5, [2]data_fuelEmissions!$D$4:$F$14,3,FALSE), 0)</f>
        <v>0.28079999999999999</v>
      </c>
    </row>
    <row r="6" spans="1:5">
      <c r="A6" s="90" t="s">
        <v>214</v>
      </c>
      <c r="B6">
        <v>1</v>
      </c>
      <c r="C6" s="91" t="s">
        <v>273</v>
      </c>
      <c r="D6" s="93">
        <v>65</v>
      </c>
      <c r="E6" s="19">
        <f>IFERROR(VLOOKUP($C6, [2]data_fuelEmissions!$D$4:$F$14,3,FALSE), 0)</f>
        <v>0.25559999999999999</v>
      </c>
    </row>
    <row r="7" spans="1:5">
      <c r="A7" s="90" t="s">
        <v>214</v>
      </c>
      <c r="B7">
        <v>1</v>
      </c>
      <c r="C7" s="91" t="s">
        <v>274</v>
      </c>
      <c r="D7" s="94">
        <v>8</v>
      </c>
      <c r="E7" s="19">
        <f>IFERROR(VLOOKUP($C7, [2]data_fuelEmissions!$D$4:$F$14,3,FALSE), 0)</f>
        <v>0.37080000000000002</v>
      </c>
    </row>
    <row r="8" spans="1:5">
      <c r="A8" s="90" t="s">
        <v>214</v>
      </c>
      <c r="B8">
        <v>1</v>
      </c>
      <c r="C8" s="91" t="s">
        <v>247</v>
      </c>
      <c r="D8" s="93">
        <v>26</v>
      </c>
      <c r="E8" s="19">
        <f>IFERROR(VLOOKUP($C8, [2]data_fuelEmissions!$D$4:$F$14,3,FALSE), 0)</f>
        <v>0</v>
      </c>
    </row>
    <row r="9" spans="1:5">
      <c r="A9" s="90" t="s">
        <v>214</v>
      </c>
      <c r="B9">
        <v>1</v>
      </c>
      <c r="C9" s="91" t="s">
        <v>343</v>
      </c>
      <c r="D9" s="19">
        <v>1</v>
      </c>
      <c r="E9" s="19">
        <f>IFERROR(VLOOKUP($C9, [2]data_fuelEmissions!$D$4:$F$14,3,FALSE), 0)</f>
        <v>0</v>
      </c>
    </row>
    <row r="10" spans="1:5">
      <c r="A10" s="90" t="s">
        <v>214</v>
      </c>
      <c r="B10">
        <v>1</v>
      </c>
      <c r="C10" s="91" t="s">
        <v>283</v>
      </c>
      <c r="D10" s="19">
        <v>1</v>
      </c>
      <c r="E10" s="19">
        <f>IFERROR(VLOOKUP($C10, [2]data_fuelEmissions!$D$4:$F$14,3,FALSE), 0)</f>
        <v>0.14399999999999999</v>
      </c>
    </row>
    <row r="11" spans="1:5">
      <c r="A11" s="90" t="s">
        <v>214</v>
      </c>
      <c r="B11">
        <v>1</v>
      </c>
      <c r="C11" t="s">
        <v>279</v>
      </c>
      <c r="D11" s="19">
        <v>10</v>
      </c>
      <c r="E11" s="19">
        <f>IFERROR(VLOOKUP($C11, [2]data_fuelEmissions!$D$4:$F$14,3,FALSE), 0)</f>
        <v>0.41399999999999998</v>
      </c>
    </row>
    <row r="12" spans="1:5">
      <c r="A12" s="90" t="s">
        <v>214</v>
      </c>
      <c r="B12">
        <v>1</v>
      </c>
      <c r="C12" s="91" t="s">
        <v>249</v>
      </c>
      <c r="D12" s="93">
        <v>27</v>
      </c>
      <c r="E12" s="19">
        <f>IFERROR(VLOOKUP($C12, [2]data_fuelEmissions!$D$4:$F$14,3,FALSE), 0)</f>
        <v>0.34200000000000003</v>
      </c>
    </row>
    <row r="13" spans="1:5">
      <c r="A13" s="90" t="s">
        <v>214</v>
      </c>
      <c r="B13">
        <v>1</v>
      </c>
      <c r="C13" s="91" t="s">
        <v>278</v>
      </c>
      <c r="D13" s="93">
        <v>2.5</v>
      </c>
      <c r="E13" s="19">
        <f>IFERROR(VLOOKUP($C13, [2]data_fuelEmissions!$D$4:$F$14,3,FALSE), 0)</f>
        <v>0</v>
      </c>
    </row>
    <row r="14" spans="1:5">
      <c r="A14" s="90" t="s">
        <v>214</v>
      </c>
      <c r="B14">
        <v>1</v>
      </c>
      <c r="C14" s="91" t="s">
        <v>252</v>
      </c>
      <c r="D14" s="93">
        <v>55</v>
      </c>
      <c r="E14" s="19">
        <f>IFERROR(VLOOKUP($C14, [2]data_fuelEmissions!$D$4:$F$14,3,FALSE), 0)</f>
        <v>0.19800000000000001</v>
      </c>
    </row>
    <row r="15" spans="1:5">
      <c r="A15" s="90" t="s">
        <v>214</v>
      </c>
      <c r="B15">
        <v>1</v>
      </c>
      <c r="C15" s="91" t="s">
        <v>269</v>
      </c>
      <c r="D15" s="93">
        <v>46</v>
      </c>
      <c r="E15" s="19">
        <f>IFERROR(VLOOKUP($C15, [2]data_fuelEmissions!$D$4:$F$14,3,FALSE), 0)</f>
        <v>0.28079999999999999</v>
      </c>
    </row>
    <row r="16" spans="1:5">
      <c r="A16" s="90" t="s">
        <v>214</v>
      </c>
      <c r="B16">
        <v>1</v>
      </c>
      <c r="C16" s="91" t="s">
        <v>273</v>
      </c>
      <c r="D16" s="93">
        <v>65</v>
      </c>
      <c r="E16" s="19">
        <f>IFERROR(VLOOKUP($C16, [2]data_fuelEmissions!$D$4:$F$14,3,FALSE), 0)</f>
        <v>0.25559999999999999</v>
      </c>
    </row>
    <row r="17" spans="1:5">
      <c r="A17" s="90" t="s">
        <v>214</v>
      </c>
      <c r="B17">
        <v>1</v>
      </c>
      <c r="C17" s="91" t="s">
        <v>274</v>
      </c>
      <c r="D17" s="94">
        <v>8</v>
      </c>
      <c r="E17" s="19">
        <f>IFERROR(VLOOKUP($C17, [2]data_fuelEmissions!$D$4:$F$14,3,FALSE), 0)</f>
        <v>0.37080000000000002</v>
      </c>
    </row>
    <row r="18" spans="1:5">
      <c r="A18" s="90" t="s">
        <v>214</v>
      </c>
      <c r="B18">
        <v>1</v>
      </c>
      <c r="C18" s="91" t="s">
        <v>247</v>
      </c>
      <c r="D18" s="93">
        <v>26</v>
      </c>
      <c r="E18" s="19">
        <f>IFERROR(VLOOKUP($C18, [2]data_fuelEmissions!$D$4:$F$14,3,FALSE), 0)</f>
        <v>0</v>
      </c>
    </row>
    <row r="19" spans="1:5">
      <c r="A19" s="90" t="s">
        <v>214</v>
      </c>
      <c r="B19">
        <v>1</v>
      </c>
      <c r="C19" s="91" t="s">
        <v>343</v>
      </c>
      <c r="D19" s="19">
        <v>1</v>
      </c>
      <c r="E19" s="19">
        <f>IFERROR(VLOOKUP($C19, [2]data_fuelEmissions!$D$4:$F$14,3,FALSE), 0)</f>
        <v>0</v>
      </c>
    </row>
    <row r="20" spans="1:5">
      <c r="A20" s="90" t="s">
        <v>214</v>
      </c>
      <c r="B20">
        <v>1</v>
      </c>
      <c r="C20" s="91" t="s">
        <v>283</v>
      </c>
      <c r="D20" s="19">
        <v>1</v>
      </c>
      <c r="E20" s="19">
        <f>IFERROR(VLOOKUP($C20, [2]data_fuelEmissions!$D$4:$F$14,3,FALSE), 0)</f>
        <v>0.14399999999999999</v>
      </c>
    </row>
    <row r="21" spans="1:5">
      <c r="A21" s="90" t="s">
        <v>214</v>
      </c>
      <c r="B21">
        <v>1</v>
      </c>
      <c r="C21" t="s">
        <v>279</v>
      </c>
      <c r="D21" s="19">
        <v>10</v>
      </c>
      <c r="E21" s="19">
        <f>IFERROR(VLOOKUP($C21, [2]data_fuelEmissions!$D$4:$F$14,3,FALSE), 0)</f>
        <v>0.41399999999999998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unittypedata_battery</vt:lpstr>
      <vt:lpstr>transferdata</vt:lpstr>
      <vt:lpstr>emissiondata</vt:lpstr>
      <vt:lpstr>unitdata_other</vt:lpstr>
      <vt:lpstr>fueldata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2025-12-11T15:09:18Z</dcterms:modified>
</cp:coreProperties>
</file>