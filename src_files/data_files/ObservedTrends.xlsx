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B\bb-dev\north_european_model\src_files\data_files\"/>
    </mc:Choice>
  </mc:AlternateContent>
  <xr:revisionPtr revIDLastSave="0" documentId="13_ncr:1_{456B5D57-1CD1-4CF2-BE42-51BAF48510A8}" xr6:coauthVersionLast="47" xr6:coauthVersionMax="47" xr10:uidLastSave="{00000000-0000-0000-0000-000000000000}"/>
  <bookViews>
    <workbookView xWindow="-120" yWindow="-120" windowWidth="29040" windowHeight="17520" tabRatio="801" firstSheet="3" activeTab="13" xr2:uid="{FFD27B4C-068C-4319-9C46-FFCA72C83648}"/>
  </bookViews>
  <sheets>
    <sheet name="vomcost mult" sheetId="20" r:id="rId1"/>
    <sheet name="VRE-NT2030" sheetId="7" r:id="rId2"/>
    <sheet name="wind" sheetId="2" r:id="rId3"/>
    <sheet name="onshore" sheetId="5" r:id="rId4"/>
    <sheet name="offshore" sheetId="4" r:id="rId5"/>
    <sheet name="PV" sheetId="3" r:id="rId6"/>
    <sheet name="VRE summary" sheetId="6" r:id="rId7"/>
    <sheet name="unitdata_VRE" sheetId="8" r:id="rId8"/>
    <sheet name="battery_data" sheetId="21" r:id="rId9"/>
    <sheet name="unitdata_battery" sheetId="12" r:id="rId10"/>
    <sheet name="unitdata_nuclearThermal" sheetId="18" r:id="rId11"/>
    <sheet name="unitdata_demandRed" sheetId="19" r:id="rId12"/>
    <sheet name="transferdata" sheetId="15" r:id="rId13"/>
    <sheet name="emissiondata" sheetId="16" r:id="rId14"/>
    <sheet name="nodedata" sheetId="17" r:id="rId15"/>
  </sheets>
  <externalReferences>
    <externalReference r:id="rId16"/>
  </externalReferences>
  <definedNames>
    <definedName name="Bottom">OFFSET(#REF!,1,0,COUNT(#REF!),1)</definedName>
    <definedName name="fd">OFFSET(#REF!,1,0,COUNT(#REF!),1)</definedName>
    <definedName name="Labels">OFFSET(Bottom,0,-1)</definedName>
    <definedName name="SecondQ">OFFSET(#REF!,1,0,COUNT(#REF!),1)</definedName>
    <definedName name="ThirdQ">OFFSET(#REF!,1,0,COUNT(#REF!),1)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12" l="1"/>
  <c r="F43" i="12" s="1"/>
  <c r="M5" i="8"/>
  <c r="M6" i="8"/>
  <c r="M7" i="8"/>
  <c r="M8" i="12"/>
  <c r="M6" i="12"/>
  <c r="F80" i="12" s="1"/>
  <c r="M7" i="12"/>
  <c r="M5" i="18"/>
  <c r="M6" i="18"/>
  <c r="M7" i="18"/>
  <c r="M8" i="18"/>
  <c r="M9" i="18"/>
  <c r="M10" i="18"/>
  <c r="M11" i="18"/>
  <c r="M12" i="18"/>
  <c r="M13" i="18"/>
  <c r="M14" i="18"/>
  <c r="M15" i="18"/>
  <c r="M16" i="18"/>
  <c r="M17" i="18"/>
  <c r="M18" i="18"/>
  <c r="M19" i="18"/>
  <c r="M20" i="18"/>
  <c r="M21" i="18"/>
  <c r="M22" i="18"/>
  <c r="M23" i="18"/>
  <c r="M24" i="18"/>
  <c r="M25" i="18"/>
  <c r="M26" i="18"/>
  <c r="M27" i="18"/>
  <c r="M28" i="18"/>
  <c r="M29" i="18"/>
  <c r="F13" i="12" l="1"/>
  <c r="F16" i="12"/>
  <c r="F20" i="12"/>
  <c r="F21" i="12"/>
  <c r="F22" i="12"/>
  <c r="F34" i="12"/>
  <c r="F35" i="12"/>
  <c r="F36" i="12"/>
  <c r="F37" i="12"/>
  <c r="F40" i="12"/>
  <c r="F44" i="12"/>
  <c r="F12" i="12"/>
  <c r="F3" i="12"/>
  <c r="F24" i="12"/>
  <c r="F46" i="12"/>
  <c r="F7" i="12"/>
  <c r="F25" i="12"/>
  <c r="F57" i="12"/>
  <c r="F23" i="12"/>
  <c r="F8" i="12"/>
  <c r="F28" i="12"/>
  <c r="F69" i="12"/>
  <c r="F45" i="12"/>
  <c r="F10" i="12"/>
  <c r="F32" i="12"/>
  <c r="F81" i="12"/>
  <c r="F11" i="12"/>
  <c r="F33" i="12"/>
  <c r="F70" i="12"/>
  <c r="F82" i="12"/>
  <c r="F71" i="12"/>
  <c r="F83" i="12"/>
  <c r="F48" i="12"/>
  <c r="F49" i="12"/>
  <c r="F61" i="12"/>
  <c r="F85" i="12"/>
  <c r="F50" i="12"/>
  <c r="F62" i="12"/>
  <c r="F74" i="12"/>
  <c r="F86" i="12"/>
  <c r="F14" i="12"/>
  <c r="F26" i="12"/>
  <c r="F38" i="12"/>
  <c r="F51" i="12"/>
  <c r="F63" i="12"/>
  <c r="F75" i="12"/>
  <c r="F87" i="12"/>
  <c r="F9" i="12"/>
  <c r="F15" i="12"/>
  <c r="F27" i="12"/>
  <c r="F39" i="12"/>
  <c r="F52" i="12"/>
  <c r="F64" i="12"/>
  <c r="F76" i="12"/>
  <c r="F88" i="12"/>
  <c r="F58" i="12"/>
  <c r="F84" i="12"/>
  <c r="F73" i="12"/>
  <c r="F53" i="12"/>
  <c r="F65" i="12"/>
  <c r="F77" i="12"/>
  <c r="F89" i="12"/>
  <c r="F4" i="12"/>
  <c r="F17" i="12"/>
  <c r="F29" i="12"/>
  <c r="F41" i="12"/>
  <c r="F54" i="12"/>
  <c r="F66" i="12"/>
  <c r="F78" i="12"/>
  <c r="F90" i="12"/>
  <c r="F72" i="12"/>
  <c r="F5" i="12"/>
  <c r="F18" i="12"/>
  <c r="F30" i="12"/>
  <c r="F42" i="12"/>
  <c r="F55" i="12"/>
  <c r="F67" i="12"/>
  <c r="F79" i="12"/>
  <c r="F91" i="12"/>
  <c r="F59" i="12"/>
  <c r="F60" i="12"/>
  <c r="F6" i="12"/>
  <c r="F19" i="12"/>
  <c r="F31" i="12"/>
  <c r="F56" i="12"/>
  <c r="F68" i="12"/>
  <c r="Z30" i="19"/>
  <c r="Z29" i="19"/>
  <c r="Z28" i="19"/>
  <c r="F104" i="18"/>
  <c r="F102" i="18"/>
  <c r="F100" i="18"/>
  <c r="F87" i="18"/>
  <c r="F86" i="18"/>
  <c r="F85" i="18"/>
  <c r="F84" i="18"/>
  <c r="F82" i="18"/>
  <c r="F50" i="18"/>
  <c r="F49" i="18"/>
  <c r="F41" i="18"/>
  <c r="F68" i="18"/>
  <c r="F17" i="18"/>
  <c r="F16" i="18"/>
  <c r="F67" i="18"/>
  <c r="F30" i="18"/>
  <c r="F44" i="18"/>
  <c r="F8" i="18"/>
  <c r="F7" i="18"/>
  <c r="F6" i="18"/>
  <c r="F56" i="18"/>
  <c r="F32" i="18"/>
  <c r="F39" i="18"/>
  <c r="F92" i="18"/>
  <c r="F268" i="8"/>
  <c r="F267" i="8"/>
  <c r="F266" i="8"/>
  <c r="F265" i="8"/>
  <c r="F264" i="8"/>
  <c r="F263" i="8"/>
  <c r="F262" i="8"/>
  <c r="F261" i="8"/>
  <c r="F260" i="8"/>
  <c r="F259" i="8"/>
  <c r="F258" i="8"/>
  <c r="F257" i="8"/>
  <c r="F256" i="8"/>
  <c r="F255" i="8"/>
  <c r="F254" i="8"/>
  <c r="F253" i="8"/>
  <c r="F252" i="8"/>
  <c r="F251" i="8"/>
  <c r="F250" i="8"/>
  <c r="F249" i="8"/>
  <c r="F248" i="8"/>
  <c r="F247" i="8"/>
  <c r="F246" i="8"/>
  <c r="F245" i="8"/>
  <c r="F244" i="8"/>
  <c r="F243" i="8"/>
  <c r="F242" i="8"/>
  <c r="F241" i="8"/>
  <c r="F240" i="8"/>
  <c r="F239" i="8"/>
  <c r="F238" i="8"/>
  <c r="F237" i="8"/>
  <c r="F236" i="8"/>
  <c r="F235" i="8"/>
  <c r="F234" i="8"/>
  <c r="F233" i="8"/>
  <c r="F232" i="8"/>
  <c r="F231" i="8"/>
  <c r="F230" i="8"/>
  <c r="F229" i="8"/>
  <c r="F228" i="8"/>
  <c r="F227" i="8"/>
  <c r="F226" i="8"/>
  <c r="F225" i="8"/>
  <c r="F224" i="8"/>
  <c r="F223" i="8"/>
  <c r="F222" i="8"/>
  <c r="F221" i="8"/>
  <c r="F220" i="8"/>
  <c r="F219" i="8"/>
  <c r="F218" i="8"/>
  <c r="F217" i="8"/>
  <c r="F216" i="8"/>
  <c r="F215" i="8"/>
  <c r="F214" i="8"/>
  <c r="F213" i="8"/>
  <c r="F212" i="8"/>
  <c r="F211" i="8"/>
  <c r="F210" i="8"/>
  <c r="F209" i="8"/>
  <c r="F208" i="8"/>
  <c r="F207" i="8"/>
  <c r="F206" i="8"/>
  <c r="F205" i="8"/>
  <c r="F204" i="8"/>
  <c r="F203" i="8"/>
  <c r="F202" i="8"/>
  <c r="F201" i="8"/>
  <c r="F200" i="8"/>
  <c r="F199" i="8"/>
  <c r="F198" i="8"/>
  <c r="F197" i="8"/>
  <c r="F196" i="8"/>
  <c r="F195" i="8"/>
  <c r="F194" i="8"/>
  <c r="F193" i="8"/>
  <c r="F192" i="8"/>
  <c r="F191" i="8"/>
  <c r="F190" i="8"/>
  <c r="F189" i="8"/>
  <c r="F188" i="8"/>
  <c r="F187" i="8"/>
  <c r="F186" i="8"/>
  <c r="F185" i="8"/>
  <c r="F184" i="8"/>
  <c r="F183" i="8"/>
  <c r="F182" i="8"/>
  <c r="F181" i="8"/>
  <c r="F179" i="8"/>
  <c r="F178" i="8"/>
  <c r="F177" i="8"/>
  <c r="F176" i="8"/>
  <c r="F175" i="8"/>
  <c r="F174" i="8"/>
  <c r="F173" i="8"/>
  <c r="F172" i="8"/>
  <c r="F171" i="8"/>
  <c r="F170" i="8"/>
  <c r="F169" i="8"/>
  <c r="F168" i="8"/>
  <c r="F167" i="8"/>
  <c r="F166" i="8"/>
  <c r="F165" i="8"/>
  <c r="F164" i="8"/>
  <c r="F163" i="8"/>
  <c r="F162" i="8"/>
  <c r="F161" i="8"/>
  <c r="F160" i="8"/>
  <c r="F159" i="8"/>
  <c r="F158" i="8"/>
  <c r="F157" i="8"/>
  <c r="F156" i="8"/>
  <c r="F155" i="8"/>
  <c r="F154" i="8"/>
  <c r="F153" i="8"/>
  <c r="F152" i="8"/>
  <c r="F151" i="8"/>
  <c r="F150" i="8"/>
  <c r="F149" i="8"/>
  <c r="F148" i="8"/>
  <c r="F147" i="8"/>
  <c r="F146" i="8"/>
  <c r="F145" i="8"/>
  <c r="F144" i="8"/>
  <c r="F143" i="8"/>
  <c r="F142" i="8"/>
  <c r="F141" i="8"/>
  <c r="F140" i="8"/>
  <c r="F139" i="8"/>
  <c r="F138" i="8"/>
  <c r="F137" i="8"/>
  <c r="F136" i="8"/>
  <c r="F135" i="8"/>
  <c r="F134" i="8"/>
  <c r="F133" i="8"/>
  <c r="F132" i="8"/>
  <c r="F131" i="8"/>
  <c r="F130" i="8"/>
  <c r="F129" i="8"/>
  <c r="F128" i="8"/>
  <c r="F127" i="8"/>
  <c r="F126" i="8"/>
  <c r="F125" i="8"/>
  <c r="F124" i="8"/>
  <c r="F123" i="8"/>
  <c r="F122" i="8"/>
  <c r="F121" i="8"/>
  <c r="F120" i="8"/>
  <c r="F119" i="8"/>
  <c r="F118" i="8"/>
  <c r="F117" i="8"/>
  <c r="F116" i="8"/>
  <c r="F115" i="8"/>
  <c r="F114" i="8"/>
  <c r="F113" i="8"/>
  <c r="F112" i="8"/>
  <c r="F111" i="8"/>
  <c r="F110" i="8"/>
  <c r="F109" i="8"/>
  <c r="F108" i="8"/>
  <c r="F107" i="8"/>
  <c r="F106" i="8"/>
  <c r="F105" i="8"/>
  <c r="F104" i="8"/>
  <c r="F103" i="8"/>
  <c r="F102" i="8"/>
  <c r="F101" i="8"/>
  <c r="F100" i="8"/>
  <c r="F99" i="8"/>
  <c r="F98" i="8"/>
  <c r="F97" i="8"/>
  <c r="F96" i="8"/>
  <c r="F95" i="8"/>
  <c r="F94" i="8"/>
  <c r="F93" i="8"/>
  <c r="F92" i="8"/>
  <c r="F90" i="8"/>
  <c r="F89" i="8"/>
  <c r="F88" i="8"/>
  <c r="F87" i="8"/>
  <c r="F86" i="8"/>
  <c r="F85" i="8"/>
  <c r="F84" i="8"/>
  <c r="F83" i="8"/>
  <c r="F82" i="8"/>
  <c r="F81" i="8"/>
  <c r="F80" i="8"/>
  <c r="F79" i="8"/>
  <c r="F78" i="8"/>
  <c r="F77" i="8"/>
  <c r="F76" i="8"/>
  <c r="F75" i="8"/>
  <c r="F74" i="8"/>
  <c r="F73" i="8"/>
  <c r="F72" i="8"/>
  <c r="F71" i="8"/>
  <c r="F70" i="8"/>
  <c r="F69" i="8"/>
  <c r="F68" i="8"/>
  <c r="F67" i="8"/>
  <c r="F66" i="8"/>
  <c r="F65" i="8"/>
  <c r="F64" i="8"/>
  <c r="F63" i="8"/>
  <c r="F62" i="8"/>
  <c r="F61" i="8"/>
  <c r="F60" i="8"/>
  <c r="F59" i="8"/>
  <c r="F58" i="8"/>
  <c r="F57" i="8"/>
  <c r="F56" i="8"/>
  <c r="F55" i="8"/>
  <c r="F54" i="8"/>
  <c r="F53" i="8"/>
  <c r="F52" i="8"/>
  <c r="F51" i="8"/>
  <c r="F50" i="8"/>
  <c r="F49" i="8"/>
  <c r="F48" i="8"/>
  <c r="F47" i="8"/>
  <c r="F46" i="8"/>
  <c r="F45" i="8"/>
  <c r="F44" i="8"/>
  <c r="F43" i="8"/>
  <c r="F42" i="8"/>
  <c r="F41" i="8"/>
  <c r="F40" i="8"/>
  <c r="F39" i="8"/>
  <c r="F38" i="8"/>
  <c r="F37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F6" i="8"/>
  <c r="F5" i="8"/>
  <c r="F4" i="8"/>
  <c r="F3" i="8"/>
  <c r="G2" i="18"/>
  <c r="G3" i="18"/>
  <c r="G4" i="18"/>
  <c r="G5" i="18"/>
  <c r="G6" i="18"/>
  <c r="G7" i="18"/>
  <c r="G8" i="18"/>
  <c r="G9" i="18"/>
  <c r="G10" i="18"/>
  <c r="G11" i="18"/>
  <c r="G12" i="18"/>
  <c r="G13" i="18"/>
  <c r="G14" i="18"/>
  <c r="G15" i="18"/>
  <c r="G16" i="18"/>
  <c r="G17" i="18"/>
  <c r="G18" i="18"/>
  <c r="G19" i="18"/>
  <c r="G20" i="18"/>
  <c r="G21" i="18"/>
  <c r="G22" i="18"/>
  <c r="G23" i="18"/>
  <c r="G24" i="18"/>
  <c r="G25" i="18"/>
  <c r="G26" i="18"/>
  <c r="G27" i="18"/>
  <c r="G28" i="18"/>
  <c r="G29" i="18"/>
  <c r="G30" i="18"/>
  <c r="G31" i="18"/>
  <c r="G32" i="18"/>
  <c r="G33" i="18"/>
  <c r="G34" i="18"/>
  <c r="G35" i="18"/>
  <c r="G36" i="18"/>
  <c r="G37" i="18"/>
  <c r="G38" i="18"/>
  <c r="G39" i="18"/>
  <c r="G40" i="18"/>
  <c r="G41" i="18"/>
  <c r="G42" i="18"/>
  <c r="G43" i="18"/>
  <c r="G44" i="18"/>
  <c r="G45" i="18"/>
  <c r="G46" i="18"/>
  <c r="G47" i="18"/>
  <c r="G48" i="18"/>
  <c r="G49" i="18"/>
  <c r="G50" i="18"/>
  <c r="G51" i="18"/>
  <c r="G52" i="18"/>
  <c r="G53" i="18"/>
  <c r="G54" i="18"/>
  <c r="G55" i="18"/>
  <c r="G56" i="18"/>
  <c r="G57" i="18"/>
  <c r="G58" i="18"/>
  <c r="G59" i="18"/>
  <c r="G60" i="18"/>
  <c r="G61" i="18"/>
  <c r="G62" i="18"/>
  <c r="G63" i="18"/>
  <c r="G64" i="18"/>
  <c r="G65" i="18"/>
  <c r="G66" i="18"/>
  <c r="G67" i="18"/>
  <c r="G68" i="18"/>
  <c r="G69" i="18"/>
  <c r="G70" i="18"/>
  <c r="G71" i="18"/>
  <c r="G72" i="18"/>
  <c r="G73" i="18"/>
  <c r="G74" i="18"/>
  <c r="G75" i="18"/>
  <c r="G76" i="18"/>
  <c r="G77" i="18"/>
  <c r="G78" i="18"/>
  <c r="G79" i="18"/>
  <c r="G80" i="18"/>
  <c r="G81" i="18"/>
  <c r="G82" i="18"/>
  <c r="G83" i="18"/>
  <c r="G84" i="18"/>
  <c r="G85" i="18"/>
  <c r="G86" i="18"/>
  <c r="G87" i="18"/>
  <c r="G88" i="18"/>
  <c r="G89" i="18"/>
  <c r="G90" i="18"/>
  <c r="G91" i="18"/>
  <c r="G92" i="18"/>
  <c r="G93" i="18"/>
  <c r="G94" i="18"/>
  <c r="G95" i="18"/>
  <c r="G96" i="18"/>
  <c r="G97" i="18"/>
  <c r="G98" i="18"/>
  <c r="G99" i="18"/>
  <c r="G100" i="18"/>
  <c r="G101" i="18"/>
  <c r="G102" i="18"/>
  <c r="G103" i="18"/>
  <c r="G104" i="18"/>
  <c r="F38" i="18" l="1"/>
  <c r="F70" i="19"/>
  <c r="F58" i="19"/>
  <c r="F69" i="19"/>
  <c r="F57" i="19"/>
  <c r="F55" i="19"/>
  <c r="F51" i="19"/>
  <c r="F62" i="19"/>
  <c r="F68" i="19"/>
  <c r="F56" i="19"/>
  <c r="F67" i="19"/>
  <c r="F52" i="19"/>
  <c r="F49" i="19"/>
  <c r="F60" i="19"/>
  <c r="F66" i="19"/>
  <c r="F54" i="19"/>
  <c r="F65" i="19"/>
  <c r="F53" i="19"/>
  <c r="F63" i="19"/>
  <c r="F50" i="19"/>
  <c r="F61" i="19"/>
  <c r="F59" i="19"/>
  <c r="F64" i="19"/>
  <c r="F45" i="19"/>
  <c r="F33" i="19"/>
  <c r="F42" i="19"/>
  <c r="F44" i="19"/>
  <c r="F32" i="19"/>
  <c r="F30" i="19"/>
  <c r="F27" i="19"/>
  <c r="F36" i="19"/>
  <c r="F35" i="19"/>
  <c r="F46" i="19"/>
  <c r="F43" i="19"/>
  <c r="F31" i="19"/>
  <c r="F38" i="19"/>
  <c r="F37" i="19"/>
  <c r="F34" i="19"/>
  <c r="F41" i="19"/>
  <c r="F29" i="19"/>
  <c r="F40" i="19"/>
  <c r="F28" i="19"/>
  <c r="F39" i="19"/>
  <c r="F26" i="19"/>
  <c r="F47" i="19"/>
  <c r="F20" i="19"/>
  <c r="F8" i="19"/>
  <c r="F17" i="19"/>
  <c r="F3" i="19"/>
  <c r="F19" i="19"/>
  <c r="F7" i="19"/>
  <c r="F15" i="19"/>
  <c r="F13" i="19"/>
  <c r="F12" i="19"/>
  <c r="F9" i="19"/>
  <c r="F18" i="19"/>
  <c r="F6" i="19"/>
  <c r="F5" i="19"/>
  <c r="F10" i="19"/>
  <c r="F16" i="19"/>
  <c r="F4" i="19"/>
  <c r="F14" i="19"/>
  <c r="F24" i="19"/>
  <c r="F23" i="19"/>
  <c r="F11" i="19"/>
  <c r="F22" i="19"/>
  <c r="F21" i="19"/>
  <c r="F37" i="18"/>
  <c r="F74" i="18"/>
  <c r="F26" i="18"/>
  <c r="F97" i="18"/>
  <c r="F13" i="18"/>
  <c r="F98" i="18"/>
  <c r="F14" i="18"/>
  <c r="F25" i="18"/>
  <c r="F9" i="18"/>
  <c r="F21" i="18"/>
  <c r="F33" i="18"/>
  <c r="F45" i="18"/>
  <c r="F57" i="18"/>
  <c r="F69" i="18"/>
  <c r="F81" i="18"/>
  <c r="F93" i="18"/>
  <c r="F61" i="18"/>
  <c r="F10" i="18"/>
  <c r="F22" i="18"/>
  <c r="F34" i="18"/>
  <c r="F46" i="18"/>
  <c r="F58" i="18"/>
  <c r="F70" i="18"/>
  <c r="F94" i="18"/>
  <c r="F73" i="18"/>
  <c r="F11" i="18"/>
  <c r="F23" i="18"/>
  <c r="F35" i="18"/>
  <c r="F47" i="18"/>
  <c r="F59" i="18"/>
  <c r="F71" i="18"/>
  <c r="F83" i="18"/>
  <c r="F95" i="18"/>
  <c r="F12" i="18"/>
  <c r="F24" i="18"/>
  <c r="F36" i="18"/>
  <c r="F48" i="18"/>
  <c r="F60" i="18"/>
  <c r="F72" i="18"/>
  <c r="F96" i="18"/>
  <c r="F62" i="18"/>
  <c r="F3" i="18"/>
  <c r="F15" i="18"/>
  <c r="F27" i="18"/>
  <c r="F51" i="18"/>
  <c r="F63" i="18"/>
  <c r="F75" i="18"/>
  <c r="F99" i="18"/>
  <c r="F2" i="18"/>
  <c r="F4" i="18"/>
  <c r="F28" i="18"/>
  <c r="F40" i="18"/>
  <c r="F52" i="18"/>
  <c r="F64" i="18"/>
  <c r="F76" i="18"/>
  <c r="F88" i="18"/>
  <c r="F5" i="18"/>
  <c r="F29" i="18"/>
  <c r="F53" i="18"/>
  <c r="F65" i="18"/>
  <c r="F77" i="18"/>
  <c r="F89" i="18"/>
  <c r="F101" i="18"/>
  <c r="F18" i="18"/>
  <c r="F42" i="18"/>
  <c r="F54" i="18"/>
  <c r="F66" i="18"/>
  <c r="F78" i="18"/>
  <c r="F90" i="18"/>
  <c r="F19" i="18"/>
  <c r="F31" i="18"/>
  <c r="F43" i="18"/>
  <c r="F55" i="18"/>
  <c r="F79" i="18"/>
  <c r="F91" i="18"/>
  <c r="F103" i="18"/>
  <c r="F20" i="18"/>
  <c r="F80" i="18"/>
  <c r="E46" i="12"/>
  <c r="G46" i="12" s="1"/>
  <c r="E45" i="12"/>
  <c r="G45" i="12" s="1"/>
  <c r="E44" i="12"/>
  <c r="G44" i="12" s="1"/>
  <c r="E43" i="12"/>
  <c r="G43" i="12" s="1"/>
  <c r="E42" i="12"/>
  <c r="G42" i="12" s="1"/>
  <c r="E41" i="12"/>
  <c r="G41" i="12" s="1"/>
  <c r="E40" i="12"/>
  <c r="G40" i="12" s="1"/>
  <c r="E39" i="12"/>
  <c r="G39" i="12" s="1"/>
  <c r="E38" i="12"/>
  <c r="G38" i="12" s="1"/>
  <c r="E37" i="12"/>
  <c r="G37" i="12" s="1"/>
  <c r="E36" i="12"/>
  <c r="G36" i="12" s="1"/>
  <c r="E35" i="12"/>
  <c r="G35" i="12" s="1"/>
  <c r="E34" i="12"/>
  <c r="G34" i="12" s="1"/>
  <c r="E33" i="12"/>
  <c r="G33" i="12" s="1"/>
  <c r="E32" i="12"/>
  <c r="G32" i="12" s="1"/>
  <c r="E31" i="12"/>
  <c r="G31" i="12" s="1"/>
  <c r="E26" i="12"/>
  <c r="G26" i="12" s="1"/>
  <c r="E25" i="12"/>
  <c r="G25" i="12" s="1"/>
  <c r="E24" i="12"/>
  <c r="G24" i="12" s="1"/>
  <c r="E23" i="12"/>
  <c r="G23" i="12" s="1"/>
  <c r="E22" i="12"/>
  <c r="G22" i="12" s="1"/>
  <c r="E21" i="12"/>
  <c r="G21" i="12" s="1"/>
  <c r="E20" i="12"/>
  <c r="G20" i="12" s="1"/>
  <c r="E19" i="12"/>
  <c r="G19" i="12" s="1"/>
  <c r="E18" i="12"/>
  <c r="G18" i="12" s="1"/>
  <c r="E17" i="12"/>
  <c r="G17" i="12" s="1"/>
  <c r="E16" i="12"/>
  <c r="G16" i="12" s="1"/>
  <c r="E15" i="12"/>
  <c r="G15" i="12" s="1"/>
  <c r="E14" i="12"/>
  <c r="G14" i="12" s="1"/>
  <c r="E13" i="12"/>
  <c r="G13" i="12" s="1"/>
  <c r="E12" i="12"/>
  <c r="G12" i="12" s="1"/>
  <c r="E11" i="12"/>
  <c r="G11" i="12" s="1"/>
  <c r="E10" i="12"/>
  <c r="G10" i="12" s="1"/>
  <c r="E9" i="12"/>
  <c r="G9" i="12" s="1"/>
  <c r="E4" i="12"/>
  <c r="G4" i="12" s="1"/>
  <c r="E3" i="12"/>
  <c r="G3" i="12" s="1"/>
  <c r="P17" i="12"/>
  <c r="E8" i="12" s="1"/>
  <c r="G8" i="12" s="1"/>
  <c r="P16" i="12"/>
  <c r="Q16" i="12" s="1"/>
  <c r="E29" i="12" s="1"/>
  <c r="G29" i="12" s="1"/>
  <c r="Q14" i="12"/>
  <c r="E27" i="12" s="1"/>
  <c r="G27" i="12" s="1"/>
  <c r="P14" i="12"/>
  <c r="E5" i="12" s="1"/>
  <c r="G5" i="12" s="1"/>
  <c r="O14" i="12"/>
  <c r="F33" i="21" a="1"/>
  <c r="F33" i="21"/>
  <c r="Q15" i="12" s="1"/>
  <c r="E28" i="12" s="1"/>
  <c r="G28" i="12" s="1"/>
  <c r="C50" i="21"/>
  <c r="O15" i="12"/>
  <c r="P15" i="12"/>
  <c r="E6" i="12" s="1"/>
  <c r="G6" i="12" s="1"/>
  <c r="G33" i="21" a="1"/>
  <c r="G33" i="21" s="1"/>
  <c r="L33" i="12"/>
  <c r="L32" i="12"/>
  <c r="L31" i="12"/>
  <c r="L30" i="12"/>
  <c r="L29" i="12"/>
  <c r="L28" i="12"/>
  <c r="L27" i="12"/>
  <c r="L26" i="12"/>
  <c r="L25" i="12"/>
  <c r="L24" i="12"/>
  <c r="L23" i="12"/>
  <c r="L22" i="12"/>
  <c r="L21" i="12"/>
  <c r="L20" i="12"/>
  <c r="L19" i="12"/>
  <c r="L18" i="12"/>
  <c r="L17" i="12"/>
  <c r="L16" i="12"/>
  <c r="L15" i="12"/>
  <c r="L14" i="12"/>
  <c r="L13" i="12"/>
  <c r="L12" i="12"/>
  <c r="M92" i="15"/>
  <c r="M90" i="15"/>
  <c r="M89" i="15"/>
  <c r="M80" i="15"/>
  <c r="M78" i="15"/>
  <c r="M77" i="15"/>
  <c r="G76" i="15" s="1"/>
  <c r="M68" i="15"/>
  <c r="M66" i="15"/>
  <c r="M65" i="15"/>
  <c r="G64" i="15" s="1"/>
  <c r="M56" i="15"/>
  <c r="M54" i="15"/>
  <c r="M53" i="15"/>
  <c r="G52" i="15" s="1"/>
  <c r="M44" i="15"/>
  <c r="M42" i="15"/>
  <c r="M41" i="15"/>
  <c r="G40" i="15" s="1"/>
  <c r="M32" i="15"/>
  <c r="M30" i="15"/>
  <c r="M29" i="15"/>
  <c r="G28" i="15" s="1"/>
  <c r="M20" i="15"/>
  <c r="M18" i="15"/>
  <c r="M17" i="15"/>
  <c r="G16" i="15" s="1"/>
  <c r="M8" i="15"/>
  <c r="M6" i="15"/>
  <c r="M5" i="15"/>
  <c r="I2" i="15"/>
  <c r="I3" i="15"/>
  <c r="I4" i="15"/>
  <c r="I5" i="15"/>
  <c r="I6" i="15"/>
  <c r="I7" i="15"/>
  <c r="I8" i="15"/>
  <c r="I9" i="15"/>
  <c r="I10" i="15"/>
  <c r="I11" i="15"/>
  <c r="I12" i="15"/>
  <c r="I13" i="15"/>
  <c r="I14" i="15"/>
  <c r="I15" i="15"/>
  <c r="I16" i="15"/>
  <c r="I17" i="15"/>
  <c r="I18" i="15"/>
  <c r="I19" i="15"/>
  <c r="I20" i="15"/>
  <c r="I21" i="15"/>
  <c r="I22" i="15"/>
  <c r="I23" i="15"/>
  <c r="I24" i="15"/>
  <c r="I25" i="15"/>
  <c r="I26" i="15"/>
  <c r="I27" i="15"/>
  <c r="I28" i="15"/>
  <c r="I29" i="15"/>
  <c r="I30" i="15"/>
  <c r="I31" i="15"/>
  <c r="I32" i="15"/>
  <c r="I33" i="15"/>
  <c r="I34" i="15"/>
  <c r="I35" i="15"/>
  <c r="I36" i="15"/>
  <c r="I37" i="15"/>
  <c r="I38" i="15"/>
  <c r="I39" i="15"/>
  <c r="I40" i="15"/>
  <c r="I41" i="15"/>
  <c r="I42" i="15"/>
  <c r="I43" i="15"/>
  <c r="I44" i="15"/>
  <c r="I45" i="15"/>
  <c r="I46" i="15"/>
  <c r="I47" i="15"/>
  <c r="I48" i="15"/>
  <c r="I49" i="15"/>
  <c r="I50" i="15"/>
  <c r="I51" i="15"/>
  <c r="I52" i="15"/>
  <c r="I53" i="15"/>
  <c r="I54" i="15"/>
  <c r="I55" i="15"/>
  <c r="I56" i="15"/>
  <c r="I57" i="15"/>
  <c r="I58" i="15"/>
  <c r="I59" i="15"/>
  <c r="I60" i="15"/>
  <c r="I61" i="15"/>
  <c r="I62" i="15"/>
  <c r="I63" i="15"/>
  <c r="I64" i="15"/>
  <c r="I65" i="15"/>
  <c r="I66" i="15"/>
  <c r="I67" i="15"/>
  <c r="I68" i="15"/>
  <c r="I69" i="15"/>
  <c r="I70" i="15"/>
  <c r="I71" i="15"/>
  <c r="I72" i="15"/>
  <c r="I73" i="15"/>
  <c r="I74" i="15"/>
  <c r="I75" i="15"/>
  <c r="I76" i="15"/>
  <c r="I77" i="15"/>
  <c r="I78" i="15"/>
  <c r="I79" i="15"/>
  <c r="I80" i="15"/>
  <c r="I81" i="15"/>
  <c r="I82" i="15"/>
  <c r="I83" i="15"/>
  <c r="I84" i="15"/>
  <c r="I85" i="15"/>
  <c r="I86" i="15"/>
  <c r="I87" i="15"/>
  <c r="I88" i="15"/>
  <c r="I89" i="15"/>
  <c r="I90" i="15"/>
  <c r="I91" i="15"/>
  <c r="I92" i="15"/>
  <c r="I93" i="15"/>
  <c r="V27" i="19"/>
  <c r="V26" i="19"/>
  <c r="V25" i="19"/>
  <c r="V24" i="19"/>
  <c r="V23" i="19"/>
  <c r="V22" i="19"/>
  <c r="V21" i="19"/>
  <c r="V20" i="19"/>
  <c r="V19" i="19"/>
  <c r="V18" i="19"/>
  <c r="V17" i="19"/>
  <c r="V16" i="19"/>
  <c r="V15" i="19"/>
  <c r="V14" i="19"/>
  <c r="V13" i="19"/>
  <c r="V12" i="19"/>
  <c r="V11" i="19"/>
  <c r="V10" i="19"/>
  <c r="V9" i="19"/>
  <c r="V8" i="19"/>
  <c r="V7" i="19"/>
  <c r="V6" i="19"/>
  <c r="P4" i="15"/>
  <c r="Q4" i="15"/>
  <c r="P5" i="15"/>
  <c r="Q5" i="15"/>
  <c r="P6" i="15"/>
  <c r="Q6" i="15"/>
  <c r="P7" i="15"/>
  <c r="M7" i="15" s="1"/>
  <c r="Q7" i="15"/>
  <c r="P8" i="15"/>
  <c r="Q8" i="15"/>
  <c r="P9" i="15"/>
  <c r="M9" i="15" s="1"/>
  <c r="G8" i="15" s="1"/>
  <c r="Q9" i="15"/>
  <c r="P10" i="15"/>
  <c r="M10" i="15" s="1"/>
  <c r="G9" i="15" s="1"/>
  <c r="Q10" i="15"/>
  <c r="P11" i="15"/>
  <c r="M11" i="15" s="1"/>
  <c r="Q11" i="15"/>
  <c r="P12" i="15"/>
  <c r="M12" i="15" s="1"/>
  <c r="Q12" i="15"/>
  <c r="P13" i="15"/>
  <c r="M13" i="15" s="1"/>
  <c r="Q13" i="15"/>
  <c r="P14" i="15"/>
  <c r="M14" i="15" s="1"/>
  <c r="Q14" i="15"/>
  <c r="P15" i="15"/>
  <c r="Q15" i="15"/>
  <c r="P16" i="15"/>
  <c r="Q16" i="15"/>
  <c r="P17" i="15"/>
  <c r="Q17" i="15"/>
  <c r="P18" i="15"/>
  <c r="Q18" i="15"/>
  <c r="P19" i="15"/>
  <c r="M19" i="15" s="1"/>
  <c r="Q19" i="15"/>
  <c r="P20" i="15"/>
  <c r="Q20" i="15"/>
  <c r="P21" i="15"/>
  <c r="M21" i="15" s="1"/>
  <c r="G20" i="15" s="1"/>
  <c r="Q21" i="15"/>
  <c r="P22" i="15"/>
  <c r="M22" i="15" s="1"/>
  <c r="G21" i="15" s="1"/>
  <c r="Q22" i="15"/>
  <c r="P23" i="15"/>
  <c r="M23" i="15" s="1"/>
  <c r="Q23" i="15"/>
  <c r="P24" i="15"/>
  <c r="M24" i="15" s="1"/>
  <c r="Q24" i="15"/>
  <c r="P25" i="15"/>
  <c r="M25" i="15" s="1"/>
  <c r="Q25" i="15"/>
  <c r="P26" i="15"/>
  <c r="M26" i="15" s="1"/>
  <c r="Q26" i="15"/>
  <c r="P27" i="15"/>
  <c r="Q27" i="15"/>
  <c r="P28" i="15"/>
  <c r="Q28" i="15"/>
  <c r="P29" i="15"/>
  <c r="Q29" i="15"/>
  <c r="P30" i="15"/>
  <c r="Q30" i="15"/>
  <c r="P31" i="15"/>
  <c r="M31" i="15" s="1"/>
  <c r="Q31" i="15"/>
  <c r="P32" i="15"/>
  <c r="Q32" i="15"/>
  <c r="P33" i="15"/>
  <c r="M33" i="15" s="1"/>
  <c r="G32" i="15" s="1"/>
  <c r="Q33" i="15"/>
  <c r="P34" i="15"/>
  <c r="M34" i="15" s="1"/>
  <c r="G33" i="15" s="1"/>
  <c r="Q34" i="15"/>
  <c r="P35" i="15"/>
  <c r="M35" i="15" s="1"/>
  <c r="Q35" i="15"/>
  <c r="P36" i="15"/>
  <c r="M36" i="15" s="1"/>
  <c r="Q36" i="15"/>
  <c r="P37" i="15"/>
  <c r="M37" i="15" s="1"/>
  <c r="Q37" i="15"/>
  <c r="P38" i="15"/>
  <c r="M38" i="15" s="1"/>
  <c r="Q38" i="15"/>
  <c r="P39" i="15"/>
  <c r="Q39" i="15"/>
  <c r="P40" i="15"/>
  <c r="Q40" i="15"/>
  <c r="P41" i="15"/>
  <c r="Q41" i="15"/>
  <c r="P42" i="15"/>
  <c r="Q42" i="15"/>
  <c r="P43" i="15"/>
  <c r="M43" i="15" s="1"/>
  <c r="Q43" i="15"/>
  <c r="P44" i="15"/>
  <c r="Q44" i="15"/>
  <c r="P45" i="15"/>
  <c r="M45" i="15" s="1"/>
  <c r="G44" i="15" s="1"/>
  <c r="Q45" i="15"/>
  <c r="P46" i="15"/>
  <c r="M46" i="15" s="1"/>
  <c r="G45" i="15" s="1"/>
  <c r="Q46" i="15"/>
  <c r="P47" i="15"/>
  <c r="M47" i="15" s="1"/>
  <c r="Q47" i="15"/>
  <c r="P48" i="15"/>
  <c r="M48" i="15" s="1"/>
  <c r="Q48" i="15"/>
  <c r="P49" i="15"/>
  <c r="M49" i="15" s="1"/>
  <c r="Q49" i="15"/>
  <c r="P50" i="15"/>
  <c r="M50" i="15" s="1"/>
  <c r="Q50" i="15"/>
  <c r="P51" i="15"/>
  <c r="Q51" i="15"/>
  <c r="P52" i="15"/>
  <c r="Q52" i="15"/>
  <c r="P53" i="15"/>
  <c r="Q53" i="15"/>
  <c r="P54" i="15"/>
  <c r="Q54" i="15"/>
  <c r="P55" i="15"/>
  <c r="M55" i="15" s="1"/>
  <c r="Q55" i="15"/>
  <c r="P56" i="15"/>
  <c r="Q56" i="15"/>
  <c r="P57" i="15"/>
  <c r="M57" i="15" s="1"/>
  <c r="G56" i="15" s="1"/>
  <c r="Q57" i="15"/>
  <c r="P58" i="15"/>
  <c r="M58" i="15" s="1"/>
  <c r="G57" i="15" s="1"/>
  <c r="Q58" i="15"/>
  <c r="P59" i="15"/>
  <c r="M59" i="15" s="1"/>
  <c r="Q59" i="15"/>
  <c r="P60" i="15"/>
  <c r="M60" i="15" s="1"/>
  <c r="Q60" i="15"/>
  <c r="P61" i="15"/>
  <c r="M61" i="15" s="1"/>
  <c r="Q61" i="15"/>
  <c r="P62" i="15"/>
  <c r="M62" i="15" s="1"/>
  <c r="Q62" i="15"/>
  <c r="P63" i="15"/>
  <c r="Q63" i="15"/>
  <c r="P64" i="15"/>
  <c r="Q64" i="15"/>
  <c r="P65" i="15"/>
  <c r="Q65" i="15"/>
  <c r="P66" i="15"/>
  <c r="Q66" i="15"/>
  <c r="P67" i="15"/>
  <c r="M67" i="15" s="1"/>
  <c r="Q67" i="15"/>
  <c r="P68" i="15"/>
  <c r="Q68" i="15"/>
  <c r="P69" i="15"/>
  <c r="M69" i="15" s="1"/>
  <c r="G68" i="15" s="1"/>
  <c r="Q69" i="15"/>
  <c r="P70" i="15"/>
  <c r="M70" i="15" s="1"/>
  <c r="G69" i="15" s="1"/>
  <c r="Q70" i="15"/>
  <c r="P71" i="15"/>
  <c r="M71" i="15" s="1"/>
  <c r="Q71" i="15"/>
  <c r="P72" i="15"/>
  <c r="M72" i="15" s="1"/>
  <c r="Q72" i="15"/>
  <c r="P73" i="15"/>
  <c r="M73" i="15" s="1"/>
  <c r="Q73" i="15"/>
  <c r="P74" i="15"/>
  <c r="M74" i="15" s="1"/>
  <c r="Q74" i="15"/>
  <c r="P75" i="15"/>
  <c r="Q75" i="15"/>
  <c r="P76" i="15"/>
  <c r="Q76" i="15"/>
  <c r="P77" i="15"/>
  <c r="Q77" i="15"/>
  <c r="P78" i="15"/>
  <c r="Q78" i="15"/>
  <c r="P79" i="15"/>
  <c r="M79" i="15" s="1"/>
  <c r="Q79" i="15"/>
  <c r="P80" i="15"/>
  <c r="Q80" i="15"/>
  <c r="P81" i="15"/>
  <c r="M81" i="15" s="1"/>
  <c r="G80" i="15" s="1"/>
  <c r="Q81" i="15"/>
  <c r="P82" i="15"/>
  <c r="M82" i="15" s="1"/>
  <c r="G81" i="15" s="1"/>
  <c r="Q82" i="15"/>
  <c r="P83" i="15"/>
  <c r="M83" i="15" s="1"/>
  <c r="Q83" i="15"/>
  <c r="P84" i="15"/>
  <c r="M84" i="15" s="1"/>
  <c r="Q84" i="15"/>
  <c r="P85" i="15"/>
  <c r="M85" i="15" s="1"/>
  <c r="Q85" i="15"/>
  <c r="P86" i="15"/>
  <c r="M86" i="15" s="1"/>
  <c r="Q86" i="15"/>
  <c r="P87" i="15"/>
  <c r="Q87" i="15"/>
  <c r="P88" i="15"/>
  <c r="Q88" i="15"/>
  <c r="P89" i="15"/>
  <c r="Q89" i="15"/>
  <c r="P90" i="15"/>
  <c r="Q90" i="15"/>
  <c r="P91" i="15"/>
  <c r="M91" i="15" s="1"/>
  <c r="Q91" i="15"/>
  <c r="P92" i="15"/>
  <c r="Q92" i="15"/>
  <c r="P93" i="15"/>
  <c r="M93" i="15" s="1"/>
  <c r="G92" i="15" s="1"/>
  <c r="Q93" i="15"/>
  <c r="P94" i="15"/>
  <c r="M94" i="15" s="1"/>
  <c r="G93" i="15" s="1"/>
  <c r="Q94" i="15"/>
  <c r="Q3" i="15"/>
  <c r="P3" i="15"/>
  <c r="M3" i="15" s="1"/>
  <c r="R32" i="20"/>
  <c r="R31" i="20"/>
  <c r="R30" i="20"/>
  <c r="R29" i="20"/>
  <c r="R28" i="20"/>
  <c r="R27" i="20"/>
  <c r="R26" i="20"/>
  <c r="R25" i="20"/>
  <c r="R24" i="20"/>
  <c r="R23" i="20"/>
  <c r="R22" i="20"/>
  <c r="R21" i="20"/>
  <c r="R20" i="20"/>
  <c r="R19" i="20"/>
  <c r="R18" i="20"/>
  <c r="R17" i="20"/>
  <c r="R16" i="20"/>
  <c r="R15" i="20"/>
  <c r="R14" i="20"/>
  <c r="R13" i="20"/>
  <c r="R12" i="20"/>
  <c r="R11" i="20"/>
  <c r="P12" i="20"/>
  <c r="P13" i="20"/>
  <c r="P14" i="20"/>
  <c r="P15" i="20"/>
  <c r="P16" i="20"/>
  <c r="P17" i="20"/>
  <c r="P18" i="20"/>
  <c r="P19" i="20"/>
  <c r="P20" i="20"/>
  <c r="P21" i="20"/>
  <c r="P22" i="20"/>
  <c r="P23" i="20"/>
  <c r="P24" i="20"/>
  <c r="P25" i="20"/>
  <c r="P26" i="20"/>
  <c r="P27" i="20"/>
  <c r="P28" i="20"/>
  <c r="P29" i="20"/>
  <c r="P30" i="20"/>
  <c r="P31" i="20"/>
  <c r="P32" i="20"/>
  <c r="P11" i="20"/>
  <c r="O34" i="20"/>
  <c r="F76" i="20"/>
  <c r="E76" i="20"/>
  <c r="D76" i="20"/>
  <c r="C76" i="20"/>
  <c r="B76" i="20"/>
  <c r="F75" i="20"/>
  <c r="O32" i="20" s="1"/>
  <c r="E75" i="20"/>
  <c r="D75" i="20"/>
  <c r="C75" i="20"/>
  <c r="B75" i="20"/>
  <c r="O12" i="20"/>
  <c r="O13" i="20"/>
  <c r="O14" i="20"/>
  <c r="O15" i="20"/>
  <c r="O16" i="20"/>
  <c r="O17" i="20"/>
  <c r="O18" i="20"/>
  <c r="O19" i="20"/>
  <c r="O20" i="20"/>
  <c r="O21" i="20"/>
  <c r="O22" i="20"/>
  <c r="O23" i="20"/>
  <c r="O24" i="20"/>
  <c r="O25" i="20"/>
  <c r="O26" i="20"/>
  <c r="O27" i="20"/>
  <c r="O28" i="20"/>
  <c r="O29" i="20"/>
  <c r="O30" i="20"/>
  <c r="O31" i="20"/>
  <c r="O11" i="20"/>
  <c r="G4" i="15"/>
  <c r="Q17" i="12" l="1"/>
  <c r="E30" i="12" s="1"/>
  <c r="G30" i="12" s="1"/>
  <c r="G30" i="15"/>
  <c r="G66" i="15"/>
  <c r="G89" i="15"/>
  <c r="G53" i="15"/>
  <c r="G90" i="15"/>
  <c r="G54" i="15"/>
  <c r="G6" i="15"/>
  <c r="G65" i="15"/>
  <c r="G5" i="15"/>
  <c r="G42" i="15"/>
  <c r="G29" i="15"/>
  <c r="G87" i="15"/>
  <c r="G3" i="15"/>
  <c r="G18" i="15"/>
  <c r="G41" i="15"/>
  <c r="G78" i="15"/>
  <c r="G74" i="15"/>
  <c r="M15" i="15"/>
  <c r="G14" i="15" s="1"/>
  <c r="M27" i="15"/>
  <c r="G26" i="15" s="1"/>
  <c r="M39" i="15"/>
  <c r="G38" i="15" s="1"/>
  <c r="M51" i="15"/>
  <c r="G50" i="15" s="1"/>
  <c r="M63" i="15"/>
  <c r="G62" i="15" s="1"/>
  <c r="M75" i="15"/>
  <c r="M87" i="15"/>
  <c r="G86" i="15" s="1"/>
  <c r="G77" i="15"/>
  <c r="G17" i="15"/>
  <c r="G91" i="15"/>
  <c r="G85" i="15"/>
  <c r="G79" i="15"/>
  <c r="G73" i="15"/>
  <c r="G67" i="15"/>
  <c r="G61" i="15"/>
  <c r="G55" i="15"/>
  <c r="G49" i="15"/>
  <c r="G43" i="15"/>
  <c r="G37" i="15"/>
  <c r="G31" i="15"/>
  <c r="G25" i="15"/>
  <c r="G19" i="15"/>
  <c r="G13" i="15"/>
  <c r="G7" i="15"/>
  <c r="M4" i="15"/>
  <c r="M16" i="15"/>
  <c r="G15" i="15" s="1"/>
  <c r="M28" i="15"/>
  <c r="G27" i="15" s="1"/>
  <c r="M40" i="15"/>
  <c r="G39" i="15" s="1"/>
  <c r="M52" i="15"/>
  <c r="G51" i="15" s="1"/>
  <c r="M64" i="15"/>
  <c r="G63" i="15" s="1"/>
  <c r="M76" i="15"/>
  <c r="G75" i="15" s="1"/>
  <c r="M88" i="15"/>
  <c r="E7" i="12"/>
  <c r="G7" i="12" s="1"/>
  <c r="G84" i="15"/>
  <c r="G72" i="15"/>
  <c r="G60" i="15"/>
  <c r="G48" i="15"/>
  <c r="G36" i="15"/>
  <c r="G24" i="15"/>
  <c r="G12" i="15"/>
  <c r="G83" i="15"/>
  <c r="G10" i="15"/>
  <c r="G59" i="15"/>
  <c r="G47" i="15"/>
  <c r="G35" i="15"/>
  <c r="G23" i="15"/>
  <c r="G11" i="15"/>
  <c r="G88" i="15"/>
  <c r="G82" i="15"/>
  <c r="G70" i="15"/>
  <c r="G58" i="15"/>
  <c r="G46" i="15"/>
  <c r="G34" i="15"/>
  <c r="G22" i="15"/>
  <c r="G71" i="15"/>
  <c r="G2" i="15"/>
  <c r="AG29" i="19"/>
  <c r="P27" i="19"/>
  <c r="O27" i="19"/>
  <c r="N27" i="19"/>
  <c r="P13" i="19"/>
  <c r="O13" i="19"/>
  <c r="N13" i="19"/>
  <c r="P8" i="19"/>
  <c r="O8" i="19"/>
  <c r="N8" i="19"/>
  <c r="L26" i="19"/>
  <c r="P26" i="19" s="1"/>
  <c r="K26" i="19"/>
  <c r="O26" i="19" s="1"/>
  <c r="J26" i="19"/>
  <c r="N26" i="19" s="1"/>
  <c r="L25" i="19"/>
  <c r="P25" i="19" s="1"/>
  <c r="K25" i="19"/>
  <c r="O25" i="19" s="1"/>
  <c r="J25" i="19"/>
  <c r="N25" i="19" s="1"/>
  <c r="L24" i="19"/>
  <c r="P24" i="19" s="1"/>
  <c r="K24" i="19"/>
  <c r="O24" i="19" s="1"/>
  <c r="J24" i="19"/>
  <c r="N24" i="19" s="1"/>
  <c r="L23" i="19"/>
  <c r="P23" i="19" s="1"/>
  <c r="K23" i="19"/>
  <c r="O23" i="19" s="1"/>
  <c r="J23" i="19"/>
  <c r="N23" i="19" s="1"/>
  <c r="L22" i="19"/>
  <c r="P22" i="19" s="1"/>
  <c r="K22" i="19"/>
  <c r="O22" i="19" s="1"/>
  <c r="J22" i="19"/>
  <c r="N22" i="19" s="1"/>
  <c r="L21" i="19"/>
  <c r="P21" i="19" s="1"/>
  <c r="K21" i="19"/>
  <c r="O21" i="19" s="1"/>
  <c r="J21" i="19"/>
  <c r="N21" i="19" s="1"/>
  <c r="L20" i="19"/>
  <c r="P20" i="19" s="1"/>
  <c r="K20" i="19"/>
  <c r="O20" i="19" s="1"/>
  <c r="J20" i="19"/>
  <c r="N20" i="19" s="1"/>
  <c r="L19" i="19"/>
  <c r="P19" i="19" s="1"/>
  <c r="K19" i="19"/>
  <c r="O19" i="19" s="1"/>
  <c r="J19" i="19"/>
  <c r="N19" i="19" s="1"/>
  <c r="L18" i="19"/>
  <c r="P18" i="19" s="1"/>
  <c r="K18" i="19"/>
  <c r="O18" i="19" s="1"/>
  <c r="J18" i="19"/>
  <c r="N18" i="19" s="1"/>
  <c r="K16" i="19"/>
  <c r="O16" i="19" s="1"/>
  <c r="L16" i="19"/>
  <c r="P16" i="19" s="1"/>
  <c r="K17" i="19"/>
  <c r="O17" i="19" s="1"/>
  <c r="L17" i="19"/>
  <c r="P17" i="19" s="1"/>
  <c r="J17" i="19"/>
  <c r="N17" i="19" s="1"/>
  <c r="J16" i="19"/>
  <c r="N16" i="19" s="1"/>
  <c r="L15" i="19"/>
  <c r="P15" i="19" s="1"/>
  <c r="K15" i="19"/>
  <c r="O15" i="19" s="1"/>
  <c r="L14" i="19"/>
  <c r="P14" i="19" s="1"/>
  <c r="K14" i="19"/>
  <c r="O14" i="19" s="1"/>
  <c r="J15" i="19"/>
  <c r="N15" i="19" s="1"/>
  <c r="J14" i="19"/>
  <c r="N14" i="19" s="1"/>
  <c r="L12" i="19"/>
  <c r="P12" i="19" s="1"/>
  <c r="K12" i="19"/>
  <c r="O12" i="19" s="1"/>
  <c r="J12" i="19"/>
  <c r="N12" i="19" s="1"/>
  <c r="L11" i="19"/>
  <c r="P11" i="19" s="1"/>
  <c r="K11" i="19"/>
  <c r="O11" i="19" s="1"/>
  <c r="J11" i="19"/>
  <c r="N11" i="19" s="1"/>
  <c r="L10" i="19"/>
  <c r="P10" i="19" s="1"/>
  <c r="K10" i="19"/>
  <c r="O10" i="19" s="1"/>
  <c r="J10" i="19"/>
  <c r="N10" i="19" s="1"/>
  <c r="L9" i="19"/>
  <c r="P9" i="19" s="1"/>
  <c r="K9" i="19"/>
  <c r="O9" i="19" s="1"/>
  <c r="J9" i="19"/>
  <c r="N9" i="19" s="1"/>
  <c r="L7" i="19"/>
  <c r="P7" i="19" s="1"/>
  <c r="K7" i="19"/>
  <c r="O7" i="19" s="1"/>
  <c r="J7" i="19"/>
  <c r="N7" i="19" s="1"/>
  <c r="L6" i="19"/>
  <c r="K6" i="19"/>
  <c r="J6" i="19"/>
  <c r="N6" i="19" s="1"/>
  <c r="AE27" i="19"/>
  <c r="AE26" i="19"/>
  <c r="AE25" i="19"/>
  <c r="AE24" i="19"/>
  <c r="AE23" i="19"/>
  <c r="AE22" i="19"/>
  <c r="AE20" i="19"/>
  <c r="AE19" i="19"/>
  <c r="AE21" i="19"/>
  <c r="AE18" i="19"/>
  <c r="AE17" i="19"/>
  <c r="AE16" i="19"/>
  <c r="AE15" i="19"/>
  <c r="AE14" i="19"/>
  <c r="AE13" i="19"/>
  <c r="AE12" i="19"/>
  <c r="AE10" i="19"/>
  <c r="AE11" i="19"/>
  <c r="AE9" i="19"/>
  <c r="AE8" i="19"/>
  <c r="AE7" i="19"/>
  <c r="AE6" i="19"/>
  <c r="AB18" i="19"/>
  <c r="AA18" i="19"/>
  <c r="Z18" i="19"/>
  <c r="J29" i="19" l="1"/>
  <c r="N29" i="19" s="1"/>
  <c r="R13" i="19" s="1"/>
  <c r="E10" i="19" s="1"/>
  <c r="G10" i="19" s="1"/>
  <c r="K29" i="19"/>
  <c r="O29" i="19" s="1"/>
  <c r="S13" i="19" s="1"/>
  <c r="E33" i="19" s="1"/>
  <c r="G33" i="19" s="1"/>
  <c r="L29" i="19"/>
  <c r="P29" i="19" s="1"/>
  <c r="T16" i="19" s="1"/>
  <c r="E59" i="19" s="1"/>
  <c r="G59" i="19" s="1"/>
  <c r="O6" i="19"/>
  <c r="P6" i="19"/>
  <c r="S24" i="19" l="1"/>
  <c r="E44" i="19" s="1"/>
  <c r="G44" i="19" s="1"/>
  <c r="S26" i="19"/>
  <c r="E46" i="19" s="1"/>
  <c r="G46" i="19" s="1"/>
  <c r="S12" i="19"/>
  <c r="E32" i="19" s="1"/>
  <c r="G32" i="19" s="1"/>
  <c r="S20" i="19"/>
  <c r="E40" i="19" s="1"/>
  <c r="G40" i="19" s="1"/>
  <c r="S10" i="19"/>
  <c r="E30" i="19" s="1"/>
  <c r="G30" i="19" s="1"/>
  <c r="T10" i="19"/>
  <c r="E53" i="19" s="1"/>
  <c r="G53" i="19" s="1"/>
  <c r="T8" i="19"/>
  <c r="E51" i="19" s="1"/>
  <c r="G51" i="19" s="1"/>
  <c r="T14" i="19"/>
  <c r="E57" i="19" s="1"/>
  <c r="G57" i="19" s="1"/>
  <c r="T15" i="19"/>
  <c r="E58" i="19" s="1"/>
  <c r="G58" i="19" s="1"/>
  <c r="T23" i="19"/>
  <c r="E66" i="19" s="1"/>
  <c r="G66" i="19" s="1"/>
  <c r="T22" i="19"/>
  <c r="E65" i="19" s="1"/>
  <c r="G65" i="19" s="1"/>
  <c r="T18" i="19"/>
  <c r="E61" i="19" s="1"/>
  <c r="G61" i="19" s="1"/>
  <c r="T19" i="19"/>
  <c r="E62" i="19" s="1"/>
  <c r="G62" i="19" s="1"/>
  <c r="T13" i="19"/>
  <c r="E56" i="19" s="1"/>
  <c r="G56" i="19" s="1"/>
  <c r="T21" i="19"/>
  <c r="E64" i="19" s="1"/>
  <c r="G64" i="19" s="1"/>
  <c r="T12" i="19"/>
  <c r="E55" i="19" s="1"/>
  <c r="G55" i="19" s="1"/>
  <c r="T9" i="19"/>
  <c r="E52" i="19" s="1"/>
  <c r="G52" i="19" s="1"/>
  <c r="T6" i="19"/>
  <c r="E49" i="19" s="1"/>
  <c r="G49" i="19" s="1"/>
  <c r="T26" i="19"/>
  <c r="E69" i="19" s="1"/>
  <c r="G69" i="19" s="1"/>
  <c r="T27" i="19"/>
  <c r="E70" i="19" s="1"/>
  <c r="G70" i="19" s="1"/>
  <c r="T24" i="19"/>
  <c r="E67" i="19" s="1"/>
  <c r="G67" i="19" s="1"/>
  <c r="T25" i="19"/>
  <c r="E68" i="19" s="1"/>
  <c r="G68" i="19" s="1"/>
  <c r="T20" i="19"/>
  <c r="E63" i="19" s="1"/>
  <c r="G63" i="19" s="1"/>
  <c r="T7" i="19"/>
  <c r="E50" i="19" s="1"/>
  <c r="G50" i="19" s="1"/>
  <c r="T11" i="19"/>
  <c r="E54" i="19" s="1"/>
  <c r="G54" i="19" s="1"/>
  <c r="T17" i="19"/>
  <c r="E60" i="19" s="1"/>
  <c r="G60" i="19" s="1"/>
  <c r="R18" i="19"/>
  <c r="E15" i="19" s="1"/>
  <c r="G15" i="19" s="1"/>
  <c r="R11" i="19"/>
  <c r="E8" i="19" s="1"/>
  <c r="G8" i="19" s="1"/>
  <c r="R19" i="19"/>
  <c r="E16" i="19" s="1"/>
  <c r="G16" i="19" s="1"/>
  <c r="R8" i="19"/>
  <c r="E5" i="19" s="1"/>
  <c r="G5" i="19" s="1"/>
  <c r="R7" i="19"/>
  <c r="E4" i="19" s="1"/>
  <c r="G4" i="19" s="1"/>
  <c r="R22" i="19"/>
  <c r="E19" i="19" s="1"/>
  <c r="G19" i="19" s="1"/>
  <c r="R21" i="19"/>
  <c r="E18" i="19" s="1"/>
  <c r="G18" i="19" s="1"/>
  <c r="S11" i="19"/>
  <c r="E31" i="19" s="1"/>
  <c r="G31" i="19" s="1"/>
  <c r="R12" i="19"/>
  <c r="E9" i="19" s="1"/>
  <c r="G9" i="19" s="1"/>
  <c r="R6" i="19"/>
  <c r="E3" i="19" s="1"/>
  <c r="G3" i="19" s="1"/>
  <c r="S6" i="19"/>
  <c r="E26" i="19" s="1"/>
  <c r="G26" i="19" s="1"/>
  <c r="S17" i="19"/>
  <c r="E37" i="19" s="1"/>
  <c r="G37" i="19" s="1"/>
  <c r="S25" i="19"/>
  <c r="E45" i="19" s="1"/>
  <c r="G45" i="19" s="1"/>
  <c r="R26" i="19"/>
  <c r="E23" i="19" s="1"/>
  <c r="G23" i="19" s="1"/>
  <c r="R23" i="19"/>
  <c r="E20" i="19" s="1"/>
  <c r="G20" i="19" s="1"/>
  <c r="S19" i="19"/>
  <c r="E39" i="19" s="1"/>
  <c r="G39" i="19" s="1"/>
  <c r="S27" i="19"/>
  <c r="E47" i="19" s="1"/>
  <c r="G47" i="19" s="1"/>
  <c r="S8" i="19"/>
  <c r="E28" i="19" s="1"/>
  <c r="G28" i="19" s="1"/>
  <c r="R17" i="19"/>
  <c r="E14" i="19" s="1"/>
  <c r="G14" i="19" s="1"/>
  <c r="S22" i="19"/>
  <c r="E42" i="19" s="1"/>
  <c r="G42" i="19" s="1"/>
  <c r="S14" i="19"/>
  <c r="E34" i="19" s="1"/>
  <c r="G34" i="19" s="1"/>
  <c r="S21" i="19"/>
  <c r="E41" i="19" s="1"/>
  <c r="G41" i="19" s="1"/>
  <c r="R27" i="19"/>
  <c r="E24" i="19" s="1"/>
  <c r="G24" i="19" s="1"/>
  <c r="S18" i="19"/>
  <c r="E38" i="19" s="1"/>
  <c r="G38" i="19" s="1"/>
  <c r="S23" i="19"/>
  <c r="E43" i="19" s="1"/>
  <c r="G43" i="19" s="1"/>
  <c r="R24" i="19"/>
  <c r="E21" i="19" s="1"/>
  <c r="G21" i="19" s="1"/>
  <c r="R15" i="19"/>
  <c r="E12" i="19" s="1"/>
  <c r="G12" i="19" s="1"/>
  <c r="R25" i="19"/>
  <c r="E22" i="19" s="1"/>
  <c r="G22" i="19" s="1"/>
  <c r="S16" i="19"/>
  <c r="E36" i="19" s="1"/>
  <c r="G36" i="19" s="1"/>
  <c r="R16" i="19"/>
  <c r="E13" i="19" s="1"/>
  <c r="G13" i="19" s="1"/>
  <c r="R10" i="19"/>
  <c r="E7" i="19" s="1"/>
  <c r="G7" i="19" s="1"/>
  <c r="S15" i="19"/>
  <c r="E35" i="19" s="1"/>
  <c r="G35" i="19" s="1"/>
  <c r="S9" i="19"/>
  <c r="E29" i="19" s="1"/>
  <c r="G29" i="19" s="1"/>
  <c r="S7" i="19"/>
  <c r="E27" i="19" s="1"/>
  <c r="G27" i="19" s="1"/>
  <c r="R20" i="19"/>
  <c r="E17" i="19" s="1"/>
  <c r="G17" i="19" s="1"/>
  <c r="R9" i="19"/>
  <c r="E6" i="19" s="1"/>
  <c r="G6" i="19" s="1"/>
  <c r="R14" i="19"/>
  <c r="E11" i="19" s="1"/>
  <c r="G11" i="19" s="1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H32" i="3"/>
  <c r="H31" i="3"/>
  <c r="H30" i="3"/>
  <c r="G30" i="3" s="1"/>
  <c r="H29" i="3"/>
  <c r="H28" i="3"/>
  <c r="H27" i="3"/>
  <c r="H26" i="3"/>
  <c r="H25" i="3"/>
  <c r="G25" i="3" s="1"/>
  <c r="H24" i="3"/>
  <c r="H23" i="3"/>
  <c r="G23" i="3" s="1"/>
  <c r="H22" i="3"/>
  <c r="G22" i="3" s="1"/>
  <c r="H21" i="3"/>
  <c r="G21" i="3" s="1"/>
  <c r="H20" i="3"/>
  <c r="H19" i="3"/>
  <c r="H18" i="3"/>
  <c r="H17" i="3"/>
  <c r="H16" i="3"/>
  <c r="G16" i="3" s="1"/>
  <c r="H15" i="3"/>
  <c r="G15" i="3" s="1"/>
  <c r="H14" i="3"/>
  <c r="H13" i="3"/>
  <c r="H12" i="3"/>
  <c r="H11" i="3"/>
  <c r="G11" i="3" s="1"/>
  <c r="H10" i="3"/>
  <c r="G10" i="3" s="1"/>
  <c r="H9" i="3"/>
  <c r="G9" i="3" s="1"/>
  <c r="H8" i="3"/>
  <c r="H7" i="3"/>
  <c r="H6" i="3"/>
  <c r="G17" i="3"/>
  <c r="G26" i="3"/>
  <c r="G27" i="3"/>
  <c r="G28" i="3"/>
  <c r="G29" i="3"/>
  <c r="G13" i="3"/>
  <c r="G20" i="3"/>
  <c r="G14" i="3"/>
  <c r="G12" i="3"/>
  <c r="G19" i="3"/>
  <c r="G24" i="3"/>
  <c r="H5" i="3"/>
  <c r="X16" i="4"/>
  <c r="X14" i="4"/>
  <c r="X13" i="4"/>
  <c r="X12" i="4"/>
  <c r="X11" i="4"/>
  <c r="X10" i="4"/>
  <c r="X9" i="4"/>
  <c r="X8" i="4"/>
  <c r="X7" i="4"/>
  <c r="X6" i="4"/>
  <c r="W16" i="4"/>
  <c r="W15" i="4"/>
  <c r="W14" i="4"/>
  <c r="W13" i="4"/>
  <c r="W12" i="4"/>
  <c r="W11" i="4"/>
  <c r="W10" i="4"/>
  <c r="W9" i="4"/>
  <c r="W8" i="4"/>
  <c r="W7" i="4"/>
  <c r="W6" i="4"/>
  <c r="W5" i="4"/>
  <c r="X5" i="4" s="1"/>
  <c r="G31" i="3"/>
  <c r="G18" i="3"/>
  <c r="G7" i="3"/>
  <c r="G6" i="3"/>
  <c r="G5" i="3"/>
  <c r="G8" i="3"/>
  <c r="K32" i="3"/>
  <c r="G45" i="3"/>
  <c r="H45" i="3"/>
  <c r="B41" i="3"/>
  <c r="B32" i="3"/>
  <c r="B18" i="3"/>
  <c r="B5" i="4"/>
  <c r="A48" i="3"/>
  <c r="D48" i="3"/>
  <c r="A49" i="3"/>
  <c r="D49" i="3"/>
  <c r="A50" i="3"/>
  <c r="D50" i="3"/>
  <c r="A51" i="3"/>
  <c r="A52" i="3"/>
  <c r="D52" i="3"/>
  <c r="A53" i="3"/>
  <c r="A54" i="3"/>
  <c r="D54" i="3"/>
  <c r="A55" i="3"/>
  <c r="D55" i="3"/>
  <c r="A56" i="3"/>
  <c r="D56" i="3"/>
  <c r="A23" i="4"/>
  <c r="D23" i="4"/>
  <c r="A24" i="4"/>
  <c r="D24" i="4"/>
  <c r="A25" i="4"/>
  <c r="D25" i="4"/>
  <c r="A26" i="4"/>
  <c r="D26" i="4"/>
  <c r="A27" i="4"/>
  <c r="D27" i="4"/>
  <c r="A28" i="4"/>
  <c r="D28" i="4"/>
  <c r="A29" i="4"/>
  <c r="D29" i="4"/>
  <c r="A30" i="4"/>
  <c r="D30" i="4"/>
  <c r="A31" i="4"/>
  <c r="D31" i="4"/>
  <c r="A48" i="5"/>
  <c r="D48" i="5"/>
  <c r="A49" i="5"/>
  <c r="D49" i="5"/>
  <c r="A50" i="5"/>
  <c r="D50" i="5"/>
  <c r="A51" i="5"/>
  <c r="D51" i="5"/>
  <c r="A52" i="5"/>
  <c r="D52" i="5"/>
  <c r="A53" i="5"/>
  <c r="D53" i="5"/>
  <c r="A54" i="5"/>
  <c r="D54" i="5"/>
  <c r="A55" i="5"/>
  <c r="D55" i="5"/>
  <c r="A56" i="5"/>
  <c r="D56" i="5"/>
  <c r="B38" i="5"/>
  <c r="B45" i="3" s="1"/>
  <c r="B36" i="5"/>
  <c r="B27" i="5"/>
  <c r="B25" i="5"/>
  <c r="B21" i="5"/>
  <c r="B17" i="5"/>
  <c r="B16" i="5"/>
  <c r="B14" i="5"/>
  <c r="B13" i="5"/>
  <c r="B12" i="5"/>
  <c r="B8" i="5"/>
  <c r="U20" i="4"/>
  <c r="V20" i="4" s="1"/>
  <c r="I41" i="3"/>
  <c r="G41" i="3" s="1"/>
  <c r="A55" i="7"/>
  <c r="A54" i="7"/>
  <c r="A53" i="7"/>
  <c r="A52" i="7"/>
  <c r="A51" i="7"/>
  <c r="A50" i="7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  <c r="A5" i="7"/>
  <c r="A4" i="7"/>
  <c r="A3" i="7"/>
  <c r="A2" i="7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5" i="5"/>
  <c r="D6" i="3"/>
  <c r="B6" i="3" s="1"/>
  <c r="D7" i="3"/>
  <c r="B7" i="3" s="1"/>
  <c r="D8" i="3"/>
  <c r="D9" i="3"/>
  <c r="D10" i="3"/>
  <c r="D11" i="3"/>
  <c r="D12" i="3"/>
  <c r="B12" i="3" s="1"/>
  <c r="D13" i="3"/>
  <c r="D14" i="3"/>
  <c r="B14" i="3" s="1"/>
  <c r="D15" i="3"/>
  <c r="D16" i="3"/>
  <c r="B16" i="3" s="1"/>
  <c r="D17" i="3"/>
  <c r="B17" i="3" s="1"/>
  <c r="D19" i="3"/>
  <c r="B19" i="3" s="1"/>
  <c r="D20" i="3"/>
  <c r="B20" i="3" s="1"/>
  <c r="D21" i="3"/>
  <c r="B21" i="3" s="1"/>
  <c r="D22" i="3"/>
  <c r="B22" i="3" s="1"/>
  <c r="D23" i="3"/>
  <c r="D24" i="3"/>
  <c r="B24" i="3" s="1"/>
  <c r="D25" i="3"/>
  <c r="D26" i="3"/>
  <c r="B26" i="3" s="1"/>
  <c r="D27" i="3"/>
  <c r="B27" i="3" s="1"/>
  <c r="D28" i="3"/>
  <c r="B28" i="3" s="1"/>
  <c r="D29" i="3"/>
  <c r="B29" i="3" s="1"/>
  <c r="D30" i="3"/>
  <c r="D31" i="3"/>
  <c r="B31" i="3" s="1"/>
  <c r="D5" i="3"/>
  <c r="B5" i="3" s="1"/>
  <c r="D6" i="4"/>
  <c r="B6" i="4" s="1"/>
  <c r="D7" i="4"/>
  <c r="D8" i="4"/>
  <c r="D9" i="4"/>
  <c r="D10" i="4"/>
  <c r="D11" i="4"/>
  <c r="D12" i="4"/>
  <c r="D13" i="4"/>
  <c r="B13" i="4" s="1"/>
  <c r="D14" i="4"/>
  <c r="D15" i="4"/>
  <c r="B15" i="4" s="1"/>
  <c r="D16" i="4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E52" i="12" l="1"/>
  <c r="G52" i="12" s="1"/>
  <c r="E53" i="12"/>
  <c r="G53" i="12" s="1"/>
  <c r="E65" i="12"/>
  <c r="G65" i="12" s="1"/>
  <c r="E82" i="12"/>
  <c r="G82" i="12" s="1"/>
  <c r="E83" i="12"/>
  <c r="G83" i="12" s="1"/>
  <c r="E70" i="12"/>
  <c r="G70" i="12" s="1"/>
  <c r="E76" i="12"/>
  <c r="G76" i="12" s="1"/>
  <c r="E71" i="12"/>
  <c r="G71" i="12" s="1"/>
  <c r="E75" i="12"/>
  <c r="G75" i="12" s="1"/>
  <c r="E51" i="12"/>
  <c r="G51" i="12" s="1"/>
  <c r="E77" i="12"/>
  <c r="G77" i="12" s="1"/>
  <c r="E58" i="12"/>
  <c r="G58" i="12" s="1"/>
  <c r="E59" i="12"/>
  <c r="G59" i="12" s="1"/>
  <c r="E63" i="12"/>
  <c r="G63" i="12" s="1"/>
  <c r="E89" i="12"/>
  <c r="G89" i="12" s="1"/>
  <c r="E87" i="12"/>
  <c r="G87" i="12" s="1"/>
  <c r="E88" i="12"/>
  <c r="G88" i="12" s="1"/>
  <c r="E64" i="12"/>
  <c r="G64" i="12" s="1"/>
  <c r="E48" i="12"/>
  <c r="G48" i="12" s="1"/>
  <c r="E60" i="12"/>
  <c r="G60" i="12" s="1"/>
  <c r="E72" i="12"/>
  <c r="G72" i="12" s="1"/>
  <c r="E84" i="12"/>
  <c r="G84" i="12" s="1"/>
  <c r="E49" i="12"/>
  <c r="G49" i="12" s="1"/>
  <c r="E61" i="12"/>
  <c r="G61" i="12" s="1"/>
  <c r="E73" i="12"/>
  <c r="G73" i="12" s="1"/>
  <c r="E85" i="12"/>
  <c r="G85" i="12" s="1"/>
  <c r="E50" i="12"/>
  <c r="G50" i="12" s="1"/>
  <c r="E62" i="12"/>
  <c r="G62" i="12" s="1"/>
  <c r="E74" i="12"/>
  <c r="G74" i="12" s="1"/>
  <c r="E86" i="12"/>
  <c r="G86" i="12" s="1"/>
  <c r="E54" i="12"/>
  <c r="G54" i="12" s="1"/>
  <c r="E66" i="12"/>
  <c r="G66" i="12" s="1"/>
  <c r="E78" i="12"/>
  <c r="G78" i="12" s="1"/>
  <c r="E90" i="12"/>
  <c r="G90" i="12" s="1"/>
  <c r="E55" i="12"/>
  <c r="G55" i="12" s="1"/>
  <c r="E67" i="12"/>
  <c r="G67" i="12" s="1"/>
  <c r="E79" i="12"/>
  <c r="G79" i="12" s="1"/>
  <c r="E91" i="12"/>
  <c r="G91" i="12" s="1"/>
  <c r="E56" i="12"/>
  <c r="G56" i="12" s="1"/>
  <c r="E68" i="12"/>
  <c r="G68" i="12" s="1"/>
  <c r="E80" i="12"/>
  <c r="G80" i="12" s="1"/>
  <c r="E57" i="12"/>
  <c r="G57" i="12" s="1"/>
  <c r="E69" i="12"/>
  <c r="G69" i="12" s="1"/>
  <c r="E81" i="12"/>
  <c r="G81" i="12" s="1"/>
  <c r="T29" i="19"/>
  <c r="S29" i="19"/>
  <c r="R29" i="19"/>
  <c r="W31" i="4"/>
  <c r="X29" i="4"/>
  <c r="X31" i="4"/>
  <c r="W20" i="4"/>
  <c r="W25" i="4" s="1"/>
  <c r="X20" i="4"/>
  <c r="H41" i="3"/>
  <c r="B10" i="3"/>
  <c r="B23" i="3"/>
  <c r="L32" i="3"/>
  <c r="M32" i="3" s="1"/>
  <c r="B11" i="3"/>
  <c r="B14" i="4"/>
  <c r="B15" i="3"/>
  <c r="B8" i="4"/>
  <c r="B11" i="4"/>
  <c r="B9" i="4"/>
  <c r="B13" i="3"/>
  <c r="B25" i="3"/>
  <c r="B9" i="3"/>
  <c r="B30" i="3"/>
  <c r="B8" i="3"/>
  <c r="E53" i="3"/>
  <c r="G53" i="3" s="1"/>
  <c r="E56" i="3"/>
  <c r="X56" i="3" s="1"/>
  <c r="E50" i="3"/>
  <c r="G50" i="3" s="1"/>
  <c r="E54" i="3"/>
  <c r="G54" i="3" s="1"/>
  <c r="E51" i="3"/>
  <c r="Q51" i="3" s="1"/>
  <c r="E52" i="3"/>
  <c r="Q52" i="3" s="1"/>
  <c r="E55" i="3"/>
  <c r="H55" i="3" s="1"/>
  <c r="E49" i="3"/>
  <c r="Q49" i="3" s="1"/>
  <c r="E48" i="3"/>
  <c r="T48" i="3" s="1"/>
  <c r="M24" i="4"/>
  <c r="J27" i="4"/>
  <c r="V27" i="4"/>
  <c r="K27" i="4"/>
  <c r="O24" i="4"/>
  <c r="S27" i="4"/>
  <c r="U27" i="4"/>
  <c r="K29" i="4"/>
  <c r="S24" i="4"/>
  <c r="G29" i="4"/>
  <c r="O29" i="4"/>
  <c r="G24" i="4"/>
  <c r="I26" i="4"/>
  <c r="H29" i="4"/>
  <c r="E30" i="4"/>
  <c r="E28" i="4"/>
  <c r="R28" i="4" s="1"/>
  <c r="E25" i="4"/>
  <c r="E31" i="4"/>
  <c r="U31" i="4" s="1"/>
  <c r="E24" i="4"/>
  <c r="K24" i="4" s="1"/>
  <c r="E27" i="4"/>
  <c r="E29" i="4"/>
  <c r="V29" i="4" s="1"/>
  <c r="E23" i="4"/>
  <c r="E26" i="4"/>
  <c r="E56" i="5"/>
  <c r="E52" i="5"/>
  <c r="E50" i="5"/>
  <c r="E49" i="5"/>
  <c r="E54" i="5"/>
  <c r="E48" i="5"/>
  <c r="E53" i="5"/>
  <c r="E51" i="5"/>
  <c r="E55" i="5"/>
  <c r="J9" i="5"/>
  <c r="L35" i="5"/>
  <c r="T31" i="5"/>
  <c r="W42" i="5"/>
  <c r="M9" i="5"/>
  <c r="H29" i="5"/>
  <c r="I25" i="5"/>
  <c r="S36" i="5"/>
  <c r="W22" i="5"/>
  <c r="T8" i="5"/>
  <c r="G35" i="5"/>
  <c r="A42" i="6"/>
  <c r="AB23" i="5"/>
  <c r="A43" i="6"/>
  <c r="Z9" i="5"/>
  <c r="S7" i="5"/>
  <c r="K44" i="5"/>
  <c r="R35" i="5"/>
  <c r="P6" i="5"/>
  <c r="L29" i="5"/>
  <c r="V30" i="5"/>
  <c r="AE35" i="5"/>
  <c r="L32" i="5"/>
  <c r="G33" i="5"/>
  <c r="W37" i="5"/>
  <c r="X11" i="5"/>
  <c r="Y11" i="5"/>
  <c r="O10" i="5"/>
  <c r="J7" i="5"/>
  <c r="T16" i="5"/>
  <c r="Z28" i="5"/>
  <c r="O33" i="5"/>
  <c r="K25" i="5"/>
  <c r="V5" i="5"/>
  <c r="R33" i="5"/>
  <c r="AC24" i="5"/>
  <c r="L41" i="5"/>
  <c r="T22" i="5"/>
  <c r="S10" i="5"/>
  <c r="F36" i="5"/>
  <c r="G8" i="5"/>
  <c r="S15" i="5"/>
  <c r="AC29" i="5"/>
  <c r="Q20" i="5"/>
  <c r="K27" i="5"/>
  <c r="T26" i="5"/>
  <c r="Q24" i="5"/>
  <c r="Y21" i="5"/>
  <c r="J28" i="5"/>
  <c r="G6" i="5"/>
  <c r="M17" i="5"/>
  <c r="L12" i="5"/>
  <c r="L21" i="5"/>
  <c r="AB39" i="5"/>
  <c r="V20" i="5"/>
  <c r="Q42" i="5"/>
  <c r="Z20" i="5"/>
  <c r="AA6" i="5"/>
  <c r="R34" i="5"/>
  <c r="M26" i="5"/>
  <c r="AC43" i="5"/>
  <c r="S27" i="5"/>
  <c r="H7" i="5"/>
  <c r="AB14" i="5"/>
  <c r="L33" i="5"/>
  <c r="AD20" i="5"/>
  <c r="N22" i="5"/>
  <c r="X28" i="5"/>
  <c r="X36" i="5"/>
  <c r="Q15" i="5"/>
  <c r="AE5" i="5"/>
  <c r="G32" i="5"/>
  <c r="V25" i="5"/>
  <c r="AB35" i="5"/>
  <c r="L25" i="5"/>
  <c r="T9" i="5"/>
  <c r="T39" i="5"/>
  <c r="R29" i="5"/>
  <c r="O19" i="5"/>
  <c r="V37" i="5"/>
  <c r="S23" i="5"/>
  <c r="S39" i="5"/>
  <c r="AB18" i="5"/>
  <c r="W10" i="5"/>
  <c r="F39" i="5"/>
  <c r="AD15" i="5"/>
  <c r="K24" i="5"/>
  <c r="K33" i="5"/>
  <c r="W26" i="5"/>
  <c r="K42" i="5"/>
  <c r="K19" i="5"/>
  <c r="Y28" i="5"/>
  <c r="M40" i="5"/>
  <c r="AE45" i="5"/>
  <c r="N30" i="5"/>
  <c r="AB8" i="5"/>
  <c r="J43" i="5"/>
  <c r="AD32" i="5"/>
  <c r="P26" i="5"/>
  <c r="I27" i="5"/>
  <c r="G20" i="5"/>
  <c r="L30" i="5"/>
  <c r="W20" i="5"/>
  <c r="X9" i="5"/>
  <c r="Z12" i="5"/>
  <c r="AD38" i="5"/>
  <c r="F45" i="5"/>
  <c r="H8" i="5"/>
  <c r="AF20" i="5"/>
  <c r="U5" i="5"/>
  <c r="X38" i="5"/>
  <c r="A5" i="6"/>
  <c r="Z25" i="5"/>
  <c r="Y37" i="5"/>
  <c r="AD9" i="5"/>
  <c r="AE6" i="5"/>
  <c r="X35" i="5"/>
  <c r="AD16" i="5"/>
  <c r="I23" i="5"/>
  <c r="I37" i="5"/>
  <c r="W6" i="5"/>
  <c r="M27" i="5"/>
  <c r="L5" i="5"/>
  <c r="V42" i="5"/>
  <c r="U30" i="5"/>
  <c r="L23" i="5"/>
  <c r="AB27" i="5"/>
  <c r="K38" i="5"/>
  <c r="T29" i="5"/>
  <c r="S35" i="5"/>
  <c r="L39" i="5"/>
  <c r="R43" i="5"/>
  <c r="P36" i="5"/>
  <c r="U31" i="5"/>
  <c r="AD44" i="5"/>
  <c r="AA22" i="5"/>
  <c r="AB10" i="5"/>
  <c r="Q36" i="5"/>
  <c r="J42" i="5"/>
  <c r="K26" i="5"/>
  <c r="H42" i="5"/>
  <c r="Q45" i="5"/>
  <c r="AA42" i="5"/>
  <c r="V43" i="5"/>
  <c r="J45" i="5"/>
  <c r="V35" i="5"/>
  <c r="AE40" i="5"/>
  <c r="F18" i="5"/>
  <c r="V27" i="5"/>
  <c r="L20" i="5"/>
  <c r="Y22" i="5"/>
  <c r="T11" i="5"/>
  <c r="R12" i="5"/>
  <c r="AC35" i="5"/>
  <c r="L27" i="5"/>
  <c r="T44" i="5"/>
  <c r="Q30" i="5"/>
  <c r="V34" i="5"/>
  <c r="I16" i="5"/>
  <c r="S32" i="5"/>
  <c r="AD19" i="5"/>
  <c r="V41" i="5"/>
  <c r="O36" i="5"/>
  <c r="X16" i="5"/>
  <c r="F26" i="5"/>
  <c r="AB25" i="5"/>
  <c r="A30" i="6"/>
  <c r="AD29" i="5"/>
  <c r="U37" i="5"/>
  <c r="AE33" i="5"/>
  <c r="P18" i="5"/>
  <c r="AC40" i="5"/>
  <c r="F25" i="5"/>
  <c r="Z8" i="5"/>
  <c r="I15" i="5"/>
  <c r="Z10" i="5"/>
  <c r="A28" i="6"/>
  <c r="Y42" i="5"/>
  <c r="AE16" i="5"/>
  <c r="S8" i="5"/>
  <c r="S33" i="5"/>
  <c r="N7" i="5"/>
  <c r="M23" i="5"/>
  <c r="X22" i="5"/>
  <c r="W41" i="5"/>
  <c r="J38" i="5"/>
  <c r="V6" i="5"/>
  <c r="AD24" i="5"/>
  <c r="X31" i="5"/>
  <c r="V10" i="5"/>
  <c r="F24" i="5"/>
  <c r="Y25" i="5"/>
  <c r="AA43" i="5"/>
  <c r="X18" i="5"/>
  <c r="AF18" i="5"/>
  <c r="G31" i="5"/>
  <c r="J41" i="5"/>
  <c r="F21" i="5"/>
  <c r="W39" i="5"/>
  <c r="O28" i="5"/>
  <c r="F33" i="5"/>
  <c r="K16" i="5"/>
  <c r="P29" i="5"/>
  <c r="AB42" i="5"/>
  <c r="T25" i="5"/>
  <c r="J5" i="5"/>
  <c r="U36" i="5"/>
  <c r="R17" i="5"/>
  <c r="X19" i="5"/>
  <c r="O39" i="5"/>
  <c r="G24" i="5"/>
  <c r="N34" i="5"/>
  <c r="U28" i="5"/>
  <c r="AF11" i="5"/>
  <c r="L44" i="5"/>
  <c r="AF8" i="5"/>
  <c r="AC27" i="5"/>
  <c r="K36" i="5"/>
  <c r="S44" i="5"/>
  <c r="H6" i="5"/>
  <c r="AE44" i="5"/>
  <c r="M24" i="5"/>
  <c r="Q43" i="5"/>
  <c r="AF5" i="5"/>
  <c r="L9" i="5"/>
  <c r="T24" i="5"/>
  <c r="R22" i="5"/>
  <c r="I29" i="5"/>
  <c r="P28" i="5"/>
  <c r="AD35" i="5"/>
  <c r="L26" i="5"/>
  <c r="P22" i="5"/>
  <c r="AC31" i="5"/>
  <c r="F9" i="5"/>
  <c r="T17" i="5"/>
  <c r="AA25" i="5"/>
  <c r="L19" i="5"/>
  <c r="V11" i="5"/>
  <c r="L40" i="5"/>
  <c r="AB15" i="5"/>
  <c r="AD10" i="5"/>
  <c r="AA39" i="5"/>
  <c r="AD28" i="5"/>
  <c r="G44" i="5"/>
  <c r="A32" i="6"/>
  <c r="AF17" i="5"/>
  <c r="H20" i="5"/>
  <c r="P14" i="5"/>
  <c r="AD17" i="5"/>
  <c r="M42" i="5"/>
  <c r="AE26" i="5"/>
  <c r="AD37" i="5"/>
  <c r="AE15" i="5"/>
  <c r="X40" i="5"/>
  <c r="G18" i="5"/>
  <c r="L38" i="5"/>
  <c r="Q31" i="5"/>
  <c r="R21" i="5"/>
  <c r="AA35" i="5"/>
  <c r="Y9" i="5"/>
  <c r="AE10" i="5"/>
  <c r="V40" i="5"/>
  <c r="AA30" i="5"/>
  <c r="F37" i="5"/>
  <c r="X39" i="5"/>
  <c r="F38" i="5"/>
  <c r="P42" i="5"/>
  <c r="N43" i="5"/>
  <c r="AA23" i="5"/>
  <c r="W44" i="5"/>
  <c r="AA32" i="5"/>
  <c r="K37" i="5"/>
  <c r="L18" i="5"/>
  <c r="I5" i="5"/>
  <c r="O27" i="5"/>
  <c r="T38" i="5"/>
  <c r="I11" i="5"/>
  <c r="W43" i="5"/>
  <c r="W45" i="5"/>
  <c r="Q33" i="5"/>
  <c r="R40" i="5"/>
  <c r="Q34" i="5"/>
  <c r="V14" i="5"/>
  <c r="I9" i="5"/>
  <c r="G37" i="5"/>
  <c r="T33" i="5"/>
  <c r="F10" i="5"/>
  <c r="M11" i="5"/>
  <c r="M20" i="5"/>
  <c r="O16" i="5"/>
  <c r="L17" i="5"/>
  <c r="AB16" i="5"/>
  <c r="AD6" i="5"/>
  <c r="U43" i="5"/>
  <c r="R27" i="5"/>
  <c r="I33" i="5"/>
  <c r="AF31" i="5"/>
  <c r="X21" i="5"/>
  <c r="O6" i="5"/>
  <c r="Q40" i="5"/>
  <c r="K18" i="5"/>
  <c r="T23" i="5"/>
  <c r="AD14" i="5"/>
  <c r="I39" i="5"/>
  <c r="Y27" i="5"/>
  <c r="I38" i="5"/>
  <c r="W19" i="5"/>
  <c r="P30" i="5"/>
  <c r="N37" i="5"/>
  <c r="V29" i="5"/>
  <c r="P11" i="5"/>
  <c r="U16" i="5"/>
  <c r="K20" i="5"/>
  <c r="AC22" i="5"/>
  <c r="AE12" i="5"/>
  <c r="X27" i="5"/>
  <c r="G9" i="5"/>
  <c r="H36" i="5"/>
  <c r="Q14" i="5"/>
  <c r="AD30" i="5"/>
  <c r="P38" i="5"/>
  <c r="AB21" i="5"/>
  <c r="J18" i="5"/>
  <c r="P40" i="5"/>
  <c r="K32" i="5"/>
  <c r="AA21" i="5"/>
  <c r="G29" i="5"/>
  <c r="Z36" i="5"/>
  <c r="G40" i="5"/>
  <c r="T35" i="5"/>
  <c r="U19" i="5"/>
  <c r="T21" i="5"/>
  <c r="Q27" i="5"/>
  <c r="U26" i="5"/>
  <c r="S12" i="5"/>
  <c r="AD25" i="5"/>
  <c r="L24" i="5"/>
  <c r="AF25" i="5"/>
  <c r="O38" i="5"/>
  <c r="H9" i="5"/>
  <c r="O9" i="5"/>
  <c r="AC38" i="5"/>
  <c r="AE28" i="5"/>
  <c r="U9" i="5"/>
  <c r="W14" i="5"/>
  <c r="I35" i="5"/>
  <c r="V23" i="5"/>
  <c r="T19" i="5"/>
  <c r="H32" i="5"/>
  <c r="AE14" i="5"/>
  <c r="K29" i="5"/>
  <c r="R24" i="5"/>
  <c r="Z43" i="5"/>
  <c r="AC15" i="5"/>
  <c r="P31" i="5"/>
  <c r="T15" i="5"/>
  <c r="N36" i="5"/>
  <c r="T37" i="5"/>
  <c r="Z37" i="5"/>
  <c r="X23" i="5"/>
  <c r="R39" i="5"/>
  <c r="AB38" i="5"/>
  <c r="V9" i="5"/>
  <c r="AA18" i="5"/>
  <c r="I30" i="5"/>
  <c r="K11" i="5"/>
  <c r="Y24" i="5"/>
  <c r="M44" i="5"/>
  <c r="AF7" i="5"/>
  <c r="T10" i="5"/>
  <c r="J22" i="5"/>
  <c r="AD27" i="5"/>
  <c r="I34" i="5"/>
  <c r="AE41" i="5"/>
  <c r="Q10" i="5"/>
  <c r="T28" i="5"/>
  <c r="V16" i="5"/>
  <c r="T34" i="5"/>
  <c r="K8" i="5"/>
  <c r="W40" i="5"/>
  <c r="O11" i="5"/>
  <c r="F43" i="5"/>
  <c r="G21" i="5"/>
  <c r="AD33" i="5"/>
  <c r="R19" i="5"/>
  <c r="F35" i="5"/>
  <c r="AF36" i="5"/>
  <c r="Y39" i="5"/>
  <c r="J23" i="5"/>
  <c r="K40" i="5"/>
  <c r="Q18" i="5"/>
  <c r="G19" i="5"/>
  <c r="P35" i="5"/>
  <c r="M5" i="5"/>
  <c r="S16" i="5"/>
  <c r="N31" i="5"/>
  <c r="AB11" i="5"/>
  <c r="W16" i="5"/>
  <c r="AA28" i="5"/>
  <c r="I17" i="5"/>
  <c r="L31" i="5"/>
  <c r="J40" i="5"/>
  <c r="M12" i="5"/>
  <c r="I28" i="5"/>
  <c r="Z6" i="5"/>
  <c r="AB34" i="5"/>
  <c r="O45" i="5"/>
  <c r="P15" i="5"/>
  <c r="A29" i="6"/>
  <c r="P24" i="5"/>
  <c r="U22" i="5"/>
  <c r="T30" i="5"/>
  <c r="F12" i="5"/>
  <c r="G27" i="5"/>
  <c r="Y12" i="5"/>
  <c r="W38" i="5"/>
  <c r="M7" i="5"/>
  <c r="R41" i="5"/>
  <c r="F40" i="5"/>
  <c r="U21" i="5"/>
  <c r="V17" i="5"/>
  <c r="X15" i="5"/>
  <c r="AC8" i="5"/>
  <c r="J29" i="5"/>
  <c r="AD7" i="5"/>
  <c r="N35" i="5"/>
  <c r="Q38" i="5"/>
  <c r="Z32" i="5"/>
  <c r="H30" i="5"/>
  <c r="G7" i="5"/>
  <c r="W35" i="5"/>
  <c r="AA29" i="5"/>
  <c r="P41" i="5"/>
  <c r="X25" i="5"/>
  <c r="AA27" i="5"/>
  <c r="R32" i="5"/>
  <c r="S40" i="5"/>
  <c r="AD36" i="5"/>
  <c r="G45" i="5"/>
  <c r="AD18" i="5"/>
  <c r="F13" i="5"/>
  <c r="AC23" i="5"/>
  <c r="AC37" i="5"/>
  <c r="Q35" i="5"/>
  <c r="T36" i="5"/>
  <c r="W21" i="5"/>
  <c r="J16" i="5"/>
  <c r="J10" i="5"/>
  <c r="H19" i="5"/>
  <c r="U44" i="5"/>
  <c r="Z18" i="5"/>
  <c r="AF12" i="5"/>
  <c r="U41" i="5"/>
  <c r="AC10" i="5"/>
  <c r="I22" i="5"/>
  <c r="A33" i="6"/>
  <c r="N44" i="5"/>
  <c r="Z19" i="5"/>
  <c r="Z45" i="5"/>
  <c r="AF41" i="5"/>
  <c r="AB40" i="5"/>
  <c r="T45" i="5"/>
  <c r="M29" i="5"/>
  <c r="AA26" i="5"/>
  <c r="U32" i="5"/>
  <c r="R8" i="5"/>
  <c r="N32" i="5"/>
  <c r="N24" i="5"/>
  <c r="H22" i="5"/>
  <c r="H15" i="5"/>
  <c r="AA19" i="5"/>
  <c r="X10" i="5"/>
  <c r="AA10" i="5"/>
  <c r="U45" i="5"/>
  <c r="R23" i="5"/>
  <c r="S9" i="5"/>
  <c r="N42" i="5"/>
  <c r="K9" i="5"/>
  <c r="X33" i="5"/>
  <c r="L15" i="5"/>
  <c r="AB12" i="5"/>
  <c r="J39" i="5"/>
  <c r="Y20" i="5"/>
  <c r="S17" i="5"/>
  <c r="N14" i="5"/>
  <c r="F5" i="5"/>
  <c r="S43" i="5"/>
  <c r="G39" i="5"/>
  <c r="AA9" i="5"/>
  <c r="AE42" i="5"/>
  <c r="U20" i="5"/>
  <c r="W8" i="5"/>
  <c r="AE19" i="5"/>
  <c r="Y29" i="5"/>
  <c r="W24" i="5"/>
  <c r="M21" i="5"/>
  <c r="Z26" i="5"/>
  <c r="S37" i="5"/>
  <c r="N10" i="5"/>
  <c r="AE36" i="5"/>
  <c r="U42" i="5"/>
  <c r="Z34" i="5"/>
  <c r="X12" i="5"/>
  <c r="R9" i="5"/>
  <c r="J15" i="5"/>
  <c r="O32" i="5"/>
  <c r="Y45" i="5"/>
  <c r="P45" i="5"/>
  <c r="Z44" i="5"/>
  <c r="AD39" i="5"/>
  <c r="AD8" i="5"/>
  <c r="F16" i="5"/>
  <c r="G42" i="5"/>
  <c r="G12" i="5"/>
  <c r="N40" i="5"/>
  <c r="W36" i="5"/>
  <c r="F11" i="5"/>
  <c r="W9" i="5"/>
  <c r="H37" i="5"/>
  <c r="AC12" i="5"/>
  <c r="Y40" i="5"/>
  <c r="AF33" i="5"/>
  <c r="V31" i="5"/>
  <c r="P9" i="5"/>
  <c r="V15" i="5"/>
  <c r="L22" i="5"/>
  <c r="W25" i="5"/>
  <c r="L37" i="5"/>
  <c r="AC11" i="5"/>
  <c r="AF34" i="5"/>
  <c r="J19" i="5"/>
  <c r="K21" i="5"/>
  <c r="H27" i="5"/>
  <c r="O8" i="5"/>
  <c r="G14" i="5"/>
  <c r="A39" i="6"/>
  <c r="F31" i="5"/>
  <c r="Z27" i="5"/>
  <c r="O14" i="5"/>
  <c r="AC20" i="5"/>
  <c r="K45" i="5"/>
  <c r="M41" i="5"/>
  <c r="L43" i="5"/>
  <c r="I45" i="5"/>
  <c r="R31" i="5"/>
  <c r="Y23" i="5"/>
  <c r="N29" i="5"/>
  <c r="Q41" i="5"/>
  <c r="W23" i="5"/>
  <c r="S26" i="5"/>
  <c r="I14" i="5"/>
  <c r="G38" i="5"/>
  <c r="M13" i="5"/>
  <c r="R20" i="5"/>
  <c r="AE18" i="5"/>
  <c r="N13" i="5"/>
  <c r="M37" i="5"/>
  <c r="AF14" i="5"/>
  <c r="AA33" i="5"/>
  <c r="N5" i="5"/>
  <c r="N6" i="5"/>
  <c r="L34" i="5"/>
  <c r="U39" i="5"/>
  <c r="F34" i="5"/>
  <c r="J25" i="5"/>
  <c r="X8" i="5"/>
  <c r="V22" i="5"/>
  <c r="L10" i="5"/>
  <c r="S24" i="5"/>
  <c r="A45" i="6"/>
  <c r="K6" i="5"/>
  <c r="M28" i="5"/>
  <c r="Y8" i="5"/>
  <c r="W12" i="5"/>
  <c r="AA38" i="5"/>
  <c r="P34" i="5"/>
  <c r="AA36" i="5"/>
  <c r="X44" i="5"/>
  <c r="Y19" i="5"/>
  <c r="J24" i="5"/>
  <c r="I7" i="5"/>
  <c r="AA45" i="5"/>
  <c r="Y17" i="5"/>
  <c r="AA41" i="5"/>
  <c r="Z13" i="5"/>
  <c r="N9" i="5"/>
  <c r="T32" i="5"/>
  <c r="N41" i="5"/>
  <c r="AB7" i="5"/>
  <c r="AD11" i="5"/>
  <c r="X30" i="5"/>
  <c r="AB13" i="5"/>
  <c r="Q19" i="5"/>
  <c r="I40" i="5"/>
  <c r="R14" i="5"/>
  <c r="S6" i="5"/>
  <c r="O7" i="5"/>
  <c r="AC14" i="5"/>
  <c r="N12" i="5"/>
  <c r="H17" i="5"/>
  <c r="K35" i="5"/>
  <c r="M6" i="5"/>
  <c r="J34" i="5"/>
  <c r="I36" i="5"/>
  <c r="Q13" i="5"/>
  <c r="I41" i="5"/>
  <c r="AD41" i="5"/>
  <c r="AE34" i="5"/>
  <c r="U23" i="5"/>
  <c r="Y35" i="5"/>
  <c r="AC17" i="5"/>
  <c r="Z11" i="5"/>
  <c r="Q32" i="5"/>
  <c r="AA34" i="5"/>
  <c r="S34" i="5"/>
  <c r="P21" i="5"/>
  <c r="N25" i="5"/>
  <c r="I18" i="5"/>
  <c r="AC39" i="5"/>
  <c r="H41" i="5"/>
  <c r="AF37" i="5"/>
  <c r="G30" i="5"/>
  <c r="AF35" i="5"/>
  <c r="Z29" i="5"/>
  <c r="O18" i="5"/>
  <c r="Z16" i="5"/>
  <c r="V28" i="5"/>
  <c r="AB24" i="5"/>
  <c r="G10" i="5"/>
  <c r="AC45" i="5"/>
  <c r="U10" i="5"/>
  <c r="Q16" i="5"/>
  <c r="U8" i="5"/>
  <c r="O37" i="5"/>
  <c r="T14" i="5"/>
  <c r="R18" i="5"/>
  <c r="AE31" i="5"/>
  <c r="L13" i="5"/>
  <c r="X6" i="5"/>
  <c r="R13" i="5"/>
  <c r="F20" i="5"/>
  <c r="Z7" i="5"/>
  <c r="AA16" i="5"/>
  <c r="AA7" i="5"/>
  <c r="AA20" i="5"/>
  <c r="Y33" i="5"/>
  <c r="T20" i="5"/>
  <c r="AF38" i="5"/>
  <c r="P8" i="5"/>
  <c r="AF32" i="5"/>
  <c r="H11" i="5"/>
  <c r="N18" i="5"/>
  <c r="G22" i="5"/>
  <c r="H31" i="5"/>
  <c r="F29" i="5"/>
  <c r="AE30" i="5"/>
  <c r="N39" i="5"/>
  <c r="AD34" i="5"/>
  <c r="AF13" i="5"/>
  <c r="W18" i="5"/>
  <c r="U12" i="5"/>
  <c r="A34" i="6"/>
  <c r="J30" i="5"/>
  <c r="A35" i="6"/>
  <c r="AD26" i="5"/>
  <c r="Y26" i="5"/>
  <c r="M15" i="5"/>
  <c r="X42" i="5"/>
  <c r="K13" i="5"/>
  <c r="Q17" i="5"/>
  <c r="P19" i="5"/>
  <c r="AC34" i="5"/>
  <c r="P25" i="5"/>
  <c r="AE13" i="5"/>
  <c r="L7" i="5"/>
  <c r="U34" i="5"/>
  <c r="Z17" i="5"/>
  <c r="I19" i="5"/>
  <c r="G15" i="5"/>
  <c r="AB22" i="5"/>
  <c r="N21" i="5"/>
  <c r="K41" i="5"/>
  <c r="R15" i="5"/>
  <c r="J12" i="5"/>
  <c r="Q26" i="5"/>
  <c r="AB28" i="5"/>
  <c r="G43" i="5"/>
  <c r="N23" i="5"/>
  <c r="O30" i="5"/>
  <c r="X5" i="5"/>
  <c r="K7" i="5"/>
  <c r="F7" i="5"/>
  <c r="V12" i="5"/>
  <c r="AE25" i="5"/>
  <c r="AE9" i="5"/>
  <c r="Y7" i="5"/>
  <c r="F42" i="5"/>
  <c r="U15" i="5"/>
  <c r="AD42" i="5"/>
  <c r="Q6" i="5"/>
  <c r="AC26" i="5"/>
  <c r="I26" i="5"/>
  <c r="R28" i="5"/>
  <c r="H12" i="5"/>
  <c r="Y38" i="5"/>
  <c r="Z22" i="5"/>
  <c r="AB31" i="5"/>
  <c r="AD12" i="5"/>
  <c r="Q37" i="5"/>
  <c r="AA44" i="5"/>
  <c r="AE21" i="5"/>
  <c r="U29" i="5"/>
  <c r="H35" i="5"/>
  <c r="U24" i="5"/>
  <c r="U11" i="5"/>
  <c r="AF26" i="5"/>
  <c r="R25" i="5"/>
  <c r="I13" i="5"/>
  <c r="S5" i="5"/>
  <c r="O40" i="5"/>
  <c r="L14" i="5"/>
  <c r="L28" i="5"/>
  <c r="Y10" i="5"/>
  <c r="A25" i="6"/>
  <c r="Z30" i="5"/>
  <c r="P44" i="5"/>
  <c r="W28" i="5"/>
  <c r="X34" i="5"/>
  <c r="AC32" i="5"/>
  <c r="A46" i="6"/>
  <c r="AE24" i="5"/>
  <c r="AF16" i="5"/>
  <c r="R30" i="5"/>
  <c r="AF29" i="5"/>
  <c r="R44" i="5"/>
  <c r="R36" i="5"/>
  <c r="W34" i="5"/>
  <c r="H23" i="5"/>
  <c r="G28" i="5"/>
  <c r="P32" i="5"/>
  <c r="Z24" i="5"/>
  <c r="AF24" i="5"/>
  <c r="AD21" i="5"/>
  <c r="V45" i="5"/>
  <c r="X13" i="5"/>
  <c r="AC36" i="5"/>
  <c r="M38" i="5"/>
  <c r="M32" i="5"/>
  <c r="U35" i="5"/>
  <c r="AE17" i="5"/>
  <c r="O20" i="5"/>
  <c r="X26" i="5"/>
  <c r="J14" i="5"/>
  <c r="F22" i="5"/>
  <c r="A31" i="6"/>
  <c r="O5" i="5"/>
  <c r="R38" i="5"/>
  <c r="Z41" i="5"/>
  <c r="V18" i="5"/>
  <c r="A37" i="6"/>
  <c r="O42" i="5"/>
  <c r="F27" i="5"/>
  <c r="AC6" i="5"/>
  <c r="AF43" i="5"/>
  <c r="N15" i="5"/>
  <c r="K22" i="5"/>
  <c r="U25" i="5"/>
  <c r="V36" i="5"/>
  <c r="H10" i="5"/>
  <c r="AA31" i="5"/>
  <c r="AF44" i="5"/>
  <c r="X17" i="5"/>
  <c r="N17" i="5"/>
  <c r="AF39" i="5"/>
  <c r="Z5" i="5"/>
  <c r="K34" i="5"/>
  <c r="Y13" i="5"/>
  <c r="P23" i="5"/>
  <c r="K31" i="5"/>
  <c r="P39" i="5"/>
  <c r="M36" i="5"/>
  <c r="Y5" i="5"/>
  <c r="R6" i="5"/>
  <c r="N11" i="5"/>
  <c r="J8" i="5"/>
  <c r="AB29" i="5"/>
  <c r="H33" i="5"/>
  <c r="N19" i="5"/>
  <c r="T40" i="5"/>
  <c r="X7" i="5"/>
  <c r="AE8" i="5"/>
  <c r="T7" i="5"/>
  <c r="G25" i="5"/>
  <c r="H24" i="5"/>
  <c r="AE43" i="5"/>
  <c r="A38" i="6"/>
  <c r="R45" i="5"/>
  <c r="H34" i="5"/>
  <c r="J31" i="5"/>
  <c r="N28" i="5"/>
  <c r="AD23" i="5"/>
  <c r="AD5" i="5"/>
  <c r="AA13" i="5"/>
  <c r="J26" i="5"/>
  <c r="U33" i="5"/>
  <c r="S29" i="5"/>
  <c r="J33" i="5"/>
  <c r="X32" i="5"/>
  <c r="AF21" i="5"/>
  <c r="J37" i="5"/>
  <c r="U40" i="5"/>
  <c r="P33" i="5"/>
  <c r="AF28" i="5"/>
  <c r="P17" i="5"/>
  <c r="U14" i="5"/>
  <c r="G26" i="5"/>
  <c r="S42" i="5"/>
  <c r="N27" i="5"/>
  <c r="Q39" i="5"/>
  <c r="I20" i="5"/>
  <c r="U7" i="5"/>
  <c r="O13" i="5"/>
  <c r="P7" i="5"/>
  <c r="A26" i="6"/>
  <c r="AE37" i="5"/>
  <c r="H14" i="5"/>
  <c r="R37" i="5"/>
  <c r="AC44" i="5"/>
  <c r="W32" i="5"/>
  <c r="K12" i="5"/>
  <c r="F15" i="5"/>
  <c r="G13" i="5"/>
  <c r="V8" i="5"/>
  <c r="P20" i="5"/>
  <c r="F8" i="5"/>
  <c r="G17" i="5"/>
  <c r="G23" i="5"/>
  <c r="G41" i="5"/>
  <c r="Q8" i="5"/>
  <c r="G11" i="5"/>
  <c r="W5" i="5"/>
  <c r="S28" i="5"/>
  <c r="AF40" i="5"/>
  <c r="F44" i="5"/>
  <c r="S11" i="5"/>
  <c r="X41" i="5"/>
  <c r="AD31" i="5"/>
  <c r="K5" i="5"/>
  <c r="AA12" i="5"/>
  <c r="O34" i="5"/>
  <c r="O44" i="5"/>
  <c r="AA37" i="5"/>
  <c r="N26" i="5"/>
  <c r="H38" i="5"/>
  <c r="AB36" i="5"/>
  <c r="Y16" i="5"/>
  <c r="T42" i="5"/>
  <c r="U6" i="5"/>
  <c r="M35" i="5"/>
  <c r="AE29" i="5"/>
  <c r="J17" i="5"/>
  <c r="Y18" i="5"/>
  <c r="W7" i="5"/>
  <c r="AB43" i="5"/>
  <c r="Q23" i="5"/>
  <c r="AF22" i="5"/>
  <c r="U27" i="5"/>
  <c r="U13" i="5"/>
  <c r="I43" i="5"/>
  <c r="AB33" i="5"/>
  <c r="AC16" i="5"/>
  <c r="F23" i="5"/>
  <c r="M19" i="5"/>
  <c r="K43" i="5"/>
  <c r="L36" i="5"/>
  <c r="H45" i="5"/>
  <c r="Y31" i="5"/>
  <c r="N45" i="5"/>
  <c r="AB30" i="5"/>
  <c r="T5" i="5"/>
  <c r="AC28" i="5"/>
  <c r="M8" i="5"/>
  <c r="K10" i="5"/>
  <c r="L11" i="5"/>
  <c r="L42" i="5"/>
  <c r="U18" i="5"/>
  <c r="K23" i="5"/>
  <c r="J6" i="5"/>
  <c r="X43" i="5"/>
  <c r="A27" i="6"/>
  <c r="Z15" i="5"/>
  <c r="M25" i="5"/>
  <c r="I31" i="5"/>
  <c r="O31" i="5"/>
  <c r="AE11" i="5"/>
  <c r="AE32" i="5"/>
  <c r="H44" i="5"/>
  <c r="S25" i="5"/>
  <c r="F19" i="5"/>
  <c r="H13" i="5"/>
  <c r="AD45" i="5"/>
  <c r="AF19" i="5"/>
  <c r="I8" i="5"/>
  <c r="Z38" i="5"/>
  <c r="O22" i="5"/>
  <c r="AE27" i="5"/>
  <c r="L45" i="5"/>
  <c r="AE23" i="5"/>
  <c r="W15" i="5"/>
  <c r="F32" i="5"/>
  <c r="J32" i="5"/>
  <c r="R26" i="5"/>
  <c r="J11" i="5"/>
  <c r="Y32" i="5"/>
  <c r="Y30" i="5"/>
  <c r="I42" i="5"/>
  <c r="AF15" i="5"/>
  <c r="R10" i="5"/>
  <c r="Q25" i="5"/>
  <c r="L6" i="5"/>
  <c r="P5" i="5"/>
  <c r="R42" i="5"/>
  <c r="A40" i="6"/>
  <c r="AE38" i="5"/>
  <c r="M18" i="5"/>
  <c r="O23" i="5"/>
  <c r="F6" i="5"/>
  <c r="AC41" i="5"/>
  <c r="AC30" i="5"/>
  <c r="I6" i="5"/>
  <c r="O25" i="5"/>
  <c r="Z23" i="5"/>
  <c r="H16" i="5"/>
  <c r="G5" i="5"/>
  <c r="AF42" i="5"/>
  <c r="AC25" i="5"/>
  <c r="Y41" i="5"/>
  <c r="AC42" i="5"/>
  <c r="P27" i="5"/>
  <c r="I12" i="5"/>
  <c r="AE7" i="5"/>
  <c r="J44" i="5"/>
  <c r="N8" i="5"/>
  <c r="V26" i="5"/>
  <c r="O41" i="5"/>
  <c r="R11" i="5"/>
  <c r="X45" i="5"/>
  <c r="H21" i="5"/>
  <c r="AB19" i="5"/>
  <c r="X37" i="5"/>
  <c r="S20" i="5"/>
  <c r="J21" i="5"/>
  <c r="AD22" i="5"/>
  <c r="S31" i="5"/>
  <c r="J36" i="5"/>
  <c r="J20" i="5"/>
  <c r="Q29" i="5"/>
  <c r="R7" i="5"/>
  <c r="AE22" i="5"/>
  <c r="T27" i="5"/>
  <c r="J35" i="5"/>
  <c r="M43" i="5"/>
  <c r="I32" i="5"/>
  <c r="P16" i="5"/>
  <c r="S45" i="5"/>
  <c r="S19" i="5"/>
  <c r="AB5" i="5"/>
  <c r="V32" i="5"/>
  <c r="F41" i="5"/>
  <c r="O35" i="5"/>
  <c r="Q22" i="5"/>
  <c r="Z14" i="5"/>
  <c r="AB6" i="5"/>
  <c r="R5" i="5"/>
  <c r="Z42" i="5"/>
  <c r="T6" i="5"/>
  <c r="A69" i="6"/>
  <c r="O15" i="5"/>
  <c r="AA14" i="5"/>
  <c r="AF9" i="5"/>
  <c r="W30" i="5"/>
  <c r="Z21" i="5"/>
  <c r="AA40" i="5"/>
  <c r="S41" i="5"/>
  <c r="P37" i="5"/>
  <c r="Y34" i="5"/>
  <c r="AC18" i="5"/>
  <c r="AE20" i="5"/>
  <c r="H5" i="5"/>
  <c r="Q5" i="5"/>
  <c r="G34" i="5"/>
  <c r="Y6" i="5"/>
  <c r="Q9" i="5"/>
  <c r="H25" i="5"/>
  <c r="N38" i="5"/>
  <c r="S38" i="5"/>
  <c r="AA24" i="5"/>
  <c r="O26" i="5"/>
  <c r="X24" i="5"/>
  <c r="X14" i="5"/>
  <c r="O21" i="5"/>
  <c r="V19" i="5"/>
  <c r="Z40" i="5"/>
  <c r="AC19" i="5"/>
  <c r="Y43" i="5"/>
  <c r="H26" i="5"/>
  <c r="R16" i="5"/>
  <c r="V33" i="5"/>
  <c r="AA17" i="5"/>
  <c r="L8" i="5"/>
  <c r="AB37" i="5"/>
  <c r="M16" i="5"/>
  <c r="O43" i="5"/>
  <c r="P43" i="5"/>
  <c r="A44" i="6"/>
  <c r="U38" i="5"/>
  <c r="S21" i="5"/>
  <c r="I24" i="5"/>
  <c r="AF30" i="5"/>
  <c r="I21" i="5"/>
  <c r="A36" i="6"/>
  <c r="AB45" i="5"/>
  <c r="M45" i="5"/>
  <c r="AD13" i="5"/>
  <c r="Z31" i="5"/>
  <c r="Y44" i="5"/>
  <c r="X20" i="5"/>
  <c r="AB44" i="5"/>
  <c r="M10" i="5"/>
  <c r="AB20" i="5"/>
  <c r="L16" i="5"/>
  <c r="M31" i="5"/>
  <c r="AD40" i="5"/>
  <c r="AF27" i="5"/>
  <c r="Y15" i="5"/>
  <c r="F17" i="5"/>
  <c r="T12" i="5"/>
  <c r="F30" i="5"/>
  <c r="X29" i="5"/>
  <c r="Z39" i="5"/>
  <c r="V13" i="5"/>
  <c r="V7" i="5"/>
  <c r="I44" i="5"/>
  <c r="W29" i="5"/>
  <c r="AC33" i="5"/>
  <c r="J13" i="5"/>
  <c r="W31" i="5"/>
  <c r="AF10" i="5"/>
  <c r="I10" i="5"/>
  <c r="J27" i="5"/>
  <c r="K39" i="5"/>
  <c r="G36" i="5"/>
  <c r="F28" i="5"/>
  <c r="W11" i="5"/>
  <c r="Q7" i="5"/>
  <c r="AF45" i="5"/>
  <c r="AF6" i="5"/>
  <c r="O12" i="5"/>
  <c r="U17" i="5"/>
  <c r="K17" i="5"/>
  <c r="AE39" i="5"/>
  <c r="AC21" i="5"/>
  <c r="Y14" i="5"/>
  <c r="M34" i="5"/>
  <c r="N20" i="5"/>
  <c r="V38" i="5"/>
  <c r="P13" i="5"/>
  <c r="S22" i="5"/>
  <c r="Z35" i="5"/>
  <c r="A9" i="6"/>
  <c r="N16" i="5"/>
  <c r="W17" i="5"/>
  <c r="Q12" i="5"/>
  <c r="AD43" i="5"/>
  <c r="K14" i="5"/>
  <c r="V21" i="5"/>
  <c r="V24" i="5"/>
  <c r="T43" i="5"/>
  <c r="S13" i="5"/>
  <c r="H28" i="5"/>
  <c r="G16" i="5"/>
  <c r="Y36" i="5"/>
  <c r="AB32" i="5"/>
  <c r="AA5" i="5"/>
  <c r="AA8" i="5"/>
  <c r="S30" i="5"/>
  <c r="T18" i="5"/>
  <c r="H43" i="5"/>
  <c r="Q11" i="5"/>
  <c r="AA15" i="5"/>
  <c r="AB9" i="5"/>
  <c r="Z33" i="5"/>
  <c r="AC7" i="5"/>
  <c r="V39" i="5"/>
  <c r="O29" i="5"/>
  <c r="H39" i="5"/>
  <c r="AB26" i="5"/>
  <c r="F14" i="5"/>
  <c r="T41" i="5"/>
  <c r="P12" i="5"/>
  <c r="W13" i="5"/>
  <c r="P10" i="5"/>
  <c r="A51" i="6"/>
  <c r="K15" i="5"/>
  <c r="O17" i="5"/>
  <c r="S18" i="5"/>
  <c r="H18" i="5"/>
  <c r="M33" i="5"/>
  <c r="T13" i="5"/>
  <c r="K30" i="5"/>
  <c r="AC13" i="5"/>
  <c r="A41" i="6"/>
  <c r="Q44" i="5"/>
  <c r="H40" i="5"/>
  <c r="AB17" i="5"/>
  <c r="AC5" i="5"/>
  <c r="W33" i="5"/>
  <c r="M22" i="5"/>
  <c r="AC9" i="5"/>
  <c r="N33" i="5"/>
  <c r="Q28" i="5"/>
  <c r="M30" i="5"/>
  <c r="M14" i="5"/>
  <c r="AB41" i="5"/>
  <c r="M39" i="5"/>
  <c r="W27" i="5"/>
  <c r="V44" i="5"/>
  <c r="Q21" i="5"/>
  <c r="K28" i="5"/>
  <c r="AA11" i="5"/>
  <c r="O24" i="5"/>
  <c r="S14" i="5"/>
  <c r="AG6" i="5" l="1"/>
  <c r="AH6" i="5" s="1"/>
  <c r="G30" i="4"/>
  <c r="W30" i="4"/>
  <c r="X30" i="4"/>
  <c r="K26" i="4"/>
  <c r="X26" i="4"/>
  <c r="W26" i="4"/>
  <c r="X28" i="4"/>
  <c r="P23" i="4"/>
  <c r="X23" i="4"/>
  <c r="W23" i="4"/>
  <c r="W29" i="4"/>
  <c r="R27" i="4"/>
  <c r="X27" i="4"/>
  <c r="Q29" i="4"/>
  <c r="I27" i="4"/>
  <c r="P24" i="4"/>
  <c r="W24" i="4"/>
  <c r="X24" i="4"/>
  <c r="N27" i="4"/>
  <c r="W27" i="4"/>
  <c r="U23" i="4"/>
  <c r="U29" i="4"/>
  <c r="S25" i="4"/>
  <c r="X25" i="4"/>
  <c r="I23" i="4"/>
  <c r="J24" i="4"/>
  <c r="W28" i="4"/>
  <c r="G32" i="3"/>
  <c r="H51" i="3"/>
  <c r="G56" i="3"/>
  <c r="G52" i="3"/>
  <c r="G55" i="3"/>
  <c r="H53" i="3"/>
  <c r="H54" i="3"/>
  <c r="G49" i="3"/>
  <c r="H50" i="3"/>
  <c r="G48" i="3"/>
  <c r="H48" i="3"/>
  <c r="H56" i="3"/>
  <c r="G51" i="3"/>
  <c r="H49" i="3"/>
  <c r="H52" i="3"/>
  <c r="I56" i="3"/>
  <c r="P48" i="3"/>
  <c r="R51" i="3"/>
  <c r="J55" i="3"/>
  <c r="K49" i="3"/>
  <c r="Q55" i="3"/>
  <c r="R53" i="3"/>
  <c r="V49" i="3"/>
  <c r="S55" i="3"/>
  <c r="N49" i="3"/>
  <c r="M49" i="3"/>
  <c r="X52" i="3"/>
  <c r="K52" i="3"/>
  <c r="X49" i="3"/>
  <c r="U54" i="3"/>
  <c r="J52" i="3"/>
  <c r="L50" i="3"/>
  <c r="O51" i="3"/>
  <c r="N56" i="3"/>
  <c r="N54" i="3"/>
  <c r="X54" i="3"/>
  <c r="N51" i="3"/>
  <c r="L54" i="3"/>
  <c r="I54" i="3"/>
  <c r="W54" i="3"/>
  <c r="P49" i="3"/>
  <c r="V53" i="3"/>
  <c r="K54" i="3"/>
  <c r="R54" i="3"/>
  <c r="N52" i="3"/>
  <c r="J54" i="3"/>
  <c r="M56" i="3"/>
  <c r="U56" i="3"/>
  <c r="U55" i="3"/>
  <c r="M50" i="3"/>
  <c r="U50" i="3"/>
  <c r="I55" i="3"/>
  <c r="S52" i="3"/>
  <c r="L56" i="3"/>
  <c r="K56" i="3"/>
  <c r="M54" i="3"/>
  <c r="O50" i="3"/>
  <c r="P55" i="3"/>
  <c r="S56" i="3"/>
  <c r="O55" i="3"/>
  <c r="X55" i="3"/>
  <c r="U52" i="3"/>
  <c r="R55" i="3"/>
  <c r="T54" i="3"/>
  <c r="O54" i="3"/>
  <c r="S54" i="3"/>
  <c r="T50" i="3"/>
  <c r="Q50" i="3"/>
  <c r="V54" i="3"/>
  <c r="P50" i="3"/>
  <c r="I50" i="3"/>
  <c r="R50" i="3"/>
  <c r="T56" i="3"/>
  <c r="W50" i="3"/>
  <c r="T55" i="3"/>
  <c r="R56" i="3"/>
  <c r="K50" i="3"/>
  <c r="S50" i="3"/>
  <c r="R52" i="3"/>
  <c r="V50" i="3"/>
  <c r="J56" i="3"/>
  <c r="N50" i="3"/>
  <c r="V52" i="3"/>
  <c r="N55" i="3"/>
  <c r="V55" i="3"/>
  <c r="T52" i="3"/>
  <c r="U51" i="3"/>
  <c r="W53" i="3"/>
  <c r="N53" i="3"/>
  <c r="N48" i="3"/>
  <c r="O52" i="3"/>
  <c r="T53" i="3"/>
  <c r="I52" i="3"/>
  <c r="X51" i="3"/>
  <c r="W51" i="3"/>
  <c r="V51" i="3"/>
  <c r="X53" i="3"/>
  <c r="M52" i="3"/>
  <c r="W52" i="3"/>
  <c r="S51" i="3"/>
  <c r="J50" i="3"/>
  <c r="L52" i="3"/>
  <c r="J49" i="3"/>
  <c r="M51" i="3"/>
  <c r="L51" i="3"/>
  <c r="K51" i="3"/>
  <c r="J51" i="3"/>
  <c r="J53" i="3"/>
  <c r="Q53" i="3"/>
  <c r="P53" i="3"/>
  <c r="O53" i="3"/>
  <c r="K53" i="3"/>
  <c r="L53" i="3"/>
  <c r="R48" i="3"/>
  <c r="P52" i="3"/>
  <c r="Q48" i="3"/>
  <c r="W49" i="3"/>
  <c r="L49" i="3"/>
  <c r="M53" i="3"/>
  <c r="U49" i="3"/>
  <c r="T49" i="3"/>
  <c r="S49" i="3"/>
  <c r="R49" i="3"/>
  <c r="T51" i="3"/>
  <c r="O48" i="3"/>
  <c r="O49" i="3"/>
  <c r="M55" i="3"/>
  <c r="W55" i="3"/>
  <c r="I51" i="3"/>
  <c r="I49" i="3"/>
  <c r="X48" i="3"/>
  <c r="W48" i="3"/>
  <c r="V48" i="3"/>
  <c r="X50" i="3"/>
  <c r="L55" i="3"/>
  <c r="I48" i="3"/>
  <c r="S48" i="3"/>
  <c r="Q54" i="3"/>
  <c r="K55" i="3"/>
  <c r="U48" i="3"/>
  <c r="M48" i="3"/>
  <c r="L48" i="3"/>
  <c r="K48" i="3"/>
  <c r="J48" i="3"/>
  <c r="P54" i="3"/>
  <c r="W56" i="3"/>
  <c r="V56" i="3"/>
  <c r="U53" i="3"/>
  <c r="S53" i="3"/>
  <c r="Q56" i="3"/>
  <c r="P56" i="3"/>
  <c r="O56" i="3"/>
  <c r="I53" i="3"/>
  <c r="P51" i="3"/>
  <c r="K25" i="4"/>
  <c r="L24" i="4"/>
  <c r="I29" i="4"/>
  <c r="L28" i="4"/>
  <c r="P28" i="4"/>
  <c r="Q23" i="4"/>
  <c r="T27" i="4"/>
  <c r="Q26" i="4"/>
  <c r="N25" i="4"/>
  <c r="V25" i="4"/>
  <c r="T31" i="4"/>
  <c r="O31" i="4"/>
  <c r="G31" i="4"/>
  <c r="J31" i="4"/>
  <c r="L25" i="4"/>
  <c r="F25" i="4"/>
  <c r="V28" i="4"/>
  <c r="P26" i="4"/>
  <c r="I24" i="4"/>
  <c r="Q31" i="4"/>
  <c r="K31" i="4"/>
  <c r="O27" i="4"/>
  <c r="V24" i="4"/>
  <c r="U25" i="4"/>
  <c r="N23" i="4"/>
  <c r="J25" i="4"/>
  <c r="G25" i="4"/>
  <c r="H31" i="4"/>
  <c r="N28" i="4"/>
  <c r="F31" i="4"/>
  <c r="P31" i="4"/>
  <c r="I25" i="4"/>
  <c r="M28" i="4"/>
  <c r="T25" i="4"/>
  <c r="S31" i="4"/>
  <c r="J28" i="4"/>
  <c r="O28" i="4"/>
  <c r="S26" i="4"/>
  <c r="P27" i="4"/>
  <c r="T28" i="4"/>
  <c r="I31" i="4"/>
  <c r="P29" i="4"/>
  <c r="S28" i="4"/>
  <c r="N31" i="4"/>
  <c r="U24" i="4"/>
  <c r="O25" i="4"/>
  <c r="L31" i="4"/>
  <c r="M25" i="4"/>
  <c r="F28" i="4"/>
  <c r="U26" i="4"/>
  <c r="H28" i="4"/>
  <c r="S29" i="4"/>
  <c r="U28" i="4"/>
  <c r="L27" i="4"/>
  <c r="Q28" i="4"/>
  <c r="V31" i="4"/>
  <c r="R30" i="4"/>
  <c r="L30" i="4"/>
  <c r="L26" i="4"/>
  <c r="O30" i="4"/>
  <c r="F27" i="4"/>
  <c r="L23" i="4"/>
  <c r="M26" i="4"/>
  <c r="Q27" i="4"/>
  <c r="Q24" i="4"/>
  <c r="N26" i="4"/>
  <c r="O23" i="4"/>
  <c r="T23" i="4"/>
  <c r="N24" i="4"/>
  <c r="H25" i="4"/>
  <c r="P25" i="4"/>
  <c r="G26" i="4"/>
  <c r="V23" i="4"/>
  <c r="J26" i="4"/>
  <c r="R23" i="4"/>
  <c r="H26" i="4"/>
  <c r="T30" i="4"/>
  <c r="R29" i="4"/>
  <c r="R31" i="4"/>
  <c r="M31" i="4"/>
  <c r="G27" i="4"/>
  <c r="T24" i="4"/>
  <c r="R24" i="4"/>
  <c r="M27" i="4"/>
  <c r="H27" i="4"/>
  <c r="N29" i="4"/>
  <c r="H30" i="4"/>
  <c r="S30" i="4"/>
  <c r="F30" i="4"/>
  <c r="T29" i="4"/>
  <c r="P30" i="4"/>
  <c r="N30" i="4"/>
  <c r="V30" i="4"/>
  <c r="O26" i="4"/>
  <c r="V26" i="4"/>
  <c r="H23" i="4"/>
  <c r="S23" i="4"/>
  <c r="F26" i="4"/>
  <c r="T26" i="4"/>
  <c r="J23" i="4"/>
  <c r="Q30" i="4"/>
  <c r="U30" i="4"/>
  <c r="G23" i="4"/>
  <c r="M30" i="4"/>
  <c r="J30" i="4"/>
  <c r="J29" i="4"/>
  <c r="I30" i="4"/>
  <c r="F23" i="4"/>
  <c r="F29" i="4"/>
  <c r="K30" i="4"/>
  <c r="Q25" i="4"/>
  <c r="H24" i="4"/>
  <c r="F24" i="4"/>
  <c r="R26" i="4"/>
  <c r="R25" i="4"/>
  <c r="M29" i="4"/>
  <c r="K28" i="4"/>
  <c r="I28" i="4"/>
  <c r="M23" i="4"/>
  <c r="K23" i="4"/>
  <c r="G28" i="4"/>
  <c r="L29" i="4"/>
  <c r="I34" i="6"/>
  <c r="AC46" i="6"/>
  <c r="P33" i="6"/>
  <c r="I31" i="6"/>
  <c r="E31" i="6"/>
  <c r="AB36" i="6"/>
  <c r="T51" i="6"/>
  <c r="L27" i="6"/>
  <c r="AA35" i="6"/>
  <c r="A52" i="6"/>
  <c r="J27" i="6"/>
  <c r="M26" i="6"/>
  <c r="O28" i="6"/>
  <c r="Q37" i="6"/>
  <c r="A56" i="6"/>
  <c r="AA9" i="6"/>
  <c r="O27" i="6"/>
  <c r="N35" i="6"/>
  <c r="G25" i="6"/>
  <c r="V35" i="6"/>
  <c r="A61" i="6"/>
  <c r="M35" i="6"/>
  <c r="F46" i="6"/>
  <c r="P27" i="6"/>
  <c r="E33" i="6"/>
  <c r="J37" i="6"/>
  <c r="V69" i="6"/>
  <c r="A11" i="6"/>
  <c r="M33" i="6"/>
  <c r="Q5" i="6"/>
  <c r="Y26" i="6"/>
  <c r="Y28" i="6"/>
  <c r="O37" i="6"/>
  <c r="F69" i="6"/>
  <c r="F36" i="6"/>
  <c r="E27" i="6"/>
  <c r="Q31" i="6"/>
  <c r="P34" i="6"/>
  <c r="K26" i="6"/>
  <c r="U69" i="6"/>
  <c r="N27" i="6"/>
  <c r="A62" i="6"/>
  <c r="Z46" i="6"/>
  <c r="A55" i="6"/>
  <c r="M46" i="6"/>
  <c r="V46" i="6"/>
  <c r="A49" i="6"/>
  <c r="O46" i="6"/>
  <c r="D46" i="6"/>
  <c r="G36" i="6"/>
  <c r="J32" i="6"/>
  <c r="S5" i="6"/>
  <c r="Z51" i="6"/>
  <c r="M9" i="6"/>
  <c r="U27" i="6"/>
  <c r="T69" i="6"/>
  <c r="W28" i="6"/>
  <c r="K69" i="6"/>
  <c r="F33" i="6"/>
  <c r="J26" i="6"/>
  <c r="U32" i="6"/>
  <c r="L26" i="6"/>
  <c r="V27" i="6"/>
  <c r="G41" i="6"/>
  <c r="P37" i="6"/>
  <c r="R36" i="6"/>
  <c r="D35" i="6"/>
  <c r="Z34" i="6"/>
  <c r="A19" i="6"/>
  <c r="X37" i="6"/>
  <c r="S41" i="6"/>
  <c r="R9" i="6"/>
  <c r="F9" i="6"/>
  <c r="N31" i="6"/>
  <c r="U51" i="6"/>
  <c r="F51" i="6"/>
  <c r="K25" i="6"/>
  <c r="D33" i="6"/>
  <c r="Y69" i="6"/>
  <c r="W31" i="6"/>
  <c r="A12" i="6"/>
  <c r="G33" i="6"/>
  <c r="T9" i="6"/>
  <c r="H27" i="6"/>
  <c r="S34" i="6"/>
  <c r="R5" i="6"/>
  <c r="L5" i="6"/>
  <c r="V37" i="6"/>
  <c r="A67" i="6"/>
  <c r="AB46" i="6"/>
  <c r="M34" i="6"/>
  <c r="H31" i="6"/>
  <c r="J28" i="6"/>
  <c r="F41" i="6"/>
  <c r="D34" i="6"/>
  <c r="X32" i="6"/>
  <c r="E36" i="6"/>
  <c r="L32" i="6"/>
  <c r="R69" i="6"/>
  <c r="D31" i="6"/>
  <c r="N41" i="6"/>
  <c r="L36" i="6"/>
  <c r="V26" i="6"/>
  <c r="I33" i="6"/>
  <c r="K32" i="6"/>
  <c r="G51" i="6"/>
  <c r="I25" i="6"/>
  <c r="W41" i="6"/>
  <c r="U28" i="6"/>
  <c r="N46" i="6"/>
  <c r="P5" i="6"/>
  <c r="T28" i="6"/>
  <c r="X9" i="6"/>
  <c r="AB5" i="6"/>
  <c r="AC69" i="6"/>
  <c r="Z37" i="6"/>
  <c r="X26" i="6"/>
  <c r="A63" i="6"/>
  <c r="N34" i="6"/>
  <c r="I9" i="6"/>
  <c r="V36" i="6"/>
  <c r="K36" i="6"/>
  <c r="Z41" i="6"/>
  <c r="J9" i="6"/>
  <c r="O69" i="6"/>
  <c r="AA5" i="6"/>
  <c r="L69" i="6"/>
  <c r="E51" i="6"/>
  <c r="Y34" i="6"/>
  <c r="A15" i="6"/>
  <c r="L51" i="6"/>
  <c r="I35" i="6"/>
  <c r="O25" i="6"/>
  <c r="P46" i="6"/>
  <c r="AD5" i="6"/>
  <c r="M31" i="6"/>
  <c r="R28" i="6"/>
  <c r="I69" i="6"/>
  <c r="N28" i="6"/>
  <c r="Z26" i="6"/>
  <c r="AA31" i="6"/>
  <c r="AA36" i="6"/>
  <c r="P26" i="6"/>
  <c r="Z5" i="6"/>
  <c r="A4" i="6"/>
  <c r="AD69" i="6"/>
  <c r="O33" i="6"/>
  <c r="T5" i="6"/>
  <c r="V5" i="6"/>
  <c r="AA25" i="6"/>
  <c r="A7" i="6"/>
  <c r="K5" i="6"/>
  <c r="D25" i="6"/>
  <c r="AA51" i="6"/>
  <c r="E25" i="6"/>
  <c r="L46" i="6"/>
  <c r="N51" i="6"/>
  <c r="O34" i="6"/>
  <c r="R34" i="6"/>
  <c r="H25" i="6"/>
  <c r="AA26" i="6"/>
  <c r="E28" i="6"/>
  <c r="P35" i="6"/>
  <c r="R32" i="6"/>
  <c r="W35" i="6"/>
  <c r="H9" i="6"/>
  <c r="AB28" i="6"/>
  <c r="G28" i="6"/>
  <c r="I5" i="6"/>
  <c r="N37" i="6"/>
  <c r="U25" i="6"/>
  <c r="Z25" i="6"/>
  <c r="A21" i="6"/>
  <c r="E5" i="6"/>
  <c r="J34" i="6"/>
  <c r="O41" i="6"/>
  <c r="T26" i="6"/>
  <c r="O9" i="6"/>
  <c r="Z31" i="6"/>
  <c r="Q46" i="6"/>
  <c r="J31" i="6"/>
  <c r="AC9" i="6"/>
  <c r="M25" i="6"/>
  <c r="K46" i="6"/>
  <c r="M28" i="6"/>
  <c r="J41" i="6"/>
  <c r="P28" i="6"/>
  <c r="H33" i="6"/>
  <c r="AD46" i="6"/>
  <c r="D36" i="6"/>
  <c r="K33" i="6"/>
  <c r="I32" i="6"/>
  <c r="K37" i="6"/>
  <c r="R46" i="6"/>
  <c r="S27" i="6"/>
  <c r="K31" i="6"/>
  <c r="AB51" i="6"/>
  <c r="H26" i="6"/>
  <c r="W25" i="6"/>
  <c r="Q34" i="6"/>
  <c r="O36" i="6"/>
  <c r="S37" i="6"/>
  <c r="AA34" i="6"/>
  <c r="A20" i="6"/>
  <c r="AB37" i="6"/>
  <c r="S32" i="6"/>
  <c r="V9" i="6"/>
  <c r="A17" i="6"/>
  <c r="X35" i="6"/>
  <c r="V33" i="6"/>
  <c r="Y5" i="6"/>
  <c r="G35" i="6"/>
  <c r="G9" i="6"/>
  <c r="Y41" i="6"/>
  <c r="AB31" i="6"/>
  <c r="P41" i="6"/>
  <c r="W9" i="6"/>
  <c r="O5" i="6"/>
  <c r="Y51" i="6"/>
  <c r="U34" i="6"/>
  <c r="AA41" i="6"/>
  <c r="D37" i="6"/>
  <c r="S25" i="6"/>
  <c r="X69" i="6"/>
  <c r="I51" i="6"/>
  <c r="E9" i="6"/>
  <c r="X46" i="6"/>
  <c r="V41" i="6"/>
  <c r="P25" i="6"/>
  <c r="V28" i="6"/>
  <c r="S46" i="6"/>
  <c r="I37" i="6"/>
  <c r="W51" i="6"/>
  <c r="I46" i="6"/>
  <c r="W37" i="6"/>
  <c r="X5" i="6"/>
  <c r="W26" i="6"/>
  <c r="Y27" i="6"/>
  <c r="D27" i="6"/>
  <c r="AB26" i="6"/>
  <c r="Q32" i="6"/>
  <c r="I27" i="6"/>
  <c r="L33" i="6"/>
  <c r="D9" i="6"/>
  <c r="T41" i="6"/>
  <c r="X33" i="6"/>
  <c r="P9" i="6"/>
  <c r="E41" i="6"/>
  <c r="Y37" i="6"/>
  <c r="Y31" i="6"/>
  <c r="V34" i="6"/>
  <c r="AA27" i="6"/>
  <c r="R41" i="6"/>
  <c r="J36" i="6"/>
  <c r="G5" i="6"/>
  <c r="S69" i="6"/>
  <c r="W46" i="6"/>
  <c r="H28" i="6"/>
  <c r="N69" i="6"/>
  <c r="R25" i="6"/>
  <c r="X27" i="6"/>
  <c r="S35" i="6"/>
  <c r="U33" i="6"/>
  <c r="E32" i="6"/>
  <c r="K27" i="6"/>
  <c r="H34" i="6"/>
  <c r="H46" i="6"/>
  <c r="R27" i="6"/>
  <c r="F27" i="6"/>
  <c r="T36" i="6"/>
  <c r="S33" i="6"/>
  <c r="Z32" i="6"/>
  <c r="Y46" i="6"/>
  <c r="A8" i="6"/>
  <c r="A68" i="6"/>
  <c r="D26" i="6"/>
  <c r="F26" i="6"/>
  <c r="L34" i="6"/>
  <c r="AA37" i="6"/>
  <c r="Z28" i="6"/>
  <c r="N32" i="6"/>
  <c r="A22" i="6"/>
  <c r="U41" i="6"/>
  <c r="A65" i="6"/>
  <c r="D69" i="6"/>
  <c r="Y35" i="6"/>
  <c r="V31" i="6"/>
  <c r="N9" i="6"/>
  <c r="H35" i="6"/>
  <c r="T27" i="6"/>
  <c r="H51" i="6"/>
  <c r="S9" i="6"/>
  <c r="Y25" i="6"/>
  <c r="P32" i="6"/>
  <c r="P69" i="6"/>
  <c r="X28" i="6"/>
  <c r="U46" i="6"/>
  <c r="U35" i="6"/>
  <c r="I36" i="6"/>
  <c r="T32" i="6"/>
  <c r="AB41" i="6"/>
  <c r="G46" i="6"/>
  <c r="G37" i="6"/>
  <c r="M36" i="6"/>
  <c r="G26" i="6"/>
  <c r="J5" i="6"/>
  <c r="Q35" i="6"/>
  <c r="T35" i="6"/>
  <c r="M37" i="6"/>
  <c r="Z69" i="6"/>
  <c r="Z36" i="6"/>
  <c r="O31" i="6"/>
  <c r="M51" i="6"/>
  <c r="A60" i="6"/>
  <c r="N36" i="6"/>
  <c r="AC5" i="6"/>
  <c r="H32" i="6"/>
  <c r="Q26" i="6"/>
  <c r="A6" i="6"/>
  <c r="T46" i="6"/>
  <c r="R31" i="6"/>
  <c r="D32" i="6"/>
  <c r="AB32" i="6"/>
  <c r="R37" i="6"/>
  <c r="A66" i="6"/>
  <c r="Q41" i="6"/>
  <c r="AB9" i="6"/>
  <c r="I26" i="6"/>
  <c r="V25" i="6"/>
  <c r="J46" i="6"/>
  <c r="Y33" i="6"/>
  <c r="E26" i="6"/>
  <c r="N5" i="6"/>
  <c r="N25" i="6"/>
  <c r="O32" i="6"/>
  <c r="M5" i="6"/>
  <c r="I41" i="6"/>
  <c r="Q27" i="6"/>
  <c r="AB33" i="6"/>
  <c r="A3" i="6"/>
  <c r="AB25" i="6"/>
  <c r="AC51" i="6"/>
  <c r="Y36" i="6"/>
  <c r="M41" i="6"/>
  <c r="X31" i="6"/>
  <c r="AA69" i="6"/>
  <c r="Q9" i="6"/>
  <c r="F32" i="6"/>
  <c r="T34" i="6"/>
  <c r="A10" i="6"/>
  <c r="AA46" i="6"/>
  <c r="J33" i="6"/>
  <c r="R33" i="6"/>
  <c r="Q25" i="6"/>
  <c r="A54" i="6"/>
  <c r="F5" i="6"/>
  <c r="AB35" i="6"/>
  <c r="AB69" i="6"/>
  <c r="F37" i="6"/>
  <c r="L28" i="6"/>
  <c r="D51" i="6"/>
  <c r="H36" i="6"/>
  <c r="G32" i="6"/>
  <c r="P51" i="6"/>
  <c r="D41" i="6"/>
  <c r="L31" i="6"/>
  <c r="E37" i="6"/>
  <c r="Q51" i="6"/>
  <c r="U36" i="6"/>
  <c r="Y32" i="6"/>
  <c r="K51" i="6"/>
  <c r="AB34" i="6"/>
  <c r="V51" i="6"/>
  <c r="T37" i="6"/>
  <c r="Z35" i="6"/>
  <c r="L25" i="6"/>
  <c r="K35" i="6"/>
  <c r="S36" i="6"/>
  <c r="K28" i="6"/>
  <c r="A58" i="6"/>
  <c r="L41" i="6"/>
  <c r="F25" i="6"/>
  <c r="F34" i="6"/>
  <c r="AD51" i="6"/>
  <c r="W27" i="6"/>
  <c r="A13" i="6"/>
  <c r="A48" i="6"/>
  <c r="J25" i="6"/>
  <c r="K41" i="6"/>
  <c r="A14" i="6"/>
  <c r="Q28" i="6"/>
  <c r="Z9" i="6"/>
  <c r="A18" i="6"/>
  <c r="X41" i="6"/>
  <c r="E34" i="6"/>
  <c r="O51" i="6"/>
  <c r="T31" i="6"/>
  <c r="A2" i="6"/>
  <c r="S31" i="6"/>
  <c r="Y9" i="6"/>
  <c r="Q33" i="6"/>
  <c r="A23" i="6"/>
  <c r="F28" i="6"/>
  <c r="AA33" i="6"/>
  <c r="Z27" i="6"/>
  <c r="A64" i="6"/>
  <c r="G69" i="6"/>
  <c r="T25" i="6"/>
  <c r="J51" i="6"/>
  <c r="V32" i="6"/>
  <c r="F31" i="6"/>
  <c r="W36" i="6"/>
  <c r="L35" i="6"/>
  <c r="W32" i="6"/>
  <c r="X36" i="6"/>
  <c r="E69" i="6"/>
  <c r="E35" i="6"/>
  <c r="N33" i="6"/>
  <c r="M27" i="6"/>
  <c r="H41" i="6"/>
  <c r="A16" i="6"/>
  <c r="K34" i="6"/>
  <c r="U31" i="6"/>
  <c r="E46" i="6"/>
  <c r="H5" i="6"/>
  <c r="S26" i="6"/>
  <c r="X51" i="6"/>
  <c r="J35" i="6"/>
  <c r="U37" i="6"/>
  <c r="W34" i="6"/>
  <c r="A59" i="6"/>
  <c r="AA28" i="6"/>
  <c r="U9" i="6"/>
  <c r="J69" i="6"/>
  <c r="S51" i="6"/>
  <c r="AD9" i="6"/>
  <c r="U26" i="6"/>
  <c r="T33" i="6"/>
  <c r="W69" i="6"/>
  <c r="M32" i="6"/>
  <c r="A50" i="6"/>
  <c r="R35" i="6"/>
  <c r="D28" i="6"/>
  <c r="A57" i="6"/>
  <c r="L37" i="6"/>
  <c r="H37" i="6"/>
  <c r="A53" i="6"/>
  <c r="W33" i="6"/>
  <c r="G31" i="6"/>
  <c r="P36" i="6"/>
  <c r="S28" i="6"/>
  <c r="O26" i="6"/>
  <c r="P31" i="6"/>
  <c r="N26" i="6"/>
  <c r="H69" i="6"/>
  <c r="D5" i="6"/>
  <c r="R51" i="6"/>
  <c r="M69" i="6"/>
  <c r="X25" i="6"/>
  <c r="Q36" i="6"/>
  <c r="AB27" i="6"/>
  <c r="K9" i="6"/>
  <c r="O35" i="6"/>
  <c r="R26" i="6"/>
  <c r="I28" i="6"/>
  <c r="G27" i="6"/>
  <c r="G34" i="6"/>
  <c r="W5" i="6"/>
  <c r="AA32" i="6"/>
  <c r="U5" i="6"/>
  <c r="L9" i="6"/>
  <c r="Q69" i="6"/>
  <c r="E206" i="8" l="1"/>
  <c r="G206" i="8" s="1"/>
  <c r="E250" i="8"/>
  <c r="G250" i="8" s="1"/>
  <c r="E228" i="8"/>
  <c r="G228" i="8" s="1"/>
  <c r="E268" i="8"/>
  <c r="G268" i="8" s="1"/>
  <c r="E202" i="8"/>
  <c r="G202" i="8" s="1"/>
  <c r="E184" i="8"/>
  <c r="G184" i="8" s="1"/>
  <c r="E246" i="8"/>
  <c r="G246" i="8" s="1"/>
  <c r="E224" i="8"/>
  <c r="G224" i="8" s="1"/>
  <c r="E126" i="8"/>
  <c r="G126" i="8" s="1"/>
  <c r="E121" i="8"/>
  <c r="G121" i="8" s="1"/>
  <c r="E117" i="8"/>
  <c r="G117" i="8" s="1"/>
  <c r="E100" i="8"/>
  <c r="G100" i="8" s="1"/>
  <c r="E125" i="8"/>
  <c r="G125" i="8" s="1"/>
  <c r="E98" i="8"/>
  <c r="G98" i="8" s="1"/>
  <c r="E130" i="8"/>
  <c r="G130" i="8" s="1"/>
  <c r="E108" i="8"/>
  <c r="G108" i="8" s="1"/>
  <c r="E120" i="8"/>
  <c r="G120" i="8" s="1"/>
  <c r="E115" i="8"/>
  <c r="G115" i="8" s="1"/>
  <c r="E116" i="8"/>
  <c r="G116" i="8" s="1"/>
  <c r="E93" i="8"/>
  <c r="G93" i="8" s="1"/>
  <c r="E94" i="8"/>
  <c r="G94" i="8" s="1"/>
  <c r="E103" i="8"/>
  <c r="G103" i="8" s="1"/>
  <c r="E113" i="8"/>
  <c r="G113" i="8" s="1"/>
  <c r="E102" i="8"/>
  <c r="G102" i="8" s="1"/>
  <c r="E157" i="8"/>
  <c r="G157" i="8" s="1"/>
  <c r="E104" i="8"/>
  <c r="G104" i="8" s="1"/>
  <c r="E101" i="8"/>
  <c r="G101" i="8" s="1"/>
  <c r="E135" i="8"/>
  <c r="G135" i="8" s="1"/>
  <c r="E114" i="8"/>
  <c r="G114" i="8" s="1"/>
  <c r="E179" i="8"/>
  <c r="G179" i="8" s="1"/>
  <c r="E95" i="8"/>
  <c r="G95" i="8" s="1"/>
  <c r="E99" i="8"/>
  <c r="G99" i="8" s="1"/>
  <c r="E122" i="8"/>
  <c r="G122" i="8" s="1"/>
  <c r="E124" i="8"/>
  <c r="G124" i="8" s="1"/>
  <c r="E92" i="8"/>
  <c r="G92" i="8" s="1"/>
  <c r="E32" i="8"/>
  <c r="G32" i="8" s="1"/>
  <c r="E54" i="8"/>
  <c r="G54" i="8" s="1"/>
  <c r="E10" i="8"/>
  <c r="G10" i="8" s="1"/>
  <c r="E28" i="8"/>
  <c r="G28" i="8" s="1"/>
  <c r="E76" i="8"/>
  <c r="G76" i="8" s="1"/>
  <c r="E6" i="8"/>
  <c r="G6" i="8" s="1"/>
  <c r="E72" i="8"/>
  <c r="G72" i="8" s="1"/>
  <c r="E50" i="8"/>
  <c r="G50" i="8" s="1"/>
  <c r="W50" i="5"/>
  <c r="W52" i="5"/>
  <c r="W51" i="5"/>
  <c r="AG22" i="5"/>
  <c r="AH22" i="5" s="1"/>
  <c r="AG26" i="5"/>
  <c r="AH26" i="5" s="1"/>
  <c r="H55" i="5"/>
  <c r="H56" i="5"/>
  <c r="H54" i="5"/>
  <c r="H53" i="5"/>
  <c r="AD55" i="5"/>
  <c r="AD54" i="5"/>
  <c r="AD53" i="5"/>
  <c r="AD56" i="5"/>
  <c r="AA51" i="5"/>
  <c r="AA50" i="5"/>
  <c r="AA52" i="5"/>
  <c r="H49" i="5"/>
  <c r="H48" i="5"/>
  <c r="W56" i="5"/>
  <c r="W54" i="5"/>
  <c r="W53" i="5"/>
  <c r="W55" i="5"/>
  <c r="G55" i="5"/>
  <c r="G54" i="5"/>
  <c r="G53" i="5"/>
  <c r="G56" i="5"/>
  <c r="F51" i="5"/>
  <c r="F52" i="5"/>
  <c r="F50" i="5"/>
  <c r="I53" i="5"/>
  <c r="I55" i="5"/>
  <c r="I54" i="5"/>
  <c r="I56" i="5"/>
  <c r="M56" i="5"/>
  <c r="M55" i="5"/>
  <c r="M54" i="5"/>
  <c r="M53" i="5"/>
  <c r="M49" i="5"/>
  <c r="M48" i="5"/>
  <c r="M52" i="5"/>
  <c r="M50" i="5"/>
  <c r="M51" i="5"/>
  <c r="AG7" i="5"/>
  <c r="AG14" i="5"/>
  <c r="AG37" i="5"/>
  <c r="AH37" i="5" s="1"/>
  <c r="AG24" i="5"/>
  <c r="AH24" i="5" s="1"/>
  <c r="Y50" i="5"/>
  <c r="Y52" i="5"/>
  <c r="Y51" i="5"/>
  <c r="J52" i="5"/>
  <c r="J51" i="5"/>
  <c r="J50" i="5"/>
  <c r="Q48" i="5"/>
  <c r="Q49" i="5"/>
  <c r="N53" i="5"/>
  <c r="N56" i="5"/>
  <c r="N55" i="5"/>
  <c r="N54" i="5"/>
  <c r="P48" i="5"/>
  <c r="P49" i="5"/>
  <c r="Q52" i="5"/>
  <c r="Q51" i="5"/>
  <c r="Q50" i="5"/>
  <c r="I50" i="5"/>
  <c r="I52" i="5"/>
  <c r="I51" i="5"/>
  <c r="AD52" i="5"/>
  <c r="AD51" i="5"/>
  <c r="AD50" i="5"/>
  <c r="Z49" i="5"/>
  <c r="Z48" i="5"/>
  <c r="AF48" i="5"/>
  <c r="AG15" i="5"/>
  <c r="AH15" i="5" s="1"/>
  <c r="AH48" i="5" s="1"/>
  <c r="AF49" i="5"/>
  <c r="X48" i="5"/>
  <c r="X49" i="5"/>
  <c r="AG42" i="5"/>
  <c r="AH42" i="5" s="1"/>
  <c r="AG44" i="5"/>
  <c r="AH44" i="5" s="1"/>
  <c r="R49" i="5"/>
  <c r="R48" i="5"/>
  <c r="AG12" i="5"/>
  <c r="J48" i="5"/>
  <c r="J49" i="5"/>
  <c r="AG33" i="5"/>
  <c r="AH33" i="5" s="1"/>
  <c r="U52" i="5"/>
  <c r="U51" i="5"/>
  <c r="U50" i="5"/>
  <c r="L56" i="5"/>
  <c r="L55" i="5"/>
  <c r="L54" i="5"/>
  <c r="L53" i="5"/>
  <c r="AG31" i="5"/>
  <c r="AH31" i="5" s="1"/>
  <c r="G52" i="5"/>
  <c r="G50" i="5"/>
  <c r="G51" i="5"/>
  <c r="L49" i="5"/>
  <c r="L48" i="5"/>
  <c r="AG21" i="5"/>
  <c r="AE50" i="5"/>
  <c r="AE51" i="5"/>
  <c r="AE52" i="5"/>
  <c r="X56" i="5"/>
  <c r="X54" i="5"/>
  <c r="X55" i="5"/>
  <c r="X53" i="5"/>
  <c r="O54" i="5"/>
  <c r="O56" i="5"/>
  <c r="O55" i="5"/>
  <c r="O53" i="5"/>
  <c r="AG8" i="5"/>
  <c r="AB52" i="5"/>
  <c r="AB51" i="5"/>
  <c r="AB50" i="5"/>
  <c r="J55" i="5"/>
  <c r="J54" i="5"/>
  <c r="J56" i="5"/>
  <c r="J53" i="5"/>
  <c r="T52" i="5"/>
  <c r="T51" i="5"/>
  <c r="T50" i="5"/>
  <c r="U56" i="5"/>
  <c r="U53" i="5"/>
  <c r="U54" i="5"/>
  <c r="U55" i="5"/>
  <c r="AG40" i="5"/>
  <c r="AH40" i="5" s="1"/>
  <c r="AG29" i="5"/>
  <c r="AH29" i="5" s="1"/>
  <c r="I48" i="5"/>
  <c r="I49" i="5"/>
  <c r="AG30" i="5"/>
  <c r="AH30" i="5" s="1"/>
  <c r="T48" i="5"/>
  <c r="T49" i="5"/>
  <c r="S49" i="5"/>
  <c r="S48" i="5"/>
  <c r="F54" i="5"/>
  <c r="F56" i="5"/>
  <c r="F53" i="5"/>
  <c r="F55" i="5"/>
  <c r="Z54" i="5"/>
  <c r="Z53" i="5"/>
  <c r="Z56" i="5"/>
  <c r="Z55" i="5"/>
  <c r="T54" i="5"/>
  <c r="T53" i="5"/>
  <c r="T55" i="5"/>
  <c r="T56" i="5"/>
  <c r="AG38" i="5"/>
  <c r="X51" i="5"/>
  <c r="X52" i="5"/>
  <c r="X50" i="5"/>
  <c r="AG43" i="5"/>
  <c r="AH43" i="5" s="1"/>
  <c r="K51" i="5"/>
  <c r="K50" i="5"/>
  <c r="K52" i="5"/>
  <c r="AG5" i="5"/>
  <c r="F48" i="5"/>
  <c r="F49" i="5"/>
  <c r="AG16" i="5"/>
  <c r="AH16" i="5" s="1"/>
  <c r="AG18" i="5"/>
  <c r="AH18" i="5" s="1"/>
  <c r="AG39" i="5"/>
  <c r="AH39" i="5" s="1"/>
  <c r="AD49" i="5"/>
  <c r="AD48" i="5"/>
  <c r="V48" i="5"/>
  <c r="V49" i="5"/>
  <c r="G49" i="5"/>
  <c r="G48" i="5"/>
  <c r="AG27" i="5"/>
  <c r="AB53" i="5"/>
  <c r="AB54" i="5"/>
  <c r="AB56" i="5"/>
  <c r="AB55" i="5"/>
  <c r="O52" i="5"/>
  <c r="O51" i="5"/>
  <c r="O50" i="5"/>
  <c r="AE48" i="5"/>
  <c r="AE49" i="5"/>
  <c r="L50" i="5"/>
  <c r="L52" i="5"/>
  <c r="L51" i="5"/>
  <c r="AG20" i="5"/>
  <c r="AH20" i="5" s="1"/>
  <c r="S51" i="5"/>
  <c r="S50" i="5"/>
  <c r="S52" i="5"/>
  <c r="S55" i="5"/>
  <c r="S54" i="5"/>
  <c r="S53" i="5"/>
  <c r="S56" i="5"/>
  <c r="AG11" i="5"/>
  <c r="AH11" i="5" s="1"/>
  <c r="O49" i="5"/>
  <c r="O48" i="5"/>
  <c r="P51" i="5"/>
  <c r="P50" i="5"/>
  <c r="P52" i="5"/>
  <c r="AG17" i="5"/>
  <c r="Z52" i="5"/>
  <c r="Z50" i="5"/>
  <c r="Z51" i="5"/>
  <c r="R52" i="5"/>
  <c r="R51" i="5"/>
  <c r="R50" i="5"/>
  <c r="K48" i="5"/>
  <c r="K49" i="5"/>
  <c r="AG28" i="5"/>
  <c r="AH28" i="5" s="1"/>
  <c r="H52" i="5"/>
  <c r="H51" i="5"/>
  <c r="H50" i="5"/>
  <c r="AC49" i="5"/>
  <c r="AC48" i="5"/>
  <c r="AG34" i="5"/>
  <c r="AH34" i="5" s="1"/>
  <c r="V55" i="5"/>
  <c r="V53" i="5"/>
  <c r="V56" i="5"/>
  <c r="V54" i="5"/>
  <c r="Q54" i="5"/>
  <c r="Q53" i="5"/>
  <c r="Q56" i="5"/>
  <c r="Q55" i="5"/>
  <c r="AG32" i="5"/>
  <c r="AH32" i="5" s="1"/>
  <c r="AG36" i="5"/>
  <c r="AA53" i="5"/>
  <c r="AA56" i="5"/>
  <c r="AA55" i="5"/>
  <c r="AA54" i="5"/>
  <c r="AG41" i="5"/>
  <c r="AH41" i="5" s="1"/>
  <c r="AF23" i="5"/>
  <c r="AG23" i="5" s="1"/>
  <c r="AH23" i="5" s="1"/>
  <c r="R56" i="5"/>
  <c r="R55" i="5"/>
  <c r="R54" i="5"/>
  <c r="R53" i="5"/>
  <c r="N52" i="5"/>
  <c r="N51" i="5"/>
  <c r="N50" i="5"/>
  <c r="K55" i="5"/>
  <c r="K54" i="5"/>
  <c r="K56" i="5"/>
  <c r="K53" i="5"/>
  <c r="W49" i="5"/>
  <c r="W48" i="5"/>
  <c r="V52" i="5"/>
  <c r="V51" i="5"/>
  <c r="V50" i="5"/>
  <c r="U49" i="5"/>
  <c r="U48" i="5"/>
  <c r="AE56" i="5"/>
  <c r="AE53" i="5"/>
  <c r="AE54" i="5"/>
  <c r="AE55" i="5"/>
  <c r="AG10" i="5"/>
  <c r="AH10" i="5" s="1"/>
  <c r="AB48" i="5"/>
  <c r="AB49" i="5"/>
  <c r="N48" i="5"/>
  <c r="N49" i="5"/>
  <c r="AF53" i="5"/>
  <c r="AF54" i="5"/>
  <c r="AF56" i="5"/>
  <c r="AG9" i="5"/>
  <c r="AH9" i="5" s="1"/>
  <c r="AH53" i="5" s="1"/>
  <c r="AF55" i="5"/>
  <c r="AA49" i="5"/>
  <c r="AA48" i="5"/>
  <c r="AG45" i="5"/>
  <c r="AH45" i="5" s="1"/>
  <c r="AG35" i="5"/>
  <c r="AH35" i="5" s="1"/>
  <c r="AG25" i="5"/>
  <c r="Y53" i="5"/>
  <c r="Y55" i="5"/>
  <c r="Y56" i="5"/>
  <c r="Y54" i="5"/>
  <c r="AG19" i="5"/>
  <c r="AH19" i="5" s="1"/>
  <c r="AH51" i="5" s="1"/>
  <c r="AF50" i="5"/>
  <c r="AF51" i="5"/>
  <c r="AF52" i="5"/>
  <c r="AC52" i="5"/>
  <c r="AC51" i="5"/>
  <c r="AC50" i="5"/>
  <c r="AC56" i="5"/>
  <c r="AC55" i="5"/>
  <c r="AC54" i="5"/>
  <c r="AC53" i="5"/>
  <c r="P56" i="5"/>
  <c r="P54" i="5"/>
  <c r="P53" i="5"/>
  <c r="P55" i="5"/>
  <c r="AG13" i="5"/>
  <c r="Y49" i="5"/>
  <c r="Y48" i="5"/>
  <c r="AG49" i="5" l="1"/>
  <c r="AH49" i="5"/>
  <c r="AG48" i="5"/>
  <c r="AG52" i="5"/>
  <c r="AG50" i="5"/>
  <c r="AH52" i="5"/>
  <c r="AH50" i="5"/>
  <c r="AH54" i="5"/>
  <c r="AG54" i="5"/>
  <c r="AG51" i="5"/>
  <c r="AH14" i="5"/>
  <c r="AH55" i="5"/>
  <c r="AH17" i="5"/>
  <c r="AH7" i="5"/>
  <c r="AH56" i="5"/>
  <c r="AH25" i="5"/>
  <c r="AH27" i="5"/>
  <c r="AH12" i="5"/>
  <c r="AG56" i="5"/>
  <c r="AH36" i="5"/>
  <c r="AH38" i="5"/>
  <c r="AG55" i="5"/>
  <c r="AH13" i="5"/>
  <c r="AG53" i="5"/>
  <c r="AH21" i="5"/>
  <c r="AH5" i="5"/>
  <c r="AH8" i="5"/>
  <c r="U52" i="6" l="1"/>
  <c r="M29" i="6"/>
  <c r="T45" i="6"/>
  <c r="M49" i="6"/>
  <c r="N15" i="6"/>
  <c r="X68" i="6"/>
  <c r="H56" i="6"/>
  <c r="N13" i="6"/>
  <c r="W59" i="6"/>
  <c r="Y8" i="6"/>
  <c r="U30" i="6"/>
  <c r="S11" i="6"/>
  <c r="T19" i="6"/>
  <c r="D13" i="6"/>
  <c r="AD7" i="6"/>
  <c r="Z15" i="6"/>
  <c r="AB42" i="6"/>
  <c r="G42" i="6"/>
  <c r="AC43" i="6"/>
  <c r="W54" i="6"/>
  <c r="S67" i="6"/>
  <c r="G38" i="6"/>
  <c r="Q64" i="6"/>
  <c r="AC54" i="6"/>
  <c r="J7" i="6"/>
  <c r="H11" i="6"/>
  <c r="V17" i="6"/>
  <c r="H45" i="6"/>
  <c r="AD58" i="6"/>
  <c r="X3" i="6"/>
  <c r="X48" i="6"/>
  <c r="S7" i="6"/>
  <c r="U4" i="6"/>
  <c r="E13" i="6"/>
  <c r="AC22" i="6"/>
  <c r="H2" i="6"/>
  <c r="D22" i="6"/>
  <c r="Y2" i="6"/>
  <c r="D58" i="6"/>
  <c r="H30" i="6"/>
  <c r="L58" i="6"/>
  <c r="AC62" i="6"/>
  <c r="D42" i="6"/>
  <c r="L64" i="6"/>
  <c r="Q49" i="6"/>
  <c r="T7" i="6"/>
  <c r="J17" i="6"/>
  <c r="L11" i="6"/>
  <c r="AC17" i="6"/>
  <c r="AC48" i="6"/>
  <c r="F13" i="6"/>
  <c r="P68" i="6"/>
  <c r="M63" i="6"/>
  <c r="J2" i="6"/>
  <c r="K20" i="6"/>
  <c r="F3" i="6"/>
  <c r="R53" i="6"/>
  <c r="I49" i="6"/>
  <c r="AA29" i="6"/>
  <c r="P63" i="6"/>
  <c r="U43" i="6"/>
  <c r="N45" i="6"/>
  <c r="F56" i="6"/>
  <c r="AB3" i="6"/>
  <c r="E54" i="6"/>
  <c r="X20" i="6"/>
  <c r="M56" i="6"/>
  <c r="Y23" i="6"/>
  <c r="O4" i="6"/>
  <c r="O64" i="6"/>
  <c r="K61" i="6"/>
  <c r="K17" i="6"/>
  <c r="X40" i="6"/>
  <c r="P11" i="6"/>
  <c r="AA8" i="6"/>
  <c r="V63" i="6"/>
  <c r="AC30" i="6"/>
  <c r="N12" i="6"/>
  <c r="AC14" i="6"/>
  <c r="H23" i="6"/>
  <c r="AC16" i="6"/>
  <c r="AA63" i="6"/>
  <c r="V59" i="6"/>
  <c r="Q67" i="6"/>
  <c r="V4" i="6"/>
  <c r="T52" i="6"/>
  <c r="AB7" i="6"/>
  <c r="O11" i="6"/>
  <c r="W63" i="6"/>
  <c r="S29" i="6"/>
  <c r="AC64" i="6"/>
  <c r="X49" i="6"/>
  <c r="O30" i="6"/>
  <c r="Y39" i="6"/>
  <c r="P49" i="6"/>
  <c r="K10" i="6"/>
  <c r="AB66" i="6"/>
  <c r="S55" i="6"/>
  <c r="I43" i="6"/>
  <c r="W67" i="6"/>
  <c r="H60" i="6"/>
  <c r="AC52" i="6"/>
  <c r="S17" i="6"/>
  <c r="G19" i="6"/>
  <c r="H29" i="6"/>
  <c r="AB65" i="6"/>
  <c r="W57" i="6"/>
  <c r="AD30" i="6"/>
  <c r="AD20" i="6"/>
  <c r="R30" i="6"/>
  <c r="N43" i="6"/>
  <c r="U56" i="6"/>
  <c r="F64" i="6"/>
  <c r="I54" i="6"/>
  <c r="W30" i="6"/>
  <c r="Q23" i="6"/>
  <c r="AD60" i="6"/>
  <c r="AD15" i="6"/>
  <c r="P8" i="6"/>
  <c r="AD17" i="6"/>
  <c r="Y7" i="6"/>
  <c r="P61" i="6"/>
  <c r="O50" i="6"/>
  <c r="Z45" i="6"/>
  <c r="U15" i="6"/>
  <c r="AB11" i="6"/>
  <c r="R43" i="6"/>
  <c r="U2" i="6"/>
  <c r="N57" i="6"/>
  <c r="P29" i="6"/>
  <c r="I3" i="6"/>
  <c r="AC36" i="6"/>
  <c r="V56" i="6"/>
  <c r="Z17" i="6"/>
  <c r="AD61" i="6"/>
  <c r="X44" i="6"/>
  <c r="D20" i="6"/>
  <c r="U29" i="6"/>
  <c r="V8" i="6"/>
  <c r="E63" i="6"/>
  <c r="V14" i="6"/>
  <c r="Y14" i="6"/>
  <c r="AA6" i="6"/>
  <c r="Z64" i="6"/>
  <c r="V11" i="6"/>
  <c r="P56" i="6"/>
  <c r="AC33" i="6"/>
  <c r="K66" i="6"/>
  <c r="E8" i="6"/>
  <c r="I58" i="6"/>
  <c r="Q14" i="6"/>
  <c r="G29" i="6"/>
  <c r="F11" i="6"/>
  <c r="K56" i="6"/>
  <c r="AC67" i="6"/>
  <c r="T30" i="6"/>
  <c r="G23" i="6"/>
  <c r="T8" i="6"/>
  <c r="Z22" i="6"/>
  <c r="T56" i="6"/>
  <c r="AD40" i="6"/>
  <c r="I30" i="6"/>
  <c r="J6" i="6"/>
  <c r="S6" i="6"/>
  <c r="I60" i="6"/>
  <c r="I59" i="6"/>
  <c r="G45" i="6"/>
  <c r="AC60" i="6"/>
  <c r="Z55" i="6"/>
  <c r="Z30" i="6"/>
  <c r="L42" i="6"/>
  <c r="Z54" i="6"/>
  <c r="F55" i="6"/>
  <c r="L13" i="6"/>
  <c r="D6" i="6"/>
  <c r="D56" i="6"/>
  <c r="F40" i="6"/>
  <c r="M18" i="6"/>
  <c r="H68" i="6"/>
  <c r="Y15" i="6"/>
  <c r="AD2" i="6"/>
  <c r="O20" i="6"/>
  <c r="R21" i="6"/>
  <c r="J39" i="6"/>
  <c r="Y40" i="6"/>
  <c r="AC44" i="6"/>
  <c r="AB55" i="6"/>
  <c r="AB19" i="6"/>
  <c r="AA2" i="6"/>
  <c r="V49" i="6"/>
  <c r="AA65" i="6"/>
  <c r="Y60" i="6"/>
  <c r="P59" i="6"/>
  <c r="Z39" i="6"/>
  <c r="U20" i="6"/>
  <c r="P16" i="6"/>
  <c r="Z68" i="6"/>
  <c r="T6" i="6"/>
  <c r="E43" i="6"/>
  <c r="Y63" i="6"/>
  <c r="L14" i="6"/>
  <c r="E20" i="6"/>
  <c r="G60" i="6"/>
  <c r="J62" i="6"/>
  <c r="R6" i="6"/>
  <c r="V22" i="6"/>
  <c r="J4" i="6"/>
  <c r="T12" i="6"/>
  <c r="W39" i="6"/>
  <c r="T22" i="6"/>
  <c r="AA44" i="6"/>
  <c r="V64" i="6"/>
  <c r="M44" i="6"/>
  <c r="W8" i="6"/>
  <c r="N10" i="6"/>
  <c r="H59" i="6"/>
  <c r="AC61" i="6"/>
  <c r="V3" i="6"/>
  <c r="S62" i="6"/>
  <c r="U53" i="6"/>
  <c r="U64" i="6"/>
  <c r="H65" i="6"/>
  <c r="O59" i="6"/>
  <c r="O62" i="6"/>
  <c r="K63" i="6"/>
  <c r="X4" i="6"/>
  <c r="Q38" i="6"/>
  <c r="AD63" i="6"/>
  <c r="H15" i="6"/>
  <c r="M13" i="6"/>
  <c r="AC15" i="6"/>
  <c r="Y30" i="6"/>
  <c r="AA53" i="6"/>
  <c r="R2" i="6"/>
  <c r="N29" i="6"/>
  <c r="X23" i="6"/>
  <c r="AC29" i="6"/>
  <c r="AB53" i="6"/>
  <c r="E49" i="6"/>
  <c r="D44" i="6"/>
  <c r="K29" i="6"/>
  <c r="E39" i="6"/>
  <c r="U60" i="6"/>
  <c r="E65" i="6"/>
  <c r="D11" i="6"/>
  <c r="H20" i="6"/>
  <c r="F52" i="6"/>
  <c r="J59" i="6"/>
  <c r="D60" i="6"/>
  <c r="L50" i="6"/>
  <c r="V66" i="6"/>
  <c r="V58" i="6"/>
  <c r="N18" i="6"/>
  <c r="Y4" i="6"/>
  <c r="R45" i="6"/>
  <c r="AA52" i="6"/>
  <c r="AD67" i="6"/>
  <c r="T38" i="6"/>
  <c r="O38" i="6"/>
  <c r="U61" i="6"/>
  <c r="N4" i="6"/>
  <c r="O29" i="6"/>
  <c r="AC38" i="6"/>
  <c r="R67" i="6"/>
  <c r="G8" i="6"/>
  <c r="M59" i="6"/>
  <c r="U45" i="6"/>
  <c r="F59" i="6"/>
  <c r="K54" i="6"/>
  <c r="U17" i="6"/>
  <c r="K44" i="6"/>
  <c r="M19" i="6"/>
  <c r="Z21" i="6"/>
  <c r="J61" i="6"/>
  <c r="Z12" i="6"/>
  <c r="U54" i="6"/>
  <c r="W56" i="6"/>
  <c r="T17" i="6"/>
  <c r="Y54" i="6"/>
  <c r="F23" i="6"/>
  <c r="AD8" i="6"/>
  <c r="AB50" i="6"/>
  <c r="Y65" i="6"/>
  <c r="AC32" i="6"/>
  <c r="Z61" i="6"/>
  <c r="V62" i="6"/>
  <c r="AD65" i="6"/>
  <c r="F20" i="6"/>
  <c r="H17" i="6"/>
  <c r="L62" i="6"/>
  <c r="M64" i="6"/>
  <c r="Y11" i="6"/>
  <c r="AA60" i="6"/>
  <c r="S43" i="6"/>
  <c r="Q43" i="6"/>
  <c r="L16" i="6"/>
  <c r="Z7" i="6"/>
  <c r="K40" i="6"/>
  <c r="S53" i="6"/>
  <c r="N38" i="6"/>
  <c r="K11" i="6"/>
  <c r="H49" i="6"/>
  <c r="Z10" i="6"/>
  <c r="H19" i="6"/>
  <c r="D67" i="6"/>
  <c r="O57" i="6"/>
  <c r="D59" i="6"/>
  <c r="D53" i="6"/>
  <c r="N42" i="6"/>
  <c r="Z60" i="6"/>
  <c r="L44" i="6"/>
  <c r="D38" i="6"/>
  <c r="S61" i="6"/>
  <c r="P10" i="6"/>
  <c r="O39" i="6"/>
  <c r="AA19" i="6"/>
  <c r="Q40" i="6"/>
  <c r="X10" i="6"/>
  <c r="K15" i="6"/>
  <c r="U11" i="6"/>
  <c r="E56" i="6"/>
  <c r="AD18" i="6"/>
  <c r="K16" i="6"/>
  <c r="J3" i="6"/>
  <c r="F58" i="6"/>
  <c r="K67" i="6"/>
  <c r="AB39" i="6"/>
  <c r="W45" i="6"/>
  <c r="D8" i="6"/>
  <c r="AC11" i="6"/>
  <c r="G4" i="6"/>
  <c r="G53" i="6"/>
  <c r="S8" i="6"/>
  <c r="AD11" i="6"/>
  <c r="H40" i="6"/>
  <c r="AC23" i="6"/>
  <c r="Z4" i="6"/>
  <c r="N8" i="6"/>
  <c r="G56" i="6"/>
  <c r="G2" i="6"/>
  <c r="AA64" i="6"/>
  <c r="D50" i="6"/>
  <c r="K12" i="6"/>
  <c r="E64" i="6"/>
  <c r="J53" i="6"/>
  <c r="Z11" i="6"/>
  <c r="O2" i="6"/>
  <c r="G49" i="6"/>
  <c r="S10" i="6"/>
  <c r="G10" i="6"/>
  <c r="O40" i="6"/>
  <c r="T23" i="6"/>
  <c r="D65" i="6"/>
  <c r="AB40" i="6"/>
  <c r="W2" i="6"/>
  <c r="F68" i="6"/>
  <c r="P7" i="6"/>
  <c r="F12" i="6"/>
  <c r="N48" i="6"/>
  <c r="AB8" i="6"/>
  <c r="Q59" i="6"/>
  <c r="G55" i="6"/>
  <c r="P6" i="6"/>
  <c r="N68" i="6"/>
  <c r="Y59" i="6"/>
  <c r="AA59" i="6"/>
  <c r="Q44" i="6"/>
  <c r="E57" i="6"/>
  <c r="W64" i="6"/>
  <c r="S48" i="6"/>
  <c r="G11" i="6"/>
  <c r="AD37" i="6"/>
  <c r="T60" i="6"/>
  <c r="O17" i="6"/>
  <c r="U16" i="6"/>
  <c r="F62" i="6"/>
  <c r="M15" i="6"/>
  <c r="J50" i="6"/>
  <c r="S42" i="6"/>
  <c r="W60" i="6"/>
  <c r="X56" i="6"/>
  <c r="AB6" i="6"/>
  <c r="L3" i="6"/>
  <c r="I63" i="6"/>
  <c r="N6" i="6"/>
  <c r="E58" i="6"/>
  <c r="Q6" i="6"/>
  <c r="D15" i="6"/>
  <c r="F38" i="6"/>
  <c r="P23" i="6"/>
  <c r="G66" i="6"/>
  <c r="K58" i="6"/>
  <c r="X64" i="6"/>
  <c r="Y21" i="6"/>
  <c r="W48" i="6"/>
  <c r="Y42" i="6"/>
  <c r="M17" i="6"/>
  <c r="T10" i="6"/>
  <c r="E11" i="6"/>
  <c r="U62" i="6"/>
  <c r="T21" i="6"/>
  <c r="D62" i="6"/>
  <c r="P20" i="6"/>
  <c r="Z6" i="6"/>
  <c r="K38" i="6"/>
  <c r="N65" i="6"/>
  <c r="H48" i="6"/>
  <c r="AB67" i="6"/>
  <c r="Y44" i="6"/>
  <c r="R57" i="6"/>
  <c r="Z40" i="6"/>
  <c r="U6" i="6"/>
  <c r="AC12" i="6"/>
  <c r="S23" i="6"/>
  <c r="I62" i="6"/>
  <c r="AB64" i="6"/>
  <c r="S52" i="6"/>
  <c r="L53" i="6"/>
  <c r="U14" i="6"/>
  <c r="N55" i="6"/>
  <c r="R14" i="6"/>
  <c r="F39" i="6"/>
  <c r="N21" i="6"/>
  <c r="P57" i="6"/>
  <c r="H61" i="6"/>
  <c r="X45" i="6"/>
  <c r="Y13" i="6"/>
  <c r="Z59" i="6"/>
  <c r="R61" i="6"/>
  <c r="N20" i="6"/>
  <c r="AD12" i="6"/>
  <c r="AC26" i="6"/>
  <c r="Z20" i="6"/>
  <c r="D19" i="6"/>
  <c r="AB17" i="6"/>
  <c r="V61" i="6"/>
  <c r="H52" i="6"/>
  <c r="I66" i="6"/>
  <c r="L7" i="6"/>
  <c r="Q39" i="6"/>
  <c r="H21" i="6"/>
  <c r="V45" i="6"/>
  <c r="N22" i="6"/>
  <c r="F6" i="6"/>
  <c r="J52" i="6"/>
  <c r="W42" i="6"/>
  <c r="X34" i="6"/>
  <c r="F50" i="6"/>
  <c r="T50" i="6"/>
  <c r="I8" i="6"/>
  <c r="AD36" i="6"/>
  <c r="X61" i="6"/>
  <c r="U23" i="6"/>
  <c r="J54" i="6"/>
  <c r="H55" i="6"/>
  <c r="R58" i="6"/>
  <c r="AA58" i="6"/>
  <c r="H62" i="6"/>
  <c r="T58" i="6"/>
  <c r="I11" i="6"/>
  <c r="P2" i="6"/>
  <c r="M68" i="6"/>
  <c r="O60" i="6"/>
  <c r="O6" i="6"/>
  <c r="G61" i="6"/>
  <c r="Q55" i="6"/>
  <c r="R40" i="6"/>
  <c r="P45" i="6"/>
  <c r="V57" i="6"/>
  <c r="X8" i="6"/>
  <c r="E66" i="6"/>
  <c r="K57" i="6"/>
  <c r="AC58" i="6"/>
  <c r="AB62" i="6"/>
  <c r="S45" i="6"/>
  <c r="L6" i="6"/>
  <c r="AD22" i="6"/>
  <c r="P13" i="6"/>
  <c r="X18" i="6"/>
  <c r="E61" i="6"/>
  <c r="G59" i="6"/>
  <c r="L48" i="6"/>
  <c r="T63" i="6"/>
  <c r="Q10" i="6"/>
  <c r="Q20" i="6"/>
  <c r="G7" i="6"/>
  <c r="E50" i="6"/>
  <c r="V18" i="6"/>
  <c r="T44" i="6"/>
  <c r="X60" i="6"/>
  <c r="N56" i="6"/>
  <c r="S59" i="6"/>
  <c r="G30" i="6"/>
  <c r="D64" i="6"/>
  <c r="Y3" i="6"/>
  <c r="Z29" i="6"/>
  <c r="AC63" i="6"/>
  <c r="G43" i="6"/>
  <c r="Z14" i="6"/>
  <c r="R18" i="6"/>
  <c r="W65" i="6"/>
  <c r="I50" i="6"/>
  <c r="H53" i="6"/>
  <c r="V21" i="6"/>
  <c r="G22" i="6"/>
  <c r="V43" i="6"/>
  <c r="P30" i="6"/>
  <c r="M65" i="6"/>
  <c r="D30" i="6"/>
  <c r="M21" i="6"/>
  <c r="Y12" i="6"/>
  <c r="J22" i="6"/>
  <c r="U21" i="6"/>
  <c r="X30" i="6"/>
  <c r="Q30" i="6"/>
  <c r="AC42" i="6"/>
  <c r="M10" i="6"/>
  <c r="L22" i="6"/>
  <c r="AB21" i="6"/>
  <c r="E40" i="6"/>
  <c r="AA68" i="6"/>
  <c r="R22" i="6"/>
  <c r="N50" i="6"/>
  <c r="P14" i="6"/>
  <c r="K2" i="6"/>
  <c r="R11" i="6"/>
  <c r="L55" i="6"/>
  <c r="AC66" i="6"/>
  <c r="K52" i="6"/>
  <c r="AC4" i="6"/>
  <c r="M38" i="6"/>
  <c r="G6" i="6"/>
  <c r="D52" i="6"/>
  <c r="T65" i="6"/>
  <c r="F49" i="6"/>
  <c r="V65" i="6"/>
  <c r="P21" i="6"/>
  <c r="S39" i="6"/>
  <c r="J20" i="6"/>
  <c r="X43" i="6"/>
  <c r="AB18" i="6"/>
  <c r="AD4" i="6"/>
  <c r="I38" i="6"/>
  <c r="H13" i="6"/>
  <c r="P64" i="6"/>
  <c r="N52" i="6"/>
  <c r="N40" i="6"/>
  <c r="AB14" i="6"/>
  <c r="AD52" i="6"/>
  <c r="Z23" i="6"/>
  <c r="O56" i="6"/>
  <c r="G13" i="6"/>
  <c r="X12" i="6"/>
  <c r="K3" i="6"/>
  <c r="D61" i="6"/>
  <c r="AC49" i="6"/>
  <c r="S49" i="6"/>
  <c r="K7" i="6"/>
  <c r="J13" i="6"/>
  <c r="L15" i="6"/>
  <c r="R44" i="6"/>
  <c r="L20" i="6"/>
  <c r="AC7" i="6"/>
  <c r="W50" i="6"/>
  <c r="L2" i="6"/>
  <c r="M45" i="6"/>
  <c r="K39" i="6"/>
  <c r="AA43" i="6"/>
  <c r="K50" i="6"/>
  <c r="V13" i="6"/>
  <c r="D49" i="6"/>
  <c r="M40" i="6"/>
  <c r="J48" i="6"/>
  <c r="M2" i="6"/>
  <c r="N39" i="6"/>
  <c r="N63" i="6"/>
  <c r="M52" i="6"/>
  <c r="S21" i="6"/>
  <c r="E52" i="6"/>
  <c r="U63" i="6"/>
  <c r="V44" i="6"/>
  <c r="AB15" i="6"/>
  <c r="H22" i="6"/>
  <c r="G3" i="6"/>
  <c r="AB29" i="6"/>
  <c r="F42" i="6"/>
  <c r="S18" i="6"/>
  <c r="F17" i="6"/>
  <c r="M61" i="6"/>
  <c r="J49" i="6"/>
  <c r="F48" i="6"/>
  <c r="Z13" i="6"/>
  <c r="T43" i="6"/>
  <c r="AC68" i="6"/>
  <c r="X21" i="6"/>
  <c r="F19" i="6"/>
  <c r="P43" i="6"/>
  <c r="U7" i="6"/>
  <c r="D2" i="6"/>
  <c r="M16" i="6"/>
  <c r="Z56" i="6"/>
  <c r="I19" i="6"/>
  <c r="M55" i="6"/>
  <c r="J23" i="6"/>
  <c r="V30" i="6"/>
  <c r="Z57" i="6"/>
  <c r="Y64" i="6"/>
  <c r="R7" i="6"/>
  <c r="R16" i="6"/>
  <c r="I64" i="6"/>
  <c r="E19" i="6"/>
  <c r="H7" i="6"/>
  <c r="S12" i="6"/>
  <c r="O53" i="6"/>
  <c r="V48" i="6"/>
  <c r="W7" i="6"/>
  <c r="W29" i="6"/>
  <c r="O49" i="6"/>
  <c r="Q48" i="6"/>
  <c r="K53" i="6"/>
  <c r="O63" i="6"/>
  <c r="T54" i="6"/>
  <c r="AC19" i="6"/>
  <c r="AC27" i="6"/>
  <c r="Q3" i="6"/>
  <c r="S58" i="6"/>
  <c r="F18" i="6"/>
  <c r="D57" i="6"/>
  <c r="Q18" i="6"/>
  <c r="F29" i="6"/>
  <c r="L39" i="6"/>
  <c r="E6" i="6"/>
  <c r="I16" i="6"/>
  <c r="H58" i="6"/>
  <c r="Z65" i="6"/>
  <c r="Y20" i="6"/>
  <c r="G20" i="6"/>
  <c r="Z43" i="6"/>
  <c r="I57" i="6"/>
  <c r="Y16" i="6"/>
  <c r="AC45" i="6"/>
  <c r="X29" i="6"/>
  <c r="W10" i="6"/>
  <c r="D14" i="6"/>
  <c r="F54" i="6"/>
  <c r="Y43" i="6"/>
  <c r="G40" i="6"/>
  <c r="AC20" i="6"/>
  <c r="E29" i="6"/>
  <c r="V15" i="6"/>
  <c r="Z58" i="6"/>
  <c r="T13" i="6"/>
  <c r="Y22" i="6"/>
  <c r="D10" i="6"/>
  <c r="W62" i="6"/>
  <c r="AD19" i="6"/>
  <c r="I44" i="6"/>
  <c r="X66" i="6"/>
  <c r="H10" i="6"/>
  <c r="W23" i="6"/>
  <c r="I4" i="6"/>
  <c r="G14" i="6"/>
  <c r="J38" i="6"/>
  <c r="P38" i="6"/>
  <c r="E21" i="6"/>
  <c r="G21" i="6"/>
  <c r="D7" i="6"/>
  <c r="M54" i="6"/>
  <c r="T57" i="6"/>
  <c r="W52" i="6"/>
  <c r="T11" i="6"/>
  <c r="U59" i="6"/>
  <c r="AB54" i="6"/>
  <c r="M14" i="6"/>
  <c r="O8" i="6"/>
  <c r="K13" i="6"/>
  <c r="H66" i="6"/>
  <c r="E12" i="6"/>
  <c r="Q50" i="6"/>
  <c r="V38" i="6"/>
  <c r="E10" i="6"/>
  <c r="X55" i="6"/>
  <c r="E15" i="6"/>
  <c r="K22" i="6"/>
  <c r="H3" i="6"/>
  <c r="R60" i="6"/>
  <c r="E68" i="6"/>
  <c r="V20" i="6"/>
  <c r="S38" i="6"/>
  <c r="Y45" i="6"/>
  <c r="U10" i="6"/>
  <c r="W11" i="6"/>
  <c r="J29" i="6"/>
  <c r="W58" i="6"/>
  <c r="E38" i="6"/>
  <c r="AD53" i="6"/>
  <c r="AD44" i="6"/>
  <c r="M50" i="6"/>
  <c r="M11" i="6"/>
  <c r="H18" i="6"/>
  <c r="AD68" i="6"/>
  <c r="AA4" i="6"/>
  <c r="AB2" i="6"/>
  <c r="AB68" i="6"/>
  <c r="L45" i="6"/>
  <c r="J45" i="6"/>
  <c r="R56" i="6"/>
  <c r="H67" i="6"/>
  <c r="R55" i="6"/>
  <c r="X62" i="6"/>
  <c r="S14" i="6"/>
  <c r="I23" i="6"/>
  <c r="M6" i="6"/>
  <c r="U68" i="6"/>
  <c r="AD3" i="6"/>
  <c r="W53" i="6"/>
  <c r="M66" i="6"/>
  <c r="P42" i="6"/>
  <c r="W16" i="6"/>
  <c r="W13" i="6"/>
  <c r="AD59" i="6"/>
  <c r="W61" i="6"/>
  <c r="AB57" i="6"/>
  <c r="AC6" i="6"/>
  <c r="Q68" i="6"/>
  <c r="O22" i="6"/>
  <c r="AA16" i="6"/>
  <c r="N11" i="6"/>
  <c r="AC35" i="6"/>
  <c r="Y68" i="6"/>
  <c r="R42" i="6"/>
  <c r="O65" i="6"/>
  <c r="D45" i="6"/>
  <c r="N53" i="6"/>
  <c r="X65" i="6"/>
  <c r="P60" i="6"/>
  <c r="N19" i="6"/>
  <c r="N3" i="6"/>
  <c r="I13" i="6"/>
  <c r="V39" i="6"/>
  <c r="T40" i="6"/>
  <c r="T2" i="6"/>
  <c r="AD33" i="6"/>
  <c r="Y62" i="6"/>
  <c r="R66" i="6"/>
  <c r="AC65" i="6"/>
  <c r="P66" i="6"/>
  <c r="L19" i="6"/>
  <c r="M53" i="6"/>
  <c r="K48" i="6"/>
  <c r="K23" i="6"/>
  <c r="Z53" i="6"/>
  <c r="O48" i="6"/>
  <c r="AA13" i="6"/>
  <c r="L61" i="6"/>
  <c r="G68" i="6"/>
  <c r="X54" i="6"/>
  <c r="AB56" i="6"/>
  <c r="V68" i="6"/>
  <c r="J10" i="6"/>
  <c r="S54" i="6"/>
  <c r="M20" i="6"/>
  <c r="Q65" i="6"/>
  <c r="I39" i="6"/>
  <c r="AB61" i="6"/>
  <c r="D63" i="6"/>
  <c r="S2" i="6"/>
  <c r="AA18" i="6"/>
  <c r="T16" i="6"/>
  <c r="D43" i="6"/>
  <c r="W12" i="6"/>
  <c r="AD6" i="6"/>
  <c r="J43" i="6"/>
  <c r="AD16" i="6"/>
  <c r="G58" i="6"/>
  <c r="J16" i="6"/>
  <c r="G65" i="6"/>
  <c r="L29" i="6"/>
  <c r="W18" i="6"/>
  <c r="O58" i="6"/>
  <c r="M60" i="6"/>
  <c r="Y67" i="6"/>
  <c r="F45" i="6"/>
  <c r="I29" i="6"/>
  <c r="AB58" i="6"/>
  <c r="H39" i="6"/>
  <c r="AA38" i="6"/>
  <c r="W3" i="6"/>
  <c r="R68" i="6"/>
  <c r="F65" i="6"/>
  <c r="P48" i="6"/>
  <c r="Z42" i="6"/>
  <c r="H44" i="6"/>
  <c r="S65" i="6"/>
  <c r="D21" i="6"/>
  <c r="AD56" i="6"/>
  <c r="X58" i="6"/>
  <c r="F30" i="6"/>
  <c r="AA45" i="6"/>
  <c r="N66" i="6"/>
  <c r="T53" i="6"/>
  <c r="I15" i="6"/>
  <c r="M67" i="6"/>
  <c r="AD50" i="6"/>
  <c r="Y6" i="6"/>
  <c r="R20" i="6"/>
  <c r="P3" i="6"/>
  <c r="K21" i="6"/>
  <c r="S40" i="6"/>
  <c r="AB49" i="6"/>
  <c r="AD28" i="6"/>
  <c r="Q52" i="6"/>
  <c r="N59" i="6"/>
  <c r="AA54" i="6"/>
  <c r="J12" i="6"/>
  <c r="Q53" i="6"/>
  <c r="L43" i="6"/>
  <c r="J66" i="6"/>
  <c r="M39" i="6"/>
  <c r="G15" i="6"/>
  <c r="L54" i="6"/>
  <c r="X57" i="6"/>
  <c r="X17" i="6"/>
  <c r="J15" i="6"/>
  <c r="J56" i="6"/>
  <c r="P58" i="6"/>
  <c r="R17" i="6"/>
  <c r="Q54" i="6"/>
  <c r="E55" i="6"/>
  <c r="E7" i="6"/>
  <c r="AB63" i="6"/>
  <c r="I22" i="6"/>
  <c r="Q58" i="6"/>
  <c r="M30" i="6"/>
  <c r="S66" i="6"/>
  <c r="P4" i="6"/>
  <c r="F21" i="6"/>
  <c r="M7" i="6"/>
  <c r="D39" i="6"/>
  <c r="O7" i="6"/>
  <c r="L12" i="6"/>
  <c r="O3" i="6"/>
  <c r="AB13" i="6"/>
  <c r="M12" i="6"/>
  <c r="X19" i="6"/>
  <c r="O16" i="6"/>
  <c r="T14" i="6"/>
  <c r="X39" i="6"/>
  <c r="J64" i="6"/>
  <c r="R50" i="6"/>
  <c r="H64" i="6"/>
  <c r="R59" i="6"/>
  <c r="G54" i="6"/>
  <c r="AA48" i="6"/>
  <c r="W15" i="6"/>
  <c r="G52" i="6"/>
  <c r="AC34" i="6"/>
  <c r="Z66" i="6"/>
  <c r="Q17" i="6"/>
  <c r="AB43" i="6"/>
  <c r="T39" i="6"/>
  <c r="X11" i="6"/>
  <c r="G16" i="6"/>
  <c r="E53" i="6"/>
  <c r="U48" i="6"/>
  <c r="AA17" i="6"/>
  <c r="T18" i="6"/>
  <c r="Z3" i="6"/>
  <c r="U18" i="6"/>
  <c r="V42" i="6"/>
  <c r="R3" i="6"/>
  <c r="I20" i="6"/>
  <c r="Q42" i="6"/>
  <c r="I48" i="6"/>
  <c r="AA20" i="6"/>
  <c r="AD55" i="6"/>
  <c r="AC10" i="6"/>
  <c r="X14" i="6"/>
  <c r="AD27" i="6"/>
  <c r="E44" i="6"/>
  <c r="H50" i="6"/>
  <c r="K14" i="6"/>
  <c r="R64" i="6"/>
  <c r="U50" i="6"/>
  <c r="L56" i="6"/>
  <c r="R39" i="6"/>
  <c r="AD54" i="6"/>
  <c r="J30" i="6"/>
  <c r="R4" i="6"/>
  <c r="P19" i="6"/>
  <c r="L8" i="6"/>
  <c r="Y49" i="6"/>
  <c r="L63" i="6"/>
  <c r="L23" i="6"/>
  <c r="L68" i="6"/>
  <c r="V12" i="6"/>
  <c r="O18" i="6"/>
  <c r="T68" i="6"/>
  <c r="D3" i="6"/>
  <c r="D48" i="6"/>
  <c r="U38" i="6"/>
  <c r="T64" i="6"/>
  <c r="Y38" i="6"/>
  <c r="N67" i="6"/>
  <c r="O21" i="6"/>
  <c r="S30" i="6"/>
  <c r="D23" i="6"/>
  <c r="K60" i="6"/>
  <c r="AC41" i="6"/>
  <c r="E22" i="6"/>
  <c r="N2" i="6"/>
  <c r="I52" i="6"/>
  <c r="G17" i="6"/>
  <c r="P18" i="6"/>
  <c r="O15" i="6"/>
  <c r="D54" i="6"/>
  <c r="T29" i="6"/>
  <c r="I10" i="6"/>
  <c r="J18" i="6"/>
  <c r="Y61" i="6"/>
  <c r="P52" i="6"/>
  <c r="K18" i="6"/>
  <c r="V55" i="6"/>
  <c r="F15" i="6"/>
  <c r="X22" i="6"/>
  <c r="H6" i="6"/>
  <c r="AA42" i="6"/>
  <c r="M23" i="6"/>
  <c r="N16" i="6"/>
  <c r="AC55" i="6"/>
  <c r="K43" i="6"/>
  <c r="I2" i="6"/>
  <c r="J21" i="6"/>
  <c r="K42" i="6"/>
  <c r="R62" i="6"/>
  <c r="P55" i="6"/>
  <c r="S3" i="6"/>
  <c r="N61" i="6"/>
  <c r="AD64" i="6"/>
  <c r="J55" i="6"/>
  <c r="R29" i="6"/>
  <c r="S60" i="6"/>
  <c r="L4" i="6"/>
  <c r="T61" i="6"/>
  <c r="W22" i="6"/>
  <c r="AA21" i="6"/>
  <c r="M57" i="6"/>
  <c r="E23" i="6"/>
  <c r="H54" i="6"/>
  <c r="U13" i="6"/>
  <c r="O43" i="6"/>
  <c r="K62" i="6"/>
  <c r="X42" i="6"/>
  <c r="O23" i="6"/>
  <c r="S44" i="6"/>
  <c r="AB52" i="6"/>
  <c r="U67" i="6"/>
  <c r="V67" i="6"/>
  <c r="T3" i="6"/>
  <c r="S20" i="6"/>
  <c r="P17" i="6"/>
  <c r="AD25" i="6"/>
  <c r="R8" i="6"/>
  <c r="AB23" i="6"/>
  <c r="F16" i="6"/>
  <c r="W44" i="6"/>
  <c r="J65" i="6"/>
  <c r="AC2" i="6"/>
  <c r="X59" i="6"/>
  <c r="L59" i="6"/>
  <c r="J60" i="6"/>
  <c r="AD29" i="6"/>
  <c r="W43" i="6"/>
  <c r="AD32" i="6"/>
  <c r="V16" i="6"/>
  <c r="S19" i="6"/>
  <c r="O45" i="6"/>
  <c r="D68" i="6"/>
  <c r="I7" i="6"/>
  <c r="E59" i="6"/>
  <c r="AD34" i="6"/>
  <c r="AB30" i="6"/>
  <c r="M3" i="6"/>
  <c r="F22" i="6"/>
  <c r="W21" i="6"/>
  <c r="F35" i="6"/>
  <c r="E67" i="6"/>
  <c r="E42" i="6"/>
  <c r="J44" i="6"/>
  <c r="X13" i="6"/>
  <c r="G50" i="6"/>
  <c r="J19" i="6"/>
  <c r="T67" i="6"/>
  <c r="AD41" i="6"/>
  <c r="F8" i="6"/>
  <c r="AA14" i="6"/>
  <c r="Z48" i="6"/>
  <c r="H38" i="6"/>
  <c r="AA49" i="6"/>
  <c r="AA67" i="6"/>
  <c r="L30" i="6"/>
  <c r="AC56" i="6"/>
  <c r="T20" i="6"/>
  <c r="D18" i="6"/>
  <c r="P53" i="6"/>
  <c r="L65" i="6"/>
  <c r="D40" i="6"/>
  <c r="W38" i="6"/>
  <c r="AA23" i="6"/>
  <c r="V6" i="6"/>
  <c r="AD23" i="6"/>
  <c r="R48" i="6"/>
  <c r="AD42" i="6"/>
  <c r="N14" i="6"/>
  <c r="Z44" i="6"/>
  <c r="V60" i="6"/>
  <c r="V7" i="6"/>
  <c r="N58" i="6"/>
  <c r="D17" i="6"/>
  <c r="X38" i="6"/>
  <c r="Y19" i="6"/>
  <c r="Q4" i="6"/>
  <c r="AB16" i="6"/>
  <c r="J63" i="6"/>
  <c r="F43" i="6"/>
  <c r="R12" i="6"/>
  <c r="I14" i="6"/>
  <c r="M62" i="6"/>
  <c r="L52" i="6"/>
  <c r="AC18" i="6"/>
  <c r="Y29" i="6"/>
  <c r="P44" i="6"/>
  <c r="I56" i="6"/>
  <c r="U55" i="6"/>
  <c r="AD26" i="6"/>
  <c r="V40" i="6"/>
  <c r="E45" i="6"/>
  <c r="U39" i="6"/>
  <c r="F63" i="6"/>
  <c r="X15" i="6"/>
  <c r="O10" i="6"/>
  <c r="I42" i="6"/>
  <c r="AB20" i="6"/>
  <c r="H43" i="6"/>
  <c r="E48" i="6"/>
  <c r="R23" i="6"/>
  <c r="N49" i="6"/>
  <c r="Y53" i="6"/>
  <c r="AB38" i="6"/>
  <c r="K68" i="6"/>
  <c r="N62" i="6"/>
  <c r="S16" i="6"/>
  <c r="U58" i="6"/>
  <c r="R19" i="6"/>
  <c r="T48" i="6"/>
  <c r="R49" i="6"/>
  <c r="AC50" i="6"/>
  <c r="E17" i="6"/>
  <c r="K65" i="6"/>
  <c r="T62" i="6"/>
  <c r="L57" i="6"/>
  <c r="L10" i="6"/>
  <c r="E3" i="6"/>
  <c r="AD57" i="6"/>
  <c r="U57" i="6"/>
  <c r="K6" i="6"/>
  <c r="Z19" i="6"/>
  <c r="T4" i="6"/>
  <c r="N64" i="6"/>
  <c r="I65" i="6"/>
  <c r="O68" i="6"/>
  <c r="W68" i="6"/>
  <c r="AC13" i="6"/>
  <c r="I45" i="6"/>
  <c r="T59" i="6"/>
  <c r="U19" i="6"/>
  <c r="Y10" i="6"/>
  <c r="AC3" i="6"/>
  <c r="E14" i="6"/>
  <c r="G44" i="6"/>
  <c r="V50" i="6"/>
  <c r="J14" i="6"/>
  <c r="H14" i="6"/>
  <c r="R63" i="6"/>
  <c r="O19" i="6"/>
  <c r="AB45" i="6"/>
  <c r="AA11" i="6"/>
  <c r="J42" i="6"/>
  <c r="W20" i="6"/>
  <c r="AD35" i="6"/>
  <c r="S13" i="6"/>
  <c r="Z49" i="6"/>
  <c r="F10" i="6"/>
  <c r="S4" i="6"/>
  <c r="E4" i="6"/>
  <c r="Q66" i="6"/>
  <c r="AD49" i="6"/>
  <c r="M48" i="6"/>
  <c r="M22" i="6"/>
  <c r="T42" i="6"/>
  <c r="AA10" i="6"/>
  <c r="N7" i="6"/>
  <c r="F44" i="6"/>
  <c r="H57" i="6"/>
  <c r="U44" i="6"/>
  <c r="N23" i="6"/>
  <c r="S63" i="6"/>
  <c r="Y57" i="6"/>
  <c r="V2" i="6"/>
  <c r="Z18" i="6"/>
  <c r="F61" i="6"/>
  <c r="O67" i="6"/>
  <c r="P15" i="6"/>
  <c r="Q63" i="6"/>
  <c r="O66" i="6"/>
  <c r="AD45" i="6"/>
  <c r="AB59" i="6"/>
  <c r="V10" i="6"/>
  <c r="Q56" i="6"/>
  <c r="V53" i="6"/>
  <c r="I12" i="6"/>
  <c r="L66" i="6"/>
  <c r="G39" i="6"/>
  <c r="D66" i="6"/>
  <c r="AA40" i="6"/>
  <c r="Q8" i="6"/>
  <c r="J40" i="6"/>
  <c r="AA12" i="6"/>
  <c r="F53" i="6"/>
  <c r="O14" i="6"/>
  <c r="F4" i="6"/>
  <c r="S68" i="6"/>
  <c r="Q62" i="6"/>
  <c r="Q13" i="6"/>
  <c r="O13" i="6"/>
  <c r="I55" i="6"/>
  <c r="P65" i="6"/>
  <c r="Y55" i="6"/>
  <c r="Q60" i="6"/>
  <c r="AD38" i="6"/>
  <c r="S22" i="6"/>
  <c r="AD62" i="6"/>
  <c r="M43" i="6"/>
  <c r="AA55" i="6"/>
  <c r="X50" i="6"/>
  <c r="AA66" i="6"/>
  <c r="G67" i="6"/>
  <c r="S64" i="6"/>
  <c r="H8" i="6"/>
  <c r="I40" i="6"/>
  <c r="AA39" i="6"/>
  <c r="AB12" i="6"/>
  <c r="G63" i="6"/>
  <c r="N17" i="6"/>
  <c r="Z33" i="6"/>
  <c r="AB44" i="6"/>
  <c r="P40" i="6"/>
  <c r="I21" i="6"/>
  <c r="L49" i="6"/>
  <c r="L17" i="6"/>
  <c r="J8" i="6"/>
  <c r="Y58" i="6"/>
  <c r="AD43" i="6"/>
  <c r="K30" i="6"/>
  <c r="I67" i="6"/>
  <c r="X7" i="6"/>
  <c r="P50" i="6"/>
  <c r="E2" i="6"/>
  <c r="V54" i="6"/>
  <c r="AC40" i="6"/>
  <c r="W19" i="6"/>
  <c r="Q7" i="6"/>
  <c r="T15" i="6"/>
  <c r="J68" i="6"/>
  <c r="Q29" i="6"/>
  <c r="K8" i="6"/>
  <c r="H16" i="6"/>
  <c r="U3" i="6"/>
  <c r="I53" i="6"/>
  <c r="M58" i="6"/>
  <c r="AA62" i="6"/>
  <c r="X67" i="6"/>
  <c r="AC57" i="6"/>
  <c r="AB60" i="6"/>
  <c r="Z62" i="6"/>
  <c r="I17" i="6"/>
  <c r="W55" i="6"/>
  <c r="R65" i="6"/>
  <c r="Q16" i="6"/>
  <c r="Q57" i="6"/>
  <c r="X2" i="6"/>
  <c r="Z8" i="6"/>
  <c r="O54" i="6"/>
  <c r="Q11" i="6"/>
  <c r="X53" i="6"/>
  <c r="AB4" i="6"/>
  <c r="W40" i="6"/>
  <c r="F2" i="6"/>
  <c r="P67" i="6"/>
  <c r="K55" i="6"/>
  <c r="V23" i="6"/>
  <c r="K4" i="6"/>
  <c r="M42" i="6"/>
  <c r="R54" i="6"/>
  <c r="Q2" i="6"/>
  <c r="G18" i="6"/>
  <c r="X16" i="6"/>
  <c r="Q19" i="6"/>
  <c r="AC28" i="6"/>
  <c r="Q12" i="6"/>
  <c r="P12" i="6"/>
  <c r="W14" i="6"/>
  <c r="Z67" i="6"/>
  <c r="T66" i="6"/>
  <c r="Y52" i="6"/>
  <c r="AA3" i="6"/>
  <c r="Y48" i="6"/>
  <c r="G64" i="6"/>
  <c r="AD31" i="6"/>
  <c r="E62" i="6"/>
  <c r="J57" i="6"/>
  <c r="P54" i="6"/>
  <c r="AA7" i="6"/>
  <c r="J67" i="6"/>
  <c r="E16" i="6"/>
  <c r="J58" i="6"/>
  <c r="X63" i="6"/>
  <c r="AD10" i="6"/>
  <c r="AD13" i="6"/>
  <c r="AA50" i="6"/>
  <c r="AC25" i="6"/>
  <c r="W49" i="6"/>
  <c r="H12" i="6"/>
  <c r="AC59" i="6"/>
  <c r="P62" i="6"/>
  <c r="Q45" i="6"/>
  <c r="R52" i="6"/>
  <c r="AB48" i="6"/>
  <c r="N30" i="6"/>
  <c r="L21" i="6"/>
  <c r="AD39" i="6"/>
  <c r="O42" i="6"/>
  <c r="S57" i="6"/>
  <c r="R15" i="6"/>
  <c r="Q15" i="6"/>
  <c r="U65" i="6"/>
  <c r="S56" i="6"/>
  <c r="P39" i="6"/>
  <c r="N60" i="6"/>
  <c r="F66" i="6"/>
  <c r="D16" i="6"/>
  <c r="M8" i="6"/>
  <c r="AA30" i="6"/>
  <c r="V52" i="6"/>
  <c r="Z38" i="6"/>
  <c r="G12" i="6"/>
  <c r="G62" i="6"/>
  <c r="AD66" i="6"/>
  <c r="Y18" i="6"/>
  <c r="U8" i="6"/>
  <c r="K45" i="6"/>
  <c r="L40" i="6"/>
  <c r="T49" i="6"/>
  <c r="Z16" i="6"/>
  <c r="H42" i="6"/>
  <c r="Q21" i="6"/>
  <c r="K64" i="6"/>
  <c r="O52" i="6"/>
  <c r="U22" i="6"/>
  <c r="AC53" i="6"/>
  <c r="L18" i="6"/>
  <c r="W4" i="6"/>
  <c r="AD14" i="6"/>
  <c r="E30" i="6"/>
  <c r="G57" i="6"/>
  <c r="AC31" i="6"/>
  <c r="Z2" i="6"/>
  <c r="AC39" i="6"/>
  <c r="H63" i="6"/>
  <c r="F60" i="6"/>
  <c r="AA15" i="6"/>
  <c r="M4" i="6"/>
  <c r="X6" i="6"/>
  <c r="K19" i="6"/>
  <c r="AA22" i="6"/>
  <c r="W66" i="6"/>
  <c r="Y17" i="6"/>
  <c r="AD21" i="6"/>
  <c r="F14" i="6"/>
  <c r="R38" i="6"/>
  <c r="O44" i="6"/>
  <c r="AA57" i="6"/>
  <c r="Y66" i="6"/>
  <c r="T55" i="6"/>
  <c r="E60" i="6"/>
  <c r="K59" i="6"/>
  <c r="I18" i="6"/>
  <c r="AB22" i="6"/>
  <c r="U12" i="6"/>
  <c r="G48" i="6"/>
  <c r="AC21" i="6"/>
  <c r="U49" i="6"/>
  <c r="J11" i="6"/>
  <c r="S50" i="6"/>
  <c r="AC8" i="6"/>
  <c r="U42" i="6"/>
  <c r="I61" i="6"/>
  <c r="O61" i="6"/>
  <c r="AA61" i="6"/>
  <c r="P22" i="6"/>
  <c r="AD48" i="6"/>
  <c r="R13" i="6"/>
  <c r="D55" i="6"/>
  <c r="AA56" i="6"/>
  <c r="O55" i="6"/>
  <c r="U66" i="6"/>
  <c r="D29" i="6"/>
  <c r="W17" i="6"/>
  <c r="V19" i="6"/>
  <c r="Z50" i="6"/>
  <c r="Q61" i="6"/>
  <c r="W6" i="6"/>
  <c r="X52" i="6"/>
  <c r="S15" i="6"/>
  <c r="Z52" i="6"/>
  <c r="H4" i="6"/>
  <c r="U40" i="6"/>
  <c r="Y50" i="6"/>
  <c r="F57" i="6"/>
  <c r="E18" i="6"/>
  <c r="Q22" i="6"/>
  <c r="N44" i="6"/>
  <c r="L38" i="6"/>
  <c r="K49" i="6"/>
  <c r="L60" i="6"/>
  <c r="I6" i="6"/>
  <c r="F67" i="6"/>
  <c r="AB10" i="6"/>
  <c r="L67" i="6"/>
  <c r="D12" i="6"/>
  <c r="O12" i="6"/>
  <c r="AC37" i="6"/>
  <c r="Y56" i="6"/>
  <c r="R10" i="6"/>
  <c r="N54" i="6"/>
  <c r="V29" i="6"/>
  <c r="Z63" i="6"/>
  <c r="I68" i="6"/>
  <c r="D4" i="6"/>
  <c r="F7" i="6"/>
  <c r="V73" i="6" l="1"/>
  <c r="E148" i="8"/>
  <c r="G148" i="8" s="1"/>
  <c r="E16" i="8"/>
  <c r="G16" i="8" s="1"/>
  <c r="E207" i="8"/>
  <c r="G207" i="8" s="1"/>
  <c r="E247" i="8"/>
  <c r="G247" i="8" s="1"/>
  <c r="E53" i="8"/>
  <c r="G53" i="8" s="1"/>
  <c r="E183" i="8"/>
  <c r="G183" i="8" s="1"/>
  <c r="E66" i="8"/>
  <c r="G66" i="8" s="1"/>
  <c r="E88" i="8"/>
  <c r="G88" i="8" s="1"/>
  <c r="E29" i="8"/>
  <c r="G29" i="8" s="1"/>
  <c r="E150" i="8"/>
  <c r="G150" i="8" s="1"/>
  <c r="Z74" i="6"/>
  <c r="E142" i="8"/>
  <c r="G142" i="8" s="1"/>
  <c r="E81" i="8"/>
  <c r="G81" i="8" s="1"/>
  <c r="E230" i="8"/>
  <c r="G230" i="8" s="1"/>
  <c r="E265" i="8"/>
  <c r="G265" i="8" s="1"/>
  <c r="E189" i="8"/>
  <c r="G189" i="8" s="1"/>
  <c r="E190" i="8"/>
  <c r="G190" i="8" s="1"/>
  <c r="E172" i="8"/>
  <c r="G172" i="8" s="1"/>
  <c r="E236" i="8"/>
  <c r="G236" i="8" s="1"/>
  <c r="AC73" i="6"/>
  <c r="E136" i="8"/>
  <c r="G136" i="8" s="1"/>
  <c r="E80" i="8"/>
  <c r="G80" i="8" s="1"/>
  <c r="E77" i="8"/>
  <c r="G77" i="8" s="1"/>
  <c r="E218" i="8"/>
  <c r="G218" i="8" s="1"/>
  <c r="E164" i="8"/>
  <c r="G164" i="8" s="1"/>
  <c r="E139" i="8"/>
  <c r="G139" i="8" s="1"/>
  <c r="E39" i="8"/>
  <c r="G39" i="8" s="1"/>
  <c r="Q74" i="6"/>
  <c r="E208" i="8"/>
  <c r="G208" i="8" s="1"/>
  <c r="X74" i="6"/>
  <c r="E25" i="8"/>
  <c r="G25" i="8" s="1"/>
  <c r="E234" i="8"/>
  <c r="G234" i="8" s="1"/>
  <c r="E222" i="8"/>
  <c r="G222" i="8" s="1"/>
  <c r="Q73" i="6"/>
  <c r="E151" i="8"/>
  <c r="G151" i="8" s="1"/>
  <c r="E30" i="8"/>
  <c r="G30" i="8" s="1"/>
  <c r="E176" i="8"/>
  <c r="G176" i="8" s="1"/>
  <c r="E197" i="8"/>
  <c r="G197" i="8" s="1"/>
  <c r="E205" i="8"/>
  <c r="G205" i="8" s="1"/>
  <c r="E261" i="8"/>
  <c r="G261" i="8" s="1"/>
  <c r="E23" i="8"/>
  <c r="G23" i="8" s="1"/>
  <c r="E171" i="8"/>
  <c r="G171" i="8" s="1"/>
  <c r="E201" i="8"/>
  <c r="G201" i="8" s="1"/>
  <c r="E178" i="8"/>
  <c r="G178" i="8" s="1"/>
  <c r="V74" i="6"/>
  <c r="E196" i="8"/>
  <c r="G196" i="8" s="1"/>
  <c r="E248" i="8"/>
  <c r="G248" i="8" s="1"/>
  <c r="E5" i="8"/>
  <c r="G5" i="8" s="1"/>
  <c r="E14" i="8"/>
  <c r="G14" i="8" s="1"/>
  <c r="E168" i="8"/>
  <c r="G168" i="8" s="1"/>
  <c r="E48" i="8"/>
  <c r="G48" i="8" s="1"/>
  <c r="E58" i="8"/>
  <c r="G58" i="8" s="1"/>
  <c r="E256" i="8"/>
  <c r="G256" i="8" s="1"/>
  <c r="E227" i="8"/>
  <c r="G227" i="8" s="1"/>
  <c r="E17" i="8"/>
  <c r="G17" i="8" s="1"/>
  <c r="E38" i="8"/>
  <c r="G38" i="8" s="1"/>
  <c r="E159" i="8"/>
  <c r="G159" i="8" s="1"/>
  <c r="Y73" i="6"/>
  <c r="E63" i="8"/>
  <c r="G63" i="8" s="1"/>
  <c r="E127" i="8"/>
  <c r="G127" i="8" s="1"/>
  <c r="E175" i="8"/>
  <c r="G175" i="8" s="1"/>
  <c r="E90" i="8"/>
  <c r="G90" i="8" s="1"/>
  <c r="E233" i="8"/>
  <c r="G233" i="8" s="1"/>
  <c r="E174" i="8"/>
  <c r="G174" i="8" s="1"/>
  <c r="E36" i="8"/>
  <c r="G36" i="8" s="1"/>
  <c r="E167" i="8"/>
  <c r="G167" i="8" s="1"/>
  <c r="E20" i="8"/>
  <c r="G20" i="8" s="1"/>
  <c r="E165" i="8"/>
  <c r="G165" i="8" s="1"/>
  <c r="E162" i="8"/>
  <c r="G162" i="8" s="1"/>
  <c r="E214" i="8"/>
  <c r="G214" i="8" s="1"/>
  <c r="E47" i="8"/>
  <c r="G47" i="8" s="1"/>
  <c r="AC74" i="6"/>
  <c r="E158" i="8"/>
  <c r="G158" i="8" s="1"/>
  <c r="AD73" i="6"/>
  <c r="E21" i="8"/>
  <c r="G21" i="8" s="1"/>
  <c r="E111" i="8"/>
  <c r="G111" i="8" s="1"/>
  <c r="E131" i="8"/>
  <c r="G131" i="8" s="1"/>
  <c r="E193" i="8"/>
  <c r="G193" i="8" s="1"/>
  <c r="R73" i="6"/>
  <c r="E263" i="8"/>
  <c r="G263" i="8" s="1"/>
  <c r="E4" i="8"/>
  <c r="G4" i="8" s="1"/>
  <c r="E232" i="8"/>
  <c r="G232" i="8" s="1"/>
  <c r="E45" i="8"/>
  <c r="G45" i="8" s="1"/>
  <c r="T73" i="6"/>
  <c r="E152" i="8"/>
  <c r="G152" i="8" s="1"/>
  <c r="E97" i="8"/>
  <c r="G97" i="8" s="1"/>
  <c r="E253" i="8"/>
  <c r="G253" i="8" s="1"/>
  <c r="E160" i="8"/>
  <c r="G160" i="8" s="1"/>
  <c r="E37" i="8"/>
  <c r="G37" i="8" s="1"/>
  <c r="E55" i="8"/>
  <c r="G55" i="8" s="1"/>
  <c r="E254" i="8"/>
  <c r="G254" i="8" s="1"/>
  <c r="E34" i="8"/>
  <c r="G34" i="8" s="1"/>
  <c r="E145" i="8"/>
  <c r="G145" i="8" s="1"/>
  <c r="E128" i="8"/>
  <c r="G128" i="8" s="1"/>
  <c r="E42" i="8"/>
  <c r="G42" i="8" s="1"/>
  <c r="E199" i="8"/>
  <c r="G199" i="8" s="1"/>
  <c r="E40" i="8"/>
  <c r="G40" i="8" s="1"/>
  <c r="E212" i="8"/>
  <c r="G212" i="8" s="1"/>
  <c r="E161" i="8"/>
  <c r="G161" i="8" s="1"/>
  <c r="E107" i="8"/>
  <c r="G107" i="8" s="1"/>
  <c r="E249" i="8"/>
  <c r="G249" i="8" s="1"/>
  <c r="E213" i="8"/>
  <c r="G213" i="8" s="1"/>
  <c r="E255" i="8"/>
  <c r="G255" i="8" s="1"/>
  <c r="E198" i="8"/>
  <c r="G198" i="8" s="1"/>
  <c r="E83" i="8"/>
  <c r="G83" i="8" s="1"/>
  <c r="E73" i="8"/>
  <c r="G73" i="8" s="1"/>
  <c r="E3" i="8"/>
  <c r="G3" i="8" s="1"/>
  <c r="S74" i="6"/>
  <c r="E187" i="8"/>
  <c r="G187" i="8" s="1"/>
  <c r="E209" i="8"/>
  <c r="G209" i="8" s="1"/>
  <c r="E242" i="8"/>
  <c r="G242" i="8" s="1"/>
  <c r="E166" i="8"/>
  <c r="G166" i="8" s="1"/>
  <c r="T74" i="6"/>
  <c r="E220" i="8"/>
  <c r="G220" i="8" s="1"/>
  <c r="E146" i="8"/>
  <c r="G146" i="8" s="1"/>
  <c r="E51" i="8"/>
  <c r="G51" i="8" s="1"/>
  <c r="E258" i="8"/>
  <c r="G258" i="8" s="1"/>
  <c r="E70" i="8"/>
  <c r="G70" i="8" s="1"/>
  <c r="E15" i="8"/>
  <c r="G15" i="8" s="1"/>
  <c r="E217" i="8"/>
  <c r="G217" i="8" s="1"/>
  <c r="AB74" i="6"/>
  <c r="E267" i="8"/>
  <c r="G267" i="8" s="1"/>
  <c r="E177" i="8"/>
  <c r="G177" i="8" s="1"/>
  <c r="E252" i="8"/>
  <c r="G252" i="8" s="1"/>
  <c r="E105" i="8"/>
  <c r="G105" i="8" s="1"/>
  <c r="E210" i="8"/>
  <c r="G210" i="8" s="1"/>
  <c r="E221" i="8"/>
  <c r="G221" i="8" s="1"/>
  <c r="E86" i="8"/>
  <c r="G86" i="8" s="1"/>
  <c r="E65" i="8"/>
  <c r="G65" i="8" s="1"/>
  <c r="X73" i="6"/>
  <c r="E118" i="8"/>
  <c r="G118" i="8" s="1"/>
  <c r="E156" i="8"/>
  <c r="G156" i="8" s="1"/>
  <c r="E191" i="8"/>
  <c r="G191" i="8" s="1"/>
  <c r="E138" i="8"/>
  <c r="G138" i="8" s="1"/>
  <c r="E64" i="8"/>
  <c r="G64" i="8" s="1"/>
  <c r="W73" i="6"/>
  <c r="E13" i="8"/>
  <c r="G13" i="8" s="1"/>
  <c r="E44" i="8"/>
  <c r="G44" i="8" s="1"/>
  <c r="E245" i="8"/>
  <c r="G245" i="8" s="1"/>
  <c r="E19" i="8"/>
  <c r="G19" i="8" s="1"/>
  <c r="AB73" i="6"/>
  <c r="E22" i="8"/>
  <c r="G22" i="8" s="1"/>
  <c r="E52" i="8"/>
  <c r="G52" i="8" s="1"/>
  <c r="E182" i="8"/>
  <c r="G182" i="8" s="1"/>
  <c r="E226" i="8"/>
  <c r="G226" i="8" s="1"/>
  <c r="E35" i="8"/>
  <c r="G35" i="8" s="1"/>
  <c r="E251" i="8"/>
  <c r="G251" i="8" s="1"/>
  <c r="E71" i="8"/>
  <c r="G71" i="8" s="1"/>
  <c r="E132" i="8"/>
  <c r="G132" i="8" s="1"/>
  <c r="E106" i="8"/>
  <c r="G106" i="8" s="1"/>
  <c r="E49" i="8"/>
  <c r="G49" i="8" s="1"/>
  <c r="E243" i="8"/>
  <c r="G243" i="8" s="1"/>
  <c r="E153" i="8"/>
  <c r="G153" i="8" s="1"/>
  <c r="E119" i="8"/>
  <c r="G119" i="8" s="1"/>
  <c r="E240" i="8"/>
  <c r="G240" i="8" s="1"/>
  <c r="Z73" i="6"/>
  <c r="E192" i="8"/>
  <c r="G192" i="8" s="1"/>
  <c r="E215" i="8"/>
  <c r="G215" i="8" s="1"/>
  <c r="E41" i="8"/>
  <c r="G41" i="8" s="1"/>
  <c r="E89" i="8"/>
  <c r="G89" i="8" s="1"/>
  <c r="E112" i="8"/>
  <c r="G112" i="8" s="1"/>
  <c r="E235" i="8"/>
  <c r="G235" i="8" s="1"/>
  <c r="E31" i="8"/>
  <c r="G31" i="8" s="1"/>
  <c r="P74" i="6"/>
  <c r="E216" i="8"/>
  <c r="G216" i="8" s="1"/>
  <c r="E169" i="8"/>
  <c r="G169" i="8" s="1"/>
  <c r="E123" i="8"/>
  <c r="G123" i="8" s="1"/>
  <c r="E137" i="8"/>
  <c r="G137" i="8" s="1"/>
  <c r="E79" i="8"/>
  <c r="G79" i="8" s="1"/>
  <c r="E134" i="8"/>
  <c r="G134" i="8" s="1"/>
  <c r="E185" i="8"/>
  <c r="G185" i="8" s="1"/>
  <c r="E24" i="8"/>
  <c r="G24" i="8" s="1"/>
  <c r="E57" i="8"/>
  <c r="G57" i="8" s="1"/>
  <c r="E219" i="8"/>
  <c r="G219" i="8" s="1"/>
  <c r="E211" i="8"/>
  <c r="G211" i="8" s="1"/>
  <c r="E109" i="8"/>
  <c r="G109" i="8" s="1"/>
  <c r="E170" i="8"/>
  <c r="G170" i="8" s="1"/>
  <c r="E181" i="8"/>
  <c r="G181" i="8" s="1"/>
  <c r="W74" i="6"/>
  <c r="E11" i="8"/>
  <c r="G11" i="8" s="1"/>
  <c r="O74" i="6"/>
  <c r="E68" i="8"/>
  <c r="G68" i="8" s="1"/>
  <c r="E78" i="8"/>
  <c r="G78" i="8" s="1"/>
  <c r="E9" i="8"/>
  <c r="G9" i="8" s="1"/>
  <c r="E56" i="8"/>
  <c r="G56" i="8" s="1"/>
  <c r="E85" i="8"/>
  <c r="G85" i="8" s="1"/>
  <c r="E33" i="8"/>
  <c r="G33" i="8" s="1"/>
  <c r="E194" i="8"/>
  <c r="G194" i="8" s="1"/>
  <c r="E186" i="8"/>
  <c r="G186" i="8" s="1"/>
  <c r="E110" i="8"/>
  <c r="G110" i="8" s="1"/>
  <c r="E264" i="8"/>
  <c r="G264" i="8" s="1"/>
  <c r="E143" i="8"/>
  <c r="G143" i="8" s="1"/>
  <c r="E75" i="8"/>
  <c r="G75" i="8" s="1"/>
  <c r="E149" i="8"/>
  <c r="G149" i="8" s="1"/>
  <c r="O73" i="6"/>
  <c r="E266" i="8"/>
  <c r="G266" i="8" s="1"/>
  <c r="E140" i="8"/>
  <c r="G140" i="8" s="1"/>
  <c r="E46" i="8"/>
  <c r="G46" i="8" s="1"/>
  <c r="R74" i="6"/>
  <c r="E60" i="8"/>
  <c r="G60" i="8" s="1"/>
  <c r="E262" i="8"/>
  <c r="G262" i="8" s="1"/>
  <c r="E27" i="8"/>
  <c r="G27" i="8" s="1"/>
  <c r="E195" i="8"/>
  <c r="G195" i="8" s="1"/>
  <c r="E238" i="8"/>
  <c r="G238" i="8" s="1"/>
  <c r="AA74" i="6"/>
  <c r="E155" i="8"/>
  <c r="G155" i="8" s="1"/>
  <c r="E69" i="8"/>
  <c r="G69" i="8" s="1"/>
  <c r="AD74" i="6"/>
  <c r="E237" i="8"/>
  <c r="G237" i="8" s="1"/>
  <c r="E7" i="8"/>
  <c r="G7" i="8" s="1"/>
  <c r="E173" i="8"/>
  <c r="G173" i="8" s="1"/>
  <c r="E244" i="8"/>
  <c r="G244" i="8" s="1"/>
  <c r="E144" i="8"/>
  <c r="G144" i="8" s="1"/>
  <c r="U73" i="6"/>
  <c r="E133" i="8"/>
  <c r="G133" i="8" s="1"/>
  <c r="E260" i="8"/>
  <c r="G260" i="8" s="1"/>
  <c r="E147" i="8"/>
  <c r="G147" i="8" s="1"/>
  <c r="P73" i="6"/>
  <c r="U74" i="6"/>
  <c r="E84" i="8"/>
  <c r="G84" i="8" s="1"/>
  <c r="E82" i="8"/>
  <c r="G82" i="8" s="1"/>
  <c r="E259" i="8"/>
  <c r="G259" i="8" s="1"/>
  <c r="E87" i="8"/>
  <c r="G87" i="8" s="1"/>
  <c r="E163" i="8"/>
  <c r="G163" i="8" s="1"/>
  <c r="E18" i="8"/>
  <c r="G18" i="8" s="1"/>
  <c r="E229" i="8"/>
  <c r="G229" i="8" s="1"/>
  <c r="E188" i="8"/>
  <c r="G188" i="8" s="1"/>
  <c r="E204" i="8"/>
  <c r="G204" i="8" s="1"/>
  <c r="E241" i="8"/>
  <c r="G241" i="8" s="1"/>
  <c r="E96" i="8"/>
  <c r="G96" i="8" s="1"/>
  <c r="S73" i="6"/>
  <c r="E61" i="8"/>
  <c r="G61" i="8" s="1"/>
  <c r="E59" i="8"/>
  <c r="G59" i="8" s="1"/>
  <c r="E141" i="8"/>
  <c r="G141" i="8" s="1"/>
  <c r="E129" i="8"/>
  <c r="G129" i="8" s="1"/>
  <c r="E43" i="8"/>
  <c r="G43" i="8" s="1"/>
  <c r="AA73" i="6"/>
  <c r="E225" i="8"/>
  <c r="G225" i="8" s="1"/>
  <c r="E62" i="8"/>
  <c r="G62" i="8" s="1"/>
  <c r="E239" i="8"/>
  <c r="G239" i="8" s="1"/>
  <c r="Y74" i="6"/>
  <c r="E67" i="8"/>
  <c r="G67" i="8" s="1"/>
  <c r="E8" i="8"/>
  <c r="G8" i="8" s="1"/>
  <c r="E203" i="8"/>
  <c r="G203" i="8" s="1"/>
  <c r="E26" i="8"/>
  <c r="G26" i="8" s="1"/>
  <c r="E257" i="8"/>
  <c r="G257" i="8" s="1"/>
  <c r="E231" i="8"/>
  <c r="G231" i="8" s="1"/>
  <c r="E200" i="8"/>
  <c r="G200" i="8" s="1"/>
  <c r="E154" i="8"/>
  <c r="G154" i="8" s="1"/>
  <c r="E74" i="8"/>
  <c r="G74" i="8" s="1"/>
  <c r="E12" i="8"/>
  <c r="G12" i="8" s="1"/>
  <c r="E223" i="8"/>
  <c r="G223" i="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<sst xmlns="http://schemas.openxmlformats.org/spreadsheetml/2006/main" count="3012" uniqueCount="330">
  <si>
    <t>Installed wind power capacity</t>
  </si>
  <si>
    <r>
      <t>Europe wind power Capacity (MW)</t>
    </r>
    <r>
      <rPr>
        <vertAlign val="superscript"/>
        <sz val="10"/>
        <color rgb="FF3366CC"/>
        <rFont val="Aptos Narrow"/>
        <family val="2"/>
        <scheme val="minor"/>
      </rPr>
      <t>[58][59][60][61][62][63][64][65]</t>
    </r>
  </si>
  <si>
    <t>#</t>
  </si>
  <si>
    <t>Country</t>
  </si>
  <si>
    <t>2024[66]</t>
  </si>
  <si>
    <t>2023[67]</t>
  </si>
  <si>
    <t>2022[68]</t>
  </si>
  <si>
    <t>2021[69]</t>
  </si>
  <si>
    <t>2020[70]</t>
  </si>
  <si>
    <t>2019[71]</t>
  </si>
  <si>
    <t>2018[72]</t>
  </si>
  <si>
    <t>2017[73]</t>
  </si>
  <si>
    <t>Installed wind power capacity in Europe</t>
  </si>
  <si>
    <t>Germany</t>
  </si>
  <si>
    <t>UK</t>
  </si>
  <si>
    <t>Spain</t>
  </si>
  <si>
    <t>France</t>
  </si>
  <si>
    <t>Sweden</t>
  </si>
  <si>
    <t>Turkey</t>
  </si>
  <si>
    <t>Italy</t>
  </si>
  <si>
    <t>Netherlands</t>
  </si>
  <si>
    <t>Poland</t>
  </si>
  <si>
    <t>Finland</t>
  </si>
  <si>
    <t>Denmark</t>
  </si>
  <si>
    <t>Portugal</t>
  </si>
  <si>
    <t>Belgium</t>
  </si>
  <si>
    <t>Greece</t>
  </si>
  <si>
    <t>Norway</t>
  </si>
  <si>
    <t>Ireland</t>
  </si>
  <si>
    <t>Austria</t>
  </si>
  <si>
    <t>Romania</t>
  </si>
  <si>
    <t>Russia</t>
  </si>
  <si>
    <t>Ukraine</t>
  </si>
  <si>
    <t>Lithuania</t>
  </si>
  <si>
    <t>Croatia</t>
  </si>
  <si>
    <t>339[74]</t>
  </si>
  <si>
    <t>Estonia</t>
  </si>
  <si>
    <t>Bulgaria</t>
  </si>
  <si>
    <t>Serbia</t>
  </si>
  <si>
    <t>Czech Republic</t>
  </si>
  <si>
    <t>Hungary</t>
  </si>
  <si>
    <t>Bosnia and Herzegovina</t>
  </si>
  <si>
    <t>Luxembourg</t>
  </si>
  <si>
    <t>Cyprus</t>
  </si>
  <si>
    <t>Kosovo</t>
  </si>
  <si>
    <t>Latvia</t>
  </si>
  <si>
    <t>Montenegro</t>
  </si>
  <si>
    <t>Switzerland</t>
  </si>
  <si>
    <t>North Macedonia</t>
  </si>
  <si>
    <t>Faroe Islands</t>
  </si>
  <si>
    <t>Slovakia</t>
  </si>
  <si>
    <t>Belarus</t>
  </si>
  <si>
    <t>Iceland</t>
  </si>
  <si>
    <t>Slovenia</t>
  </si>
  <si>
    <t>Malta</t>
  </si>
  <si>
    <r>
      <t>PV in the European Union (MW</t>
    </r>
    <r>
      <rPr>
        <b/>
        <vertAlign val="subscript"/>
        <sz val="10"/>
        <color rgb="FF202122"/>
        <rFont val="Arial"/>
        <family val="2"/>
      </rPr>
      <t>peak</t>
    </r>
    <r>
      <rPr>
        <b/>
        <sz val="12"/>
        <color rgb="FF202122"/>
        <rFont val="Arial"/>
        <family val="2"/>
      </rPr>
      <t>)</t>
    </r>
    <r>
      <rPr>
        <vertAlign val="superscript"/>
        <sz val="10"/>
        <color rgb="FF3366CC"/>
        <rFont val="Arial"/>
        <family val="2"/>
      </rPr>
      <t>[10][11][12][13][14][15][16][17]</t>
    </r>
  </si>
  <si>
    <t>&lt;0.1</t>
  </si>
  <si>
    <t> EU + UK (GWp)</t>
  </si>
  <si>
    <t>United Kingdom</t>
  </si>
  <si>
    <t>Eurobserver</t>
  </si>
  <si>
    <t>Offshore MW</t>
  </si>
  <si>
    <t>+</t>
  </si>
  <si>
    <t>https://en.wikipedia.org/wiki/Offshore_wind_power_in_the_United_Kingdom#List_of_newly_operational_and_proposed_offshore_wind_farms</t>
  </si>
  <si>
    <t>https://www.thecrownestate.co.uk/our-business/marine/offshore-wind-report-2024</t>
  </si>
  <si>
    <t>DE</t>
  </si>
  <si>
    <t>GB</t>
  </si>
  <si>
    <t>ES</t>
  </si>
  <si>
    <t>FR</t>
  </si>
  <si>
    <t>SE</t>
  </si>
  <si>
    <t>TR</t>
  </si>
  <si>
    <t>IT</t>
  </si>
  <si>
    <t>NL</t>
  </si>
  <si>
    <t>PL</t>
  </si>
  <si>
    <t>FI</t>
  </si>
  <si>
    <t>DK</t>
  </si>
  <si>
    <t>PT</t>
  </si>
  <si>
    <t>BE</t>
  </si>
  <si>
    <t>GR</t>
  </si>
  <si>
    <t>NO</t>
  </si>
  <si>
    <t>IE</t>
  </si>
  <si>
    <t>AT</t>
  </si>
  <si>
    <t>RO</t>
  </si>
  <si>
    <t>RU</t>
  </si>
  <si>
    <t>UA</t>
  </si>
  <si>
    <t>LT</t>
  </si>
  <si>
    <t>HR</t>
  </si>
  <si>
    <t>EE</t>
  </si>
  <si>
    <t>BG</t>
  </si>
  <si>
    <t>RS</t>
  </si>
  <si>
    <t>CZ</t>
  </si>
  <si>
    <t>HU</t>
  </si>
  <si>
    <t>BA</t>
  </si>
  <si>
    <t>LU</t>
  </si>
  <si>
    <t>CY</t>
  </si>
  <si>
    <t>XK</t>
  </si>
  <si>
    <t>LV</t>
  </si>
  <si>
    <t>ME</t>
  </si>
  <si>
    <t>CH</t>
  </si>
  <si>
    <t>MK</t>
  </si>
  <si>
    <t>FO</t>
  </si>
  <si>
    <t>SK</t>
  </si>
  <si>
    <t>BY</t>
  </si>
  <si>
    <t>IS</t>
  </si>
  <si>
    <t>SI</t>
  </si>
  <si>
    <t>MT</t>
  </si>
  <si>
    <t>Czech</t>
  </si>
  <si>
    <t>tot</t>
  </si>
  <si>
    <t>offshore</t>
  </si>
  <si>
    <t>region</t>
  </si>
  <si>
    <t>techname</t>
  </si>
  <si>
    <t>capacity</t>
  </si>
  <si>
    <t>AT00</t>
  </si>
  <si>
    <t>PV</t>
  </si>
  <si>
    <t>wind_onshore</t>
  </si>
  <si>
    <t>BE00</t>
  </si>
  <si>
    <t>wind_offshore</t>
  </si>
  <si>
    <t>CH00</t>
  </si>
  <si>
    <t>DE00</t>
  </si>
  <si>
    <t>DKE1</t>
  </si>
  <si>
    <t>DKW1</t>
  </si>
  <si>
    <t>EE00</t>
  </si>
  <si>
    <t>ES00</t>
  </si>
  <si>
    <t>FI00</t>
  </si>
  <si>
    <t>FR00</t>
  </si>
  <si>
    <t>LT00</t>
  </si>
  <si>
    <t>LV00</t>
  </si>
  <si>
    <t>NL00</t>
  </si>
  <si>
    <t>NOM1</t>
  </si>
  <si>
    <t>NON1</t>
  </si>
  <si>
    <t>NOS0</t>
  </si>
  <si>
    <t>PL00</t>
  </si>
  <si>
    <t>SE01</t>
  </si>
  <si>
    <t>SE02</t>
  </si>
  <si>
    <t>SE03</t>
  </si>
  <si>
    <t>SE04</t>
  </si>
  <si>
    <t>UK00</t>
  </si>
  <si>
    <t>NT2030</t>
  </si>
  <si>
    <t>scenario</t>
  </si>
  <si>
    <t>country</t>
  </si>
  <si>
    <t>share</t>
  </si>
  <si>
    <t>https://www.theglobaleconomy.com/Norway/solar_electricity_capacity/</t>
  </si>
  <si>
    <t>https://www.pvknowhow.com/news/norway-solar-deployment-impressive-763-mw-total-in-2025/</t>
  </si>
  <si>
    <t>https://www.equinor.com/energy/hywind-tampen</t>
  </si>
  <si>
    <t>https://iea-wind.org/wp-content/uploads/2023/10/Norway_2022.pdf</t>
  </si>
  <si>
    <t>https://en.wikipedia.org/wiki/Solar_power_in_Switzerland</t>
  </si>
  <si>
    <t>entsoe</t>
  </si>
  <si>
    <t xml:space="preserve">Dataset: </t>
  </si>
  <si>
    <t xml:space="preserve">Last updated: </t>
  </si>
  <si>
    <t>Time frequency</t>
  </si>
  <si>
    <t>Annual</t>
  </si>
  <si>
    <t>Unit of measure</t>
  </si>
  <si>
    <t>TIME</t>
  </si>
  <si>
    <t/>
  </si>
  <si>
    <t>2020</t>
  </si>
  <si>
    <t>2021</t>
  </si>
  <si>
    <t>2022</t>
  </si>
  <si>
    <t>2023</t>
  </si>
  <si>
    <t>GEO (Labels)</t>
  </si>
  <si>
    <t>European Union - 27 countries (from 2020)</t>
  </si>
  <si>
    <t>:</t>
  </si>
  <si>
    <t>Albania</t>
  </si>
  <si>
    <t>Türkiye</t>
  </si>
  <si>
    <t>Special value</t>
  </si>
  <si>
    <t>Generator_ID</t>
  </si>
  <si>
    <t>Scenario</t>
  </si>
  <si>
    <t>Year</t>
  </si>
  <si>
    <t>capacity_output1</t>
  </si>
  <si>
    <t>method</t>
  </si>
  <si>
    <t>all</t>
  </si>
  <si>
    <t>2030 factor</t>
  </si>
  <si>
    <t>2025 factor</t>
  </si>
  <si>
    <t>-</t>
  </si>
  <si>
    <t>https://www.renewableuk.com/energypulse/blog/stacking-up-the-storage-where-the-uk-battery-market-stands-in-2025/</t>
  </si>
  <si>
    <t>MW</t>
  </si>
  <si>
    <t>vomCosts</t>
  </si>
  <si>
    <t>elec</t>
  </si>
  <si>
    <t>CO2</t>
  </si>
  <si>
    <t>grid</t>
  </si>
  <si>
    <t>variableTransCost</t>
  </si>
  <si>
    <t>transferLoss</t>
  </si>
  <si>
    <t>emission</t>
  </si>
  <si>
    <t>group</t>
  </si>
  <si>
    <t>price</t>
  </si>
  <si>
    <t>emission_CO2</t>
  </si>
  <si>
    <t>Observed Trends</t>
  </si>
  <si>
    <t>from_country</t>
  </si>
  <si>
    <t>to_country</t>
  </si>
  <si>
    <t>transferCap</t>
  </si>
  <si>
    <t>band</t>
  </si>
  <si>
    <t>lower</t>
  </si>
  <si>
    <t>upper</t>
  </si>
  <si>
    <t>tier1</t>
  </si>
  <si>
    <t>tier2</t>
  </si>
  <si>
    <t>tier3</t>
  </si>
  <si>
    <t>DE-LU</t>
  </si>
  <si>
    <t>Baltic</t>
  </si>
  <si>
    <t>SUM</t>
  </si>
  <si>
    <t>AT00_elec</t>
  </si>
  <si>
    <t>BE00_elec</t>
  </si>
  <si>
    <t>CH00_elec</t>
  </si>
  <si>
    <t>DE00_elec</t>
  </si>
  <si>
    <t>DKW1_elec</t>
  </si>
  <si>
    <t>DKE1_elec</t>
  </si>
  <si>
    <t>EE00_elec</t>
  </si>
  <si>
    <t>ES00_elec</t>
  </si>
  <si>
    <t>FI00_elec</t>
  </si>
  <si>
    <t>FR00_elec</t>
  </si>
  <si>
    <t>LT00_elec</t>
  </si>
  <si>
    <t>LV00_elec</t>
  </si>
  <si>
    <t>NL00_elec</t>
  </si>
  <si>
    <t>NOS0_elec</t>
  </si>
  <si>
    <t>NOM1_elec</t>
  </si>
  <si>
    <t>NON1_elec</t>
  </si>
  <si>
    <t>PL00_elec</t>
  </si>
  <si>
    <t>SE01_elec</t>
  </si>
  <si>
    <t>SE02_elec</t>
  </si>
  <si>
    <t>SE03_elec</t>
  </si>
  <si>
    <t>SE04_elec</t>
  </si>
  <si>
    <t>UK00_elec</t>
  </si>
  <si>
    <t>Normal year demand</t>
  </si>
  <si>
    <t>TWh</t>
  </si>
  <si>
    <t>Unittypes</t>
  </si>
  <si>
    <t>Demand flexibility from bidding curves</t>
  </si>
  <si>
    <t>To unitdata</t>
  </si>
  <si>
    <t>% of flat demand</t>
  </si>
  <si>
    <t>preliminary</t>
  </si>
  <si>
    <t>relative</t>
  </si>
  <si>
    <t>final</t>
  </si>
  <si>
    <t>Cost variation</t>
  </si>
  <si>
    <t>EUR/MWh</t>
  </si>
  <si>
    <t>emission_bioCO2</t>
  </si>
  <si>
    <t>param variance to help solver</t>
  </si>
  <si>
    <t>Data extracted on 10/03/2026 09:16:55 from [ESTAT]</t>
  </si>
  <si>
    <t>Real GDP per capita [sdg_08_10]</t>
  </si>
  <si>
    <t>09/03/2026 23:00</t>
  </si>
  <si>
    <t>Chain linked volumes (2020), euro per capita</t>
  </si>
  <si>
    <t>National accounts indicator (ESA 2010)</t>
  </si>
  <si>
    <t>Gross domestic product at market prices</t>
  </si>
  <si>
    <t>2024</t>
  </si>
  <si>
    <t>Euro area – 21 countries (from 2026)</t>
  </si>
  <si>
    <t>Euro area – 20 countries (2023-2025)</t>
  </si>
  <si>
    <t>Czechia</t>
  </si>
  <si>
    <t>Euro area - 19 countries  (2015-2022)</t>
  </si>
  <si>
    <t>Observation flags:</t>
  </si>
  <si>
    <t>b</t>
  </si>
  <si>
    <t>e</t>
  </si>
  <si>
    <t>p</t>
  </si>
  <si>
    <t>model country</t>
  </si>
  <si>
    <t>Data Source</t>
  </si>
  <si>
    <t>World Development Indicators</t>
  </si>
  <si>
    <t>Last Updated Date</t>
  </si>
  <si>
    <t>Country Name</t>
  </si>
  <si>
    <t>Indicator Name</t>
  </si>
  <si>
    <t>Indicator Code</t>
  </si>
  <si>
    <t>United Kingdom, EUR</t>
  </si>
  <si>
    <t>GDP pc of country</t>
  </si>
  <si>
    <t>GDP per capita (current US$)</t>
  </si>
  <si>
    <t>NY.GDP.PCAP.CD</t>
  </si>
  <si>
    <t>1 EUR to USD</t>
  </si>
  <si>
    <t>https://www.ecb.europa.eu/stats/policy_and_exchange_rates/euro_reference_exchange_rates/html/eurofxref-graph-usd.en.html</t>
  </si>
  <si>
    <t>Switzerland, EUR</t>
  </si>
  <si>
    <t>EU</t>
  </si>
  <si>
    <t>vomCosts country multiplier</t>
  </si>
  <si>
    <t>region multiplier</t>
  </si>
  <si>
    <t>cost index 1</t>
  </si>
  <si>
    <t>cost index 2</t>
  </si>
  <si>
    <t>onshore</t>
  </si>
  <si>
    <t>https://www.elia.be/en/customers/connection/grid-hosting-capacity</t>
  </si>
  <si>
    <t>https://www.energy-charts.info/charts/installed_power/chart.htm?l=en&amp;c=DE&amp;legendItems=2w2wa</t>
  </si>
  <si>
    <t>Battery storage (power)</t>
  </si>
  <si>
    <t>Battery storage (capacity)</t>
  </si>
  <si>
    <t>Net power (GW)</t>
  </si>
  <si>
    <t>Capacity (GWh)</t>
  </si>
  <si>
    <t>0.142a</t>
  </si>
  <si>
    <t>https://greenpowerdenmark.dk/nyheder/danmarks-stoerste-batteri-leverer-systemydelser-til-elnettet</t>
  </si>
  <si>
    <t>## Onshore</t>
  </si>
  <si>
    <t>## Offshore</t>
  </si>
  <si>
    <t>## PV</t>
  </si>
  <si>
    <t>## Query charger capacity from previous sheets</t>
  </si>
  <si>
    <t>##</t>
  </si>
  <si>
    <t>## Copying discharger capacity from charger capacity</t>
  </si>
  <si>
    <t>## Tier 1</t>
  </si>
  <si>
    <t>## Tier 2</t>
  </si>
  <si>
    <t>## Tier 3</t>
  </si>
  <si>
    <t>unittype</t>
  </si>
  <si>
    <t>windOnshore</t>
  </si>
  <si>
    <t>windOffshore</t>
  </si>
  <si>
    <t>gasCCGTNew</t>
  </si>
  <si>
    <t>gasCCGTOld1</t>
  </si>
  <si>
    <t>gasCCGTOld2</t>
  </si>
  <si>
    <t>gasCCGTpresent1</t>
  </si>
  <si>
    <t>gasCCGTpresent2</t>
  </si>
  <si>
    <t>gasOCGTnew</t>
  </si>
  <si>
    <t>gasOCGTold</t>
  </si>
  <si>
    <t>gasOld1</t>
  </si>
  <si>
    <t>gasOld2</t>
  </si>
  <si>
    <t>nuclear</t>
  </si>
  <si>
    <t>oilShaleOld</t>
  </si>
  <si>
    <t>ligniteOld1</t>
  </si>
  <si>
    <t>ligniteOld2</t>
  </si>
  <si>
    <t>gasCCGTCCS</t>
  </si>
  <si>
    <t>nuclearFlexible</t>
  </si>
  <si>
    <t>DRcutofftier3</t>
  </si>
  <si>
    <t>DRcutofftier2</t>
  </si>
  <si>
    <t>DRcutofftier1</t>
  </si>
  <si>
    <t>BatteryCharger</t>
  </si>
  <si>
    <t>BatteryDisch</t>
  </si>
  <si>
    <t>BatteryCharger4h</t>
  </si>
  <si>
    <t>BatteryDisch4h</t>
  </si>
  <si>
    <t>solarPV</t>
  </si>
  <si>
    <t>OilLightOld</t>
  </si>
  <si>
    <t>bioCoalNew</t>
  </si>
  <si>
    <t>oilHeavyOld1</t>
  </si>
  <si>
    <t>bioGasCCGTOld2</t>
  </si>
  <si>
    <t>bioOilshaleNew</t>
  </si>
  <si>
    <t>coalNew</t>
  </si>
  <si>
    <t>coalOld1</t>
  </si>
  <si>
    <t>coalOld2</t>
  </si>
  <si>
    <t>oilHeavyOld2</t>
  </si>
  <si>
    <t>bioLigniteOld1</t>
  </si>
  <si>
    <t>coal</t>
  </si>
  <si>
    <t>gas</t>
  </si>
  <si>
    <t>oilHeavy</t>
  </si>
  <si>
    <t>oilLight</t>
  </si>
  <si>
    <t>lignite</t>
  </si>
  <si>
    <t>biomass</t>
  </si>
  <si>
    <t>blackLiquor</t>
  </si>
  <si>
    <t>waste</t>
  </si>
  <si>
    <t>oilShale</t>
  </si>
  <si>
    <t>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</si>
</sst>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5" formatCode="0.0%"/>
  </numFmts>
  <fonts count="2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rgb="FF101418"/>
      <name val="Inherit"/>
    </font>
    <font>
      <vertAlign val="superscript"/>
      <sz val="10"/>
      <color rgb="FF3366CC"/>
      <name val="Aptos Narrow"/>
      <family val="2"/>
      <scheme val="minor"/>
    </font>
    <font>
      <b/>
      <sz val="12"/>
      <color rgb="FF202122"/>
      <name val="Arial"/>
      <family val="2"/>
    </font>
    <font>
      <vertAlign val="superscript"/>
      <sz val="10"/>
      <color rgb="FF3366CC"/>
      <name val="Arial"/>
      <family val="2"/>
    </font>
    <font>
      <sz val="12"/>
      <color rgb="FF202122"/>
      <name val="Arial"/>
      <family val="2"/>
    </font>
    <font>
      <u/>
      <sz val="11"/>
      <color theme="10"/>
      <name val="Aptos Narrow"/>
      <family val="2"/>
      <scheme val="minor"/>
    </font>
    <font>
      <b/>
      <vertAlign val="subscript"/>
      <sz val="10"/>
      <color rgb="FF202122"/>
      <name val="Arial"/>
      <family val="2"/>
    </font>
    <font>
      <sz val="11"/>
      <color theme="0" tint="-0.249977111117893"/>
      <name val="Aptos Narrow"/>
      <family val="2"/>
      <scheme val="minor"/>
    </font>
    <font>
      <sz val="9"/>
      <name val="Arial"/>
      <family val="2"/>
    </font>
    <font>
      <b/>
      <sz val="9"/>
      <name val="Arial"/>
      <family val="2"/>
    </font>
    <font>
      <b/>
      <sz val="9"/>
      <color indexed="9"/>
      <name val="Arial"/>
      <family val="2"/>
    </font>
    <font>
      <b/>
      <sz val="11"/>
      <color rgb="FF000000"/>
      <name val="Calibri"/>
      <family val="2"/>
      <charset val="1"/>
    </font>
    <font>
      <b/>
      <sz val="8"/>
      <color rgb="FF202122"/>
      <name val="Arial"/>
      <family val="2"/>
    </font>
    <font>
      <sz val="9"/>
      <color theme="1"/>
      <name val="Aptos Narrow"/>
      <family val="2"/>
      <scheme val="minor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b/>
      <sz val="11"/>
      <name val="Calibri"/>
      <family val="2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18"/>
      <color theme="1"/>
      <name val="Aptos Narrow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rgb="FFCCFFBB"/>
        <bgColor indexed="64"/>
      </patternFill>
    </fill>
    <fill>
      <patternFill patternType="solid">
        <fgColor rgb="FFEAECF0"/>
        <bgColor indexed="64"/>
      </patternFill>
    </fill>
    <fill>
      <patternFill patternType="solid">
        <fgColor rgb="FFDAA520"/>
        <bgColor indexed="64"/>
      </patternFill>
    </fill>
    <fill>
      <patternFill patternType="solid">
        <fgColor rgb="FFEEE8AA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mediumGray">
        <bgColor indexed="22"/>
      </patternFill>
    </fill>
    <fill>
      <patternFill patternType="solid">
        <fgColor rgb="FFDCE6F1"/>
      </patternFill>
    </fill>
    <fill>
      <patternFill patternType="solid">
        <fgColor rgb="FFF6F6F6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theme="7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 style="medium">
        <color rgb="FFA2A9B1"/>
      </bottom>
      <diagonal/>
    </border>
    <border>
      <left style="medium">
        <color rgb="FFA2A9B1"/>
      </left>
      <right/>
      <top style="medium">
        <color rgb="FFA2A9B1"/>
      </top>
      <bottom style="medium">
        <color rgb="FFA2A9B1"/>
      </bottom>
      <diagonal/>
    </border>
    <border>
      <left/>
      <right/>
      <top style="medium">
        <color rgb="FFA2A9B1"/>
      </top>
      <bottom style="medium">
        <color rgb="FFA2A9B1"/>
      </bottom>
      <diagonal/>
    </border>
    <border>
      <left/>
      <right style="medium">
        <color rgb="FFA2A9B1"/>
      </right>
      <top style="medium">
        <color rgb="FFA2A9B1"/>
      </top>
      <bottom style="medium">
        <color rgb="FFA2A9B1"/>
      </bottom>
      <diagonal/>
    </border>
    <border>
      <left/>
      <right/>
      <top/>
      <bottom style="medium">
        <color rgb="FFA2A9B1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0" fontId="7" fillId="0" borderId="0" applyNumberFormat="0" applyFill="0" applyBorder="0" applyAlignment="0" applyProtection="0"/>
    <xf numFmtId="0" fontId="16" fillId="0" borderId="0"/>
    <xf numFmtId="0" fontId="16" fillId="0" borderId="0"/>
    <xf numFmtId="9" fontId="19" fillId="0" borderId="0" applyFont="0" applyFill="0" applyBorder="0" applyAlignment="0" applyProtection="0"/>
    <xf numFmtId="0" fontId="20" fillId="0" borderId="0"/>
  </cellStyleXfs>
  <cellXfs count="94">
    <xf numFmtId="0" fontId="0" fillId="0" borderId="0" xfId="0"/>
    <xf numFmtId="0" fontId="2" fillId="0" borderId="0" xfId="0" applyFont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7" fillId="3" borderId="1" xfId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7" fillId="2" borderId="1" xfId="1" applyFill="1" applyBorder="1" applyAlignment="1">
      <alignment horizontal="left" vertical="center" wrapText="1"/>
    </xf>
    <xf numFmtId="3" fontId="6" fillId="2" borderId="1" xfId="0" applyNumberFormat="1" applyFont="1" applyFill="1" applyBorder="1" applyAlignment="1">
      <alignment vertical="center" wrapText="1"/>
    </xf>
    <xf numFmtId="0" fontId="7" fillId="2" borderId="1" xfId="1" applyFill="1" applyBorder="1" applyAlignment="1">
      <alignment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4" fillId="6" borderId="1" xfId="0" applyFont="1" applyFill="1" applyBorder="1" applyAlignment="1">
      <alignment horizontal="center" vertical="center" wrapText="1"/>
    </xf>
    <xf numFmtId="3" fontId="6" fillId="2" borderId="1" xfId="0" applyNumberFormat="1" applyFont="1" applyFill="1" applyBorder="1" applyAlignment="1">
      <alignment horizontal="right" vertical="center" wrapText="1"/>
    </xf>
    <xf numFmtId="0" fontId="6" fillId="2" borderId="1" xfId="0" applyFont="1" applyFill="1" applyBorder="1" applyAlignment="1">
      <alignment horizontal="right" vertical="center" wrapText="1"/>
    </xf>
    <xf numFmtId="0" fontId="4" fillId="6" borderId="1" xfId="0" applyFont="1" applyFill="1" applyBorder="1" applyAlignment="1">
      <alignment horizontal="right" vertical="center" wrapText="1"/>
    </xf>
    <xf numFmtId="0" fontId="7" fillId="6" borderId="4" xfId="1" applyFill="1" applyBorder="1" applyAlignment="1">
      <alignment horizontal="left" vertical="center" wrapText="1" indent="3"/>
    </xf>
    <xf numFmtId="0" fontId="1" fillId="0" borderId="0" xfId="0" applyFont="1"/>
    <xf numFmtId="0" fontId="0" fillId="7" borderId="0" xfId="0" applyFill="1"/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0" fillId="8" borderId="0" xfId="0" applyFill="1"/>
    <xf numFmtId="1" fontId="0" fillId="9" borderId="0" xfId="0" applyNumberFormat="1" applyFill="1"/>
    <xf numFmtId="0" fontId="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1" fontId="0" fillId="8" borderId="0" xfId="0" applyNumberFormat="1" applyFill="1" applyAlignment="1">
      <alignment horizontal="center"/>
    </xf>
    <xf numFmtId="3" fontId="6" fillId="8" borderId="1" xfId="0" applyNumberFormat="1" applyFont="1" applyFill="1" applyBorder="1" applyAlignment="1">
      <alignment horizontal="right" vertical="center" wrapText="1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2" fillId="10" borderId="6" xfId="0" applyFont="1" applyFill="1" applyBorder="1" applyAlignment="1">
      <alignment horizontal="right" vertical="center"/>
    </xf>
    <xf numFmtId="0" fontId="11" fillId="11" borderId="6" xfId="0" applyFont="1" applyFill="1" applyBorder="1" applyAlignment="1">
      <alignment horizontal="left" vertical="center"/>
    </xf>
    <xf numFmtId="0" fontId="0" fillId="12" borderId="0" xfId="0" applyFill="1"/>
    <xf numFmtId="0" fontId="11" fillId="13" borderId="6" xfId="0" applyFont="1" applyFill="1" applyBorder="1" applyAlignment="1">
      <alignment horizontal="left" vertical="center"/>
    </xf>
    <xf numFmtId="3" fontId="10" fillId="14" borderId="0" xfId="0" applyNumberFormat="1" applyFont="1" applyFill="1" applyAlignment="1">
      <alignment horizontal="right" vertical="center" shrinkToFit="1"/>
    </xf>
    <xf numFmtId="164" fontId="10" fillId="14" borderId="0" xfId="0" applyNumberFormat="1" applyFont="1" applyFill="1" applyAlignment="1">
      <alignment horizontal="right" vertical="center" shrinkToFit="1"/>
    </xf>
    <xf numFmtId="3" fontId="10" fillId="0" borderId="0" xfId="0" applyNumberFormat="1" applyFont="1" applyAlignment="1">
      <alignment horizontal="right" vertical="center" shrinkToFit="1"/>
    </xf>
    <xf numFmtId="0" fontId="12" fillId="10" borderId="6" xfId="0" applyFont="1" applyFill="1" applyBorder="1" applyAlignment="1">
      <alignment horizontal="left" vertical="center"/>
    </xf>
    <xf numFmtId="3" fontId="0" fillId="0" borderId="0" xfId="0" applyNumberFormat="1" applyAlignment="1">
      <alignment horizontal="center"/>
    </xf>
    <xf numFmtId="3" fontId="0" fillId="17" borderId="0" xfId="0" applyNumberFormat="1" applyFill="1" applyAlignment="1">
      <alignment horizontal="center"/>
    </xf>
    <xf numFmtId="0" fontId="13" fillId="0" borderId="7" xfId="0" applyFont="1" applyBorder="1" applyAlignment="1">
      <alignment horizontal="center" vertical="top" wrapText="1"/>
    </xf>
    <xf numFmtId="0" fontId="0" fillId="17" borderId="0" xfId="0" applyFill="1"/>
    <xf numFmtId="0" fontId="14" fillId="6" borderId="1" xfId="0" applyFont="1" applyFill="1" applyBorder="1" applyAlignment="1">
      <alignment horizontal="center" vertical="center" wrapText="1"/>
    </xf>
    <xf numFmtId="3" fontId="6" fillId="17" borderId="1" xfId="0" applyNumberFormat="1" applyFont="1" applyFill="1" applyBorder="1" applyAlignment="1">
      <alignment horizontal="right" vertical="center" wrapText="1"/>
    </xf>
    <xf numFmtId="0" fontId="1" fillId="0" borderId="8" xfId="0" applyFon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1" fontId="0" fillId="9" borderId="8" xfId="0" applyNumberFormat="1" applyFill="1" applyBorder="1"/>
    <xf numFmtId="0" fontId="15" fillId="0" borderId="0" xfId="0" applyFont="1" applyAlignment="1">
      <alignment horizontal="center"/>
    </xf>
    <xf numFmtId="0" fontId="0" fillId="0" borderId="8" xfId="0" applyBorder="1"/>
    <xf numFmtId="0" fontId="6" fillId="17" borderId="1" xfId="0" applyFont="1" applyFill="1" applyBorder="1" applyAlignment="1">
      <alignment horizontal="right" vertical="center" wrapText="1"/>
    </xf>
    <xf numFmtId="0" fontId="0" fillId="15" borderId="0" xfId="0" applyFill="1"/>
    <xf numFmtId="0" fontId="0" fillId="19" borderId="0" xfId="0" applyFill="1"/>
    <xf numFmtId="0" fontId="18" fillId="0" borderId="9" xfId="0" applyFont="1" applyBorder="1" applyAlignment="1">
      <alignment horizontal="center" vertical="top"/>
    </xf>
    <xf numFmtId="0" fontId="13" fillId="0" borderId="0" xfId="0" applyFont="1"/>
    <xf numFmtId="0" fontId="17" fillId="0" borderId="0" xfId="0" applyFont="1" applyAlignment="1">
      <alignment wrapText="1"/>
    </xf>
    <xf numFmtId="0" fontId="17" fillId="0" borderId="0" xfId="0" applyFont="1"/>
    <xf numFmtId="0" fontId="13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21" borderId="0" xfId="0" applyFill="1"/>
    <xf numFmtId="0" fontId="0" fillId="20" borderId="0" xfId="0" applyFill="1"/>
    <xf numFmtId="0" fontId="1" fillId="0" borderId="0" xfId="0" applyFont="1" applyAlignment="1">
      <alignment horizontal="left"/>
    </xf>
    <xf numFmtId="0" fontId="0" fillId="15" borderId="0" xfId="0" applyFill="1" applyAlignment="1">
      <alignment horizontal="center"/>
    </xf>
    <xf numFmtId="0" fontId="0" fillId="23" borderId="0" xfId="0" applyFill="1" applyAlignment="1">
      <alignment horizontal="center"/>
    </xf>
    <xf numFmtId="0" fontId="0" fillId="24" borderId="0" xfId="0" applyFill="1" applyAlignment="1">
      <alignment horizontal="center"/>
    </xf>
    <xf numFmtId="0" fontId="0" fillId="25" borderId="0" xfId="0" applyFill="1" applyAlignment="1">
      <alignment horizontal="center"/>
    </xf>
    <xf numFmtId="0" fontId="0" fillId="16" borderId="0" xfId="0" applyFill="1" applyAlignment="1">
      <alignment horizontal="center"/>
    </xf>
    <xf numFmtId="165" fontId="0" fillId="0" borderId="0" xfId="4" applyNumberFormat="1" applyFont="1" applyAlignment="1">
      <alignment horizontal="center"/>
    </xf>
    <xf numFmtId="9" fontId="0" fillId="0" borderId="0" xfId="4" applyFont="1" applyAlignment="1">
      <alignment horizontal="center"/>
    </xf>
    <xf numFmtId="0" fontId="0" fillId="0" borderId="0" xfId="4" applyNumberFormat="1" applyFont="1" applyAlignment="1">
      <alignment horizontal="center"/>
    </xf>
    <xf numFmtId="0" fontId="18" fillId="22" borderId="9" xfId="0" applyFont="1" applyFill="1" applyBorder="1" applyAlignment="1">
      <alignment horizontal="center" vertical="top"/>
    </xf>
    <xf numFmtId="0" fontId="18" fillId="0" borderId="9" xfId="0" applyFont="1" applyBorder="1" applyAlignment="1">
      <alignment horizontal="left" vertical="top"/>
    </xf>
    <xf numFmtId="0" fontId="0" fillId="0" borderId="0" xfId="0" applyAlignment="1">
      <alignment horizontal="left"/>
    </xf>
    <xf numFmtId="14" fontId="0" fillId="0" borderId="0" xfId="0" applyNumberFormat="1"/>
    <xf numFmtId="9" fontId="1" fillId="0" borderId="0" xfId="4" applyFont="1" applyAlignment="1">
      <alignment horizontal="center"/>
    </xf>
    <xf numFmtId="0" fontId="13" fillId="0" borderId="0" xfId="0" applyFont="1" applyAlignment="1">
      <alignment horizontal="center" vertical="top" wrapText="1"/>
    </xf>
    <xf numFmtId="0" fontId="21" fillId="0" borderId="0" xfId="0" applyFont="1"/>
    <xf numFmtId="0" fontId="22" fillId="0" borderId="9" xfId="0" applyFont="1" applyBorder="1" applyAlignment="1">
      <alignment horizontal="center" vertical="top"/>
    </xf>
    <xf numFmtId="0" fontId="0" fillId="23" borderId="0" xfId="0" applyFill="1"/>
    <xf numFmtId="0" fontId="23" fillId="23" borderId="0" xfId="0" applyFont="1" applyFill="1"/>
    <xf numFmtId="0" fontId="13" fillId="0" borderId="0" xfId="0" applyFont="1" applyAlignment="1">
      <alignment horizontal="left" vertical="top" wrapText="1"/>
    </xf>
    <xf numFmtId="0" fontId="21" fillId="18" borderId="0" xfId="0" applyFont="1" applyFill="1"/>
    <xf numFmtId="0" fontId="0" fillId="18" borderId="0" xfId="0" applyFill="1"/>
    <xf numFmtId="0" fontId="0" fillId="26" borderId="0" xfId="0" applyFill="1" applyAlignment="1">
      <alignment horizontal="center"/>
    </xf>
    <xf numFmtId="0" fontId="0" fillId="2" borderId="5" xfId="0" applyFill="1" applyBorder="1" applyAlignment="1">
      <alignment horizontal="center" vertical="center"/>
    </xf>
    <xf numFmtId="0" fontId="0" fillId="0" borderId="5" xfId="0" applyBorder="1"/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7" fillId="6" borderId="2" xfId="1" applyFill="1" applyBorder="1" applyAlignment="1">
      <alignment horizontal="left" vertical="center" wrapText="1" indent="3"/>
    </xf>
    <xf numFmtId="0" fontId="7" fillId="6" borderId="4" xfId="1" applyFill="1" applyBorder="1" applyAlignment="1">
      <alignment horizontal="left" vertical="center" wrapText="1" indent="3"/>
    </xf>
  </cellXfs>
  <cellStyles count="6">
    <cellStyle name="Hyperlink" xfId="1" builtinId="8"/>
    <cellStyle name="Normal" xfId="0" builtinId="0"/>
    <cellStyle name="Normal 2" xfId="3" xr:uid="{62486F86-6C17-4B0E-AABD-6659D8476E79}"/>
    <cellStyle name="Normal 3" xfId="5" xr:uid="{544AD4DE-0B55-4660-B93A-1084BD71BD3F}"/>
    <cellStyle name="Percent" xfId="4" builtinId="5"/>
    <cellStyle name="Standard_Data provided by OT3" xfId="2" xr:uid="{CF5A235E-FF11-451C-B874-DD8F77BDC2C9}"/>
  </cellStyles>
  <dxfs count="39">
    <dxf>
      <numFmt numFmtId="0" formatCode="General"/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top style="thin">
          <color auto="1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theme="7"/>
          <bgColor theme="7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numFmt numFmtId="0" formatCode="General"/>
    </dxf>
    <dxf>
      <fill>
        <patternFill patternType="none">
          <fgColor indexed="64"/>
          <bgColor auto="1"/>
        </patternFill>
      </fill>
    </dxf>
    <dxf>
      <border outline="0">
        <top style="thin">
          <color auto="1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charset val="1"/>
        <scheme val="none"/>
      </font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hyperlink" Target="https://en.wikipedia.org/wiki/Belgium" TargetMode="External"/><Relationship Id="rId18" Type="http://schemas.openxmlformats.org/officeDocument/2006/relationships/image" Target="../media/image9.png"/><Relationship Id="rId26" Type="http://schemas.openxmlformats.org/officeDocument/2006/relationships/image" Target="../media/image13.png"/><Relationship Id="rId39" Type="http://schemas.openxmlformats.org/officeDocument/2006/relationships/hyperlink" Target="https://en.wikipedia.org/wiki/Slovenia" TargetMode="External"/><Relationship Id="rId21" Type="http://schemas.openxmlformats.org/officeDocument/2006/relationships/hyperlink" Target="https://en.wikipedia.org/wiki/Portugal" TargetMode="External"/><Relationship Id="rId34" Type="http://schemas.openxmlformats.org/officeDocument/2006/relationships/image" Target="../media/image17.png"/><Relationship Id="rId42" Type="http://schemas.openxmlformats.org/officeDocument/2006/relationships/image" Target="../media/image21.png"/><Relationship Id="rId47" Type="http://schemas.openxmlformats.org/officeDocument/2006/relationships/hyperlink" Target="https://en.wikipedia.org/wiki/Cyprus" TargetMode="External"/><Relationship Id="rId50" Type="http://schemas.openxmlformats.org/officeDocument/2006/relationships/image" Target="../media/image25.png"/><Relationship Id="rId55" Type="http://schemas.openxmlformats.org/officeDocument/2006/relationships/hyperlink" Target="https://en.wikipedia.org/wiki/United_Kingdom" TargetMode="External"/><Relationship Id="rId7" Type="http://schemas.openxmlformats.org/officeDocument/2006/relationships/hyperlink" Target="https://en.wikipedia.org/wiki/Netherlands" TargetMode="External"/><Relationship Id="rId2" Type="http://schemas.openxmlformats.org/officeDocument/2006/relationships/image" Target="../media/image1.png"/><Relationship Id="rId16" Type="http://schemas.openxmlformats.org/officeDocument/2006/relationships/image" Target="../media/image8.png"/><Relationship Id="rId29" Type="http://schemas.openxmlformats.org/officeDocument/2006/relationships/hyperlink" Target="https://en.wikipedia.org/wiki/Denmark" TargetMode="External"/><Relationship Id="rId11" Type="http://schemas.openxmlformats.org/officeDocument/2006/relationships/hyperlink" Target="https://en.wikipedia.org/wiki/Poland" TargetMode="External"/><Relationship Id="rId24" Type="http://schemas.openxmlformats.org/officeDocument/2006/relationships/image" Target="../media/image12.png"/><Relationship Id="rId32" Type="http://schemas.openxmlformats.org/officeDocument/2006/relationships/image" Target="../media/image16.png"/><Relationship Id="rId37" Type="http://schemas.openxmlformats.org/officeDocument/2006/relationships/hyperlink" Target="https://en.wikipedia.org/wiki/Estonia" TargetMode="External"/><Relationship Id="rId40" Type="http://schemas.openxmlformats.org/officeDocument/2006/relationships/image" Target="../media/image20.png"/><Relationship Id="rId45" Type="http://schemas.openxmlformats.org/officeDocument/2006/relationships/hyperlink" Target="https://en.wikipedia.org/wiki/Croatia" TargetMode="External"/><Relationship Id="rId53" Type="http://schemas.openxmlformats.org/officeDocument/2006/relationships/hyperlink" Target="https://en.wikipedia.org/wiki/Malta" TargetMode="External"/><Relationship Id="rId58" Type="http://schemas.openxmlformats.org/officeDocument/2006/relationships/image" Target="../media/image29.png"/><Relationship Id="rId5" Type="http://schemas.openxmlformats.org/officeDocument/2006/relationships/hyperlink" Target="https://en.wikipedia.org/wiki/Italy" TargetMode="External"/><Relationship Id="rId19" Type="http://schemas.openxmlformats.org/officeDocument/2006/relationships/hyperlink" Target="https://en.wikipedia.org/wiki/Hungary" TargetMode="External"/><Relationship Id="rId4" Type="http://schemas.openxmlformats.org/officeDocument/2006/relationships/image" Target="../media/image2.png"/><Relationship Id="rId9" Type="http://schemas.openxmlformats.org/officeDocument/2006/relationships/hyperlink" Target="https://en.wikipedia.org/wiki/France" TargetMode="External"/><Relationship Id="rId14" Type="http://schemas.openxmlformats.org/officeDocument/2006/relationships/image" Target="../media/image7.png"/><Relationship Id="rId22" Type="http://schemas.openxmlformats.org/officeDocument/2006/relationships/image" Target="../media/image11.png"/><Relationship Id="rId27" Type="http://schemas.openxmlformats.org/officeDocument/2006/relationships/hyperlink" Target="https://en.wikipedia.org/wiki/Czech_Republic" TargetMode="External"/><Relationship Id="rId30" Type="http://schemas.openxmlformats.org/officeDocument/2006/relationships/image" Target="../media/image15.png"/><Relationship Id="rId35" Type="http://schemas.openxmlformats.org/officeDocument/2006/relationships/hyperlink" Target="https://en.wikipedia.org/wiki/Ireland" TargetMode="External"/><Relationship Id="rId43" Type="http://schemas.openxmlformats.org/officeDocument/2006/relationships/hyperlink" Target="https://en.wikipedia.org/wiki/Slovakia" TargetMode="External"/><Relationship Id="rId48" Type="http://schemas.openxmlformats.org/officeDocument/2006/relationships/image" Target="../media/image24.png"/><Relationship Id="rId56" Type="http://schemas.openxmlformats.org/officeDocument/2006/relationships/image" Target="../media/image28.png"/><Relationship Id="rId8" Type="http://schemas.openxmlformats.org/officeDocument/2006/relationships/image" Target="../media/image4.png"/><Relationship Id="rId51" Type="http://schemas.openxmlformats.org/officeDocument/2006/relationships/hyperlink" Target="https://en.wikipedia.org/wiki/Latvia" TargetMode="External"/><Relationship Id="rId3" Type="http://schemas.openxmlformats.org/officeDocument/2006/relationships/hyperlink" Target="https://en.wikipedia.org/wiki/Spain" TargetMode="External"/><Relationship Id="rId12" Type="http://schemas.openxmlformats.org/officeDocument/2006/relationships/image" Target="../media/image6.png"/><Relationship Id="rId17" Type="http://schemas.openxmlformats.org/officeDocument/2006/relationships/hyperlink" Target="https://en.wikipedia.org/wiki/Austria" TargetMode="External"/><Relationship Id="rId25" Type="http://schemas.openxmlformats.org/officeDocument/2006/relationships/hyperlink" Target="https://en.wikipedia.org/wiki/Romania" TargetMode="External"/><Relationship Id="rId33" Type="http://schemas.openxmlformats.org/officeDocument/2006/relationships/hyperlink" Target="https://en.wikipedia.org/wiki/Lithuania" TargetMode="External"/><Relationship Id="rId38" Type="http://schemas.openxmlformats.org/officeDocument/2006/relationships/image" Target="../media/image19.png"/><Relationship Id="rId46" Type="http://schemas.openxmlformats.org/officeDocument/2006/relationships/image" Target="../media/image23.png"/><Relationship Id="rId20" Type="http://schemas.openxmlformats.org/officeDocument/2006/relationships/image" Target="../media/image10.png"/><Relationship Id="rId41" Type="http://schemas.openxmlformats.org/officeDocument/2006/relationships/hyperlink" Target="https://en.wikipedia.org/wiki/Finland" TargetMode="External"/><Relationship Id="rId54" Type="http://schemas.openxmlformats.org/officeDocument/2006/relationships/image" Target="../media/image27.png"/><Relationship Id="rId1" Type="http://schemas.openxmlformats.org/officeDocument/2006/relationships/hyperlink" Target="https://en.wikipedia.org/wiki/Germany" TargetMode="External"/><Relationship Id="rId6" Type="http://schemas.openxmlformats.org/officeDocument/2006/relationships/image" Target="../media/image3.png"/><Relationship Id="rId15" Type="http://schemas.openxmlformats.org/officeDocument/2006/relationships/hyperlink" Target="https://en.wikipedia.org/wiki/Greece" TargetMode="External"/><Relationship Id="rId23" Type="http://schemas.openxmlformats.org/officeDocument/2006/relationships/hyperlink" Target="https://en.wikipedia.org/wiki/Sweden" TargetMode="External"/><Relationship Id="rId28" Type="http://schemas.openxmlformats.org/officeDocument/2006/relationships/image" Target="../media/image14.png"/><Relationship Id="rId36" Type="http://schemas.openxmlformats.org/officeDocument/2006/relationships/image" Target="../media/image18.png"/><Relationship Id="rId49" Type="http://schemas.openxmlformats.org/officeDocument/2006/relationships/hyperlink" Target="https://en.wikipedia.org/wiki/Luxembourg" TargetMode="External"/><Relationship Id="rId57" Type="http://schemas.openxmlformats.org/officeDocument/2006/relationships/hyperlink" Target="https://en.wikipedia.org/wiki/European_Union" TargetMode="External"/><Relationship Id="rId10" Type="http://schemas.openxmlformats.org/officeDocument/2006/relationships/image" Target="../media/image5.png"/><Relationship Id="rId31" Type="http://schemas.openxmlformats.org/officeDocument/2006/relationships/hyperlink" Target="https://en.wikipedia.org/wiki/Bulgaria" TargetMode="External"/><Relationship Id="rId44" Type="http://schemas.openxmlformats.org/officeDocument/2006/relationships/image" Target="../media/image22.png"/><Relationship Id="rId52" Type="http://schemas.openxmlformats.org/officeDocument/2006/relationships/image" Target="../media/image26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4</xdr:row>
      <xdr:rowOff>0</xdr:rowOff>
    </xdr:from>
    <xdr:to>
      <xdr:col>2</xdr:col>
      <xdr:colOff>219075</xdr:colOff>
      <xdr:row>4</xdr:row>
      <xdr:rowOff>133350</xdr:rowOff>
    </xdr:to>
    <xdr:pic>
      <xdr:nvPicPr>
        <xdr:cNvPr id="2" name="Picture 1" descr="Germany">
          <a:hlinkClick xmlns:r="http://schemas.openxmlformats.org/officeDocument/2006/relationships" r:id="rId1" tooltip="Germany"/>
          <a:extLst>
            <a:ext uri="{FF2B5EF4-FFF2-40B4-BE49-F238E27FC236}">
              <a16:creationId xmlns:a16="http://schemas.microsoft.com/office/drawing/2014/main" id="{65587A18-A31F-1B82-0BDB-E2FC177F77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95650"/>
          <a:ext cx="219075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219075</xdr:colOff>
      <xdr:row>5</xdr:row>
      <xdr:rowOff>142875</xdr:rowOff>
    </xdr:to>
    <xdr:pic>
      <xdr:nvPicPr>
        <xdr:cNvPr id="3" name="Picture 2" descr="Spain">
          <a:hlinkClick xmlns:r="http://schemas.openxmlformats.org/officeDocument/2006/relationships" r:id="rId3" tooltip="Spain"/>
          <a:extLst>
            <a:ext uri="{FF2B5EF4-FFF2-40B4-BE49-F238E27FC236}">
              <a16:creationId xmlns:a16="http://schemas.microsoft.com/office/drawing/2014/main" id="{C5F59967-79C6-2DEA-FC3A-B114FA1F19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686175"/>
          <a:ext cx="2190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219075</xdr:colOff>
      <xdr:row>6</xdr:row>
      <xdr:rowOff>142875</xdr:rowOff>
    </xdr:to>
    <xdr:pic>
      <xdr:nvPicPr>
        <xdr:cNvPr id="4" name="Picture 3" descr="Italy">
          <a:hlinkClick xmlns:r="http://schemas.openxmlformats.org/officeDocument/2006/relationships" r:id="rId5" tooltip="Italy"/>
          <a:extLst>
            <a:ext uri="{FF2B5EF4-FFF2-40B4-BE49-F238E27FC236}">
              <a16:creationId xmlns:a16="http://schemas.microsoft.com/office/drawing/2014/main" id="{A80C1667-8DB5-FC24-2F46-1770A273B4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86200"/>
          <a:ext cx="2190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219075</xdr:colOff>
      <xdr:row>7</xdr:row>
      <xdr:rowOff>142875</xdr:rowOff>
    </xdr:to>
    <xdr:pic>
      <xdr:nvPicPr>
        <xdr:cNvPr id="5" name="Picture 4" descr="Netherlands">
          <a:hlinkClick xmlns:r="http://schemas.openxmlformats.org/officeDocument/2006/relationships" r:id="rId7" tooltip="Netherlands"/>
          <a:extLst>
            <a:ext uri="{FF2B5EF4-FFF2-40B4-BE49-F238E27FC236}">
              <a16:creationId xmlns:a16="http://schemas.microsoft.com/office/drawing/2014/main" id="{FAA2DBDB-524F-897F-45D0-85A8A4BDF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86225"/>
          <a:ext cx="2190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219075</xdr:colOff>
      <xdr:row>8</xdr:row>
      <xdr:rowOff>142875</xdr:rowOff>
    </xdr:to>
    <xdr:pic>
      <xdr:nvPicPr>
        <xdr:cNvPr id="6" name="Picture 5" descr="France">
          <a:hlinkClick xmlns:r="http://schemas.openxmlformats.org/officeDocument/2006/relationships" r:id="rId9" tooltip="France"/>
          <a:extLst>
            <a:ext uri="{FF2B5EF4-FFF2-40B4-BE49-F238E27FC236}">
              <a16:creationId xmlns:a16="http://schemas.microsoft.com/office/drawing/2014/main" id="{565E412C-39EF-5574-8BDE-83F5D81690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76750"/>
          <a:ext cx="2190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219075</xdr:colOff>
      <xdr:row>9</xdr:row>
      <xdr:rowOff>133350</xdr:rowOff>
    </xdr:to>
    <xdr:pic>
      <xdr:nvPicPr>
        <xdr:cNvPr id="7" name="Picture 6" descr="Poland">
          <a:hlinkClick xmlns:r="http://schemas.openxmlformats.org/officeDocument/2006/relationships" r:id="rId11" tooltip="Poland"/>
          <a:extLst>
            <a:ext uri="{FF2B5EF4-FFF2-40B4-BE49-F238E27FC236}">
              <a16:creationId xmlns:a16="http://schemas.microsoft.com/office/drawing/2014/main" id="{2D814D98-A2E2-0FA9-FB2D-2A4FA2248B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76775"/>
          <a:ext cx="219075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219075</xdr:colOff>
      <xdr:row>10</xdr:row>
      <xdr:rowOff>142875</xdr:rowOff>
    </xdr:to>
    <xdr:pic>
      <xdr:nvPicPr>
        <xdr:cNvPr id="8" name="Picture 7" descr="Belgium">
          <a:hlinkClick xmlns:r="http://schemas.openxmlformats.org/officeDocument/2006/relationships" r:id="rId13" tooltip="Belgium"/>
          <a:extLst>
            <a:ext uri="{FF2B5EF4-FFF2-40B4-BE49-F238E27FC236}">
              <a16:creationId xmlns:a16="http://schemas.microsoft.com/office/drawing/2014/main" id="{259A3025-288F-CFA8-3C25-4E73C96AD7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76800"/>
          <a:ext cx="2190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219075</xdr:colOff>
      <xdr:row>11</xdr:row>
      <xdr:rowOff>142875</xdr:rowOff>
    </xdr:to>
    <xdr:pic>
      <xdr:nvPicPr>
        <xdr:cNvPr id="9" name="Picture 8" descr="Greece">
          <a:hlinkClick xmlns:r="http://schemas.openxmlformats.org/officeDocument/2006/relationships" r:id="rId15" tooltip="Greece"/>
          <a:extLst>
            <a:ext uri="{FF2B5EF4-FFF2-40B4-BE49-F238E27FC236}">
              <a16:creationId xmlns:a16="http://schemas.microsoft.com/office/drawing/2014/main" id="{C1265E24-D091-6DC4-C8F2-365653664C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67325"/>
          <a:ext cx="2190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219075</xdr:colOff>
      <xdr:row>12</xdr:row>
      <xdr:rowOff>142875</xdr:rowOff>
    </xdr:to>
    <xdr:pic>
      <xdr:nvPicPr>
        <xdr:cNvPr id="10" name="Picture 9" descr="Austria">
          <a:hlinkClick xmlns:r="http://schemas.openxmlformats.org/officeDocument/2006/relationships" r:id="rId17" tooltip="Austria"/>
          <a:extLst>
            <a:ext uri="{FF2B5EF4-FFF2-40B4-BE49-F238E27FC236}">
              <a16:creationId xmlns:a16="http://schemas.microsoft.com/office/drawing/2014/main" id="{ACBF70B8-BDA0-0F2F-788B-5878B8C43C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57850"/>
          <a:ext cx="2190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219075</xdr:colOff>
      <xdr:row>13</xdr:row>
      <xdr:rowOff>114300</xdr:rowOff>
    </xdr:to>
    <xdr:pic>
      <xdr:nvPicPr>
        <xdr:cNvPr id="11" name="Picture 10" descr="Hungary">
          <a:hlinkClick xmlns:r="http://schemas.openxmlformats.org/officeDocument/2006/relationships" r:id="rId19" tooltip="Hungary"/>
          <a:extLst>
            <a:ext uri="{FF2B5EF4-FFF2-40B4-BE49-F238E27FC236}">
              <a16:creationId xmlns:a16="http://schemas.microsoft.com/office/drawing/2014/main" id="{A20B2FD4-C0C2-5FBC-9DCB-2607F2A8E2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57875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219075</xdr:colOff>
      <xdr:row>14</xdr:row>
      <xdr:rowOff>142875</xdr:rowOff>
    </xdr:to>
    <xdr:pic>
      <xdr:nvPicPr>
        <xdr:cNvPr id="12" name="Picture 11" descr="Portugal">
          <a:hlinkClick xmlns:r="http://schemas.openxmlformats.org/officeDocument/2006/relationships" r:id="rId21" tooltip="Portugal"/>
          <a:extLst>
            <a:ext uri="{FF2B5EF4-FFF2-40B4-BE49-F238E27FC236}">
              <a16:creationId xmlns:a16="http://schemas.microsoft.com/office/drawing/2014/main" id="{4EA39072-EF00-6F6A-6BAB-739265688E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48400"/>
          <a:ext cx="2190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219075</xdr:colOff>
      <xdr:row>15</xdr:row>
      <xdr:rowOff>133350</xdr:rowOff>
    </xdr:to>
    <xdr:pic>
      <xdr:nvPicPr>
        <xdr:cNvPr id="13" name="Picture 12" descr="Sweden">
          <a:hlinkClick xmlns:r="http://schemas.openxmlformats.org/officeDocument/2006/relationships" r:id="rId23" tooltip="Sweden"/>
          <a:extLst>
            <a:ext uri="{FF2B5EF4-FFF2-40B4-BE49-F238E27FC236}">
              <a16:creationId xmlns:a16="http://schemas.microsoft.com/office/drawing/2014/main" id="{14043FA3-1739-E1AF-2D60-60B56C7B8B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638925"/>
          <a:ext cx="219075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219075</xdr:colOff>
      <xdr:row>16</xdr:row>
      <xdr:rowOff>142875</xdr:rowOff>
    </xdr:to>
    <xdr:pic>
      <xdr:nvPicPr>
        <xdr:cNvPr id="14" name="Picture 13" descr="Romania">
          <a:hlinkClick xmlns:r="http://schemas.openxmlformats.org/officeDocument/2006/relationships" r:id="rId25" tooltip="Romania"/>
          <a:extLst>
            <a:ext uri="{FF2B5EF4-FFF2-40B4-BE49-F238E27FC236}">
              <a16:creationId xmlns:a16="http://schemas.microsoft.com/office/drawing/2014/main" id="{8E5CF51A-DAF3-A36D-027A-F0E3B5361D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029450"/>
          <a:ext cx="2190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219075</xdr:colOff>
      <xdr:row>17</xdr:row>
      <xdr:rowOff>142875</xdr:rowOff>
    </xdr:to>
    <xdr:pic>
      <xdr:nvPicPr>
        <xdr:cNvPr id="15" name="Picture 14" descr="Czech Republic">
          <a:hlinkClick xmlns:r="http://schemas.openxmlformats.org/officeDocument/2006/relationships" r:id="rId27" tooltip="Czech Republic"/>
          <a:extLst>
            <a:ext uri="{FF2B5EF4-FFF2-40B4-BE49-F238E27FC236}">
              <a16:creationId xmlns:a16="http://schemas.microsoft.com/office/drawing/2014/main" id="{63A3B5D6-5805-DB73-77F0-88A86C9079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419975"/>
          <a:ext cx="2190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190500</xdr:colOff>
      <xdr:row>18</xdr:row>
      <xdr:rowOff>142875</xdr:rowOff>
    </xdr:to>
    <xdr:pic>
      <xdr:nvPicPr>
        <xdr:cNvPr id="16" name="Picture 15" descr="Denmark">
          <a:hlinkClick xmlns:r="http://schemas.openxmlformats.org/officeDocument/2006/relationships" r:id="rId29" tooltip="Denmark"/>
          <a:extLst>
            <a:ext uri="{FF2B5EF4-FFF2-40B4-BE49-F238E27FC236}">
              <a16:creationId xmlns:a16="http://schemas.microsoft.com/office/drawing/2014/main" id="{E599B2D9-A59F-6464-91DF-09CFF17E09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620000"/>
          <a:ext cx="19050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219075</xdr:colOff>
      <xdr:row>19</xdr:row>
      <xdr:rowOff>133350</xdr:rowOff>
    </xdr:to>
    <xdr:pic>
      <xdr:nvPicPr>
        <xdr:cNvPr id="17" name="Picture 16" descr="Bulgaria">
          <a:hlinkClick xmlns:r="http://schemas.openxmlformats.org/officeDocument/2006/relationships" r:id="rId31" tooltip="Bulgaria"/>
          <a:extLst>
            <a:ext uri="{FF2B5EF4-FFF2-40B4-BE49-F238E27FC236}">
              <a16:creationId xmlns:a16="http://schemas.microsoft.com/office/drawing/2014/main" id="{9FB7EF54-2724-E689-6155-AF0DB338D9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010525"/>
          <a:ext cx="219075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219075</xdr:colOff>
      <xdr:row>20</xdr:row>
      <xdr:rowOff>133350</xdr:rowOff>
    </xdr:to>
    <xdr:pic>
      <xdr:nvPicPr>
        <xdr:cNvPr id="18" name="Picture 17" descr="Lithuania">
          <a:hlinkClick xmlns:r="http://schemas.openxmlformats.org/officeDocument/2006/relationships" r:id="rId33" tooltip="Lithuania"/>
          <a:extLst>
            <a:ext uri="{FF2B5EF4-FFF2-40B4-BE49-F238E27FC236}">
              <a16:creationId xmlns:a16="http://schemas.microsoft.com/office/drawing/2014/main" id="{83E92703-220E-1754-4DE4-2F61B9AF0D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401050"/>
          <a:ext cx="219075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219075</xdr:colOff>
      <xdr:row>21</xdr:row>
      <xdr:rowOff>114300</xdr:rowOff>
    </xdr:to>
    <xdr:pic>
      <xdr:nvPicPr>
        <xdr:cNvPr id="19" name="Picture 18" descr="Ireland">
          <a:hlinkClick xmlns:r="http://schemas.openxmlformats.org/officeDocument/2006/relationships" r:id="rId35" tooltip="Ireland"/>
          <a:extLst>
            <a:ext uri="{FF2B5EF4-FFF2-40B4-BE49-F238E27FC236}">
              <a16:creationId xmlns:a16="http://schemas.microsoft.com/office/drawing/2014/main" id="{FABB41D4-A670-D1AF-81F9-89E9853563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791575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219075</xdr:colOff>
      <xdr:row>22</xdr:row>
      <xdr:rowOff>142875</xdr:rowOff>
    </xdr:to>
    <xdr:pic>
      <xdr:nvPicPr>
        <xdr:cNvPr id="20" name="Picture 19" descr="Estonia">
          <a:hlinkClick xmlns:r="http://schemas.openxmlformats.org/officeDocument/2006/relationships" r:id="rId37" tooltip="Estonia"/>
          <a:extLst>
            <a:ext uri="{FF2B5EF4-FFF2-40B4-BE49-F238E27FC236}">
              <a16:creationId xmlns:a16="http://schemas.microsoft.com/office/drawing/2014/main" id="{CCD05AC8-D7F5-22F6-850D-45EF9FF0D7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991600"/>
          <a:ext cx="2190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219075</xdr:colOff>
      <xdr:row>23</xdr:row>
      <xdr:rowOff>114300</xdr:rowOff>
    </xdr:to>
    <xdr:pic>
      <xdr:nvPicPr>
        <xdr:cNvPr id="21" name="Picture 20" descr="Slovenia">
          <a:hlinkClick xmlns:r="http://schemas.openxmlformats.org/officeDocument/2006/relationships" r:id="rId39" tooltip="Slovenia"/>
          <a:extLst>
            <a:ext uri="{FF2B5EF4-FFF2-40B4-BE49-F238E27FC236}">
              <a16:creationId xmlns:a16="http://schemas.microsoft.com/office/drawing/2014/main" id="{20269491-9964-F110-063F-82314FEF63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382125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219075</xdr:colOff>
      <xdr:row>24</xdr:row>
      <xdr:rowOff>133350</xdr:rowOff>
    </xdr:to>
    <xdr:pic>
      <xdr:nvPicPr>
        <xdr:cNvPr id="22" name="Picture 21" descr="Finland">
          <a:hlinkClick xmlns:r="http://schemas.openxmlformats.org/officeDocument/2006/relationships" r:id="rId41" tooltip="Finland"/>
          <a:extLst>
            <a:ext uri="{FF2B5EF4-FFF2-40B4-BE49-F238E27FC236}">
              <a16:creationId xmlns:a16="http://schemas.microsoft.com/office/drawing/2014/main" id="{0B9C0D20-6978-BC61-BF1F-11D08224AD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772650"/>
          <a:ext cx="219075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219075</xdr:colOff>
      <xdr:row>25</xdr:row>
      <xdr:rowOff>142875</xdr:rowOff>
    </xdr:to>
    <xdr:pic>
      <xdr:nvPicPr>
        <xdr:cNvPr id="23" name="Picture 22" descr="Slovakia">
          <a:hlinkClick xmlns:r="http://schemas.openxmlformats.org/officeDocument/2006/relationships" r:id="rId43" tooltip="Slovakia"/>
          <a:extLst>
            <a:ext uri="{FF2B5EF4-FFF2-40B4-BE49-F238E27FC236}">
              <a16:creationId xmlns:a16="http://schemas.microsoft.com/office/drawing/2014/main" id="{5A11EC8E-A82D-7530-7CA2-7AE3BFFF5F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972675"/>
          <a:ext cx="2190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219075</xdr:colOff>
      <xdr:row>26</xdr:row>
      <xdr:rowOff>114300</xdr:rowOff>
    </xdr:to>
    <xdr:pic>
      <xdr:nvPicPr>
        <xdr:cNvPr id="24" name="Picture 23" descr="Croatia">
          <a:hlinkClick xmlns:r="http://schemas.openxmlformats.org/officeDocument/2006/relationships" r:id="rId45" tooltip="Croatia"/>
          <a:extLst>
            <a:ext uri="{FF2B5EF4-FFF2-40B4-BE49-F238E27FC236}">
              <a16:creationId xmlns:a16="http://schemas.microsoft.com/office/drawing/2014/main" id="{E634B4F6-9A45-9B96-904C-C98252906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363200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219075</xdr:colOff>
      <xdr:row>27</xdr:row>
      <xdr:rowOff>142875</xdr:rowOff>
    </xdr:to>
    <xdr:pic>
      <xdr:nvPicPr>
        <xdr:cNvPr id="25" name="Picture 24" descr="Cyprus">
          <a:hlinkClick xmlns:r="http://schemas.openxmlformats.org/officeDocument/2006/relationships" r:id="rId47" tooltip="Cyprus"/>
          <a:extLst>
            <a:ext uri="{FF2B5EF4-FFF2-40B4-BE49-F238E27FC236}">
              <a16:creationId xmlns:a16="http://schemas.microsoft.com/office/drawing/2014/main" id="{DAA86985-6538-0029-C478-7DE85109FF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753725"/>
          <a:ext cx="2190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219075</xdr:colOff>
      <xdr:row>28</xdr:row>
      <xdr:rowOff>133350</xdr:rowOff>
    </xdr:to>
    <xdr:pic>
      <xdr:nvPicPr>
        <xdr:cNvPr id="26" name="Picture 25" descr="Luxembourg">
          <a:hlinkClick xmlns:r="http://schemas.openxmlformats.org/officeDocument/2006/relationships" r:id="rId49" tooltip="Luxembourg"/>
          <a:extLst>
            <a:ext uri="{FF2B5EF4-FFF2-40B4-BE49-F238E27FC236}">
              <a16:creationId xmlns:a16="http://schemas.microsoft.com/office/drawing/2014/main" id="{E452F382-5BBD-0911-9A1D-B54F6F5593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953750"/>
          <a:ext cx="219075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219075</xdr:colOff>
      <xdr:row>29</xdr:row>
      <xdr:rowOff>114300</xdr:rowOff>
    </xdr:to>
    <xdr:pic>
      <xdr:nvPicPr>
        <xdr:cNvPr id="27" name="Picture 26" descr="Latvia">
          <a:hlinkClick xmlns:r="http://schemas.openxmlformats.org/officeDocument/2006/relationships" r:id="rId51" tooltip="Latvia"/>
          <a:extLst>
            <a:ext uri="{FF2B5EF4-FFF2-40B4-BE49-F238E27FC236}">
              <a16:creationId xmlns:a16="http://schemas.microsoft.com/office/drawing/2014/main" id="{92A27DE7-5AC0-A8FC-193F-D248DECD4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344275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219075</xdr:colOff>
      <xdr:row>30</xdr:row>
      <xdr:rowOff>142875</xdr:rowOff>
    </xdr:to>
    <xdr:pic>
      <xdr:nvPicPr>
        <xdr:cNvPr id="28" name="Picture 27" descr="Malta">
          <a:hlinkClick xmlns:r="http://schemas.openxmlformats.org/officeDocument/2006/relationships" r:id="rId53" tooltip="Malta"/>
          <a:extLst>
            <a:ext uri="{FF2B5EF4-FFF2-40B4-BE49-F238E27FC236}">
              <a16:creationId xmlns:a16="http://schemas.microsoft.com/office/drawing/2014/main" id="{F1A1B7F2-BD59-99D9-40F3-CC4EFB4DBC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544300"/>
          <a:ext cx="2190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219075</xdr:colOff>
      <xdr:row>31</xdr:row>
      <xdr:rowOff>114300</xdr:rowOff>
    </xdr:to>
    <xdr:pic>
      <xdr:nvPicPr>
        <xdr:cNvPr id="29" name="Picture 28" descr="United Kingdom">
          <a:hlinkClick xmlns:r="http://schemas.openxmlformats.org/officeDocument/2006/relationships" r:id="rId55" tooltip="United Kingdom"/>
          <a:extLst>
            <a:ext uri="{FF2B5EF4-FFF2-40B4-BE49-F238E27FC236}">
              <a16:creationId xmlns:a16="http://schemas.microsoft.com/office/drawing/2014/main" id="{B8CE3688-B56B-C635-D6EA-E70FFB55F0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744325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219075</xdr:colOff>
      <xdr:row>32</xdr:row>
      <xdr:rowOff>142875</xdr:rowOff>
    </xdr:to>
    <xdr:pic>
      <xdr:nvPicPr>
        <xdr:cNvPr id="30" name="Picture 29" descr="European Union">
          <a:hlinkClick xmlns:r="http://schemas.openxmlformats.org/officeDocument/2006/relationships" r:id="rId57" tooltip="European Union"/>
          <a:extLst>
            <a:ext uri="{FF2B5EF4-FFF2-40B4-BE49-F238E27FC236}">
              <a16:creationId xmlns:a16="http://schemas.microsoft.com/office/drawing/2014/main" id="{0445FB94-8435-08C5-5ED8-6246459A4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325350"/>
          <a:ext cx="2190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39</xdr:row>
      <xdr:rowOff>0</xdr:rowOff>
    </xdr:from>
    <xdr:to>
      <xdr:col>3</xdr:col>
      <xdr:colOff>304800</xdr:colOff>
      <xdr:row>40</xdr:row>
      <xdr:rowOff>114300</xdr:rowOff>
    </xdr:to>
    <xdr:sp macro="" textlink="">
      <xdr:nvSpPr>
        <xdr:cNvPr id="18433" name="AutoShape 1">
          <a:extLst>
            <a:ext uri="{FF2B5EF4-FFF2-40B4-BE49-F238E27FC236}">
              <a16:creationId xmlns:a16="http://schemas.microsoft.com/office/drawing/2014/main" id="{AB1FEF5A-3BD9-6FD7-45E5-3C00451844D5}"/>
            </a:ext>
          </a:extLst>
        </xdr:cNvPr>
        <xdr:cNvSpPr>
          <a:spLocks noChangeAspect="1" noChangeArrowheads="1"/>
        </xdr:cNvSpPr>
      </xdr:nvSpPr>
      <xdr:spPr bwMode="auto">
        <a:xfrm>
          <a:off x="1828800" y="742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95250</xdr:colOff>
      <xdr:row>37</xdr:row>
      <xdr:rowOff>57150</xdr:rowOff>
    </xdr:from>
    <xdr:to>
      <xdr:col>17</xdr:col>
      <xdr:colOff>67777</xdr:colOff>
      <xdr:row>61</xdr:row>
      <xdr:rowOff>133999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298F43-2459-D5F5-D780-2B16A9BD3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33650" y="7334250"/>
          <a:ext cx="7897327" cy="46488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BB\bb-dev\north_european_model\src_files\data_files\unittypedata_compilation.xlsx" TargetMode="External"/><Relationship Id="rId1" Type="http://schemas.openxmlformats.org/officeDocument/2006/relationships/externalLinkPath" Target="unittypedata_compil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nittypedata"/>
    </sheetNames>
    <sheetDataSet>
      <sheetData sheetId="0">
        <row r="1">
          <cell r="D1" t="str">
            <v>unittype</v>
          </cell>
          <cell r="S1" t="str">
            <v>vomCosts</v>
          </cell>
        </row>
        <row r="3">
          <cell r="D3" t="str">
            <v>windOnshore</v>
          </cell>
          <cell r="S3">
            <v>1.75</v>
          </cell>
        </row>
        <row r="4">
          <cell r="D4" t="str">
            <v>windOffshore</v>
          </cell>
          <cell r="S4">
            <v>2</v>
          </cell>
        </row>
        <row r="5">
          <cell r="D5" t="str">
            <v>solarPV</v>
          </cell>
          <cell r="S5">
            <v>1.5</v>
          </cell>
        </row>
        <row r="7">
          <cell r="D7" t="str">
            <v>rorTurbine</v>
          </cell>
          <cell r="S7">
            <v>2</v>
          </cell>
        </row>
        <row r="8">
          <cell r="D8" t="str">
            <v>reservoirTurbine</v>
          </cell>
          <cell r="S8">
            <v>1.8</v>
          </cell>
        </row>
        <row r="9">
          <cell r="D9" t="str">
            <v>psOpenTurbine</v>
          </cell>
          <cell r="S9">
            <v>2</v>
          </cell>
        </row>
        <row r="10">
          <cell r="D10" t="str">
            <v>psOpenPump</v>
          </cell>
          <cell r="S10">
            <v>1.6</v>
          </cell>
        </row>
        <row r="11">
          <cell r="D11" t="str">
            <v>psClosedTurbine</v>
          </cell>
          <cell r="S11">
            <v>1.8</v>
          </cell>
        </row>
        <row r="12">
          <cell r="D12" t="str">
            <v>psClosedPump</v>
          </cell>
          <cell r="S12">
            <v>1.4</v>
          </cell>
        </row>
        <row r="14">
          <cell r="D14" t="str">
            <v>oilShaleOld</v>
          </cell>
          <cell r="S14">
            <v>3.3</v>
          </cell>
        </row>
        <row r="15">
          <cell r="D15" t="str">
            <v>bioOilshaleNew</v>
          </cell>
          <cell r="S15">
            <v>3.3</v>
          </cell>
        </row>
        <row r="16">
          <cell r="D16" t="str">
            <v>oilshaleNew</v>
          </cell>
          <cell r="S16">
            <v>3.3</v>
          </cell>
        </row>
        <row r="17">
          <cell r="D17" t="str">
            <v>bioLigniteOld2</v>
          </cell>
          <cell r="S17">
            <v>3.3</v>
          </cell>
        </row>
        <row r="18">
          <cell r="D18" t="str">
            <v>ligniteOld2</v>
          </cell>
          <cell r="S18">
            <v>3.3</v>
          </cell>
        </row>
        <row r="19">
          <cell r="D19" t="str">
            <v>bioLigniteOld1</v>
          </cell>
          <cell r="S19">
            <v>3.3</v>
          </cell>
        </row>
        <row r="20">
          <cell r="D20" t="str">
            <v>ligniteOld1</v>
          </cell>
          <cell r="S20">
            <v>3.3</v>
          </cell>
        </row>
        <row r="21">
          <cell r="D21" t="str">
            <v>ligniteNew</v>
          </cell>
          <cell r="S21">
            <v>3.3</v>
          </cell>
        </row>
        <row r="22">
          <cell r="D22" t="str">
            <v>ligniteCCS</v>
          </cell>
          <cell r="S22">
            <v>6.6</v>
          </cell>
        </row>
        <row r="23">
          <cell r="D23" t="str">
            <v>OilLightOld</v>
          </cell>
          <cell r="S23">
            <v>2.1</v>
          </cell>
        </row>
        <row r="24">
          <cell r="D24" t="str">
            <v>oilHeavyOld2</v>
          </cell>
          <cell r="S24">
            <v>3.3</v>
          </cell>
        </row>
        <row r="25">
          <cell r="D25" t="str">
            <v>oilHeavyOld1</v>
          </cell>
          <cell r="S25">
            <v>3.3</v>
          </cell>
        </row>
        <row r="26">
          <cell r="D26" t="str">
            <v>bioOilHeavyOld</v>
          </cell>
          <cell r="S26">
            <v>3.3</v>
          </cell>
        </row>
        <row r="27">
          <cell r="D27" t="str">
            <v>bioCoalOld</v>
          </cell>
          <cell r="S27">
            <v>3.3</v>
          </cell>
        </row>
        <row r="28">
          <cell r="D28" t="str">
            <v>bioCoalOld2</v>
          </cell>
          <cell r="S28">
            <v>3.3</v>
          </cell>
        </row>
        <row r="29">
          <cell r="D29" t="str">
            <v>coalOld2</v>
          </cell>
          <cell r="S29">
            <v>3.3</v>
          </cell>
        </row>
        <row r="30">
          <cell r="D30" t="str">
            <v>coalOld1</v>
          </cell>
          <cell r="S30">
            <v>3.3</v>
          </cell>
        </row>
        <row r="31">
          <cell r="D31" t="str">
            <v>bioCoalNew</v>
          </cell>
          <cell r="S31">
            <v>3.3</v>
          </cell>
        </row>
        <row r="32">
          <cell r="D32" t="str">
            <v>coalNew</v>
          </cell>
          <cell r="S32">
            <v>3.3</v>
          </cell>
        </row>
        <row r="33">
          <cell r="D33" t="str">
            <v>bioGasOld2</v>
          </cell>
          <cell r="S33">
            <v>2.1</v>
          </cell>
        </row>
        <row r="34">
          <cell r="D34" t="str">
            <v>gasOld2</v>
          </cell>
          <cell r="S34">
            <v>2.1</v>
          </cell>
        </row>
        <row r="35">
          <cell r="D35" t="str">
            <v>gasOld1</v>
          </cell>
          <cell r="S35">
            <v>2.1</v>
          </cell>
        </row>
        <row r="36">
          <cell r="D36" t="str">
            <v>gasOCGTold</v>
          </cell>
          <cell r="S36">
            <v>2.6</v>
          </cell>
        </row>
        <row r="37">
          <cell r="D37" t="str">
            <v>gasOCGTnew</v>
          </cell>
          <cell r="S37">
            <v>2.6</v>
          </cell>
        </row>
        <row r="38">
          <cell r="D38" t="str">
            <v>gasCCGTpresent2</v>
          </cell>
          <cell r="S38">
            <v>2.6</v>
          </cell>
        </row>
        <row r="39">
          <cell r="D39" t="str">
            <v>gasCCGTpresent1</v>
          </cell>
          <cell r="S39">
            <v>2.6</v>
          </cell>
        </row>
        <row r="40">
          <cell r="D40" t="str">
            <v>bioGasCCGTOld2</v>
          </cell>
          <cell r="S40">
            <v>2.6</v>
          </cell>
        </row>
        <row r="41">
          <cell r="D41" t="str">
            <v>gasCCGTOld2</v>
          </cell>
          <cell r="S41">
            <v>2.6</v>
          </cell>
        </row>
        <row r="42">
          <cell r="D42" t="str">
            <v>gasCCGTOld1</v>
          </cell>
          <cell r="S42">
            <v>2.6</v>
          </cell>
        </row>
        <row r="43">
          <cell r="D43" t="str">
            <v>gasCCGTNew</v>
          </cell>
          <cell r="S43">
            <v>2.6</v>
          </cell>
        </row>
        <row r="45">
          <cell r="D45" t="str">
            <v>coalCCS</v>
          </cell>
          <cell r="S45">
            <v>6.6</v>
          </cell>
        </row>
        <row r="46">
          <cell r="D46" t="str">
            <v>gasCCGTCCS</v>
          </cell>
          <cell r="S46">
            <v>3.2</v>
          </cell>
        </row>
        <row r="48">
          <cell r="D48" t="str">
            <v>nuclear</v>
          </cell>
          <cell r="S48">
            <v>3</v>
          </cell>
        </row>
        <row r="49">
          <cell r="D49" t="str">
            <v>nuclearFlexible</v>
          </cell>
          <cell r="S49">
            <v>3.1</v>
          </cell>
        </row>
        <row r="51">
          <cell r="D51" t="str">
            <v>bioCHPIndustry</v>
          </cell>
          <cell r="S51">
            <v>2</v>
          </cell>
        </row>
        <row r="52">
          <cell r="D52" t="str">
            <v>coalCHPIndustry</v>
          </cell>
          <cell r="S52">
            <v>2</v>
          </cell>
        </row>
        <row r="53">
          <cell r="D53" t="str">
            <v>gasCHPIndustry</v>
          </cell>
          <cell r="S53">
            <v>2</v>
          </cell>
        </row>
        <row r="55">
          <cell r="D55" t="str">
            <v>BatteryCharger</v>
          </cell>
          <cell r="S55">
            <v>1.4</v>
          </cell>
        </row>
        <row r="56">
          <cell r="D56" t="str">
            <v>BatteryDisch</v>
          </cell>
          <cell r="S56">
            <v>1.4</v>
          </cell>
        </row>
        <row r="57">
          <cell r="D57" t="str">
            <v>BatteryCharger4h</v>
          </cell>
          <cell r="S57">
            <v>1.6</v>
          </cell>
        </row>
        <row r="58">
          <cell r="D58" t="str">
            <v>BatteryDisch4h</v>
          </cell>
          <cell r="S58">
            <v>1.6</v>
          </cell>
        </row>
        <row r="60">
          <cell r="D60" t="str">
            <v>solarThermal</v>
          </cell>
        </row>
        <row r="61">
          <cell r="D61" t="str">
            <v>GSHP</v>
          </cell>
          <cell r="S61">
            <v>6</v>
          </cell>
        </row>
        <row r="62">
          <cell r="D62" t="str">
            <v>wasteHOB</v>
          </cell>
          <cell r="S62">
            <v>2</v>
          </cell>
        </row>
        <row r="63">
          <cell r="D63" t="str">
            <v>oilHOB</v>
          </cell>
          <cell r="S63">
            <v>2</v>
          </cell>
        </row>
        <row r="64">
          <cell r="D64" t="str">
            <v>gasHOB</v>
          </cell>
          <cell r="S64">
            <v>2</v>
          </cell>
        </row>
        <row r="65">
          <cell r="D65" t="str">
            <v>bioHOB</v>
          </cell>
          <cell r="S65">
            <v>2</v>
          </cell>
        </row>
        <row r="66">
          <cell r="D66" t="str">
            <v>elecHOB</v>
          </cell>
          <cell r="S66">
            <v>1.5</v>
          </cell>
        </row>
        <row r="67">
          <cell r="D67" t="str">
            <v>wasteCHP</v>
          </cell>
          <cell r="S67">
            <v>2</v>
          </cell>
        </row>
        <row r="68">
          <cell r="D68" t="str">
            <v>coalCHP</v>
          </cell>
          <cell r="S68">
            <v>2</v>
          </cell>
        </row>
        <row r="69">
          <cell r="D69" t="str">
            <v>bioCHP</v>
          </cell>
          <cell r="S69">
            <v>2</v>
          </cell>
        </row>
        <row r="70">
          <cell r="D70" t="str">
            <v>gasCCGTCHP</v>
          </cell>
          <cell r="S70">
            <v>1.6</v>
          </cell>
        </row>
        <row r="71">
          <cell r="D71" t="str">
            <v>coalHOB</v>
          </cell>
          <cell r="S71">
            <v>2</v>
          </cell>
        </row>
        <row r="72">
          <cell r="D72" t="str">
            <v>coalCHPExtraction</v>
          </cell>
          <cell r="S72">
            <v>2</v>
          </cell>
        </row>
        <row r="73">
          <cell r="D73" t="str">
            <v>bioCHPExtraction</v>
          </cell>
          <cell r="S73">
            <v>2</v>
          </cell>
        </row>
        <row r="74">
          <cell r="D74" t="str">
            <v>gasCHPExtraction</v>
          </cell>
          <cell r="S74">
            <v>1.6</v>
          </cell>
        </row>
        <row r="75">
          <cell r="D75" t="str">
            <v>oilshaleCHP</v>
          </cell>
          <cell r="S75">
            <v>3.3</v>
          </cell>
        </row>
        <row r="76">
          <cell r="D76" t="str">
            <v>gasOCGTCHP</v>
          </cell>
          <cell r="S76">
            <v>1.6</v>
          </cell>
        </row>
        <row r="77">
          <cell r="D77" t="str">
            <v>HeatStorageCharger</v>
          </cell>
          <cell r="S77">
            <v>1.4</v>
          </cell>
        </row>
        <row r="78">
          <cell r="D78" t="str">
            <v>HeatStorageDisch</v>
          </cell>
          <cell r="S78">
            <v>1.4</v>
          </cell>
        </row>
        <row r="79">
          <cell r="D79" t="str">
            <v>heatStorageChargerLarge</v>
          </cell>
          <cell r="S79">
            <v>1.7</v>
          </cell>
        </row>
        <row r="80">
          <cell r="D80" t="str">
            <v>heatStorageDischLarge</v>
          </cell>
          <cell r="S80">
            <v>1.7</v>
          </cell>
        </row>
        <row r="81">
          <cell r="D81" t="str">
            <v>heatStorageChargerSeasonal</v>
          </cell>
          <cell r="S81">
            <v>2</v>
          </cell>
        </row>
        <row r="82">
          <cell r="D82" t="str">
            <v>heatStorageDischSeasonal</v>
          </cell>
          <cell r="S82">
            <v>2</v>
          </cell>
        </row>
        <row r="84">
          <cell r="D84" t="str">
            <v>DRupwards2</v>
          </cell>
        </row>
        <row r="85">
          <cell r="D85" t="str">
            <v>DRupwards1</v>
          </cell>
        </row>
        <row r="86">
          <cell r="D86" t="str">
            <v>DRcutofftier3</v>
          </cell>
          <cell r="S86">
            <v>2000</v>
          </cell>
        </row>
        <row r="87">
          <cell r="D87" t="str">
            <v>DRcutofftier2</v>
          </cell>
          <cell r="S87">
            <v>1000</v>
          </cell>
        </row>
        <row r="88">
          <cell r="D88" t="str">
            <v>DRcutofftier1</v>
          </cell>
          <cell r="S88">
            <v>400</v>
          </cell>
        </row>
        <row r="90">
          <cell r="D90" t="str">
            <v>Electrolyser</v>
          </cell>
          <cell r="S90">
            <v>1.5</v>
          </cell>
        </row>
        <row r="91">
          <cell r="D91" t="str">
            <v>ElectrolyserSOEC</v>
          </cell>
          <cell r="S91">
            <v>1.5</v>
          </cell>
        </row>
        <row r="92">
          <cell r="D92" t="str">
            <v>hydrogenCCGT</v>
          </cell>
          <cell r="S92">
            <v>1.6</v>
          </cell>
        </row>
        <row r="93">
          <cell r="D93" t="str">
            <v>hydrogenOCGT</v>
          </cell>
          <cell r="S93">
            <v>5</v>
          </cell>
        </row>
        <row r="94">
          <cell r="D94" t="str">
            <v>H2StorageDisch</v>
          </cell>
          <cell r="S94">
            <v>1.5</v>
          </cell>
        </row>
        <row r="95">
          <cell r="D95" t="str">
            <v>H2StorageCharger</v>
          </cell>
          <cell r="S95">
            <v>1.5</v>
          </cell>
        </row>
        <row r="96">
          <cell r="D96" t="str">
            <v>H2StorageDischLongterm</v>
          </cell>
          <cell r="S96">
            <v>2</v>
          </cell>
        </row>
        <row r="97">
          <cell r="D97" t="str">
            <v>H2StorageChargerLongterm</v>
          </cell>
          <cell r="S97">
            <v>2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20E85B3-70B8-42FA-A4DB-D01011C9C779}" name="Table3" displayName="Table3" ref="A1:G104" totalsRowShown="0" headerRowDxfId="32" dataDxfId="30" headerRowBorderDxfId="31" tableBorderDxfId="29">
  <autoFilter ref="A1:G104" xr:uid="{E20E85B3-70B8-42FA-A4DB-D01011C9C779}"/>
  <sortState xmlns:xlrd2="http://schemas.microsoft.com/office/spreadsheetml/2017/richdata2" ref="A2:F104">
    <sortCondition ref="A1:A104"/>
  </sortState>
  <tableColumns count="7">
    <tableColumn id="1" xr3:uid="{9E8A91B3-5637-47C2-B0AE-8BCDAB50C806}" name="Country" dataDxfId="28"/>
    <tableColumn id="8" xr3:uid="{10515A67-0513-41C5-BF78-7C6EC246F7AD}" name="unittype" dataDxfId="27"/>
    <tableColumn id="3" xr3:uid="{5500E0F2-38FA-425D-A49B-9DFF7856120F}" name="Scenario" dataDxfId="26"/>
    <tableColumn id="4" xr3:uid="{2F7FD309-B9BB-4C5B-B61A-862D1DC7A785}" name="Year" dataDxfId="25"/>
    <tableColumn id="5" xr3:uid="{278785FB-0A20-4E0A-8E84-551D5FDF9FC2}" name="capacity_output1" dataDxfId="24"/>
    <tableColumn id="6" xr3:uid="{E48C78BB-51CD-490E-8B43-C4B84C6DDF67}" name="vomCosts" dataDxfId="23">
      <calculatedColumnFormula>ROUND( VLOOKUP($B2,$L$5:$M$29, 2, FALSE) * (1+ VLOOKUP($A2,'vomcost mult'!$N$10:$R$32,5, FALSE)), 2)</calculatedColumnFormula>
    </tableColumn>
    <tableColumn id="7" xr3:uid="{D44E8CC1-3697-402B-8C4C-49C226851A8A}" name="method" dataDxfId="22">
      <calculatedColumnFormula>IF(Table3[[#This Row],[capacity_output1]]&lt;10, "remove", "")</calculatedColumnFormula>
    </tableColumn>
  </tableColumns>
  <tableStyleInfo name="TableStyleMedium1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889FA67-DEB7-4516-91A9-7CF17095E2EC}" name="Table4" displayName="Table4" ref="A1:G70" totalsRowShown="0" headerRowDxfId="21" dataDxfId="19" headerRowBorderDxfId="20" tableBorderDxfId="18">
  <autoFilter ref="A1:G70" xr:uid="{3889FA67-DEB7-4516-91A9-7CF17095E2EC}"/>
  <tableColumns count="7">
    <tableColumn id="1" xr3:uid="{E45B6B69-99E0-46CC-B622-954E9F00977C}" name="Country" dataDxfId="17"/>
    <tableColumn id="8" xr3:uid="{24CC7488-CE10-45F6-9D07-C8258AE8599F}" name="unittype"/>
    <tableColumn id="3" xr3:uid="{23013750-786E-46E4-BB5A-5093E68C9E50}" name="Scenario" dataDxfId="16"/>
    <tableColumn id="4" xr3:uid="{34290B83-B2CB-4767-BBB2-F1BACB31B343}" name="Year" dataDxfId="15"/>
    <tableColumn id="5" xr3:uid="{C5354F01-9DC1-45FC-9DAC-9FEB4789196D}" name="capacity_output1" dataDxfId="14"/>
    <tableColumn id="6" xr3:uid="{4BC02F33-D1CC-4D1B-829D-EC13C6E66759}" name="vomCosts" dataDxfId="13">
      <calculatedColumnFormula>400+V5</calculatedColumnFormula>
    </tableColumn>
    <tableColumn id="7" xr3:uid="{44CC38D0-922B-47B3-AD5D-D98AD32D8306}" name="method" dataDxfId="12">
      <calculatedColumnFormula>IF(Table4[[#This Row],[capacity_output1]]&lt;10, "remove", "")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1DB227-DDC4-472D-997A-DFFFE388BE8E}" name="Table6" displayName="Table6" ref="A1:I93" totalsRowShown="0" headerRowDxfId="11" headerRowBorderDxfId="10" tableBorderDxfId="9">
  <autoFilter ref="A1:I93" xr:uid="{B440C99F-3BB1-4A8C-9867-FC60A58307DE}"/>
  <tableColumns count="9">
    <tableColumn id="1" xr3:uid="{4D600E68-4859-4617-99C0-EA7B63208C31}" name="grid" dataDxfId="8"/>
    <tableColumn id="2" xr3:uid="{55683E09-DD2F-48C0-AB3E-CC91087C7173}" name="from_country" dataDxfId="7"/>
    <tableColumn id="3" xr3:uid="{C8327C88-FBE8-4FC2-A619-A4BA01413A1C}" name="to_country" dataDxfId="6"/>
    <tableColumn id="4" xr3:uid="{742C6874-D199-4EE2-A562-EA0C285890D2}" name="scenario" dataDxfId="5"/>
    <tableColumn id="5" xr3:uid="{1268EAAB-42FE-4A83-98BF-F41F14FEF437}" name="Year" dataDxfId="4"/>
    <tableColumn id="6" xr3:uid="{DD03EC9C-1908-4818-A7AD-696B46FD7E55}" name="transferCap" dataDxfId="3"/>
    <tableColumn id="8" xr3:uid="{858FE1C4-CAB1-497D-B42D-428703C91594}" name="variableTransCost" dataDxfId="2">
      <calculatedColumnFormula>M3</calculatedColumnFormula>
    </tableColumn>
    <tableColumn id="9" xr3:uid="{BEFF1833-3A5D-4270-8A18-81866BBAA2B1}" name="transferLoss" dataDxfId="1"/>
    <tableColumn id="7" xr3:uid="{B1909AD5-E5F0-4095-9C30-EDBB8410D520}" name="method" dataDxfId="0">
      <calculatedColumnFormula>IF(Table6[[#This Row],[transferCap]]&lt;10, "remove", "")</calculatedColumnFormula>
    </tableColumn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EBB9830-FC23-4A98-9C08-0AAF69FC2331}" name="Table8" displayName="Table8" ref="A1:F11" totalsRowShown="0" headerRowDxfId="38">
  <autoFilter ref="A1:F11" xr:uid="{D9844F2F-2EE0-434B-9492-0280A28AB057}"/>
  <tableColumns count="6">
    <tableColumn id="1" xr3:uid="{46AB9A07-935D-4BDF-BDAD-833C2B08B5EA}" name="Scenario" dataDxfId="37"/>
    <tableColumn id="2" xr3:uid="{9C0117C3-729A-4483-9D40-255263DE774C}" name="Year"/>
    <tableColumn id="3" xr3:uid="{F8AC0906-AF4C-4DB5-A628-E0D92C5871CF}" name="grid" dataDxfId="36"/>
    <tableColumn id="6" xr3:uid="{5DE58EB2-B819-4C37-B8D5-9DAA3695DA87}" name="Country" dataDxfId="35"/>
    <tableColumn id="4" xr3:uid="{2FBFC74F-134A-4E2A-8A69-7E943A399965}" name="price" dataDxfId="34"/>
    <tableColumn id="5" xr3:uid="{78F6DB46-B023-4964-AA01-C06A0F1B985D}" name="emission_CO2" dataDxfId="33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en.wikipedia.org/wiki/Wind_power_in_Sweden" TargetMode="External"/><Relationship Id="rId18" Type="http://schemas.openxmlformats.org/officeDocument/2006/relationships/hyperlink" Target="https://en.wikipedia.org/wiki/Wind_power_in_Finland" TargetMode="External"/><Relationship Id="rId26" Type="http://schemas.openxmlformats.org/officeDocument/2006/relationships/hyperlink" Target="https://en.wikipedia.org/wiki/Wind_power_in_Romania" TargetMode="External"/><Relationship Id="rId39" Type="http://schemas.openxmlformats.org/officeDocument/2006/relationships/hyperlink" Target="https://en.wikipedia.org/wiki/Wind_power_in_Kosovo" TargetMode="External"/><Relationship Id="rId21" Type="http://schemas.openxmlformats.org/officeDocument/2006/relationships/hyperlink" Target="https://en.wikipedia.org/wiki/Wind_power_in_Belgium" TargetMode="External"/><Relationship Id="rId34" Type="http://schemas.openxmlformats.org/officeDocument/2006/relationships/hyperlink" Target="https://en.wikipedia.org/w/index.php?title=Wind_power_in_the_Czech_Republic&amp;action=edit&amp;redlink=1" TargetMode="External"/><Relationship Id="rId42" Type="http://schemas.openxmlformats.org/officeDocument/2006/relationships/hyperlink" Target="https://en.wikipedia.org/w/index.php?title=Wind_power_in_Switzerland&amp;action=edit&amp;redlink=1" TargetMode="External"/><Relationship Id="rId47" Type="http://schemas.openxmlformats.org/officeDocument/2006/relationships/hyperlink" Target="https://en.wikipedia.org/wiki/Wind_power_in_Iceland" TargetMode="External"/><Relationship Id="rId50" Type="http://schemas.openxmlformats.org/officeDocument/2006/relationships/hyperlink" Target="https://en.wikipedia.org/wiki/Wind_power_in_Russia" TargetMode="External"/><Relationship Id="rId7" Type="http://schemas.openxmlformats.org/officeDocument/2006/relationships/hyperlink" Target="https://en.wikipedia.org/wiki/Wind_power_in_Europe" TargetMode="External"/><Relationship Id="rId2" Type="http://schemas.openxmlformats.org/officeDocument/2006/relationships/hyperlink" Target="https://en.wikipedia.org/wiki/Wind_power_in_Europe" TargetMode="External"/><Relationship Id="rId16" Type="http://schemas.openxmlformats.org/officeDocument/2006/relationships/hyperlink" Target="https://en.wikipedia.org/wiki/Wind_power_in_the_Netherlands" TargetMode="External"/><Relationship Id="rId29" Type="http://schemas.openxmlformats.org/officeDocument/2006/relationships/hyperlink" Target="https://en.wikipedia.org/wiki/Wind_power_in_Croatia" TargetMode="External"/><Relationship Id="rId11" Type="http://schemas.openxmlformats.org/officeDocument/2006/relationships/hyperlink" Target="https://en.wikipedia.org/wiki/Wind_power_in_Spain" TargetMode="External"/><Relationship Id="rId24" Type="http://schemas.openxmlformats.org/officeDocument/2006/relationships/hyperlink" Target="https://en.wikipedia.org/wiki/Wind_power_in_the_Republic_of_Ireland" TargetMode="External"/><Relationship Id="rId32" Type="http://schemas.openxmlformats.org/officeDocument/2006/relationships/hyperlink" Target="https://en.wikipedia.org/wiki/Wind_power_in_Bulgaria" TargetMode="External"/><Relationship Id="rId37" Type="http://schemas.openxmlformats.org/officeDocument/2006/relationships/hyperlink" Target="https://en.wikipedia.org/w/index.php?title=Wind_power_in_Luxembourg&amp;action=edit&amp;redlink=1" TargetMode="External"/><Relationship Id="rId40" Type="http://schemas.openxmlformats.org/officeDocument/2006/relationships/hyperlink" Target="https://en.wikipedia.org/w/index.php?title=Wind_power_in_Latvia&amp;action=edit&amp;redlink=1" TargetMode="External"/><Relationship Id="rId45" Type="http://schemas.openxmlformats.org/officeDocument/2006/relationships/hyperlink" Target="https://en.wikipedia.org/w/index.php?title=Wind_power_in_Slovakia&amp;action=edit&amp;redlink=1" TargetMode="External"/><Relationship Id="rId5" Type="http://schemas.openxmlformats.org/officeDocument/2006/relationships/hyperlink" Target="https://en.wikipedia.org/wiki/Wind_power_in_Europe" TargetMode="External"/><Relationship Id="rId15" Type="http://schemas.openxmlformats.org/officeDocument/2006/relationships/hyperlink" Target="https://en.wikipedia.org/wiki/Wind_power_in_Italy" TargetMode="External"/><Relationship Id="rId23" Type="http://schemas.openxmlformats.org/officeDocument/2006/relationships/hyperlink" Target="https://en.wikipedia.org/w/index.php?title=Wind_power_in_Norway&amp;action=edit&amp;redlink=1" TargetMode="External"/><Relationship Id="rId28" Type="http://schemas.openxmlformats.org/officeDocument/2006/relationships/hyperlink" Target="https://en.wikipedia.org/wiki/Wind_power_in_Lithuania" TargetMode="External"/><Relationship Id="rId36" Type="http://schemas.openxmlformats.org/officeDocument/2006/relationships/hyperlink" Target="https://en.wikipedia.org/w/index.php?title=Wind_power_in_Bosnia_and_Herzegovina&amp;action=edit&amp;redlink=1" TargetMode="External"/><Relationship Id="rId49" Type="http://schemas.openxmlformats.org/officeDocument/2006/relationships/hyperlink" Target="https://en.wikipedia.org/wiki/Wind_power_in_Malta" TargetMode="External"/><Relationship Id="rId10" Type="http://schemas.openxmlformats.org/officeDocument/2006/relationships/hyperlink" Target="https://en.wikipedia.org/wiki/Wind_power_in_the_United_Kingdom" TargetMode="External"/><Relationship Id="rId19" Type="http://schemas.openxmlformats.org/officeDocument/2006/relationships/hyperlink" Target="https://en.wikipedia.org/wiki/Wind_power_in_Denmark" TargetMode="External"/><Relationship Id="rId31" Type="http://schemas.openxmlformats.org/officeDocument/2006/relationships/hyperlink" Target="https://en.wikipedia.org/wiki/Wind_power_in_Estonia" TargetMode="External"/><Relationship Id="rId44" Type="http://schemas.openxmlformats.org/officeDocument/2006/relationships/hyperlink" Target="https://en.wikipedia.org/w/index.php?title=Wind_power_in_Faroe_Islands&amp;action=edit&amp;redlink=1" TargetMode="External"/><Relationship Id="rId4" Type="http://schemas.openxmlformats.org/officeDocument/2006/relationships/hyperlink" Target="https://en.wikipedia.org/wiki/Wind_power_in_Europe" TargetMode="External"/><Relationship Id="rId9" Type="http://schemas.openxmlformats.org/officeDocument/2006/relationships/hyperlink" Target="https://en.wikipedia.org/wiki/Wind_power_in_Germany" TargetMode="External"/><Relationship Id="rId14" Type="http://schemas.openxmlformats.org/officeDocument/2006/relationships/hyperlink" Target="https://en.wikipedia.org/wiki/Wind_power_in_Turkey" TargetMode="External"/><Relationship Id="rId22" Type="http://schemas.openxmlformats.org/officeDocument/2006/relationships/hyperlink" Target="https://en.wikipedia.org/wiki/Wind_power_in_Greece" TargetMode="External"/><Relationship Id="rId27" Type="http://schemas.openxmlformats.org/officeDocument/2006/relationships/hyperlink" Target="https://en.wikipedia.org/wiki/Wind_power_in_Ukraine" TargetMode="External"/><Relationship Id="rId30" Type="http://schemas.openxmlformats.org/officeDocument/2006/relationships/hyperlink" Target="https://en.wikipedia.org/wiki/Wind_power_in_Europe" TargetMode="External"/><Relationship Id="rId35" Type="http://schemas.openxmlformats.org/officeDocument/2006/relationships/hyperlink" Target="https://en.wikipedia.org/wiki/Wind_power_in_Hungary" TargetMode="External"/><Relationship Id="rId43" Type="http://schemas.openxmlformats.org/officeDocument/2006/relationships/hyperlink" Target="https://en.wikipedia.org/w/index.php?title=Wind_power_in_North_Macedonia&amp;action=edit&amp;redlink=1" TargetMode="External"/><Relationship Id="rId48" Type="http://schemas.openxmlformats.org/officeDocument/2006/relationships/hyperlink" Target="https://en.wikipedia.org/w/index.php?title=Wind_power_in_Slovenia&amp;action=edit&amp;redlink=1" TargetMode="External"/><Relationship Id="rId8" Type="http://schemas.openxmlformats.org/officeDocument/2006/relationships/hyperlink" Target="https://en.wikipedia.org/wiki/Wind_power_in_Europe" TargetMode="External"/><Relationship Id="rId3" Type="http://schemas.openxmlformats.org/officeDocument/2006/relationships/hyperlink" Target="https://en.wikipedia.org/wiki/Wind_power_in_Europe" TargetMode="External"/><Relationship Id="rId12" Type="http://schemas.openxmlformats.org/officeDocument/2006/relationships/hyperlink" Target="https://en.wikipedia.org/wiki/Wind_power_in_France" TargetMode="External"/><Relationship Id="rId17" Type="http://schemas.openxmlformats.org/officeDocument/2006/relationships/hyperlink" Target="https://en.wikipedia.org/wiki/Wind_power_in_Poland" TargetMode="External"/><Relationship Id="rId25" Type="http://schemas.openxmlformats.org/officeDocument/2006/relationships/hyperlink" Target="https://en.wikipedia.org/wiki/Wind_power_in_Austria" TargetMode="External"/><Relationship Id="rId33" Type="http://schemas.openxmlformats.org/officeDocument/2006/relationships/hyperlink" Target="https://en.wikipedia.org/wiki/Wind_power_in_Serbia" TargetMode="External"/><Relationship Id="rId38" Type="http://schemas.openxmlformats.org/officeDocument/2006/relationships/hyperlink" Target="https://en.wikipedia.org/w/index.php?title=Wind_power_in_Cyprus&amp;action=edit&amp;redlink=1" TargetMode="External"/><Relationship Id="rId46" Type="http://schemas.openxmlformats.org/officeDocument/2006/relationships/hyperlink" Target="https://en.wikipedia.org/wiki/Wind_power_in_Belarus" TargetMode="External"/><Relationship Id="rId20" Type="http://schemas.openxmlformats.org/officeDocument/2006/relationships/hyperlink" Target="https://en.wikipedia.org/wiki/Wind_power_in_Portugal" TargetMode="External"/><Relationship Id="rId41" Type="http://schemas.openxmlformats.org/officeDocument/2006/relationships/hyperlink" Target="https://en.wikipedia.org/w/index.php?title=Wind_power_in_Montenegro&amp;action=edit&amp;redlink=1" TargetMode="External"/><Relationship Id="rId1" Type="http://schemas.openxmlformats.org/officeDocument/2006/relationships/hyperlink" Target="https://en.wikipedia.org/wiki/Wind_power_in_Europe" TargetMode="External"/><Relationship Id="rId6" Type="http://schemas.openxmlformats.org/officeDocument/2006/relationships/hyperlink" Target="https://en.wikipedia.org/wiki/Wind_power_in_Europe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en.wikipedia.org/wiki/European_Union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C7251-1391-46D0-AC9C-FF56708C84B2}">
  <sheetPr>
    <tabColor theme="4" tint="0.59999389629810485"/>
  </sheetPr>
  <dimension ref="A1:R76"/>
  <sheetViews>
    <sheetView workbookViewId="0">
      <selection activeCell="U19" sqref="U19"/>
    </sheetView>
  </sheetViews>
  <sheetFormatPr defaultRowHeight="15"/>
  <cols>
    <col min="1" max="1" width="29.85546875" customWidth="1"/>
    <col min="2" max="6" width="10" customWidth="1"/>
    <col min="15" max="15" width="18.140625" customWidth="1"/>
    <col min="16" max="16" width="23.140625" customWidth="1"/>
  </cols>
  <sheetData>
    <row r="1" spans="1:18">
      <c r="A1" s="27" t="s">
        <v>232</v>
      </c>
    </row>
    <row r="2" spans="1:18">
      <c r="A2" s="27" t="s">
        <v>146</v>
      </c>
      <c r="B2" s="28" t="s">
        <v>233</v>
      </c>
    </row>
    <row r="3" spans="1:18">
      <c r="A3" s="27" t="s">
        <v>147</v>
      </c>
      <c r="B3" s="27" t="s">
        <v>234</v>
      </c>
    </row>
    <row r="5" spans="1:18">
      <c r="A5" s="28" t="s">
        <v>148</v>
      </c>
      <c r="C5" s="27" t="s">
        <v>149</v>
      </c>
    </row>
    <row r="6" spans="1:18">
      <c r="A6" s="28" t="s">
        <v>150</v>
      </c>
      <c r="C6" s="27" t="s">
        <v>235</v>
      </c>
    </row>
    <row r="7" spans="1:18">
      <c r="A7" s="28" t="s">
        <v>236</v>
      </c>
      <c r="C7" s="27" t="s">
        <v>237</v>
      </c>
    </row>
    <row r="9" spans="1:18">
      <c r="A9" s="29" t="s">
        <v>151</v>
      </c>
      <c r="B9" s="36" t="s">
        <v>153</v>
      </c>
      <c r="C9" s="36" t="s">
        <v>154</v>
      </c>
      <c r="D9" s="36" t="s">
        <v>155</v>
      </c>
      <c r="E9" s="36" t="s">
        <v>156</v>
      </c>
      <c r="F9" s="36" t="s">
        <v>238</v>
      </c>
    </row>
    <row r="10" spans="1:18">
      <c r="A10" s="30" t="s">
        <v>157</v>
      </c>
      <c r="B10" s="31" t="s">
        <v>152</v>
      </c>
      <c r="C10" s="31" t="s">
        <v>152</v>
      </c>
      <c r="D10" s="31" t="s">
        <v>152</v>
      </c>
      <c r="E10" s="31" t="s">
        <v>152</v>
      </c>
      <c r="F10" s="31" t="s">
        <v>152</v>
      </c>
      <c r="J10" t="s">
        <v>247</v>
      </c>
      <c r="O10" t="s">
        <v>255</v>
      </c>
      <c r="P10" t="s">
        <v>262</v>
      </c>
      <c r="Q10" t="s">
        <v>263</v>
      </c>
      <c r="R10" s="23" t="s">
        <v>227</v>
      </c>
    </row>
    <row r="11" spans="1:18">
      <c r="A11" s="32" t="s">
        <v>158</v>
      </c>
      <c r="B11" s="35">
        <v>30510</v>
      </c>
      <c r="C11" s="35">
        <v>32470</v>
      </c>
      <c r="D11" s="35">
        <v>33420</v>
      </c>
      <c r="E11" s="35">
        <v>33400</v>
      </c>
      <c r="F11" s="35">
        <v>33650</v>
      </c>
      <c r="N11" s="17" t="s">
        <v>111</v>
      </c>
      <c r="O11" s="19">
        <f t="shared" ref="O11:O32" si="0">SUMIFS($F:$F,$J:$J,LEFT($N11,2))</f>
        <v>45140</v>
      </c>
      <c r="P11" s="68">
        <f>LOG(O11/O$34)</f>
        <v>0.12757648618174755</v>
      </c>
      <c r="Q11" s="19">
        <v>1</v>
      </c>
      <c r="R11" s="74">
        <f>ROUND(P11*Q11, 3)</f>
        <v>0.128</v>
      </c>
    </row>
    <row r="12" spans="1:18">
      <c r="A12" s="32" t="s">
        <v>239</v>
      </c>
      <c r="B12" s="33">
        <v>33160</v>
      </c>
      <c r="C12" s="33">
        <v>35280</v>
      </c>
      <c r="D12" s="33">
        <v>36400</v>
      </c>
      <c r="E12" s="33">
        <v>36340</v>
      </c>
      <c r="F12" s="33">
        <v>36530</v>
      </c>
      <c r="N12" s="17" t="s">
        <v>114</v>
      </c>
      <c r="O12" s="19">
        <f t="shared" si="0"/>
        <v>44440</v>
      </c>
      <c r="P12" s="68">
        <f t="shared" ref="P12:P32" si="1">LOG(O12/O$34)</f>
        <v>0.12078898170883434</v>
      </c>
      <c r="Q12" s="19">
        <v>1</v>
      </c>
      <c r="R12" s="74">
        <f t="shared" ref="R12:R32" si="2">ROUND(P12*Q12, 3)</f>
        <v>0.121</v>
      </c>
    </row>
    <row r="13" spans="1:18">
      <c r="A13" s="32" t="s">
        <v>240</v>
      </c>
      <c r="B13" s="35">
        <v>33610</v>
      </c>
      <c r="C13" s="35">
        <v>35750</v>
      </c>
      <c r="D13" s="35">
        <v>36880</v>
      </c>
      <c r="E13" s="35">
        <v>36810</v>
      </c>
      <c r="F13" s="35">
        <v>36990</v>
      </c>
      <c r="N13" s="17" t="s">
        <v>116</v>
      </c>
      <c r="O13" s="19">
        <f t="shared" si="0"/>
        <v>96081</v>
      </c>
      <c r="P13" s="68">
        <f t="shared" si="1"/>
        <v>0.4556524459454061</v>
      </c>
      <c r="Q13" s="19">
        <v>1</v>
      </c>
      <c r="R13" s="74">
        <f t="shared" si="2"/>
        <v>0.45600000000000002</v>
      </c>
    </row>
    <row r="14" spans="1:18">
      <c r="A14" s="32" t="s">
        <v>25</v>
      </c>
      <c r="B14" s="33">
        <v>40190</v>
      </c>
      <c r="C14" s="33">
        <v>42530</v>
      </c>
      <c r="D14" s="33">
        <v>43860</v>
      </c>
      <c r="E14" s="33">
        <v>44230</v>
      </c>
      <c r="F14" s="33">
        <v>44440</v>
      </c>
      <c r="J14" t="s">
        <v>76</v>
      </c>
      <c r="N14" s="17" t="s">
        <v>117</v>
      </c>
      <c r="O14" s="19">
        <f t="shared" si="0"/>
        <v>43110</v>
      </c>
      <c r="P14" s="68">
        <f t="shared" si="1"/>
        <v>0.1075929542938924</v>
      </c>
      <c r="Q14" s="19">
        <v>1</v>
      </c>
      <c r="R14" s="74">
        <f t="shared" si="2"/>
        <v>0.108</v>
      </c>
    </row>
    <row r="15" spans="1:18">
      <c r="A15" s="32" t="s">
        <v>37</v>
      </c>
      <c r="B15" s="35">
        <v>9440</v>
      </c>
      <c r="C15" s="35">
        <v>10250</v>
      </c>
      <c r="D15" s="35">
        <v>10740</v>
      </c>
      <c r="E15" s="35">
        <v>10950</v>
      </c>
      <c r="F15" s="35">
        <v>11330</v>
      </c>
      <c r="N15" s="17" t="s">
        <v>118</v>
      </c>
      <c r="O15" s="19">
        <f t="shared" si="0"/>
        <v>58160</v>
      </c>
      <c r="P15" s="68">
        <f t="shared" si="1"/>
        <v>0.2376393292909858</v>
      </c>
      <c r="Q15" s="19">
        <v>1.05</v>
      </c>
      <c r="R15" s="74">
        <f t="shared" si="2"/>
        <v>0.25</v>
      </c>
    </row>
    <row r="16" spans="1:18">
      <c r="A16" s="32" t="s">
        <v>241</v>
      </c>
      <c r="B16" s="33">
        <v>20980</v>
      </c>
      <c r="C16" s="33">
        <v>21830</v>
      </c>
      <c r="D16" s="33">
        <v>21910</v>
      </c>
      <c r="E16" s="33">
        <v>21680</v>
      </c>
      <c r="F16" s="33">
        <v>21920</v>
      </c>
      <c r="N16" s="17" t="s">
        <v>119</v>
      </c>
      <c r="O16" s="19">
        <f t="shared" si="0"/>
        <v>58160</v>
      </c>
      <c r="P16" s="68">
        <f t="shared" si="1"/>
        <v>0.2376393292909858</v>
      </c>
      <c r="Q16" s="19">
        <v>1</v>
      </c>
      <c r="R16" s="74">
        <f t="shared" si="2"/>
        <v>0.23799999999999999</v>
      </c>
    </row>
    <row r="17" spans="1:18">
      <c r="A17" s="32" t="s">
        <v>23</v>
      </c>
      <c r="B17" s="35">
        <v>53540</v>
      </c>
      <c r="C17" s="35">
        <v>56780</v>
      </c>
      <c r="D17" s="35">
        <v>56530</v>
      </c>
      <c r="E17" s="35">
        <v>56470</v>
      </c>
      <c r="F17" s="35">
        <v>58160</v>
      </c>
      <c r="J17" t="s">
        <v>74</v>
      </c>
      <c r="N17" s="17" t="s">
        <v>120</v>
      </c>
      <c r="O17" s="19">
        <f t="shared" si="0"/>
        <v>21060</v>
      </c>
      <c r="P17" s="68">
        <f t="shared" si="1"/>
        <v>-0.20352670171052795</v>
      </c>
      <c r="Q17" s="19">
        <v>1</v>
      </c>
      <c r="R17" s="74">
        <f t="shared" si="2"/>
        <v>-0.20399999999999999</v>
      </c>
    </row>
    <row r="18" spans="1:18">
      <c r="A18" s="32" t="s">
        <v>13</v>
      </c>
      <c r="B18" s="33">
        <v>42020</v>
      </c>
      <c r="C18" s="33">
        <v>43730</v>
      </c>
      <c r="D18" s="33">
        <v>44230</v>
      </c>
      <c r="E18" s="33">
        <v>43450</v>
      </c>
      <c r="F18" s="33">
        <v>43110</v>
      </c>
      <c r="J18" t="s">
        <v>64</v>
      </c>
      <c r="N18" s="17" t="s">
        <v>121</v>
      </c>
      <c r="O18" s="19">
        <f t="shared" si="0"/>
        <v>27800</v>
      </c>
      <c r="P18" s="68">
        <f t="shared" si="1"/>
        <v>-8.2940272641919402E-2</v>
      </c>
      <c r="Q18" s="19">
        <v>1</v>
      </c>
      <c r="R18" s="74">
        <f t="shared" si="2"/>
        <v>-8.3000000000000004E-2</v>
      </c>
    </row>
    <row r="19" spans="1:18">
      <c r="A19" s="32" t="s">
        <v>36</v>
      </c>
      <c r="B19" s="35">
        <v>20960</v>
      </c>
      <c r="C19" s="35">
        <v>22670</v>
      </c>
      <c r="D19" s="35">
        <v>22370</v>
      </c>
      <c r="E19" s="35">
        <v>21210</v>
      </c>
      <c r="F19" s="35">
        <v>21060</v>
      </c>
      <c r="J19" t="s">
        <v>86</v>
      </c>
      <c r="N19" s="17" t="s">
        <v>122</v>
      </c>
      <c r="O19" s="19">
        <f t="shared" si="0"/>
        <v>43110</v>
      </c>
      <c r="P19" s="68">
        <f t="shared" si="1"/>
        <v>0.1075929542938924</v>
      </c>
      <c r="Q19" s="19">
        <v>1</v>
      </c>
      <c r="R19" s="74">
        <f t="shared" si="2"/>
        <v>0.108</v>
      </c>
    </row>
    <row r="20" spans="1:18">
      <c r="A20" s="32" t="s">
        <v>28</v>
      </c>
      <c r="B20" s="33">
        <v>75820</v>
      </c>
      <c r="C20" s="33">
        <v>87160</v>
      </c>
      <c r="D20" s="33">
        <v>91760</v>
      </c>
      <c r="E20" s="33">
        <v>87810</v>
      </c>
      <c r="F20" s="33">
        <v>88600</v>
      </c>
      <c r="N20" s="17" t="s">
        <v>123</v>
      </c>
      <c r="O20" s="19">
        <f t="shared" si="0"/>
        <v>38110</v>
      </c>
      <c r="P20" s="68">
        <f t="shared" si="1"/>
        <v>5.4053880212171543E-2</v>
      </c>
      <c r="Q20" s="19">
        <v>1</v>
      </c>
      <c r="R20" s="74">
        <f t="shared" si="2"/>
        <v>5.3999999999999999E-2</v>
      </c>
    </row>
    <row r="21" spans="1:18">
      <c r="A21" s="32" t="s">
        <v>26</v>
      </c>
      <c r="B21" s="35">
        <v>15660</v>
      </c>
      <c r="C21" s="35">
        <v>17110</v>
      </c>
      <c r="D21" s="35">
        <v>18160</v>
      </c>
      <c r="E21" s="35">
        <v>18600</v>
      </c>
      <c r="F21" s="35">
        <v>19020</v>
      </c>
      <c r="N21" s="17" t="s">
        <v>124</v>
      </c>
      <c r="O21" s="19">
        <f t="shared" si="0"/>
        <v>19690</v>
      </c>
      <c r="P21" s="68">
        <f t="shared" si="1"/>
        <v>-0.2327393524218774</v>
      </c>
      <c r="Q21" s="19">
        <v>1</v>
      </c>
      <c r="R21" s="74">
        <f t="shared" si="2"/>
        <v>-0.23300000000000001</v>
      </c>
    </row>
    <row r="22" spans="1:18">
      <c r="A22" s="32" t="s">
        <v>15</v>
      </c>
      <c r="B22" s="33">
        <v>23850</v>
      </c>
      <c r="C22" s="33">
        <v>25440</v>
      </c>
      <c r="D22" s="33">
        <v>26820</v>
      </c>
      <c r="E22" s="33">
        <v>27150</v>
      </c>
      <c r="F22" s="33">
        <v>27800</v>
      </c>
      <c r="J22" t="s">
        <v>66</v>
      </c>
      <c r="N22" s="17" t="s">
        <v>125</v>
      </c>
      <c r="O22" s="19">
        <f t="shared" si="0"/>
        <v>16910</v>
      </c>
      <c r="P22" s="68">
        <f t="shared" si="1"/>
        <v>-0.29884146096225389</v>
      </c>
      <c r="Q22" s="19">
        <v>1</v>
      </c>
      <c r="R22" s="74">
        <f t="shared" si="2"/>
        <v>-0.29899999999999999</v>
      </c>
    </row>
    <row r="23" spans="1:18">
      <c r="A23" s="32" t="s">
        <v>16</v>
      </c>
      <c r="B23" s="35">
        <v>34280</v>
      </c>
      <c r="C23" s="35">
        <v>36470</v>
      </c>
      <c r="D23" s="35">
        <v>37320</v>
      </c>
      <c r="E23" s="35">
        <v>37760</v>
      </c>
      <c r="F23" s="35">
        <v>38110</v>
      </c>
      <c r="J23" t="s">
        <v>67</v>
      </c>
      <c r="N23" s="17" t="s">
        <v>126</v>
      </c>
      <c r="O23" s="19">
        <f t="shared" si="0"/>
        <v>50880</v>
      </c>
      <c r="P23" s="68">
        <f t="shared" si="1"/>
        <v>0.17956203408036178</v>
      </c>
      <c r="Q23" s="19">
        <v>1</v>
      </c>
      <c r="R23" s="74">
        <f t="shared" si="2"/>
        <v>0.18</v>
      </c>
    </row>
    <row r="24" spans="1:18">
      <c r="A24" s="32" t="s">
        <v>34</v>
      </c>
      <c r="B24" s="33">
        <v>12980</v>
      </c>
      <c r="C24" s="33">
        <v>14750</v>
      </c>
      <c r="D24" s="33">
        <v>15900</v>
      </c>
      <c r="E24" s="33">
        <v>16490</v>
      </c>
      <c r="F24" s="33">
        <v>17060</v>
      </c>
      <c r="N24" s="17" t="s">
        <v>127</v>
      </c>
      <c r="O24" s="19">
        <f t="shared" si="0"/>
        <v>66460</v>
      </c>
      <c r="P24" s="68">
        <f t="shared" si="1"/>
        <v>0.2955752683826966</v>
      </c>
      <c r="Q24" s="19">
        <v>1.05</v>
      </c>
      <c r="R24" s="74">
        <f t="shared" si="2"/>
        <v>0.31</v>
      </c>
    </row>
    <row r="25" spans="1:18">
      <c r="A25" s="32" t="s">
        <v>19</v>
      </c>
      <c r="B25" s="35">
        <v>28100</v>
      </c>
      <c r="C25" s="35">
        <v>30760</v>
      </c>
      <c r="D25" s="35">
        <v>32310</v>
      </c>
      <c r="E25" s="35">
        <v>32630</v>
      </c>
      <c r="F25" s="35">
        <v>32900</v>
      </c>
      <c r="N25" s="17" t="s">
        <v>128</v>
      </c>
      <c r="O25" s="19">
        <f t="shared" si="0"/>
        <v>66460</v>
      </c>
      <c r="P25" s="68">
        <f t="shared" si="1"/>
        <v>0.2955752683826966</v>
      </c>
      <c r="Q25" s="19">
        <v>1.1000000000000001</v>
      </c>
      <c r="R25" s="74">
        <f t="shared" si="2"/>
        <v>0.32500000000000001</v>
      </c>
    </row>
    <row r="26" spans="1:18">
      <c r="A26" s="32" t="s">
        <v>43</v>
      </c>
      <c r="B26" s="33">
        <v>24630</v>
      </c>
      <c r="C26" s="33">
        <v>27030</v>
      </c>
      <c r="D26" s="33">
        <v>28730</v>
      </c>
      <c r="E26" s="33">
        <v>29200</v>
      </c>
      <c r="F26" s="33">
        <v>29820</v>
      </c>
      <c r="N26" s="17" t="s">
        <v>129</v>
      </c>
      <c r="O26" s="19">
        <f t="shared" si="0"/>
        <v>66460</v>
      </c>
      <c r="P26" s="68">
        <f t="shared" si="1"/>
        <v>0.2955752683826966</v>
      </c>
      <c r="Q26" s="19">
        <v>1</v>
      </c>
      <c r="R26" s="74">
        <f t="shared" si="2"/>
        <v>0.29599999999999999</v>
      </c>
    </row>
    <row r="27" spans="1:18">
      <c r="A27" s="32" t="s">
        <v>45</v>
      </c>
      <c r="B27" s="35">
        <v>15370</v>
      </c>
      <c r="C27" s="35">
        <v>16580</v>
      </c>
      <c r="D27" s="35">
        <v>16890</v>
      </c>
      <c r="E27" s="35">
        <v>16770</v>
      </c>
      <c r="F27" s="35">
        <v>16910</v>
      </c>
      <c r="J27" t="s">
        <v>95</v>
      </c>
      <c r="N27" s="17" t="s">
        <v>130</v>
      </c>
      <c r="O27" s="19">
        <f t="shared" si="0"/>
        <v>16470</v>
      </c>
      <c r="P27" s="68">
        <f t="shared" si="1"/>
        <v>-0.31029146939024133</v>
      </c>
      <c r="Q27" s="19">
        <v>1</v>
      </c>
      <c r="R27" s="74">
        <f t="shared" si="2"/>
        <v>-0.31</v>
      </c>
    </row>
    <row r="28" spans="1:18">
      <c r="A28" s="32" t="s">
        <v>33</v>
      </c>
      <c r="B28" s="33">
        <v>17890</v>
      </c>
      <c r="C28" s="33">
        <v>19040</v>
      </c>
      <c r="D28" s="33">
        <v>19350</v>
      </c>
      <c r="E28" s="33">
        <v>19220</v>
      </c>
      <c r="F28" s="33">
        <v>19690</v>
      </c>
      <c r="J28" t="s">
        <v>84</v>
      </c>
      <c r="N28" s="17" t="s">
        <v>131</v>
      </c>
      <c r="O28" s="19">
        <f t="shared" si="0"/>
        <v>48310</v>
      </c>
      <c r="P28" s="68">
        <f t="shared" si="1"/>
        <v>0.15705196892652412</v>
      </c>
      <c r="Q28" s="19">
        <v>1.1499999999999999</v>
      </c>
      <c r="R28" s="74">
        <f t="shared" si="2"/>
        <v>0.18099999999999999</v>
      </c>
    </row>
    <row r="29" spans="1:18">
      <c r="A29" s="32" t="s">
        <v>42</v>
      </c>
      <c r="B29" s="35">
        <v>102190</v>
      </c>
      <c r="C29" s="35">
        <v>107570</v>
      </c>
      <c r="D29" s="35">
        <v>104100</v>
      </c>
      <c r="E29" s="35">
        <v>102250</v>
      </c>
      <c r="F29" s="35">
        <v>101000</v>
      </c>
      <c r="J29" t="s">
        <v>171</v>
      </c>
      <c r="N29" s="17" t="s">
        <v>132</v>
      </c>
      <c r="O29" s="19">
        <f t="shared" si="0"/>
        <v>48310</v>
      </c>
      <c r="P29" s="68">
        <f t="shared" si="1"/>
        <v>0.15705196892652412</v>
      </c>
      <c r="Q29" s="19">
        <v>1.1000000000000001</v>
      </c>
      <c r="R29" s="74">
        <f t="shared" si="2"/>
        <v>0.17299999999999999</v>
      </c>
    </row>
    <row r="30" spans="1:18">
      <c r="A30" s="32" t="s">
        <v>40</v>
      </c>
      <c r="B30" s="33">
        <v>14370</v>
      </c>
      <c r="C30" s="33">
        <v>15470</v>
      </c>
      <c r="D30" s="33">
        <v>16160</v>
      </c>
      <c r="E30" s="33">
        <v>16050</v>
      </c>
      <c r="F30" s="33">
        <v>16190</v>
      </c>
      <c r="N30" s="17" t="s">
        <v>133</v>
      </c>
      <c r="O30" s="19">
        <f t="shared" si="0"/>
        <v>48310</v>
      </c>
      <c r="P30" s="68">
        <f t="shared" si="1"/>
        <v>0.15705196892652412</v>
      </c>
      <c r="Q30" s="19">
        <v>1.05</v>
      </c>
      <c r="R30" s="74">
        <f t="shared" si="2"/>
        <v>0.16500000000000001</v>
      </c>
    </row>
    <row r="31" spans="1:18">
      <c r="A31" s="32" t="s">
        <v>54</v>
      </c>
      <c r="B31" s="35">
        <v>27870</v>
      </c>
      <c r="C31" s="35">
        <v>31420</v>
      </c>
      <c r="D31" s="35">
        <v>31390</v>
      </c>
      <c r="E31" s="35">
        <v>33380</v>
      </c>
      <c r="F31" s="35">
        <v>34480</v>
      </c>
      <c r="N31" s="17" t="s">
        <v>134</v>
      </c>
      <c r="O31" s="19">
        <f t="shared" si="0"/>
        <v>48310</v>
      </c>
      <c r="P31" s="68">
        <f t="shared" si="1"/>
        <v>0.15705196892652412</v>
      </c>
      <c r="Q31" s="19">
        <v>1</v>
      </c>
      <c r="R31" s="74">
        <f t="shared" si="2"/>
        <v>0.157</v>
      </c>
    </row>
    <row r="32" spans="1:18">
      <c r="A32" s="32" t="s">
        <v>20</v>
      </c>
      <c r="B32" s="33">
        <v>46810</v>
      </c>
      <c r="C32" s="33">
        <v>49490</v>
      </c>
      <c r="D32" s="33">
        <v>51480</v>
      </c>
      <c r="E32" s="33">
        <v>50660</v>
      </c>
      <c r="F32" s="33">
        <v>50880</v>
      </c>
      <c r="J32" t="s">
        <v>71</v>
      </c>
      <c r="N32" s="17" t="s">
        <v>135</v>
      </c>
      <c r="O32" s="19">
        <f t="shared" si="0"/>
        <v>49193</v>
      </c>
      <c r="P32" s="68">
        <f t="shared" si="1"/>
        <v>0.16491823994601576</v>
      </c>
      <c r="Q32" s="19">
        <v>1</v>
      </c>
      <c r="R32" s="74">
        <f t="shared" si="2"/>
        <v>0.16500000000000001</v>
      </c>
    </row>
    <row r="33" spans="1:15">
      <c r="A33" s="32" t="s">
        <v>29</v>
      </c>
      <c r="B33" s="35">
        <v>42650</v>
      </c>
      <c r="C33" s="35">
        <v>44580</v>
      </c>
      <c r="D33" s="35">
        <v>46430</v>
      </c>
      <c r="E33" s="35">
        <v>45670</v>
      </c>
      <c r="F33" s="35">
        <v>45140</v>
      </c>
      <c r="J33" t="s">
        <v>80</v>
      </c>
    </row>
    <row r="34" spans="1:15">
      <c r="A34" s="32" t="s">
        <v>21</v>
      </c>
      <c r="B34" s="33">
        <v>14310</v>
      </c>
      <c r="C34" s="33">
        <v>15380</v>
      </c>
      <c r="D34" s="33">
        <v>15840</v>
      </c>
      <c r="E34" s="33">
        <v>15950</v>
      </c>
      <c r="F34" s="33">
        <v>16470</v>
      </c>
      <c r="J34" t="s">
        <v>72</v>
      </c>
      <c r="N34" s="17" t="s">
        <v>261</v>
      </c>
      <c r="O34" s="37">
        <f>F11</f>
        <v>33650</v>
      </c>
    </row>
    <row r="35" spans="1:15">
      <c r="A35" s="32" t="s">
        <v>24</v>
      </c>
      <c r="B35" s="35">
        <v>19360</v>
      </c>
      <c r="C35" s="35">
        <v>20390</v>
      </c>
      <c r="D35" s="35">
        <v>21690</v>
      </c>
      <c r="E35" s="35">
        <v>22130</v>
      </c>
      <c r="F35" s="35">
        <v>22370</v>
      </c>
    </row>
    <row r="36" spans="1:15">
      <c r="A36" s="32" t="s">
        <v>30</v>
      </c>
      <c r="B36" s="33">
        <v>11390</v>
      </c>
      <c r="C36" s="33">
        <v>12130</v>
      </c>
      <c r="D36" s="33">
        <v>12690</v>
      </c>
      <c r="E36" s="33">
        <v>12970</v>
      </c>
      <c r="F36" s="33">
        <v>13090</v>
      </c>
    </row>
    <row r="37" spans="1:15">
      <c r="A37" s="32" t="s">
        <v>53</v>
      </c>
      <c r="B37" s="35">
        <v>22230</v>
      </c>
      <c r="C37" s="35">
        <v>24040</v>
      </c>
      <c r="D37" s="35">
        <v>24660</v>
      </c>
      <c r="E37" s="35">
        <v>25120</v>
      </c>
      <c r="F37" s="35">
        <v>25480</v>
      </c>
    </row>
    <row r="38" spans="1:15">
      <c r="A38" s="32" t="s">
        <v>50</v>
      </c>
      <c r="B38" s="33">
        <v>17270</v>
      </c>
      <c r="C38" s="33">
        <v>18320</v>
      </c>
      <c r="D38" s="33">
        <v>18360</v>
      </c>
      <c r="E38" s="33">
        <v>18750</v>
      </c>
      <c r="F38" s="33">
        <v>19110</v>
      </c>
    </row>
    <row r="39" spans="1:15">
      <c r="A39" s="32" t="s">
        <v>22</v>
      </c>
      <c r="B39" s="35">
        <v>42740</v>
      </c>
      <c r="C39" s="35">
        <v>43800</v>
      </c>
      <c r="D39" s="35">
        <v>44010</v>
      </c>
      <c r="E39" s="35">
        <v>43280</v>
      </c>
      <c r="F39" s="35">
        <v>43110</v>
      </c>
      <c r="J39" t="s">
        <v>73</v>
      </c>
    </row>
    <row r="40" spans="1:15">
      <c r="A40" s="32" t="s">
        <v>17</v>
      </c>
      <c r="B40" s="33">
        <v>46180</v>
      </c>
      <c r="C40" s="33">
        <v>48300</v>
      </c>
      <c r="D40" s="33">
        <v>48390</v>
      </c>
      <c r="E40" s="33">
        <v>47960</v>
      </c>
      <c r="F40" s="33">
        <v>48310</v>
      </c>
      <c r="J40" t="s">
        <v>68</v>
      </c>
    </row>
    <row r="41" spans="1:15">
      <c r="A41" s="32" t="s">
        <v>52</v>
      </c>
      <c r="B41" s="35">
        <v>54190</v>
      </c>
      <c r="C41" s="35">
        <v>56150</v>
      </c>
      <c r="D41" s="35">
        <v>59720</v>
      </c>
      <c r="E41" s="35">
        <v>61170</v>
      </c>
      <c r="F41" s="35">
        <v>59270</v>
      </c>
    </row>
    <row r="42" spans="1:15">
      <c r="A42" s="32" t="s">
        <v>27</v>
      </c>
      <c r="B42" s="33">
        <v>62400</v>
      </c>
      <c r="C42" s="33">
        <v>64640</v>
      </c>
      <c r="D42" s="33">
        <v>66670</v>
      </c>
      <c r="E42" s="33">
        <v>66140</v>
      </c>
      <c r="F42" s="33">
        <v>66460</v>
      </c>
      <c r="J42" t="s">
        <v>78</v>
      </c>
    </row>
    <row r="43" spans="1:15">
      <c r="A43" s="32" t="s">
        <v>47</v>
      </c>
      <c r="B43" s="35">
        <v>76710</v>
      </c>
      <c r="C43" s="35">
        <v>80850</v>
      </c>
      <c r="D43" s="35">
        <v>83000</v>
      </c>
      <c r="E43" s="35">
        <v>82440</v>
      </c>
      <c r="F43" s="35">
        <v>82650</v>
      </c>
    </row>
    <row r="44" spans="1:15">
      <c r="A44" s="32" t="s">
        <v>160</v>
      </c>
      <c r="B44" s="33">
        <v>4710</v>
      </c>
      <c r="C44" s="33">
        <v>5190</v>
      </c>
      <c r="D44" s="33">
        <v>5500</v>
      </c>
      <c r="E44" s="33" t="s">
        <v>159</v>
      </c>
      <c r="F44" s="33" t="s">
        <v>159</v>
      </c>
    </row>
    <row r="45" spans="1:15">
      <c r="A45" s="32" t="s">
        <v>41</v>
      </c>
      <c r="B45" s="35">
        <v>10</v>
      </c>
      <c r="C45" s="35">
        <v>10</v>
      </c>
      <c r="D45" s="35">
        <v>10</v>
      </c>
      <c r="E45" s="35">
        <v>10</v>
      </c>
      <c r="F45" s="35">
        <v>10</v>
      </c>
    </row>
    <row r="46" spans="1:15">
      <c r="A46" s="32" t="s">
        <v>242</v>
      </c>
      <c r="B46" s="33">
        <v>33840</v>
      </c>
      <c r="C46" s="33">
        <v>35990</v>
      </c>
      <c r="D46" s="33">
        <v>37110</v>
      </c>
      <c r="E46" s="33">
        <v>37040</v>
      </c>
      <c r="F46" s="33">
        <v>37210</v>
      </c>
    </row>
    <row r="47" spans="1:15">
      <c r="A47" s="32" t="s">
        <v>46</v>
      </c>
      <c r="B47" s="35">
        <v>6610</v>
      </c>
      <c r="C47" s="35">
        <v>7500</v>
      </c>
      <c r="D47" s="35">
        <v>8100</v>
      </c>
      <c r="E47" s="35">
        <v>8620</v>
      </c>
      <c r="F47" s="35">
        <v>8890</v>
      </c>
    </row>
    <row r="48" spans="1:15">
      <c r="A48" s="32" t="s">
        <v>48</v>
      </c>
      <c r="B48" s="34">
        <v>5840</v>
      </c>
      <c r="C48" s="34">
        <v>6170</v>
      </c>
      <c r="D48" s="34">
        <v>6360</v>
      </c>
      <c r="E48" s="34">
        <v>6540</v>
      </c>
      <c r="F48" s="34">
        <v>6750</v>
      </c>
    </row>
    <row r="49" spans="1:6">
      <c r="A49" s="32" t="s">
        <v>38</v>
      </c>
      <c r="B49" s="35">
        <v>7110</v>
      </c>
      <c r="C49" s="35">
        <v>7740</v>
      </c>
      <c r="D49" s="35">
        <v>8160</v>
      </c>
      <c r="E49" s="35">
        <v>8510</v>
      </c>
      <c r="F49" s="35">
        <v>8900</v>
      </c>
    </row>
    <row r="50" spans="1:6">
      <c r="A50" s="32" t="s">
        <v>161</v>
      </c>
      <c r="B50" s="33">
        <v>7340</v>
      </c>
      <c r="C50" s="33">
        <v>8130</v>
      </c>
      <c r="D50" s="33">
        <v>8490</v>
      </c>
      <c r="E50" s="33">
        <v>8920</v>
      </c>
      <c r="F50" s="33">
        <v>9220</v>
      </c>
    </row>
    <row r="51" spans="1:6">
      <c r="A51" s="32" t="s">
        <v>58</v>
      </c>
      <c r="B51" s="35" t="s">
        <v>159</v>
      </c>
      <c r="C51" s="35" t="s">
        <v>159</v>
      </c>
      <c r="D51" s="35" t="s">
        <v>159</v>
      </c>
      <c r="E51" s="35" t="s">
        <v>159</v>
      </c>
      <c r="F51" s="35" t="s">
        <v>159</v>
      </c>
    </row>
    <row r="53" spans="1:6">
      <c r="A53" s="28" t="s">
        <v>162</v>
      </c>
    </row>
    <row r="54" spans="1:6">
      <c r="A54" s="28" t="s">
        <v>159</v>
      </c>
    </row>
    <row r="55" spans="1:6">
      <c r="A55" s="28" t="s">
        <v>243</v>
      </c>
    </row>
    <row r="56" spans="1:6">
      <c r="A56" s="28" t="s">
        <v>244</v>
      </c>
    </row>
    <row r="57" spans="1:6">
      <c r="A57" s="28" t="s">
        <v>245</v>
      </c>
    </row>
    <row r="58" spans="1:6">
      <c r="A58" s="28" t="s">
        <v>246</v>
      </c>
    </row>
    <row r="62" spans="1:6">
      <c r="A62" t="s">
        <v>248</v>
      </c>
      <c r="B62" t="s">
        <v>249</v>
      </c>
    </row>
    <row r="63" spans="1:6">
      <c r="A63" t="s">
        <v>250</v>
      </c>
      <c r="B63" s="73">
        <v>46077</v>
      </c>
    </row>
    <row r="65" spans="1:10">
      <c r="A65" t="s">
        <v>252</v>
      </c>
      <c r="B65" t="s">
        <v>253</v>
      </c>
    </row>
    <row r="66" spans="1:10">
      <c r="A66" t="s">
        <v>256</v>
      </c>
      <c r="B66" t="s">
        <v>257</v>
      </c>
    </row>
    <row r="69" spans="1:10">
      <c r="A69" t="s">
        <v>251</v>
      </c>
      <c r="B69" t="s">
        <v>153</v>
      </c>
      <c r="C69" t="s">
        <v>154</v>
      </c>
      <c r="D69" t="s">
        <v>155</v>
      </c>
      <c r="E69" t="s">
        <v>156</v>
      </c>
      <c r="F69" t="s">
        <v>238</v>
      </c>
    </row>
    <row r="70" spans="1:10">
      <c r="A70" t="s">
        <v>58</v>
      </c>
      <c r="B70">
        <v>40812.679466387854</v>
      </c>
      <c r="C70">
        <v>47691.376879940392</v>
      </c>
      <c r="D70">
        <v>47057.043229178962</v>
      </c>
      <c r="E70">
        <v>49944.470212420143</v>
      </c>
      <c r="F70">
        <v>53246.367614510847</v>
      </c>
    </row>
    <row r="71" spans="1:10">
      <c r="A71" t="s">
        <v>47</v>
      </c>
      <c r="B71">
        <v>85897.7843338323</v>
      </c>
      <c r="C71">
        <v>93664.773669611081</v>
      </c>
      <c r="D71">
        <v>94394.510680352454</v>
      </c>
      <c r="E71">
        <v>100623.54962729648</v>
      </c>
      <c r="F71">
        <v>103998.18668560409</v>
      </c>
    </row>
    <row r="73" spans="1:10">
      <c r="A73" t="s">
        <v>258</v>
      </c>
      <c r="B73">
        <v>1.1422000000000001</v>
      </c>
      <c r="C73">
        <v>1.1827000000000001</v>
      </c>
      <c r="D73">
        <v>1.0529999999999999</v>
      </c>
      <c r="E73">
        <v>1.0812999999999999</v>
      </c>
      <c r="F73">
        <v>1.0824</v>
      </c>
      <c r="H73" t="s">
        <v>259</v>
      </c>
    </row>
    <row r="75" spans="1:10">
      <c r="A75" t="s">
        <v>254</v>
      </c>
      <c r="B75">
        <f>ROUND(B70/B$73,0)</f>
        <v>35732</v>
      </c>
      <c r="C75">
        <f t="shared" ref="C75:F75" si="3">ROUND(C70/C$73,0)</f>
        <v>40324</v>
      </c>
      <c r="D75">
        <f t="shared" si="3"/>
        <v>44689</v>
      </c>
      <c r="E75">
        <f t="shared" si="3"/>
        <v>46189</v>
      </c>
      <c r="F75">
        <f t="shared" si="3"/>
        <v>49193</v>
      </c>
      <c r="J75" t="s">
        <v>14</v>
      </c>
    </row>
    <row r="76" spans="1:10">
      <c r="A76" t="s">
        <v>260</v>
      </c>
      <c r="B76">
        <f t="shared" ref="B76:F76" si="4">ROUND(B71/B$73,0)</f>
        <v>75204</v>
      </c>
      <c r="C76">
        <f t="shared" si="4"/>
        <v>79196</v>
      </c>
      <c r="D76">
        <f t="shared" si="4"/>
        <v>89643</v>
      </c>
      <c r="E76">
        <f t="shared" si="4"/>
        <v>93058</v>
      </c>
      <c r="F76">
        <f t="shared" si="4"/>
        <v>96081</v>
      </c>
      <c r="J76" t="s">
        <v>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D205D-36C6-4ACC-A68F-6F73CFA47B25}">
  <sheetPr>
    <tabColor theme="5" tint="0.79998168889431442"/>
  </sheetPr>
  <dimension ref="A1:J55"/>
  <sheetViews>
    <sheetView workbookViewId="0">
      <selection activeCell="G28" sqref="G28"/>
    </sheetView>
  </sheetViews>
  <sheetFormatPr defaultRowHeight="15"/>
  <cols>
    <col min="3" max="3" width="13.5703125" bestFit="1" customWidth="1"/>
    <col min="4" max="4" width="13.5703125" customWidth="1"/>
  </cols>
  <sheetData>
    <row r="1" spans="1:10">
      <c r="A1" s="17" t="s">
        <v>138</v>
      </c>
      <c r="B1" s="17" t="s">
        <v>108</v>
      </c>
      <c r="C1" s="17" t="s">
        <v>109</v>
      </c>
      <c r="D1" s="17" t="s">
        <v>137</v>
      </c>
      <c r="E1" s="17" t="s">
        <v>110</v>
      </c>
    </row>
    <row r="2" spans="1:10">
      <c r="A2" t="str">
        <f>LEFT(B2,2)</f>
        <v>AT</v>
      </c>
      <c r="B2" t="s">
        <v>111</v>
      </c>
      <c r="C2" t="s">
        <v>112</v>
      </c>
      <c r="D2" t="s">
        <v>136</v>
      </c>
      <c r="E2">
        <v>3019.7</v>
      </c>
    </row>
    <row r="3" spans="1:10">
      <c r="A3" t="str">
        <f t="shared" ref="A3:A55" si="0">LEFT(B3,2)</f>
        <v>AT</v>
      </c>
      <c r="B3" t="s">
        <v>111</v>
      </c>
      <c r="C3" t="s">
        <v>113</v>
      </c>
      <c r="D3" t="s">
        <v>136</v>
      </c>
      <c r="E3">
        <v>8295.4</v>
      </c>
    </row>
    <row r="4" spans="1:10">
      <c r="A4" t="str">
        <f t="shared" si="0"/>
        <v>BE</v>
      </c>
      <c r="B4" t="s">
        <v>114</v>
      </c>
      <c r="C4" t="s">
        <v>112</v>
      </c>
      <c r="D4" t="s">
        <v>136</v>
      </c>
      <c r="E4">
        <v>12429.3</v>
      </c>
    </row>
    <row r="5" spans="1:10">
      <c r="A5" t="str">
        <f t="shared" si="0"/>
        <v>BE</v>
      </c>
      <c r="B5" t="s">
        <v>114</v>
      </c>
      <c r="C5" t="s">
        <v>115</v>
      </c>
      <c r="D5" t="s">
        <v>136</v>
      </c>
      <c r="E5">
        <v>2261.8000000000002</v>
      </c>
      <c r="J5" t="s">
        <v>111</v>
      </c>
    </row>
    <row r="6" spans="1:10">
      <c r="A6" t="str">
        <f t="shared" si="0"/>
        <v>BE</v>
      </c>
      <c r="B6" t="s">
        <v>114</v>
      </c>
      <c r="C6" t="s">
        <v>113</v>
      </c>
      <c r="D6" t="s">
        <v>136</v>
      </c>
      <c r="E6">
        <v>6109.9</v>
      </c>
      <c r="J6" t="s">
        <v>114</v>
      </c>
    </row>
    <row r="7" spans="1:10">
      <c r="A7" t="str">
        <f t="shared" si="0"/>
        <v>CH</v>
      </c>
      <c r="B7" t="s">
        <v>116</v>
      </c>
      <c r="C7" t="s">
        <v>112</v>
      </c>
      <c r="D7" t="s">
        <v>136</v>
      </c>
      <c r="E7">
        <v>6242.8</v>
      </c>
      <c r="J7" t="s">
        <v>116</v>
      </c>
    </row>
    <row r="8" spans="1:10">
      <c r="A8" t="str">
        <f t="shared" si="0"/>
        <v>CH</v>
      </c>
      <c r="B8" t="s">
        <v>116</v>
      </c>
      <c r="C8" t="s">
        <v>113</v>
      </c>
      <c r="D8" t="s">
        <v>136</v>
      </c>
      <c r="E8">
        <v>202.8</v>
      </c>
      <c r="J8" t="s">
        <v>117</v>
      </c>
    </row>
    <row r="9" spans="1:10">
      <c r="A9" t="str">
        <f t="shared" si="0"/>
        <v>DE</v>
      </c>
      <c r="B9" t="s">
        <v>117</v>
      </c>
      <c r="C9" t="s">
        <v>112</v>
      </c>
      <c r="D9" t="s">
        <v>136</v>
      </c>
      <c r="E9">
        <v>58458.9</v>
      </c>
      <c r="J9" t="s">
        <v>118</v>
      </c>
    </row>
    <row r="10" spans="1:10">
      <c r="A10" t="str">
        <f t="shared" si="0"/>
        <v>DE</v>
      </c>
      <c r="B10" t="s">
        <v>117</v>
      </c>
      <c r="C10" t="s">
        <v>115</v>
      </c>
      <c r="D10" t="s">
        <v>136</v>
      </c>
      <c r="E10">
        <v>21165</v>
      </c>
      <c r="J10" t="s">
        <v>119</v>
      </c>
    </row>
    <row r="11" spans="1:10">
      <c r="A11" t="str">
        <f t="shared" si="0"/>
        <v>DE</v>
      </c>
      <c r="B11" t="s">
        <v>117</v>
      </c>
      <c r="C11" t="s">
        <v>113</v>
      </c>
      <c r="D11" t="s">
        <v>136</v>
      </c>
      <c r="E11">
        <v>129413.7</v>
      </c>
      <c r="J11" t="s">
        <v>120</v>
      </c>
    </row>
    <row r="12" spans="1:10">
      <c r="A12" t="str">
        <f t="shared" si="0"/>
        <v>DK</v>
      </c>
      <c r="B12" t="s">
        <v>118</v>
      </c>
      <c r="C12" t="s">
        <v>112</v>
      </c>
      <c r="D12" t="s">
        <v>136</v>
      </c>
      <c r="E12">
        <v>634.6</v>
      </c>
      <c r="J12" t="s">
        <v>121</v>
      </c>
    </row>
    <row r="13" spans="1:10">
      <c r="A13" t="str">
        <f t="shared" si="0"/>
        <v>DK</v>
      </c>
      <c r="B13" t="s">
        <v>118</v>
      </c>
      <c r="C13" t="s">
        <v>115</v>
      </c>
      <c r="D13" t="s">
        <v>136</v>
      </c>
      <c r="E13">
        <v>1545</v>
      </c>
      <c r="J13" t="s">
        <v>122</v>
      </c>
    </row>
    <row r="14" spans="1:10">
      <c r="A14" t="str">
        <f t="shared" si="0"/>
        <v>DK</v>
      </c>
      <c r="B14" t="s">
        <v>118</v>
      </c>
      <c r="C14" t="s">
        <v>113</v>
      </c>
      <c r="D14" t="s">
        <v>136</v>
      </c>
      <c r="E14">
        <v>1561.4</v>
      </c>
      <c r="J14" t="s">
        <v>123</v>
      </c>
    </row>
    <row r="15" spans="1:10">
      <c r="A15" t="str">
        <f t="shared" si="0"/>
        <v>DK</v>
      </c>
      <c r="B15" t="s">
        <v>119</v>
      </c>
      <c r="C15" t="s">
        <v>112</v>
      </c>
      <c r="D15" t="s">
        <v>136</v>
      </c>
      <c r="E15">
        <v>1670.6</v>
      </c>
      <c r="J15" t="s">
        <v>124</v>
      </c>
    </row>
    <row r="16" spans="1:10">
      <c r="A16" t="str">
        <f t="shared" si="0"/>
        <v>DK</v>
      </c>
      <c r="B16" t="s">
        <v>119</v>
      </c>
      <c r="C16" t="s">
        <v>115</v>
      </c>
      <c r="D16" t="s">
        <v>136</v>
      </c>
      <c r="E16">
        <v>760.8</v>
      </c>
      <c r="J16" t="s">
        <v>125</v>
      </c>
    </row>
    <row r="17" spans="1:10">
      <c r="A17" t="str">
        <f t="shared" si="0"/>
        <v>DK</v>
      </c>
      <c r="B17" t="s">
        <v>119</v>
      </c>
      <c r="C17" t="s">
        <v>113</v>
      </c>
      <c r="D17" t="s">
        <v>136</v>
      </c>
      <c r="E17">
        <v>8311.2999999999993</v>
      </c>
      <c r="J17" t="s">
        <v>126</v>
      </c>
    </row>
    <row r="18" spans="1:10">
      <c r="A18" t="str">
        <f t="shared" si="0"/>
        <v>EE</v>
      </c>
      <c r="B18" t="s">
        <v>120</v>
      </c>
      <c r="C18" t="s">
        <v>112</v>
      </c>
      <c r="D18" t="s">
        <v>136</v>
      </c>
      <c r="E18">
        <v>207.7</v>
      </c>
      <c r="J18" t="s">
        <v>127</v>
      </c>
    </row>
    <row r="19" spans="1:10">
      <c r="A19" t="str">
        <f t="shared" si="0"/>
        <v>EE</v>
      </c>
      <c r="B19" t="s">
        <v>120</v>
      </c>
      <c r="C19" t="s">
        <v>113</v>
      </c>
      <c r="D19" t="s">
        <v>136</v>
      </c>
      <c r="E19">
        <v>2212.3000000000002</v>
      </c>
      <c r="J19" t="s">
        <v>128</v>
      </c>
    </row>
    <row r="20" spans="1:10">
      <c r="A20" t="str">
        <f t="shared" si="0"/>
        <v>ES</v>
      </c>
      <c r="B20" t="s">
        <v>121</v>
      </c>
      <c r="C20" t="s">
        <v>112</v>
      </c>
      <c r="D20" t="s">
        <v>136</v>
      </c>
      <c r="E20">
        <v>54119.7</v>
      </c>
      <c r="J20" t="s">
        <v>129</v>
      </c>
    </row>
    <row r="21" spans="1:10">
      <c r="A21" t="str">
        <f t="shared" si="0"/>
        <v>ES</v>
      </c>
      <c r="B21" t="s">
        <v>121</v>
      </c>
      <c r="C21" t="s">
        <v>115</v>
      </c>
      <c r="D21" t="s">
        <v>136</v>
      </c>
      <c r="E21">
        <v>5</v>
      </c>
      <c r="J21" t="s">
        <v>130</v>
      </c>
    </row>
    <row r="22" spans="1:10">
      <c r="A22" t="str">
        <f t="shared" si="0"/>
        <v>ES</v>
      </c>
      <c r="B22" t="s">
        <v>121</v>
      </c>
      <c r="C22" t="s">
        <v>113</v>
      </c>
      <c r="D22" t="s">
        <v>136</v>
      </c>
      <c r="E22">
        <v>63433.599999999999</v>
      </c>
      <c r="J22" t="s">
        <v>131</v>
      </c>
    </row>
    <row r="23" spans="1:10">
      <c r="A23" t="str">
        <f t="shared" si="0"/>
        <v>FI</v>
      </c>
      <c r="B23" t="s">
        <v>122</v>
      </c>
      <c r="C23" t="s">
        <v>112</v>
      </c>
      <c r="D23" t="s">
        <v>136</v>
      </c>
      <c r="E23">
        <v>3389.9</v>
      </c>
      <c r="J23" t="s">
        <v>132</v>
      </c>
    </row>
    <row r="24" spans="1:10">
      <c r="A24" t="str">
        <f t="shared" si="0"/>
        <v>FI</v>
      </c>
      <c r="B24" t="s">
        <v>122</v>
      </c>
      <c r="C24" t="s">
        <v>115</v>
      </c>
      <c r="D24" t="s">
        <v>136</v>
      </c>
      <c r="E24">
        <v>110.1</v>
      </c>
      <c r="J24" t="s">
        <v>133</v>
      </c>
    </row>
    <row r="25" spans="1:10">
      <c r="A25" t="str">
        <f t="shared" si="0"/>
        <v>FI</v>
      </c>
      <c r="B25" t="s">
        <v>122</v>
      </c>
      <c r="C25" t="s">
        <v>113</v>
      </c>
      <c r="D25" t="s">
        <v>136</v>
      </c>
      <c r="E25">
        <v>16515.3</v>
      </c>
      <c r="J25" t="s">
        <v>134</v>
      </c>
    </row>
    <row r="26" spans="1:10">
      <c r="A26" t="str">
        <f t="shared" si="0"/>
        <v>FR</v>
      </c>
      <c r="B26" t="s">
        <v>123</v>
      </c>
      <c r="C26" t="s">
        <v>112</v>
      </c>
      <c r="D26" t="s">
        <v>136</v>
      </c>
      <c r="E26">
        <v>72002.100000000006</v>
      </c>
      <c r="J26" t="s">
        <v>135</v>
      </c>
    </row>
    <row r="27" spans="1:10">
      <c r="A27" t="str">
        <f t="shared" si="0"/>
        <v>FR</v>
      </c>
      <c r="B27" t="s">
        <v>123</v>
      </c>
      <c r="C27" t="s">
        <v>115</v>
      </c>
      <c r="D27" t="s">
        <v>136</v>
      </c>
      <c r="E27">
        <v>2</v>
      </c>
    </row>
    <row r="28" spans="1:10">
      <c r="A28" t="str">
        <f t="shared" si="0"/>
        <v>FR</v>
      </c>
      <c r="B28" t="s">
        <v>123</v>
      </c>
      <c r="C28" t="s">
        <v>113</v>
      </c>
      <c r="D28" t="s">
        <v>136</v>
      </c>
      <c r="E28">
        <v>64363</v>
      </c>
    </row>
    <row r="29" spans="1:10">
      <c r="A29" t="str">
        <f t="shared" si="0"/>
        <v>LT</v>
      </c>
      <c r="B29" t="s">
        <v>124</v>
      </c>
      <c r="C29" t="s">
        <v>112</v>
      </c>
      <c r="D29" t="s">
        <v>136</v>
      </c>
      <c r="E29">
        <v>164</v>
      </c>
    </row>
    <row r="30" spans="1:10">
      <c r="A30" t="str">
        <f t="shared" si="0"/>
        <v>LT</v>
      </c>
      <c r="B30" t="s">
        <v>124</v>
      </c>
      <c r="C30" t="s">
        <v>113</v>
      </c>
      <c r="D30" t="s">
        <v>136</v>
      </c>
      <c r="E30">
        <v>671</v>
      </c>
    </row>
    <row r="31" spans="1:10">
      <c r="A31" t="str">
        <f t="shared" si="0"/>
        <v>LV</v>
      </c>
      <c r="B31" t="s">
        <v>125</v>
      </c>
      <c r="C31" t="s">
        <v>112</v>
      </c>
      <c r="D31" t="s">
        <v>136</v>
      </c>
      <c r="E31">
        <v>7</v>
      </c>
    </row>
    <row r="32" spans="1:10">
      <c r="A32" t="str">
        <f t="shared" si="0"/>
        <v>LV</v>
      </c>
      <c r="B32" t="s">
        <v>125</v>
      </c>
      <c r="C32" t="s">
        <v>113</v>
      </c>
      <c r="D32" t="s">
        <v>136</v>
      </c>
      <c r="E32">
        <v>2754</v>
      </c>
    </row>
    <row r="33" spans="1:5">
      <c r="A33" t="str">
        <f t="shared" si="0"/>
        <v>NL</v>
      </c>
      <c r="B33" t="s">
        <v>126</v>
      </c>
      <c r="C33" t="s">
        <v>112</v>
      </c>
      <c r="D33" t="s">
        <v>136</v>
      </c>
      <c r="E33">
        <v>15101.9</v>
      </c>
    </row>
    <row r="34" spans="1:5">
      <c r="A34" t="str">
        <f t="shared" si="0"/>
        <v>NL</v>
      </c>
      <c r="B34" t="s">
        <v>126</v>
      </c>
      <c r="C34" t="s">
        <v>115</v>
      </c>
      <c r="D34" t="s">
        <v>136</v>
      </c>
      <c r="E34">
        <v>2459.9</v>
      </c>
    </row>
    <row r="35" spans="1:5">
      <c r="A35" t="str">
        <f t="shared" si="0"/>
        <v>NL</v>
      </c>
      <c r="B35" t="s">
        <v>126</v>
      </c>
      <c r="C35" t="s">
        <v>113</v>
      </c>
      <c r="D35" t="s">
        <v>136</v>
      </c>
      <c r="E35">
        <v>13479.2</v>
      </c>
    </row>
    <row r="36" spans="1:5">
      <c r="A36" t="str">
        <f t="shared" si="0"/>
        <v>NO</v>
      </c>
      <c r="B36" t="s">
        <v>127</v>
      </c>
      <c r="C36" t="s">
        <v>112</v>
      </c>
      <c r="D36" t="s">
        <v>136</v>
      </c>
      <c r="E36">
        <v>38</v>
      </c>
    </row>
    <row r="37" spans="1:5">
      <c r="A37" t="str">
        <f t="shared" si="0"/>
        <v>NO</v>
      </c>
      <c r="B37" t="s">
        <v>127</v>
      </c>
      <c r="C37" t="s">
        <v>113</v>
      </c>
      <c r="D37" t="s">
        <v>136</v>
      </c>
      <c r="E37">
        <v>1950.2</v>
      </c>
    </row>
    <row r="38" spans="1:5">
      <c r="A38" t="str">
        <f t="shared" si="0"/>
        <v>NO</v>
      </c>
      <c r="B38" t="s">
        <v>128</v>
      </c>
      <c r="C38" t="s">
        <v>113</v>
      </c>
      <c r="D38" t="s">
        <v>136</v>
      </c>
      <c r="E38">
        <v>891.3</v>
      </c>
    </row>
    <row r="39" spans="1:5">
      <c r="A39" t="str">
        <f t="shared" si="0"/>
        <v>NO</v>
      </c>
      <c r="B39" t="s">
        <v>129</v>
      </c>
      <c r="C39" t="s">
        <v>112</v>
      </c>
      <c r="D39" t="s">
        <v>136</v>
      </c>
      <c r="E39">
        <v>114</v>
      </c>
    </row>
    <row r="40" spans="1:5">
      <c r="A40" t="str">
        <f t="shared" si="0"/>
        <v>NO</v>
      </c>
      <c r="B40" t="s">
        <v>129</v>
      </c>
      <c r="C40" t="s">
        <v>115</v>
      </c>
      <c r="D40" t="s">
        <v>136</v>
      </c>
      <c r="E40">
        <v>6.3</v>
      </c>
    </row>
    <row r="41" spans="1:5">
      <c r="A41" t="str">
        <f t="shared" si="0"/>
        <v>NO</v>
      </c>
      <c r="B41" t="s">
        <v>129</v>
      </c>
      <c r="C41" t="s">
        <v>113</v>
      </c>
      <c r="D41" t="s">
        <v>136</v>
      </c>
      <c r="E41">
        <v>1802.2</v>
      </c>
    </row>
    <row r="42" spans="1:5">
      <c r="A42" t="str">
        <f t="shared" si="0"/>
        <v>PL</v>
      </c>
      <c r="B42" t="s">
        <v>130</v>
      </c>
      <c r="C42" t="s">
        <v>112</v>
      </c>
      <c r="D42" t="s">
        <v>136</v>
      </c>
      <c r="E42">
        <v>12808.5</v>
      </c>
    </row>
    <row r="43" spans="1:5">
      <c r="A43" t="str">
        <f t="shared" si="0"/>
        <v>PL</v>
      </c>
      <c r="B43" t="s">
        <v>130</v>
      </c>
      <c r="C43" t="s">
        <v>115</v>
      </c>
      <c r="D43" t="s">
        <v>136</v>
      </c>
      <c r="E43">
        <v>30.1</v>
      </c>
    </row>
    <row r="44" spans="1:5">
      <c r="A44" t="str">
        <f t="shared" si="0"/>
        <v>PL</v>
      </c>
      <c r="B44" t="s">
        <v>130</v>
      </c>
      <c r="C44" t="s">
        <v>113</v>
      </c>
      <c r="D44" t="s">
        <v>136</v>
      </c>
      <c r="E44">
        <v>11355.3</v>
      </c>
    </row>
    <row r="45" spans="1:5">
      <c r="A45" t="str">
        <f t="shared" si="0"/>
        <v>SE</v>
      </c>
      <c r="B45" t="s">
        <v>131</v>
      </c>
      <c r="C45" t="s">
        <v>113</v>
      </c>
      <c r="D45" t="s">
        <v>136</v>
      </c>
      <c r="E45">
        <v>6413.6</v>
      </c>
    </row>
    <row r="46" spans="1:5">
      <c r="A46" t="str">
        <f t="shared" si="0"/>
        <v>SE</v>
      </c>
      <c r="B46" t="s">
        <v>132</v>
      </c>
      <c r="C46" t="s">
        <v>112</v>
      </c>
      <c r="D46" t="s">
        <v>136</v>
      </c>
      <c r="E46">
        <v>72.099999999999994</v>
      </c>
    </row>
    <row r="47" spans="1:5">
      <c r="A47" t="str">
        <f t="shared" si="0"/>
        <v>SE</v>
      </c>
      <c r="B47" t="s">
        <v>132</v>
      </c>
      <c r="C47" t="s">
        <v>113</v>
      </c>
      <c r="D47" t="s">
        <v>136</v>
      </c>
      <c r="E47">
        <v>14832.3</v>
      </c>
    </row>
    <row r="48" spans="1:5">
      <c r="A48" t="str">
        <f t="shared" si="0"/>
        <v>SE</v>
      </c>
      <c r="B48" t="s">
        <v>133</v>
      </c>
      <c r="C48" t="s">
        <v>112</v>
      </c>
      <c r="D48" t="s">
        <v>136</v>
      </c>
      <c r="E48">
        <v>1048</v>
      </c>
    </row>
    <row r="49" spans="1:5">
      <c r="A49" t="str">
        <f t="shared" si="0"/>
        <v>SE</v>
      </c>
      <c r="B49" t="s">
        <v>133</v>
      </c>
      <c r="C49" t="s">
        <v>113</v>
      </c>
      <c r="D49" t="s">
        <v>136</v>
      </c>
      <c r="E49">
        <v>6928.9</v>
      </c>
    </row>
    <row r="50" spans="1:5">
      <c r="A50" t="str">
        <f t="shared" si="0"/>
        <v>SE</v>
      </c>
      <c r="B50" t="s">
        <v>134</v>
      </c>
      <c r="C50" t="s">
        <v>112</v>
      </c>
      <c r="D50" t="s">
        <v>136</v>
      </c>
      <c r="E50">
        <v>457.1</v>
      </c>
    </row>
    <row r="51" spans="1:5">
      <c r="A51" t="str">
        <f t="shared" si="0"/>
        <v>SE</v>
      </c>
      <c r="B51" t="s">
        <v>134</v>
      </c>
      <c r="C51" t="s">
        <v>115</v>
      </c>
      <c r="D51" t="s">
        <v>136</v>
      </c>
      <c r="E51">
        <v>212.8</v>
      </c>
    </row>
    <row r="52" spans="1:5">
      <c r="A52" t="str">
        <f t="shared" si="0"/>
        <v>SE</v>
      </c>
      <c r="B52" t="s">
        <v>134</v>
      </c>
      <c r="C52" t="s">
        <v>113</v>
      </c>
      <c r="D52" t="s">
        <v>136</v>
      </c>
      <c r="E52">
        <v>3981.8</v>
      </c>
    </row>
    <row r="53" spans="1:5">
      <c r="A53" t="str">
        <f t="shared" si="0"/>
        <v>UK</v>
      </c>
      <c r="B53" t="s">
        <v>135</v>
      </c>
      <c r="C53" t="s">
        <v>112</v>
      </c>
      <c r="D53" t="s">
        <v>136</v>
      </c>
      <c r="E53">
        <v>13688.9</v>
      </c>
    </row>
    <row r="54" spans="1:5">
      <c r="A54" t="str">
        <f t="shared" si="0"/>
        <v>UK</v>
      </c>
      <c r="B54" t="s">
        <v>135</v>
      </c>
      <c r="C54" t="s">
        <v>115</v>
      </c>
      <c r="D54" t="s">
        <v>136</v>
      </c>
      <c r="E54">
        <v>11867.9</v>
      </c>
    </row>
    <row r="55" spans="1:5">
      <c r="A55" t="str">
        <f t="shared" si="0"/>
        <v>UK</v>
      </c>
      <c r="B55" t="s">
        <v>135</v>
      </c>
      <c r="C55" t="s">
        <v>113</v>
      </c>
      <c r="D55" t="s">
        <v>136</v>
      </c>
      <c r="E55">
        <v>34229.1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5281C-1818-41CD-BF98-71F532F8570B}">
  <sheetPr>
    <tabColor theme="5" tint="0.79998168889431442"/>
  </sheetPr>
  <dimension ref="A1:AD47"/>
  <sheetViews>
    <sheetView topLeftCell="A2" zoomScale="70" zoomScaleNormal="70" workbookViewId="0">
      <selection activeCell="I53" sqref="I53"/>
    </sheetView>
  </sheetViews>
  <sheetFormatPr defaultRowHeight="15"/>
  <cols>
    <col min="2" max="2" width="18.7109375" customWidth="1"/>
    <col min="3" max="3" width="3.85546875" bestFit="1" customWidth="1"/>
    <col min="4" max="4" width="14" customWidth="1"/>
  </cols>
  <sheetData>
    <row r="1" spans="1:30" ht="103.5">
      <c r="A1" s="1" t="s">
        <v>0</v>
      </c>
    </row>
    <row r="3" spans="1:30" ht="15.75" thickBot="1">
      <c r="A3" s="84" t="s">
        <v>1</v>
      </c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</row>
    <row r="4" spans="1:30" ht="16.5" thickBot="1">
      <c r="A4" s="2" t="s">
        <v>2</v>
      </c>
      <c r="B4" s="2" t="s">
        <v>3</v>
      </c>
      <c r="C4" s="2"/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2">
        <v>2016</v>
      </c>
      <c r="M4" s="2">
        <v>2015</v>
      </c>
      <c r="N4" s="2">
        <v>2014</v>
      </c>
      <c r="O4" s="2">
        <v>2013</v>
      </c>
      <c r="P4" s="2">
        <v>2012</v>
      </c>
      <c r="Q4" s="2">
        <v>2011</v>
      </c>
      <c r="R4" s="2">
        <v>2010</v>
      </c>
      <c r="S4" s="2">
        <v>2009</v>
      </c>
      <c r="T4" s="2">
        <v>2008</v>
      </c>
      <c r="U4" s="2">
        <v>2007</v>
      </c>
      <c r="V4" s="2">
        <v>2006</v>
      </c>
      <c r="W4" s="2">
        <v>2005</v>
      </c>
      <c r="X4" s="2">
        <v>2004</v>
      </c>
      <c r="Y4" s="2">
        <v>2003</v>
      </c>
      <c r="Z4" s="2">
        <v>2002</v>
      </c>
      <c r="AA4" s="2">
        <v>2001</v>
      </c>
      <c r="AB4" s="2">
        <v>2000</v>
      </c>
      <c r="AC4" s="2">
        <v>1999</v>
      </c>
      <c r="AD4" s="2">
        <v>1998</v>
      </c>
    </row>
    <row r="5" spans="1:30" ht="16.5" thickBot="1">
      <c r="A5" s="86" t="s">
        <v>12</v>
      </c>
      <c r="B5" s="87"/>
      <c r="C5" s="87"/>
      <c r="D5" s="87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  <c r="AA5" s="87"/>
      <c r="AB5" s="87"/>
      <c r="AC5" s="87"/>
      <c r="AD5" s="88"/>
    </row>
    <row r="6" spans="1:30" ht="16.5" thickBot="1">
      <c r="A6" s="4"/>
      <c r="B6" s="10"/>
      <c r="C6" s="10"/>
      <c r="D6" s="10">
        <f>LEFT(D4,4)+0</f>
        <v>2024</v>
      </c>
      <c r="E6" s="10">
        <f t="shared" ref="E6:AD6" si="0">LEFT(E4,4)+0</f>
        <v>2023</v>
      </c>
      <c r="F6" s="10">
        <f t="shared" si="0"/>
        <v>2022</v>
      </c>
      <c r="G6" s="10">
        <f t="shared" si="0"/>
        <v>2021</v>
      </c>
      <c r="H6" s="10">
        <f t="shared" si="0"/>
        <v>2020</v>
      </c>
      <c r="I6" s="10">
        <f t="shared" si="0"/>
        <v>2019</v>
      </c>
      <c r="J6" s="10">
        <f t="shared" si="0"/>
        <v>2018</v>
      </c>
      <c r="K6" s="10">
        <f t="shared" si="0"/>
        <v>2017</v>
      </c>
      <c r="L6" s="10">
        <f t="shared" si="0"/>
        <v>2016</v>
      </c>
      <c r="M6" s="10">
        <f t="shared" si="0"/>
        <v>2015</v>
      </c>
      <c r="N6" s="10">
        <f t="shared" si="0"/>
        <v>2014</v>
      </c>
      <c r="O6" s="10">
        <f t="shared" si="0"/>
        <v>2013</v>
      </c>
      <c r="P6" s="10">
        <f t="shared" si="0"/>
        <v>2012</v>
      </c>
      <c r="Q6" s="10">
        <f t="shared" si="0"/>
        <v>2011</v>
      </c>
      <c r="R6" s="10">
        <f t="shared" si="0"/>
        <v>2010</v>
      </c>
      <c r="S6" s="10">
        <f t="shared" si="0"/>
        <v>2009</v>
      </c>
      <c r="T6" s="10">
        <f t="shared" si="0"/>
        <v>2008</v>
      </c>
      <c r="U6" s="10">
        <f t="shared" si="0"/>
        <v>2007</v>
      </c>
      <c r="V6" s="10">
        <f t="shared" si="0"/>
        <v>2006</v>
      </c>
      <c r="W6" s="10">
        <f t="shared" si="0"/>
        <v>2005</v>
      </c>
      <c r="X6" s="10">
        <f t="shared" si="0"/>
        <v>2004</v>
      </c>
      <c r="Y6" s="10">
        <f t="shared" si="0"/>
        <v>2003</v>
      </c>
      <c r="Z6" s="10">
        <f t="shared" si="0"/>
        <v>2002</v>
      </c>
      <c r="AA6" s="10">
        <f t="shared" si="0"/>
        <v>2001</v>
      </c>
      <c r="AB6" s="10">
        <f t="shared" si="0"/>
        <v>2000</v>
      </c>
      <c r="AC6" s="10">
        <f t="shared" si="0"/>
        <v>1999</v>
      </c>
      <c r="AD6" s="10">
        <f t="shared" si="0"/>
        <v>1998</v>
      </c>
    </row>
    <row r="7" spans="1:30" ht="15.75" thickBot="1">
      <c r="A7" s="5">
        <v>1</v>
      </c>
      <c r="B7" s="6" t="s">
        <v>13</v>
      </c>
      <c r="C7" s="6" t="s">
        <v>64</v>
      </c>
      <c r="D7" s="7">
        <v>72672</v>
      </c>
      <c r="E7" s="7">
        <v>69675</v>
      </c>
      <c r="F7" s="7">
        <v>66322</v>
      </c>
      <c r="G7" s="7">
        <v>64040</v>
      </c>
      <c r="H7" s="7">
        <v>62580</v>
      </c>
      <c r="I7" s="7">
        <v>60720</v>
      </c>
      <c r="J7" s="7">
        <v>58850</v>
      </c>
      <c r="K7" s="7">
        <v>55580</v>
      </c>
      <c r="L7" s="7">
        <v>49430</v>
      </c>
      <c r="M7" s="7">
        <v>44580</v>
      </c>
      <c r="N7" s="7">
        <v>38610</v>
      </c>
      <c r="O7" s="7">
        <v>33480</v>
      </c>
      <c r="P7" s="7">
        <v>30830</v>
      </c>
      <c r="Q7" s="7">
        <v>28770</v>
      </c>
      <c r="R7" s="7">
        <v>27180</v>
      </c>
      <c r="S7" s="7">
        <v>25777</v>
      </c>
      <c r="T7" s="7">
        <v>23897</v>
      </c>
      <c r="U7" s="7">
        <v>22247</v>
      </c>
      <c r="V7" s="7">
        <v>20622</v>
      </c>
      <c r="W7" s="7">
        <v>18415</v>
      </c>
      <c r="X7" s="7">
        <v>16629</v>
      </c>
      <c r="Y7" s="7">
        <v>14609</v>
      </c>
      <c r="Z7" s="7">
        <v>11994</v>
      </c>
      <c r="AA7" s="7">
        <v>8754</v>
      </c>
      <c r="AB7" s="7">
        <v>6113</v>
      </c>
      <c r="AC7" s="7">
        <v>4442</v>
      </c>
      <c r="AD7" s="7">
        <v>2875</v>
      </c>
    </row>
    <row r="8" spans="1:30" ht="15.75" thickBot="1">
      <c r="A8" s="5">
        <v>2</v>
      </c>
      <c r="B8" s="6" t="s">
        <v>14</v>
      </c>
      <c r="C8" s="6" t="s">
        <v>65</v>
      </c>
      <c r="D8" s="7">
        <v>31636</v>
      </c>
      <c r="E8" s="7">
        <v>29622</v>
      </c>
      <c r="F8" s="7">
        <v>28493</v>
      </c>
      <c r="G8" s="7">
        <v>26812</v>
      </c>
      <c r="H8" s="7">
        <v>24167</v>
      </c>
      <c r="I8" s="7">
        <v>23515</v>
      </c>
      <c r="J8" s="7">
        <v>20970</v>
      </c>
      <c r="K8" s="7">
        <v>18872</v>
      </c>
      <c r="L8" s="7">
        <v>15030</v>
      </c>
      <c r="M8" s="7">
        <v>14291</v>
      </c>
      <c r="N8" s="7">
        <v>12440</v>
      </c>
      <c r="O8" s="7">
        <v>10531</v>
      </c>
      <c r="P8" s="7">
        <v>8445</v>
      </c>
      <c r="Q8" s="7">
        <v>6540</v>
      </c>
      <c r="R8" s="7">
        <v>5204</v>
      </c>
      <c r="S8" s="7">
        <v>4051</v>
      </c>
      <c r="T8" s="7">
        <v>2974</v>
      </c>
      <c r="U8" s="7">
        <v>2406</v>
      </c>
      <c r="V8" s="7">
        <v>1962</v>
      </c>
      <c r="W8" s="7">
        <v>1332</v>
      </c>
      <c r="X8" s="5">
        <v>904</v>
      </c>
      <c r="Y8" s="5">
        <v>667</v>
      </c>
      <c r="Z8" s="5">
        <v>552</v>
      </c>
      <c r="AA8" s="5">
        <v>474</v>
      </c>
      <c r="AB8" s="5">
        <v>406</v>
      </c>
      <c r="AC8" s="5">
        <v>362</v>
      </c>
      <c r="AD8" s="5">
        <v>333</v>
      </c>
    </row>
    <row r="9" spans="1:30" ht="15.75" thickBot="1">
      <c r="A9" s="5">
        <v>3</v>
      </c>
      <c r="B9" s="6" t="s">
        <v>15</v>
      </c>
      <c r="C9" s="6" t="s">
        <v>66</v>
      </c>
      <c r="D9" s="7">
        <v>31180</v>
      </c>
      <c r="E9" s="7">
        <v>30569</v>
      </c>
      <c r="F9" s="7">
        <v>29798</v>
      </c>
      <c r="G9" s="7">
        <v>28196</v>
      </c>
      <c r="H9" s="7">
        <v>27264</v>
      </c>
      <c r="I9" s="7">
        <v>25808</v>
      </c>
      <c r="J9" s="7">
        <v>23494</v>
      </c>
      <c r="K9" s="7">
        <v>23170</v>
      </c>
      <c r="L9" s="7">
        <v>23026</v>
      </c>
      <c r="M9" s="7">
        <v>22987</v>
      </c>
      <c r="N9" s="7">
        <v>22986</v>
      </c>
      <c r="O9" s="7">
        <v>22959</v>
      </c>
      <c r="P9" s="7">
        <v>22796</v>
      </c>
      <c r="Q9" s="7">
        <v>21674</v>
      </c>
      <c r="R9" s="7">
        <v>20676</v>
      </c>
      <c r="S9" s="7">
        <v>19149</v>
      </c>
      <c r="T9" s="7">
        <v>16689</v>
      </c>
      <c r="U9" s="7">
        <v>15131</v>
      </c>
      <c r="V9" s="7">
        <v>11623</v>
      </c>
      <c r="W9" s="7">
        <v>10028</v>
      </c>
      <c r="X9" s="7">
        <v>8264</v>
      </c>
      <c r="Y9" s="7">
        <v>6203</v>
      </c>
      <c r="Z9" s="7">
        <v>4825</v>
      </c>
      <c r="AA9" s="7">
        <v>3337</v>
      </c>
      <c r="AB9" s="7">
        <v>2235</v>
      </c>
      <c r="AC9" s="7">
        <v>1812</v>
      </c>
      <c r="AD9" s="5">
        <v>834</v>
      </c>
    </row>
    <row r="10" spans="1:30" ht="15.75" thickBot="1">
      <c r="A10" s="5">
        <v>4</v>
      </c>
      <c r="B10" s="6" t="s">
        <v>16</v>
      </c>
      <c r="C10" s="6" t="s">
        <v>67</v>
      </c>
      <c r="D10" s="7">
        <v>24383</v>
      </c>
      <c r="E10" s="7">
        <v>22792</v>
      </c>
      <c r="F10" s="7">
        <v>21135</v>
      </c>
      <c r="G10" s="7">
        <v>19081</v>
      </c>
      <c r="H10" s="7">
        <v>17949</v>
      </c>
      <c r="I10" s="7">
        <v>16646</v>
      </c>
      <c r="J10" s="7">
        <v>15309</v>
      </c>
      <c r="K10" s="7">
        <v>13759</v>
      </c>
      <c r="L10" s="7">
        <v>11670</v>
      </c>
      <c r="M10" s="7">
        <v>10324</v>
      </c>
      <c r="N10" s="7">
        <v>9285</v>
      </c>
      <c r="O10" s="7">
        <v>8254</v>
      </c>
      <c r="P10" s="7">
        <v>7196</v>
      </c>
      <c r="Q10" s="7">
        <v>6800</v>
      </c>
      <c r="R10" s="7">
        <v>5660</v>
      </c>
      <c r="S10" s="7">
        <v>4492</v>
      </c>
      <c r="T10" s="7">
        <v>3404</v>
      </c>
      <c r="U10" s="7">
        <v>2454</v>
      </c>
      <c r="V10" s="7">
        <v>1567</v>
      </c>
      <c r="W10" s="5">
        <v>757</v>
      </c>
      <c r="X10" s="5">
        <v>390</v>
      </c>
      <c r="Y10" s="5">
        <v>257</v>
      </c>
      <c r="Z10" s="5">
        <v>148</v>
      </c>
      <c r="AA10" s="5">
        <v>93</v>
      </c>
      <c r="AB10" s="5">
        <v>66</v>
      </c>
      <c r="AC10" s="5">
        <v>25</v>
      </c>
      <c r="AD10" s="5">
        <v>19</v>
      </c>
    </row>
    <row r="11" spans="1:30" ht="15.75" thickBot="1">
      <c r="A11" s="5">
        <v>5</v>
      </c>
      <c r="B11" s="6" t="s">
        <v>17</v>
      </c>
      <c r="C11" s="6" t="s">
        <v>68</v>
      </c>
      <c r="D11" s="7">
        <v>17200</v>
      </c>
      <c r="E11" s="7">
        <v>16441</v>
      </c>
      <c r="F11" s="7">
        <v>14585</v>
      </c>
      <c r="G11" s="7">
        <v>12097</v>
      </c>
      <c r="H11" s="7">
        <v>9992</v>
      </c>
      <c r="I11" s="7">
        <v>8985</v>
      </c>
      <c r="J11" s="7">
        <v>7407</v>
      </c>
      <c r="K11" s="7">
        <v>6691</v>
      </c>
      <c r="L11" s="7">
        <v>6519</v>
      </c>
      <c r="M11" s="7">
        <v>6029</v>
      </c>
      <c r="N11" s="7">
        <v>5425</v>
      </c>
      <c r="O11" s="7">
        <v>4470</v>
      </c>
      <c r="P11" s="7">
        <v>3745</v>
      </c>
      <c r="Q11" s="7">
        <v>2907</v>
      </c>
      <c r="R11" s="7">
        <v>2163</v>
      </c>
      <c r="S11" s="7">
        <v>1560</v>
      </c>
      <c r="T11" s="7">
        <v>1048</v>
      </c>
      <c r="U11" s="5">
        <v>788</v>
      </c>
      <c r="V11" s="5">
        <v>571</v>
      </c>
      <c r="W11" s="5">
        <v>509</v>
      </c>
      <c r="X11" s="5">
        <v>442</v>
      </c>
      <c r="Y11" s="5">
        <v>399</v>
      </c>
      <c r="Z11" s="5">
        <v>345</v>
      </c>
      <c r="AA11" s="5">
        <v>293</v>
      </c>
      <c r="AB11" s="5">
        <v>231</v>
      </c>
      <c r="AC11" s="5">
        <v>220</v>
      </c>
      <c r="AD11" s="5">
        <v>174</v>
      </c>
    </row>
    <row r="12" spans="1:30" ht="15.75" thickBot="1">
      <c r="A12" s="5">
        <v>6</v>
      </c>
      <c r="B12" s="6" t="s">
        <v>18</v>
      </c>
      <c r="C12" s="6" t="s">
        <v>69</v>
      </c>
      <c r="D12" s="7">
        <v>13793</v>
      </c>
      <c r="E12" s="7">
        <v>12342</v>
      </c>
      <c r="F12" s="7">
        <v>11969</v>
      </c>
      <c r="G12" s="7">
        <v>10750</v>
      </c>
      <c r="H12" s="7">
        <v>9305</v>
      </c>
      <c r="I12" s="7">
        <v>8056</v>
      </c>
      <c r="J12" s="7">
        <v>7369</v>
      </c>
      <c r="K12" s="7">
        <v>6857</v>
      </c>
      <c r="L12" s="7">
        <v>6101</v>
      </c>
      <c r="M12" s="7">
        <v>4718</v>
      </c>
      <c r="N12" s="7">
        <v>3763</v>
      </c>
      <c r="O12" s="7">
        <v>2956</v>
      </c>
      <c r="P12" s="7">
        <v>2312</v>
      </c>
      <c r="Q12" s="7">
        <v>1691</v>
      </c>
      <c r="R12" s="7">
        <v>1329</v>
      </c>
      <c r="S12" s="5">
        <v>801</v>
      </c>
      <c r="T12" s="5">
        <v>458</v>
      </c>
      <c r="U12" s="5"/>
      <c r="V12" s="5"/>
      <c r="W12" s="5"/>
      <c r="X12" s="5"/>
      <c r="Y12" s="5"/>
      <c r="Z12" s="5"/>
      <c r="AA12" s="5"/>
      <c r="AB12" s="5"/>
      <c r="AC12" s="5"/>
      <c r="AD12" s="5"/>
    </row>
    <row r="13" spans="1:30" ht="15.75" thickBot="1">
      <c r="A13" s="5">
        <v>7</v>
      </c>
      <c r="B13" s="6" t="s">
        <v>19</v>
      </c>
      <c r="C13" s="6" t="s">
        <v>70</v>
      </c>
      <c r="D13" s="7">
        <v>12945</v>
      </c>
      <c r="E13" s="7">
        <v>12336</v>
      </c>
      <c r="F13" s="7">
        <v>11848</v>
      </c>
      <c r="G13" s="7">
        <v>11108</v>
      </c>
      <c r="H13" s="7">
        <v>10852</v>
      </c>
      <c r="I13" s="7">
        <v>10512</v>
      </c>
      <c r="J13" s="7">
        <v>9958</v>
      </c>
      <c r="K13" s="7">
        <v>9479</v>
      </c>
      <c r="L13" s="7">
        <v>9255</v>
      </c>
      <c r="M13" s="7">
        <v>8973</v>
      </c>
      <c r="N13" s="7">
        <v>8663</v>
      </c>
      <c r="O13" s="7">
        <v>8551</v>
      </c>
      <c r="P13" s="7">
        <v>8144</v>
      </c>
      <c r="Q13" s="7">
        <v>6747</v>
      </c>
      <c r="R13" s="7">
        <v>5797</v>
      </c>
      <c r="S13" s="7">
        <v>4850</v>
      </c>
      <c r="T13" s="7">
        <v>3736</v>
      </c>
      <c r="U13" s="7">
        <v>2726</v>
      </c>
      <c r="V13" s="7">
        <v>2123</v>
      </c>
      <c r="W13" s="7">
        <v>1718</v>
      </c>
      <c r="X13" s="7">
        <v>1266</v>
      </c>
      <c r="Y13" s="5">
        <v>905</v>
      </c>
      <c r="Z13" s="5">
        <v>788</v>
      </c>
      <c r="AA13" s="5">
        <v>682</v>
      </c>
      <c r="AB13" s="5">
        <v>427</v>
      </c>
      <c r="AC13" s="5">
        <v>277</v>
      </c>
      <c r="AD13" s="5">
        <v>180</v>
      </c>
    </row>
    <row r="14" spans="1:30" ht="15.75" thickBot="1">
      <c r="A14" s="5">
        <v>8</v>
      </c>
      <c r="B14" s="6" t="s">
        <v>20</v>
      </c>
      <c r="C14" s="6" t="s">
        <v>71</v>
      </c>
      <c r="D14" s="7">
        <v>11706</v>
      </c>
      <c r="E14" s="7">
        <v>11493</v>
      </c>
      <c r="F14" s="7">
        <v>9052</v>
      </c>
      <c r="G14" s="7">
        <v>8165</v>
      </c>
      <c r="H14" s="7">
        <v>6784</v>
      </c>
      <c r="I14" s="7">
        <v>4600</v>
      </c>
      <c r="J14" s="7">
        <v>4471</v>
      </c>
      <c r="K14" s="7">
        <v>4341</v>
      </c>
      <c r="L14" s="7">
        <v>4180</v>
      </c>
      <c r="M14" s="7">
        <v>3391</v>
      </c>
      <c r="N14" s="7">
        <v>2805</v>
      </c>
      <c r="O14" s="7">
        <v>2693</v>
      </c>
      <c r="P14" s="7">
        <v>2391</v>
      </c>
      <c r="Q14" s="7">
        <v>2328</v>
      </c>
      <c r="R14" s="7">
        <v>2245</v>
      </c>
      <c r="S14" s="7">
        <v>2229</v>
      </c>
      <c r="T14" s="7">
        <v>2225</v>
      </c>
      <c r="U14" s="7">
        <v>1747</v>
      </c>
      <c r="V14" s="7">
        <v>1558</v>
      </c>
      <c r="W14" s="7">
        <v>1219</v>
      </c>
      <c r="X14" s="7">
        <v>1079</v>
      </c>
      <c r="Y14" s="5">
        <v>910</v>
      </c>
      <c r="Z14" s="5">
        <v>693</v>
      </c>
      <c r="AA14" s="5">
        <v>486</v>
      </c>
      <c r="AB14" s="5">
        <v>446</v>
      </c>
      <c r="AC14" s="5">
        <v>433</v>
      </c>
      <c r="AD14" s="5">
        <v>361</v>
      </c>
    </row>
    <row r="15" spans="1:30" ht="15.75" thickBot="1">
      <c r="A15" s="5">
        <v>9</v>
      </c>
      <c r="B15" s="6" t="s">
        <v>21</v>
      </c>
      <c r="C15" s="6" t="s">
        <v>72</v>
      </c>
      <c r="D15" s="7">
        <v>10233</v>
      </c>
      <c r="E15" s="7">
        <v>9383</v>
      </c>
      <c r="F15" s="7">
        <v>7864</v>
      </c>
      <c r="G15" s="7">
        <v>7116</v>
      </c>
      <c r="H15" s="7">
        <v>6614</v>
      </c>
      <c r="I15" s="7">
        <v>5917</v>
      </c>
      <c r="J15" s="7">
        <v>5864</v>
      </c>
      <c r="K15" s="7">
        <v>6397</v>
      </c>
      <c r="L15" s="7">
        <v>5782</v>
      </c>
      <c r="M15" s="7">
        <v>5100</v>
      </c>
      <c r="N15" s="7">
        <v>3834</v>
      </c>
      <c r="O15" s="7">
        <v>3390</v>
      </c>
      <c r="P15" s="7">
        <v>2497</v>
      </c>
      <c r="Q15" s="7">
        <v>1616</v>
      </c>
      <c r="R15" s="7">
        <v>1107</v>
      </c>
      <c r="S15" s="5">
        <v>725</v>
      </c>
      <c r="T15" s="5">
        <v>544</v>
      </c>
      <c r="U15" s="5">
        <v>276</v>
      </c>
      <c r="V15" s="5">
        <v>153</v>
      </c>
      <c r="W15" s="5">
        <v>83</v>
      </c>
      <c r="X15" s="5">
        <v>63</v>
      </c>
      <c r="Y15" s="5">
        <v>63</v>
      </c>
      <c r="Z15" s="5">
        <v>27</v>
      </c>
      <c r="AA15" s="5">
        <v>0</v>
      </c>
      <c r="AB15" s="5">
        <v>0</v>
      </c>
      <c r="AC15" s="5">
        <v>0</v>
      </c>
      <c r="AD15" s="5">
        <v>0</v>
      </c>
    </row>
    <row r="16" spans="1:30" ht="15.75" thickBot="1">
      <c r="A16" s="5">
        <v>10</v>
      </c>
      <c r="B16" s="6" t="s">
        <v>22</v>
      </c>
      <c r="C16" s="6" t="s">
        <v>73</v>
      </c>
      <c r="D16" s="7">
        <v>8357</v>
      </c>
      <c r="E16" s="7">
        <v>6943</v>
      </c>
      <c r="F16" s="7">
        <v>5678</v>
      </c>
      <c r="G16" s="7">
        <v>3328</v>
      </c>
      <c r="H16" s="7">
        <v>2586</v>
      </c>
      <c r="I16" s="7">
        <v>2284</v>
      </c>
      <c r="J16" s="7">
        <v>2041</v>
      </c>
      <c r="K16" s="7">
        <v>2113</v>
      </c>
      <c r="L16" s="7">
        <v>1533</v>
      </c>
      <c r="M16" s="7">
        <v>1005</v>
      </c>
      <c r="N16" s="5">
        <v>627</v>
      </c>
      <c r="O16" s="5">
        <v>448</v>
      </c>
      <c r="P16" s="5">
        <v>288</v>
      </c>
      <c r="Q16" s="5">
        <v>197</v>
      </c>
      <c r="R16" s="5">
        <v>197</v>
      </c>
      <c r="S16" s="5">
        <v>146</v>
      </c>
      <c r="T16" s="5">
        <v>143</v>
      </c>
      <c r="U16" s="5">
        <v>110</v>
      </c>
      <c r="V16" s="5">
        <v>86</v>
      </c>
      <c r="W16" s="5">
        <v>82</v>
      </c>
      <c r="X16" s="5">
        <v>82</v>
      </c>
      <c r="Y16" s="5">
        <v>52</v>
      </c>
      <c r="Z16" s="5">
        <v>43</v>
      </c>
      <c r="AA16" s="5">
        <v>39</v>
      </c>
      <c r="AB16" s="5">
        <v>39</v>
      </c>
      <c r="AC16" s="5">
        <v>39</v>
      </c>
      <c r="AD16" s="5">
        <v>17</v>
      </c>
    </row>
    <row r="17" spans="1:30" ht="15.75" thickBot="1">
      <c r="A17" s="5">
        <v>11</v>
      </c>
      <c r="B17" s="6" t="s">
        <v>23</v>
      </c>
      <c r="C17" s="6" t="s">
        <v>74</v>
      </c>
      <c r="D17" s="7">
        <v>7612</v>
      </c>
      <c r="E17" s="7">
        <v>7562</v>
      </c>
      <c r="F17" s="7">
        <v>7282</v>
      </c>
      <c r="G17" s="7">
        <v>7178</v>
      </c>
      <c r="H17" s="7">
        <v>6180</v>
      </c>
      <c r="I17" s="7">
        <v>6128</v>
      </c>
      <c r="J17" s="7">
        <v>5758</v>
      </c>
      <c r="K17" s="7">
        <v>5476</v>
      </c>
      <c r="L17" s="7">
        <v>5242</v>
      </c>
      <c r="M17" s="7">
        <v>5075</v>
      </c>
      <c r="N17" s="7">
        <v>4845</v>
      </c>
      <c r="O17" s="7">
        <v>4772</v>
      </c>
      <c r="P17" s="7">
        <v>4162</v>
      </c>
      <c r="Q17" s="7">
        <v>3871</v>
      </c>
      <c r="R17" s="7">
        <v>3752</v>
      </c>
      <c r="S17" s="7">
        <v>3465</v>
      </c>
      <c r="T17" s="7">
        <v>3163</v>
      </c>
      <c r="U17" s="7">
        <v>3125</v>
      </c>
      <c r="V17" s="7">
        <v>3136</v>
      </c>
      <c r="W17" s="7">
        <v>3128</v>
      </c>
      <c r="X17" s="7">
        <v>3118</v>
      </c>
      <c r="Y17" s="7">
        <v>3116</v>
      </c>
      <c r="Z17" s="7">
        <v>2889</v>
      </c>
      <c r="AA17" s="7">
        <v>2489</v>
      </c>
      <c r="AB17" s="7">
        <v>2417</v>
      </c>
      <c r="AC17" s="7">
        <v>1771</v>
      </c>
      <c r="AD17" s="7">
        <v>1443</v>
      </c>
    </row>
    <row r="18" spans="1:30" ht="15.75" thickBot="1">
      <c r="A18" s="5">
        <v>12</v>
      </c>
      <c r="B18" s="6" t="s">
        <v>24</v>
      </c>
      <c r="C18" s="6" t="s">
        <v>75</v>
      </c>
      <c r="D18" s="7">
        <v>5963</v>
      </c>
      <c r="E18" s="7">
        <v>5834</v>
      </c>
      <c r="F18" s="7">
        <v>5696</v>
      </c>
      <c r="G18" s="7">
        <v>5612</v>
      </c>
      <c r="H18" s="7">
        <v>5486</v>
      </c>
      <c r="I18" s="7">
        <v>5437</v>
      </c>
      <c r="J18" s="7">
        <v>5380</v>
      </c>
      <c r="K18" s="7">
        <v>5316</v>
      </c>
      <c r="L18" s="7">
        <v>5269</v>
      </c>
      <c r="M18" s="7">
        <v>5034</v>
      </c>
      <c r="N18" s="7">
        <v>4914</v>
      </c>
      <c r="O18" s="7">
        <v>4724</v>
      </c>
      <c r="P18" s="7">
        <v>4525</v>
      </c>
      <c r="Q18" s="7">
        <v>4083</v>
      </c>
      <c r="R18" s="7">
        <v>3898</v>
      </c>
      <c r="S18" s="7">
        <v>3535</v>
      </c>
      <c r="T18" s="7">
        <v>2862</v>
      </c>
      <c r="U18" s="7">
        <v>2150</v>
      </c>
      <c r="V18" s="7">
        <v>1716</v>
      </c>
      <c r="W18" s="7">
        <v>1022</v>
      </c>
      <c r="X18" s="5">
        <v>522</v>
      </c>
      <c r="Y18" s="5">
        <v>296</v>
      </c>
      <c r="Z18" s="5">
        <v>195</v>
      </c>
      <c r="AA18" s="5">
        <v>131</v>
      </c>
      <c r="AB18" s="5">
        <v>100</v>
      </c>
      <c r="AC18" s="5">
        <v>61</v>
      </c>
      <c r="AD18" s="5">
        <v>60</v>
      </c>
    </row>
    <row r="19" spans="1:30" ht="15.75" thickBot="1">
      <c r="A19" s="5">
        <v>13</v>
      </c>
      <c r="B19" s="6" t="s">
        <v>25</v>
      </c>
      <c r="C19" s="6" t="s">
        <v>76</v>
      </c>
      <c r="D19" s="7">
        <v>5648</v>
      </c>
      <c r="E19" s="7">
        <v>5492</v>
      </c>
      <c r="F19" s="7">
        <v>5306</v>
      </c>
      <c r="G19" s="7">
        <v>5002</v>
      </c>
      <c r="H19" s="7">
        <v>4719</v>
      </c>
      <c r="I19" s="7">
        <v>3879</v>
      </c>
      <c r="J19" s="7">
        <v>3360</v>
      </c>
      <c r="K19" s="7">
        <v>2843</v>
      </c>
      <c r="L19" s="7">
        <v>2400</v>
      </c>
      <c r="M19" s="7">
        <v>2169</v>
      </c>
      <c r="N19" s="7">
        <v>1959</v>
      </c>
      <c r="O19" s="7">
        <v>1651</v>
      </c>
      <c r="P19" s="7">
        <v>1375</v>
      </c>
      <c r="Q19" s="7">
        <v>1078</v>
      </c>
      <c r="R19" s="5">
        <v>911</v>
      </c>
      <c r="S19" s="5">
        <v>563</v>
      </c>
      <c r="T19" s="5">
        <v>415</v>
      </c>
      <c r="U19" s="5">
        <v>287</v>
      </c>
      <c r="V19" s="5">
        <v>194</v>
      </c>
      <c r="W19" s="5">
        <v>167</v>
      </c>
      <c r="X19" s="5">
        <v>96</v>
      </c>
      <c r="Y19" s="5">
        <v>68</v>
      </c>
      <c r="Z19" s="5">
        <v>35</v>
      </c>
      <c r="AA19" s="5">
        <v>32</v>
      </c>
      <c r="AB19" s="5">
        <v>13</v>
      </c>
      <c r="AC19" s="5">
        <v>6</v>
      </c>
      <c r="AD19" s="5">
        <v>6</v>
      </c>
    </row>
    <row r="20" spans="1:30" ht="15.75" thickBot="1">
      <c r="A20" s="5">
        <v>14</v>
      </c>
      <c r="B20" s="6" t="s">
        <v>26</v>
      </c>
      <c r="C20" s="6" t="s">
        <v>77</v>
      </c>
      <c r="D20" s="7">
        <v>5354</v>
      </c>
      <c r="E20" s="7">
        <v>5226</v>
      </c>
      <c r="F20" s="7">
        <v>4682</v>
      </c>
      <c r="G20" s="7">
        <v>4452</v>
      </c>
      <c r="H20" s="7">
        <v>4113</v>
      </c>
      <c r="I20" s="7">
        <v>3576</v>
      </c>
      <c r="J20" s="7">
        <v>2844</v>
      </c>
      <c r="K20" s="7">
        <v>2651</v>
      </c>
      <c r="L20" s="7">
        <v>2374</v>
      </c>
      <c r="M20" s="7">
        <v>2136</v>
      </c>
      <c r="N20" s="7">
        <v>1980</v>
      </c>
      <c r="O20" s="7">
        <v>1865</v>
      </c>
      <c r="P20" s="7">
        <v>1749</v>
      </c>
      <c r="Q20" s="7">
        <v>1629</v>
      </c>
      <c r="R20" s="7">
        <v>1208</v>
      </c>
      <c r="S20" s="7">
        <v>1087</v>
      </c>
      <c r="T20" s="5">
        <v>985</v>
      </c>
      <c r="U20" s="5">
        <v>871</v>
      </c>
      <c r="V20" s="5">
        <v>746</v>
      </c>
      <c r="W20" s="5">
        <v>573</v>
      </c>
      <c r="X20" s="5">
        <v>473</v>
      </c>
      <c r="Y20" s="5">
        <v>383</v>
      </c>
      <c r="Z20" s="5">
        <v>297</v>
      </c>
      <c r="AA20" s="5">
        <v>272</v>
      </c>
      <c r="AB20" s="5">
        <v>189</v>
      </c>
      <c r="AC20" s="5">
        <v>112</v>
      </c>
      <c r="AD20" s="5">
        <v>39</v>
      </c>
    </row>
    <row r="21" spans="1:30" ht="15.75" thickBot="1">
      <c r="A21" s="5">
        <v>15</v>
      </c>
      <c r="B21" s="6" t="s">
        <v>27</v>
      </c>
      <c r="C21" s="6" t="s">
        <v>78</v>
      </c>
      <c r="D21" s="7">
        <v>5188</v>
      </c>
      <c r="E21" s="7">
        <v>5184</v>
      </c>
      <c r="F21" s="7">
        <v>5149</v>
      </c>
      <c r="G21" s="7">
        <v>4655</v>
      </c>
      <c r="H21" s="7">
        <v>3980</v>
      </c>
      <c r="I21" s="7">
        <v>2444</v>
      </c>
      <c r="J21" s="7">
        <v>1675</v>
      </c>
      <c r="K21" s="7">
        <v>1162</v>
      </c>
      <c r="L21" s="5">
        <v>838</v>
      </c>
      <c r="M21" s="5">
        <v>822</v>
      </c>
      <c r="N21" s="5">
        <v>819</v>
      </c>
      <c r="O21" s="5">
        <v>768</v>
      </c>
      <c r="P21" s="5">
        <v>703</v>
      </c>
      <c r="Q21" s="5">
        <v>520</v>
      </c>
      <c r="R21" s="5">
        <v>441</v>
      </c>
      <c r="S21" s="5">
        <v>431</v>
      </c>
      <c r="T21" s="5">
        <v>429</v>
      </c>
      <c r="U21" s="5">
        <v>333</v>
      </c>
      <c r="V21" s="5">
        <v>314</v>
      </c>
      <c r="W21" s="5">
        <v>267</v>
      </c>
      <c r="X21" s="5">
        <v>160</v>
      </c>
      <c r="Y21" s="5">
        <v>101</v>
      </c>
      <c r="Z21" s="5"/>
      <c r="AA21" s="5"/>
      <c r="AB21" s="5"/>
      <c r="AC21" s="5"/>
      <c r="AD21" s="5"/>
    </row>
    <row r="22" spans="1:30" ht="15.75" thickBot="1">
      <c r="A22" s="5">
        <v>16</v>
      </c>
      <c r="B22" s="6" t="s">
        <v>28</v>
      </c>
      <c r="C22" s="6" t="s">
        <v>79</v>
      </c>
      <c r="D22" s="7">
        <v>4861</v>
      </c>
      <c r="E22" s="7">
        <v>4802</v>
      </c>
      <c r="F22" s="7">
        <v>4637</v>
      </c>
      <c r="G22" s="7">
        <v>4405</v>
      </c>
      <c r="H22" s="7">
        <v>4351</v>
      </c>
      <c r="I22" s="7">
        <v>4155</v>
      </c>
      <c r="J22" s="7">
        <v>3564</v>
      </c>
      <c r="K22" s="7">
        <v>3127</v>
      </c>
      <c r="L22" s="7">
        <v>2765</v>
      </c>
      <c r="M22" s="7">
        <v>2440</v>
      </c>
      <c r="N22" s="7">
        <v>2272</v>
      </c>
      <c r="O22" s="7">
        <v>2037</v>
      </c>
      <c r="P22" s="7">
        <v>1738</v>
      </c>
      <c r="Q22" s="7">
        <v>1631</v>
      </c>
      <c r="R22" s="7">
        <v>1428</v>
      </c>
      <c r="S22" s="7">
        <v>1260</v>
      </c>
      <c r="T22" s="7">
        <v>1027</v>
      </c>
      <c r="U22" s="5">
        <v>795</v>
      </c>
      <c r="V22" s="5">
        <v>746</v>
      </c>
      <c r="W22" s="5">
        <v>496</v>
      </c>
      <c r="X22" s="5">
        <v>339</v>
      </c>
      <c r="Y22" s="5">
        <v>190</v>
      </c>
      <c r="Z22" s="5">
        <v>137</v>
      </c>
      <c r="AA22" s="5">
        <v>124</v>
      </c>
      <c r="AB22" s="5">
        <v>118</v>
      </c>
      <c r="AC22" s="5">
        <v>74</v>
      </c>
      <c r="AD22" s="5">
        <v>73</v>
      </c>
    </row>
    <row r="23" spans="1:30" ht="15.75" thickBot="1">
      <c r="A23" s="5">
        <v>17</v>
      </c>
      <c r="B23" s="6" t="s">
        <v>29</v>
      </c>
      <c r="C23" s="6" t="s">
        <v>80</v>
      </c>
      <c r="D23" s="7">
        <v>4028</v>
      </c>
      <c r="E23" s="7">
        <v>3885</v>
      </c>
      <c r="F23" s="7">
        <v>3586</v>
      </c>
      <c r="G23" s="7">
        <v>3300</v>
      </c>
      <c r="H23" s="7">
        <v>3120</v>
      </c>
      <c r="I23" s="7">
        <v>3159</v>
      </c>
      <c r="J23" s="7">
        <v>3045</v>
      </c>
      <c r="K23" s="7">
        <v>2828</v>
      </c>
      <c r="L23" s="7">
        <v>2632</v>
      </c>
      <c r="M23" s="7">
        <v>2404</v>
      </c>
      <c r="N23" s="7">
        <v>2095</v>
      </c>
      <c r="O23" s="7">
        <v>1684</v>
      </c>
      <c r="P23" s="7">
        <v>1378</v>
      </c>
      <c r="Q23" s="7">
        <v>1084</v>
      </c>
      <c r="R23" s="7">
        <v>1011</v>
      </c>
      <c r="S23" s="5">
        <v>995</v>
      </c>
      <c r="T23" s="5">
        <v>995</v>
      </c>
      <c r="U23" s="5">
        <v>982</v>
      </c>
      <c r="V23" s="5">
        <v>965</v>
      </c>
      <c r="W23" s="5">
        <v>819</v>
      </c>
      <c r="X23" s="5">
        <v>606</v>
      </c>
      <c r="Y23" s="5">
        <v>415</v>
      </c>
      <c r="Z23" s="5">
        <v>140</v>
      </c>
      <c r="AA23" s="5">
        <v>94</v>
      </c>
      <c r="AB23" s="5">
        <v>77</v>
      </c>
      <c r="AC23" s="5">
        <v>34</v>
      </c>
      <c r="AD23" s="5">
        <v>30</v>
      </c>
    </row>
    <row r="24" spans="1:30" ht="15.75" thickBot="1">
      <c r="A24" s="5">
        <v>18</v>
      </c>
      <c r="B24" s="6" t="s">
        <v>30</v>
      </c>
      <c r="C24" s="6" t="s">
        <v>81</v>
      </c>
      <c r="D24" s="7">
        <v>3150</v>
      </c>
      <c r="E24" s="7">
        <v>3100</v>
      </c>
      <c r="F24" s="7">
        <v>3029</v>
      </c>
      <c r="G24" s="7">
        <v>3029</v>
      </c>
      <c r="H24" s="7">
        <v>3029</v>
      </c>
      <c r="I24" s="7">
        <v>3029</v>
      </c>
      <c r="J24" s="7">
        <v>3029</v>
      </c>
      <c r="K24" s="7">
        <v>3029</v>
      </c>
      <c r="L24" s="7">
        <v>3028</v>
      </c>
      <c r="M24" s="7">
        <v>2976</v>
      </c>
      <c r="N24" s="7">
        <v>2954</v>
      </c>
      <c r="O24" s="7">
        <v>2599</v>
      </c>
      <c r="P24" s="7">
        <v>1905</v>
      </c>
      <c r="Q24" s="5">
        <v>982</v>
      </c>
      <c r="R24" s="5">
        <v>462</v>
      </c>
      <c r="S24" s="5">
        <v>14</v>
      </c>
      <c r="T24" s="5">
        <v>11</v>
      </c>
      <c r="U24" s="5">
        <v>8</v>
      </c>
      <c r="V24" s="5">
        <v>3</v>
      </c>
      <c r="W24" s="5">
        <v>2</v>
      </c>
      <c r="X24" s="5">
        <v>1</v>
      </c>
      <c r="Y24" s="5">
        <v>1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</row>
    <row r="25" spans="1:30" ht="15.75" thickBot="1">
      <c r="A25" s="5">
        <v>19</v>
      </c>
      <c r="B25" s="6" t="s">
        <v>31</v>
      </c>
      <c r="C25" s="6" t="s">
        <v>82</v>
      </c>
      <c r="D25" s="5"/>
      <c r="E25" s="7">
        <v>2043</v>
      </c>
      <c r="F25" s="7">
        <v>2043</v>
      </c>
      <c r="G25" s="7">
        <v>2043</v>
      </c>
      <c r="H25" s="5">
        <v>905</v>
      </c>
      <c r="I25" s="5">
        <v>191</v>
      </c>
      <c r="J25" s="5">
        <v>139</v>
      </c>
      <c r="K25" s="5">
        <v>104</v>
      </c>
      <c r="L25" s="5">
        <v>15</v>
      </c>
      <c r="M25" s="5">
        <v>15</v>
      </c>
      <c r="N25" s="5">
        <v>15</v>
      </c>
      <c r="O25" s="5">
        <v>15</v>
      </c>
      <c r="P25" s="5">
        <v>15</v>
      </c>
      <c r="Q25" s="5">
        <v>15</v>
      </c>
      <c r="R25" s="5">
        <v>9</v>
      </c>
      <c r="S25" s="5">
        <v>9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</row>
    <row r="26" spans="1:30" ht="15.75" thickBot="1">
      <c r="A26" s="5">
        <v>20</v>
      </c>
      <c r="B26" s="6" t="s">
        <v>32</v>
      </c>
      <c r="C26" s="6" t="s">
        <v>83</v>
      </c>
      <c r="D26" s="7">
        <v>1947</v>
      </c>
      <c r="E26" s="7">
        <v>1902</v>
      </c>
      <c r="F26" s="7">
        <v>1673</v>
      </c>
      <c r="G26" s="7">
        <v>1673</v>
      </c>
      <c r="H26" s="7">
        <v>1314</v>
      </c>
      <c r="I26" s="7">
        <v>1170</v>
      </c>
      <c r="J26" s="5">
        <v>533</v>
      </c>
      <c r="K26" s="5">
        <v>593</v>
      </c>
      <c r="L26" s="5">
        <v>526</v>
      </c>
      <c r="M26" s="5">
        <v>514</v>
      </c>
      <c r="N26" s="5">
        <v>498</v>
      </c>
      <c r="O26" s="5">
        <v>371</v>
      </c>
      <c r="P26" s="5">
        <v>278</v>
      </c>
      <c r="Q26" s="5">
        <v>151</v>
      </c>
      <c r="R26" s="5">
        <v>87</v>
      </c>
      <c r="S26" s="5">
        <v>94</v>
      </c>
      <c r="T26" s="5">
        <v>90</v>
      </c>
      <c r="U26" s="5">
        <v>89</v>
      </c>
      <c r="V26" s="5">
        <v>86</v>
      </c>
      <c r="W26" s="5">
        <v>77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</row>
    <row r="27" spans="1:30" ht="15.75" thickBot="1">
      <c r="A27" s="5">
        <v>21</v>
      </c>
      <c r="B27" s="6" t="s">
        <v>33</v>
      </c>
      <c r="C27" s="6" t="s">
        <v>84</v>
      </c>
      <c r="D27" s="7">
        <v>1750</v>
      </c>
      <c r="E27" s="7">
        <v>1208</v>
      </c>
      <c r="F27" s="5">
        <v>740</v>
      </c>
      <c r="G27" s="5">
        <v>668</v>
      </c>
      <c r="H27" s="5">
        <v>548</v>
      </c>
      <c r="I27" s="5">
        <v>548</v>
      </c>
      <c r="J27" s="5">
        <v>439</v>
      </c>
      <c r="K27" s="5">
        <v>421</v>
      </c>
      <c r="L27" s="5">
        <v>421</v>
      </c>
      <c r="M27" s="5">
        <v>421</v>
      </c>
      <c r="N27" s="5">
        <v>279</v>
      </c>
      <c r="O27" s="5">
        <v>279</v>
      </c>
      <c r="P27" s="5">
        <v>225</v>
      </c>
      <c r="Q27" s="5">
        <v>179</v>
      </c>
      <c r="R27" s="5">
        <v>163</v>
      </c>
      <c r="S27" s="5">
        <v>91</v>
      </c>
      <c r="T27" s="5">
        <v>54</v>
      </c>
      <c r="U27" s="5">
        <v>54</v>
      </c>
      <c r="V27" s="5">
        <v>51</v>
      </c>
      <c r="W27" s="5">
        <v>48</v>
      </c>
      <c r="X27" s="5">
        <v>6</v>
      </c>
      <c r="Y27" s="5">
        <v>6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</row>
    <row r="28" spans="1:30" ht="15.75" thickBot="1">
      <c r="A28" s="5">
        <v>22</v>
      </c>
      <c r="B28" s="6" t="s">
        <v>34</v>
      </c>
      <c r="C28" s="6" t="s">
        <v>85</v>
      </c>
      <c r="D28" s="7">
        <v>1303</v>
      </c>
      <c r="E28" s="7">
        <v>1256</v>
      </c>
      <c r="F28" s="7">
        <v>1100</v>
      </c>
      <c r="G28" s="5">
        <v>990</v>
      </c>
      <c r="H28" s="5">
        <v>803</v>
      </c>
      <c r="I28" s="5">
        <v>652</v>
      </c>
      <c r="J28" s="5">
        <v>583</v>
      </c>
      <c r="K28" s="5">
        <v>583</v>
      </c>
      <c r="L28" s="5">
        <v>466</v>
      </c>
      <c r="M28" s="5">
        <v>462</v>
      </c>
      <c r="N28" s="5">
        <v>347</v>
      </c>
      <c r="O28" s="8" t="s">
        <v>35</v>
      </c>
      <c r="P28" s="5">
        <v>180</v>
      </c>
      <c r="Q28" s="5">
        <v>131</v>
      </c>
      <c r="R28" s="5">
        <v>89</v>
      </c>
      <c r="S28" s="5">
        <v>28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</row>
    <row r="29" spans="1:30" ht="15.75" thickBot="1">
      <c r="A29" s="5">
        <v>23</v>
      </c>
      <c r="B29" s="6" t="s">
        <v>36</v>
      </c>
      <c r="C29" s="6" t="s">
        <v>86</v>
      </c>
      <c r="D29" s="5">
        <v>711</v>
      </c>
      <c r="E29" s="5">
        <v>376</v>
      </c>
      <c r="F29" s="5">
        <v>320</v>
      </c>
      <c r="G29" s="5">
        <v>320</v>
      </c>
      <c r="H29" s="5">
        <v>320</v>
      </c>
      <c r="I29" s="5">
        <v>320</v>
      </c>
      <c r="J29" s="5">
        <v>310</v>
      </c>
      <c r="K29" s="5">
        <v>310</v>
      </c>
      <c r="L29" s="5">
        <v>310</v>
      </c>
      <c r="M29" s="5">
        <v>302</v>
      </c>
      <c r="N29" s="5">
        <v>302</v>
      </c>
      <c r="O29" s="5">
        <v>280</v>
      </c>
      <c r="P29" s="5">
        <v>269</v>
      </c>
      <c r="Q29" s="5">
        <v>184</v>
      </c>
      <c r="R29" s="5">
        <v>149</v>
      </c>
      <c r="S29" s="5">
        <v>142</v>
      </c>
      <c r="T29" s="5">
        <v>78</v>
      </c>
      <c r="U29" s="5">
        <v>59</v>
      </c>
      <c r="V29" s="5">
        <v>32</v>
      </c>
      <c r="W29" s="5">
        <v>32</v>
      </c>
      <c r="X29" s="5">
        <v>6</v>
      </c>
      <c r="Y29" s="5">
        <v>2</v>
      </c>
      <c r="Z29" s="5">
        <v>2</v>
      </c>
      <c r="AA29" s="5">
        <v>0</v>
      </c>
      <c r="AB29" s="5">
        <v>0</v>
      </c>
      <c r="AC29" s="5">
        <v>0</v>
      </c>
      <c r="AD29" s="5">
        <v>0</v>
      </c>
    </row>
    <row r="30" spans="1:30" ht="15.75" thickBot="1">
      <c r="A30" s="5">
        <v>24</v>
      </c>
      <c r="B30" s="6" t="s">
        <v>37</v>
      </c>
      <c r="C30" s="6" t="s">
        <v>87</v>
      </c>
      <c r="D30" s="5">
        <v>706</v>
      </c>
      <c r="E30" s="5">
        <v>706</v>
      </c>
      <c r="F30" s="5">
        <v>707</v>
      </c>
      <c r="G30" s="5">
        <v>707</v>
      </c>
      <c r="H30" s="5">
        <v>691</v>
      </c>
      <c r="I30" s="5">
        <v>691</v>
      </c>
      <c r="J30" s="5">
        <v>691</v>
      </c>
      <c r="K30" s="5">
        <v>691</v>
      </c>
      <c r="L30" s="5">
        <v>691</v>
      </c>
      <c r="M30" s="5">
        <v>691</v>
      </c>
      <c r="N30" s="5">
        <v>691</v>
      </c>
      <c r="O30" s="5">
        <v>681</v>
      </c>
      <c r="P30" s="5">
        <v>674</v>
      </c>
      <c r="Q30" s="5">
        <v>612</v>
      </c>
      <c r="R30" s="5">
        <v>375</v>
      </c>
      <c r="S30" s="5">
        <v>177</v>
      </c>
      <c r="T30" s="5">
        <v>120</v>
      </c>
      <c r="U30" s="5">
        <v>57</v>
      </c>
      <c r="V30" s="5">
        <v>36</v>
      </c>
      <c r="W30" s="5">
        <v>10</v>
      </c>
      <c r="X30" s="5">
        <v>10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</row>
    <row r="31" spans="1:30" ht="15.75" thickBot="1">
      <c r="A31" s="5">
        <v>25</v>
      </c>
      <c r="B31" s="6" t="s">
        <v>38</v>
      </c>
      <c r="C31" s="6" t="s">
        <v>88</v>
      </c>
      <c r="D31" s="5">
        <v>623</v>
      </c>
      <c r="E31" s="5">
        <v>512</v>
      </c>
      <c r="F31" s="5">
        <v>374</v>
      </c>
      <c r="G31" s="5">
        <v>374</v>
      </c>
      <c r="H31" s="5">
        <v>374</v>
      </c>
      <c r="I31" s="5">
        <v>374</v>
      </c>
      <c r="J31" s="5">
        <v>374</v>
      </c>
      <c r="K31" s="5">
        <v>18</v>
      </c>
      <c r="L31" s="5">
        <v>10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</row>
    <row r="32" spans="1:30" ht="15.75" thickBot="1">
      <c r="A32" s="5">
        <v>26</v>
      </c>
      <c r="B32" s="6" t="s">
        <v>39</v>
      </c>
      <c r="C32" s="6" t="s">
        <v>89</v>
      </c>
      <c r="D32" s="5">
        <v>371</v>
      </c>
      <c r="E32" s="5">
        <v>337</v>
      </c>
      <c r="F32" s="5">
        <v>337</v>
      </c>
      <c r="G32" s="5">
        <v>337</v>
      </c>
      <c r="H32" s="5">
        <v>337</v>
      </c>
      <c r="I32" s="5">
        <v>337</v>
      </c>
      <c r="J32" s="5">
        <v>317</v>
      </c>
      <c r="K32" s="5">
        <v>308</v>
      </c>
      <c r="L32" s="5">
        <v>281</v>
      </c>
      <c r="M32" s="5">
        <v>281</v>
      </c>
      <c r="N32" s="5">
        <v>281</v>
      </c>
      <c r="O32" s="5">
        <v>269</v>
      </c>
      <c r="P32" s="5">
        <v>260</v>
      </c>
      <c r="Q32" s="5">
        <v>217</v>
      </c>
      <c r="R32" s="5">
        <v>215</v>
      </c>
      <c r="S32" s="5">
        <v>192</v>
      </c>
      <c r="T32" s="5">
        <v>150</v>
      </c>
      <c r="U32" s="5">
        <v>116</v>
      </c>
      <c r="V32" s="5">
        <v>54</v>
      </c>
      <c r="W32" s="5">
        <v>28</v>
      </c>
      <c r="X32" s="5">
        <v>17</v>
      </c>
      <c r="Y32" s="5">
        <v>9</v>
      </c>
      <c r="Z32" s="5">
        <v>3</v>
      </c>
      <c r="AA32" s="5">
        <v>0</v>
      </c>
      <c r="AB32" s="5">
        <v>0</v>
      </c>
      <c r="AC32" s="5">
        <v>0</v>
      </c>
      <c r="AD32" s="5">
        <v>0</v>
      </c>
    </row>
    <row r="33" spans="1:30" ht="15.75" thickBot="1">
      <c r="A33" s="5">
        <v>27</v>
      </c>
      <c r="B33" s="6" t="s">
        <v>40</v>
      </c>
      <c r="C33" s="6" t="s">
        <v>90</v>
      </c>
      <c r="D33" s="5">
        <v>329</v>
      </c>
      <c r="E33" s="5">
        <v>329</v>
      </c>
      <c r="F33" s="5">
        <v>329</v>
      </c>
      <c r="G33" s="5">
        <v>329</v>
      </c>
      <c r="H33" s="5">
        <v>329</v>
      </c>
      <c r="I33" s="5">
        <v>329</v>
      </c>
      <c r="J33" s="5">
        <v>329</v>
      </c>
      <c r="K33" s="5">
        <v>329</v>
      </c>
      <c r="L33" s="5">
        <v>329</v>
      </c>
      <c r="M33" s="5">
        <v>329</v>
      </c>
      <c r="N33" s="5">
        <v>329</v>
      </c>
      <c r="O33" s="5">
        <v>329</v>
      </c>
      <c r="P33" s="5">
        <v>329</v>
      </c>
      <c r="Q33" s="5">
        <v>329</v>
      </c>
      <c r="R33" s="5">
        <v>295</v>
      </c>
      <c r="S33" s="5">
        <v>201</v>
      </c>
      <c r="T33" s="5">
        <v>127</v>
      </c>
      <c r="U33" s="5">
        <v>65</v>
      </c>
      <c r="V33" s="5">
        <v>61</v>
      </c>
      <c r="W33" s="5">
        <v>17</v>
      </c>
      <c r="X33" s="5">
        <v>3</v>
      </c>
      <c r="Y33" s="5">
        <v>3</v>
      </c>
      <c r="Z33" s="5">
        <v>3</v>
      </c>
      <c r="AA33" s="5">
        <v>0</v>
      </c>
      <c r="AB33" s="5">
        <v>0</v>
      </c>
      <c r="AC33" s="5">
        <v>0</v>
      </c>
      <c r="AD33" s="5">
        <v>0</v>
      </c>
    </row>
    <row r="34" spans="1:30" ht="30.75" thickBot="1">
      <c r="A34" s="5">
        <v>28</v>
      </c>
      <c r="B34" s="6" t="s">
        <v>41</v>
      </c>
      <c r="C34" s="6" t="s">
        <v>91</v>
      </c>
      <c r="D34" s="5">
        <v>244</v>
      </c>
      <c r="E34" s="5">
        <v>135</v>
      </c>
      <c r="F34" s="5">
        <v>135</v>
      </c>
      <c r="G34" s="5">
        <v>135</v>
      </c>
      <c r="H34" s="5">
        <v>135</v>
      </c>
      <c r="I34" s="5">
        <v>87</v>
      </c>
      <c r="J34" s="5">
        <v>51</v>
      </c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</row>
    <row r="35" spans="1:30" ht="15.75" thickBot="1">
      <c r="A35" s="5">
        <v>29</v>
      </c>
      <c r="B35" s="6" t="s">
        <v>42</v>
      </c>
      <c r="C35" s="6" t="s">
        <v>92</v>
      </c>
      <c r="D35" s="5">
        <v>214</v>
      </c>
      <c r="E35" s="5">
        <v>208</v>
      </c>
      <c r="F35" s="5">
        <v>166</v>
      </c>
      <c r="G35" s="5">
        <v>168</v>
      </c>
      <c r="H35" s="5">
        <v>166</v>
      </c>
      <c r="I35" s="5">
        <v>136</v>
      </c>
      <c r="J35" s="5">
        <v>120</v>
      </c>
      <c r="K35" s="5">
        <v>120</v>
      </c>
      <c r="L35" s="5">
        <v>100</v>
      </c>
      <c r="M35" s="5">
        <v>58</v>
      </c>
      <c r="N35" s="5">
        <v>58</v>
      </c>
      <c r="O35" s="5">
        <v>58</v>
      </c>
      <c r="P35" s="5">
        <v>58</v>
      </c>
      <c r="Q35" s="5">
        <v>44</v>
      </c>
      <c r="R35" s="5">
        <v>44</v>
      </c>
      <c r="S35" s="5">
        <v>35</v>
      </c>
      <c r="T35" s="5">
        <v>35</v>
      </c>
      <c r="U35" s="5">
        <v>35</v>
      </c>
      <c r="V35" s="5">
        <v>35</v>
      </c>
      <c r="W35" s="5">
        <v>35</v>
      </c>
      <c r="X35" s="5">
        <v>35</v>
      </c>
      <c r="Y35" s="5">
        <v>22</v>
      </c>
      <c r="Z35" s="5">
        <v>17</v>
      </c>
      <c r="AA35" s="5">
        <v>15</v>
      </c>
      <c r="AB35" s="5">
        <v>10</v>
      </c>
      <c r="AC35" s="5">
        <v>10</v>
      </c>
      <c r="AD35" s="5">
        <v>9</v>
      </c>
    </row>
    <row r="36" spans="1:30" ht="15.75" thickBot="1">
      <c r="A36" s="5">
        <v>30</v>
      </c>
      <c r="B36" s="6" t="s">
        <v>43</v>
      </c>
      <c r="C36" s="6" t="s">
        <v>93</v>
      </c>
      <c r="D36" s="5">
        <v>158</v>
      </c>
      <c r="E36" s="5">
        <v>158</v>
      </c>
      <c r="F36" s="5">
        <v>158</v>
      </c>
      <c r="G36" s="5">
        <v>158</v>
      </c>
      <c r="H36" s="5">
        <v>158</v>
      </c>
      <c r="I36" s="5">
        <v>158</v>
      </c>
      <c r="J36" s="5">
        <v>158</v>
      </c>
      <c r="K36" s="5">
        <v>158</v>
      </c>
      <c r="L36" s="5">
        <v>158</v>
      </c>
      <c r="M36" s="5">
        <v>158</v>
      </c>
      <c r="N36" s="5">
        <v>147</v>
      </c>
      <c r="O36" s="5">
        <v>147</v>
      </c>
      <c r="P36" s="5">
        <v>147</v>
      </c>
      <c r="Q36" s="5">
        <v>134</v>
      </c>
      <c r="R36" s="5">
        <v>82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</row>
    <row r="37" spans="1:30" ht="15.75" thickBot="1">
      <c r="A37" s="5">
        <v>31</v>
      </c>
      <c r="B37" s="6" t="s">
        <v>44</v>
      </c>
      <c r="C37" s="6" t="s">
        <v>94</v>
      </c>
      <c r="D37" s="5">
        <v>137</v>
      </c>
      <c r="E37" s="5">
        <v>137</v>
      </c>
      <c r="F37" s="5">
        <v>137</v>
      </c>
      <c r="G37" s="5">
        <v>137</v>
      </c>
      <c r="H37" s="5">
        <v>32</v>
      </c>
      <c r="I37" s="5">
        <v>32</v>
      </c>
      <c r="J37" s="5">
        <v>32</v>
      </c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</row>
    <row r="38" spans="1:30" ht="15.75" thickBot="1">
      <c r="A38" s="5">
        <v>32</v>
      </c>
      <c r="B38" s="6" t="s">
        <v>45</v>
      </c>
      <c r="C38" s="6" t="s">
        <v>95</v>
      </c>
      <c r="D38" s="5">
        <v>137</v>
      </c>
      <c r="E38" s="5">
        <v>137</v>
      </c>
      <c r="F38" s="5">
        <v>137</v>
      </c>
      <c r="G38" s="5">
        <v>66</v>
      </c>
      <c r="H38" s="5">
        <v>66</v>
      </c>
      <c r="I38" s="5">
        <v>66</v>
      </c>
      <c r="J38" s="5">
        <v>66</v>
      </c>
      <c r="K38" s="5">
        <v>66</v>
      </c>
      <c r="L38" s="5">
        <v>70</v>
      </c>
      <c r="M38" s="5">
        <v>69</v>
      </c>
      <c r="N38" s="5">
        <v>62</v>
      </c>
      <c r="O38" s="5">
        <v>62</v>
      </c>
      <c r="P38" s="5">
        <v>60</v>
      </c>
      <c r="Q38" s="5">
        <v>31</v>
      </c>
      <c r="R38" s="5">
        <v>30</v>
      </c>
      <c r="S38" s="5">
        <v>28</v>
      </c>
      <c r="T38" s="5">
        <v>27</v>
      </c>
      <c r="U38" s="5">
        <v>27</v>
      </c>
      <c r="V38" s="5">
        <v>27</v>
      </c>
      <c r="W38" s="5">
        <v>27</v>
      </c>
      <c r="X38" s="5">
        <v>27</v>
      </c>
      <c r="Y38" s="5">
        <v>27</v>
      </c>
      <c r="Z38" s="5">
        <v>24</v>
      </c>
      <c r="AA38" s="5">
        <v>0</v>
      </c>
      <c r="AB38" s="5">
        <v>0</v>
      </c>
      <c r="AC38" s="5">
        <v>0</v>
      </c>
      <c r="AD38" s="5">
        <v>0</v>
      </c>
    </row>
    <row r="39" spans="1:30" ht="15.75" thickBot="1">
      <c r="A39" s="5">
        <v>33</v>
      </c>
      <c r="B39" s="6" t="s">
        <v>46</v>
      </c>
      <c r="C39" s="6" t="s">
        <v>96</v>
      </c>
      <c r="D39" s="5">
        <v>118</v>
      </c>
      <c r="E39" s="5">
        <v>118</v>
      </c>
      <c r="F39" s="5">
        <v>118</v>
      </c>
      <c r="G39" s="5">
        <v>118</v>
      </c>
      <c r="H39" s="5">
        <v>118</v>
      </c>
      <c r="I39" s="5">
        <v>118</v>
      </c>
      <c r="J39" s="5">
        <v>118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</row>
    <row r="40" spans="1:30" ht="15.75" thickBot="1">
      <c r="A40" s="5">
        <v>34</v>
      </c>
      <c r="B40" s="6" t="s">
        <v>47</v>
      </c>
      <c r="C40" s="6" t="s">
        <v>97</v>
      </c>
      <c r="D40" s="5">
        <v>100</v>
      </c>
      <c r="E40" s="5">
        <v>101</v>
      </c>
      <c r="F40" s="5">
        <v>87</v>
      </c>
      <c r="G40" s="5">
        <v>87</v>
      </c>
      <c r="H40" s="5">
        <v>87</v>
      </c>
      <c r="I40" s="5">
        <v>75</v>
      </c>
      <c r="J40" s="5">
        <v>75</v>
      </c>
      <c r="K40" s="5">
        <v>75</v>
      </c>
      <c r="L40" s="5">
        <v>75</v>
      </c>
      <c r="M40" s="5">
        <v>60</v>
      </c>
      <c r="N40" s="5">
        <v>60</v>
      </c>
      <c r="O40" s="5">
        <v>60</v>
      </c>
      <c r="P40" s="5">
        <v>50</v>
      </c>
      <c r="Q40" s="5">
        <v>46</v>
      </c>
      <c r="R40" s="5">
        <v>42</v>
      </c>
      <c r="S40" s="5">
        <v>18</v>
      </c>
      <c r="T40" s="5">
        <v>14</v>
      </c>
      <c r="U40" s="5">
        <v>12</v>
      </c>
      <c r="V40" s="5">
        <v>12</v>
      </c>
      <c r="W40" s="5">
        <v>12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</row>
    <row r="41" spans="1:30" ht="15.75" thickBot="1">
      <c r="A41" s="5">
        <v>35</v>
      </c>
      <c r="B41" s="6" t="s">
        <v>48</v>
      </c>
      <c r="C41" s="6" t="s">
        <v>98</v>
      </c>
      <c r="D41" s="5">
        <v>73</v>
      </c>
      <c r="E41" s="5">
        <v>73</v>
      </c>
      <c r="F41" s="5">
        <v>37</v>
      </c>
      <c r="G41" s="5">
        <v>37</v>
      </c>
      <c r="H41" s="5">
        <v>37</v>
      </c>
      <c r="I41" s="5">
        <v>37</v>
      </c>
      <c r="J41" s="5">
        <v>37</v>
      </c>
      <c r="K41" s="5">
        <v>37</v>
      </c>
      <c r="L41" s="5">
        <v>37</v>
      </c>
      <c r="M41" s="5">
        <v>37</v>
      </c>
      <c r="N41" s="5">
        <v>37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</row>
    <row r="42" spans="1:30" ht="15.75" thickBot="1">
      <c r="A42" s="5">
        <v>36</v>
      </c>
      <c r="B42" s="6" t="s">
        <v>49</v>
      </c>
      <c r="C42" s="6" t="s">
        <v>99</v>
      </c>
      <c r="D42" s="5">
        <v>71</v>
      </c>
      <c r="E42" s="5">
        <v>68</v>
      </c>
      <c r="F42" s="5">
        <v>68</v>
      </c>
      <c r="G42" s="5"/>
      <c r="H42" s="5"/>
      <c r="I42" s="5"/>
      <c r="J42" s="5"/>
      <c r="K42" s="5">
        <v>18</v>
      </c>
      <c r="L42" s="5">
        <v>18</v>
      </c>
      <c r="M42" s="5">
        <v>18</v>
      </c>
      <c r="N42" s="5">
        <v>18</v>
      </c>
      <c r="O42" s="5">
        <v>7</v>
      </c>
      <c r="P42" s="5">
        <v>7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</row>
    <row r="43" spans="1:30" ht="15.75" thickBot="1">
      <c r="A43" s="5">
        <v>37</v>
      </c>
      <c r="B43" s="6" t="s">
        <v>50</v>
      </c>
      <c r="C43" s="6" t="s">
        <v>100</v>
      </c>
      <c r="D43" s="5">
        <v>4</v>
      </c>
      <c r="E43" s="5">
        <v>3</v>
      </c>
      <c r="F43" s="5">
        <v>3</v>
      </c>
      <c r="G43" s="5">
        <v>3</v>
      </c>
      <c r="H43" s="5">
        <v>3</v>
      </c>
      <c r="I43" s="5">
        <v>3</v>
      </c>
      <c r="J43" s="5">
        <v>3</v>
      </c>
      <c r="K43" s="5">
        <v>3</v>
      </c>
      <c r="L43" s="5">
        <v>3</v>
      </c>
      <c r="M43" s="5">
        <v>3</v>
      </c>
      <c r="N43" s="5">
        <v>3</v>
      </c>
      <c r="O43" s="5">
        <v>3</v>
      </c>
      <c r="P43" s="5">
        <v>3</v>
      </c>
      <c r="Q43" s="5">
        <v>3</v>
      </c>
      <c r="R43" s="5">
        <v>3</v>
      </c>
      <c r="S43" s="5">
        <v>5</v>
      </c>
      <c r="T43" s="5">
        <v>5</v>
      </c>
      <c r="U43" s="5">
        <v>5</v>
      </c>
      <c r="V43" s="5">
        <v>5</v>
      </c>
      <c r="W43" s="5">
        <v>3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</row>
    <row r="44" spans="1:30" ht="15.75" thickBot="1">
      <c r="A44" s="5">
        <v>38</v>
      </c>
      <c r="B44" s="6" t="s">
        <v>51</v>
      </c>
      <c r="C44" s="6" t="s">
        <v>101</v>
      </c>
      <c r="D44" s="5">
        <v>3</v>
      </c>
      <c r="E44" s="5">
        <v>3</v>
      </c>
      <c r="F44" s="5">
        <v>3</v>
      </c>
      <c r="G44" s="5">
        <v>3</v>
      </c>
      <c r="H44" s="5">
        <v>3</v>
      </c>
      <c r="I44" s="5">
        <v>3</v>
      </c>
      <c r="J44" s="5">
        <v>3</v>
      </c>
      <c r="K44" s="5">
        <v>3</v>
      </c>
      <c r="L44" s="5">
        <v>3</v>
      </c>
      <c r="M44" s="5">
        <v>3</v>
      </c>
      <c r="N44" s="5">
        <v>3</v>
      </c>
      <c r="O44" s="5">
        <v>3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</row>
    <row r="45" spans="1:30" ht="15.75" thickBot="1">
      <c r="A45" s="5">
        <v>39</v>
      </c>
      <c r="B45" s="6" t="s">
        <v>52</v>
      </c>
      <c r="C45" s="6" t="s">
        <v>102</v>
      </c>
      <c r="D45" s="5">
        <v>3</v>
      </c>
      <c r="E45" s="5">
        <v>3</v>
      </c>
      <c r="F45" s="5">
        <v>3</v>
      </c>
      <c r="G45" s="5">
        <v>3</v>
      </c>
      <c r="H45" s="5">
        <v>3</v>
      </c>
      <c r="I45" s="5">
        <v>3</v>
      </c>
      <c r="J45" s="5">
        <v>3</v>
      </c>
      <c r="K45" s="5">
        <v>3</v>
      </c>
      <c r="L45" s="5">
        <v>3</v>
      </c>
      <c r="M45" s="5">
        <v>3</v>
      </c>
      <c r="N45" s="5">
        <v>3</v>
      </c>
      <c r="O45" s="5">
        <v>1.8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</row>
    <row r="46" spans="1:30" ht="15.75" thickBot="1">
      <c r="A46" s="5">
        <v>40</v>
      </c>
      <c r="B46" s="6" t="s">
        <v>53</v>
      </c>
      <c r="C46" s="6" t="s">
        <v>103</v>
      </c>
      <c r="D46" s="5">
        <v>3</v>
      </c>
      <c r="E46" s="5">
        <v>3</v>
      </c>
      <c r="F46" s="5">
        <v>3</v>
      </c>
      <c r="G46" s="5">
        <v>3</v>
      </c>
      <c r="H46" s="5">
        <v>3</v>
      </c>
      <c r="I46" s="5">
        <v>3</v>
      </c>
      <c r="J46" s="5">
        <v>3</v>
      </c>
      <c r="K46" s="5">
        <v>3</v>
      </c>
      <c r="L46" s="5">
        <v>3</v>
      </c>
      <c r="M46" s="5">
        <v>5</v>
      </c>
      <c r="N46" s="5">
        <v>2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</row>
    <row r="47" spans="1:30" ht="15.75" thickBot="1">
      <c r="A47" s="5">
        <v>41</v>
      </c>
      <c r="B47" s="6" t="s">
        <v>54</v>
      </c>
      <c r="C47" s="6" t="s">
        <v>104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</row>
  </sheetData>
  <mergeCells count="2">
    <mergeCell ref="A3:AD3"/>
    <mergeCell ref="A5:AD5"/>
  </mergeCells>
  <hyperlinks>
    <hyperlink ref="D4" r:id="rId1" location="cite_note-66" display="https://en.wikipedia.org/wiki/Wind_power_in_Europe - cite_note-66" xr:uid="{85E58B4C-33C8-4F27-892B-85B2081A24DC}"/>
    <hyperlink ref="E4" r:id="rId2" location="cite_note-67" display="https://en.wikipedia.org/wiki/Wind_power_in_Europe - cite_note-67" xr:uid="{D0BFE626-2A50-465D-AADF-DE6314DF683B}"/>
    <hyperlink ref="F4" r:id="rId3" location="cite_note-68" display="https://en.wikipedia.org/wiki/Wind_power_in_Europe - cite_note-68" xr:uid="{EF320BF4-4A6A-44AA-A34D-C9036EC525B6}"/>
    <hyperlink ref="G4" r:id="rId4" location="cite_note-69" display="https://en.wikipedia.org/wiki/Wind_power_in_Europe - cite_note-69" xr:uid="{D2262901-8AC2-464C-ACF1-E784CDC13480}"/>
    <hyperlink ref="H4" r:id="rId5" location="cite_note-70" display="https://en.wikipedia.org/wiki/Wind_power_in_Europe - cite_note-70" xr:uid="{CBE9F220-9F3E-4617-9054-DAA75C9370F0}"/>
    <hyperlink ref="I4" r:id="rId6" location="cite_note-71" display="https://en.wikipedia.org/wiki/Wind_power_in_Europe - cite_note-71" xr:uid="{5A019637-2EA4-4606-883B-A8B17BE8A992}"/>
    <hyperlink ref="J4" r:id="rId7" location="cite_note-72" display="https://en.wikipedia.org/wiki/Wind_power_in_Europe - cite_note-72" xr:uid="{EA0B606A-BCD4-45A5-B08D-7E9E6A63225E}"/>
    <hyperlink ref="K4" r:id="rId8" location="cite_note-73" display="https://en.wikipedia.org/wiki/Wind_power_in_Europe - cite_note-73" xr:uid="{25C73FAF-B12C-407D-AC8C-339664C0B6E0}"/>
    <hyperlink ref="B7" r:id="rId9" tooltip="Wind power in Germany" display="https://en.wikipedia.org/wiki/Wind_power_in_Germany" xr:uid="{EA64F4CD-C123-4871-AE1B-B51BAB3CAB08}"/>
    <hyperlink ref="B8" r:id="rId10" tooltip="Wind power in the United Kingdom" display="https://en.wikipedia.org/wiki/Wind_power_in_the_United_Kingdom" xr:uid="{76B53352-7280-4946-BE8E-05D3D4EDB6F3}"/>
    <hyperlink ref="B9" r:id="rId11" tooltip="Wind power in Spain" display="https://en.wikipedia.org/wiki/Wind_power_in_Spain" xr:uid="{BFD161FC-128A-49BF-9710-4E2112B9A001}"/>
    <hyperlink ref="B10" r:id="rId12" tooltip="Wind power in France" display="https://en.wikipedia.org/wiki/Wind_power_in_France" xr:uid="{A49DFDBF-FF93-48B0-A198-AD291D6FB30E}"/>
    <hyperlink ref="B11" r:id="rId13" tooltip="Wind power in Sweden" display="https://en.wikipedia.org/wiki/Wind_power_in_Sweden" xr:uid="{F99444EC-05E7-426C-8327-5A2857EA7ACF}"/>
    <hyperlink ref="B12" r:id="rId14" tooltip="Wind power in Turkey" display="https://en.wikipedia.org/wiki/Wind_power_in_Turkey" xr:uid="{49CF8EF2-96BB-463A-9026-0077ED49AEDE}"/>
    <hyperlink ref="B13" r:id="rId15" tooltip="Wind power in Italy" display="https://en.wikipedia.org/wiki/Wind_power_in_Italy" xr:uid="{65182391-67DD-4892-A2D2-A3DD098D89EB}"/>
    <hyperlink ref="B14" r:id="rId16" tooltip="Wind power in the Netherlands" display="https://en.wikipedia.org/wiki/Wind_power_in_the_Netherlands" xr:uid="{B42DF827-CF41-430A-925C-D52A4AB2CEEF}"/>
    <hyperlink ref="B15" r:id="rId17" tooltip="Wind power in Poland" display="https://en.wikipedia.org/wiki/Wind_power_in_Poland" xr:uid="{18F1E1FE-88FB-47A4-9FDA-69A8625C4F36}"/>
    <hyperlink ref="B16" r:id="rId18" tooltip="Wind power in Finland" display="https://en.wikipedia.org/wiki/Wind_power_in_Finland" xr:uid="{8A5013D9-A139-4427-BED3-90D9099BAC0D}"/>
    <hyperlink ref="B17" r:id="rId19" tooltip="Wind power in Denmark" display="https://en.wikipedia.org/wiki/Wind_power_in_Denmark" xr:uid="{AEDE046E-70F3-4384-98F9-B6B936A22DA3}"/>
    <hyperlink ref="B18" r:id="rId20" tooltip="Wind power in Portugal" display="https://en.wikipedia.org/wiki/Wind_power_in_Portugal" xr:uid="{60F344C3-D13B-47DF-AB52-BBD13AE3BB86}"/>
    <hyperlink ref="B19" r:id="rId21" tooltip="Wind power in Belgium" display="https://en.wikipedia.org/wiki/Wind_power_in_Belgium" xr:uid="{E022E3A6-6DD9-4D05-A5F5-7A6F53052B8A}"/>
    <hyperlink ref="B20" r:id="rId22" tooltip="Wind power in Greece" display="https://en.wikipedia.org/wiki/Wind_power_in_Greece" xr:uid="{2C78A709-3AB4-41D9-8CA4-98F01CCC7350}"/>
    <hyperlink ref="B21" r:id="rId23" tooltip="Wind power in Norway (page does not exist)" display="https://en.wikipedia.org/w/index.php?title=Wind_power_in_Norway&amp;action=edit&amp;redlink=1" xr:uid="{823103D4-CE32-4AF2-9D96-8F72035D727E}"/>
    <hyperlink ref="B22" r:id="rId24" tooltip="Wind power in the Republic of Ireland" display="https://en.wikipedia.org/wiki/Wind_power_in_the_Republic_of_Ireland" xr:uid="{A808B723-1E7B-4D64-AC99-422B414516D4}"/>
    <hyperlink ref="B23" r:id="rId25" tooltip="Wind power in Austria" display="https://en.wikipedia.org/wiki/Wind_power_in_Austria" xr:uid="{76D1CFE1-FF38-471C-97BD-25F2B1F96191}"/>
    <hyperlink ref="B24" r:id="rId26" tooltip="Wind power in Romania" display="https://en.wikipedia.org/wiki/Wind_power_in_Romania" xr:uid="{FA418603-F45A-4021-97E2-3DE859B095E4}"/>
    <hyperlink ref="B26" r:id="rId27" tooltip="Wind power in Ukraine" display="https://en.wikipedia.org/wiki/Wind_power_in_Ukraine" xr:uid="{331EFA44-63E2-4A4C-B850-5D5724B6DEE2}"/>
    <hyperlink ref="B27" r:id="rId28" tooltip="Wind power in Lithuania" display="https://en.wikipedia.org/wiki/Wind_power_in_Lithuania" xr:uid="{2FE97D0E-F656-4B6C-B4FB-AD27B9B27A7C}"/>
    <hyperlink ref="B28" r:id="rId29" tooltip="Wind power in Croatia" display="https://en.wikipedia.org/wiki/Wind_power_in_Croatia" xr:uid="{6AFA0C27-00A5-4BDD-94C7-B22211B3DFCE}"/>
    <hyperlink ref="O28" r:id="rId30" location="cite_note-74" display="https://en.wikipedia.org/wiki/Wind_power_in_Europe - cite_note-74" xr:uid="{4EBC80DD-674D-40A3-8D65-9CD85A551586}"/>
    <hyperlink ref="B29" r:id="rId31" tooltip="Wind power in Estonia" display="https://en.wikipedia.org/wiki/Wind_power_in_Estonia" xr:uid="{17078AAA-C8BC-4570-9788-D0027F62D05D}"/>
    <hyperlink ref="B30" r:id="rId32" tooltip="Wind power in Bulgaria" display="https://en.wikipedia.org/wiki/Wind_power_in_Bulgaria" xr:uid="{078C2226-8B9A-492C-8E83-B75022F1D441}"/>
    <hyperlink ref="B31" r:id="rId33" tooltip="Wind power in Serbia" display="https://en.wikipedia.org/wiki/Wind_power_in_Serbia" xr:uid="{7EE916EF-04DF-423B-9DEC-042587C20E94}"/>
    <hyperlink ref="B32" r:id="rId34" tooltip="Wind power in the Czech Republic (page does not exist)" display="https://en.wikipedia.org/w/index.php?title=Wind_power_in_the_Czech_Republic&amp;action=edit&amp;redlink=1" xr:uid="{C7FBE472-5219-4480-9074-AB8855C9E507}"/>
    <hyperlink ref="B33" r:id="rId35" tooltip="Wind power in Hungary" display="https://en.wikipedia.org/wiki/Wind_power_in_Hungary" xr:uid="{F7601C93-63D3-45C9-AD17-978086187063}"/>
    <hyperlink ref="B34" r:id="rId36" tooltip="Wind power in Bosnia and Herzegovina (page does not exist)" display="https://en.wikipedia.org/w/index.php?title=Wind_power_in_Bosnia_and_Herzegovina&amp;action=edit&amp;redlink=1" xr:uid="{31650033-AF7B-4A68-B287-BF16E09F88D6}"/>
    <hyperlink ref="B35" r:id="rId37" tooltip="Wind power in Luxembourg (page does not exist)" display="https://en.wikipedia.org/w/index.php?title=Wind_power_in_Luxembourg&amp;action=edit&amp;redlink=1" xr:uid="{75AEF4A7-A4FE-44D6-B6DB-2B15B282F30E}"/>
    <hyperlink ref="B36" r:id="rId38" tooltip="Wind power in Cyprus (page does not exist)" display="https://en.wikipedia.org/w/index.php?title=Wind_power_in_Cyprus&amp;action=edit&amp;redlink=1" xr:uid="{48129225-5B06-4E23-A4EF-CBB2F0EB2ACF}"/>
    <hyperlink ref="B37" r:id="rId39" tooltip="Wind power in Kosovo" display="https://en.wikipedia.org/wiki/Wind_power_in_Kosovo" xr:uid="{7058C7A5-17CC-4ECE-AF03-5B21A587D747}"/>
    <hyperlink ref="B38" r:id="rId40" tooltip="Wind power in Latvia (page does not exist)" display="https://en.wikipedia.org/w/index.php?title=Wind_power_in_Latvia&amp;action=edit&amp;redlink=1" xr:uid="{D3822F61-FDD0-4AA8-B8E7-7256A02D5D3A}"/>
    <hyperlink ref="B39" r:id="rId41" tooltip="Wind power in Montenegro (page does not exist)" display="https://en.wikipedia.org/w/index.php?title=Wind_power_in_Montenegro&amp;action=edit&amp;redlink=1" xr:uid="{C51D6999-D00B-4F6E-8428-09BEE5046B1A}"/>
    <hyperlink ref="B40" r:id="rId42" tooltip="Wind power in Switzerland (page does not exist)" display="https://en.wikipedia.org/w/index.php?title=Wind_power_in_Switzerland&amp;action=edit&amp;redlink=1" xr:uid="{6757FBD8-FEDF-43E4-AE2F-D60A72470995}"/>
    <hyperlink ref="B41" r:id="rId43" tooltip="Wind power in North Macedonia (page does not exist)" display="https://en.wikipedia.org/w/index.php?title=Wind_power_in_North_Macedonia&amp;action=edit&amp;redlink=1" xr:uid="{F7CDEAD5-0787-452E-A19D-CAB83C5B29EB}"/>
    <hyperlink ref="B42" r:id="rId44" tooltip="Wind power in Faroe Islands (page does not exist)" display="https://en.wikipedia.org/w/index.php?title=Wind_power_in_Faroe_Islands&amp;action=edit&amp;redlink=1" xr:uid="{37FFCA75-0765-4B96-879C-D4303B4C386D}"/>
    <hyperlink ref="B43" r:id="rId45" tooltip="Wind power in Slovakia (page does not exist)" display="https://en.wikipedia.org/w/index.php?title=Wind_power_in_Slovakia&amp;action=edit&amp;redlink=1" xr:uid="{E2ACED60-242C-4421-A4A2-4D47C21F4E4C}"/>
    <hyperlink ref="B44" r:id="rId46" tooltip="Wind power in Belarus" display="https://en.wikipedia.org/wiki/Wind_power_in_Belarus" xr:uid="{24D61BFE-15E8-4EFE-9325-57E51EBE56EE}"/>
    <hyperlink ref="B45" r:id="rId47" tooltip="Wind power in Iceland" display="https://en.wikipedia.org/wiki/Wind_power_in_Iceland" xr:uid="{23788360-E032-46C8-9FBF-F2801DE7A881}"/>
    <hyperlink ref="B46" r:id="rId48" tooltip="Wind power in Slovenia (page does not exist)" display="https://en.wikipedia.org/w/index.php?title=Wind_power_in_Slovenia&amp;action=edit&amp;redlink=1" xr:uid="{DC3611C8-F46F-4B36-B274-03B156131E71}"/>
    <hyperlink ref="B47" r:id="rId49" tooltip="Wind power in Malta" display="https://en.wikipedia.org/wiki/Wind_power_in_Malta" xr:uid="{2C64E89A-5B3A-4608-B674-790C85444473}"/>
    <hyperlink ref="B25" r:id="rId50" tooltip="Wind power in Russia" display="https://en.wikipedia.org/wiki/Wind_power_in_Russia" xr:uid="{388CB93D-5918-46AE-B947-084CAE41049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56F68-D004-4EB3-8F12-9EA596B4B355}">
  <sheetPr>
    <tabColor theme="5" tint="0.59999389629810485"/>
  </sheetPr>
  <dimension ref="A3:AK56"/>
  <sheetViews>
    <sheetView workbookViewId="0">
      <pane xSplit="5" ySplit="4" topLeftCell="F11" activePane="bottomRight" state="frozen"/>
      <selection pane="topRight" activeCell="F1" sqref="F1"/>
      <selection pane="bottomLeft" activeCell="A3" sqref="A3"/>
      <selection pane="bottomRight" activeCell="F5" sqref="F5:AH45"/>
    </sheetView>
  </sheetViews>
  <sheetFormatPr defaultRowHeight="15"/>
  <cols>
    <col min="4" max="5" width="7.5703125" customWidth="1"/>
    <col min="6" max="32" width="7.140625" customWidth="1"/>
    <col min="33" max="34" width="9.140625" style="19"/>
    <col min="36" max="37" width="9.140625" style="19"/>
  </cols>
  <sheetData>
    <row r="3" spans="2:37">
      <c r="AG3"/>
      <c r="AI3" s="19"/>
    </row>
    <row r="4" spans="2:37">
      <c r="B4" s="17" t="s">
        <v>108</v>
      </c>
      <c r="C4" s="20" t="s">
        <v>106</v>
      </c>
      <c r="D4" s="20" t="s">
        <v>107</v>
      </c>
      <c r="E4" s="17" t="s">
        <v>138</v>
      </c>
      <c r="F4" s="23">
        <v>1998</v>
      </c>
      <c r="G4" s="23">
        <v>1999</v>
      </c>
      <c r="H4" s="23">
        <v>2000</v>
      </c>
      <c r="I4" s="23">
        <v>2001</v>
      </c>
      <c r="J4" s="23">
        <v>2002</v>
      </c>
      <c r="K4" s="23">
        <v>2003</v>
      </c>
      <c r="L4" s="23">
        <v>2004</v>
      </c>
      <c r="M4" s="23">
        <v>2005</v>
      </c>
      <c r="N4" s="23">
        <v>2006</v>
      </c>
      <c r="O4" s="23">
        <v>2007</v>
      </c>
      <c r="P4" s="23">
        <v>2008</v>
      </c>
      <c r="Q4" s="23">
        <v>2009</v>
      </c>
      <c r="R4" s="23">
        <v>2010</v>
      </c>
      <c r="S4" s="23">
        <v>2011</v>
      </c>
      <c r="T4" s="23">
        <v>2012</v>
      </c>
      <c r="U4" s="23">
        <v>2013</v>
      </c>
      <c r="V4" s="23">
        <v>2014</v>
      </c>
      <c r="W4" s="23">
        <v>2015</v>
      </c>
      <c r="X4" s="23">
        <v>2016</v>
      </c>
      <c r="Y4" s="23">
        <v>2017</v>
      </c>
      <c r="Z4" s="23">
        <v>2018</v>
      </c>
      <c r="AA4" s="23">
        <v>2019</v>
      </c>
      <c r="AB4" s="23">
        <v>2020</v>
      </c>
      <c r="AC4" s="23">
        <v>2021</v>
      </c>
      <c r="AD4" s="23">
        <v>2022</v>
      </c>
      <c r="AE4" s="23">
        <v>2023</v>
      </c>
      <c r="AF4" s="23">
        <v>2024</v>
      </c>
      <c r="AG4" s="43">
        <v>2025</v>
      </c>
      <c r="AH4" s="23">
        <v>2030</v>
      </c>
      <c r="AJ4" s="47" t="s">
        <v>170</v>
      </c>
      <c r="AK4" s="47" t="s">
        <v>169</v>
      </c>
    </row>
    <row r="5" spans="2:37">
      <c r="B5" s="17" t="s">
        <v>117</v>
      </c>
      <c r="C5" s="20">
        <f>MATCH($E5, wind!$C:$C, 0)</f>
        <v>7</v>
      </c>
      <c r="D5" s="20">
        <f>IFERROR(MATCH($E5, offshore!$D:$D, 0), 1)</f>
        <v>6</v>
      </c>
      <c r="E5" s="17" t="s">
        <v>64</v>
      </c>
      <c r="F5" s="37">
        <f ca="1">SUMIFS(  INDIRECT(CONCATENATE("'wind'!", $C5, ":", $C5)),   wind!$6:$6, F$4) - SUMIFS(   INDIRECT(CONCATENATE("offshore!",$D5,":", $D5)), offshore!$4:$4, F$4)</f>
        <v>2875</v>
      </c>
      <c r="G5" s="37">
        <f ca="1">SUMIFS(  INDIRECT(CONCATENATE("'wind'!", $C5, ":", $C5)),   wind!$6:$6, G$4) - SUMIFS(   INDIRECT(CONCATENATE("offshore!",$D5,":", $D5)), offshore!$4:$4, G$4)</f>
        <v>4442</v>
      </c>
      <c r="H5" s="37">
        <f ca="1">SUMIFS(  INDIRECT(CONCATENATE("'wind'!", $C5, ":", $C5)),   wind!$6:$6, H$4) - SUMIFS(   INDIRECT(CONCATENATE("offshore!",$D5,":", $D5)), offshore!$4:$4, H$4)</f>
        <v>6113</v>
      </c>
      <c r="I5" s="37">
        <f ca="1">SUMIFS(  INDIRECT(CONCATENATE("'wind'!", $C5, ":", $C5)),   wind!$6:$6, I$4) - SUMIFS(   INDIRECT(CONCATENATE("offshore!",$D5,":", $D5)), offshore!$4:$4, I$4)</f>
        <v>8754</v>
      </c>
      <c r="J5" s="37">
        <f ca="1">SUMIFS(  INDIRECT(CONCATENATE("'wind'!", $C5, ":", $C5)),   wind!$6:$6, J$4) - SUMIFS(   INDIRECT(CONCATENATE("offshore!",$D5,":", $D5)), offshore!$4:$4, J$4)</f>
        <v>11994</v>
      </c>
      <c r="K5" s="37">
        <f ca="1">SUMIFS(  INDIRECT(CONCATENATE("'wind'!", $C5, ":", $C5)),   wind!$6:$6, K$4) - SUMIFS(   INDIRECT(CONCATENATE("offshore!",$D5,":", $D5)), offshore!$4:$4, K$4)</f>
        <v>14609</v>
      </c>
      <c r="L5" s="37">
        <f ca="1">SUMIFS(  INDIRECT(CONCATENATE("'wind'!", $C5, ":", $C5)),   wind!$6:$6, L$4) - SUMIFS(   INDIRECT(CONCATENATE("offshore!",$D5,":", $D5)), offshore!$4:$4, L$4)</f>
        <v>16629</v>
      </c>
      <c r="M5" s="37">
        <f ca="1">SUMIFS(  INDIRECT(CONCATENATE("'wind'!", $C5, ":", $C5)),   wind!$6:$6, M$4) - SUMIFS(   INDIRECT(CONCATENATE("offshore!",$D5,":", $D5)), offshore!$4:$4, M$4)</f>
        <v>18415</v>
      </c>
      <c r="N5" s="37">
        <f ca="1">SUMIFS(  INDIRECT(CONCATENATE("'wind'!", $C5, ":", $C5)),   wind!$6:$6, N$4) - SUMIFS(   INDIRECT(CONCATENATE("offshore!",$D5,":", $D5)), offshore!$4:$4, N$4)</f>
        <v>20622</v>
      </c>
      <c r="O5" s="37">
        <f ca="1">SUMIFS(  INDIRECT(CONCATENATE("'wind'!", $C5, ":", $C5)),   wind!$6:$6, O$4) - SUMIFS(   INDIRECT(CONCATENATE("offshore!",$D5,":", $D5)), offshore!$4:$4, O$4)</f>
        <v>22247</v>
      </c>
      <c r="P5" s="37">
        <f ca="1">SUMIFS(  INDIRECT(CONCATENATE("'wind'!", $C5, ":", $C5)),   wind!$6:$6, P$4) - SUMIFS(   INDIRECT(CONCATENATE("offshore!",$D5,":", $D5)), offshore!$4:$4, P$4)</f>
        <v>23885</v>
      </c>
      <c r="Q5" s="37">
        <f ca="1">SUMIFS(  INDIRECT(CONCATENATE("'wind'!", $C5, ":", $C5)),   wind!$6:$6, Q$4) - SUMIFS(   INDIRECT(CONCATENATE("offshore!",$D5,":", $D5)), offshore!$4:$4, Q$4)</f>
        <v>25705</v>
      </c>
      <c r="R5" s="37">
        <f ca="1">SUMIFS(  INDIRECT(CONCATENATE("'wind'!", $C5, ":", $C5)),   wind!$6:$6, R$4) - SUMIFS(   INDIRECT(CONCATENATE("offshore!",$D5,":", $D5)), offshore!$4:$4, R$4)</f>
        <v>26994.7</v>
      </c>
      <c r="S5" s="37">
        <f ca="1">SUMIFS(  INDIRECT(CONCATENATE("'wind'!", $C5, ":", $C5)),   wind!$6:$6, S$4) - SUMIFS(   INDIRECT(CONCATENATE("offshore!",$D5,":", $D5)), offshore!$4:$4, S$4)</f>
        <v>28554.7</v>
      </c>
      <c r="T5" s="37">
        <f ca="1">SUMIFS(  INDIRECT(CONCATENATE("'wind'!", $C5, ":", $C5)),   wind!$6:$6, T$4) - SUMIFS(   INDIRECT(CONCATENATE("offshore!",$D5,":", $D5)), offshore!$4:$4, T$4)</f>
        <v>30395</v>
      </c>
      <c r="U5" s="37">
        <f ca="1">SUMIFS(  INDIRECT(CONCATENATE("'wind'!", $C5, ":", $C5)),   wind!$6:$6, U$4) - SUMIFS(   INDIRECT(CONCATENATE("offshore!",$D5,":", $D5)), offshore!$4:$4, U$4)</f>
        <v>32577</v>
      </c>
      <c r="V5" s="37">
        <f ca="1">SUMIFS(  INDIRECT(CONCATENATE("'wind'!", $C5, ":", $C5)),   wind!$6:$6, V$4) - SUMIFS(   INDIRECT(CONCATENATE("offshore!",$D5,":", $D5)), offshore!$4:$4, V$4)</f>
        <v>37597.5</v>
      </c>
      <c r="W5" s="37">
        <f ca="1">SUMIFS(  INDIRECT(CONCATENATE("'wind'!", $C5, ":", $C5)),   wind!$6:$6, W$4) - SUMIFS(   INDIRECT(CONCATENATE("offshore!",$D5,":", $D5)), offshore!$4:$4, W$4)</f>
        <v>41285.1</v>
      </c>
      <c r="X5" s="37">
        <f ca="1">SUMIFS(  INDIRECT(CONCATENATE("'wind'!", $C5, ":", $C5)),   wind!$6:$6, X$4) - SUMIFS(   INDIRECT(CONCATENATE("offshore!",$D5,":", $D5)), offshore!$4:$4, X$4)</f>
        <v>45298</v>
      </c>
      <c r="Y5" s="37">
        <f ca="1">SUMIFS(  INDIRECT(CONCATENATE("'wind'!", $C5, ":", $C5)),   wind!$6:$6, Y$4) - SUMIFS(   INDIRECT(CONCATENATE("offshore!",$D5,":", $D5)), offshore!$4:$4, Y$4)</f>
        <v>50173</v>
      </c>
      <c r="Z5" s="37">
        <f ca="1">SUMIFS(  INDIRECT(CONCATENATE("'wind'!", $C5, ":", $C5)),   wind!$6:$6, Z$4) - SUMIFS(   INDIRECT(CONCATENATE("offshore!",$D5,":", $D5)), offshore!$4:$4, Z$4)</f>
        <v>52454</v>
      </c>
      <c r="AA5" s="37">
        <f ca="1">SUMIFS(  INDIRECT(CONCATENATE("'wind'!", $C5, ":", $C5)),   wind!$6:$6, AA$4) - SUMIFS(   INDIRECT(CONCATENATE("offshore!",$D5,":", $D5)), offshore!$4:$4, AA$4)</f>
        <v>53213</v>
      </c>
      <c r="AB5" s="37">
        <f ca="1">SUMIFS(  INDIRECT(CONCATENATE("'wind'!", $C5, ":", $C5)),   wind!$6:$6, AB$4) - SUMIFS(   INDIRECT(CONCATENATE("offshore!",$D5,":", $D5)), offshore!$4:$4, AB$4)</f>
        <v>54806</v>
      </c>
      <c r="AC5" s="37">
        <f ca="1">SUMIFS(  INDIRECT(CONCATENATE("'wind'!", $C5, ":", $C5)),   wind!$6:$6, AC$4) - SUMIFS(   INDIRECT(CONCATENATE("offshore!",$D5,":", $D5)), offshore!$4:$4, AC$4)</f>
        <v>56266</v>
      </c>
      <c r="AD5" s="37">
        <f ca="1">SUMIFS(  INDIRECT(CONCATENATE("'wind'!", $C5, ":", $C5)),   wind!$6:$6, AD$4) - SUMIFS(   INDIRECT(CONCATENATE("offshore!",$D5,":", $D5)), offshore!$4:$4, AD$4)</f>
        <v>58193</v>
      </c>
      <c r="AE5" s="37">
        <f ca="1">SUMIFS(  INDIRECT(CONCATENATE("'wind'!", $C5, ":", $C5)),   wind!$6:$6, AE$4) - SUMIFS(   INDIRECT(CONCATENATE("offshore!",$D5,":", $D5)), offshore!$4:$4, AE$4)</f>
        <v>61202</v>
      </c>
      <c r="AF5" s="37">
        <f ca="1">SUMIFS(  INDIRECT(CONCATENATE("'wind'!", $C5, ":", $C5)),   wind!$6:$6, AF$4) - SUMIFS(   INDIRECT(CONCATENATE("offshore!",$D5,":", $D5)), offshore!$4:$4, AF$4)</f>
        <v>63457</v>
      </c>
      <c r="AG5" s="44">
        <f ca="1">MAX(AVERAGE(TREND($W5:$AF5,$W$4:$AF$4,AG$4), TREND($AB5:$AF5,$AB$4:$AF$4,AG$4)) * AJ5,   AF5* 1.03)</f>
        <v>65612.189999999478</v>
      </c>
      <c r="AH5" s="24">
        <f ca="1">AVERAGE(TREND($W5:$AG5,$W$4:$AG$4,AH$4), TREND($AB5:$AG5,$AB$4:$AG$4,AH$4)) * AK5</f>
        <v>84415.018761904314</v>
      </c>
      <c r="AJ5" s="19">
        <v>1</v>
      </c>
      <c r="AK5" s="19">
        <v>1.1000000000000001</v>
      </c>
    </row>
    <row r="6" spans="2:37">
      <c r="B6" s="17" t="s">
        <v>135</v>
      </c>
      <c r="C6" s="20">
        <f>MATCH($E6, wind!$C:$C, 0)</f>
        <v>8</v>
      </c>
      <c r="D6" s="20">
        <f>IFERROR(MATCH($E6, offshore!$D:$D, 0), 1)</f>
        <v>5</v>
      </c>
      <c r="E6" s="17" t="s">
        <v>65</v>
      </c>
      <c r="F6" s="37">
        <f ca="1">SUMIFS(  INDIRECT(CONCATENATE("'wind'!", $C6, ":", $C6)),   wind!$6:$6, F$4) - SUMIFS(   INDIRECT(CONCATENATE("offshore!",$D6,":", $D6)), offshore!$4:$4, F$4)</f>
        <v>333</v>
      </c>
      <c r="G6" s="37">
        <f ca="1">SUMIFS(  INDIRECT(CONCATENATE("'wind'!", $C6, ":", $C6)),   wind!$6:$6, G$4) - SUMIFS(   INDIRECT(CONCATENATE("offshore!",$D6,":", $D6)), offshore!$4:$4, G$4)</f>
        <v>362</v>
      </c>
      <c r="H6" s="37">
        <f ca="1">SUMIFS(  INDIRECT(CONCATENATE("'wind'!", $C6, ":", $C6)),   wind!$6:$6, H$4) - SUMIFS(   INDIRECT(CONCATENATE("offshore!",$D6,":", $D6)), offshore!$4:$4, H$4)</f>
        <v>406</v>
      </c>
      <c r="I6" s="37">
        <f ca="1">SUMIFS(  INDIRECT(CONCATENATE("'wind'!", $C6, ":", $C6)),   wind!$6:$6, I$4) - SUMIFS(   INDIRECT(CONCATENATE("offshore!",$D6,":", $D6)), offshore!$4:$4, I$4)</f>
        <v>474</v>
      </c>
      <c r="J6" s="37">
        <f ca="1">SUMIFS(  INDIRECT(CONCATENATE("'wind'!", $C6, ":", $C6)),   wind!$6:$6, J$4) - SUMIFS(   INDIRECT(CONCATENATE("offshore!",$D6,":", $D6)), offshore!$4:$4, J$4)</f>
        <v>552</v>
      </c>
      <c r="K6" s="37">
        <f ca="1">SUMIFS(  INDIRECT(CONCATENATE("'wind'!", $C6, ":", $C6)),   wind!$6:$6, K$4) - SUMIFS(   INDIRECT(CONCATENATE("offshore!",$D6,":", $D6)), offshore!$4:$4, K$4)</f>
        <v>667</v>
      </c>
      <c r="L6" s="37">
        <f ca="1">SUMIFS(  INDIRECT(CONCATENATE("'wind'!", $C6, ":", $C6)),   wind!$6:$6, L$4) - SUMIFS(   INDIRECT(CONCATENATE("offshore!",$D6,":", $D6)), offshore!$4:$4, L$4)</f>
        <v>904</v>
      </c>
      <c r="M6" s="37">
        <f ca="1">SUMIFS(  INDIRECT(CONCATENATE("'wind'!", $C6, ":", $C6)),   wind!$6:$6, M$4) - SUMIFS(   INDIRECT(CONCATENATE("offshore!",$D6,":", $D6)), offshore!$4:$4, M$4)</f>
        <v>1332</v>
      </c>
      <c r="N6" s="37">
        <f ca="1">SUMIFS(  INDIRECT(CONCATENATE("'wind'!", $C6, ":", $C6)),   wind!$6:$6, N$4) - SUMIFS(   INDIRECT(CONCATENATE("offshore!",$D6,":", $D6)), offshore!$4:$4, N$4)</f>
        <v>1962</v>
      </c>
      <c r="O6" s="37">
        <f ca="1">SUMIFS(  INDIRECT(CONCATENATE("'wind'!", $C6, ":", $C6)),   wind!$6:$6, O$4) - SUMIFS(   INDIRECT(CONCATENATE("offshore!",$D6,":", $D6)), offshore!$4:$4, O$4)</f>
        <v>2406</v>
      </c>
      <c r="P6" s="37">
        <f ca="1">SUMIFS(  INDIRECT(CONCATENATE("'wind'!", $C6, ":", $C6)),   wind!$6:$6, P$4) - SUMIFS(   INDIRECT(CONCATENATE("offshore!",$D6,":", $D6)), offshore!$4:$4, P$4)</f>
        <v>2388</v>
      </c>
      <c r="Q6" s="37">
        <f ca="1">SUMIFS(  INDIRECT(CONCATENATE("'wind'!", $C6, ":", $C6)),   wind!$6:$6, Q$4) - SUMIFS(   INDIRECT(CONCATENATE("offshore!",$D6,":", $D6)), offshore!$4:$4, Q$4)</f>
        <v>3362.8</v>
      </c>
      <c r="R6" s="37">
        <f ca="1">SUMIFS(  INDIRECT(CONCATENATE("'wind'!", $C6, ":", $C6)),   wind!$6:$6, R$4) - SUMIFS(   INDIRECT(CONCATENATE("offshore!",$D6,":", $D6)), offshore!$4:$4, R$4)</f>
        <v>3862.8</v>
      </c>
      <c r="S6" s="37">
        <f ca="1">SUMIFS(  INDIRECT(CONCATENATE("'wind'!", $C6, ":", $C6)),   wind!$6:$6, S$4) - SUMIFS(   INDIRECT(CONCATENATE("offshore!",$D6,":", $D6)), offshore!$4:$4, S$4)</f>
        <v>4446.3</v>
      </c>
      <c r="T6" s="37">
        <f ca="1">SUMIFS(  INDIRECT(CONCATENATE("'wind'!", $C6, ":", $C6)),   wind!$6:$6, T$4) - SUMIFS(   INDIRECT(CONCATENATE("offshore!",$D6,":", $D6)), offshore!$4:$4, T$4)</f>
        <v>5450</v>
      </c>
      <c r="U6" s="37">
        <f ca="1">SUMIFS(  INDIRECT(CONCATENATE("'wind'!", $C6, ":", $C6)),   wind!$6:$6, U$4) - SUMIFS(   INDIRECT(CONCATENATE("offshore!",$D6,":", $D6)), offshore!$4:$4, U$4)</f>
        <v>6874</v>
      </c>
      <c r="V6" s="37">
        <f ca="1">SUMIFS(  INDIRECT(CONCATENATE("'wind'!", $C6, ":", $C6)),   wind!$6:$6, V$4) - SUMIFS(   INDIRECT(CONCATENATE("offshore!",$D6,":", $D6)), offshore!$4:$4, V$4)</f>
        <v>7938.7</v>
      </c>
      <c r="W6" s="37">
        <f ca="1">SUMIFS(  INDIRECT(CONCATENATE("'wind'!", $C6, ":", $C6)),   wind!$6:$6, W$4) - SUMIFS(   INDIRECT(CONCATENATE("offshore!",$D6,":", $D6)), offshore!$4:$4, W$4)</f>
        <v>9186.5</v>
      </c>
      <c r="X6" s="37">
        <f ca="1">SUMIFS(  INDIRECT(CONCATENATE("'wind'!", $C6, ":", $C6)),   wind!$6:$6, X$4) - SUMIFS(   INDIRECT(CONCATENATE("offshore!",$D6,":", $D6)), offshore!$4:$4, X$4)</f>
        <v>9737</v>
      </c>
      <c r="Y6" s="37">
        <f ca="1">SUMIFS(  INDIRECT(CONCATENATE("'wind'!", $C6, ":", $C6)),   wind!$6:$6, Y$4) - SUMIFS(   INDIRECT(CONCATENATE("offshore!",$D6,":", $D6)), offshore!$4:$4, Y$4)</f>
        <v>12511.5</v>
      </c>
      <c r="Z6" s="37">
        <f ca="1">SUMIFS(  INDIRECT(CONCATENATE("'wind'!", $C6, ":", $C6)),   wind!$6:$6, Z$4) - SUMIFS(   INDIRECT(CONCATENATE("offshore!",$D6,":", $D6)), offshore!$4:$4, Z$4)</f>
        <v>13542.5</v>
      </c>
      <c r="AA6" s="37">
        <f ca="1">SUMIFS(  INDIRECT(CONCATENATE("'wind'!", $C6, ":", $C6)),   wind!$6:$6, AA$4) - SUMIFS(   INDIRECT(CONCATENATE("offshore!",$D6,":", $D6)), offshore!$4:$4, AA$4)</f>
        <v>15499.5</v>
      </c>
      <c r="AB6" s="37">
        <f ca="1">SUMIFS(  INDIRECT(CONCATENATE("'wind'!", $C6, ":", $C6)),   wind!$6:$6, AB$4) - SUMIFS(   INDIRECT(CONCATENATE("offshore!",$D6,":", $D6)), offshore!$4:$4, AB$4)</f>
        <v>14219.5</v>
      </c>
      <c r="AC6" s="37">
        <f ca="1">SUMIFS(  INDIRECT(CONCATENATE("'wind'!", $C6, ":", $C6)),   wind!$6:$6, AC$4) - SUMIFS(   INDIRECT(CONCATENATE("offshore!",$D6,":", $D6)), offshore!$4:$4, AC$4)</f>
        <v>16816.5</v>
      </c>
      <c r="AD6" s="37">
        <f ca="1">SUMIFS(  INDIRECT(CONCATENATE("'wind'!", $C6, ":", $C6)),   wind!$6:$6, AD$4) - SUMIFS(   INDIRECT(CONCATENATE("offshore!",$D6,":", $D6)), offshore!$4:$4, AD$4)</f>
        <v>15306.5</v>
      </c>
      <c r="AE6" s="37">
        <f ca="1">SUMIFS(  INDIRECT(CONCATENATE("'wind'!", $C6, ":", $C6)),   wind!$6:$6, AE$4) - SUMIFS(   INDIRECT(CONCATENATE("offshore!",$D6,":", $D6)), offshore!$4:$4, AE$4)</f>
        <v>15295.5</v>
      </c>
      <c r="AF6" s="37">
        <f ca="1">SUMIFS(  INDIRECT(CONCATENATE("'wind'!", $C6, ":", $C6)),   wind!$6:$6, AF$4) - SUMIFS(   INDIRECT(CONCATENATE("offshore!",$D6,":", $D6)), offshore!$4:$4, AF$4)</f>
        <v>15736</v>
      </c>
      <c r="AG6" s="44">
        <f t="shared" ref="AG6:AG45" ca="1" si="0">MAX(AVERAGE(TREND($W6:$AF6,$W$4:$AF$4,AG$4), TREND($AB6:$AF6,$AB$4:$AF$4,AG$4)) * AJ6,   AF6* 1.03)</f>
        <v>16862.950000000128</v>
      </c>
      <c r="AH6" s="24">
        <f t="shared" ref="AH6:AH45" ca="1" si="1">AVERAGE(TREND($W6:$AG6,$W$4:$AG$4,AH$4), TREND($AB6:$AG6,$AB$4:$AG$4,AH$4)) * AK6</f>
        <v>19388.421861471899</v>
      </c>
      <c r="AJ6" s="19">
        <v>1</v>
      </c>
      <c r="AK6" s="19">
        <v>1</v>
      </c>
    </row>
    <row r="7" spans="2:37">
      <c r="B7" s="17" t="s">
        <v>121</v>
      </c>
      <c r="C7" s="20">
        <f>MATCH($E7, wind!$C:$C, 0)</f>
        <v>9</v>
      </c>
      <c r="D7" s="20">
        <f>IFERROR(MATCH($E7, offshore!$D:$D, 0), 1)</f>
        <v>13</v>
      </c>
      <c r="E7" s="17" t="s">
        <v>66</v>
      </c>
      <c r="F7" s="37">
        <f ca="1">SUMIFS(  INDIRECT(CONCATENATE("'wind'!", $C7, ":", $C7)),   wind!$6:$6, F$4) - SUMIFS(   INDIRECT(CONCATENATE("offshore!",$D7,":", $D7)), offshore!$4:$4, F$4)</f>
        <v>834</v>
      </c>
      <c r="G7" s="37">
        <f ca="1">SUMIFS(  INDIRECT(CONCATENATE("'wind'!", $C7, ":", $C7)),   wind!$6:$6, G$4) - SUMIFS(   INDIRECT(CONCATENATE("offshore!",$D7,":", $D7)), offshore!$4:$4, G$4)</f>
        <v>1812</v>
      </c>
      <c r="H7" s="37">
        <f ca="1">SUMIFS(  INDIRECT(CONCATENATE("'wind'!", $C7, ":", $C7)),   wind!$6:$6, H$4) - SUMIFS(   INDIRECT(CONCATENATE("offshore!",$D7,":", $D7)), offshore!$4:$4, H$4)</f>
        <v>2235</v>
      </c>
      <c r="I7" s="37">
        <f ca="1">SUMIFS(  INDIRECT(CONCATENATE("'wind'!", $C7, ":", $C7)),   wind!$6:$6, I$4) - SUMIFS(   INDIRECT(CONCATENATE("offshore!",$D7,":", $D7)), offshore!$4:$4, I$4)</f>
        <v>3337</v>
      </c>
      <c r="J7" s="37">
        <f ca="1">SUMIFS(  INDIRECT(CONCATENATE("'wind'!", $C7, ":", $C7)),   wind!$6:$6, J$4) - SUMIFS(   INDIRECT(CONCATENATE("offshore!",$D7,":", $D7)), offshore!$4:$4, J$4)</f>
        <v>4825</v>
      </c>
      <c r="K7" s="37">
        <f ca="1">SUMIFS(  INDIRECT(CONCATENATE("'wind'!", $C7, ":", $C7)),   wind!$6:$6, K$4) - SUMIFS(   INDIRECT(CONCATENATE("offshore!",$D7,":", $D7)), offshore!$4:$4, K$4)</f>
        <v>6203</v>
      </c>
      <c r="L7" s="37">
        <f ca="1">SUMIFS(  INDIRECT(CONCATENATE("'wind'!", $C7, ":", $C7)),   wind!$6:$6, L$4) - SUMIFS(   INDIRECT(CONCATENATE("offshore!",$D7,":", $D7)), offshore!$4:$4, L$4)</f>
        <v>8264</v>
      </c>
      <c r="M7" s="37">
        <f ca="1">SUMIFS(  INDIRECT(CONCATENATE("'wind'!", $C7, ":", $C7)),   wind!$6:$6, M$4) - SUMIFS(   INDIRECT(CONCATENATE("offshore!",$D7,":", $D7)), offshore!$4:$4, M$4)</f>
        <v>10028</v>
      </c>
      <c r="N7" s="37">
        <f ca="1">SUMIFS(  INDIRECT(CONCATENATE("'wind'!", $C7, ":", $C7)),   wind!$6:$6, N$4) - SUMIFS(   INDIRECT(CONCATENATE("offshore!",$D7,":", $D7)), offshore!$4:$4, N$4)</f>
        <v>11623</v>
      </c>
      <c r="O7" s="37">
        <f ca="1">SUMIFS(  INDIRECT(CONCATENATE("'wind'!", $C7, ":", $C7)),   wind!$6:$6, O$4) - SUMIFS(   INDIRECT(CONCATENATE("offshore!",$D7,":", $D7)), offshore!$4:$4, O$4)</f>
        <v>15131</v>
      </c>
      <c r="P7" s="37">
        <f ca="1">SUMIFS(  INDIRECT(CONCATENATE("'wind'!", $C7, ":", $C7)),   wind!$6:$6, P$4) - SUMIFS(   INDIRECT(CONCATENATE("offshore!",$D7,":", $D7)), offshore!$4:$4, P$4)</f>
        <v>16689</v>
      </c>
      <c r="Q7" s="37">
        <f ca="1">SUMIFS(  INDIRECT(CONCATENATE("'wind'!", $C7, ":", $C7)),   wind!$6:$6, Q$4) - SUMIFS(   INDIRECT(CONCATENATE("offshore!",$D7,":", $D7)), offshore!$4:$4, Q$4)</f>
        <v>19149</v>
      </c>
      <c r="R7" s="37">
        <f ca="1">SUMIFS(  INDIRECT(CONCATENATE("'wind'!", $C7, ":", $C7)),   wind!$6:$6, R$4) - SUMIFS(   INDIRECT(CONCATENATE("offshore!",$D7,":", $D7)), offshore!$4:$4, R$4)</f>
        <v>20676</v>
      </c>
      <c r="S7" s="37">
        <f ca="1">SUMIFS(  INDIRECT(CONCATENATE("'wind'!", $C7, ":", $C7)),   wind!$6:$6, S$4) - SUMIFS(   INDIRECT(CONCATENATE("offshore!",$D7,":", $D7)), offshore!$4:$4, S$4)</f>
        <v>21674</v>
      </c>
      <c r="T7" s="37">
        <f ca="1">SUMIFS(  INDIRECT(CONCATENATE("'wind'!", $C7, ":", $C7)),   wind!$6:$6, T$4) - SUMIFS(   INDIRECT(CONCATENATE("offshore!",$D7,":", $D7)), offshore!$4:$4, T$4)</f>
        <v>22796</v>
      </c>
      <c r="U7" s="37">
        <f ca="1">SUMIFS(  INDIRECT(CONCATENATE("'wind'!", $C7, ":", $C7)),   wind!$6:$6, U$4) - SUMIFS(   INDIRECT(CONCATENATE("offshore!",$D7,":", $D7)), offshore!$4:$4, U$4)</f>
        <v>22954</v>
      </c>
      <c r="V7" s="37">
        <f ca="1">SUMIFS(  INDIRECT(CONCATENATE("'wind'!", $C7, ":", $C7)),   wind!$6:$6, V$4) - SUMIFS(   INDIRECT(CONCATENATE("offshore!",$D7,":", $D7)), offshore!$4:$4, V$4)</f>
        <v>22981</v>
      </c>
      <c r="W7" s="37">
        <f ca="1">SUMIFS(  INDIRECT(CONCATENATE("'wind'!", $C7, ":", $C7)),   wind!$6:$6, W$4) - SUMIFS(   INDIRECT(CONCATENATE("offshore!",$D7,":", $D7)), offshore!$4:$4, W$4)</f>
        <v>22982</v>
      </c>
      <c r="X7" s="37">
        <f ca="1">SUMIFS(  INDIRECT(CONCATENATE("'wind'!", $C7, ":", $C7)),   wind!$6:$6, X$4) - SUMIFS(   INDIRECT(CONCATENATE("offshore!",$D7,":", $D7)), offshore!$4:$4, X$4)</f>
        <v>23021</v>
      </c>
      <c r="Y7" s="37">
        <f ca="1">SUMIFS(  INDIRECT(CONCATENATE("'wind'!", $C7, ":", $C7)),   wind!$6:$6, Y$4) - SUMIFS(   INDIRECT(CONCATENATE("offshore!",$D7,":", $D7)), offshore!$4:$4, Y$4)</f>
        <v>23165</v>
      </c>
      <c r="Z7" s="37">
        <f ca="1">SUMIFS(  INDIRECT(CONCATENATE("'wind'!", $C7, ":", $C7)),   wind!$6:$6, Z$4) - SUMIFS(   INDIRECT(CONCATENATE("offshore!",$D7,":", $D7)), offshore!$4:$4, Z$4)</f>
        <v>23489</v>
      </c>
      <c r="AA7" s="37">
        <f ca="1">SUMIFS(  INDIRECT(CONCATENATE("'wind'!", $C7, ":", $C7)),   wind!$6:$6, AA$4) - SUMIFS(   INDIRECT(CONCATENATE("offshore!",$D7,":", $D7)), offshore!$4:$4, AA$4)</f>
        <v>25803</v>
      </c>
      <c r="AB7" s="37">
        <f ca="1">SUMIFS(  INDIRECT(CONCATENATE("'wind'!", $C7, ":", $C7)),   wind!$6:$6, AB$4) - SUMIFS(   INDIRECT(CONCATENATE("offshore!",$D7,":", $D7)), offshore!$4:$4, AB$4)</f>
        <v>27264</v>
      </c>
      <c r="AC7" s="37">
        <f ca="1">SUMIFS(  INDIRECT(CONCATENATE("'wind'!", $C7, ":", $C7)),   wind!$6:$6, AC$4) - SUMIFS(   INDIRECT(CONCATENATE("offshore!",$D7,":", $D7)), offshore!$4:$4, AC$4)</f>
        <v>28196</v>
      </c>
      <c r="AD7" s="37">
        <f ca="1">SUMIFS(  INDIRECT(CONCATENATE("'wind'!", $C7, ":", $C7)),   wind!$6:$6, AD$4) - SUMIFS(   INDIRECT(CONCATENATE("offshore!",$D7,":", $D7)), offshore!$4:$4, AD$4)</f>
        <v>29798</v>
      </c>
      <c r="AE7" s="37">
        <f ca="1">SUMIFS(  INDIRECT(CONCATENATE("'wind'!", $C7, ":", $C7)),   wind!$6:$6, AE$4) - SUMIFS(   INDIRECT(CONCATENATE("offshore!",$D7,":", $D7)), offshore!$4:$4, AE$4)</f>
        <v>30564</v>
      </c>
      <c r="AF7" s="37">
        <f ca="1">SUMIFS(  INDIRECT(CONCATENATE("'wind'!", $C7, ":", $C7)),   wind!$6:$6, AF$4) - SUMIFS(   INDIRECT(CONCATENATE("offshore!",$D7,":", $D7)), offshore!$4:$4, AF$4)</f>
        <v>31175</v>
      </c>
      <c r="AG7" s="44">
        <f t="shared" ca="1" si="0"/>
        <v>32422.466666666791</v>
      </c>
      <c r="AH7" s="24">
        <f t="shared" ca="1" si="1"/>
        <v>37614.048196248477</v>
      </c>
      <c r="AJ7" s="19">
        <v>1</v>
      </c>
      <c r="AK7" s="19">
        <v>1</v>
      </c>
    </row>
    <row r="8" spans="2:37">
      <c r="B8" s="17" t="str">
        <f>E8&amp;"00"</f>
        <v>FR00</v>
      </c>
      <c r="C8" s="20">
        <f>MATCH($E8, wind!$C:$C, 0)</f>
        <v>10</v>
      </c>
      <c r="D8" s="20">
        <f>IFERROR(MATCH($E8, offshore!$D:$D, 0), 1)</f>
        <v>15</v>
      </c>
      <c r="E8" s="17" t="s">
        <v>67</v>
      </c>
      <c r="F8" s="37">
        <f ca="1">SUMIFS(  INDIRECT(CONCATENATE("'wind'!", $C8, ":", $C8)),   wind!$6:$6, F$4) - SUMIFS(   INDIRECT(CONCATENATE("offshore!",$D8,":", $D8)), offshore!$4:$4, F$4)</f>
        <v>19</v>
      </c>
      <c r="G8" s="37">
        <f ca="1">SUMIFS(  INDIRECT(CONCATENATE("'wind'!", $C8, ":", $C8)),   wind!$6:$6, G$4) - SUMIFS(   INDIRECT(CONCATENATE("offshore!",$D8,":", $D8)), offshore!$4:$4, G$4)</f>
        <v>25</v>
      </c>
      <c r="H8" s="37">
        <f ca="1">SUMIFS(  INDIRECT(CONCATENATE("'wind'!", $C8, ":", $C8)),   wind!$6:$6, H$4) - SUMIFS(   INDIRECT(CONCATENATE("offshore!",$D8,":", $D8)), offshore!$4:$4, H$4)</f>
        <v>66</v>
      </c>
      <c r="I8" s="37">
        <f ca="1">SUMIFS(  INDIRECT(CONCATENATE("'wind'!", $C8, ":", $C8)),   wind!$6:$6, I$4) - SUMIFS(   INDIRECT(CONCATENATE("offshore!",$D8,":", $D8)), offshore!$4:$4, I$4)</f>
        <v>93</v>
      </c>
      <c r="J8" s="37">
        <f ca="1">SUMIFS(  INDIRECT(CONCATENATE("'wind'!", $C8, ":", $C8)),   wind!$6:$6, J$4) - SUMIFS(   INDIRECT(CONCATENATE("offshore!",$D8,":", $D8)), offshore!$4:$4, J$4)</f>
        <v>148</v>
      </c>
      <c r="K8" s="37">
        <f ca="1">SUMIFS(  INDIRECT(CONCATENATE("'wind'!", $C8, ":", $C8)),   wind!$6:$6, K$4) - SUMIFS(   INDIRECT(CONCATENATE("offshore!",$D8,":", $D8)), offshore!$4:$4, K$4)</f>
        <v>257</v>
      </c>
      <c r="L8" s="37">
        <f ca="1">SUMIFS(  INDIRECT(CONCATENATE("'wind'!", $C8, ":", $C8)),   wind!$6:$6, L$4) - SUMIFS(   INDIRECT(CONCATENATE("offshore!",$D8,":", $D8)), offshore!$4:$4, L$4)</f>
        <v>390</v>
      </c>
      <c r="M8" s="37">
        <f ca="1">SUMIFS(  INDIRECT(CONCATENATE("'wind'!", $C8, ":", $C8)),   wind!$6:$6, M$4) - SUMIFS(   INDIRECT(CONCATENATE("offshore!",$D8,":", $D8)), offshore!$4:$4, M$4)</f>
        <v>757</v>
      </c>
      <c r="N8" s="37">
        <f ca="1">SUMIFS(  INDIRECT(CONCATENATE("'wind'!", $C8, ":", $C8)),   wind!$6:$6, N$4) - SUMIFS(   INDIRECT(CONCATENATE("offshore!",$D8,":", $D8)), offshore!$4:$4, N$4)</f>
        <v>1567</v>
      </c>
      <c r="O8" s="37">
        <f ca="1">SUMIFS(  INDIRECT(CONCATENATE("'wind'!", $C8, ":", $C8)),   wind!$6:$6, O$4) - SUMIFS(   INDIRECT(CONCATENATE("offshore!",$D8,":", $D8)), offshore!$4:$4, O$4)</f>
        <v>2454</v>
      </c>
      <c r="P8" s="37">
        <f ca="1">SUMIFS(  INDIRECT(CONCATENATE("'wind'!", $C8, ":", $C8)),   wind!$6:$6, P$4) - SUMIFS(   INDIRECT(CONCATENATE("offshore!",$D8,":", $D8)), offshore!$4:$4, P$4)</f>
        <v>3404</v>
      </c>
      <c r="Q8" s="37">
        <f ca="1">SUMIFS(  INDIRECT(CONCATENATE("'wind'!", $C8, ":", $C8)),   wind!$6:$6, Q$4) - SUMIFS(   INDIRECT(CONCATENATE("offshore!",$D8,":", $D8)), offshore!$4:$4, Q$4)</f>
        <v>4492</v>
      </c>
      <c r="R8" s="37">
        <f ca="1">SUMIFS(  INDIRECT(CONCATENATE("'wind'!", $C8, ":", $C8)),   wind!$6:$6, R$4) - SUMIFS(   INDIRECT(CONCATENATE("offshore!",$D8,":", $D8)), offshore!$4:$4, R$4)</f>
        <v>5660</v>
      </c>
      <c r="S8" s="37">
        <f ca="1">SUMIFS(  INDIRECT(CONCATENATE("'wind'!", $C8, ":", $C8)),   wind!$6:$6, S$4) - SUMIFS(   INDIRECT(CONCATENATE("offshore!",$D8,":", $D8)), offshore!$4:$4, S$4)</f>
        <v>6800</v>
      </c>
      <c r="T8" s="37">
        <f ca="1">SUMIFS(  INDIRECT(CONCATENATE("'wind'!", $C8, ":", $C8)),   wind!$6:$6, T$4) - SUMIFS(   INDIRECT(CONCATENATE("offshore!",$D8,":", $D8)), offshore!$4:$4, T$4)</f>
        <v>7196</v>
      </c>
      <c r="U8" s="37">
        <f ca="1">SUMIFS(  INDIRECT(CONCATENATE("'wind'!", $C8, ":", $C8)),   wind!$6:$6, U$4) - SUMIFS(   INDIRECT(CONCATENATE("offshore!",$D8,":", $D8)), offshore!$4:$4, U$4)</f>
        <v>8254</v>
      </c>
      <c r="V8" s="37">
        <f ca="1">SUMIFS(  INDIRECT(CONCATENATE("'wind'!", $C8, ":", $C8)),   wind!$6:$6, V$4) - SUMIFS(   INDIRECT(CONCATENATE("offshore!",$D8,":", $D8)), offshore!$4:$4, V$4)</f>
        <v>9285</v>
      </c>
      <c r="W8" s="37">
        <f ca="1">SUMIFS(  INDIRECT(CONCATENATE("'wind'!", $C8, ":", $C8)),   wind!$6:$6, W$4) - SUMIFS(   INDIRECT(CONCATENATE("offshore!",$D8,":", $D8)), offshore!$4:$4, W$4)</f>
        <v>10324</v>
      </c>
      <c r="X8" s="37">
        <f ca="1">SUMIFS(  INDIRECT(CONCATENATE("'wind'!", $C8, ":", $C8)),   wind!$6:$6, X$4) - SUMIFS(   INDIRECT(CONCATENATE("offshore!",$D8,":", $D8)), offshore!$4:$4, X$4)</f>
        <v>11670</v>
      </c>
      <c r="Y8" s="37">
        <f ca="1">SUMIFS(  INDIRECT(CONCATENATE("'wind'!", $C8, ":", $C8)),   wind!$6:$6, Y$4) - SUMIFS(   INDIRECT(CONCATENATE("offshore!",$D8,":", $D8)), offshore!$4:$4, Y$4)</f>
        <v>13759</v>
      </c>
      <c r="Z8" s="37">
        <f ca="1">SUMIFS(  INDIRECT(CONCATENATE("'wind'!", $C8, ":", $C8)),   wind!$6:$6, Z$4) - SUMIFS(   INDIRECT(CONCATENATE("offshore!",$D8,":", $D8)), offshore!$4:$4, Z$4)</f>
        <v>15309</v>
      </c>
      <c r="AA8" s="37">
        <f ca="1">SUMIFS(  INDIRECT(CONCATENATE("'wind'!", $C8, ":", $C8)),   wind!$6:$6, AA$4) - SUMIFS(   INDIRECT(CONCATENATE("offshore!",$D8,":", $D8)), offshore!$4:$4, AA$4)</f>
        <v>16646</v>
      </c>
      <c r="AB8" s="37">
        <f ca="1">SUMIFS(  INDIRECT(CONCATENATE("'wind'!", $C8, ":", $C8)),   wind!$6:$6, AB$4) - SUMIFS(   INDIRECT(CONCATENATE("offshore!",$D8,":", $D8)), offshore!$4:$4, AB$4)</f>
        <v>17949</v>
      </c>
      <c r="AC8" s="37">
        <f ca="1">SUMIFS(  INDIRECT(CONCATENATE("'wind'!", $C8, ":", $C8)),   wind!$6:$6, AC$4) - SUMIFS(   INDIRECT(CONCATENATE("offshore!",$D8,":", $D8)), offshore!$4:$4, AC$4)</f>
        <v>19081</v>
      </c>
      <c r="AD8" s="37">
        <f ca="1">SUMIFS(  INDIRECT(CONCATENATE("'wind'!", $C8, ":", $C8)),   wind!$6:$6, AD$4) - SUMIFS(   INDIRECT(CONCATENATE("offshore!",$D8,":", $D8)), offshore!$4:$4, AD$4)</f>
        <v>20655</v>
      </c>
      <c r="AE8" s="37">
        <f ca="1">SUMIFS(  INDIRECT(CONCATENATE("'wind'!", $C8, ":", $C8)),   wind!$6:$6, AE$4) - SUMIFS(   INDIRECT(CONCATENATE("offshore!",$D8,":", $D8)), offshore!$4:$4, AE$4)</f>
        <v>21309</v>
      </c>
      <c r="AF8" s="37">
        <f ca="1">SUMIFS(  INDIRECT(CONCATENATE("'wind'!", $C8, ":", $C8)),   wind!$6:$6, AF$4) - SUMIFS(   INDIRECT(CONCATENATE("offshore!",$D8,":", $D8)), offshore!$4:$4, AF$4)</f>
        <v>22875</v>
      </c>
      <c r="AG8" s="44">
        <f t="shared" ca="1" si="0"/>
        <v>24269.933333333349</v>
      </c>
      <c r="AH8" s="24">
        <f t="shared" ca="1" si="1"/>
        <v>30831.618037517881</v>
      </c>
      <c r="AJ8" s="19">
        <v>1</v>
      </c>
      <c r="AK8" s="19">
        <v>1</v>
      </c>
    </row>
    <row r="9" spans="2:37">
      <c r="B9" s="17"/>
      <c r="C9" s="20">
        <f>MATCH($E9, wind!$C:$C, 0)</f>
        <v>11</v>
      </c>
      <c r="D9" s="20">
        <f>IFERROR(MATCH($E9, offshore!$D:$D, 0), 1)</f>
        <v>10</v>
      </c>
      <c r="E9" s="17" t="s">
        <v>68</v>
      </c>
      <c r="F9" s="37">
        <f ca="1">SUMIFS(  INDIRECT(CONCATENATE("'wind'!", $C9, ":", $C9)),   wind!$6:$6, F$4) - SUMIFS(   INDIRECT(CONCATENATE("offshore!",$D9,":", $D9)), offshore!$4:$4, F$4)</f>
        <v>174</v>
      </c>
      <c r="G9" s="37">
        <f ca="1">SUMIFS(  INDIRECT(CONCATENATE("'wind'!", $C9, ":", $C9)),   wind!$6:$6, G$4) - SUMIFS(   INDIRECT(CONCATENATE("offshore!",$D9,":", $D9)), offshore!$4:$4, G$4)</f>
        <v>220</v>
      </c>
      <c r="H9" s="37">
        <f ca="1">SUMIFS(  INDIRECT(CONCATENATE("'wind'!", $C9, ":", $C9)),   wind!$6:$6, H$4) - SUMIFS(   INDIRECT(CONCATENATE("offshore!",$D9,":", $D9)), offshore!$4:$4, H$4)</f>
        <v>231</v>
      </c>
      <c r="I9" s="37">
        <f ca="1">SUMIFS(  INDIRECT(CONCATENATE("'wind'!", $C9, ":", $C9)),   wind!$6:$6, I$4) - SUMIFS(   INDIRECT(CONCATENATE("offshore!",$D9,":", $D9)), offshore!$4:$4, I$4)</f>
        <v>293</v>
      </c>
      <c r="J9" s="37">
        <f ca="1">SUMIFS(  INDIRECT(CONCATENATE("'wind'!", $C9, ":", $C9)),   wind!$6:$6, J$4) - SUMIFS(   INDIRECT(CONCATENATE("offshore!",$D9,":", $D9)), offshore!$4:$4, J$4)</f>
        <v>345</v>
      </c>
      <c r="K9" s="37">
        <f ca="1">SUMIFS(  INDIRECT(CONCATENATE("'wind'!", $C9, ":", $C9)),   wind!$6:$6, K$4) - SUMIFS(   INDIRECT(CONCATENATE("offshore!",$D9,":", $D9)), offshore!$4:$4, K$4)</f>
        <v>399</v>
      </c>
      <c r="L9" s="37">
        <f ca="1">SUMIFS(  INDIRECT(CONCATENATE("'wind'!", $C9, ":", $C9)),   wind!$6:$6, L$4) - SUMIFS(   INDIRECT(CONCATENATE("offshore!",$D9,":", $D9)), offshore!$4:$4, L$4)</f>
        <v>442</v>
      </c>
      <c r="M9" s="37">
        <f ca="1">SUMIFS(  INDIRECT(CONCATENATE("'wind'!", $C9, ":", $C9)),   wind!$6:$6, M$4) - SUMIFS(   INDIRECT(CONCATENATE("offshore!",$D9,":", $D9)), offshore!$4:$4, M$4)</f>
        <v>509</v>
      </c>
      <c r="N9" s="37">
        <f ca="1">SUMIFS(  INDIRECT(CONCATENATE("'wind'!", $C9, ":", $C9)),   wind!$6:$6, N$4) - SUMIFS(   INDIRECT(CONCATENATE("offshore!",$D9,":", $D9)), offshore!$4:$4, N$4)</f>
        <v>571</v>
      </c>
      <c r="O9" s="37">
        <f ca="1">SUMIFS(  INDIRECT(CONCATENATE("'wind'!", $C9, ":", $C9)),   wind!$6:$6, O$4) - SUMIFS(   INDIRECT(CONCATENATE("offshore!",$D9,":", $D9)), offshore!$4:$4, O$4)</f>
        <v>788</v>
      </c>
      <c r="P9" s="37">
        <f ca="1">SUMIFS(  INDIRECT(CONCATENATE("'wind'!", $C9, ":", $C9)),   wind!$6:$6, P$4) - SUMIFS(   INDIRECT(CONCATENATE("offshore!",$D9,":", $D9)), offshore!$4:$4, P$4)</f>
        <v>914.3</v>
      </c>
      <c r="Q9" s="37">
        <f ca="1">SUMIFS(  INDIRECT(CONCATENATE("'wind'!", $C9, ":", $C9)),   wind!$6:$6, Q$4) - SUMIFS(   INDIRECT(CONCATENATE("offshore!",$D9,":", $D9)), offshore!$4:$4, Q$4)</f>
        <v>1396.3</v>
      </c>
      <c r="R9" s="37">
        <f ca="1">SUMIFS(  INDIRECT(CONCATENATE("'wind'!", $C9, ":", $C9)),   wind!$6:$6, R$4) - SUMIFS(   INDIRECT(CONCATENATE("offshore!",$D9,":", $D9)), offshore!$4:$4, R$4)</f>
        <v>1999.6</v>
      </c>
      <c r="S9" s="37">
        <f ca="1">SUMIFS(  INDIRECT(CONCATENATE("'wind'!", $C9, ":", $C9)),   wind!$6:$6, S$4) - SUMIFS(   INDIRECT(CONCATENATE("offshore!",$D9,":", $D9)), offshore!$4:$4, S$4)</f>
        <v>2743.6</v>
      </c>
      <c r="T9" s="37">
        <f ca="1">SUMIFS(  INDIRECT(CONCATENATE("'wind'!", $C9, ":", $C9)),   wind!$6:$6, T$4) - SUMIFS(   INDIRECT(CONCATENATE("offshore!",$D9,":", $D9)), offshore!$4:$4, T$4)</f>
        <v>3581.3</v>
      </c>
      <c r="U9" s="37">
        <f ca="1">SUMIFS(  INDIRECT(CONCATENATE("'wind'!", $C9, ":", $C9)),   wind!$6:$6, U$4) - SUMIFS(   INDIRECT(CONCATENATE("offshore!",$D9,":", $D9)), offshore!$4:$4, U$4)</f>
        <v>4258.3</v>
      </c>
      <c r="V9" s="37">
        <f ca="1">SUMIFS(  INDIRECT(CONCATENATE("'wind'!", $C9, ":", $C9)),   wind!$6:$6, V$4) - SUMIFS(   INDIRECT(CONCATENATE("offshore!",$D9,":", $D9)), offshore!$4:$4, V$4)</f>
        <v>5213.3</v>
      </c>
      <c r="W9" s="37">
        <f ca="1">SUMIFS(  INDIRECT(CONCATENATE("'wind'!", $C9, ":", $C9)),   wind!$6:$6, W$4) - SUMIFS(   INDIRECT(CONCATENATE("offshore!",$D9,":", $D9)), offshore!$4:$4, W$4)</f>
        <v>5827.3</v>
      </c>
      <c r="X9" s="37">
        <f ca="1">SUMIFS(  INDIRECT(CONCATENATE("'wind'!", $C9, ":", $C9)),   wind!$6:$6, X$4) - SUMIFS(   INDIRECT(CONCATENATE("offshore!",$D9,":", $D9)), offshore!$4:$4, X$4)</f>
        <v>6317.3</v>
      </c>
      <c r="Y9" s="37">
        <f ca="1">SUMIFS(  INDIRECT(CONCATENATE("'wind'!", $C9, ":", $C9)),   wind!$6:$6, Y$4) - SUMIFS(   INDIRECT(CONCATENATE("offshore!",$D9,":", $D9)), offshore!$4:$4, Y$4)</f>
        <v>6489.3</v>
      </c>
      <c r="Z9" s="37">
        <f ca="1">SUMIFS(  INDIRECT(CONCATENATE("'wind'!", $C9, ":", $C9)),   wind!$6:$6, Z$4) - SUMIFS(   INDIRECT(CONCATENATE("offshore!",$D9,":", $D9)), offshore!$4:$4, Z$4)</f>
        <v>7204</v>
      </c>
      <c r="AA9" s="37">
        <f ca="1">SUMIFS(  INDIRECT(CONCATENATE("'wind'!", $C9, ":", $C9)),   wind!$6:$6, AA$4) - SUMIFS(   INDIRECT(CONCATENATE("offshore!",$D9,":", $D9)), offshore!$4:$4, AA$4)</f>
        <v>8792.5</v>
      </c>
      <c r="AB9" s="37">
        <f ca="1">SUMIFS(  INDIRECT(CONCATENATE("'wind'!", $C9, ":", $C9)),   wind!$6:$6, AB$4) - SUMIFS(   INDIRECT(CONCATENATE("offshore!",$D9,":", $D9)), offshore!$4:$4, AB$4)</f>
        <v>9789</v>
      </c>
      <c r="AC9" s="37">
        <f ca="1">SUMIFS(  INDIRECT(CONCATENATE("'wind'!", $C9, ":", $C9)),   wind!$6:$6, AC$4) - SUMIFS(   INDIRECT(CONCATENATE("offshore!",$D9,":", $D9)), offshore!$4:$4, AC$4)</f>
        <v>11894</v>
      </c>
      <c r="AD9" s="37">
        <f ca="1">SUMIFS(  INDIRECT(CONCATENATE("'wind'!", $C9, ":", $C9)),   wind!$6:$6, AD$4) - SUMIFS(   INDIRECT(CONCATENATE("offshore!",$D9,":", $D9)), offshore!$4:$4, AD$4)</f>
        <v>14392</v>
      </c>
      <c r="AE9" s="37">
        <f ca="1">SUMIFS(  INDIRECT(CONCATENATE("'wind'!", $C9, ":", $C9)),   wind!$6:$6, AE$4) - SUMIFS(   INDIRECT(CONCATENATE("offshore!",$D9,":", $D9)), offshore!$4:$4, AE$4)</f>
        <v>16248</v>
      </c>
      <c r="AF9" s="37">
        <f ca="1">SUMIFS(  INDIRECT(CONCATENATE("'wind'!", $C9, ":", $C9)),   wind!$6:$6, AF$4) - SUMIFS(   INDIRECT(CONCATENATE("offshore!",$D9,":", $D9)), offshore!$4:$4, AF$4)</f>
        <v>17007</v>
      </c>
      <c r="AG9" s="44">
        <f t="shared" ca="1" si="0"/>
        <v>18694.723333333386</v>
      </c>
      <c r="AH9" s="24">
        <f t="shared" ca="1" si="1"/>
        <v>26517.03098124126</v>
      </c>
      <c r="AJ9" s="19">
        <v>1</v>
      </c>
      <c r="AK9" s="19">
        <v>1</v>
      </c>
    </row>
    <row r="10" spans="2:37">
      <c r="B10" s="17"/>
      <c r="C10" s="20">
        <f>MATCH($E10, wind!$C:$C, 0)</f>
        <v>12</v>
      </c>
      <c r="D10" s="20">
        <f>IFERROR(MATCH($E10, offshore!$D:$D, 0), 1)</f>
        <v>1</v>
      </c>
      <c r="E10" s="17" t="s">
        <v>69</v>
      </c>
      <c r="F10" s="37">
        <f ca="1">SUMIFS(  INDIRECT(CONCATENATE("'wind'!", $C10, ":", $C10)),   wind!$6:$6, F$4) - SUMIFS(   INDIRECT(CONCATENATE("offshore!",$D10,":", $D10)), offshore!$4:$4, F$4)</f>
        <v>0</v>
      </c>
      <c r="G10" s="37">
        <f ca="1">SUMIFS(  INDIRECT(CONCATENATE("'wind'!", $C10, ":", $C10)),   wind!$6:$6, G$4) - SUMIFS(   INDIRECT(CONCATENATE("offshore!",$D10,":", $D10)), offshore!$4:$4, G$4)</f>
        <v>0</v>
      </c>
      <c r="H10" s="37">
        <f ca="1">SUMIFS(  INDIRECT(CONCATENATE("'wind'!", $C10, ":", $C10)),   wind!$6:$6, H$4) - SUMIFS(   INDIRECT(CONCATENATE("offshore!",$D10,":", $D10)), offshore!$4:$4, H$4)</f>
        <v>0</v>
      </c>
      <c r="I10" s="37">
        <f ca="1">SUMIFS(  INDIRECT(CONCATENATE("'wind'!", $C10, ":", $C10)),   wind!$6:$6, I$4) - SUMIFS(   INDIRECT(CONCATENATE("offshore!",$D10,":", $D10)), offshore!$4:$4, I$4)</f>
        <v>0</v>
      </c>
      <c r="J10" s="37">
        <f ca="1">SUMIFS(  INDIRECT(CONCATENATE("'wind'!", $C10, ":", $C10)),   wind!$6:$6, J$4) - SUMIFS(   INDIRECT(CONCATENATE("offshore!",$D10,":", $D10)), offshore!$4:$4, J$4)</f>
        <v>0</v>
      </c>
      <c r="K10" s="37">
        <f ca="1">SUMIFS(  INDIRECT(CONCATENATE("'wind'!", $C10, ":", $C10)),   wind!$6:$6, K$4) - SUMIFS(   INDIRECT(CONCATENATE("offshore!",$D10,":", $D10)), offshore!$4:$4, K$4)</f>
        <v>0</v>
      </c>
      <c r="L10" s="37">
        <f ca="1">SUMIFS(  INDIRECT(CONCATENATE("'wind'!", $C10, ":", $C10)),   wind!$6:$6, L$4) - SUMIFS(   INDIRECT(CONCATENATE("offshore!",$D10,":", $D10)), offshore!$4:$4, L$4)</f>
        <v>0</v>
      </c>
      <c r="M10" s="37">
        <f ca="1">SUMIFS(  INDIRECT(CONCATENATE("'wind'!", $C10, ":", $C10)),   wind!$6:$6, M$4) - SUMIFS(   INDIRECT(CONCATENATE("offshore!",$D10,":", $D10)), offshore!$4:$4, M$4)</f>
        <v>0</v>
      </c>
      <c r="N10" s="37">
        <f ca="1">SUMIFS(  INDIRECT(CONCATENATE("'wind'!", $C10, ":", $C10)),   wind!$6:$6, N$4) - SUMIFS(   INDIRECT(CONCATENATE("offshore!",$D10,":", $D10)), offshore!$4:$4, N$4)</f>
        <v>0</v>
      </c>
      <c r="O10" s="37">
        <f ca="1">SUMIFS(  INDIRECT(CONCATENATE("'wind'!", $C10, ":", $C10)),   wind!$6:$6, O$4) - SUMIFS(   INDIRECT(CONCATENATE("offshore!",$D10,":", $D10)), offshore!$4:$4, O$4)</f>
        <v>0</v>
      </c>
      <c r="P10" s="37">
        <f ca="1">SUMIFS(  INDIRECT(CONCATENATE("'wind'!", $C10, ":", $C10)),   wind!$6:$6, P$4) - SUMIFS(   INDIRECT(CONCATENATE("offshore!",$D10,":", $D10)), offshore!$4:$4, P$4)</f>
        <v>458</v>
      </c>
      <c r="Q10" s="37">
        <f ca="1">SUMIFS(  INDIRECT(CONCATENATE("'wind'!", $C10, ":", $C10)),   wind!$6:$6, Q$4) - SUMIFS(   INDIRECT(CONCATENATE("offshore!",$D10,":", $D10)), offshore!$4:$4, Q$4)</f>
        <v>801</v>
      </c>
      <c r="R10" s="37">
        <f ca="1">SUMIFS(  INDIRECT(CONCATENATE("'wind'!", $C10, ":", $C10)),   wind!$6:$6, R$4) - SUMIFS(   INDIRECT(CONCATENATE("offshore!",$D10,":", $D10)), offshore!$4:$4, R$4)</f>
        <v>1329</v>
      </c>
      <c r="S10" s="37">
        <f ca="1">SUMIFS(  INDIRECT(CONCATENATE("'wind'!", $C10, ":", $C10)),   wind!$6:$6, S$4) - SUMIFS(   INDIRECT(CONCATENATE("offshore!",$D10,":", $D10)), offshore!$4:$4, S$4)</f>
        <v>1691</v>
      </c>
      <c r="T10" s="37">
        <f ca="1">SUMIFS(  INDIRECT(CONCATENATE("'wind'!", $C10, ":", $C10)),   wind!$6:$6, T$4) - SUMIFS(   INDIRECT(CONCATENATE("offshore!",$D10,":", $D10)), offshore!$4:$4, T$4)</f>
        <v>2312</v>
      </c>
      <c r="U10" s="37">
        <f ca="1">SUMIFS(  INDIRECT(CONCATENATE("'wind'!", $C10, ":", $C10)),   wind!$6:$6, U$4) - SUMIFS(   INDIRECT(CONCATENATE("offshore!",$D10,":", $D10)), offshore!$4:$4, U$4)</f>
        <v>2956</v>
      </c>
      <c r="V10" s="37">
        <f ca="1">SUMIFS(  INDIRECT(CONCATENATE("'wind'!", $C10, ":", $C10)),   wind!$6:$6, V$4) - SUMIFS(   INDIRECT(CONCATENATE("offshore!",$D10,":", $D10)), offshore!$4:$4, V$4)</f>
        <v>3763</v>
      </c>
      <c r="W10" s="37">
        <f ca="1">SUMIFS(  INDIRECT(CONCATENATE("'wind'!", $C10, ":", $C10)),   wind!$6:$6, W$4) - SUMIFS(   INDIRECT(CONCATENATE("offshore!",$D10,":", $D10)), offshore!$4:$4, W$4)</f>
        <v>4718</v>
      </c>
      <c r="X10" s="37">
        <f ca="1">SUMIFS(  INDIRECT(CONCATENATE("'wind'!", $C10, ":", $C10)),   wind!$6:$6, X$4) - SUMIFS(   INDIRECT(CONCATENATE("offshore!",$D10,":", $D10)), offshore!$4:$4, X$4)</f>
        <v>6101</v>
      </c>
      <c r="Y10" s="37">
        <f ca="1">SUMIFS(  INDIRECT(CONCATENATE("'wind'!", $C10, ":", $C10)),   wind!$6:$6, Y$4) - SUMIFS(   INDIRECT(CONCATENATE("offshore!",$D10,":", $D10)), offshore!$4:$4, Y$4)</f>
        <v>6857</v>
      </c>
      <c r="Z10" s="37">
        <f ca="1">SUMIFS(  INDIRECT(CONCATENATE("'wind'!", $C10, ":", $C10)),   wind!$6:$6, Z$4) - SUMIFS(   INDIRECT(CONCATENATE("offshore!",$D10,":", $D10)), offshore!$4:$4, Z$4)</f>
        <v>7369</v>
      </c>
      <c r="AA10" s="37">
        <f ca="1">SUMIFS(  INDIRECT(CONCATENATE("'wind'!", $C10, ":", $C10)),   wind!$6:$6, AA$4) - SUMIFS(   INDIRECT(CONCATENATE("offshore!",$D10,":", $D10)), offshore!$4:$4, AA$4)</f>
        <v>8056</v>
      </c>
      <c r="AB10" s="37">
        <f ca="1">SUMIFS(  INDIRECT(CONCATENATE("'wind'!", $C10, ":", $C10)),   wind!$6:$6, AB$4) - SUMIFS(   INDIRECT(CONCATENATE("offshore!",$D10,":", $D10)), offshore!$4:$4, AB$4)</f>
        <v>9305</v>
      </c>
      <c r="AC10" s="37">
        <f ca="1">SUMIFS(  INDIRECT(CONCATENATE("'wind'!", $C10, ":", $C10)),   wind!$6:$6, AC$4) - SUMIFS(   INDIRECT(CONCATENATE("offshore!",$D10,":", $D10)), offshore!$4:$4, AC$4)</f>
        <v>10750</v>
      </c>
      <c r="AD10" s="37">
        <f ca="1">SUMIFS(  INDIRECT(CONCATENATE("'wind'!", $C10, ":", $C10)),   wind!$6:$6, AD$4) - SUMIFS(   INDIRECT(CONCATENATE("offshore!",$D10,":", $D10)), offshore!$4:$4, AD$4)</f>
        <v>11969</v>
      </c>
      <c r="AE10" s="37">
        <f ca="1">SUMIFS(  INDIRECT(CONCATENATE("'wind'!", $C10, ":", $C10)),   wind!$6:$6, AE$4) - SUMIFS(   INDIRECT(CONCATENATE("offshore!",$D10,":", $D10)), offshore!$4:$4, AE$4)</f>
        <v>12342</v>
      </c>
      <c r="AF10" s="37">
        <f ca="1">SUMIFS(  INDIRECT(CONCATENATE("'wind'!", $C10, ":", $C10)),   wind!$6:$6, AF$4) - SUMIFS(   INDIRECT(CONCATENATE("offshore!",$D10,":", $D10)), offshore!$4:$4, AF$4)</f>
        <v>13793</v>
      </c>
      <c r="AG10" s="44">
        <f t="shared" ca="1" si="0"/>
        <v>14669.333333333139</v>
      </c>
      <c r="AH10" s="24">
        <f t="shared" ca="1" si="1"/>
        <v>19724.62193362182</v>
      </c>
      <c r="AJ10" s="19">
        <v>1</v>
      </c>
      <c r="AK10" s="19">
        <v>1</v>
      </c>
    </row>
    <row r="11" spans="2:37">
      <c r="B11" s="17"/>
      <c r="C11" s="20">
        <f>MATCH($E11, wind!$C:$C, 0)</f>
        <v>13</v>
      </c>
      <c r="D11" s="20">
        <f>IFERROR(MATCH($E11, offshore!$D:$D, 0), 1)</f>
        <v>16</v>
      </c>
      <c r="E11" s="17" t="s">
        <v>70</v>
      </c>
      <c r="F11" s="37">
        <f ca="1">SUMIFS(  INDIRECT(CONCATENATE("'wind'!", $C11, ":", $C11)),   wind!$6:$6, F$4) - SUMIFS(   INDIRECT(CONCATENATE("offshore!",$D11,":", $D11)), offshore!$4:$4, F$4)</f>
        <v>180</v>
      </c>
      <c r="G11" s="37">
        <f ca="1">SUMIFS(  INDIRECT(CONCATENATE("'wind'!", $C11, ":", $C11)),   wind!$6:$6, G$4) - SUMIFS(   INDIRECT(CONCATENATE("offshore!",$D11,":", $D11)), offshore!$4:$4, G$4)</f>
        <v>277</v>
      </c>
      <c r="H11" s="37">
        <f ca="1">SUMIFS(  INDIRECT(CONCATENATE("'wind'!", $C11, ":", $C11)),   wind!$6:$6, H$4) - SUMIFS(   INDIRECT(CONCATENATE("offshore!",$D11,":", $D11)), offshore!$4:$4, H$4)</f>
        <v>427</v>
      </c>
      <c r="I11" s="37">
        <f ca="1">SUMIFS(  INDIRECT(CONCATENATE("'wind'!", $C11, ":", $C11)),   wind!$6:$6, I$4) - SUMIFS(   INDIRECT(CONCATENATE("offshore!",$D11,":", $D11)), offshore!$4:$4, I$4)</f>
        <v>682</v>
      </c>
      <c r="J11" s="37">
        <f ca="1">SUMIFS(  INDIRECT(CONCATENATE("'wind'!", $C11, ":", $C11)),   wind!$6:$6, J$4) - SUMIFS(   INDIRECT(CONCATENATE("offshore!",$D11,":", $D11)), offshore!$4:$4, J$4)</f>
        <v>788</v>
      </c>
      <c r="K11" s="37">
        <f ca="1">SUMIFS(  INDIRECT(CONCATENATE("'wind'!", $C11, ":", $C11)),   wind!$6:$6, K$4) - SUMIFS(   INDIRECT(CONCATENATE("offshore!",$D11,":", $D11)), offshore!$4:$4, K$4)</f>
        <v>905</v>
      </c>
      <c r="L11" s="37">
        <f ca="1">SUMIFS(  INDIRECT(CONCATENATE("'wind'!", $C11, ":", $C11)),   wind!$6:$6, L$4) - SUMIFS(   INDIRECT(CONCATENATE("offshore!",$D11,":", $D11)), offshore!$4:$4, L$4)</f>
        <v>1266</v>
      </c>
      <c r="M11" s="37">
        <f ca="1">SUMIFS(  INDIRECT(CONCATENATE("'wind'!", $C11, ":", $C11)),   wind!$6:$6, M$4) - SUMIFS(   INDIRECT(CONCATENATE("offshore!",$D11,":", $D11)), offshore!$4:$4, M$4)</f>
        <v>1718</v>
      </c>
      <c r="N11" s="37">
        <f ca="1">SUMIFS(  INDIRECT(CONCATENATE("'wind'!", $C11, ":", $C11)),   wind!$6:$6, N$4) - SUMIFS(   INDIRECT(CONCATENATE("offshore!",$D11,":", $D11)), offshore!$4:$4, N$4)</f>
        <v>2123</v>
      </c>
      <c r="O11" s="37">
        <f ca="1">SUMIFS(  INDIRECT(CONCATENATE("'wind'!", $C11, ":", $C11)),   wind!$6:$6, O$4) - SUMIFS(   INDIRECT(CONCATENATE("offshore!",$D11,":", $D11)), offshore!$4:$4, O$4)</f>
        <v>2726</v>
      </c>
      <c r="P11" s="37">
        <f ca="1">SUMIFS(  INDIRECT(CONCATENATE("'wind'!", $C11, ":", $C11)),   wind!$6:$6, P$4) - SUMIFS(   INDIRECT(CONCATENATE("offshore!",$D11,":", $D11)), offshore!$4:$4, P$4)</f>
        <v>3735.9</v>
      </c>
      <c r="Q11" s="37">
        <f ca="1">SUMIFS(  INDIRECT(CONCATENATE("'wind'!", $C11, ":", $C11)),   wind!$6:$6, Q$4) - SUMIFS(   INDIRECT(CONCATENATE("offshore!",$D11,":", $D11)), offshore!$4:$4, Q$4)</f>
        <v>4849.8999999999996</v>
      </c>
      <c r="R11" s="37">
        <f ca="1">SUMIFS(  INDIRECT(CONCATENATE("'wind'!", $C11, ":", $C11)),   wind!$6:$6, R$4) - SUMIFS(   INDIRECT(CONCATENATE("offshore!",$D11,":", $D11)), offshore!$4:$4, R$4)</f>
        <v>5797</v>
      </c>
      <c r="S11" s="37">
        <f ca="1">SUMIFS(  INDIRECT(CONCATENATE("'wind'!", $C11, ":", $C11)),   wind!$6:$6, S$4) - SUMIFS(   INDIRECT(CONCATENATE("offshore!",$D11,":", $D11)), offshore!$4:$4, S$4)</f>
        <v>6747</v>
      </c>
      <c r="T11" s="37">
        <f ca="1">SUMIFS(  INDIRECT(CONCATENATE("'wind'!", $C11, ":", $C11)),   wind!$6:$6, T$4) - SUMIFS(   INDIRECT(CONCATENATE("offshore!",$D11,":", $D11)), offshore!$4:$4, T$4)</f>
        <v>8144</v>
      </c>
      <c r="U11" s="37">
        <f ca="1">SUMIFS(  INDIRECT(CONCATENATE("'wind'!", $C11, ":", $C11)),   wind!$6:$6, U$4) - SUMIFS(   INDIRECT(CONCATENATE("offshore!",$D11,":", $D11)), offshore!$4:$4, U$4)</f>
        <v>8551</v>
      </c>
      <c r="V11" s="37">
        <f ca="1">SUMIFS(  INDIRECT(CONCATENATE("'wind'!", $C11, ":", $C11)),   wind!$6:$6, V$4) - SUMIFS(   INDIRECT(CONCATENATE("offshore!",$D11,":", $D11)), offshore!$4:$4, V$4)</f>
        <v>8663</v>
      </c>
      <c r="W11" s="37">
        <f ca="1">SUMIFS(  INDIRECT(CONCATENATE("'wind'!", $C11, ":", $C11)),   wind!$6:$6, W$4) - SUMIFS(   INDIRECT(CONCATENATE("offshore!",$D11,":", $D11)), offshore!$4:$4, W$4)</f>
        <v>8973</v>
      </c>
      <c r="X11" s="37">
        <f ca="1">SUMIFS(  INDIRECT(CONCATENATE("'wind'!", $C11, ":", $C11)),   wind!$6:$6, X$4) - SUMIFS(   INDIRECT(CONCATENATE("offshore!",$D11,":", $D11)), offshore!$4:$4, X$4)</f>
        <v>9255</v>
      </c>
      <c r="Y11" s="37">
        <f ca="1">SUMIFS(  INDIRECT(CONCATENATE("'wind'!", $C11, ":", $C11)),   wind!$6:$6, Y$4) - SUMIFS(   INDIRECT(CONCATENATE("offshore!",$D11,":", $D11)), offshore!$4:$4, Y$4)</f>
        <v>9479</v>
      </c>
      <c r="Z11" s="37">
        <f ca="1">SUMIFS(  INDIRECT(CONCATENATE("'wind'!", $C11, ":", $C11)),   wind!$6:$6, Z$4) - SUMIFS(   INDIRECT(CONCATENATE("offshore!",$D11,":", $D11)), offshore!$4:$4, Z$4)</f>
        <v>9958</v>
      </c>
      <c r="AA11" s="37">
        <f ca="1">SUMIFS(  INDIRECT(CONCATENATE("'wind'!", $C11, ":", $C11)),   wind!$6:$6, AA$4) - SUMIFS(   INDIRECT(CONCATENATE("offshore!",$D11,":", $D11)), offshore!$4:$4, AA$4)</f>
        <v>10512</v>
      </c>
      <c r="AB11" s="37">
        <f ca="1">SUMIFS(  INDIRECT(CONCATENATE("'wind'!", $C11, ":", $C11)),   wind!$6:$6, AB$4) - SUMIFS(   INDIRECT(CONCATENATE("offshore!",$D11,":", $D11)), offshore!$4:$4, AB$4)</f>
        <v>10852</v>
      </c>
      <c r="AC11" s="37">
        <f ca="1">SUMIFS(  INDIRECT(CONCATENATE("'wind'!", $C11, ":", $C11)),   wind!$6:$6, AC$4) - SUMIFS(   INDIRECT(CONCATENATE("offshore!",$D11,":", $D11)), offshore!$4:$4, AC$4)</f>
        <v>11108</v>
      </c>
      <c r="AD11" s="37">
        <f ca="1">SUMIFS(  INDIRECT(CONCATENATE("'wind'!", $C11, ":", $C11)),   wind!$6:$6, AD$4) - SUMIFS(   INDIRECT(CONCATENATE("offshore!",$D11,":", $D11)), offshore!$4:$4, AD$4)</f>
        <v>11818</v>
      </c>
      <c r="AE11" s="37">
        <f ca="1">SUMIFS(  INDIRECT(CONCATENATE("'wind'!", $C11, ":", $C11)),   wind!$6:$6, AE$4) - SUMIFS(   INDIRECT(CONCATENATE("offshore!",$D11,":", $D11)), offshore!$4:$4, AE$4)</f>
        <v>12305</v>
      </c>
      <c r="AF11" s="37">
        <f ca="1">SUMIFS(  INDIRECT(CONCATENATE("'wind'!", $C11, ":", $C11)),   wind!$6:$6, AF$4) - SUMIFS(   INDIRECT(CONCATENATE("offshore!",$D11,":", $D11)), offshore!$4:$4, AF$4)</f>
        <v>12914</v>
      </c>
      <c r="AG11" s="44">
        <f t="shared" ca="1" si="0"/>
        <v>13301.42</v>
      </c>
      <c r="AH11" s="24">
        <f t="shared" ca="1" si="1"/>
        <v>15676.441645021609</v>
      </c>
      <c r="AJ11" s="19">
        <v>1</v>
      </c>
      <c r="AK11" s="19">
        <v>1</v>
      </c>
    </row>
    <row r="12" spans="2:37">
      <c r="B12" s="17" t="str">
        <f>E12&amp;"00"</f>
        <v>NL00</v>
      </c>
      <c r="C12" s="20">
        <f>MATCH($E12, wind!$C:$C, 0)</f>
        <v>14</v>
      </c>
      <c r="D12" s="20">
        <f>IFERROR(MATCH($E12, offshore!$D:$D, 0), 1)</f>
        <v>8</v>
      </c>
      <c r="E12" s="17" t="s">
        <v>71</v>
      </c>
      <c r="F12" s="37">
        <f ca="1">SUMIFS(  INDIRECT(CONCATENATE("'wind'!", $C12, ":", $C12)),   wind!$6:$6, F$4) - SUMIFS(   INDIRECT(CONCATENATE("offshore!",$D12,":", $D12)), offshore!$4:$4, F$4)</f>
        <v>361</v>
      </c>
      <c r="G12" s="37">
        <f ca="1">SUMIFS(  INDIRECT(CONCATENATE("'wind'!", $C12, ":", $C12)),   wind!$6:$6, G$4) - SUMIFS(   INDIRECT(CONCATENATE("offshore!",$D12,":", $D12)), offshore!$4:$4, G$4)</f>
        <v>433</v>
      </c>
      <c r="H12" s="37">
        <f ca="1">SUMIFS(  INDIRECT(CONCATENATE("'wind'!", $C12, ":", $C12)),   wind!$6:$6, H$4) - SUMIFS(   INDIRECT(CONCATENATE("offshore!",$D12,":", $D12)), offshore!$4:$4, H$4)</f>
        <v>446</v>
      </c>
      <c r="I12" s="37">
        <f ca="1">SUMIFS(  INDIRECT(CONCATENATE("'wind'!", $C12, ":", $C12)),   wind!$6:$6, I$4) - SUMIFS(   INDIRECT(CONCATENATE("offshore!",$D12,":", $D12)), offshore!$4:$4, I$4)</f>
        <v>486</v>
      </c>
      <c r="J12" s="37">
        <f ca="1">SUMIFS(  INDIRECT(CONCATENATE("'wind'!", $C12, ":", $C12)),   wind!$6:$6, J$4) - SUMIFS(   INDIRECT(CONCATENATE("offshore!",$D12,":", $D12)), offshore!$4:$4, J$4)</f>
        <v>693</v>
      </c>
      <c r="K12" s="37">
        <f ca="1">SUMIFS(  INDIRECT(CONCATENATE("'wind'!", $C12, ":", $C12)),   wind!$6:$6, K$4) - SUMIFS(   INDIRECT(CONCATENATE("offshore!",$D12,":", $D12)), offshore!$4:$4, K$4)</f>
        <v>910</v>
      </c>
      <c r="L12" s="37">
        <f ca="1">SUMIFS(  INDIRECT(CONCATENATE("'wind'!", $C12, ":", $C12)),   wind!$6:$6, L$4) - SUMIFS(   INDIRECT(CONCATENATE("offshore!",$D12,":", $D12)), offshore!$4:$4, L$4)</f>
        <v>1079</v>
      </c>
      <c r="M12" s="37">
        <f ca="1">SUMIFS(  INDIRECT(CONCATENATE("'wind'!", $C12, ":", $C12)),   wind!$6:$6, M$4) - SUMIFS(   INDIRECT(CONCATENATE("offshore!",$D12,":", $D12)), offshore!$4:$4, M$4)</f>
        <v>1219</v>
      </c>
      <c r="N12" s="37">
        <f ca="1">SUMIFS(  INDIRECT(CONCATENATE("'wind'!", $C12, ":", $C12)),   wind!$6:$6, N$4) - SUMIFS(   INDIRECT(CONCATENATE("offshore!",$D12,":", $D12)), offshore!$4:$4, N$4)</f>
        <v>1558</v>
      </c>
      <c r="O12" s="37">
        <f ca="1">SUMIFS(  INDIRECT(CONCATENATE("'wind'!", $C12, ":", $C12)),   wind!$6:$6, O$4) - SUMIFS(   INDIRECT(CONCATENATE("offshore!",$D12,":", $D12)), offshore!$4:$4, O$4)</f>
        <v>1747</v>
      </c>
      <c r="P12" s="37">
        <f ca="1">SUMIFS(  INDIRECT(CONCATENATE("'wind'!", $C12, ":", $C12)),   wind!$6:$6, P$4) - SUMIFS(   INDIRECT(CONCATENATE("offshore!",$D12,":", $D12)), offshore!$4:$4, P$4)</f>
        <v>1978.2</v>
      </c>
      <c r="Q12" s="37">
        <f ca="1">SUMIFS(  INDIRECT(CONCATENATE("'wind'!", $C12, ":", $C12)),   wind!$6:$6, Q$4) - SUMIFS(   INDIRECT(CONCATENATE("offshore!",$D12,":", $D12)), offshore!$4:$4, Q$4)</f>
        <v>1982.2</v>
      </c>
      <c r="R12" s="37">
        <f ca="1">SUMIFS(  INDIRECT(CONCATENATE("'wind'!", $C12, ":", $C12)),   wind!$6:$6, R$4) - SUMIFS(   INDIRECT(CONCATENATE("offshore!",$D12,":", $D12)), offshore!$4:$4, R$4)</f>
        <v>2017</v>
      </c>
      <c r="S12" s="37">
        <f ca="1">SUMIFS(  INDIRECT(CONCATENATE("'wind'!", $C12, ":", $C12)),   wind!$6:$6, S$4) - SUMIFS(   INDIRECT(CONCATENATE("offshore!",$D12,":", $D12)), offshore!$4:$4, S$4)</f>
        <v>2100</v>
      </c>
      <c r="T12" s="37">
        <f ca="1">SUMIFS(  INDIRECT(CONCATENATE("'wind'!", $C12, ":", $C12)),   wind!$6:$6, T$4) - SUMIFS(   INDIRECT(CONCATENATE("offshore!",$D12,":", $D12)), offshore!$4:$4, T$4)</f>
        <v>2163</v>
      </c>
      <c r="U12" s="37">
        <f ca="1">SUMIFS(  INDIRECT(CONCATENATE("'wind'!", $C12, ":", $C12)),   wind!$6:$6, U$4) - SUMIFS(   INDIRECT(CONCATENATE("offshore!",$D12,":", $D12)), offshore!$4:$4, U$4)</f>
        <v>2465</v>
      </c>
      <c r="V12" s="37">
        <f ca="1">SUMIFS(  INDIRECT(CONCATENATE("'wind'!", $C12, ":", $C12)),   wind!$6:$6, V$4) - SUMIFS(   INDIRECT(CONCATENATE("offshore!",$D12,":", $D12)), offshore!$4:$4, V$4)</f>
        <v>2577</v>
      </c>
      <c r="W12" s="37">
        <f ca="1">SUMIFS(  INDIRECT(CONCATENATE("'wind'!", $C12, ":", $C12)),   wind!$6:$6, W$4) - SUMIFS(   INDIRECT(CONCATENATE("offshore!",$D12,":", $D12)), offshore!$4:$4, W$4)</f>
        <v>3034</v>
      </c>
      <c r="X12" s="37">
        <f ca="1">SUMIFS(  INDIRECT(CONCATENATE("'wind'!", $C12, ":", $C12)),   wind!$6:$6, X$4) - SUMIFS(   INDIRECT(CONCATENATE("offshore!",$D12,":", $D12)), offshore!$4:$4, X$4)</f>
        <v>3223</v>
      </c>
      <c r="Y12" s="37">
        <f ca="1">SUMIFS(  INDIRECT(CONCATENATE("'wind'!", $C12, ":", $C12)),   wind!$6:$6, Y$4) - SUMIFS(   INDIRECT(CONCATENATE("offshore!",$D12,":", $D12)), offshore!$4:$4, Y$4)</f>
        <v>3384</v>
      </c>
      <c r="Z12" s="37">
        <f ca="1">SUMIFS(  INDIRECT(CONCATENATE("'wind'!", $C12, ":", $C12)),   wind!$6:$6, Z$4) - SUMIFS(   INDIRECT(CONCATENATE("offshore!",$D12,":", $D12)), offshore!$4:$4, Z$4)</f>
        <v>3514</v>
      </c>
      <c r="AA12" s="37">
        <f ca="1">SUMIFS(  INDIRECT(CONCATENATE("'wind'!", $C12, ":", $C12)),   wind!$6:$6, AA$4) - SUMIFS(   INDIRECT(CONCATENATE("offshore!",$D12,":", $D12)), offshore!$4:$4, AA$4)</f>
        <v>3643</v>
      </c>
      <c r="AB12" s="37">
        <f ca="1">SUMIFS(  INDIRECT(CONCATENATE("'wind'!", $C12, ":", $C12)),   wind!$6:$6, AB$4) - SUMIFS(   INDIRECT(CONCATENATE("offshore!",$D12,":", $D12)), offshore!$4:$4, AB$4)</f>
        <v>4324.5</v>
      </c>
      <c r="AC12" s="37">
        <f ca="1">SUMIFS(  INDIRECT(CONCATENATE("'wind'!", $C12, ":", $C12)),   wind!$6:$6, AC$4) - SUMIFS(   INDIRECT(CONCATENATE("offshore!",$D12,":", $D12)), offshore!$4:$4, AC$4)</f>
        <v>5705.5</v>
      </c>
      <c r="AD12" s="37">
        <f ca="1">SUMIFS(  INDIRECT(CONCATENATE("'wind'!", $C12, ":", $C12)),   wind!$6:$6, AD$4) - SUMIFS(   INDIRECT(CONCATENATE("offshore!",$D12,":", $D12)), offshore!$4:$4, AD$4)</f>
        <v>6481</v>
      </c>
      <c r="AE12" s="37">
        <f ca="1">SUMIFS(  INDIRECT(CONCATENATE("'wind'!", $C12, ":", $C12)),   wind!$6:$6, AE$4) - SUMIFS(   INDIRECT(CONCATENATE("offshore!",$D12,":", $D12)), offshore!$4:$4, AE$4)</f>
        <v>7515.5</v>
      </c>
      <c r="AF12" s="37">
        <f ca="1">SUMIFS(  INDIRECT(CONCATENATE("'wind'!", $C12, ":", $C12)),   wind!$6:$6, AF$4) - SUMIFS(   INDIRECT(CONCATENATE("offshore!",$D12,":", $D12)), offshore!$4:$4, AF$4)</f>
        <v>6958</v>
      </c>
      <c r="AG12" s="44">
        <f t="shared" ca="1" si="0"/>
        <v>8017.5333333332092</v>
      </c>
      <c r="AH12" s="24">
        <f t="shared" ca="1" si="1"/>
        <v>11016.949639249593</v>
      </c>
      <c r="AJ12" s="19">
        <v>1</v>
      </c>
      <c r="AK12" s="19">
        <v>1</v>
      </c>
    </row>
    <row r="13" spans="2:37">
      <c r="B13" s="17" t="str">
        <f>E13&amp;"00"</f>
        <v>PL00</v>
      </c>
      <c r="C13" s="20">
        <f>MATCH($E13, wind!$C:$C, 0)</f>
        <v>15</v>
      </c>
      <c r="D13" s="20">
        <f>IFERROR(MATCH($E13, offshore!$D:$D, 0), 1)</f>
        <v>1</v>
      </c>
      <c r="E13" s="17" t="s">
        <v>72</v>
      </c>
      <c r="F13" s="37">
        <f ca="1">SUMIFS(  INDIRECT(CONCATENATE("'wind'!", $C13, ":", $C13)),   wind!$6:$6, F$4) - SUMIFS(   INDIRECT(CONCATENATE("offshore!",$D13,":", $D13)), offshore!$4:$4, F$4)</f>
        <v>0</v>
      </c>
      <c r="G13" s="37">
        <f ca="1">SUMIFS(  INDIRECT(CONCATENATE("'wind'!", $C13, ":", $C13)),   wind!$6:$6, G$4) - SUMIFS(   INDIRECT(CONCATENATE("offshore!",$D13,":", $D13)), offshore!$4:$4, G$4)</f>
        <v>0</v>
      </c>
      <c r="H13" s="37">
        <f ca="1">SUMIFS(  INDIRECT(CONCATENATE("'wind'!", $C13, ":", $C13)),   wind!$6:$6, H$4) - SUMIFS(   INDIRECT(CONCATENATE("offshore!",$D13,":", $D13)), offshore!$4:$4, H$4)</f>
        <v>0</v>
      </c>
      <c r="I13" s="37">
        <f ca="1">SUMIFS(  INDIRECT(CONCATENATE("'wind'!", $C13, ":", $C13)),   wind!$6:$6, I$4) - SUMIFS(   INDIRECT(CONCATENATE("offshore!",$D13,":", $D13)), offshore!$4:$4, I$4)</f>
        <v>0</v>
      </c>
      <c r="J13" s="37">
        <f ca="1">SUMIFS(  INDIRECT(CONCATENATE("'wind'!", $C13, ":", $C13)),   wind!$6:$6, J$4) - SUMIFS(   INDIRECT(CONCATENATE("offshore!",$D13,":", $D13)), offshore!$4:$4, J$4)</f>
        <v>27</v>
      </c>
      <c r="K13" s="37">
        <f ca="1">SUMIFS(  INDIRECT(CONCATENATE("'wind'!", $C13, ":", $C13)),   wind!$6:$6, K$4) - SUMIFS(   INDIRECT(CONCATENATE("offshore!",$D13,":", $D13)), offshore!$4:$4, K$4)</f>
        <v>63</v>
      </c>
      <c r="L13" s="37">
        <f ca="1">SUMIFS(  INDIRECT(CONCATENATE("'wind'!", $C13, ":", $C13)),   wind!$6:$6, L$4) - SUMIFS(   INDIRECT(CONCATENATE("offshore!",$D13,":", $D13)), offshore!$4:$4, L$4)</f>
        <v>63</v>
      </c>
      <c r="M13" s="37">
        <f ca="1">SUMIFS(  INDIRECT(CONCATENATE("'wind'!", $C13, ":", $C13)),   wind!$6:$6, M$4) - SUMIFS(   INDIRECT(CONCATENATE("offshore!",$D13,":", $D13)), offshore!$4:$4, M$4)</f>
        <v>83</v>
      </c>
      <c r="N13" s="37">
        <f ca="1">SUMIFS(  INDIRECT(CONCATENATE("'wind'!", $C13, ":", $C13)),   wind!$6:$6, N$4) - SUMIFS(   INDIRECT(CONCATENATE("offshore!",$D13,":", $D13)), offshore!$4:$4, N$4)</f>
        <v>153</v>
      </c>
      <c r="O13" s="37">
        <f ca="1">SUMIFS(  INDIRECT(CONCATENATE("'wind'!", $C13, ":", $C13)),   wind!$6:$6, O$4) - SUMIFS(   INDIRECT(CONCATENATE("offshore!",$D13,":", $D13)), offshore!$4:$4, O$4)</f>
        <v>276</v>
      </c>
      <c r="P13" s="37">
        <f ca="1">SUMIFS(  INDIRECT(CONCATENATE("'wind'!", $C13, ":", $C13)),   wind!$6:$6, P$4) - SUMIFS(   INDIRECT(CONCATENATE("offshore!",$D13,":", $D13)), offshore!$4:$4, P$4)</f>
        <v>544</v>
      </c>
      <c r="Q13" s="37">
        <f ca="1">SUMIFS(  INDIRECT(CONCATENATE("'wind'!", $C13, ":", $C13)),   wind!$6:$6, Q$4) - SUMIFS(   INDIRECT(CONCATENATE("offshore!",$D13,":", $D13)), offshore!$4:$4, Q$4)</f>
        <v>725</v>
      </c>
      <c r="R13" s="37">
        <f ca="1">SUMIFS(  INDIRECT(CONCATENATE("'wind'!", $C13, ":", $C13)),   wind!$6:$6, R$4) - SUMIFS(   INDIRECT(CONCATENATE("offshore!",$D13,":", $D13)), offshore!$4:$4, R$4)</f>
        <v>1107</v>
      </c>
      <c r="S13" s="37">
        <f ca="1">SUMIFS(  INDIRECT(CONCATENATE("'wind'!", $C13, ":", $C13)),   wind!$6:$6, S$4) - SUMIFS(   INDIRECT(CONCATENATE("offshore!",$D13,":", $D13)), offshore!$4:$4, S$4)</f>
        <v>1616</v>
      </c>
      <c r="T13" s="37">
        <f ca="1">SUMIFS(  INDIRECT(CONCATENATE("'wind'!", $C13, ":", $C13)),   wind!$6:$6, T$4) - SUMIFS(   INDIRECT(CONCATENATE("offshore!",$D13,":", $D13)), offshore!$4:$4, T$4)</f>
        <v>2497</v>
      </c>
      <c r="U13" s="37">
        <f ca="1">SUMIFS(  INDIRECT(CONCATENATE("'wind'!", $C13, ":", $C13)),   wind!$6:$6, U$4) - SUMIFS(   INDIRECT(CONCATENATE("offshore!",$D13,":", $D13)), offshore!$4:$4, U$4)</f>
        <v>3390</v>
      </c>
      <c r="V13" s="37">
        <f ca="1">SUMIFS(  INDIRECT(CONCATENATE("'wind'!", $C13, ":", $C13)),   wind!$6:$6, V$4) - SUMIFS(   INDIRECT(CONCATENATE("offshore!",$D13,":", $D13)), offshore!$4:$4, V$4)</f>
        <v>3834</v>
      </c>
      <c r="W13" s="37">
        <f ca="1">SUMIFS(  INDIRECT(CONCATENATE("'wind'!", $C13, ":", $C13)),   wind!$6:$6, W$4) - SUMIFS(   INDIRECT(CONCATENATE("offshore!",$D13,":", $D13)), offshore!$4:$4, W$4)</f>
        <v>5100</v>
      </c>
      <c r="X13" s="37">
        <f ca="1">SUMIFS(  INDIRECT(CONCATENATE("'wind'!", $C13, ":", $C13)),   wind!$6:$6, X$4) - SUMIFS(   INDIRECT(CONCATENATE("offshore!",$D13,":", $D13)), offshore!$4:$4, X$4)</f>
        <v>5782</v>
      </c>
      <c r="Y13" s="37">
        <f ca="1">SUMIFS(  INDIRECT(CONCATENATE("'wind'!", $C13, ":", $C13)),   wind!$6:$6, Y$4) - SUMIFS(   INDIRECT(CONCATENATE("offshore!",$D13,":", $D13)), offshore!$4:$4, Y$4)</f>
        <v>6397</v>
      </c>
      <c r="Z13" s="37">
        <f ca="1">SUMIFS(  INDIRECT(CONCATENATE("'wind'!", $C13, ":", $C13)),   wind!$6:$6, Z$4) - SUMIFS(   INDIRECT(CONCATENATE("offshore!",$D13,":", $D13)), offshore!$4:$4, Z$4)</f>
        <v>5864</v>
      </c>
      <c r="AA13" s="37">
        <f ca="1">SUMIFS(  INDIRECT(CONCATENATE("'wind'!", $C13, ":", $C13)),   wind!$6:$6, AA$4) - SUMIFS(   INDIRECT(CONCATENATE("offshore!",$D13,":", $D13)), offshore!$4:$4, AA$4)</f>
        <v>5917</v>
      </c>
      <c r="AB13" s="37">
        <f ca="1">SUMIFS(  INDIRECT(CONCATENATE("'wind'!", $C13, ":", $C13)),   wind!$6:$6, AB$4) - SUMIFS(   INDIRECT(CONCATENATE("offshore!",$D13,":", $D13)), offshore!$4:$4, AB$4)</f>
        <v>6614</v>
      </c>
      <c r="AC13" s="37">
        <f ca="1">SUMIFS(  INDIRECT(CONCATENATE("'wind'!", $C13, ":", $C13)),   wind!$6:$6, AC$4) - SUMIFS(   INDIRECT(CONCATENATE("offshore!",$D13,":", $D13)), offshore!$4:$4, AC$4)</f>
        <v>7116</v>
      </c>
      <c r="AD13" s="37">
        <f ca="1">SUMIFS(  INDIRECT(CONCATENATE("'wind'!", $C13, ":", $C13)),   wind!$6:$6, AD$4) - SUMIFS(   INDIRECT(CONCATENATE("offshore!",$D13,":", $D13)), offshore!$4:$4, AD$4)</f>
        <v>7864</v>
      </c>
      <c r="AE13" s="37">
        <f ca="1">SUMIFS(  INDIRECT(CONCATENATE("'wind'!", $C13, ":", $C13)),   wind!$6:$6, AE$4) - SUMIFS(   INDIRECT(CONCATENATE("offshore!",$D13,":", $D13)), offshore!$4:$4, AE$4)</f>
        <v>9383</v>
      </c>
      <c r="AF13" s="37">
        <f ca="1">SUMIFS(  INDIRECT(CONCATENATE("'wind'!", $C13, ":", $C13)),   wind!$6:$6, AF$4) - SUMIFS(   INDIRECT(CONCATENATE("offshore!",$D13,":", $D13)), offshore!$4:$4, AF$4)</f>
        <v>10233</v>
      </c>
      <c r="AG13" s="44">
        <f t="shared" ca="1" si="0"/>
        <v>10539.99</v>
      </c>
      <c r="AH13" s="24">
        <f t="shared" ca="1" si="1"/>
        <v>13942.66640692635</v>
      </c>
      <c r="AJ13" s="19">
        <v>1</v>
      </c>
      <c r="AK13" s="19">
        <v>1</v>
      </c>
    </row>
    <row r="14" spans="2:37">
      <c r="B14" s="17" t="str">
        <f>E14&amp;"00"</f>
        <v>FI00</v>
      </c>
      <c r="C14" s="20">
        <f>MATCH($E14, wind!$C:$C, 0)</f>
        <v>16</v>
      </c>
      <c r="D14" s="20">
        <f>IFERROR(MATCH($E14, offshore!$D:$D, 0), 1)</f>
        <v>11</v>
      </c>
      <c r="E14" s="17" t="s">
        <v>73</v>
      </c>
      <c r="F14" s="37">
        <f ca="1">SUMIFS(  INDIRECT(CONCATENATE("'wind'!", $C14, ":", $C14)),   wind!$6:$6, F$4) - SUMIFS(   INDIRECT(CONCATENATE("offshore!",$D14,":", $D14)), offshore!$4:$4, F$4)</f>
        <v>17</v>
      </c>
      <c r="G14" s="37">
        <f ca="1">SUMIFS(  INDIRECT(CONCATENATE("'wind'!", $C14, ":", $C14)),   wind!$6:$6, G$4) - SUMIFS(   INDIRECT(CONCATENATE("offshore!",$D14,":", $D14)), offshore!$4:$4, G$4)</f>
        <v>39</v>
      </c>
      <c r="H14" s="37">
        <f ca="1">SUMIFS(  INDIRECT(CONCATENATE("'wind'!", $C14, ":", $C14)),   wind!$6:$6, H$4) - SUMIFS(   INDIRECT(CONCATENATE("offshore!",$D14,":", $D14)), offshore!$4:$4, H$4)</f>
        <v>39</v>
      </c>
      <c r="I14" s="37">
        <f ca="1">SUMIFS(  INDIRECT(CONCATENATE("'wind'!", $C14, ":", $C14)),   wind!$6:$6, I$4) - SUMIFS(   INDIRECT(CONCATENATE("offshore!",$D14,":", $D14)), offshore!$4:$4, I$4)</f>
        <v>39</v>
      </c>
      <c r="J14" s="37">
        <f ca="1">SUMIFS(  INDIRECT(CONCATENATE("'wind'!", $C14, ":", $C14)),   wind!$6:$6, J$4) - SUMIFS(   INDIRECT(CONCATENATE("offshore!",$D14,":", $D14)), offshore!$4:$4, J$4)</f>
        <v>43</v>
      </c>
      <c r="K14" s="37">
        <f ca="1">SUMIFS(  INDIRECT(CONCATENATE("'wind'!", $C14, ":", $C14)),   wind!$6:$6, K$4) - SUMIFS(   INDIRECT(CONCATENATE("offshore!",$D14,":", $D14)), offshore!$4:$4, K$4)</f>
        <v>52</v>
      </c>
      <c r="L14" s="37">
        <f ca="1">SUMIFS(  INDIRECT(CONCATENATE("'wind'!", $C14, ":", $C14)),   wind!$6:$6, L$4) - SUMIFS(   INDIRECT(CONCATENATE("offshore!",$D14,":", $D14)), offshore!$4:$4, L$4)</f>
        <v>82</v>
      </c>
      <c r="M14" s="37">
        <f ca="1">SUMIFS(  INDIRECT(CONCATENATE("'wind'!", $C14, ":", $C14)),   wind!$6:$6, M$4) - SUMIFS(   INDIRECT(CONCATENATE("offshore!",$D14,":", $D14)), offshore!$4:$4, M$4)</f>
        <v>82</v>
      </c>
      <c r="N14" s="37">
        <f ca="1">SUMIFS(  INDIRECT(CONCATENATE("'wind'!", $C14, ":", $C14)),   wind!$6:$6, N$4) - SUMIFS(   INDIRECT(CONCATENATE("offshore!",$D14,":", $D14)), offshore!$4:$4, N$4)</f>
        <v>86</v>
      </c>
      <c r="O14" s="37">
        <f ca="1">SUMIFS(  INDIRECT(CONCATENATE("'wind'!", $C14, ":", $C14)),   wind!$6:$6, O$4) - SUMIFS(   INDIRECT(CONCATENATE("offshore!",$D14,":", $D14)), offshore!$4:$4, O$4)</f>
        <v>110</v>
      </c>
      <c r="P14" s="37">
        <f ca="1">SUMIFS(  INDIRECT(CONCATENATE("'wind'!", $C14, ":", $C14)),   wind!$6:$6, P$4) - SUMIFS(   INDIRECT(CONCATENATE("offshore!",$D14,":", $D14)), offshore!$4:$4, P$4)</f>
        <v>119</v>
      </c>
      <c r="Q14" s="37">
        <f ca="1">SUMIFS(  INDIRECT(CONCATENATE("'wind'!", $C14, ":", $C14)),   wind!$6:$6, Q$4) - SUMIFS(   INDIRECT(CONCATENATE("offshore!",$D14,":", $D14)), offshore!$4:$4, Q$4)</f>
        <v>122</v>
      </c>
      <c r="R14" s="37">
        <f ca="1">SUMIFS(  INDIRECT(CONCATENATE("'wind'!", $C14, ":", $C14)),   wind!$6:$6, R$4) - SUMIFS(   INDIRECT(CONCATENATE("offshore!",$D14,":", $D14)), offshore!$4:$4, R$4)</f>
        <v>171</v>
      </c>
      <c r="S14" s="37">
        <f ca="1">SUMIFS(  INDIRECT(CONCATENATE("'wind'!", $C14, ":", $C14)),   wind!$6:$6, S$4) - SUMIFS(   INDIRECT(CONCATENATE("offshore!",$D14,":", $D14)), offshore!$4:$4, S$4)</f>
        <v>171</v>
      </c>
      <c r="T14" s="37">
        <f ca="1">SUMIFS(  INDIRECT(CONCATENATE("'wind'!", $C14, ":", $C14)),   wind!$6:$6, T$4) - SUMIFS(   INDIRECT(CONCATENATE("offshore!",$D14,":", $D14)), offshore!$4:$4, T$4)</f>
        <v>262</v>
      </c>
      <c r="U14" s="37">
        <f ca="1">SUMIFS(  INDIRECT(CONCATENATE("'wind'!", $C14, ":", $C14)),   wind!$6:$6, U$4) - SUMIFS(   INDIRECT(CONCATENATE("offshore!",$D14,":", $D14)), offshore!$4:$4, U$4)</f>
        <v>422</v>
      </c>
      <c r="V14" s="37">
        <f ca="1">SUMIFS(  INDIRECT(CONCATENATE("'wind'!", $C14, ":", $C14)),   wind!$6:$6, V$4) - SUMIFS(   INDIRECT(CONCATENATE("offshore!",$D14,":", $D14)), offshore!$4:$4, V$4)</f>
        <v>599</v>
      </c>
      <c r="W14" s="37">
        <f ca="1">SUMIFS(  INDIRECT(CONCATENATE("'wind'!", $C14, ":", $C14)),   wind!$6:$6, W$4) - SUMIFS(   INDIRECT(CONCATENATE("offshore!",$D14,":", $D14)), offshore!$4:$4, W$4)</f>
        <v>977</v>
      </c>
      <c r="X14" s="37">
        <f ca="1">SUMIFS(  INDIRECT(CONCATENATE("'wind'!", $C14, ":", $C14)),   wind!$6:$6, X$4) - SUMIFS(   INDIRECT(CONCATENATE("offshore!",$D14,":", $D14)), offshore!$4:$4, X$4)</f>
        <v>1501</v>
      </c>
      <c r="Y14" s="37">
        <f ca="1">SUMIFS(  INDIRECT(CONCATENATE("'wind'!", $C14, ":", $C14)),   wind!$6:$6, Y$4) - SUMIFS(   INDIRECT(CONCATENATE("offshore!",$D14,":", $D14)), offshore!$4:$4, Y$4)</f>
        <v>2040.3</v>
      </c>
      <c r="Z14" s="37">
        <f ca="1">SUMIFS(  INDIRECT(CONCATENATE("'wind'!", $C14, ":", $C14)),   wind!$6:$6, Z$4) - SUMIFS(   INDIRECT(CONCATENATE("offshore!",$D14,":", $D14)), offshore!$4:$4, Z$4)</f>
        <v>1968.3</v>
      </c>
      <c r="AA14" s="37">
        <f ca="1">SUMIFS(  INDIRECT(CONCATENATE("'wind'!", $C14, ":", $C14)),   wind!$6:$6, AA$4) - SUMIFS(   INDIRECT(CONCATENATE("offshore!",$D14,":", $D14)), offshore!$4:$4, AA$4)</f>
        <v>2211.3000000000002</v>
      </c>
      <c r="AB14" s="37">
        <f ca="1">SUMIFS(  INDIRECT(CONCATENATE("'wind'!", $C14, ":", $C14)),   wind!$6:$6, AB$4) - SUMIFS(   INDIRECT(CONCATENATE("offshore!",$D14,":", $D14)), offshore!$4:$4, AB$4)</f>
        <v>2513</v>
      </c>
      <c r="AC14" s="37">
        <f ca="1">SUMIFS(  INDIRECT(CONCATENATE("'wind'!", $C14, ":", $C14)),   wind!$6:$6, AC$4) - SUMIFS(   INDIRECT(CONCATENATE("offshore!",$D14,":", $D14)), offshore!$4:$4, AC$4)</f>
        <v>3255</v>
      </c>
      <c r="AD14" s="37">
        <f ca="1">SUMIFS(  INDIRECT(CONCATENATE("'wind'!", $C14, ":", $C14)),   wind!$6:$6, AD$4) - SUMIFS(   INDIRECT(CONCATENATE("offshore!",$D14,":", $D14)), offshore!$4:$4, AD$4)</f>
        <v>5605</v>
      </c>
      <c r="AE14" s="37">
        <f ca="1">SUMIFS(  INDIRECT(CONCATENATE("'wind'!", $C14, ":", $C14)),   wind!$6:$6, AE$4) - SUMIFS(   INDIRECT(CONCATENATE("offshore!",$D14,":", $D14)), offshore!$4:$4, AE$4)</f>
        <v>6870</v>
      </c>
      <c r="AF14" s="37">
        <f ca="1">SUMIFS(  INDIRECT(CONCATENATE("'wind'!", $C14, ":", $C14)),   wind!$6:$6, AF$4) - SUMIFS(   INDIRECT(CONCATENATE("offshore!",$D14,":", $D14)), offshore!$4:$4, AF$4)</f>
        <v>8284</v>
      </c>
      <c r="AG14" s="44">
        <f t="shared" ca="1" si="0"/>
        <v>8776.3499999999767</v>
      </c>
      <c r="AH14" s="24">
        <f t="shared" ca="1" si="1"/>
        <v>14091.866450216272</v>
      </c>
      <c r="AJ14" s="19">
        <v>1</v>
      </c>
      <c r="AK14" s="19">
        <v>1</v>
      </c>
    </row>
    <row r="15" spans="2:37">
      <c r="B15" s="17"/>
      <c r="C15" s="20">
        <f>MATCH($E15, wind!$C:$C, 0)</f>
        <v>17</v>
      </c>
      <c r="D15" s="20">
        <f>IFERROR(MATCH($E15, offshore!$D:$D, 0), 1)</f>
        <v>7</v>
      </c>
      <c r="E15" s="17" t="s">
        <v>74</v>
      </c>
      <c r="F15" s="37">
        <f ca="1">SUMIFS(  INDIRECT(CONCATENATE("'wind'!", $C15, ":", $C15)),   wind!$6:$6, F$4) - SUMIFS(   INDIRECT(CONCATENATE("offshore!",$D15,":", $D15)), offshore!$4:$4, F$4)</f>
        <v>1443</v>
      </c>
      <c r="G15" s="37">
        <f ca="1">SUMIFS(  INDIRECT(CONCATENATE("'wind'!", $C15, ":", $C15)),   wind!$6:$6, G$4) - SUMIFS(   INDIRECT(CONCATENATE("offshore!",$D15,":", $D15)), offshore!$4:$4, G$4)</f>
        <v>1771</v>
      </c>
      <c r="H15" s="37">
        <f ca="1">SUMIFS(  INDIRECT(CONCATENATE("'wind'!", $C15, ":", $C15)),   wind!$6:$6, H$4) - SUMIFS(   INDIRECT(CONCATENATE("offshore!",$D15,":", $D15)), offshore!$4:$4, H$4)</f>
        <v>2417</v>
      </c>
      <c r="I15" s="37">
        <f ca="1">SUMIFS(  INDIRECT(CONCATENATE("'wind'!", $C15, ":", $C15)),   wind!$6:$6, I$4) - SUMIFS(   INDIRECT(CONCATENATE("offshore!",$D15,":", $D15)), offshore!$4:$4, I$4)</f>
        <v>2489</v>
      </c>
      <c r="J15" s="37">
        <f ca="1">SUMIFS(  INDIRECT(CONCATENATE("'wind'!", $C15, ":", $C15)),   wind!$6:$6, J$4) - SUMIFS(   INDIRECT(CONCATENATE("offshore!",$D15,":", $D15)), offshore!$4:$4, J$4)</f>
        <v>2889</v>
      </c>
      <c r="K15" s="37">
        <f ca="1">SUMIFS(  INDIRECT(CONCATENATE("'wind'!", $C15, ":", $C15)),   wind!$6:$6, K$4) - SUMIFS(   INDIRECT(CONCATENATE("offshore!",$D15,":", $D15)), offshore!$4:$4, K$4)</f>
        <v>3116</v>
      </c>
      <c r="L15" s="37">
        <f ca="1">SUMIFS(  INDIRECT(CONCATENATE("'wind'!", $C15, ":", $C15)),   wind!$6:$6, L$4) - SUMIFS(   INDIRECT(CONCATENATE("offshore!",$D15,":", $D15)), offshore!$4:$4, L$4)</f>
        <v>3118</v>
      </c>
      <c r="M15" s="37">
        <f ca="1">SUMIFS(  INDIRECT(CONCATENATE("'wind'!", $C15, ":", $C15)),   wind!$6:$6, M$4) - SUMIFS(   INDIRECT(CONCATENATE("offshore!",$D15,":", $D15)), offshore!$4:$4, M$4)</f>
        <v>3128</v>
      </c>
      <c r="N15" s="37">
        <f ca="1">SUMIFS(  INDIRECT(CONCATENATE("'wind'!", $C15, ":", $C15)),   wind!$6:$6, N$4) - SUMIFS(   INDIRECT(CONCATENATE("offshore!",$D15,":", $D15)), offshore!$4:$4, N$4)</f>
        <v>3136</v>
      </c>
      <c r="O15" s="37">
        <f ca="1">SUMIFS(  INDIRECT(CONCATENATE("'wind'!", $C15, ":", $C15)),   wind!$6:$6, O$4) - SUMIFS(   INDIRECT(CONCATENATE("offshore!",$D15,":", $D15)), offshore!$4:$4, O$4)</f>
        <v>3125</v>
      </c>
      <c r="P15" s="37">
        <f ca="1">SUMIFS(  INDIRECT(CONCATENATE("'wind'!", $C15, ":", $C15)),   wind!$6:$6, P$4) - SUMIFS(   INDIRECT(CONCATENATE("offshore!",$D15,":", $D15)), offshore!$4:$4, P$4)</f>
        <v>2739.6</v>
      </c>
      <c r="Q15" s="37">
        <f ca="1">SUMIFS(  INDIRECT(CONCATENATE("'wind'!", $C15, ":", $C15)),   wind!$6:$6, Q$4) - SUMIFS(   INDIRECT(CONCATENATE("offshore!",$D15,":", $D15)), offshore!$4:$4, Q$4)</f>
        <v>2801.1</v>
      </c>
      <c r="R15" s="37">
        <f ca="1">SUMIFS(  INDIRECT(CONCATENATE("'wind'!", $C15, ":", $C15)),   wind!$6:$6, R$4) - SUMIFS(   INDIRECT(CONCATENATE("offshore!",$D15,":", $D15)), offshore!$4:$4, R$4)</f>
        <v>2884.1</v>
      </c>
      <c r="S15" s="37">
        <f ca="1">SUMIFS(  INDIRECT(CONCATENATE("'wind'!", $C15, ":", $C15)),   wind!$6:$6, S$4) - SUMIFS(   INDIRECT(CONCATENATE("offshore!",$D15,":", $D15)), offshore!$4:$4, S$4)</f>
        <v>2999.5</v>
      </c>
      <c r="T15" s="37">
        <f ca="1">SUMIFS(  INDIRECT(CONCATENATE("'wind'!", $C15, ":", $C15)),   wind!$6:$6, T$4) - SUMIFS(   INDIRECT(CONCATENATE("offshore!",$D15,":", $D15)), offshore!$4:$4, T$4)</f>
        <v>3240.1</v>
      </c>
      <c r="U15" s="37">
        <f ca="1">SUMIFS(  INDIRECT(CONCATENATE("'wind'!", $C15, ":", $C15)),   wind!$6:$6, U$4) - SUMIFS(   INDIRECT(CONCATENATE("offshore!",$D15,":", $D15)), offshore!$4:$4, U$4)</f>
        <v>3500.9</v>
      </c>
      <c r="V15" s="37">
        <f ca="1">SUMIFS(  INDIRECT(CONCATENATE("'wind'!", $C15, ":", $C15)),   wind!$6:$6, V$4) - SUMIFS(   INDIRECT(CONCATENATE("offshore!",$D15,":", $D15)), offshore!$4:$4, V$4)</f>
        <v>3573.9</v>
      </c>
      <c r="W15" s="37">
        <f ca="1">SUMIFS(  INDIRECT(CONCATENATE("'wind'!", $C15, ":", $C15)),   wind!$6:$6, W$4) - SUMIFS(   INDIRECT(CONCATENATE("offshore!",$D15,":", $D15)), offshore!$4:$4, W$4)</f>
        <v>3803.9</v>
      </c>
      <c r="X15" s="37">
        <f ca="1">SUMIFS(  INDIRECT(CONCATENATE("'wind'!", $C15, ":", $C15)),   wind!$6:$6, X$4) - SUMIFS(   INDIRECT(CONCATENATE("offshore!",$D15,":", $D15)), offshore!$4:$4, X$4)</f>
        <v>3970.9</v>
      </c>
      <c r="Y15" s="37">
        <f ca="1">SUMIFS(  INDIRECT(CONCATENATE("'wind'!", $C15, ":", $C15)),   wind!$6:$6, Y$4) - SUMIFS(   INDIRECT(CONCATENATE("offshore!",$D15,":", $D15)), offshore!$4:$4, Y$4)</f>
        <v>4184.2</v>
      </c>
      <c r="Z15" s="37">
        <f ca="1">SUMIFS(  INDIRECT(CONCATENATE("'wind'!", $C15, ":", $C15)),   wind!$6:$6, Z$4) - SUMIFS(   INDIRECT(CONCATENATE("offshore!",$D15,":", $D15)), offshore!$4:$4, Z$4)</f>
        <v>4057.2</v>
      </c>
      <c r="AA15" s="37">
        <f ca="1">SUMIFS(  INDIRECT(CONCATENATE("'wind'!", $C15, ":", $C15)),   wind!$6:$6, AA$4) - SUMIFS(   INDIRECT(CONCATENATE("offshore!",$D15,":", $D15)), offshore!$4:$4, AA$4)</f>
        <v>4427.2</v>
      </c>
      <c r="AB15" s="37">
        <f ca="1">SUMIFS(  INDIRECT(CONCATENATE("'wind'!", $C15, ":", $C15)),   wind!$6:$6, AB$4) - SUMIFS(   INDIRECT(CONCATENATE("offshore!",$D15,":", $D15)), offshore!$4:$4, AB$4)</f>
        <v>4479.2</v>
      </c>
      <c r="AC15" s="37">
        <f ca="1">SUMIFS(  INDIRECT(CONCATENATE("'wind'!", $C15, ":", $C15)),   wind!$6:$6, AC$4) - SUMIFS(   INDIRECT(CONCATENATE("offshore!",$D15,":", $D15)), offshore!$4:$4, AC$4)</f>
        <v>4872.3999999999996</v>
      </c>
      <c r="AD15" s="37">
        <f ca="1">SUMIFS(  INDIRECT(CONCATENATE("'wind'!", $C15, ":", $C15)),   wind!$6:$6, AD$4) - SUMIFS(   INDIRECT(CONCATENATE("offshore!",$D15,":", $D15)), offshore!$4:$4, AD$4)</f>
        <v>4976.3999999999996</v>
      </c>
      <c r="AE15" s="37">
        <f ca="1">SUMIFS(  INDIRECT(CONCATENATE("'wind'!", $C15, ":", $C15)),   wind!$6:$6, AE$4) - SUMIFS(   INDIRECT(CONCATENATE("offshore!",$D15,":", $D15)), offshore!$4:$4, AE$4)</f>
        <v>5094.8999999999996</v>
      </c>
      <c r="AF15" s="37">
        <f ca="1">SUMIFS(  INDIRECT(CONCATENATE("'wind'!", $C15, ":", $C15)),   wind!$6:$6, AF$4) - SUMIFS(   INDIRECT(CONCATENATE("offshore!",$D15,":", $D15)), offshore!$4:$4, AF$4)</f>
        <v>4970.5</v>
      </c>
      <c r="AG15" s="44">
        <f t="shared" ca="1" si="0"/>
        <v>5275.7116666666552</v>
      </c>
      <c r="AH15" s="24">
        <f t="shared" ca="1" si="1"/>
        <v>5965.4331313131115</v>
      </c>
      <c r="AJ15" s="19">
        <v>1</v>
      </c>
      <c r="AK15" s="19">
        <v>1</v>
      </c>
    </row>
    <row r="16" spans="2:37">
      <c r="B16" s="17" t="str">
        <f>E16&amp;"00"</f>
        <v>PT00</v>
      </c>
      <c r="C16" s="20">
        <f>MATCH($E16, wind!$C:$C, 0)</f>
        <v>18</v>
      </c>
      <c r="D16" s="20">
        <f>IFERROR(MATCH($E16, offshore!$D:$D, 0), 1)</f>
        <v>14</v>
      </c>
      <c r="E16" s="17" t="s">
        <v>75</v>
      </c>
      <c r="F16" s="37">
        <f ca="1">SUMIFS(  INDIRECT(CONCATENATE("'wind'!", $C16, ":", $C16)),   wind!$6:$6, F$4) - SUMIFS(   INDIRECT(CONCATENATE("offshore!",$D16,":", $D16)), offshore!$4:$4, F$4)</f>
        <v>60</v>
      </c>
      <c r="G16" s="37">
        <f ca="1">SUMIFS(  INDIRECT(CONCATENATE("'wind'!", $C16, ":", $C16)),   wind!$6:$6, G$4) - SUMIFS(   INDIRECT(CONCATENATE("offshore!",$D16,":", $D16)), offshore!$4:$4, G$4)</f>
        <v>61</v>
      </c>
      <c r="H16" s="37">
        <f ca="1">SUMIFS(  INDIRECT(CONCATENATE("'wind'!", $C16, ":", $C16)),   wind!$6:$6, H$4) - SUMIFS(   INDIRECT(CONCATENATE("offshore!",$D16,":", $D16)), offshore!$4:$4, H$4)</f>
        <v>100</v>
      </c>
      <c r="I16" s="37">
        <f ca="1">SUMIFS(  INDIRECT(CONCATENATE("'wind'!", $C16, ":", $C16)),   wind!$6:$6, I$4) - SUMIFS(   INDIRECT(CONCATENATE("offshore!",$D16,":", $D16)), offshore!$4:$4, I$4)</f>
        <v>131</v>
      </c>
      <c r="J16" s="37">
        <f ca="1">SUMIFS(  INDIRECT(CONCATENATE("'wind'!", $C16, ":", $C16)),   wind!$6:$6, J$4) - SUMIFS(   INDIRECT(CONCATENATE("offshore!",$D16,":", $D16)), offshore!$4:$4, J$4)</f>
        <v>195</v>
      </c>
      <c r="K16" s="37">
        <f ca="1">SUMIFS(  INDIRECT(CONCATENATE("'wind'!", $C16, ":", $C16)),   wind!$6:$6, K$4) - SUMIFS(   INDIRECT(CONCATENATE("offshore!",$D16,":", $D16)), offshore!$4:$4, K$4)</f>
        <v>296</v>
      </c>
      <c r="L16" s="37">
        <f ca="1">SUMIFS(  INDIRECT(CONCATENATE("'wind'!", $C16, ":", $C16)),   wind!$6:$6, L$4) - SUMIFS(   INDIRECT(CONCATENATE("offshore!",$D16,":", $D16)), offshore!$4:$4, L$4)</f>
        <v>522</v>
      </c>
      <c r="M16" s="37">
        <f ca="1">SUMIFS(  INDIRECT(CONCATENATE("'wind'!", $C16, ":", $C16)),   wind!$6:$6, M$4) - SUMIFS(   INDIRECT(CONCATENATE("offshore!",$D16,":", $D16)), offshore!$4:$4, M$4)</f>
        <v>1022</v>
      </c>
      <c r="N16" s="37">
        <f ca="1">SUMIFS(  INDIRECT(CONCATENATE("'wind'!", $C16, ":", $C16)),   wind!$6:$6, N$4) - SUMIFS(   INDIRECT(CONCATENATE("offshore!",$D16,":", $D16)), offshore!$4:$4, N$4)</f>
        <v>1716</v>
      </c>
      <c r="O16" s="37">
        <f ca="1">SUMIFS(  INDIRECT(CONCATENATE("'wind'!", $C16, ":", $C16)),   wind!$6:$6, O$4) - SUMIFS(   INDIRECT(CONCATENATE("offshore!",$D16,":", $D16)), offshore!$4:$4, O$4)</f>
        <v>2150</v>
      </c>
      <c r="P16" s="37">
        <f ca="1">SUMIFS(  INDIRECT(CONCATENATE("'wind'!", $C16, ":", $C16)),   wind!$6:$6, P$4) - SUMIFS(   INDIRECT(CONCATENATE("offshore!",$D16,":", $D16)), offshore!$4:$4, P$4)</f>
        <v>2862</v>
      </c>
      <c r="Q16" s="37">
        <f ca="1">SUMIFS(  INDIRECT(CONCATENATE("'wind'!", $C16, ":", $C16)),   wind!$6:$6, Q$4) - SUMIFS(   INDIRECT(CONCATENATE("offshore!",$D16,":", $D16)), offshore!$4:$4, Q$4)</f>
        <v>3535</v>
      </c>
      <c r="R16" s="37">
        <f ca="1">SUMIFS(  INDIRECT(CONCATENATE("'wind'!", $C16, ":", $C16)),   wind!$6:$6, R$4) - SUMIFS(   INDIRECT(CONCATENATE("offshore!",$D16,":", $D16)), offshore!$4:$4, R$4)</f>
        <v>3898</v>
      </c>
      <c r="S16" s="37">
        <f ca="1">SUMIFS(  INDIRECT(CONCATENATE("'wind'!", $C16, ":", $C16)),   wind!$6:$6, S$4) - SUMIFS(   INDIRECT(CONCATENATE("offshore!",$D16,":", $D16)), offshore!$4:$4, S$4)</f>
        <v>4081</v>
      </c>
      <c r="T16" s="37">
        <f ca="1">SUMIFS(  INDIRECT(CONCATENATE("'wind'!", $C16, ":", $C16)),   wind!$6:$6, T$4) - SUMIFS(   INDIRECT(CONCATENATE("offshore!",$D16,":", $D16)), offshore!$4:$4, T$4)</f>
        <v>4523</v>
      </c>
      <c r="U16" s="37">
        <f ca="1">SUMIFS(  INDIRECT(CONCATENATE("'wind'!", $C16, ":", $C16)),   wind!$6:$6, U$4) - SUMIFS(   INDIRECT(CONCATENATE("offshore!",$D16,":", $D16)), offshore!$4:$4, U$4)</f>
        <v>4722</v>
      </c>
      <c r="V16" s="37">
        <f ca="1">SUMIFS(  INDIRECT(CONCATENATE("'wind'!", $C16, ":", $C16)),   wind!$6:$6, V$4) - SUMIFS(   INDIRECT(CONCATENATE("offshore!",$D16,":", $D16)), offshore!$4:$4, V$4)</f>
        <v>4912</v>
      </c>
      <c r="W16" s="37">
        <f ca="1">SUMIFS(  INDIRECT(CONCATENATE("'wind'!", $C16, ":", $C16)),   wind!$6:$6, W$4) - SUMIFS(   INDIRECT(CONCATENATE("offshore!",$D16,":", $D16)), offshore!$4:$4, W$4)</f>
        <v>5032</v>
      </c>
      <c r="X16" s="37">
        <f ca="1">SUMIFS(  INDIRECT(CONCATENATE("'wind'!", $C16, ":", $C16)),   wind!$6:$6, X$4) - SUMIFS(   INDIRECT(CONCATENATE("offshore!",$D16,":", $D16)), offshore!$4:$4, X$4)</f>
        <v>5267</v>
      </c>
      <c r="Y16" s="37">
        <f ca="1">SUMIFS(  INDIRECT(CONCATENATE("'wind'!", $C16, ":", $C16)),   wind!$6:$6, Y$4) - SUMIFS(   INDIRECT(CONCATENATE("offshore!",$D16,":", $D16)), offshore!$4:$4, Y$4)</f>
        <v>5307.6</v>
      </c>
      <c r="Z16" s="37">
        <f ca="1">SUMIFS(  INDIRECT(CONCATENATE("'wind'!", $C16, ":", $C16)),   wind!$6:$6, Z$4) - SUMIFS(   INDIRECT(CONCATENATE("offshore!",$D16,":", $D16)), offshore!$4:$4, Z$4)</f>
        <v>5371.6</v>
      </c>
      <c r="AA16" s="37">
        <f ca="1">SUMIFS(  INDIRECT(CONCATENATE("'wind'!", $C16, ":", $C16)),   wind!$6:$6, AA$4) - SUMIFS(   INDIRECT(CONCATENATE("offshore!",$D16,":", $D16)), offshore!$4:$4, AA$4)</f>
        <v>5428.6</v>
      </c>
      <c r="AB16" s="37">
        <f ca="1">SUMIFS(  INDIRECT(CONCATENATE("'wind'!", $C16, ":", $C16)),   wind!$6:$6, AB$4) - SUMIFS(   INDIRECT(CONCATENATE("offshore!",$D16,":", $D16)), offshore!$4:$4, AB$4)</f>
        <v>5461</v>
      </c>
      <c r="AC16" s="37">
        <f ca="1">SUMIFS(  INDIRECT(CONCATENATE("'wind'!", $C16, ":", $C16)),   wind!$6:$6, AC$4) - SUMIFS(   INDIRECT(CONCATENATE("offshore!",$D16,":", $D16)), offshore!$4:$4, AC$4)</f>
        <v>5587</v>
      </c>
      <c r="AD16" s="37">
        <f ca="1">SUMIFS(  INDIRECT(CONCATENATE("'wind'!", $C16, ":", $C16)),   wind!$6:$6, AD$4) - SUMIFS(   INDIRECT(CONCATENATE("offshore!",$D16,":", $D16)), offshore!$4:$4, AD$4)</f>
        <v>5671</v>
      </c>
      <c r="AE16" s="37">
        <f ca="1">SUMIFS(  INDIRECT(CONCATENATE("'wind'!", $C16, ":", $C16)),   wind!$6:$6, AE$4) - SUMIFS(   INDIRECT(CONCATENATE("offshore!",$D16,":", $D16)), offshore!$4:$4, AE$4)</f>
        <v>5809</v>
      </c>
      <c r="AF16" s="37">
        <f ca="1">SUMIFS(  INDIRECT(CONCATENATE("'wind'!", $C16, ":", $C16)),   wind!$6:$6, AF$4) - SUMIFS(   INDIRECT(CONCATENATE("offshore!",$D16,":", $D16)), offshore!$4:$4, AF$4)</f>
        <v>5938</v>
      </c>
      <c r="AG16" s="44">
        <f t="shared" ca="1" si="0"/>
        <v>6116.14</v>
      </c>
      <c r="AH16" s="24">
        <f t="shared" ca="1" si="1"/>
        <v>6603.830909090917</v>
      </c>
      <c r="AJ16" s="19">
        <v>1</v>
      </c>
      <c r="AK16" s="19">
        <v>1</v>
      </c>
    </row>
    <row r="17" spans="2:37">
      <c r="B17" s="17" t="str">
        <f>E17&amp;"00"</f>
        <v>BE00</v>
      </c>
      <c r="C17" s="20">
        <f>MATCH($E17, wind!$C:$C, 0)</f>
        <v>19</v>
      </c>
      <c r="D17" s="20">
        <f>IFERROR(MATCH($E17, offshore!$D:$D, 0), 1)</f>
        <v>9</v>
      </c>
      <c r="E17" s="17" t="s">
        <v>76</v>
      </c>
      <c r="F17" s="37">
        <f ca="1">SUMIFS(  INDIRECT(CONCATENATE("'wind'!", $C17, ":", $C17)),   wind!$6:$6, F$4) - SUMIFS(   INDIRECT(CONCATENATE("offshore!",$D17,":", $D17)), offshore!$4:$4, F$4)</f>
        <v>6</v>
      </c>
      <c r="G17" s="37">
        <f ca="1">SUMIFS(  INDIRECT(CONCATENATE("'wind'!", $C17, ":", $C17)),   wind!$6:$6, G$4) - SUMIFS(   INDIRECT(CONCATENATE("offshore!",$D17,":", $D17)), offshore!$4:$4, G$4)</f>
        <v>6</v>
      </c>
      <c r="H17" s="37">
        <f ca="1">SUMIFS(  INDIRECT(CONCATENATE("'wind'!", $C17, ":", $C17)),   wind!$6:$6, H$4) - SUMIFS(   INDIRECT(CONCATENATE("offshore!",$D17,":", $D17)), offshore!$4:$4, H$4)</f>
        <v>13</v>
      </c>
      <c r="I17" s="37">
        <f ca="1">SUMIFS(  INDIRECT(CONCATENATE("'wind'!", $C17, ":", $C17)),   wind!$6:$6, I$4) - SUMIFS(   INDIRECT(CONCATENATE("offshore!",$D17,":", $D17)), offshore!$4:$4, I$4)</f>
        <v>32</v>
      </c>
      <c r="J17" s="37">
        <f ca="1">SUMIFS(  INDIRECT(CONCATENATE("'wind'!", $C17, ":", $C17)),   wind!$6:$6, J$4) - SUMIFS(   INDIRECT(CONCATENATE("offshore!",$D17,":", $D17)), offshore!$4:$4, J$4)</f>
        <v>35</v>
      </c>
      <c r="K17" s="37">
        <f ca="1">SUMIFS(  INDIRECT(CONCATENATE("'wind'!", $C17, ":", $C17)),   wind!$6:$6, K$4) - SUMIFS(   INDIRECT(CONCATENATE("offshore!",$D17,":", $D17)), offshore!$4:$4, K$4)</f>
        <v>68</v>
      </c>
      <c r="L17" s="37">
        <f ca="1">SUMIFS(  INDIRECT(CONCATENATE("'wind'!", $C17, ":", $C17)),   wind!$6:$6, L$4) - SUMIFS(   INDIRECT(CONCATENATE("offshore!",$D17,":", $D17)), offshore!$4:$4, L$4)</f>
        <v>96</v>
      </c>
      <c r="M17" s="37">
        <f ca="1">SUMIFS(  INDIRECT(CONCATENATE("'wind'!", $C17, ":", $C17)),   wind!$6:$6, M$4) - SUMIFS(   INDIRECT(CONCATENATE("offshore!",$D17,":", $D17)), offshore!$4:$4, M$4)</f>
        <v>167</v>
      </c>
      <c r="N17" s="37">
        <f ca="1">SUMIFS(  INDIRECT(CONCATENATE("'wind'!", $C17, ":", $C17)),   wind!$6:$6, N$4) - SUMIFS(   INDIRECT(CONCATENATE("offshore!",$D17,":", $D17)), offshore!$4:$4, N$4)</f>
        <v>194</v>
      </c>
      <c r="O17" s="37">
        <f ca="1">SUMIFS(  INDIRECT(CONCATENATE("'wind'!", $C17, ":", $C17)),   wind!$6:$6, O$4) - SUMIFS(   INDIRECT(CONCATENATE("offshore!",$D17,":", $D17)), offshore!$4:$4, O$4)</f>
        <v>287</v>
      </c>
      <c r="P17" s="37">
        <f ca="1">SUMIFS(  INDIRECT(CONCATENATE("'wind'!", $C17, ":", $C17)),   wind!$6:$6, P$4) - SUMIFS(   INDIRECT(CONCATENATE("offshore!",$D17,":", $D17)), offshore!$4:$4, P$4)</f>
        <v>385</v>
      </c>
      <c r="Q17" s="37">
        <f ca="1">SUMIFS(  INDIRECT(CONCATENATE("'wind'!", $C17, ":", $C17)),   wind!$6:$6, Q$4) - SUMIFS(   INDIRECT(CONCATENATE("offshore!",$D17,":", $D17)), offshore!$4:$4, Q$4)</f>
        <v>533</v>
      </c>
      <c r="R17" s="37">
        <f ca="1">SUMIFS(  INDIRECT(CONCATENATE("'wind'!", $C17, ":", $C17)),   wind!$6:$6, R$4) - SUMIFS(   INDIRECT(CONCATENATE("offshore!",$D17,":", $D17)), offshore!$4:$4, R$4)</f>
        <v>716</v>
      </c>
      <c r="S17" s="37">
        <f ca="1">SUMIFS(  INDIRECT(CONCATENATE("'wind'!", $C17, ":", $C17)),   wind!$6:$6, S$4) - SUMIFS(   INDIRECT(CONCATENATE("offshore!",$D17,":", $D17)), offshore!$4:$4, S$4)</f>
        <v>883</v>
      </c>
      <c r="T17" s="37">
        <f ca="1">SUMIFS(  INDIRECT(CONCATENATE("'wind'!", $C17, ":", $C17)),   wind!$6:$6, T$4) - SUMIFS(   INDIRECT(CONCATENATE("offshore!",$D17,":", $D17)), offshore!$4:$4, T$4)</f>
        <v>995.5</v>
      </c>
      <c r="U17" s="37">
        <f ca="1">SUMIFS(  INDIRECT(CONCATENATE("'wind'!", $C17, ":", $C17)),   wind!$6:$6, U$4) - SUMIFS(   INDIRECT(CONCATENATE("offshore!",$D17,":", $D17)), offshore!$4:$4, U$4)</f>
        <v>1025.8</v>
      </c>
      <c r="V17" s="37">
        <f ca="1">SUMIFS(  INDIRECT(CONCATENATE("'wind'!", $C17, ":", $C17)),   wind!$6:$6, V$4) - SUMIFS(   INDIRECT(CONCATENATE("offshore!",$D17,":", $D17)), offshore!$4:$4, V$4)</f>
        <v>1246.8</v>
      </c>
      <c r="W17" s="37">
        <f ca="1">SUMIFS(  INDIRECT(CONCATENATE("'wind'!", $C17, ":", $C17)),   wind!$6:$6, W$4) - SUMIFS(   INDIRECT(CONCATENATE("offshore!",$D17,":", $D17)), offshore!$4:$4, W$4)</f>
        <v>1456.8</v>
      </c>
      <c r="X17" s="37">
        <f ca="1">SUMIFS(  INDIRECT(CONCATENATE("'wind'!", $C17, ":", $C17)),   wind!$6:$6, X$4) - SUMIFS(   INDIRECT(CONCATENATE("offshore!",$D17,":", $D17)), offshore!$4:$4, X$4)</f>
        <v>1687.8</v>
      </c>
      <c r="Y17" s="37">
        <f ca="1">SUMIFS(  INDIRECT(CONCATENATE("'wind'!", $C17, ":", $C17)),   wind!$6:$6, Y$4) - SUMIFS(   INDIRECT(CONCATENATE("offshore!",$D17,":", $D17)), offshore!$4:$4, Y$4)</f>
        <v>1966</v>
      </c>
      <c r="Z17" s="37">
        <f ca="1">SUMIFS(  INDIRECT(CONCATENATE("'wind'!", $C17, ":", $C17)),   wind!$6:$6, Z$4) - SUMIFS(   INDIRECT(CONCATENATE("offshore!",$D17,":", $D17)), offshore!$4:$4, Z$4)</f>
        <v>2174.1</v>
      </c>
      <c r="AA17" s="37">
        <f ca="1">SUMIFS(  INDIRECT(CONCATENATE("'wind'!", $C17, ":", $C17)),   wind!$6:$6, AA$4) - SUMIFS(   INDIRECT(CONCATENATE("offshore!",$D17,":", $D17)), offshore!$4:$4, AA$4)</f>
        <v>2331</v>
      </c>
      <c r="AB17" s="37">
        <f ca="1">SUMIFS(  INDIRECT(CONCATENATE("'wind'!", $C17, ":", $C17)),   wind!$6:$6, AB$4) - SUMIFS(   INDIRECT(CONCATENATE("offshore!",$D17,":", $D17)), offshore!$4:$4, AB$4)</f>
        <v>2457.1999999999998</v>
      </c>
      <c r="AC17" s="37">
        <f ca="1">SUMIFS(  INDIRECT(CONCATENATE("'wind'!", $C17, ":", $C17)),   wind!$6:$6, AC$4) - SUMIFS(   INDIRECT(CONCATENATE("offshore!",$D17,":", $D17)), offshore!$4:$4, AC$4)</f>
        <v>2740.2</v>
      </c>
      <c r="AD17" s="37">
        <f ca="1">SUMIFS(  INDIRECT(CONCATENATE("'wind'!", $C17, ":", $C17)),   wind!$6:$6, AD$4) - SUMIFS(   INDIRECT(CONCATENATE("offshore!",$D17,":", $D17)), offshore!$4:$4, AD$4)</f>
        <v>3044.2</v>
      </c>
      <c r="AE17" s="37">
        <f ca="1">SUMIFS(  INDIRECT(CONCATENATE("'wind'!", $C17, ":", $C17)),   wind!$6:$6, AE$4) - SUMIFS(   INDIRECT(CONCATENATE("offshore!",$D17,":", $D17)), offshore!$4:$4, AE$4)</f>
        <v>3230.2</v>
      </c>
      <c r="AF17" s="37">
        <f ca="1">SUMIFS(  INDIRECT(CONCATENATE("'wind'!", $C17, ":", $C17)),   wind!$6:$6, AF$4) - SUMIFS(   INDIRECT(CONCATENATE("offshore!",$D17,":", $D17)), offshore!$4:$4, AF$4)</f>
        <v>3386.2</v>
      </c>
      <c r="AG17" s="44">
        <f t="shared" ca="1" si="0"/>
        <v>3651.2999999999884</v>
      </c>
      <c r="AH17" s="24">
        <f t="shared" ca="1" si="1"/>
        <v>4765.7595238095382</v>
      </c>
      <c r="AJ17" s="19">
        <v>1</v>
      </c>
      <c r="AK17" s="19">
        <v>1</v>
      </c>
    </row>
    <row r="18" spans="2:37">
      <c r="B18" s="17"/>
      <c r="C18" s="20">
        <f>MATCH($E18, wind!$C:$C, 0)</f>
        <v>20</v>
      </c>
      <c r="D18" s="20">
        <f>IFERROR(MATCH($E18, offshore!$D:$D, 0), 1)</f>
        <v>1</v>
      </c>
      <c r="E18" s="17" t="s">
        <v>77</v>
      </c>
      <c r="F18" s="37">
        <f ca="1">SUMIFS(  INDIRECT(CONCATENATE("'wind'!", $C18, ":", $C18)),   wind!$6:$6, F$4) - SUMIFS(   INDIRECT(CONCATENATE("offshore!",$D18,":", $D18)), offshore!$4:$4, F$4)</f>
        <v>39</v>
      </c>
      <c r="G18" s="37">
        <f ca="1">SUMIFS(  INDIRECT(CONCATENATE("'wind'!", $C18, ":", $C18)),   wind!$6:$6, G$4) - SUMIFS(   INDIRECT(CONCATENATE("offshore!",$D18,":", $D18)), offshore!$4:$4, G$4)</f>
        <v>112</v>
      </c>
      <c r="H18" s="37">
        <f ca="1">SUMIFS(  INDIRECT(CONCATENATE("'wind'!", $C18, ":", $C18)),   wind!$6:$6, H$4) - SUMIFS(   INDIRECT(CONCATENATE("offshore!",$D18,":", $D18)), offshore!$4:$4, H$4)</f>
        <v>189</v>
      </c>
      <c r="I18" s="37">
        <f ca="1">SUMIFS(  INDIRECT(CONCATENATE("'wind'!", $C18, ":", $C18)),   wind!$6:$6, I$4) - SUMIFS(   INDIRECT(CONCATENATE("offshore!",$D18,":", $D18)), offshore!$4:$4, I$4)</f>
        <v>272</v>
      </c>
      <c r="J18" s="37">
        <f ca="1">SUMIFS(  INDIRECT(CONCATENATE("'wind'!", $C18, ":", $C18)),   wind!$6:$6, J$4) - SUMIFS(   INDIRECT(CONCATENATE("offshore!",$D18,":", $D18)), offshore!$4:$4, J$4)</f>
        <v>297</v>
      </c>
      <c r="K18" s="37">
        <f ca="1">SUMIFS(  INDIRECT(CONCATENATE("'wind'!", $C18, ":", $C18)),   wind!$6:$6, K$4) - SUMIFS(   INDIRECT(CONCATENATE("offshore!",$D18,":", $D18)), offshore!$4:$4, K$4)</f>
        <v>383</v>
      </c>
      <c r="L18" s="37">
        <f ca="1">SUMIFS(  INDIRECT(CONCATENATE("'wind'!", $C18, ":", $C18)),   wind!$6:$6, L$4) - SUMIFS(   INDIRECT(CONCATENATE("offshore!",$D18,":", $D18)), offshore!$4:$4, L$4)</f>
        <v>473</v>
      </c>
      <c r="M18" s="37">
        <f ca="1">SUMIFS(  INDIRECT(CONCATENATE("'wind'!", $C18, ":", $C18)),   wind!$6:$6, M$4) - SUMIFS(   INDIRECT(CONCATENATE("offshore!",$D18,":", $D18)), offshore!$4:$4, M$4)</f>
        <v>573</v>
      </c>
      <c r="N18" s="37">
        <f ca="1">SUMIFS(  INDIRECT(CONCATENATE("'wind'!", $C18, ":", $C18)),   wind!$6:$6, N$4) - SUMIFS(   INDIRECT(CONCATENATE("offshore!",$D18,":", $D18)), offshore!$4:$4, N$4)</f>
        <v>746</v>
      </c>
      <c r="O18" s="37">
        <f ca="1">SUMIFS(  INDIRECT(CONCATENATE("'wind'!", $C18, ":", $C18)),   wind!$6:$6, O$4) - SUMIFS(   INDIRECT(CONCATENATE("offshore!",$D18,":", $D18)), offshore!$4:$4, O$4)</f>
        <v>871</v>
      </c>
      <c r="P18" s="37">
        <f ca="1">SUMIFS(  INDIRECT(CONCATENATE("'wind'!", $C18, ":", $C18)),   wind!$6:$6, P$4) - SUMIFS(   INDIRECT(CONCATENATE("offshore!",$D18,":", $D18)), offshore!$4:$4, P$4)</f>
        <v>985</v>
      </c>
      <c r="Q18" s="37">
        <f ca="1">SUMIFS(  INDIRECT(CONCATENATE("'wind'!", $C18, ":", $C18)),   wind!$6:$6, Q$4) - SUMIFS(   INDIRECT(CONCATENATE("offshore!",$D18,":", $D18)), offshore!$4:$4, Q$4)</f>
        <v>1087</v>
      </c>
      <c r="R18" s="37">
        <f ca="1">SUMIFS(  INDIRECT(CONCATENATE("'wind'!", $C18, ":", $C18)),   wind!$6:$6, R$4) - SUMIFS(   INDIRECT(CONCATENATE("offshore!",$D18,":", $D18)), offshore!$4:$4, R$4)</f>
        <v>1208</v>
      </c>
      <c r="S18" s="37">
        <f ca="1">SUMIFS(  INDIRECT(CONCATENATE("'wind'!", $C18, ":", $C18)),   wind!$6:$6, S$4) - SUMIFS(   INDIRECT(CONCATENATE("offshore!",$D18,":", $D18)), offshore!$4:$4, S$4)</f>
        <v>1629</v>
      </c>
      <c r="T18" s="37">
        <f ca="1">SUMIFS(  INDIRECT(CONCATENATE("'wind'!", $C18, ":", $C18)),   wind!$6:$6, T$4) - SUMIFS(   INDIRECT(CONCATENATE("offshore!",$D18,":", $D18)), offshore!$4:$4, T$4)</f>
        <v>1749</v>
      </c>
      <c r="U18" s="37">
        <f ca="1">SUMIFS(  INDIRECT(CONCATENATE("'wind'!", $C18, ":", $C18)),   wind!$6:$6, U$4) - SUMIFS(   INDIRECT(CONCATENATE("offshore!",$D18,":", $D18)), offshore!$4:$4, U$4)</f>
        <v>1865</v>
      </c>
      <c r="V18" s="37">
        <f ca="1">SUMIFS(  INDIRECT(CONCATENATE("'wind'!", $C18, ":", $C18)),   wind!$6:$6, V$4) - SUMIFS(   INDIRECT(CONCATENATE("offshore!",$D18,":", $D18)), offshore!$4:$4, V$4)</f>
        <v>1980</v>
      </c>
      <c r="W18" s="37">
        <f ca="1">SUMIFS(  INDIRECT(CONCATENATE("'wind'!", $C18, ":", $C18)),   wind!$6:$6, W$4) - SUMIFS(   INDIRECT(CONCATENATE("offshore!",$D18,":", $D18)), offshore!$4:$4, W$4)</f>
        <v>2136</v>
      </c>
      <c r="X18" s="37">
        <f ca="1">SUMIFS(  INDIRECT(CONCATENATE("'wind'!", $C18, ":", $C18)),   wind!$6:$6, X$4) - SUMIFS(   INDIRECT(CONCATENATE("offshore!",$D18,":", $D18)), offshore!$4:$4, X$4)</f>
        <v>2374</v>
      </c>
      <c r="Y18" s="37">
        <f ca="1">SUMIFS(  INDIRECT(CONCATENATE("'wind'!", $C18, ":", $C18)),   wind!$6:$6, Y$4) - SUMIFS(   INDIRECT(CONCATENATE("offshore!",$D18,":", $D18)), offshore!$4:$4, Y$4)</f>
        <v>2651</v>
      </c>
      <c r="Z18" s="37">
        <f ca="1">SUMIFS(  INDIRECT(CONCATENATE("'wind'!", $C18, ":", $C18)),   wind!$6:$6, Z$4) - SUMIFS(   INDIRECT(CONCATENATE("offshore!",$D18,":", $D18)), offshore!$4:$4, Z$4)</f>
        <v>2844</v>
      </c>
      <c r="AA18" s="37">
        <f ca="1">SUMIFS(  INDIRECT(CONCATENATE("'wind'!", $C18, ":", $C18)),   wind!$6:$6, AA$4) - SUMIFS(   INDIRECT(CONCATENATE("offshore!",$D18,":", $D18)), offshore!$4:$4, AA$4)</f>
        <v>3576</v>
      </c>
      <c r="AB18" s="37">
        <f ca="1">SUMIFS(  INDIRECT(CONCATENATE("'wind'!", $C18, ":", $C18)),   wind!$6:$6, AB$4) - SUMIFS(   INDIRECT(CONCATENATE("offshore!",$D18,":", $D18)), offshore!$4:$4, AB$4)</f>
        <v>4113</v>
      </c>
      <c r="AC18" s="37">
        <f ca="1">SUMIFS(  INDIRECT(CONCATENATE("'wind'!", $C18, ":", $C18)),   wind!$6:$6, AC$4) - SUMIFS(   INDIRECT(CONCATENATE("offshore!",$D18,":", $D18)), offshore!$4:$4, AC$4)</f>
        <v>4452</v>
      </c>
      <c r="AD18" s="37">
        <f ca="1">SUMIFS(  INDIRECT(CONCATENATE("'wind'!", $C18, ":", $C18)),   wind!$6:$6, AD$4) - SUMIFS(   INDIRECT(CONCATENATE("offshore!",$D18,":", $D18)), offshore!$4:$4, AD$4)</f>
        <v>4682</v>
      </c>
      <c r="AE18" s="37">
        <f ca="1">SUMIFS(  INDIRECT(CONCATENATE("'wind'!", $C18, ":", $C18)),   wind!$6:$6, AE$4) - SUMIFS(   INDIRECT(CONCATENATE("offshore!",$D18,":", $D18)), offshore!$4:$4, AE$4)</f>
        <v>5226</v>
      </c>
      <c r="AF18" s="37">
        <f ca="1">SUMIFS(  INDIRECT(CONCATENATE("'wind'!", $C18, ":", $C18)),   wind!$6:$6, AF$4) - SUMIFS(   INDIRECT(CONCATENATE("offshore!",$D18,":", $D18)), offshore!$4:$4, AF$4)</f>
        <v>5354</v>
      </c>
      <c r="AG18" s="44">
        <f t="shared" ca="1" si="0"/>
        <v>5815.5333333333256</v>
      </c>
      <c r="AH18" s="24">
        <f t="shared" ca="1" si="1"/>
        <v>7631.3240981241106</v>
      </c>
      <c r="AJ18" s="19">
        <v>1</v>
      </c>
      <c r="AK18" s="19">
        <v>1</v>
      </c>
    </row>
    <row r="19" spans="2:37">
      <c r="B19" s="17"/>
      <c r="C19" s="20">
        <f>MATCH($E19, wind!$C:$C, 0)</f>
        <v>21</v>
      </c>
      <c r="D19" s="20">
        <f>IFERROR(MATCH($E19, offshore!$D:$D, 0), 1)</f>
        <v>20</v>
      </c>
      <c r="E19" s="17" t="s">
        <v>78</v>
      </c>
      <c r="F19" s="37">
        <f ca="1">SUMIFS(  INDIRECT(CONCATENATE("'wind'!", $C19, ":", $C19)),   wind!$6:$6, F$4) - SUMIFS(   INDIRECT(CONCATENATE("offshore!",$D19,":", $D19)), offshore!$4:$4, F$4)</f>
        <v>0</v>
      </c>
      <c r="G19" s="37">
        <f ca="1">SUMIFS(  INDIRECT(CONCATENATE("'wind'!", $C19, ":", $C19)),   wind!$6:$6, G$4) - SUMIFS(   INDIRECT(CONCATENATE("offshore!",$D19,":", $D19)), offshore!$4:$4, G$4)</f>
        <v>0</v>
      </c>
      <c r="H19" s="37">
        <f ca="1">SUMIFS(  INDIRECT(CONCATENATE("'wind'!", $C19, ":", $C19)),   wind!$6:$6, H$4) - SUMIFS(   INDIRECT(CONCATENATE("offshore!",$D19,":", $D19)), offshore!$4:$4, H$4)</f>
        <v>0</v>
      </c>
      <c r="I19" s="37">
        <f ca="1">SUMIFS(  INDIRECT(CONCATENATE("'wind'!", $C19, ":", $C19)),   wind!$6:$6, I$4) - SUMIFS(   INDIRECT(CONCATENATE("offshore!",$D19,":", $D19)), offshore!$4:$4, I$4)</f>
        <v>0</v>
      </c>
      <c r="J19" s="37">
        <f ca="1">SUMIFS(  INDIRECT(CONCATENATE("'wind'!", $C19, ":", $C19)),   wind!$6:$6, J$4) - SUMIFS(   INDIRECT(CONCATENATE("offshore!",$D19,":", $D19)), offshore!$4:$4, J$4)</f>
        <v>0</v>
      </c>
      <c r="K19" s="37">
        <f ca="1">SUMIFS(  INDIRECT(CONCATENATE("'wind'!", $C19, ":", $C19)),   wind!$6:$6, K$4) - SUMIFS(   INDIRECT(CONCATENATE("offshore!",$D19,":", $D19)), offshore!$4:$4, K$4)</f>
        <v>101</v>
      </c>
      <c r="L19" s="37">
        <f ca="1">SUMIFS(  INDIRECT(CONCATENATE("'wind'!", $C19, ":", $C19)),   wind!$6:$6, L$4) - SUMIFS(   INDIRECT(CONCATENATE("offshore!",$D19,":", $D19)), offshore!$4:$4, L$4)</f>
        <v>160</v>
      </c>
      <c r="M19" s="37">
        <f ca="1">SUMIFS(  INDIRECT(CONCATENATE("'wind'!", $C19, ":", $C19)),   wind!$6:$6, M$4) - SUMIFS(   INDIRECT(CONCATENATE("offshore!",$D19,":", $D19)), offshore!$4:$4, M$4)</f>
        <v>267</v>
      </c>
      <c r="N19" s="37">
        <f ca="1">SUMIFS(  INDIRECT(CONCATENATE("'wind'!", $C19, ":", $C19)),   wind!$6:$6, N$4) - SUMIFS(   INDIRECT(CONCATENATE("offshore!",$D19,":", $D19)), offshore!$4:$4, N$4)</f>
        <v>314</v>
      </c>
      <c r="O19" s="37">
        <f ca="1">SUMIFS(  INDIRECT(CONCATENATE("'wind'!", $C19, ":", $C19)),   wind!$6:$6, O$4) - SUMIFS(   INDIRECT(CONCATENATE("offshore!",$D19,":", $D19)), offshore!$4:$4, O$4)</f>
        <v>333</v>
      </c>
      <c r="P19" s="37">
        <f ca="1">SUMIFS(  INDIRECT(CONCATENATE("'wind'!", $C19, ":", $C19)),   wind!$6:$6, P$4) - SUMIFS(   INDIRECT(CONCATENATE("offshore!",$D19,":", $D19)), offshore!$4:$4, P$4)</f>
        <v>423</v>
      </c>
      <c r="Q19" s="37">
        <f ca="1">SUMIFS(  INDIRECT(CONCATENATE("'wind'!", $C19, ":", $C19)),   wind!$6:$6, Q$4) - SUMIFS(   INDIRECT(CONCATENATE("offshore!",$D19,":", $D19)), offshore!$4:$4, Q$4)</f>
        <v>425</v>
      </c>
      <c r="R19" s="37">
        <f ca="1">SUMIFS(  INDIRECT(CONCATENATE("'wind'!", $C19, ":", $C19)),   wind!$6:$6, R$4) - SUMIFS(   INDIRECT(CONCATENATE("offshore!",$D19,":", $D19)), offshore!$4:$4, R$4)</f>
        <v>435</v>
      </c>
      <c r="S19" s="37">
        <f ca="1">SUMIFS(  INDIRECT(CONCATENATE("'wind'!", $C19, ":", $C19)),   wind!$6:$6, S$4) - SUMIFS(   INDIRECT(CONCATENATE("offshore!",$D19,":", $D19)), offshore!$4:$4, S$4)</f>
        <v>514</v>
      </c>
      <c r="T19" s="37">
        <f ca="1">SUMIFS(  INDIRECT(CONCATENATE("'wind'!", $C19, ":", $C19)),   wind!$6:$6, T$4) - SUMIFS(   INDIRECT(CONCATENATE("offshore!",$D19,":", $D19)), offshore!$4:$4, T$4)</f>
        <v>697</v>
      </c>
      <c r="U19" s="37">
        <f ca="1">SUMIFS(  INDIRECT(CONCATENATE("'wind'!", $C19, ":", $C19)),   wind!$6:$6, U$4) - SUMIFS(   INDIRECT(CONCATENATE("offshore!",$D19,":", $D19)), offshore!$4:$4, U$4)</f>
        <v>762</v>
      </c>
      <c r="V19" s="37">
        <f ca="1">SUMIFS(  INDIRECT(CONCATENATE("'wind'!", $C19, ":", $C19)),   wind!$6:$6, V$4) - SUMIFS(   INDIRECT(CONCATENATE("offshore!",$D19,":", $D19)), offshore!$4:$4, V$4)</f>
        <v>813</v>
      </c>
      <c r="W19" s="37">
        <f ca="1">SUMIFS(  INDIRECT(CONCATENATE("'wind'!", $C19, ":", $C19)),   wind!$6:$6, W$4) - SUMIFS(   INDIRECT(CONCATENATE("offshore!",$D19,":", $D19)), offshore!$4:$4, W$4)</f>
        <v>816</v>
      </c>
      <c r="X19" s="37">
        <f ca="1">SUMIFS(  INDIRECT(CONCATENATE("'wind'!", $C19, ":", $C19)),   wind!$6:$6, X$4) - SUMIFS(   INDIRECT(CONCATENATE("offshore!",$D19,":", $D19)), offshore!$4:$4, X$4)</f>
        <v>832</v>
      </c>
      <c r="Y19" s="37">
        <f ca="1">SUMIFS(  INDIRECT(CONCATENATE("'wind'!", $C19, ":", $C19)),   wind!$6:$6, Y$4) - SUMIFS(   INDIRECT(CONCATENATE("offshore!",$D19,":", $D19)), offshore!$4:$4, Y$4)</f>
        <v>1156</v>
      </c>
      <c r="Z19" s="37">
        <f ca="1">SUMIFS(  INDIRECT(CONCATENATE("'wind'!", $C19, ":", $C19)),   wind!$6:$6, Z$4) - SUMIFS(   INDIRECT(CONCATENATE("offshore!",$D19,":", $D19)), offshore!$4:$4, Z$4)</f>
        <v>1669</v>
      </c>
      <c r="AA19" s="37">
        <f ca="1">SUMIFS(  INDIRECT(CONCATENATE("'wind'!", $C19, ":", $C19)),   wind!$6:$6, AA$4) - SUMIFS(   INDIRECT(CONCATENATE("offshore!",$D19,":", $D19)), offshore!$4:$4, AA$4)</f>
        <v>2438</v>
      </c>
      <c r="AB19" s="37">
        <f ca="1">SUMIFS(  INDIRECT(CONCATENATE("'wind'!", $C19, ":", $C19)),   wind!$6:$6, AB$4) - SUMIFS(   INDIRECT(CONCATENATE("offshore!",$D19,":", $D19)), offshore!$4:$4, AB$4)</f>
        <v>3974</v>
      </c>
      <c r="AC19" s="37">
        <f ca="1">SUMIFS(  INDIRECT(CONCATENATE("'wind'!", $C19, ":", $C19)),   wind!$6:$6, AC$4) - SUMIFS(   INDIRECT(CONCATENATE("offshore!",$D19,":", $D19)), offshore!$4:$4, AC$4)</f>
        <v>4649</v>
      </c>
      <c r="AD19" s="37">
        <f ca="1">SUMIFS(  INDIRECT(CONCATENATE("'wind'!", $C19, ":", $C19)),   wind!$6:$6, AD$4) - SUMIFS(   INDIRECT(CONCATENATE("offshore!",$D19,":", $D19)), offshore!$4:$4, AD$4)</f>
        <v>5143</v>
      </c>
      <c r="AE19" s="37">
        <f ca="1">SUMIFS(  INDIRECT(CONCATENATE("'wind'!", $C19, ":", $C19)),   wind!$6:$6, AE$4) - SUMIFS(   INDIRECT(CONCATENATE("offshore!",$D19,":", $D19)), offshore!$4:$4, AE$4)</f>
        <v>5089.3999999999996</v>
      </c>
      <c r="AF19" s="37">
        <f ca="1">SUMIFS(  INDIRECT(CONCATENATE("'wind'!", $C19, ":", $C19)),   wind!$6:$6, AF$4) - SUMIFS(   INDIRECT(CONCATENATE("offshore!",$D19,":", $D19)), offshore!$4:$4, AF$4)</f>
        <v>5093.3999999999996</v>
      </c>
      <c r="AG19" s="44">
        <f t="shared" ca="1" si="0"/>
        <v>5984.9066666666185</v>
      </c>
      <c r="AH19" s="24">
        <f t="shared" ca="1" si="1"/>
        <v>8285.8488023087848</v>
      </c>
      <c r="AJ19" s="19">
        <v>1</v>
      </c>
      <c r="AK19" s="19">
        <v>1</v>
      </c>
    </row>
    <row r="20" spans="2:37">
      <c r="B20" s="17"/>
      <c r="C20" s="20">
        <f>MATCH($E20, wind!$C:$C, 0)</f>
        <v>22</v>
      </c>
      <c r="D20" s="20">
        <f>IFERROR(MATCH($E20, offshore!$D:$D, 0), 1)</f>
        <v>12</v>
      </c>
      <c r="E20" s="17" t="s">
        <v>79</v>
      </c>
      <c r="F20" s="37">
        <f ca="1">SUMIFS(  INDIRECT(CONCATENATE("'wind'!", $C20, ":", $C20)),   wind!$6:$6, F$4) - SUMIFS(   INDIRECT(CONCATENATE("offshore!",$D20,":", $D20)), offshore!$4:$4, F$4)</f>
        <v>73</v>
      </c>
      <c r="G20" s="37">
        <f ca="1">SUMIFS(  INDIRECT(CONCATENATE("'wind'!", $C20, ":", $C20)),   wind!$6:$6, G$4) - SUMIFS(   INDIRECT(CONCATENATE("offshore!",$D20,":", $D20)), offshore!$4:$4, G$4)</f>
        <v>74</v>
      </c>
      <c r="H20" s="37">
        <f ca="1">SUMIFS(  INDIRECT(CONCATENATE("'wind'!", $C20, ":", $C20)),   wind!$6:$6, H$4) - SUMIFS(   INDIRECT(CONCATENATE("offshore!",$D20,":", $D20)), offshore!$4:$4, H$4)</f>
        <v>118</v>
      </c>
      <c r="I20" s="37">
        <f ca="1">SUMIFS(  INDIRECT(CONCATENATE("'wind'!", $C20, ":", $C20)),   wind!$6:$6, I$4) - SUMIFS(   INDIRECT(CONCATENATE("offshore!",$D20,":", $D20)), offshore!$4:$4, I$4)</f>
        <v>124</v>
      </c>
      <c r="J20" s="37">
        <f ca="1">SUMIFS(  INDIRECT(CONCATENATE("'wind'!", $C20, ":", $C20)),   wind!$6:$6, J$4) - SUMIFS(   INDIRECT(CONCATENATE("offshore!",$D20,":", $D20)), offshore!$4:$4, J$4)</f>
        <v>137</v>
      </c>
      <c r="K20" s="37">
        <f ca="1">SUMIFS(  INDIRECT(CONCATENATE("'wind'!", $C20, ":", $C20)),   wind!$6:$6, K$4) - SUMIFS(   INDIRECT(CONCATENATE("offshore!",$D20,":", $D20)), offshore!$4:$4, K$4)</f>
        <v>190</v>
      </c>
      <c r="L20" s="37">
        <f ca="1">SUMIFS(  INDIRECT(CONCATENATE("'wind'!", $C20, ":", $C20)),   wind!$6:$6, L$4) - SUMIFS(   INDIRECT(CONCATENATE("offshore!",$D20,":", $D20)), offshore!$4:$4, L$4)</f>
        <v>339</v>
      </c>
      <c r="M20" s="37">
        <f ca="1">SUMIFS(  INDIRECT(CONCATENATE("'wind'!", $C20, ":", $C20)),   wind!$6:$6, M$4) - SUMIFS(   INDIRECT(CONCATENATE("offshore!",$D20,":", $D20)), offshore!$4:$4, M$4)</f>
        <v>496</v>
      </c>
      <c r="N20" s="37">
        <f ca="1">SUMIFS(  INDIRECT(CONCATENATE("'wind'!", $C20, ":", $C20)),   wind!$6:$6, N$4) - SUMIFS(   INDIRECT(CONCATENATE("offshore!",$D20,":", $D20)), offshore!$4:$4, N$4)</f>
        <v>746</v>
      </c>
      <c r="O20" s="37">
        <f ca="1">SUMIFS(  INDIRECT(CONCATENATE("'wind'!", $C20, ":", $C20)),   wind!$6:$6, O$4) - SUMIFS(   INDIRECT(CONCATENATE("offshore!",$D20,":", $D20)), offshore!$4:$4, O$4)</f>
        <v>795</v>
      </c>
      <c r="P20" s="37">
        <f ca="1">SUMIFS(  INDIRECT(CONCATENATE("'wind'!", $C20, ":", $C20)),   wind!$6:$6, P$4) - SUMIFS(   INDIRECT(CONCATENATE("offshore!",$D20,":", $D20)), offshore!$4:$4, P$4)</f>
        <v>1001.8</v>
      </c>
      <c r="Q20" s="37">
        <f ca="1">SUMIFS(  INDIRECT(CONCATENATE("'wind'!", $C20, ":", $C20)),   wind!$6:$6, Q$4) - SUMIFS(   INDIRECT(CONCATENATE("offshore!",$D20,":", $D20)), offshore!$4:$4, Q$4)</f>
        <v>1234.8</v>
      </c>
      <c r="R20" s="37">
        <f ca="1">SUMIFS(  INDIRECT(CONCATENATE("'wind'!", $C20, ":", $C20)),   wind!$6:$6, R$4) - SUMIFS(   INDIRECT(CONCATENATE("offshore!",$D20,":", $D20)), offshore!$4:$4, R$4)</f>
        <v>1402.8</v>
      </c>
      <c r="S20" s="37">
        <f ca="1">SUMIFS(  INDIRECT(CONCATENATE("'wind'!", $C20, ":", $C20)),   wind!$6:$6, S$4) - SUMIFS(   INDIRECT(CONCATENATE("offshore!",$D20,":", $D20)), offshore!$4:$4, S$4)</f>
        <v>1605.8</v>
      </c>
      <c r="T20" s="37">
        <f ca="1">SUMIFS(  INDIRECT(CONCATENATE("'wind'!", $C20, ":", $C20)),   wind!$6:$6, T$4) - SUMIFS(   INDIRECT(CONCATENATE("offshore!",$D20,":", $D20)), offshore!$4:$4, T$4)</f>
        <v>1712.8</v>
      </c>
      <c r="U20" s="37">
        <f ca="1">SUMIFS(  INDIRECT(CONCATENATE("'wind'!", $C20, ":", $C20)),   wind!$6:$6, U$4) - SUMIFS(   INDIRECT(CONCATENATE("offshore!",$D20,":", $D20)), offshore!$4:$4, U$4)</f>
        <v>2011.8</v>
      </c>
      <c r="V20" s="37">
        <f ca="1">SUMIFS(  INDIRECT(CONCATENATE("'wind'!", $C20, ":", $C20)),   wind!$6:$6, V$4) - SUMIFS(   INDIRECT(CONCATENATE("offshore!",$D20,":", $D20)), offshore!$4:$4, V$4)</f>
        <v>2246.8000000000002</v>
      </c>
      <c r="W20" s="37">
        <f ca="1">SUMIFS(  INDIRECT(CONCATENATE("'wind'!", $C20, ":", $C20)),   wind!$6:$6, W$4) - SUMIFS(   INDIRECT(CONCATENATE("offshore!",$D20,":", $D20)), offshore!$4:$4, W$4)</f>
        <v>2414.8000000000002</v>
      </c>
      <c r="X20" s="37">
        <f ca="1">SUMIFS(  INDIRECT(CONCATENATE("'wind'!", $C20, ":", $C20)),   wind!$6:$6, X$4) - SUMIFS(   INDIRECT(CONCATENATE("offshore!",$D20,":", $D20)), offshore!$4:$4, X$4)</f>
        <v>2739.8</v>
      </c>
      <c r="Y20" s="37">
        <f ca="1">SUMIFS(  INDIRECT(CONCATENATE("'wind'!", $C20, ":", $C20)),   wind!$6:$6, Y$4) - SUMIFS(   INDIRECT(CONCATENATE("offshore!",$D20,":", $D20)), offshore!$4:$4, Y$4)</f>
        <v>3101.8</v>
      </c>
      <c r="Z20" s="37">
        <f ca="1">SUMIFS(  INDIRECT(CONCATENATE("'wind'!", $C20, ":", $C20)),   wind!$6:$6, Z$4) - SUMIFS(   INDIRECT(CONCATENATE("offshore!",$D20,":", $D20)), offshore!$4:$4, Z$4)</f>
        <v>3538.8</v>
      </c>
      <c r="AA20" s="37">
        <f ca="1">SUMIFS(  INDIRECT(CONCATENATE("'wind'!", $C20, ":", $C20)),   wind!$6:$6, AA$4) - SUMIFS(   INDIRECT(CONCATENATE("offshore!",$D20,":", $D20)), offshore!$4:$4, AA$4)</f>
        <v>4129.8</v>
      </c>
      <c r="AB20" s="37">
        <f ca="1">SUMIFS(  INDIRECT(CONCATENATE("'wind'!", $C20, ":", $C20)),   wind!$6:$6, AB$4) - SUMIFS(   INDIRECT(CONCATENATE("offshore!",$D20,":", $D20)), offshore!$4:$4, AB$4)</f>
        <v>4325.8</v>
      </c>
      <c r="AC20" s="37">
        <f ca="1">SUMIFS(  INDIRECT(CONCATENATE("'wind'!", $C20, ":", $C20)),   wind!$6:$6, AC$4) - SUMIFS(   INDIRECT(CONCATENATE("offshore!",$D20,":", $D20)), offshore!$4:$4, AC$4)</f>
        <v>4379.8</v>
      </c>
      <c r="AD20" s="37">
        <f ca="1">SUMIFS(  INDIRECT(CONCATENATE("'wind'!", $C20, ":", $C20)),   wind!$6:$6, AD$4) - SUMIFS(   INDIRECT(CONCATENATE("offshore!",$D20,":", $D20)), offshore!$4:$4, AD$4)</f>
        <v>4615.3999999999996</v>
      </c>
      <c r="AE20" s="37">
        <f ca="1">SUMIFS(  INDIRECT(CONCATENATE("'wind'!", $C20, ":", $C20)),   wind!$6:$6, AE$4) - SUMIFS(   INDIRECT(CONCATENATE("offshore!",$D20,":", $D20)), offshore!$4:$4, AE$4)</f>
        <v>4777</v>
      </c>
      <c r="AF20" s="37">
        <f ca="1">SUMIFS(  INDIRECT(CONCATENATE("'wind'!", $C20, ":", $C20)),   wind!$6:$6, AF$4) - SUMIFS(   INDIRECT(CONCATENATE("offshore!",$D20,":", $D20)), offshore!$4:$4, AF$4)</f>
        <v>4836</v>
      </c>
      <c r="AG20" s="44">
        <f t="shared" ca="1" si="0"/>
        <v>5221.2933333333058</v>
      </c>
      <c r="AH20" s="24">
        <f t="shared" ca="1" si="1"/>
        <v>6350.2421067821269</v>
      </c>
      <c r="AJ20" s="19">
        <v>1</v>
      </c>
      <c r="AK20" s="19">
        <v>1</v>
      </c>
    </row>
    <row r="21" spans="2:37">
      <c r="B21" s="17" t="str">
        <f>E21&amp;"00"</f>
        <v>AT00</v>
      </c>
      <c r="C21" s="20">
        <f>MATCH($E21, wind!$C:$C, 0)</f>
        <v>23</v>
      </c>
      <c r="D21" s="20">
        <f>IFERROR(MATCH($E21, offshore!$D:$D, 0), 1)</f>
        <v>1</v>
      </c>
      <c r="E21" s="17" t="s">
        <v>80</v>
      </c>
      <c r="F21" s="37">
        <f ca="1">SUMIFS(  INDIRECT(CONCATENATE("'wind'!", $C21, ":", $C21)),   wind!$6:$6, F$4) - SUMIFS(   INDIRECT(CONCATENATE("offshore!",$D21,":", $D21)), offshore!$4:$4, F$4)</f>
        <v>30</v>
      </c>
      <c r="G21" s="37">
        <f ca="1">SUMIFS(  INDIRECT(CONCATENATE("'wind'!", $C21, ":", $C21)),   wind!$6:$6, G$4) - SUMIFS(   INDIRECT(CONCATENATE("offshore!",$D21,":", $D21)), offshore!$4:$4, G$4)</f>
        <v>34</v>
      </c>
      <c r="H21" s="37">
        <f ca="1">SUMIFS(  INDIRECT(CONCATENATE("'wind'!", $C21, ":", $C21)),   wind!$6:$6, H$4) - SUMIFS(   INDIRECT(CONCATENATE("offshore!",$D21,":", $D21)), offshore!$4:$4, H$4)</f>
        <v>77</v>
      </c>
      <c r="I21" s="37">
        <f ca="1">SUMIFS(  INDIRECT(CONCATENATE("'wind'!", $C21, ":", $C21)),   wind!$6:$6, I$4) - SUMIFS(   INDIRECT(CONCATENATE("offshore!",$D21,":", $D21)), offshore!$4:$4, I$4)</f>
        <v>94</v>
      </c>
      <c r="J21" s="37">
        <f ca="1">SUMIFS(  INDIRECT(CONCATENATE("'wind'!", $C21, ":", $C21)),   wind!$6:$6, J$4) - SUMIFS(   INDIRECT(CONCATENATE("offshore!",$D21,":", $D21)), offshore!$4:$4, J$4)</f>
        <v>140</v>
      </c>
      <c r="K21" s="37">
        <f ca="1">SUMIFS(  INDIRECT(CONCATENATE("'wind'!", $C21, ":", $C21)),   wind!$6:$6, K$4) - SUMIFS(   INDIRECT(CONCATENATE("offshore!",$D21,":", $D21)), offshore!$4:$4, K$4)</f>
        <v>415</v>
      </c>
      <c r="L21" s="37">
        <f ca="1">SUMIFS(  INDIRECT(CONCATENATE("'wind'!", $C21, ":", $C21)),   wind!$6:$6, L$4) - SUMIFS(   INDIRECT(CONCATENATE("offshore!",$D21,":", $D21)), offshore!$4:$4, L$4)</f>
        <v>606</v>
      </c>
      <c r="M21" s="37">
        <f ca="1">SUMIFS(  INDIRECT(CONCATENATE("'wind'!", $C21, ":", $C21)),   wind!$6:$6, M$4) - SUMIFS(   INDIRECT(CONCATENATE("offshore!",$D21,":", $D21)), offshore!$4:$4, M$4)</f>
        <v>819</v>
      </c>
      <c r="N21" s="37">
        <f ca="1">SUMIFS(  INDIRECT(CONCATENATE("'wind'!", $C21, ":", $C21)),   wind!$6:$6, N$4) - SUMIFS(   INDIRECT(CONCATENATE("offshore!",$D21,":", $D21)), offshore!$4:$4, N$4)</f>
        <v>965</v>
      </c>
      <c r="O21" s="37">
        <f ca="1">SUMIFS(  INDIRECT(CONCATENATE("'wind'!", $C21, ":", $C21)),   wind!$6:$6, O$4) - SUMIFS(   INDIRECT(CONCATENATE("offshore!",$D21,":", $D21)), offshore!$4:$4, O$4)</f>
        <v>982</v>
      </c>
      <c r="P21" s="37">
        <f ca="1">SUMIFS(  INDIRECT(CONCATENATE("'wind'!", $C21, ":", $C21)),   wind!$6:$6, P$4) - SUMIFS(   INDIRECT(CONCATENATE("offshore!",$D21,":", $D21)), offshore!$4:$4, P$4)</f>
        <v>995</v>
      </c>
      <c r="Q21" s="37">
        <f ca="1">SUMIFS(  INDIRECT(CONCATENATE("'wind'!", $C21, ":", $C21)),   wind!$6:$6, Q$4) - SUMIFS(   INDIRECT(CONCATENATE("offshore!",$D21,":", $D21)), offshore!$4:$4, Q$4)</f>
        <v>995</v>
      </c>
      <c r="R21" s="37">
        <f ca="1">SUMIFS(  INDIRECT(CONCATENATE("'wind'!", $C21, ":", $C21)),   wind!$6:$6, R$4) - SUMIFS(   INDIRECT(CONCATENATE("offshore!",$D21,":", $D21)), offshore!$4:$4, R$4)</f>
        <v>1011</v>
      </c>
      <c r="S21" s="37">
        <f ca="1">SUMIFS(  INDIRECT(CONCATENATE("'wind'!", $C21, ":", $C21)),   wind!$6:$6, S$4) - SUMIFS(   INDIRECT(CONCATENATE("offshore!",$D21,":", $D21)), offshore!$4:$4, S$4)</f>
        <v>1084</v>
      </c>
      <c r="T21" s="37">
        <f ca="1">SUMIFS(  INDIRECT(CONCATENATE("'wind'!", $C21, ":", $C21)),   wind!$6:$6, T$4) - SUMIFS(   INDIRECT(CONCATENATE("offshore!",$D21,":", $D21)), offshore!$4:$4, T$4)</f>
        <v>1378</v>
      </c>
      <c r="U21" s="37">
        <f ca="1">SUMIFS(  INDIRECT(CONCATENATE("'wind'!", $C21, ":", $C21)),   wind!$6:$6, U$4) - SUMIFS(   INDIRECT(CONCATENATE("offshore!",$D21,":", $D21)), offshore!$4:$4, U$4)</f>
        <v>1684</v>
      </c>
      <c r="V21" s="37">
        <f ca="1">SUMIFS(  INDIRECT(CONCATENATE("'wind'!", $C21, ":", $C21)),   wind!$6:$6, V$4) - SUMIFS(   INDIRECT(CONCATENATE("offshore!",$D21,":", $D21)), offshore!$4:$4, V$4)</f>
        <v>2095</v>
      </c>
      <c r="W21" s="37">
        <f ca="1">SUMIFS(  INDIRECT(CONCATENATE("'wind'!", $C21, ":", $C21)),   wind!$6:$6, W$4) - SUMIFS(   INDIRECT(CONCATENATE("offshore!",$D21,":", $D21)), offshore!$4:$4, W$4)</f>
        <v>2404</v>
      </c>
      <c r="X21" s="37">
        <f ca="1">SUMIFS(  INDIRECT(CONCATENATE("'wind'!", $C21, ":", $C21)),   wind!$6:$6, X$4) - SUMIFS(   INDIRECT(CONCATENATE("offshore!",$D21,":", $D21)), offshore!$4:$4, X$4)</f>
        <v>2632</v>
      </c>
      <c r="Y21" s="37">
        <f ca="1">SUMIFS(  INDIRECT(CONCATENATE("'wind'!", $C21, ":", $C21)),   wind!$6:$6, Y$4) - SUMIFS(   INDIRECT(CONCATENATE("offshore!",$D21,":", $D21)), offshore!$4:$4, Y$4)</f>
        <v>2828</v>
      </c>
      <c r="Z21" s="37">
        <f ca="1">SUMIFS(  INDIRECT(CONCATENATE("'wind'!", $C21, ":", $C21)),   wind!$6:$6, Z$4) - SUMIFS(   INDIRECT(CONCATENATE("offshore!",$D21,":", $D21)), offshore!$4:$4, Z$4)</f>
        <v>3045</v>
      </c>
      <c r="AA21" s="37">
        <f ca="1">SUMIFS(  INDIRECT(CONCATENATE("'wind'!", $C21, ":", $C21)),   wind!$6:$6, AA$4) - SUMIFS(   INDIRECT(CONCATENATE("offshore!",$D21,":", $D21)), offshore!$4:$4, AA$4)</f>
        <v>3159</v>
      </c>
      <c r="AB21" s="37">
        <f ca="1">SUMIFS(  INDIRECT(CONCATENATE("'wind'!", $C21, ":", $C21)),   wind!$6:$6, AB$4) - SUMIFS(   INDIRECT(CONCATENATE("offshore!",$D21,":", $D21)), offshore!$4:$4, AB$4)</f>
        <v>3120</v>
      </c>
      <c r="AC21" s="37">
        <f ca="1">SUMIFS(  INDIRECT(CONCATENATE("'wind'!", $C21, ":", $C21)),   wind!$6:$6, AC$4) - SUMIFS(   INDIRECT(CONCATENATE("offshore!",$D21,":", $D21)), offshore!$4:$4, AC$4)</f>
        <v>3300</v>
      </c>
      <c r="AD21" s="37">
        <f ca="1">SUMIFS(  INDIRECT(CONCATENATE("'wind'!", $C21, ":", $C21)),   wind!$6:$6, AD$4) - SUMIFS(   INDIRECT(CONCATENATE("offshore!",$D21,":", $D21)), offshore!$4:$4, AD$4)</f>
        <v>3586</v>
      </c>
      <c r="AE21" s="37">
        <f ca="1">SUMIFS(  INDIRECT(CONCATENATE("'wind'!", $C21, ":", $C21)),   wind!$6:$6, AE$4) - SUMIFS(   INDIRECT(CONCATENATE("offshore!",$D21,":", $D21)), offshore!$4:$4, AE$4)</f>
        <v>3885</v>
      </c>
      <c r="AF21" s="37">
        <f ca="1">SUMIFS(  INDIRECT(CONCATENATE("'wind'!", $C21, ":", $C21)),   wind!$6:$6, AF$4) - SUMIFS(   INDIRECT(CONCATENATE("offshore!",$D21,":", $D21)), offshore!$4:$4, AF$4)</f>
        <v>4028</v>
      </c>
      <c r="AG21" s="44">
        <f t="shared" ca="1" si="0"/>
        <v>4216.4499999999825</v>
      </c>
      <c r="AH21" s="24">
        <f t="shared" ca="1" si="1"/>
        <v>5209.1177489177499</v>
      </c>
      <c r="AJ21" s="19">
        <v>1</v>
      </c>
      <c r="AK21" s="19">
        <v>1</v>
      </c>
    </row>
    <row r="22" spans="2:37">
      <c r="B22" s="17"/>
      <c r="C22" s="20">
        <f>MATCH($E22, wind!$C:$C, 0)</f>
        <v>24</v>
      </c>
      <c r="D22" s="20">
        <f>IFERROR(MATCH($E22, offshore!$D:$D, 0), 1)</f>
        <v>1</v>
      </c>
      <c r="E22" s="17" t="s">
        <v>81</v>
      </c>
      <c r="F22" s="37">
        <f ca="1">SUMIFS(  INDIRECT(CONCATENATE("'wind'!", $C22, ":", $C22)),   wind!$6:$6, F$4) - SUMIFS(   INDIRECT(CONCATENATE("offshore!",$D22,":", $D22)), offshore!$4:$4, F$4)</f>
        <v>0</v>
      </c>
      <c r="G22" s="37">
        <f ca="1">SUMIFS(  INDIRECT(CONCATENATE("'wind'!", $C22, ":", $C22)),   wind!$6:$6, G$4) - SUMIFS(   INDIRECT(CONCATENATE("offshore!",$D22,":", $D22)), offshore!$4:$4, G$4)</f>
        <v>0</v>
      </c>
      <c r="H22" s="37">
        <f ca="1">SUMIFS(  INDIRECT(CONCATENATE("'wind'!", $C22, ":", $C22)),   wind!$6:$6, H$4) - SUMIFS(   INDIRECT(CONCATENATE("offshore!",$D22,":", $D22)), offshore!$4:$4, H$4)</f>
        <v>0</v>
      </c>
      <c r="I22" s="37">
        <f ca="1">SUMIFS(  INDIRECT(CONCATENATE("'wind'!", $C22, ":", $C22)),   wind!$6:$6, I$4) - SUMIFS(   INDIRECT(CONCATENATE("offshore!",$D22,":", $D22)), offshore!$4:$4, I$4)</f>
        <v>0</v>
      </c>
      <c r="J22" s="37">
        <f ca="1">SUMIFS(  INDIRECT(CONCATENATE("'wind'!", $C22, ":", $C22)),   wind!$6:$6, J$4) - SUMIFS(   INDIRECT(CONCATENATE("offshore!",$D22,":", $D22)), offshore!$4:$4, J$4)</f>
        <v>0</v>
      </c>
      <c r="K22" s="37">
        <f ca="1">SUMIFS(  INDIRECT(CONCATENATE("'wind'!", $C22, ":", $C22)),   wind!$6:$6, K$4) - SUMIFS(   INDIRECT(CONCATENATE("offshore!",$D22,":", $D22)), offshore!$4:$4, K$4)</f>
        <v>1</v>
      </c>
      <c r="L22" s="37">
        <f ca="1">SUMIFS(  INDIRECT(CONCATENATE("'wind'!", $C22, ":", $C22)),   wind!$6:$6, L$4) - SUMIFS(   INDIRECT(CONCATENATE("offshore!",$D22,":", $D22)), offshore!$4:$4, L$4)</f>
        <v>1</v>
      </c>
      <c r="M22" s="37">
        <f ca="1">SUMIFS(  INDIRECT(CONCATENATE("'wind'!", $C22, ":", $C22)),   wind!$6:$6, M$4) - SUMIFS(   INDIRECT(CONCATENATE("offshore!",$D22,":", $D22)), offshore!$4:$4, M$4)</f>
        <v>2</v>
      </c>
      <c r="N22" s="37">
        <f ca="1">SUMIFS(  INDIRECT(CONCATENATE("'wind'!", $C22, ":", $C22)),   wind!$6:$6, N$4) - SUMIFS(   INDIRECT(CONCATENATE("offshore!",$D22,":", $D22)), offshore!$4:$4, N$4)</f>
        <v>3</v>
      </c>
      <c r="O22" s="37">
        <f ca="1">SUMIFS(  INDIRECT(CONCATENATE("'wind'!", $C22, ":", $C22)),   wind!$6:$6, O$4) - SUMIFS(   INDIRECT(CONCATENATE("offshore!",$D22,":", $D22)), offshore!$4:$4, O$4)</f>
        <v>8</v>
      </c>
      <c r="P22" s="37">
        <f ca="1">SUMIFS(  INDIRECT(CONCATENATE("'wind'!", $C22, ":", $C22)),   wind!$6:$6, P$4) - SUMIFS(   INDIRECT(CONCATENATE("offshore!",$D22,":", $D22)), offshore!$4:$4, P$4)</f>
        <v>11</v>
      </c>
      <c r="Q22" s="37">
        <f ca="1">SUMIFS(  INDIRECT(CONCATENATE("'wind'!", $C22, ":", $C22)),   wind!$6:$6, Q$4) - SUMIFS(   INDIRECT(CONCATENATE("offshore!",$D22,":", $D22)), offshore!$4:$4, Q$4)</f>
        <v>14</v>
      </c>
      <c r="R22" s="37">
        <f ca="1">SUMIFS(  INDIRECT(CONCATENATE("'wind'!", $C22, ":", $C22)),   wind!$6:$6, R$4) - SUMIFS(   INDIRECT(CONCATENATE("offshore!",$D22,":", $D22)), offshore!$4:$4, R$4)</f>
        <v>462</v>
      </c>
      <c r="S22" s="37">
        <f ca="1">SUMIFS(  INDIRECT(CONCATENATE("'wind'!", $C22, ":", $C22)),   wind!$6:$6, S$4) - SUMIFS(   INDIRECT(CONCATENATE("offshore!",$D22,":", $D22)), offshore!$4:$4, S$4)</f>
        <v>982</v>
      </c>
      <c r="T22" s="37">
        <f ca="1">SUMIFS(  INDIRECT(CONCATENATE("'wind'!", $C22, ":", $C22)),   wind!$6:$6, T$4) - SUMIFS(   INDIRECT(CONCATENATE("offshore!",$D22,":", $D22)), offshore!$4:$4, T$4)</f>
        <v>1905</v>
      </c>
      <c r="U22" s="37">
        <f ca="1">SUMIFS(  INDIRECT(CONCATENATE("'wind'!", $C22, ":", $C22)),   wind!$6:$6, U$4) - SUMIFS(   INDIRECT(CONCATENATE("offshore!",$D22,":", $D22)), offshore!$4:$4, U$4)</f>
        <v>2599</v>
      </c>
      <c r="V22" s="37">
        <f ca="1">SUMIFS(  INDIRECT(CONCATENATE("'wind'!", $C22, ":", $C22)),   wind!$6:$6, V$4) - SUMIFS(   INDIRECT(CONCATENATE("offshore!",$D22,":", $D22)), offshore!$4:$4, V$4)</f>
        <v>2954</v>
      </c>
      <c r="W22" s="37">
        <f ca="1">SUMIFS(  INDIRECT(CONCATENATE("'wind'!", $C22, ":", $C22)),   wind!$6:$6, W$4) - SUMIFS(   INDIRECT(CONCATENATE("offshore!",$D22,":", $D22)), offshore!$4:$4, W$4)</f>
        <v>2976</v>
      </c>
      <c r="X22" s="37">
        <f ca="1">SUMIFS(  INDIRECT(CONCATENATE("'wind'!", $C22, ":", $C22)),   wind!$6:$6, X$4) - SUMIFS(   INDIRECT(CONCATENATE("offshore!",$D22,":", $D22)), offshore!$4:$4, X$4)</f>
        <v>3028</v>
      </c>
      <c r="Y22" s="37">
        <f ca="1">SUMIFS(  INDIRECT(CONCATENATE("'wind'!", $C22, ":", $C22)),   wind!$6:$6, Y$4) - SUMIFS(   INDIRECT(CONCATENATE("offshore!",$D22,":", $D22)), offshore!$4:$4, Y$4)</f>
        <v>3029</v>
      </c>
      <c r="Z22" s="37">
        <f ca="1">SUMIFS(  INDIRECT(CONCATENATE("'wind'!", $C22, ":", $C22)),   wind!$6:$6, Z$4) - SUMIFS(   INDIRECT(CONCATENATE("offshore!",$D22,":", $D22)), offshore!$4:$4, Z$4)</f>
        <v>3029</v>
      </c>
      <c r="AA22" s="37">
        <f ca="1">SUMIFS(  INDIRECT(CONCATENATE("'wind'!", $C22, ":", $C22)),   wind!$6:$6, AA$4) - SUMIFS(   INDIRECT(CONCATENATE("offshore!",$D22,":", $D22)), offshore!$4:$4, AA$4)</f>
        <v>3029</v>
      </c>
      <c r="AB22" s="37">
        <f ca="1">SUMIFS(  INDIRECT(CONCATENATE("'wind'!", $C22, ":", $C22)),   wind!$6:$6, AB$4) - SUMIFS(   INDIRECT(CONCATENATE("offshore!",$D22,":", $D22)), offshore!$4:$4, AB$4)</f>
        <v>3029</v>
      </c>
      <c r="AC22" s="37">
        <f ca="1">SUMIFS(  INDIRECT(CONCATENATE("'wind'!", $C22, ":", $C22)),   wind!$6:$6, AC$4) - SUMIFS(   INDIRECT(CONCATENATE("offshore!",$D22,":", $D22)), offshore!$4:$4, AC$4)</f>
        <v>3029</v>
      </c>
      <c r="AD22" s="37">
        <f ca="1">SUMIFS(  INDIRECT(CONCATENATE("'wind'!", $C22, ":", $C22)),   wind!$6:$6, AD$4) - SUMIFS(   INDIRECT(CONCATENATE("offshore!",$D22,":", $D22)), offshore!$4:$4, AD$4)</f>
        <v>3029</v>
      </c>
      <c r="AE22" s="37">
        <f ca="1">SUMIFS(  INDIRECT(CONCATENATE("'wind'!", $C22, ":", $C22)),   wind!$6:$6, AE$4) - SUMIFS(   INDIRECT(CONCATENATE("offshore!",$D22,":", $D22)), offshore!$4:$4, AE$4)</f>
        <v>3100</v>
      </c>
      <c r="AF22" s="37">
        <f ca="1">SUMIFS(  INDIRECT(CONCATENATE("'wind'!", $C22, ":", $C22)),   wind!$6:$6, AF$4) - SUMIFS(   INDIRECT(CONCATENATE("offshore!",$D22,":", $D22)), offshore!$4:$4, AF$4)</f>
        <v>3150</v>
      </c>
      <c r="AG22" s="44">
        <f t="shared" ca="1" si="0"/>
        <v>3244.5</v>
      </c>
      <c r="AH22" s="24">
        <f t="shared" ca="1" si="1"/>
        <v>3333.8593073593074</v>
      </c>
      <c r="AJ22" s="19">
        <v>1</v>
      </c>
      <c r="AK22" s="19">
        <v>1</v>
      </c>
    </row>
    <row r="23" spans="2:37">
      <c r="B23" s="17"/>
      <c r="C23" s="20">
        <f>MATCH($E23, wind!$C:$C, 0)</f>
        <v>25</v>
      </c>
      <c r="D23" s="20">
        <f>IFERROR(MATCH($E23, offshore!$D:$D, 0), 1)</f>
        <v>1</v>
      </c>
      <c r="E23" s="17" t="s">
        <v>82</v>
      </c>
      <c r="F23" s="37">
        <f ca="1">SUMIFS(  INDIRECT(CONCATENATE("'wind'!", $C23, ":", $C23)),   wind!$6:$6, F$4) - SUMIFS(   INDIRECT(CONCATENATE("offshore!",$D23,":", $D23)), offshore!$4:$4, F$4)</f>
        <v>0</v>
      </c>
      <c r="G23" s="37">
        <f ca="1">SUMIFS(  INDIRECT(CONCATENATE("'wind'!", $C23, ":", $C23)),   wind!$6:$6, G$4) - SUMIFS(   INDIRECT(CONCATENATE("offshore!",$D23,":", $D23)), offshore!$4:$4, G$4)</f>
        <v>0</v>
      </c>
      <c r="H23" s="37">
        <f ca="1">SUMIFS(  INDIRECT(CONCATENATE("'wind'!", $C23, ":", $C23)),   wind!$6:$6, H$4) - SUMIFS(   INDIRECT(CONCATENATE("offshore!",$D23,":", $D23)), offshore!$4:$4, H$4)</f>
        <v>0</v>
      </c>
      <c r="I23" s="37">
        <f ca="1">SUMIFS(  INDIRECT(CONCATENATE("'wind'!", $C23, ":", $C23)),   wind!$6:$6, I$4) - SUMIFS(   INDIRECT(CONCATENATE("offshore!",$D23,":", $D23)), offshore!$4:$4, I$4)</f>
        <v>0</v>
      </c>
      <c r="J23" s="37">
        <f ca="1">SUMIFS(  INDIRECT(CONCATENATE("'wind'!", $C23, ":", $C23)),   wind!$6:$6, J$4) - SUMIFS(   INDIRECT(CONCATENATE("offshore!",$D23,":", $D23)), offshore!$4:$4, J$4)</f>
        <v>0</v>
      </c>
      <c r="K23" s="37">
        <f ca="1">SUMIFS(  INDIRECT(CONCATENATE("'wind'!", $C23, ":", $C23)),   wind!$6:$6, K$4) - SUMIFS(   INDIRECT(CONCATENATE("offshore!",$D23,":", $D23)), offshore!$4:$4, K$4)</f>
        <v>0</v>
      </c>
      <c r="L23" s="37">
        <f ca="1">SUMIFS(  INDIRECT(CONCATENATE("'wind'!", $C23, ":", $C23)),   wind!$6:$6, L$4) - SUMIFS(   INDIRECT(CONCATENATE("offshore!",$D23,":", $D23)), offshore!$4:$4, L$4)</f>
        <v>0</v>
      </c>
      <c r="M23" s="37">
        <f ca="1">SUMIFS(  INDIRECT(CONCATENATE("'wind'!", $C23, ":", $C23)),   wind!$6:$6, M$4) - SUMIFS(   INDIRECT(CONCATENATE("offshore!",$D23,":", $D23)), offshore!$4:$4, M$4)</f>
        <v>0</v>
      </c>
      <c r="N23" s="37">
        <f ca="1">SUMIFS(  INDIRECT(CONCATENATE("'wind'!", $C23, ":", $C23)),   wind!$6:$6, N$4) - SUMIFS(   INDIRECT(CONCATENATE("offshore!",$D23,":", $D23)), offshore!$4:$4, N$4)</f>
        <v>0</v>
      </c>
      <c r="O23" s="37">
        <f ca="1">SUMIFS(  INDIRECT(CONCATENATE("'wind'!", $C23, ":", $C23)),   wind!$6:$6, O$4) - SUMIFS(   INDIRECT(CONCATENATE("offshore!",$D23,":", $D23)), offshore!$4:$4, O$4)</f>
        <v>0</v>
      </c>
      <c r="P23" s="37">
        <f ca="1">SUMIFS(  INDIRECT(CONCATENATE("'wind'!", $C23, ":", $C23)),   wind!$6:$6, P$4) - SUMIFS(   INDIRECT(CONCATENATE("offshore!",$D23,":", $D23)), offshore!$4:$4, P$4)</f>
        <v>0</v>
      </c>
      <c r="Q23" s="37">
        <f ca="1">SUMIFS(  INDIRECT(CONCATENATE("'wind'!", $C23, ":", $C23)),   wind!$6:$6, Q$4) - SUMIFS(   INDIRECT(CONCATENATE("offshore!",$D23,":", $D23)), offshore!$4:$4, Q$4)</f>
        <v>9</v>
      </c>
      <c r="R23" s="37">
        <f ca="1">SUMIFS(  INDIRECT(CONCATENATE("'wind'!", $C23, ":", $C23)),   wind!$6:$6, R$4) - SUMIFS(   INDIRECT(CONCATENATE("offshore!",$D23,":", $D23)), offshore!$4:$4, R$4)</f>
        <v>9</v>
      </c>
      <c r="S23" s="37">
        <f ca="1">SUMIFS(  INDIRECT(CONCATENATE("'wind'!", $C23, ":", $C23)),   wind!$6:$6, S$4) - SUMIFS(   INDIRECT(CONCATENATE("offshore!",$D23,":", $D23)), offshore!$4:$4, S$4)</f>
        <v>15</v>
      </c>
      <c r="T23" s="37">
        <f ca="1">SUMIFS(  INDIRECT(CONCATENATE("'wind'!", $C23, ":", $C23)),   wind!$6:$6, T$4) - SUMIFS(   INDIRECT(CONCATENATE("offshore!",$D23,":", $D23)), offshore!$4:$4, T$4)</f>
        <v>15</v>
      </c>
      <c r="U23" s="37">
        <f ca="1">SUMIFS(  INDIRECT(CONCATENATE("'wind'!", $C23, ":", $C23)),   wind!$6:$6, U$4) - SUMIFS(   INDIRECT(CONCATENATE("offshore!",$D23,":", $D23)), offshore!$4:$4, U$4)</f>
        <v>15</v>
      </c>
      <c r="V23" s="37">
        <f ca="1">SUMIFS(  INDIRECT(CONCATENATE("'wind'!", $C23, ":", $C23)),   wind!$6:$6, V$4) - SUMIFS(   INDIRECT(CONCATENATE("offshore!",$D23,":", $D23)), offshore!$4:$4, V$4)</f>
        <v>15</v>
      </c>
      <c r="W23" s="37">
        <f ca="1">SUMIFS(  INDIRECT(CONCATENATE("'wind'!", $C23, ":", $C23)),   wind!$6:$6, W$4) - SUMIFS(   INDIRECT(CONCATENATE("offshore!",$D23,":", $D23)), offshore!$4:$4, W$4)</f>
        <v>15</v>
      </c>
      <c r="X23" s="37">
        <f ca="1">SUMIFS(  INDIRECT(CONCATENATE("'wind'!", $C23, ":", $C23)),   wind!$6:$6, X$4) - SUMIFS(   INDIRECT(CONCATENATE("offshore!",$D23,":", $D23)), offshore!$4:$4, X$4)</f>
        <v>15</v>
      </c>
      <c r="Y23" s="37">
        <f ca="1">SUMIFS(  INDIRECT(CONCATENATE("'wind'!", $C23, ":", $C23)),   wind!$6:$6, Y$4) - SUMIFS(   INDIRECT(CONCATENATE("offshore!",$D23,":", $D23)), offshore!$4:$4, Y$4)</f>
        <v>104</v>
      </c>
      <c r="Z23" s="37">
        <f ca="1">SUMIFS(  INDIRECT(CONCATENATE("'wind'!", $C23, ":", $C23)),   wind!$6:$6, Z$4) - SUMIFS(   INDIRECT(CONCATENATE("offshore!",$D23,":", $D23)), offshore!$4:$4, Z$4)</f>
        <v>139</v>
      </c>
      <c r="AA23" s="37">
        <f ca="1">SUMIFS(  INDIRECT(CONCATENATE("'wind'!", $C23, ":", $C23)),   wind!$6:$6, AA$4) - SUMIFS(   INDIRECT(CONCATENATE("offshore!",$D23,":", $D23)), offshore!$4:$4, AA$4)</f>
        <v>191</v>
      </c>
      <c r="AB23" s="37">
        <f ca="1">SUMIFS(  INDIRECT(CONCATENATE("'wind'!", $C23, ":", $C23)),   wind!$6:$6, AB$4) - SUMIFS(   INDIRECT(CONCATENATE("offshore!",$D23,":", $D23)), offshore!$4:$4, AB$4)</f>
        <v>905</v>
      </c>
      <c r="AC23" s="37">
        <f ca="1">SUMIFS(  INDIRECT(CONCATENATE("'wind'!", $C23, ":", $C23)),   wind!$6:$6, AC$4) - SUMIFS(   INDIRECT(CONCATENATE("offshore!",$D23,":", $D23)), offshore!$4:$4, AC$4)</f>
        <v>2043</v>
      </c>
      <c r="AD23" s="37">
        <f ca="1">SUMIFS(  INDIRECT(CONCATENATE("'wind'!", $C23, ":", $C23)),   wind!$6:$6, AD$4) - SUMIFS(   INDIRECT(CONCATENATE("offshore!",$D23,":", $D23)), offshore!$4:$4, AD$4)</f>
        <v>2043</v>
      </c>
      <c r="AE23" s="37">
        <f ca="1">SUMIFS(  INDIRECT(CONCATENATE("'wind'!", $C23, ":", $C23)),   wind!$6:$6, AE$4) - SUMIFS(   INDIRECT(CONCATENATE("offshore!",$D23,":", $D23)), offshore!$4:$4, AE$4)</f>
        <v>2043</v>
      </c>
      <c r="AF23" s="38">
        <f ca="1">AE23</f>
        <v>2043</v>
      </c>
      <c r="AG23" s="44">
        <f t="shared" ca="1" si="0"/>
        <v>2535.6333333333314</v>
      </c>
      <c r="AH23" s="24">
        <f t="shared" ca="1" si="1"/>
        <v>3853.4911976912117</v>
      </c>
      <c r="AJ23" s="19">
        <v>1</v>
      </c>
      <c r="AK23" s="19">
        <v>1</v>
      </c>
    </row>
    <row r="24" spans="2:37">
      <c r="B24" s="17"/>
      <c r="C24" s="20">
        <f>MATCH($E24, wind!$C:$C, 0)</f>
        <v>26</v>
      </c>
      <c r="D24" s="20">
        <f>IFERROR(MATCH($E24, offshore!$D:$D, 0), 1)</f>
        <v>1</v>
      </c>
      <c r="E24" s="17" t="s">
        <v>83</v>
      </c>
      <c r="F24" s="37">
        <f ca="1">SUMIFS(  INDIRECT(CONCATENATE("'wind'!", $C24, ":", $C24)),   wind!$6:$6, F$4) - SUMIFS(   INDIRECT(CONCATENATE("offshore!",$D24,":", $D24)), offshore!$4:$4, F$4)</f>
        <v>0</v>
      </c>
      <c r="G24" s="37">
        <f ca="1">SUMIFS(  INDIRECT(CONCATENATE("'wind'!", $C24, ":", $C24)),   wind!$6:$6, G$4) - SUMIFS(   INDIRECT(CONCATENATE("offshore!",$D24,":", $D24)), offshore!$4:$4, G$4)</f>
        <v>0</v>
      </c>
      <c r="H24" s="37">
        <f ca="1">SUMIFS(  INDIRECT(CONCATENATE("'wind'!", $C24, ":", $C24)),   wind!$6:$6, H$4) - SUMIFS(   INDIRECT(CONCATENATE("offshore!",$D24,":", $D24)), offshore!$4:$4, H$4)</f>
        <v>0</v>
      </c>
      <c r="I24" s="37">
        <f ca="1">SUMIFS(  INDIRECT(CONCATENATE("'wind'!", $C24, ":", $C24)),   wind!$6:$6, I$4) - SUMIFS(   INDIRECT(CONCATENATE("offshore!",$D24,":", $D24)), offshore!$4:$4, I$4)</f>
        <v>0</v>
      </c>
      <c r="J24" s="37">
        <f ca="1">SUMIFS(  INDIRECT(CONCATENATE("'wind'!", $C24, ":", $C24)),   wind!$6:$6, J$4) - SUMIFS(   INDIRECT(CONCATENATE("offshore!",$D24,":", $D24)), offshore!$4:$4, J$4)</f>
        <v>0</v>
      </c>
      <c r="K24" s="37">
        <f ca="1">SUMIFS(  INDIRECT(CONCATENATE("'wind'!", $C24, ":", $C24)),   wind!$6:$6, K$4) - SUMIFS(   INDIRECT(CONCATENATE("offshore!",$D24,":", $D24)), offshore!$4:$4, K$4)</f>
        <v>0</v>
      </c>
      <c r="L24" s="37">
        <f ca="1">SUMIFS(  INDIRECT(CONCATENATE("'wind'!", $C24, ":", $C24)),   wind!$6:$6, L$4) - SUMIFS(   INDIRECT(CONCATENATE("offshore!",$D24,":", $D24)), offshore!$4:$4, L$4)</f>
        <v>0</v>
      </c>
      <c r="M24" s="37">
        <f ca="1">SUMIFS(  INDIRECT(CONCATENATE("'wind'!", $C24, ":", $C24)),   wind!$6:$6, M$4) - SUMIFS(   INDIRECT(CONCATENATE("offshore!",$D24,":", $D24)), offshore!$4:$4, M$4)</f>
        <v>77</v>
      </c>
      <c r="N24" s="37">
        <f ca="1">SUMIFS(  INDIRECT(CONCATENATE("'wind'!", $C24, ":", $C24)),   wind!$6:$6, N$4) - SUMIFS(   INDIRECT(CONCATENATE("offshore!",$D24,":", $D24)), offshore!$4:$4, N$4)</f>
        <v>86</v>
      </c>
      <c r="O24" s="37">
        <f ca="1">SUMIFS(  INDIRECT(CONCATENATE("'wind'!", $C24, ":", $C24)),   wind!$6:$6, O$4) - SUMIFS(   INDIRECT(CONCATENATE("offshore!",$D24,":", $D24)), offshore!$4:$4, O$4)</f>
        <v>89</v>
      </c>
      <c r="P24" s="37">
        <f ca="1">SUMIFS(  INDIRECT(CONCATENATE("'wind'!", $C24, ":", $C24)),   wind!$6:$6, P$4) - SUMIFS(   INDIRECT(CONCATENATE("offshore!",$D24,":", $D24)), offshore!$4:$4, P$4)</f>
        <v>90</v>
      </c>
      <c r="Q24" s="37">
        <f ca="1">SUMIFS(  INDIRECT(CONCATENATE("'wind'!", $C24, ":", $C24)),   wind!$6:$6, Q$4) - SUMIFS(   INDIRECT(CONCATENATE("offshore!",$D24,":", $D24)), offshore!$4:$4, Q$4)</f>
        <v>94</v>
      </c>
      <c r="R24" s="37">
        <f ca="1">SUMIFS(  INDIRECT(CONCATENATE("'wind'!", $C24, ":", $C24)),   wind!$6:$6, R$4) - SUMIFS(   INDIRECT(CONCATENATE("offshore!",$D24,":", $D24)), offshore!$4:$4, R$4)</f>
        <v>87</v>
      </c>
      <c r="S24" s="37">
        <f ca="1">SUMIFS(  INDIRECT(CONCATENATE("'wind'!", $C24, ":", $C24)),   wind!$6:$6, S$4) - SUMIFS(   INDIRECT(CONCATENATE("offshore!",$D24,":", $D24)), offshore!$4:$4, S$4)</f>
        <v>151</v>
      </c>
      <c r="T24" s="37">
        <f ca="1">SUMIFS(  INDIRECT(CONCATENATE("'wind'!", $C24, ":", $C24)),   wind!$6:$6, T$4) - SUMIFS(   INDIRECT(CONCATENATE("offshore!",$D24,":", $D24)), offshore!$4:$4, T$4)</f>
        <v>278</v>
      </c>
      <c r="U24" s="37">
        <f ca="1">SUMIFS(  INDIRECT(CONCATENATE("'wind'!", $C24, ":", $C24)),   wind!$6:$6, U$4) - SUMIFS(   INDIRECT(CONCATENATE("offshore!",$D24,":", $D24)), offshore!$4:$4, U$4)</f>
        <v>371</v>
      </c>
      <c r="V24" s="37">
        <f ca="1">SUMIFS(  INDIRECT(CONCATENATE("'wind'!", $C24, ":", $C24)),   wind!$6:$6, V$4) - SUMIFS(   INDIRECT(CONCATENATE("offshore!",$D24,":", $D24)), offshore!$4:$4, V$4)</f>
        <v>498</v>
      </c>
      <c r="W24" s="37">
        <f ca="1">SUMIFS(  INDIRECT(CONCATENATE("'wind'!", $C24, ":", $C24)),   wind!$6:$6, W$4) - SUMIFS(   INDIRECT(CONCATENATE("offshore!",$D24,":", $D24)), offshore!$4:$4, W$4)</f>
        <v>514</v>
      </c>
      <c r="X24" s="37">
        <f ca="1">SUMIFS(  INDIRECT(CONCATENATE("'wind'!", $C24, ":", $C24)),   wind!$6:$6, X$4) - SUMIFS(   INDIRECT(CONCATENATE("offshore!",$D24,":", $D24)), offshore!$4:$4, X$4)</f>
        <v>526</v>
      </c>
      <c r="Y24" s="37">
        <f ca="1">SUMIFS(  INDIRECT(CONCATENATE("'wind'!", $C24, ":", $C24)),   wind!$6:$6, Y$4) - SUMIFS(   INDIRECT(CONCATENATE("offshore!",$D24,":", $D24)), offshore!$4:$4, Y$4)</f>
        <v>593</v>
      </c>
      <c r="Z24" s="37">
        <f ca="1">SUMIFS(  INDIRECT(CONCATENATE("'wind'!", $C24, ":", $C24)),   wind!$6:$6, Z$4) - SUMIFS(   INDIRECT(CONCATENATE("offshore!",$D24,":", $D24)), offshore!$4:$4, Z$4)</f>
        <v>533</v>
      </c>
      <c r="AA24" s="37">
        <f ca="1">SUMIFS(  INDIRECT(CONCATENATE("'wind'!", $C24, ":", $C24)),   wind!$6:$6, AA$4) - SUMIFS(   INDIRECT(CONCATENATE("offshore!",$D24,":", $D24)), offshore!$4:$4, AA$4)</f>
        <v>1170</v>
      </c>
      <c r="AB24" s="37">
        <f ca="1">SUMIFS(  INDIRECT(CONCATENATE("'wind'!", $C24, ":", $C24)),   wind!$6:$6, AB$4) - SUMIFS(   INDIRECT(CONCATENATE("offshore!",$D24,":", $D24)), offshore!$4:$4, AB$4)</f>
        <v>1314</v>
      </c>
      <c r="AC24" s="37">
        <f ca="1">SUMIFS(  INDIRECT(CONCATENATE("'wind'!", $C24, ":", $C24)),   wind!$6:$6, AC$4) - SUMIFS(   INDIRECT(CONCATENATE("offshore!",$D24,":", $D24)), offshore!$4:$4, AC$4)</f>
        <v>1673</v>
      </c>
      <c r="AD24" s="37">
        <f ca="1">SUMIFS(  INDIRECT(CONCATENATE("'wind'!", $C24, ":", $C24)),   wind!$6:$6, AD$4) - SUMIFS(   INDIRECT(CONCATENATE("offshore!",$D24,":", $D24)), offshore!$4:$4, AD$4)</f>
        <v>1673</v>
      </c>
      <c r="AE24" s="37">
        <f ca="1">SUMIFS(  INDIRECT(CONCATENATE("'wind'!", $C24, ":", $C24)),   wind!$6:$6, AE$4) - SUMIFS(   INDIRECT(CONCATENATE("offshore!",$D24,":", $D24)), offshore!$4:$4, AE$4)</f>
        <v>1902</v>
      </c>
      <c r="AF24" s="37">
        <f ca="1">SUMIFS(  INDIRECT(CONCATENATE("'wind'!", $C24, ":", $C24)),   wind!$6:$6, AF$4) - SUMIFS(   INDIRECT(CONCATENATE("offshore!",$D24,":", $D24)), offshore!$4:$4, AF$4)</f>
        <v>1947</v>
      </c>
      <c r="AG24" s="44">
        <f t="shared" ca="1" si="0"/>
        <v>2192.2833333333256</v>
      </c>
      <c r="AH24" s="24">
        <f t="shared" ca="1" si="1"/>
        <v>3057.7396825396281</v>
      </c>
      <c r="AJ24" s="19">
        <v>1</v>
      </c>
      <c r="AK24" s="19">
        <v>1</v>
      </c>
    </row>
    <row r="25" spans="2:37">
      <c r="B25" s="17" t="str">
        <f>E25&amp;"00"</f>
        <v>LT00</v>
      </c>
      <c r="C25" s="20">
        <f>MATCH($E25, wind!$C:$C, 0)</f>
        <v>27</v>
      </c>
      <c r="D25" s="20">
        <f>IFERROR(MATCH($E25, offshore!$D:$D, 0), 1)</f>
        <v>1</v>
      </c>
      <c r="E25" s="17" t="s">
        <v>84</v>
      </c>
      <c r="F25" s="37">
        <f ca="1">SUMIFS(  INDIRECT(CONCATENATE("'wind'!", $C25, ":", $C25)),   wind!$6:$6, F$4) - SUMIFS(   INDIRECT(CONCATENATE("offshore!",$D25,":", $D25)), offshore!$4:$4, F$4)</f>
        <v>0</v>
      </c>
      <c r="G25" s="37">
        <f ca="1">SUMIFS(  INDIRECT(CONCATENATE("'wind'!", $C25, ":", $C25)),   wind!$6:$6, G$4) - SUMIFS(   INDIRECT(CONCATENATE("offshore!",$D25,":", $D25)), offshore!$4:$4, G$4)</f>
        <v>0</v>
      </c>
      <c r="H25" s="37">
        <f ca="1">SUMIFS(  INDIRECT(CONCATENATE("'wind'!", $C25, ":", $C25)),   wind!$6:$6, H$4) - SUMIFS(   INDIRECT(CONCATENATE("offshore!",$D25,":", $D25)), offshore!$4:$4, H$4)</f>
        <v>0</v>
      </c>
      <c r="I25" s="37">
        <f ca="1">SUMIFS(  INDIRECT(CONCATENATE("'wind'!", $C25, ":", $C25)),   wind!$6:$6, I$4) - SUMIFS(   INDIRECT(CONCATENATE("offshore!",$D25,":", $D25)), offshore!$4:$4, I$4)</f>
        <v>0</v>
      </c>
      <c r="J25" s="37">
        <f ca="1">SUMIFS(  INDIRECT(CONCATENATE("'wind'!", $C25, ":", $C25)),   wind!$6:$6, J$4) - SUMIFS(   INDIRECT(CONCATENATE("offshore!",$D25,":", $D25)), offshore!$4:$4, J$4)</f>
        <v>0</v>
      </c>
      <c r="K25" s="37">
        <f ca="1">SUMIFS(  INDIRECT(CONCATENATE("'wind'!", $C25, ":", $C25)),   wind!$6:$6, K$4) - SUMIFS(   INDIRECT(CONCATENATE("offshore!",$D25,":", $D25)), offshore!$4:$4, K$4)</f>
        <v>6</v>
      </c>
      <c r="L25" s="37">
        <f ca="1">SUMIFS(  INDIRECT(CONCATENATE("'wind'!", $C25, ":", $C25)),   wind!$6:$6, L$4) - SUMIFS(   INDIRECT(CONCATENATE("offshore!",$D25,":", $D25)), offshore!$4:$4, L$4)</f>
        <v>6</v>
      </c>
      <c r="M25" s="37">
        <f ca="1">SUMIFS(  INDIRECT(CONCATENATE("'wind'!", $C25, ":", $C25)),   wind!$6:$6, M$4) - SUMIFS(   INDIRECT(CONCATENATE("offshore!",$D25,":", $D25)), offshore!$4:$4, M$4)</f>
        <v>48</v>
      </c>
      <c r="N25" s="37">
        <f ca="1">SUMIFS(  INDIRECT(CONCATENATE("'wind'!", $C25, ":", $C25)),   wind!$6:$6, N$4) - SUMIFS(   INDIRECT(CONCATENATE("offshore!",$D25,":", $D25)), offshore!$4:$4, N$4)</f>
        <v>51</v>
      </c>
      <c r="O25" s="37">
        <f ca="1">SUMIFS(  INDIRECT(CONCATENATE("'wind'!", $C25, ":", $C25)),   wind!$6:$6, O$4) - SUMIFS(   INDIRECT(CONCATENATE("offshore!",$D25,":", $D25)), offshore!$4:$4, O$4)</f>
        <v>54</v>
      </c>
      <c r="P25" s="37">
        <f ca="1">SUMIFS(  INDIRECT(CONCATENATE("'wind'!", $C25, ":", $C25)),   wind!$6:$6, P$4) - SUMIFS(   INDIRECT(CONCATENATE("offshore!",$D25,":", $D25)), offshore!$4:$4, P$4)</f>
        <v>54</v>
      </c>
      <c r="Q25" s="37">
        <f ca="1">SUMIFS(  INDIRECT(CONCATENATE("'wind'!", $C25, ":", $C25)),   wind!$6:$6, Q$4) - SUMIFS(   INDIRECT(CONCATENATE("offshore!",$D25,":", $D25)), offshore!$4:$4, Q$4)</f>
        <v>91</v>
      </c>
      <c r="R25" s="37">
        <f ca="1">SUMIFS(  INDIRECT(CONCATENATE("'wind'!", $C25, ":", $C25)),   wind!$6:$6, R$4) - SUMIFS(   INDIRECT(CONCATENATE("offshore!",$D25,":", $D25)), offshore!$4:$4, R$4)</f>
        <v>163</v>
      </c>
      <c r="S25" s="37">
        <f ca="1">SUMIFS(  INDIRECT(CONCATENATE("'wind'!", $C25, ":", $C25)),   wind!$6:$6, S$4) - SUMIFS(   INDIRECT(CONCATENATE("offshore!",$D25,":", $D25)), offshore!$4:$4, S$4)</f>
        <v>179</v>
      </c>
      <c r="T25" s="37">
        <f ca="1">SUMIFS(  INDIRECT(CONCATENATE("'wind'!", $C25, ":", $C25)),   wind!$6:$6, T$4) - SUMIFS(   INDIRECT(CONCATENATE("offshore!",$D25,":", $D25)), offshore!$4:$4, T$4)</f>
        <v>225</v>
      </c>
      <c r="U25" s="37">
        <f ca="1">SUMIFS(  INDIRECT(CONCATENATE("'wind'!", $C25, ":", $C25)),   wind!$6:$6, U$4) - SUMIFS(   INDIRECT(CONCATENATE("offshore!",$D25,":", $D25)), offshore!$4:$4, U$4)</f>
        <v>279</v>
      </c>
      <c r="V25" s="37">
        <f ca="1">SUMIFS(  INDIRECT(CONCATENATE("'wind'!", $C25, ":", $C25)),   wind!$6:$6, V$4) - SUMIFS(   INDIRECT(CONCATENATE("offshore!",$D25,":", $D25)), offshore!$4:$4, V$4)</f>
        <v>279</v>
      </c>
      <c r="W25" s="37">
        <f ca="1">SUMIFS(  INDIRECT(CONCATENATE("'wind'!", $C25, ":", $C25)),   wind!$6:$6, W$4) - SUMIFS(   INDIRECT(CONCATENATE("offshore!",$D25,":", $D25)), offshore!$4:$4, W$4)</f>
        <v>421</v>
      </c>
      <c r="X25" s="37">
        <f ca="1">SUMIFS(  INDIRECT(CONCATENATE("'wind'!", $C25, ":", $C25)),   wind!$6:$6, X$4) - SUMIFS(   INDIRECT(CONCATENATE("offshore!",$D25,":", $D25)), offshore!$4:$4, X$4)</f>
        <v>421</v>
      </c>
      <c r="Y25" s="37">
        <f ca="1">SUMIFS(  INDIRECT(CONCATENATE("'wind'!", $C25, ":", $C25)),   wind!$6:$6, Y$4) - SUMIFS(   INDIRECT(CONCATENATE("offshore!",$D25,":", $D25)), offshore!$4:$4, Y$4)</f>
        <v>421</v>
      </c>
      <c r="Z25" s="37">
        <f ca="1">SUMIFS(  INDIRECT(CONCATENATE("'wind'!", $C25, ":", $C25)),   wind!$6:$6, Z$4) - SUMIFS(   INDIRECT(CONCATENATE("offshore!",$D25,":", $D25)), offshore!$4:$4, Z$4)</f>
        <v>439</v>
      </c>
      <c r="AA25" s="37">
        <f ca="1">SUMIFS(  INDIRECT(CONCATENATE("'wind'!", $C25, ":", $C25)),   wind!$6:$6, AA$4) - SUMIFS(   INDIRECT(CONCATENATE("offshore!",$D25,":", $D25)), offshore!$4:$4, AA$4)</f>
        <v>548</v>
      </c>
      <c r="AB25" s="37">
        <f ca="1">SUMIFS(  INDIRECT(CONCATENATE("'wind'!", $C25, ":", $C25)),   wind!$6:$6, AB$4) - SUMIFS(   INDIRECT(CONCATENATE("offshore!",$D25,":", $D25)), offshore!$4:$4, AB$4)</f>
        <v>548</v>
      </c>
      <c r="AC25" s="37">
        <f ca="1">SUMIFS(  INDIRECT(CONCATENATE("'wind'!", $C25, ":", $C25)),   wind!$6:$6, AC$4) - SUMIFS(   INDIRECT(CONCATENATE("offshore!",$D25,":", $D25)), offshore!$4:$4, AC$4)</f>
        <v>668</v>
      </c>
      <c r="AD25" s="37">
        <f ca="1">SUMIFS(  INDIRECT(CONCATENATE("'wind'!", $C25, ":", $C25)),   wind!$6:$6, AD$4) - SUMIFS(   INDIRECT(CONCATENATE("offshore!",$D25,":", $D25)), offshore!$4:$4, AD$4)</f>
        <v>740</v>
      </c>
      <c r="AE25" s="37">
        <f ca="1">SUMIFS(  INDIRECT(CONCATENATE("'wind'!", $C25, ":", $C25)),   wind!$6:$6, AE$4) - SUMIFS(   INDIRECT(CONCATENATE("offshore!",$D25,":", $D25)), offshore!$4:$4, AE$4)</f>
        <v>1208</v>
      </c>
      <c r="AF25" s="37">
        <f ca="1">SUMIFS(  INDIRECT(CONCATENATE("'wind'!", $C25, ":", $C25)),   wind!$6:$6, AF$4) - SUMIFS(   INDIRECT(CONCATENATE("offshore!",$D25,":", $D25)), offshore!$4:$4, AF$4)</f>
        <v>1750</v>
      </c>
      <c r="AG25" s="44">
        <f t="shared" ca="1" si="0"/>
        <v>1944.4800000000628</v>
      </c>
      <c r="AH25" s="24">
        <f t="shared" ca="1" si="1"/>
        <v>2859.6228571428801</v>
      </c>
      <c r="AJ25" s="19">
        <v>1.2</v>
      </c>
      <c r="AK25" s="19">
        <v>1</v>
      </c>
    </row>
    <row r="26" spans="2:37">
      <c r="B26" s="17"/>
      <c r="C26" s="20">
        <f>MATCH($E26, wind!$C:$C, 0)</f>
        <v>28</v>
      </c>
      <c r="D26" s="20">
        <f>IFERROR(MATCH($E26, offshore!$D:$D, 0), 1)</f>
        <v>1</v>
      </c>
      <c r="E26" s="17" t="s">
        <v>85</v>
      </c>
      <c r="F26" s="37">
        <f ca="1">SUMIFS(  INDIRECT(CONCATENATE("'wind'!", $C26, ":", $C26)),   wind!$6:$6, F$4) - SUMIFS(   INDIRECT(CONCATENATE("offshore!",$D26,":", $D26)), offshore!$4:$4, F$4)</f>
        <v>0</v>
      </c>
      <c r="G26" s="37">
        <f ca="1">SUMIFS(  INDIRECT(CONCATENATE("'wind'!", $C26, ":", $C26)),   wind!$6:$6, G$4) - SUMIFS(   INDIRECT(CONCATENATE("offshore!",$D26,":", $D26)), offshore!$4:$4, G$4)</f>
        <v>0</v>
      </c>
      <c r="H26" s="37">
        <f ca="1">SUMIFS(  INDIRECT(CONCATENATE("'wind'!", $C26, ":", $C26)),   wind!$6:$6, H$4) - SUMIFS(   INDIRECT(CONCATENATE("offshore!",$D26,":", $D26)), offshore!$4:$4, H$4)</f>
        <v>0</v>
      </c>
      <c r="I26" s="37">
        <f ca="1">SUMIFS(  INDIRECT(CONCATENATE("'wind'!", $C26, ":", $C26)),   wind!$6:$6, I$4) - SUMIFS(   INDIRECT(CONCATENATE("offshore!",$D26,":", $D26)), offshore!$4:$4, I$4)</f>
        <v>0</v>
      </c>
      <c r="J26" s="37">
        <f ca="1">SUMIFS(  INDIRECT(CONCATENATE("'wind'!", $C26, ":", $C26)),   wind!$6:$6, J$4) - SUMIFS(   INDIRECT(CONCATENATE("offshore!",$D26,":", $D26)), offshore!$4:$4, J$4)</f>
        <v>0</v>
      </c>
      <c r="K26" s="37">
        <f ca="1">SUMIFS(  INDIRECT(CONCATENATE("'wind'!", $C26, ":", $C26)),   wind!$6:$6, K$4) - SUMIFS(   INDIRECT(CONCATENATE("offshore!",$D26,":", $D26)), offshore!$4:$4, K$4)</f>
        <v>0</v>
      </c>
      <c r="L26" s="37">
        <f ca="1">SUMIFS(  INDIRECT(CONCATENATE("'wind'!", $C26, ":", $C26)),   wind!$6:$6, L$4) - SUMIFS(   INDIRECT(CONCATENATE("offshore!",$D26,":", $D26)), offshore!$4:$4, L$4)</f>
        <v>0</v>
      </c>
      <c r="M26" s="37">
        <f ca="1">SUMIFS(  INDIRECT(CONCATENATE("'wind'!", $C26, ":", $C26)),   wind!$6:$6, M$4) - SUMIFS(   INDIRECT(CONCATENATE("offshore!",$D26,":", $D26)), offshore!$4:$4, M$4)</f>
        <v>0</v>
      </c>
      <c r="N26" s="37">
        <f ca="1">SUMIFS(  INDIRECT(CONCATENATE("'wind'!", $C26, ":", $C26)),   wind!$6:$6, N$4) - SUMIFS(   INDIRECT(CONCATENATE("offshore!",$D26,":", $D26)), offshore!$4:$4, N$4)</f>
        <v>0</v>
      </c>
      <c r="O26" s="37">
        <f ca="1">SUMIFS(  INDIRECT(CONCATENATE("'wind'!", $C26, ":", $C26)),   wind!$6:$6, O$4) - SUMIFS(   INDIRECT(CONCATENATE("offshore!",$D26,":", $D26)), offshore!$4:$4, O$4)</f>
        <v>0</v>
      </c>
      <c r="P26" s="37">
        <f ca="1">SUMIFS(  INDIRECT(CONCATENATE("'wind'!", $C26, ":", $C26)),   wind!$6:$6, P$4) - SUMIFS(   INDIRECT(CONCATENATE("offshore!",$D26,":", $D26)), offshore!$4:$4, P$4)</f>
        <v>0</v>
      </c>
      <c r="Q26" s="37">
        <f ca="1">SUMIFS(  INDIRECT(CONCATENATE("'wind'!", $C26, ":", $C26)),   wind!$6:$6, Q$4) - SUMIFS(   INDIRECT(CONCATENATE("offshore!",$D26,":", $D26)), offshore!$4:$4, Q$4)</f>
        <v>28</v>
      </c>
      <c r="R26" s="37">
        <f ca="1">SUMIFS(  INDIRECT(CONCATENATE("'wind'!", $C26, ":", $C26)),   wind!$6:$6, R$4) - SUMIFS(   INDIRECT(CONCATENATE("offshore!",$D26,":", $D26)), offshore!$4:$4, R$4)</f>
        <v>89</v>
      </c>
      <c r="S26" s="37">
        <f ca="1">SUMIFS(  INDIRECT(CONCATENATE("'wind'!", $C26, ":", $C26)),   wind!$6:$6, S$4) - SUMIFS(   INDIRECT(CONCATENATE("offshore!",$D26,":", $D26)), offshore!$4:$4, S$4)</f>
        <v>131</v>
      </c>
      <c r="T26" s="37">
        <f ca="1">SUMIFS(  INDIRECT(CONCATENATE("'wind'!", $C26, ":", $C26)),   wind!$6:$6, T$4) - SUMIFS(   INDIRECT(CONCATENATE("offshore!",$D26,":", $D26)), offshore!$4:$4, T$4)</f>
        <v>180</v>
      </c>
      <c r="U26" s="37">
        <f ca="1">SUMIFS(  INDIRECT(CONCATENATE("'wind'!", $C26, ":", $C26)),   wind!$6:$6, U$4) - SUMIFS(   INDIRECT(CONCATENATE("offshore!",$D26,":", $D26)), offshore!$4:$4, U$4)</f>
        <v>0</v>
      </c>
      <c r="V26" s="37">
        <f ca="1">SUMIFS(  INDIRECT(CONCATENATE("'wind'!", $C26, ":", $C26)),   wind!$6:$6, V$4) - SUMIFS(   INDIRECT(CONCATENATE("offshore!",$D26,":", $D26)), offshore!$4:$4, V$4)</f>
        <v>347</v>
      </c>
      <c r="W26" s="37">
        <f ca="1">SUMIFS(  INDIRECT(CONCATENATE("'wind'!", $C26, ":", $C26)),   wind!$6:$6, W$4) - SUMIFS(   INDIRECT(CONCATENATE("offshore!",$D26,":", $D26)), offshore!$4:$4, W$4)</f>
        <v>462</v>
      </c>
      <c r="X26" s="37">
        <f ca="1">SUMIFS(  INDIRECT(CONCATENATE("'wind'!", $C26, ":", $C26)),   wind!$6:$6, X$4) - SUMIFS(   INDIRECT(CONCATENATE("offshore!",$D26,":", $D26)), offshore!$4:$4, X$4)</f>
        <v>466</v>
      </c>
      <c r="Y26" s="37">
        <f ca="1">SUMIFS(  INDIRECT(CONCATENATE("'wind'!", $C26, ":", $C26)),   wind!$6:$6, Y$4) - SUMIFS(   INDIRECT(CONCATENATE("offshore!",$D26,":", $D26)), offshore!$4:$4, Y$4)</f>
        <v>583</v>
      </c>
      <c r="Z26" s="37">
        <f ca="1">SUMIFS(  INDIRECT(CONCATENATE("'wind'!", $C26, ":", $C26)),   wind!$6:$6, Z$4) - SUMIFS(   INDIRECT(CONCATENATE("offshore!",$D26,":", $D26)), offshore!$4:$4, Z$4)</f>
        <v>583</v>
      </c>
      <c r="AA26" s="37">
        <f ca="1">SUMIFS(  INDIRECT(CONCATENATE("'wind'!", $C26, ":", $C26)),   wind!$6:$6, AA$4) - SUMIFS(   INDIRECT(CONCATENATE("offshore!",$D26,":", $D26)), offshore!$4:$4, AA$4)</f>
        <v>652</v>
      </c>
      <c r="AB26" s="37">
        <f ca="1">SUMIFS(  INDIRECT(CONCATENATE("'wind'!", $C26, ":", $C26)),   wind!$6:$6, AB$4) - SUMIFS(   INDIRECT(CONCATENATE("offshore!",$D26,":", $D26)), offshore!$4:$4, AB$4)</f>
        <v>803</v>
      </c>
      <c r="AC26" s="37">
        <f ca="1">SUMIFS(  INDIRECT(CONCATENATE("'wind'!", $C26, ":", $C26)),   wind!$6:$6, AC$4) - SUMIFS(   INDIRECT(CONCATENATE("offshore!",$D26,":", $D26)), offshore!$4:$4, AC$4)</f>
        <v>990</v>
      </c>
      <c r="AD26" s="37">
        <f ca="1">SUMIFS(  INDIRECT(CONCATENATE("'wind'!", $C26, ":", $C26)),   wind!$6:$6, AD$4) - SUMIFS(   INDIRECT(CONCATENATE("offshore!",$D26,":", $D26)), offshore!$4:$4, AD$4)</f>
        <v>1100</v>
      </c>
      <c r="AE26" s="37">
        <f ca="1">SUMIFS(  INDIRECT(CONCATENATE("'wind'!", $C26, ":", $C26)),   wind!$6:$6, AE$4) - SUMIFS(   INDIRECT(CONCATENATE("offshore!",$D26,":", $D26)), offshore!$4:$4, AE$4)</f>
        <v>1256</v>
      </c>
      <c r="AF26" s="37">
        <f ca="1">SUMIFS(  INDIRECT(CONCATENATE("'wind'!", $C26, ":", $C26)),   wind!$6:$6, AF$4) - SUMIFS(   INDIRECT(CONCATENATE("offshore!",$D26,":", $D26)), offshore!$4:$4, AF$4)</f>
        <v>1303</v>
      </c>
      <c r="AG26" s="44">
        <f t="shared" ca="1" si="0"/>
        <v>1429.2666666666773</v>
      </c>
      <c r="AH26" s="24">
        <f t="shared" ca="1" si="1"/>
        <v>1990.0148629148607</v>
      </c>
      <c r="AJ26" s="19">
        <v>1</v>
      </c>
      <c r="AK26" s="19">
        <v>1</v>
      </c>
    </row>
    <row r="27" spans="2:37">
      <c r="B27" s="17" t="str">
        <f>E27&amp;"00"</f>
        <v>EE00</v>
      </c>
      <c r="C27" s="20">
        <f>MATCH($E27, wind!$C:$C, 0)</f>
        <v>29</v>
      </c>
      <c r="D27" s="20">
        <f>IFERROR(MATCH($E27, offshore!$D:$D, 0), 1)</f>
        <v>1</v>
      </c>
      <c r="E27" s="17" t="s">
        <v>86</v>
      </c>
      <c r="F27" s="37">
        <f ca="1">SUMIFS(  INDIRECT(CONCATENATE("'wind'!", $C27, ":", $C27)),   wind!$6:$6, F$4) - SUMIFS(   INDIRECT(CONCATENATE("offshore!",$D27,":", $D27)), offshore!$4:$4, F$4)</f>
        <v>0</v>
      </c>
      <c r="G27" s="37">
        <f ca="1">SUMIFS(  INDIRECT(CONCATENATE("'wind'!", $C27, ":", $C27)),   wind!$6:$6, G$4) - SUMIFS(   INDIRECT(CONCATENATE("offshore!",$D27,":", $D27)), offshore!$4:$4, G$4)</f>
        <v>0</v>
      </c>
      <c r="H27" s="37">
        <f ca="1">SUMIFS(  INDIRECT(CONCATENATE("'wind'!", $C27, ":", $C27)),   wind!$6:$6, H$4) - SUMIFS(   INDIRECT(CONCATENATE("offshore!",$D27,":", $D27)), offshore!$4:$4, H$4)</f>
        <v>0</v>
      </c>
      <c r="I27" s="37">
        <f ca="1">SUMIFS(  INDIRECT(CONCATENATE("'wind'!", $C27, ":", $C27)),   wind!$6:$6, I$4) - SUMIFS(   INDIRECT(CONCATENATE("offshore!",$D27,":", $D27)), offshore!$4:$4, I$4)</f>
        <v>0</v>
      </c>
      <c r="J27" s="37">
        <f ca="1">SUMIFS(  INDIRECT(CONCATENATE("'wind'!", $C27, ":", $C27)),   wind!$6:$6, J$4) - SUMIFS(   INDIRECT(CONCATENATE("offshore!",$D27,":", $D27)), offshore!$4:$4, J$4)</f>
        <v>2</v>
      </c>
      <c r="K27" s="37">
        <f ca="1">SUMIFS(  INDIRECT(CONCATENATE("'wind'!", $C27, ":", $C27)),   wind!$6:$6, K$4) - SUMIFS(   INDIRECT(CONCATENATE("offshore!",$D27,":", $D27)), offshore!$4:$4, K$4)</f>
        <v>2</v>
      </c>
      <c r="L27" s="37">
        <f ca="1">SUMIFS(  INDIRECT(CONCATENATE("'wind'!", $C27, ":", $C27)),   wind!$6:$6, L$4) - SUMIFS(   INDIRECT(CONCATENATE("offshore!",$D27,":", $D27)), offshore!$4:$4, L$4)</f>
        <v>6</v>
      </c>
      <c r="M27" s="37">
        <f ca="1">SUMIFS(  INDIRECT(CONCATENATE("'wind'!", $C27, ":", $C27)),   wind!$6:$6, M$4) - SUMIFS(   INDIRECT(CONCATENATE("offshore!",$D27,":", $D27)), offshore!$4:$4, M$4)</f>
        <v>32</v>
      </c>
      <c r="N27" s="37">
        <f ca="1">SUMIFS(  INDIRECT(CONCATENATE("'wind'!", $C27, ":", $C27)),   wind!$6:$6, N$4) - SUMIFS(   INDIRECT(CONCATENATE("offshore!",$D27,":", $D27)), offshore!$4:$4, N$4)</f>
        <v>32</v>
      </c>
      <c r="O27" s="37">
        <f ca="1">SUMIFS(  INDIRECT(CONCATENATE("'wind'!", $C27, ":", $C27)),   wind!$6:$6, O$4) - SUMIFS(   INDIRECT(CONCATENATE("offshore!",$D27,":", $D27)), offshore!$4:$4, O$4)</f>
        <v>59</v>
      </c>
      <c r="P27" s="37">
        <f ca="1">SUMIFS(  INDIRECT(CONCATENATE("'wind'!", $C27, ":", $C27)),   wind!$6:$6, P$4) - SUMIFS(   INDIRECT(CONCATENATE("offshore!",$D27,":", $D27)), offshore!$4:$4, P$4)</f>
        <v>78</v>
      </c>
      <c r="Q27" s="37">
        <f ca="1">SUMIFS(  INDIRECT(CONCATENATE("'wind'!", $C27, ":", $C27)),   wind!$6:$6, Q$4) - SUMIFS(   INDIRECT(CONCATENATE("offshore!",$D27,":", $D27)), offshore!$4:$4, Q$4)</f>
        <v>142</v>
      </c>
      <c r="R27" s="37">
        <f ca="1">SUMIFS(  INDIRECT(CONCATENATE("'wind'!", $C27, ":", $C27)),   wind!$6:$6, R$4) - SUMIFS(   INDIRECT(CONCATENATE("offshore!",$D27,":", $D27)), offshore!$4:$4, R$4)</f>
        <v>149</v>
      </c>
      <c r="S27" s="37">
        <f ca="1">SUMIFS(  INDIRECT(CONCATENATE("'wind'!", $C27, ":", $C27)),   wind!$6:$6, S$4) - SUMIFS(   INDIRECT(CONCATENATE("offshore!",$D27,":", $D27)), offshore!$4:$4, S$4)</f>
        <v>184</v>
      </c>
      <c r="T27" s="37">
        <f ca="1">SUMIFS(  INDIRECT(CONCATENATE("'wind'!", $C27, ":", $C27)),   wind!$6:$6, T$4) - SUMIFS(   INDIRECT(CONCATENATE("offshore!",$D27,":", $D27)), offshore!$4:$4, T$4)</f>
        <v>269</v>
      </c>
      <c r="U27" s="37">
        <f ca="1">SUMIFS(  INDIRECT(CONCATENATE("'wind'!", $C27, ":", $C27)),   wind!$6:$6, U$4) - SUMIFS(   INDIRECT(CONCATENATE("offshore!",$D27,":", $D27)), offshore!$4:$4, U$4)</f>
        <v>280</v>
      </c>
      <c r="V27" s="37">
        <f ca="1">SUMIFS(  INDIRECT(CONCATENATE("'wind'!", $C27, ":", $C27)),   wind!$6:$6, V$4) - SUMIFS(   INDIRECT(CONCATENATE("offshore!",$D27,":", $D27)), offshore!$4:$4, V$4)</f>
        <v>302</v>
      </c>
      <c r="W27" s="37">
        <f ca="1">SUMIFS(  INDIRECT(CONCATENATE("'wind'!", $C27, ":", $C27)),   wind!$6:$6, W$4) - SUMIFS(   INDIRECT(CONCATENATE("offshore!",$D27,":", $D27)), offshore!$4:$4, W$4)</f>
        <v>302</v>
      </c>
      <c r="X27" s="37">
        <f ca="1">SUMIFS(  INDIRECT(CONCATENATE("'wind'!", $C27, ":", $C27)),   wind!$6:$6, X$4) - SUMIFS(   INDIRECT(CONCATENATE("offshore!",$D27,":", $D27)), offshore!$4:$4, X$4)</f>
        <v>310</v>
      </c>
      <c r="Y27" s="37">
        <f ca="1">SUMIFS(  INDIRECT(CONCATENATE("'wind'!", $C27, ":", $C27)),   wind!$6:$6, Y$4) - SUMIFS(   INDIRECT(CONCATENATE("offshore!",$D27,":", $D27)), offshore!$4:$4, Y$4)</f>
        <v>310</v>
      </c>
      <c r="Z27" s="37">
        <f ca="1">SUMIFS(  INDIRECT(CONCATENATE("'wind'!", $C27, ":", $C27)),   wind!$6:$6, Z$4) - SUMIFS(   INDIRECT(CONCATENATE("offshore!",$D27,":", $D27)), offshore!$4:$4, Z$4)</f>
        <v>310</v>
      </c>
      <c r="AA27" s="37">
        <f ca="1">SUMIFS(  INDIRECT(CONCATENATE("'wind'!", $C27, ":", $C27)),   wind!$6:$6, AA$4) - SUMIFS(   INDIRECT(CONCATENATE("offshore!",$D27,":", $D27)), offshore!$4:$4, AA$4)</f>
        <v>320</v>
      </c>
      <c r="AB27" s="37">
        <f ca="1">SUMIFS(  INDIRECT(CONCATENATE("'wind'!", $C27, ":", $C27)),   wind!$6:$6, AB$4) - SUMIFS(   INDIRECT(CONCATENATE("offshore!",$D27,":", $D27)), offshore!$4:$4, AB$4)</f>
        <v>320</v>
      </c>
      <c r="AC27" s="37">
        <f ca="1">SUMIFS(  INDIRECT(CONCATENATE("'wind'!", $C27, ":", $C27)),   wind!$6:$6, AC$4) - SUMIFS(   INDIRECT(CONCATENATE("offshore!",$D27,":", $D27)), offshore!$4:$4, AC$4)</f>
        <v>320</v>
      </c>
      <c r="AD27" s="37">
        <f ca="1">SUMIFS(  INDIRECT(CONCATENATE("'wind'!", $C27, ":", $C27)),   wind!$6:$6, AD$4) - SUMIFS(   INDIRECT(CONCATENATE("offshore!",$D27,":", $D27)), offshore!$4:$4, AD$4)</f>
        <v>320</v>
      </c>
      <c r="AE27" s="37">
        <f ca="1">SUMIFS(  INDIRECT(CONCATENATE("'wind'!", $C27, ":", $C27)),   wind!$6:$6, AE$4) - SUMIFS(   INDIRECT(CONCATENATE("offshore!",$D27,":", $D27)), offshore!$4:$4, AE$4)</f>
        <v>376</v>
      </c>
      <c r="AF27" s="37">
        <f ca="1">SUMIFS(  INDIRECT(CONCATENATE("'wind'!", $C27, ":", $C27)),   wind!$6:$6, AF$4) - SUMIFS(   INDIRECT(CONCATENATE("offshore!",$D27,":", $D27)), offshore!$4:$4, AF$4)</f>
        <v>711</v>
      </c>
      <c r="AG27" s="44">
        <f t="shared" ca="1" si="0"/>
        <v>732.33</v>
      </c>
      <c r="AH27" s="24">
        <f t="shared" ca="1" si="1"/>
        <v>961.6795670995707</v>
      </c>
      <c r="AJ27" s="19">
        <v>1</v>
      </c>
      <c r="AK27" s="19">
        <v>1</v>
      </c>
    </row>
    <row r="28" spans="2:37">
      <c r="B28" s="17"/>
      <c r="C28" s="20">
        <f>MATCH($E28, wind!$C:$C, 0)</f>
        <v>30</v>
      </c>
      <c r="D28" s="20">
        <f>IFERROR(MATCH($E28, offshore!$D:$D, 0), 1)</f>
        <v>1</v>
      </c>
      <c r="E28" s="17" t="s">
        <v>87</v>
      </c>
      <c r="F28" s="37">
        <f ca="1">SUMIFS(  INDIRECT(CONCATENATE("'wind'!", $C28, ":", $C28)),   wind!$6:$6, F$4) - SUMIFS(   INDIRECT(CONCATENATE("offshore!",$D28,":", $D28)), offshore!$4:$4, F$4)</f>
        <v>0</v>
      </c>
      <c r="G28" s="37">
        <f ca="1">SUMIFS(  INDIRECT(CONCATENATE("'wind'!", $C28, ":", $C28)),   wind!$6:$6, G$4) - SUMIFS(   INDIRECT(CONCATENATE("offshore!",$D28,":", $D28)), offshore!$4:$4, G$4)</f>
        <v>0</v>
      </c>
      <c r="H28" s="37">
        <f ca="1">SUMIFS(  INDIRECT(CONCATENATE("'wind'!", $C28, ":", $C28)),   wind!$6:$6, H$4) - SUMIFS(   INDIRECT(CONCATENATE("offshore!",$D28,":", $D28)), offshore!$4:$4, H$4)</f>
        <v>0</v>
      </c>
      <c r="I28" s="37">
        <f ca="1">SUMIFS(  INDIRECT(CONCATENATE("'wind'!", $C28, ":", $C28)),   wind!$6:$6, I$4) - SUMIFS(   INDIRECT(CONCATENATE("offshore!",$D28,":", $D28)), offshore!$4:$4, I$4)</f>
        <v>0</v>
      </c>
      <c r="J28" s="37">
        <f ca="1">SUMIFS(  INDIRECT(CONCATENATE("'wind'!", $C28, ":", $C28)),   wind!$6:$6, J$4) - SUMIFS(   INDIRECT(CONCATENATE("offshore!",$D28,":", $D28)), offshore!$4:$4, J$4)</f>
        <v>0</v>
      </c>
      <c r="K28" s="37">
        <f ca="1">SUMIFS(  INDIRECT(CONCATENATE("'wind'!", $C28, ":", $C28)),   wind!$6:$6, K$4) - SUMIFS(   INDIRECT(CONCATENATE("offshore!",$D28,":", $D28)), offshore!$4:$4, K$4)</f>
        <v>0</v>
      </c>
      <c r="L28" s="37">
        <f ca="1">SUMIFS(  INDIRECT(CONCATENATE("'wind'!", $C28, ":", $C28)),   wind!$6:$6, L$4) - SUMIFS(   INDIRECT(CONCATENATE("offshore!",$D28,":", $D28)), offshore!$4:$4, L$4)</f>
        <v>10</v>
      </c>
      <c r="M28" s="37">
        <f ca="1">SUMIFS(  INDIRECT(CONCATENATE("'wind'!", $C28, ":", $C28)),   wind!$6:$6, M$4) - SUMIFS(   INDIRECT(CONCATENATE("offshore!",$D28,":", $D28)), offshore!$4:$4, M$4)</f>
        <v>10</v>
      </c>
      <c r="N28" s="37">
        <f ca="1">SUMIFS(  INDIRECT(CONCATENATE("'wind'!", $C28, ":", $C28)),   wind!$6:$6, N$4) - SUMIFS(   INDIRECT(CONCATENATE("offshore!",$D28,":", $D28)), offshore!$4:$4, N$4)</f>
        <v>36</v>
      </c>
      <c r="O28" s="37">
        <f ca="1">SUMIFS(  INDIRECT(CONCATENATE("'wind'!", $C28, ":", $C28)),   wind!$6:$6, O$4) - SUMIFS(   INDIRECT(CONCATENATE("offshore!",$D28,":", $D28)), offshore!$4:$4, O$4)</f>
        <v>57</v>
      </c>
      <c r="P28" s="37">
        <f ca="1">SUMIFS(  INDIRECT(CONCATENATE("'wind'!", $C28, ":", $C28)),   wind!$6:$6, P$4) - SUMIFS(   INDIRECT(CONCATENATE("offshore!",$D28,":", $D28)), offshore!$4:$4, P$4)</f>
        <v>120</v>
      </c>
      <c r="Q28" s="37">
        <f ca="1">SUMIFS(  INDIRECT(CONCATENATE("'wind'!", $C28, ":", $C28)),   wind!$6:$6, Q$4) - SUMIFS(   INDIRECT(CONCATENATE("offshore!",$D28,":", $D28)), offshore!$4:$4, Q$4)</f>
        <v>177</v>
      </c>
      <c r="R28" s="37">
        <f ca="1">SUMIFS(  INDIRECT(CONCATENATE("'wind'!", $C28, ":", $C28)),   wind!$6:$6, R$4) - SUMIFS(   INDIRECT(CONCATENATE("offshore!",$D28,":", $D28)), offshore!$4:$4, R$4)</f>
        <v>375</v>
      </c>
      <c r="S28" s="37">
        <f ca="1">SUMIFS(  INDIRECT(CONCATENATE("'wind'!", $C28, ":", $C28)),   wind!$6:$6, S$4) - SUMIFS(   INDIRECT(CONCATENATE("offshore!",$D28,":", $D28)), offshore!$4:$4, S$4)</f>
        <v>612</v>
      </c>
      <c r="T28" s="37">
        <f ca="1">SUMIFS(  INDIRECT(CONCATENATE("'wind'!", $C28, ":", $C28)),   wind!$6:$6, T$4) - SUMIFS(   INDIRECT(CONCATENATE("offshore!",$D28,":", $D28)), offshore!$4:$4, T$4)</f>
        <v>674</v>
      </c>
      <c r="U28" s="37">
        <f ca="1">SUMIFS(  INDIRECT(CONCATENATE("'wind'!", $C28, ":", $C28)),   wind!$6:$6, U$4) - SUMIFS(   INDIRECT(CONCATENATE("offshore!",$D28,":", $D28)), offshore!$4:$4, U$4)</f>
        <v>681</v>
      </c>
      <c r="V28" s="37">
        <f ca="1">SUMIFS(  INDIRECT(CONCATENATE("'wind'!", $C28, ":", $C28)),   wind!$6:$6, V$4) - SUMIFS(   INDIRECT(CONCATENATE("offshore!",$D28,":", $D28)), offshore!$4:$4, V$4)</f>
        <v>691</v>
      </c>
      <c r="W28" s="37">
        <f ca="1">SUMIFS(  INDIRECT(CONCATENATE("'wind'!", $C28, ":", $C28)),   wind!$6:$6, W$4) - SUMIFS(   INDIRECT(CONCATENATE("offshore!",$D28,":", $D28)), offshore!$4:$4, W$4)</f>
        <v>691</v>
      </c>
      <c r="X28" s="37">
        <f ca="1">SUMIFS(  INDIRECT(CONCATENATE("'wind'!", $C28, ":", $C28)),   wind!$6:$6, X$4) - SUMIFS(   INDIRECT(CONCATENATE("offshore!",$D28,":", $D28)), offshore!$4:$4, X$4)</f>
        <v>691</v>
      </c>
      <c r="Y28" s="37">
        <f ca="1">SUMIFS(  INDIRECT(CONCATENATE("'wind'!", $C28, ":", $C28)),   wind!$6:$6, Y$4) - SUMIFS(   INDIRECT(CONCATENATE("offshore!",$D28,":", $D28)), offshore!$4:$4, Y$4)</f>
        <v>691</v>
      </c>
      <c r="Z28" s="37">
        <f ca="1">SUMIFS(  INDIRECT(CONCATENATE("'wind'!", $C28, ":", $C28)),   wind!$6:$6, Z$4) - SUMIFS(   INDIRECT(CONCATENATE("offshore!",$D28,":", $D28)), offshore!$4:$4, Z$4)</f>
        <v>691</v>
      </c>
      <c r="AA28" s="37">
        <f ca="1">SUMIFS(  INDIRECT(CONCATENATE("'wind'!", $C28, ":", $C28)),   wind!$6:$6, AA$4) - SUMIFS(   INDIRECT(CONCATENATE("offshore!",$D28,":", $D28)), offshore!$4:$4, AA$4)</f>
        <v>691</v>
      </c>
      <c r="AB28" s="37">
        <f ca="1">SUMIFS(  INDIRECT(CONCATENATE("'wind'!", $C28, ":", $C28)),   wind!$6:$6, AB$4) - SUMIFS(   INDIRECT(CONCATENATE("offshore!",$D28,":", $D28)), offshore!$4:$4, AB$4)</f>
        <v>691</v>
      </c>
      <c r="AC28" s="37">
        <f ca="1">SUMIFS(  INDIRECT(CONCATENATE("'wind'!", $C28, ":", $C28)),   wind!$6:$6, AC$4) - SUMIFS(   INDIRECT(CONCATENATE("offshore!",$D28,":", $D28)), offshore!$4:$4, AC$4)</f>
        <v>707</v>
      </c>
      <c r="AD28" s="37">
        <f ca="1">SUMIFS(  INDIRECT(CONCATENATE("'wind'!", $C28, ":", $C28)),   wind!$6:$6, AD$4) - SUMIFS(   INDIRECT(CONCATENATE("offshore!",$D28,":", $D28)), offshore!$4:$4, AD$4)</f>
        <v>707</v>
      </c>
      <c r="AE28" s="37">
        <f ca="1">SUMIFS(  INDIRECT(CONCATENATE("'wind'!", $C28, ":", $C28)),   wind!$6:$6, AE$4) - SUMIFS(   INDIRECT(CONCATENATE("offshore!",$D28,":", $D28)), offshore!$4:$4, AE$4)</f>
        <v>706</v>
      </c>
      <c r="AF28" s="37">
        <f ca="1">SUMIFS(  INDIRECT(CONCATENATE("'wind'!", $C28, ":", $C28)),   wind!$6:$6, AF$4) - SUMIFS(   INDIRECT(CONCATENATE("offshore!",$D28,":", $D28)), offshore!$4:$4, AF$4)</f>
        <v>706</v>
      </c>
      <c r="AG28" s="44">
        <f t="shared" ca="1" si="0"/>
        <v>727.18000000000006</v>
      </c>
      <c r="AH28" s="24">
        <f t="shared" ca="1" si="1"/>
        <v>737.77523809523791</v>
      </c>
      <c r="AJ28" s="19">
        <v>1</v>
      </c>
      <c r="AK28" s="19">
        <v>1</v>
      </c>
    </row>
    <row r="29" spans="2:37">
      <c r="B29" s="17"/>
      <c r="C29" s="20">
        <f>MATCH($E29, wind!$C:$C, 0)</f>
        <v>31</v>
      </c>
      <c r="D29" s="20">
        <f>IFERROR(MATCH($E29, offshore!$D:$D, 0), 1)</f>
        <v>1</v>
      </c>
      <c r="E29" s="17" t="s">
        <v>88</v>
      </c>
      <c r="F29" s="37">
        <f ca="1">SUMIFS(  INDIRECT(CONCATENATE("'wind'!", $C29, ":", $C29)),   wind!$6:$6, F$4) - SUMIFS(   INDIRECT(CONCATENATE("offshore!",$D29,":", $D29)), offshore!$4:$4, F$4)</f>
        <v>0</v>
      </c>
      <c r="G29" s="37">
        <f ca="1">SUMIFS(  INDIRECT(CONCATENATE("'wind'!", $C29, ":", $C29)),   wind!$6:$6, G$4) - SUMIFS(   INDIRECT(CONCATENATE("offshore!",$D29,":", $D29)), offshore!$4:$4, G$4)</f>
        <v>0</v>
      </c>
      <c r="H29" s="37">
        <f ca="1">SUMIFS(  INDIRECT(CONCATENATE("'wind'!", $C29, ":", $C29)),   wind!$6:$6, H$4) - SUMIFS(   INDIRECT(CONCATENATE("offshore!",$D29,":", $D29)), offshore!$4:$4, H$4)</f>
        <v>0</v>
      </c>
      <c r="I29" s="37">
        <f ca="1">SUMIFS(  INDIRECT(CONCATENATE("'wind'!", $C29, ":", $C29)),   wind!$6:$6, I$4) - SUMIFS(   INDIRECT(CONCATENATE("offshore!",$D29,":", $D29)), offshore!$4:$4, I$4)</f>
        <v>0</v>
      </c>
      <c r="J29" s="37">
        <f ca="1">SUMIFS(  INDIRECT(CONCATENATE("'wind'!", $C29, ":", $C29)),   wind!$6:$6, J$4) - SUMIFS(   INDIRECT(CONCATENATE("offshore!",$D29,":", $D29)), offshore!$4:$4, J$4)</f>
        <v>0</v>
      </c>
      <c r="K29" s="37">
        <f ca="1">SUMIFS(  INDIRECT(CONCATENATE("'wind'!", $C29, ":", $C29)),   wind!$6:$6, K$4) - SUMIFS(   INDIRECT(CONCATENATE("offshore!",$D29,":", $D29)), offshore!$4:$4, K$4)</f>
        <v>0</v>
      </c>
      <c r="L29" s="37">
        <f ca="1">SUMIFS(  INDIRECT(CONCATENATE("'wind'!", $C29, ":", $C29)),   wind!$6:$6, L$4) - SUMIFS(   INDIRECT(CONCATENATE("offshore!",$D29,":", $D29)), offshore!$4:$4, L$4)</f>
        <v>0</v>
      </c>
      <c r="M29" s="37">
        <f ca="1">SUMIFS(  INDIRECT(CONCATENATE("'wind'!", $C29, ":", $C29)),   wind!$6:$6, M$4) - SUMIFS(   INDIRECT(CONCATENATE("offshore!",$D29,":", $D29)), offshore!$4:$4, M$4)</f>
        <v>0</v>
      </c>
      <c r="N29" s="37">
        <f ca="1">SUMIFS(  INDIRECT(CONCATENATE("'wind'!", $C29, ":", $C29)),   wind!$6:$6, N$4) - SUMIFS(   INDIRECT(CONCATENATE("offshore!",$D29,":", $D29)), offshore!$4:$4, N$4)</f>
        <v>0</v>
      </c>
      <c r="O29" s="37">
        <f ca="1">SUMIFS(  INDIRECT(CONCATENATE("'wind'!", $C29, ":", $C29)),   wind!$6:$6, O$4) - SUMIFS(   INDIRECT(CONCATENATE("offshore!",$D29,":", $D29)), offshore!$4:$4, O$4)</f>
        <v>0</v>
      </c>
      <c r="P29" s="37">
        <f ca="1">SUMIFS(  INDIRECT(CONCATENATE("'wind'!", $C29, ":", $C29)),   wind!$6:$6, P$4) - SUMIFS(   INDIRECT(CONCATENATE("offshore!",$D29,":", $D29)), offshore!$4:$4, P$4)</f>
        <v>0</v>
      </c>
      <c r="Q29" s="37">
        <f ca="1">SUMIFS(  INDIRECT(CONCATENATE("'wind'!", $C29, ":", $C29)),   wind!$6:$6, Q$4) - SUMIFS(   INDIRECT(CONCATENATE("offshore!",$D29,":", $D29)), offshore!$4:$4, Q$4)</f>
        <v>0</v>
      </c>
      <c r="R29" s="37">
        <f ca="1">SUMIFS(  INDIRECT(CONCATENATE("'wind'!", $C29, ":", $C29)),   wind!$6:$6, R$4) - SUMIFS(   INDIRECT(CONCATENATE("offshore!",$D29,":", $D29)), offshore!$4:$4, R$4)</f>
        <v>0</v>
      </c>
      <c r="S29" s="37">
        <f ca="1">SUMIFS(  INDIRECT(CONCATENATE("'wind'!", $C29, ":", $C29)),   wind!$6:$6, S$4) - SUMIFS(   INDIRECT(CONCATENATE("offshore!",$D29,":", $D29)), offshore!$4:$4, S$4)</f>
        <v>0</v>
      </c>
      <c r="T29" s="37">
        <f ca="1">SUMIFS(  INDIRECT(CONCATENATE("'wind'!", $C29, ":", $C29)),   wind!$6:$6, T$4) - SUMIFS(   INDIRECT(CONCATENATE("offshore!",$D29,":", $D29)), offshore!$4:$4, T$4)</f>
        <v>0</v>
      </c>
      <c r="U29" s="37">
        <f ca="1">SUMIFS(  INDIRECT(CONCATENATE("'wind'!", $C29, ":", $C29)),   wind!$6:$6, U$4) - SUMIFS(   INDIRECT(CONCATENATE("offshore!",$D29,":", $D29)), offshore!$4:$4, U$4)</f>
        <v>0</v>
      </c>
      <c r="V29" s="37">
        <f ca="1">SUMIFS(  INDIRECT(CONCATENATE("'wind'!", $C29, ":", $C29)),   wind!$6:$6, V$4) - SUMIFS(   INDIRECT(CONCATENATE("offshore!",$D29,":", $D29)), offshore!$4:$4, V$4)</f>
        <v>0</v>
      </c>
      <c r="W29" s="37">
        <f ca="1">SUMIFS(  INDIRECT(CONCATENATE("'wind'!", $C29, ":", $C29)),   wind!$6:$6, W$4) - SUMIFS(   INDIRECT(CONCATENATE("offshore!",$D29,":", $D29)), offshore!$4:$4, W$4)</f>
        <v>0</v>
      </c>
      <c r="X29" s="37">
        <f ca="1">SUMIFS(  INDIRECT(CONCATENATE("'wind'!", $C29, ":", $C29)),   wind!$6:$6, X$4) - SUMIFS(   INDIRECT(CONCATENATE("offshore!",$D29,":", $D29)), offshore!$4:$4, X$4)</f>
        <v>10</v>
      </c>
      <c r="Y29" s="37">
        <f ca="1">SUMIFS(  INDIRECT(CONCATENATE("'wind'!", $C29, ":", $C29)),   wind!$6:$6, Y$4) - SUMIFS(   INDIRECT(CONCATENATE("offshore!",$D29,":", $D29)), offshore!$4:$4, Y$4)</f>
        <v>18</v>
      </c>
      <c r="Z29" s="37">
        <f ca="1">SUMIFS(  INDIRECT(CONCATENATE("'wind'!", $C29, ":", $C29)),   wind!$6:$6, Z$4) - SUMIFS(   INDIRECT(CONCATENATE("offshore!",$D29,":", $D29)), offshore!$4:$4, Z$4)</f>
        <v>374</v>
      </c>
      <c r="AA29" s="37">
        <f ca="1">SUMIFS(  INDIRECT(CONCATENATE("'wind'!", $C29, ":", $C29)),   wind!$6:$6, AA$4) - SUMIFS(   INDIRECT(CONCATENATE("offshore!",$D29,":", $D29)), offshore!$4:$4, AA$4)</f>
        <v>374</v>
      </c>
      <c r="AB29" s="37">
        <f ca="1">SUMIFS(  INDIRECT(CONCATENATE("'wind'!", $C29, ":", $C29)),   wind!$6:$6, AB$4) - SUMIFS(   INDIRECT(CONCATENATE("offshore!",$D29,":", $D29)), offshore!$4:$4, AB$4)</f>
        <v>374</v>
      </c>
      <c r="AC29" s="37">
        <f ca="1">SUMIFS(  INDIRECT(CONCATENATE("'wind'!", $C29, ":", $C29)),   wind!$6:$6, AC$4) - SUMIFS(   INDIRECT(CONCATENATE("offshore!",$D29,":", $D29)), offshore!$4:$4, AC$4)</f>
        <v>374</v>
      </c>
      <c r="AD29" s="37">
        <f ca="1">SUMIFS(  INDIRECT(CONCATENATE("'wind'!", $C29, ":", $C29)),   wind!$6:$6, AD$4) - SUMIFS(   INDIRECT(CONCATENATE("offshore!",$D29,":", $D29)), offshore!$4:$4, AD$4)</f>
        <v>374</v>
      </c>
      <c r="AE29" s="37">
        <f ca="1">SUMIFS(  INDIRECT(CONCATENATE("'wind'!", $C29, ":", $C29)),   wind!$6:$6, AE$4) - SUMIFS(   INDIRECT(CONCATENATE("offshore!",$D29,":", $D29)), offshore!$4:$4, AE$4)</f>
        <v>512</v>
      </c>
      <c r="AF29" s="37">
        <f ca="1">SUMIFS(  INDIRECT(CONCATENATE("'wind'!", $C29, ":", $C29)),   wind!$6:$6, AF$4) - SUMIFS(   INDIRECT(CONCATENATE("offshore!",$D29,":", $D29)), offshore!$4:$4, AF$4)</f>
        <v>623</v>
      </c>
      <c r="AG29" s="44">
        <f t="shared" ca="1" si="0"/>
        <v>654.43333333332703</v>
      </c>
      <c r="AH29" s="24">
        <f t="shared" ca="1" si="1"/>
        <v>982.83665223664138</v>
      </c>
      <c r="AJ29" s="19">
        <v>1</v>
      </c>
      <c r="AK29" s="19">
        <v>1</v>
      </c>
    </row>
    <row r="30" spans="2:37">
      <c r="B30" s="17"/>
      <c r="C30" s="20">
        <f>MATCH($E30, wind!$C:$C, 0)</f>
        <v>32</v>
      </c>
      <c r="D30" s="20">
        <f>IFERROR(MATCH($E30, offshore!$D:$D, 0), 1)</f>
        <v>1</v>
      </c>
      <c r="E30" s="17" t="s">
        <v>89</v>
      </c>
      <c r="F30" s="37">
        <f ca="1">SUMIFS(  INDIRECT(CONCATENATE("'wind'!", $C30, ":", $C30)),   wind!$6:$6, F$4) - SUMIFS(   INDIRECT(CONCATENATE("offshore!",$D30,":", $D30)), offshore!$4:$4, F$4)</f>
        <v>0</v>
      </c>
      <c r="G30" s="37">
        <f ca="1">SUMIFS(  INDIRECT(CONCATENATE("'wind'!", $C30, ":", $C30)),   wind!$6:$6, G$4) - SUMIFS(   INDIRECT(CONCATENATE("offshore!",$D30,":", $D30)), offshore!$4:$4, G$4)</f>
        <v>0</v>
      </c>
      <c r="H30" s="37">
        <f ca="1">SUMIFS(  INDIRECT(CONCATENATE("'wind'!", $C30, ":", $C30)),   wind!$6:$6, H$4) - SUMIFS(   INDIRECT(CONCATENATE("offshore!",$D30,":", $D30)), offshore!$4:$4, H$4)</f>
        <v>0</v>
      </c>
      <c r="I30" s="37">
        <f ca="1">SUMIFS(  INDIRECT(CONCATENATE("'wind'!", $C30, ":", $C30)),   wind!$6:$6, I$4) - SUMIFS(   INDIRECT(CONCATENATE("offshore!",$D30,":", $D30)), offshore!$4:$4, I$4)</f>
        <v>0</v>
      </c>
      <c r="J30" s="37">
        <f ca="1">SUMIFS(  INDIRECT(CONCATENATE("'wind'!", $C30, ":", $C30)),   wind!$6:$6, J$4) - SUMIFS(   INDIRECT(CONCATENATE("offshore!",$D30,":", $D30)), offshore!$4:$4, J$4)</f>
        <v>3</v>
      </c>
      <c r="K30" s="37">
        <f ca="1">SUMIFS(  INDIRECT(CONCATENATE("'wind'!", $C30, ":", $C30)),   wind!$6:$6, K$4) - SUMIFS(   INDIRECT(CONCATENATE("offshore!",$D30,":", $D30)), offshore!$4:$4, K$4)</f>
        <v>9</v>
      </c>
      <c r="L30" s="37">
        <f ca="1">SUMIFS(  INDIRECT(CONCATENATE("'wind'!", $C30, ":", $C30)),   wind!$6:$6, L$4) - SUMIFS(   INDIRECT(CONCATENATE("offshore!",$D30,":", $D30)), offshore!$4:$4, L$4)</f>
        <v>17</v>
      </c>
      <c r="M30" s="37">
        <f ca="1">SUMIFS(  INDIRECT(CONCATENATE("'wind'!", $C30, ":", $C30)),   wind!$6:$6, M$4) - SUMIFS(   INDIRECT(CONCATENATE("offshore!",$D30,":", $D30)), offshore!$4:$4, M$4)</f>
        <v>28</v>
      </c>
      <c r="N30" s="37">
        <f ca="1">SUMIFS(  INDIRECT(CONCATENATE("'wind'!", $C30, ":", $C30)),   wind!$6:$6, N$4) - SUMIFS(   INDIRECT(CONCATENATE("offshore!",$D30,":", $D30)), offshore!$4:$4, N$4)</f>
        <v>54</v>
      </c>
      <c r="O30" s="37">
        <f ca="1">SUMIFS(  INDIRECT(CONCATENATE("'wind'!", $C30, ":", $C30)),   wind!$6:$6, O$4) - SUMIFS(   INDIRECT(CONCATENATE("offshore!",$D30,":", $D30)), offshore!$4:$4, O$4)</f>
        <v>116</v>
      </c>
      <c r="P30" s="37">
        <f ca="1">SUMIFS(  INDIRECT(CONCATENATE("'wind'!", $C30, ":", $C30)),   wind!$6:$6, P$4) - SUMIFS(   INDIRECT(CONCATENATE("offshore!",$D30,":", $D30)), offshore!$4:$4, P$4)</f>
        <v>150</v>
      </c>
      <c r="Q30" s="37">
        <f ca="1">SUMIFS(  INDIRECT(CONCATENATE("'wind'!", $C30, ":", $C30)),   wind!$6:$6, Q$4) - SUMIFS(   INDIRECT(CONCATENATE("offshore!",$D30,":", $D30)), offshore!$4:$4, Q$4)</f>
        <v>192</v>
      </c>
      <c r="R30" s="37">
        <f ca="1">SUMIFS(  INDIRECT(CONCATENATE("'wind'!", $C30, ":", $C30)),   wind!$6:$6, R$4) - SUMIFS(   INDIRECT(CONCATENATE("offshore!",$D30,":", $D30)), offshore!$4:$4, R$4)</f>
        <v>215</v>
      </c>
      <c r="S30" s="37">
        <f ca="1">SUMIFS(  INDIRECT(CONCATENATE("'wind'!", $C30, ":", $C30)),   wind!$6:$6, S$4) - SUMIFS(   INDIRECT(CONCATENATE("offshore!",$D30,":", $D30)), offshore!$4:$4, S$4)</f>
        <v>217</v>
      </c>
      <c r="T30" s="37">
        <f ca="1">SUMIFS(  INDIRECT(CONCATENATE("'wind'!", $C30, ":", $C30)),   wind!$6:$6, T$4) - SUMIFS(   INDIRECT(CONCATENATE("offshore!",$D30,":", $D30)), offshore!$4:$4, T$4)</f>
        <v>260</v>
      </c>
      <c r="U30" s="37">
        <f ca="1">SUMIFS(  INDIRECT(CONCATENATE("'wind'!", $C30, ":", $C30)),   wind!$6:$6, U$4) - SUMIFS(   INDIRECT(CONCATENATE("offshore!",$D30,":", $D30)), offshore!$4:$4, U$4)</f>
        <v>269</v>
      </c>
      <c r="V30" s="37">
        <f ca="1">SUMIFS(  INDIRECT(CONCATENATE("'wind'!", $C30, ":", $C30)),   wind!$6:$6, V$4) - SUMIFS(   INDIRECT(CONCATENATE("offshore!",$D30,":", $D30)), offshore!$4:$4, V$4)</f>
        <v>281</v>
      </c>
      <c r="W30" s="37">
        <f ca="1">SUMIFS(  INDIRECT(CONCATENATE("'wind'!", $C30, ":", $C30)),   wind!$6:$6, W$4) - SUMIFS(   INDIRECT(CONCATENATE("offshore!",$D30,":", $D30)), offshore!$4:$4, W$4)</f>
        <v>281</v>
      </c>
      <c r="X30" s="37">
        <f ca="1">SUMIFS(  INDIRECT(CONCATENATE("'wind'!", $C30, ":", $C30)),   wind!$6:$6, X$4) - SUMIFS(   INDIRECT(CONCATENATE("offshore!",$D30,":", $D30)), offshore!$4:$4, X$4)</f>
        <v>281</v>
      </c>
      <c r="Y30" s="37">
        <f ca="1">SUMIFS(  INDIRECT(CONCATENATE("'wind'!", $C30, ":", $C30)),   wind!$6:$6, Y$4) - SUMIFS(   INDIRECT(CONCATENATE("offshore!",$D30,":", $D30)), offshore!$4:$4, Y$4)</f>
        <v>308</v>
      </c>
      <c r="Z30" s="37">
        <f ca="1">SUMIFS(  INDIRECT(CONCATENATE("'wind'!", $C30, ":", $C30)),   wind!$6:$6, Z$4) - SUMIFS(   INDIRECT(CONCATENATE("offshore!",$D30,":", $D30)), offshore!$4:$4, Z$4)</f>
        <v>317</v>
      </c>
      <c r="AA30" s="37">
        <f ca="1">SUMIFS(  INDIRECT(CONCATENATE("'wind'!", $C30, ":", $C30)),   wind!$6:$6, AA$4) - SUMIFS(   INDIRECT(CONCATENATE("offshore!",$D30,":", $D30)), offshore!$4:$4, AA$4)</f>
        <v>337</v>
      </c>
      <c r="AB30" s="37">
        <f ca="1">SUMIFS(  INDIRECT(CONCATENATE("'wind'!", $C30, ":", $C30)),   wind!$6:$6, AB$4) - SUMIFS(   INDIRECT(CONCATENATE("offshore!",$D30,":", $D30)), offshore!$4:$4, AB$4)</f>
        <v>337</v>
      </c>
      <c r="AC30" s="37">
        <f ca="1">SUMIFS(  INDIRECT(CONCATENATE("'wind'!", $C30, ":", $C30)),   wind!$6:$6, AC$4) - SUMIFS(   INDIRECT(CONCATENATE("offshore!",$D30,":", $D30)), offshore!$4:$4, AC$4)</f>
        <v>337</v>
      </c>
      <c r="AD30" s="37">
        <f ca="1">SUMIFS(  INDIRECT(CONCATENATE("'wind'!", $C30, ":", $C30)),   wind!$6:$6, AD$4) - SUMIFS(   INDIRECT(CONCATENATE("offshore!",$D30,":", $D30)), offshore!$4:$4, AD$4)</f>
        <v>337</v>
      </c>
      <c r="AE30" s="37">
        <f ca="1">SUMIFS(  INDIRECT(CONCATENATE("'wind'!", $C30, ":", $C30)),   wind!$6:$6, AE$4) - SUMIFS(   INDIRECT(CONCATENATE("offshore!",$D30,":", $D30)), offshore!$4:$4, AE$4)</f>
        <v>337</v>
      </c>
      <c r="AF30" s="37">
        <f ca="1">SUMIFS(  INDIRECT(CONCATENATE("'wind'!", $C30, ":", $C30)),   wind!$6:$6, AF$4) - SUMIFS(   INDIRECT(CONCATENATE("offshore!",$D30,":", $D30)), offshore!$4:$4, AF$4)</f>
        <v>371</v>
      </c>
      <c r="AG30" s="44">
        <f t="shared" ca="1" si="0"/>
        <v>382.13</v>
      </c>
      <c r="AH30" s="24">
        <f t="shared" ca="1" si="1"/>
        <v>420.09861471861404</v>
      </c>
      <c r="AJ30" s="19">
        <v>1</v>
      </c>
      <c r="AK30" s="19">
        <v>1</v>
      </c>
    </row>
    <row r="31" spans="2:37">
      <c r="B31" s="17"/>
      <c r="C31" s="20">
        <f>MATCH($E31, wind!$C:$C, 0)</f>
        <v>33</v>
      </c>
      <c r="D31" s="20">
        <f>IFERROR(MATCH($E31, offshore!$D:$D, 0), 1)</f>
        <v>1</v>
      </c>
      <c r="E31" s="17" t="s">
        <v>90</v>
      </c>
      <c r="F31" s="37">
        <f ca="1">SUMIFS(  INDIRECT(CONCATENATE("'wind'!", $C31, ":", $C31)),   wind!$6:$6, F$4) - SUMIFS(   INDIRECT(CONCATENATE("offshore!",$D31,":", $D31)), offshore!$4:$4, F$4)</f>
        <v>0</v>
      </c>
      <c r="G31" s="37">
        <f ca="1">SUMIFS(  INDIRECT(CONCATENATE("'wind'!", $C31, ":", $C31)),   wind!$6:$6, G$4) - SUMIFS(   INDIRECT(CONCATENATE("offshore!",$D31,":", $D31)), offshore!$4:$4, G$4)</f>
        <v>0</v>
      </c>
      <c r="H31" s="37">
        <f ca="1">SUMIFS(  INDIRECT(CONCATENATE("'wind'!", $C31, ":", $C31)),   wind!$6:$6, H$4) - SUMIFS(   INDIRECT(CONCATENATE("offshore!",$D31,":", $D31)), offshore!$4:$4, H$4)</f>
        <v>0</v>
      </c>
      <c r="I31" s="37">
        <f ca="1">SUMIFS(  INDIRECT(CONCATENATE("'wind'!", $C31, ":", $C31)),   wind!$6:$6, I$4) - SUMIFS(   INDIRECT(CONCATENATE("offshore!",$D31,":", $D31)), offshore!$4:$4, I$4)</f>
        <v>0</v>
      </c>
      <c r="J31" s="37">
        <f ca="1">SUMIFS(  INDIRECT(CONCATENATE("'wind'!", $C31, ":", $C31)),   wind!$6:$6, J$4) - SUMIFS(   INDIRECT(CONCATENATE("offshore!",$D31,":", $D31)), offshore!$4:$4, J$4)</f>
        <v>3</v>
      </c>
      <c r="K31" s="37">
        <f ca="1">SUMIFS(  INDIRECT(CONCATENATE("'wind'!", $C31, ":", $C31)),   wind!$6:$6, K$4) - SUMIFS(   INDIRECT(CONCATENATE("offshore!",$D31,":", $D31)), offshore!$4:$4, K$4)</f>
        <v>3</v>
      </c>
      <c r="L31" s="37">
        <f ca="1">SUMIFS(  INDIRECT(CONCATENATE("'wind'!", $C31, ":", $C31)),   wind!$6:$6, L$4) - SUMIFS(   INDIRECT(CONCATENATE("offshore!",$D31,":", $D31)), offshore!$4:$4, L$4)</f>
        <v>3</v>
      </c>
      <c r="M31" s="37">
        <f ca="1">SUMIFS(  INDIRECT(CONCATENATE("'wind'!", $C31, ":", $C31)),   wind!$6:$6, M$4) - SUMIFS(   INDIRECT(CONCATENATE("offshore!",$D31,":", $D31)), offshore!$4:$4, M$4)</f>
        <v>17</v>
      </c>
      <c r="N31" s="37">
        <f ca="1">SUMIFS(  INDIRECT(CONCATENATE("'wind'!", $C31, ":", $C31)),   wind!$6:$6, N$4) - SUMIFS(   INDIRECT(CONCATENATE("offshore!",$D31,":", $D31)), offshore!$4:$4, N$4)</f>
        <v>61</v>
      </c>
      <c r="O31" s="37">
        <f ca="1">SUMIFS(  INDIRECT(CONCATENATE("'wind'!", $C31, ":", $C31)),   wind!$6:$6, O$4) - SUMIFS(   INDIRECT(CONCATENATE("offshore!",$D31,":", $D31)), offshore!$4:$4, O$4)</f>
        <v>65</v>
      </c>
      <c r="P31" s="37">
        <f ca="1">SUMIFS(  INDIRECT(CONCATENATE("'wind'!", $C31, ":", $C31)),   wind!$6:$6, P$4) - SUMIFS(   INDIRECT(CONCATENATE("offshore!",$D31,":", $D31)), offshore!$4:$4, P$4)</f>
        <v>127</v>
      </c>
      <c r="Q31" s="37">
        <f ca="1">SUMIFS(  INDIRECT(CONCATENATE("'wind'!", $C31, ":", $C31)),   wind!$6:$6, Q$4) - SUMIFS(   INDIRECT(CONCATENATE("offshore!",$D31,":", $D31)), offshore!$4:$4, Q$4)</f>
        <v>201</v>
      </c>
      <c r="R31" s="37">
        <f ca="1">SUMIFS(  INDIRECT(CONCATENATE("'wind'!", $C31, ":", $C31)),   wind!$6:$6, R$4) - SUMIFS(   INDIRECT(CONCATENATE("offshore!",$D31,":", $D31)), offshore!$4:$4, R$4)</f>
        <v>295</v>
      </c>
      <c r="S31" s="37">
        <f ca="1">SUMIFS(  INDIRECT(CONCATENATE("'wind'!", $C31, ":", $C31)),   wind!$6:$6, S$4) - SUMIFS(   INDIRECT(CONCATENATE("offshore!",$D31,":", $D31)), offshore!$4:$4, S$4)</f>
        <v>329</v>
      </c>
      <c r="T31" s="37">
        <f ca="1">SUMIFS(  INDIRECT(CONCATENATE("'wind'!", $C31, ":", $C31)),   wind!$6:$6, T$4) - SUMIFS(   INDIRECT(CONCATENATE("offshore!",$D31,":", $D31)), offshore!$4:$4, T$4)</f>
        <v>329</v>
      </c>
      <c r="U31" s="37">
        <f ca="1">SUMIFS(  INDIRECT(CONCATENATE("'wind'!", $C31, ":", $C31)),   wind!$6:$6, U$4) - SUMIFS(   INDIRECT(CONCATENATE("offshore!",$D31,":", $D31)), offshore!$4:$4, U$4)</f>
        <v>329</v>
      </c>
      <c r="V31" s="37">
        <f ca="1">SUMIFS(  INDIRECT(CONCATENATE("'wind'!", $C31, ":", $C31)),   wind!$6:$6, V$4) - SUMIFS(   INDIRECT(CONCATENATE("offshore!",$D31,":", $D31)), offshore!$4:$4, V$4)</f>
        <v>329</v>
      </c>
      <c r="W31" s="37">
        <f ca="1">SUMIFS(  INDIRECT(CONCATENATE("'wind'!", $C31, ":", $C31)),   wind!$6:$6, W$4) - SUMIFS(   INDIRECT(CONCATENATE("offshore!",$D31,":", $D31)), offshore!$4:$4, W$4)</f>
        <v>329</v>
      </c>
      <c r="X31" s="37">
        <f ca="1">SUMIFS(  INDIRECT(CONCATENATE("'wind'!", $C31, ":", $C31)),   wind!$6:$6, X$4) - SUMIFS(   INDIRECT(CONCATENATE("offshore!",$D31,":", $D31)), offshore!$4:$4, X$4)</f>
        <v>329</v>
      </c>
      <c r="Y31" s="37">
        <f ca="1">SUMIFS(  INDIRECT(CONCATENATE("'wind'!", $C31, ":", $C31)),   wind!$6:$6, Y$4) - SUMIFS(   INDIRECT(CONCATENATE("offshore!",$D31,":", $D31)), offshore!$4:$4, Y$4)</f>
        <v>329</v>
      </c>
      <c r="Z31" s="37">
        <f ca="1">SUMIFS(  INDIRECT(CONCATENATE("'wind'!", $C31, ":", $C31)),   wind!$6:$6, Z$4) - SUMIFS(   INDIRECT(CONCATENATE("offshore!",$D31,":", $D31)), offshore!$4:$4, Z$4)</f>
        <v>329</v>
      </c>
      <c r="AA31" s="37">
        <f ca="1">SUMIFS(  INDIRECT(CONCATENATE("'wind'!", $C31, ":", $C31)),   wind!$6:$6, AA$4) - SUMIFS(   INDIRECT(CONCATENATE("offshore!",$D31,":", $D31)), offshore!$4:$4, AA$4)</f>
        <v>329</v>
      </c>
      <c r="AB31" s="37">
        <f ca="1">SUMIFS(  INDIRECT(CONCATENATE("'wind'!", $C31, ":", $C31)),   wind!$6:$6, AB$4) - SUMIFS(   INDIRECT(CONCATENATE("offshore!",$D31,":", $D31)), offshore!$4:$4, AB$4)</f>
        <v>329</v>
      </c>
      <c r="AC31" s="37">
        <f ca="1">SUMIFS(  INDIRECT(CONCATENATE("'wind'!", $C31, ":", $C31)),   wind!$6:$6, AC$4) - SUMIFS(   INDIRECT(CONCATENATE("offshore!",$D31,":", $D31)), offshore!$4:$4, AC$4)</f>
        <v>329</v>
      </c>
      <c r="AD31" s="37">
        <f ca="1">SUMIFS(  INDIRECT(CONCATENATE("'wind'!", $C31, ":", $C31)),   wind!$6:$6, AD$4) - SUMIFS(   INDIRECT(CONCATENATE("offshore!",$D31,":", $D31)), offshore!$4:$4, AD$4)</f>
        <v>329</v>
      </c>
      <c r="AE31" s="37">
        <f ca="1">SUMIFS(  INDIRECT(CONCATENATE("'wind'!", $C31, ":", $C31)),   wind!$6:$6, AE$4) - SUMIFS(   INDIRECT(CONCATENATE("offshore!",$D31,":", $D31)), offshore!$4:$4, AE$4)</f>
        <v>329</v>
      </c>
      <c r="AF31" s="37">
        <f ca="1">SUMIFS(  INDIRECT(CONCATENATE("'wind'!", $C31, ":", $C31)),   wind!$6:$6, AF$4) - SUMIFS(   INDIRECT(CONCATENATE("offshore!",$D31,":", $D31)), offshore!$4:$4, AF$4)</f>
        <v>329</v>
      </c>
      <c r="AG31" s="44">
        <f t="shared" ca="1" si="0"/>
        <v>338.87</v>
      </c>
      <c r="AH31" s="24">
        <f t="shared" ca="1" si="1"/>
        <v>337.80181818181808</v>
      </c>
      <c r="AJ31" s="19">
        <v>1</v>
      </c>
      <c r="AK31" s="19">
        <v>1</v>
      </c>
    </row>
    <row r="32" spans="2:37">
      <c r="B32" s="17"/>
      <c r="C32" s="20">
        <f>MATCH($E32, wind!$C:$C, 0)</f>
        <v>34</v>
      </c>
      <c r="D32" s="20">
        <f>IFERROR(MATCH($E32, offshore!$D:$D, 0), 1)</f>
        <v>1</v>
      </c>
      <c r="E32" s="17" t="s">
        <v>91</v>
      </c>
      <c r="F32" s="37">
        <f ca="1">SUMIFS(  INDIRECT(CONCATENATE("'wind'!", $C32, ":", $C32)),   wind!$6:$6, F$4) - SUMIFS(   INDIRECT(CONCATENATE("offshore!",$D32,":", $D32)), offshore!$4:$4, F$4)</f>
        <v>0</v>
      </c>
      <c r="G32" s="37">
        <f ca="1">SUMIFS(  INDIRECT(CONCATENATE("'wind'!", $C32, ":", $C32)),   wind!$6:$6, G$4) - SUMIFS(   INDIRECT(CONCATENATE("offshore!",$D32,":", $D32)), offshore!$4:$4, G$4)</f>
        <v>0</v>
      </c>
      <c r="H32" s="37">
        <f ca="1">SUMIFS(  INDIRECT(CONCATENATE("'wind'!", $C32, ":", $C32)),   wind!$6:$6, H$4) - SUMIFS(   INDIRECT(CONCATENATE("offshore!",$D32,":", $D32)), offshore!$4:$4, H$4)</f>
        <v>0</v>
      </c>
      <c r="I32" s="37">
        <f ca="1">SUMIFS(  INDIRECT(CONCATENATE("'wind'!", $C32, ":", $C32)),   wind!$6:$6, I$4) - SUMIFS(   INDIRECT(CONCATENATE("offshore!",$D32,":", $D32)), offshore!$4:$4, I$4)</f>
        <v>0</v>
      </c>
      <c r="J32" s="37">
        <f ca="1">SUMIFS(  INDIRECT(CONCATENATE("'wind'!", $C32, ":", $C32)),   wind!$6:$6, J$4) - SUMIFS(   INDIRECT(CONCATENATE("offshore!",$D32,":", $D32)), offshore!$4:$4, J$4)</f>
        <v>0</v>
      </c>
      <c r="K32" s="37">
        <f ca="1">SUMIFS(  INDIRECT(CONCATENATE("'wind'!", $C32, ":", $C32)),   wind!$6:$6, K$4) - SUMIFS(   INDIRECT(CONCATENATE("offshore!",$D32,":", $D32)), offshore!$4:$4, K$4)</f>
        <v>0</v>
      </c>
      <c r="L32" s="37">
        <f ca="1">SUMIFS(  INDIRECT(CONCATENATE("'wind'!", $C32, ":", $C32)),   wind!$6:$6, L$4) - SUMIFS(   INDIRECT(CONCATENATE("offshore!",$D32,":", $D32)), offshore!$4:$4, L$4)</f>
        <v>0</v>
      </c>
      <c r="M32" s="37">
        <f ca="1">SUMIFS(  INDIRECT(CONCATENATE("'wind'!", $C32, ":", $C32)),   wind!$6:$6, M$4) - SUMIFS(   INDIRECT(CONCATENATE("offshore!",$D32,":", $D32)), offshore!$4:$4, M$4)</f>
        <v>0</v>
      </c>
      <c r="N32" s="37">
        <f ca="1">SUMIFS(  INDIRECT(CONCATENATE("'wind'!", $C32, ":", $C32)),   wind!$6:$6, N$4) - SUMIFS(   INDIRECT(CONCATENATE("offshore!",$D32,":", $D32)), offshore!$4:$4, N$4)</f>
        <v>0</v>
      </c>
      <c r="O32" s="37">
        <f ca="1">SUMIFS(  INDIRECT(CONCATENATE("'wind'!", $C32, ":", $C32)),   wind!$6:$6, O$4) - SUMIFS(   INDIRECT(CONCATENATE("offshore!",$D32,":", $D32)), offshore!$4:$4, O$4)</f>
        <v>0</v>
      </c>
      <c r="P32" s="37">
        <f ca="1">SUMIFS(  INDIRECT(CONCATENATE("'wind'!", $C32, ":", $C32)),   wind!$6:$6, P$4) - SUMIFS(   INDIRECT(CONCATENATE("offshore!",$D32,":", $D32)), offshore!$4:$4, P$4)</f>
        <v>0</v>
      </c>
      <c r="Q32" s="37">
        <f ca="1">SUMIFS(  INDIRECT(CONCATENATE("'wind'!", $C32, ":", $C32)),   wind!$6:$6, Q$4) - SUMIFS(   INDIRECT(CONCATENATE("offshore!",$D32,":", $D32)), offshore!$4:$4, Q$4)</f>
        <v>0</v>
      </c>
      <c r="R32" s="37">
        <f ca="1">SUMIFS(  INDIRECT(CONCATENATE("'wind'!", $C32, ":", $C32)),   wind!$6:$6, R$4) - SUMIFS(   INDIRECT(CONCATENATE("offshore!",$D32,":", $D32)), offshore!$4:$4, R$4)</f>
        <v>0</v>
      </c>
      <c r="S32" s="37">
        <f ca="1">SUMIFS(  INDIRECT(CONCATENATE("'wind'!", $C32, ":", $C32)),   wind!$6:$6, S$4) - SUMIFS(   INDIRECT(CONCATENATE("offshore!",$D32,":", $D32)), offshore!$4:$4, S$4)</f>
        <v>0</v>
      </c>
      <c r="T32" s="37">
        <f ca="1">SUMIFS(  INDIRECT(CONCATENATE("'wind'!", $C32, ":", $C32)),   wind!$6:$6, T$4) - SUMIFS(   INDIRECT(CONCATENATE("offshore!",$D32,":", $D32)), offshore!$4:$4, T$4)</f>
        <v>0</v>
      </c>
      <c r="U32" s="37">
        <f ca="1">SUMIFS(  INDIRECT(CONCATENATE("'wind'!", $C32, ":", $C32)),   wind!$6:$6, U$4) - SUMIFS(   INDIRECT(CONCATENATE("offshore!",$D32,":", $D32)), offshore!$4:$4, U$4)</f>
        <v>0</v>
      </c>
      <c r="V32" s="37">
        <f ca="1">SUMIFS(  INDIRECT(CONCATENATE("'wind'!", $C32, ":", $C32)),   wind!$6:$6, V$4) - SUMIFS(   INDIRECT(CONCATENATE("offshore!",$D32,":", $D32)), offshore!$4:$4, V$4)</f>
        <v>0</v>
      </c>
      <c r="W32" s="37">
        <f ca="1">SUMIFS(  INDIRECT(CONCATENATE("'wind'!", $C32, ":", $C32)),   wind!$6:$6, W$4) - SUMIFS(   INDIRECT(CONCATENATE("offshore!",$D32,":", $D32)), offshore!$4:$4, W$4)</f>
        <v>0</v>
      </c>
      <c r="X32" s="37">
        <f ca="1">SUMIFS(  INDIRECT(CONCATENATE("'wind'!", $C32, ":", $C32)),   wind!$6:$6, X$4) - SUMIFS(   INDIRECT(CONCATENATE("offshore!",$D32,":", $D32)), offshore!$4:$4, X$4)</f>
        <v>0</v>
      </c>
      <c r="Y32" s="37">
        <f ca="1">SUMIFS(  INDIRECT(CONCATENATE("'wind'!", $C32, ":", $C32)),   wind!$6:$6, Y$4) - SUMIFS(   INDIRECT(CONCATENATE("offshore!",$D32,":", $D32)), offshore!$4:$4, Y$4)</f>
        <v>0</v>
      </c>
      <c r="Z32" s="37">
        <f ca="1">SUMIFS(  INDIRECT(CONCATENATE("'wind'!", $C32, ":", $C32)),   wind!$6:$6, Z$4) - SUMIFS(   INDIRECT(CONCATENATE("offshore!",$D32,":", $D32)), offshore!$4:$4, Z$4)</f>
        <v>51</v>
      </c>
      <c r="AA32" s="37">
        <f ca="1">SUMIFS(  INDIRECT(CONCATENATE("'wind'!", $C32, ":", $C32)),   wind!$6:$6, AA$4) - SUMIFS(   INDIRECT(CONCATENATE("offshore!",$D32,":", $D32)), offshore!$4:$4, AA$4)</f>
        <v>87</v>
      </c>
      <c r="AB32" s="37">
        <f ca="1">SUMIFS(  INDIRECT(CONCATENATE("'wind'!", $C32, ":", $C32)),   wind!$6:$6, AB$4) - SUMIFS(   INDIRECT(CONCATENATE("offshore!",$D32,":", $D32)), offshore!$4:$4, AB$4)</f>
        <v>135</v>
      </c>
      <c r="AC32" s="37">
        <f ca="1">SUMIFS(  INDIRECT(CONCATENATE("'wind'!", $C32, ":", $C32)),   wind!$6:$6, AC$4) - SUMIFS(   INDIRECT(CONCATENATE("offshore!",$D32,":", $D32)), offshore!$4:$4, AC$4)</f>
        <v>135</v>
      </c>
      <c r="AD32" s="37">
        <f ca="1">SUMIFS(  INDIRECT(CONCATENATE("'wind'!", $C32, ":", $C32)),   wind!$6:$6, AD$4) - SUMIFS(   INDIRECT(CONCATENATE("offshore!",$D32,":", $D32)), offshore!$4:$4, AD$4)</f>
        <v>135</v>
      </c>
      <c r="AE32" s="37">
        <f ca="1">SUMIFS(  INDIRECT(CONCATENATE("'wind'!", $C32, ":", $C32)),   wind!$6:$6, AE$4) - SUMIFS(   INDIRECT(CONCATENATE("offshore!",$D32,":", $D32)), offshore!$4:$4, AE$4)</f>
        <v>135</v>
      </c>
      <c r="AF32" s="37">
        <f ca="1">SUMIFS(  INDIRECT(CONCATENATE("'wind'!", $C32, ":", $C32)),   wind!$6:$6, AF$4) - SUMIFS(   INDIRECT(CONCATENATE("offshore!",$D32,":", $D32)), offshore!$4:$4, AF$4)</f>
        <v>244</v>
      </c>
      <c r="AG32" s="44">
        <f t="shared" ca="1" si="0"/>
        <v>251.32</v>
      </c>
      <c r="AH32" s="24">
        <f t="shared" ca="1" si="1"/>
        <v>366.66848484848742</v>
      </c>
      <c r="AJ32" s="19">
        <v>1</v>
      </c>
      <c r="AK32" s="19">
        <v>1</v>
      </c>
    </row>
    <row r="33" spans="1:37">
      <c r="B33" s="17"/>
      <c r="C33" s="20">
        <f>MATCH($E33, wind!$C:$C, 0)</f>
        <v>35</v>
      </c>
      <c r="D33" s="20">
        <f>IFERROR(MATCH($E33, offshore!$D:$D, 0), 1)</f>
        <v>1</v>
      </c>
      <c r="E33" s="17" t="s">
        <v>92</v>
      </c>
      <c r="F33" s="37">
        <f ca="1">SUMIFS(  INDIRECT(CONCATENATE("'wind'!", $C33, ":", $C33)),   wind!$6:$6, F$4) - SUMIFS(   INDIRECT(CONCATENATE("offshore!",$D33,":", $D33)), offshore!$4:$4, F$4)</f>
        <v>9</v>
      </c>
      <c r="G33" s="37">
        <f ca="1">SUMIFS(  INDIRECT(CONCATENATE("'wind'!", $C33, ":", $C33)),   wind!$6:$6, G$4) - SUMIFS(   INDIRECT(CONCATENATE("offshore!",$D33,":", $D33)), offshore!$4:$4, G$4)</f>
        <v>10</v>
      </c>
      <c r="H33" s="37">
        <f ca="1">SUMIFS(  INDIRECT(CONCATENATE("'wind'!", $C33, ":", $C33)),   wind!$6:$6, H$4) - SUMIFS(   INDIRECT(CONCATENATE("offshore!",$D33,":", $D33)), offshore!$4:$4, H$4)</f>
        <v>10</v>
      </c>
      <c r="I33" s="37">
        <f ca="1">SUMIFS(  INDIRECT(CONCATENATE("'wind'!", $C33, ":", $C33)),   wind!$6:$6, I$4) - SUMIFS(   INDIRECT(CONCATENATE("offshore!",$D33,":", $D33)), offshore!$4:$4, I$4)</f>
        <v>15</v>
      </c>
      <c r="J33" s="37">
        <f ca="1">SUMIFS(  INDIRECT(CONCATENATE("'wind'!", $C33, ":", $C33)),   wind!$6:$6, J$4) - SUMIFS(   INDIRECT(CONCATENATE("offshore!",$D33,":", $D33)), offshore!$4:$4, J$4)</f>
        <v>17</v>
      </c>
      <c r="K33" s="37">
        <f ca="1">SUMIFS(  INDIRECT(CONCATENATE("'wind'!", $C33, ":", $C33)),   wind!$6:$6, K$4) - SUMIFS(   INDIRECT(CONCATENATE("offshore!",$D33,":", $D33)), offshore!$4:$4, K$4)</f>
        <v>22</v>
      </c>
      <c r="L33" s="37">
        <f ca="1">SUMIFS(  INDIRECT(CONCATENATE("'wind'!", $C33, ":", $C33)),   wind!$6:$6, L$4) - SUMIFS(   INDIRECT(CONCATENATE("offshore!",$D33,":", $D33)), offshore!$4:$4, L$4)</f>
        <v>35</v>
      </c>
      <c r="M33" s="37">
        <f ca="1">SUMIFS(  INDIRECT(CONCATENATE("'wind'!", $C33, ":", $C33)),   wind!$6:$6, M$4) - SUMIFS(   INDIRECT(CONCATENATE("offshore!",$D33,":", $D33)), offshore!$4:$4, M$4)</f>
        <v>35</v>
      </c>
      <c r="N33" s="37">
        <f ca="1">SUMIFS(  INDIRECT(CONCATENATE("'wind'!", $C33, ":", $C33)),   wind!$6:$6, N$4) - SUMIFS(   INDIRECT(CONCATENATE("offshore!",$D33,":", $D33)), offshore!$4:$4, N$4)</f>
        <v>35</v>
      </c>
      <c r="O33" s="37">
        <f ca="1">SUMIFS(  INDIRECT(CONCATENATE("'wind'!", $C33, ":", $C33)),   wind!$6:$6, O$4) - SUMIFS(   INDIRECT(CONCATENATE("offshore!",$D33,":", $D33)), offshore!$4:$4, O$4)</f>
        <v>35</v>
      </c>
      <c r="P33" s="37">
        <f ca="1">SUMIFS(  INDIRECT(CONCATENATE("'wind'!", $C33, ":", $C33)),   wind!$6:$6, P$4) - SUMIFS(   INDIRECT(CONCATENATE("offshore!",$D33,":", $D33)), offshore!$4:$4, P$4)</f>
        <v>35</v>
      </c>
      <c r="Q33" s="37">
        <f ca="1">SUMIFS(  INDIRECT(CONCATENATE("'wind'!", $C33, ":", $C33)),   wind!$6:$6, Q$4) - SUMIFS(   INDIRECT(CONCATENATE("offshore!",$D33,":", $D33)), offshore!$4:$4, Q$4)</f>
        <v>35</v>
      </c>
      <c r="R33" s="37">
        <f ca="1">SUMIFS(  INDIRECT(CONCATENATE("'wind'!", $C33, ":", $C33)),   wind!$6:$6, R$4) - SUMIFS(   INDIRECT(CONCATENATE("offshore!",$D33,":", $D33)), offshore!$4:$4, R$4)</f>
        <v>44</v>
      </c>
      <c r="S33" s="37">
        <f ca="1">SUMIFS(  INDIRECT(CONCATENATE("'wind'!", $C33, ":", $C33)),   wind!$6:$6, S$4) - SUMIFS(   INDIRECT(CONCATENATE("offshore!",$D33,":", $D33)), offshore!$4:$4, S$4)</f>
        <v>44</v>
      </c>
      <c r="T33" s="37">
        <f ca="1">SUMIFS(  INDIRECT(CONCATENATE("'wind'!", $C33, ":", $C33)),   wind!$6:$6, T$4) - SUMIFS(   INDIRECT(CONCATENATE("offshore!",$D33,":", $D33)), offshore!$4:$4, T$4)</f>
        <v>58</v>
      </c>
      <c r="U33" s="37">
        <f ca="1">SUMIFS(  INDIRECT(CONCATENATE("'wind'!", $C33, ":", $C33)),   wind!$6:$6, U$4) - SUMIFS(   INDIRECT(CONCATENATE("offshore!",$D33,":", $D33)), offshore!$4:$4, U$4)</f>
        <v>58</v>
      </c>
      <c r="V33" s="37">
        <f ca="1">SUMIFS(  INDIRECT(CONCATENATE("'wind'!", $C33, ":", $C33)),   wind!$6:$6, V$4) - SUMIFS(   INDIRECT(CONCATENATE("offshore!",$D33,":", $D33)), offshore!$4:$4, V$4)</f>
        <v>58</v>
      </c>
      <c r="W33" s="37">
        <f ca="1">SUMIFS(  INDIRECT(CONCATENATE("'wind'!", $C33, ":", $C33)),   wind!$6:$6, W$4) - SUMIFS(   INDIRECT(CONCATENATE("offshore!",$D33,":", $D33)), offshore!$4:$4, W$4)</f>
        <v>58</v>
      </c>
      <c r="X33" s="37">
        <f ca="1">SUMIFS(  INDIRECT(CONCATENATE("'wind'!", $C33, ":", $C33)),   wind!$6:$6, X$4) - SUMIFS(   INDIRECT(CONCATENATE("offshore!",$D33,":", $D33)), offshore!$4:$4, X$4)</f>
        <v>100</v>
      </c>
      <c r="Y33" s="37">
        <f ca="1">SUMIFS(  INDIRECT(CONCATENATE("'wind'!", $C33, ":", $C33)),   wind!$6:$6, Y$4) - SUMIFS(   INDIRECT(CONCATENATE("offshore!",$D33,":", $D33)), offshore!$4:$4, Y$4)</f>
        <v>120</v>
      </c>
      <c r="Z33" s="37">
        <f ca="1">SUMIFS(  INDIRECT(CONCATENATE("'wind'!", $C33, ":", $C33)),   wind!$6:$6, Z$4) - SUMIFS(   INDIRECT(CONCATENATE("offshore!",$D33,":", $D33)), offshore!$4:$4, Z$4)</f>
        <v>120</v>
      </c>
      <c r="AA33" s="37">
        <f ca="1">SUMIFS(  INDIRECT(CONCATENATE("'wind'!", $C33, ":", $C33)),   wind!$6:$6, AA$4) - SUMIFS(   INDIRECT(CONCATENATE("offshore!",$D33,":", $D33)), offshore!$4:$4, AA$4)</f>
        <v>136</v>
      </c>
      <c r="AB33" s="37">
        <f ca="1">SUMIFS(  INDIRECT(CONCATENATE("'wind'!", $C33, ":", $C33)),   wind!$6:$6, AB$4) - SUMIFS(   INDIRECT(CONCATENATE("offshore!",$D33,":", $D33)), offshore!$4:$4, AB$4)</f>
        <v>166</v>
      </c>
      <c r="AC33" s="37">
        <f ca="1">SUMIFS(  INDIRECT(CONCATENATE("'wind'!", $C33, ":", $C33)),   wind!$6:$6, AC$4) - SUMIFS(   INDIRECT(CONCATENATE("offshore!",$D33,":", $D33)), offshore!$4:$4, AC$4)</f>
        <v>168</v>
      </c>
      <c r="AD33" s="37">
        <f ca="1">SUMIFS(  INDIRECT(CONCATENATE("'wind'!", $C33, ":", $C33)),   wind!$6:$6, AD$4) - SUMIFS(   INDIRECT(CONCATENATE("offshore!",$D33,":", $D33)), offshore!$4:$4, AD$4)</f>
        <v>166</v>
      </c>
      <c r="AE33" s="37">
        <f ca="1">SUMIFS(  INDIRECT(CONCATENATE("'wind'!", $C33, ":", $C33)),   wind!$6:$6, AE$4) - SUMIFS(   INDIRECT(CONCATENATE("offshore!",$D33,":", $D33)), offshore!$4:$4, AE$4)</f>
        <v>208</v>
      </c>
      <c r="AF33" s="37">
        <f ca="1">SUMIFS(  INDIRECT(CONCATENATE("'wind'!", $C33, ":", $C33)),   wind!$6:$6, AF$4) - SUMIFS(   INDIRECT(CONCATENATE("offshore!",$D33,":", $D33)), offshore!$4:$4, AF$4)</f>
        <v>214</v>
      </c>
      <c r="AG33" s="44">
        <f t="shared" ca="1" si="0"/>
        <v>228.13333333333321</v>
      </c>
      <c r="AH33" s="24">
        <f t="shared" ca="1" si="1"/>
        <v>301.99769119769371</v>
      </c>
      <c r="AJ33" s="19">
        <v>1</v>
      </c>
      <c r="AK33" s="19">
        <v>1</v>
      </c>
    </row>
    <row r="34" spans="1:37">
      <c r="B34" s="17"/>
      <c r="C34" s="20">
        <f>MATCH($E34, wind!$C:$C, 0)</f>
        <v>36</v>
      </c>
      <c r="D34" s="20">
        <f>IFERROR(MATCH($E34, offshore!$D:$D, 0), 1)</f>
        <v>1</v>
      </c>
      <c r="E34" s="17" t="s">
        <v>93</v>
      </c>
      <c r="F34" s="37">
        <f ca="1">SUMIFS(  INDIRECT(CONCATENATE("'wind'!", $C34, ":", $C34)),   wind!$6:$6, F$4) - SUMIFS(   INDIRECT(CONCATENATE("offshore!",$D34,":", $D34)), offshore!$4:$4, F$4)</f>
        <v>0</v>
      </c>
      <c r="G34" s="37">
        <f ca="1">SUMIFS(  INDIRECT(CONCATENATE("'wind'!", $C34, ":", $C34)),   wind!$6:$6, G$4) - SUMIFS(   INDIRECT(CONCATENATE("offshore!",$D34,":", $D34)), offshore!$4:$4, G$4)</f>
        <v>0</v>
      </c>
      <c r="H34" s="37">
        <f ca="1">SUMIFS(  INDIRECT(CONCATENATE("'wind'!", $C34, ":", $C34)),   wind!$6:$6, H$4) - SUMIFS(   INDIRECT(CONCATENATE("offshore!",$D34,":", $D34)), offshore!$4:$4, H$4)</f>
        <v>0</v>
      </c>
      <c r="I34" s="37">
        <f ca="1">SUMIFS(  INDIRECT(CONCATENATE("'wind'!", $C34, ":", $C34)),   wind!$6:$6, I$4) - SUMIFS(   INDIRECT(CONCATENATE("offshore!",$D34,":", $D34)), offshore!$4:$4, I$4)</f>
        <v>0</v>
      </c>
      <c r="J34" s="37">
        <f ca="1">SUMIFS(  INDIRECT(CONCATENATE("'wind'!", $C34, ":", $C34)),   wind!$6:$6, J$4) - SUMIFS(   INDIRECT(CONCATENATE("offshore!",$D34,":", $D34)), offshore!$4:$4, J$4)</f>
        <v>0</v>
      </c>
      <c r="K34" s="37">
        <f ca="1">SUMIFS(  INDIRECT(CONCATENATE("'wind'!", $C34, ":", $C34)),   wind!$6:$6, K$4) - SUMIFS(   INDIRECT(CONCATENATE("offshore!",$D34,":", $D34)), offshore!$4:$4, K$4)</f>
        <v>0</v>
      </c>
      <c r="L34" s="37">
        <f ca="1">SUMIFS(  INDIRECT(CONCATENATE("'wind'!", $C34, ":", $C34)),   wind!$6:$6, L$4) - SUMIFS(   INDIRECT(CONCATENATE("offshore!",$D34,":", $D34)), offshore!$4:$4, L$4)</f>
        <v>0</v>
      </c>
      <c r="M34" s="37">
        <f ca="1">SUMIFS(  INDIRECT(CONCATENATE("'wind'!", $C34, ":", $C34)),   wind!$6:$6, M$4) - SUMIFS(   INDIRECT(CONCATENATE("offshore!",$D34,":", $D34)), offshore!$4:$4, M$4)</f>
        <v>0</v>
      </c>
      <c r="N34" s="37">
        <f ca="1">SUMIFS(  INDIRECT(CONCATENATE("'wind'!", $C34, ":", $C34)),   wind!$6:$6, N$4) - SUMIFS(   INDIRECT(CONCATENATE("offshore!",$D34,":", $D34)), offshore!$4:$4, N$4)</f>
        <v>0</v>
      </c>
      <c r="O34" s="37">
        <f ca="1">SUMIFS(  INDIRECT(CONCATENATE("'wind'!", $C34, ":", $C34)),   wind!$6:$6, O$4) - SUMIFS(   INDIRECT(CONCATENATE("offshore!",$D34,":", $D34)), offshore!$4:$4, O$4)</f>
        <v>0</v>
      </c>
      <c r="P34" s="37">
        <f ca="1">SUMIFS(  INDIRECT(CONCATENATE("'wind'!", $C34, ":", $C34)),   wind!$6:$6, P$4) - SUMIFS(   INDIRECT(CONCATENATE("offshore!",$D34,":", $D34)), offshore!$4:$4, P$4)</f>
        <v>0</v>
      </c>
      <c r="Q34" s="37">
        <f ca="1">SUMIFS(  INDIRECT(CONCATENATE("'wind'!", $C34, ":", $C34)),   wind!$6:$6, Q$4) - SUMIFS(   INDIRECT(CONCATENATE("offshore!",$D34,":", $D34)), offshore!$4:$4, Q$4)</f>
        <v>0</v>
      </c>
      <c r="R34" s="37">
        <f ca="1">SUMIFS(  INDIRECT(CONCATENATE("'wind'!", $C34, ":", $C34)),   wind!$6:$6, R$4) - SUMIFS(   INDIRECT(CONCATENATE("offshore!",$D34,":", $D34)), offshore!$4:$4, R$4)</f>
        <v>82</v>
      </c>
      <c r="S34" s="37">
        <f ca="1">SUMIFS(  INDIRECT(CONCATENATE("'wind'!", $C34, ":", $C34)),   wind!$6:$6, S$4) - SUMIFS(   INDIRECT(CONCATENATE("offshore!",$D34,":", $D34)), offshore!$4:$4, S$4)</f>
        <v>134</v>
      </c>
      <c r="T34" s="37">
        <f ca="1">SUMIFS(  INDIRECT(CONCATENATE("'wind'!", $C34, ":", $C34)),   wind!$6:$6, T$4) - SUMIFS(   INDIRECT(CONCATENATE("offshore!",$D34,":", $D34)), offshore!$4:$4, T$4)</f>
        <v>147</v>
      </c>
      <c r="U34" s="37">
        <f ca="1">SUMIFS(  INDIRECT(CONCATENATE("'wind'!", $C34, ":", $C34)),   wind!$6:$6, U$4) - SUMIFS(   INDIRECT(CONCATENATE("offshore!",$D34,":", $D34)), offshore!$4:$4, U$4)</f>
        <v>147</v>
      </c>
      <c r="V34" s="37">
        <f ca="1">SUMIFS(  INDIRECT(CONCATENATE("'wind'!", $C34, ":", $C34)),   wind!$6:$6, V$4) - SUMIFS(   INDIRECT(CONCATENATE("offshore!",$D34,":", $D34)), offshore!$4:$4, V$4)</f>
        <v>147</v>
      </c>
      <c r="W34" s="37">
        <f ca="1">SUMIFS(  INDIRECT(CONCATENATE("'wind'!", $C34, ":", $C34)),   wind!$6:$6, W$4) - SUMIFS(   INDIRECT(CONCATENATE("offshore!",$D34,":", $D34)), offshore!$4:$4, W$4)</f>
        <v>158</v>
      </c>
      <c r="X34" s="37">
        <f ca="1">SUMIFS(  INDIRECT(CONCATENATE("'wind'!", $C34, ":", $C34)),   wind!$6:$6, X$4) - SUMIFS(   INDIRECT(CONCATENATE("offshore!",$D34,":", $D34)), offshore!$4:$4, X$4)</f>
        <v>158</v>
      </c>
      <c r="Y34" s="37">
        <f ca="1">SUMIFS(  INDIRECT(CONCATENATE("'wind'!", $C34, ":", $C34)),   wind!$6:$6, Y$4) - SUMIFS(   INDIRECT(CONCATENATE("offshore!",$D34,":", $D34)), offshore!$4:$4, Y$4)</f>
        <v>158</v>
      </c>
      <c r="Z34" s="37">
        <f ca="1">SUMIFS(  INDIRECT(CONCATENATE("'wind'!", $C34, ":", $C34)),   wind!$6:$6, Z$4) - SUMIFS(   INDIRECT(CONCATENATE("offshore!",$D34,":", $D34)), offshore!$4:$4, Z$4)</f>
        <v>158</v>
      </c>
      <c r="AA34" s="37">
        <f ca="1">SUMIFS(  INDIRECT(CONCATENATE("'wind'!", $C34, ":", $C34)),   wind!$6:$6, AA$4) - SUMIFS(   INDIRECT(CONCATENATE("offshore!",$D34,":", $D34)), offshore!$4:$4, AA$4)</f>
        <v>158</v>
      </c>
      <c r="AB34" s="37">
        <f ca="1">SUMIFS(  INDIRECT(CONCATENATE("'wind'!", $C34, ":", $C34)),   wind!$6:$6, AB$4) - SUMIFS(   INDIRECT(CONCATENATE("offshore!",$D34,":", $D34)), offshore!$4:$4, AB$4)</f>
        <v>158</v>
      </c>
      <c r="AC34" s="37">
        <f ca="1">SUMIFS(  INDIRECT(CONCATENATE("'wind'!", $C34, ":", $C34)),   wind!$6:$6, AC$4) - SUMIFS(   INDIRECT(CONCATENATE("offshore!",$D34,":", $D34)), offshore!$4:$4, AC$4)</f>
        <v>158</v>
      </c>
      <c r="AD34" s="37">
        <f ca="1">SUMIFS(  INDIRECT(CONCATENATE("'wind'!", $C34, ":", $C34)),   wind!$6:$6, AD$4) - SUMIFS(   INDIRECT(CONCATENATE("offshore!",$D34,":", $D34)), offshore!$4:$4, AD$4)</f>
        <v>158</v>
      </c>
      <c r="AE34" s="37">
        <f ca="1">SUMIFS(  INDIRECT(CONCATENATE("'wind'!", $C34, ":", $C34)),   wind!$6:$6, AE$4) - SUMIFS(   INDIRECT(CONCATENATE("offshore!",$D34,":", $D34)), offshore!$4:$4, AE$4)</f>
        <v>158</v>
      </c>
      <c r="AF34" s="37">
        <f ca="1">SUMIFS(  INDIRECT(CONCATENATE("'wind'!", $C34, ":", $C34)),   wind!$6:$6, AF$4) - SUMIFS(   INDIRECT(CONCATENATE("offshore!",$D34,":", $D34)), offshore!$4:$4, AF$4)</f>
        <v>158</v>
      </c>
      <c r="AG34" s="44">
        <f t="shared" ca="1" si="0"/>
        <v>162.74</v>
      </c>
      <c r="AH34" s="24">
        <f t="shared" ca="1" si="1"/>
        <v>162.22701298701298</v>
      </c>
      <c r="AJ34" s="19">
        <v>1</v>
      </c>
      <c r="AK34" s="19">
        <v>1</v>
      </c>
    </row>
    <row r="35" spans="1:37">
      <c r="B35" s="17"/>
      <c r="C35" s="20">
        <f>MATCH($E35, wind!$C:$C, 0)</f>
        <v>37</v>
      </c>
      <c r="D35" s="20">
        <f>IFERROR(MATCH($E35, offshore!$D:$D, 0), 1)</f>
        <v>1</v>
      </c>
      <c r="E35" s="17" t="s">
        <v>94</v>
      </c>
      <c r="F35" s="37">
        <f ca="1">SUMIFS(  INDIRECT(CONCATENATE("'wind'!", $C35, ":", $C35)),   wind!$6:$6, F$4) - SUMIFS(   INDIRECT(CONCATENATE("offshore!",$D35,":", $D35)), offshore!$4:$4, F$4)</f>
        <v>0</v>
      </c>
      <c r="G35" s="37">
        <f ca="1">SUMIFS(  INDIRECT(CONCATENATE("'wind'!", $C35, ":", $C35)),   wind!$6:$6, G$4) - SUMIFS(   INDIRECT(CONCATENATE("offshore!",$D35,":", $D35)), offshore!$4:$4, G$4)</f>
        <v>0</v>
      </c>
      <c r="H35" s="37">
        <f ca="1">SUMIFS(  INDIRECT(CONCATENATE("'wind'!", $C35, ":", $C35)),   wind!$6:$6, H$4) - SUMIFS(   INDIRECT(CONCATENATE("offshore!",$D35,":", $D35)), offshore!$4:$4, H$4)</f>
        <v>0</v>
      </c>
      <c r="I35" s="37">
        <f ca="1">SUMIFS(  INDIRECT(CONCATENATE("'wind'!", $C35, ":", $C35)),   wind!$6:$6, I$4) - SUMIFS(   INDIRECT(CONCATENATE("offshore!",$D35,":", $D35)), offshore!$4:$4, I$4)</f>
        <v>0</v>
      </c>
      <c r="J35" s="37">
        <f ca="1">SUMIFS(  INDIRECT(CONCATENATE("'wind'!", $C35, ":", $C35)),   wind!$6:$6, J$4) - SUMIFS(   INDIRECT(CONCATENATE("offshore!",$D35,":", $D35)), offshore!$4:$4, J$4)</f>
        <v>0</v>
      </c>
      <c r="K35" s="37">
        <f ca="1">SUMIFS(  INDIRECT(CONCATENATE("'wind'!", $C35, ":", $C35)),   wind!$6:$6, K$4) - SUMIFS(   INDIRECT(CONCATENATE("offshore!",$D35,":", $D35)), offshore!$4:$4, K$4)</f>
        <v>0</v>
      </c>
      <c r="L35" s="37">
        <f ca="1">SUMIFS(  INDIRECT(CONCATENATE("'wind'!", $C35, ":", $C35)),   wind!$6:$6, L$4) - SUMIFS(   INDIRECT(CONCATENATE("offshore!",$D35,":", $D35)), offshore!$4:$4, L$4)</f>
        <v>0</v>
      </c>
      <c r="M35" s="37">
        <f ca="1">SUMIFS(  INDIRECT(CONCATENATE("'wind'!", $C35, ":", $C35)),   wind!$6:$6, M$4) - SUMIFS(   INDIRECT(CONCATENATE("offshore!",$D35,":", $D35)), offshore!$4:$4, M$4)</f>
        <v>0</v>
      </c>
      <c r="N35" s="37">
        <f ca="1">SUMIFS(  INDIRECT(CONCATENATE("'wind'!", $C35, ":", $C35)),   wind!$6:$6, N$4) - SUMIFS(   INDIRECT(CONCATENATE("offshore!",$D35,":", $D35)), offshore!$4:$4, N$4)</f>
        <v>0</v>
      </c>
      <c r="O35" s="37">
        <f ca="1">SUMIFS(  INDIRECT(CONCATENATE("'wind'!", $C35, ":", $C35)),   wind!$6:$6, O$4) - SUMIFS(   INDIRECT(CONCATENATE("offshore!",$D35,":", $D35)), offshore!$4:$4, O$4)</f>
        <v>0</v>
      </c>
      <c r="P35" s="37">
        <f ca="1">SUMIFS(  INDIRECT(CONCATENATE("'wind'!", $C35, ":", $C35)),   wind!$6:$6, P$4) - SUMIFS(   INDIRECT(CONCATENATE("offshore!",$D35,":", $D35)), offshore!$4:$4, P$4)</f>
        <v>0</v>
      </c>
      <c r="Q35" s="37">
        <f ca="1">SUMIFS(  INDIRECT(CONCATENATE("'wind'!", $C35, ":", $C35)),   wind!$6:$6, Q$4) - SUMIFS(   INDIRECT(CONCATENATE("offshore!",$D35,":", $D35)), offshore!$4:$4, Q$4)</f>
        <v>0</v>
      </c>
      <c r="R35" s="37">
        <f ca="1">SUMIFS(  INDIRECT(CONCATENATE("'wind'!", $C35, ":", $C35)),   wind!$6:$6, R$4) - SUMIFS(   INDIRECT(CONCATENATE("offshore!",$D35,":", $D35)), offshore!$4:$4, R$4)</f>
        <v>0</v>
      </c>
      <c r="S35" s="37">
        <f ca="1">SUMIFS(  INDIRECT(CONCATENATE("'wind'!", $C35, ":", $C35)),   wind!$6:$6, S$4) - SUMIFS(   INDIRECT(CONCATENATE("offshore!",$D35,":", $D35)), offshore!$4:$4, S$4)</f>
        <v>0</v>
      </c>
      <c r="T35" s="37">
        <f ca="1">SUMIFS(  INDIRECT(CONCATENATE("'wind'!", $C35, ":", $C35)),   wind!$6:$6, T$4) - SUMIFS(   INDIRECT(CONCATENATE("offshore!",$D35,":", $D35)), offshore!$4:$4, T$4)</f>
        <v>0</v>
      </c>
      <c r="U35" s="37">
        <f ca="1">SUMIFS(  INDIRECT(CONCATENATE("'wind'!", $C35, ":", $C35)),   wind!$6:$6, U$4) - SUMIFS(   INDIRECT(CONCATENATE("offshore!",$D35,":", $D35)), offshore!$4:$4, U$4)</f>
        <v>0</v>
      </c>
      <c r="V35" s="37">
        <f ca="1">SUMIFS(  INDIRECT(CONCATENATE("'wind'!", $C35, ":", $C35)),   wind!$6:$6, V$4) - SUMIFS(   INDIRECT(CONCATENATE("offshore!",$D35,":", $D35)), offshore!$4:$4, V$4)</f>
        <v>0</v>
      </c>
      <c r="W35" s="37">
        <f ca="1">SUMIFS(  INDIRECT(CONCATENATE("'wind'!", $C35, ":", $C35)),   wind!$6:$6, W$4) - SUMIFS(   INDIRECT(CONCATENATE("offshore!",$D35,":", $D35)), offshore!$4:$4, W$4)</f>
        <v>0</v>
      </c>
      <c r="X35" s="37">
        <f ca="1">SUMIFS(  INDIRECT(CONCATENATE("'wind'!", $C35, ":", $C35)),   wind!$6:$6, X$4) - SUMIFS(   INDIRECT(CONCATENATE("offshore!",$D35,":", $D35)), offshore!$4:$4, X$4)</f>
        <v>0</v>
      </c>
      <c r="Y35" s="37">
        <f ca="1">SUMIFS(  INDIRECT(CONCATENATE("'wind'!", $C35, ":", $C35)),   wind!$6:$6, Y$4) - SUMIFS(   INDIRECT(CONCATENATE("offshore!",$D35,":", $D35)), offshore!$4:$4, Y$4)</f>
        <v>0</v>
      </c>
      <c r="Z35" s="37">
        <f ca="1">SUMIFS(  INDIRECT(CONCATENATE("'wind'!", $C35, ":", $C35)),   wind!$6:$6, Z$4) - SUMIFS(   INDIRECT(CONCATENATE("offshore!",$D35,":", $D35)), offshore!$4:$4, Z$4)</f>
        <v>32</v>
      </c>
      <c r="AA35" s="37">
        <f ca="1">SUMIFS(  INDIRECT(CONCATENATE("'wind'!", $C35, ":", $C35)),   wind!$6:$6, AA$4) - SUMIFS(   INDIRECT(CONCATENATE("offshore!",$D35,":", $D35)), offshore!$4:$4, AA$4)</f>
        <v>32</v>
      </c>
      <c r="AB35" s="37">
        <f ca="1">SUMIFS(  INDIRECT(CONCATENATE("'wind'!", $C35, ":", $C35)),   wind!$6:$6, AB$4) - SUMIFS(   INDIRECT(CONCATENATE("offshore!",$D35,":", $D35)), offshore!$4:$4, AB$4)</f>
        <v>32</v>
      </c>
      <c r="AC35" s="37">
        <f ca="1">SUMIFS(  INDIRECT(CONCATENATE("'wind'!", $C35, ":", $C35)),   wind!$6:$6, AC$4) - SUMIFS(   INDIRECT(CONCATENATE("offshore!",$D35,":", $D35)), offshore!$4:$4, AC$4)</f>
        <v>137</v>
      </c>
      <c r="AD35" s="37">
        <f ca="1">SUMIFS(  INDIRECT(CONCATENATE("'wind'!", $C35, ":", $C35)),   wind!$6:$6, AD$4) - SUMIFS(   INDIRECT(CONCATENATE("offshore!",$D35,":", $D35)), offshore!$4:$4, AD$4)</f>
        <v>137</v>
      </c>
      <c r="AE35" s="37">
        <f ca="1">SUMIFS(  INDIRECT(CONCATENATE("'wind'!", $C35, ":", $C35)),   wind!$6:$6, AE$4) - SUMIFS(   INDIRECT(CONCATENATE("offshore!",$D35,":", $D35)), offshore!$4:$4, AE$4)</f>
        <v>137</v>
      </c>
      <c r="AF35" s="37">
        <f ca="1">SUMIFS(  INDIRECT(CONCATENATE("'wind'!", $C35, ":", $C35)),   wind!$6:$6, AF$4) - SUMIFS(   INDIRECT(CONCATENATE("offshore!",$D35,":", $D35)), offshore!$4:$4, AF$4)</f>
        <v>137</v>
      </c>
      <c r="AG35" s="44">
        <f t="shared" ca="1" si="0"/>
        <v>174.89999999999782</v>
      </c>
      <c r="AH35" s="24">
        <f t="shared" ca="1" si="1"/>
        <v>274.34372294372588</v>
      </c>
      <c r="AJ35" s="19">
        <v>1</v>
      </c>
      <c r="AK35" s="19">
        <v>1</v>
      </c>
    </row>
    <row r="36" spans="1:37">
      <c r="B36" s="17" t="str">
        <f>E36&amp;"00"</f>
        <v>LV00</v>
      </c>
      <c r="C36" s="20">
        <f>MATCH($E36, wind!$C:$C, 0)</f>
        <v>38</v>
      </c>
      <c r="D36" s="20">
        <f>IFERROR(MATCH($E36, offshore!$D:$D, 0), 1)</f>
        <v>1</v>
      </c>
      <c r="E36" s="17" t="s">
        <v>95</v>
      </c>
      <c r="F36" s="37">
        <f ca="1">SUMIFS(  INDIRECT(CONCATENATE("'wind'!", $C36, ":", $C36)),   wind!$6:$6, F$4) - SUMIFS(   INDIRECT(CONCATENATE("offshore!",$D36,":", $D36)), offshore!$4:$4, F$4)</f>
        <v>0</v>
      </c>
      <c r="G36" s="37">
        <f ca="1">SUMIFS(  INDIRECT(CONCATENATE("'wind'!", $C36, ":", $C36)),   wind!$6:$6, G$4) - SUMIFS(   INDIRECT(CONCATENATE("offshore!",$D36,":", $D36)), offshore!$4:$4, G$4)</f>
        <v>0</v>
      </c>
      <c r="H36" s="37">
        <f ca="1">SUMIFS(  INDIRECT(CONCATENATE("'wind'!", $C36, ":", $C36)),   wind!$6:$6, H$4) - SUMIFS(   INDIRECT(CONCATENATE("offshore!",$D36,":", $D36)), offshore!$4:$4, H$4)</f>
        <v>0</v>
      </c>
      <c r="I36" s="37">
        <f ca="1">SUMIFS(  INDIRECT(CONCATENATE("'wind'!", $C36, ":", $C36)),   wind!$6:$6, I$4) - SUMIFS(   INDIRECT(CONCATENATE("offshore!",$D36,":", $D36)), offshore!$4:$4, I$4)</f>
        <v>0</v>
      </c>
      <c r="J36" s="37">
        <f ca="1">SUMIFS(  INDIRECT(CONCATENATE("'wind'!", $C36, ":", $C36)),   wind!$6:$6, J$4) - SUMIFS(   INDIRECT(CONCATENATE("offshore!",$D36,":", $D36)), offshore!$4:$4, J$4)</f>
        <v>24</v>
      </c>
      <c r="K36" s="37">
        <f ca="1">SUMIFS(  INDIRECT(CONCATENATE("'wind'!", $C36, ":", $C36)),   wind!$6:$6, K$4) - SUMIFS(   INDIRECT(CONCATENATE("offshore!",$D36,":", $D36)), offshore!$4:$4, K$4)</f>
        <v>27</v>
      </c>
      <c r="L36" s="37">
        <f ca="1">SUMIFS(  INDIRECT(CONCATENATE("'wind'!", $C36, ":", $C36)),   wind!$6:$6, L$4) - SUMIFS(   INDIRECT(CONCATENATE("offshore!",$D36,":", $D36)), offshore!$4:$4, L$4)</f>
        <v>27</v>
      </c>
      <c r="M36" s="37">
        <f ca="1">SUMIFS(  INDIRECT(CONCATENATE("'wind'!", $C36, ":", $C36)),   wind!$6:$6, M$4) - SUMIFS(   INDIRECT(CONCATENATE("offshore!",$D36,":", $D36)), offshore!$4:$4, M$4)</f>
        <v>27</v>
      </c>
      <c r="N36" s="37">
        <f ca="1">SUMIFS(  INDIRECT(CONCATENATE("'wind'!", $C36, ":", $C36)),   wind!$6:$6, N$4) - SUMIFS(   INDIRECT(CONCATENATE("offshore!",$D36,":", $D36)), offshore!$4:$4, N$4)</f>
        <v>27</v>
      </c>
      <c r="O36" s="37">
        <f ca="1">SUMIFS(  INDIRECT(CONCATENATE("'wind'!", $C36, ":", $C36)),   wind!$6:$6, O$4) - SUMIFS(   INDIRECT(CONCATENATE("offshore!",$D36,":", $D36)), offshore!$4:$4, O$4)</f>
        <v>27</v>
      </c>
      <c r="P36" s="37">
        <f ca="1">SUMIFS(  INDIRECT(CONCATENATE("'wind'!", $C36, ":", $C36)),   wind!$6:$6, P$4) - SUMIFS(   INDIRECT(CONCATENATE("offshore!",$D36,":", $D36)), offshore!$4:$4, P$4)</f>
        <v>27</v>
      </c>
      <c r="Q36" s="37">
        <f ca="1">SUMIFS(  INDIRECT(CONCATENATE("'wind'!", $C36, ":", $C36)),   wind!$6:$6, Q$4) - SUMIFS(   INDIRECT(CONCATENATE("offshore!",$D36,":", $D36)), offshore!$4:$4, Q$4)</f>
        <v>28</v>
      </c>
      <c r="R36" s="37">
        <f ca="1">SUMIFS(  INDIRECT(CONCATENATE("'wind'!", $C36, ":", $C36)),   wind!$6:$6, R$4) - SUMIFS(   INDIRECT(CONCATENATE("offshore!",$D36,":", $D36)), offshore!$4:$4, R$4)</f>
        <v>30</v>
      </c>
      <c r="S36" s="37">
        <f ca="1">SUMIFS(  INDIRECT(CONCATENATE("'wind'!", $C36, ":", $C36)),   wind!$6:$6, S$4) - SUMIFS(   INDIRECT(CONCATENATE("offshore!",$D36,":", $D36)), offshore!$4:$4, S$4)</f>
        <v>31</v>
      </c>
      <c r="T36" s="37">
        <f ca="1">SUMIFS(  INDIRECT(CONCATENATE("'wind'!", $C36, ":", $C36)),   wind!$6:$6, T$4) - SUMIFS(   INDIRECT(CONCATENATE("offshore!",$D36,":", $D36)), offshore!$4:$4, T$4)</f>
        <v>60</v>
      </c>
      <c r="U36" s="37">
        <f ca="1">SUMIFS(  INDIRECT(CONCATENATE("'wind'!", $C36, ":", $C36)),   wind!$6:$6, U$4) - SUMIFS(   INDIRECT(CONCATENATE("offshore!",$D36,":", $D36)), offshore!$4:$4, U$4)</f>
        <v>62</v>
      </c>
      <c r="V36" s="37">
        <f ca="1">SUMIFS(  INDIRECT(CONCATENATE("'wind'!", $C36, ":", $C36)),   wind!$6:$6, V$4) - SUMIFS(   INDIRECT(CONCATENATE("offshore!",$D36,":", $D36)), offshore!$4:$4, V$4)</f>
        <v>62</v>
      </c>
      <c r="W36" s="37">
        <f ca="1">SUMIFS(  INDIRECT(CONCATENATE("'wind'!", $C36, ":", $C36)),   wind!$6:$6, W$4) - SUMIFS(   INDIRECT(CONCATENATE("offshore!",$D36,":", $D36)), offshore!$4:$4, W$4)</f>
        <v>69</v>
      </c>
      <c r="X36" s="37">
        <f ca="1">SUMIFS(  INDIRECT(CONCATENATE("'wind'!", $C36, ":", $C36)),   wind!$6:$6, X$4) - SUMIFS(   INDIRECT(CONCATENATE("offshore!",$D36,":", $D36)), offshore!$4:$4, X$4)</f>
        <v>70</v>
      </c>
      <c r="Y36" s="37">
        <f ca="1">SUMIFS(  INDIRECT(CONCATENATE("'wind'!", $C36, ":", $C36)),   wind!$6:$6, Y$4) - SUMIFS(   INDIRECT(CONCATENATE("offshore!",$D36,":", $D36)), offshore!$4:$4, Y$4)</f>
        <v>66</v>
      </c>
      <c r="Z36" s="37">
        <f ca="1">SUMIFS(  INDIRECT(CONCATENATE("'wind'!", $C36, ":", $C36)),   wind!$6:$6, Z$4) - SUMIFS(   INDIRECT(CONCATENATE("offshore!",$D36,":", $D36)), offshore!$4:$4, Z$4)</f>
        <v>66</v>
      </c>
      <c r="AA36" s="37">
        <f ca="1">SUMIFS(  INDIRECT(CONCATENATE("'wind'!", $C36, ":", $C36)),   wind!$6:$6, AA$4) - SUMIFS(   INDIRECT(CONCATENATE("offshore!",$D36,":", $D36)), offshore!$4:$4, AA$4)</f>
        <v>66</v>
      </c>
      <c r="AB36" s="37">
        <f ca="1">SUMIFS(  INDIRECT(CONCATENATE("'wind'!", $C36, ":", $C36)),   wind!$6:$6, AB$4) - SUMIFS(   INDIRECT(CONCATENATE("offshore!",$D36,":", $D36)), offshore!$4:$4, AB$4)</f>
        <v>66</v>
      </c>
      <c r="AC36" s="37">
        <f ca="1">SUMIFS(  INDIRECT(CONCATENATE("'wind'!", $C36, ":", $C36)),   wind!$6:$6, AC$4) - SUMIFS(   INDIRECT(CONCATENATE("offshore!",$D36,":", $D36)), offshore!$4:$4, AC$4)</f>
        <v>66</v>
      </c>
      <c r="AD36" s="37">
        <f ca="1">SUMIFS(  INDIRECT(CONCATENATE("'wind'!", $C36, ":", $C36)),   wind!$6:$6, AD$4) - SUMIFS(   INDIRECT(CONCATENATE("offshore!",$D36,":", $D36)), offshore!$4:$4, AD$4)</f>
        <v>137</v>
      </c>
      <c r="AE36" s="37">
        <f ca="1">SUMIFS(  INDIRECT(CONCATENATE("'wind'!", $C36, ":", $C36)),   wind!$6:$6, AE$4) - SUMIFS(   INDIRECT(CONCATENATE("offshore!",$D36,":", $D36)), offshore!$4:$4, AE$4)</f>
        <v>137</v>
      </c>
      <c r="AF36" s="37">
        <f ca="1">SUMIFS(  INDIRECT(CONCATENATE("'wind'!", $C36, ":", $C36)),   wind!$6:$6, AF$4) - SUMIFS(   INDIRECT(CONCATENATE("offshore!",$D36,":", $D36)), offshore!$4:$4, AF$4)</f>
        <v>137</v>
      </c>
      <c r="AG36" s="44">
        <f t="shared" ca="1" si="0"/>
        <v>154.1833333333343</v>
      </c>
      <c r="AH36" s="24">
        <f t="shared" ca="1" si="1"/>
        <v>222.84747474747564</v>
      </c>
      <c r="AJ36" s="19">
        <v>1</v>
      </c>
      <c r="AK36" s="19">
        <v>1</v>
      </c>
    </row>
    <row r="37" spans="1:37">
      <c r="B37" s="17"/>
      <c r="C37" s="20">
        <f>MATCH($E37, wind!$C:$C, 0)</f>
        <v>39</v>
      </c>
      <c r="D37" s="20">
        <f>IFERROR(MATCH($E37, offshore!$D:$D, 0), 1)</f>
        <v>1</v>
      </c>
      <c r="E37" s="17" t="s">
        <v>96</v>
      </c>
      <c r="F37" s="37">
        <f ca="1">SUMIFS(  INDIRECT(CONCATENATE("'wind'!", $C37, ":", $C37)),   wind!$6:$6, F$4) - SUMIFS(   INDIRECT(CONCATENATE("offshore!",$D37,":", $D37)), offshore!$4:$4, F$4)</f>
        <v>0</v>
      </c>
      <c r="G37" s="37">
        <f ca="1">SUMIFS(  INDIRECT(CONCATENATE("'wind'!", $C37, ":", $C37)),   wind!$6:$6, G$4) - SUMIFS(   INDIRECT(CONCATENATE("offshore!",$D37,":", $D37)), offshore!$4:$4, G$4)</f>
        <v>0</v>
      </c>
      <c r="H37" s="37">
        <f ca="1">SUMIFS(  INDIRECT(CONCATENATE("'wind'!", $C37, ":", $C37)),   wind!$6:$6, H$4) - SUMIFS(   INDIRECT(CONCATENATE("offshore!",$D37,":", $D37)), offshore!$4:$4, H$4)</f>
        <v>0</v>
      </c>
      <c r="I37" s="37">
        <f ca="1">SUMIFS(  INDIRECT(CONCATENATE("'wind'!", $C37, ":", $C37)),   wind!$6:$6, I$4) - SUMIFS(   INDIRECT(CONCATENATE("offshore!",$D37,":", $D37)), offshore!$4:$4, I$4)</f>
        <v>0</v>
      </c>
      <c r="J37" s="37">
        <f ca="1">SUMIFS(  INDIRECT(CONCATENATE("'wind'!", $C37, ":", $C37)),   wind!$6:$6, J$4) - SUMIFS(   INDIRECT(CONCATENATE("offshore!",$D37,":", $D37)), offshore!$4:$4, J$4)</f>
        <v>0</v>
      </c>
      <c r="K37" s="37">
        <f ca="1">SUMIFS(  INDIRECT(CONCATENATE("'wind'!", $C37, ":", $C37)),   wind!$6:$6, K$4) - SUMIFS(   INDIRECT(CONCATENATE("offshore!",$D37,":", $D37)), offshore!$4:$4, K$4)</f>
        <v>0</v>
      </c>
      <c r="L37" s="37">
        <f ca="1">SUMIFS(  INDIRECT(CONCATENATE("'wind'!", $C37, ":", $C37)),   wind!$6:$6, L$4) - SUMIFS(   INDIRECT(CONCATENATE("offshore!",$D37,":", $D37)), offshore!$4:$4, L$4)</f>
        <v>0</v>
      </c>
      <c r="M37" s="37">
        <f ca="1">SUMIFS(  INDIRECT(CONCATENATE("'wind'!", $C37, ":", $C37)),   wind!$6:$6, M$4) - SUMIFS(   INDIRECT(CONCATENATE("offshore!",$D37,":", $D37)), offshore!$4:$4, M$4)</f>
        <v>0</v>
      </c>
      <c r="N37" s="37">
        <f ca="1">SUMIFS(  INDIRECT(CONCATENATE("'wind'!", $C37, ":", $C37)),   wind!$6:$6, N$4) - SUMIFS(   INDIRECT(CONCATENATE("offshore!",$D37,":", $D37)), offshore!$4:$4, N$4)</f>
        <v>0</v>
      </c>
      <c r="O37" s="37">
        <f ca="1">SUMIFS(  INDIRECT(CONCATENATE("'wind'!", $C37, ":", $C37)),   wind!$6:$6, O$4) - SUMIFS(   INDIRECT(CONCATENATE("offshore!",$D37,":", $D37)), offshore!$4:$4, O$4)</f>
        <v>0</v>
      </c>
      <c r="P37" s="37">
        <f ca="1">SUMIFS(  INDIRECT(CONCATENATE("'wind'!", $C37, ":", $C37)),   wind!$6:$6, P$4) - SUMIFS(   INDIRECT(CONCATENATE("offshore!",$D37,":", $D37)), offshore!$4:$4, P$4)</f>
        <v>0</v>
      </c>
      <c r="Q37" s="37">
        <f ca="1">SUMIFS(  INDIRECT(CONCATENATE("'wind'!", $C37, ":", $C37)),   wind!$6:$6, Q$4) - SUMIFS(   INDIRECT(CONCATENATE("offshore!",$D37,":", $D37)), offshore!$4:$4, Q$4)</f>
        <v>0</v>
      </c>
      <c r="R37" s="37">
        <f ca="1">SUMIFS(  INDIRECT(CONCATENATE("'wind'!", $C37, ":", $C37)),   wind!$6:$6, R$4) - SUMIFS(   INDIRECT(CONCATENATE("offshore!",$D37,":", $D37)), offshore!$4:$4, R$4)</f>
        <v>0</v>
      </c>
      <c r="S37" s="37">
        <f ca="1">SUMIFS(  INDIRECT(CONCATENATE("'wind'!", $C37, ":", $C37)),   wind!$6:$6, S$4) - SUMIFS(   INDIRECT(CONCATENATE("offshore!",$D37,":", $D37)), offshore!$4:$4, S$4)</f>
        <v>0</v>
      </c>
      <c r="T37" s="37">
        <f ca="1">SUMIFS(  INDIRECT(CONCATENATE("'wind'!", $C37, ":", $C37)),   wind!$6:$6, T$4) - SUMIFS(   INDIRECT(CONCATENATE("offshore!",$D37,":", $D37)), offshore!$4:$4, T$4)</f>
        <v>0</v>
      </c>
      <c r="U37" s="37">
        <f ca="1">SUMIFS(  INDIRECT(CONCATENATE("'wind'!", $C37, ":", $C37)),   wind!$6:$6, U$4) - SUMIFS(   INDIRECT(CONCATENATE("offshore!",$D37,":", $D37)), offshore!$4:$4, U$4)</f>
        <v>0</v>
      </c>
      <c r="V37" s="37">
        <f ca="1">SUMIFS(  INDIRECT(CONCATENATE("'wind'!", $C37, ":", $C37)),   wind!$6:$6, V$4) - SUMIFS(   INDIRECT(CONCATENATE("offshore!",$D37,":", $D37)), offshore!$4:$4, V$4)</f>
        <v>0</v>
      </c>
      <c r="W37" s="37">
        <f ca="1">SUMIFS(  INDIRECT(CONCATENATE("'wind'!", $C37, ":", $C37)),   wind!$6:$6, W$4) - SUMIFS(   INDIRECT(CONCATENATE("offshore!",$D37,":", $D37)), offshore!$4:$4, W$4)</f>
        <v>0</v>
      </c>
      <c r="X37" s="37">
        <f ca="1">SUMIFS(  INDIRECT(CONCATENATE("'wind'!", $C37, ":", $C37)),   wind!$6:$6, X$4) - SUMIFS(   INDIRECT(CONCATENATE("offshore!",$D37,":", $D37)), offshore!$4:$4, X$4)</f>
        <v>0</v>
      </c>
      <c r="Y37" s="37">
        <f ca="1">SUMIFS(  INDIRECT(CONCATENATE("'wind'!", $C37, ":", $C37)),   wind!$6:$6, Y$4) - SUMIFS(   INDIRECT(CONCATENATE("offshore!",$D37,":", $D37)), offshore!$4:$4, Y$4)</f>
        <v>0</v>
      </c>
      <c r="Z37" s="37">
        <f ca="1">SUMIFS(  INDIRECT(CONCATENATE("'wind'!", $C37, ":", $C37)),   wind!$6:$6, Z$4) - SUMIFS(   INDIRECT(CONCATENATE("offshore!",$D37,":", $D37)), offshore!$4:$4, Z$4)</f>
        <v>118</v>
      </c>
      <c r="AA37" s="37">
        <f ca="1">SUMIFS(  INDIRECT(CONCATENATE("'wind'!", $C37, ":", $C37)),   wind!$6:$6, AA$4) - SUMIFS(   INDIRECT(CONCATENATE("offshore!",$D37,":", $D37)), offshore!$4:$4, AA$4)</f>
        <v>118</v>
      </c>
      <c r="AB37" s="37">
        <f ca="1">SUMIFS(  INDIRECT(CONCATENATE("'wind'!", $C37, ":", $C37)),   wind!$6:$6, AB$4) - SUMIFS(   INDIRECT(CONCATENATE("offshore!",$D37,":", $D37)), offshore!$4:$4, AB$4)</f>
        <v>118</v>
      </c>
      <c r="AC37" s="37">
        <f ca="1">SUMIFS(  INDIRECT(CONCATENATE("'wind'!", $C37, ":", $C37)),   wind!$6:$6, AC$4) - SUMIFS(   INDIRECT(CONCATENATE("offshore!",$D37,":", $D37)), offshore!$4:$4, AC$4)</f>
        <v>118</v>
      </c>
      <c r="AD37" s="37">
        <f ca="1">SUMIFS(  INDIRECT(CONCATENATE("'wind'!", $C37, ":", $C37)),   wind!$6:$6, AD$4) - SUMIFS(   INDIRECT(CONCATENATE("offshore!",$D37,":", $D37)), offshore!$4:$4, AD$4)</f>
        <v>118</v>
      </c>
      <c r="AE37" s="37">
        <f ca="1">SUMIFS(  INDIRECT(CONCATENATE("'wind'!", $C37, ":", $C37)),   wind!$6:$6, AE$4) - SUMIFS(   INDIRECT(CONCATENATE("offshore!",$D37,":", $D37)), offshore!$4:$4, AE$4)</f>
        <v>118</v>
      </c>
      <c r="AF37" s="37">
        <f ca="1">SUMIFS(  INDIRECT(CONCATENATE("'wind'!", $C37, ":", $C37)),   wind!$6:$6, AF$4) - SUMIFS(   INDIRECT(CONCATENATE("offshore!",$D37,":", $D37)), offshore!$4:$4, AF$4)</f>
        <v>118</v>
      </c>
      <c r="AG37" s="44">
        <f t="shared" ca="1" si="0"/>
        <v>141.59999999999854</v>
      </c>
      <c r="AH37" s="24">
        <f t="shared" ca="1" si="1"/>
        <v>187.31861471861248</v>
      </c>
      <c r="AJ37" s="19">
        <v>1</v>
      </c>
      <c r="AK37" s="19">
        <v>1</v>
      </c>
    </row>
    <row r="38" spans="1:37">
      <c r="B38" s="17" t="str">
        <f>E38&amp;"00"</f>
        <v>CH00</v>
      </c>
      <c r="C38" s="20">
        <f>MATCH($E38, wind!$C:$C, 0)</f>
        <v>40</v>
      </c>
      <c r="D38" s="20">
        <f>IFERROR(MATCH($E38, offshore!$D:$D, 0), 1)</f>
        <v>1</v>
      </c>
      <c r="E38" s="17" t="s">
        <v>97</v>
      </c>
      <c r="F38" s="37">
        <f ca="1">SUMIFS(  INDIRECT(CONCATENATE("'wind'!", $C38, ":", $C38)),   wind!$6:$6, F$4) - SUMIFS(   INDIRECT(CONCATENATE("offshore!",$D38,":", $D38)), offshore!$4:$4, F$4)</f>
        <v>0</v>
      </c>
      <c r="G38" s="37">
        <f ca="1">SUMIFS(  INDIRECT(CONCATENATE("'wind'!", $C38, ":", $C38)),   wind!$6:$6, G$4) - SUMIFS(   INDIRECT(CONCATENATE("offshore!",$D38,":", $D38)), offshore!$4:$4, G$4)</f>
        <v>0</v>
      </c>
      <c r="H38" s="37">
        <f ca="1">SUMIFS(  INDIRECT(CONCATENATE("'wind'!", $C38, ":", $C38)),   wind!$6:$6, H$4) - SUMIFS(   INDIRECT(CONCATENATE("offshore!",$D38,":", $D38)), offshore!$4:$4, H$4)</f>
        <v>0</v>
      </c>
      <c r="I38" s="37">
        <f ca="1">SUMIFS(  INDIRECT(CONCATENATE("'wind'!", $C38, ":", $C38)),   wind!$6:$6, I$4) - SUMIFS(   INDIRECT(CONCATENATE("offshore!",$D38,":", $D38)), offshore!$4:$4, I$4)</f>
        <v>0</v>
      </c>
      <c r="J38" s="37">
        <f ca="1">SUMIFS(  INDIRECT(CONCATENATE("'wind'!", $C38, ":", $C38)),   wind!$6:$6, J$4) - SUMIFS(   INDIRECT(CONCATENATE("offshore!",$D38,":", $D38)), offshore!$4:$4, J$4)</f>
        <v>0</v>
      </c>
      <c r="K38" s="37">
        <f ca="1">SUMIFS(  INDIRECT(CONCATENATE("'wind'!", $C38, ":", $C38)),   wind!$6:$6, K$4) - SUMIFS(   INDIRECT(CONCATENATE("offshore!",$D38,":", $D38)), offshore!$4:$4, K$4)</f>
        <v>0</v>
      </c>
      <c r="L38" s="37">
        <f ca="1">SUMIFS(  INDIRECT(CONCATENATE("'wind'!", $C38, ":", $C38)),   wind!$6:$6, L$4) - SUMIFS(   INDIRECT(CONCATENATE("offshore!",$D38,":", $D38)), offshore!$4:$4, L$4)</f>
        <v>0</v>
      </c>
      <c r="M38" s="37">
        <f ca="1">SUMIFS(  INDIRECT(CONCATENATE("'wind'!", $C38, ":", $C38)),   wind!$6:$6, M$4) - SUMIFS(   INDIRECT(CONCATENATE("offshore!",$D38,":", $D38)), offshore!$4:$4, M$4)</f>
        <v>12</v>
      </c>
      <c r="N38" s="37">
        <f ca="1">SUMIFS(  INDIRECT(CONCATENATE("'wind'!", $C38, ":", $C38)),   wind!$6:$6, N$4) - SUMIFS(   INDIRECT(CONCATENATE("offshore!",$D38,":", $D38)), offshore!$4:$4, N$4)</f>
        <v>12</v>
      </c>
      <c r="O38" s="37">
        <f ca="1">SUMIFS(  INDIRECT(CONCATENATE("'wind'!", $C38, ":", $C38)),   wind!$6:$6, O$4) - SUMIFS(   INDIRECT(CONCATENATE("offshore!",$D38,":", $D38)), offshore!$4:$4, O$4)</f>
        <v>12</v>
      </c>
      <c r="P38" s="37">
        <f ca="1">SUMIFS(  INDIRECT(CONCATENATE("'wind'!", $C38, ":", $C38)),   wind!$6:$6, P$4) - SUMIFS(   INDIRECT(CONCATENATE("offshore!",$D38,":", $D38)), offshore!$4:$4, P$4)</f>
        <v>14</v>
      </c>
      <c r="Q38" s="37">
        <f ca="1">SUMIFS(  INDIRECT(CONCATENATE("'wind'!", $C38, ":", $C38)),   wind!$6:$6, Q$4) - SUMIFS(   INDIRECT(CONCATENATE("offshore!",$D38,":", $D38)), offshore!$4:$4, Q$4)</f>
        <v>18</v>
      </c>
      <c r="R38" s="37">
        <f ca="1">SUMIFS(  INDIRECT(CONCATENATE("'wind'!", $C38, ":", $C38)),   wind!$6:$6, R$4) - SUMIFS(   INDIRECT(CONCATENATE("offshore!",$D38,":", $D38)), offshore!$4:$4, R$4)</f>
        <v>42</v>
      </c>
      <c r="S38" s="37">
        <f ca="1">SUMIFS(  INDIRECT(CONCATENATE("'wind'!", $C38, ":", $C38)),   wind!$6:$6, S$4) - SUMIFS(   INDIRECT(CONCATENATE("offshore!",$D38,":", $D38)), offshore!$4:$4, S$4)</f>
        <v>46</v>
      </c>
      <c r="T38" s="37">
        <f ca="1">SUMIFS(  INDIRECT(CONCATENATE("'wind'!", $C38, ":", $C38)),   wind!$6:$6, T$4) - SUMIFS(   INDIRECT(CONCATENATE("offshore!",$D38,":", $D38)), offshore!$4:$4, T$4)</f>
        <v>50</v>
      </c>
      <c r="U38" s="37">
        <f ca="1">SUMIFS(  INDIRECT(CONCATENATE("'wind'!", $C38, ":", $C38)),   wind!$6:$6, U$4) - SUMIFS(   INDIRECT(CONCATENATE("offshore!",$D38,":", $D38)), offshore!$4:$4, U$4)</f>
        <v>60</v>
      </c>
      <c r="V38" s="37">
        <f ca="1">SUMIFS(  INDIRECT(CONCATENATE("'wind'!", $C38, ":", $C38)),   wind!$6:$6, V$4) - SUMIFS(   INDIRECT(CONCATENATE("offshore!",$D38,":", $D38)), offshore!$4:$4, V$4)</f>
        <v>60</v>
      </c>
      <c r="W38" s="37">
        <f ca="1">SUMIFS(  INDIRECT(CONCATENATE("'wind'!", $C38, ":", $C38)),   wind!$6:$6, W$4) - SUMIFS(   INDIRECT(CONCATENATE("offshore!",$D38,":", $D38)), offshore!$4:$4, W$4)</f>
        <v>60</v>
      </c>
      <c r="X38" s="37">
        <f ca="1">SUMIFS(  INDIRECT(CONCATENATE("'wind'!", $C38, ":", $C38)),   wind!$6:$6, X$4) - SUMIFS(   INDIRECT(CONCATENATE("offshore!",$D38,":", $D38)), offshore!$4:$4, X$4)</f>
        <v>75</v>
      </c>
      <c r="Y38" s="37">
        <f ca="1">SUMIFS(  INDIRECT(CONCATENATE("'wind'!", $C38, ":", $C38)),   wind!$6:$6, Y$4) - SUMIFS(   INDIRECT(CONCATENATE("offshore!",$D38,":", $D38)), offshore!$4:$4, Y$4)</f>
        <v>75</v>
      </c>
      <c r="Z38" s="37">
        <f ca="1">SUMIFS(  INDIRECT(CONCATENATE("'wind'!", $C38, ":", $C38)),   wind!$6:$6, Z$4) - SUMIFS(   INDIRECT(CONCATENATE("offshore!",$D38,":", $D38)), offshore!$4:$4, Z$4)</f>
        <v>75</v>
      </c>
      <c r="AA38" s="37">
        <f ca="1">SUMIFS(  INDIRECT(CONCATENATE("'wind'!", $C38, ":", $C38)),   wind!$6:$6, AA$4) - SUMIFS(   INDIRECT(CONCATENATE("offshore!",$D38,":", $D38)), offshore!$4:$4, AA$4)</f>
        <v>75</v>
      </c>
      <c r="AB38" s="37">
        <f ca="1">SUMIFS(  INDIRECT(CONCATENATE("'wind'!", $C38, ":", $C38)),   wind!$6:$6, AB$4) - SUMIFS(   INDIRECT(CONCATENATE("offshore!",$D38,":", $D38)), offshore!$4:$4, AB$4)</f>
        <v>87</v>
      </c>
      <c r="AC38" s="37">
        <f ca="1">SUMIFS(  INDIRECT(CONCATENATE("'wind'!", $C38, ":", $C38)),   wind!$6:$6, AC$4) - SUMIFS(   INDIRECT(CONCATENATE("offshore!",$D38,":", $D38)), offshore!$4:$4, AC$4)</f>
        <v>87</v>
      </c>
      <c r="AD38" s="37">
        <f ca="1">SUMIFS(  INDIRECT(CONCATENATE("'wind'!", $C38, ":", $C38)),   wind!$6:$6, AD$4) - SUMIFS(   INDIRECT(CONCATENATE("offshore!",$D38,":", $D38)), offshore!$4:$4, AD$4)</f>
        <v>87</v>
      </c>
      <c r="AE38" s="37">
        <f ca="1">SUMIFS(  INDIRECT(CONCATENATE("'wind'!", $C38, ":", $C38)),   wind!$6:$6, AE$4) - SUMIFS(   INDIRECT(CONCATENATE("offshore!",$D38,":", $D38)), offshore!$4:$4, AE$4)</f>
        <v>101</v>
      </c>
      <c r="AF38" s="37">
        <f ca="1">SUMIFS(  INDIRECT(CONCATENATE("'wind'!", $C38, ":", $C38)),   wind!$6:$6, AF$4) - SUMIFS(   INDIRECT(CONCATENATE("offshore!",$D38,":", $D38)), offshore!$4:$4, AF$4)</f>
        <v>100</v>
      </c>
      <c r="AG38" s="44">
        <f t="shared" ca="1" si="0"/>
        <v>104.13333333333276</v>
      </c>
      <c r="AH38" s="24">
        <f t="shared" ca="1" si="1"/>
        <v>123.88946608946571</v>
      </c>
      <c r="AJ38" s="19">
        <v>1</v>
      </c>
      <c r="AK38" s="19">
        <v>1</v>
      </c>
    </row>
    <row r="39" spans="1:37">
      <c r="B39" s="17"/>
      <c r="C39" s="20">
        <f>MATCH($E39, wind!$C:$C, 0)</f>
        <v>41</v>
      </c>
      <c r="D39" s="20">
        <f>IFERROR(MATCH($E39, offshore!$D:$D, 0), 1)</f>
        <v>1</v>
      </c>
      <c r="E39" s="17" t="s">
        <v>98</v>
      </c>
      <c r="F39" s="37">
        <f ca="1">SUMIFS(  INDIRECT(CONCATENATE("'wind'!", $C39, ":", $C39)),   wind!$6:$6, F$4) - SUMIFS(   INDIRECT(CONCATENATE("offshore!",$D39,":", $D39)), offshore!$4:$4, F$4)</f>
        <v>0</v>
      </c>
      <c r="G39" s="37">
        <f ca="1">SUMIFS(  INDIRECT(CONCATENATE("'wind'!", $C39, ":", $C39)),   wind!$6:$6, G$4) - SUMIFS(   INDIRECT(CONCATENATE("offshore!",$D39,":", $D39)), offshore!$4:$4, G$4)</f>
        <v>0</v>
      </c>
      <c r="H39" s="37">
        <f ca="1">SUMIFS(  INDIRECT(CONCATENATE("'wind'!", $C39, ":", $C39)),   wind!$6:$6, H$4) - SUMIFS(   INDIRECT(CONCATENATE("offshore!",$D39,":", $D39)), offshore!$4:$4, H$4)</f>
        <v>0</v>
      </c>
      <c r="I39" s="37">
        <f ca="1">SUMIFS(  INDIRECT(CONCATENATE("'wind'!", $C39, ":", $C39)),   wind!$6:$6, I$4) - SUMIFS(   INDIRECT(CONCATENATE("offshore!",$D39,":", $D39)), offshore!$4:$4, I$4)</f>
        <v>0</v>
      </c>
      <c r="J39" s="37">
        <f ca="1">SUMIFS(  INDIRECT(CONCATENATE("'wind'!", $C39, ":", $C39)),   wind!$6:$6, J$4) - SUMIFS(   INDIRECT(CONCATENATE("offshore!",$D39,":", $D39)), offshore!$4:$4, J$4)</f>
        <v>0</v>
      </c>
      <c r="K39" s="37">
        <f ca="1">SUMIFS(  INDIRECT(CONCATENATE("'wind'!", $C39, ":", $C39)),   wind!$6:$6, K$4) - SUMIFS(   INDIRECT(CONCATENATE("offshore!",$D39,":", $D39)), offshore!$4:$4, K$4)</f>
        <v>0</v>
      </c>
      <c r="L39" s="37">
        <f ca="1">SUMIFS(  INDIRECT(CONCATENATE("'wind'!", $C39, ":", $C39)),   wind!$6:$6, L$4) - SUMIFS(   INDIRECT(CONCATENATE("offshore!",$D39,":", $D39)), offshore!$4:$4, L$4)</f>
        <v>0</v>
      </c>
      <c r="M39" s="37">
        <f ca="1">SUMIFS(  INDIRECT(CONCATENATE("'wind'!", $C39, ":", $C39)),   wind!$6:$6, M$4) - SUMIFS(   INDIRECT(CONCATENATE("offshore!",$D39,":", $D39)), offshore!$4:$4, M$4)</f>
        <v>0</v>
      </c>
      <c r="N39" s="37">
        <f ca="1">SUMIFS(  INDIRECT(CONCATENATE("'wind'!", $C39, ":", $C39)),   wind!$6:$6, N$4) - SUMIFS(   INDIRECT(CONCATENATE("offshore!",$D39,":", $D39)), offshore!$4:$4, N$4)</f>
        <v>0</v>
      </c>
      <c r="O39" s="37">
        <f ca="1">SUMIFS(  INDIRECT(CONCATENATE("'wind'!", $C39, ":", $C39)),   wind!$6:$6, O$4) - SUMIFS(   INDIRECT(CONCATENATE("offshore!",$D39,":", $D39)), offshore!$4:$4, O$4)</f>
        <v>0</v>
      </c>
      <c r="P39" s="37">
        <f ca="1">SUMIFS(  INDIRECT(CONCATENATE("'wind'!", $C39, ":", $C39)),   wind!$6:$6, P$4) - SUMIFS(   INDIRECT(CONCATENATE("offshore!",$D39,":", $D39)), offshore!$4:$4, P$4)</f>
        <v>0</v>
      </c>
      <c r="Q39" s="37">
        <f ca="1">SUMIFS(  INDIRECT(CONCATENATE("'wind'!", $C39, ":", $C39)),   wind!$6:$6, Q$4) - SUMIFS(   INDIRECT(CONCATENATE("offshore!",$D39,":", $D39)), offshore!$4:$4, Q$4)</f>
        <v>0</v>
      </c>
      <c r="R39" s="37">
        <f ca="1">SUMIFS(  INDIRECT(CONCATENATE("'wind'!", $C39, ":", $C39)),   wind!$6:$6, R$4) - SUMIFS(   INDIRECT(CONCATENATE("offshore!",$D39,":", $D39)), offshore!$4:$4, R$4)</f>
        <v>0</v>
      </c>
      <c r="S39" s="37">
        <f ca="1">SUMIFS(  INDIRECT(CONCATENATE("'wind'!", $C39, ":", $C39)),   wind!$6:$6, S$4) - SUMIFS(   INDIRECT(CONCATENATE("offshore!",$D39,":", $D39)), offshore!$4:$4, S$4)</f>
        <v>0</v>
      </c>
      <c r="T39" s="37">
        <f ca="1">SUMIFS(  INDIRECT(CONCATENATE("'wind'!", $C39, ":", $C39)),   wind!$6:$6, T$4) - SUMIFS(   INDIRECT(CONCATENATE("offshore!",$D39,":", $D39)), offshore!$4:$4, T$4)</f>
        <v>0</v>
      </c>
      <c r="U39" s="37">
        <f ca="1">SUMIFS(  INDIRECT(CONCATENATE("'wind'!", $C39, ":", $C39)),   wind!$6:$6, U$4) - SUMIFS(   INDIRECT(CONCATENATE("offshore!",$D39,":", $D39)), offshore!$4:$4, U$4)</f>
        <v>0</v>
      </c>
      <c r="V39" s="37">
        <f ca="1">SUMIFS(  INDIRECT(CONCATENATE("'wind'!", $C39, ":", $C39)),   wind!$6:$6, V$4) - SUMIFS(   INDIRECT(CONCATENATE("offshore!",$D39,":", $D39)), offshore!$4:$4, V$4)</f>
        <v>37</v>
      </c>
      <c r="W39" s="37">
        <f ca="1">SUMIFS(  INDIRECT(CONCATENATE("'wind'!", $C39, ":", $C39)),   wind!$6:$6, W$4) - SUMIFS(   INDIRECT(CONCATENATE("offshore!",$D39,":", $D39)), offshore!$4:$4, W$4)</f>
        <v>37</v>
      </c>
      <c r="X39" s="37">
        <f ca="1">SUMIFS(  INDIRECT(CONCATENATE("'wind'!", $C39, ":", $C39)),   wind!$6:$6, X$4) - SUMIFS(   INDIRECT(CONCATENATE("offshore!",$D39,":", $D39)), offshore!$4:$4, X$4)</f>
        <v>37</v>
      </c>
      <c r="Y39" s="37">
        <f ca="1">SUMIFS(  INDIRECT(CONCATENATE("'wind'!", $C39, ":", $C39)),   wind!$6:$6, Y$4) - SUMIFS(   INDIRECT(CONCATENATE("offshore!",$D39,":", $D39)), offshore!$4:$4, Y$4)</f>
        <v>37</v>
      </c>
      <c r="Z39" s="37">
        <f ca="1">SUMIFS(  INDIRECT(CONCATENATE("'wind'!", $C39, ":", $C39)),   wind!$6:$6, Z$4) - SUMIFS(   INDIRECT(CONCATENATE("offshore!",$D39,":", $D39)), offshore!$4:$4, Z$4)</f>
        <v>37</v>
      </c>
      <c r="AA39" s="37">
        <f ca="1">SUMIFS(  INDIRECT(CONCATENATE("'wind'!", $C39, ":", $C39)),   wind!$6:$6, AA$4) - SUMIFS(   INDIRECT(CONCATENATE("offshore!",$D39,":", $D39)), offshore!$4:$4, AA$4)</f>
        <v>37</v>
      </c>
      <c r="AB39" s="37">
        <f ca="1">SUMIFS(  INDIRECT(CONCATENATE("'wind'!", $C39, ":", $C39)),   wind!$6:$6, AB$4) - SUMIFS(   INDIRECT(CONCATENATE("offshore!",$D39,":", $D39)), offshore!$4:$4, AB$4)</f>
        <v>37</v>
      </c>
      <c r="AC39" s="37">
        <f ca="1">SUMIFS(  INDIRECT(CONCATENATE("'wind'!", $C39, ":", $C39)),   wind!$6:$6, AC$4) - SUMIFS(   INDIRECT(CONCATENATE("offshore!",$D39,":", $D39)), offshore!$4:$4, AC$4)</f>
        <v>37</v>
      </c>
      <c r="AD39" s="37">
        <f ca="1">SUMIFS(  INDIRECT(CONCATENATE("'wind'!", $C39, ":", $C39)),   wind!$6:$6, AD$4) - SUMIFS(   INDIRECT(CONCATENATE("offshore!",$D39,":", $D39)), offshore!$4:$4, AD$4)</f>
        <v>37</v>
      </c>
      <c r="AE39" s="37">
        <f ca="1">SUMIFS(  INDIRECT(CONCATENATE("'wind'!", $C39, ":", $C39)),   wind!$6:$6, AE$4) - SUMIFS(   INDIRECT(CONCATENATE("offshore!",$D39,":", $D39)), offshore!$4:$4, AE$4)</f>
        <v>73</v>
      </c>
      <c r="AF39" s="37">
        <f ca="1">SUMIFS(  INDIRECT(CONCATENATE("'wind'!", $C39, ":", $C39)),   wind!$6:$6, AF$4) - SUMIFS(   INDIRECT(CONCATENATE("offshore!",$D39,":", $D39)), offshore!$4:$4, AF$4)</f>
        <v>73</v>
      </c>
      <c r="AG39" s="44">
        <f t="shared" ca="1" si="0"/>
        <v>75.19</v>
      </c>
      <c r="AH39" s="24">
        <f t="shared" ca="1" si="1"/>
        <v>107.2127272727289</v>
      </c>
      <c r="AJ39" s="19">
        <v>1</v>
      </c>
      <c r="AK39" s="19">
        <v>1</v>
      </c>
    </row>
    <row r="40" spans="1:37">
      <c r="B40" s="17"/>
      <c r="C40" s="20">
        <f>MATCH($E40, wind!$C:$C, 0)</f>
        <v>42</v>
      </c>
      <c r="D40" s="20">
        <f>IFERROR(MATCH($E40, offshore!$D:$D, 0), 1)</f>
        <v>1</v>
      </c>
      <c r="E40" s="17" t="s">
        <v>99</v>
      </c>
      <c r="F40" s="37">
        <f ca="1">SUMIFS(  INDIRECT(CONCATENATE("'wind'!", $C40, ":", $C40)),   wind!$6:$6, F$4) - SUMIFS(   INDIRECT(CONCATENATE("offshore!",$D40,":", $D40)), offshore!$4:$4, F$4)</f>
        <v>0</v>
      </c>
      <c r="G40" s="37">
        <f ca="1">SUMIFS(  INDIRECT(CONCATENATE("'wind'!", $C40, ":", $C40)),   wind!$6:$6, G$4) - SUMIFS(   INDIRECT(CONCATENATE("offshore!",$D40,":", $D40)), offshore!$4:$4, G$4)</f>
        <v>0</v>
      </c>
      <c r="H40" s="37">
        <f ca="1">SUMIFS(  INDIRECT(CONCATENATE("'wind'!", $C40, ":", $C40)),   wind!$6:$6, H$4) - SUMIFS(   INDIRECT(CONCATENATE("offshore!",$D40,":", $D40)), offshore!$4:$4, H$4)</f>
        <v>0</v>
      </c>
      <c r="I40" s="37">
        <f ca="1">SUMIFS(  INDIRECT(CONCATENATE("'wind'!", $C40, ":", $C40)),   wind!$6:$6, I$4) - SUMIFS(   INDIRECT(CONCATENATE("offshore!",$D40,":", $D40)), offshore!$4:$4, I$4)</f>
        <v>0</v>
      </c>
      <c r="J40" s="37">
        <f ca="1">SUMIFS(  INDIRECT(CONCATENATE("'wind'!", $C40, ":", $C40)),   wind!$6:$6, J$4) - SUMIFS(   INDIRECT(CONCATENATE("offshore!",$D40,":", $D40)), offshore!$4:$4, J$4)</f>
        <v>0</v>
      </c>
      <c r="K40" s="37">
        <f ca="1">SUMIFS(  INDIRECT(CONCATENATE("'wind'!", $C40, ":", $C40)),   wind!$6:$6, K$4) - SUMIFS(   INDIRECT(CONCATENATE("offshore!",$D40,":", $D40)), offshore!$4:$4, K$4)</f>
        <v>0</v>
      </c>
      <c r="L40" s="37">
        <f ca="1">SUMIFS(  INDIRECT(CONCATENATE("'wind'!", $C40, ":", $C40)),   wind!$6:$6, L$4) - SUMIFS(   INDIRECT(CONCATENATE("offshore!",$D40,":", $D40)), offshore!$4:$4, L$4)</f>
        <v>0</v>
      </c>
      <c r="M40" s="37">
        <f ca="1">SUMIFS(  INDIRECT(CONCATENATE("'wind'!", $C40, ":", $C40)),   wind!$6:$6, M$4) - SUMIFS(   INDIRECT(CONCATENATE("offshore!",$D40,":", $D40)), offshore!$4:$4, M$4)</f>
        <v>0</v>
      </c>
      <c r="N40" s="37">
        <f ca="1">SUMIFS(  INDIRECT(CONCATENATE("'wind'!", $C40, ":", $C40)),   wind!$6:$6, N$4) - SUMIFS(   INDIRECT(CONCATENATE("offshore!",$D40,":", $D40)), offshore!$4:$4, N$4)</f>
        <v>0</v>
      </c>
      <c r="O40" s="37">
        <f ca="1">SUMIFS(  INDIRECT(CONCATENATE("'wind'!", $C40, ":", $C40)),   wind!$6:$6, O$4) - SUMIFS(   INDIRECT(CONCATENATE("offshore!",$D40,":", $D40)), offshore!$4:$4, O$4)</f>
        <v>0</v>
      </c>
      <c r="P40" s="37">
        <f ca="1">SUMIFS(  INDIRECT(CONCATENATE("'wind'!", $C40, ":", $C40)),   wind!$6:$6, P$4) - SUMIFS(   INDIRECT(CONCATENATE("offshore!",$D40,":", $D40)), offshore!$4:$4, P$4)</f>
        <v>0</v>
      </c>
      <c r="Q40" s="37">
        <f ca="1">SUMIFS(  INDIRECT(CONCATENATE("'wind'!", $C40, ":", $C40)),   wind!$6:$6, Q$4) - SUMIFS(   INDIRECT(CONCATENATE("offshore!",$D40,":", $D40)), offshore!$4:$4, Q$4)</f>
        <v>0</v>
      </c>
      <c r="R40" s="37">
        <f ca="1">SUMIFS(  INDIRECT(CONCATENATE("'wind'!", $C40, ":", $C40)),   wind!$6:$6, R$4) - SUMIFS(   INDIRECT(CONCATENATE("offshore!",$D40,":", $D40)), offshore!$4:$4, R$4)</f>
        <v>0</v>
      </c>
      <c r="S40" s="37">
        <f ca="1">SUMIFS(  INDIRECT(CONCATENATE("'wind'!", $C40, ":", $C40)),   wind!$6:$6, S$4) - SUMIFS(   INDIRECT(CONCATENATE("offshore!",$D40,":", $D40)), offshore!$4:$4, S$4)</f>
        <v>0</v>
      </c>
      <c r="T40" s="37">
        <f ca="1">SUMIFS(  INDIRECT(CONCATENATE("'wind'!", $C40, ":", $C40)),   wind!$6:$6, T$4) - SUMIFS(   INDIRECT(CONCATENATE("offshore!",$D40,":", $D40)), offshore!$4:$4, T$4)</f>
        <v>7</v>
      </c>
      <c r="U40" s="37">
        <f ca="1">SUMIFS(  INDIRECT(CONCATENATE("'wind'!", $C40, ":", $C40)),   wind!$6:$6, U$4) - SUMIFS(   INDIRECT(CONCATENATE("offshore!",$D40,":", $D40)), offshore!$4:$4, U$4)</f>
        <v>7</v>
      </c>
      <c r="V40" s="37">
        <f ca="1">SUMIFS(  INDIRECT(CONCATENATE("'wind'!", $C40, ":", $C40)),   wind!$6:$6, V$4) - SUMIFS(   INDIRECT(CONCATENATE("offshore!",$D40,":", $D40)), offshore!$4:$4, V$4)</f>
        <v>18</v>
      </c>
      <c r="W40" s="37">
        <f ca="1">SUMIFS(  INDIRECT(CONCATENATE("'wind'!", $C40, ":", $C40)),   wind!$6:$6, W$4) - SUMIFS(   INDIRECT(CONCATENATE("offshore!",$D40,":", $D40)), offshore!$4:$4, W$4)</f>
        <v>18</v>
      </c>
      <c r="X40" s="37">
        <f ca="1">SUMIFS(  INDIRECT(CONCATENATE("'wind'!", $C40, ":", $C40)),   wind!$6:$6, X$4) - SUMIFS(   INDIRECT(CONCATENATE("offshore!",$D40,":", $D40)), offshore!$4:$4, X$4)</f>
        <v>18</v>
      </c>
      <c r="Y40" s="37">
        <f ca="1">SUMIFS(  INDIRECT(CONCATENATE("'wind'!", $C40, ":", $C40)),   wind!$6:$6, Y$4) - SUMIFS(   INDIRECT(CONCATENATE("offshore!",$D40,":", $D40)), offshore!$4:$4, Y$4)</f>
        <v>18</v>
      </c>
      <c r="Z40" s="37">
        <f ca="1">SUMIFS(  INDIRECT(CONCATENATE("'wind'!", $C40, ":", $C40)),   wind!$6:$6, Z$4) - SUMIFS(   INDIRECT(CONCATENATE("offshore!",$D40,":", $D40)), offshore!$4:$4, Z$4)</f>
        <v>0</v>
      </c>
      <c r="AA40" s="37">
        <f ca="1">SUMIFS(  INDIRECT(CONCATENATE("'wind'!", $C40, ":", $C40)),   wind!$6:$6, AA$4) - SUMIFS(   INDIRECT(CONCATENATE("offshore!",$D40,":", $D40)), offshore!$4:$4, AA$4)</f>
        <v>0</v>
      </c>
      <c r="AB40" s="37">
        <f ca="1">SUMIFS(  INDIRECT(CONCATENATE("'wind'!", $C40, ":", $C40)),   wind!$6:$6, AB$4) - SUMIFS(   INDIRECT(CONCATENATE("offshore!",$D40,":", $D40)), offshore!$4:$4, AB$4)</f>
        <v>0</v>
      </c>
      <c r="AC40" s="37">
        <f ca="1">SUMIFS(  INDIRECT(CONCATENATE("'wind'!", $C40, ":", $C40)),   wind!$6:$6, AC$4) - SUMIFS(   INDIRECT(CONCATENATE("offshore!",$D40,":", $D40)), offshore!$4:$4, AC$4)</f>
        <v>0</v>
      </c>
      <c r="AD40" s="37">
        <f ca="1">SUMIFS(  INDIRECT(CONCATENATE("'wind'!", $C40, ":", $C40)),   wind!$6:$6, AD$4) - SUMIFS(   INDIRECT(CONCATENATE("offshore!",$D40,":", $D40)), offshore!$4:$4, AD$4)</f>
        <v>68</v>
      </c>
      <c r="AE40" s="37">
        <f ca="1">SUMIFS(  INDIRECT(CONCATENATE("'wind'!", $C40, ":", $C40)),   wind!$6:$6, AE$4) - SUMIFS(   INDIRECT(CONCATENATE("offshore!",$D40,":", $D40)), offshore!$4:$4, AE$4)</f>
        <v>68</v>
      </c>
      <c r="AF40" s="37">
        <f ca="1">SUMIFS(  INDIRECT(CONCATENATE("'wind'!", $C40, ":", $C40)),   wind!$6:$6, AF$4) - SUMIFS(   INDIRECT(CONCATENATE("offshore!",$D40,":", $D40)), offshore!$4:$4, AF$4)</f>
        <v>71</v>
      </c>
      <c r="AG40" s="44">
        <f t="shared" ca="1" si="0"/>
        <v>83.200000000000728</v>
      </c>
      <c r="AH40" s="24">
        <f t="shared" ca="1" si="1"/>
        <v>144.67619047619246</v>
      </c>
      <c r="AJ40" s="19">
        <v>1</v>
      </c>
      <c r="AK40" s="19">
        <v>1</v>
      </c>
    </row>
    <row r="41" spans="1:37">
      <c r="B41" s="17"/>
      <c r="C41" s="20">
        <f>MATCH($E41, wind!$C:$C, 0)</f>
        <v>43</v>
      </c>
      <c r="D41" s="20">
        <f>IFERROR(MATCH($E41, offshore!$D:$D, 0), 1)</f>
        <v>1</v>
      </c>
      <c r="E41" s="17" t="s">
        <v>100</v>
      </c>
      <c r="F41" s="37">
        <f ca="1">SUMIFS(  INDIRECT(CONCATENATE("'wind'!", $C41, ":", $C41)),   wind!$6:$6, F$4) - SUMIFS(   INDIRECT(CONCATENATE("offshore!",$D41,":", $D41)), offshore!$4:$4, F$4)</f>
        <v>0</v>
      </c>
      <c r="G41" s="37">
        <f ca="1">SUMIFS(  INDIRECT(CONCATENATE("'wind'!", $C41, ":", $C41)),   wind!$6:$6, G$4) - SUMIFS(   INDIRECT(CONCATENATE("offshore!",$D41,":", $D41)), offshore!$4:$4, G$4)</f>
        <v>0</v>
      </c>
      <c r="H41" s="37">
        <f ca="1">SUMIFS(  INDIRECT(CONCATENATE("'wind'!", $C41, ":", $C41)),   wind!$6:$6, H$4) - SUMIFS(   INDIRECT(CONCATENATE("offshore!",$D41,":", $D41)), offshore!$4:$4, H$4)</f>
        <v>0</v>
      </c>
      <c r="I41" s="37">
        <f ca="1">SUMIFS(  INDIRECT(CONCATENATE("'wind'!", $C41, ":", $C41)),   wind!$6:$6, I$4) - SUMIFS(   INDIRECT(CONCATENATE("offshore!",$D41,":", $D41)), offshore!$4:$4, I$4)</f>
        <v>0</v>
      </c>
      <c r="J41" s="37">
        <f ca="1">SUMIFS(  INDIRECT(CONCATENATE("'wind'!", $C41, ":", $C41)),   wind!$6:$6, J$4) - SUMIFS(   INDIRECT(CONCATENATE("offshore!",$D41,":", $D41)), offshore!$4:$4, J$4)</f>
        <v>0</v>
      </c>
      <c r="K41" s="37">
        <f ca="1">SUMIFS(  INDIRECT(CONCATENATE("'wind'!", $C41, ":", $C41)),   wind!$6:$6, K$4) - SUMIFS(   INDIRECT(CONCATENATE("offshore!",$D41,":", $D41)), offshore!$4:$4, K$4)</f>
        <v>0</v>
      </c>
      <c r="L41" s="37">
        <f ca="1">SUMIFS(  INDIRECT(CONCATENATE("'wind'!", $C41, ":", $C41)),   wind!$6:$6, L$4) - SUMIFS(   INDIRECT(CONCATENATE("offshore!",$D41,":", $D41)), offshore!$4:$4, L$4)</f>
        <v>0</v>
      </c>
      <c r="M41" s="37">
        <f ca="1">SUMIFS(  INDIRECT(CONCATENATE("'wind'!", $C41, ":", $C41)),   wind!$6:$6, M$4) - SUMIFS(   INDIRECT(CONCATENATE("offshore!",$D41,":", $D41)), offshore!$4:$4, M$4)</f>
        <v>3</v>
      </c>
      <c r="N41" s="37">
        <f ca="1">SUMIFS(  INDIRECT(CONCATENATE("'wind'!", $C41, ":", $C41)),   wind!$6:$6, N$4) - SUMIFS(   INDIRECT(CONCATENATE("offshore!",$D41,":", $D41)), offshore!$4:$4, N$4)</f>
        <v>5</v>
      </c>
      <c r="O41" s="37">
        <f ca="1">SUMIFS(  INDIRECT(CONCATENATE("'wind'!", $C41, ":", $C41)),   wind!$6:$6, O$4) - SUMIFS(   INDIRECT(CONCATENATE("offshore!",$D41,":", $D41)), offshore!$4:$4, O$4)</f>
        <v>5</v>
      </c>
      <c r="P41" s="37">
        <f ca="1">SUMIFS(  INDIRECT(CONCATENATE("'wind'!", $C41, ":", $C41)),   wind!$6:$6, P$4) - SUMIFS(   INDIRECT(CONCATENATE("offshore!",$D41,":", $D41)), offshore!$4:$4, P$4)</f>
        <v>5</v>
      </c>
      <c r="Q41" s="37">
        <f ca="1">SUMIFS(  INDIRECT(CONCATENATE("'wind'!", $C41, ":", $C41)),   wind!$6:$6, Q$4) - SUMIFS(   INDIRECT(CONCATENATE("offshore!",$D41,":", $D41)), offshore!$4:$4, Q$4)</f>
        <v>5</v>
      </c>
      <c r="R41" s="37">
        <f ca="1">SUMIFS(  INDIRECT(CONCATENATE("'wind'!", $C41, ":", $C41)),   wind!$6:$6, R$4) - SUMIFS(   INDIRECT(CONCATENATE("offshore!",$D41,":", $D41)), offshore!$4:$4, R$4)</f>
        <v>3</v>
      </c>
      <c r="S41" s="37">
        <f ca="1">SUMIFS(  INDIRECT(CONCATENATE("'wind'!", $C41, ":", $C41)),   wind!$6:$6, S$4) - SUMIFS(   INDIRECT(CONCATENATE("offshore!",$D41,":", $D41)), offshore!$4:$4, S$4)</f>
        <v>3</v>
      </c>
      <c r="T41" s="37">
        <f ca="1">SUMIFS(  INDIRECT(CONCATENATE("'wind'!", $C41, ":", $C41)),   wind!$6:$6, T$4) - SUMIFS(   INDIRECT(CONCATENATE("offshore!",$D41,":", $D41)), offshore!$4:$4, T$4)</f>
        <v>3</v>
      </c>
      <c r="U41" s="37">
        <f ca="1">SUMIFS(  INDIRECT(CONCATENATE("'wind'!", $C41, ":", $C41)),   wind!$6:$6, U$4) - SUMIFS(   INDIRECT(CONCATENATE("offshore!",$D41,":", $D41)), offshore!$4:$4, U$4)</f>
        <v>3</v>
      </c>
      <c r="V41" s="37">
        <f ca="1">SUMIFS(  INDIRECT(CONCATENATE("'wind'!", $C41, ":", $C41)),   wind!$6:$6, V$4) - SUMIFS(   INDIRECT(CONCATENATE("offshore!",$D41,":", $D41)), offshore!$4:$4, V$4)</f>
        <v>3</v>
      </c>
      <c r="W41" s="37">
        <f ca="1">SUMIFS(  INDIRECT(CONCATENATE("'wind'!", $C41, ":", $C41)),   wind!$6:$6, W$4) - SUMIFS(   INDIRECT(CONCATENATE("offshore!",$D41,":", $D41)), offshore!$4:$4, W$4)</f>
        <v>3</v>
      </c>
      <c r="X41" s="37">
        <f ca="1">SUMIFS(  INDIRECT(CONCATENATE("'wind'!", $C41, ":", $C41)),   wind!$6:$6, X$4) - SUMIFS(   INDIRECT(CONCATENATE("offshore!",$D41,":", $D41)), offshore!$4:$4, X$4)</f>
        <v>3</v>
      </c>
      <c r="Y41" s="37">
        <f ca="1">SUMIFS(  INDIRECT(CONCATENATE("'wind'!", $C41, ":", $C41)),   wind!$6:$6, Y$4) - SUMIFS(   INDIRECT(CONCATENATE("offshore!",$D41,":", $D41)), offshore!$4:$4, Y$4)</f>
        <v>3</v>
      </c>
      <c r="Z41" s="37">
        <f ca="1">SUMIFS(  INDIRECT(CONCATENATE("'wind'!", $C41, ":", $C41)),   wind!$6:$6, Z$4) - SUMIFS(   INDIRECT(CONCATENATE("offshore!",$D41,":", $D41)), offshore!$4:$4, Z$4)</f>
        <v>3</v>
      </c>
      <c r="AA41" s="37">
        <f ca="1">SUMIFS(  INDIRECT(CONCATENATE("'wind'!", $C41, ":", $C41)),   wind!$6:$6, AA$4) - SUMIFS(   INDIRECT(CONCATENATE("offshore!",$D41,":", $D41)), offshore!$4:$4, AA$4)</f>
        <v>3</v>
      </c>
      <c r="AB41" s="37">
        <f ca="1">SUMIFS(  INDIRECT(CONCATENATE("'wind'!", $C41, ":", $C41)),   wind!$6:$6, AB$4) - SUMIFS(   INDIRECT(CONCATENATE("offshore!",$D41,":", $D41)), offshore!$4:$4, AB$4)</f>
        <v>3</v>
      </c>
      <c r="AC41" s="37">
        <f ca="1">SUMIFS(  INDIRECT(CONCATENATE("'wind'!", $C41, ":", $C41)),   wind!$6:$6, AC$4) - SUMIFS(   INDIRECT(CONCATENATE("offshore!",$D41,":", $D41)), offshore!$4:$4, AC$4)</f>
        <v>3</v>
      </c>
      <c r="AD41" s="37">
        <f ca="1">SUMIFS(  INDIRECT(CONCATENATE("'wind'!", $C41, ":", $C41)),   wind!$6:$6, AD$4) - SUMIFS(   INDIRECT(CONCATENATE("offshore!",$D41,":", $D41)), offshore!$4:$4, AD$4)</f>
        <v>3</v>
      </c>
      <c r="AE41" s="37">
        <f ca="1">SUMIFS(  INDIRECT(CONCATENATE("'wind'!", $C41, ":", $C41)),   wind!$6:$6, AE$4) - SUMIFS(   INDIRECT(CONCATENATE("offshore!",$D41,":", $D41)), offshore!$4:$4, AE$4)</f>
        <v>3</v>
      </c>
      <c r="AF41" s="37">
        <f ca="1">SUMIFS(  INDIRECT(CONCATENATE("'wind'!", $C41, ":", $C41)),   wind!$6:$6, AF$4) - SUMIFS(   INDIRECT(CONCATENATE("offshore!",$D41,":", $D41)), offshore!$4:$4, AF$4)</f>
        <v>4</v>
      </c>
      <c r="AG41" s="44">
        <f t="shared" ca="1" si="0"/>
        <v>4.12</v>
      </c>
      <c r="AH41" s="24">
        <f t="shared" ca="1" si="1"/>
        <v>4.6308225108225258</v>
      </c>
      <c r="AJ41" s="19">
        <v>1</v>
      </c>
      <c r="AK41" s="19">
        <v>1</v>
      </c>
    </row>
    <row r="42" spans="1:37">
      <c r="B42" s="17"/>
      <c r="C42" s="20">
        <f>MATCH($E42, wind!$C:$C, 0)</f>
        <v>44</v>
      </c>
      <c r="D42" s="20">
        <f>IFERROR(MATCH($E42, offshore!$D:$D, 0), 1)</f>
        <v>1</v>
      </c>
      <c r="E42" s="17" t="s">
        <v>101</v>
      </c>
      <c r="F42" s="37">
        <f ca="1">SUMIFS(  INDIRECT(CONCATENATE("'wind'!", $C42, ":", $C42)),   wind!$6:$6, F$4) - SUMIFS(   INDIRECT(CONCATENATE("offshore!",$D42,":", $D42)), offshore!$4:$4, F$4)</f>
        <v>0</v>
      </c>
      <c r="G42" s="37">
        <f ca="1">SUMIFS(  INDIRECT(CONCATENATE("'wind'!", $C42, ":", $C42)),   wind!$6:$6, G$4) - SUMIFS(   INDIRECT(CONCATENATE("offshore!",$D42,":", $D42)), offshore!$4:$4, G$4)</f>
        <v>0</v>
      </c>
      <c r="H42" s="37">
        <f ca="1">SUMIFS(  INDIRECT(CONCATENATE("'wind'!", $C42, ":", $C42)),   wind!$6:$6, H$4) - SUMIFS(   INDIRECT(CONCATENATE("offshore!",$D42,":", $D42)), offshore!$4:$4, H$4)</f>
        <v>0</v>
      </c>
      <c r="I42" s="37">
        <f ca="1">SUMIFS(  INDIRECT(CONCATENATE("'wind'!", $C42, ":", $C42)),   wind!$6:$6, I$4) - SUMIFS(   INDIRECT(CONCATENATE("offshore!",$D42,":", $D42)), offshore!$4:$4, I$4)</f>
        <v>0</v>
      </c>
      <c r="J42" s="37">
        <f ca="1">SUMIFS(  INDIRECT(CONCATENATE("'wind'!", $C42, ":", $C42)),   wind!$6:$6, J$4) - SUMIFS(   INDIRECT(CONCATENATE("offshore!",$D42,":", $D42)), offshore!$4:$4, J$4)</f>
        <v>0</v>
      </c>
      <c r="K42" s="37">
        <f ca="1">SUMIFS(  INDIRECT(CONCATENATE("'wind'!", $C42, ":", $C42)),   wind!$6:$6, K$4) - SUMIFS(   INDIRECT(CONCATENATE("offshore!",$D42,":", $D42)), offshore!$4:$4, K$4)</f>
        <v>0</v>
      </c>
      <c r="L42" s="37">
        <f ca="1">SUMIFS(  INDIRECT(CONCATENATE("'wind'!", $C42, ":", $C42)),   wind!$6:$6, L$4) - SUMIFS(   INDIRECT(CONCATENATE("offshore!",$D42,":", $D42)), offshore!$4:$4, L$4)</f>
        <v>0</v>
      </c>
      <c r="M42" s="37">
        <f ca="1">SUMIFS(  INDIRECT(CONCATENATE("'wind'!", $C42, ":", $C42)),   wind!$6:$6, M$4) - SUMIFS(   INDIRECT(CONCATENATE("offshore!",$D42,":", $D42)), offshore!$4:$4, M$4)</f>
        <v>0</v>
      </c>
      <c r="N42" s="37">
        <f ca="1">SUMIFS(  INDIRECT(CONCATENATE("'wind'!", $C42, ":", $C42)),   wind!$6:$6, N$4) - SUMIFS(   INDIRECT(CONCATENATE("offshore!",$D42,":", $D42)), offshore!$4:$4, N$4)</f>
        <v>0</v>
      </c>
      <c r="O42" s="37">
        <f ca="1">SUMIFS(  INDIRECT(CONCATENATE("'wind'!", $C42, ":", $C42)),   wind!$6:$6, O$4) - SUMIFS(   INDIRECT(CONCATENATE("offshore!",$D42,":", $D42)), offshore!$4:$4, O$4)</f>
        <v>0</v>
      </c>
      <c r="P42" s="37">
        <f ca="1">SUMIFS(  INDIRECT(CONCATENATE("'wind'!", $C42, ":", $C42)),   wind!$6:$6, P$4) - SUMIFS(   INDIRECT(CONCATENATE("offshore!",$D42,":", $D42)), offshore!$4:$4, P$4)</f>
        <v>0</v>
      </c>
      <c r="Q42" s="37">
        <f ca="1">SUMIFS(  INDIRECT(CONCATENATE("'wind'!", $C42, ":", $C42)),   wind!$6:$6, Q$4) - SUMIFS(   INDIRECT(CONCATENATE("offshore!",$D42,":", $D42)), offshore!$4:$4, Q$4)</f>
        <v>0</v>
      </c>
      <c r="R42" s="37">
        <f ca="1">SUMIFS(  INDIRECT(CONCATENATE("'wind'!", $C42, ":", $C42)),   wind!$6:$6, R$4) - SUMIFS(   INDIRECT(CONCATENATE("offshore!",$D42,":", $D42)), offshore!$4:$4, R$4)</f>
        <v>0</v>
      </c>
      <c r="S42" s="37">
        <f ca="1">SUMIFS(  INDIRECT(CONCATENATE("'wind'!", $C42, ":", $C42)),   wind!$6:$6, S$4) - SUMIFS(   INDIRECT(CONCATENATE("offshore!",$D42,":", $D42)), offshore!$4:$4, S$4)</f>
        <v>0</v>
      </c>
      <c r="T42" s="37">
        <f ca="1">SUMIFS(  INDIRECT(CONCATENATE("'wind'!", $C42, ":", $C42)),   wind!$6:$6, T$4) - SUMIFS(   INDIRECT(CONCATENATE("offshore!",$D42,":", $D42)), offshore!$4:$4, T$4)</f>
        <v>0</v>
      </c>
      <c r="U42" s="37">
        <f ca="1">SUMIFS(  INDIRECT(CONCATENATE("'wind'!", $C42, ":", $C42)),   wind!$6:$6, U$4) - SUMIFS(   INDIRECT(CONCATENATE("offshore!",$D42,":", $D42)), offshore!$4:$4, U$4)</f>
        <v>3</v>
      </c>
      <c r="V42" s="37">
        <f ca="1">SUMIFS(  INDIRECT(CONCATENATE("'wind'!", $C42, ":", $C42)),   wind!$6:$6, V$4) - SUMIFS(   INDIRECT(CONCATENATE("offshore!",$D42,":", $D42)), offshore!$4:$4, V$4)</f>
        <v>3</v>
      </c>
      <c r="W42" s="37">
        <f ca="1">SUMIFS(  INDIRECT(CONCATENATE("'wind'!", $C42, ":", $C42)),   wind!$6:$6, W$4) - SUMIFS(   INDIRECT(CONCATENATE("offshore!",$D42,":", $D42)), offshore!$4:$4, W$4)</f>
        <v>3</v>
      </c>
      <c r="X42" s="37">
        <f ca="1">SUMIFS(  INDIRECT(CONCATENATE("'wind'!", $C42, ":", $C42)),   wind!$6:$6, X$4) - SUMIFS(   INDIRECT(CONCATENATE("offshore!",$D42,":", $D42)), offshore!$4:$4, X$4)</f>
        <v>3</v>
      </c>
      <c r="Y42" s="37">
        <f ca="1">SUMIFS(  INDIRECT(CONCATENATE("'wind'!", $C42, ":", $C42)),   wind!$6:$6, Y$4) - SUMIFS(   INDIRECT(CONCATENATE("offshore!",$D42,":", $D42)), offshore!$4:$4, Y$4)</f>
        <v>3</v>
      </c>
      <c r="Z42" s="37">
        <f ca="1">SUMIFS(  INDIRECT(CONCATENATE("'wind'!", $C42, ":", $C42)),   wind!$6:$6, Z$4) - SUMIFS(   INDIRECT(CONCATENATE("offshore!",$D42,":", $D42)), offshore!$4:$4, Z$4)</f>
        <v>3</v>
      </c>
      <c r="AA42" s="37">
        <f ca="1">SUMIFS(  INDIRECT(CONCATENATE("'wind'!", $C42, ":", $C42)),   wind!$6:$6, AA$4) - SUMIFS(   INDIRECT(CONCATENATE("offshore!",$D42,":", $D42)), offshore!$4:$4, AA$4)</f>
        <v>3</v>
      </c>
      <c r="AB42" s="37">
        <f ca="1">SUMIFS(  INDIRECT(CONCATENATE("'wind'!", $C42, ":", $C42)),   wind!$6:$6, AB$4) - SUMIFS(   INDIRECT(CONCATENATE("offshore!",$D42,":", $D42)), offshore!$4:$4, AB$4)</f>
        <v>3</v>
      </c>
      <c r="AC42" s="37">
        <f ca="1">SUMIFS(  INDIRECT(CONCATENATE("'wind'!", $C42, ":", $C42)),   wind!$6:$6, AC$4) - SUMIFS(   INDIRECT(CONCATENATE("offshore!",$D42,":", $D42)), offshore!$4:$4, AC$4)</f>
        <v>3</v>
      </c>
      <c r="AD42" s="37">
        <f ca="1">SUMIFS(  INDIRECT(CONCATENATE("'wind'!", $C42, ":", $C42)),   wind!$6:$6, AD$4) - SUMIFS(   INDIRECT(CONCATENATE("offshore!",$D42,":", $D42)), offshore!$4:$4, AD$4)</f>
        <v>3</v>
      </c>
      <c r="AE42" s="37">
        <f ca="1">SUMIFS(  INDIRECT(CONCATENATE("'wind'!", $C42, ":", $C42)),   wind!$6:$6, AE$4) - SUMIFS(   INDIRECT(CONCATENATE("offshore!",$D42,":", $D42)), offshore!$4:$4, AE$4)</f>
        <v>3</v>
      </c>
      <c r="AF42" s="37">
        <f ca="1">SUMIFS(  INDIRECT(CONCATENATE("'wind'!", $C42, ":", $C42)),   wind!$6:$6, AF$4) - SUMIFS(   INDIRECT(CONCATENATE("offshore!",$D42,":", $D42)), offshore!$4:$4, AF$4)</f>
        <v>3</v>
      </c>
      <c r="AG42" s="44">
        <f t="shared" ca="1" si="0"/>
        <v>3.09</v>
      </c>
      <c r="AH42" s="24">
        <f t="shared" ca="1" si="1"/>
        <v>3.0802597402597405</v>
      </c>
      <c r="AJ42" s="19">
        <v>1</v>
      </c>
      <c r="AK42" s="19">
        <v>1</v>
      </c>
    </row>
    <row r="43" spans="1:37">
      <c r="B43" s="17"/>
      <c r="C43" s="20">
        <f>MATCH($E43, wind!$C:$C, 0)</f>
        <v>45</v>
      </c>
      <c r="D43" s="20">
        <f>IFERROR(MATCH($E43, offshore!$D:$D, 0), 1)</f>
        <v>1</v>
      </c>
      <c r="E43" s="17" t="s">
        <v>102</v>
      </c>
      <c r="F43" s="37">
        <f ca="1">SUMIFS(  INDIRECT(CONCATENATE("'wind'!", $C43, ":", $C43)),   wind!$6:$6, F$4) - SUMIFS(   INDIRECT(CONCATENATE("offshore!",$D43,":", $D43)), offshore!$4:$4, F$4)</f>
        <v>0</v>
      </c>
      <c r="G43" s="37">
        <f ca="1">SUMIFS(  INDIRECT(CONCATENATE("'wind'!", $C43, ":", $C43)),   wind!$6:$6, G$4) - SUMIFS(   INDIRECT(CONCATENATE("offshore!",$D43,":", $D43)), offshore!$4:$4, G$4)</f>
        <v>0</v>
      </c>
      <c r="H43" s="37">
        <f ca="1">SUMIFS(  INDIRECT(CONCATENATE("'wind'!", $C43, ":", $C43)),   wind!$6:$6, H$4) - SUMIFS(   INDIRECT(CONCATENATE("offshore!",$D43,":", $D43)), offshore!$4:$4, H$4)</f>
        <v>0</v>
      </c>
      <c r="I43" s="37">
        <f ca="1">SUMIFS(  INDIRECT(CONCATENATE("'wind'!", $C43, ":", $C43)),   wind!$6:$6, I$4) - SUMIFS(   INDIRECT(CONCATENATE("offshore!",$D43,":", $D43)), offshore!$4:$4, I$4)</f>
        <v>0</v>
      </c>
      <c r="J43" s="37">
        <f ca="1">SUMIFS(  INDIRECT(CONCATENATE("'wind'!", $C43, ":", $C43)),   wind!$6:$6, J$4) - SUMIFS(   INDIRECT(CONCATENATE("offshore!",$D43,":", $D43)), offshore!$4:$4, J$4)</f>
        <v>0</v>
      </c>
      <c r="K43" s="37">
        <f ca="1">SUMIFS(  INDIRECT(CONCATENATE("'wind'!", $C43, ":", $C43)),   wind!$6:$6, K$4) - SUMIFS(   INDIRECT(CONCATENATE("offshore!",$D43,":", $D43)), offshore!$4:$4, K$4)</f>
        <v>0</v>
      </c>
      <c r="L43" s="37">
        <f ca="1">SUMIFS(  INDIRECT(CONCATENATE("'wind'!", $C43, ":", $C43)),   wind!$6:$6, L$4) - SUMIFS(   INDIRECT(CONCATENATE("offshore!",$D43,":", $D43)), offshore!$4:$4, L$4)</f>
        <v>0</v>
      </c>
      <c r="M43" s="37">
        <f ca="1">SUMIFS(  INDIRECT(CONCATENATE("'wind'!", $C43, ":", $C43)),   wind!$6:$6, M$4) - SUMIFS(   INDIRECT(CONCATENATE("offshore!",$D43,":", $D43)), offshore!$4:$4, M$4)</f>
        <v>0</v>
      </c>
      <c r="N43" s="37">
        <f ca="1">SUMIFS(  INDIRECT(CONCATENATE("'wind'!", $C43, ":", $C43)),   wind!$6:$6, N$4) - SUMIFS(   INDIRECT(CONCATENATE("offshore!",$D43,":", $D43)), offshore!$4:$4, N$4)</f>
        <v>0</v>
      </c>
      <c r="O43" s="37">
        <f ca="1">SUMIFS(  INDIRECT(CONCATENATE("'wind'!", $C43, ":", $C43)),   wind!$6:$6, O$4) - SUMIFS(   INDIRECT(CONCATENATE("offshore!",$D43,":", $D43)), offshore!$4:$4, O$4)</f>
        <v>0</v>
      </c>
      <c r="P43" s="37">
        <f ca="1">SUMIFS(  INDIRECT(CONCATENATE("'wind'!", $C43, ":", $C43)),   wind!$6:$6, P$4) - SUMIFS(   INDIRECT(CONCATENATE("offshore!",$D43,":", $D43)), offshore!$4:$4, P$4)</f>
        <v>0</v>
      </c>
      <c r="Q43" s="37">
        <f ca="1">SUMIFS(  INDIRECT(CONCATENATE("'wind'!", $C43, ":", $C43)),   wind!$6:$6, Q$4) - SUMIFS(   INDIRECT(CONCATENATE("offshore!",$D43,":", $D43)), offshore!$4:$4, Q$4)</f>
        <v>0</v>
      </c>
      <c r="R43" s="37">
        <f ca="1">SUMIFS(  INDIRECT(CONCATENATE("'wind'!", $C43, ":", $C43)),   wind!$6:$6, R$4) - SUMIFS(   INDIRECT(CONCATENATE("offshore!",$D43,":", $D43)), offshore!$4:$4, R$4)</f>
        <v>0</v>
      </c>
      <c r="S43" s="37">
        <f ca="1">SUMIFS(  INDIRECT(CONCATENATE("'wind'!", $C43, ":", $C43)),   wind!$6:$6, S$4) - SUMIFS(   INDIRECT(CONCATENATE("offshore!",$D43,":", $D43)), offshore!$4:$4, S$4)</f>
        <v>0</v>
      </c>
      <c r="T43" s="37">
        <f ca="1">SUMIFS(  INDIRECT(CONCATENATE("'wind'!", $C43, ":", $C43)),   wind!$6:$6, T$4) - SUMIFS(   INDIRECT(CONCATENATE("offshore!",$D43,":", $D43)), offshore!$4:$4, T$4)</f>
        <v>0</v>
      </c>
      <c r="U43" s="37">
        <f ca="1">SUMIFS(  INDIRECT(CONCATENATE("'wind'!", $C43, ":", $C43)),   wind!$6:$6, U$4) - SUMIFS(   INDIRECT(CONCATENATE("offshore!",$D43,":", $D43)), offshore!$4:$4, U$4)</f>
        <v>1.8</v>
      </c>
      <c r="V43" s="37">
        <f ca="1">SUMIFS(  INDIRECT(CONCATENATE("'wind'!", $C43, ":", $C43)),   wind!$6:$6, V$4) - SUMIFS(   INDIRECT(CONCATENATE("offshore!",$D43,":", $D43)), offshore!$4:$4, V$4)</f>
        <v>3</v>
      </c>
      <c r="W43" s="37">
        <f ca="1">SUMIFS(  INDIRECT(CONCATENATE("'wind'!", $C43, ":", $C43)),   wind!$6:$6, W$4) - SUMIFS(   INDIRECT(CONCATENATE("offshore!",$D43,":", $D43)), offshore!$4:$4, W$4)</f>
        <v>3</v>
      </c>
      <c r="X43" s="37">
        <f ca="1">SUMIFS(  INDIRECT(CONCATENATE("'wind'!", $C43, ":", $C43)),   wind!$6:$6, X$4) - SUMIFS(   INDIRECT(CONCATENATE("offshore!",$D43,":", $D43)), offshore!$4:$4, X$4)</f>
        <v>3</v>
      </c>
      <c r="Y43" s="37">
        <f ca="1">SUMIFS(  INDIRECT(CONCATENATE("'wind'!", $C43, ":", $C43)),   wind!$6:$6, Y$4) - SUMIFS(   INDIRECT(CONCATENATE("offshore!",$D43,":", $D43)), offshore!$4:$4, Y$4)</f>
        <v>3</v>
      </c>
      <c r="Z43" s="37">
        <f ca="1">SUMIFS(  INDIRECT(CONCATENATE("'wind'!", $C43, ":", $C43)),   wind!$6:$6, Z$4) - SUMIFS(   INDIRECT(CONCATENATE("offshore!",$D43,":", $D43)), offshore!$4:$4, Z$4)</f>
        <v>3</v>
      </c>
      <c r="AA43" s="37">
        <f ca="1">SUMIFS(  INDIRECT(CONCATENATE("'wind'!", $C43, ":", $C43)),   wind!$6:$6, AA$4) - SUMIFS(   INDIRECT(CONCATENATE("offshore!",$D43,":", $D43)), offshore!$4:$4, AA$4)</f>
        <v>3</v>
      </c>
      <c r="AB43" s="37">
        <f ca="1">SUMIFS(  INDIRECT(CONCATENATE("'wind'!", $C43, ":", $C43)),   wind!$6:$6, AB$4) - SUMIFS(   INDIRECT(CONCATENATE("offshore!",$D43,":", $D43)), offshore!$4:$4, AB$4)</f>
        <v>3</v>
      </c>
      <c r="AC43" s="37">
        <f ca="1">SUMIFS(  INDIRECT(CONCATENATE("'wind'!", $C43, ":", $C43)),   wind!$6:$6, AC$4) - SUMIFS(   INDIRECT(CONCATENATE("offshore!",$D43,":", $D43)), offshore!$4:$4, AC$4)</f>
        <v>3</v>
      </c>
      <c r="AD43" s="37">
        <f ca="1">SUMIFS(  INDIRECT(CONCATENATE("'wind'!", $C43, ":", $C43)),   wind!$6:$6, AD$4) - SUMIFS(   INDIRECT(CONCATENATE("offshore!",$D43,":", $D43)), offshore!$4:$4, AD$4)</f>
        <v>3</v>
      </c>
      <c r="AE43" s="37">
        <f ca="1">SUMIFS(  INDIRECT(CONCATENATE("'wind'!", $C43, ":", $C43)),   wind!$6:$6, AE$4) - SUMIFS(   INDIRECT(CONCATENATE("offshore!",$D43,":", $D43)), offshore!$4:$4, AE$4)</f>
        <v>3</v>
      </c>
      <c r="AF43" s="37">
        <f ca="1">SUMIFS(  INDIRECT(CONCATENATE("'wind'!", $C43, ":", $C43)),   wind!$6:$6, AF$4) - SUMIFS(   INDIRECT(CONCATENATE("offshore!",$D43,":", $D43)), offshore!$4:$4, AF$4)</f>
        <v>3</v>
      </c>
      <c r="AG43" s="44">
        <f t="shared" ca="1" si="0"/>
        <v>3.09</v>
      </c>
      <c r="AH43" s="24">
        <f t="shared" ca="1" si="1"/>
        <v>3.0802597402597405</v>
      </c>
      <c r="AJ43" s="19">
        <v>1</v>
      </c>
      <c r="AK43" s="19">
        <v>1</v>
      </c>
    </row>
    <row r="44" spans="1:37">
      <c r="B44" s="17"/>
      <c r="C44" s="20">
        <f>MATCH($E44, wind!$C:$C, 0)</f>
        <v>46</v>
      </c>
      <c r="D44" s="20">
        <f>IFERROR(MATCH($E44, offshore!$D:$D, 0), 1)</f>
        <v>1</v>
      </c>
      <c r="E44" s="17" t="s">
        <v>103</v>
      </c>
      <c r="F44" s="37">
        <f ca="1">SUMIFS(  INDIRECT(CONCATENATE("'wind'!", $C44, ":", $C44)),   wind!$6:$6, F$4) - SUMIFS(   INDIRECT(CONCATENATE("offshore!",$D44,":", $D44)), offshore!$4:$4, F$4)</f>
        <v>0</v>
      </c>
      <c r="G44" s="37">
        <f ca="1">SUMIFS(  INDIRECT(CONCATENATE("'wind'!", $C44, ":", $C44)),   wind!$6:$6, G$4) - SUMIFS(   INDIRECT(CONCATENATE("offshore!",$D44,":", $D44)), offshore!$4:$4, G$4)</f>
        <v>0</v>
      </c>
      <c r="H44" s="37">
        <f ca="1">SUMIFS(  INDIRECT(CONCATENATE("'wind'!", $C44, ":", $C44)),   wind!$6:$6, H$4) - SUMIFS(   INDIRECT(CONCATENATE("offshore!",$D44,":", $D44)), offshore!$4:$4, H$4)</f>
        <v>0</v>
      </c>
      <c r="I44" s="37">
        <f ca="1">SUMIFS(  INDIRECT(CONCATENATE("'wind'!", $C44, ":", $C44)),   wind!$6:$6, I$4) - SUMIFS(   INDIRECT(CONCATENATE("offshore!",$D44,":", $D44)), offshore!$4:$4, I$4)</f>
        <v>0</v>
      </c>
      <c r="J44" s="37">
        <f ca="1">SUMIFS(  INDIRECT(CONCATENATE("'wind'!", $C44, ":", $C44)),   wind!$6:$6, J$4) - SUMIFS(   INDIRECT(CONCATENATE("offshore!",$D44,":", $D44)), offshore!$4:$4, J$4)</f>
        <v>0</v>
      </c>
      <c r="K44" s="37">
        <f ca="1">SUMIFS(  INDIRECT(CONCATENATE("'wind'!", $C44, ":", $C44)),   wind!$6:$6, K$4) - SUMIFS(   INDIRECT(CONCATENATE("offshore!",$D44,":", $D44)), offshore!$4:$4, K$4)</f>
        <v>0</v>
      </c>
      <c r="L44" s="37">
        <f ca="1">SUMIFS(  INDIRECT(CONCATENATE("'wind'!", $C44, ":", $C44)),   wind!$6:$6, L$4) - SUMIFS(   INDIRECT(CONCATENATE("offshore!",$D44,":", $D44)), offshore!$4:$4, L$4)</f>
        <v>0</v>
      </c>
      <c r="M44" s="37">
        <f ca="1">SUMIFS(  INDIRECT(CONCATENATE("'wind'!", $C44, ":", $C44)),   wind!$6:$6, M$4) - SUMIFS(   INDIRECT(CONCATENATE("offshore!",$D44,":", $D44)), offshore!$4:$4, M$4)</f>
        <v>0</v>
      </c>
      <c r="N44" s="37">
        <f ca="1">SUMIFS(  INDIRECT(CONCATENATE("'wind'!", $C44, ":", $C44)),   wind!$6:$6, N$4) - SUMIFS(   INDIRECT(CONCATENATE("offshore!",$D44,":", $D44)), offshore!$4:$4, N$4)</f>
        <v>0</v>
      </c>
      <c r="O44" s="37">
        <f ca="1">SUMIFS(  INDIRECT(CONCATENATE("'wind'!", $C44, ":", $C44)),   wind!$6:$6, O$4) - SUMIFS(   INDIRECT(CONCATENATE("offshore!",$D44,":", $D44)), offshore!$4:$4, O$4)</f>
        <v>0</v>
      </c>
      <c r="P44" s="37">
        <f ca="1">SUMIFS(  INDIRECT(CONCATENATE("'wind'!", $C44, ":", $C44)),   wind!$6:$6, P$4) - SUMIFS(   INDIRECT(CONCATENATE("offshore!",$D44,":", $D44)), offshore!$4:$4, P$4)</f>
        <v>0</v>
      </c>
      <c r="Q44" s="37">
        <f ca="1">SUMIFS(  INDIRECT(CONCATENATE("'wind'!", $C44, ":", $C44)),   wind!$6:$6, Q$4) - SUMIFS(   INDIRECT(CONCATENATE("offshore!",$D44,":", $D44)), offshore!$4:$4, Q$4)</f>
        <v>0</v>
      </c>
      <c r="R44" s="37">
        <f ca="1">SUMIFS(  INDIRECT(CONCATENATE("'wind'!", $C44, ":", $C44)),   wind!$6:$6, R$4) - SUMIFS(   INDIRECT(CONCATENATE("offshore!",$D44,":", $D44)), offshore!$4:$4, R$4)</f>
        <v>0</v>
      </c>
      <c r="S44" s="37">
        <f ca="1">SUMIFS(  INDIRECT(CONCATENATE("'wind'!", $C44, ":", $C44)),   wind!$6:$6, S$4) - SUMIFS(   INDIRECT(CONCATENATE("offshore!",$D44,":", $D44)), offshore!$4:$4, S$4)</f>
        <v>0</v>
      </c>
      <c r="T44" s="37">
        <f ca="1">SUMIFS(  INDIRECT(CONCATENATE("'wind'!", $C44, ":", $C44)),   wind!$6:$6, T$4) - SUMIFS(   INDIRECT(CONCATENATE("offshore!",$D44,":", $D44)), offshore!$4:$4, T$4)</f>
        <v>0</v>
      </c>
      <c r="U44" s="37">
        <f ca="1">SUMIFS(  INDIRECT(CONCATENATE("'wind'!", $C44, ":", $C44)),   wind!$6:$6, U$4) - SUMIFS(   INDIRECT(CONCATENATE("offshore!",$D44,":", $D44)), offshore!$4:$4, U$4)</f>
        <v>0</v>
      </c>
      <c r="V44" s="37">
        <f ca="1">SUMIFS(  INDIRECT(CONCATENATE("'wind'!", $C44, ":", $C44)),   wind!$6:$6, V$4) - SUMIFS(   INDIRECT(CONCATENATE("offshore!",$D44,":", $D44)), offshore!$4:$4, V$4)</f>
        <v>2</v>
      </c>
      <c r="W44" s="37">
        <f ca="1">SUMIFS(  INDIRECT(CONCATENATE("'wind'!", $C44, ":", $C44)),   wind!$6:$6, W$4) - SUMIFS(   INDIRECT(CONCATENATE("offshore!",$D44,":", $D44)), offshore!$4:$4, W$4)</f>
        <v>5</v>
      </c>
      <c r="X44" s="37">
        <f ca="1">SUMIFS(  INDIRECT(CONCATENATE("'wind'!", $C44, ":", $C44)),   wind!$6:$6, X$4) - SUMIFS(   INDIRECT(CONCATENATE("offshore!",$D44,":", $D44)), offshore!$4:$4, X$4)</f>
        <v>3</v>
      </c>
      <c r="Y44" s="37">
        <f ca="1">SUMIFS(  INDIRECT(CONCATENATE("'wind'!", $C44, ":", $C44)),   wind!$6:$6, Y$4) - SUMIFS(   INDIRECT(CONCATENATE("offshore!",$D44,":", $D44)), offshore!$4:$4, Y$4)</f>
        <v>3</v>
      </c>
      <c r="Z44" s="37">
        <f ca="1">SUMIFS(  INDIRECT(CONCATENATE("'wind'!", $C44, ":", $C44)),   wind!$6:$6, Z$4) - SUMIFS(   INDIRECT(CONCATENATE("offshore!",$D44,":", $D44)), offshore!$4:$4, Z$4)</f>
        <v>3</v>
      </c>
      <c r="AA44" s="37">
        <f ca="1">SUMIFS(  INDIRECT(CONCATENATE("'wind'!", $C44, ":", $C44)),   wind!$6:$6, AA$4) - SUMIFS(   INDIRECT(CONCATENATE("offshore!",$D44,":", $D44)), offshore!$4:$4, AA$4)</f>
        <v>3</v>
      </c>
      <c r="AB44" s="37">
        <f ca="1">SUMIFS(  INDIRECT(CONCATENATE("'wind'!", $C44, ":", $C44)),   wind!$6:$6, AB$4) - SUMIFS(   INDIRECT(CONCATENATE("offshore!",$D44,":", $D44)), offshore!$4:$4, AB$4)</f>
        <v>3</v>
      </c>
      <c r="AC44" s="37">
        <f ca="1">SUMIFS(  INDIRECT(CONCATENATE("'wind'!", $C44, ":", $C44)),   wind!$6:$6, AC$4) - SUMIFS(   INDIRECT(CONCATENATE("offshore!",$D44,":", $D44)), offshore!$4:$4, AC$4)</f>
        <v>3</v>
      </c>
      <c r="AD44" s="37">
        <f ca="1">SUMIFS(  INDIRECT(CONCATENATE("'wind'!", $C44, ":", $C44)),   wind!$6:$6, AD$4) - SUMIFS(   INDIRECT(CONCATENATE("offshore!",$D44,":", $D44)), offshore!$4:$4, AD$4)</f>
        <v>3</v>
      </c>
      <c r="AE44" s="37">
        <f ca="1">SUMIFS(  INDIRECT(CONCATENATE("'wind'!", $C44, ":", $C44)),   wind!$6:$6, AE$4) - SUMIFS(   INDIRECT(CONCATENATE("offshore!",$D44,":", $D44)), offshore!$4:$4, AE$4)</f>
        <v>3</v>
      </c>
      <c r="AF44" s="37">
        <f ca="1">SUMIFS(  INDIRECT(CONCATENATE("'wind'!", $C44, ":", $C44)),   wind!$6:$6, AF$4) - SUMIFS(   INDIRECT(CONCATENATE("offshore!",$D44,":", $D44)), offshore!$4:$4, AF$4)</f>
        <v>3</v>
      </c>
      <c r="AG44" s="44">
        <f t="shared" ca="1" si="0"/>
        <v>3.09</v>
      </c>
      <c r="AH44" s="24">
        <f t="shared" ca="1" si="1"/>
        <v>2.7166233766233727</v>
      </c>
      <c r="AJ44" s="19">
        <v>1</v>
      </c>
      <c r="AK44" s="19">
        <v>1</v>
      </c>
    </row>
    <row r="45" spans="1:37">
      <c r="B45" s="17"/>
      <c r="C45" s="20">
        <f>MATCH($E45, wind!$C:$C, 0)</f>
        <v>47</v>
      </c>
      <c r="D45" s="20">
        <f>IFERROR(MATCH($E45, offshore!$D:$D, 0), 1)</f>
        <v>1</v>
      </c>
      <c r="E45" s="17" t="s">
        <v>104</v>
      </c>
      <c r="F45" s="37">
        <f ca="1">SUMIFS(  INDIRECT(CONCATENATE("'wind'!", $C45, ":", $C45)),   wind!$6:$6, F$4) - SUMIFS(   INDIRECT(CONCATENATE("offshore!",$D45,":", $D45)), offshore!$4:$4, F$4)</f>
        <v>0</v>
      </c>
      <c r="G45" s="37">
        <f ca="1">SUMIFS(  INDIRECT(CONCATENATE("'wind'!", $C45, ":", $C45)),   wind!$6:$6, G$4) - SUMIFS(   INDIRECT(CONCATENATE("offshore!",$D45,":", $D45)), offshore!$4:$4, G$4)</f>
        <v>0</v>
      </c>
      <c r="H45" s="37">
        <f ca="1">SUMIFS(  INDIRECT(CONCATENATE("'wind'!", $C45, ":", $C45)),   wind!$6:$6, H$4) - SUMIFS(   INDIRECT(CONCATENATE("offshore!",$D45,":", $D45)), offshore!$4:$4, H$4)</f>
        <v>0</v>
      </c>
      <c r="I45" s="37">
        <f ca="1">SUMIFS(  INDIRECT(CONCATENATE("'wind'!", $C45, ":", $C45)),   wind!$6:$6, I$4) - SUMIFS(   INDIRECT(CONCATENATE("offshore!",$D45,":", $D45)), offshore!$4:$4, I$4)</f>
        <v>0</v>
      </c>
      <c r="J45" s="37">
        <f ca="1">SUMIFS(  INDIRECT(CONCATENATE("'wind'!", $C45, ":", $C45)),   wind!$6:$6, J$4) - SUMIFS(   INDIRECT(CONCATENATE("offshore!",$D45,":", $D45)), offshore!$4:$4, J$4)</f>
        <v>0</v>
      </c>
      <c r="K45" s="37">
        <f ca="1">SUMIFS(  INDIRECT(CONCATENATE("'wind'!", $C45, ":", $C45)),   wind!$6:$6, K$4) - SUMIFS(   INDIRECT(CONCATENATE("offshore!",$D45,":", $D45)), offshore!$4:$4, K$4)</f>
        <v>0</v>
      </c>
      <c r="L45" s="37">
        <f ca="1">SUMIFS(  INDIRECT(CONCATENATE("'wind'!", $C45, ":", $C45)),   wind!$6:$6, L$4) - SUMIFS(   INDIRECT(CONCATENATE("offshore!",$D45,":", $D45)), offshore!$4:$4, L$4)</f>
        <v>0</v>
      </c>
      <c r="M45" s="37">
        <f ca="1">SUMIFS(  INDIRECT(CONCATENATE("'wind'!", $C45, ":", $C45)),   wind!$6:$6, M$4) - SUMIFS(   INDIRECT(CONCATENATE("offshore!",$D45,":", $D45)), offshore!$4:$4, M$4)</f>
        <v>0</v>
      </c>
      <c r="N45" s="37">
        <f ca="1">SUMIFS(  INDIRECT(CONCATENATE("'wind'!", $C45, ":", $C45)),   wind!$6:$6, N$4) - SUMIFS(   INDIRECT(CONCATENATE("offshore!",$D45,":", $D45)), offshore!$4:$4, N$4)</f>
        <v>0</v>
      </c>
      <c r="O45" s="37">
        <f ca="1">SUMIFS(  INDIRECT(CONCATENATE("'wind'!", $C45, ":", $C45)),   wind!$6:$6, O$4) - SUMIFS(   INDIRECT(CONCATENATE("offshore!",$D45,":", $D45)), offshore!$4:$4, O$4)</f>
        <v>0</v>
      </c>
      <c r="P45" s="37">
        <f ca="1">SUMIFS(  INDIRECT(CONCATENATE("'wind'!", $C45, ":", $C45)),   wind!$6:$6, P$4) - SUMIFS(   INDIRECT(CONCATENATE("offshore!",$D45,":", $D45)), offshore!$4:$4, P$4)</f>
        <v>0</v>
      </c>
      <c r="Q45" s="37">
        <f ca="1">SUMIFS(  INDIRECT(CONCATENATE("'wind'!", $C45, ":", $C45)),   wind!$6:$6, Q$4) - SUMIFS(   INDIRECT(CONCATENATE("offshore!",$D45,":", $D45)), offshore!$4:$4, Q$4)</f>
        <v>0</v>
      </c>
      <c r="R45" s="37">
        <f ca="1">SUMIFS(  INDIRECT(CONCATENATE("'wind'!", $C45, ":", $C45)),   wind!$6:$6, R$4) - SUMIFS(   INDIRECT(CONCATENATE("offshore!",$D45,":", $D45)), offshore!$4:$4, R$4)</f>
        <v>0</v>
      </c>
      <c r="S45" s="37">
        <f ca="1">SUMIFS(  INDIRECT(CONCATENATE("'wind'!", $C45, ":", $C45)),   wind!$6:$6, S$4) - SUMIFS(   INDIRECT(CONCATENATE("offshore!",$D45,":", $D45)), offshore!$4:$4, S$4)</f>
        <v>0</v>
      </c>
      <c r="T45" s="37">
        <f ca="1">SUMIFS(  INDIRECT(CONCATENATE("'wind'!", $C45, ":", $C45)),   wind!$6:$6, T$4) - SUMIFS(   INDIRECT(CONCATENATE("offshore!",$D45,":", $D45)), offshore!$4:$4, T$4)</f>
        <v>0</v>
      </c>
      <c r="U45" s="37">
        <f ca="1">SUMIFS(  INDIRECT(CONCATENATE("'wind'!", $C45, ":", $C45)),   wind!$6:$6, U$4) - SUMIFS(   INDIRECT(CONCATENATE("offshore!",$D45,":", $D45)), offshore!$4:$4, U$4)</f>
        <v>0</v>
      </c>
      <c r="V45" s="37">
        <f ca="1">SUMIFS(  INDIRECT(CONCATENATE("'wind'!", $C45, ":", $C45)),   wind!$6:$6, V$4) - SUMIFS(   INDIRECT(CONCATENATE("offshore!",$D45,":", $D45)), offshore!$4:$4, V$4)</f>
        <v>0</v>
      </c>
      <c r="W45" s="37">
        <f ca="1">SUMIFS(  INDIRECT(CONCATENATE("'wind'!", $C45, ":", $C45)),   wind!$6:$6, W$4) - SUMIFS(   INDIRECT(CONCATENATE("offshore!",$D45,":", $D45)), offshore!$4:$4, W$4)</f>
        <v>0</v>
      </c>
      <c r="X45" s="37">
        <f ca="1">SUMIFS(  INDIRECT(CONCATENATE("'wind'!", $C45, ":", $C45)),   wind!$6:$6, X$4) - SUMIFS(   INDIRECT(CONCATENATE("offshore!",$D45,":", $D45)), offshore!$4:$4, X$4)</f>
        <v>0</v>
      </c>
      <c r="Y45" s="37">
        <f ca="1">SUMIFS(  INDIRECT(CONCATENATE("'wind'!", $C45, ":", $C45)),   wind!$6:$6, Y$4) - SUMIFS(   INDIRECT(CONCATENATE("offshore!",$D45,":", $D45)), offshore!$4:$4, Y$4)</f>
        <v>0</v>
      </c>
      <c r="Z45" s="37">
        <f ca="1">SUMIFS(  INDIRECT(CONCATENATE("'wind'!", $C45, ":", $C45)),   wind!$6:$6, Z$4) - SUMIFS(   INDIRECT(CONCATENATE("offshore!",$D45,":", $D45)), offshore!$4:$4, Z$4)</f>
        <v>0</v>
      </c>
      <c r="AA45" s="37">
        <f ca="1">SUMIFS(  INDIRECT(CONCATENATE("'wind'!", $C45, ":", $C45)),   wind!$6:$6, AA$4) - SUMIFS(   INDIRECT(CONCATENATE("offshore!",$D45,":", $D45)), offshore!$4:$4, AA$4)</f>
        <v>0</v>
      </c>
      <c r="AB45" s="37">
        <f ca="1">SUMIFS(  INDIRECT(CONCATENATE("'wind'!", $C45, ":", $C45)),   wind!$6:$6, AB$4) - SUMIFS(   INDIRECT(CONCATENATE("offshore!",$D45,":", $D45)), offshore!$4:$4, AB$4)</f>
        <v>0</v>
      </c>
      <c r="AC45" s="37">
        <f ca="1">SUMIFS(  INDIRECT(CONCATENATE("'wind'!", $C45, ":", $C45)),   wind!$6:$6, AC$4) - SUMIFS(   INDIRECT(CONCATENATE("offshore!",$D45,":", $D45)), offshore!$4:$4, AC$4)</f>
        <v>0</v>
      </c>
      <c r="AD45" s="37">
        <f ca="1">SUMIFS(  INDIRECT(CONCATENATE("'wind'!", $C45, ":", $C45)),   wind!$6:$6, AD$4) - SUMIFS(   INDIRECT(CONCATENATE("offshore!",$D45,":", $D45)), offshore!$4:$4, AD$4)</f>
        <v>0</v>
      </c>
      <c r="AE45" s="37">
        <f ca="1">SUMIFS(  INDIRECT(CONCATENATE("'wind'!", $C45, ":", $C45)),   wind!$6:$6, AE$4) - SUMIFS(   INDIRECT(CONCATENATE("offshore!",$D45,":", $D45)), offshore!$4:$4, AE$4)</f>
        <v>0</v>
      </c>
      <c r="AF45" s="37">
        <f ca="1">SUMIFS(  INDIRECT(CONCATENATE("'wind'!", $C45, ":", $C45)),   wind!$6:$6, AF$4) - SUMIFS(   INDIRECT(CONCATENATE("offshore!",$D45,":", $D45)), offshore!$4:$4, AF$4)</f>
        <v>0</v>
      </c>
      <c r="AG45" s="44">
        <f t="shared" ca="1" si="0"/>
        <v>0</v>
      </c>
      <c r="AH45" s="24">
        <f t="shared" ca="1" si="1"/>
        <v>0</v>
      </c>
      <c r="AJ45" s="19">
        <v>1</v>
      </c>
      <c r="AK45" s="19">
        <v>1</v>
      </c>
    </row>
    <row r="46" spans="1:37">
      <c r="AG46" s="45"/>
    </row>
    <row r="47" spans="1:37">
      <c r="D47" s="17" t="s">
        <v>145</v>
      </c>
      <c r="E47" s="17" t="s">
        <v>139</v>
      </c>
      <c r="AG47" s="45"/>
    </row>
    <row r="48" spans="1:37">
      <c r="A48" t="str">
        <f t="shared" ref="A48:A56" si="2">LEFT(B48,2)</f>
        <v>DK</v>
      </c>
      <c r="B48" t="s">
        <v>118</v>
      </c>
      <c r="C48" t="s">
        <v>113</v>
      </c>
      <c r="D48">
        <f>SUMIFS('VRE-NT2030'!$E:$E,'VRE-NT2030'!$B:$B,$B48,  'VRE-NT2030'!$C:$C,$C48)</f>
        <v>1561.4</v>
      </c>
      <c r="E48">
        <f t="shared" ref="E48:E56" si="3">D48/SUMIFS($D$48:$D$56,$A$48:$A$56,$A48,    $C$48:$C$56,$C48)</f>
        <v>0.15815329139951587</v>
      </c>
      <c r="F48" s="22">
        <f t="shared" ref="F48:O56" ca="1" si="4">SUMIFS(F$5:F$45,  $E$5:$E$45,$A48)*$E48</f>
        <v>228.2151994895014</v>
      </c>
      <c r="G48" s="22">
        <f t="shared" ca="1" si="4"/>
        <v>280.08947906854257</v>
      </c>
      <c r="H48" s="22">
        <f t="shared" ca="1" si="4"/>
        <v>382.25650531262983</v>
      </c>
      <c r="I48" s="22">
        <f t="shared" ca="1" si="4"/>
        <v>393.643542293395</v>
      </c>
      <c r="J48" s="22">
        <f t="shared" ca="1" si="4"/>
        <v>456.90485885320135</v>
      </c>
      <c r="K48" s="22">
        <f t="shared" ca="1" si="4"/>
        <v>492.80565600089142</v>
      </c>
      <c r="L48" s="22">
        <f t="shared" ca="1" si="4"/>
        <v>493.12196258369045</v>
      </c>
      <c r="M48" s="22">
        <f t="shared" ca="1" si="4"/>
        <v>494.70349549768565</v>
      </c>
      <c r="N48" s="22">
        <f t="shared" ca="1" si="4"/>
        <v>495.96872182888177</v>
      </c>
      <c r="O48" s="22">
        <f t="shared" ca="1" si="4"/>
        <v>494.22903562348711</v>
      </c>
      <c r="P48" s="22">
        <f t="shared" ref="P48:Y56" ca="1" si="5">SUMIFS(P$5:P$45,  $E$5:$E$45,$A48)*$E48</f>
        <v>433.27675711811366</v>
      </c>
      <c r="Q48" s="22">
        <f t="shared" ca="1" si="5"/>
        <v>443.00318453918391</v>
      </c>
      <c r="R48" s="22">
        <f t="shared" ca="1" si="5"/>
        <v>456.12990772534368</v>
      </c>
      <c r="S48" s="22">
        <f t="shared" ca="1" si="5"/>
        <v>474.38079755284787</v>
      </c>
      <c r="T48" s="22">
        <f t="shared" ca="1" si="5"/>
        <v>512.43247946357133</v>
      </c>
      <c r="U48" s="22">
        <f t="shared" ca="1" si="5"/>
        <v>553.67885786056513</v>
      </c>
      <c r="V48" s="22">
        <f t="shared" ca="1" si="5"/>
        <v>565.22404813272976</v>
      </c>
      <c r="W48" s="22">
        <f t="shared" ca="1" si="5"/>
        <v>601.59930515461838</v>
      </c>
      <c r="X48" s="22">
        <f t="shared" ca="1" si="5"/>
        <v>628.01090481833762</v>
      </c>
      <c r="Y48" s="22">
        <f t="shared" ca="1" si="5"/>
        <v>661.74500187385422</v>
      </c>
      <c r="Z48" s="22">
        <f t="shared" ref="Z48:AF56" ca="1" si="6">SUMIFS(Z$5:Z$45,  $E$5:$E$45,$A48)*$E48</f>
        <v>641.65953386611579</v>
      </c>
      <c r="AA48" s="22">
        <f t="shared" ca="1" si="6"/>
        <v>700.17625168393658</v>
      </c>
      <c r="AB48" s="22">
        <f t="shared" ca="1" si="6"/>
        <v>708.40022283671146</v>
      </c>
      <c r="AC48" s="22">
        <f t="shared" ca="1" si="6"/>
        <v>770.58609701500109</v>
      </c>
      <c r="AD48" s="22">
        <f t="shared" ca="1" si="6"/>
        <v>787.03403932055073</v>
      </c>
      <c r="AE48" s="22">
        <f t="shared" ca="1" si="6"/>
        <v>805.77520435139331</v>
      </c>
      <c r="AF48" s="22">
        <f t="shared" ca="1" si="6"/>
        <v>786.10093490129361</v>
      </c>
      <c r="AG48" s="46">
        <f t="shared" ref="AG48:AH56" ca="1" si="7">SUMIFS(AG$5:AG$45,  $E$5:$E$45,$A48)*$E48</f>
        <v>834.37116455815703</v>
      </c>
      <c r="AH48" s="22">
        <f t="shared" ca="1" si="7"/>
        <v>943.45288434088889</v>
      </c>
    </row>
    <row r="49" spans="1:34">
      <c r="A49" t="str">
        <f t="shared" si="2"/>
        <v>DK</v>
      </c>
      <c r="B49" t="s">
        <v>119</v>
      </c>
      <c r="C49" t="s">
        <v>113</v>
      </c>
      <c r="D49">
        <f>SUMIFS('VRE-NT2030'!$E:$E,'VRE-NT2030'!$B:$B,$B49,  'VRE-NT2030'!$C:$C,$C49)</f>
        <v>8311.2999999999993</v>
      </c>
      <c r="E49">
        <f t="shared" si="3"/>
        <v>0.84184670860048416</v>
      </c>
      <c r="F49" s="22">
        <f t="shared" ca="1" si="4"/>
        <v>1214.7848005104986</v>
      </c>
      <c r="G49" s="22">
        <f t="shared" ca="1" si="4"/>
        <v>1490.9105209314575</v>
      </c>
      <c r="H49" s="22">
        <f t="shared" ca="1" si="4"/>
        <v>2034.7434946873702</v>
      </c>
      <c r="I49" s="22">
        <f t="shared" ca="1" si="4"/>
        <v>2095.3564577066049</v>
      </c>
      <c r="J49" s="22">
        <f t="shared" ca="1" si="4"/>
        <v>2432.0951411467986</v>
      </c>
      <c r="K49" s="22">
        <f t="shared" ca="1" si="4"/>
        <v>2623.1943439991087</v>
      </c>
      <c r="L49" s="22">
        <f t="shared" ca="1" si="4"/>
        <v>2624.8780374163098</v>
      </c>
      <c r="M49" s="22">
        <f t="shared" ca="1" si="4"/>
        <v>2633.2965045023143</v>
      </c>
      <c r="N49" s="22">
        <f t="shared" ca="1" si="4"/>
        <v>2640.0312781711182</v>
      </c>
      <c r="O49" s="22">
        <f t="shared" ca="1" si="4"/>
        <v>2630.7709643765129</v>
      </c>
      <c r="P49" s="22">
        <f t="shared" ca="1" si="5"/>
        <v>2306.3232428818865</v>
      </c>
      <c r="Q49" s="22">
        <f t="shared" ca="1" si="5"/>
        <v>2358.0968154608163</v>
      </c>
      <c r="R49" s="22">
        <f t="shared" ca="1" si="5"/>
        <v>2427.9700922746565</v>
      </c>
      <c r="S49" s="22">
        <f t="shared" ca="1" si="5"/>
        <v>2525.119202447152</v>
      </c>
      <c r="T49" s="22">
        <f t="shared" ca="1" si="5"/>
        <v>2727.6675205364286</v>
      </c>
      <c r="U49" s="22">
        <f t="shared" ca="1" si="5"/>
        <v>2947.221142139435</v>
      </c>
      <c r="V49" s="22">
        <f t="shared" ca="1" si="5"/>
        <v>3008.6759518672702</v>
      </c>
      <c r="W49" s="22">
        <f t="shared" ca="1" si="5"/>
        <v>3202.3006948453817</v>
      </c>
      <c r="X49" s="22">
        <f t="shared" ca="1" si="5"/>
        <v>3342.8890951816625</v>
      </c>
      <c r="Y49" s="22">
        <f t="shared" ca="1" si="5"/>
        <v>3522.4549981261457</v>
      </c>
      <c r="Z49" s="22">
        <f t="shared" ca="1" si="6"/>
        <v>3415.5404661338844</v>
      </c>
      <c r="AA49" s="22">
        <f t="shared" ca="1" si="6"/>
        <v>3727.0237483160631</v>
      </c>
      <c r="AB49" s="22">
        <f t="shared" ca="1" si="6"/>
        <v>3770.7997771632886</v>
      </c>
      <c r="AC49" s="22">
        <f t="shared" ca="1" si="6"/>
        <v>4101.813902984999</v>
      </c>
      <c r="AD49" s="22">
        <f t="shared" ca="1" si="6"/>
        <v>4189.365960679449</v>
      </c>
      <c r="AE49" s="22">
        <f t="shared" ca="1" si="6"/>
        <v>4289.1247956486068</v>
      </c>
      <c r="AF49" s="22">
        <f t="shared" ca="1" si="6"/>
        <v>4184.3990650987062</v>
      </c>
      <c r="AG49" s="46">
        <f t="shared" ca="1" si="7"/>
        <v>4441.3405021084982</v>
      </c>
      <c r="AH49" s="22">
        <f t="shared" ca="1" si="7"/>
        <v>5021.9802469722226</v>
      </c>
    </row>
    <row r="50" spans="1:34">
      <c r="A50" t="str">
        <f t="shared" si="2"/>
        <v>NO</v>
      </c>
      <c r="B50" t="s">
        <v>127</v>
      </c>
      <c r="C50" t="s">
        <v>113</v>
      </c>
      <c r="D50">
        <f>SUMIFS('VRE-NT2030'!$E:$E,'VRE-NT2030'!$B:$B,$B50,  'VRE-NT2030'!$C:$C,$C50)</f>
        <v>1950.2</v>
      </c>
      <c r="E50">
        <f t="shared" si="3"/>
        <v>0.41996683678962898</v>
      </c>
      <c r="F50" s="22">
        <f t="shared" ca="1" si="4"/>
        <v>0</v>
      </c>
      <c r="G50" s="22">
        <f t="shared" ca="1" si="4"/>
        <v>0</v>
      </c>
      <c r="H50" s="22">
        <f t="shared" ca="1" si="4"/>
        <v>0</v>
      </c>
      <c r="I50" s="22">
        <f t="shared" ca="1" si="4"/>
        <v>0</v>
      </c>
      <c r="J50" s="22">
        <f t="shared" ca="1" si="4"/>
        <v>0</v>
      </c>
      <c r="K50" s="22">
        <f t="shared" ca="1" si="4"/>
        <v>42.416650515752529</v>
      </c>
      <c r="L50" s="22">
        <f t="shared" ca="1" si="4"/>
        <v>67.194693886340644</v>
      </c>
      <c r="M50" s="22">
        <f t="shared" ca="1" si="4"/>
        <v>112.13114542283094</v>
      </c>
      <c r="N50" s="22">
        <f t="shared" ca="1" si="4"/>
        <v>131.8695867519435</v>
      </c>
      <c r="O50" s="22">
        <f t="shared" ca="1" si="4"/>
        <v>139.84895665094646</v>
      </c>
      <c r="P50" s="22">
        <f t="shared" ca="1" si="5"/>
        <v>177.64597196201305</v>
      </c>
      <c r="Q50" s="22">
        <f t="shared" ca="1" si="5"/>
        <v>178.48590563559233</v>
      </c>
      <c r="R50" s="22">
        <f t="shared" ca="1" si="5"/>
        <v>182.6855740034886</v>
      </c>
      <c r="S50" s="22">
        <f t="shared" ca="1" si="5"/>
        <v>215.86295410986929</v>
      </c>
      <c r="T50" s="22">
        <f t="shared" ca="1" si="5"/>
        <v>292.7168852423714</v>
      </c>
      <c r="U50" s="22">
        <f t="shared" ca="1" si="5"/>
        <v>320.0147296336973</v>
      </c>
      <c r="V50" s="22">
        <f t="shared" ca="1" si="5"/>
        <v>341.43303830996837</v>
      </c>
      <c r="W50" s="22">
        <f t="shared" ca="1" si="5"/>
        <v>342.69293882033725</v>
      </c>
      <c r="X50" s="22">
        <f t="shared" ca="1" si="5"/>
        <v>349.41240820897133</v>
      </c>
      <c r="Y50" s="22">
        <f t="shared" ca="1" si="5"/>
        <v>485.48166332881112</v>
      </c>
      <c r="Z50" s="22">
        <f t="shared" ca="1" si="6"/>
        <v>700.92465060189079</v>
      </c>
      <c r="AA50" s="22">
        <f t="shared" ca="1" si="6"/>
        <v>1023.8791480931154</v>
      </c>
      <c r="AB50" s="22">
        <f t="shared" ca="1" si="6"/>
        <v>1668.9482094019857</v>
      </c>
      <c r="AC50" s="22">
        <f t="shared" ca="1" si="6"/>
        <v>1952.4258242349852</v>
      </c>
      <c r="AD50" s="22">
        <f t="shared" ca="1" si="6"/>
        <v>2159.889441609062</v>
      </c>
      <c r="AE50" s="22">
        <f t="shared" ca="1" si="6"/>
        <v>2137.3792191571374</v>
      </c>
      <c r="AF50" s="22">
        <f t="shared" ca="1" si="6"/>
        <v>2139.0590865042959</v>
      </c>
      <c r="AG50" s="46">
        <f t="shared" ca="1" si="7"/>
        <v>2513.4623212811421</v>
      </c>
      <c r="AH50" s="22">
        <f t="shared" ca="1" si="7"/>
        <v>3479.7817116227561</v>
      </c>
    </row>
    <row r="51" spans="1:34">
      <c r="A51" t="str">
        <f t="shared" si="2"/>
        <v>NO</v>
      </c>
      <c r="B51" t="s">
        <v>128</v>
      </c>
      <c r="C51" t="s">
        <v>113</v>
      </c>
      <c r="D51">
        <f>SUMIFS('VRE-NT2030'!$E:$E,'VRE-NT2030'!$B:$B,$B51,  'VRE-NT2030'!$C:$C,$C51)</f>
        <v>891.3</v>
      </c>
      <c r="E51">
        <f t="shared" si="3"/>
        <v>0.19193746366044317</v>
      </c>
      <c r="F51" s="22">
        <f t="shared" ca="1" si="4"/>
        <v>0</v>
      </c>
      <c r="G51" s="22">
        <f t="shared" ca="1" si="4"/>
        <v>0</v>
      </c>
      <c r="H51" s="22">
        <f t="shared" ca="1" si="4"/>
        <v>0</v>
      </c>
      <c r="I51" s="22">
        <f t="shared" ca="1" si="4"/>
        <v>0</v>
      </c>
      <c r="J51" s="22">
        <f t="shared" ca="1" si="4"/>
        <v>0</v>
      </c>
      <c r="K51" s="22">
        <f t="shared" ca="1" si="4"/>
        <v>19.38568382970476</v>
      </c>
      <c r="L51" s="22">
        <f t="shared" ca="1" si="4"/>
        <v>30.709994185670908</v>
      </c>
      <c r="M51" s="22">
        <f t="shared" ca="1" si="4"/>
        <v>51.247302797338328</v>
      </c>
      <c r="N51" s="22">
        <f t="shared" ca="1" si="4"/>
        <v>60.268363589379156</v>
      </c>
      <c r="O51" s="22">
        <f t="shared" ca="1" si="4"/>
        <v>63.91517539892758</v>
      </c>
      <c r="P51" s="22">
        <f t="shared" ca="1" si="5"/>
        <v>81.189547128367465</v>
      </c>
      <c r="Q51" s="22">
        <f t="shared" ca="1" si="5"/>
        <v>81.573422055688354</v>
      </c>
      <c r="R51" s="22">
        <f t="shared" ca="1" si="5"/>
        <v>83.492796692292785</v>
      </c>
      <c r="S51" s="22">
        <f t="shared" ca="1" si="5"/>
        <v>98.655856321467795</v>
      </c>
      <c r="T51" s="22">
        <f t="shared" ca="1" si="5"/>
        <v>133.78041217132889</v>
      </c>
      <c r="U51" s="22">
        <f t="shared" ca="1" si="5"/>
        <v>146.25634730925771</v>
      </c>
      <c r="V51" s="22">
        <f t="shared" ca="1" si="5"/>
        <v>156.04515795594031</v>
      </c>
      <c r="W51" s="22">
        <f t="shared" ca="1" si="5"/>
        <v>156.62097034692164</v>
      </c>
      <c r="X51" s="22">
        <f t="shared" ca="1" si="5"/>
        <v>159.69196976548872</v>
      </c>
      <c r="Y51" s="22">
        <f t="shared" ca="1" si="5"/>
        <v>221.87970799147232</v>
      </c>
      <c r="Z51" s="22">
        <f t="shared" ca="1" si="6"/>
        <v>320.34362684927964</v>
      </c>
      <c r="AA51" s="22">
        <f t="shared" ca="1" si="6"/>
        <v>467.94353640416045</v>
      </c>
      <c r="AB51" s="22">
        <f t="shared" ca="1" si="6"/>
        <v>762.75948058660117</v>
      </c>
      <c r="AC51" s="22">
        <f t="shared" ca="1" si="6"/>
        <v>892.31726855740033</v>
      </c>
      <c r="AD51" s="22">
        <f t="shared" ca="1" si="6"/>
        <v>987.13437560565922</v>
      </c>
      <c r="AE51" s="22">
        <f t="shared" ca="1" si="6"/>
        <v>976.8465275534594</v>
      </c>
      <c r="AF51" s="22">
        <f t="shared" ca="1" si="6"/>
        <v>977.6142774081012</v>
      </c>
      <c r="AG51" s="46">
        <f t="shared" ca="1" si="7"/>
        <v>1148.7278058444681</v>
      </c>
      <c r="AH51" s="22">
        <f t="shared" ca="1" si="7"/>
        <v>1590.364803389069</v>
      </c>
    </row>
    <row r="52" spans="1:34">
      <c r="A52" t="str">
        <f t="shared" si="2"/>
        <v>NO</v>
      </c>
      <c r="B52" t="s">
        <v>129</v>
      </c>
      <c r="C52" t="s">
        <v>113</v>
      </c>
      <c r="D52">
        <f>SUMIFS('VRE-NT2030'!$E:$E,'VRE-NT2030'!$B:$B,$B52,  'VRE-NT2030'!$C:$C,$C52)</f>
        <v>1802.2</v>
      </c>
      <c r="E52">
        <f t="shared" si="3"/>
        <v>0.3880956995499279</v>
      </c>
      <c r="F52" s="22">
        <f t="shared" ca="1" si="4"/>
        <v>0</v>
      </c>
      <c r="G52" s="22">
        <f t="shared" ca="1" si="4"/>
        <v>0</v>
      </c>
      <c r="H52" s="22">
        <f t="shared" ca="1" si="4"/>
        <v>0</v>
      </c>
      <c r="I52" s="22">
        <f t="shared" ca="1" si="4"/>
        <v>0</v>
      </c>
      <c r="J52" s="22">
        <f t="shared" ca="1" si="4"/>
        <v>0</v>
      </c>
      <c r="K52" s="22">
        <f t="shared" ca="1" si="4"/>
        <v>39.197665654542718</v>
      </c>
      <c r="L52" s="22">
        <f t="shared" ca="1" si="4"/>
        <v>62.095311927988462</v>
      </c>
      <c r="M52" s="22">
        <f t="shared" ca="1" si="4"/>
        <v>103.62155177983075</v>
      </c>
      <c r="N52" s="22">
        <f t="shared" ca="1" si="4"/>
        <v>121.86204965867736</v>
      </c>
      <c r="O52" s="22">
        <f t="shared" ca="1" si="4"/>
        <v>129.23586795012599</v>
      </c>
      <c r="P52" s="22">
        <f t="shared" ca="1" si="5"/>
        <v>164.1644809096195</v>
      </c>
      <c r="Q52" s="22">
        <f t="shared" ca="1" si="5"/>
        <v>164.94067230871934</v>
      </c>
      <c r="R52" s="22">
        <f t="shared" ca="1" si="5"/>
        <v>168.82162930421865</v>
      </c>
      <c r="S52" s="22">
        <f t="shared" ca="1" si="5"/>
        <v>199.48118956866293</v>
      </c>
      <c r="T52" s="22">
        <f t="shared" ca="1" si="5"/>
        <v>270.50270258629973</v>
      </c>
      <c r="U52" s="22">
        <f t="shared" ca="1" si="5"/>
        <v>295.72892305704505</v>
      </c>
      <c r="V52" s="22">
        <f t="shared" ca="1" si="5"/>
        <v>315.52180373409141</v>
      </c>
      <c r="W52" s="22">
        <f t="shared" ca="1" si="5"/>
        <v>316.68609083274117</v>
      </c>
      <c r="X52" s="22">
        <f t="shared" ca="1" si="5"/>
        <v>322.89562202554004</v>
      </c>
      <c r="Y52" s="22">
        <f t="shared" ca="1" si="5"/>
        <v>448.63862867971665</v>
      </c>
      <c r="Z52" s="22">
        <f t="shared" ca="1" si="6"/>
        <v>647.73172254882968</v>
      </c>
      <c r="AA52" s="22">
        <f t="shared" ca="1" si="6"/>
        <v>946.17731550272424</v>
      </c>
      <c r="AB52" s="22">
        <f t="shared" ca="1" si="6"/>
        <v>1542.2923100114135</v>
      </c>
      <c r="AC52" s="22">
        <f t="shared" ca="1" si="6"/>
        <v>1804.2569072076149</v>
      </c>
      <c r="AD52" s="22">
        <f t="shared" ca="1" si="6"/>
        <v>1995.9761827852792</v>
      </c>
      <c r="AE52" s="22">
        <f t="shared" ca="1" si="6"/>
        <v>1975.1742532894029</v>
      </c>
      <c r="AF52" s="22">
        <f t="shared" ca="1" si="6"/>
        <v>1976.7266360876026</v>
      </c>
      <c r="AG52" s="46">
        <f t="shared" ca="1" si="7"/>
        <v>2322.7165395410084</v>
      </c>
      <c r="AH52" s="22">
        <f t="shared" ca="1" si="7"/>
        <v>3215.7022872969601</v>
      </c>
    </row>
    <row r="53" spans="1:34">
      <c r="A53" t="str">
        <f t="shared" si="2"/>
        <v>SE</v>
      </c>
      <c r="B53" t="s">
        <v>131</v>
      </c>
      <c r="C53" t="s">
        <v>113</v>
      </c>
      <c r="D53">
        <f>SUMIFS('VRE-NT2030'!$E:$E,'VRE-NT2030'!$B:$B,$B53,  'VRE-NT2030'!$C:$C,$C53)</f>
        <v>6413.6</v>
      </c>
      <c r="E53">
        <f t="shared" si="3"/>
        <v>0.19944894671700367</v>
      </c>
      <c r="F53" s="22">
        <f t="shared" ca="1" si="4"/>
        <v>34.704116728758635</v>
      </c>
      <c r="G53" s="22">
        <f t="shared" ca="1" si="4"/>
        <v>43.878768277740804</v>
      </c>
      <c r="H53" s="22">
        <f t="shared" ca="1" si="4"/>
        <v>46.07270669162785</v>
      </c>
      <c r="I53" s="22">
        <f t="shared" ca="1" si="4"/>
        <v>58.438541388082072</v>
      </c>
      <c r="J53" s="22">
        <f t="shared" ca="1" si="4"/>
        <v>68.80988661736626</v>
      </c>
      <c r="K53" s="22">
        <f t="shared" ca="1" si="4"/>
        <v>79.580129740084459</v>
      </c>
      <c r="L53" s="22">
        <f t="shared" ca="1" si="4"/>
        <v>88.156434448915618</v>
      </c>
      <c r="M53" s="22">
        <f t="shared" ca="1" si="4"/>
        <v>101.51951387895487</v>
      </c>
      <c r="N53" s="22">
        <f t="shared" ca="1" si="4"/>
        <v>113.8853485754091</v>
      </c>
      <c r="O53" s="22">
        <f t="shared" ca="1" si="4"/>
        <v>157.16577001299888</v>
      </c>
      <c r="P53" s="22">
        <f t="shared" ca="1" si="5"/>
        <v>182.35617198335643</v>
      </c>
      <c r="Q53" s="22">
        <f t="shared" ca="1" si="5"/>
        <v>278.4905643009522</v>
      </c>
      <c r="R53" s="22">
        <f t="shared" ca="1" si="5"/>
        <v>398.81811385532052</v>
      </c>
      <c r="S53" s="22">
        <f t="shared" ca="1" si="5"/>
        <v>547.20813021277127</v>
      </c>
      <c r="T53" s="22">
        <f t="shared" ca="1" si="5"/>
        <v>714.28651287760522</v>
      </c>
      <c r="U53" s="22">
        <f t="shared" ca="1" si="5"/>
        <v>849.31344980501672</v>
      </c>
      <c r="V53" s="22">
        <f t="shared" ca="1" si="5"/>
        <v>1039.7871939197553</v>
      </c>
      <c r="W53" s="22">
        <f t="shared" ca="1" si="5"/>
        <v>1162.2488472039954</v>
      </c>
      <c r="X53" s="22">
        <f t="shared" ca="1" si="5"/>
        <v>1259.9788310953272</v>
      </c>
      <c r="Y53" s="22">
        <f t="shared" ca="1" si="5"/>
        <v>1294.2840499306519</v>
      </c>
      <c r="Z53" s="22">
        <f t="shared" ca="1" si="6"/>
        <v>1436.8302121492943</v>
      </c>
      <c r="AA53" s="22">
        <f t="shared" ca="1" si="6"/>
        <v>1753.6548640092547</v>
      </c>
      <c r="AB53" s="22">
        <f t="shared" ca="1" si="6"/>
        <v>1952.405739412749</v>
      </c>
      <c r="AC53" s="22">
        <f t="shared" ca="1" si="6"/>
        <v>2372.2457722520417</v>
      </c>
      <c r="AD53" s="22">
        <f t="shared" ca="1" si="6"/>
        <v>2870.4692411511169</v>
      </c>
      <c r="AE53" s="22">
        <f t="shared" ca="1" si="6"/>
        <v>3240.6464862578755</v>
      </c>
      <c r="AF53" s="22">
        <f t="shared" ca="1" si="6"/>
        <v>3392.0282368160815</v>
      </c>
      <c r="AG53" s="46">
        <f t="shared" ca="1" si="7"/>
        <v>3728.6428779991356</v>
      </c>
      <c r="AH53" s="22">
        <f t="shared" ca="1" si="7"/>
        <v>5288.7938992707232</v>
      </c>
    </row>
    <row r="54" spans="1:34">
      <c r="A54" t="str">
        <f t="shared" si="2"/>
        <v>SE</v>
      </c>
      <c r="B54" t="s">
        <v>132</v>
      </c>
      <c r="C54" t="s">
        <v>113</v>
      </c>
      <c r="D54">
        <f>SUMIFS('VRE-NT2030'!$E:$E,'VRE-NT2030'!$B:$B,$B54,  'VRE-NT2030'!$C:$C,$C54)</f>
        <v>14832.3</v>
      </c>
      <c r="E54">
        <f t="shared" si="3"/>
        <v>0.46125212242587832</v>
      </c>
      <c r="F54" s="22">
        <f t="shared" ca="1" si="4"/>
        <v>80.257869302102833</v>
      </c>
      <c r="G54" s="22">
        <f t="shared" ca="1" si="4"/>
        <v>101.47546693369323</v>
      </c>
      <c r="H54" s="22">
        <f t="shared" ca="1" si="4"/>
        <v>106.54924028037789</v>
      </c>
      <c r="I54" s="22">
        <f t="shared" ca="1" si="4"/>
        <v>135.14687187078235</v>
      </c>
      <c r="J54" s="22">
        <f t="shared" ca="1" si="4"/>
        <v>159.13198223692802</v>
      </c>
      <c r="K54" s="22">
        <f t="shared" ca="1" si="4"/>
        <v>184.03959684792545</v>
      </c>
      <c r="L54" s="22">
        <f t="shared" ca="1" si="4"/>
        <v>203.8734381122382</v>
      </c>
      <c r="M54" s="22">
        <f t="shared" ca="1" si="4"/>
        <v>234.77733031477206</v>
      </c>
      <c r="N54" s="22">
        <f t="shared" ca="1" si="4"/>
        <v>263.37496190517652</v>
      </c>
      <c r="O54" s="22">
        <f t="shared" ca="1" si="4"/>
        <v>363.46667247159212</v>
      </c>
      <c r="P54" s="22">
        <f t="shared" ca="1" si="5"/>
        <v>421.72281553398051</v>
      </c>
      <c r="Q54" s="22">
        <f t="shared" ca="1" si="5"/>
        <v>644.04633854325391</v>
      </c>
      <c r="R54" s="22">
        <f t="shared" ca="1" si="5"/>
        <v>922.31974400278625</v>
      </c>
      <c r="S54" s="22">
        <f t="shared" ca="1" si="5"/>
        <v>1265.4913230876398</v>
      </c>
      <c r="T54" s="22">
        <f t="shared" ca="1" si="5"/>
        <v>1651.882226043798</v>
      </c>
      <c r="U54" s="22">
        <f t="shared" ca="1" si="5"/>
        <v>1964.1499129261176</v>
      </c>
      <c r="V54" s="22">
        <f t="shared" ca="1" si="5"/>
        <v>2404.6456898428314</v>
      </c>
      <c r="W54" s="22">
        <f t="shared" ca="1" si="5"/>
        <v>2687.8544930123207</v>
      </c>
      <c r="X54" s="22">
        <f t="shared" ca="1" si="5"/>
        <v>2913.8680330010011</v>
      </c>
      <c r="Y54" s="22">
        <f t="shared" ca="1" si="5"/>
        <v>2993.2033980582523</v>
      </c>
      <c r="Z54" s="22">
        <f t="shared" ca="1" si="6"/>
        <v>3322.8602899560274</v>
      </c>
      <c r="AA54" s="22">
        <f t="shared" ca="1" si="6"/>
        <v>4055.559286429535</v>
      </c>
      <c r="AB54" s="22">
        <f t="shared" ca="1" si="6"/>
        <v>4515.197026426923</v>
      </c>
      <c r="AC54" s="22">
        <f t="shared" ca="1" si="6"/>
        <v>5486.132744133397</v>
      </c>
      <c r="AD54" s="22">
        <f t="shared" ca="1" si="6"/>
        <v>6638.3405459532405</v>
      </c>
      <c r="AE54" s="22">
        <f t="shared" ca="1" si="6"/>
        <v>7494.4244851756712</v>
      </c>
      <c r="AF54" s="22">
        <f t="shared" ca="1" si="6"/>
        <v>7844.5148460969122</v>
      </c>
      <c r="AG54" s="46">
        <f t="shared" ca="1" si="7"/>
        <v>8622.9808156646159</v>
      </c>
      <c r="AH54" s="22">
        <f t="shared" ca="1" si="7"/>
        <v>12231.036820530302</v>
      </c>
    </row>
    <row r="55" spans="1:34">
      <c r="A55" t="str">
        <f t="shared" si="2"/>
        <v>SE</v>
      </c>
      <c r="B55" t="s">
        <v>133</v>
      </c>
      <c r="C55" t="s">
        <v>113</v>
      </c>
      <c r="D55">
        <f>SUMIFS('VRE-NT2030'!$E:$E,'VRE-NT2030'!$B:$B,$B55,  'VRE-NT2030'!$C:$C,$C55)</f>
        <v>6928.9</v>
      </c>
      <c r="E55">
        <f t="shared" si="3"/>
        <v>0.21547365082129327</v>
      </c>
      <c r="F55" s="22">
        <f t="shared" ca="1" si="4"/>
        <v>37.492415242905032</v>
      </c>
      <c r="G55" s="22">
        <f t="shared" ca="1" si="4"/>
        <v>47.404203180684519</v>
      </c>
      <c r="H55" s="22">
        <f t="shared" ca="1" si="4"/>
        <v>49.774413339718748</v>
      </c>
      <c r="I55" s="22">
        <f t="shared" ca="1" si="4"/>
        <v>63.133779690638931</v>
      </c>
      <c r="J55" s="22">
        <f t="shared" ca="1" si="4"/>
        <v>74.33840953334618</v>
      </c>
      <c r="K55" s="22">
        <f t="shared" ca="1" si="4"/>
        <v>85.973986677696018</v>
      </c>
      <c r="L55" s="22">
        <f t="shared" ca="1" si="4"/>
        <v>95.239353663011627</v>
      </c>
      <c r="M55" s="22">
        <f t="shared" ca="1" si="4"/>
        <v>109.67608826803827</v>
      </c>
      <c r="N55" s="22">
        <f t="shared" ca="1" si="4"/>
        <v>123.03545461895845</v>
      </c>
      <c r="O55" s="22">
        <f t="shared" ca="1" si="4"/>
        <v>169.79323684717909</v>
      </c>
      <c r="P55" s="22">
        <f t="shared" ca="1" si="5"/>
        <v>197.00755894590844</v>
      </c>
      <c r="Q55" s="22">
        <f t="shared" ca="1" si="5"/>
        <v>300.86585864177181</v>
      </c>
      <c r="R55" s="22">
        <f t="shared" ca="1" si="5"/>
        <v>430.86111218225801</v>
      </c>
      <c r="S55" s="22">
        <f t="shared" ca="1" si="5"/>
        <v>591.17350839330015</v>
      </c>
      <c r="T55" s="22">
        <f t="shared" ca="1" si="5"/>
        <v>771.67578568629767</v>
      </c>
      <c r="U55" s="22">
        <f t="shared" ca="1" si="5"/>
        <v>917.55144729231313</v>
      </c>
      <c r="V55" s="22">
        <f t="shared" ca="1" si="5"/>
        <v>1123.3287838266483</v>
      </c>
      <c r="W55" s="22">
        <f t="shared" ca="1" si="5"/>
        <v>1255.6296054309223</v>
      </c>
      <c r="X55" s="22">
        <f t="shared" ca="1" si="5"/>
        <v>1361.211694333356</v>
      </c>
      <c r="Y55" s="22">
        <f t="shared" ca="1" si="5"/>
        <v>1398.2731622746185</v>
      </c>
      <c r="Z55" s="22">
        <f t="shared" ca="1" si="6"/>
        <v>1552.2721805165968</v>
      </c>
      <c r="AA55" s="22">
        <f t="shared" ca="1" si="6"/>
        <v>1894.5520748462211</v>
      </c>
      <c r="AB55" s="22">
        <f t="shared" ca="1" si="6"/>
        <v>2109.2715678896398</v>
      </c>
      <c r="AC55" s="22">
        <f t="shared" ca="1" si="6"/>
        <v>2562.8436028684623</v>
      </c>
      <c r="AD55" s="22">
        <f t="shared" ca="1" si="6"/>
        <v>3101.0967826200526</v>
      </c>
      <c r="AE55" s="22">
        <f t="shared" ca="1" si="6"/>
        <v>3501.0158785443732</v>
      </c>
      <c r="AF55" s="22">
        <f t="shared" ca="1" si="6"/>
        <v>3664.5603795177349</v>
      </c>
      <c r="AG55" s="46">
        <f t="shared" ca="1" si="7"/>
        <v>4028.2202877273617</v>
      </c>
      <c r="AH55" s="22">
        <f t="shared" ca="1" si="7"/>
        <v>5713.7214744693947</v>
      </c>
    </row>
    <row r="56" spans="1:34">
      <c r="A56" t="str">
        <f t="shared" si="2"/>
        <v>SE</v>
      </c>
      <c r="B56" t="s">
        <v>134</v>
      </c>
      <c r="C56" t="s">
        <v>113</v>
      </c>
      <c r="D56">
        <f>SUMIFS('VRE-NT2030'!$E:$E,'VRE-NT2030'!$B:$B,$B56,  'VRE-NT2030'!$C:$C,$C56)</f>
        <v>3981.8</v>
      </c>
      <c r="E56">
        <f t="shared" si="3"/>
        <v>0.12382528003582469</v>
      </c>
      <c r="F56" s="22">
        <f t="shared" ca="1" si="4"/>
        <v>21.545598726233496</v>
      </c>
      <c r="G56" s="22">
        <f t="shared" ca="1" si="4"/>
        <v>27.24156160788143</v>
      </c>
      <c r="H56" s="22">
        <f t="shared" ca="1" si="4"/>
        <v>28.603639688275504</v>
      </c>
      <c r="I56" s="22">
        <f t="shared" ca="1" si="4"/>
        <v>36.280807050496634</v>
      </c>
      <c r="J56" s="22">
        <f t="shared" ca="1" si="4"/>
        <v>42.719721612359514</v>
      </c>
      <c r="K56" s="22">
        <f t="shared" ca="1" si="4"/>
        <v>49.406286734294049</v>
      </c>
      <c r="L56" s="22">
        <f t="shared" ca="1" si="4"/>
        <v>54.730773775834514</v>
      </c>
      <c r="M56" s="22">
        <f t="shared" ca="1" si="4"/>
        <v>63.027067538234768</v>
      </c>
      <c r="N56" s="22">
        <f t="shared" ca="1" si="4"/>
        <v>70.704234900455901</v>
      </c>
      <c r="O56" s="22">
        <f t="shared" ca="1" si="4"/>
        <v>97.574320668229859</v>
      </c>
      <c r="P56" s="22">
        <f t="shared" ca="1" si="5"/>
        <v>113.2134535367545</v>
      </c>
      <c r="Q56" s="22">
        <f t="shared" ca="1" si="5"/>
        <v>172.89723851402201</v>
      </c>
      <c r="R56" s="22">
        <f t="shared" ca="1" si="5"/>
        <v>247.60102995963504</v>
      </c>
      <c r="S56" s="22">
        <f t="shared" ca="1" si="5"/>
        <v>339.72703830628859</v>
      </c>
      <c r="T56" s="22">
        <f t="shared" ca="1" si="5"/>
        <v>443.45547539229898</v>
      </c>
      <c r="U56" s="22">
        <f t="shared" ca="1" si="5"/>
        <v>527.28518997655226</v>
      </c>
      <c r="V56" s="22">
        <f t="shared" ca="1" si="5"/>
        <v>645.53833241076484</v>
      </c>
      <c r="W56" s="22">
        <f t="shared" ca="1" si="5"/>
        <v>721.56705435276126</v>
      </c>
      <c r="X56" s="22">
        <f t="shared" ca="1" si="5"/>
        <v>782.24144157031526</v>
      </c>
      <c r="Y56" s="22">
        <f t="shared" ca="1" si="5"/>
        <v>803.53938973647712</v>
      </c>
      <c r="Z56" s="22">
        <f t="shared" ca="1" si="6"/>
        <v>892.03731737808107</v>
      </c>
      <c r="AA56" s="22">
        <f t="shared" ca="1" si="6"/>
        <v>1088.7337747149886</v>
      </c>
      <c r="AB56" s="22">
        <f t="shared" ca="1" si="6"/>
        <v>1212.1256662706878</v>
      </c>
      <c r="AC56" s="22">
        <f t="shared" ca="1" si="6"/>
        <v>1472.7778807460988</v>
      </c>
      <c r="AD56" s="22">
        <f t="shared" ca="1" si="6"/>
        <v>1782.0934302755888</v>
      </c>
      <c r="AE56" s="22">
        <f t="shared" ca="1" si="6"/>
        <v>2011.9131500220794</v>
      </c>
      <c r="AF56" s="22">
        <f t="shared" ca="1" si="6"/>
        <v>2105.8965375692705</v>
      </c>
      <c r="AG56" s="46">
        <f t="shared" ca="1" si="7"/>
        <v>2314.8793519422725</v>
      </c>
      <c r="AH56" s="22">
        <f t="shared" ca="1" si="7"/>
        <v>3283.478786970838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578AF-F748-4618-A5E9-596F9EFEDC0E}">
  <sheetPr>
    <tabColor theme="5" tint="0.59999389629810485"/>
  </sheetPr>
  <dimension ref="A2:AA31"/>
  <sheetViews>
    <sheetView workbookViewId="0">
      <selection activeCell="H35" sqref="H35"/>
    </sheetView>
  </sheetViews>
  <sheetFormatPr defaultRowHeight="15"/>
  <cols>
    <col min="2" max="2" width="15.140625" bestFit="1" customWidth="1"/>
    <col min="3" max="4" width="15.140625" customWidth="1"/>
  </cols>
  <sheetData>
    <row r="2" spans="2:27">
      <c r="B2" s="17" t="s">
        <v>59</v>
      </c>
      <c r="C2" s="17" t="s">
        <v>60</v>
      </c>
      <c r="D2" t="s">
        <v>61</v>
      </c>
      <c r="E2" t="s">
        <v>62</v>
      </c>
    </row>
    <row r="3" spans="2:27">
      <c r="C3" s="17"/>
      <c r="D3" s="17"/>
      <c r="E3" t="s">
        <v>63</v>
      </c>
    </row>
    <row r="4" spans="2:27">
      <c r="B4" s="17" t="s">
        <v>108</v>
      </c>
      <c r="C4" s="17" t="s">
        <v>3</v>
      </c>
      <c r="D4" s="17"/>
      <c r="F4" s="17">
        <v>2008</v>
      </c>
      <c r="G4" s="17">
        <v>2009</v>
      </c>
      <c r="H4" s="17">
        <v>2010</v>
      </c>
      <c r="I4" s="17">
        <v>2011</v>
      </c>
      <c r="J4" s="17">
        <v>2012</v>
      </c>
      <c r="K4" s="17">
        <v>2013</v>
      </c>
      <c r="L4" s="17">
        <v>2014</v>
      </c>
      <c r="M4" s="17">
        <v>2015</v>
      </c>
      <c r="N4" s="17">
        <v>2016</v>
      </c>
      <c r="O4" s="17">
        <v>2017</v>
      </c>
      <c r="P4" s="17">
        <v>2018</v>
      </c>
      <c r="Q4" s="17">
        <v>2019</v>
      </c>
      <c r="R4" s="17">
        <v>2020</v>
      </c>
      <c r="S4" s="17">
        <v>2021</v>
      </c>
      <c r="T4" s="17">
        <v>2022</v>
      </c>
      <c r="U4" s="17">
        <v>2023</v>
      </c>
      <c r="V4" s="17">
        <v>2024</v>
      </c>
      <c r="W4" s="43">
        <v>2025</v>
      </c>
      <c r="X4" s="23">
        <v>2030</v>
      </c>
      <c r="Z4" s="47" t="s">
        <v>170</v>
      </c>
      <c r="AA4" s="47" t="s">
        <v>169</v>
      </c>
    </row>
    <row r="5" spans="2:27">
      <c r="B5" t="str">
        <f>_xlfn.XLOOKUP(D5,onshore!$E$5:$E$45,onshore!$B$5:$B$45)</f>
        <v>UK00</v>
      </c>
      <c r="C5" t="s">
        <v>58</v>
      </c>
      <c r="D5" t="s">
        <v>65</v>
      </c>
      <c r="F5">
        <v>586</v>
      </c>
      <c r="G5">
        <v>688.2</v>
      </c>
      <c r="H5">
        <v>1341.2</v>
      </c>
      <c r="I5">
        <v>2093.6999999999998</v>
      </c>
      <c r="J5">
        <v>2995</v>
      </c>
      <c r="K5">
        <v>3657</v>
      </c>
      <c r="L5">
        <v>4501.3</v>
      </c>
      <c r="M5">
        <v>5104.5</v>
      </c>
      <c r="N5">
        <v>5293</v>
      </c>
      <c r="O5">
        <v>6360.5</v>
      </c>
      <c r="P5">
        <v>7427.5</v>
      </c>
      <c r="Q5">
        <v>8015.5</v>
      </c>
      <c r="R5">
        <v>9947.5</v>
      </c>
      <c r="S5">
        <v>9995.5</v>
      </c>
      <c r="T5">
        <v>13186.5</v>
      </c>
      <c r="U5">
        <v>14326.5</v>
      </c>
      <c r="V5">
        <v>15900</v>
      </c>
      <c r="W5" s="44">
        <f>AVERAGE(TREND($M5:$V5,$M$4:$V$4,W$4), TREND($R5:$V5,$R$4:$V$4,W$4)) * Z5</f>
        <v>18646.668333333779</v>
      </c>
      <c r="X5" s="24">
        <f t="shared" ref="X5" si="0">AVERAGE(TREND($M5:$W5,$M$4:$W$4,X$4), TREND($R5:$W5,$R$4:$W$4,X$4)) * AA5</f>
        <v>27952.152031746671</v>
      </c>
      <c r="Z5" s="19">
        <v>1.1000000000000001</v>
      </c>
      <c r="AA5" s="19">
        <v>1.1000000000000001</v>
      </c>
    </row>
    <row r="6" spans="2:27">
      <c r="B6" t="str">
        <f>_xlfn.XLOOKUP(D6,onshore!$E$5:$E$45,onshore!$B$5:$B$45)</f>
        <v>DE00</v>
      </c>
      <c r="C6" t="s">
        <v>13</v>
      </c>
      <c r="D6" t="str">
        <f>VLOOKUP($C6, wind!$B$7:$C$47,2,FALSE)</f>
        <v>DE</v>
      </c>
      <c r="F6">
        <v>12</v>
      </c>
      <c r="G6">
        <v>72</v>
      </c>
      <c r="H6">
        <v>185.3</v>
      </c>
      <c r="I6">
        <v>215.3</v>
      </c>
      <c r="J6">
        <v>435</v>
      </c>
      <c r="K6">
        <v>903</v>
      </c>
      <c r="L6">
        <v>1012.5</v>
      </c>
      <c r="M6">
        <v>3294.9</v>
      </c>
      <c r="N6">
        <v>4132</v>
      </c>
      <c r="O6">
        <v>5407</v>
      </c>
      <c r="P6">
        <v>6396</v>
      </c>
      <c r="Q6">
        <v>7507</v>
      </c>
      <c r="R6">
        <v>7774</v>
      </c>
      <c r="S6">
        <v>7774</v>
      </c>
      <c r="T6">
        <v>8129</v>
      </c>
      <c r="U6">
        <v>8473</v>
      </c>
      <c r="V6">
        <v>9215</v>
      </c>
      <c r="W6" s="44">
        <f t="shared" ref="W6:W16" si="1">AVERAGE(TREND($M6:$V6,$M$4:$V$4,W$4), TREND($R6:$V6,$R$4:$V$4,W$4)) * Z6</f>
        <v>9773.3933333332534</v>
      </c>
      <c r="X6" s="24">
        <f>AVERAGE(TREND($M6:$W6,$M$4:$W$4,X$4), TREND($R6:$W6,$R$4:$W$4,X$4)) * AA6</f>
        <v>13592.477269841114</v>
      </c>
      <c r="Z6" s="19">
        <v>1</v>
      </c>
      <c r="AA6" s="19">
        <v>1.1000000000000001</v>
      </c>
    </row>
    <row r="7" spans="2:27">
      <c r="B7" t="s">
        <v>171</v>
      </c>
      <c r="C7" t="s">
        <v>23</v>
      </c>
      <c r="D7" t="str">
        <f>VLOOKUP($C7, wind!$B$7:$C$47,2,FALSE)</f>
        <v>DK</v>
      </c>
      <c r="F7">
        <v>423.4</v>
      </c>
      <c r="G7">
        <v>663.9</v>
      </c>
      <c r="H7">
        <v>867.9</v>
      </c>
      <c r="I7">
        <v>871.5</v>
      </c>
      <c r="J7">
        <v>921.9</v>
      </c>
      <c r="K7">
        <v>1271.0999999999999</v>
      </c>
      <c r="L7">
        <v>1271.0999999999999</v>
      </c>
      <c r="M7">
        <v>1271.0999999999999</v>
      </c>
      <c r="N7">
        <v>1271.0999999999999</v>
      </c>
      <c r="O7">
        <v>1291.8</v>
      </c>
      <c r="P7">
        <v>1700.8</v>
      </c>
      <c r="Q7">
        <v>1700.8</v>
      </c>
      <c r="R7">
        <v>1700.8</v>
      </c>
      <c r="S7">
        <v>2305.6</v>
      </c>
      <c r="T7">
        <v>2305.6</v>
      </c>
      <c r="U7">
        <v>2467.1</v>
      </c>
      <c r="V7">
        <v>2641.5</v>
      </c>
      <c r="W7" s="44">
        <f t="shared" si="1"/>
        <v>2841.1216666666733</v>
      </c>
      <c r="X7" s="24">
        <f t="shared" ref="X7:X14" si="2">AVERAGE(TREND($M7:$W7,$M$4:$W$4,X$4), TREND($R7:$W7,$R$4:$W$4,X$4)) * AA7</f>
        <v>3750.5134776334744</v>
      </c>
      <c r="Z7" s="19">
        <v>1</v>
      </c>
      <c r="AA7" s="19">
        <v>1</v>
      </c>
    </row>
    <row r="8" spans="2:27">
      <c r="B8" t="str">
        <f>_xlfn.XLOOKUP(D8,onshore!$E$5:$E$45,onshore!$B$5:$B$45)</f>
        <v>NL00</v>
      </c>
      <c r="C8" t="s">
        <v>20</v>
      </c>
      <c r="D8" t="str">
        <f>VLOOKUP($C8, wind!$B$7:$C$47,2,FALSE)</f>
        <v>NL</v>
      </c>
      <c r="F8">
        <v>246.8</v>
      </c>
      <c r="G8">
        <v>246.8</v>
      </c>
      <c r="H8">
        <v>228</v>
      </c>
      <c r="I8">
        <v>228</v>
      </c>
      <c r="J8">
        <v>228</v>
      </c>
      <c r="K8">
        <v>228</v>
      </c>
      <c r="L8">
        <v>228</v>
      </c>
      <c r="M8">
        <v>357</v>
      </c>
      <c r="N8">
        <v>957</v>
      </c>
      <c r="O8">
        <v>957</v>
      </c>
      <c r="P8">
        <v>957</v>
      </c>
      <c r="Q8">
        <v>957</v>
      </c>
      <c r="R8">
        <v>2459.5</v>
      </c>
      <c r="S8">
        <v>2459.5</v>
      </c>
      <c r="T8">
        <v>2571</v>
      </c>
      <c r="U8">
        <v>3977.5</v>
      </c>
      <c r="V8">
        <v>4748</v>
      </c>
      <c r="W8" s="44">
        <f t="shared" si="1"/>
        <v>4801.533333333442</v>
      </c>
      <c r="X8" s="24">
        <f t="shared" si="2"/>
        <v>7364.2158730159863</v>
      </c>
      <c r="Z8" s="19">
        <v>1</v>
      </c>
      <c r="AA8" s="19">
        <v>1</v>
      </c>
    </row>
    <row r="9" spans="2:27">
      <c r="B9" t="str">
        <f>_xlfn.XLOOKUP(D9,onshore!$E$5:$E$45,onshore!$B$5:$B$45)</f>
        <v>BE00</v>
      </c>
      <c r="C9" t="s">
        <v>25</v>
      </c>
      <c r="D9" t="str">
        <f>VLOOKUP($C9, wind!$B$7:$C$47,2,FALSE)</f>
        <v>BE</v>
      </c>
      <c r="F9">
        <v>30</v>
      </c>
      <c r="G9">
        <v>30</v>
      </c>
      <c r="H9">
        <v>195</v>
      </c>
      <c r="I9">
        <v>195</v>
      </c>
      <c r="J9">
        <v>379.5</v>
      </c>
      <c r="K9">
        <v>625.20000000000005</v>
      </c>
      <c r="L9">
        <v>712.2</v>
      </c>
      <c r="M9">
        <v>712.2</v>
      </c>
      <c r="N9">
        <v>712.2</v>
      </c>
      <c r="O9">
        <v>877</v>
      </c>
      <c r="P9">
        <v>1185.9000000000001</v>
      </c>
      <c r="Q9">
        <v>1548</v>
      </c>
      <c r="R9">
        <v>2261.8000000000002</v>
      </c>
      <c r="S9">
        <v>2261.8000000000002</v>
      </c>
      <c r="T9">
        <v>2261.8000000000002</v>
      </c>
      <c r="U9">
        <v>2261.8000000000002</v>
      </c>
      <c r="V9">
        <v>2261.8000000000002</v>
      </c>
      <c r="W9" s="44">
        <f t="shared" si="1"/>
        <v>2542.4333333333257</v>
      </c>
      <c r="X9" s="24">
        <f t="shared" si="2"/>
        <v>3179.9117604617713</v>
      </c>
      <c r="Z9" s="19">
        <v>1</v>
      </c>
      <c r="AA9" s="19">
        <v>1</v>
      </c>
    </row>
    <row r="10" spans="2:27">
      <c r="B10" t="s">
        <v>171</v>
      </c>
      <c r="C10" t="s">
        <v>17</v>
      </c>
      <c r="D10" t="str">
        <f>VLOOKUP($C10, wind!$B$7:$C$47,2,FALSE)</f>
        <v>SE</v>
      </c>
      <c r="F10">
        <v>133.69999999999999</v>
      </c>
      <c r="G10">
        <v>163.69999999999999</v>
      </c>
      <c r="H10">
        <v>163.4</v>
      </c>
      <c r="I10">
        <v>163.4</v>
      </c>
      <c r="J10">
        <v>163.69999999999999</v>
      </c>
      <c r="K10">
        <v>211.7</v>
      </c>
      <c r="L10">
        <v>211.7</v>
      </c>
      <c r="M10">
        <v>201.7</v>
      </c>
      <c r="N10">
        <v>201.7</v>
      </c>
      <c r="O10">
        <v>201.7</v>
      </c>
      <c r="P10">
        <v>203</v>
      </c>
      <c r="Q10">
        <v>192.5</v>
      </c>
      <c r="R10">
        <v>203</v>
      </c>
      <c r="S10">
        <v>203</v>
      </c>
      <c r="T10">
        <v>193</v>
      </c>
      <c r="U10">
        <v>193</v>
      </c>
      <c r="V10">
        <v>193</v>
      </c>
      <c r="W10" s="44">
        <f t="shared" si="1"/>
        <v>190.41000000000008</v>
      </c>
      <c r="X10" s="24">
        <f t="shared" si="2"/>
        <v>181.13554112554107</v>
      </c>
      <c r="Z10" s="19">
        <v>1</v>
      </c>
      <c r="AA10" s="19">
        <v>1</v>
      </c>
    </row>
    <row r="11" spans="2:27">
      <c r="B11" t="str">
        <f>_xlfn.XLOOKUP(D11,onshore!$E$5:$E$45,onshore!$B$5:$B$45)</f>
        <v>FI00</v>
      </c>
      <c r="C11" t="s">
        <v>22</v>
      </c>
      <c r="D11" t="str">
        <f>VLOOKUP($C11, wind!$B$7:$C$47,2,FALSE)</f>
        <v>FI</v>
      </c>
      <c r="F11">
        <v>24</v>
      </c>
      <c r="G11">
        <v>24</v>
      </c>
      <c r="H11">
        <v>26</v>
      </c>
      <c r="I11">
        <v>26</v>
      </c>
      <c r="J11">
        <v>26</v>
      </c>
      <c r="K11">
        <v>26</v>
      </c>
      <c r="L11">
        <v>28</v>
      </c>
      <c r="M11">
        <v>28</v>
      </c>
      <c r="N11">
        <v>32</v>
      </c>
      <c r="O11">
        <v>72.7</v>
      </c>
      <c r="P11">
        <v>72.7</v>
      </c>
      <c r="Q11">
        <v>72.7</v>
      </c>
      <c r="R11">
        <v>73</v>
      </c>
      <c r="S11">
        <v>73</v>
      </c>
      <c r="T11">
        <v>73</v>
      </c>
      <c r="U11">
        <v>73</v>
      </c>
      <c r="V11">
        <v>73</v>
      </c>
      <c r="W11" s="44">
        <f t="shared" si="1"/>
        <v>80.233333333333576</v>
      </c>
      <c r="X11" s="24">
        <f t="shared" si="2"/>
        <v>93.264141414141363</v>
      </c>
      <c r="Z11" s="19">
        <v>1</v>
      </c>
      <c r="AA11" s="19">
        <v>1</v>
      </c>
    </row>
    <row r="12" spans="2:27">
      <c r="B12" t="s">
        <v>171</v>
      </c>
      <c r="C12" t="s">
        <v>28</v>
      </c>
      <c r="D12" t="str">
        <f>VLOOKUP($C12, wind!$B$7:$C$47,2,FALSE)</f>
        <v>IE</v>
      </c>
      <c r="F12">
        <v>25.2</v>
      </c>
      <c r="G12">
        <v>25.2</v>
      </c>
      <c r="H12">
        <v>25.2</v>
      </c>
      <c r="I12">
        <v>25.2</v>
      </c>
      <c r="J12">
        <v>25.2</v>
      </c>
      <c r="K12">
        <v>25.2</v>
      </c>
      <c r="L12">
        <v>25.2</v>
      </c>
      <c r="M12">
        <v>25.2</v>
      </c>
      <c r="N12">
        <v>25.2</v>
      </c>
      <c r="O12">
        <v>25.2</v>
      </c>
      <c r="P12">
        <v>25.2</v>
      </c>
      <c r="Q12">
        <v>25.2</v>
      </c>
      <c r="R12">
        <v>25.2</v>
      </c>
      <c r="S12">
        <v>25.2</v>
      </c>
      <c r="T12">
        <v>21.6</v>
      </c>
      <c r="U12">
        <v>25</v>
      </c>
      <c r="V12">
        <v>25</v>
      </c>
      <c r="W12" s="44">
        <f t="shared" si="1"/>
        <v>24.156666666666652</v>
      </c>
      <c r="X12" s="24">
        <f t="shared" si="2"/>
        <v>23.66352092352092</v>
      </c>
      <c r="Z12" s="19">
        <v>1</v>
      </c>
      <c r="AA12" s="19">
        <v>1</v>
      </c>
    </row>
    <row r="13" spans="2:27">
      <c r="B13" t="str">
        <f>_xlfn.XLOOKUP(D13,onshore!$E$5:$E$45,onshore!$B$5:$B$45)</f>
        <v>ES00</v>
      </c>
      <c r="C13" t="s">
        <v>15</v>
      </c>
      <c r="D13" t="str">
        <f>VLOOKUP($C13, wind!$B$7:$C$47,2,FALSE)</f>
        <v>ES</v>
      </c>
      <c r="H13">
        <v>0</v>
      </c>
      <c r="I13">
        <v>0</v>
      </c>
      <c r="J13">
        <v>0</v>
      </c>
      <c r="K13">
        <v>5</v>
      </c>
      <c r="L13">
        <v>5</v>
      </c>
      <c r="M13">
        <v>5</v>
      </c>
      <c r="N13">
        <v>5</v>
      </c>
      <c r="O13">
        <v>5</v>
      </c>
      <c r="P13">
        <v>5</v>
      </c>
      <c r="Q13">
        <v>5</v>
      </c>
      <c r="R13">
        <v>0</v>
      </c>
      <c r="S13">
        <v>0</v>
      </c>
      <c r="T13">
        <v>0</v>
      </c>
      <c r="U13">
        <v>5</v>
      </c>
      <c r="V13">
        <v>5</v>
      </c>
      <c r="W13" s="44">
        <f t="shared" si="1"/>
        <v>4.25</v>
      </c>
      <c r="X13" s="24">
        <f t="shared" si="2"/>
        <v>6.5389610389610766</v>
      </c>
      <c r="Z13" s="19">
        <v>1</v>
      </c>
      <c r="AA13" s="19">
        <v>1</v>
      </c>
    </row>
    <row r="14" spans="2:27">
      <c r="B14" t="str">
        <f>_xlfn.XLOOKUP(D14,onshore!$E$5:$E$45,onshore!$B$5:$B$45)</f>
        <v>PT00</v>
      </c>
      <c r="C14" t="s">
        <v>24</v>
      </c>
      <c r="D14" t="str">
        <f>VLOOKUP($C14, wind!$B$7:$C$47,2,FALSE)</f>
        <v>PT</v>
      </c>
      <c r="H14">
        <v>0</v>
      </c>
      <c r="I14">
        <v>2</v>
      </c>
      <c r="J14">
        <v>2</v>
      </c>
      <c r="K14">
        <v>2</v>
      </c>
      <c r="L14">
        <v>2</v>
      </c>
      <c r="M14">
        <v>2</v>
      </c>
      <c r="N14">
        <v>2</v>
      </c>
      <c r="O14">
        <v>8.4</v>
      </c>
      <c r="P14">
        <v>8.4</v>
      </c>
      <c r="Q14">
        <v>8.4</v>
      </c>
      <c r="R14">
        <v>25</v>
      </c>
      <c r="S14">
        <v>25</v>
      </c>
      <c r="T14">
        <v>25</v>
      </c>
      <c r="U14">
        <v>25</v>
      </c>
      <c r="V14">
        <v>25</v>
      </c>
      <c r="W14" s="44">
        <f t="shared" si="1"/>
        <v>28.833333333333485</v>
      </c>
      <c r="X14" s="24">
        <f t="shared" si="2"/>
        <v>38.000288600288513</v>
      </c>
      <c r="Z14" s="19">
        <v>1</v>
      </c>
      <c r="AA14" s="19">
        <v>1</v>
      </c>
    </row>
    <row r="15" spans="2:27">
      <c r="B15" t="str">
        <f>_xlfn.XLOOKUP(D15,onshore!$E$5:$E$45,onshore!$B$5:$B$45)</f>
        <v>FR00</v>
      </c>
      <c r="C15" t="s">
        <v>16</v>
      </c>
      <c r="D15" t="str">
        <f>VLOOKUP($C15, wind!$B$7:$C$47,2,FALSE)</f>
        <v>FR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480</v>
      </c>
      <c r="U15">
        <v>1483</v>
      </c>
      <c r="V15">
        <v>1508</v>
      </c>
      <c r="W15" s="44">
        <f t="shared" si="1"/>
        <v>1634.7166666666744</v>
      </c>
      <c r="X15" s="25">
        <v>3600</v>
      </c>
      <c r="Z15" s="19">
        <v>1</v>
      </c>
      <c r="AA15" s="19">
        <v>1</v>
      </c>
    </row>
    <row r="16" spans="2:27">
      <c r="B16" t="s">
        <v>171</v>
      </c>
      <c r="C16" t="s">
        <v>19</v>
      </c>
      <c r="D16" t="str">
        <f>VLOOKUP($C16, wind!$B$7:$C$47,2,FALSE)</f>
        <v>IT</v>
      </c>
      <c r="F16">
        <v>0.1</v>
      </c>
      <c r="G16">
        <v>0.1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30</v>
      </c>
      <c r="U16">
        <v>31</v>
      </c>
      <c r="V16">
        <v>31</v>
      </c>
      <c r="W16" s="44">
        <f t="shared" si="1"/>
        <v>38.516666666666424</v>
      </c>
      <c r="X16" s="24">
        <f>AVERAGE(TREND($M16:$W16,$M$4:$W$4,X$4), TREND($R16:$W16,$R$4:$W$4,X$4)) * AA16</f>
        <v>68.859018759017999</v>
      </c>
      <c r="Z16" s="19">
        <v>1</v>
      </c>
      <c r="AA16" s="19">
        <v>1</v>
      </c>
    </row>
    <row r="17" spans="1:24">
      <c r="W17" s="48"/>
    </row>
    <row r="18" spans="1:24">
      <c r="D18" t="s">
        <v>143</v>
      </c>
      <c r="W18" s="48"/>
    </row>
    <row r="19" spans="1:24">
      <c r="D19" t="s">
        <v>142</v>
      </c>
      <c r="W19" s="48"/>
    </row>
    <row r="20" spans="1:24">
      <c r="D20" t="s">
        <v>78</v>
      </c>
      <c r="F20">
        <v>6</v>
      </c>
      <c r="G20">
        <v>6</v>
      </c>
      <c r="H20">
        <v>6</v>
      </c>
      <c r="I20">
        <v>6</v>
      </c>
      <c r="J20">
        <v>6</v>
      </c>
      <c r="K20">
        <v>6</v>
      </c>
      <c r="L20">
        <v>6</v>
      </c>
      <c r="M20">
        <v>6</v>
      </c>
      <c r="N20">
        <v>6</v>
      </c>
      <c r="O20">
        <v>6</v>
      </c>
      <c r="P20">
        <v>6</v>
      </c>
      <c r="Q20">
        <v>6</v>
      </c>
      <c r="R20">
        <v>6</v>
      </c>
      <c r="S20">
        <v>6</v>
      </c>
      <c r="T20">
        <v>6</v>
      </c>
      <c r="U20">
        <f>11*8.6</f>
        <v>94.6</v>
      </c>
      <c r="V20">
        <f>U20</f>
        <v>94.6</v>
      </c>
      <c r="W20" s="44">
        <f t="shared" ref="W20:X20" si="3">AVERAGE(TREND($M20:$V20,$M$4:$V$4,W$4), TREND($R20:$V20,$R$4:$V$4,W$4))</f>
        <v>96.076666666671372</v>
      </c>
      <c r="X20" s="24">
        <f t="shared" si="3"/>
        <v>184.005454545455</v>
      </c>
    </row>
    <row r="21" spans="1:24">
      <c r="W21" s="48"/>
    </row>
    <row r="22" spans="1:24">
      <c r="W22" s="48"/>
    </row>
    <row r="23" spans="1:24">
      <c r="A23" t="str">
        <f t="shared" ref="A23:A31" si="4">LEFT(B23,2)</f>
        <v>DK</v>
      </c>
      <c r="B23" t="s">
        <v>118</v>
      </c>
      <c r="C23" t="s">
        <v>115</v>
      </c>
      <c r="D23">
        <f>SUMIFS('VRE-NT2030'!$E:$E,'VRE-NT2030'!$B:$B,$B23,  'VRE-NT2030'!$C:$C,$C23)</f>
        <v>1545</v>
      </c>
      <c r="E23">
        <f t="shared" ref="E23:E31" si="5">D23/SUMIFS($D$23:$D$31,$A$23:$A$31,$A23,    $C$23:$C$31,$C23)</f>
        <v>0.67004944054124371</v>
      </c>
      <c r="F23" s="22">
        <f>SUMIFS(F$5:F$20, $D$5:$D$20,$A23)*$E23</f>
        <v>283.69893312516257</v>
      </c>
      <c r="G23" s="22">
        <f t="shared" ref="G23:X31" si="6">SUMIFS(G$5:G$20, $D$5:$D$20,$A23)*$E23</f>
        <v>444.84582357533168</v>
      </c>
      <c r="H23" s="22">
        <f t="shared" si="6"/>
        <v>581.53590944574535</v>
      </c>
      <c r="I23" s="22">
        <f t="shared" si="6"/>
        <v>583.94808743169392</v>
      </c>
      <c r="J23" s="22">
        <f t="shared" si="6"/>
        <v>617.71857923497259</v>
      </c>
      <c r="K23" s="22">
        <f t="shared" si="6"/>
        <v>851.69984387197485</v>
      </c>
      <c r="L23" s="22">
        <f t="shared" si="6"/>
        <v>851.69984387197485</v>
      </c>
      <c r="M23" s="22">
        <f t="shared" si="6"/>
        <v>851.69984387197485</v>
      </c>
      <c r="N23" s="22">
        <f t="shared" si="6"/>
        <v>851.69984387197485</v>
      </c>
      <c r="O23" s="22">
        <f t="shared" si="6"/>
        <v>865.56986729117864</v>
      </c>
      <c r="P23" s="22">
        <f t="shared" si="6"/>
        <v>1139.6200884725472</v>
      </c>
      <c r="Q23" s="22">
        <f t="shared" si="6"/>
        <v>1139.6200884725472</v>
      </c>
      <c r="R23" s="22">
        <f t="shared" si="6"/>
        <v>1139.6200884725472</v>
      </c>
      <c r="S23" s="22">
        <f t="shared" si="6"/>
        <v>1544.8659901118915</v>
      </c>
      <c r="T23" s="22">
        <f t="shared" si="6"/>
        <v>1544.8659901118915</v>
      </c>
      <c r="U23" s="22">
        <f t="shared" si="6"/>
        <v>1653.0789747593024</v>
      </c>
      <c r="V23" s="22">
        <f t="shared" si="6"/>
        <v>1769.9355971896953</v>
      </c>
      <c r="W23" s="46">
        <f t="shared" si="6"/>
        <v>1903.6919832596104</v>
      </c>
      <c r="X23" s="22">
        <f t="shared" si="6"/>
        <v>2513.029457430704</v>
      </c>
    </row>
    <row r="24" spans="1:24">
      <c r="A24" t="str">
        <f t="shared" si="4"/>
        <v>DK</v>
      </c>
      <c r="B24" t="s">
        <v>119</v>
      </c>
      <c r="C24" t="s">
        <v>115</v>
      </c>
      <c r="D24">
        <f>SUMIFS('VRE-NT2030'!$E:$E,'VRE-NT2030'!$B:$B,$B24,  'VRE-NT2030'!$C:$C,$C24)</f>
        <v>760.8</v>
      </c>
      <c r="E24">
        <f t="shared" si="5"/>
        <v>0.32995055945875612</v>
      </c>
      <c r="F24" s="22">
        <f t="shared" ref="F24:F31" si="7">SUMIFS(F$5:F$20, $D$5:$D$20,$A24)*$E24</f>
        <v>139.70106687483732</v>
      </c>
      <c r="G24" s="22">
        <f t="shared" si="6"/>
        <v>219.05417642466819</v>
      </c>
      <c r="H24" s="22">
        <f t="shared" si="6"/>
        <v>286.3640905542544</v>
      </c>
      <c r="I24" s="22">
        <f t="shared" si="6"/>
        <v>287.55191256830597</v>
      </c>
      <c r="J24" s="22">
        <f t="shared" si="6"/>
        <v>304.18142076502727</v>
      </c>
      <c r="K24" s="22">
        <f t="shared" si="6"/>
        <v>419.40015612802489</v>
      </c>
      <c r="L24" s="22">
        <f t="shared" si="6"/>
        <v>419.40015612802489</v>
      </c>
      <c r="M24" s="22">
        <f t="shared" si="6"/>
        <v>419.40015612802489</v>
      </c>
      <c r="N24" s="22">
        <f t="shared" si="6"/>
        <v>419.40015612802489</v>
      </c>
      <c r="O24" s="22">
        <f t="shared" si="6"/>
        <v>426.23013270882115</v>
      </c>
      <c r="P24" s="22">
        <f t="shared" si="6"/>
        <v>561.17991152745242</v>
      </c>
      <c r="Q24" s="22">
        <f t="shared" si="6"/>
        <v>561.17991152745242</v>
      </c>
      <c r="R24" s="22">
        <f t="shared" si="6"/>
        <v>561.17991152745242</v>
      </c>
      <c r="S24" s="22">
        <f t="shared" si="6"/>
        <v>760.73400988810806</v>
      </c>
      <c r="T24" s="22">
        <f t="shared" si="6"/>
        <v>760.73400988810806</v>
      </c>
      <c r="U24" s="22">
        <f t="shared" si="6"/>
        <v>814.02102524069721</v>
      </c>
      <c r="V24" s="22">
        <f t="shared" si="6"/>
        <v>871.56440281030427</v>
      </c>
      <c r="W24" s="46">
        <f t="shared" si="6"/>
        <v>937.4296834070625</v>
      </c>
      <c r="X24" s="22">
        <f t="shared" si="6"/>
        <v>1237.4840202027699</v>
      </c>
    </row>
    <row r="25" spans="1:24">
      <c r="A25" t="str">
        <f t="shared" si="4"/>
        <v>NO</v>
      </c>
      <c r="B25" t="s">
        <v>127</v>
      </c>
      <c r="C25" t="s">
        <v>115</v>
      </c>
      <c r="D25">
        <f>SUMIFS('VRE-NT2030'!$E:$E,'VRE-NT2030'!$B:$B,$B25,  'VRE-NT2030'!$C:$C,$C25)</f>
        <v>0</v>
      </c>
      <c r="E25">
        <f t="shared" si="5"/>
        <v>0</v>
      </c>
      <c r="F25" s="22">
        <f t="shared" si="7"/>
        <v>0</v>
      </c>
      <c r="G25" s="22">
        <f t="shared" si="6"/>
        <v>0</v>
      </c>
      <c r="H25" s="22">
        <f t="shared" si="6"/>
        <v>0</v>
      </c>
      <c r="I25" s="22">
        <f t="shared" si="6"/>
        <v>0</v>
      </c>
      <c r="J25" s="22">
        <f t="shared" si="6"/>
        <v>0</v>
      </c>
      <c r="K25" s="22">
        <f t="shared" si="6"/>
        <v>0</v>
      </c>
      <c r="L25" s="22">
        <f t="shared" si="6"/>
        <v>0</v>
      </c>
      <c r="M25" s="22">
        <f t="shared" si="6"/>
        <v>0</v>
      </c>
      <c r="N25" s="22">
        <f t="shared" si="6"/>
        <v>0</v>
      </c>
      <c r="O25" s="22">
        <f t="shared" si="6"/>
        <v>0</v>
      </c>
      <c r="P25" s="22">
        <f t="shared" si="6"/>
        <v>0</v>
      </c>
      <c r="Q25" s="22">
        <f t="shared" si="6"/>
        <v>0</v>
      </c>
      <c r="R25" s="22">
        <f t="shared" si="6"/>
        <v>0</v>
      </c>
      <c r="S25" s="22">
        <f t="shared" si="6"/>
        <v>0</v>
      </c>
      <c r="T25" s="22">
        <f t="shared" si="6"/>
        <v>0</v>
      </c>
      <c r="U25" s="22">
        <f t="shared" si="6"/>
        <v>0</v>
      </c>
      <c r="V25" s="22">
        <f t="shared" si="6"/>
        <v>0</v>
      </c>
      <c r="W25" s="46">
        <f t="shared" si="6"/>
        <v>0</v>
      </c>
      <c r="X25" s="22">
        <f t="shared" si="6"/>
        <v>0</v>
      </c>
    </row>
    <row r="26" spans="1:24">
      <c r="A26" t="str">
        <f t="shared" si="4"/>
        <v>NO</v>
      </c>
      <c r="B26" t="s">
        <v>128</v>
      </c>
      <c r="C26" t="s">
        <v>115</v>
      </c>
      <c r="D26">
        <f>SUMIFS('VRE-NT2030'!$E:$E,'VRE-NT2030'!$B:$B,$B26,  'VRE-NT2030'!$C:$C,$C26)</f>
        <v>0</v>
      </c>
      <c r="E26">
        <f t="shared" si="5"/>
        <v>0</v>
      </c>
      <c r="F26" s="22">
        <f t="shared" si="7"/>
        <v>0</v>
      </c>
      <c r="G26" s="22">
        <f t="shared" si="6"/>
        <v>0</v>
      </c>
      <c r="H26" s="22">
        <f t="shared" si="6"/>
        <v>0</v>
      </c>
      <c r="I26" s="22">
        <f t="shared" si="6"/>
        <v>0</v>
      </c>
      <c r="J26" s="22">
        <f t="shared" si="6"/>
        <v>0</v>
      </c>
      <c r="K26" s="22">
        <f t="shared" si="6"/>
        <v>0</v>
      </c>
      <c r="L26" s="22">
        <f t="shared" si="6"/>
        <v>0</v>
      </c>
      <c r="M26" s="22">
        <f t="shared" si="6"/>
        <v>0</v>
      </c>
      <c r="N26" s="22">
        <f t="shared" si="6"/>
        <v>0</v>
      </c>
      <c r="O26" s="22">
        <f t="shared" si="6"/>
        <v>0</v>
      </c>
      <c r="P26" s="22">
        <f t="shared" si="6"/>
        <v>0</v>
      </c>
      <c r="Q26" s="22">
        <f t="shared" si="6"/>
        <v>0</v>
      </c>
      <c r="R26" s="22">
        <f t="shared" si="6"/>
        <v>0</v>
      </c>
      <c r="S26" s="22">
        <f t="shared" si="6"/>
        <v>0</v>
      </c>
      <c r="T26" s="22">
        <f t="shared" si="6"/>
        <v>0</v>
      </c>
      <c r="U26" s="22">
        <f t="shared" si="6"/>
        <v>0</v>
      </c>
      <c r="V26" s="22">
        <f t="shared" si="6"/>
        <v>0</v>
      </c>
      <c r="W26" s="46">
        <f t="shared" si="6"/>
        <v>0</v>
      </c>
      <c r="X26" s="22">
        <f t="shared" si="6"/>
        <v>0</v>
      </c>
    </row>
    <row r="27" spans="1:24">
      <c r="A27" t="str">
        <f t="shared" si="4"/>
        <v>NO</v>
      </c>
      <c r="B27" t="s">
        <v>129</v>
      </c>
      <c r="C27" t="s">
        <v>115</v>
      </c>
      <c r="D27">
        <f>SUMIFS('VRE-NT2030'!$E:$E,'VRE-NT2030'!$B:$B,$B27,  'VRE-NT2030'!$C:$C,$C27)</f>
        <v>6.3</v>
      </c>
      <c r="E27">
        <f t="shared" si="5"/>
        <v>1</v>
      </c>
      <c r="F27" s="22">
        <f t="shared" si="7"/>
        <v>6</v>
      </c>
      <c r="G27" s="22">
        <f t="shared" si="6"/>
        <v>6</v>
      </c>
      <c r="H27" s="22">
        <f t="shared" si="6"/>
        <v>6</v>
      </c>
      <c r="I27" s="22">
        <f t="shared" si="6"/>
        <v>6</v>
      </c>
      <c r="J27" s="22">
        <f t="shared" si="6"/>
        <v>6</v>
      </c>
      <c r="K27" s="22">
        <f t="shared" si="6"/>
        <v>6</v>
      </c>
      <c r="L27" s="22">
        <f t="shared" si="6"/>
        <v>6</v>
      </c>
      <c r="M27" s="22">
        <f t="shared" si="6"/>
        <v>6</v>
      </c>
      <c r="N27" s="22">
        <f t="shared" si="6"/>
        <v>6</v>
      </c>
      <c r="O27" s="22">
        <f t="shared" si="6"/>
        <v>6</v>
      </c>
      <c r="P27" s="22">
        <f t="shared" si="6"/>
        <v>6</v>
      </c>
      <c r="Q27" s="22">
        <f t="shared" si="6"/>
        <v>6</v>
      </c>
      <c r="R27" s="22">
        <f t="shared" si="6"/>
        <v>6</v>
      </c>
      <c r="S27" s="22">
        <f t="shared" si="6"/>
        <v>6</v>
      </c>
      <c r="T27" s="22">
        <f t="shared" si="6"/>
        <v>6</v>
      </c>
      <c r="U27" s="22">
        <f t="shared" si="6"/>
        <v>94.6</v>
      </c>
      <c r="V27" s="22">
        <f t="shared" si="6"/>
        <v>94.6</v>
      </c>
      <c r="W27" s="46">
        <f t="shared" si="6"/>
        <v>96.076666666671372</v>
      </c>
      <c r="X27" s="22">
        <f t="shared" si="6"/>
        <v>184.005454545455</v>
      </c>
    </row>
    <row r="28" spans="1:24">
      <c r="A28" t="str">
        <f t="shared" si="4"/>
        <v>SE</v>
      </c>
      <c r="B28" t="s">
        <v>131</v>
      </c>
      <c r="C28" t="s">
        <v>115</v>
      </c>
      <c r="D28">
        <f>SUMIFS('VRE-NT2030'!$E:$E,'VRE-NT2030'!$B:$B,$B28,  'VRE-NT2030'!$C:$C,$C28)</f>
        <v>0</v>
      </c>
      <c r="E28">
        <f t="shared" si="5"/>
        <v>0</v>
      </c>
      <c r="F28" s="22">
        <f t="shared" si="7"/>
        <v>0</v>
      </c>
      <c r="G28" s="22">
        <f t="shared" si="6"/>
        <v>0</v>
      </c>
      <c r="H28" s="22">
        <f t="shared" si="6"/>
        <v>0</v>
      </c>
      <c r="I28" s="22">
        <f t="shared" si="6"/>
        <v>0</v>
      </c>
      <c r="J28" s="22">
        <f t="shared" si="6"/>
        <v>0</v>
      </c>
      <c r="K28" s="22">
        <f t="shared" si="6"/>
        <v>0</v>
      </c>
      <c r="L28" s="22">
        <f t="shared" si="6"/>
        <v>0</v>
      </c>
      <c r="M28" s="22">
        <f t="shared" si="6"/>
        <v>0</v>
      </c>
      <c r="N28" s="22">
        <f t="shared" si="6"/>
        <v>0</v>
      </c>
      <c r="O28" s="22">
        <f t="shared" si="6"/>
        <v>0</v>
      </c>
      <c r="P28" s="22">
        <f t="shared" si="6"/>
        <v>0</v>
      </c>
      <c r="Q28" s="22">
        <f t="shared" si="6"/>
        <v>0</v>
      </c>
      <c r="R28" s="22">
        <f t="shared" si="6"/>
        <v>0</v>
      </c>
      <c r="S28" s="22">
        <f t="shared" si="6"/>
        <v>0</v>
      </c>
      <c r="T28" s="22">
        <f t="shared" si="6"/>
        <v>0</v>
      </c>
      <c r="U28" s="22">
        <f t="shared" si="6"/>
        <v>0</v>
      </c>
      <c r="V28" s="22">
        <f t="shared" si="6"/>
        <v>0</v>
      </c>
      <c r="W28" s="46">
        <f t="shared" si="6"/>
        <v>0</v>
      </c>
      <c r="X28" s="22">
        <f t="shared" si="6"/>
        <v>0</v>
      </c>
    </row>
    <row r="29" spans="1:24">
      <c r="A29" t="str">
        <f t="shared" si="4"/>
        <v>SE</v>
      </c>
      <c r="B29" t="s">
        <v>132</v>
      </c>
      <c r="C29" t="s">
        <v>115</v>
      </c>
      <c r="D29">
        <f>SUMIFS('VRE-NT2030'!$E:$E,'VRE-NT2030'!$B:$B,$B29,  'VRE-NT2030'!$C:$C,$C29)</f>
        <v>0</v>
      </c>
      <c r="E29">
        <f t="shared" si="5"/>
        <v>0</v>
      </c>
      <c r="F29" s="22">
        <f t="shared" si="7"/>
        <v>0</v>
      </c>
      <c r="G29" s="22">
        <f t="shared" si="6"/>
        <v>0</v>
      </c>
      <c r="H29" s="22">
        <f t="shared" si="6"/>
        <v>0</v>
      </c>
      <c r="I29" s="22">
        <f t="shared" si="6"/>
        <v>0</v>
      </c>
      <c r="J29" s="22">
        <f t="shared" si="6"/>
        <v>0</v>
      </c>
      <c r="K29" s="22">
        <f t="shared" si="6"/>
        <v>0</v>
      </c>
      <c r="L29" s="22">
        <f t="shared" si="6"/>
        <v>0</v>
      </c>
      <c r="M29" s="22">
        <f t="shared" si="6"/>
        <v>0</v>
      </c>
      <c r="N29" s="22">
        <f t="shared" si="6"/>
        <v>0</v>
      </c>
      <c r="O29" s="22">
        <f t="shared" si="6"/>
        <v>0</v>
      </c>
      <c r="P29" s="22">
        <f t="shared" si="6"/>
        <v>0</v>
      </c>
      <c r="Q29" s="22">
        <f t="shared" si="6"/>
        <v>0</v>
      </c>
      <c r="R29" s="22">
        <f t="shared" si="6"/>
        <v>0</v>
      </c>
      <c r="S29" s="22">
        <f t="shared" si="6"/>
        <v>0</v>
      </c>
      <c r="T29" s="22">
        <f t="shared" si="6"/>
        <v>0</v>
      </c>
      <c r="U29" s="22">
        <f t="shared" si="6"/>
        <v>0</v>
      </c>
      <c r="V29" s="22">
        <f t="shared" si="6"/>
        <v>0</v>
      </c>
      <c r="W29" s="46">
        <f t="shared" si="6"/>
        <v>0</v>
      </c>
      <c r="X29" s="22">
        <f t="shared" si="6"/>
        <v>0</v>
      </c>
    </row>
    <row r="30" spans="1:24">
      <c r="A30" t="str">
        <f t="shared" si="4"/>
        <v>SE</v>
      </c>
      <c r="B30" t="s">
        <v>133</v>
      </c>
      <c r="C30" t="s">
        <v>115</v>
      </c>
      <c r="D30">
        <f>SUMIFS('VRE-NT2030'!$E:$E,'VRE-NT2030'!$B:$B,$B30,  'VRE-NT2030'!$C:$C,$C30)</f>
        <v>0</v>
      </c>
      <c r="E30">
        <f t="shared" si="5"/>
        <v>0</v>
      </c>
      <c r="F30" s="22">
        <f t="shared" si="7"/>
        <v>0</v>
      </c>
      <c r="G30" s="22">
        <f t="shared" si="6"/>
        <v>0</v>
      </c>
      <c r="H30" s="22">
        <f t="shared" si="6"/>
        <v>0</v>
      </c>
      <c r="I30" s="22">
        <f t="shared" si="6"/>
        <v>0</v>
      </c>
      <c r="J30" s="22">
        <f t="shared" si="6"/>
        <v>0</v>
      </c>
      <c r="K30" s="22">
        <f t="shared" si="6"/>
        <v>0</v>
      </c>
      <c r="L30" s="22">
        <f t="shared" si="6"/>
        <v>0</v>
      </c>
      <c r="M30" s="22">
        <f t="shared" si="6"/>
        <v>0</v>
      </c>
      <c r="N30" s="22">
        <f t="shared" si="6"/>
        <v>0</v>
      </c>
      <c r="O30" s="22">
        <f t="shared" si="6"/>
        <v>0</v>
      </c>
      <c r="P30" s="22">
        <f t="shared" si="6"/>
        <v>0</v>
      </c>
      <c r="Q30" s="22">
        <f t="shared" si="6"/>
        <v>0</v>
      </c>
      <c r="R30" s="22">
        <f t="shared" si="6"/>
        <v>0</v>
      </c>
      <c r="S30" s="22">
        <f t="shared" si="6"/>
        <v>0</v>
      </c>
      <c r="T30" s="22">
        <f t="shared" si="6"/>
        <v>0</v>
      </c>
      <c r="U30" s="22">
        <f t="shared" si="6"/>
        <v>0</v>
      </c>
      <c r="V30" s="22">
        <f t="shared" si="6"/>
        <v>0</v>
      </c>
      <c r="W30" s="46">
        <f t="shared" si="6"/>
        <v>0</v>
      </c>
      <c r="X30" s="22">
        <f t="shared" si="6"/>
        <v>0</v>
      </c>
    </row>
    <row r="31" spans="1:24">
      <c r="A31" t="str">
        <f t="shared" si="4"/>
        <v>SE</v>
      </c>
      <c r="B31" t="s">
        <v>134</v>
      </c>
      <c r="C31" t="s">
        <v>115</v>
      </c>
      <c r="D31">
        <f>SUMIFS('VRE-NT2030'!$E:$E,'VRE-NT2030'!$B:$B,$B31,  'VRE-NT2030'!$C:$C,$C31)</f>
        <v>212.8</v>
      </c>
      <c r="E31">
        <f t="shared" si="5"/>
        <v>1</v>
      </c>
      <c r="F31" s="22">
        <f t="shared" si="7"/>
        <v>133.69999999999999</v>
      </c>
      <c r="G31" s="22">
        <f t="shared" si="6"/>
        <v>163.69999999999999</v>
      </c>
      <c r="H31" s="22">
        <f t="shared" si="6"/>
        <v>163.4</v>
      </c>
      <c r="I31" s="22">
        <f t="shared" si="6"/>
        <v>163.4</v>
      </c>
      <c r="J31" s="22">
        <f t="shared" si="6"/>
        <v>163.69999999999999</v>
      </c>
      <c r="K31" s="22">
        <f t="shared" si="6"/>
        <v>211.7</v>
      </c>
      <c r="L31" s="22">
        <f t="shared" si="6"/>
        <v>211.7</v>
      </c>
      <c r="M31" s="22">
        <f t="shared" si="6"/>
        <v>201.7</v>
      </c>
      <c r="N31" s="22">
        <f t="shared" si="6"/>
        <v>201.7</v>
      </c>
      <c r="O31" s="22">
        <f t="shared" si="6"/>
        <v>201.7</v>
      </c>
      <c r="P31" s="22">
        <f t="shared" si="6"/>
        <v>203</v>
      </c>
      <c r="Q31" s="22">
        <f t="shared" si="6"/>
        <v>192.5</v>
      </c>
      <c r="R31" s="22">
        <f t="shared" si="6"/>
        <v>203</v>
      </c>
      <c r="S31" s="22">
        <f t="shared" si="6"/>
        <v>203</v>
      </c>
      <c r="T31" s="22">
        <f t="shared" si="6"/>
        <v>193</v>
      </c>
      <c r="U31" s="22">
        <f t="shared" si="6"/>
        <v>193</v>
      </c>
      <c r="V31" s="22">
        <f t="shared" si="6"/>
        <v>193</v>
      </c>
      <c r="W31" s="46">
        <f t="shared" si="6"/>
        <v>190.41000000000008</v>
      </c>
      <c r="X31" s="22">
        <f t="shared" si="6"/>
        <v>181.13554112554107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EB510-A938-4A6A-98B9-5E9146B143E5}">
  <sheetPr>
    <tabColor theme="5" tint="0.59999389629810485"/>
  </sheetPr>
  <dimension ref="A1:X56"/>
  <sheetViews>
    <sheetView workbookViewId="0">
      <pane xSplit="6" ySplit="4" topLeftCell="G5" activePane="bottomRight" state="frozen"/>
      <selection pane="topRight" activeCell="F1" sqref="F1"/>
      <selection pane="bottomLeft" activeCell="A5" sqref="A5"/>
      <selection pane="bottomRight" activeCell="F25" sqref="F25"/>
    </sheetView>
  </sheetViews>
  <sheetFormatPr defaultRowHeight="15"/>
  <cols>
    <col min="3" max="4" width="19.7109375" customWidth="1"/>
    <col min="5" max="5" width="10.7109375" customWidth="1"/>
    <col min="6" max="6" width="9.28515625" customWidth="1"/>
    <col min="7" max="8" width="9" customWidth="1"/>
  </cols>
  <sheetData>
    <row r="1" spans="2:24">
      <c r="B1" s="11"/>
    </row>
    <row r="2" spans="2:24" ht="15.75" thickBot="1"/>
    <row r="3" spans="2:24" ht="16.5" thickBot="1">
      <c r="B3" s="89" t="s">
        <v>55</v>
      </c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1"/>
    </row>
    <row r="4" spans="2:24" ht="23.25" thickBot="1">
      <c r="B4" s="12" t="s">
        <v>108</v>
      </c>
      <c r="C4" s="12" t="s">
        <v>3</v>
      </c>
      <c r="D4" s="12"/>
      <c r="E4" s="41" t="s">
        <v>169</v>
      </c>
      <c r="F4" s="41" t="s">
        <v>170</v>
      </c>
      <c r="G4" s="23">
        <v>2030</v>
      </c>
      <c r="H4" s="23">
        <v>2025</v>
      </c>
      <c r="I4" s="12">
        <v>2024</v>
      </c>
      <c r="J4" s="12">
        <v>2023</v>
      </c>
      <c r="K4" s="12">
        <v>2022</v>
      </c>
      <c r="L4" s="12">
        <v>2021</v>
      </c>
      <c r="M4" s="12">
        <v>2020</v>
      </c>
      <c r="N4" s="12">
        <v>2019</v>
      </c>
      <c r="O4" s="12">
        <v>2018</v>
      </c>
      <c r="P4" s="12">
        <v>2017</v>
      </c>
      <c r="Q4" s="12">
        <v>2016</v>
      </c>
      <c r="R4" s="12">
        <v>2015</v>
      </c>
      <c r="S4" s="12">
        <v>2014</v>
      </c>
      <c r="T4" s="12">
        <v>2013</v>
      </c>
      <c r="U4" s="12">
        <v>2012</v>
      </c>
      <c r="V4" s="12">
        <v>2011</v>
      </c>
      <c r="W4" s="12">
        <v>2010</v>
      </c>
      <c r="X4" s="12">
        <v>2009</v>
      </c>
    </row>
    <row r="5" spans="2:24" ht="15.75" thickBot="1">
      <c r="B5" t="str">
        <f>_xlfn.XLOOKUP(D5,onshore!$E$5:$E$45,onshore!$B$5:$B$45)</f>
        <v>DE00</v>
      </c>
      <c r="C5" s="9" t="s">
        <v>13</v>
      </c>
      <c r="D5" t="str">
        <f>VLOOKUP($C5, wind!$B$7:$C$47,2,FALSE)</f>
        <v>DE</v>
      </c>
      <c r="E5">
        <v>1.1000000000000001</v>
      </c>
      <c r="F5">
        <v>1.1000000000000001</v>
      </c>
      <c r="G5" s="24">
        <f>AVERAGE(TREND($H5:$R5,$H$4:$R$4,G$4), TREND($H5:M5,$H$4:$M$4,G$4)) * E5</f>
        <v>151691.13276190675</v>
      </c>
      <c r="H5" s="24">
        <f>MAX(AVERAGE(TREND($I5:$R5,$I$4:$R$4,H$4), TREND($I5:$M5,$I$4:$M$4,H$4))*F5, I5*1.03)</f>
        <v>102766.73000000083</v>
      </c>
      <c r="I5" s="42">
        <v>95000</v>
      </c>
      <c r="J5" s="42">
        <v>74700</v>
      </c>
      <c r="K5" s="42">
        <v>68000</v>
      </c>
      <c r="L5" s="13">
        <v>60036</v>
      </c>
      <c r="M5" s="13">
        <v>53669</v>
      </c>
      <c r="N5" s="13">
        <v>48912</v>
      </c>
      <c r="O5" s="13">
        <v>45156</v>
      </c>
      <c r="P5" s="13">
        <v>42291</v>
      </c>
      <c r="Q5" s="13">
        <v>40677</v>
      </c>
      <c r="R5" s="13">
        <v>39222</v>
      </c>
      <c r="S5" s="13">
        <v>37898</v>
      </c>
      <c r="T5" s="13">
        <v>36708</v>
      </c>
      <c r="U5" s="13">
        <v>32698</v>
      </c>
      <c r="V5" s="13">
        <v>24875</v>
      </c>
      <c r="W5" s="13">
        <v>17370</v>
      </c>
      <c r="X5" s="13">
        <v>9959</v>
      </c>
    </row>
    <row r="6" spans="2:24" ht="15.75" thickBot="1">
      <c r="B6" t="str">
        <f>_xlfn.XLOOKUP(D6,onshore!$E$5:$E$45,onshore!$B$5:$B$45)</f>
        <v>ES00</v>
      </c>
      <c r="C6" s="9" t="s">
        <v>15</v>
      </c>
      <c r="D6" t="str">
        <f>VLOOKUP($C6, wind!$B$7:$C$47,2,FALSE)</f>
        <v>ES</v>
      </c>
      <c r="E6">
        <v>1</v>
      </c>
      <c r="F6">
        <v>1</v>
      </c>
      <c r="G6" s="24">
        <f>AVERAGE(TREND($H6:$R6,$H$4:$R$4,G$4), TREND($H6:M6,$H$4:$M$4,G$4)) * E6</f>
        <v>63683.231457431801</v>
      </c>
      <c r="H6" s="24">
        <f t="shared" ref="H6:H32" si="0">MAX(AVERAGE(TREND($I6:$R6,$I$4:$R$4,H$4), TREND($I6:$M6,$I$4:$M$4,H$4))*F6, I6*1.03)</f>
        <v>38898.383333333768</v>
      </c>
      <c r="I6" s="42">
        <v>37400</v>
      </c>
      <c r="J6" s="42">
        <v>29600</v>
      </c>
      <c r="K6" s="13">
        <v>23311</v>
      </c>
      <c r="L6" s="13">
        <v>13715</v>
      </c>
      <c r="M6" s="13">
        <v>10136</v>
      </c>
      <c r="N6" s="13">
        <v>8807</v>
      </c>
      <c r="O6" s="13">
        <v>4764</v>
      </c>
      <c r="P6" s="13">
        <v>4723</v>
      </c>
      <c r="Q6" s="13">
        <v>4713</v>
      </c>
      <c r="R6" s="13">
        <v>4704</v>
      </c>
      <c r="S6" s="13">
        <v>4697</v>
      </c>
      <c r="T6" s="13">
        <v>4690</v>
      </c>
      <c r="U6" s="13">
        <v>4516</v>
      </c>
      <c r="V6" s="13">
        <v>4214</v>
      </c>
      <c r="W6" s="13">
        <v>3808</v>
      </c>
      <c r="X6" s="13">
        <v>3438</v>
      </c>
    </row>
    <row r="7" spans="2:24" ht="15.75" thickBot="1">
      <c r="B7">
        <f>_xlfn.XLOOKUP(D7,onshore!$E$5:$E$45,onshore!$B$5:$B$45)</f>
        <v>0</v>
      </c>
      <c r="C7" s="9" t="s">
        <v>19</v>
      </c>
      <c r="D7" t="str">
        <f>VLOOKUP($C7, wind!$B$7:$C$47,2,FALSE)</f>
        <v>IT</v>
      </c>
      <c r="E7">
        <v>1.1000000000000001</v>
      </c>
      <c r="F7">
        <v>1.2</v>
      </c>
      <c r="G7" s="24">
        <f>AVERAGE(TREND($H7:$R7,$H$4:$R$4,G$4), TREND($H7:M7,$H$4:$M$4,G$4)) * E7</f>
        <v>58312.525047618576</v>
      </c>
      <c r="H7" s="24">
        <f t="shared" si="0"/>
        <v>41827.459999999868</v>
      </c>
      <c r="I7" s="13">
        <v>36013</v>
      </c>
      <c r="J7" s="13">
        <v>29789</v>
      </c>
      <c r="K7" s="13">
        <v>24555</v>
      </c>
      <c r="L7" s="13">
        <v>22594</v>
      </c>
      <c r="M7" s="13">
        <v>21650</v>
      </c>
      <c r="N7" s="13">
        <v>20865</v>
      </c>
      <c r="O7" s="13">
        <v>20108</v>
      </c>
      <c r="P7" s="13">
        <v>19682</v>
      </c>
      <c r="Q7" s="13">
        <v>19283</v>
      </c>
      <c r="R7" s="13">
        <v>18901</v>
      </c>
      <c r="S7" s="13">
        <v>18594</v>
      </c>
      <c r="T7" s="13">
        <v>18185</v>
      </c>
      <c r="U7" s="13">
        <v>16361</v>
      </c>
      <c r="V7" s="13">
        <v>12764</v>
      </c>
      <c r="W7" s="13">
        <v>3478</v>
      </c>
      <c r="X7" s="13">
        <v>1157</v>
      </c>
    </row>
    <row r="8" spans="2:24" ht="15.75" thickBot="1">
      <c r="B8" t="str">
        <f>_xlfn.XLOOKUP(D8,onshore!$E$5:$E$45,onshore!$B$5:$B$45)</f>
        <v>NL00</v>
      </c>
      <c r="C8" s="9" t="s">
        <v>20</v>
      </c>
      <c r="D8" t="str">
        <f>VLOOKUP($C8, wind!$B$7:$C$47,2,FALSE)</f>
        <v>NL</v>
      </c>
      <c r="E8">
        <v>0.85</v>
      </c>
      <c r="F8">
        <v>0.9</v>
      </c>
      <c r="G8" s="24">
        <f>AVERAGE(TREND($H8:$R8,$H$4:$R$4,G$4), TREND($H8:M8,$H$4:$M$4,G$4)) * E8</f>
        <v>34180.326948052221</v>
      </c>
      <c r="H8" s="24">
        <f t="shared" si="0"/>
        <v>25132</v>
      </c>
      <c r="I8" s="42">
        <v>24400</v>
      </c>
      <c r="J8" s="42">
        <v>21300</v>
      </c>
      <c r="K8" s="13">
        <v>19600</v>
      </c>
      <c r="L8" s="13">
        <v>14911</v>
      </c>
      <c r="M8" s="13">
        <v>11108</v>
      </c>
      <c r="N8" s="13">
        <v>7226</v>
      </c>
      <c r="O8" s="13">
        <v>4608</v>
      </c>
      <c r="P8" s="13">
        <v>2911</v>
      </c>
      <c r="Q8" s="13">
        <v>2135</v>
      </c>
      <c r="R8" s="13">
        <v>1526</v>
      </c>
      <c r="S8" s="13">
        <v>1007</v>
      </c>
      <c r="T8" s="14">
        <v>650</v>
      </c>
      <c r="U8" s="14">
        <v>321</v>
      </c>
      <c r="V8" s="14">
        <v>118</v>
      </c>
      <c r="W8" s="14">
        <v>97</v>
      </c>
      <c r="X8" s="14">
        <v>68</v>
      </c>
    </row>
    <row r="9" spans="2:24" ht="15.75" thickBot="1">
      <c r="B9" t="str">
        <f>_xlfn.XLOOKUP(D9,onshore!$E$5:$E$45,onshore!$B$5:$B$45)</f>
        <v>FR00</v>
      </c>
      <c r="C9" s="9" t="s">
        <v>16</v>
      </c>
      <c r="D9" t="str">
        <f>VLOOKUP($C9, wind!$B$7:$C$47,2,FALSE)</f>
        <v>FR</v>
      </c>
      <c r="E9">
        <v>1.1000000000000001</v>
      </c>
      <c r="F9">
        <v>1.05</v>
      </c>
      <c r="G9" s="24">
        <f>AVERAGE(TREND($H9:$R9,$H$4:$R$4,G$4), TREND($H9:M9,$H$4:$M$4,G$4)) * E9</f>
        <v>41908.849357142863</v>
      </c>
      <c r="H9" s="24">
        <f t="shared" si="0"/>
        <v>26547.727500000052</v>
      </c>
      <c r="I9" s="42">
        <v>24900</v>
      </c>
      <c r="J9" s="42">
        <v>19900</v>
      </c>
      <c r="K9" s="13">
        <v>17341</v>
      </c>
      <c r="L9" s="13">
        <v>14603</v>
      </c>
      <c r="M9" s="13">
        <v>12056</v>
      </c>
      <c r="N9" s="13">
        <v>11917</v>
      </c>
      <c r="O9" s="13">
        <v>10729</v>
      </c>
      <c r="P9" s="13">
        <v>8610</v>
      </c>
      <c r="Q9" s="13">
        <v>7702</v>
      </c>
      <c r="R9" s="13">
        <v>7138</v>
      </c>
      <c r="S9" s="13">
        <v>6034</v>
      </c>
      <c r="T9" s="13">
        <v>5277</v>
      </c>
      <c r="U9" s="13">
        <v>4027</v>
      </c>
      <c r="V9" s="13">
        <v>2831</v>
      </c>
      <c r="W9" s="13">
        <v>1054</v>
      </c>
      <c r="X9" s="14">
        <v>335</v>
      </c>
    </row>
    <row r="10" spans="2:24" ht="15.75" thickBot="1">
      <c r="B10" t="str">
        <f>_xlfn.XLOOKUP(D10,onshore!$E$5:$E$45,onshore!$B$5:$B$45)</f>
        <v>PL00</v>
      </c>
      <c r="C10" s="9" t="s">
        <v>21</v>
      </c>
      <c r="D10" t="str">
        <f>VLOOKUP($C10, wind!$B$7:$C$47,2,FALSE)</f>
        <v>PL</v>
      </c>
      <c r="E10">
        <v>1</v>
      </c>
      <c r="F10">
        <v>1</v>
      </c>
      <c r="G10" s="24">
        <f>AVERAGE(TREND($H10:$R10,$H$4:$R$4,G$4), TREND($H10:M10,$H$4:$M$4,G$4)) * E10</f>
        <v>37721.880663780961</v>
      </c>
      <c r="H10" s="24">
        <f t="shared" si="0"/>
        <v>22158.26666666707</v>
      </c>
      <c r="I10" s="42">
        <v>20900</v>
      </c>
      <c r="J10" s="42">
        <v>16600</v>
      </c>
      <c r="K10" s="13">
        <v>12170</v>
      </c>
      <c r="L10" s="13">
        <v>7416</v>
      </c>
      <c r="M10" s="13">
        <v>3955</v>
      </c>
      <c r="N10" s="13">
        <v>1539</v>
      </c>
      <c r="O10" s="14">
        <v>562</v>
      </c>
      <c r="P10" s="14">
        <v>287</v>
      </c>
      <c r="Q10" s="14">
        <v>187</v>
      </c>
      <c r="R10" s="14">
        <v>108</v>
      </c>
      <c r="S10" s="14">
        <v>27</v>
      </c>
      <c r="T10" s="14">
        <v>2</v>
      </c>
      <c r="U10" s="14">
        <v>3.4</v>
      </c>
      <c r="V10" s="14">
        <v>1.8</v>
      </c>
      <c r="W10" s="14">
        <v>2</v>
      </c>
      <c r="X10" s="14">
        <v>1</v>
      </c>
    </row>
    <row r="11" spans="2:24" ht="15.75" thickBot="1">
      <c r="B11" t="str">
        <f>_xlfn.XLOOKUP(D11,onshore!$E$5:$E$45,onshore!$B$5:$B$45)</f>
        <v>BE00</v>
      </c>
      <c r="C11" s="9" t="s">
        <v>25</v>
      </c>
      <c r="D11" t="str">
        <f>VLOOKUP($C11, wind!$B$7:$C$47,2,FALSE)</f>
        <v>BE</v>
      </c>
      <c r="E11">
        <v>1</v>
      </c>
      <c r="F11">
        <v>1</v>
      </c>
      <c r="G11" s="24">
        <f>AVERAGE(TREND($H11:$R11,$H$4:$R$4,G$4), TREND($H11:M11,$H$4:$M$4,G$4)) * E11</f>
        <v>13432.222943722969</v>
      </c>
      <c r="H11" s="24">
        <f t="shared" si="0"/>
        <v>9551</v>
      </c>
      <c r="I11" s="42">
        <v>9100</v>
      </c>
      <c r="J11" s="42">
        <v>8300</v>
      </c>
      <c r="K11" s="13">
        <v>6756</v>
      </c>
      <c r="L11" s="13">
        <v>6012</v>
      </c>
      <c r="M11" s="13">
        <v>5573</v>
      </c>
      <c r="N11" s="13">
        <v>4637</v>
      </c>
      <c r="O11" s="13">
        <v>4000</v>
      </c>
      <c r="P11" s="13">
        <v>3621</v>
      </c>
      <c r="Q11" s="13">
        <v>3329</v>
      </c>
      <c r="R11" s="13">
        <v>3132</v>
      </c>
      <c r="S11" s="13">
        <v>3015</v>
      </c>
      <c r="T11" s="13">
        <v>2902</v>
      </c>
      <c r="U11" s="13">
        <v>2649</v>
      </c>
      <c r="V11" s="13">
        <v>1812</v>
      </c>
      <c r="W11" s="14">
        <v>787</v>
      </c>
      <c r="X11" s="14">
        <v>574</v>
      </c>
    </row>
    <row r="12" spans="2:24" ht="15.75" thickBot="1">
      <c r="B12">
        <f>_xlfn.XLOOKUP(D12,onshore!$E$5:$E$45,onshore!$B$5:$B$45)</f>
        <v>0</v>
      </c>
      <c r="C12" s="9" t="s">
        <v>26</v>
      </c>
      <c r="D12" t="str">
        <f>VLOOKUP($C12, wind!$B$7:$C$47,2,FALSE)</f>
        <v>GR</v>
      </c>
      <c r="E12">
        <v>1</v>
      </c>
      <c r="F12">
        <v>1.1499999999999999</v>
      </c>
      <c r="G12" s="24">
        <f>AVERAGE(TREND($H12:$R12,$H$4:$R$4,G$4), TREND($H12:M12,$H$4:$M$4,G$4)) * E12</f>
        <v>15008.578953823773</v>
      </c>
      <c r="H12" s="24">
        <f t="shared" si="0"/>
        <v>10314.484166666434</v>
      </c>
      <c r="I12" s="13">
        <v>9269</v>
      </c>
      <c r="J12" s="42">
        <v>6700</v>
      </c>
      <c r="K12" s="13">
        <v>5430</v>
      </c>
      <c r="L12" s="13">
        <v>4277</v>
      </c>
      <c r="M12" s="13">
        <v>3288</v>
      </c>
      <c r="N12" s="13">
        <v>2834</v>
      </c>
      <c r="O12" s="13">
        <v>2652</v>
      </c>
      <c r="P12" s="13">
        <v>2606</v>
      </c>
      <c r="Q12" s="13">
        <v>2604</v>
      </c>
      <c r="R12" s="13">
        <v>2604</v>
      </c>
      <c r="S12" s="13">
        <v>2596</v>
      </c>
      <c r="T12" s="13">
        <v>2579</v>
      </c>
      <c r="U12" s="13">
        <v>1543</v>
      </c>
      <c r="V12" s="14">
        <v>631</v>
      </c>
      <c r="W12" s="14">
        <v>205</v>
      </c>
      <c r="X12" s="14">
        <v>55</v>
      </c>
    </row>
    <row r="13" spans="2:24" ht="15.75" thickBot="1">
      <c r="B13" t="str">
        <f>_xlfn.XLOOKUP(D13,onshore!$E$5:$E$45,onshore!$B$5:$B$45)</f>
        <v>AT00</v>
      </c>
      <c r="C13" s="9" t="s">
        <v>29</v>
      </c>
      <c r="D13" t="str">
        <f>VLOOKUP($C13, wind!$B$7:$C$47,2,FALSE)</f>
        <v>AT</v>
      </c>
      <c r="E13">
        <v>1</v>
      </c>
      <c r="F13">
        <v>1</v>
      </c>
      <c r="G13" s="24">
        <f>AVERAGE(TREND($H13:$R13,$H$4:$R$4,G$4), TREND($H13:M13,$H$4:$M$4,G$4)) * E13</f>
        <v>14217.524155844119</v>
      </c>
      <c r="H13" s="24">
        <f t="shared" si="0"/>
        <v>8735.43</v>
      </c>
      <c r="I13" s="13">
        <v>8481</v>
      </c>
      <c r="J13" s="42">
        <v>6400</v>
      </c>
      <c r="K13" s="13">
        <v>3792</v>
      </c>
      <c r="L13" s="13">
        <v>2783</v>
      </c>
      <c r="M13" s="13">
        <v>2043</v>
      </c>
      <c r="N13" s="13">
        <v>1702</v>
      </c>
      <c r="O13" s="13">
        <v>1455</v>
      </c>
      <c r="P13" s="13">
        <v>1269</v>
      </c>
      <c r="Q13" s="13">
        <v>1096</v>
      </c>
      <c r="R13" s="14">
        <v>937</v>
      </c>
      <c r="S13" s="14">
        <v>785</v>
      </c>
      <c r="T13" s="14">
        <v>626</v>
      </c>
      <c r="U13" s="14">
        <v>421</v>
      </c>
      <c r="V13" s="14">
        <v>173</v>
      </c>
      <c r="W13" s="14">
        <v>103</v>
      </c>
      <c r="X13" s="14">
        <v>53</v>
      </c>
    </row>
    <row r="14" spans="2:24" ht="15.75" thickBot="1">
      <c r="B14">
        <f>_xlfn.XLOOKUP(D14,onshore!$E$5:$E$45,onshore!$B$5:$B$45)</f>
        <v>0</v>
      </c>
      <c r="C14" s="9" t="s">
        <v>40</v>
      </c>
      <c r="D14" t="str">
        <f>VLOOKUP($C14, wind!$B$7:$C$47,2,FALSE)</f>
        <v>HU</v>
      </c>
      <c r="E14">
        <v>1</v>
      </c>
      <c r="F14">
        <v>1</v>
      </c>
      <c r="G14" s="24">
        <f>AVERAGE(TREND($H14:$R14,$H$4:$R$4,G$4), TREND($H14:M14,$H$4:$M$4,G$4)) * E14</f>
        <v>13155.09662337671</v>
      </c>
      <c r="H14" s="24">
        <f t="shared" si="0"/>
        <v>7929.97</v>
      </c>
      <c r="I14" s="13">
        <v>7699</v>
      </c>
      <c r="J14" s="13">
        <v>5835</v>
      </c>
      <c r="K14" s="13">
        <v>4235</v>
      </c>
      <c r="L14" s="13">
        <v>2968</v>
      </c>
      <c r="M14" s="13">
        <v>2131</v>
      </c>
      <c r="N14" s="13">
        <v>1400</v>
      </c>
      <c r="O14" s="14">
        <v>728</v>
      </c>
      <c r="P14" s="14">
        <v>344</v>
      </c>
      <c r="Q14" s="14">
        <v>235</v>
      </c>
      <c r="R14" s="14">
        <v>172</v>
      </c>
      <c r="S14" s="14">
        <v>89</v>
      </c>
      <c r="T14" s="14">
        <v>35</v>
      </c>
      <c r="U14" s="14">
        <v>3.7</v>
      </c>
      <c r="V14" s="14">
        <v>4.0999999999999996</v>
      </c>
      <c r="W14" s="14">
        <v>2</v>
      </c>
      <c r="X14" s="14">
        <v>0.7</v>
      </c>
    </row>
    <row r="15" spans="2:24" ht="15.75" thickBot="1">
      <c r="B15" t="str">
        <f>_xlfn.XLOOKUP(D15,onshore!$E$5:$E$45,onshore!$B$5:$B$45)</f>
        <v>PT00</v>
      </c>
      <c r="C15" s="9" t="s">
        <v>24</v>
      </c>
      <c r="D15" t="str">
        <f>VLOOKUP($C15, wind!$B$7:$C$47,2,FALSE)</f>
        <v>PT</v>
      </c>
      <c r="E15">
        <v>1</v>
      </c>
      <c r="F15">
        <v>1</v>
      </c>
      <c r="G15" s="24">
        <f>AVERAGE(TREND($H15:$R15,$H$4:$R$4,G$4), TREND($H15:M15,$H$4:$M$4,G$4)) * E15</f>
        <v>9816.9759307359345</v>
      </c>
      <c r="H15" s="24">
        <f t="shared" si="0"/>
        <v>5982.24</v>
      </c>
      <c r="I15" s="13">
        <v>5808</v>
      </c>
      <c r="J15" s="13">
        <v>3876</v>
      </c>
      <c r="K15" s="13">
        <v>2646</v>
      </c>
      <c r="L15" s="13">
        <v>1646</v>
      </c>
      <c r="M15" s="13">
        <v>1100</v>
      </c>
      <c r="N15" s="14">
        <v>901</v>
      </c>
      <c r="O15" s="14">
        <v>667</v>
      </c>
      <c r="P15" s="14">
        <v>579</v>
      </c>
      <c r="Q15" s="14">
        <v>513</v>
      </c>
      <c r="R15" s="14">
        <v>477</v>
      </c>
      <c r="S15" s="14">
        <v>415</v>
      </c>
      <c r="T15" s="14">
        <v>296</v>
      </c>
      <c r="U15" s="14">
        <v>228</v>
      </c>
      <c r="V15" s="14">
        <v>143</v>
      </c>
      <c r="W15" s="14">
        <v>131</v>
      </c>
      <c r="X15" s="14">
        <v>102</v>
      </c>
    </row>
    <row r="16" spans="2:24" ht="15.75" thickBot="1">
      <c r="B16">
        <f>_xlfn.XLOOKUP(D16,onshore!$E$5:$E$45,onshore!$B$5:$B$45)</f>
        <v>0</v>
      </c>
      <c r="C16" s="9" t="s">
        <v>17</v>
      </c>
      <c r="D16" t="str">
        <f>VLOOKUP($C16, wind!$B$7:$C$47,2,FALSE)</f>
        <v>SE</v>
      </c>
      <c r="E16">
        <v>1</v>
      </c>
      <c r="F16">
        <v>1.05</v>
      </c>
      <c r="G16" s="24">
        <f>AVERAGE(TREND($H16:$R16,$H$4:$R$4,G$4), TREND($H16:M16,$H$4:$M$4,G$4)) * E16</f>
        <v>8539.1295670995023</v>
      </c>
      <c r="H16" s="24">
        <f t="shared" si="0"/>
        <v>5161.9049999999143</v>
      </c>
      <c r="I16" s="13">
        <v>4963</v>
      </c>
      <c r="J16" s="13">
        <v>3488</v>
      </c>
      <c r="K16" s="13">
        <v>2388</v>
      </c>
      <c r="L16" s="13">
        <v>1606</v>
      </c>
      <c r="M16" s="13">
        <v>1107</v>
      </c>
      <c r="N16" s="14">
        <v>714</v>
      </c>
      <c r="O16" s="14">
        <v>428</v>
      </c>
      <c r="P16" s="14">
        <v>244</v>
      </c>
      <c r="Q16" s="14">
        <v>153</v>
      </c>
      <c r="R16" s="14">
        <v>104</v>
      </c>
      <c r="S16" s="14">
        <v>60</v>
      </c>
      <c r="T16" s="14">
        <v>43</v>
      </c>
      <c r="U16" s="14">
        <v>23</v>
      </c>
      <c r="V16" s="14">
        <v>18</v>
      </c>
      <c r="W16" s="14">
        <v>10</v>
      </c>
      <c r="X16" s="14">
        <v>9</v>
      </c>
    </row>
    <row r="17" spans="2:24" ht="15.75" thickBot="1">
      <c r="B17">
        <f>_xlfn.XLOOKUP(D17,onshore!$E$5:$E$45,onshore!$B$5:$B$45)</f>
        <v>0</v>
      </c>
      <c r="C17" s="9" t="s">
        <v>30</v>
      </c>
      <c r="D17" t="str">
        <f>VLOOKUP($C17, wind!$B$7:$C$47,2,FALSE)</f>
        <v>RO</v>
      </c>
      <c r="E17">
        <v>1</v>
      </c>
      <c r="F17">
        <v>1</v>
      </c>
      <c r="G17" s="24">
        <f>AVERAGE(TREND($H17:$R17,$H$4:$R$4,G$4), TREND($H17:M17,$H$4:$M$4,G$4)) * E17</f>
        <v>7168.2547186147422</v>
      </c>
      <c r="H17" s="24">
        <f t="shared" si="0"/>
        <v>4828.6400000000003</v>
      </c>
      <c r="I17" s="13">
        <v>4688</v>
      </c>
      <c r="J17" s="42">
        <v>2900</v>
      </c>
      <c r="K17" s="13">
        <v>1809</v>
      </c>
      <c r="L17" s="13">
        <v>1394</v>
      </c>
      <c r="M17" s="13">
        <v>1383</v>
      </c>
      <c r="N17" s="13">
        <v>1398</v>
      </c>
      <c r="O17" s="13">
        <v>1386</v>
      </c>
      <c r="P17" s="13">
        <v>1374</v>
      </c>
      <c r="Q17" s="13">
        <v>1372</v>
      </c>
      <c r="R17" s="13">
        <v>1326</v>
      </c>
      <c r="S17" s="13">
        <v>1293</v>
      </c>
      <c r="T17" s="14">
        <v>761</v>
      </c>
      <c r="U17" s="14">
        <v>49</v>
      </c>
      <c r="V17" s="14">
        <v>2.9</v>
      </c>
      <c r="W17" s="14">
        <v>2</v>
      </c>
      <c r="X17" s="14">
        <v>0.6</v>
      </c>
    </row>
    <row r="18" spans="2:24" ht="15.75" thickBot="1">
      <c r="B18">
        <f>_xlfn.XLOOKUP(D18,onshore!$E$5:$E$45,onshore!$B$5:$B$45)</f>
        <v>0</v>
      </c>
      <c r="C18" s="9" t="s">
        <v>105</v>
      </c>
      <c r="D18" s="18" t="s">
        <v>89</v>
      </c>
      <c r="E18">
        <v>1</v>
      </c>
      <c r="F18">
        <v>1</v>
      </c>
      <c r="G18" s="24">
        <f>AVERAGE(TREND($H18:$R18,$H$4:$R$4,G$4), TREND($H18:M18,$H$4:$M$4,G$4)) * E18</f>
        <v>5494.6109090909013</v>
      </c>
      <c r="H18" s="24">
        <f t="shared" si="0"/>
        <v>4283.7700000000004</v>
      </c>
      <c r="I18" s="13">
        <v>4159</v>
      </c>
      <c r="J18" s="13">
        <v>2499</v>
      </c>
      <c r="K18" s="13">
        <v>2420</v>
      </c>
      <c r="L18" s="13">
        <v>2246</v>
      </c>
      <c r="M18" s="13">
        <v>2172</v>
      </c>
      <c r="N18" s="13">
        <v>2111</v>
      </c>
      <c r="O18" s="13">
        <v>2081</v>
      </c>
      <c r="P18" s="13">
        <v>2075</v>
      </c>
      <c r="Q18" s="13">
        <v>2068</v>
      </c>
      <c r="R18" s="13">
        <v>2075</v>
      </c>
      <c r="S18" s="13">
        <v>2067</v>
      </c>
      <c r="T18" s="13">
        <v>2064</v>
      </c>
      <c r="U18" s="13">
        <v>2022</v>
      </c>
      <c r="V18" s="13">
        <v>1959</v>
      </c>
      <c r="W18" s="13">
        <v>1953</v>
      </c>
      <c r="X18" s="14">
        <v>463</v>
      </c>
    </row>
    <row r="19" spans="2:24" ht="15.75" thickBot="1">
      <c r="B19">
        <f>_xlfn.XLOOKUP(D19,onshore!$E$5:$E$45,onshore!$B$5:$B$45)</f>
        <v>0</v>
      </c>
      <c r="C19" s="9" t="s">
        <v>23</v>
      </c>
      <c r="D19" t="str">
        <f>VLOOKUP($C19, wind!$B$7:$C$47,2,FALSE)</f>
        <v>DK</v>
      </c>
      <c r="E19">
        <v>1.1000000000000001</v>
      </c>
      <c r="F19">
        <v>1</v>
      </c>
      <c r="G19" s="24">
        <f>AVERAGE(TREND($H19:$R19,$H$4:$R$4,G$4), TREND($H19:M19,$H$4:$M$4,G$4)) * E19</f>
        <v>7537.2485714284239</v>
      </c>
      <c r="H19" s="24">
        <f t="shared" si="0"/>
        <v>4335.9499999998952</v>
      </c>
      <c r="I19" s="13">
        <v>3945</v>
      </c>
      <c r="J19" s="13">
        <v>3529</v>
      </c>
      <c r="K19" s="13">
        <v>3070</v>
      </c>
      <c r="L19" s="13">
        <v>1704</v>
      </c>
      <c r="M19" s="13">
        <v>1304</v>
      </c>
      <c r="N19" s="13">
        <v>1080</v>
      </c>
      <c r="O19" s="14">
        <v>998</v>
      </c>
      <c r="P19" s="14">
        <v>906</v>
      </c>
      <c r="Q19" s="14">
        <v>851</v>
      </c>
      <c r="R19" s="14">
        <v>782</v>
      </c>
      <c r="S19" s="14">
        <v>607</v>
      </c>
      <c r="T19" s="14">
        <v>571</v>
      </c>
      <c r="U19" s="14">
        <v>391</v>
      </c>
      <c r="V19" s="14">
        <v>16</v>
      </c>
      <c r="W19" s="14">
        <v>7</v>
      </c>
      <c r="X19" s="14">
        <v>5</v>
      </c>
    </row>
    <row r="20" spans="2:24" ht="15.75" thickBot="1">
      <c r="B20">
        <f>_xlfn.XLOOKUP(D20,onshore!$E$5:$E$45,onshore!$B$5:$B$45)</f>
        <v>0</v>
      </c>
      <c r="C20" s="9" t="s">
        <v>37</v>
      </c>
      <c r="D20" t="str">
        <f>VLOOKUP($C20, wind!$B$7:$C$47,2,FALSE)</f>
        <v>BG</v>
      </c>
      <c r="E20">
        <v>1</v>
      </c>
      <c r="F20">
        <v>1</v>
      </c>
      <c r="G20" s="24">
        <f>AVERAGE(TREND($H20:$R20,$H$4:$R$4,G$4), TREND($H20:M20,$H$4:$M$4,G$4)) * E20</f>
        <v>6245.2075324676116</v>
      </c>
      <c r="H20" s="24">
        <f t="shared" si="0"/>
        <v>4025.2400000000002</v>
      </c>
      <c r="I20" s="13">
        <v>3908</v>
      </c>
      <c r="J20" s="13">
        <v>2937</v>
      </c>
      <c r="K20" s="13">
        <v>1737</v>
      </c>
      <c r="L20" s="13">
        <v>1275</v>
      </c>
      <c r="M20" s="13">
        <v>1100</v>
      </c>
      <c r="N20" s="13">
        <v>1044</v>
      </c>
      <c r="O20" s="13">
        <v>1033</v>
      </c>
      <c r="P20" s="13">
        <v>1031</v>
      </c>
      <c r="Q20" s="13">
        <v>1030</v>
      </c>
      <c r="R20" s="13">
        <v>1028</v>
      </c>
      <c r="S20" s="13">
        <v>1029</v>
      </c>
      <c r="T20" s="13">
        <v>1019</v>
      </c>
      <c r="U20" s="14">
        <v>933</v>
      </c>
      <c r="V20" s="14">
        <v>132</v>
      </c>
      <c r="W20" s="14">
        <v>17</v>
      </c>
      <c r="X20" s="14">
        <v>6</v>
      </c>
    </row>
    <row r="21" spans="2:24" ht="15.75" thickBot="1">
      <c r="B21" t="str">
        <f>_xlfn.XLOOKUP(D21,onshore!$E$5:$E$45,onshore!$B$5:$B$45)</f>
        <v>LT00</v>
      </c>
      <c r="C21" s="9" t="s">
        <v>33</v>
      </c>
      <c r="D21" t="str">
        <f>VLOOKUP($C21, wind!$B$7:$C$47,2,FALSE)</f>
        <v>LT</v>
      </c>
      <c r="E21">
        <v>1</v>
      </c>
      <c r="F21">
        <v>1.3</v>
      </c>
      <c r="G21" s="24">
        <f>AVERAGE(TREND($H21:$R21,$H$4:$R$4,G$4), TREND($H21:M21,$H$4:$M$4,G$4)) * E21</f>
        <v>4242.1940836939611</v>
      </c>
      <c r="H21" s="24">
        <f t="shared" si="0"/>
        <v>2650.9166666665783</v>
      </c>
      <c r="I21" s="42">
        <v>2400</v>
      </c>
      <c r="J21" s="13">
        <v>1165</v>
      </c>
      <c r="K21" s="14">
        <v>572</v>
      </c>
      <c r="L21" s="14">
        <v>255</v>
      </c>
      <c r="M21" s="14">
        <v>164</v>
      </c>
      <c r="N21" s="14">
        <v>103</v>
      </c>
      <c r="O21" s="14">
        <v>82</v>
      </c>
      <c r="P21" s="14">
        <v>74</v>
      </c>
      <c r="Q21" s="14">
        <v>70</v>
      </c>
      <c r="R21" s="14">
        <v>69</v>
      </c>
      <c r="S21" s="14">
        <v>69</v>
      </c>
      <c r="T21" s="14">
        <v>68</v>
      </c>
      <c r="U21" s="14">
        <v>6.1</v>
      </c>
      <c r="V21" s="14">
        <v>0.1</v>
      </c>
      <c r="W21" s="14">
        <v>0.1</v>
      </c>
      <c r="X21" s="14" t="s">
        <v>56</v>
      </c>
    </row>
    <row r="22" spans="2:24" ht="15.75" thickBot="1">
      <c r="B22">
        <f>_xlfn.XLOOKUP(D22,onshore!$E$5:$E$45,onshore!$B$5:$B$45)</f>
        <v>0</v>
      </c>
      <c r="C22" s="9" t="s">
        <v>28</v>
      </c>
      <c r="D22" t="str">
        <f>VLOOKUP($C22, wind!$B$7:$C$47,2,FALSE)</f>
        <v>IE</v>
      </c>
      <c r="E22">
        <v>1</v>
      </c>
      <c r="F22">
        <v>1</v>
      </c>
      <c r="G22" s="24">
        <f>AVERAGE(TREND($H22:$R22,$H$4:$R$4,G$4), TREND($H22:M22,$H$4:$M$4,G$4)) * E22</f>
        <v>2282.1696969697077</v>
      </c>
      <c r="H22" s="24">
        <f t="shared" si="0"/>
        <v>1380.2</v>
      </c>
      <c r="I22" s="13">
        <v>1340</v>
      </c>
      <c r="J22" s="14">
        <v>738</v>
      </c>
      <c r="K22" s="14">
        <v>289</v>
      </c>
      <c r="L22" s="14">
        <v>228</v>
      </c>
      <c r="M22" s="14">
        <v>152</v>
      </c>
      <c r="N22" s="14">
        <v>96</v>
      </c>
      <c r="O22" s="14">
        <v>53</v>
      </c>
      <c r="P22" s="14">
        <v>29</v>
      </c>
      <c r="Q22" s="14">
        <v>11</v>
      </c>
      <c r="R22" s="14">
        <v>5</v>
      </c>
      <c r="S22" s="14">
        <v>3</v>
      </c>
      <c r="T22" s="14">
        <v>1</v>
      </c>
      <c r="U22" s="14">
        <v>0.7</v>
      </c>
      <c r="V22" s="14">
        <v>0.7</v>
      </c>
      <c r="W22" s="14">
        <v>0.6</v>
      </c>
      <c r="X22" s="14">
        <v>0.6</v>
      </c>
    </row>
    <row r="23" spans="2:24" ht="15.75" thickBot="1">
      <c r="B23" t="str">
        <f>_xlfn.XLOOKUP(D23,onshore!$E$5:$E$45,onshore!$B$5:$B$45)</f>
        <v>EE00</v>
      </c>
      <c r="C23" s="9" t="s">
        <v>36</v>
      </c>
      <c r="D23" t="str">
        <f>VLOOKUP($C23, wind!$B$7:$C$47,2,FALSE)</f>
        <v>EE</v>
      </c>
      <c r="E23">
        <v>1</v>
      </c>
      <c r="F23">
        <v>1.2</v>
      </c>
      <c r="G23" s="24">
        <f>AVERAGE(TREND($H23:$R23,$H$4:$R$4,G$4), TREND($H23:M23,$H$4:$M$4,G$4)) * E23</f>
        <v>2225.5745454545249</v>
      </c>
      <c r="H23" s="24">
        <f t="shared" si="0"/>
        <v>1407.6199999999953</v>
      </c>
      <c r="I23" s="42">
        <v>1200</v>
      </c>
      <c r="J23" s="49">
        <v>810</v>
      </c>
      <c r="K23" s="14">
        <v>520</v>
      </c>
      <c r="L23" s="14">
        <v>395</v>
      </c>
      <c r="M23" s="14">
        <v>208</v>
      </c>
      <c r="N23" s="14">
        <v>121</v>
      </c>
      <c r="O23" s="14">
        <v>32</v>
      </c>
      <c r="P23" s="14">
        <v>15</v>
      </c>
      <c r="Q23" s="14">
        <v>10</v>
      </c>
      <c r="R23" s="14">
        <v>7</v>
      </c>
      <c r="S23" s="14">
        <v>3</v>
      </c>
      <c r="T23" s="14">
        <v>2</v>
      </c>
      <c r="U23" s="14">
        <v>0.2</v>
      </c>
      <c r="V23" s="14">
        <v>0.2</v>
      </c>
      <c r="W23" s="14" t="s">
        <v>56</v>
      </c>
      <c r="X23" s="14" t="s">
        <v>56</v>
      </c>
    </row>
    <row r="24" spans="2:24" ht="15.75" thickBot="1">
      <c r="B24">
        <f>_xlfn.XLOOKUP(D24,onshore!$E$5:$E$45,onshore!$B$5:$B$45)</f>
        <v>0</v>
      </c>
      <c r="C24" s="9" t="s">
        <v>53</v>
      </c>
      <c r="D24" t="str">
        <f>VLOOKUP($C24, wind!$B$7:$C$47,2,FALSE)</f>
        <v>SI</v>
      </c>
      <c r="E24">
        <v>1</v>
      </c>
      <c r="F24">
        <v>1</v>
      </c>
      <c r="G24" s="24">
        <f>AVERAGE(TREND($H24:$R24,$H$4:$R$4,G$4), TREND($H24:M24,$H$4:$M$4,G$4)) * E24</f>
        <v>2157.9550649350567</v>
      </c>
      <c r="H24" s="24">
        <f t="shared" si="0"/>
        <v>1348.27</v>
      </c>
      <c r="I24" s="13">
        <v>1309</v>
      </c>
      <c r="J24" s="13">
        <v>1034</v>
      </c>
      <c r="K24" s="14">
        <v>626</v>
      </c>
      <c r="L24" s="14">
        <v>461</v>
      </c>
      <c r="M24" s="14">
        <v>370</v>
      </c>
      <c r="N24" s="14">
        <v>278</v>
      </c>
      <c r="O24" s="14">
        <v>247</v>
      </c>
      <c r="P24" s="14">
        <v>247</v>
      </c>
      <c r="Q24" s="14">
        <v>233</v>
      </c>
      <c r="R24" s="14">
        <v>238</v>
      </c>
      <c r="S24" s="14">
        <v>223</v>
      </c>
      <c r="T24" s="14">
        <v>187</v>
      </c>
      <c r="U24" s="14">
        <v>217</v>
      </c>
      <c r="V24" s="14">
        <v>90</v>
      </c>
      <c r="W24" s="14">
        <v>36</v>
      </c>
      <c r="X24" s="14">
        <v>9</v>
      </c>
    </row>
    <row r="25" spans="2:24" ht="15.75" thickBot="1">
      <c r="B25" t="str">
        <f>_xlfn.XLOOKUP(D25,onshore!$E$5:$E$45,onshore!$B$5:$B$45)</f>
        <v>FI00</v>
      </c>
      <c r="C25" s="9" t="s">
        <v>22</v>
      </c>
      <c r="D25" t="str">
        <f>VLOOKUP($C25, wind!$B$7:$C$47,2,FALSE)</f>
        <v>FI</v>
      </c>
      <c r="E25">
        <v>1</v>
      </c>
      <c r="F25">
        <v>1.05</v>
      </c>
      <c r="G25" s="24">
        <f>AVERAGE(TREND($H25:$R25,$H$4:$R$4,G$4), TREND($H25:M25,$H$4:$M$4,G$4)) * E25</f>
        <v>2108.5713636363507</v>
      </c>
      <c r="H25" s="24">
        <f t="shared" si="0"/>
        <v>1292.4975000000122</v>
      </c>
      <c r="I25" s="13">
        <v>1203</v>
      </c>
      <c r="J25" s="14">
        <v>900</v>
      </c>
      <c r="K25" s="14">
        <v>664</v>
      </c>
      <c r="L25" s="14">
        <v>425</v>
      </c>
      <c r="M25" s="14">
        <v>318</v>
      </c>
      <c r="N25" s="14">
        <v>222</v>
      </c>
      <c r="O25" s="14">
        <v>140</v>
      </c>
      <c r="P25" s="14">
        <v>82</v>
      </c>
      <c r="Q25" s="14">
        <v>39</v>
      </c>
      <c r="R25" s="14">
        <v>17</v>
      </c>
      <c r="S25" s="14">
        <v>11</v>
      </c>
      <c r="T25" s="14">
        <v>11</v>
      </c>
      <c r="U25" s="14">
        <v>11</v>
      </c>
      <c r="V25" s="14">
        <v>11</v>
      </c>
      <c r="W25" s="14">
        <v>10</v>
      </c>
      <c r="X25" s="14">
        <v>8</v>
      </c>
    </row>
    <row r="26" spans="2:24" ht="15.75" thickBot="1">
      <c r="B26">
        <f>_xlfn.XLOOKUP(D26,onshore!$E$5:$E$45,onshore!$B$5:$B$45)</f>
        <v>0</v>
      </c>
      <c r="C26" s="9" t="s">
        <v>50</v>
      </c>
      <c r="D26" t="str">
        <f>VLOOKUP($C26, wind!$B$7:$C$47,2,FALSE)</f>
        <v>SK</v>
      </c>
      <c r="E26">
        <v>1</v>
      </c>
      <c r="F26">
        <v>1</v>
      </c>
      <c r="G26" s="24">
        <f>AVERAGE(TREND($H26:$R26,$H$4:$R$4,G$4), TREND($H26:M26,$H$4:$M$4,G$4)) * E26</f>
        <v>1105.2578354978323</v>
      </c>
      <c r="H26" s="24">
        <f t="shared" si="0"/>
        <v>893.01</v>
      </c>
      <c r="I26" s="14">
        <v>867</v>
      </c>
      <c r="J26" s="14">
        <v>631</v>
      </c>
      <c r="K26" s="14">
        <v>549</v>
      </c>
      <c r="L26" s="14">
        <v>537</v>
      </c>
      <c r="M26" s="14">
        <v>535</v>
      </c>
      <c r="N26" s="14">
        <v>490</v>
      </c>
      <c r="O26" s="14">
        <v>472</v>
      </c>
      <c r="P26" s="14">
        <v>528</v>
      </c>
      <c r="Q26" s="14">
        <v>533</v>
      </c>
      <c r="R26" s="14">
        <v>533</v>
      </c>
      <c r="S26" s="14">
        <v>533</v>
      </c>
      <c r="T26" s="14">
        <v>533</v>
      </c>
      <c r="U26" s="14">
        <v>517</v>
      </c>
      <c r="V26" s="14">
        <v>488</v>
      </c>
      <c r="W26" s="14">
        <v>144</v>
      </c>
      <c r="X26" s="14">
        <v>0.2</v>
      </c>
    </row>
    <row r="27" spans="2:24" ht="15.75" thickBot="1">
      <c r="B27">
        <f>_xlfn.XLOOKUP(D27,onshore!$E$5:$E$45,onshore!$B$5:$B$45)</f>
        <v>0</v>
      </c>
      <c r="C27" s="9" t="s">
        <v>34</v>
      </c>
      <c r="D27" t="str">
        <f>VLOOKUP($C27, wind!$B$7:$C$47,2,FALSE)</f>
        <v>HR</v>
      </c>
      <c r="E27">
        <v>1</v>
      </c>
      <c r="F27">
        <v>1</v>
      </c>
      <c r="G27" s="24">
        <f>AVERAGE(TREND($H27:$R27,$H$4:$R$4,G$4), TREND($H27:M27,$H$4:$M$4,G$4)) * E27</f>
        <v>1440.5229437229427</v>
      </c>
      <c r="H27" s="24">
        <f t="shared" si="0"/>
        <v>885.80000000000007</v>
      </c>
      <c r="I27" s="14">
        <v>860</v>
      </c>
      <c r="J27" s="14">
        <v>461</v>
      </c>
      <c r="K27" s="14">
        <v>222</v>
      </c>
      <c r="L27" s="14">
        <v>138</v>
      </c>
      <c r="M27" s="14">
        <v>109</v>
      </c>
      <c r="N27" s="14">
        <v>85</v>
      </c>
      <c r="O27" s="14">
        <v>68</v>
      </c>
      <c r="P27" s="14">
        <v>60</v>
      </c>
      <c r="Q27" s="14">
        <v>56</v>
      </c>
      <c r="R27" s="14">
        <v>48</v>
      </c>
      <c r="S27" s="14">
        <v>33</v>
      </c>
      <c r="T27" s="14">
        <v>19</v>
      </c>
      <c r="U27" s="14">
        <v>20</v>
      </c>
      <c r="V27" s="14">
        <v>16</v>
      </c>
      <c r="W27" s="14">
        <v>16</v>
      </c>
      <c r="X27" s="14">
        <v>12</v>
      </c>
    </row>
    <row r="28" spans="2:24" ht="15.75" thickBot="1">
      <c r="B28">
        <f>_xlfn.XLOOKUP(D28,onshore!$E$5:$E$45,onshore!$B$5:$B$45)</f>
        <v>0</v>
      </c>
      <c r="C28" s="9" t="s">
        <v>43</v>
      </c>
      <c r="D28" t="str">
        <f>VLOOKUP($C28, wind!$B$7:$C$47,2,FALSE)</f>
        <v>CY</v>
      </c>
      <c r="E28">
        <v>1</v>
      </c>
      <c r="F28">
        <v>1</v>
      </c>
      <c r="G28" s="24">
        <f>AVERAGE(TREND($H28:$R28,$H$4:$R$4,G$4), TREND($H28:M28,$H$4:$M$4,G$4)) * E28</f>
        <v>1227.7906204906321</v>
      </c>
      <c r="H28" s="24">
        <f t="shared" si="0"/>
        <v>759.21666666667443</v>
      </c>
      <c r="I28" s="14">
        <v>724</v>
      </c>
      <c r="J28" s="14">
        <v>606</v>
      </c>
      <c r="K28" s="14">
        <v>424</v>
      </c>
      <c r="L28" s="14">
        <v>315</v>
      </c>
      <c r="M28" s="14">
        <v>229</v>
      </c>
      <c r="N28" s="14">
        <v>151</v>
      </c>
      <c r="O28" s="14">
        <v>118</v>
      </c>
      <c r="P28" s="14">
        <v>110</v>
      </c>
      <c r="Q28" s="14">
        <v>84</v>
      </c>
      <c r="R28" s="14">
        <v>76</v>
      </c>
      <c r="S28" s="14">
        <v>64</v>
      </c>
      <c r="T28" s="14">
        <v>35</v>
      </c>
      <c r="U28" s="14">
        <v>17</v>
      </c>
      <c r="V28" s="14">
        <v>10</v>
      </c>
      <c r="W28" s="14">
        <v>6</v>
      </c>
      <c r="X28" s="14">
        <v>3</v>
      </c>
    </row>
    <row r="29" spans="2:24" ht="15.75" thickBot="1">
      <c r="B29">
        <f>_xlfn.XLOOKUP(D29,onshore!$E$5:$E$45,onshore!$B$5:$B$45)</f>
        <v>0</v>
      </c>
      <c r="C29" s="9" t="s">
        <v>42</v>
      </c>
      <c r="D29" t="str">
        <f>VLOOKUP($C29, wind!$B$7:$C$47,2,FALSE)</f>
        <v>LU</v>
      </c>
      <c r="E29">
        <v>1</v>
      </c>
      <c r="F29">
        <v>1</v>
      </c>
      <c r="G29" s="24">
        <f>AVERAGE(TREND($H29:$R29,$H$4:$R$4,G$4), TREND($H29:M29,$H$4:$M$4,G$4)) * E29</f>
        <v>835.27116883116105</v>
      </c>
      <c r="H29" s="24">
        <f t="shared" si="0"/>
        <v>538.69000000000005</v>
      </c>
      <c r="I29" s="14">
        <v>523</v>
      </c>
      <c r="J29" s="14">
        <v>432</v>
      </c>
      <c r="K29" s="14">
        <v>317</v>
      </c>
      <c r="L29" s="14">
        <v>277</v>
      </c>
      <c r="M29" s="14">
        <v>187</v>
      </c>
      <c r="N29" s="14">
        <v>160</v>
      </c>
      <c r="O29" s="14">
        <v>131</v>
      </c>
      <c r="P29" s="14">
        <v>128</v>
      </c>
      <c r="Q29" s="14">
        <v>122</v>
      </c>
      <c r="R29" s="14">
        <v>116</v>
      </c>
      <c r="S29" s="14">
        <v>110</v>
      </c>
      <c r="T29" s="14">
        <v>95</v>
      </c>
      <c r="U29" s="14">
        <v>76</v>
      </c>
      <c r="V29" s="14">
        <v>30</v>
      </c>
      <c r="W29" s="14">
        <v>27</v>
      </c>
      <c r="X29" s="14">
        <v>26</v>
      </c>
    </row>
    <row r="30" spans="2:24" ht="15.75" thickBot="1">
      <c r="B30" t="str">
        <f>_xlfn.XLOOKUP(D30,onshore!$E$5:$E$45,onshore!$B$5:$B$45)</f>
        <v>LV00</v>
      </c>
      <c r="C30" s="9" t="s">
        <v>45</v>
      </c>
      <c r="D30" t="str">
        <f>VLOOKUP($C30, wind!$B$7:$C$47,2,FALSE)</f>
        <v>LV</v>
      </c>
      <c r="E30">
        <v>1</v>
      </c>
      <c r="F30">
        <v>1.3</v>
      </c>
      <c r="G30" s="24">
        <f>AVERAGE(TREND($H30:$R30,$H$4:$R$4,G$4), TREND($H30:M30,$H$4:$M$4,G$4)) * E30</f>
        <v>1189.0259163058945</v>
      </c>
      <c r="H30" s="24">
        <f t="shared" si="0"/>
        <v>721.80333333330998</v>
      </c>
      <c r="I30" s="49">
        <v>660</v>
      </c>
      <c r="J30" s="49">
        <v>320</v>
      </c>
      <c r="K30" s="14">
        <v>113</v>
      </c>
      <c r="L30" s="14">
        <v>7</v>
      </c>
      <c r="M30" s="14">
        <v>5</v>
      </c>
      <c r="N30" s="14">
        <v>3</v>
      </c>
      <c r="O30" s="14">
        <v>2</v>
      </c>
      <c r="P30" s="14">
        <v>1</v>
      </c>
      <c r="Q30" s="14">
        <v>1</v>
      </c>
      <c r="R30" s="14">
        <v>1.5</v>
      </c>
      <c r="S30" s="14">
        <v>1.5</v>
      </c>
      <c r="T30" s="14">
        <v>1.5</v>
      </c>
      <c r="U30" s="14">
        <v>1.5</v>
      </c>
      <c r="V30" s="14">
        <v>1.5</v>
      </c>
      <c r="W30" s="14" t="s">
        <v>56</v>
      </c>
      <c r="X30" s="14" t="s">
        <v>56</v>
      </c>
    </row>
    <row r="31" spans="2:24" ht="15.75" thickBot="1">
      <c r="B31">
        <f>_xlfn.XLOOKUP(D31,onshore!$E$5:$E$45,onshore!$B$5:$B$45)</f>
        <v>0</v>
      </c>
      <c r="C31" s="9" t="s">
        <v>54</v>
      </c>
      <c r="D31" t="str">
        <f>VLOOKUP($C31, wind!$B$7:$C$47,2,FALSE)</f>
        <v>MT</v>
      </c>
      <c r="E31">
        <v>1</v>
      </c>
      <c r="F31">
        <v>1</v>
      </c>
      <c r="G31" s="24">
        <f>AVERAGE(TREND($H31:$R31,$H$4:$R$4,G$4), TREND($H31:M31,$H$4:$M$4,G$4)) * E31</f>
        <v>341.3062049062064</v>
      </c>
      <c r="H31" s="24">
        <f t="shared" si="0"/>
        <v>260.56666666666933</v>
      </c>
      <c r="I31" s="14">
        <v>233</v>
      </c>
      <c r="J31" s="14">
        <v>231</v>
      </c>
      <c r="K31" s="14">
        <v>222</v>
      </c>
      <c r="L31" s="14">
        <v>205</v>
      </c>
      <c r="M31" s="14">
        <v>188</v>
      </c>
      <c r="N31" s="14">
        <v>151</v>
      </c>
      <c r="O31" s="14">
        <v>132</v>
      </c>
      <c r="P31" s="14">
        <v>112</v>
      </c>
      <c r="Q31" s="14">
        <v>94</v>
      </c>
      <c r="R31" s="14">
        <v>75</v>
      </c>
      <c r="S31" s="14">
        <v>55</v>
      </c>
      <c r="T31" s="14">
        <v>29</v>
      </c>
      <c r="U31" s="14">
        <v>18</v>
      </c>
      <c r="V31" s="14">
        <v>11</v>
      </c>
      <c r="W31" s="14">
        <v>2</v>
      </c>
      <c r="X31" s="14">
        <v>2</v>
      </c>
    </row>
    <row r="32" spans="2:24" ht="15.75" thickBot="1">
      <c r="B32" t="str">
        <f>_xlfn.XLOOKUP(D32,onshore!$E$5:$E$45,onshore!$B$5:$B$45)</f>
        <v>UK00</v>
      </c>
      <c r="C32" s="9" t="s">
        <v>58</v>
      </c>
      <c r="D32" s="18" t="s">
        <v>65</v>
      </c>
      <c r="E32">
        <v>1.1000000000000001</v>
      </c>
      <c r="F32">
        <v>1.1499999999999999</v>
      </c>
      <c r="G32" s="24">
        <f>AVERAGE(TREND($H32:$R32,$H$4:$R$4,G$4), TREND($H32:M32,$H$4:$M$4,G$4)) * E32</f>
        <v>27943.296015872878</v>
      </c>
      <c r="H32" s="24">
        <f t="shared" si="0"/>
        <v>21185.721666666701</v>
      </c>
      <c r="I32" s="13">
        <v>17603</v>
      </c>
      <c r="J32" s="13">
        <v>16800</v>
      </c>
      <c r="K32" s="26">
        <f>J32-($J32-$N32)/3</f>
        <v>15608</v>
      </c>
      <c r="L32" s="26">
        <f>K32-($J32-$N32)/3</f>
        <v>14416</v>
      </c>
      <c r="M32" s="26">
        <f>L32-($J32-$N32)/3</f>
        <v>13224</v>
      </c>
      <c r="N32" s="13">
        <v>13224</v>
      </c>
      <c r="O32" s="13">
        <v>13059</v>
      </c>
      <c r="P32" s="13">
        <v>12760</v>
      </c>
      <c r="Q32" s="13">
        <v>11914</v>
      </c>
      <c r="R32" s="13">
        <v>9601</v>
      </c>
      <c r="S32" s="13">
        <v>5528</v>
      </c>
      <c r="T32" s="13">
        <v>2937</v>
      </c>
      <c r="U32" s="13">
        <v>1657</v>
      </c>
      <c r="V32" s="13">
        <v>1014</v>
      </c>
      <c r="W32" s="14">
        <v>75</v>
      </c>
      <c r="X32" s="14">
        <v>30</v>
      </c>
    </row>
    <row r="33" spans="1:24" ht="16.5" thickBot="1">
      <c r="B33" s="92" t="s">
        <v>57</v>
      </c>
      <c r="C33" s="93"/>
      <c r="D33" s="16"/>
      <c r="E33" s="16"/>
      <c r="F33" s="16"/>
      <c r="G33" s="16"/>
      <c r="H33" s="16"/>
      <c r="I33" s="15">
        <v>304.93</v>
      </c>
      <c r="J33" s="15">
        <v>251.73</v>
      </c>
      <c r="K33" s="15">
        <v>203.26</v>
      </c>
      <c r="L33" s="15">
        <v>162.43</v>
      </c>
      <c r="M33" s="15">
        <v>136.24</v>
      </c>
      <c r="N33" s="15">
        <v>131.02000000000001</v>
      </c>
      <c r="O33" s="15">
        <v>114.81</v>
      </c>
      <c r="P33" s="15">
        <v>106.69</v>
      </c>
      <c r="Q33" s="15">
        <v>101.11</v>
      </c>
      <c r="R33" s="15">
        <v>95.02</v>
      </c>
      <c r="S33" s="15">
        <v>86.85</v>
      </c>
      <c r="T33" s="15">
        <v>80.33</v>
      </c>
      <c r="U33" s="15">
        <v>68.64</v>
      </c>
      <c r="V33" s="15">
        <v>51.36</v>
      </c>
      <c r="W33" s="15">
        <v>29.33</v>
      </c>
      <c r="X33" s="15">
        <v>15.86</v>
      </c>
    </row>
    <row r="38" spans="1:24">
      <c r="D38" t="s">
        <v>141</v>
      </c>
    </row>
    <row r="39" spans="1:24">
      <c r="D39" t="s">
        <v>140</v>
      </c>
    </row>
    <row r="40" spans="1:24">
      <c r="G40" s="17">
        <v>2030</v>
      </c>
      <c r="H40" s="17">
        <v>2025</v>
      </c>
      <c r="I40" s="17">
        <v>2024</v>
      </c>
      <c r="J40" s="17">
        <v>2023</v>
      </c>
      <c r="K40" s="17">
        <v>2022</v>
      </c>
      <c r="L40" s="17">
        <v>2021</v>
      </c>
      <c r="M40" s="17">
        <v>2020</v>
      </c>
      <c r="N40" s="17">
        <v>2019</v>
      </c>
      <c r="O40" s="17">
        <v>2018</v>
      </c>
      <c r="P40" s="17">
        <v>2017</v>
      </c>
      <c r="Q40" s="17">
        <v>2016</v>
      </c>
      <c r="R40" s="17">
        <v>2015</v>
      </c>
      <c r="S40" s="17">
        <v>2014</v>
      </c>
      <c r="T40" s="17">
        <v>2013</v>
      </c>
      <c r="U40" s="17">
        <v>2012</v>
      </c>
      <c r="V40" s="17">
        <v>2011</v>
      </c>
      <c r="W40" s="17">
        <v>2010</v>
      </c>
      <c r="X40" s="17">
        <v>2009</v>
      </c>
    </row>
    <row r="41" spans="1:24">
      <c r="B41">
        <f>_xlfn.XLOOKUP(D41,onshore!$E$5:$E$45,onshore!$B$5:$B$45)</f>
        <v>0</v>
      </c>
      <c r="D41" t="s">
        <v>78</v>
      </c>
      <c r="G41" s="24">
        <f>AVERAGE(TREND($I41:$R41,$I$4:$R$4,G$4), TREND($I41:$M41,$I$4:$M$4,G$4))</f>
        <v>1368.2181818181562</v>
      </c>
      <c r="H41" s="24">
        <f>AVERAGE(TREND($I41:$R41,$I$4:$R$4,H$4), TREND($I41:$M41,$I$4:$M$4,H$4))</f>
        <v>781.73333333330811</v>
      </c>
      <c r="I41">
        <f>763-49</f>
        <v>714</v>
      </c>
      <c r="J41">
        <v>670</v>
      </c>
      <c r="K41">
        <v>370</v>
      </c>
      <c r="L41">
        <v>210</v>
      </c>
      <c r="M41">
        <v>160</v>
      </c>
      <c r="N41">
        <v>120</v>
      </c>
      <c r="O41">
        <v>70</v>
      </c>
      <c r="P41">
        <v>40</v>
      </c>
      <c r="Q41">
        <v>30</v>
      </c>
      <c r="R41" s="21">
        <v>20</v>
      </c>
      <c r="S41" s="21">
        <v>10</v>
      </c>
    </row>
    <row r="43" spans="1:24">
      <c r="D43" t="s">
        <v>144</v>
      </c>
    </row>
    <row r="44" spans="1:24">
      <c r="G44" s="17">
        <v>2030</v>
      </c>
      <c r="H44" s="17">
        <v>2025</v>
      </c>
      <c r="I44" s="17">
        <v>2024</v>
      </c>
      <c r="J44" s="17">
        <v>2023</v>
      </c>
      <c r="K44" s="17">
        <v>2022</v>
      </c>
      <c r="L44" s="17">
        <v>2021</v>
      </c>
      <c r="M44" s="17">
        <v>2020</v>
      </c>
      <c r="N44" s="17">
        <v>2019</v>
      </c>
      <c r="O44" s="17">
        <v>2018</v>
      </c>
      <c r="P44" s="17">
        <v>2017</v>
      </c>
      <c r="Q44" s="17">
        <v>2016</v>
      </c>
      <c r="R44" s="17">
        <v>2015</v>
      </c>
      <c r="S44" s="17">
        <v>2014</v>
      </c>
      <c r="T44" s="17">
        <v>2013</v>
      </c>
      <c r="U44" s="17">
        <v>2012</v>
      </c>
      <c r="V44" s="17">
        <v>2011</v>
      </c>
      <c r="W44" s="17">
        <v>2010</v>
      </c>
      <c r="X44" s="17">
        <v>2009</v>
      </c>
    </row>
    <row r="45" spans="1:24">
      <c r="B45" t="str">
        <f>_xlfn.XLOOKUP(D45,onshore!$E$5:$E$45,onshore!$B$5:$B$45)</f>
        <v>CH00</v>
      </c>
      <c r="D45" t="s">
        <v>97</v>
      </c>
      <c r="G45" s="24">
        <f>AVERAGE(TREND($I45:$R45,$I$4:$R$4,G$4), TREND($I45:$M45,$I$4:$M$4,G$4))</f>
        <v>13189.245454545482</v>
      </c>
      <c r="H45" s="24">
        <f>AVERAGE(TREND($I45:$R45,$I$4:$R$4,H$4), TREND($I45:$M45,$I$4:$M$4,H$4))</f>
        <v>8209.1999999999534</v>
      </c>
      <c r="I45">
        <v>8150</v>
      </c>
      <c r="J45">
        <v>6379</v>
      </c>
      <c r="K45">
        <v>4738</v>
      </c>
      <c r="L45">
        <v>3655</v>
      </c>
      <c r="M45">
        <v>2973</v>
      </c>
      <c r="N45">
        <v>2498</v>
      </c>
      <c r="O45">
        <v>2171</v>
      </c>
      <c r="P45">
        <v>1906</v>
      </c>
      <c r="Q45">
        <v>1664</v>
      </c>
      <c r="R45">
        <v>1394</v>
      </c>
      <c r="S45">
        <v>1076</v>
      </c>
      <c r="T45">
        <v>756</v>
      </c>
      <c r="U45">
        <v>437</v>
      </c>
      <c r="V45">
        <v>211</v>
      </c>
      <c r="W45">
        <v>110</v>
      </c>
      <c r="X45">
        <v>74</v>
      </c>
    </row>
    <row r="48" spans="1:24">
      <c r="A48" t="str">
        <f t="shared" ref="A48:A56" si="1">LEFT(B48,2)</f>
        <v>DK</v>
      </c>
      <c r="B48" t="s">
        <v>118</v>
      </c>
      <c r="C48" t="s">
        <v>112</v>
      </c>
      <c r="D48">
        <f>SUMIFS('VRE-NT2030'!$E:$E,'VRE-NT2030'!$B:$B,$B48,  'VRE-NT2030'!$C:$C,$C48)</f>
        <v>634.6</v>
      </c>
      <c r="E48">
        <f t="shared" ref="E48:E56" si="2">D48/SUMIFS($D$48:$D$56,$A$48:$A$56,$A48,    $C$48:$C$56,$C48)</f>
        <v>0.27529064723234431</v>
      </c>
      <c r="G48" s="22">
        <f t="shared" ref="G48:P56" si="3">SUMIFS(G$5:G$45,$D$5:$D$45,$A48)*$E48</f>
        <v>2074.9340375795932</v>
      </c>
      <c r="H48" s="22">
        <f t="shared" si="3"/>
        <v>1193.6464818670545</v>
      </c>
      <c r="I48" s="22">
        <f t="shared" si="3"/>
        <v>1086.0216033315983</v>
      </c>
      <c r="J48" s="22">
        <f t="shared" si="3"/>
        <v>971.50069408294303</v>
      </c>
      <c r="K48" s="22">
        <f t="shared" si="3"/>
        <v>845.14228700329704</v>
      </c>
      <c r="L48" s="22">
        <f t="shared" si="3"/>
        <v>469.0952628839147</v>
      </c>
      <c r="M48" s="22">
        <f t="shared" si="3"/>
        <v>358.97900399097699</v>
      </c>
      <c r="N48" s="22">
        <f t="shared" si="3"/>
        <v>297.31389901093183</v>
      </c>
      <c r="O48" s="22">
        <f t="shared" si="3"/>
        <v>274.74006593787965</v>
      </c>
      <c r="P48" s="22">
        <f t="shared" si="3"/>
        <v>249.41332639250393</v>
      </c>
      <c r="Q48" s="22">
        <f t="shared" ref="Q48:X56" si="4">SUMIFS(Q$5:Q$45,$D$5:$D$45,$A48)*$E48</f>
        <v>234.27234079472501</v>
      </c>
      <c r="R48" s="22">
        <f t="shared" si="4"/>
        <v>215.27728613569326</v>
      </c>
      <c r="S48" s="22">
        <f t="shared" si="4"/>
        <v>167.10142287003299</v>
      </c>
      <c r="T48" s="22">
        <f t="shared" si="4"/>
        <v>157.19095956966859</v>
      </c>
      <c r="U48" s="22">
        <f t="shared" si="4"/>
        <v>107.63864306784663</v>
      </c>
      <c r="V48" s="22">
        <f t="shared" si="4"/>
        <v>4.404650355717509</v>
      </c>
      <c r="W48" s="22">
        <f t="shared" si="4"/>
        <v>1.9270345306264103</v>
      </c>
      <c r="X48" s="22">
        <f t="shared" si="4"/>
        <v>1.3764532361617214</v>
      </c>
    </row>
    <row r="49" spans="1:24">
      <c r="A49" t="str">
        <f t="shared" si="1"/>
        <v>DK</v>
      </c>
      <c r="B49" t="s">
        <v>119</v>
      </c>
      <c r="C49" t="s">
        <v>112</v>
      </c>
      <c r="D49">
        <f>SUMIFS('VRE-NT2030'!$E:$E,'VRE-NT2030'!$B:$B,$B49,  'VRE-NT2030'!$C:$C,$C49)</f>
        <v>1670.6</v>
      </c>
      <c r="E49">
        <f t="shared" si="2"/>
        <v>0.7247093527676558</v>
      </c>
      <c r="G49" s="22">
        <f t="shared" si="3"/>
        <v>5462.3145338488312</v>
      </c>
      <c r="H49" s="22">
        <f t="shared" si="3"/>
        <v>3142.3035181328414</v>
      </c>
      <c r="I49" s="22">
        <f t="shared" si="3"/>
        <v>2858.9783966684022</v>
      </c>
      <c r="J49" s="22">
        <f t="shared" si="3"/>
        <v>2557.4993059170574</v>
      </c>
      <c r="K49" s="22">
        <f t="shared" si="3"/>
        <v>2224.8577129967034</v>
      </c>
      <c r="L49" s="22">
        <f t="shared" si="3"/>
        <v>1234.9047371160855</v>
      </c>
      <c r="M49" s="22">
        <f t="shared" si="3"/>
        <v>945.02099600902318</v>
      </c>
      <c r="N49" s="22">
        <f t="shared" si="3"/>
        <v>782.68610098906822</v>
      </c>
      <c r="O49" s="22">
        <f t="shared" si="3"/>
        <v>723.25993406212046</v>
      </c>
      <c r="P49" s="22">
        <f t="shared" si="3"/>
        <v>656.58667360749621</v>
      </c>
      <c r="Q49" s="22">
        <f t="shared" si="4"/>
        <v>616.72765920527513</v>
      </c>
      <c r="R49" s="22">
        <f t="shared" si="4"/>
        <v>566.7227138643068</v>
      </c>
      <c r="S49" s="22">
        <f t="shared" si="4"/>
        <v>439.89857712996707</v>
      </c>
      <c r="T49" s="22">
        <f t="shared" si="4"/>
        <v>413.80904043033144</v>
      </c>
      <c r="U49" s="22">
        <f t="shared" si="4"/>
        <v>283.3613569321534</v>
      </c>
      <c r="V49" s="22">
        <f t="shared" si="4"/>
        <v>11.595349644282493</v>
      </c>
      <c r="W49" s="22">
        <f t="shared" si="4"/>
        <v>5.0729654693735906</v>
      </c>
      <c r="X49" s="22">
        <f t="shared" si="4"/>
        <v>3.623546763838279</v>
      </c>
    </row>
    <row r="50" spans="1:24">
      <c r="A50" t="str">
        <f t="shared" si="1"/>
        <v>NO</v>
      </c>
      <c r="B50" t="s">
        <v>127</v>
      </c>
      <c r="C50" t="s">
        <v>112</v>
      </c>
      <c r="D50">
        <f>SUMIFS('VRE-NT2030'!$E:$E,'VRE-NT2030'!$B:$B,$B50,  'VRE-NT2030'!$C:$C,$C50)</f>
        <v>38</v>
      </c>
      <c r="E50">
        <f t="shared" si="2"/>
        <v>0.23456790123456789</v>
      </c>
      <c r="G50" s="22">
        <f t="shared" si="3"/>
        <v>320.94006734006132</v>
      </c>
      <c r="H50" s="22">
        <f t="shared" si="3"/>
        <v>183.36954732509696</v>
      </c>
      <c r="I50" s="22">
        <f t="shared" si="3"/>
        <v>167.48148148148147</v>
      </c>
      <c r="J50" s="22">
        <f t="shared" si="3"/>
        <v>157.16049382716048</v>
      </c>
      <c r="K50" s="22">
        <f t="shared" si="3"/>
        <v>86.790123456790113</v>
      </c>
      <c r="L50" s="22">
        <f t="shared" si="3"/>
        <v>49.25925925925926</v>
      </c>
      <c r="M50" s="22">
        <f t="shared" si="3"/>
        <v>37.53086419753086</v>
      </c>
      <c r="N50" s="22">
        <f t="shared" si="3"/>
        <v>28.148148148148145</v>
      </c>
      <c r="O50" s="22">
        <f t="shared" si="3"/>
        <v>16.419753086419753</v>
      </c>
      <c r="P50" s="22">
        <f t="shared" si="3"/>
        <v>9.3827160493827151</v>
      </c>
      <c r="Q50" s="22">
        <f t="shared" si="4"/>
        <v>7.0370370370370363</v>
      </c>
      <c r="R50" s="22">
        <f t="shared" si="4"/>
        <v>4.6913580246913575</v>
      </c>
      <c r="S50" s="22">
        <f t="shared" si="4"/>
        <v>2.3456790123456788</v>
      </c>
      <c r="T50" s="22">
        <f t="shared" si="4"/>
        <v>0</v>
      </c>
      <c r="U50" s="22">
        <f t="shared" si="4"/>
        <v>0</v>
      </c>
      <c r="V50" s="22">
        <f t="shared" si="4"/>
        <v>0</v>
      </c>
      <c r="W50" s="22">
        <f t="shared" si="4"/>
        <v>0</v>
      </c>
      <c r="X50" s="22">
        <f t="shared" si="4"/>
        <v>0</v>
      </c>
    </row>
    <row r="51" spans="1:24">
      <c r="A51" t="str">
        <f t="shared" si="1"/>
        <v>NO</v>
      </c>
      <c r="B51" t="s">
        <v>128</v>
      </c>
      <c r="C51" t="s">
        <v>112</v>
      </c>
      <c r="D51" s="40">
        <v>10</v>
      </c>
      <c r="E51">
        <f t="shared" si="2"/>
        <v>6.1728395061728392E-2</v>
      </c>
      <c r="G51" s="22">
        <f t="shared" si="3"/>
        <v>84.457912457910865</v>
      </c>
      <c r="H51" s="22">
        <f t="shared" si="3"/>
        <v>48.255144032920249</v>
      </c>
      <c r="I51" s="22">
        <f t="shared" si="3"/>
        <v>44.074074074074069</v>
      </c>
      <c r="J51" s="22">
        <f t="shared" si="3"/>
        <v>41.358024691358025</v>
      </c>
      <c r="K51" s="22">
        <f t="shared" si="3"/>
        <v>22.839506172839506</v>
      </c>
      <c r="L51" s="22">
        <f t="shared" si="3"/>
        <v>12.962962962962962</v>
      </c>
      <c r="M51" s="22">
        <f t="shared" si="3"/>
        <v>9.8765432098765427</v>
      </c>
      <c r="N51" s="22">
        <f t="shared" si="3"/>
        <v>7.4074074074074066</v>
      </c>
      <c r="O51" s="22">
        <f t="shared" si="3"/>
        <v>4.3209876543209873</v>
      </c>
      <c r="P51" s="22">
        <f t="shared" si="3"/>
        <v>2.4691358024691357</v>
      </c>
      <c r="Q51" s="22">
        <f t="shared" si="4"/>
        <v>1.8518518518518516</v>
      </c>
      <c r="R51" s="22">
        <f t="shared" si="4"/>
        <v>1.2345679012345678</v>
      </c>
      <c r="S51" s="22">
        <f t="shared" si="4"/>
        <v>0.61728395061728392</v>
      </c>
      <c r="T51" s="22">
        <f t="shared" si="4"/>
        <v>0</v>
      </c>
      <c r="U51" s="22">
        <f t="shared" si="4"/>
        <v>0</v>
      </c>
      <c r="V51" s="22">
        <f t="shared" si="4"/>
        <v>0</v>
      </c>
      <c r="W51" s="22">
        <f t="shared" si="4"/>
        <v>0</v>
      </c>
      <c r="X51" s="22">
        <f t="shared" si="4"/>
        <v>0</v>
      </c>
    </row>
    <row r="52" spans="1:24">
      <c r="A52" t="str">
        <f t="shared" si="1"/>
        <v>NO</v>
      </c>
      <c r="B52" t="s">
        <v>129</v>
      </c>
      <c r="C52" t="s">
        <v>112</v>
      </c>
      <c r="D52">
        <f>SUMIFS('VRE-NT2030'!$E:$E,'VRE-NT2030'!$B:$B,$B52,  'VRE-NT2030'!$C:$C,$C52)</f>
        <v>114</v>
      </c>
      <c r="E52">
        <f t="shared" si="2"/>
        <v>0.70370370370370372</v>
      </c>
      <c r="G52" s="22">
        <f t="shared" si="3"/>
        <v>962.82020202018396</v>
      </c>
      <c r="H52" s="22">
        <f t="shared" si="3"/>
        <v>550.10864197529088</v>
      </c>
      <c r="I52" s="22">
        <f t="shared" si="3"/>
        <v>502.44444444444446</v>
      </c>
      <c r="J52" s="22">
        <f t="shared" si="3"/>
        <v>471.48148148148147</v>
      </c>
      <c r="K52" s="22">
        <f t="shared" si="3"/>
        <v>260.37037037037038</v>
      </c>
      <c r="L52" s="22">
        <f t="shared" si="3"/>
        <v>147.77777777777777</v>
      </c>
      <c r="M52" s="22">
        <f t="shared" si="3"/>
        <v>112.5925925925926</v>
      </c>
      <c r="N52" s="22">
        <f t="shared" si="3"/>
        <v>84.444444444444443</v>
      </c>
      <c r="O52" s="22">
        <f t="shared" si="3"/>
        <v>49.25925925925926</v>
      </c>
      <c r="P52" s="22">
        <f t="shared" si="3"/>
        <v>28.148148148148149</v>
      </c>
      <c r="Q52" s="22">
        <f t="shared" si="4"/>
        <v>21.111111111111111</v>
      </c>
      <c r="R52" s="22">
        <f t="shared" si="4"/>
        <v>14.074074074074074</v>
      </c>
      <c r="S52" s="22">
        <f t="shared" si="4"/>
        <v>7.0370370370370372</v>
      </c>
      <c r="T52" s="22">
        <f t="shared" si="4"/>
        <v>0</v>
      </c>
      <c r="U52" s="22">
        <f t="shared" si="4"/>
        <v>0</v>
      </c>
      <c r="V52" s="22">
        <f t="shared" si="4"/>
        <v>0</v>
      </c>
      <c r="W52" s="22">
        <f t="shared" si="4"/>
        <v>0</v>
      </c>
      <c r="X52" s="22">
        <f t="shared" si="4"/>
        <v>0</v>
      </c>
    </row>
    <row r="53" spans="1:24">
      <c r="A53" t="str">
        <f t="shared" si="1"/>
        <v>SE</v>
      </c>
      <c r="B53" t="s">
        <v>131</v>
      </c>
      <c r="C53" t="s">
        <v>112</v>
      </c>
      <c r="D53" s="40">
        <v>20</v>
      </c>
      <c r="E53">
        <f t="shared" si="2"/>
        <v>1.252191334835963E-2</v>
      </c>
      <c r="G53" s="22">
        <f t="shared" si="3"/>
        <v>106.92624050963565</v>
      </c>
      <c r="H53" s="22">
        <f t="shared" si="3"/>
        <v>64.636927122463248</v>
      </c>
      <c r="I53" s="22">
        <f t="shared" si="3"/>
        <v>62.146255947908841</v>
      </c>
      <c r="J53" s="22">
        <f t="shared" si="3"/>
        <v>43.676433759078392</v>
      </c>
      <c r="K53" s="22">
        <f t="shared" si="3"/>
        <v>29.902329075882797</v>
      </c>
      <c r="L53" s="22">
        <f t="shared" si="3"/>
        <v>20.110192837465565</v>
      </c>
      <c r="M53" s="22">
        <f t="shared" si="3"/>
        <v>13.861758076634111</v>
      </c>
      <c r="N53" s="22">
        <f t="shared" si="3"/>
        <v>8.9406461307287763</v>
      </c>
      <c r="O53" s="22">
        <f t="shared" si="3"/>
        <v>5.3593789130979221</v>
      </c>
      <c r="P53" s="22">
        <f t="shared" si="3"/>
        <v>3.0553468569997499</v>
      </c>
      <c r="Q53" s="22">
        <f t="shared" si="4"/>
        <v>1.9158527422990235</v>
      </c>
      <c r="R53" s="22">
        <f t="shared" si="4"/>
        <v>1.3022789882294015</v>
      </c>
      <c r="S53" s="22">
        <f t="shared" si="4"/>
        <v>0.75131480090157776</v>
      </c>
      <c r="T53" s="22">
        <f t="shared" si="4"/>
        <v>0.53844227397946409</v>
      </c>
      <c r="U53" s="22">
        <f t="shared" si="4"/>
        <v>0.28800400701227147</v>
      </c>
      <c r="V53" s="22">
        <f t="shared" si="4"/>
        <v>0.22539444027047334</v>
      </c>
      <c r="W53" s="22">
        <f t="shared" si="4"/>
        <v>0.12521913348359631</v>
      </c>
      <c r="X53" s="22">
        <f t="shared" si="4"/>
        <v>0.11269722013523667</v>
      </c>
    </row>
    <row r="54" spans="1:24">
      <c r="A54" t="str">
        <f t="shared" si="1"/>
        <v>SE</v>
      </c>
      <c r="B54" t="s">
        <v>132</v>
      </c>
      <c r="C54" t="s">
        <v>112</v>
      </c>
      <c r="D54">
        <f>SUMIFS('VRE-NT2030'!$E:$E,'VRE-NT2030'!$B:$B,$B54,  'VRE-NT2030'!$C:$C,$C54)</f>
        <v>72.099999999999994</v>
      </c>
      <c r="E54">
        <f t="shared" si="2"/>
        <v>4.5141497620836468E-2</v>
      </c>
      <c r="G54" s="22">
        <f t="shared" si="3"/>
        <v>385.46909703723651</v>
      </c>
      <c r="H54" s="22">
        <f t="shared" si="3"/>
        <v>233.01612227647999</v>
      </c>
      <c r="I54" s="22">
        <f t="shared" si="3"/>
        <v>224.03725269221138</v>
      </c>
      <c r="J54" s="22">
        <f t="shared" si="3"/>
        <v>157.4535437014776</v>
      </c>
      <c r="K54" s="22">
        <f t="shared" si="3"/>
        <v>107.79789631855749</v>
      </c>
      <c r="L54" s="22">
        <f t="shared" si="3"/>
        <v>72.49724517906337</v>
      </c>
      <c r="M54" s="22">
        <f t="shared" si="3"/>
        <v>49.971637866265972</v>
      </c>
      <c r="N54" s="22">
        <f t="shared" si="3"/>
        <v>32.231029301277239</v>
      </c>
      <c r="O54" s="22">
        <f t="shared" si="3"/>
        <v>19.320560981718007</v>
      </c>
      <c r="P54" s="22">
        <f t="shared" si="3"/>
        <v>11.014525419484098</v>
      </c>
      <c r="Q54" s="22">
        <f t="shared" si="4"/>
        <v>6.9066491359879798</v>
      </c>
      <c r="R54" s="22">
        <f t="shared" si="4"/>
        <v>4.6947157525669923</v>
      </c>
      <c r="S54" s="22">
        <f t="shared" si="4"/>
        <v>2.7084898572501883</v>
      </c>
      <c r="T54" s="22">
        <f t="shared" si="4"/>
        <v>1.9410843976959682</v>
      </c>
      <c r="U54" s="22">
        <f t="shared" si="4"/>
        <v>1.0382544452792388</v>
      </c>
      <c r="V54" s="22">
        <f t="shared" si="4"/>
        <v>0.81254695717505643</v>
      </c>
      <c r="W54" s="22">
        <f t="shared" si="4"/>
        <v>0.45141497620836468</v>
      </c>
      <c r="X54" s="22">
        <f t="shared" si="4"/>
        <v>0.40627347858752821</v>
      </c>
    </row>
    <row r="55" spans="1:24">
      <c r="A55" t="str">
        <f t="shared" si="1"/>
        <v>SE</v>
      </c>
      <c r="B55" t="s">
        <v>133</v>
      </c>
      <c r="C55" t="s">
        <v>112</v>
      </c>
      <c r="D55">
        <f>SUMIFS('VRE-NT2030'!$E:$E,'VRE-NT2030'!$B:$B,$B55,  'VRE-NT2030'!$C:$C,$C55)</f>
        <v>1048</v>
      </c>
      <c r="E55">
        <f t="shared" si="2"/>
        <v>0.65614825945404465</v>
      </c>
      <c r="G55" s="22">
        <f t="shared" si="3"/>
        <v>5602.9350027049086</v>
      </c>
      <c r="H55" s="22">
        <f t="shared" si="3"/>
        <v>3386.9749812170739</v>
      </c>
      <c r="I55" s="22">
        <f t="shared" si="3"/>
        <v>3256.4638116704236</v>
      </c>
      <c r="J55" s="22">
        <f t="shared" si="3"/>
        <v>2288.6451289757078</v>
      </c>
      <c r="K55" s="22">
        <f t="shared" si="3"/>
        <v>1566.8820435762586</v>
      </c>
      <c r="L55" s="22">
        <f t="shared" si="3"/>
        <v>1053.7741046831957</v>
      </c>
      <c r="M55" s="22">
        <f t="shared" si="3"/>
        <v>726.35612321562746</v>
      </c>
      <c r="N55" s="22">
        <f t="shared" si="3"/>
        <v>468.48985725018787</v>
      </c>
      <c r="O55" s="22">
        <f t="shared" si="3"/>
        <v>280.83145504633109</v>
      </c>
      <c r="P55" s="22">
        <f t="shared" si="3"/>
        <v>160.10017530678689</v>
      </c>
      <c r="Q55" s="22">
        <f t="shared" si="4"/>
        <v>100.39068369646883</v>
      </c>
      <c r="R55" s="22">
        <f t="shared" si="4"/>
        <v>68.239418983220645</v>
      </c>
      <c r="S55" s="22">
        <f t="shared" si="4"/>
        <v>39.368895567242681</v>
      </c>
      <c r="T55" s="22">
        <f t="shared" si="4"/>
        <v>28.214375156523921</v>
      </c>
      <c r="U55" s="22">
        <f t="shared" si="4"/>
        <v>15.091409967443028</v>
      </c>
      <c r="V55" s="22">
        <f t="shared" si="4"/>
        <v>11.810668670172804</v>
      </c>
      <c r="W55" s="22">
        <f t="shared" si="4"/>
        <v>6.5614825945404469</v>
      </c>
      <c r="X55" s="22">
        <f t="shared" si="4"/>
        <v>5.905334335086402</v>
      </c>
    </row>
    <row r="56" spans="1:24">
      <c r="A56" t="str">
        <f t="shared" si="1"/>
        <v>SE</v>
      </c>
      <c r="B56" t="s">
        <v>134</v>
      </c>
      <c r="C56" t="s">
        <v>112</v>
      </c>
      <c r="D56">
        <f>SUMIFS('VRE-NT2030'!$E:$E,'VRE-NT2030'!$B:$B,$B56,  'VRE-NT2030'!$C:$C,$C56)</f>
        <v>457.1</v>
      </c>
      <c r="E56">
        <f t="shared" si="2"/>
        <v>0.28618832957675938</v>
      </c>
      <c r="G56" s="22">
        <f t="shared" si="3"/>
        <v>2443.7992268477228</v>
      </c>
      <c r="H56" s="22">
        <f t="shared" si="3"/>
        <v>1477.2769693838975</v>
      </c>
      <c r="I56" s="22">
        <f t="shared" si="3"/>
        <v>1420.3526796894569</v>
      </c>
      <c r="J56" s="22">
        <f t="shared" si="3"/>
        <v>998.22489356373671</v>
      </c>
      <c r="K56" s="22">
        <f t="shared" si="3"/>
        <v>683.41773102930142</v>
      </c>
      <c r="L56" s="22">
        <f t="shared" si="3"/>
        <v>459.61845730027557</v>
      </c>
      <c r="M56" s="22">
        <f t="shared" si="3"/>
        <v>316.81048084147261</v>
      </c>
      <c r="N56" s="22">
        <f t="shared" si="3"/>
        <v>204.33846731780619</v>
      </c>
      <c r="O56" s="22">
        <f t="shared" si="3"/>
        <v>122.48860505885301</v>
      </c>
      <c r="P56" s="22">
        <f t="shared" si="3"/>
        <v>69.829952416729284</v>
      </c>
      <c r="Q56" s="22">
        <f t="shared" si="4"/>
        <v>43.786814425244188</v>
      </c>
      <c r="R56" s="22">
        <f t="shared" si="4"/>
        <v>29.763586275982977</v>
      </c>
      <c r="S56" s="22">
        <f t="shared" si="4"/>
        <v>17.171299774605561</v>
      </c>
      <c r="T56" s="22">
        <f t="shared" si="4"/>
        <v>12.306098171800654</v>
      </c>
      <c r="U56" s="22">
        <f t="shared" si="4"/>
        <v>6.5823315802654658</v>
      </c>
      <c r="V56" s="22">
        <f t="shared" si="4"/>
        <v>5.1513899323816688</v>
      </c>
      <c r="W56" s="22">
        <f t="shared" si="4"/>
        <v>2.8618832957675937</v>
      </c>
      <c r="X56" s="22">
        <f t="shared" si="4"/>
        <v>2.5756949661908344</v>
      </c>
    </row>
  </sheetData>
  <mergeCells count="2">
    <mergeCell ref="B3:X3"/>
    <mergeCell ref="B33:C33"/>
  </mergeCells>
  <hyperlinks>
    <hyperlink ref="B33" r:id="rId1" tooltip="European Union" display="https://en.wikipedia.org/wiki/European_Union" xr:uid="{338D8B91-68A2-4307-99D8-11B5758500DA}"/>
  </hyperlink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FE04E-62E8-4773-B1FA-57A8A4B71E5E}">
  <sheetPr>
    <tabColor theme="5" tint="0.39997558519241921"/>
  </sheetPr>
  <dimension ref="A1:AD74"/>
  <sheetViews>
    <sheetView workbookViewId="0"/>
  </sheetViews>
  <sheetFormatPr defaultRowHeight="15"/>
  <cols>
    <col min="3" max="3" width="13.5703125" bestFit="1" customWidth="1"/>
    <col min="4" max="30" width="7" customWidth="1"/>
  </cols>
  <sheetData>
    <row r="1" spans="1:30">
      <c r="B1" s="17" t="s">
        <v>108</v>
      </c>
      <c r="C1" s="17" t="s">
        <v>109</v>
      </c>
      <c r="D1" s="17">
        <v>2000</v>
      </c>
      <c r="E1" s="17">
        <v>2001</v>
      </c>
      <c r="F1" s="17">
        <v>2002</v>
      </c>
      <c r="G1" s="17">
        <v>2003</v>
      </c>
      <c r="H1" s="17">
        <v>2004</v>
      </c>
      <c r="I1" s="17">
        <v>2005</v>
      </c>
      <c r="J1" s="17">
        <v>2006</v>
      </c>
      <c r="K1" s="17">
        <v>2007</v>
      </c>
      <c r="L1" s="17">
        <v>2008</v>
      </c>
      <c r="M1" s="17">
        <v>2009</v>
      </c>
      <c r="N1" s="17">
        <v>2010</v>
      </c>
      <c r="O1" s="17">
        <v>2011</v>
      </c>
      <c r="P1" s="17">
        <v>2012</v>
      </c>
      <c r="Q1" s="17">
        <v>2013</v>
      </c>
      <c r="R1" s="17">
        <v>2014</v>
      </c>
      <c r="S1" s="17">
        <v>2015</v>
      </c>
      <c r="T1" s="17">
        <v>2016</v>
      </c>
      <c r="U1" s="17">
        <v>2017</v>
      </c>
      <c r="V1" s="17">
        <v>2018</v>
      </c>
      <c r="W1" s="17">
        <v>2019</v>
      </c>
      <c r="X1" s="17">
        <v>2020</v>
      </c>
      <c r="Y1" s="17">
        <v>2021</v>
      </c>
      <c r="Z1" s="17">
        <v>2022</v>
      </c>
      <c r="AA1" s="17">
        <v>2023</v>
      </c>
      <c r="AB1" s="17">
        <v>2024</v>
      </c>
      <c r="AC1" s="17">
        <v>2025</v>
      </c>
      <c r="AD1" s="17">
        <v>2030</v>
      </c>
    </row>
    <row r="2" spans="1:30">
      <c r="A2">
        <f ca="1">IFERROR(MATCH($B2, INDIRECT(CONCATENATE($C2, "!$B:$B")),0), 1)</f>
        <v>13</v>
      </c>
      <c r="B2" t="s">
        <v>111</v>
      </c>
      <c r="C2" t="s">
        <v>112</v>
      </c>
      <c r="D2">
        <f ca="1">SUMIFS( INDIRECT(CONCATENATE($C2,"!", $A2, ":", $A2)),  INDIRECT(CONCATENATE($C2, "!$4:$4")), D$1)</f>
        <v>0</v>
      </c>
      <c r="E2">
        <f t="shared" ref="E2:T17" ca="1" si="0">SUMIFS( INDIRECT(CONCATENATE($C2,"!", $A2, ":", $A2)),  INDIRECT(CONCATENATE($C2, "!$4:$4")), E$1)</f>
        <v>0</v>
      </c>
      <c r="F2">
        <f t="shared" ca="1" si="0"/>
        <v>0</v>
      </c>
      <c r="G2">
        <f t="shared" ca="1" si="0"/>
        <v>0</v>
      </c>
      <c r="H2">
        <f t="shared" ca="1" si="0"/>
        <v>0</v>
      </c>
      <c r="I2">
        <f t="shared" ca="1" si="0"/>
        <v>0</v>
      </c>
      <c r="J2">
        <f t="shared" ca="1" si="0"/>
        <v>0</v>
      </c>
      <c r="K2">
        <f t="shared" ca="1" si="0"/>
        <v>0</v>
      </c>
      <c r="L2">
        <f t="shared" ca="1" si="0"/>
        <v>0</v>
      </c>
      <c r="M2">
        <f t="shared" ca="1" si="0"/>
        <v>53</v>
      </c>
      <c r="N2">
        <f t="shared" ca="1" si="0"/>
        <v>103</v>
      </c>
      <c r="O2">
        <f t="shared" ca="1" si="0"/>
        <v>173</v>
      </c>
      <c r="P2">
        <f t="shared" ca="1" si="0"/>
        <v>421</v>
      </c>
      <c r="Q2">
        <f t="shared" ca="1" si="0"/>
        <v>626</v>
      </c>
      <c r="R2">
        <f t="shared" ca="1" si="0"/>
        <v>785</v>
      </c>
      <c r="S2">
        <f t="shared" ca="1" si="0"/>
        <v>937</v>
      </c>
      <c r="T2">
        <f t="shared" ca="1" si="0"/>
        <v>1096</v>
      </c>
      <c r="U2">
        <f t="shared" ref="U2:AD17" ca="1" si="1">SUMIFS( INDIRECT(CONCATENATE($C2,"!", $A2, ":", $A2)),  INDIRECT(CONCATENATE($C2, "!$4:$4")), U$1)</f>
        <v>1269</v>
      </c>
      <c r="V2">
        <f t="shared" ca="1" si="1"/>
        <v>1455</v>
      </c>
      <c r="W2">
        <f t="shared" ca="1" si="1"/>
        <v>1702</v>
      </c>
      <c r="X2">
        <f t="shared" ca="1" si="1"/>
        <v>2043</v>
      </c>
      <c r="Y2">
        <f t="shared" ca="1" si="1"/>
        <v>2783</v>
      </c>
      <c r="Z2">
        <f t="shared" ca="1" si="1"/>
        <v>3792</v>
      </c>
      <c r="AA2">
        <f t="shared" ca="1" si="1"/>
        <v>6400</v>
      </c>
      <c r="AB2">
        <f t="shared" ca="1" si="1"/>
        <v>8481</v>
      </c>
      <c r="AC2">
        <f t="shared" ca="1" si="1"/>
        <v>8735.43</v>
      </c>
      <c r="AD2">
        <f t="shared" ca="1" si="1"/>
        <v>14217.524155844119</v>
      </c>
    </row>
    <row r="3" spans="1:30">
      <c r="A3">
        <f t="shared" ref="A3:A23" ca="1" si="2">IFERROR(MATCH($B3, INDIRECT(CONCATENATE($C3, "!$B:$B")),0), 1)</f>
        <v>11</v>
      </c>
      <c r="B3" t="s">
        <v>114</v>
      </c>
      <c r="C3" t="s">
        <v>112</v>
      </c>
      <c r="D3">
        <f t="shared" ref="D3:S18" ca="1" si="3">SUMIFS( INDIRECT(CONCATENATE($C3,"!", $A3, ":", $A3)),  INDIRECT(CONCATENATE($C3, "!$4:$4")), D$1)</f>
        <v>0</v>
      </c>
      <c r="E3">
        <f t="shared" ca="1" si="0"/>
        <v>0</v>
      </c>
      <c r="F3">
        <f t="shared" ca="1" si="0"/>
        <v>0</v>
      </c>
      <c r="G3">
        <f t="shared" ca="1" si="0"/>
        <v>0</v>
      </c>
      <c r="H3">
        <f t="shared" ca="1" si="0"/>
        <v>0</v>
      </c>
      <c r="I3">
        <f t="shared" ca="1" si="0"/>
        <v>0</v>
      </c>
      <c r="J3">
        <f t="shared" ca="1" si="0"/>
        <v>0</v>
      </c>
      <c r="K3">
        <f t="shared" ca="1" si="0"/>
        <v>0</v>
      </c>
      <c r="L3">
        <f t="shared" ca="1" si="0"/>
        <v>0</v>
      </c>
      <c r="M3">
        <f t="shared" ca="1" si="0"/>
        <v>574</v>
      </c>
      <c r="N3">
        <f t="shared" ca="1" si="0"/>
        <v>787</v>
      </c>
      <c r="O3">
        <f t="shared" ca="1" si="0"/>
        <v>1812</v>
      </c>
      <c r="P3">
        <f t="shared" ca="1" si="0"/>
        <v>2649</v>
      </c>
      <c r="Q3">
        <f t="shared" ca="1" si="0"/>
        <v>2902</v>
      </c>
      <c r="R3">
        <f t="shared" ca="1" si="0"/>
        <v>3015</v>
      </c>
      <c r="S3">
        <f t="shared" ca="1" si="0"/>
        <v>3132</v>
      </c>
      <c r="T3">
        <f t="shared" ca="1" si="0"/>
        <v>3329</v>
      </c>
      <c r="U3">
        <f t="shared" ca="1" si="1"/>
        <v>3621</v>
      </c>
      <c r="V3">
        <f t="shared" ca="1" si="1"/>
        <v>4000</v>
      </c>
      <c r="W3">
        <f t="shared" ca="1" si="1"/>
        <v>4637</v>
      </c>
      <c r="X3">
        <f t="shared" ca="1" si="1"/>
        <v>5573</v>
      </c>
      <c r="Y3">
        <f t="shared" ca="1" si="1"/>
        <v>6012</v>
      </c>
      <c r="Z3">
        <f t="shared" ca="1" si="1"/>
        <v>6756</v>
      </c>
      <c r="AA3">
        <f t="shared" ca="1" si="1"/>
        <v>8300</v>
      </c>
      <c r="AB3">
        <f t="shared" ca="1" si="1"/>
        <v>9100</v>
      </c>
      <c r="AC3">
        <f t="shared" ca="1" si="1"/>
        <v>9551</v>
      </c>
      <c r="AD3">
        <f t="shared" ca="1" si="1"/>
        <v>13432.222943722969</v>
      </c>
    </row>
    <row r="4" spans="1:30">
      <c r="A4">
        <f t="shared" ca="1" si="2"/>
        <v>45</v>
      </c>
      <c r="B4" t="s">
        <v>116</v>
      </c>
      <c r="C4" t="s">
        <v>112</v>
      </c>
      <c r="D4">
        <f t="shared" ca="1" si="3"/>
        <v>0</v>
      </c>
      <c r="E4">
        <f t="shared" ca="1" si="0"/>
        <v>0</v>
      </c>
      <c r="F4">
        <f t="shared" ca="1" si="0"/>
        <v>0</v>
      </c>
      <c r="G4">
        <f t="shared" ca="1" si="0"/>
        <v>0</v>
      </c>
      <c r="H4">
        <f t="shared" ca="1" si="0"/>
        <v>0</v>
      </c>
      <c r="I4">
        <f t="shared" ca="1" si="0"/>
        <v>0</v>
      </c>
      <c r="J4">
        <f t="shared" ca="1" si="0"/>
        <v>0</v>
      </c>
      <c r="K4">
        <f t="shared" ca="1" si="0"/>
        <v>0</v>
      </c>
      <c r="L4">
        <f t="shared" ca="1" si="0"/>
        <v>0</v>
      </c>
      <c r="M4">
        <f t="shared" ca="1" si="0"/>
        <v>74</v>
      </c>
      <c r="N4">
        <f t="shared" ca="1" si="0"/>
        <v>110</v>
      </c>
      <c r="O4">
        <f t="shared" ca="1" si="0"/>
        <v>211</v>
      </c>
      <c r="P4">
        <f t="shared" ca="1" si="0"/>
        <v>437</v>
      </c>
      <c r="Q4">
        <f t="shared" ca="1" si="0"/>
        <v>756</v>
      </c>
      <c r="R4">
        <f t="shared" ca="1" si="0"/>
        <v>1076</v>
      </c>
      <c r="S4">
        <f t="shared" ca="1" si="0"/>
        <v>1394</v>
      </c>
      <c r="T4">
        <f t="shared" ca="1" si="0"/>
        <v>1664</v>
      </c>
      <c r="U4">
        <f t="shared" ca="1" si="1"/>
        <v>1906</v>
      </c>
      <c r="V4">
        <f t="shared" ca="1" si="1"/>
        <v>2171</v>
      </c>
      <c r="W4">
        <f t="shared" ca="1" si="1"/>
        <v>2498</v>
      </c>
      <c r="X4">
        <f t="shared" ca="1" si="1"/>
        <v>2973</v>
      </c>
      <c r="Y4">
        <f t="shared" ca="1" si="1"/>
        <v>3655</v>
      </c>
      <c r="Z4">
        <f t="shared" ca="1" si="1"/>
        <v>4738</v>
      </c>
      <c r="AA4">
        <f t="shared" ca="1" si="1"/>
        <v>6379</v>
      </c>
      <c r="AB4">
        <f t="shared" ca="1" si="1"/>
        <v>8150</v>
      </c>
      <c r="AC4">
        <f t="shared" ca="1" si="1"/>
        <v>8209.1999999999534</v>
      </c>
      <c r="AD4">
        <f t="shared" ca="1" si="1"/>
        <v>13189.245454545482</v>
      </c>
    </row>
    <row r="5" spans="1:30">
      <c r="A5">
        <f t="shared" ca="1" si="2"/>
        <v>5</v>
      </c>
      <c r="B5" t="s">
        <v>117</v>
      </c>
      <c r="C5" t="s">
        <v>112</v>
      </c>
      <c r="D5">
        <f t="shared" ca="1" si="3"/>
        <v>0</v>
      </c>
      <c r="E5">
        <f t="shared" ca="1" si="0"/>
        <v>0</v>
      </c>
      <c r="F5">
        <f t="shared" ca="1" si="0"/>
        <v>0</v>
      </c>
      <c r="G5">
        <f t="shared" ca="1" si="0"/>
        <v>0</v>
      </c>
      <c r="H5">
        <f t="shared" ca="1" si="0"/>
        <v>0</v>
      </c>
      <c r="I5">
        <f t="shared" ca="1" si="0"/>
        <v>0</v>
      </c>
      <c r="J5">
        <f t="shared" ca="1" si="0"/>
        <v>0</v>
      </c>
      <c r="K5">
        <f t="shared" ca="1" si="0"/>
        <v>0</v>
      </c>
      <c r="L5">
        <f t="shared" ca="1" si="0"/>
        <v>0</v>
      </c>
      <c r="M5">
        <f t="shared" ca="1" si="0"/>
        <v>9959</v>
      </c>
      <c r="N5">
        <f t="shared" ca="1" si="0"/>
        <v>17370</v>
      </c>
      <c r="O5">
        <f t="shared" ca="1" si="0"/>
        <v>24875</v>
      </c>
      <c r="P5">
        <f t="shared" ca="1" si="0"/>
        <v>32698</v>
      </c>
      <c r="Q5">
        <f t="shared" ca="1" si="0"/>
        <v>36708</v>
      </c>
      <c r="R5">
        <f t="shared" ca="1" si="0"/>
        <v>37898</v>
      </c>
      <c r="S5">
        <f t="shared" ca="1" si="0"/>
        <v>39222</v>
      </c>
      <c r="T5">
        <f t="shared" ca="1" si="0"/>
        <v>40677</v>
      </c>
      <c r="U5">
        <f t="shared" ca="1" si="1"/>
        <v>42291</v>
      </c>
      <c r="V5">
        <f t="shared" ca="1" si="1"/>
        <v>45156</v>
      </c>
      <c r="W5">
        <f t="shared" ca="1" si="1"/>
        <v>48912</v>
      </c>
      <c r="X5">
        <f t="shared" ca="1" si="1"/>
        <v>53669</v>
      </c>
      <c r="Y5">
        <f t="shared" ca="1" si="1"/>
        <v>60036</v>
      </c>
      <c r="Z5">
        <f t="shared" ca="1" si="1"/>
        <v>68000</v>
      </c>
      <c r="AA5">
        <f t="shared" ca="1" si="1"/>
        <v>74700</v>
      </c>
      <c r="AB5">
        <f t="shared" ca="1" si="1"/>
        <v>95000</v>
      </c>
      <c r="AC5">
        <f t="shared" ca="1" si="1"/>
        <v>102766.73000000083</v>
      </c>
      <c r="AD5">
        <f t="shared" ca="1" si="1"/>
        <v>151691.13276190675</v>
      </c>
    </row>
    <row r="6" spans="1:30">
      <c r="A6">
        <f t="shared" ca="1" si="2"/>
        <v>48</v>
      </c>
      <c r="B6" t="s">
        <v>118</v>
      </c>
      <c r="C6" t="s">
        <v>112</v>
      </c>
      <c r="D6">
        <f t="shared" ca="1" si="3"/>
        <v>0</v>
      </c>
      <c r="E6">
        <f t="shared" ca="1" si="0"/>
        <v>0</v>
      </c>
      <c r="F6">
        <f t="shared" ca="1" si="0"/>
        <v>0</v>
      </c>
      <c r="G6">
        <f t="shared" ca="1" si="0"/>
        <v>0</v>
      </c>
      <c r="H6">
        <f t="shared" ca="1" si="0"/>
        <v>0</v>
      </c>
      <c r="I6">
        <f t="shared" ca="1" si="0"/>
        <v>0</v>
      </c>
      <c r="J6">
        <f t="shared" ca="1" si="0"/>
        <v>0</v>
      </c>
      <c r="K6">
        <f t="shared" ca="1" si="0"/>
        <v>0</v>
      </c>
      <c r="L6">
        <f t="shared" ca="1" si="0"/>
        <v>0</v>
      </c>
      <c r="M6">
        <f t="shared" ca="1" si="0"/>
        <v>1.3764532361617214</v>
      </c>
      <c r="N6">
        <f t="shared" ca="1" si="0"/>
        <v>1.9270345306264103</v>
      </c>
      <c r="O6">
        <f t="shared" ca="1" si="0"/>
        <v>4.404650355717509</v>
      </c>
      <c r="P6">
        <f t="shared" ca="1" si="0"/>
        <v>107.63864306784663</v>
      </c>
      <c r="Q6">
        <f t="shared" ca="1" si="0"/>
        <v>157.19095956966859</v>
      </c>
      <c r="R6">
        <f t="shared" ca="1" si="0"/>
        <v>167.10142287003299</v>
      </c>
      <c r="S6">
        <f t="shared" ca="1" si="0"/>
        <v>215.27728613569326</v>
      </c>
      <c r="T6">
        <f t="shared" ca="1" si="0"/>
        <v>234.27234079472501</v>
      </c>
      <c r="U6">
        <f t="shared" ca="1" si="1"/>
        <v>249.41332639250393</v>
      </c>
      <c r="V6">
        <f t="shared" ca="1" si="1"/>
        <v>274.74006593787965</v>
      </c>
      <c r="W6">
        <f t="shared" ca="1" si="1"/>
        <v>297.31389901093183</v>
      </c>
      <c r="X6">
        <f t="shared" ca="1" si="1"/>
        <v>358.97900399097699</v>
      </c>
      <c r="Y6">
        <f t="shared" ca="1" si="1"/>
        <v>469.0952628839147</v>
      </c>
      <c r="Z6">
        <f t="shared" ca="1" si="1"/>
        <v>845.14228700329704</v>
      </c>
      <c r="AA6">
        <f t="shared" ca="1" si="1"/>
        <v>971.50069408294303</v>
      </c>
      <c r="AB6">
        <f t="shared" ca="1" si="1"/>
        <v>1086.0216033315983</v>
      </c>
      <c r="AC6">
        <f t="shared" ca="1" si="1"/>
        <v>1193.6464818670545</v>
      </c>
      <c r="AD6">
        <f t="shared" ca="1" si="1"/>
        <v>2074.9340375795932</v>
      </c>
    </row>
    <row r="7" spans="1:30">
      <c r="A7">
        <f t="shared" ca="1" si="2"/>
        <v>49</v>
      </c>
      <c r="B7" t="s">
        <v>119</v>
      </c>
      <c r="C7" t="s">
        <v>112</v>
      </c>
      <c r="D7">
        <f t="shared" ca="1" si="3"/>
        <v>0</v>
      </c>
      <c r="E7">
        <f t="shared" ca="1" si="0"/>
        <v>0</v>
      </c>
      <c r="F7">
        <f t="shared" ca="1" si="0"/>
        <v>0</v>
      </c>
      <c r="G7">
        <f t="shared" ca="1" si="0"/>
        <v>0</v>
      </c>
      <c r="H7">
        <f t="shared" ca="1" si="0"/>
        <v>0</v>
      </c>
      <c r="I7">
        <f t="shared" ca="1" si="0"/>
        <v>0</v>
      </c>
      <c r="J7">
        <f t="shared" ca="1" si="0"/>
        <v>0</v>
      </c>
      <c r="K7">
        <f t="shared" ca="1" si="0"/>
        <v>0</v>
      </c>
      <c r="L7">
        <f t="shared" ca="1" si="0"/>
        <v>0</v>
      </c>
      <c r="M7">
        <f t="shared" ca="1" si="0"/>
        <v>3.623546763838279</v>
      </c>
      <c r="N7">
        <f t="shared" ca="1" si="0"/>
        <v>5.0729654693735906</v>
      </c>
      <c r="O7">
        <f t="shared" ca="1" si="0"/>
        <v>11.595349644282493</v>
      </c>
      <c r="P7">
        <f t="shared" ca="1" si="0"/>
        <v>283.3613569321534</v>
      </c>
      <c r="Q7">
        <f t="shared" ca="1" si="0"/>
        <v>413.80904043033144</v>
      </c>
      <c r="R7">
        <f t="shared" ca="1" si="0"/>
        <v>439.89857712996707</v>
      </c>
      <c r="S7">
        <f t="shared" ca="1" si="0"/>
        <v>566.7227138643068</v>
      </c>
      <c r="T7">
        <f t="shared" ca="1" si="0"/>
        <v>616.72765920527513</v>
      </c>
      <c r="U7">
        <f t="shared" ca="1" si="1"/>
        <v>656.58667360749621</v>
      </c>
      <c r="V7">
        <f t="shared" ca="1" si="1"/>
        <v>723.25993406212046</v>
      </c>
      <c r="W7">
        <f t="shared" ca="1" si="1"/>
        <v>782.68610098906822</v>
      </c>
      <c r="X7">
        <f t="shared" ca="1" si="1"/>
        <v>945.02099600902318</v>
      </c>
      <c r="Y7">
        <f t="shared" ca="1" si="1"/>
        <v>1234.9047371160855</v>
      </c>
      <c r="Z7">
        <f t="shared" ca="1" si="1"/>
        <v>2224.8577129967034</v>
      </c>
      <c r="AA7">
        <f t="shared" ca="1" si="1"/>
        <v>2557.4993059170574</v>
      </c>
      <c r="AB7">
        <f t="shared" ca="1" si="1"/>
        <v>2858.9783966684022</v>
      </c>
      <c r="AC7">
        <f t="shared" ca="1" si="1"/>
        <v>3142.3035181328414</v>
      </c>
      <c r="AD7">
        <f t="shared" ca="1" si="1"/>
        <v>5462.3145338488312</v>
      </c>
    </row>
    <row r="8" spans="1:30">
      <c r="A8">
        <f t="shared" ca="1" si="2"/>
        <v>23</v>
      </c>
      <c r="B8" t="s">
        <v>120</v>
      </c>
      <c r="C8" t="s">
        <v>112</v>
      </c>
      <c r="D8">
        <f t="shared" ca="1" si="3"/>
        <v>0</v>
      </c>
      <c r="E8">
        <f t="shared" ca="1" si="0"/>
        <v>0</v>
      </c>
      <c r="F8">
        <f t="shared" ca="1" si="0"/>
        <v>0</v>
      </c>
      <c r="G8">
        <f t="shared" ca="1" si="0"/>
        <v>0</v>
      </c>
      <c r="H8">
        <f t="shared" ca="1" si="0"/>
        <v>0</v>
      </c>
      <c r="I8">
        <f t="shared" ca="1" si="0"/>
        <v>0</v>
      </c>
      <c r="J8">
        <f t="shared" ca="1" si="0"/>
        <v>0</v>
      </c>
      <c r="K8">
        <f t="shared" ca="1" si="0"/>
        <v>0</v>
      </c>
      <c r="L8">
        <f t="shared" ca="1" si="0"/>
        <v>0</v>
      </c>
      <c r="M8">
        <f t="shared" ca="1" si="0"/>
        <v>0</v>
      </c>
      <c r="N8">
        <f t="shared" ca="1" si="0"/>
        <v>0</v>
      </c>
      <c r="O8">
        <f t="shared" ca="1" si="0"/>
        <v>0.2</v>
      </c>
      <c r="P8">
        <f t="shared" ca="1" si="0"/>
        <v>0.2</v>
      </c>
      <c r="Q8">
        <f t="shared" ca="1" si="0"/>
        <v>2</v>
      </c>
      <c r="R8">
        <f t="shared" ca="1" si="0"/>
        <v>3</v>
      </c>
      <c r="S8">
        <f t="shared" ca="1" si="0"/>
        <v>7</v>
      </c>
      <c r="T8">
        <f t="shared" ca="1" si="0"/>
        <v>10</v>
      </c>
      <c r="U8">
        <f t="shared" ca="1" si="1"/>
        <v>15</v>
      </c>
      <c r="V8">
        <f t="shared" ca="1" si="1"/>
        <v>32</v>
      </c>
      <c r="W8">
        <f t="shared" ca="1" si="1"/>
        <v>121</v>
      </c>
      <c r="X8">
        <f t="shared" ca="1" si="1"/>
        <v>208</v>
      </c>
      <c r="Y8">
        <f t="shared" ca="1" si="1"/>
        <v>395</v>
      </c>
      <c r="Z8">
        <f t="shared" ca="1" si="1"/>
        <v>520</v>
      </c>
      <c r="AA8">
        <f t="shared" ca="1" si="1"/>
        <v>810</v>
      </c>
      <c r="AB8">
        <f t="shared" ca="1" si="1"/>
        <v>1200</v>
      </c>
      <c r="AC8">
        <f t="shared" ca="1" si="1"/>
        <v>1407.6199999999953</v>
      </c>
      <c r="AD8">
        <f t="shared" ca="1" si="1"/>
        <v>2225.5745454545249</v>
      </c>
    </row>
    <row r="9" spans="1:30">
      <c r="A9">
        <f t="shared" ca="1" si="2"/>
        <v>6</v>
      </c>
      <c r="B9" t="s">
        <v>121</v>
      </c>
      <c r="C9" t="s">
        <v>112</v>
      </c>
      <c r="D9">
        <f t="shared" ca="1" si="3"/>
        <v>0</v>
      </c>
      <c r="E9">
        <f t="shared" ca="1" si="0"/>
        <v>0</v>
      </c>
      <c r="F9">
        <f t="shared" ca="1" si="0"/>
        <v>0</v>
      </c>
      <c r="G9">
        <f t="shared" ca="1" si="0"/>
        <v>0</v>
      </c>
      <c r="H9">
        <f t="shared" ca="1" si="0"/>
        <v>0</v>
      </c>
      <c r="I9">
        <f t="shared" ca="1" si="0"/>
        <v>0</v>
      </c>
      <c r="J9">
        <f t="shared" ca="1" si="0"/>
        <v>0</v>
      </c>
      <c r="K9">
        <f t="shared" ca="1" si="0"/>
        <v>0</v>
      </c>
      <c r="L9">
        <f t="shared" ca="1" si="0"/>
        <v>0</v>
      </c>
      <c r="M9">
        <f t="shared" ca="1" si="0"/>
        <v>3438</v>
      </c>
      <c r="N9">
        <f t="shared" ca="1" si="0"/>
        <v>3808</v>
      </c>
      <c r="O9">
        <f t="shared" ca="1" si="0"/>
        <v>4214</v>
      </c>
      <c r="P9">
        <f t="shared" ca="1" si="0"/>
        <v>4516</v>
      </c>
      <c r="Q9">
        <f t="shared" ca="1" si="0"/>
        <v>4690</v>
      </c>
      <c r="R9">
        <f t="shared" ca="1" si="0"/>
        <v>4697</v>
      </c>
      <c r="S9">
        <f t="shared" ca="1" si="0"/>
        <v>4704</v>
      </c>
      <c r="T9">
        <f t="shared" ca="1" si="0"/>
        <v>4713</v>
      </c>
      <c r="U9">
        <f t="shared" ca="1" si="1"/>
        <v>4723</v>
      </c>
      <c r="V9">
        <f t="shared" ca="1" si="1"/>
        <v>4764</v>
      </c>
      <c r="W9">
        <f t="shared" ca="1" si="1"/>
        <v>8807</v>
      </c>
      <c r="X9">
        <f t="shared" ca="1" si="1"/>
        <v>10136</v>
      </c>
      <c r="Y9">
        <f t="shared" ca="1" si="1"/>
        <v>13715</v>
      </c>
      <c r="Z9">
        <f t="shared" ca="1" si="1"/>
        <v>23311</v>
      </c>
      <c r="AA9">
        <f t="shared" ca="1" si="1"/>
        <v>29600</v>
      </c>
      <c r="AB9">
        <f t="shared" ca="1" si="1"/>
        <v>37400</v>
      </c>
      <c r="AC9">
        <f t="shared" ca="1" si="1"/>
        <v>38898.383333333768</v>
      </c>
      <c r="AD9">
        <f t="shared" ca="1" si="1"/>
        <v>63683.231457431801</v>
      </c>
    </row>
    <row r="10" spans="1:30">
      <c r="A10">
        <f t="shared" ca="1" si="2"/>
        <v>25</v>
      </c>
      <c r="B10" t="s">
        <v>122</v>
      </c>
      <c r="C10" t="s">
        <v>112</v>
      </c>
      <c r="D10">
        <f t="shared" ca="1" si="3"/>
        <v>0</v>
      </c>
      <c r="E10">
        <f t="shared" ca="1" si="0"/>
        <v>0</v>
      </c>
      <c r="F10">
        <f t="shared" ca="1" si="0"/>
        <v>0</v>
      </c>
      <c r="G10">
        <f t="shared" ca="1" si="0"/>
        <v>0</v>
      </c>
      <c r="H10">
        <f t="shared" ca="1" si="0"/>
        <v>0</v>
      </c>
      <c r="I10">
        <f t="shared" ca="1" si="0"/>
        <v>0</v>
      </c>
      <c r="J10">
        <f t="shared" ca="1" si="0"/>
        <v>0</v>
      </c>
      <c r="K10">
        <f t="shared" ca="1" si="0"/>
        <v>0</v>
      </c>
      <c r="L10">
        <f t="shared" ca="1" si="0"/>
        <v>0</v>
      </c>
      <c r="M10">
        <f t="shared" ca="1" si="0"/>
        <v>8</v>
      </c>
      <c r="N10">
        <f t="shared" ca="1" si="0"/>
        <v>10</v>
      </c>
      <c r="O10">
        <f t="shared" ca="1" si="0"/>
        <v>11</v>
      </c>
      <c r="P10">
        <f t="shared" ca="1" si="0"/>
        <v>11</v>
      </c>
      <c r="Q10">
        <f t="shared" ca="1" si="0"/>
        <v>11</v>
      </c>
      <c r="R10">
        <f t="shared" ca="1" si="0"/>
        <v>11</v>
      </c>
      <c r="S10">
        <f t="shared" ca="1" si="0"/>
        <v>17</v>
      </c>
      <c r="T10">
        <f t="shared" ca="1" si="0"/>
        <v>39</v>
      </c>
      <c r="U10">
        <f t="shared" ca="1" si="1"/>
        <v>82</v>
      </c>
      <c r="V10">
        <f t="shared" ca="1" si="1"/>
        <v>140</v>
      </c>
      <c r="W10">
        <f t="shared" ca="1" si="1"/>
        <v>222</v>
      </c>
      <c r="X10">
        <f t="shared" ca="1" si="1"/>
        <v>318</v>
      </c>
      <c r="Y10">
        <f t="shared" ca="1" si="1"/>
        <v>425</v>
      </c>
      <c r="Z10">
        <f t="shared" ca="1" si="1"/>
        <v>664</v>
      </c>
      <c r="AA10">
        <f t="shared" ca="1" si="1"/>
        <v>900</v>
      </c>
      <c r="AB10">
        <f t="shared" ca="1" si="1"/>
        <v>1203</v>
      </c>
      <c r="AC10">
        <f t="shared" ca="1" si="1"/>
        <v>1292.4975000000122</v>
      </c>
      <c r="AD10">
        <f t="shared" ca="1" si="1"/>
        <v>2108.5713636363507</v>
      </c>
    </row>
    <row r="11" spans="1:30">
      <c r="A11">
        <f t="shared" ca="1" si="2"/>
        <v>9</v>
      </c>
      <c r="B11" t="s">
        <v>123</v>
      </c>
      <c r="C11" t="s">
        <v>112</v>
      </c>
      <c r="D11">
        <f t="shared" ca="1" si="3"/>
        <v>0</v>
      </c>
      <c r="E11">
        <f t="shared" ca="1" si="0"/>
        <v>0</v>
      </c>
      <c r="F11">
        <f t="shared" ca="1" si="0"/>
        <v>0</v>
      </c>
      <c r="G11">
        <f t="shared" ca="1" si="0"/>
        <v>0</v>
      </c>
      <c r="H11">
        <f t="shared" ca="1" si="0"/>
        <v>0</v>
      </c>
      <c r="I11">
        <f t="shared" ca="1" si="0"/>
        <v>0</v>
      </c>
      <c r="J11">
        <f t="shared" ca="1" si="0"/>
        <v>0</v>
      </c>
      <c r="K11">
        <f t="shared" ca="1" si="0"/>
        <v>0</v>
      </c>
      <c r="L11">
        <f t="shared" ca="1" si="0"/>
        <v>0</v>
      </c>
      <c r="M11">
        <f t="shared" ca="1" si="0"/>
        <v>335</v>
      </c>
      <c r="N11">
        <f t="shared" ca="1" si="0"/>
        <v>1054</v>
      </c>
      <c r="O11">
        <f t="shared" ca="1" si="0"/>
        <v>2831</v>
      </c>
      <c r="P11">
        <f t="shared" ca="1" si="0"/>
        <v>4027</v>
      </c>
      <c r="Q11">
        <f t="shared" ca="1" si="0"/>
        <v>5277</v>
      </c>
      <c r="R11">
        <f t="shared" ca="1" si="0"/>
        <v>6034</v>
      </c>
      <c r="S11">
        <f t="shared" ca="1" si="0"/>
        <v>7138</v>
      </c>
      <c r="T11">
        <f t="shared" ca="1" si="0"/>
        <v>7702</v>
      </c>
      <c r="U11">
        <f t="shared" ca="1" si="1"/>
        <v>8610</v>
      </c>
      <c r="V11">
        <f t="shared" ca="1" si="1"/>
        <v>10729</v>
      </c>
      <c r="W11">
        <f t="shared" ca="1" si="1"/>
        <v>11917</v>
      </c>
      <c r="X11">
        <f t="shared" ca="1" si="1"/>
        <v>12056</v>
      </c>
      <c r="Y11">
        <f t="shared" ca="1" si="1"/>
        <v>14603</v>
      </c>
      <c r="Z11">
        <f t="shared" ca="1" si="1"/>
        <v>17341</v>
      </c>
      <c r="AA11">
        <f t="shared" ca="1" si="1"/>
        <v>19900</v>
      </c>
      <c r="AB11">
        <f t="shared" ca="1" si="1"/>
        <v>24900</v>
      </c>
      <c r="AC11">
        <f t="shared" ca="1" si="1"/>
        <v>26547.727500000052</v>
      </c>
      <c r="AD11">
        <f t="shared" ca="1" si="1"/>
        <v>41908.849357142863</v>
      </c>
    </row>
    <row r="12" spans="1:30">
      <c r="A12">
        <f t="shared" ca="1" si="2"/>
        <v>21</v>
      </c>
      <c r="B12" t="s">
        <v>124</v>
      </c>
      <c r="C12" t="s">
        <v>112</v>
      </c>
      <c r="D12">
        <f t="shared" ca="1" si="3"/>
        <v>0</v>
      </c>
      <c r="E12">
        <f t="shared" ca="1" si="0"/>
        <v>0</v>
      </c>
      <c r="F12">
        <f t="shared" ca="1" si="0"/>
        <v>0</v>
      </c>
      <c r="G12">
        <f t="shared" ca="1" si="0"/>
        <v>0</v>
      </c>
      <c r="H12">
        <f t="shared" ca="1" si="0"/>
        <v>0</v>
      </c>
      <c r="I12">
        <f t="shared" ca="1" si="0"/>
        <v>0</v>
      </c>
      <c r="J12">
        <f t="shared" ca="1" si="0"/>
        <v>0</v>
      </c>
      <c r="K12">
        <f t="shared" ca="1" si="0"/>
        <v>0</v>
      </c>
      <c r="L12">
        <f t="shared" ca="1" si="0"/>
        <v>0</v>
      </c>
      <c r="M12">
        <f t="shared" ca="1" si="0"/>
        <v>0</v>
      </c>
      <c r="N12">
        <f t="shared" ca="1" si="0"/>
        <v>0.1</v>
      </c>
      <c r="O12">
        <f t="shared" ca="1" si="0"/>
        <v>0.1</v>
      </c>
      <c r="P12">
        <f t="shared" ca="1" si="0"/>
        <v>6.1</v>
      </c>
      <c r="Q12">
        <f t="shared" ca="1" si="0"/>
        <v>68</v>
      </c>
      <c r="R12">
        <f t="shared" ca="1" si="0"/>
        <v>69</v>
      </c>
      <c r="S12">
        <f t="shared" ca="1" si="0"/>
        <v>69</v>
      </c>
      <c r="T12">
        <f t="shared" ca="1" si="0"/>
        <v>70</v>
      </c>
      <c r="U12">
        <f t="shared" ca="1" si="1"/>
        <v>74</v>
      </c>
      <c r="V12">
        <f t="shared" ca="1" si="1"/>
        <v>82</v>
      </c>
      <c r="W12">
        <f t="shared" ca="1" si="1"/>
        <v>103</v>
      </c>
      <c r="X12">
        <f t="shared" ca="1" si="1"/>
        <v>164</v>
      </c>
      <c r="Y12">
        <f t="shared" ca="1" si="1"/>
        <v>255</v>
      </c>
      <c r="Z12">
        <f t="shared" ca="1" si="1"/>
        <v>572</v>
      </c>
      <c r="AA12">
        <f t="shared" ca="1" si="1"/>
        <v>1165</v>
      </c>
      <c r="AB12">
        <f t="shared" ca="1" si="1"/>
        <v>2400</v>
      </c>
      <c r="AC12">
        <f t="shared" ca="1" si="1"/>
        <v>2650.9166666665783</v>
      </c>
      <c r="AD12">
        <f t="shared" ca="1" si="1"/>
        <v>4242.1940836939611</v>
      </c>
    </row>
    <row r="13" spans="1:30">
      <c r="A13">
        <f t="shared" ca="1" si="2"/>
        <v>30</v>
      </c>
      <c r="B13" t="s">
        <v>125</v>
      </c>
      <c r="C13" t="s">
        <v>112</v>
      </c>
      <c r="D13">
        <f t="shared" ca="1" si="3"/>
        <v>0</v>
      </c>
      <c r="E13">
        <f t="shared" ca="1" si="0"/>
        <v>0</v>
      </c>
      <c r="F13">
        <f t="shared" ca="1" si="0"/>
        <v>0</v>
      </c>
      <c r="G13">
        <f t="shared" ca="1" si="0"/>
        <v>0</v>
      </c>
      <c r="H13">
        <f t="shared" ca="1" si="0"/>
        <v>0</v>
      </c>
      <c r="I13">
        <f t="shared" ca="1" si="0"/>
        <v>0</v>
      </c>
      <c r="J13">
        <f t="shared" ca="1" si="0"/>
        <v>0</v>
      </c>
      <c r="K13">
        <f t="shared" ca="1" si="0"/>
        <v>0</v>
      </c>
      <c r="L13">
        <f t="shared" ca="1" si="0"/>
        <v>0</v>
      </c>
      <c r="M13">
        <f t="shared" ca="1" si="0"/>
        <v>0</v>
      </c>
      <c r="N13">
        <f t="shared" ca="1" si="0"/>
        <v>0</v>
      </c>
      <c r="O13">
        <f t="shared" ca="1" si="0"/>
        <v>1.5</v>
      </c>
      <c r="P13">
        <f t="shared" ca="1" si="0"/>
        <v>1.5</v>
      </c>
      <c r="Q13">
        <f t="shared" ca="1" si="0"/>
        <v>1.5</v>
      </c>
      <c r="R13">
        <f t="shared" ca="1" si="0"/>
        <v>1.5</v>
      </c>
      <c r="S13">
        <f t="shared" ca="1" si="0"/>
        <v>1.5</v>
      </c>
      <c r="T13">
        <f t="shared" ca="1" si="0"/>
        <v>1</v>
      </c>
      <c r="U13">
        <f t="shared" ca="1" si="1"/>
        <v>1</v>
      </c>
      <c r="V13">
        <f t="shared" ca="1" si="1"/>
        <v>2</v>
      </c>
      <c r="W13">
        <f t="shared" ca="1" si="1"/>
        <v>3</v>
      </c>
      <c r="X13">
        <f t="shared" ca="1" si="1"/>
        <v>5</v>
      </c>
      <c r="Y13">
        <f t="shared" ca="1" si="1"/>
        <v>7</v>
      </c>
      <c r="Z13">
        <f t="shared" ca="1" si="1"/>
        <v>113</v>
      </c>
      <c r="AA13">
        <f t="shared" ca="1" si="1"/>
        <v>320</v>
      </c>
      <c r="AB13">
        <f t="shared" ca="1" si="1"/>
        <v>660</v>
      </c>
      <c r="AC13">
        <f t="shared" ca="1" si="1"/>
        <v>721.80333333330998</v>
      </c>
      <c r="AD13">
        <f t="shared" ca="1" si="1"/>
        <v>1189.0259163058945</v>
      </c>
    </row>
    <row r="14" spans="1:30">
      <c r="A14">
        <f t="shared" ca="1" si="2"/>
        <v>8</v>
      </c>
      <c r="B14" t="s">
        <v>126</v>
      </c>
      <c r="C14" t="s">
        <v>112</v>
      </c>
      <c r="D14">
        <f t="shared" ca="1" si="3"/>
        <v>0</v>
      </c>
      <c r="E14">
        <f t="shared" ca="1" si="0"/>
        <v>0</v>
      </c>
      <c r="F14">
        <f t="shared" ca="1" si="0"/>
        <v>0</v>
      </c>
      <c r="G14">
        <f t="shared" ca="1" si="0"/>
        <v>0</v>
      </c>
      <c r="H14">
        <f t="shared" ca="1" si="0"/>
        <v>0</v>
      </c>
      <c r="I14">
        <f t="shared" ca="1" si="0"/>
        <v>0</v>
      </c>
      <c r="J14">
        <f t="shared" ca="1" si="0"/>
        <v>0</v>
      </c>
      <c r="K14">
        <f t="shared" ca="1" si="0"/>
        <v>0</v>
      </c>
      <c r="L14">
        <f t="shared" ca="1" si="0"/>
        <v>0</v>
      </c>
      <c r="M14">
        <f t="shared" ca="1" si="0"/>
        <v>68</v>
      </c>
      <c r="N14">
        <f t="shared" ca="1" si="0"/>
        <v>97</v>
      </c>
      <c r="O14">
        <f t="shared" ca="1" si="0"/>
        <v>118</v>
      </c>
      <c r="P14">
        <f t="shared" ca="1" si="0"/>
        <v>321</v>
      </c>
      <c r="Q14">
        <f t="shared" ca="1" si="0"/>
        <v>650</v>
      </c>
      <c r="R14">
        <f t="shared" ca="1" si="0"/>
        <v>1007</v>
      </c>
      <c r="S14">
        <f t="shared" ca="1" si="0"/>
        <v>1526</v>
      </c>
      <c r="T14">
        <f t="shared" ca="1" si="0"/>
        <v>2135</v>
      </c>
      <c r="U14">
        <f t="shared" ca="1" si="1"/>
        <v>2911</v>
      </c>
      <c r="V14">
        <f t="shared" ca="1" si="1"/>
        <v>4608</v>
      </c>
      <c r="W14">
        <f t="shared" ca="1" si="1"/>
        <v>7226</v>
      </c>
      <c r="X14">
        <f t="shared" ca="1" si="1"/>
        <v>11108</v>
      </c>
      <c r="Y14">
        <f t="shared" ca="1" si="1"/>
        <v>14911</v>
      </c>
      <c r="Z14">
        <f t="shared" ca="1" si="1"/>
        <v>19600</v>
      </c>
      <c r="AA14">
        <f t="shared" ca="1" si="1"/>
        <v>21300</v>
      </c>
      <c r="AB14">
        <f t="shared" ca="1" si="1"/>
        <v>24400</v>
      </c>
      <c r="AC14">
        <f t="shared" ca="1" si="1"/>
        <v>25132</v>
      </c>
      <c r="AD14">
        <f t="shared" ca="1" si="1"/>
        <v>34180.326948052221</v>
      </c>
    </row>
    <row r="15" spans="1:30">
      <c r="A15">
        <f t="shared" ca="1" si="2"/>
        <v>50</v>
      </c>
      <c r="B15" t="s">
        <v>127</v>
      </c>
      <c r="C15" t="s">
        <v>112</v>
      </c>
      <c r="D15">
        <f t="shared" ca="1" si="3"/>
        <v>0</v>
      </c>
      <c r="E15">
        <f t="shared" ca="1" si="0"/>
        <v>0</v>
      </c>
      <c r="F15">
        <f t="shared" ca="1" si="0"/>
        <v>0</v>
      </c>
      <c r="G15">
        <f t="shared" ca="1" si="0"/>
        <v>0</v>
      </c>
      <c r="H15">
        <f t="shared" ca="1" si="0"/>
        <v>0</v>
      </c>
      <c r="I15">
        <f t="shared" ca="1" si="0"/>
        <v>0</v>
      </c>
      <c r="J15">
        <f t="shared" ca="1" si="0"/>
        <v>0</v>
      </c>
      <c r="K15">
        <f t="shared" ca="1" si="0"/>
        <v>0</v>
      </c>
      <c r="L15">
        <f t="shared" ca="1" si="0"/>
        <v>0</v>
      </c>
      <c r="M15">
        <f t="shared" ca="1" si="0"/>
        <v>0</v>
      </c>
      <c r="N15">
        <f t="shared" ca="1" si="0"/>
        <v>0</v>
      </c>
      <c r="O15">
        <f t="shared" ca="1" si="0"/>
        <v>0</v>
      </c>
      <c r="P15">
        <f t="shared" ca="1" si="0"/>
        <v>0</v>
      </c>
      <c r="Q15">
        <f t="shared" ca="1" si="0"/>
        <v>0</v>
      </c>
      <c r="R15">
        <f t="shared" ca="1" si="0"/>
        <v>2.3456790123456788</v>
      </c>
      <c r="S15">
        <f t="shared" ca="1" si="0"/>
        <v>4.6913580246913575</v>
      </c>
      <c r="T15">
        <f t="shared" ca="1" si="0"/>
        <v>7.0370370370370363</v>
      </c>
      <c r="U15">
        <f t="shared" ca="1" si="1"/>
        <v>9.3827160493827151</v>
      </c>
      <c r="V15">
        <f t="shared" ca="1" si="1"/>
        <v>16.419753086419753</v>
      </c>
      <c r="W15">
        <f t="shared" ca="1" si="1"/>
        <v>28.148148148148145</v>
      </c>
      <c r="X15">
        <f t="shared" ca="1" si="1"/>
        <v>37.53086419753086</v>
      </c>
      <c r="Y15">
        <f t="shared" ca="1" si="1"/>
        <v>49.25925925925926</v>
      </c>
      <c r="Z15">
        <f t="shared" ca="1" si="1"/>
        <v>86.790123456790113</v>
      </c>
      <c r="AA15">
        <f t="shared" ca="1" si="1"/>
        <v>157.16049382716048</v>
      </c>
      <c r="AB15">
        <f t="shared" ca="1" si="1"/>
        <v>167.48148148148147</v>
      </c>
      <c r="AC15">
        <f t="shared" ca="1" si="1"/>
        <v>183.36954732509696</v>
      </c>
      <c r="AD15">
        <f t="shared" ca="1" si="1"/>
        <v>320.94006734006132</v>
      </c>
    </row>
    <row r="16" spans="1:30">
      <c r="A16">
        <f t="shared" ca="1" si="2"/>
        <v>51</v>
      </c>
      <c r="B16" t="s">
        <v>128</v>
      </c>
      <c r="C16" t="s">
        <v>112</v>
      </c>
      <c r="D16">
        <f t="shared" ca="1" si="3"/>
        <v>0</v>
      </c>
      <c r="E16">
        <f t="shared" ca="1" si="0"/>
        <v>0</v>
      </c>
      <c r="F16">
        <f t="shared" ca="1" si="0"/>
        <v>0</v>
      </c>
      <c r="G16">
        <f t="shared" ca="1" si="0"/>
        <v>0</v>
      </c>
      <c r="H16">
        <f t="shared" ca="1" si="0"/>
        <v>0</v>
      </c>
      <c r="I16">
        <f t="shared" ca="1" si="0"/>
        <v>0</v>
      </c>
      <c r="J16">
        <f t="shared" ca="1" si="0"/>
        <v>0</v>
      </c>
      <c r="K16">
        <f t="shared" ca="1" si="0"/>
        <v>0</v>
      </c>
      <c r="L16">
        <f t="shared" ca="1" si="0"/>
        <v>0</v>
      </c>
      <c r="M16">
        <f t="shared" ca="1" si="0"/>
        <v>0</v>
      </c>
      <c r="N16">
        <f t="shared" ca="1" si="0"/>
        <v>0</v>
      </c>
      <c r="O16">
        <f t="shared" ca="1" si="0"/>
        <v>0</v>
      </c>
      <c r="P16">
        <f t="shared" ca="1" si="0"/>
        <v>0</v>
      </c>
      <c r="Q16">
        <f t="shared" ca="1" si="0"/>
        <v>0</v>
      </c>
      <c r="R16">
        <f t="shared" ca="1" si="0"/>
        <v>0.61728395061728392</v>
      </c>
      <c r="S16">
        <f t="shared" ca="1" si="0"/>
        <v>1.2345679012345678</v>
      </c>
      <c r="T16">
        <f t="shared" ca="1" si="0"/>
        <v>1.8518518518518516</v>
      </c>
      <c r="U16">
        <f t="shared" ca="1" si="1"/>
        <v>2.4691358024691357</v>
      </c>
      <c r="V16">
        <f t="shared" ca="1" si="1"/>
        <v>4.3209876543209873</v>
      </c>
      <c r="W16">
        <f t="shared" ca="1" si="1"/>
        <v>7.4074074074074066</v>
      </c>
      <c r="X16">
        <f t="shared" ca="1" si="1"/>
        <v>9.8765432098765427</v>
      </c>
      <c r="Y16">
        <f t="shared" ca="1" si="1"/>
        <v>12.962962962962962</v>
      </c>
      <c r="Z16">
        <f t="shared" ca="1" si="1"/>
        <v>22.839506172839506</v>
      </c>
      <c r="AA16">
        <f t="shared" ca="1" si="1"/>
        <v>41.358024691358025</v>
      </c>
      <c r="AB16">
        <f t="shared" ca="1" si="1"/>
        <v>44.074074074074069</v>
      </c>
      <c r="AC16">
        <f t="shared" ca="1" si="1"/>
        <v>48.255144032920249</v>
      </c>
      <c r="AD16">
        <f t="shared" ca="1" si="1"/>
        <v>84.457912457910865</v>
      </c>
    </row>
    <row r="17" spans="1:30">
      <c r="A17">
        <f t="shared" ca="1" si="2"/>
        <v>52</v>
      </c>
      <c r="B17" t="s">
        <v>129</v>
      </c>
      <c r="C17" t="s">
        <v>112</v>
      </c>
      <c r="D17">
        <f t="shared" ca="1" si="3"/>
        <v>0</v>
      </c>
      <c r="E17">
        <f t="shared" ca="1" si="0"/>
        <v>0</v>
      </c>
      <c r="F17">
        <f t="shared" ca="1" si="0"/>
        <v>0</v>
      </c>
      <c r="G17">
        <f t="shared" ca="1" si="0"/>
        <v>0</v>
      </c>
      <c r="H17">
        <f t="shared" ca="1" si="0"/>
        <v>0</v>
      </c>
      <c r="I17">
        <f t="shared" ca="1" si="0"/>
        <v>0</v>
      </c>
      <c r="J17">
        <f t="shared" ca="1" si="0"/>
        <v>0</v>
      </c>
      <c r="K17">
        <f t="shared" ca="1" si="0"/>
        <v>0</v>
      </c>
      <c r="L17">
        <f t="shared" ca="1" si="0"/>
        <v>0</v>
      </c>
      <c r="M17">
        <f t="shared" ca="1" si="0"/>
        <v>0</v>
      </c>
      <c r="N17">
        <f t="shared" ca="1" si="0"/>
        <v>0</v>
      </c>
      <c r="O17">
        <f t="shared" ca="1" si="0"/>
        <v>0</v>
      </c>
      <c r="P17">
        <f t="shared" ca="1" si="0"/>
        <v>0</v>
      </c>
      <c r="Q17">
        <f t="shared" ca="1" si="0"/>
        <v>0</v>
      </c>
      <c r="R17">
        <f t="shared" ca="1" si="0"/>
        <v>7.0370370370370372</v>
      </c>
      <c r="S17">
        <f t="shared" ca="1" si="0"/>
        <v>14.074074074074074</v>
      </c>
      <c r="T17">
        <f t="shared" ref="T17:AD23" ca="1" si="4">SUMIFS( INDIRECT(CONCATENATE($C17,"!", $A17, ":", $A17)),  INDIRECT(CONCATENATE($C17, "!$4:$4")), T$1)</f>
        <v>21.111111111111111</v>
      </c>
      <c r="U17">
        <f t="shared" ca="1" si="1"/>
        <v>28.148148148148149</v>
      </c>
      <c r="V17">
        <f t="shared" ca="1" si="1"/>
        <v>49.25925925925926</v>
      </c>
      <c r="W17">
        <f t="shared" ca="1" si="1"/>
        <v>84.444444444444443</v>
      </c>
      <c r="X17">
        <f t="shared" ca="1" si="1"/>
        <v>112.5925925925926</v>
      </c>
      <c r="Y17">
        <f t="shared" ca="1" si="1"/>
        <v>147.77777777777777</v>
      </c>
      <c r="Z17">
        <f t="shared" ca="1" si="1"/>
        <v>260.37037037037038</v>
      </c>
      <c r="AA17">
        <f t="shared" ca="1" si="1"/>
        <v>471.48148148148147</v>
      </c>
      <c r="AB17">
        <f t="shared" ca="1" si="1"/>
        <v>502.44444444444446</v>
      </c>
      <c r="AC17">
        <f t="shared" ca="1" si="1"/>
        <v>550.10864197529088</v>
      </c>
      <c r="AD17">
        <f t="shared" ca="1" si="1"/>
        <v>962.82020202018396</v>
      </c>
    </row>
    <row r="18" spans="1:30">
      <c r="A18">
        <f t="shared" ca="1" si="2"/>
        <v>10</v>
      </c>
      <c r="B18" t="s">
        <v>130</v>
      </c>
      <c r="C18" t="s">
        <v>112</v>
      </c>
      <c r="D18">
        <f t="shared" ca="1" si="3"/>
        <v>0</v>
      </c>
      <c r="E18">
        <f t="shared" ca="1" si="3"/>
        <v>0</v>
      </c>
      <c r="F18">
        <f t="shared" ca="1" si="3"/>
        <v>0</v>
      </c>
      <c r="G18">
        <f t="shared" ca="1" si="3"/>
        <v>0</v>
      </c>
      <c r="H18">
        <f t="shared" ca="1" si="3"/>
        <v>0</v>
      </c>
      <c r="I18">
        <f t="shared" ca="1" si="3"/>
        <v>0</v>
      </c>
      <c r="J18">
        <f t="shared" ca="1" si="3"/>
        <v>0</v>
      </c>
      <c r="K18">
        <f t="shared" ca="1" si="3"/>
        <v>0</v>
      </c>
      <c r="L18">
        <f t="shared" ca="1" si="3"/>
        <v>0</v>
      </c>
      <c r="M18">
        <f t="shared" ca="1" si="3"/>
        <v>1</v>
      </c>
      <c r="N18">
        <f t="shared" ca="1" si="3"/>
        <v>2</v>
      </c>
      <c r="O18">
        <f t="shared" ca="1" si="3"/>
        <v>1.8</v>
      </c>
      <c r="P18">
        <f t="shared" ca="1" si="3"/>
        <v>3.4</v>
      </c>
      <c r="Q18">
        <f t="shared" ca="1" si="3"/>
        <v>2</v>
      </c>
      <c r="R18">
        <f t="shared" ca="1" si="3"/>
        <v>27</v>
      </c>
      <c r="S18">
        <f t="shared" ca="1" si="3"/>
        <v>108</v>
      </c>
      <c r="T18">
        <f t="shared" ca="1" si="4"/>
        <v>187</v>
      </c>
      <c r="U18">
        <f t="shared" ca="1" si="4"/>
        <v>287</v>
      </c>
      <c r="V18">
        <f t="shared" ca="1" si="4"/>
        <v>562</v>
      </c>
      <c r="W18">
        <f t="shared" ca="1" si="4"/>
        <v>1539</v>
      </c>
      <c r="X18">
        <f t="shared" ca="1" si="4"/>
        <v>3955</v>
      </c>
      <c r="Y18">
        <f t="shared" ca="1" si="4"/>
        <v>7416</v>
      </c>
      <c r="Z18">
        <f t="shared" ca="1" si="4"/>
        <v>12170</v>
      </c>
      <c r="AA18">
        <f t="shared" ca="1" si="4"/>
        <v>16600</v>
      </c>
      <c r="AB18">
        <f t="shared" ca="1" si="4"/>
        <v>20900</v>
      </c>
      <c r="AC18">
        <f t="shared" ca="1" si="4"/>
        <v>22158.26666666707</v>
      </c>
      <c r="AD18">
        <f t="shared" ca="1" si="4"/>
        <v>37721.880663780961</v>
      </c>
    </row>
    <row r="19" spans="1:30">
      <c r="A19">
        <f t="shared" ca="1" si="2"/>
        <v>53</v>
      </c>
      <c r="B19" t="s">
        <v>131</v>
      </c>
      <c r="C19" t="s">
        <v>112</v>
      </c>
      <c r="D19">
        <f t="shared" ref="D19:S23" ca="1" si="5">SUMIFS( INDIRECT(CONCATENATE($C19,"!", $A19, ":", $A19)),  INDIRECT(CONCATENATE($C19, "!$4:$4")), D$1)</f>
        <v>0</v>
      </c>
      <c r="E19">
        <f t="shared" ca="1" si="5"/>
        <v>0</v>
      </c>
      <c r="F19">
        <f t="shared" ca="1" si="5"/>
        <v>0</v>
      </c>
      <c r="G19">
        <f t="shared" ca="1" si="5"/>
        <v>0</v>
      </c>
      <c r="H19">
        <f t="shared" ca="1" si="5"/>
        <v>0</v>
      </c>
      <c r="I19">
        <f t="shared" ca="1" si="5"/>
        <v>0</v>
      </c>
      <c r="J19">
        <f t="shared" ca="1" si="5"/>
        <v>0</v>
      </c>
      <c r="K19">
        <f t="shared" ca="1" si="5"/>
        <v>0</v>
      </c>
      <c r="L19">
        <f t="shared" ca="1" si="5"/>
        <v>0</v>
      </c>
      <c r="M19">
        <f t="shared" ca="1" si="5"/>
        <v>0.11269722013523667</v>
      </c>
      <c r="N19">
        <f t="shared" ca="1" si="5"/>
        <v>0.12521913348359631</v>
      </c>
      <c r="O19">
        <f t="shared" ca="1" si="5"/>
        <v>0.22539444027047334</v>
      </c>
      <c r="P19">
        <f t="shared" ca="1" si="5"/>
        <v>0.28800400701227147</v>
      </c>
      <c r="Q19">
        <f t="shared" ca="1" si="5"/>
        <v>0.53844227397946409</v>
      </c>
      <c r="R19">
        <f t="shared" ca="1" si="5"/>
        <v>0.75131480090157776</v>
      </c>
      <c r="S19">
        <f t="shared" ca="1" si="5"/>
        <v>1.3022789882294015</v>
      </c>
      <c r="T19">
        <f t="shared" ca="1" si="4"/>
        <v>1.9158527422990235</v>
      </c>
      <c r="U19">
        <f t="shared" ca="1" si="4"/>
        <v>3.0553468569997499</v>
      </c>
      <c r="V19">
        <f t="shared" ca="1" si="4"/>
        <v>5.3593789130979221</v>
      </c>
      <c r="W19">
        <f t="shared" ca="1" si="4"/>
        <v>8.9406461307287763</v>
      </c>
      <c r="X19">
        <f t="shared" ca="1" si="4"/>
        <v>13.861758076634111</v>
      </c>
      <c r="Y19">
        <f t="shared" ca="1" si="4"/>
        <v>20.110192837465565</v>
      </c>
      <c r="Z19">
        <f t="shared" ca="1" si="4"/>
        <v>29.902329075882797</v>
      </c>
      <c r="AA19">
        <f t="shared" ca="1" si="4"/>
        <v>43.676433759078392</v>
      </c>
      <c r="AB19">
        <f t="shared" ca="1" si="4"/>
        <v>62.146255947908841</v>
      </c>
      <c r="AC19">
        <f t="shared" ca="1" si="4"/>
        <v>64.636927122463248</v>
      </c>
      <c r="AD19">
        <f t="shared" ca="1" si="4"/>
        <v>106.92624050963565</v>
      </c>
    </row>
    <row r="20" spans="1:30">
      <c r="A20">
        <f t="shared" ca="1" si="2"/>
        <v>54</v>
      </c>
      <c r="B20" t="s">
        <v>132</v>
      </c>
      <c r="C20" t="s">
        <v>112</v>
      </c>
      <c r="D20">
        <f t="shared" ca="1" si="5"/>
        <v>0</v>
      </c>
      <c r="E20">
        <f t="shared" ca="1" si="5"/>
        <v>0</v>
      </c>
      <c r="F20">
        <f t="shared" ca="1" si="5"/>
        <v>0</v>
      </c>
      <c r="G20">
        <f t="shared" ca="1" si="5"/>
        <v>0</v>
      </c>
      <c r="H20">
        <f t="shared" ca="1" si="5"/>
        <v>0</v>
      </c>
      <c r="I20">
        <f t="shared" ca="1" si="5"/>
        <v>0</v>
      </c>
      <c r="J20">
        <f t="shared" ca="1" si="5"/>
        <v>0</v>
      </c>
      <c r="K20">
        <f t="shared" ca="1" si="5"/>
        <v>0</v>
      </c>
      <c r="L20">
        <f t="shared" ca="1" si="5"/>
        <v>0</v>
      </c>
      <c r="M20">
        <f t="shared" ca="1" si="5"/>
        <v>0.40627347858752821</v>
      </c>
      <c r="N20">
        <f t="shared" ca="1" si="5"/>
        <v>0.45141497620836468</v>
      </c>
      <c r="O20">
        <f t="shared" ca="1" si="5"/>
        <v>0.81254695717505643</v>
      </c>
      <c r="P20">
        <f t="shared" ca="1" si="5"/>
        <v>1.0382544452792388</v>
      </c>
      <c r="Q20">
        <f t="shared" ca="1" si="5"/>
        <v>1.9410843976959682</v>
      </c>
      <c r="R20">
        <f t="shared" ca="1" si="5"/>
        <v>2.7084898572501883</v>
      </c>
      <c r="S20">
        <f t="shared" ca="1" si="5"/>
        <v>4.6947157525669923</v>
      </c>
      <c r="T20">
        <f t="shared" ca="1" si="4"/>
        <v>6.9066491359879798</v>
      </c>
      <c r="U20">
        <f t="shared" ca="1" si="4"/>
        <v>11.014525419484098</v>
      </c>
      <c r="V20">
        <f t="shared" ca="1" si="4"/>
        <v>19.320560981718007</v>
      </c>
      <c r="W20">
        <f t="shared" ca="1" si="4"/>
        <v>32.231029301277239</v>
      </c>
      <c r="X20">
        <f t="shared" ca="1" si="4"/>
        <v>49.971637866265972</v>
      </c>
      <c r="Y20">
        <f t="shared" ca="1" si="4"/>
        <v>72.49724517906337</v>
      </c>
      <c r="Z20">
        <f t="shared" ca="1" si="4"/>
        <v>107.79789631855749</v>
      </c>
      <c r="AA20">
        <f t="shared" ca="1" si="4"/>
        <v>157.4535437014776</v>
      </c>
      <c r="AB20">
        <f t="shared" ca="1" si="4"/>
        <v>224.03725269221138</v>
      </c>
      <c r="AC20">
        <f t="shared" ca="1" si="4"/>
        <v>233.01612227647999</v>
      </c>
      <c r="AD20">
        <f t="shared" ca="1" si="4"/>
        <v>385.46909703723651</v>
      </c>
    </row>
    <row r="21" spans="1:30">
      <c r="A21">
        <f t="shared" ca="1" si="2"/>
        <v>55</v>
      </c>
      <c r="B21" t="s">
        <v>133</v>
      </c>
      <c r="C21" t="s">
        <v>112</v>
      </c>
      <c r="D21">
        <f t="shared" ca="1" si="5"/>
        <v>0</v>
      </c>
      <c r="E21">
        <f t="shared" ca="1" si="5"/>
        <v>0</v>
      </c>
      <c r="F21">
        <f t="shared" ca="1" si="5"/>
        <v>0</v>
      </c>
      <c r="G21">
        <f t="shared" ca="1" si="5"/>
        <v>0</v>
      </c>
      <c r="H21">
        <f t="shared" ca="1" si="5"/>
        <v>0</v>
      </c>
      <c r="I21">
        <f t="shared" ca="1" si="5"/>
        <v>0</v>
      </c>
      <c r="J21">
        <f t="shared" ca="1" si="5"/>
        <v>0</v>
      </c>
      <c r="K21">
        <f t="shared" ca="1" si="5"/>
        <v>0</v>
      </c>
      <c r="L21">
        <f t="shared" ca="1" si="5"/>
        <v>0</v>
      </c>
      <c r="M21">
        <f t="shared" ca="1" si="5"/>
        <v>5.905334335086402</v>
      </c>
      <c r="N21">
        <f t="shared" ca="1" si="5"/>
        <v>6.5614825945404469</v>
      </c>
      <c r="O21">
        <f t="shared" ca="1" si="5"/>
        <v>11.810668670172804</v>
      </c>
      <c r="P21">
        <f t="shared" ca="1" si="5"/>
        <v>15.091409967443028</v>
      </c>
      <c r="Q21">
        <f t="shared" ca="1" si="5"/>
        <v>28.214375156523921</v>
      </c>
      <c r="R21">
        <f t="shared" ca="1" si="5"/>
        <v>39.368895567242681</v>
      </c>
      <c r="S21">
        <f t="shared" ca="1" si="5"/>
        <v>68.239418983220645</v>
      </c>
      <c r="T21">
        <f t="shared" ca="1" si="4"/>
        <v>100.39068369646883</v>
      </c>
      <c r="U21">
        <f t="shared" ca="1" si="4"/>
        <v>160.10017530678689</v>
      </c>
      <c r="V21">
        <f t="shared" ca="1" si="4"/>
        <v>280.83145504633109</v>
      </c>
      <c r="W21">
        <f t="shared" ca="1" si="4"/>
        <v>468.48985725018787</v>
      </c>
      <c r="X21">
        <f t="shared" ca="1" si="4"/>
        <v>726.35612321562746</v>
      </c>
      <c r="Y21">
        <f t="shared" ca="1" si="4"/>
        <v>1053.7741046831957</v>
      </c>
      <c r="Z21">
        <f t="shared" ca="1" si="4"/>
        <v>1566.8820435762586</v>
      </c>
      <c r="AA21">
        <f t="shared" ca="1" si="4"/>
        <v>2288.6451289757078</v>
      </c>
      <c r="AB21">
        <f t="shared" ca="1" si="4"/>
        <v>3256.4638116704236</v>
      </c>
      <c r="AC21">
        <f t="shared" ca="1" si="4"/>
        <v>3386.9749812170739</v>
      </c>
      <c r="AD21">
        <f t="shared" ca="1" si="4"/>
        <v>5602.9350027049086</v>
      </c>
    </row>
    <row r="22" spans="1:30">
      <c r="A22">
        <f t="shared" ca="1" si="2"/>
        <v>56</v>
      </c>
      <c r="B22" t="s">
        <v>134</v>
      </c>
      <c r="C22" t="s">
        <v>112</v>
      </c>
      <c r="D22">
        <f t="shared" ca="1" si="5"/>
        <v>0</v>
      </c>
      <c r="E22">
        <f t="shared" ca="1" si="5"/>
        <v>0</v>
      </c>
      <c r="F22">
        <f t="shared" ca="1" si="5"/>
        <v>0</v>
      </c>
      <c r="G22">
        <f t="shared" ca="1" si="5"/>
        <v>0</v>
      </c>
      <c r="H22">
        <f t="shared" ca="1" si="5"/>
        <v>0</v>
      </c>
      <c r="I22">
        <f t="shared" ca="1" si="5"/>
        <v>0</v>
      </c>
      <c r="J22">
        <f t="shared" ca="1" si="5"/>
        <v>0</v>
      </c>
      <c r="K22">
        <f t="shared" ca="1" si="5"/>
        <v>0</v>
      </c>
      <c r="L22">
        <f t="shared" ca="1" si="5"/>
        <v>0</v>
      </c>
      <c r="M22">
        <f t="shared" ca="1" si="5"/>
        <v>2.5756949661908344</v>
      </c>
      <c r="N22">
        <f t="shared" ca="1" si="5"/>
        <v>2.8618832957675937</v>
      </c>
      <c r="O22">
        <f t="shared" ca="1" si="5"/>
        <v>5.1513899323816688</v>
      </c>
      <c r="P22">
        <f t="shared" ca="1" si="5"/>
        <v>6.5823315802654658</v>
      </c>
      <c r="Q22">
        <f t="shared" ca="1" si="5"/>
        <v>12.306098171800654</v>
      </c>
      <c r="R22">
        <f t="shared" ca="1" si="5"/>
        <v>17.171299774605561</v>
      </c>
      <c r="S22">
        <f t="shared" ca="1" si="5"/>
        <v>29.763586275982977</v>
      </c>
      <c r="T22">
        <f t="shared" ca="1" si="4"/>
        <v>43.786814425244188</v>
      </c>
      <c r="U22">
        <f t="shared" ca="1" si="4"/>
        <v>69.829952416729284</v>
      </c>
      <c r="V22">
        <f t="shared" ca="1" si="4"/>
        <v>122.48860505885301</v>
      </c>
      <c r="W22">
        <f t="shared" ca="1" si="4"/>
        <v>204.33846731780619</v>
      </c>
      <c r="X22">
        <f t="shared" ca="1" si="4"/>
        <v>316.81048084147261</v>
      </c>
      <c r="Y22">
        <f t="shared" ca="1" si="4"/>
        <v>459.61845730027557</v>
      </c>
      <c r="Z22">
        <f t="shared" ca="1" si="4"/>
        <v>683.41773102930142</v>
      </c>
      <c r="AA22">
        <f t="shared" ca="1" si="4"/>
        <v>998.22489356373671</v>
      </c>
      <c r="AB22">
        <f t="shared" ca="1" si="4"/>
        <v>1420.3526796894569</v>
      </c>
      <c r="AC22">
        <f t="shared" ca="1" si="4"/>
        <v>1477.2769693838975</v>
      </c>
      <c r="AD22">
        <f t="shared" ca="1" si="4"/>
        <v>2443.7992268477228</v>
      </c>
    </row>
    <row r="23" spans="1:30">
      <c r="A23">
        <f t="shared" ca="1" si="2"/>
        <v>32</v>
      </c>
      <c r="B23" t="s">
        <v>135</v>
      </c>
      <c r="C23" t="s">
        <v>112</v>
      </c>
      <c r="D23">
        <f t="shared" ca="1" si="5"/>
        <v>0</v>
      </c>
      <c r="E23">
        <f t="shared" ca="1" si="5"/>
        <v>0</v>
      </c>
      <c r="F23">
        <f t="shared" ca="1" si="5"/>
        <v>0</v>
      </c>
      <c r="G23">
        <f t="shared" ca="1" si="5"/>
        <v>0</v>
      </c>
      <c r="H23">
        <f t="shared" ca="1" si="5"/>
        <v>0</v>
      </c>
      <c r="I23">
        <f t="shared" ca="1" si="5"/>
        <v>0</v>
      </c>
      <c r="J23">
        <f t="shared" ca="1" si="5"/>
        <v>0</v>
      </c>
      <c r="K23">
        <f t="shared" ca="1" si="5"/>
        <v>0</v>
      </c>
      <c r="L23">
        <f t="shared" ca="1" si="5"/>
        <v>0</v>
      </c>
      <c r="M23">
        <f t="shared" ca="1" si="5"/>
        <v>30</v>
      </c>
      <c r="N23">
        <f t="shared" ca="1" si="5"/>
        <v>75</v>
      </c>
      <c r="O23">
        <f t="shared" ca="1" si="5"/>
        <v>1014</v>
      </c>
      <c r="P23">
        <f t="shared" ca="1" si="5"/>
        <v>1657</v>
      </c>
      <c r="Q23">
        <f t="shared" ca="1" si="5"/>
        <v>2937</v>
      </c>
      <c r="R23">
        <f t="shared" ca="1" si="5"/>
        <v>5528</v>
      </c>
      <c r="S23">
        <f t="shared" ca="1" si="5"/>
        <v>9601</v>
      </c>
      <c r="T23">
        <f t="shared" ca="1" si="4"/>
        <v>11914</v>
      </c>
      <c r="U23">
        <f t="shared" ca="1" si="4"/>
        <v>12760</v>
      </c>
      <c r="V23">
        <f t="shared" ca="1" si="4"/>
        <v>13059</v>
      </c>
      <c r="W23">
        <f t="shared" ca="1" si="4"/>
        <v>13224</v>
      </c>
      <c r="X23">
        <f t="shared" ca="1" si="4"/>
        <v>13224</v>
      </c>
      <c r="Y23">
        <f t="shared" ca="1" si="4"/>
        <v>14416</v>
      </c>
      <c r="Z23">
        <f t="shared" ca="1" si="4"/>
        <v>15608</v>
      </c>
      <c r="AA23">
        <f t="shared" ca="1" si="4"/>
        <v>16800</v>
      </c>
      <c r="AB23">
        <f t="shared" ca="1" si="4"/>
        <v>17603</v>
      </c>
      <c r="AC23">
        <f t="shared" ca="1" si="4"/>
        <v>21185.721666666701</v>
      </c>
      <c r="AD23">
        <f t="shared" ca="1" si="4"/>
        <v>27943.296015872878</v>
      </c>
    </row>
    <row r="25" spans="1:30">
      <c r="A25">
        <f ca="1">IFERROR(MATCH($B25, INDIRECT(CONCATENATE($C25, "!$B:$B")),0), 1)</f>
        <v>21</v>
      </c>
      <c r="B25" t="s">
        <v>111</v>
      </c>
      <c r="C25" t="s">
        <v>266</v>
      </c>
      <c r="D25">
        <f t="shared" ref="D25:S40" ca="1" si="6">SUMIFS( INDIRECT(CONCATENATE($C25,"!", $A25, ":", $A25)),  INDIRECT(CONCATENATE($C25, "!$4:$4")), D$1)</f>
        <v>77</v>
      </c>
      <c r="E25">
        <f t="shared" ca="1" si="6"/>
        <v>94</v>
      </c>
      <c r="F25">
        <f t="shared" ca="1" si="6"/>
        <v>140</v>
      </c>
      <c r="G25">
        <f t="shared" ca="1" si="6"/>
        <v>415</v>
      </c>
      <c r="H25">
        <f t="shared" ca="1" si="6"/>
        <v>606</v>
      </c>
      <c r="I25">
        <f t="shared" ca="1" si="6"/>
        <v>819</v>
      </c>
      <c r="J25">
        <f t="shared" ca="1" si="6"/>
        <v>965</v>
      </c>
      <c r="K25">
        <f t="shared" ca="1" si="6"/>
        <v>982</v>
      </c>
      <c r="L25">
        <f t="shared" ca="1" si="6"/>
        <v>995</v>
      </c>
      <c r="M25">
        <f t="shared" ca="1" si="6"/>
        <v>995</v>
      </c>
      <c r="N25">
        <f t="shared" ca="1" si="6"/>
        <v>1011</v>
      </c>
      <c r="O25">
        <f t="shared" ca="1" si="6"/>
        <v>1084</v>
      </c>
      <c r="P25">
        <f t="shared" ca="1" si="6"/>
        <v>1378</v>
      </c>
      <c r="Q25">
        <f t="shared" ca="1" si="6"/>
        <v>1684</v>
      </c>
      <c r="R25">
        <f t="shared" ca="1" si="6"/>
        <v>2095</v>
      </c>
      <c r="S25">
        <f t="shared" ca="1" si="6"/>
        <v>2404</v>
      </c>
      <c r="T25">
        <f t="shared" ref="T25:AD40" ca="1" si="7">SUMIFS( INDIRECT(CONCATENATE($C25,"!", $A25, ":", $A25)),  INDIRECT(CONCATENATE($C25, "!$4:$4")), T$1)</f>
        <v>2632</v>
      </c>
      <c r="U25">
        <f t="shared" ca="1" si="7"/>
        <v>2828</v>
      </c>
      <c r="V25">
        <f t="shared" ca="1" si="7"/>
        <v>3045</v>
      </c>
      <c r="W25">
        <f t="shared" ca="1" si="7"/>
        <v>3159</v>
      </c>
      <c r="X25">
        <f t="shared" ca="1" si="7"/>
        <v>3120</v>
      </c>
      <c r="Y25">
        <f t="shared" ca="1" si="7"/>
        <v>3300</v>
      </c>
      <c r="Z25">
        <f t="shared" ca="1" si="7"/>
        <v>3586</v>
      </c>
      <c r="AA25">
        <f t="shared" ca="1" si="7"/>
        <v>3885</v>
      </c>
      <c r="AB25">
        <f t="shared" ca="1" si="7"/>
        <v>4028</v>
      </c>
      <c r="AC25">
        <f t="shared" ca="1" si="7"/>
        <v>4216.4499999999825</v>
      </c>
      <c r="AD25">
        <f t="shared" ca="1" si="7"/>
        <v>5209.1177489177499</v>
      </c>
    </row>
    <row r="26" spans="1:30">
      <c r="A26">
        <f t="shared" ref="A26:A46" ca="1" si="8">IFERROR(MATCH($B26, INDIRECT(CONCATENATE($C26, "!$B:$B")),0), 1)</f>
        <v>17</v>
      </c>
      <c r="B26" t="s">
        <v>114</v>
      </c>
      <c r="C26" t="s">
        <v>266</v>
      </c>
      <c r="D26">
        <f t="shared" ca="1" si="6"/>
        <v>13</v>
      </c>
      <c r="E26">
        <f t="shared" ca="1" si="6"/>
        <v>32</v>
      </c>
      <c r="F26">
        <f t="shared" ca="1" si="6"/>
        <v>35</v>
      </c>
      <c r="G26">
        <f t="shared" ca="1" si="6"/>
        <v>68</v>
      </c>
      <c r="H26">
        <f t="shared" ca="1" si="6"/>
        <v>96</v>
      </c>
      <c r="I26">
        <f t="shared" ca="1" si="6"/>
        <v>167</v>
      </c>
      <c r="J26">
        <f t="shared" ca="1" si="6"/>
        <v>194</v>
      </c>
      <c r="K26">
        <f t="shared" ca="1" si="6"/>
        <v>287</v>
      </c>
      <c r="L26">
        <f t="shared" ca="1" si="6"/>
        <v>385</v>
      </c>
      <c r="M26">
        <f t="shared" ca="1" si="6"/>
        <v>533</v>
      </c>
      <c r="N26">
        <f t="shared" ca="1" si="6"/>
        <v>716</v>
      </c>
      <c r="O26">
        <f t="shared" ca="1" si="6"/>
        <v>883</v>
      </c>
      <c r="P26">
        <f t="shared" ca="1" si="6"/>
        <v>995.5</v>
      </c>
      <c r="Q26">
        <f t="shared" ca="1" si="6"/>
        <v>1025.8</v>
      </c>
      <c r="R26">
        <f t="shared" ca="1" si="6"/>
        <v>1246.8</v>
      </c>
      <c r="S26">
        <f t="shared" ca="1" si="6"/>
        <v>1456.8</v>
      </c>
      <c r="T26">
        <f t="shared" ca="1" si="7"/>
        <v>1687.8</v>
      </c>
      <c r="U26">
        <f t="shared" ca="1" si="7"/>
        <v>1966</v>
      </c>
      <c r="V26">
        <f t="shared" ca="1" si="7"/>
        <v>2174.1</v>
      </c>
      <c r="W26">
        <f t="shared" ca="1" si="7"/>
        <v>2331</v>
      </c>
      <c r="X26">
        <f t="shared" ca="1" si="7"/>
        <v>2457.1999999999998</v>
      </c>
      <c r="Y26">
        <f t="shared" ca="1" si="7"/>
        <v>2740.2</v>
      </c>
      <c r="Z26">
        <f t="shared" ca="1" si="7"/>
        <v>3044.2</v>
      </c>
      <c r="AA26">
        <f t="shared" ca="1" si="7"/>
        <v>3230.2</v>
      </c>
      <c r="AB26">
        <f t="shared" ca="1" si="7"/>
        <v>3386.2</v>
      </c>
      <c r="AC26">
        <f t="shared" ca="1" si="7"/>
        <v>3651.2999999999884</v>
      </c>
      <c r="AD26">
        <f t="shared" ca="1" si="7"/>
        <v>4765.7595238095382</v>
      </c>
    </row>
    <row r="27" spans="1:30">
      <c r="A27">
        <f t="shared" ca="1" si="8"/>
        <v>38</v>
      </c>
      <c r="B27" t="s">
        <v>116</v>
      </c>
      <c r="C27" t="s">
        <v>266</v>
      </c>
      <c r="D27">
        <f t="shared" ca="1" si="6"/>
        <v>0</v>
      </c>
      <c r="E27">
        <f t="shared" ca="1" si="6"/>
        <v>0</v>
      </c>
      <c r="F27">
        <f t="shared" ca="1" si="6"/>
        <v>0</v>
      </c>
      <c r="G27">
        <f t="shared" ca="1" si="6"/>
        <v>0</v>
      </c>
      <c r="H27">
        <f t="shared" ca="1" si="6"/>
        <v>0</v>
      </c>
      <c r="I27">
        <f t="shared" ca="1" si="6"/>
        <v>12</v>
      </c>
      <c r="J27">
        <f t="shared" ca="1" si="6"/>
        <v>12</v>
      </c>
      <c r="K27">
        <f t="shared" ca="1" si="6"/>
        <v>12</v>
      </c>
      <c r="L27">
        <f t="shared" ca="1" si="6"/>
        <v>14</v>
      </c>
      <c r="M27">
        <f t="shared" ca="1" si="6"/>
        <v>18</v>
      </c>
      <c r="N27">
        <f t="shared" ca="1" si="6"/>
        <v>42</v>
      </c>
      <c r="O27">
        <f t="shared" ca="1" si="6"/>
        <v>46</v>
      </c>
      <c r="P27">
        <f t="shared" ca="1" si="6"/>
        <v>50</v>
      </c>
      <c r="Q27">
        <f t="shared" ca="1" si="6"/>
        <v>60</v>
      </c>
      <c r="R27">
        <f t="shared" ca="1" si="6"/>
        <v>60</v>
      </c>
      <c r="S27">
        <f t="shared" ca="1" si="6"/>
        <v>60</v>
      </c>
      <c r="T27">
        <f t="shared" ca="1" si="7"/>
        <v>75</v>
      </c>
      <c r="U27">
        <f t="shared" ca="1" si="7"/>
        <v>75</v>
      </c>
      <c r="V27">
        <f t="shared" ca="1" si="7"/>
        <v>75</v>
      </c>
      <c r="W27">
        <f t="shared" ca="1" si="7"/>
        <v>75</v>
      </c>
      <c r="X27">
        <f t="shared" ca="1" si="7"/>
        <v>87</v>
      </c>
      <c r="Y27">
        <f t="shared" ca="1" si="7"/>
        <v>87</v>
      </c>
      <c r="Z27">
        <f t="shared" ca="1" si="7"/>
        <v>87</v>
      </c>
      <c r="AA27">
        <f t="shared" ca="1" si="7"/>
        <v>101</v>
      </c>
      <c r="AB27">
        <f t="shared" ca="1" si="7"/>
        <v>100</v>
      </c>
      <c r="AC27">
        <f t="shared" ca="1" si="7"/>
        <v>104.13333333333276</v>
      </c>
      <c r="AD27">
        <f t="shared" ca="1" si="7"/>
        <v>123.88946608946571</v>
      </c>
    </row>
    <row r="28" spans="1:30">
      <c r="A28">
        <f t="shared" ca="1" si="8"/>
        <v>5</v>
      </c>
      <c r="B28" t="s">
        <v>117</v>
      </c>
      <c r="C28" t="s">
        <v>266</v>
      </c>
      <c r="D28">
        <f t="shared" ca="1" si="6"/>
        <v>6113</v>
      </c>
      <c r="E28">
        <f t="shared" ca="1" si="6"/>
        <v>8754</v>
      </c>
      <c r="F28">
        <f t="shared" ca="1" si="6"/>
        <v>11994</v>
      </c>
      <c r="G28">
        <f t="shared" ca="1" si="6"/>
        <v>14609</v>
      </c>
      <c r="H28">
        <f t="shared" ca="1" si="6"/>
        <v>16629</v>
      </c>
      <c r="I28">
        <f t="shared" ca="1" si="6"/>
        <v>18415</v>
      </c>
      <c r="J28">
        <f t="shared" ca="1" si="6"/>
        <v>20622</v>
      </c>
      <c r="K28">
        <f t="shared" ca="1" si="6"/>
        <v>22247</v>
      </c>
      <c r="L28">
        <f t="shared" ca="1" si="6"/>
        <v>23885</v>
      </c>
      <c r="M28">
        <f t="shared" ca="1" si="6"/>
        <v>25705</v>
      </c>
      <c r="N28">
        <f t="shared" ca="1" si="6"/>
        <v>26994.7</v>
      </c>
      <c r="O28">
        <f t="shared" ca="1" si="6"/>
        <v>28554.7</v>
      </c>
      <c r="P28">
        <f t="shared" ca="1" si="6"/>
        <v>30395</v>
      </c>
      <c r="Q28">
        <f t="shared" ca="1" si="6"/>
        <v>32577</v>
      </c>
      <c r="R28">
        <f t="shared" ca="1" si="6"/>
        <v>37597.5</v>
      </c>
      <c r="S28">
        <f t="shared" ca="1" si="6"/>
        <v>41285.1</v>
      </c>
      <c r="T28">
        <f t="shared" ca="1" si="7"/>
        <v>45298</v>
      </c>
      <c r="U28">
        <f t="shared" ca="1" si="7"/>
        <v>50173</v>
      </c>
      <c r="V28">
        <f t="shared" ca="1" si="7"/>
        <v>52454</v>
      </c>
      <c r="W28">
        <f t="shared" ca="1" si="7"/>
        <v>53213</v>
      </c>
      <c r="X28">
        <f t="shared" ca="1" si="7"/>
        <v>54806</v>
      </c>
      <c r="Y28">
        <f t="shared" ca="1" si="7"/>
        <v>56266</v>
      </c>
      <c r="Z28">
        <f t="shared" ca="1" si="7"/>
        <v>58193</v>
      </c>
      <c r="AA28">
        <f t="shared" ca="1" si="7"/>
        <v>61202</v>
      </c>
      <c r="AB28">
        <f t="shared" ca="1" si="7"/>
        <v>63457</v>
      </c>
      <c r="AC28">
        <f t="shared" ca="1" si="7"/>
        <v>65612.189999999478</v>
      </c>
      <c r="AD28">
        <f t="shared" ca="1" si="7"/>
        <v>84415.018761904314</v>
      </c>
    </row>
    <row r="29" spans="1:30">
      <c r="A29">
        <f t="shared" ca="1" si="8"/>
        <v>48</v>
      </c>
      <c r="B29" t="s">
        <v>118</v>
      </c>
      <c r="C29" t="s">
        <v>266</v>
      </c>
      <c r="D29">
        <f t="shared" ca="1" si="6"/>
        <v>382.25650531262983</v>
      </c>
      <c r="E29">
        <f t="shared" ca="1" si="6"/>
        <v>393.643542293395</v>
      </c>
      <c r="F29">
        <f t="shared" ca="1" si="6"/>
        <v>456.90485885320135</v>
      </c>
      <c r="G29">
        <f t="shared" ca="1" si="6"/>
        <v>492.80565600089142</v>
      </c>
      <c r="H29">
        <f t="shared" ca="1" si="6"/>
        <v>493.12196258369045</v>
      </c>
      <c r="I29">
        <f t="shared" ca="1" si="6"/>
        <v>494.70349549768565</v>
      </c>
      <c r="J29">
        <f t="shared" ca="1" si="6"/>
        <v>495.96872182888177</v>
      </c>
      <c r="K29">
        <f t="shared" ca="1" si="6"/>
        <v>494.22903562348711</v>
      </c>
      <c r="L29">
        <f t="shared" ca="1" si="6"/>
        <v>433.27675711811366</v>
      </c>
      <c r="M29">
        <f t="shared" ca="1" si="6"/>
        <v>443.00318453918391</v>
      </c>
      <c r="N29">
        <f t="shared" ca="1" si="6"/>
        <v>456.12990772534368</v>
      </c>
      <c r="O29">
        <f t="shared" ca="1" si="6"/>
        <v>474.38079755284787</v>
      </c>
      <c r="P29">
        <f t="shared" ca="1" si="6"/>
        <v>512.43247946357133</v>
      </c>
      <c r="Q29">
        <f t="shared" ca="1" si="6"/>
        <v>553.67885786056513</v>
      </c>
      <c r="R29">
        <f t="shared" ca="1" si="6"/>
        <v>565.22404813272976</v>
      </c>
      <c r="S29">
        <f t="shared" ca="1" si="6"/>
        <v>601.59930515461838</v>
      </c>
      <c r="T29">
        <f t="shared" ca="1" si="7"/>
        <v>628.01090481833762</v>
      </c>
      <c r="U29">
        <f t="shared" ca="1" si="7"/>
        <v>661.74500187385422</v>
      </c>
      <c r="V29">
        <f t="shared" ca="1" si="7"/>
        <v>641.65953386611579</v>
      </c>
      <c r="W29">
        <f t="shared" ca="1" si="7"/>
        <v>700.17625168393658</v>
      </c>
      <c r="X29">
        <f t="shared" ca="1" si="7"/>
        <v>708.40022283671146</v>
      </c>
      <c r="Y29">
        <f t="shared" ca="1" si="7"/>
        <v>770.58609701500109</v>
      </c>
      <c r="Z29">
        <f t="shared" ca="1" si="7"/>
        <v>787.03403932055073</v>
      </c>
      <c r="AA29">
        <f t="shared" ca="1" si="7"/>
        <v>805.77520435139331</v>
      </c>
      <c r="AB29">
        <f t="shared" ca="1" si="7"/>
        <v>786.10093490129361</v>
      </c>
      <c r="AC29">
        <f t="shared" ca="1" si="7"/>
        <v>834.37116455815703</v>
      </c>
      <c r="AD29">
        <f t="shared" ca="1" si="7"/>
        <v>943.45288434088889</v>
      </c>
    </row>
    <row r="30" spans="1:30">
      <c r="A30">
        <f t="shared" ca="1" si="8"/>
        <v>49</v>
      </c>
      <c r="B30" t="s">
        <v>119</v>
      </c>
      <c r="C30" t="s">
        <v>266</v>
      </c>
      <c r="D30">
        <f t="shared" ca="1" si="6"/>
        <v>2034.7434946873702</v>
      </c>
      <c r="E30">
        <f t="shared" ca="1" si="6"/>
        <v>2095.3564577066049</v>
      </c>
      <c r="F30">
        <f t="shared" ca="1" si="6"/>
        <v>2432.0951411467986</v>
      </c>
      <c r="G30">
        <f t="shared" ca="1" si="6"/>
        <v>2623.1943439991087</v>
      </c>
      <c r="H30">
        <f t="shared" ca="1" si="6"/>
        <v>2624.8780374163098</v>
      </c>
      <c r="I30">
        <f t="shared" ca="1" si="6"/>
        <v>2633.2965045023143</v>
      </c>
      <c r="J30">
        <f t="shared" ca="1" si="6"/>
        <v>2640.0312781711182</v>
      </c>
      <c r="K30">
        <f t="shared" ca="1" si="6"/>
        <v>2630.7709643765129</v>
      </c>
      <c r="L30">
        <f t="shared" ca="1" si="6"/>
        <v>2306.3232428818865</v>
      </c>
      <c r="M30">
        <f t="shared" ca="1" si="6"/>
        <v>2358.0968154608163</v>
      </c>
      <c r="N30">
        <f t="shared" ca="1" si="6"/>
        <v>2427.9700922746565</v>
      </c>
      <c r="O30">
        <f t="shared" ca="1" si="6"/>
        <v>2525.119202447152</v>
      </c>
      <c r="P30">
        <f t="shared" ca="1" si="6"/>
        <v>2727.6675205364286</v>
      </c>
      <c r="Q30">
        <f t="shared" ca="1" si="6"/>
        <v>2947.221142139435</v>
      </c>
      <c r="R30">
        <f t="shared" ca="1" si="6"/>
        <v>3008.6759518672702</v>
      </c>
      <c r="S30">
        <f t="shared" ca="1" si="6"/>
        <v>3202.3006948453817</v>
      </c>
      <c r="T30">
        <f t="shared" ca="1" si="7"/>
        <v>3342.8890951816625</v>
      </c>
      <c r="U30">
        <f t="shared" ca="1" si="7"/>
        <v>3522.4549981261457</v>
      </c>
      <c r="V30">
        <f t="shared" ca="1" si="7"/>
        <v>3415.5404661338844</v>
      </c>
      <c r="W30">
        <f t="shared" ca="1" si="7"/>
        <v>3727.0237483160631</v>
      </c>
      <c r="X30">
        <f t="shared" ca="1" si="7"/>
        <v>3770.7997771632886</v>
      </c>
      <c r="Y30">
        <f t="shared" ca="1" si="7"/>
        <v>4101.813902984999</v>
      </c>
      <c r="Z30">
        <f t="shared" ca="1" si="7"/>
        <v>4189.365960679449</v>
      </c>
      <c r="AA30">
        <f t="shared" ca="1" si="7"/>
        <v>4289.1247956486068</v>
      </c>
      <c r="AB30">
        <f t="shared" ca="1" si="7"/>
        <v>4184.3990650987062</v>
      </c>
      <c r="AC30">
        <f t="shared" ca="1" si="7"/>
        <v>4441.3405021084982</v>
      </c>
      <c r="AD30">
        <f t="shared" ca="1" si="7"/>
        <v>5021.9802469722226</v>
      </c>
    </row>
    <row r="31" spans="1:30">
      <c r="A31">
        <f t="shared" ca="1" si="8"/>
        <v>27</v>
      </c>
      <c r="B31" t="s">
        <v>120</v>
      </c>
      <c r="C31" t="s">
        <v>266</v>
      </c>
      <c r="D31">
        <f t="shared" ca="1" si="6"/>
        <v>0</v>
      </c>
      <c r="E31">
        <f t="shared" ca="1" si="6"/>
        <v>0</v>
      </c>
      <c r="F31">
        <f t="shared" ca="1" si="6"/>
        <v>2</v>
      </c>
      <c r="G31">
        <f t="shared" ca="1" si="6"/>
        <v>2</v>
      </c>
      <c r="H31">
        <f t="shared" ca="1" si="6"/>
        <v>6</v>
      </c>
      <c r="I31">
        <f t="shared" ca="1" si="6"/>
        <v>32</v>
      </c>
      <c r="J31">
        <f t="shared" ca="1" si="6"/>
        <v>32</v>
      </c>
      <c r="K31">
        <f t="shared" ca="1" si="6"/>
        <v>59</v>
      </c>
      <c r="L31">
        <f t="shared" ca="1" si="6"/>
        <v>78</v>
      </c>
      <c r="M31">
        <f t="shared" ca="1" si="6"/>
        <v>142</v>
      </c>
      <c r="N31">
        <f t="shared" ca="1" si="6"/>
        <v>149</v>
      </c>
      <c r="O31">
        <f t="shared" ca="1" si="6"/>
        <v>184</v>
      </c>
      <c r="P31">
        <f t="shared" ca="1" si="6"/>
        <v>269</v>
      </c>
      <c r="Q31">
        <f t="shared" ca="1" si="6"/>
        <v>280</v>
      </c>
      <c r="R31">
        <f t="shared" ca="1" si="6"/>
        <v>302</v>
      </c>
      <c r="S31">
        <f t="shared" ca="1" si="6"/>
        <v>302</v>
      </c>
      <c r="T31">
        <f t="shared" ca="1" si="7"/>
        <v>310</v>
      </c>
      <c r="U31">
        <f t="shared" ca="1" si="7"/>
        <v>310</v>
      </c>
      <c r="V31">
        <f t="shared" ca="1" si="7"/>
        <v>310</v>
      </c>
      <c r="W31">
        <f t="shared" ca="1" si="7"/>
        <v>320</v>
      </c>
      <c r="X31">
        <f t="shared" ca="1" si="7"/>
        <v>320</v>
      </c>
      <c r="Y31">
        <f t="shared" ca="1" si="7"/>
        <v>320</v>
      </c>
      <c r="Z31">
        <f t="shared" ca="1" si="7"/>
        <v>320</v>
      </c>
      <c r="AA31">
        <f t="shared" ca="1" si="7"/>
        <v>376</v>
      </c>
      <c r="AB31">
        <f t="shared" ca="1" si="7"/>
        <v>711</v>
      </c>
      <c r="AC31">
        <f t="shared" ca="1" si="7"/>
        <v>732.33</v>
      </c>
      <c r="AD31">
        <f t="shared" ca="1" si="7"/>
        <v>961.6795670995707</v>
      </c>
    </row>
    <row r="32" spans="1:30">
      <c r="A32">
        <f t="shared" ca="1" si="8"/>
        <v>7</v>
      </c>
      <c r="B32" t="s">
        <v>121</v>
      </c>
      <c r="C32" t="s">
        <v>266</v>
      </c>
      <c r="D32">
        <f t="shared" ca="1" si="6"/>
        <v>2235</v>
      </c>
      <c r="E32">
        <f t="shared" ca="1" si="6"/>
        <v>3337</v>
      </c>
      <c r="F32">
        <f t="shared" ca="1" si="6"/>
        <v>4825</v>
      </c>
      <c r="G32">
        <f t="shared" ca="1" si="6"/>
        <v>6203</v>
      </c>
      <c r="H32">
        <f t="shared" ca="1" si="6"/>
        <v>8264</v>
      </c>
      <c r="I32">
        <f t="shared" ca="1" si="6"/>
        <v>10028</v>
      </c>
      <c r="J32">
        <f t="shared" ca="1" si="6"/>
        <v>11623</v>
      </c>
      <c r="K32">
        <f t="shared" ca="1" si="6"/>
        <v>15131</v>
      </c>
      <c r="L32">
        <f t="shared" ca="1" si="6"/>
        <v>16689</v>
      </c>
      <c r="M32">
        <f t="shared" ca="1" si="6"/>
        <v>19149</v>
      </c>
      <c r="N32">
        <f t="shared" ca="1" si="6"/>
        <v>20676</v>
      </c>
      <c r="O32">
        <f t="shared" ca="1" si="6"/>
        <v>21674</v>
      </c>
      <c r="P32">
        <f t="shared" ca="1" si="6"/>
        <v>22796</v>
      </c>
      <c r="Q32">
        <f t="shared" ca="1" si="6"/>
        <v>22954</v>
      </c>
      <c r="R32">
        <f t="shared" ca="1" si="6"/>
        <v>22981</v>
      </c>
      <c r="S32">
        <f t="shared" ca="1" si="6"/>
        <v>22982</v>
      </c>
      <c r="T32">
        <f t="shared" ca="1" si="7"/>
        <v>23021</v>
      </c>
      <c r="U32">
        <f t="shared" ca="1" si="7"/>
        <v>23165</v>
      </c>
      <c r="V32">
        <f t="shared" ca="1" si="7"/>
        <v>23489</v>
      </c>
      <c r="W32">
        <f t="shared" ca="1" si="7"/>
        <v>25803</v>
      </c>
      <c r="X32">
        <f t="shared" ca="1" si="7"/>
        <v>27264</v>
      </c>
      <c r="Y32">
        <f t="shared" ca="1" si="7"/>
        <v>28196</v>
      </c>
      <c r="Z32">
        <f t="shared" ca="1" si="7"/>
        <v>29798</v>
      </c>
      <c r="AA32">
        <f t="shared" ca="1" si="7"/>
        <v>30564</v>
      </c>
      <c r="AB32">
        <f t="shared" ca="1" si="7"/>
        <v>31175</v>
      </c>
      <c r="AC32">
        <f t="shared" ca="1" si="7"/>
        <v>32422.466666666791</v>
      </c>
      <c r="AD32">
        <f t="shared" ca="1" si="7"/>
        <v>37614.048196248477</v>
      </c>
    </row>
    <row r="33" spans="1:30">
      <c r="A33">
        <f t="shared" ca="1" si="8"/>
        <v>14</v>
      </c>
      <c r="B33" t="s">
        <v>122</v>
      </c>
      <c r="C33" t="s">
        <v>266</v>
      </c>
      <c r="D33">
        <f t="shared" ca="1" si="6"/>
        <v>39</v>
      </c>
      <c r="E33">
        <f t="shared" ca="1" si="6"/>
        <v>39</v>
      </c>
      <c r="F33">
        <f t="shared" ca="1" si="6"/>
        <v>43</v>
      </c>
      <c r="G33">
        <f t="shared" ca="1" si="6"/>
        <v>52</v>
      </c>
      <c r="H33">
        <f t="shared" ca="1" si="6"/>
        <v>82</v>
      </c>
      <c r="I33">
        <f t="shared" ca="1" si="6"/>
        <v>82</v>
      </c>
      <c r="J33">
        <f t="shared" ca="1" si="6"/>
        <v>86</v>
      </c>
      <c r="K33">
        <f t="shared" ca="1" si="6"/>
        <v>110</v>
      </c>
      <c r="L33">
        <f t="shared" ca="1" si="6"/>
        <v>119</v>
      </c>
      <c r="M33">
        <f t="shared" ca="1" si="6"/>
        <v>122</v>
      </c>
      <c r="N33">
        <f t="shared" ca="1" si="6"/>
        <v>171</v>
      </c>
      <c r="O33">
        <f t="shared" ca="1" si="6"/>
        <v>171</v>
      </c>
      <c r="P33">
        <f t="shared" ca="1" si="6"/>
        <v>262</v>
      </c>
      <c r="Q33">
        <f t="shared" ca="1" si="6"/>
        <v>422</v>
      </c>
      <c r="R33">
        <f t="shared" ca="1" si="6"/>
        <v>599</v>
      </c>
      <c r="S33">
        <f t="shared" ca="1" si="6"/>
        <v>977</v>
      </c>
      <c r="T33">
        <f t="shared" ca="1" si="7"/>
        <v>1501</v>
      </c>
      <c r="U33">
        <f t="shared" ca="1" si="7"/>
        <v>2040.3</v>
      </c>
      <c r="V33">
        <f t="shared" ca="1" si="7"/>
        <v>1968.3</v>
      </c>
      <c r="W33">
        <f t="shared" ca="1" si="7"/>
        <v>2211.3000000000002</v>
      </c>
      <c r="X33">
        <f t="shared" ca="1" si="7"/>
        <v>2513</v>
      </c>
      <c r="Y33">
        <f t="shared" ca="1" si="7"/>
        <v>3255</v>
      </c>
      <c r="Z33">
        <f t="shared" ca="1" si="7"/>
        <v>5605</v>
      </c>
      <c r="AA33">
        <f t="shared" ca="1" si="7"/>
        <v>6870</v>
      </c>
      <c r="AB33">
        <f t="shared" ca="1" si="7"/>
        <v>8284</v>
      </c>
      <c r="AC33">
        <f t="shared" ca="1" si="7"/>
        <v>8776.3499999999767</v>
      </c>
      <c r="AD33">
        <f t="shared" ca="1" si="7"/>
        <v>14091.866450216272</v>
      </c>
    </row>
    <row r="34" spans="1:30">
      <c r="A34">
        <f t="shared" ca="1" si="8"/>
        <v>8</v>
      </c>
      <c r="B34" t="s">
        <v>123</v>
      </c>
      <c r="C34" t="s">
        <v>266</v>
      </c>
      <c r="D34">
        <f t="shared" ca="1" si="6"/>
        <v>66</v>
      </c>
      <c r="E34">
        <f t="shared" ca="1" si="6"/>
        <v>93</v>
      </c>
      <c r="F34">
        <f t="shared" ca="1" si="6"/>
        <v>148</v>
      </c>
      <c r="G34">
        <f t="shared" ca="1" si="6"/>
        <v>257</v>
      </c>
      <c r="H34">
        <f t="shared" ca="1" si="6"/>
        <v>390</v>
      </c>
      <c r="I34">
        <f t="shared" ca="1" si="6"/>
        <v>757</v>
      </c>
      <c r="J34">
        <f t="shared" ca="1" si="6"/>
        <v>1567</v>
      </c>
      <c r="K34">
        <f t="shared" ca="1" si="6"/>
        <v>2454</v>
      </c>
      <c r="L34">
        <f t="shared" ca="1" si="6"/>
        <v>3404</v>
      </c>
      <c r="M34">
        <f t="shared" ca="1" si="6"/>
        <v>4492</v>
      </c>
      <c r="N34">
        <f t="shared" ca="1" si="6"/>
        <v>5660</v>
      </c>
      <c r="O34">
        <f t="shared" ca="1" si="6"/>
        <v>6800</v>
      </c>
      <c r="P34">
        <f t="shared" ca="1" si="6"/>
        <v>7196</v>
      </c>
      <c r="Q34">
        <f t="shared" ca="1" si="6"/>
        <v>8254</v>
      </c>
      <c r="R34">
        <f t="shared" ca="1" si="6"/>
        <v>9285</v>
      </c>
      <c r="S34">
        <f t="shared" ca="1" si="6"/>
        <v>10324</v>
      </c>
      <c r="T34">
        <f t="shared" ca="1" si="7"/>
        <v>11670</v>
      </c>
      <c r="U34">
        <f t="shared" ca="1" si="7"/>
        <v>13759</v>
      </c>
      <c r="V34">
        <f t="shared" ca="1" si="7"/>
        <v>15309</v>
      </c>
      <c r="W34">
        <f t="shared" ca="1" si="7"/>
        <v>16646</v>
      </c>
      <c r="X34">
        <f t="shared" ca="1" si="7"/>
        <v>17949</v>
      </c>
      <c r="Y34">
        <f t="shared" ca="1" si="7"/>
        <v>19081</v>
      </c>
      <c r="Z34">
        <f t="shared" ca="1" si="7"/>
        <v>20655</v>
      </c>
      <c r="AA34">
        <f t="shared" ca="1" si="7"/>
        <v>21309</v>
      </c>
      <c r="AB34">
        <f t="shared" ca="1" si="7"/>
        <v>22875</v>
      </c>
      <c r="AC34">
        <f t="shared" ca="1" si="7"/>
        <v>24269.933333333349</v>
      </c>
      <c r="AD34">
        <f t="shared" ca="1" si="7"/>
        <v>30831.618037517881</v>
      </c>
    </row>
    <row r="35" spans="1:30">
      <c r="A35">
        <f t="shared" ca="1" si="8"/>
        <v>25</v>
      </c>
      <c r="B35" t="s">
        <v>124</v>
      </c>
      <c r="C35" t="s">
        <v>266</v>
      </c>
      <c r="D35">
        <f t="shared" ca="1" si="6"/>
        <v>0</v>
      </c>
      <c r="E35">
        <f t="shared" ca="1" si="6"/>
        <v>0</v>
      </c>
      <c r="F35">
        <f t="shared" ca="1" si="6"/>
        <v>0</v>
      </c>
      <c r="G35">
        <f t="shared" ca="1" si="6"/>
        <v>6</v>
      </c>
      <c r="H35">
        <f t="shared" ca="1" si="6"/>
        <v>6</v>
      </c>
      <c r="I35">
        <f t="shared" ca="1" si="6"/>
        <v>48</v>
      </c>
      <c r="J35">
        <f t="shared" ca="1" si="6"/>
        <v>51</v>
      </c>
      <c r="K35">
        <f t="shared" ca="1" si="6"/>
        <v>54</v>
      </c>
      <c r="L35">
        <f t="shared" ca="1" si="6"/>
        <v>54</v>
      </c>
      <c r="M35">
        <f t="shared" ca="1" si="6"/>
        <v>91</v>
      </c>
      <c r="N35">
        <f t="shared" ca="1" si="6"/>
        <v>163</v>
      </c>
      <c r="O35">
        <f t="shared" ca="1" si="6"/>
        <v>179</v>
      </c>
      <c r="P35">
        <f t="shared" ca="1" si="6"/>
        <v>225</v>
      </c>
      <c r="Q35">
        <f t="shared" ca="1" si="6"/>
        <v>279</v>
      </c>
      <c r="R35">
        <f t="shared" ca="1" si="6"/>
        <v>279</v>
      </c>
      <c r="S35">
        <f t="shared" ca="1" si="6"/>
        <v>421</v>
      </c>
      <c r="T35">
        <f t="shared" ca="1" si="7"/>
        <v>421</v>
      </c>
      <c r="U35">
        <f t="shared" ca="1" si="7"/>
        <v>421</v>
      </c>
      <c r="V35">
        <f t="shared" ca="1" si="7"/>
        <v>439</v>
      </c>
      <c r="W35">
        <f t="shared" ca="1" si="7"/>
        <v>548</v>
      </c>
      <c r="X35">
        <f t="shared" ca="1" si="7"/>
        <v>548</v>
      </c>
      <c r="Y35">
        <f t="shared" ca="1" si="7"/>
        <v>668</v>
      </c>
      <c r="Z35">
        <f t="shared" ca="1" si="7"/>
        <v>740</v>
      </c>
      <c r="AA35">
        <f t="shared" ca="1" si="7"/>
        <v>1208</v>
      </c>
      <c r="AB35">
        <f t="shared" ca="1" si="7"/>
        <v>1750</v>
      </c>
      <c r="AC35">
        <f t="shared" ca="1" si="7"/>
        <v>1944.4800000000628</v>
      </c>
      <c r="AD35">
        <f t="shared" ca="1" si="7"/>
        <v>2859.6228571428801</v>
      </c>
    </row>
    <row r="36" spans="1:30">
      <c r="A36">
        <f t="shared" ca="1" si="8"/>
        <v>36</v>
      </c>
      <c r="B36" t="s">
        <v>125</v>
      </c>
      <c r="C36" t="s">
        <v>266</v>
      </c>
      <c r="D36">
        <f t="shared" ca="1" si="6"/>
        <v>0</v>
      </c>
      <c r="E36">
        <f t="shared" ca="1" si="6"/>
        <v>0</v>
      </c>
      <c r="F36">
        <f t="shared" ca="1" si="6"/>
        <v>24</v>
      </c>
      <c r="G36">
        <f t="shared" ca="1" si="6"/>
        <v>27</v>
      </c>
      <c r="H36">
        <f t="shared" ca="1" si="6"/>
        <v>27</v>
      </c>
      <c r="I36">
        <f t="shared" ca="1" si="6"/>
        <v>27</v>
      </c>
      <c r="J36">
        <f t="shared" ca="1" si="6"/>
        <v>27</v>
      </c>
      <c r="K36">
        <f t="shared" ca="1" si="6"/>
        <v>27</v>
      </c>
      <c r="L36">
        <f t="shared" ca="1" si="6"/>
        <v>27</v>
      </c>
      <c r="M36">
        <f t="shared" ca="1" si="6"/>
        <v>28</v>
      </c>
      <c r="N36">
        <f t="shared" ca="1" si="6"/>
        <v>30</v>
      </c>
      <c r="O36">
        <f t="shared" ca="1" si="6"/>
        <v>31</v>
      </c>
      <c r="P36">
        <f t="shared" ca="1" si="6"/>
        <v>60</v>
      </c>
      <c r="Q36">
        <f t="shared" ca="1" si="6"/>
        <v>62</v>
      </c>
      <c r="R36">
        <f t="shared" ca="1" si="6"/>
        <v>62</v>
      </c>
      <c r="S36">
        <f t="shared" ca="1" si="6"/>
        <v>69</v>
      </c>
      <c r="T36">
        <f t="shared" ca="1" si="7"/>
        <v>70</v>
      </c>
      <c r="U36">
        <f t="shared" ca="1" si="7"/>
        <v>66</v>
      </c>
      <c r="V36">
        <f t="shared" ca="1" si="7"/>
        <v>66</v>
      </c>
      <c r="W36">
        <f t="shared" ca="1" si="7"/>
        <v>66</v>
      </c>
      <c r="X36">
        <f t="shared" ca="1" si="7"/>
        <v>66</v>
      </c>
      <c r="Y36">
        <f t="shared" ca="1" si="7"/>
        <v>66</v>
      </c>
      <c r="Z36">
        <f t="shared" ca="1" si="7"/>
        <v>137</v>
      </c>
      <c r="AA36">
        <f t="shared" ca="1" si="7"/>
        <v>137</v>
      </c>
      <c r="AB36">
        <f t="shared" ca="1" si="7"/>
        <v>137</v>
      </c>
      <c r="AC36">
        <f t="shared" ca="1" si="7"/>
        <v>154.1833333333343</v>
      </c>
      <c r="AD36">
        <f t="shared" ca="1" si="7"/>
        <v>222.84747474747564</v>
      </c>
    </row>
    <row r="37" spans="1:30">
      <c r="A37">
        <f t="shared" ca="1" si="8"/>
        <v>12</v>
      </c>
      <c r="B37" t="s">
        <v>126</v>
      </c>
      <c r="C37" t="s">
        <v>266</v>
      </c>
      <c r="D37">
        <f t="shared" ca="1" si="6"/>
        <v>446</v>
      </c>
      <c r="E37">
        <f t="shared" ca="1" si="6"/>
        <v>486</v>
      </c>
      <c r="F37">
        <f t="shared" ca="1" si="6"/>
        <v>693</v>
      </c>
      <c r="G37">
        <f t="shared" ca="1" si="6"/>
        <v>910</v>
      </c>
      <c r="H37">
        <f t="shared" ca="1" si="6"/>
        <v>1079</v>
      </c>
      <c r="I37">
        <f t="shared" ca="1" si="6"/>
        <v>1219</v>
      </c>
      <c r="J37">
        <f t="shared" ca="1" si="6"/>
        <v>1558</v>
      </c>
      <c r="K37">
        <f t="shared" ca="1" si="6"/>
        <v>1747</v>
      </c>
      <c r="L37">
        <f t="shared" ca="1" si="6"/>
        <v>1978.2</v>
      </c>
      <c r="M37">
        <f t="shared" ca="1" si="6"/>
        <v>1982.2</v>
      </c>
      <c r="N37">
        <f t="shared" ca="1" si="6"/>
        <v>2017</v>
      </c>
      <c r="O37">
        <f t="shared" ca="1" si="6"/>
        <v>2100</v>
      </c>
      <c r="P37">
        <f t="shared" ca="1" si="6"/>
        <v>2163</v>
      </c>
      <c r="Q37">
        <f t="shared" ca="1" si="6"/>
        <v>2465</v>
      </c>
      <c r="R37">
        <f t="shared" ca="1" si="6"/>
        <v>2577</v>
      </c>
      <c r="S37">
        <f t="shared" ca="1" si="6"/>
        <v>3034</v>
      </c>
      <c r="T37">
        <f t="shared" ca="1" si="7"/>
        <v>3223</v>
      </c>
      <c r="U37">
        <f t="shared" ca="1" si="7"/>
        <v>3384</v>
      </c>
      <c r="V37">
        <f t="shared" ca="1" si="7"/>
        <v>3514</v>
      </c>
      <c r="W37">
        <f t="shared" ca="1" si="7"/>
        <v>3643</v>
      </c>
      <c r="X37">
        <f t="shared" ca="1" si="7"/>
        <v>4324.5</v>
      </c>
      <c r="Y37">
        <f t="shared" ca="1" si="7"/>
        <v>5705.5</v>
      </c>
      <c r="Z37">
        <f t="shared" ca="1" si="7"/>
        <v>6481</v>
      </c>
      <c r="AA37">
        <f t="shared" ca="1" si="7"/>
        <v>7515.5</v>
      </c>
      <c r="AB37">
        <f t="shared" ca="1" si="7"/>
        <v>6958</v>
      </c>
      <c r="AC37">
        <f t="shared" ca="1" si="7"/>
        <v>8017.5333333332092</v>
      </c>
      <c r="AD37">
        <f t="shared" ca="1" si="7"/>
        <v>11016.949639249593</v>
      </c>
    </row>
    <row r="38" spans="1:30">
      <c r="A38">
        <f t="shared" ca="1" si="8"/>
        <v>50</v>
      </c>
      <c r="B38" t="s">
        <v>127</v>
      </c>
      <c r="C38" t="s">
        <v>266</v>
      </c>
      <c r="D38">
        <f t="shared" ca="1" si="6"/>
        <v>0</v>
      </c>
      <c r="E38">
        <f t="shared" ca="1" si="6"/>
        <v>0</v>
      </c>
      <c r="F38">
        <f t="shared" ca="1" si="6"/>
        <v>0</v>
      </c>
      <c r="G38">
        <f t="shared" ca="1" si="6"/>
        <v>42.416650515752529</v>
      </c>
      <c r="H38">
        <f t="shared" ca="1" si="6"/>
        <v>67.194693886340644</v>
      </c>
      <c r="I38">
        <f t="shared" ca="1" si="6"/>
        <v>112.13114542283094</v>
      </c>
      <c r="J38">
        <f t="shared" ca="1" si="6"/>
        <v>131.8695867519435</v>
      </c>
      <c r="K38">
        <f t="shared" ca="1" si="6"/>
        <v>139.84895665094646</v>
      </c>
      <c r="L38">
        <f t="shared" ca="1" si="6"/>
        <v>177.64597196201305</v>
      </c>
      <c r="M38">
        <f t="shared" ca="1" si="6"/>
        <v>178.48590563559233</v>
      </c>
      <c r="N38">
        <f t="shared" ca="1" si="6"/>
        <v>182.6855740034886</v>
      </c>
      <c r="O38">
        <f t="shared" ca="1" si="6"/>
        <v>215.86295410986929</v>
      </c>
      <c r="P38">
        <f t="shared" ca="1" si="6"/>
        <v>292.7168852423714</v>
      </c>
      <c r="Q38">
        <f t="shared" ca="1" si="6"/>
        <v>320.0147296336973</v>
      </c>
      <c r="R38">
        <f t="shared" ca="1" si="6"/>
        <v>341.43303830996837</v>
      </c>
      <c r="S38">
        <f t="shared" ca="1" si="6"/>
        <v>342.69293882033725</v>
      </c>
      <c r="T38">
        <f t="shared" ca="1" si="7"/>
        <v>349.41240820897133</v>
      </c>
      <c r="U38">
        <f t="shared" ca="1" si="7"/>
        <v>485.48166332881112</v>
      </c>
      <c r="V38">
        <f t="shared" ca="1" si="7"/>
        <v>700.92465060189079</v>
      </c>
      <c r="W38">
        <f t="shared" ca="1" si="7"/>
        <v>1023.8791480931154</v>
      </c>
      <c r="X38">
        <f t="shared" ca="1" si="7"/>
        <v>1668.9482094019857</v>
      </c>
      <c r="Y38">
        <f t="shared" ca="1" si="7"/>
        <v>1952.4258242349852</v>
      </c>
      <c r="Z38">
        <f t="shared" ca="1" si="7"/>
        <v>2159.889441609062</v>
      </c>
      <c r="AA38">
        <f t="shared" ca="1" si="7"/>
        <v>2137.3792191571374</v>
      </c>
      <c r="AB38">
        <f t="shared" ca="1" si="7"/>
        <v>2139.0590865042959</v>
      </c>
      <c r="AC38">
        <f t="shared" ca="1" si="7"/>
        <v>2513.4623212811421</v>
      </c>
      <c r="AD38">
        <f t="shared" ca="1" si="7"/>
        <v>3479.7817116227561</v>
      </c>
    </row>
    <row r="39" spans="1:30">
      <c r="A39">
        <f t="shared" ca="1" si="8"/>
        <v>51</v>
      </c>
      <c r="B39" t="s">
        <v>128</v>
      </c>
      <c r="C39" t="s">
        <v>266</v>
      </c>
      <c r="D39">
        <f t="shared" ca="1" si="6"/>
        <v>0</v>
      </c>
      <c r="E39">
        <f t="shared" ca="1" si="6"/>
        <v>0</v>
      </c>
      <c r="F39">
        <f t="shared" ca="1" si="6"/>
        <v>0</v>
      </c>
      <c r="G39">
        <f t="shared" ca="1" si="6"/>
        <v>19.38568382970476</v>
      </c>
      <c r="H39">
        <f t="shared" ca="1" si="6"/>
        <v>30.709994185670908</v>
      </c>
      <c r="I39">
        <f t="shared" ca="1" si="6"/>
        <v>51.247302797338328</v>
      </c>
      <c r="J39">
        <f t="shared" ca="1" si="6"/>
        <v>60.268363589379156</v>
      </c>
      <c r="K39">
        <f t="shared" ca="1" si="6"/>
        <v>63.91517539892758</v>
      </c>
      <c r="L39">
        <f t="shared" ca="1" si="6"/>
        <v>81.189547128367465</v>
      </c>
      <c r="M39">
        <f t="shared" ca="1" si="6"/>
        <v>81.573422055688354</v>
      </c>
      <c r="N39">
        <f t="shared" ca="1" si="6"/>
        <v>83.492796692292785</v>
      </c>
      <c r="O39">
        <f t="shared" ca="1" si="6"/>
        <v>98.655856321467795</v>
      </c>
      <c r="P39">
        <f t="shared" ca="1" si="6"/>
        <v>133.78041217132889</v>
      </c>
      <c r="Q39">
        <f t="shared" ca="1" si="6"/>
        <v>146.25634730925771</v>
      </c>
      <c r="R39">
        <f t="shared" ca="1" si="6"/>
        <v>156.04515795594031</v>
      </c>
      <c r="S39">
        <f t="shared" ca="1" si="6"/>
        <v>156.62097034692164</v>
      </c>
      <c r="T39">
        <f t="shared" ca="1" si="7"/>
        <v>159.69196976548872</v>
      </c>
      <c r="U39">
        <f t="shared" ca="1" si="7"/>
        <v>221.87970799147232</v>
      </c>
      <c r="V39">
        <f t="shared" ca="1" si="7"/>
        <v>320.34362684927964</v>
      </c>
      <c r="W39">
        <f t="shared" ca="1" si="7"/>
        <v>467.94353640416045</v>
      </c>
      <c r="X39">
        <f t="shared" ca="1" si="7"/>
        <v>762.75948058660117</v>
      </c>
      <c r="Y39">
        <f t="shared" ca="1" si="7"/>
        <v>892.31726855740033</v>
      </c>
      <c r="Z39">
        <f t="shared" ca="1" si="7"/>
        <v>987.13437560565922</v>
      </c>
      <c r="AA39">
        <f t="shared" ca="1" si="7"/>
        <v>976.8465275534594</v>
      </c>
      <c r="AB39">
        <f t="shared" ca="1" si="7"/>
        <v>977.6142774081012</v>
      </c>
      <c r="AC39">
        <f t="shared" ca="1" si="7"/>
        <v>1148.7278058444681</v>
      </c>
      <c r="AD39">
        <f t="shared" ca="1" si="7"/>
        <v>1590.364803389069</v>
      </c>
    </row>
    <row r="40" spans="1:30">
      <c r="A40">
        <f t="shared" ca="1" si="8"/>
        <v>52</v>
      </c>
      <c r="B40" t="s">
        <v>129</v>
      </c>
      <c r="C40" t="s">
        <v>266</v>
      </c>
      <c r="D40">
        <f t="shared" ca="1" si="6"/>
        <v>0</v>
      </c>
      <c r="E40">
        <f t="shared" ca="1" si="6"/>
        <v>0</v>
      </c>
      <c r="F40">
        <f t="shared" ca="1" si="6"/>
        <v>0</v>
      </c>
      <c r="G40">
        <f t="shared" ca="1" si="6"/>
        <v>39.197665654542718</v>
      </c>
      <c r="H40">
        <f t="shared" ca="1" si="6"/>
        <v>62.095311927988462</v>
      </c>
      <c r="I40">
        <f t="shared" ca="1" si="6"/>
        <v>103.62155177983075</v>
      </c>
      <c r="J40">
        <f t="shared" ca="1" si="6"/>
        <v>121.86204965867736</v>
      </c>
      <c r="K40">
        <f t="shared" ca="1" si="6"/>
        <v>129.23586795012599</v>
      </c>
      <c r="L40">
        <f t="shared" ca="1" si="6"/>
        <v>164.1644809096195</v>
      </c>
      <c r="M40">
        <f t="shared" ca="1" si="6"/>
        <v>164.94067230871934</v>
      </c>
      <c r="N40">
        <f t="shared" ca="1" si="6"/>
        <v>168.82162930421865</v>
      </c>
      <c r="O40">
        <f t="shared" ca="1" si="6"/>
        <v>199.48118956866293</v>
      </c>
      <c r="P40">
        <f t="shared" ca="1" si="6"/>
        <v>270.50270258629973</v>
      </c>
      <c r="Q40">
        <f t="shared" ca="1" si="6"/>
        <v>295.72892305704505</v>
      </c>
      <c r="R40">
        <f t="shared" ca="1" si="6"/>
        <v>315.52180373409141</v>
      </c>
      <c r="S40">
        <f t="shared" ref="S40:AD46" ca="1" si="9">SUMIFS( INDIRECT(CONCATENATE($C40,"!", $A40, ":", $A40)),  INDIRECT(CONCATENATE($C40, "!$4:$4")), S$1)</f>
        <v>316.68609083274117</v>
      </c>
      <c r="T40">
        <f t="shared" ca="1" si="7"/>
        <v>322.89562202554004</v>
      </c>
      <c r="U40">
        <f t="shared" ca="1" si="7"/>
        <v>448.63862867971665</v>
      </c>
      <c r="V40">
        <f t="shared" ca="1" si="7"/>
        <v>647.73172254882968</v>
      </c>
      <c r="W40">
        <f t="shared" ca="1" si="7"/>
        <v>946.17731550272424</v>
      </c>
      <c r="X40">
        <f t="shared" ca="1" si="7"/>
        <v>1542.2923100114135</v>
      </c>
      <c r="Y40">
        <f t="shared" ca="1" si="7"/>
        <v>1804.2569072076149</v>
      </c>
      <c r="Z40">
        <f t="shared" ca="1" si="7"/>
        <v>1995.9761827852792</v>
      </c>
      <c r="AA40">
        <f t="shared" ca="1" si="7"/>
        <v>1975.1742532894029</v>
      </c>
      <c r="AB40">
        <f t="shared" ca="1" si="7"/>
        <v>1976.7266360876026</v>
      </c>
      <c r="AC40">
        <f t="shared" ca="1" si="7"/>
        <v>2322.7165395410084</v>
      </c>
      <c r="AD40">
        <f t="shared" ca="1" si="7"/>
        <v>3215.7022872969601</v>
      </c>
    </row>
    <row r="41" spans="1:30">
      <c r="A41">
        <f t="shared" ca="1" si="8"/>
        <v>13</v>
      </c>
      <c r="B41" t="s">
        <v>130</v>
      </c>
      <c r="C41" t="s">
        <v>266</v>
      </c>
      <c r="D41">
        <f t="shared" ref="D41:R46" ca="1" si="10">SUMIFS( INDIRECT(CONCATENATE($C41,"!", $A41, ":", $A41)),  INDIRECT(CONCATENATE($C41, "!$4:$4")), D$1)</f>
        <v>0</v>
      </c>
      <c r="E41">
        <f t="shared" ca="1" si="10"/>
        <v>0</v>
      </c>
      <c r="F41">
        <f t="shared" ca="1" si="10"/>
        <v>27</v>
      </c>
      <c r="G41">
        <f t="shared" ca="1" si="10"/>
        <v>63</v>
      </c>
      <c r="H41">
        <f t="shared" ca="1" si="10"/>
        <v>63</v>
      </c>
      <c r="I41">
        <f t="shared" ca="1" si="10"/>
        <v>83</v>
      </c>
      <c r="J41">
        <f t="shared" ca="1" si="10"/>
        <v>153</v>
      </c>
      <c r="K41">
        <f t="shared" ca="1" si="10"/>
        <v>276</v>
      </c>
      <c r="L41">
        <f t="shared" ca="1" si="10"/>
        <v>544</v>
      </c>
      <c r="M41">
        <f t="shared" ca="1" si="10"/>
        <v>725</v>
      </c>
      <c r="N41">
        <f t="shared" ca="1" si="10"/>
        <v>1107</v>
      </c>
      <c r="O41">
        <f t="shared" ca="1" si="10"/>
        <v>1616</v>
      </c>
      <c r="P41">
        <f t="shared" ca="1" si="10"/>
        <v>2497</v>
      </c>
      <c r="Q41">
        <f t="shared" ca="1" si="10"/>
        <v>3390</v>
      </c>
      <c r="R41">
        <f t="shared" ca="1" si="10"/>
        <v>3834</v>
      </c>
      <c r="S41">
        <f t="shared" ca="1" si="9"/>
        <v>5100</v>
      </c>
      <c r="T41">
        <f t="shared" ca="1" si="9"/>
        <v>5782</v>
      </c>
      <c r="U41">
        <f t="shared" ca="1" si="9"/>
        <v>6397</v>
      </c>
      <c r="V41">
        <f t="shared" ca="1" si="9"/>
        <v>5864</v>
      </c>
      <c r="W41">
        <f t="shared" ca="1" si="9"/>
        <v>5917</v>
      </c>
      <c r="X41">
        <f t="shared" ca="1" si="9"/>
        <v>6614</v>
      </c>
      <c r="Y41">
        <f t="shared" ca="1" si="9"/>
        <v>7116</v>
      </c>
      <c r="Z41">
        <f t="shared" ca="1" si="9"/>
        <v>7864</v>
      </c>
      <c r="AA41">
        <f t="shared" ca="1" si="9"/>
        <v>9383</v>
      </c>
      <c r="AB41">
        <f t="shared" ca="1" si="9"/>
        <v>10233</v>
      </c>
      <c r="AC41">
        <f t="shared" ca="1" si="9"/>
        <v>10539.99</v>
      </c>
      <c r="AD41">
        <f t="shared" ca="1" si="9"/>
        <v>13942.66640692635</v>
      </c>
    </row>
    <row r="42" spans="1:30">
      <c r="A42">
        <f t="shared" ca="1" si="8"/>
        <v>53</v>
      </c>
      <c r="B42" t="s">
        <v>131</v>
      </c>
      <c r="C42" t="s">
        <v>266</v>
      </c>
      <c r="D42">
        <f t="shared" ca="1" si="10"/>
        <v>46.07270669162785</v>
      </c>
      <c r="E42">
        <f t="shared" ca="1" si="10"/>
        <v>58.438541388082072</v>
      </c>
      <c r="F42">
        <f t="shared" ca="1" si="10"/>
        <v>68.80988661736626</v>
      </c>
      <c r="G42">
        <f t="shared" ca="1" si="10"/>
        <v>79.580129740084459</v>
      </c>
      <c r="H42">
        <f t="shared" ca="1" si="10"/>
        <v>88.156434448915618</v>
      </c>
      <c r="I42">
        <f t="shared" ca="1" si="10"/>
        <v>101.51951387895487</v>
      </c>
      <c r="J42">
        <f t="shared" ca="1" si="10"/>
        <v>113.8853485754091</v>
      </c>
      <c r="K42">
        <f t="shared" ca="1" si="10"/>
        <v>157.16577001299888</v>
      </c>
      <c r="L42">
        <f t="shared" ca="1" si="10"/>
        <v>182.35617198335643</v>
      </c>
      <c r="M42">
        <f t="shared" ca="1" si="10"/>
        <v>278.4905643009522</v>
      </c>
      <c r="N42">
        <f t="shared" ca="1" si="10"/>
        <v>398.81811385532052</v>
      </c>
      <c r="O42">
        <f t="shared" ca="1" si="10"/>
        <v>547.20813021277127</v>
      </c>
      <c r="P42">
        <f t="shared" ca="1" si="10"/>
        <v>714.28651287760522</v>
      </c>
      <c r="Q42">
        <f t="shared" ca="1" si="10"/>
        <v>849.31344980501672</v>
      </c>
      <c r="R42">
        <f t="shared" ca="1" si="10"/>
        <v>1039.7871939197553</v>
      </c>
      <c r="S42">
        <f t="shared" ca="1" si="9"/>
        <v>1162.2488472039954</v>
      </c>
      <c r="T42">
        <f t="shared" ca="1" si="9"/>
        <v>1259.9788310953272</v>
      </c>
      <c r="U42">
        <f t="shared" ca="1" si="9"/>
        <v>1294.2840499306519</v>
      </c>
      <c r="V42">
        <f t="shared" ca="1" si="9"/>
        <v>1436.8302121492943</v>
      </c>
      <c r="W42">
        <f t="shared" ca="1" si="9"/>
        <v>1753.6548640092547</v>
      </c>
      <c r="X42">
        <f t="shared" ca="1" si="9"/>
        <v>1952.405739412749</v>
      </c>
      <c r="Y42">
        <f t="shared" ca="1" si="9"/>
        <v>2372.2457722520417</v>
      </c>
      <c r="Z42">
        <f t="shared" ca="1" si="9"/>
        <v>2870.4692411511169</v>
      </c>
      <c r="AA42">
        <f t="shared" ca="1" si="9"/>
        <v>3240.6464862578755</v>
      </c>
      <c r="AB42">
        <f t="shared" ca="1" si="9"/>
        <v>3392.0282368160815</v>
      </c>
      <c r="AC42">
        <f t="shared" ca="1" si="9"/>
        <v>3728.6428779991356</v>
      </c>
      <c r="AD42">
        <f t="shared" ca="1" si="9"/>
        <v>5288.7938992707232</v>
      </c>
    </row>
    <row r="43" spans="1:30">
      <c r="A43">
        <f t="shared" ca="1" si="8"/>
        <v>54</v>
      </c>
      <c r="B43" t="s">
        <v>132</v>
      </c>
      <c r="C43" t="s">
        <v>266</v>
      </c>
      <c r="D43">
        <f t="shared" ca="1" si="10"/>
        <v>106.54924028037789</v>
      </c>
      <c r="E43">
        <f t="shared" ca="1" si="10"/>
        <v>135.14687187078235</v>
      </c>
      <c r="F43">
        <f t="shared" ca="1" si="10"/>
        <v>159.13198223692802</v>
      </c>
      <c r="G43">
        <f t="shared" ca="1" si="10"/>
        <v>184.03959684792545</v>
      </c>
      <c r="H43">
        <f t="shared" ca="1" si="10"/>
        <v>203.8734381122382</v>
      </c>
      <c r="I43">
        <f t="shared" ca="1" si="10"/>
        <v>234.77733031477206</v>
      </c>
      <c r="J43">
        <f t="shared" ca="1" si="10"/>
        <v>263.37496190517652</v>
      </c>
      <c r="K43">
        <f t="shared" ca="1" si="10"/>
        <v>363.46667247159212</v>
      </c>
      <c r="L43">
        <f t="shared" ca="1" si="10"/>
        <v>421.72281553398051</v>
      </c>
      <c r="M43">
        <f t="shared" ca="1" si="10"/>
        <v>644.04633854325391</v>
      </c>
      <c r="N43">
        <f t="shared" ca="1" si="10"/>
        <v>922.31974400278625</v>
      </c>
      <c r="O43">
        <f t="shared" ca="1" si="10"/>
        <v>1265.4913230876398</v>
      </c>
      <c r="P43">
        <f t="shared" ca="1" si="10"/>
        <v>1651.882226043798</v>
      </c>
      <c r="Q43">
        <f t="shared" ca="1" si="10"/>
        <v>1964.1499129261176</v>
      </c>
      <c r="R43">
        <f t="shared" ca="1" si="10"/>
        <v>2404.6456898428314</v>
      </c>
      <c r="S43">
        <f t="shared" ca="1" si="9"/>
        <v>2687.8544930123207</v>
      </c>
      <c r="T43">
        <f t="shared" ca="1" si="9"/>
        <v>2913.8680330010011</v>
      </c>
      <c r="U43">
        <f t="shared" ca="1" si="9"/>
        <v>2993.2033980582523</v>
      </c>
      <c r="V43">
        <f t="shared" ca="1" si="9"/>
        <v>3322.8602899560274</v>
      </c>
      <c r="W43">
        <f t="shared" ca="1" si="9"/>
        <v>4055.559286429535</v>
      </c>
      <c r="X43">
        <f t="shared" ca="1" si="9"/>
        <v>4515.197026426923</v>
      </c>
      <c r="Y43">
        <f t="shared" ca="1" si="9"/>
        <v>5486.132744133397</v>
      </c>
      <c r="Z43">
        <f t="shared" ca="1" si="9"/>
        <v>6638.3405459532405</v>
      </c>
      <c r="AA43">
        <f t="shared" ca="1" si="9"/>
        <v>7494.4244851756712</v>
      </c>
      <c r="AB43">
        <f t="shared" ca="1" si="9"/>
        <v>7844.5148460969122</v>
      </c>
      <c r="AC43">
        <f t="shared" ca="1" si="9"/>
        <v>8622.9808156646159</v>
      </c>
      <c r="AD43">
        <f t="shared" ca="1" si="9"/>
        <v>12231.036820530302</v>
      </c>
    </row>
    <row r="44" spans="1:30">
      <c r="A44">
        <f t="shared" ca="1" si="8"/>
        <v>55</v>
      </c>
      <c r="B44" t="s">
        <v>133</v>
      </c>
      <c r="C44" t="s">
        <v>266</v>
      </c>
      <c r="D44">
        <f t="shared" ca="1" si="10"/>
        <v>49.774413339718748</v>
      </c>
      <c r="E44">
        <f t="shared" ca="1" si="10"/>
        <v>63.133779690638931</v>
      </c>
      <c r="F44">
        <f t="shared" ca="1" si="10"/>
        <v>74.33840953334618</v>
      </c>
      <c r="G44">
        <f t="shared" ca="1" si="10"/>
        <v>85.973986677696018</v>
      </c>
      <c r="H44">
        <f t="shared" ca="1" si="10"/>
        <v>95.239353663011627</v>
      </c>
      <c r="I44">
        <f t="shared" ca="1" si="10"/>
        <v>109.67608826803827</v>
      </c>
      <c r="J44">
        <f t="shared" ca="1" si="10"/>
        <v>123.03545461895845</v>
      </c>
      <c r="K44">
        <f t="shared" ca="1" si="10"/>
        <v>169.79323684717909</v>
      </c>
      <c r="L44">
        <f t="shared" ca="1" si="10"/>
        <v>197.00755894590844</v>
      </c>
      <c r="M44">
        <f t="shared" ca="1" si="10"/>
        <v>300.86585864177181</v>
      </c>
      <c r="N44">
        <f t="shared" ca="1" si="10"/>
        <v>430.86111218225801</v>
      </c>
      <c r="O44">
        <f t="shared" ca="1" si="10"/>
        <v>591.17350839330015</v>
      </c>
      <c r="P44">
        <f t="shared" ca="1" si="10"/>
        <v>771.67578568629767</v>
      </c>
      <c r="Q44">
        <f t="shared" ca="1" si="10"/>
        <v>917.55144729231313</v>
      </c>
      <c r="R44">
        <f t="shared" ca="1" si="10"/>
        <v>1123.3287838266483</v>
      </c>
      <c r="S44">
        <f t="shared" ca="1" si="9"/>
        <v>1255.6296054309223</v>
      </c>
      <c r="T44">
        <f t="shared" ca="1" si="9"/>
        <v>1361.211694333356</v>
      </c>
      <c r="U44">
        <f t="shared" ca="1" si="9"/>
        <v>1398.2731622746185</v>
      </c>
      <c r="V44">
        <f t="shared" ca="1" si="9"/>
        <v>1552.2721805165968</v>
      </c>
      <c r="W44">
        <f t="shared" ca="1" si="9"/>
        <v>1894.5520748462211</v>
      </c>
      <c r="X44">
        <f t="shared" ca="1" si="9"/>
        <v>2109.2715678896398</v>
      </c>
      <c r="Y44">
        <f t="shared" ca="1" si="9"/>
        <v>2562.8436028684623</v>
      </c>
      <c r="Z44">
        <f t="shared" ca="1" si="9"/>
        <v>3101.0967826200526</v>
      </c>
      <c r="AA44">
        <f t="shared" ca="1" si="9"/>
        <v>3501.0158785443732</v>
      </c>
      <c r="AB44">
        <f t="shared" ca="1" si="9"/>
        <v>3664.5603795177349</v>
      </c>
      <c r="AC44">
        <f t="shared" ca="1" si="9"/>
        <v>4028.2202877273617</v>
      </c>
      <c r="AD44">
        <f t="shared" ca="1" si="9"/>
        <v>5713.7214744693947</v>
      </c>
    </row>
    <row r="45" spans="1:30">
      <c r="A45">
        <f t="shared" ca="1" si="8"/>
        <v>56</v>
      </c>
      <c r="B45" t="s">
        <v>134</v>
      </c>
      <c r="C45" t="s">
        <v>266</v>
      </c>
      <c r="D45">
        <f t="shared" ca="1" si="10"/>
        <v>28.603639688275504</v>
      </c>
      <c r="E45">
        <f t="shared" ca="1" si="10"/>
        <v>36.280807050496634</v>
      </c>
      <c r="F45">
        <f t="shared" ca="1" si="10"/>
        <v>42.719721612359514</v>
      </c>
      <c r="G45">
        <f t="shared" ca="1" si="10"/>
        <v>49.406286734294049</v>
      </c>
      <c r="H45">
        <f t="shared" ca="1" si="10"/>
        <v>54.730773775834514</v>
      </c>
      <c r="I45">
        <f t="shared" ca="1" si="10"/>
        <v>63.027067538234768</v>
      </c>
      <c r="J45">
        <f t="shared" ca="1" si="10"/>
        <v>70.704234900455901</v>
      </c>
      <c r="K45">
        <f t="shared" ca="1" si="10"/>
        <v>97.574320668229859</v>
      </c>
      <c r="L45">
        <f t="shared" ca="1" si="10"/>
        <v>113.2134535367545</v>
      </c>
      <c r="M45">
        <f t="shared" ca="1" si="10"/>
        <v>172.89723851402201</v>
      </c>
      <c r="N45">
        <f t="shared" ca="1" si="10"/>
        <v>247.60102995963504</v>
      </c>
      <c r="O45">
        <f t="shared" ca="1" si="10"/>
        <v>339.72703830628859</v>
      </c>
      <c r="P45">
        <f t="shared" ca="1" si="10"/>
        <v>443.45547539229898</v>
      </c>
      <c r="Q45">
        <f t="shared" ca="1" si="10"/>
        <v>527.28518997655226</v>
      </c>
      <c r="R45">
        <f t="shared" ca="1" si="10"/>
        <v>645.53833241076484</v>
      </c>
      <c r="S45">
        <f t="shared" ca="1" si="9"/>
        <v>721.56705435276126</v>
      </c>
      <c r="T45">
        <f t="shared" ca="1" si="9"/>
        <v>782.24144157031526</v>
      </c>
      <c r="U45">
        <f t="shared" ca="1" si="9"/>
        <v>803.53938973647712</v>
      </c>
      <c r="V45">
        <f t="shared" ca="1" si="9"/>
        <v>892.03731737808107</v>
      </c>
      <c r="W45">
        <f t="shared" ca="1" si="9"/>
        <v>1088.7337747149886</v>
      </c>
      <c r="X45">
        <f t="shared" ca="1" si="9"/>
        <v>1212.1256662706878</v>
      </c>
      <c r="Y45">
        <f t="shared" ca="1" si="9"/>
        <v>1472.7778807460988</v>
      </c>
      <c r="Z45">
        <f t="shared" ca="1" si="9"/>
        <v>1782.0934302755888</v>
      </c>
      <c r="AA45">
        <f t="shared" ca="1" si="9"/>
        <v>2011.9131500220794</v>
      </c>
      <c r="AB45">
        <f t="shared" ca="1" si="9"/>
        <v>2105.8965375692705</v>
      </c>
      <c r="AC45">
        <f t="shared" ca="1" si="9"/>
        <v>2314.8793519422725</v>
      </c>
      <c r="AD45">
        <f t="shared" ca="1" si="9"/>
        <v>3283.478786970838</v>
      </c>
    </row>
    <row r="46" spans="1:30">
      <c r="A46">
        <f t="shared" ca="1" si="8"/>
        <v>6</v>
      </c>
      <c r="B46" t="s">
        <v>135</v>
      </c>
      <c r="C46" t="s">
        <v>266</v>
      </c>
      <c r="D46">
        <f t="shared" ca="1" si="10"/>
        <v>406</v>
      </c>
      <c r="E46">
        <f t="shared" ca="1" si="10"/>
        <v>474</v>
      </c>
      <c r="F46">
        <f t="shared" ca="1" si="10"/>
        <v>552</v>
      </c>
      <c r="G46">
        <f t="shared" ca="1" si="10"/>
        <v>667</v>
      </c>
      <c r="H46">
        <f t="shared" ca="1" si="10"/>
        <v>904</v>
      </c>
      <c r="I46">
        <f t="shared" ca="1" si="10"/>
        <v>1332</v>
      </c>
      <c r="J46">
        <f t="shared" ca="1" si="10"/>
        <v>1962</v>
      </c>
      <c r="K46">
        <f t="shared" ca="1" si="10"/>
        <v>2406</v>
      </c>
      <c r="L46">
        <f t="shared" ca="1" si="10"/>
        <v>2388</v>
      </c>
      <c r="M46">
        <f t="shared" ca="1" si="10"/>
        <v>3362.8</v>
      </c>
      <c r="N46">
        <f t="shared" ca="1" si="10"/>
        <v>3862.8</v>
      </c>
      <c r="O46">
        <f t="shared" ca="1" si="10"/>
        <v>4446.3</v>
      </c>
      <c r="P46">
        <f t="shared" ca="1" si="10"/>
        <v>5450</v>
      </c>
      <c r="Q46">
        <f t="shared" ca="1" si="10"/>
        <v>6874</v>
      </c>
      <c r="R46">
        <f t="shared" ca="1" si="10"/>
        <v>7938.7</v>
      </c>
      <c r="S46">
        <f t="shared" ca="1" si="9"/>
        <v>9186.5</v>
      </c>
      <c r="T46">
        <f t="shared" ca="1" si="9"/>
        <v>9737</v>
      </c>
      <c r="U46">
        <f t="shared" ca="1" si="9"/>
        <v>12511.5</v>
      </c>
      <c r="V46">
        <f t="shared" ca="1" si="9"/>
        <v>13542.5</v>
      </c>
      <c r="W46">
        <f t="shared" ca="1" si="9"/>
        <v>15499.5</v>
      </c>
      <c r="X46">
        <f t="shared" ca="1" si="9"/>
        <v>14219.5</v>
      </c>
      <c r="Y46">
        <f t="shared" ca="1" si="9"/>
        <v>16816.5</v>
      </c>
      <c r="Z46">
        <f t="shared" ca="1" si="9"/>
        <v>15306.5</v>
      </c>
      <c r="AA46">
        <f t="shared" ca="1" si="9"/>
        <v>15295.5</v>
      </c>
      <c r="AB46">
        <f t="shared" ca="1" si="9"/>
        <v>15736</v>
      </c>
      <c r="AC46">
        <f t="shared" ca="1" si="9"/>
        <v>16862.950000000128</v>
      </c>
      <c r="AD46">
        <f t="shared" ca="1" si="9"/>
        <v>19388.421861471899</v>
      </c>
    </row>
    <row r="48" spans="1:30">
      <c r="A48">
        <f ca="1">IFERROR(MATCH($B48, INDIRECT(CONCATENATE($C48, "!$B:$B")),0), 1)</f>
        <v>1</v>
      </c>
      <c r="B48" t="s">
        <v>111</v>
      </c>
      <c r="C48" t="s">
        <v>107</v>
      </c>
      <c r="D48">
        <f t="shared" ref="D48:S63" ca="1" si="11">SUMIFS( INDIRECT(CONCATENATE($C48,"!", $A48, ":", $A48)),  INDIRECT(CONCATENATE($C48, "!$4:$4")), D$1)</f>
        <v>0</v>
      </c>
      <c r="E48">
        <f t="shared" ca="1" si="11"/>
        <v>0</v>
      </c>
      <c r="F48">
        <f t="shared" ca="1" si="11"/>
        <v>0</v>
      </c>
      <c r="G48">
        <f t="shared" ca="1" si="11"/>
        <v>0</v>
      </c>
      <c r="H48">
        <f t="shared" ca="1" si="11"/>
        <v>0</v>
      </c>
      <c r="I48">
        <f t="shared" ca="1" si="11"/>
        <v>0</v>
      </c>
      <c r="J48">
        <f t="shared" ca="1" si="11"/>
        <v>0</v>
      </c>
      <c r="K48">
        <f t="shared" ca="1" si="11"/>
        <v>0</v>
      </c>
      <c r="L48">
        <f t="shared" ca="1" si="11"/>
        <v>0</v>
      </c>
      <c r="M48">
        <f t="shared" ca="1" si="11"/>
        <v>0</v>
      </c>
      <c r="N48">
        <f t="shared" ca="1" si="11"/>
        <v>0</v>
      </c>
      <c r="O48">
        <f t="shared" ca="1" si="11"/>
        <v>0</v>
      </c>
      <c r="P48">
        <f t="shared" ca="1" si="11"/>
        <v>0</v>
      </c>
      <c r="Q48">
        <f t="shared" ca="1" si="11"/>
        <v>0</v>
      </c>
      <c r="R48">
        <f t="shared" ca="1" si="11"/>
        <v>0</v>
      </c>
      <c r="S48">
        <f t="shared" ca="1" si="11"/>
        <v>0</v>
      </c>
      <c r="T48">
        <f t="shared" ref="T48:AD63" ca="1" si="12">SUMIFS( INDIRECT(CONCATENATE($C48,"!", $A48, ":", $A48)),  INDIRECT(CONCATENATE($C48, "!$4:$4")), T$1)</f>
        <v>0</v>
      </c>
      <c r="U48">
        <f t="shared" ca="1" si="12"/>
        <v>0</v>
      </c>
      <c r="V48">
        <f t="shared" ca="1" si="12"/>
        <v>0</v>
      </c>
      <c r="W48">
        <f t="shared" ca="1" si="12"/>
        <v>0</v>
      </c>
      <c r="X48">
        <f t="shared" ca="1" si="12"/>
        <v>0</v>
      </c>
      <c r="Y48">
        <f t="shared" ca="1" si="12"/>
        <v>0</v>
      </c>
      <c r="Z48">
        <f t="shared" ca="1" si="12"/>
        <v>0</v>
      </c>
      <c r="AA48">
        <f t="shared" ca="1" si="12"/>
        <v>0</v>
      </c>
      <c r="AB48">
        <f t="shared" ca="1" si="12"/>
        <v>0</v>
      </c>
      <c r="AC48">
        <f t="shared" ca="1" si="12"/>
        <v>0</v>
      </c>
      <c r="AD48">
        <f t="shared" ca="1" si="12"/>
        <v>0</v>
      </c>
    </row>
    <row r="49" spans="1:30">
      <c r="A49">
        <f t="shared" ref="A49:A69" ca="1" si="13">IFERROR(MATCH($B49, INDIRECT(CONCATENATE($C49, "!$B:$B")),0), 1)</f>
        <v>9</v>
      </c>
      <c r="B49" t="s">
        <v>114</v>
      </c>
      <c r="C49" t="s">
        <v>107</v>
      </c>
      <c r="D49">
        <f t="shared" ca="1" si="11"/>
        <v>0</v>
      </c>
      <c r="E49">
        <f t="shared" ca="1" si="11"/>
        <v>0</v>
      </c>
      <c r="F49">
        <f t="shared" ca="1" si="11"/>
        <v>0</v>
      </c>
      <c r="G49">
        <f t="shared" ca="1" si="11"/>
        <v>0</v>
      </c>
      <c r="H49">
        <f t="shared" ca="1" si="11"/>
        <v>0</v>
      </c>
      <c r="I49">
        <f t="shared" ca="1" si="11"/>
        <v>0</v>
      </c>
      <c r="J49">
        <f t="shared" ca="1" si="11"/>
        <v>0</v>
      </c>
      <c r="K49">
        <f t="shared" ca="1" si="11"/>
        <v>0</v>
      </c>
      <c r="L49">
        <f t="shared" ca="1" si="11"/>
        <v>30</v>
      </c>
      <c r="M49">
        <f t="shared" ca="1" si="11"/>
        <v>30</v>
      </c>
      <c r="N49">
        <f t="shared" ca="1" si="11"/>
        <v>195</v>
      </c>
      <c r="O49">
        <f t="shared" ca="1" si="11"/>
        <v>195</v>
      </c>
      <c r="P49">
        <f t="shared" ca="1" si="11"/>
        <v>379.5</v>
      </c>
      <c r="Q49">
        <f t="shared" ca="1" si="11"/>
        <v>625.20000000000005</v>
      </c>
      <c r="R49">
        <f t="shared" ca="1" si="11"/>
        <v>712.2</v>
      </c>
      <c r="S49">
        <f t="shared" ca="1" si="11"/>
        <v>712.2</v>
      </c>
      <c r="T49">
        <f t="shared" ca="1" si="12"/>
        <v>712.2</v>
      </c>
      <c r="U49">
        <f t="shared" ca="1" si="12"/>
        <v>877</v>
      </c>
      <c r="V49">
        <f t="shared" ca="1" si="12"/>
        <v>1185.9000000000001</v>
      </c>
      <c r="W49">
        <f t="shared" ca="1" si="12"/>
        <v>1548</v>
      </c>
      <c r="X49">
        <f t="shared" ca="1" si="12"/>
        <v>2261.8000000000002</v>
      </c>
      <c r="Y49">
        <f t="shared" ca="1" si="12"/>
        <v>2261.8000000000002</v>
      </c>
      <c r="Z49">
        <f t="shared" ca="1" si="12"/>
        <v>2261.8000000000002</v>
      </c>
      <c r="AA49">
        <f t="shared" ca="1" si="12"/>
        <v>2261.8000000000002</v>
      </c>
      <c r="AB49">
        <f t="shared" ca="1" si="12"/>
        <v>2261.8000000000002</v>
      </c>
      <c r="AC49">
        <f t="shared" ca="1" si="12"/>
        <v>2542.4333333333257</v>
      </c>
      <c r="AD49">
        <f t="shared" ca="1" si="12"/>
        <v>3179.9117604617713</v>
      </c>
    </row>
    <row r="50" spans="1:30">
      <c r="A50">
        <f t="shared" ca="1" si="13"/>
        <v>1</v>
      </c>
      <c r="B50" t="s">
        <v>116</v>
      </c>
      <c r="C50" t="s">
        <v>107</v>
      </c>
      <c r="D50">
        <f t="shared" ca="1" si="11"/>
        <v>0</v>
      </c>
      <c r="E50">
        <f t="shared" ca="1" si="11"/>
        <v>0</v>
      </c>
      <c r="F50">
        <f t="shared" ca="1" si="11"/>
        <v>0</v>
      </c>
      <c r="G50">
        <f t="shared" ca="1" si="11"/>
        <v>0</v>
      </c>
      <c r="H50">
        <f t="shared" ca="1" si="11"/>
        <v>0</v>
      </c>
      <c r="I50">
        <f t="shared" ca="1" si="11"/>
        <v>0</v>
      </c>
      <c r="J50">
        <f t="shared" ca="1" si="11"/>
        <v>0</v>
      </c>
      <c r="K50">
        <f t="shared" ca="1" si="11"/>
        <v>0</v>
      </c>
      <c r="L50">
        <f t="shared" ca="1" si="11"/>
        <v>0</v>
      </c>
      <c r="M50">
        <f t="shared" ca="1" si="11"/>
        <v>0</v>
      </c>
      <c r="N50">
        <f t="shared" ca="1" si="11"/>
        <v>0</v>
      </c>
      <c r="O50">
        <f t="shared" ca="1" si="11"/>
        <v>0</v>
      </c>
      <c r="P50">
        <f t="shared" ca="1" si="11"/>
        <v>0</v>
      </c>
      <c r="Q50">
        <f t="shared" ca="1" si="11"/>
        <v>0</v>
      </c>
      <c r="R50">
        <f t="shared" ca="1" si="11"/>
        <v>0</v>
      </c>
      <c r="S50">
        <f t="shared" ca="1" si="11"/>
        <v>0</v>
      </c>
      <c r="T50">
        <f t="shared" ca="1" si="12"/>
        <v>0</v>
      </c>
      <c r="U50">
        <f t="shared" ca="1" si="12"/>
        <v>0</v>
      </c>
      <c r="V50">
        <f t="shared" ca="1" si="12"/>
        <v>0</v>
      </c>
      <c r="W50">
        <f t="shared" ca="1" si="12"/>
        <v>0</v>
      </c>
      <c r="X50">
        <f t="shared" ca="1" si="12"/>
        <v>0</v>
      </c>
      <c r="Y50">
        <f t="shared" ca="1" si="12"/>
        <v>0</v>
      </c>
      <c r="Z50">
        <f t="shared" ca="1" si="12"/>
        <v>0</v>
      </c>
      <c r="AA50">
        <f t="shared" ca="1" si="12"/>
        <v>0</v>
      </c>
      <c r="AB50">
        <f t="shared" ca="1" si="12"/>
        <v>0</v>
      </c>
      <c r="AC50">
        <f t="shared" ca="1" si="12"/>
        <v>0</v>
      </c>
      <c r="AD50">
        <f t="shared" ca="1" si="12"/>
        <v>0</v>
      </c>
    </row>
    <row r="51" spans="1:30">
      <c r="A51">
        <f t="shared" ca="1" si="13"/>
        <v>6</v>
      </c>
      <c r="B51" t="s">
        <v>117</v>
      </c>
      <c r="C51" t="s">
        <v>107</v>
      </c>
      <c r="D51">
        <f t="shared" ca="1" si="11"/>
        <v>0</v>
      </c>
      <c r="E51">
        <f t="shared" ca="1" si="11"/>
        <v>0</v>
      </c>
      <c r="F51">
        <f t="shared" ca="1" si="11"/>
        <v>0</v>
      </c>
      <c r="G51">
        <f t="shared" ca="1" si="11"/>
        <v>0</v>
      </c>
      <c r="H51">
        <f t="shared" ca="1" si="11"/>
        <v>0</v>
      </c>
      <c r="I51">
        <f t="shared" ca="1" si="11"/>
        <v>0</v>
      </c>
      <c r="J51">
        <f t="shared" ca="1" si="11"/>
        <v>0</v>
      </c>
      <c r="K51">
        <f t="shared" ca="1" si="11"/>
        <v>0</v>
      </c>
      <c r="L51">
        <f t="shared" ca="1" si="11"/>
        <v>12</v>
      </c>
      <c r="M51">
        <f t="shared" ca="1" si="11"/>
        <v>72</v>
      </c>
      <c r="N51">
        <f t="shared" ca="1" si="11"/>
        <v>185.3</v>
      </c>
      <c r="O51">
        <f t="shared" ca="1" si="11"/>
        <v>215.3</v>
      </c>
      <c r="P51">
        <f t="shared" ca="1" si="11"/>
        <v>435</v>
      </c>
      <c r="Q51">
        <f t="shared" ca="1" si="11"/>
        <v>903</v>
      </c>
      <c r="R51">
        <f t="shared" ca="1" si="11"/>
        <v>1012.5</v>
      </c>
      <c r="S51">
        <f t="shared" ca="1" si="11"/>
        <v>3294.9</v>
      </c>
      <c r="T51">
        <f t="shared" ca="1" si="12"/>
        <v>4132</v>
      </c>
      <c r="U51">
        <f t="shared" ca="1" si="12"/>
        <v>5407</v>
      </c>
      <c r="V51">
        <f t="shared" ca="1" si="12"/>
        <v>6396</v>
      </c>
      <c r="W51">
        <f t="shared" ca="1" si="12"/>
        <v>7507</v>
      </c>
      <c r="X51">
        <f t="shared" ca="1" si="12"/>
        <v>7774</v>
      </c>
      <c r="Y51">
        <f t="shared" ca="1" si="12"/>
        <v>7774</v>
      </c>
      <c r="Z51">
        <f t="shared" ca="1" si="12"/>
        <v>8129</v>
      </c>
      <c r="AA51">
        <f t="shared" ca="1" si="12"/>
        <v>8473</v>
      </c>
      <c r="AB51">
        <f t="shared" ca="1" si="12"/>
        <v>9215</v>
      </c>
      <c r="AC51">
        <f t="shared" ca="1" si="12"/>
        <v>9773.3933333332534</v>
      </c>
      <c r="AD51">
        <f t="shared" ca="1" si="12"/>
        <v>13592.477269841114</v>
      </c>
    </row>
    <row r="52" spans="1:30">
      <c r="A52">
        <f t="shared" ca="1" si="13"/>
        <v>23</v>
      </c>
      <c r="B52" t="s">
        <v>118</v>
      </c>
      <c r="C52" t="s">
        <v>107</v>
      </c>
      <c r="D52">
        <f t="shared" ca="1" si="11"/>
        <v>0</v>
      </c>
      <c r="E52">
        <f t="shared" ca="1" si="11"/>
        <v>0</v>
      </c>
      <c r="F52">
        <f t="shared" ca="1" si="11"/>
        <v>0</v>
      </c>
      <c r="G52">
        <f t="shared" ca="1" si="11"/>
        <v>0</v>
      </c>
      <c r="H52">
        <f t="shared" ca="1" si="11"/>
        <v>0</v>
      </c>
      <c r="I52">
        <f t="shared" ca="1" si="11"/>
        <v>0</v>
      </c>
      <c r="J52">
        <f t="shared" ca="1" si="11"/>
        <v>0</v>
      </c>
      <c r="K52">
        <f t="shared" ca="1" si="11"/>
        <v>0</v>
      </c>
      <c r="L52">
        <f t="shared" ca="1" si="11"/>
        <v>283.69893312516257</v>
      </c>
      <c r="M52">
        <f t="shared" ca="1" si="11"/>
        <v>444.84582357533168</v>
      </c>
      <c r="N52">
        <f t="shared" ca="1" si="11"/>
        <v>581.53590944574535</v>
      </c>
      <c r="O52">
        <f t="shared" ca="1" si="11"/>
        <v>583.94808743169392</v>
      </c>
      <c r="P52">
        <f t="shared" ca="1" si="11"/>
        <v>617.71857923497259</v>
      </c>
      <c r="Q52">
        <f t="shared" ca="1" si="11"/>
        <v>851.69984387197485</v>
      </c>
      <c r="R52">
        <f t="shared" ca="1" si="11"/>
        <v>851.69984387197485</v>
      </c>
      <c r="S52">
        <f t="shared" ca="1" si="11"/>
        <v>851.69984387197485</v>
      </c>
      <c r="T52">
        <f t="shared" ca="1" si="12"/>
        <v>851.69984387197485</v>
      </c>
      <c r="U52">
        <f t="shared" ca="1" si="12"/>
        <v>865.56986729117864</v>
      </c>
      <c r="V52">
        <f t="shared" ca="1" si="12"/>
        <v>1139.6200884725472</v>
      </c>
      <c r="W52">
        <f t="shared" ca="1" si="12"/>
        <v>1139.6200884725472</v>
      </c>
      <c r="X52">
        <f t="shared" ca="1" si="12"/>
        <v>1139.6200884725472</v>
      </c>
      <c r="Y52">
        <f t="shared" ca="1" si="12"/>
        <v>1544.8659901118915</v>
      </c>
      <c r="Z52">
        <f t="shared" ca="1" si="12"/>
        <v>1544.8659901118915</v>
      </c>
      <c r="AA52">
        <f t="shared" ca="1" si="12"/>
        <v>1653.0789747593024</v>
      </c>
      <c r="AB52">
        <f t="shared" ca="1" si="12"/>
        <v>1769.9355971896953</v>
      </c>
      <c r="AC52">
        <f t="shared" ca="1" si="12"/>
        <v>1903.6919832596104</v>
      </c>
      <c r="AD52">
        <f t="shared" ca="1" si="12"/>
        <v>2513.029457430704</v>
      </c>
    </row>
    <row r="53" spans="1:30">
      <c r="A53">
        <f t="shared" ca="1" si="13"/>
        <v>24</v>
      </c>
      <c r="B53" t="s">
        <v>119</v>
      </c>
      <c r="C53" t="s">
        <v>107</v>
      </c>
      <c r="D53">
        <f t="shared" ca="1" si="11"/>
        <v>0</v>
      </c>
      <c r="E53">
        <f t="shared" ca="1" si="11"/>
        <v>0</v>
      </c>
      <c r="F53">
        <f t="shared" ca="1" si="11"/>
        <v>0</v>
      </c>
      <c r="G53">
        <f t="shared" ca="1" si="11"/>
        <v>0</v>
      </c>
      <c r="H53">
        <f t="shared" ca="1" si="11"/>
        <v>0</v>
      </c>
      <c r="I53">
        <f t="shared" ca="1" si="11"/>
        <v>0</v>
      </c>
      <c r="J53">
        <f t="shared" ca="1" si="11"/>
        <v>0</v>
      </c>
      <c r="K53">
        <f t="shared" ca="1" si="11"/>
        <v>0</v>
      </c>
      <c r="L53">
        <f t="shared" ca="1" si="11"/>
        <v>139.70106687483732</v>
      </c>
      <c r="M53">
        <f t="shared" ca="1" si="11"/>
        <v>219.05417642466819</v>
      </c>
      <c r="N53">
        <f t="shared" ca="1" si="11"/>
        <v>286.3640905542544</v>
      </c>
      <c r="O53">
        <f t="shared" ca="1" si="11"/>
        <v>287.55191256830597</v>
      </c>
      <c r="P53">
        <f t="shared" ca="1" si="11"/>
        <v>304.18142076502727</v>
      </c>
      <c r="Q53">
        <f t="shared" ca="1" si="11"/>
        <v>419.40015612802489</v>
      </c>
      <c r="R53">
        <f t="shared" ca="1" si="11"/>
        <v>419.40015612802489</v>
      </c>
      <c r="S53">
        <f t="shared" ca="1" si="11"/>
        <v>419.40015612802489</v>
      </c>
      <c r="T53">
        <f t="shared" ca="1" si="12"/>
        <v>419.40015612802489</v>
      </c>
      <c r="U53">
        <f t="shared" ca="1" si="12"/>
        <v>426.23013270882115</v>
      </c>
      <c r="V53">
        <f t="shared" ca="1" si="12"/>
        <v>561.17991152745242</v>
      </c>
      <c r="W53">
        <f t="shared" ca="1" si="12"/>
        <v>561.17991152745242</v>
      </c>
      <c r="X53">
        <f t="shared" ca="1" si="12"/>
        <v>561.17991152745242</v>
      </c>
      <c r="Y53">
        <f t="shared" ca="1" si="12"/>
        <v>760.73400988810806</v>
      </c>
      <c r="Z53">
        <f t="shared" ca="1" si="12"/>
        <v>760.73400988810806</v>
      </c>
      <c r="AA53">
        <f t="shared" ca="1" si="12"/>
        <v>814.02102524069721</v>
      </c>
      <c r="AB53">
        <f t="shared" ca="1" si="12"/>
        <v>871.56440281030427</v>
      </c>
      <c r="AC53">
        <f t="shared" ca="1" si="12"/>
        <v>937.4296834070625</v>
      </c>
      <c r="AD53">
        <f t="shared" ca="1" si="12"/>
        <v>1237.4840202027699</v>
      </c>
    </row>
    <row r="54" spans="1:30">
      <c r="A54">
        <f t="shared" ca="1" si="13"/>
        <v>1</v>
      </c>
      <c r="B54" t="s">
        <v>120</v>
      </c>
      <c r="C54" t="s">
        <v>107</v>
      </c>
      <c r="D54">
        <f t="shared" ca="1" si="11"/>
        <v>0</v>
      </c>
      <c r="E54">
        <f t="shared" ca="1" si="11"/>
        <v>0</v>
      </c>
      <c r="F54">
        <f t="shared" ca="1" si="11"/>
        <v>0</v>
      </c>
      <c r="G54">
        <f t="shared" ca="1" si="11"/>
        <v>0</v>
      </c>
      <c r="H54">
        <f t="shared" ca="1" si="11"/>
        <v>0</v>
      </c>
      <c r="I54">
        <f t="shared" ca="1" si="11"/>
        <v>0</v>
      </c>
      <c r="J54">
        <f t="shared" ca="1" si="11"/>
        <v>0</v>
      </c>
      <c r="K54">
        <f t="shared" ca="1" si="11"/>
        <v>0</v>
      </c>
      <c r="L54">
        <f t="shared" ca="1" si="11"/>
        <v>0</v>
      </c>
      <c r="M54">
        <f t="shared" ca="1" si="11"/>
        <v>0</v>
      </c>
      <c r="N54">
        <f t="shared" ca="1" si="11"/>
        <v>0</v>
      </c>
      <c r="O54">
        <f t="shared" ca="1" si="11"/>
        <v>0</v>
      </c>
      <c r="P54">
        <f t="shared" ca="1" si="11"/>
        <v>0</v>
      </c>
      <c r="Q54">
        <f t="shared" ca="1" si="11"/>
        <v>0</v>
      </c>
      <c r="R54">
        <f t="shared" ca="1" si="11"/>
        <v>0</v>
      </c>
      <c r="S54">
        <f t="shared" ca="1" si="11"/>
        <v>0</v>
      </c>
      <c r="T54">
        <f t="shared" ca="1" si="12"/>
        <v>0</v>
      </c>
      <c r="U54">
        <f t="shared" ca="1" si="12"/>
        <v>0</v>
      </c>
      <c r="V54">
        <f t="shared" ca="1" si="12"/>
        <v>0</v>
      </c>
      <c r="W54">
        <f t="shared" ca="1" si="12"/>
        <v>0</v>
      </c>
      <c r="X54">
        <f t="shared" ca="1" si="12"/>
        <v>0</v>
      </c>
      <c r="Y54">
        <f t="shared" ca="1" si="12"/>
        <v>0</v>
      </c>
      <c r="Z54">
        <f t="shared" ca="1" si="12"/>
        <v>0</v>
      </c>
      <c r="AA54">
        <f t="shared" ca="1" si="12"/>
        <v>0</v>
      </c>
      <c r="AB54">
        <f t="shared" ca="1" si="12"/>
        <v>0</v>
      </c>
      <c r="AC54">
        <f t="shared" ca="1" si="12"/>
        <v>0</v>
      </c>
      <c r="AD54">
        <f t="shared" ca="1" si="12"/>
        <v>0</v>
      </c>
    </row>
    <row r="55" spans="1:30">
      <c r="A55">
        <f t="shared" ca="1" si="13"/>
        <v>13</v>
      </c>
      <c r="B55" t="s">
        <v>121</v>
      </c>
      <c r="C55" t="s">
        <v>107</v>
      </c>
      <c r="D55">
        <f t="shared" ca="1" si="11"/>
        <v>0</v>
      </c>
      <c r="E55">
        <f t="shared" ca="1" si="11"/>
        <v>0</v>
      </c>
      <c r="F55">
        <f t="shared" ca="1" si="11"/>
        <v>0</v>
      </c>
      <c r="G55">
        <f t="shared" ca="1" si="11"/>
        <v>0</v>
      </c>
      <c r="H55">
        <f t="shared" ca="1" si="11"/>
        <v>0</v>
      </c>
      <c r="I55">
        <f t="shared" ca="1" si="11"/>
        <v>0</v>
      </c>
      <c r="J55">
        <f t="shared" ca="1" si="11"/>
        <v>0</v>
      </c>
      <c r="K55">
        <f t="shared" ca="1" si="11"/>
        <v>0</v>
      </c>
      <c r="L55">
        <f t="shared" ca="1" si="11"/>
        <v>0</v>
      </c>
      <c r="M55">
        <f t="shared" ca="1" si="11"/>
        <v>0</v>
      </c>
      <c r="N55">
        <f t="shared" ca="1" si="11"/>
        <v>0</v>
      </c>
      <c r="O55">
        <f t="shared" ca="1" si="11"/>
        <v>0</v>
      </c>
      <c r="P55">
        <f t="shared" ca="1" si="11"/>
        <v>0</v>
      </c>
      <c r="Q55">
        <f t="shared" ca="1" si="11"/>
        <v>5</v>
      </c>
      <c r="R55">
        <f t="shared" ca="1" si="11"/>
        <v>5</v>
      </c>
      <c r="S55">
        <f t="shared" ca="1" si="11"/>
        <v>5</v>
      </c>
      <c r="T55">
        <f t="shared" ca="1" si="12"/>
        <v>5</v>
      </c>
      <c r="U55">
        <f t="shared" ca="1" si="12"/>
        <v>5</v>
      </c>
      <c r="V55">
        <f t="shared" ca="1" si="12"/>
        <v>5</v>
      </c>
      <c r="W55">
        <f t="shared" ca="1" si="12"/>
        <v>5</v>
      </c>
      <c r="X55">
        <f t="shared" ca="1" si="12"/>
        <v>0</v>
      </c>
      <c r="Y55">
        <f t="shared" ca="1" si="12"/>
        <v>0</v>
      </c>
      <c r="Z55">
        <f t="shared" ca="1" si="12"/>
        <v>0</v>
      </c>
      <c r="AA55">
        <f t="shared" ca="1" si="12"/>
        <v>5</v>
      </c>
      <c r="AB55">
        <f t="shared" ca="1" si="12"/>
        <v>5</v>
      </c>
      <c r="AC55">
        <f t="shared" ca="1" si="12"/>
        <v>4.25</v>
      </c>
      <c r="AD55">
        <f t="shared" ca="1" si="12"/>
        <v>6.5389610389610766</v>
      </c>
    </row>
    <row r="56" spans="1:30">
      <c r="A56">
        <f t="shared" ca="1" si="13"/>
        <v>11</v>
      </c>
      <c r="B56" t="s">
        <v>122</v>
      </c>
      <c r="C56" t="s">
        <v>107</v>
      </c>
      <c r="D56">
        <f t="shared" ca="1" si="11"/>
        <v>0</v>
      </c>
      <c r="E56">
        <f t="shared" ca="1" si="11"/>
        <v>0</v>
      </c>
      <c r="F56">
        <f t="shared" ca="1" si="11"/>
        <v>0</v>
      </c>
      <c r="G56">
        <f t="shared" ca="1" si="11"/>
        <v>0</v>
      </c>
      <c r="H56">
        <f t="shared" ca="1" si="11"/>
        <v>0</v>
      </c>
      <c r="I56">
        <f t="shared" ca="1" si="11"/>
        <v>0</v>
      </c>
      <c r="J56">
        <f t="shared" ca="1" si="11"/>
        <v>0</v>
      </c>
      <c r="K56">
        <f t="shared" ca="1" si="11"/>
        <v>0</v>
      </c>
      <c r="L56">
        <f t="shared" ca="1" si="11"/>
        <v>24</v>
      </c>
      <c r="M56">
        <f t="shared" ca="1" si="11"/>
        <v>24</v>
      </c>
      <c r="N56">
        <f t="shared" ca="1" si="11"/>
        <v>26</v>
      </c>
      <c r="O56">
        <f t="shared" ca="1" si="11"/>
        <v>26</v>
      </c>
      <c r="P56">
        <f t="shared" ca="1" si="11"/>
        <v>26</v>
      </c>
      <c r="Q56">
        <f t="shared" ca="1" si="11"/>
        <v>26</v>
      </c>
      <c r="R56">
        <f t="shared" ca="1" si="11"/>
        <v>28</v>
      </c>
      <c r="S56">
        <f t="shared" ca="1" si="11"/>
        <v>28</v>
      </c>
      <c r="T56">
        <f t="shared" ca="1" si="12"/>
        <v>32</v>
      </c>
      <c r="U56">
        <f t="shared" ca="1" si="12"/>
        <v>72.7</v>
      </c>
      <c r="V56">
        <f t="shared" ca="1" si="12"/>
        <v>72.7</v>
      </c>
      <c r="W56">
        <f t="shared" ca="1" si="12"/>
        <v>72.7</v>
      </c>
      <c r="X56">
        <f t="shared" ca="1" si="12"/>
        <v>73</v>
      </c>
      <c r="Y56">
        <f t="shared" ca="1" si="12"/>
        <v>73</v>
      </c>
      <c r="Z56">
        <f t="shared" ca="1" si="12"/>
        <v>73</v>
      </c>
      <c r="AA56">
        <f t="shared" ca="1" si="12"/>
        <v>73</v>
      </c>
      <c r="AB56">
        <f t="shared" ca="1" si="12"/>
        <v>73</v>
      </c>
      <c r="AC56">
        <f t="shared" ca="1" si="12"/>
        <v>80.233333333333576</v>
      </c>
      <c r="AD56">
        <f t="shared" ca="1" si="12"/>
        <v>93.264141414141363</v>
      </c>
    </row>
    <row r="57" spans="1:30">
      <c r="A57">
        <f t="shared" ca="1" si="13"/>
        <v>15</v>
      </c>
      <c r="B57" t="s">
        <v>123</v>
      </c>
      <c r="C57" t="s">
        <v>107</v>
      </c>
      <c r="D57">
        <f t="shared" ca="1" si="11"/>
        <v>0</v>
      </c>
      <c r="E57">
        <f t="shared" ca="1" si="11"/>
        <v>0</v>
      </c>
      <c r="F57">
        <f t="shared" ca="1" si="11"/>
        <v>0</v>
      </c>
      <c r="G57">
        <f t="shared" ca="1" si="11"/>
        <v>0</v>
      </c>
      <c r="H57">
        <f t="shared" ca="1" si="11"/>
        <v>0</v>
      </c>
      <c r="I57">
        <f t="shared" ca="1" si="11"/>
        <v>0</v>
      </c>
      <c r="J57">
        <f t="shared" ca="1" si="11"/>
        <v>0</v>
      </c>
      <c r="K57">
        <f t="shared" ca="1" si="11"/>
        <v>0</v>
      </c>
      <c r="L57">
        <f t="shared" ca="1" si="11"/>
        <v>0</v>
      </c>
      <c r="M57">
        <f t="shared" ca="1" si="11"/>
        <v>0</v>
      </c>
      <c r="N57">
        <f t="shared" ca="1" si="11"/>
        <v>0</v>
      </c>
      <c r="O57">
        <f t="shared" ca="1" si="11"/>
        <v>0</v>
      </c>
      <c r="P57">
        <f t="shared" ca="1" si="11"/>
        <v>0</v>
      </c>
      <c r="Q57">
        <f t="shared" ca="1" si="11"/>
        <v>0</v>
      </c>
      <c r="R57">
        <f t="shared" ca="1" si="11"/>
        <v>0</v>
      </c>
      <c r="S57">
        <f t="shared" ca="1" si="11"/>
        <v>0</v>
      </c>
      <c r="T57">
        <f t="shared" ca="1" si="12"/>
        <v>0</v>
      </c>
      <c r="U57">
        <f t="shared" ca="1" si="12"/>
        <v>0</v>
      </c>
      <c r="V57">
        <f t="shared" ca="1" si="12"/>
        <v>0</v>
      </c>
      <c r="W57">
        <f t="shared" ca="1" si="12"/>
        <v>0</v>
      </c>
      <c r="X57">
        <f t="shared" ca="1" si="12"/>
        <v>0</v>
      </c>
      <c r="Y57">
        <f t="shared" ca="1" si="12"/>
        <v>0</v>
      </c>
      <c r="Z57">
        <f t="shared" ca="1" si="12"/>
        <v>480</v>
      </c>
      <c r="AA57">
        <f t="shared" ca="1" si="12"/>
        <v>1483</v>
      </c>
      <c r="AB57">
        <f t="shared" ca="1" si="12"/>
        <v>1508</v>
      </c>
      <c r="AC57">
        <f t="shared" ca="1" si="12"/>
        <v>1634.7166666666744</v>
      </c>
      <c r="AD57">
        <f t="shared" ca="1" si="12"/>
        <v>3600</v>
      </c>
    </row>
    <row r="58" spans="1:30">
      <c r="A58">
        <f t="shared" ca="1" si="13"/>
        <v>1</v>
      </c>
      <c r="B58" t="s">
        <v>124</v>
      </c>
      <c r="C58" t="s">
        <v>107</v>
      </c>
      <c r="D58">
        <f t="shared" ca="1" si="11"/>
        <v>0</v>
      </c>
      <c r="E58">
        <f t="shared" ca="1" si="11"/>
        <v>0</v>
      </c>
      <c r="F58">
        <f t="shared" ca="1" si="11"/>
        <v>0</v>
      </c>
      <c r="G58">
        <f t="shared" ca="1" si="11"/>
        <v>0</v>
      </c>
      <c r="H58">
        <f t="shared" ca="1" si="11"/>
        <v>0</v>
      </c>
      <c r="I58">
        <f t="shared" ca="1" si="11"/>
        <v>0</v>
      </c>
      <c r="J58">
        <f t="shared" ca="1" si="11"/>
        <v>0</v>
      </c>
      <c r="K58">
        <f t="shared" ca="1" si="11"/>
        <v>0</v>
      </c>
      <c r="L58">
        <f t="shared" ca="1" si="11"/>
        <v>0</v>
      </c>
      <c r="M58">
        <f t="shared" ca="1" si="11"/>
        <v>0</v>
      </c>
      <c r="N58">
        <f t="shared" ca="1" si="11"/>
        <v>0</v>
      </c>
      <c r="O58">
        <f t="shared" ca="1" si="11"/>
        <v>0</v>
      </c>
      <c r="P58">
        <f t="shared" ca="1" si="11"/>
        <v>0</v>
      </c>
      <c r="Q58">
        <f t="shared" ca="1" si="11"/>
        <v>0</v>
      </c>
      <c r="R58">
        <f t="shared" ca="1" si="11"/>
        <v>0</v>
      </c>
      <c r="S58">
        <f t="shared" ca="1" si="11"/>
        <v>0</v>
      </c>
      <c r="T58">
        <f t="shared" ca="1" si="12"/>
        <v>0</v>
      </c>
      <c r="U58">
        <f t="shared" ca="1" si="12"/>
        <v>0</v>
      </c>
      <c r="V58">
        <f t="shared" ca="1" si="12"/>
        <v>0</v>
      </c>
      <c r="W58">
        <f t="shared" ca="1" si="12"/>
        <v>0</v>
      </c>
      <c r="X58">
        <f t="shared" ca="1" si="12"/>
        <v>0</v>
      </c>
      <c r="Y58">
        <f t="shared" ca="1" si="12"/>
        <v>0</v>
      </c>
      <c r="Z58">
        <f t="shared" ca="1" si="12"/>
        <v>0</v>
      </c>
      <c r="AA58">
        <f t="shared" ca="1" si="12"/>
        <v>0</v>
      </c>
      <c r="AB58">
        <f t="shared" ca="1" si="12"/>
        <v>0</v>
      </c>
      <c r="AC58">
        <f t="shared" ca="1" si="12"/>
        <v>0</v>
      </c>
      <c r="AD58">
        <f t="shared" ca="1" si="12"/>
        <v>0</v>
      </c>
    </row>
    <row r="59" spans="1:30">
      <c r="A59">
        <f t="shared" ca="1" si="13"/>
        <v>1</v>
      </c>
      <c r="B59" t="s">
        <v>125</v>
      </c>
      <c r="C59" t="s">
        <v>107</v>
      </c>
      <c r="D59">
        <f t="shared" ca="1" si="11"/>
        <v>0</v>
      </c>
      <c r="E59">
        <f t="shared" ca="1" si="11"/>
        <v>0</v>
      </c>
      <c r="F59">
        <f t="shared" ca="1" si="11"/>
        <v>0</v>
      </c>
      <c r="G59">
        <f t="shared" ca="1" si="11"/>
        <v>0</v>
      </c>
      <c r="H59">
        <f t="shared" ca="1" si="11"/>
        <v>0</v>
      </c>
      <c r="I59">
        <f t="shared" ca="1" si="11"/>
        <v>0</v>
      </c>
      <c r="J59">
        <f t="shared" ca="1" si="11"/>
        <v>0</v>
      </c>
      <c r="K59">
        <f t="shared" ca="1" si="11"/>
        <v>0</v>
      </c>
      <c r="L59">
        <f t="shared" ca="1" si="11"/>
        <v>0</v>
      </c>
      <c r="M59">
        <f t="shared" ca="1" si="11"/>
        <v>0</v>
      </c>
      <c r="N59">
        <f t="shared" ca="1" si="11"/>
        <v>0</v>
      </c>
      <c r="O59">
        <f t="shared" ca="1" si="11"/>
        <v>0</v>
      </c>
      <c r="P59">
        <f t="shared" ca="1" si="11"/>
        <v>0</v>
      </c>
      <c r="Q59">
        <f t="shared" ca="1" si="11"/>
        <v>0</v>
      </c>
      <c r="R59">
        <f t="shared" ca="1" si="11"/>
        <v>0</v>
      </c>
      <c r="S59">
        <f t="shared" ca="1" si="11"/>
        <v>0</v>
      </c>
      <c r="T59">
        <f t="shared" ca="1" si="12"/>
        <v>0</v>
      </c>
      <c r="U59">
        <f t="shared" ca="1" si="12"/>
        <v>0</v>
      </c>
      <c r="V59">
        <f t="shared" ca="1" si="12"/>
        <v>0</v>
      </c>
      <c r="W59">
        <f t="shared" ca="1" si="12"/>
        <v>0</v>
      </c>
      <c r="X59">
        <f t="shared" ca="1" si="12"/>
        <v>0</v>
      </c>
      <c r="Y59">
        <f t="shared" ca="1" si="12"/>
        <v>0</v>
      </c>
      <c r="Z59">
        <f t="shared" ca="1" si="12"/>
        <v>0</v>
      </c>
      <c r="AA59">
        <f t="shared" ca="1" si="12"/>
        <v>0</v>
      </c>
      <c r="AB59">
        <f t="shared" ca="1" si="12"/>
        <v>0</v>
      </c>
      <c r="AC59">
        <f t="shared" ca="1" si="12"/>
        <v>0</v>
      </c>
      <c r="AD59">
        <f t="shared" ca="1" si="12"/>
        <v>0</v>
      </c>
    </row>
    <row r="60" spans="1:30">
      <c r="A60">
        <f t="shared" ca="1" si="13"/>
        <v>8</v>
      </c>
      <c r="B60" t="s">
        <v>126</v>
      </c>
      <c r="C60" t="s">
        <v>107</v>
      </c>
      <c r="D60">
        <f t="shared" ca="1" si="11"/>
        <v>0</v>
      </c>
      <c r="E60">
        <f t="shared" ca="1" si="11"/>
        <v>0</v>
      </c>
      <c r="F60">
        <f t="shared" ca="1" si="11"/>
        <v>0</v>
      </c>
      <c r="G60">
        <f t="shared" ca="1" si="11"/>
        <v>0</v>
      </c>
      <c r="H60">
        <f t="shared" ca="1" si="11"/>
        <v>0</v>
      </c>
      <c r="I60">
        <f t="shared" ca="1" si="11"/>
        <v>0</v>
      </c>
      <c r="J60">
        <f t="shared" ca="1" si="11"/>
        <v>0</v>
      </c>
      <c r="K60">
        <f t="shared" ca="1" si="11"/>
        <v>0</v>
      </c>
      <c r="L60">
        <f t="shared" ca="1" si="11"/>
        <v>246.8</v>
      </c>
      <c r="M60">
        <f t="shared" ca="1" si="11"/>
        <v>246.8</v>
      </c>
      <c r="N60">
        <f t="shared" ca="1" si="11"/>
        <v>228</v>
      </c>
      <c r="O60">
        <f t="shared" ca="1" si="11"/>
        <v>228</v>
      </c>
      <c r="P60">
        <f t="shared" ca="1" si="11"/>
        <v>228</v>
      </c>
      <c r="Q60">
        <f t="shared" ca="1" si="11"/>
        <v>228</v>
      </c>
      <c r="R60">
        <f t="shared" ca="1" si="11"/>
        <v>228</v>
      </c>
      <c r="S60">
        <f t="shared" ca="1" si="11"/>
        <v>357</v>
      </c>
      <c r="T60">
        <f t="shared" ca="1" si="12"/>
        <v>957</v>
      </c>
      <c r="U60">
        <f t="shared" ca="1" si="12"/>
        <v>957</v>
      </c>
      <c r="V60">
        <f t="shared" ca="1" si="12"/>
        <v>957</v>
      </c>
      <c r="W60">
        <f t="shared" ca="1" si="12"/>
        <v>957</v>
      </c>
      <c r="X60">
        <f t="shared" ca="1" si="12"/>
        <v>2459.5</v>
      </c>
      <c r="Y60">
        <f t="shared" ca="1" si="12"/>
        <v>2459.5</v>
      </c>
      <c r="Z60">
        <f t="shared" ca="1" si="12"/>
        <v>2571</v>
      </c>
      <c r="AA60">
        <f t="shared" ca="1" si="12"/>
        <v>3977.5</v>
      </c>
      <c r="AB60">
        <f t="shared" ca="1" si="12"/>
        <v>4748</v>
      </c>
      <c r="AC60">
        <f t="shared" ca="1" si="12"/>
        <v>4801.533333333442</v>
      </c>
      <c r="AD60">
        <f t="shared" ca="1" si="12"/>
        <v>7364.2158730159863</v>
      </c>
    </row>
    <row r="61" spans="1:30">
      <c r="A61">
        <f t="shared" ca="1" si="13"/>
        <v>25</v>
      </c>
      <c r="B61" t="s">
        <v>127</v>
      </c>
      <c r="C61" t="s">
        <v>107</v>
      </c>
      <c r="D61">
        <f t="shared" ca="1" si="11"/>
        <v>0</v>
      </c>
      <c r="E61">
        <f t="shared" ca="1" si="11"/>
        <v>0</v>
      </c>
      <c r="F61">
        <f t="shared" ca="1" si="11"/>
        <v>0</v>
      </c>
      <c r="G61">
        <f t="shared" ca="1" si="11"/>
        <v>0</v>
      </c>
      <c r="H61">
        <f t="shared" ca="1" si="11"/>
        <v>0</v>
      </c>
      <c r="I61">
        <f t="shared" ca="1" si="11"/>
        <v>0</v>
      </c>
      <c r="J61">
        <f t="shared" ca="1" si="11"/>
        <v>0</v>
      </c>
      <c r="K61">
        <f t="shared" ca="1" si="11"/>
        <v>0</v>
      </c>
      <c r="L61">
        <f t="shared" ca="1" si="11"/>
        <v>0</v>
      </c>
      <c r="M61">
        <f t="shared" ca="1" si="11"/>
        <v>0</v>
      </c>
      <c r="N61">
        <f t="shared" ca="1" si="11"/>
        <v>0</v>
      </c>
      <c r="O61">
        <f t="shared" ca="1" si="11"/>
        <v>0</v>
      </c>
      <c r="P61">
        <f t="shared" ca="1" si="11"/>
        <v>0</v>
      </c>
      <c r="Q61">
        <f t="shared" ca="1" si="11"/>
        <v>0</v>
      </c>
      <c r="R61">
        <f t="shared" ca="1" si="11"/>
        <v>0</v>
      </c>
      <c r="S61">
        <f t="shared" ca="1" si="11"/>
        <v>0</v>
      </c>
      <c r="T61">
        <f t="shared" ca="1" si="12"/>
        <v>0</v>
      </c>
      <c r="U61">
        <f t="shared" ca="1" si="12"/>
        <v>0</v>
      </c>
      <c r="V61">
        <f t="shared" ca="1" si="12"/>
        <v>0</v>
      </c>
      <c r="W61">
        <f t="shared" ca="1" si="12"/>
        <v>0</v>
      </c>
      <c r="X61">
        <f t="shared" ca="1" si="12"/>
        <v>0</v>
      </c>
      <c r="Y61">
        <f t="shared" ca="1" si="12"/>
        <v>0</v>
      </c>
      <c r="Z61">
        <f t="shared" ca="1" si="12"/>
        <v>0</v>
      </c>
      <c r="AA61">
        <f t="shared" ca="1" si="12"/>
        <v>0</v>
      </c>
      <c r="AB61">
        <f t="shared" ca="1" si="12"/>
        <v>0</v>
      </c>
      <c r="AC61">
        <f t="shared" ca="1" si="12"/>
        <v>0</v>
      </c>
      <c r="AD61">
        <f t="shared" ca="1" si="12"/>
        <v>0</v>
      </c>
    </row>
    <row r="62" spans="1:30">
      <c r="A62">
        <f t="shared" ca="1" si="13"/>
        <v>26</v>
      </c>
      <c r="B62" t="s">
        <v>128</v>
      </c>
      <c r="C62" t="s">
        <v>107</v>
      </c>
      <c r="D62">
        <f t="shared" ca="1" si="11"/>
        <v>0</v>
      </c>
      <c r="E62">
        <f t="shared" ca="1" si="11"/>
        <v>0</v>
      </c>
      <c r="F62">
        <f t="shared" ca="1" si="11"/>
        <v>0</v>
      </c>
      <c r="G62">
        <f t="shared" ca="1" si="11"/>
        <v>0</v>
      </c>
      <c r="H62">
        <f t="shared" ca="1" si="11"/>
        <v>0</v>
      </c>
      <c r="I62">
        <f t="shared" ca="1" si="11"/>
        <v>0</v>
      </c>
      <c r="J62">
        <f t="shared" ca="1" si="11"/>
        <v>0</v>
      </c>
      <c r="K62">
        <f t="shared" ca="1" si="11"/>
        <v>0</v>
      </c>
      <c r="L62">
        <f t="shared" ca="1" si="11"/>
        <v>0</v>
      </c>
      <c r="M62">
        <f t="shared" ca="1" si="11"/>
        <v>0</v>
      </c>
      <c r="N62">
        <f t="shared" ca="1" si="11"/>
        <v>0</v>
      </c>
      <c r="O62">
        <f t="shared" ca="1" si="11"/>
        <v>0</v>
      </c>
      <c r="P62">
        <f t="shared" ca="1" si="11"/>
        <v>0</v>
      </c>
      <c r="Q62">
        <f t="shared" ca="1" si="11"/>
        <v>0</v>
      </c>
      <c r="R62">
        <f t="shared" ca="1" si="11"/>
        <v>0</v>
      </c>
      <c r="S62">
        <f t="shared" ca="1" si="11"/>
        <v>0</v>
      </c>
      <c r="T62">
        <f t="shared" ca="1" si="12"/>
        <v>0</v>
      </c>
      <c r="U62">
        <f t="shared" ca="1" si="12"/>
        <v>0</v>
      </c>
      <c r="V62">
        <f t="shared" ca="1" si="12"/>
        <v>0</v>
      </c>
      <c r="W62">
        <f t="shared" ca="1" si="12"/>
        <v>0</v>
      </c>
      <c r="X62">
        <f t="shared" ca="1" si="12"/>
        <v>0</v>
      </c>
      <c r="Y62">
        <f t="shared" ca="1" si="12"/>
        <v>0</v>
      </c>
      <c r="Z62">
        <f t="shared" ca="1" si="12"/>
        <v>0</v>
      </c>
      <c r="AA62">
        <f t="shared" ca="1" si="12"/>
        <v>0</v>
      </c>
      <c r="AB62">
        <f t="shared" ca="1" si="12"/>
        <v>0</v>
      </c>
      <c r="AC62">
        <f t="shared" ca="1" si="12"/>
        <v>0</v>
      </c>
      <c r="AD62">
        <f t="shared" ca="1" si="12"/>
        <v>0</v>
      </c>
    </row>
    <row r="63" spans="1:30">
      <c r="A63">
        <f t="shared" ca="1" si="13"/>
        <v>27</v>
      </c>
      <c r="B63" t="s">
        <v>129</v>
      </c>
      <c r="C63" t="s">
        <v>107</v>
      </c>
      <c r="D63">
        <f t="shared" ca="1" si="11"/>
        <v>0</v>
      </c>
      <c r="E63">
        <f t="shared" ca="1" si="11"/>
        <v>0</v>
      </c>
      <c r="F63">
        <f t="shared" ca="1" si="11"/>
        <v>0</v>
      </c>
      <c r="G63">
        <f t="shared" ca="1" si="11"/>
        <v>0</v>
      </c>
      <c r="H63">
        <f t="shared" ca="1" si="11"/>
        <v>0</v>
      </c>
      <c r="I63">
        <f t="shared" ca="1" si="11"/>
        <v>0</v>
      </c>
      <c r="J63">
        <f t="shared" ca="1" si="11"/>
        <v>0</v>
      </c>
      <c r="K63">
        <f t="shared" ca="1" si="11"/>
        <v>0</v>
      </c>
      <c r="L63">
        <f t="shared" ca="1" si="11"/>
        <v>6</v>
      </c>
      <c r="M63">
        <f t="shared" ca="1" si="11"/>
        <v>6</v>
      </c>
      <c r="N63">
        <f t="shared" ca="1" si="11"/>
        <v>6</v>
      </c>
      <c r="O63">
        <f t="shared" ca="1" si="11"/>
        <v>6</v>
      </c>
      <c r="P63">
        <f t="shared" ca="1" si="11"/>
        <v>6</v>
      </c>
      <c r="Q63">
        <f t="shared" ca="1" si="11"/>
        <v>6</v>
      </c>
      <c r="R63">
        <f t="shared" ca="1" si="11"/>
        <v>6</v>
      </c>
      <c r="S63">
        <f t="shared" ref="S63:AD69" ca="1" si="14">SUMIFS( INDIRECT(CONCATENATE($C63,"!", $A63, ":", $A63)),  INDIRECT(CONCATENATE($C63, "!$4:$4")), S$1)</f>
        <v>6</v>
      </c>
      <c r="T63">
        <f t="shared" ca="1" si="12"/>
        <v>6</v>
      </c>
      <c r="U63">
        <f t="shared" ca="1" si="12"/>
        <v>6</v>
      </c>
      <c r="V63">
        <f t="shared" ca="1" si="12"/>
        <v>6</v>
      </c>
      <c r="W63">
        <f t="shared" ca="1" si="12"/>
        <v>6</v>
      </c>
      <c r="X63">
        <f t="shared" ca="1" si="12"/>
        <v>6</v>
      </c>
      <c r="Y63">
        <f t="shared" ca="1" si="12"/>
        <v>6</v>
      </c>
      <c r="Z63">
        <f t="shared" ca="1" si="12"/>
        <v>6</v>
      </c>
      <c r="AA63">
        <f t="shared" ca="1" si="12"/>
        <v>94.6</v>
      </c>
      <c r="AB63">
        <f t="shared" ca="1" si="12"/>
        <v>94.6</v>
      </c>
      <c r="AC63">
        <f t="shared" ca="1" si="12"/>
        <v>96.076666666671372</v>
      </c>
      <c r="AD63">
        <f t="shared" ca="1" si="12"/>
        <v>184.005454545455</v>
      </c>
    </row>
    <row r="64" spans="1:30">
      <c r="A64">
        <f t="shared" ca="1" si="13"/>
        <v>1</v>
      </c>
      <c r="B64" t="s">
        <v>130</v>
      </c>
      <c r="C64" t="s">
        <v>107</v>
      </c>
      <c r="D64">
        <f t="shared" ref="D64:R69" ca="1" si="15">SUMIFS( INDIRECT(CONCATENATE($C64,"!", $A64, ":", $A64)),  INDIRECT(CONCATENATE($C64, "!$4:$4")), D$1)</f>
        <v>0</v>
      </c>
      <c r="E64">
        <f t="shared" ca="1" si="15"/>
        <v>0</v>
      </c>
      <c r="F64">
        <f t="shared" ca="1" si="15"/>
        <v>0</v>
      </c>
      <c r="G64">
        <f t="shared" ca="1" si="15"/>
        <v>0</v>
      </c>
      <c r="H64">
        <f t="shared" ca="1" si="15"/>
        <v>0</v>
      </c>
      <c r="I64">
        <f t="shared" ca="1" si="15"/>
        <v>0</v>
      </c>
      <c r="J64">
        <f t="shared" ca="1" si="15"/>
        <v>0</v>
      </c>
      <c r="K64">
        <f t="shared" ca="1" si="15"/>
        <v>0</v>
      </c>
      <c r="L64">
        <f t="shared" ca="1" si="15"/>
        <v>0</v>
      </c>
      <c r="M64">
        <f t="shared" ca="1" si="15"/>
        <v>0</v>
      </c>
      <c r="N64">
        <f t="shared" ca="1" si="15"/>
        <v>0</v>
      </c>
      <c r="O64">
        <f t="shared" ca="1" si="15"/>
        <v>0</v>
      </c>
      <c r="P64">
        <f t="shared" ca="1" si="15"/>
        <v>0</v>
      </c>
      <c r="Q64">
        <f t="shared" ca="1" si="15"/>
        <v>0</v>
      </c>
      <c r="R64">
        <f t="shared" ca="1" si="15"/>
        <v>0</v>
      </c>
      <c r="S64">
        <f t="shared" ca="1" si="14"/>
        <v>0</v>
      </c>
      <c r="T64">
        <f t="shared" ca="1" si="14"/>
        <v>0</v>
      </c>
      <c r="U64">
        <f t="shared" ca="1" si="14"/>
        <v>0</v>
      </c>
      <c r="V64">
        <f t="shared" ca="1" si="14"/>
        <v>0</v>
      </c>
      <c r="W64">
        <f t="shared" ca="1" si="14"/>
        <v>0</v>
      </c>
      <c r="X64">
        <f t="shared" ca="1" si="14"/>
        <v>0</v>
      </c>
      <c r="Y64">
        <f t="shared" ca="1" si="14"/>
        <v>0</v>
      </c>
      <c r="Z64">
        <f t="shared" ca="1" si="14"/>
        <v>0</v>
      </c>
      <c r="AA64">
        <f t="shared" ca="1" si="14"/>
        <v>0</v>
      </c>
      <c r="AB64">
        <f t="shared" ca="1" si="14"/>
        <v>0</v>
      </c>
      <c r="AC64">
        <f t="shared" ca="1" si="14"/>
        <v>0</v>
      </c>
      <c r="AD64">
        <f t="shared" ca="1" si="14"/>
        <v>0</v>
      </c>
    </row>
    <row r="65" spans="1:30">
      <c r="A65">
        <f t="shared" ca="1" si="13"/>
        <v>28</v>
      </c>
      <c r="B65" t="s">
        <v>131</v>
      </c>
      <c r="C65" t="s">
        <v>107</v>
      </c>
      <c r="D65">
        <f t="shared" ca="1" si="15"/>
        <v>0</v>
      </c>
      <c r="E65">
        <f t="shared" ca="1" si="15"/>
        <v>0</v>
      </c>
      <c r="F65">
        <f t="shared" ca="1" si="15"/>
        <v>0</v>
      </c>
      <c r="G65">
        <f t="shared" ca="1" si="15"/>
        <v>0</v>
      </c>
      <c r="H65">
        <f t="shared" ca="1" si="15"/>
        <v>0</v>
      </c>
      <c r="I65">
        <f t="shared" ca="1" si="15"/>
        <v>0</v>
      </c>
      <c r="J65">
        <f t="shared" ca="1" si="15"/>
        <v>0</v>
      </c>
      <c r="K65">
        <f t="shared" ca="1" si="15"/>
        <v>0</v>
      </c>
      <c r="L65">
        <f t="shared" ca="1" si="15"/>
        <v>0</v>
      </c>
      <c r="M65">
        <f t="shared" ca="1" si="15"/>
        <v>0</v>
      </c>
      <c r="N65">
        <f t="shared" ca="1" si="15"/>
        <v>0</v>
      </c>
      <c r="O65">
        <f t="shared" ca="1" si="15"/>
        <v>0</v>
      </c>
      <c r="P65">
        <f t="shared" ca="1" si="15"/>
        <v>0</v>
      </c>
      <c r="Q65">
        <f t="shared" ca="1" si="15"/>
        <v>0</v>
      </c>
      <c r="R65">
        <f t="shared" ca="1" si="15"/>
        <v>0</v>
      </c>
      <c r="S65">
        <f t="shared" ca="1" si="14"/>
        <v>0</v>
      </c>
      <c r="T65">
        <f t="shared" ca="1" si="14"/>
        <v>0</v>
      </c>
      <c r="U65">
        <f t="shared" ca="1" si="14"/>
        <v>0</v>
      </c>
      <c r="V65">
        <f t="shared" ca="1" si="14"/>
        <v>0</v>
      </c>
      <c r="W65">
        <f t="shared" ca="1" si="14"/>
        <v>0</v>
      </c>
      <c r="X65">
        <f t="shared" ca="1" si="14"/>
        <v>0</v>
      </c>
      <c r="Y65">
        <f t="shared" ca="1" si="14"/>
        <v>0</v>
      </c>
      <c r="Z65">
        <f t="shared" ca="1" si="14"/>
        <v>0</v>
      </c>
      <c r="AA65">
        <f t="shared" ca="1" si="14"/>
        <v>0</v>
      </c>
      <c r="AB65">
        <f t="shared" ca="1" si="14"/>
        <v>0</v>
      </c>
      <c r="AC65">
        <f t="shared" ca="1" si="14"/>
        <v>0</v>
      </c>
      <c r="AD65">
        <f t="shared" ca="1" si="14"/>
        <v>0</v>
      </c>
    </row>
    <row r="66" spans="1:30">
      <c r="A66">
        <f t="shared" ca="1" si="13"/>
        <v>29</v>
      </c>
      <c r="B66" t="s">
        <v>132</v>
      </c>
      <c r="C66" t="s">
        <v>107</v>
      </c>
      <c r="D66">
        <f t="shared" ca="1" si="15"/>
        <v>0</v>
      </c>
      <c r="E66">
        <f t="shared" ca="1" si="15"/>
        <v>0</v>
      </c>
      <c r="F66">
        <f t="shared" ca="1" si="15"/>
        <v>0</v>
      </c>
      <c r="G66">
        <f t="shared" ca="1" si="15"/>
        <v>0</v>
      </c>
      <c r="H66">
        <f t="shared" ca="1" si="15"/>
        <v>0</v>
      </c>
      <c r="I66">
        <f t="shared" ca="1" si="15"/>
        <v>0</v>
      </c>
      <c r="J66">
        <f t="shared" ca="1" si="15"/>
        <v>0</v>
      </c>
      <c r="K66">
        <f t="shared" ca="1" si="15"/>
        <v>0</v>
      </c>
      <c r="L66">
        <f t="shared" ca="1" si="15"/>
        <v>0</v>
      </c>
      <c r="M66">
        <f t="shared" ca="1" si="15"/>
        <v>0</v>
      </c>
      <c r="N66">
        <f t="shared" ca="1" si="15"/>
        <v>0</v>
      </c>
      <c r="O66">
        <f t="shared" ca="1" si="15"/>
        <v>0</v>
      </c>
      <c r="P66">
        <f t="shared" ca="1" si="15"/>
        <v>0</v>
      </c>
      <c r="Q66">
        <f t="shared" ca="1" si="15"/>
        <v>0</v>
      </c>
      <c r="R66">
        <f t="shared" ca="1" si="15"/>
        <v>0</v>
      </c>
      <c r="S66">
        <f t="shared" ca="1" si="14"/>
        <v>0</v>
      </c>
      <c r="T66">
        <f t="shared" ca="1" si="14"/>
        <v>0</v>
      </c>
      <c r="U66">
        <f t="shared" ca="1" si="14"/>
        <v>0</v>
      </c>
      <c r="V66">
        <f t="shared" ca="1" si="14"/>
        <v>0</v>
      </c>
      <c r="W66">
        <f t="shared" ca="1" si="14"/>
        <v>0</v>
      </c>
      <c r="X66">
        <f t="shared" ca="1" si="14"/>
        <v>0</v>
      </c>
      <c r="Y66">
        <f t="shared" ca="1" si="14"/>
        <v>0</v>
      </c>
      <c r="Z66">
        <f t="shared" ca="1" si="14"/>
        <v>0</v>
      </c>
      <c r="AA66">
        <f t="shared" ca="1" si="14"/>
        <v>0</v>
      </c>
      <c r="AB66">
        <f t="shared" ca="1" si="14"/>
        <v>0</v>
      </c>
      <c r="AC66">
        <f t="shared" ca="1" si="14"/>
        <v>0</v>
      </c>
      <c r="AD66">
        <f t="shared" ca="1" si="14"/>
        <v>0</v>
      </c>
    </row>
    <row r="67" spans="1:30">
      <c r="A67">
        <f t="shared" ca="1" si="13"/>
        <v>30</v>
      </c>
      <c r="B67" t="s">
        <v>133</v>
      </c>
      <c r="C67" t="s">
        <v>107</v>
      </c>
      <c r="D67">
        <f t="shared" ca="1" si="15"/>
        <v>0</v>
      </c>
      <c r="E67">
        <f t="shared" ca="1" si="15"/>
        <v>0</v>
      </c>
      <c r="F67">
        <f t="shared" ca="1" si="15"/>
        <v>0</v>
      </c>
      <c r="G67">
        <f t="shared" ca="1" si="15"/>
        <v>0</v>
      </c>
      <c r="H67">
        <f t="shared" ca="1" si="15"/>
        <v>0</v>
      </c>
      <c r="I67">
        <f t="shared" ca="1" si="15"/>
        <v>0</v>
      </c>
      <c r="J67">
        <f t="shared" ca="1" si="15"/>
        <v>0</v>
      </c>
      <c r="K67">
        <f t="shared" ca="1" si="15"/>
        <v>0</v>
      </c>
      <c r="L67">
        <f t="shared" ca="1" si="15"/>
        <v>0</v>
      </c>
      <c r="M67">
        <f t="shared" ca="1" si="15"/>
        <v>0</v>
      </c>
      <c r="N67">
        <f t="shared" ca="1" si="15"/>
        <v>0</v>
      </c>
      <c r="O67">
        <f t="shared" ca="1" si="15"/>
        <v>0</v>
      </c>
      <c r="P67">
        <f t="shared" ca="1" si="15"/>
        <v>0</v>
      </c>
      <c r="Q67">
        <f t="shared" ca="1" si="15"/>
        <v>0</v>
      </c>
      <c r="R67">
        <f t="shared" ca="1" si="15"/>
        <v>0</v>
      </c>
      <c r="S67">
        <f t="shared" ca="1" si="14"/>
        <v>0</v>
      </c>
      <c r="T67">
        <f t="shared" ca="1" si="14"/>
        <v>0</v>
      </c>
      <c r="U67">
        <f t="shared" ca="1" si="14"/>
        <v>0</v>
      </c>
      <c r="V67">
        <f t="shared" ca="1" si="14"/>
        <v>0</v>
      </c>
      <c r="W67">
        <f t="shared" ca="1" si="14"/>
        <v>0</v>
      </c>
      <c r="X67">
        <f t="shared" ca="1" si="14"/>
        <v>0</v>
      </c>
      <c r="Y67">
        <f t="shared" ca="1" si="14"/>
        <v>0</v>
      </c>
      <c r="Z67">
        <f t="shared" ca="1" si="14"/>
        <v>0</v>
      </c>
      <c r="AA67">
        <f t="shared" ca="1" si="14"/>
        <v>0</v>
      </c>
      <c r="AB67">
        <f t="shared" ca="1" si="14"/>
        <v>0</v>
      </c>
      <c r="AC67">
        <f t="shared" ca="1" si="14"/>
        <v>0</v>
      </c>
      <c r="AD67">
        <f t="shared" ca="1" si="14"/>
        <v>0</v>
      </c>
    </row>
    <row r="68" spans="1:30">
      <c r="A68">
        <f t="shared" ca="1" si="13"/>
        <v>31</v>
      </c>
      <c r="B68" t="s">
        <v>134</v>
      </c>
      <c r="C68" t="s">
        <v>107</v>
      </c>
      <c r="D68">
        <f t="shared" ca="1" si="15"/>
        <v>0</v>
      </c>
      <c r="E68">
        <f t="shared" ca="1" si="15"/>
        <v>0</v>
      </c>
      <c r="F68">
        <f t="shared" ca="1" si="15"/>
        <v>0</v>
      </c>
      <c r="G68">
        <f t="shared" ca="1" si="15"/>
        <v>0</v>
      </c>
      <c r="H68">
        <f t="shared" ca="1" si="15"/>
        <v>0</v>
      </c>
      <c r="I68">
        <f t="shared" ca="1" si="15"/>
        <v>0</v>
      </c>
      <c r="J68">
        <f t="shared" ca="1" si="15"/>
        <v>0</v>
      </c>
      <c r="K68">
        <f t="shared" ca="1" si="15"/>
        <v>0</v>
      </c>
      <c r="L68">
        <f t="shared" ca="1" si="15"/>
        <v>133.69999999999999</v>
      </c>
      <c r="M68">
        <f t="shared" ca="1" si="15"/>
        <v>163.69999999999999</v>
      </c>
      <c r="N68">
        <f t="shared" ca="1" si="15"/>
        <v>163.4</v>
      </c>
      <c r="O68">
        <f t="shared" ca="1" si="15"/>
        <v>163.4</v>
      </c>
      <c r="P68">
        <f t="shared" ca="1" si="15"/>
        <v>163.69999999999999</v>
      </c>
      <c r="Q68">
        <f t="shared" ca="1" si="15"/>
        <v>211.7</v>
      </c>
      <c r="R68">
        <f t="shared" ca="1" si="15"/>
        <v>211.7</v>
      </c>
      <c r="S68">
        <f t="shared" ca="1" si="14"/>
        <v>201.7</v>
      </c>
      <c r="T68">
        <f t="shared" ca="1" si="14"/>
        <v>201.7</v>
      </c>
      <c r="U68">
        <f t="shared" ca="1" si="14"/>
        <v>201.7</v>
      </c>
      <c r="V68">
        <f t="shared" ca="1" si="14"/>
        <v>203</v>
      </c>
      <c r="W68">
        <f t="shared" ca="1" si="14"/>
        <v>192.5</v>
      </c>
      <c r="X68">
        <f t="shared" ca="1" si="14"/>
        <v>203</v>
      </c>
      <c r="Y68">
        <f t="shared" ca="1" si="14"/>
        <v>203</v>
      </c>
      <c r="Z68">
        <f t="shared" ca="1" si="14"/>
        <v>193</v>
      </c>
      <c r="AA68">
        <f t="shared" ca="1" si="14"/>
        <v>193</v>
      </c>
      <c r="AB68">
        <f t="shared" ca="1" si="14"/>
        <v>193</v>
      </c>
      <c r="AC68">
        <f t="shared" ca="1" si="14"/>
        <v>190.41000000000008</v>
      </c>
      <c r="AD68">
        <f t="shared" ca="1" si="14"/>
        <v>181.13554112554107</v>
      </c>
    </row>
    <row r="69" spans="1:30">
      <c r="A69">
        <f t="shared" ca="1" si="13"/>
        <v>5</v>
      </c>
      <c r="B69" t="s">
        <v>135</v>
      </c>
      <c r="C69" t="s">
        <v>107</v>
      </c>
      <c r="D69">
        <f t="shared" ca="1" si="15"/>
        <v>0</v>
      </c>
      <c r="E69">
        <f t="shared" ca="1" si="15"/>
        <v>0</v>
      </c>
      <c r="F69">
        <f t="shared" ca="1" si="15"/>
        <v>0</v>
      </c>
      <c r="G69">
        <f t="shared" ca="1" si="15"/>
        <v>0</v>
      </c>
      <c r="H69">
        <f t="shared" ca="1" si="15"/>
        <v>0</v>
      </c>
      <c r="I69">
        <f t="shared" ca="1" si="15"/>
        <v>0</v>
      </c>
      <c r="J69">
        <f t="shared" ca="1" si="15"/>
        <v>0</v>
      </c>
      <c r="K69">
        <f t="shared" ca="1" si="15"/>
        <v>0</v>
      </c>
      <c r="L69">
        <f t="shared" ca="1" si="15"/>
        <v>586</v>
      </c>
      <c r="M69">
        <f t="shared" ca="1" si="15"/>
        <v>688.2</v>
      </c>
      <c r="N69">
        <f t="shared" ca="1" si="15"/>
        <v>1341.2</v>
      </c>
      <c r="O69">
        <f t="shared" ca="1" si="15"/>
        <v>2093.6999999999998</v>
      </c>
      <c r="P69">
        <f t="shared" ca="1" si="15"/>
        <v>2995</v>
      </c>
      <c r="Q69">
        <f t="shared" ca="1" si="15"/>
        <v>3657</v>
      </c>
      <c r="R69">
        <f t="shared" ca="1" si="15"/>
        <v>4501.3</v>
      </c>
      <c r="S69">
        <f t="shared" ca="1" si="14"/>
        <v>5104.5</v>
      </c>
      <c r="T69">
        <f t="shared" ca="1" si="14"/>
        <v>5293</v>
      </c>
      <c r="U69">
        <f t="shared" ca="1" si="14"/>
        <v>6360.5</v>
      </c>
      <c r="V69">
        <f t="shared" ca="1" si="14"/>
        <v>7427.5</v>
      </c>
      <c r="W69">
        <f t="shared" ca="1" si="14"/>
        <v>8015.5</v>
      </c>
      <c r="X69">
        <f t="shared" ca="1" si="14"/>
        <v>9947.5</v>
      </c>
      <c r="Y69">
        <f t="shared" ca="1" si="14"/>
        <v>9995.5</v>
      </c>
      <c r="Z69">
        <f t="shared" ca="1" si="14"/>
        <v>13186.5</v>
      </c>
      <c r="AA69">
        <f t="shared" ca="1" si="14"/>
        <v>14326.5</v>
      </c>
      <c r="AB69">
        <f t="shared" ca="1" si="14"/>
        <v>15900</v>
      </c>
      <c r="AC69">
        <f t="shared" ca="1" si="14"/>
        <v>18646.668333333779</v>
      </c>
      <c r="AD69">
        <f t="shared" ca="1" si="14"/>
        <v>27952.152031746671</v>
      </c>
    </row>
    <row r="73" spans="1:30">
      <c r="O73">
        <f ca="1">SUM(O25:O69)</f>
        <v>77825.000000000015</v>
      </c>
      <c r="P73">
        <f t="shared" ref="P73:AD73" ca="1" si="16">SUM(P25:P69)</f>
        <v>86410.000000000015</v>
      </c>
      <c r="Q73">
        <f t="shared" ca="1" si="16"/>
        <v>95781</v>
      </c>
      <c r="R73">
        <f t="shared" ca="1" si="16"/>
        <v>106433.00000000003</v>
      </c>
      <c r="S73">
        <f t="shared" ca="1" si="16"/>
        <v>119029</v>
      </c>
      <c r="T73">
        <f t="shared" ca="1" si="16"/>
        <v>129158</v>
      </c>
      <c r="U73">
        <f t="shared" ca="1" si="16"/>
        <v>144104</v>
      </c>
      <c r="V73">
        <f t="shared" ca="1" si="16"/>
        <v>153134</v>
      </c>
      <c r="W73">
        <f t="shared" ca="1" si="16"/>
        <v>165094</v>
      </c>
      <c r="X73">
        <f t="shared" ca="1" si="16"/>
        <v>176956</v>
      </c>
      <c r="Y73">
        <f t="shared" ca="1" si="16"/>
        <v>190110.99999999997</v>
      </c>
      <c r="Z73">
        <f t="shared" ca="1" si="16"/>
        <v>205534.00000000003</v>
      </c>
      <c r="AA73">
        <f t="shared" ca="1" si="16"/>
        <v>220862.99999999991</v>
      </c>
      <c r="AB73">
        <f t="shared" ca="1" si="16"/>
        <v>232541.00000000003</v>
      </c>
      <c r="AC73">
        <f t="shared" ca="1" si="16"/>
        <v>247870.46833333344</v>
      </c>
      <c r="AD73">
        <f t="shared" ca="1" si="16"/>
        <v>326116.03341702779</v>
      </c>
    </row>
    <row r="74" spans="1:30">
      <c r="O74">
        <f ca="1">SUM(O2:O23)</f>
        <v>35296.6</v>
      </c>
      <c r="P74">
        <f t="shared" ref="P74:AD74" ca="1" si="17">SUM(P2:P23)</f>
        <v>47162.2</v>
      </c>
      <c r="Q74">
        <f t="shared" ca="1" si="17"/>
        <v>55244.5</v>
      </c>
      <c r="R74">
        <f t="shared" ca="1" si="17"/>
        <v>60828.5</v>
      </c>
      <c r="S74">
        <f t="shared" ca="1" si="17"/>
        <v>68762.5</v>
      </c>
      <c r="T74">
        <f t="shared" ca="1" si="17"/>
        <v>74571</v>
      </c>
      <c r="U74">
        <f t="shared" ca="1" si="17"/>
        <v>79739.999999999985</v>
      </c>
      <c r="V74">
        <f t="shared" ca="1" si="17"/>
        <v>88256</v>
      </c>
      <c r="W74">
        <f t="shared" ca="1" si="17"/>
        <v>102824.99999999997</v>
      </c>
      <c r="X74">
        <f t="shared" ca="1" si="17"/>
        <v>118003</v>
      </c>
      <c r="Y74">
        <f t="shared" ca="1" si="17"/>
        <v>142149</v>
      </c>
      <c r="Z74">
        <f t="shared" ca="1" si="17"/>
        <v>179012.99999999997</v>
      </c>
      <c r="AA74">
        <f t="shared" ca="1" si="17"/>
        <v>210861</v>
      </c>
      <c r="AB74">
        <f t="shared" ca="1" si="17"/>
        <v>261019</v>
      </c>
      <c r="AC74">
        <f t="shared" ca="1" si="17"/>
        <v>279536.88500000135</v>
      </c>
      <c r="AD74">
        <f t="shared" ca="1" si="17"/>
        <v>425177.67198773677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71FDD-D7E2-4E2F-B838-6BD3BF45C2EE}">
  <sheetPr>
    <tabColor theme="5"/>
  </sheetPr>
  <dimension ref="A1:M268"/>
  <sheetViews>
    <sheetView workbookViewId="0">
      <pane ySplit="1" topLeftCell="A2" activePane="bottomLeft" state="frozen"/>
      <selection pane="bottomLeft" activeCell="M5" sqref="M5:M7"/>
    </sheetView>
  </sheetViews>
  <sheetFormatPr defaultRowHeight="15"/>
  <cols>
    <col min="2" max="2" width="16.5703125" customWidth="1"/>
    <col min="3" max="3" width="16.42578125" customWidth="1"/>
    <col min="4" max="4" width="9.42578125" customWidth="1"/>
    <col min="5" max="7" width="16.5703125" customWidth="1"/>
    <col min="12" max="12" width="15.42578125" customWidth="1"/>
  </cols>
  <sheetData>
    <row r="1" spans="1:13">
      <c r="A1" s="39" t="s">
        <v>3</v>
      </c>
      <c r="B1" s="39" t="s">
        <v>284</v>
      </c>
      <c r="C1" s="39" t="s">
        <v>164</v>
      </c>
      <c r="D1" s="39" t="s">
        <v>165</v>
      </c>
      <c r="E1" s="39" t="s">
        <v>166</v>
      </c>
      <c r="F1" s="39" t="s">
        <v>174</v>
      </c>
      <c r="G1" s="39" t="s">
        <v>167</v>
      </c>
      <c r="J1" s="75"/>
      <c r="L1" t="s">
        <v>279</v>
      </c>
      <c r="M1" t="s">
        <v>279</v>
      </c>
    </row>
    <row r="2" spans="1:13">
      <c r="A2" s="80" t="s">
        <v>277</v>
      </c>
      <c r="B2" s="75"/>
      <c r="C2" s="75"/>
      <c r="D2" s="75"/>
      <c r="E2" s="75"/>
      <c r="F2" s="75"/>
      <c r="G2" s="75"/>
    </row>
    <row r="3" spans="1:13">
      <c r="A3" t="s">
        <v>111</v>
      </c>
      <c r="B3" t="s">
        <v>309</v>
      </c>
      <c r="C3" s="19" t="s">
        <v>184</v>
      </c>
      <c r="D3" s="19">
        <v>2015</v>
      </c>
      <c r="E3">
        <f ca="1">ROUND(VLOOKUP($A3,    'VRE summary'!$B$2:$AD$23,    MATCH($D3, 'VRE summary'!$B$1:$AD$1, 0), FALSE), 0)</f>
        <v>937</v>
      </c>
      <c r="F3">
        <f>ROUND( VLOOKUP($B3,$L$5:$M$7, 2, FALSE) * (1+ VLOOKUP($A3,'vomcost mult'!$N$10:$R$32,5, FALSE)), 2)</f>
        <v>1.69</v>
      </c>
      <c r="G3" s="59" t="str">
        <f ca="1">IF(E3&lt;50, "remove", "")</f>
        <v/>
      </c>
    </row>
    <row r="4" spans="1:13">
      <c r="A4" t="s">
        <v>114</v>
      </c>
      <c r="B4" t="s">
        <v>309</v>
      </c>
      <c r="C4" s="19" t="s">
        <v>184</v>
      </c>
      <c r="D4" s="19">
        <v>2015</v>
      </c>
      <c r="E4">
        <f ca="1">ROUND(VLOOKUP($A4,    'VRE summary'!$B$2:$AD$23,    MATCH($D4, 'VRE summary'!$B$1:$AD$1, 0), FALSE), 0)</f>
        <v>3132</v>
      </c>
      <c r="F4">
        <f>ROUND( VLOOKUP($B4,$L$5:$M$7, 2, FALSE) * (1+ VLOOKUP($A4,'vomcost mult'!$N$10:$R$32,5, FALSE)), 2)</f>
        <v>1.68</v>
      </c>
      <c r="G4" s="59" t="str">
        <f t="shared" ref="G4:G67" ca="1" si="0">IF(E4&lt;50, "remove", "")</f>
        <v/>
      </c>
      <c r="M4" s="17" t="s">
        <v>174</v>
      </c>
    </row>
    <row r="5" spans="1:13">
      <c r="A5" t="s">
        <v>116</v>
      </c>
      <c r="B5" t="s">
        <v>309</v>
      </c>
      <c r="C5" s="19" t="s">
        <v>184</v>
      </c>
      <c r="D5" s="19">
        <v>2015</v>
      </c>
      <c r="E5">
        <f ca="1">ROUND(VLOOKUP($A5,    'VRE summary'!$B$2:$AD$23,    MATCH($D5, 'VRE summary'!$B$1:$AD$1, 0), FALSE), 0)</f>
        <v>1394</v>
      </c>
      <c r="F5">
        <f>ROUND( VLOOKUP($B5,$L$5:$M$7, 2, FALSE) * (1+ VLOOKUP($A5,'vomcost mult'!$N$10:$R$32,5, FALSE)), 2)</f>
        <v>2.1800000000000002</v>
      </c>
      <c r="G5" s="59" t="str">
        <f t="shared" ca="1" si="0"/>
        <v/>
      </c>
      <c r="L5" s="17" t="s">
        <v>285</v>
      </c>
      <c r="M5" s="82">
        <f>SUMIFS([1]unittypedata!$S:$S,[1]unittypedata!$D:$D,L5)</f>
        <v>1.75</v>
      </c>
    </row>
    <row r="6" spans="1:13">
      <c r="A6" t="s">
        <v>117</v>
      </c>
      <c r="B6" t="s">
        <v>309</v>
      </c>
      <c r="C6" s="19" t="s">
        <v>184</v>
      </c>
      <c r="D6" s="19">
        <v>2015</v>
      </c>
      <c r="E6">
        <f ca="1">ROUND(VLOOKUP($A6,    'VRE summary'!$B$2:$AD$23,    MATCH($D6, 'VRE summary'!$B$1:$AD$1, 0), FALSE), 0)</f>
        <v>39222</v>
      </c>
      <c r="F6">
        <f>ROUND( VLOOKUP($B6,$L$5:$M$7, 2, FALSE) * (1+ VLOOKUP($A6,'vomcost mult'!$N$10:$R$32,5, FALSE)), 2)</f>
        <v>1.66</v>
      </c>
      <c r="G6" s="59" t="str">
        <f t="shared" ca="1" si="0"/>
        <v/>
      </c>
      <c r="L6" s="17" t="s">
        <v>286</v>
      </c>
      <c r="M6" s="82">
        <f>SUMIFS([1]unittypedata!$S:$S,[1]unittypedata!$D:$D,L6)</f>
        <v>2</v>
      </c>
    </row>
    <row r="7" spans="1:13">
      <c r="A7" t="s">
        <v>118</v>
      </c>
      <c r="B7" t="s">
        <v>309</v>
      </c>
      <c r="C7" s="19" t="s">
        <v>184</v>
      </c>
      <c r="D7" s="19">
        <v>2015</v>
      </c>
      <c r="E7">
        <f ca="1">ROUND(VLOOKUP($A7,    'VRE summary'!$B$2:$AD$23,    MATCH($D7, 'VRE summary'!$B$1:$AD$1, 0), FALSE), 0)</f>
        <v>215</v>
      </c>
      <c r="F7">
        <f>ROUND( VLOOKUP($B7,$L$5:$M$7, 2, FALSE) * (1+ VLOOKUP($A7,'vomcost mult'!$N$10:$R$32,5, FALSE)), 2)</f>
        <v>1.88</v>
      </c>
      <c r="G7" s="59" t="str">
        <f t="shared" ca="1" si="0"/>
        <v/>
      </c>
      <c r="L7" s="17" t="s">
        <v>309</v>
      </c>
      <c r="M7" s="82">
        <f>SUMIFS([1]unittypedata!$S:$S,[1]unittypedata!$D:$D,L7)</f>
        <v>1.5</v>
      </c>
    </row>
    <row r="8" spans="1:13">
      <c r="A8" t="s">
        <v>119</v>
      </c>
      <c r="B8" t="s">
        <v>309</v>
      </c>
      <c r="C8" s="19" t="s">
        <v>184</v>
      </c>
      <c r="D8" s="19">
        <v>2015</v>
      </c>
      <c r="E8">
        <f ca="1">ROUND(VLOOKUP($A8,    'VRE summary'!$B$2:$AD$23,    MATCH($D8, 'VRE summary'!$B$1:$AD$1, 0), FALSE), 0)</f>
        <v>567</v>
      </c>
      <c r="F8">
        <f>ROUND( VLOOKUP($B8,$L$5:$M$7, 2, FALSE) * (1+ VLOOKUP($A8,'vomcost mult'!$N$10:$R$32,5, FALSE)), 2)</f>
        <v>1.86</v>
      </c>
      <c r="G8" s="59" t="str">
        <f t="shared" ca="1" si="0"/>
        <v/>
      </c>
    </row>
    <row r="9" spans="1:13">
      <c r="A9" t="s">
        <v>120</v>
      </c>
      <c r="B9" t="s">
        <v>309</v>
      </c>
      <c r="C9" s="19" t="s">
        <v>184</v>
      </c>
      <c r="D9" s="19">
        <v>2015</v>
      </c>
      <c r="E9">
        <f ca="1">ROUND(VLOOKUP($A9,    'VRE summary'!$B$2:$AD$23,    MATCH($D9, 'VRE summary'!$B$1:$AD$1, 0), FALSE), 0)</f>
        <v>7</v>
      </c>
      <c r="F9">
        <f>ROUND( VLOOKUP($B9,$L$5:$M$7, 2, FALSE) * (1+ VLOOKUP($A9,'vomcost mult'!$N$10:$R$32,5, FALSE)), 2)</f>
        <v>1.19</v>
      </c>
      <c r="G9" s="59" t="str">
        <f t="shared" ca="1" si="0"/>
        <v>remove</v>
      </c>
    </row>
    <row r="10" spans="1:13">
      <c r="A10" t="s">
        <v>121</v>
      </c>
      <c r="B10" t="s">
        <v>309</v>
      </c>
      <c r="C10" s="19" t="s">
        <v>184</v>
      </c>
      <c r="D10" s="19">
        <v>2015</v>
      </c>
      <c r="E10">
        <f ca="1">ROUND(VLOOKUP($A10,    'VRE summary'!$B$2:$AD$23,    MATCH($D10, 'VRE summary'!$B$1:$AD$1, 0), FALSE), 0)</f>
        <v>4704</v>
      </c>
      <c r="F10">
        <f>ROUND( VLOOKUP($B10,$L$5:$M$7, 2, FALSE) * (1+ VLOOKUP($A10,'vomcost mult'!$N$10:$R$32,5, FALSE)), 2)</f>
        <v>1.38</v>
      </c>
      <c r="G10" s="59" t="str">
        <f t="shared" ca="1" si="0"/>
        <v/>
      </c>
    </row>
    <row r="11" spans="1:13">
      <c r="A11" t="s">
        <v>122</v>
      </c>
      <c r="B11" t="s">
        <v>309</v>
      </c>
      <c r="C11" s="19" t="s">
        <v>184</v>
      </c>
      <c r="D11" s="19">
        <v>2015</v>
      </c>
      <c r="E11">
        <f ca="1">ROUND(VLOOKUP($A11,    'VRE summary'!$B$2:$AD$23,    MATCH($D11, 'VRE summary'!$B$1:$AD$1, 0), FALSE), 0)</f>
        <v>17</v>
      </c>
      <c r="F11">
        <f>ROUND( VLOOKUP($B11,$L$5:$M$7, 2, FALSE) * (1+ VLOOKUP($A11,'vomcost mult'!$N$10:$R$32,5, FALSE)), 2)</f>
        <v>1.66</v>
      </c>
      <c r="G11" s="59" t="str">
        <f t="shared" ca="1" si="0"/>
        <v>remove</v>
      </c>
    </row>
    <row r="12" spans="1:13">
      <c r="A12" t="s">
        <v>123</v>
      </c>
      <c r="B12" t="s">
        <v>309</v>
      </c>
      <c r="C12" s="19" t="s">
        <v>184</v>
      </c>
      <c r="D12" s="19">
        <v>2015</v>
      </c>
      <c r="E12">
        <f ca="1">ROUND(VLOOKUP($A12,    'VRE summary'!$B$2:$AD$23,    MATCH($D12, 'VRE summary'!$B$1:$AD$1, 0), FALSE), 0)</f>
        <v>7138</v>
      </c>
      <c r="F12">
        <f>ROUND( VLOOKUP($B12,$L$5:$M$7, 2, FALSE) * (1+ VLOOKUP($A12,'vomcost mult'!$N$10:$R$32,5, FALSE)), 2)</f>
        <v>1.58</v>
      </c>
      <c r="G12" s="59" t="str">
        <f t="shared" ca="1" si="0"/>
        <v/>
      </c>
    </row>
    <row r="13" spans="1:13">
      <c r="A13" t="s">
        <v>124</v>
      </c>
      <c r="B13" t="s">
        <v>309</v>
      </c>
      <c r="C13" s="19" t="s">
        <v>184</v>
      </c>
      <c r="D13" s="19">
        <v>2015</v>
      </c>
      <c r="E13">
        <f ca="1">ROUND(VLOOKUP($A13,    'VRE summary'!$B$2:$AD$23,    MATCH($D13, 'VRE summary'!$B$1:$AD$1, 0), FALSE), 0)</f>
        <v>69</v>
      </c>
      <c r="F13">
        <f>ROUND( VLOOKUP($B13,$L$5:$M$7, 2, FALSE) * (1+ VLOOKUP($A13,'vomcost mult'!$N$10:$R$32,5, FALSE)), 2)</f>
        <v>1.1499999999999999</v>
      </c>
      <c r="G13" s="59" t="str">
        <f t="shared" ca="1" si="0"/>
        <v/>
      </c>
    </row>
    <row r="14" spans="1:13">
      <c r="A14" t="s">
        <v>125</v>
      </c>
      <c r="B14" t="s">
        <v>309</v>
      </c>
      <c r="C14" s="19" t="s">
        <v>184</v>
      </c>
      <c r="D14" s="19">
        <v>2015</v>
      </c>
      <c r="E14">
        <f ca="1">ROUND(VLOOKUP($A14,    'VRE summary'!$B$2:$AD$23,    MATCH($D14, 'VRE summary'!$B$1:$AD$1, 0), FALSE), 0)</f>
        <v>2</v>
      </c>
      <c r="F14">
        <f>ROUND( VLOOKUP($B14,$L$5:$M$7, 2, FALSE) * (1+ VLOOKUP($A14,'vomcost mult'!$N$10:$R$32,5, FALSE)), 2)</f>
        <v>1.05</v>
      </c>
      <c r="G14" s="59" t="str">
        <f t="shared" ca="1" si="0"/>
        <v>remove</v>
      </c>
    </row>
    <row r="15" spans="1:13">
      <c r="A15" t="s">
        <v>126</v>
      </c>
      <c r="B15" t="s">
        <v>309</v>
      </c>
      <c r="C15" s="19" t="s">
        <v>184</v>
      </c>
      <c r="D15" s="19">
        <v>2015</v>
      </c>
      <c r="E15">
        <f ca="1">ROUND(VLOOKUP($A15,    'VRE summary'!$B$2:$AD$23,    MATCH($D15, 'VRE summary'!$B$1:$AD$1, 0), FALSE), 0)</f>
        <v>1526</v>
      </c>
      <c r="F15">
        <f>ROUND( VLOOKUP($B15,$L$5:$M$7, 2, FALSE) * (1+ VLOOKUP($A15,'vomcost mult'!$N$10:$R$32,5, FALSE)), 2)</f>
        <v>1.77</v>
      </c>
      <c r="G15" s="59" t="str">
        <f t="shared" ca="1" si="0"/>
        <v/>
      </c>
    </row>
    <row r="16" spans="1:13">
      <c r="A16" t="s">
        <v>127</v>
      </c>
      <c r="B16" t="s">
        <v>309</v>
      </c>
      <c r="C16" s="19" t="s">
        <v>184</v>
      </c>
      <c r="D16" s="19">
        <v>2015</v>
      </c>
      <c r="E16">
        <f ca="1">ROUND(VLOOKUP($A16,    'VRE summary'!$B$2:$AD$23,    MATCH($D16, 'VRE summary'!$B$1:$AD$1, 0), FALSE), 0)</f>
        <v>5</v>
      </c>
      <c r="F16">
        <f>ROUND( VLOOKUP($B16,$L$5:$M$7, 2, FALSE) * (1+ VLOOKUP($A16,'vomcost mult'!$N$10:$R$32,5, FALSE)), 2)</f>
        <v>1.97</v>
      </c>
      <c r="G16" s="59" t="str">
        <f t="shared" ca="1" si="0"/>
        <v>remove</v>
      </c>
    </row>
    <row r="17" spans="1:7">
      <c r="A17" t="s">
        <v>128</v>
      </c>
      <c r="B17" t="s">
        <v>309</v>
      </c>
      <c r="C17" s="19" t="s">
        <v>184</v>
      </c>
      <c r="D17" s="19">
        <v>2015</v>
      </c>
      <c r="E17">
        <f ca="1">ROUND(VLOOKUP($A17,    'VRE summary'!$B$2:$AD$23,    MATCH($D17, 'VRE summary'!$B$1:$AD$1, 0), FALSE), 0)</f>
        <v>1</v>
      </c>
      <c r="F17">
        <f>ROUND( VLOOKUP($B17,$L$5:$M$7, 2, FALSE) * (1+ VLOOKUP($A17,'vomcost mult'!$N$10:$R$32,5, FALSE)), 2)</f>
        <v>1.99</v>
      </c>
      <c r="G17" s="59" t="str">
        <f t="shared" ca="1" si="0"/>
        <v>remove</v>
      </c>
    </row>
    <row r="18" spans="1:7">
      <c r="A18" t="s">
        <v>129</v>
      </c>
      <c r="B18" t="s">
        <v>309</v>
      </c>
      <c r="C18" s="19" t="s">
        <v>184</v>
      </c>
      <c r="D18" s="19">
        <v>2015</v>
      </c>
      <c r="E18">
        <f ca="1">ROUND(VLOOKUP($A18,    'VRE summary'!$B$2:$AD$23,    MATCH($D18, 'VRE summary'!$B$1:$AD$1, 0), FALSE), 0)</f>
        <v>14</v>
      </c>
      <c r="F18">
        <f>ROUND( VLOOKUP($B18,$L$5:$M$7, 2, FALSE) * (1+ VLOOKUP($A18,'vomcost mult'!$N$10:$R$32,5, FALSE)), 2)</f>
        <v>1.94</v>
      </c>
      <c r="G18" s="59" t="str">
        <f t="shared" ca="1" si="0"/>
        <v>remove</v>
      </c>
    </row>
    <row r="19" spans="1:7">
      <c r="A19" t="s">
        <v>130</v>
      </c>
      <c r="B19" t="s">
        <v>309</v>
      </c>
      <c r="C19" s="19" t="s">
        <v>184</v>
      </c>
      <c r="D19" s="19">
        <v>2015</v>
      </c>
      <c r="E19">
        <f ca="1">ROUND(VLOOKUP($A19,    'VRE summary'!$B$2:$AD$23,    MATCH($D19, 'VRE summary'!$B$1:$AD$1, 0), FALSE), 0)</f>
        <v>108</v>
      </c>
      <c r="F19">
        <f>ROUND( VLOOKUP($B19,$L$5:$M$7, 2, FALSE) * (1+ VLOOKUP($A19,'vomcost mult'!$N$10:$R$32,5, FALSE)), 2)</f>
        <v>1.04</v>
      </c>
      <c r="G19" s="59" t="str">
        <f t="shared" ca="1" si="0"/>
        <v/>
      </c>
    </row>
    <row r="20" spans="1:7">
      <c r="A20" t="s">
        <v>131</v>
      </c>
      <c r="B20" t="s">
        <v>309</v>
      </c>
      <c r="C20" s="19" t="s">
        <v>184</v>
      </c>
      <c r="D20" s="19">
        <v>2015</v>
      </c>
      <c r="E20">
        <f ca="1">ROUND(VLOOKUP($A20,    'VRE summary'!$B$2:$AD$23,    MATCH($D20, 'VRE summary'!$B$1:$AD$1, 0), FALSE), 0)</f>
        <v>1</v>
      </c>
      <c r="F20">
        <f>ROUND( VLOOKUP($B20,$L$5:$M$7, 2, FALSE) * (1+ VLOOKUP($A20,'vomcost mult'!$N$10:$R$32,5, FALSE)), 2)</f>
        <v>1.77</v>
      </c>
      <c r="G20" s="59" t="str">
        <f t="shared" ca="1" si="0"/>
        <v>remove</v>
      </c>
    </row>
    <row r="21" spans="1:7">
      <c r="A21" t="s">
        <v>132</v>
      </c>
      <c r="B21" t="s">
        <v>309</v>
      </c>
      <c r="C21" s="19" t="s">
        <v>184</v>
      </c>
      <c r="D21" s="19">
        <v>2015</v>
      </c>
      <c r="E21">
        <f ca="1">ROUND(VLOOKUP($A21,    'VRE summary'!$B$2:$AD$23,    MATCH($D21, 'VRE summary'!$B$1:$AD$1, 0), FALSE), 0)</f>
        <v>5</v>
      </c>
      <c r="F21">
        <f>ROUND( VLOOKUP($B21,$L$5:$M$7, 2, FALSE) * (1+ VLOOKUP($A21,'vomcost mult'!$N$10:$R$32,5, FALSE)), 2)</f>
        <v>1.76</v>
      </c>
      <c r="G21" s="59" t="str">
        <f t="shared" ca="1" si="0"/>
        <v>remove</v>
      </c>
    </row>
    <row r="22" spans="1:7">
      <c r="A22" t="s">
        <v>133</v>
      </c>
      <c r="B22" t="s">
        <v>309</v>
      </c>
      <c r="C22" s="19" t="s">
        <v>184</v>
      </c>
      <c r="D22" s="19">
        <v>2015</v>
      </c>
      <c r="E22">
        <f ca="1">ROUND(VLOOKUP($A22,    'VRE summary'!$B$2:$AD$23,    MATCH($D22, 'VRE summary'!$B$1:$AD$1, 0), FALSE), 0)</f>
        <v>68</v>
      </c>
      <c r="F22">
        <f>ROUND( VLOOKUP($B22,$L$5:$M$7, 2, FALSE) * (1+ VLOOKUP($A22,'vomcost mult'!$N$10:$R$32,5, FALSE)), 2)</f>
        <v>1.75</v>
      </c>
      <c r="G22" s="59" t="str">
        <f t="shared" ca="1" si="0"/>
        <v/>
      </c>
    </row>
    <row r="23" spans="1:7">
      <c r="A23" t="s">
        <v>134</v>
      </c>
      <c r="B23" t="s">
        <v>309</v>
      </c>
      <c r="C23" s="19" t="s">
        <v>184</v>
      </c>
      <c r="D23" s="19">
        <v>2015</v>
      </c>
      <c r="E23">
        <f ca="1">ROUND(VLOOKUP($A23,    'VRE summary'!$B$2:$AD$23,    MATCH($D23, 'VRE summary'!$B$1:$AD$1, 0), FALSE), 0)</f>
        <v>30</v>
      </c>
      <c r="F23">
        <f>ROUND( VLOOKUP($B23,$L$5:$M$7, 2, FALSE) * (1+ VLOOKUP($A23,'vomcost mult'!$N$10:$R$32,5, FALSE)), 2)</f>
        <v>1.74</v>
      </c>
      <c r="G23" s="59" t="str">
        <f t="shared" ca="1" si="0"/>
        <v>remove</v>
      </c>
    </row>
    <row r="24" spans="1:7">
      <c r="A24" t="s">
        <v>135</v>
      </c>
      <c r="B24" t="s">
        <v>309</v>
      </c>
      <c r="C24" s="19" t="s">
        <v>184</v>
      </c>
      <c r="D24" s="19">
        <v>2015</v>
      </c>
      <c r="E24">
        <f ca="1">ROUND(VLOOKUP($A24,    'VRE summary'!$B$2:$AD$23,    MATCH($D24, 'VRE summary'!$B$1:$AD$1, 0), FALSE), 0)</f>
        <v>9601</v>
      </c>
      <c r="F24">
        <f>ROUND( VLOOKUP($B24,$L$5:$M$7, 2, FALSE) * (1+ VLOOKUP($A24,'vomcost mult'!$N$10:$R$32,5, FALSE)), 2)</f>
        <v>1.75</v>
      </c>
      <c r="G24" s="59" t="str">
        <f t="shared" ca="1" si="0"/>
        <v/>
      </c>
    </row>
    <row r="25" spans="1:7">
      <c r="A25" t="s">
        <v>111</v>
      </c>
      <c r="B25" t="s">
        <v>309</v>
      </c>
      <c r="C25" s="19" t="s">
        <v>184</v>
      </c>
      <c r="D25" s="19">
        <v>2020</v>
      </c>
      <c r="E25">
        <f ca="1">ROUND(VLOOKUP($A25,    'VRE summary'!$B$2:$AD$23,    MATCH($D25, 'VRE summary'!$B$1:$AD$1, 0), FALSE), 0)</f>
        <v>2043</v>
      </c>
      <c r="F25">
        <f>ROUND( VLOOKUP($B25,$L$5:$M$7, 2, FALSE) * (1+ VLOOKUP($A25,'vomcost mult'!$N$10:$R$32,5, FALSE)), 2)</f>
        <v>1.69</v>
      </c>
      <c r="G25" s="59" t="str">
        <f t="shared" ca="1" si="0"/>
        <v/>
      </c>
    </row>
    <row r="26" spans="1:7">
      <c r="A26" t="s">
        <v>114</v>
      </c>
      <c r="B26" t="s">
        <v>309</v>
      </c>
      <c r="C26" s="19" t="s">
        <v>184</v>
      </c>
      <c r="D26" s="19">
        <v>2020</v>
      </c>
      <c r="E26">
        <f ca="1">ROUND(VLOOKUP($A26,    'VRE summary'!$B$2:$AD$23,    MATCH($D26, 'VRE summary'!$B$1:$AD$1, 0), FALSE), 0)</f>
        <v>5573</v>
      </c>
      <c r="F26">
        <f>ROUND( VLOOKUP($B26,$L$5:$M$7, 2, FALSE) * (1+ VLOOKUP($A26,'vomcost mult'!$N$10:$R$32,5, FALSE)), 2)</f>
        <v>1.68</v>
      </c>
      <c r="G26" s="59" t="str">
        <f t="shared" ca="1" si="0"/>
        <v/>
      </c>
    </row>
    <row r="27" spans="1:7">
      <c r="A27" t="s">
        <v>116</v>
      </c>
      <c r="B27" t="s">
        <v>309</v>
      </c>
      <c r="C27" s="19" t="s">
        <v>184</v>
      </c>
      <c r="D27" s="19">
        <v>2020</v>
      </c>
      <c r="E27">
        <f ca="1">ROUND(VLOOKUP($A27,    'VRE summary'!$B$2:$AD$23,    MATCH($D27, 'VRE summary'!$B$1:$AD$1, 0), FALSE), 0)</f>
        <v>2973</v>
      </c>
      <c r="F27">
        <f>ROUND( VLOOKUP($B27,$L$5:$M$7, 2, FALSE) * (1+ VLOOKUP($A27,'vomcost mult'!$N$10:$R$32,5, FALSE)), 2)</f>
        <v>2.1800000000000002</v>
      </c>
      <c r="G27" s="59" t="str">
        <f t="shared" ca="1" si="0"/>
        <v/>
      </c>
    </row>
    <row r="28" spans="1:7">
      <c r="A28" t="s">
        <v>117</v>
      </c>
      <c r="B28" t="s">
        <v>309</v>
      </c>
      <c r="C28" s="19" t="s">
        <v>184</v>
      </c>
      <c r="D28" s="19">
        <v>2020</v>
      </c>
      <c r="E28">
        <f ca="1">ROUND(VLOOKUP($A28,    'VRE summary'!$B$2:$AD$23,    MATCH($D28, 'VRE summary'!$B$1:$AD$1, 0), FALSE), 0)</f>
        <v>53669</v>
      </c>
      <c r="F28">
        <f>ROUND( VLOOKUP($B28,$L$5:$M$7, 2, FALSE) * (1+ VLOOKUP($A28,'vomcost mult'!$N$10:$R$32,5, FALSE)), 2)</f>
        <v>1.66</v>
      </c>
      <c r="G28" s="59" t="str">
        <f t="shared" ca="1" si="0"/>
        <v/>
      </c>
    </row>
    <row r="29" spans="1:7">
      <c r="A29" t="s">
        <v>118</v>
      </c>
      <c r="B29" t="s">
        <v>309</v>
      </c>
      <c r="C29" s="19" t="s">
        <v>184</v>
      </c>
      <c r="D29" s="19">
        <v>2020</v>
      </c>
      <c r="E29">
        <f ca="1">ROUND(VLOOKUP($A29,    'VRE summary'!$B$2:$AD$23,    MATCH($D29, 'VRE summary'!$B$1:$AD$1, 0), FALSE), 0)</f>
        <v>359</v>
      </c>
      <c r="F29">
        <f>ROUND( VLOOKUP($B29,$L$5:$M$7, 2, FALSE) * (1+ VLOOKUP($A29,'vomcost mult'!$N$10:$R$32,5, FALSE)), 2)</f>
        <v>1.88</v>
      </c>
      <c r="G29" s="59" t="str">
        <f t="shared" ca="1" si="0"/>
        <v/>
      </c>
    </row>
    <row r="30" spans="1:7">
      <c r="A30" t="s">
        <v>119</v>
      </c>
      <c r="B30" t="s">
        <v>309</v>
      </c>
      <c r="C30" s="19" t="s">
        <v>184</v>
      </c>
      <c r="D30" s="19">
        <v>2020</v>
      </c>
      <c r="E30">
        <f ca="1">ROUND(VLOOKUP($A30,    'VRE summary'!$B$2:$AD$23,    MATCH($D30, 'VRE summary'!$B$1:$AD$1, 0), FALSE), 0)</f>
        <v>945</v>
      </c>
      <c r="F30">
        <f>ROUND( VLOOKUP($B30,$L$5:$M$7, 2, FALSE) * (1+ VLOOKUP($A30,'vomcost mult'!$N$10:$R$32,5, FALSE)), 2)</f>
        <v>1.86</v>
      </c>
      <c r="G30" s="59" t="str">
        <f t="shared" ca="1" si="0"/>
        <v/>
      </c>
    </row>
    <row r="31" spans="1:7">
      <c r="A31" t="s">
        <v>120</v>
      </c>
      <c r="B31" t="s">
        <v>309</v>
      </c>
      <c r="C31" s="19" t="s">
        <v>184</v>
      </c>
      <c r="D31" s="19">
        <v>2020</v>
      </c>
      <c r="E31">
        <f ca="1">ROUND(VLOOKUP($A31,    'VRE summary'!$B$2:$AD$23,    MATCH($D31, 'VRE summary'!$B$1:$AD$1, 0), FALSE), 0)</f>
        <v>208</v>
      </c>
      <c r="F31">
        <f>ROUND( VLOOKUP($B31,$L$5:$M$7, 2, FALSE) * (1+ VLOOKUP($A31,'vomcost mult'!$N$10:$R$32,5, FALSE)), 2)</f>
        <v>1.19</v>
      </c>
      <c r="G31" s="59" t="str">
        <f t="shared" ca="1" si="0"/>
        <v/>
      </c>
    </row>
    <row r="32" spans="1:7">
      <c r="A32" t="s">
        <v>121</v>
      </c>
      <c r="B32" t="s">
        <v>309</v>
      </c>
      <c r="C32" s="19" t="s">
        <v>184</v>
      </c>
      <c r="D32" s="19">
        <v>2020</v>
      </c>
      <c r="E32">
        <f ca="1">ROUND(VLOOKUP($A32,    'VRE summary'!$B$2:$AD$23,    MATCH($D32, 'VRE summary'!$B$1:$AD$1, 0), FALSE), 0)</f>
        <v>10136</v>
      </c>
      <c r="F32">
        <f>ROUND( VLOOKUP($B32,$L$5:$M$7, 2, FALSE) * (1+ VLOOKUP($A32,'vomcost mult'!$N$10:$R$32,5, FALSE)), 2)</f>
        <v>1.38</v>
      </c>
      <c r="G32" s="59" t="str">
        <f t="shared" ca="1" si="0"/>
        <v/>
      </c>
    </row>
    <row r="33" spans="1:7">
      <c r="A33" t="s">
        <v>122</v>
      </c>
      <c r="B33" t="s">
        <v>309</v>
      </c>
      <c r="C33" s="19" t="s">
        <v>184</v>
      </c>
      <c r="D33" s="19">
        <v>2020</v>
      </c>
      <c r="E33">
        <f ca="1">ROUND(VLOOKUP($A33,    'VRE summary'!$B$2:$AD$23,    MATCH($D33, 'VRE summary'!$B$1:$AD$1, 0), FALSE), 0)</f>
        <v>318</v>
      </c>
      <c r="F33">
        <f>ROUND( VLOOKUP($B33,$L$5:$M$7, 2, FALSE) * (1+ VLOOKUP($A33,'vomcost mult'!$N$10:$R$32,5, FALSE)), 2)</f>
        <v>1.66</v>
      </c>
      <c r="G33" s="59" t="str">
        <f t="shared" ca="1" si="0"/>
        <v/>
      </c>
    </row>
    <row r="34" spans="1:7">
      <c r="A34" t="s">
        <v>123</v>
      </c>
      <c r="B34" t="s">
        <v>309</v>
      </c>
      <c r="C34" s="19" t="s">
        <v>184</v>
      </c>
      <c r="D34" s="19">
        <v>2020</v>
      </c>
      <c r="E34">
        <f ca="1">ROUND(VLOOKUP($A34,    'VRE summary'!$B$2:$AD$23,    MATCH($D34, 'VRE summary'!$B$1:$AD$1, 0), FALSE), 0)</f>
        <v>12056</v>
      </c>
      <c r="F34">
        <f>ROUND( VLOOKUP($B34,$L$5:$M$7, 2, FALSE) * (1+ VLOOKUP($A34,'vomcost mult'!$N$10:$R$32,5, FALSE)), 2)</f>
        <v>1.58</v>
      </c>
      <c r="G34" s="59" t="str">
        <f t="shared" ca="1" si="0"/>
        <v/>
      </c>
    </row>
    <row r="35" spans="1:7">
      <c r="A35" t="s">
        <v>124</v>
      </c>
      <c r="B35" t="s">
        <v>309</v>
      </c>
      <c r="C35" s="19" t="s">
        <v>184</v>
      </c>
      <c r="D35" s="19">
        <v>2020</v>
      </c>
      <c r="E35">
        <f ca="1">ROUND(VLOOKUP($A35,    'VRE summary'!$B$2:$AD$23,    MATCH($D35, 'VRE summary'!$B$1:$AD$1, 0), FALSE), 0)</f>
        <v>164</v>
      </c>
      <c r="F35">
        <f>ROUND( VLOOKUP($B35,$L$5:$M$7, 2, FALSE) * (1+ VLOOKUP($A35,'vomcost mult'!$N$10:$R$32,5, FALSE)), 2)</f>
        <v>1.1499999999999999</v>
      </c>
      <c r="G35" s="59" t="str">
        <f t="shared" ca="1" si="0"/>
        <v/>
      </c>
    </row>
    <row r="36" spans="1:7">
      <c r="A36" t="s">
        <v>125</v>
      </c>
      <c r="B36" t="s">
        <v>309</v>
      </c>
      <c r="C36" s="19" t="s">
        <v>184</v>
      </c>
      <c r="D36" s="19">
        <v>2020</v>
      </c>
      <c r="E36">
        <f ca="1">ROUND(VLOOKUP($A36,    'VRE summary'!$B$2:$AD$23,    MATCH($D36, 'VRE summary'!$B$1:$AD$1, 0), FALSE), 0)</f>
        <v>5</v>
      </c>
      <c r="F36">
        <f>ROUND( VLOOKUP($B36,$L$5:$M$7, 2, FALSE) * (1+ VLOOKUP($A36,'vomcost mult'!$N$10:$R$32,5, FALSE)), 2)</f>
        <v>1.05</v>
      </c>
      <c r="G36" s="59" t="str">
        <f t="shared" ca="1" si="0"/>
        <v>remove</v>
      </c>
    </row>
    <row r="37" spans="1:7">
      <c r="A37" t="s">
        <v>126</v>
      </c>
      <c r="B37" t="s">
        <v>309</v>
      </c>
      <c r="C37" s="19" t="s">
        <v>184</v>
      </c>
      <c r="D37" s="19">
        <v>2020</v>
      </c>
      <c r="E37">
        <f ca="1">ROUND(VLOOKUP($A37,    'VRE summary'!$B$2:$AD$23,    MATCH($D37, 'VRE summary'!$B$1:$AD$1, 0), FALSE), 0)</f>
        <v>11108</v>
      </c>
      <c r="F37">
        <f>ROUND( VLOOKUP($B37,$L$5:$M$7, 2, FALSE) * (1+ VLOOKUP($A37,'vomcost mult'!$N$10:$R$32,5, FALSE)), 2)</f>
        <v>1.77</v>
      </c>
      <c r="G37" s="59" t="str">
        <f t="shared" ca="1" si="0"/>
        <v/>
      </c>
    </row>
    <row r="38" spans="1:7">
      <c r="A38" t="s">
        <v>127</v>
      </c>
      <c r="B38" t="s">
        <v>309</v>
      </c>
      <c r="C38" s="19" t="s">
        <v>184</v>
      </c>
      <c r="D38" s="19">
        <v>2020</v>
      </c>
      <c r="E38">
        <f ca="1">ROUND(VLOOKUP($A38,    'VRE summary'!$B$2:$AD$23,    MATCH($D38, 'VRE summary'!$B$1:$AD$1, 0), FALSE), 0)</f>
        <v>38</v>
      </c>
      <c r="F38">
        <f>ROUND( VLOOKUP($B38,$L$5:$M$7, 2, FALSE) * (1+ VLOOKUP($A38,'vomcost mult'!$N$10:$R$32,5, FALSE)), 2)</f>
        <v>1.97</v>
      </c>
      <c r="G38" s="59" t="str">
        <f t="shared" ca="1" si="0"/>
        <v>remove</v>
      </c>
    </row>
    <row r="39" spans="1:7">
      <c r="A39" t="s">
        <v>128</v>
      </c>
      <c r="B39" t="s">
        <v>309</v>
      </c>
      <c r="C39" s="19" t="s">
        <v>184</v>
      </c>
      <c r="D39" s="19">
        <v>2020</v>
      </c>
      <c r="E39">
        <f ca="1">ROUND(VLOOKUP($A39,    'VRE summary'!$B$2:$AD$23,    MATCH($D39, 'VRE summary'!$B$1:$AD$1, 0), FALSE), 0)</f>
        <v>10</v>
      </c>
      <c r="F39">
        <f>ROUND( VLOOKUP($B39,$L$5:$M$7, 2, FALSE) * (1+ VLOOKUP($A39,'vomcost mult'!$N$10:$R$32,5, FALSE)), 2)</f>
        <v>1.99</v>
      </c>
      <c r="G39" s="59" t="str">
        <f t="shared" ca="1" si="0"/>
        <v>remove</v>
      </c>
    </row>
    <row r="40" spans="1:7">
      <c r="A40" t="s">
        <v>129</v>
      </c>
      <c r="B40" t="s">
        <v>309</v>
      </c>
      <c r="C40" s="19" t="s">
        <v>184</v>
      </c>
      <c r="D40" s="19">
        <v>2020</v>
      </c>
      <c r="E40">
        <f ca="1">ROUND(VLOOKUP($A40,    'VRE summary'!$B$2:$AD$23,    MATCH($D40, 'VRE summary'!$B$1:$AD$1, 0), FALSE), 0)</f>
        <v>113</v>
      </c>
      <c r="F40">
        <f>ROUND( VLOOKUP($B40,$L$5:$M$7, 2, FALSE) * (1+ VLOOKUP($A40,'vomcost mult'!$N$10:$R$32,5, FALSE)), 2)</f>
        <v>1.94</v>
      </c>
      <c r="G40" s="59" t="str">
        <f t="shared" ca="1" si="0"/>
        <v/>
      </c>
    </row>
    <row r="41" spans="1:7">
      <c r="A41" t="s">
        <v>130</v>
      </c>
      <c r="B41" t="s">
        <v>309</v>
      </c>
      <c r="C41" s="19" t="s">
        <v>184</v>
      </c>
      <c r="D41" s="19">
        <v>2020</v>
      </c>
      <c r="E41">
        <f ca="1">ROUND(VLOOKUP($A41,    'VRE summary'!$B$2:$AD$23,    MATCH($D41, 'VRE summary'!$B$1:$AD$1, 0), FALSE), 0)</f>
        <v>3955</v>
      </c>
      <c r="F41">
        <f>ROUND( VLOOKUP($B41,$L$5:$M$7, 2, FALSE) * (1+ VLOOKUP($A41,'vomcost mult'!$N$10:$R$32,5, FALSE)), 2)</f>
        <v>1.04</v>
      </c>
      <c r="G41" s="59" t="str">
        <f t="shared" ca="1" si="0"/>
        <v/>
      </c>
    </row>
    <row r="42" spans="1:7">
      <c r="A42" t="s">
        <v>131</v>
      </c>
      <c r="B42" t="s">
        <v>309</v>
      </c>
      <c r="C42" s="19" t="s">
        <v>184</v>
      </c>
      <c r="D42" s="19">
        <v>2020</v>
      </c>
      <c r="E42">
        <f ca="1">ROUND(VLOOKUP($A42,    'VRE summary'!$B$2:$AD$23,    MATCH($D42, 'VRE summary'!$B$1:$AD$1, 0), FALSE), 0)</f>
        <v>14</v>
      </c>
      <c r="F42">
        <f>ROUND( VLOOKUP($B42,$L$5:$M$7, 2, FALSE) * (1+ VLOOKUP($A42,'vomcost mult'!$N$10:$R$32,5, FALSE)), 2)</f>
        <v>1.77</v>
      </c>
      <c r="G42" s="59" t="str">
        <f t="shared" ca="1" si="0"/>
        <v>remove</v>
      </c>
    </row>
    <row r="43" spans="1:7">
      <c r="A43" t="s">
        <v>132</v>
      </c>
      <c r="B43" t="s">
        <v>309</v>
      </c>
      <c r="C43" s="19" t="s">
        <v>184</v>
      </c>
      <c r="D43" s="19">
        <v>2020</v>
      </c>
      <c r="E43">
        <f ca="1">ROUND(VLOOKUP($A43,    'VRE summary'!$B$2:$AD$23,    MATCH($D43, 'VRE summary'!$B$1:$AD$1, 0), FALSE), 0)</f>
        <v>50</v>
      </c>
      <c r="F43">
        <f>ROUND( VLOOKUP($B43,$L$5:$M$7, 2, FALSE) * (1+ VLOOKUP($A43,'vomcost mult'!$N$10:$R$32,5, FALSE)), 2)</f>
        <v>1.76</v>
      </c>
      <c r="G43" s="59" t="str">
        <f t="shared" ca="1" si="0"/>
        <v/>
      </c>
    </row>
    <row r="44" spans="1:7">
      <c r="A44" t="s">
        <v>133</v>
      </c>
      <c r="B44" t="s">
        <v>309</v>
      </c>
      <c r="C44" s="19" t="s">
        <v>184</v>
      </c>
      <c r="D44" s="19">
        <v>2020</v>
      </c>
      <c r="E44">
        <f ca="1">ROUND(VLOOKUP($A44,    'VRE summary'!$B$2:$AD$23,    MATCH($D44, 'VRE summary'!$B$1:$AD$1, 0), FALSE), 0)</f>
        <v>726</v>
      </c>
      <c r="F44">
        <f>ROUND( VLOOKUP($B44,$L$5:$M$7, 2, FALSE) * (1+ VLOOKUP($A44,'vomcost mult'!$N$10:$R$32,5, FALSE)), 2)</f>
        <v>1.75</v>
      </c>
      <c r="G44" s="59" t="str">
        <f t="shared" ca="1" si="0"/>
        <v/>
      </c>
    </row>
    <row r="45" spans="1:7">
      <c r="A45" t="s">
        <v>134</v>
      </c>
      <c r="B45" t="s">
        <v>309</v>
      </c>
      <c r="C45" s="19" t="s">
        <v>184</v>
      </c>
      <c r="D45" s="19">
        <v>2020</v>
      </c>
      <c r="E45">
        <f ca="1">ROUND(VLOOKUP($A45,    'VRE summary'!$B$2:$AD$23,    MATCH($D45, 'VRE summary'!$B$1:$AD$1, 0), FALSE), 0)</f>
        <v>317</v>
      </c>
      <c r="F45">
        <f>ROUND( VLOOKUP($B45,$L$5:$M$7, 2, FALSE) * (1+ VLOOKUP($A45,'vomcost mult'!$N$10:$R$32,5, FALSE)), 2)</f>
        <v>1.74</v>
      </c>
      <c r="G45" s="59" t="str">
        <f t="shared" ca="1" si="0"/>
        <v/>
      </c>
    </row>
    <row r="46" spans="1:7">
      <c r="A46" t="s">
        <v>135</v>
      </c>
      <c r="B46" t="s">
        <v>309</v>
      </c>
      <c r="C46" s="19" t="s">
        <v>184</v>
      </c>
      <c r="D46" s="19">
        <v>2020</v>
      </c>
      <c r="E46">
        <f ca="1">ROUND(VLOOKUP($A46,    'VRE summary'!$B$2:$AD$23,    MATCH($D46, 'VRE summary'!$B$1:$AD$1, 0), FALSE), 0)</f>
        <v>13224</v>
      </c>
      <c r="F46">
        <f>ROUND( VLOOKUP($B46,$L$5:$M$7, 2, FALSE) * (1+ VLOOKUP($A46,'vomcost mult'!$N$10:$R$32,5, FALSE)), 2)</f>
        <v>1.75</v>
      </c>
      <c r="G46" s="59" t="str">
        <f t="shared" ca="1" si="0"/>
        <v/>
      </c>
    </row>
    <row r="47" spans="1:7">
      <c r="A47" t="s">
        <v>111</v>
      </c>
      <c r="B47" t="s">
        <v>309</v>
      </c>
      <c r="C47" s="19" t="s">
        <v>184</v>
      </c>
      <c r="D47" s="19">
        <v>2025</v>
      </c>
      <c r="E47">
        <f ca="1">ROUND(VLOOKUP($A47,    'VRE summary'!$B$2:$AD$23,    MATCH($D47, 'VRE summary'!$B$1:$AD$1, 0), FALSE), 0)</f>
        <v>8735</v>
      </c>
      <c r="F47">
        <f>ROUND( VLOOKUP($B47,$L$5:$M$7, 2, FALSE) * (1+ VLOOKUP($A47,'vomcost mult'!$N$10:$R$32,5, FALSE)), 2)</f>
        <v>1.69</v>
      </c>
      <c r="G47" s="59" t="str">
        <f t="shared" ca="1" si="0"/>
        <v/>
      </c>
    </row>
    <row r="48" spans="1:7">
      <c r="A48" t="s">
        <v>114</v>
      </c>
      <c r="B48" t="s">
        <v>309</v>
      </c>
      <c r="C48" s="19" t="s">
        <v>184</v>
      </c>
      <c r="D48" s="19">
        <v>2025</v>
      </c>
      <c r="E48">
        <f ca="1">ROUND(VLOOKUP($A48,    'VRE summary'!$B$2:$AD$23,    MATCH($D48, 'VRE summary'!$B$1:$AD$1, 0), FALSE), 0)</f>
        <v>9551</v>
      </c>
      <c r="F48">
        <f>ROUND( VLOOKUP($B48,$L$5:$M$7, 2, FALSE) * (1+ VLOOKUP($A48,'vomcost mult'!$N$10:$R$32,5, FALSE)), 2)</f>
        <v>1.68</v>
      </c>
      <c r="G48" s="59" t="str">
        <f t="shared" ca="1" si="0"/>
        <v/>
      </c>
    </row>
    <row r="49" spans="1:7">
      <c r="A49" t="s">
        <v>116</v>
      </c>
      <c r="B49" t="s">
        <v>309</v>
      </c>
      <c r="C49" s="19" t="s">
        <v>184</v>
      </c>
      <c r="D49" s="19">
        <v>2025</v>
      </c>
      <c r="E49">
        <f ca="1">ROUND(VLOOKUP($A49,    'VRE summary'!$B$2:$AD$23,    MATCH($D49, 'VRE summary'!$B$1:$AD$1, 0), FALSE), 0)</f>
        <v>8209</v>
      </c>
      <c r="F49">
        <f>ROUND( VLOOKUP($B49,$L$5:$M$7, 2, FALSE) * (1+ VLOOKUP($A49,'vomcost mult'!$N$10:$R$32,5, FALSE)), 2)</f>
        <v>2.1800000000000002</v>
      </c>
      <c r="G49" s="59" t="str">
        <f t="shared" ca="1" si="0"/>
        <v/>
      </c>
    </row>
    <row r="50" spans="1:7">
      <c r="A50" t="s">
        <v>117</v>
      </c>
      <c r="B50" t="s">
        <v>309</v>
      </c>
      <c r="C50" s="19" t="s">
        <v>184</v>
      </c>
      <c r="D50" s="19">
        <v>2025</v>
      </c>
      <c r="E50">
        <f ca="1">ROUND(VLOOKUP($A50,    'VRE summary'!$B$2:$AD$23,    MATCH($D50, 'VRE summary'!$B$1:$AD$1, 0), FALSE), 0)</f>
        <v>102767</v>
      </c>
      <c r="F50">
        <f>ROUND( VLOOKUP($B50,$L$5:$M$7, 2, FALSE) * (1+ VLOOKUP($A50,'vomcost mult'!$N$10:$R$32,5, FALSE)), 2)</f>
        <v>1.66</v>
      </c>
      <c r="G50" s="59" t="str">
        <f t="shared" ca="1" si="0"/>
        <v/>
      </c>
    </row>
    <row r="51" spans="1:7">
      <c r="A51" t="s">
        <v>118</v>
      </c>
      <c r="B51" t="s">
        <v>309</v>
      </c>
      <c r="C51" s="19" t="s">
        <v>184</v>
      </c>
      <c r="D51" s="19">
        <v>2025</v>
      </c>
      <c r="E51">
        <f ca="1">ROUND(VLOOKUP($A51,    'VRE summary'!$B$2:$AD$23,    MATCH($D51, 'VRE summary'!$B$1:$AD$1, 0), FALSE), 0)</f>
        <v>1194</v>
      </c>
      <c r="F51">
        <f>ROUND( VLOOKUP($B51,$L$5:$M$7, 2, FALSE) * (1+ VLOOKUP($A51,'vomcost mult'!$N$10:$R$32,5, FALSE)), 2)</f>
        <v>1.88</v>
      </c>
      <c r="G51" s="59" t="str">
        <f t="shared" ca="1" si="0"/>
        <v/>
      </c>
    </row>
    <row r="52" spans="1:7">
      <c r="A52" t="s">
        <v>119</v>
      </c>
      <c r="B52" t="s">
        <v>309</v>
      </c>
      <c r="C52" s="19" t="s">
        <v>184</v>
      </c>
      <c r="D52" s="19">
        <v>2025</v>
      </c>
      <c r="E52">
        <f ca="1">ROUND(VLOOKUP($A52,    'VRE summary'!$B$2:$AD$23,    MATCH($D52, 'VRE summary'!$B$1:$AD$1, 0), FALSE), 0)</f>
        <v>3142</v>
      </c>
      <c r="F52">
        <f>ROUND( VLOOKUP($B52,$L$5:$M$7, 2, FALSE) * (1+ VLOOKUP($A52,'vomcost mult'!$N$10:$R$32,5, FALSE)), 2)</f>
        <v>1.86</v>
      </c>
      <c r="G52" s="59" t="str">
        <f t="shared" ca="1" si="0"/>
        <v/>
      </c>
    </row>
    <row r="53" spans="1:7">
      <c r="A53" t="s">
        <v>120</v>
      </c>
      <c r="B53" t="s">
        <v>309</v>
      </c>
      <c r="C53" s="19" t="s">
        <v>184</v>
      </c>
      <c r="D53" s="19">
        <v>2025</v>
      </c>
      <c r="E53">
        <f ca="1">ROUND(VLOOKUP($A53,    'VRE summary'!$B$2:$AD$23,    MATCH($D53, 'VRE summary'!$B$1:$AD$1, 0), FALSE), 0)</f>
        <v>1408</v>
      </c>
      <c r="F53">
        <f>ROUND( VLOOKUP($B53,$L$5:$M$7, 2, FALSE) * (1+ VLOOKUP($A53,'vomcost mult'!$N$10:$R$32,5, FALSE)), 2)</f>
        <v>1.19</v>
      </c>
      <c r="G53" s="59" t="str">
        <f t="shared" ca="1" si="0"/>
        <v/>
      </c>
    </row>
    <row r="54" spans="1:7">
      <c r="A54" t="s">
        <v>121</v>
      </c>
      <c r="B54" t="s">
        <v>309</v>
      </c>
      <c r="C54" s="19" t="s">
        <v>184</v>
      </c>
      <c r="D54" s="19">
        <v>2025</v>
      </c>
      <c r="E54">
        <f ca="1">ROUND(VLOOKUP($A54,    'VRE summary'!$B$2:$AD$23,    MATCH($D54, 'VRE summary'!$B$1:$AD$1, 0), FALSE), 0)</f>
        <v>38898</v>
      </c>
      <c r="F54">
        <f>ROUND( VLOOKUP($B54,$L$5:$M$7, 2, FALSE) * (1+ VLOOKUP($A54,'vomcost mult'!$N$10:$R$32,5, FALSE)), 2)</f>
        <v>1.38</v>
      </c>
      <c r="G54" s="59" t="str">
        <f t="shared" ca="1" si="0"/>
        <v/>
      </c>
    </row>
    <row r="55" spans="1:7">
      <c r="A55" t="s">
        <v>122</v>
      </c>
      <c r="B55" t="s">
        <v>309</v>
      </c>
      <c r="C55" s="19" t="s">
        <v>184</v>
      </c>
      <c r="D55" s="19">
        <v>2025</v>
      </c>
      <c r="E55">
        <f ca="1">ROUND(VLOOKUP($A55,    'VRE summary'!$B$2:$AD$23,    MATCH($D55, 'VRE summary'!$B$1:$AD$1, 0), FALSE), 0)</f>
        <v>1292</v>
      </c>
      <c r="F55">
        <f>ROUND( VLOOKUP($B55,$L$5:$M$7, 2, FALSE) * (1+ VLOOKUP($A55,'vomcost mult'!$N$10:$R$32,5, FALSE)), 2)</f>
        <v>1.66</v>
      </c>
      <c r="G55" s="59" t="str">
        <f t="shared" ca="1" si="0"/>
        <v/>
      </c>
    </row>
    <row r="56" spans="1:7">
      <c r="A56" t="s">
        <v>123</v>
      </c>
      <c r="B56" t="s">
        <v>309</v>
      </c>
      <c r="C56" s="19" t="s">
        <v>184</v>
      </c>
      <c r="D56" s="19">
        <v>2025</v>
      </c>
      <c r="E56">
        <f ca="1">ROUND(VLOOKUP($A56,    'VRE summary'!$B$2:$AD$23,    MATCH($D56, 'VRE summary'!$B$1:$AD$1, 0), FALSE), 0)</f>
        <v>26548</v>
      </c>
      <c r="F56">
        <f>ROUND( VLOOKUP($B56,$L$5:$M$7, 2, FALSE) * (1+ VLOOKUP($A56,'vomcost mult'!$N$10:$R$32,5, FALSE)), 2)</f>
        <v>1.58</v>
      </c>
      <c r="G56" s="59" t="str">
        <f t="shared" ca="1" si="0"/>
        <v/>
      </c>
    </row>
    <row r="57" spans="1:7">
      <c r="A57" t="s">
        <v>124</v>
      </c>
      <c r="B57" t="s">
        <v>309</v>
      </c>
      <c r="C57" s="19" t="s">
        <v>184</v>
      </c>
      <c r="D57" s="19">
        <v>2025</v>
      </c>
      <c r="E57">
        <f ca="1">ROUND(VLOOKUP($A57,    'VRE summary'!$B$2:$AD$23,    MATCH($D57, 'VRE summary'!$B$1:$AD$1, 0), FALSE), 0)</f>
        <v>2651</v>
      </c>
      <c r="F57">
        <f>ROUND( VLOOKUP($B57,$L$5:$M$7, 2, FALSE) * (1+ VLOOKUP($A57,'vomcost mult'!$N$10:$R$32,5, FALSE)), 2)</f>
        <v>1.1499999999999999</v>
      </c>
      <c r="G57" s="59" t="str">
        <f t="shared" ca="1" si="0"/>
        <v/>
      </c>
    </row>
    <row r="58" spans="1:7">
      <c r="A58" t="s">
        <v>125</v>
      </c>
      <c r="B58" t="s">
        <v>309</v>
      </c>
      <c r="C58" s="19" t="s">
        <v>184</v>
      </c>
      <c r="D58" s="19">
        <v>2025</v>
      </c>
      <c r="E58">
        <f ca="1">ROUND(VLOOKUP($A58,    'VRE summary'!$B$2:$AD$23,    MATCH($D58, 'VRE summary'!$B$1:$AD$1, 0), FALSE), 0)</f>
        <v>722</v>
      </c>
      <c r="F58">
        <f>ROUND( VLOOKUP($B58,$L$5:$M$7, 2, FALSE) * (1+ VLOOKUP($A58,'vomcost mult'!$N$10:$R$32,5, FALSE)), 2)</f>
        <v>1.05</v>
      </c>
      <c r="G58" s="59" t="str">
        <f t="shared" ca="1" si="0"/>
        <v/>
      </c>
    </row>
    <row r="59" spans="1:7">
      <c r="A59" t="s">
        <v>126</v>
      </c>
      <c r="B59" t="s">
        <v>309</v>
      </c>
      <c r="C59" s="19" t="s">
        <v>184</v>
      </c>
      <c r="D59" s="19">
        <v>2025</v>
      </c>
      <c r="E59">
        <f ca="1">ROUND(VLOOKUP($A59,    'VRE summary'!$B$2:$AD$23,    MATCH($D59, 'VRE summary'!$B$1:$AD$1, 0), FALSE), 0)</f>
        <v>25132</v>
      </c>
      <c r="F59">
        <f>ROUND( VLOOKUP($B59,$L$5:$M$7, 2, FALSE) * (1+ VLOOKUP($A59,'vomcost mult'!$N$10:$R$32,5, FALSE)), 2)</f>
        <v>1.77</v>
      </c>
      <c r="G59" s="59" t="str">
        <f t="shared" ca="1" si="0"/>
        <v/>
      </c>
    </row>
    <row r="60" spans="1:7">
      <c r="A60" t="s">
        <v>127</v>
      </c>
      <c r="B60" t="s">
        <v>309</v>
      </c>
      <c r="C60" s="19" t="s">
        <v>184</v>
      </c>
      <c r="D60" s="19">
        <v>2025</v>
      </c>
      <c r="E60">
        <f ca="1">ROUND(VLOOKUP($A60,    'VRE summary'!$B$2:$AD$23,    MATCH($D60, 'VRE summary'!$B$1:$AD$1, 0), FALSE), 0)</f>
        <v>183</v>
      </c>
      <c r="F60">
        <f>ROUND( VLOOKUP($B60,$L$5:$M$7, 2, FALSE) * (1+ VLOOKUP($A60,'vomcost mult'!$N$10:$R$32,5, FALSE)), 2)</f>
        <v>1.97</v>
      </c>
      <c r="G60" s="59" t="str">
        <f t="shared" ca="1" si="0"/>
        <v/>
      </c>
    </row>
    <row r="61" spans="1:7">
      <c r="A61" t="s">
        <v>128</v>
      </c>
      <c r="B61" t="s">
        <v>309</v>
      </c>
      <c r="C61" s="19" t="s">
        <v>184</v>
      </c>
      <c r="D61" s="19">
        <v>2025</v>
      </c>
      <c r="E61">
        <f ca="1">ROUND(VLOOKUP($A61,    'VRE summary'!$B$2:$AD$23,    MATCH($D61, 'VRE summary'!$B$1:$AD$1, 0), FALSE), 0)</f>
        <v>48</v>
      </c>
      <c r="F61">
        <f>ROUND( VLOOKUP($B61,$L$5:$M$7, 2, FALSE) * (1+ VLOOKUP($A61,'vomcost mult'!$N$10:$R$32,5, FALSE)), 2)</f>
        <v>1.99</v>
      </c>
      <c r="G61" s="59" t="str">
        <f t="shared" ca="1" si="0"/>
        <v>remove</v>
      </c>
    </row>
    <row r="62" spans="1:7">
      <c r="A62" t="s">
        <v>129</v>
      </c>
      <c r="B62" t="s">
        <v>309</v>
      </c>
      <c r="C62" s="19" t="s">
        <v>184</v>
      </c>
      <c r="D62" s="19">
        <v>2025</v>
      </c>
      <c r="E62">
        <f ca="1">ROUND(VLOOKUP($A62,    'VRE summary'!$B$2:$AD$23,    MATCH($D62, 'VRE summary'!$B$1:$AD$1, 0), FALSE), 0)</f>
        <v>550</v>
      </c>
      <c r="F62">
        <f>ROUND( VLOOKUP($B62,$L$5:$M$7, 2, FALSE) * (1+ VLOOKUP($A62,'vomcost mult'!$N$10:$R$32,5, FALSE)), 2)</f>
        <v>1.94</v>
      </c>
      <c r="G62" s="59" t="str">
        <f t="shared" ca="1" si="0"/>
        <v/>
      </c>
    </row>
    <row r="63" spans="1:7">
      <c r="A63" t="s">
        <v>130</v>
      </c>
      <c r="B63" t="s">
        <v>309</v>
      </c>
      <c r="C63" s="19" t="s">
        <v>184</v>
      </c>
      <c r="D63" s="19">
        <v>2025</v>
      </c>
      <c r="E63">
        <f ca="1">ROUND(VLOOKUP($A63,    'VRE summary'!$B$2:$AD$23,    MATCH($D63, 'VRE summary'!$B$1:$AD$1, 0), FALSE), 0)</f>
        <v>22158</v>
      </c>
      <c r="F63">
        <f>ROUND( VLOOKUP($B63,$L$5:$M$7, 2, FALSE) * (1+ VLOOKUP($A63,'vomcost mult'!$N$10:$R$32,5, FALSE)), 2)</f>
        <v>1.04</v>
      </c>
      <c r="G63" s="59" t="str">
        <f t="shared" ca="1" si="0"/>
        <v/>
      </c>
    </row>
    <row r="64" spans="1:7">
      <c r="A64" t="s">
        <v>131</v>
      </c>
      <c r="B64" t="s">
        <v>309</v>
      </c>
      <c r="C64" s="19" t="s">
        <v>184</v>
      </c>
      <c r="D64" s="19">
        <v>2025</v>
      </c>
      <c r="E64">
        <f ca="1">ROUND(VLOOKUP($A64,    'VRE summary'!$B$2:$AD$23,    MATCH($D64, 'VRE summary'!$B$1:$AD$1, 0), FALSE), 0)</f>
        <v>65</v>
      </c>
      <c r="F64">
        <f>ROUND( VLOOKUP($B64,$L$5:$M$7, 2, FALSE) * (1+ VLOOKUP($A64,'vomcost mult'!$N$10:$R$32,5, FALSE)), 2)</f>
        <v>1.77</v>
      </c>
      <c r="G64" s="59" t="str">
        <f t="shared" ca="1" si="0"/>
        <v/>
      </c>
    </row>
    <row r="65" spans="1:7">
      <c r="A65" t="s">
        <v>132</v>
      </c>
      <c r="B65" t="s">
        <v>309</v>
      </c>
      <c r="C65" s="19" t="s">
        <v>184</v>
      </c>
      <c r="D65" s="19">
        <v>2025</v>
      </c>
      <c r="E65">
        <f ca="1">ROUND(VLOOKUP($A65,    'VRE summary'!$B$2:$AD$23,    MATCH($D65, 'VRE summary'!$B$1:$AD$1, 0), FALSE), 0)</f>
        <v>233</v>
      </c>
      <c r="F65">
        <f>ROUND( VLOOKUP($B65,$L$5:$M$7, 2, FALSE) * (1+ VLOOKUP($A65,'vomcost mult'!$N$10:$R$32,5, FALSE)), 2)</f>
        <v>1.76</v>
      </c>
      <c r="G65" s="59" t="str">
        <f t="shared" ca="1" si="0"/>
        <v/>
      </c>
    </row>
    <row r="66" spans="1:7">
      <c r="A66" t="s">
        <v>133</v>
      </c>
      <c r="B66" t="s">
        <v>309</v>
      </c>
      <c r="C66" s="19" t="s">
        <v>184</v>
      </c>
      <c r="D66" s="19">
        <v>2025</v>
      </c>
      <c r="E66">
        <f ca="1">ROUND(VLOOKUP($A66,    'VRE summary'!$B$2:$AD$23,    MATCH($D66, 'VRE summary'!$B$1:$AD$1, 0), FALSE), 0)</f>
        <v>3387</v>
      </c>
      <c r="F66">
        <f>ROUND( VLOOKUP($B66,$L$5:$M$7, 2, FALSE) * (1+ VLOOKUP($A66,'vomcost mult'!$N$10:$R$32,5, FALSE)), 2)</f>
        <v>1.75</v>
      </c>
      <c r="G66" s="59" t="str">
        <f t="shared" ca="1" si="0"/>
        <v/>
      </c>
    </row>
    <row r="67" spans="1:7">
      <c r="A67" t="s">
        <v>134</v>
      </c>
      <c r="B67" t="s">
        <v>309</v>
      </c>
      <c r="C67" s="19" t="s">
        <v>184</v>
      </c>
      <c r="D67" s="19">
        <v>2025</v>
      </c>
      <c r="E67">
        <f ca="1">ROUND(VLOOKUP($A67,    'VRE summary'!$B$2:$AD$23,    MATCH($D67, 'VRE summary'!$B$1:$AD$1, 0), FALSE), 0)</f>
        <v>1477</v>
      </c>
      <c r="F67">
        <f>ROUND( VLOOKUP($B67,$L$5:$M$7, 2, FALSE) * (1+ VLOOKUP($A67,'vomcost mult'!$N$10:$R$32,5, FALSE)), 2)</f>
        <v>1.74</v>
      </c>
      <c r="G67" s="59" t="str">
        <f t="shared" ca="1" si="0"/>
        <v/>
      </c>
    </row>
    <row r="68" spans="1:7">
      <c r="A68" t="s">
        <v>135</v>
      </c>
      <c r="B68" t="s">
        <v>309</v>
      </c>
      <c r="C68" s="19" t="s">
        <v>184</v>
      </c>
      <c r="D68" s="19">
        <v>2025</v>
      </c>
      <c r="E68">
        <f ca="1">ROUND(VLOOKUP($A68,    'VRE summary'!$B$2:$AD$23,    MATCH($D68, 'VRE summary'!$B$1:$AD$1, 0), FALSE), 0)</f>
        <v>21186</v>
      </c>
      <c r="F68">
        <f>ROUND( VLOOKUP($B68,$L$5:$M$7, 2, FALSE) * (1+ VLOOKUP($A68,'vomcost mult'!$N$10:$R$32,5, FALSE)), 2)</f>
        <v>1.75</v>
      </c>
      <c r="G68" s="59" t="str">
        <f t="shared" ref="G68:G90" ca="1" si="1">IF(E68&lt;50, "remove", "")</f>
        <v/>
      </c>
    </row>
    <row r="69" spans="1:7">
      <c r="A69" t="s">
        <v>111</v>
      </c>
      <c r="B69" t="s">
        <v>309</v>
      </c>
      <c r="C69" s="19" t="s">
        <v>184</v>
      </c>
      <c r="D69" s="19">
        <v>2030</v>
      </c>
      <c r="E69">
        <f ca="1">ROUND(VLOOKUP($A69,    'VRE summary'!$B$2:$AD$23,    MATCH($D69, 'VRE summary'!$B$1:$AD$1, 0), FALSE), 0)</f>
        <v>14218</v>
      </c>
      <c r="F69">
        <f>ROUND( VLOOKUP($B69,$L$5:$M$7, 2, FALSE) * (1+ VLOOKUP($A69,'vomcost mult'!$N$10:$R$32,5, FALSE)), 2)</f>
        <v>1.69</v>
      </c>
      <c r="G69" s="59" t="str">
        <f t="shared" ca="1" si="1"/>
        <v/>
      </c>
    </row>
    <row r="70" spans="1:7">
      <c r="A70" t="s">
        <v>114</v>
      </c>
      <c r="B70" t="s">
        <v>309</v>
      </c>
      <c r="C70" s="19" t="s">
        <v>184</v>
      </c>
      <c r="D70" s="19">
        <v>2030</v>
      </c>
      <c r="E70">
        <f ca="1">ROUND(VLOOKUP($A70,    'VRE summary'!$B$2:$AD$23,    MATCH($D70, 'VRE summary'!$B$1:$AD$1, 0), FALSE), 0)</f>
        <v>13432</v>
      </c>
      <c r="F70">
        <f>ROUND( VLOOKUP($B70,$L$5:$M$7, 2, FALSE) * (1+ VLOOKUP($A70,'vomcost mult'!$N$10:$R$32,5, FALSE)), 2)</f>
        <v>1.68</v>
      </c>
      <c r="G70" s="59" t="str">
        <f t="shared" ca="1" si="1"/>
        <v/>
      </c>
    </row>
    <row r="71" spans="1:7">
      <c r="A71" t="s">
        <v>116</v>
      </c>
      <c r="B71" t="s">
        <v>309</v>
      </c>
      <c r="C71" s="19" t="s">
        <v>184</v>
      </c>
      <c r="D71" s="19">
        <v>2030</v>
      </c>
      <c r="E71">
        <f ca="1">ROUND(VLOOKUP($A71,    'VRE summary'!$B$2:$AD$23,    MATCH($D71, 'VRE summary'!$B$1:$AD$1, 0), FALSE), 0)</f>
        <v>13189</v>
      </c>
      <c r="F71">
        <f>ROUND( VLOOKUP($B71,$L$5:$M$7, 2, FALSE) * (1+ VLOOKUP($A71,'vomcost mult'!$N$10:$R$32,5, FALSE)), 2)</f>
        <v>2.1800000000000002</v>
      </c>
      <c r="G71" s="59" t="str">
        <f t="shared" ca="1" si="1"/>
        <v/>
      </c>
    </row>
    <row r="72" spans="1:7">
      <c r="A72" t="s">
        <v>117</v>
      </c>
      <c r="B72" t="s">
        <v>309</v>
      </c>
      <c r="C72" s="19" t="s">
        <v>184</v>
      </c>
      <c r="D72" s="19">
        <v>2030</v>
      </c>
      <c r="E72">
        <f ca="1">ROUND(VLOOKUP($A72,    'VRE summary'!$B$2:$AD$23,    MATCH($D72, 'VRE summary'!$B$1:$AD$1, 0), FALSE), 0)</f>
        <v>151691</v>
      </c>
      <c r="F72">
        <f>ROUND( VLOOKUP($B72,$L$5:$M$7, 2, FALSE) * (1+ VLOOKUP($A72,'vomcost mult'!$N$10:$R$32,5, FALSE)), 2)</f>
        <v>1.66</v>
      </c>
      <c r="G72" s="59" t="str">
        <f t="shared" ca="1" si="1"/>
        <v/>
      </c>
    </row>
    <row r="73" spans="1:7">
      <c r="A73" t="s">
        <v>118</v>
      </c>
      <c r="B73" t="s">
        <v>309</v>
      </c>
      <c r="C73" s="19" t="s">
        <v>184</v>
      </c>
      <c r="D73" s="19">
        <v>2030</v>
      </c>
      <c r="E73">
        <f ca="1">ROUND(VLOOKUP($A73,    'VRE summary'!$B$2:$AD$23,    MATCH($D73, 'VRE summary'!$B$1:$AD$1, 0), FALSE), 0)</f>
        <v>2075</v>
      </c>
      <c r="F73">
        <f>ROUND( VLOOKUP($B73,$L$5:$M$7, 2, FALSE) * (1+ VLOOKUP($A73,'vomcost mult'!$N$10:$R$32,5, FALSE)), 2)</f>
        <v>1.88</v>
      </c>
      <c r="G73" s="59" t="str">
        <f t="shared" ca="1" si="1"/>
        <v/>
      </c>
    </row>
    <row r="74" spans="1:7">
      <c r="A74" t="s">
        <v>119</v>
      </c>
      <c r="B74" t="s">
        <v>309</v>
      </c>
      <c r="C74" s="19" t="s">
        <v>184</v>
      </c>
      <c r="D74" s="19">
        <v>2030</v>
      </c>
      <c r="E74">
        <f ca="1">ROUND(VLOOKUP($A74,    'VRE summary'!$B$2:$AD$23,    MATCH($D74, 'VRE summary'!$B$1:$AD$1, 0), FALSE), 0)</f>
        <v>5462</v>
      </c>
      <c r="F74">
        <f>ROUND( VLOOKUP($B74,$L$5:$M$7, 2, FALSE) * (1+ VLOOKUP($A74,'vomcost mult'!$N$10:$R$32,5, FALSE)), 2)</f>
        <v>1.86</v>
      </c>
      <c r="G74" s="59" t="str">
        <f t="shared" ca="1" si="1"/>
        <v/>
      </c>
    </row>
    <row r="75" spans="1:7">
      <c r="A75" t="s">
        <v>120</v>
      </c>
      <c r="B75" t="s">
        <v>309</v>
      </c>
      <c r="C75" s="19" t="s">
        <v>184</v>
      </c>
      <c r="D75" s="19">
        <v>2030</v>
      </c>
      <c r="E75">
        <f ca="1">ROUND(VLOOKUP($A75,    'VRE summary'!$B$2:$AD$23,    MATCH($D75, 'VRE summary'!$B$1:$AD$1, 0), FALSE), 0)</f>
        <v>2226</v>
      </c>
      <c r="F75">
        <f>ROUND( VLOOKUP($B75,$L$5:$M$7, 2, FALSE) * (1+ VLOOKUP($A75,'vomcost mult'!$N$10:$R$32,5, FALSE)), 2)</f>
        <v>1.19</v>
      </c>
      <c r="G75" s="59" t="str">
        <f t="shared" ca="1" si="1"/>
        <v/>
      </c>
    </row>
    <row r="76" spans="1:7">
      <c r="A76" t="s">
        <v>121</v>
      </c>
      <c r="B76" t="s">
        <v>309</v>
      </c>
      <c r="C76" s="19" t="s">
        <v>184</v>
      </c>
      <c r="D76" s="19">
        <v>2030</v>
      </c>
      <c r="E76">
        <f ca="1">ROUND(VLOOKUP($A76,    'VRE summary'!$B$2:$AD$23,    MATCH($D76, 'VRE summary'!$B$1:$AD$1, 0), FALSE), 0)</f>
        <v>63683</v>
      </c>
      <c r="F76">
        <f>ROUND( VLOOKUP($B76,$L$5:$M$7, 2, FALSE) * (1+ VLOOKUP($A76,'vomcost mult'!$N$10:$R$32,5, FALSE)), 2)</f>
        <v>1.38</v>
      </c>
      <c r="G76" s="59" t="str">
        <f t="shared" ca="1" si="1"/>
        <v/>
      </c>
    </row>
    <row r="77" spans="1:7">
      <c r="A77" t="s">
        <v>122</v>
      </c>
      <c r="B77" t="s">
        <v>309</v>
      </c>
      <c r="C77" s="19" t="s">
        <v>184</v>
      </c>
      <c r="D77" s="19">
        <v>2030</v>
      </c>
      <c r="E77">
        <f ca="1">ROUND(VLOOKUP($A77,    'VRE summary'!$B$2:$AD$23,    MATCH($D77, 'VRE summary'!$B$1:$AD$1, 0), FALSE), 0)</f>
        <v>2109</v>
      </c>
      <c r="F77">
        <f>ROUND( VLOOKUP($B77,$L$5:$M$7, 2, FALSE) * (1+ VLOOKUP($A77,'vomcost mult'!$N$10:$R$32,5, FALSE)), 2)</f>
        <v>1.66</v>
      </c>
      <c r="G77" s="59" t="str">
        <f t="shared" ca="1" si="1"/>
        <v/>
      </c>
    </row>
    <row r="78" spans="1:7">
      <c r="A78" t="s">
        <v>123</v>
      </c>
      <c r="B78" t="s">
        <v>309</v>
      </c>
      <c r="C78" s="19" t="s">
        <v>184</v>
      </c>
      <c r="D78" s="19">
        <v>2030</v>
      </c>
      <c r="E78">
        <f ca="1">ROUND(VLOOKUP($A78,    'VRE summary'!$B$2:$AD$23,    MATCH($D78, 'VRE summary'!$B$1:$AD$1, 0), FALSE), 0)</f>
        <v>41909</v>
      </c>
      <c r="F78">
        <f>ROUND( VLOOKUP($B78,$L$5:$M$7, 2, FALSE) * (1+ VLOOKUP($A78,'vomcost mult'!$N$10:$R$32,5, FALSE)), 2)</f>
        <v>1.58</v>
      </c>
      <c r="G78" s="59" t="str">
        <f t="shared" ca="1" si="1"/>
        <v/>
      </c>
    </row>
    <row r="79" spans="1:7">
      <c r="A79" t="s">
        <v>124</v>
      </c>
      <c r="B79" t="s">
        <v>309</v>
      </c>
      <c r="C79" s="19" t="s">
        <v>184</v>
      </c>
      <c r="D79" s="19">
        <v>2030</v>
      </c>
      <c r="E79">
        <f ca="1">ROUND(VLOOKUP($A79,    'VRE summary'!$B$2:$AD$23,    MATCH($D79, 'VRE summary'!$B$1:$AD$1, 0), FALSE), 0)</f>
        <v>4242</v>
      </c>
      <c r="F79">
        <f>ROUND( VLOOKUP($B79,$L$5:$M$7, 2, FALSE) * (1+ VLOOKUP($A79,'vomcost mult'!$N$10:$R$32,5, FALSE)), 2)</f>
        <v>1.1499999999999999</v>
      </c>
      <c r="G79" s="59" t="str">
        <f t="shared" ca="1" si="1"/>
        <v/>
      </c>
    </row>
    <row r="80" spans="1:7">
      <c r="A80" t="s">
        <v>125</v>
      </c>
      <c r="B80" t="s">
        <v>309</v>
      </c>
      <c r="C80" s="19" t="s">
        <v>184</v>
      </c>
      <c r="D80" s="19">
        <v>2030</v>
      </c>
      <c r="E80">
        <f ca="1">ROUND(VLOOKUP($A80,    'VRE summary'!$B$2:$AD$23,    MATCH($D80, 'VRE summary'!$B$1:$AD$1, 0), FALSE), 0)</f>
        <v>1189</v>
      </c>
      <c r="F80">
        <f>ROUND( VLOOKUP($B80,$L$5:$M$7, 2, FALSE) * (1+ VLOOKUP($A80,'vomcost mult'!$N$10:$R$32,5, FALSE)), 2)</f>
        <v>1.05</v>
      </c>
      <c r="G80" s="59" t="str">
        <f t="shared" ca="1" si="1"/>
        <v/>
      </c>
    </row>
    <row r="81" spans="1:7">
      <c r="A81" t="s">
        <v>126</v>
      </c>
      <c r="B81" t="s">
        <v>309</v>
      </c>
      <c r="C81" s="19" t="s">
        <v>184</v>
      </c>
      <c r="D81" s="19">
        <v>2030</v>
      </c>
      <c r="E81">
        <f ca="1">ROUND(VLOOKUP($A81,    'VRE summary'!$B$2:$AD$23,    MATCH($D81, 'VRE summary'!$B$1:$AD$1, 0), FALSE), 0)</f>
        <v>34180</v>
      </c>
      <c r="F81">
        <f>ROUND( VLOOKUP($B81,$L$5:$M$7, 2, FALSE) * (1+ VLOOKUP($A81,'vomcost mult'!$N$10:$R$32,5, FALSE)), 2)</f>
        <v>1.77</v>
      </c>
      <c r="G81" s="59" t="str">
        <f t="shared" ca="1" si="1"/>
        <v/>
      </c>
    </row>
    <row r="82" spans="1:7">
      <c r="A82" t="s">
        <v>127</v>
      </c>
      <c r="B82" t="s">
        <v>309</v>
      </c>
      <c r="C82" s="19" t="s">
        <v>184</v>
      </c>
      <c r="D82" s="19">
        <v>2030</v>
      </c>
      <c r="E82">
        <f ca="1">ROUND(VLOOKUP($A82,    'VRE summary'!$B$2:$AD$23,    MATCH($D82, 'VRE summary'!$B$1:$AD$1, 0), FALSE), 0)</f>
        <v>321</v>
      </c>
      <c r="F82">
        <f>ROUND( VLOOKUP($B82,$L$5:$M$7, 2, FALSE) * (1+ VLOOKUP($A82,'vomcost mult'!$N$10:$R$32,5, FALSE)), 2)</f>
        <v>1.97</v>
      </c>
      <c r="G82" s="59" t="str">
        <f t="shared" ca="1" si="1"/>
        <v/>
      </c>
    </row>
    <row r="83" spans="1:7">
      <c r="A83" t="s">
        <v>128</v>
      </c>
      <c r="B83" t="s">
        <v>309</v>
      </c>
      <c r="C83" s="19" t="s">
        <v>184</v>
      </c>
      <c r="D83" s="19">
        <v>2030</v>
      </c>
      <c r="E83">
        <f ca="1">ROUND(VLOOKUP($A83,    'VRE summary'!$B$2:$AD$23,    MATCH($D83, 'VRE summary'!$B$1:$AD$1, 0), FALSE), 0)</f>
        <v>84</v>
      </c>
      <c r="F83">
        <f>ROUND( VLOOKUP($B83,$L$5:$M$7, 2, FALSE) * (1+ VLOOKUP($A83,'vomcost mult'!$N$10:$R$32,5, FALSE)), 2)</f>
        <v>1.99</v>
      </c>
      <c r="G83" s="59" t="str">
        <f t="shared" ca="1" si="1"/>
        <v/>
      </c>
    </row>
    <row r="84" spans="1:7">
      <c r="A84" t="s">
        <v>129</v>
      </c>
      <c r="B84" t="s">
        <v>309</v>
      </c>
      <c r="C84" s="19" t="s">
        <v>184</v>
      </c>
      <c r="D84" s="19">
        <v>2030</v>
      </c>
      <c r="E84">
        <f ca="1">ROUND(VLOOKUP($A84,    'VRE summary'!$B$2:$AD$23,    MATCH($D84, 'VRE summary'!$B$1:$AD$1, 0), FALSE), 0)</f>
        <v>963</v>
      </c>
      <c r="F84">
        <f>ROUND( VLOOKUP($B84,$L$5:$M$7, 2, FALSE) * (1+ VLOOKUP($A84,'vomcost mult'!$N$10:$R$32,5, FALSE)), 2)</f>
        <v>1.94</v>
      </c>
      <c r="G84" s="59" t="str">
        <f t="shared" ca="1" si="1"/>
        <v/>
      </c>
    </row>
    <row r="85" spans="1:7">
      <c r="A85" t="s">
        <v>130</v>
      </c>
      <c r="B85" t="s">
        <v>309</v>
      </c>
      <c r="C85" s="19" t="s">
        <v>184</v>
      </c>
      <c r="D85" s="19">
        <v>2030</v>
      </c>
      <c r="E85">
        <f ca="1">ROUND(VLOOKUP($A85,    'VRE summary'!$B$2:$AD$23,    MATCH($D85, 'VRE summary'!$B$1:$AD$1, 0), FALSE), 0)</f>
        <v>37722</v>
      </c>
      <c r="F85">
        <f>ROUND( VLOOKUP($B85,$L$5:$M$7, 2, FALSE) * (1+ VLOOKUP($A85,'vomcost mult'!$N$10:$R$32,5, FALSE)), 2)</f>
        <v>1.04</v>
      </c>
      <c r="G85" s="59" t="str">
        <f t="shared" ca="1" si="1"/>
        <v/>
      </c>
    </row>
    <row r="86" spans="1:7">
      <c r="A86" t="s">
        <v>131</v>
      </c>
      <c r="B86" t="s">
        <v>309</v>
      </c>
      <c r="C86" s="19" t="s">
        <v>184</v>
      </c>
      <c r="D86" s="19">
        <v>2030</v>
      </c>
      <c r="E86">
        <f ca="1">ROUND(VLOOKUP($A86,    'VRE summary'!$B$2:$AD$23,    MATCH($D86, 'VRE summary'!$B$1:$AD$1, 0), FALSE), 0)</f>
        <v>107</v>
      </c>
      <c r="F86">
        <f>ROUND( VLOOKUP($B86,$L$5:$M$7, 2, FALSE) * (1+ VLOOKUP($A86,'vomcost mult'!$N$10:$R$32,5, FALSE)), 2)</f>
        <v>1.77</v>
      </c>
      <c r="G86" s="59" t="str">
        <f t="shared" ca="1" si="1"/>
        <v/>
      </c>
    </row>
    <row r="87" spans="1:7">
      <c r="A87" t="s">
        <v>132</v>
      </c>
      <c r="B87" t="s">
        <v>309</v>
      </c>
      <c r="C87" s="19" t="s">
        <v>184</v>
      </c>
      <c r="D87" s="19">
        <v>2030</v>
      </c>
      <c r="E87">
        <f ca="1">ROUND(VLOOKUP($A87,    'VRE summary'!$B$2:$AD$23,    MATCH($D87, 'VRE summary'!$B$1:$AD$1, 0), FALSE), 0)</f>
        <v>385</v>
      </c>
      <c r="F87">
        <f>ROUND( VLOOKUP($B87,$L$5:$M$7, 2, FALSE) * (1+ VLOOKUP($A87,'vomcost mult'!$N$10:$R$32,5, FALSE)), 2)</f>
        <v>1.76</v>
      </c>
      <c r="G87" s="59" t="str">
        <f t="shared" ca="1" si="1"/>
        <v/>
      </c>
    </row>
    <row r="88" spans="1:7">
      <c r="A88" t="s">
        <v>133</v>
      </c>
      <c r="B88" t="s">
        <v>309</v>
      </c>
      <c r="C88" s="19" t="s">
        <v>184</v>
      </c>
      <c r="D88" s="19">
        <v>2030</v>
      </c>
      <c r="E88">
        <f ca="1">ROUND(VLOOKUP($A88,    'VRE summary'!$B$2:$AD$23,    MATCH($D88, 'VRE summary'!$B$1:$AD$1, 0), FALSE), 0)</f>
        <v>5603</v>
      </c>
      <c r="F88">
        <f>ROUND( VLOOKUP($B88,$L$5:$M$7, 2, FALSE) * (1+ VLOOKUP($A88,'vomcost mult'!$N$10:$R$32,5, FALSE)), 2)</f>
        <v>1.75</v>
      </c>
      <c r="G88" s="59" t="str">
        <f t="shared" ca="1" si="1"/>
        <v/>
      </c>
    </row>
    <row r="89" spans="1:7">
      <c r="A89" t="s">
        <v>134</v>
      </c>
      <c r="B89" t="s">
        <v>309</v>
      </c>
      <c r="C89" s="19" t="s">
        <v>184</v>
      </c>
      <c r="D89" s="19">
        <v>2030</v>
      </c>
      <c r="E89">
        <f ca="1">ROUND(VLOOKUP($A89,    'VRE summary'!$B$2:$AD$23,    MATCH($D89, 'VRE summary'!$B$1:$AD$1, 0), FALSE), 0)</f>
        <v>2444</v>
      </c>
      <c r="F89">
        <f>ROUND( VLOOKUP($B89,$L$5:$M$7, 2, FALSE) * (1+ VLOOKUP($A89,'vomcost mult'!$N$10:$R$32,5, FALSE)), 2)</f>
        <v>1.74</v>
      </c>
      <c r="G89" s="59" t="str">
        <f t="shared" ca="1" si="1"/>
        <v/>
      </c>
    </row>
    <row r="90" spans="1:7">
      <c r="A90" t="s">
        <v>135</v>
      </c>
      <c r="B90" t="s">
        <v>309</v>
      </c>
      <c r="C90" s="19" t="s">
        <v>184</v>
      </c>
      <c r="D90" s="19">
        <v>2030</v>
      </c>
      <c r="E90">
        <f ca="1">ROUND(VLOOKUP($A90,    'VRE summary'!$B$2:$AD$23,    MATCH($D90, 'VRE summary'!$B$1:$AD$1, 0), FALSE), 0)</f>
        <v>27943</v>
      </c>
      <c r="F90">
        <f>ROUND( VLOOKUP($B90,$L$5:$M$7, 2, FALSE) * (1+ VLOOKUP($A90,'vomcost mult'!$N$10:$R$32,5, FALSE)), 2)</f>
        <v>1.75</v>
      </c>
      <c r="G90" s="59" t="str">
        <f t="shared" ca="1" si="1"/>
        <v/>
      </c>
    </row>
    <row r="91" spans="1:7">
      <c r="A91" s="17" t="s">
        <v>275</v>
      </c>
      <c r="C91" s="19"/>
      <c r="D91" s="19"/>
      <c r="G91" s="59"/>
    </row>
    <row r="92" spans="1:7">
      <c r="A92" t="s">
        <v>111</v>
      </c>
      <c r="B92" t="s">
        <v>285</v>
      </c>
      <c r="C92" s="19" t="s">
        <v>184</v>
      </c>
      <c r="D92" s="19">
        <v>2015</v>
      </c>
      <c r="E92">
        <f ca="1">ROUND(VLOOKUP($A92,    'VRE summary'!$B$25:$AD$46,    MATCH($D92, 'VRE summary'!$B$1:$AD$1, 0), FALSE), 0)</f>
        <v>2404</v>
      </c>
      <c r="F92">
        <f>ROUND( VLOOKUP($B92,$L$5:$M$7, 2, FALSE) * (1+ VLOOKUP($A92,'vomcost mult'!$N$10:$R$32,5, FALSE)), 2)</f>
        <v>1.97</v>
      </c>
      <c r="G92" s="59" t="str">
        <f t="shared" ref="G92:G155" ca="1" si="2">IF(E92&lt;50, "remove", "")</f>
        <v/>
      </c>
    </row>
    <row r="93" spans="1:7">
      <c r="A93" t="s">
        <v>114</v>
      </c>
      <c r="B93" t="s">
        <v>285</v>
      </c>
      <c r="C93" s="19" t="s">
        <v>184</v>
      </c>
      <c r="D93" s="19">
        <v>2015</v>
      </c>
      <c r="E93">
        <f ca="1">ROUND(VLOOKUP($A93,    'VRE summary'!$B$25:$AD$46,    MATCH($D93, 'VRE summary'!$B$1:$AD$1, 0), FALSE), 0)</f>
        <v>1457</v>
      </c>
      <c r="F93">
        <f>ROUND( VLOOKUP($B93,$L$5:$M$7, 2, FALSE) * (1+ VLOOKUP($A93,'vomcost mult'!$N$10:$R$32,5, FALSE)), 2)</f>
        <v>1.96</v>
      </c>
      <c r="G93" s="59" t="str">
        <f t="shared" ca="1" si="2"/>
        <v/>
      </c>
    </row>
    <row r="94" spans="1:7">
      <c r="A94" t="s">
        <v>116</v>
      </c>
      <c r="B94" t="s">
        <v>285</v>
      </c>
      <c r="C94" s="19" t="s">
        <v>184</v>
      </c>
      <c r="D94" s="19">
        <v>2015</v>
      </c>
      <c r="E94">
        <f ca="1">ROUND(VLOOKUP($A94,    'VRE summary'!$B$25:$AD$46,    MATCH($D94, 'VRE summary'!$B$1:$AD$1, 0), FALSE), 0)</f>
        <v>60</v>
      </c>
      <c r="F94">
        <f>ROUND( VLOOKUP($B94,$L$5:$M$7, 2, FALSE) * (1+ VLOOKUP($A94,'vomcost mult'!$N$10:$R$32,5, FALSE)), 2)</f>
        <v>2.5499999999999998</v>
      </c>
      <c r="G94" s="59" t="str">
        <f t="shared" ca="1" si="2"/>
        <v/>
      </c>
    </row>
    <row r="95" spans="1:7">
      <c r="A95" t="s">
        <v>117</v>
      </c>
      <c r="B95" t="s">
        <v>285</v>
      </c>
      <c r="C95" s="19" t="s">
        <v>184</v>
      </c>
      <c r="D95" s="19">
        <v>2015</v>
      </c>
      <c r="E95">
        <f ca="1">ROUND(VLOOKUP($A95,    'VRE summary'!$B$25:$AD$46,    MATCH($D95, 'VRE summary'!$B$1:$AD$1, 0), FALSE), 0)</f>
        <v>41285</v>
      </c>
      <c r="F95">
        <f>ROUND( VLOOKUP($B95,$L$5:$M$7, 2, FALSE) * (1+ VLOOKUP($A95,'vomcost mult'!$N$10:$R$32,5, FALSE)), 2)</f>
        <v>1.94</v>
      </c>
      <c r="G95" s="59" t="str">
        <f t="shared" ca="1" si="2"/>
        <v/>
      </c>
    </row>
    <row r="96" spans="1:7">
      <c r="A96" t="s">
        <v>118</v>
      </c>
      <c r="B96" t="s">
        <v>285</v>
      </c>
      <c r="C96" s="19" t="s">
        <v>184</v>
      </c>
      <c r="D96" s="19">
        <v>2015</v>
      </c>
      <c r="E96">
        <f ca="1">ROUND(VLOOKUP($A96,    'VRE summary'!$B$25:$AD$46,    MATCH($D96, 'VRE summary'!$B$1:$AD$1, 0), FALSE), 0)</f>
        <v>602</v>
      </c>
      <c r="F96">
        <f>ROUND( VLOOKUP($B96,$L$5:$M$7, 2, FALSE) * (1+ VLOOKUP($A96,'vomcost mult'!$N$10:$R$32,5, FALSE)), 2)</f>
        <v>2.19</v>
      </c>
      <c r="G96" s="59" t="str">
        <f t="shared" ca="1" si="2"/>
        <v/>
      </c>
    </row>
    <row r="97" spans="1:7">
      <c r="A97" t="s">
        <v>119</v>
      </c>
      <c r="B97" t="s">
        <v>285</v>
      </c>
      <c r="C97" s="19" t="s">
        <v>184</v>
      </c>
      <c r="D97" s="19">
        <v>2015</v>
      </c>
      <c r="E97">
        <f ca="1">ROUND(VLOOKUP($A97,    'VRE summary'!$B$25:$AD$46,    MATCH($D97, 'VRE summary'!$B$1:$AD$1, 0), FALSE), 0)</f>
        <v>3202</v>
      </c>
      <c r="F97">
        <f>ROUND( VLOOKUP($B97,$L$5:$M$7, 2, FALSE) * (1+ VLOOKUP($A97,'vomcost mult'!$N$10:$R$32,5, FALSE)), 2)</f>
        <v>2.17</v>
      </c>
      <c r="G97" s="59" t="str">
        <f t="shared" ca="1" si="2"/>
        <v/>
      </c>
    </row>
    <row r="98" spans="1:7">
      <c r="A98" t="s">
        <v>120</v>
      </c>
      <c r="B98" t="s">
        <v>285</v>
      </c>
      <c r="C98" s="19" t="s">
        <v>184</v>
      </c>
      <c r="D98" s="19">
        <v>2015</v>
      </c>
      <c r="E98">
        <f ca="1">ROUND(VLOOKUP($A98,    'VRE summary'!$B$25:$AD$46,    MATCH($D98, 'VRE summary'!$B$1:$AD$1, 0), FALSE), 0)</f>
        <v>302</v>
      </c>
      <c r="F98">
        <f>ROUND( VLOOKUP($B98,$L$5:$M$7, 2, FALSE) * (1+ VLOOKUP($A98,'vomcost mult'!$N$10:$R$32,5, FALSE)), 2)</f>
        <v>1.39</v>
      </c>
      <c r="G98" s="59" t="str">
        <f t="shared" ca="1" si="2"/>
        <v/>
      </c>
    </row>
    <row r="99" spans="1:7">
      <c r="A99" t="s">
        <v>121</v>
      </c>
      <c r="B99" t="s">
        <v>285</v>
      </c>
      <c r="C99" s="19" t="s">
        <v>184</v>
      </c>
      <c r="D99" s="19">
        <v>2015</v>
      </c>
      <c r="E99">
        <f ca="1">ROUND(VLOOKUP($A99,    'VRE summary'!$B$25:$AD$46,    MATCH($D99, 'VRE summary'!$B$1:$AD$1, 0), FALSE), 0)</f>
        <v>22982</v>
      </c>
      <c r="F99">
        <f>ROUND( VLOOKUP($B99,$L$5:$M$7, 2, FALSE) * (1+ VLOOKUP($A99,'vomcost mult'!$N$10:$R$32,5, FALSE)), 2)</f>
        <v>1.6</v>
      </c>
      <c r="G99" s="59" t="str">
        <f t="shared" ca="1" si="2"/>
        <v/>
      </c>
    </row>
    <row r="100" spans="1:7">
      <c r="A100" t="s">
        <v>122</v>
      </c>
      <c r="B100" t="s">
        <v>285</v>
      </c>
      <c r="C100" s="19" t="s">
        <v>184</v>
      </c>
      <c r="D100" s="19">
        <v>2015</v>
      </c>
      <c r="E100">
        <f ca="1">ROUND(VLOOKUP($A100,    'VRE summary'!$B$25:$AD$46,    MATCH($D100, 'VRE summary'!$B$1:$AD$1, 0), FALSE), 0)</f>
        <v>977</v>
      </c>
      <c r="F100">
        <f>ROUND( VLOOKUP($B100,$L$5:$M$7, 2, FALSE) * (1+ VLOOKUP($A100,'vomcost mult'!$N$10:$R$32,5, FALSE)), 2)</f>
        <v>1.94</v>
      </c>
      <c r="G100" s="59" t="str">
        <f t="shared" ca="1" si="2"/>
        <v/>
      </c>
    </row>
    <row r="101" spans="1:7">
      <c r="A101" t="s">
        <v>123</v>
      </c>
      <c r="B101" t="s">
        <v>285</v>
      </c>
      <c r="C101" s="19" t="s">
        <v>184</v>
      </c>
      <c r="D101" s="19">
        <v>2015</v>
      </c>
      <c r="E101">
        <f ca="1">ROUND(VLOOKUP($A101,    'VRE summary'!$B$25:$AD$46,    MATCH($D101, 'VRE summary'!$B$1:$AD$1, 0), FALSE), 0)</f>
        <v>10324</v>
      </c>
      <c r="F101">
        <f>ROUND( VLOOKUP($B101,$L$5:$M$7, 2, FALSE) * (1+ VLOOKUP($A101,'vomcost mult'!$N$10:$R$32,5, FALSE)), 2)</f>
        <v>1.84</v>
      </c>
      <c r="G101" s="59" t="str">
        <f t="shared" ca="1" si="2"/>
        <v/>
      </c>
    </row>
    <row r="102" spans="1:7">
      <c r="A102" t="s">
        <v>124</v>
      </c>
      <c r="B102" t="s">
        <v>285</v>
      </c>
      <c r="C102" s="19" t="s">
        <v>184</v>
      </c>
      <c r="D102" s="19">
        <v>2015</v>
      </c>
      <c r="E102">
        <f ca="1">ROUND(VLOOKUP($A102,    'VRE summary'!$B$25:$AD$46,    MATCH($D102, 'VRE summary'!$B$1:$AD$1, 0), FALSE), 0)</f>
        <v>421</v>
      </c>
      <c r="F102">
        <f>ROUND( VLOOKUP($B102,$L$5:$M$7, 2, FALSE) * (1+ VLOOKUP($A102,'vomcost mult'!$N$10:$R$32,5, FALSE)), 2)</f>
        <v>1.34</v>
      </c>
      <c r="G102" s="59" t="str">
        <f t="shared" ca="1" si="2"/>
        <v/>
      </c>
    </row>
    <row r="103" spans="1:7">
      <c r="A103" t="s">
        <v>125</v>
      </c>
      <c r="B103" t="s">
        <v>285</v>
      </c>
      <c r="C103" s="19" t="s">
        <v>184</v>
      </c>
      <c r="D103" s="19">
        <v>2015</v>
      </c>
      <c r="E103">
        <f ca="1">ROUND(VLOOKUP($A103,    'VRE summary'!$B$25:$AD$46,    MATCH($D103, 'VRE summary'!$B$1:$AD$1, 0), FALSE), 0)</f>
        <v>69</v>
      </c>
      <c r="F103">
        <f>ROUND( VLOOKUP($B103,$L$5:$M$7, 2, FALSE) * (1+ VLOOKUP($A103,'vomcost mult'!$N$10:$R$32,5, FALSE)), 2)</f>
        <v>1.23</v>
      </c>
      <c r="G103" s="59" t="str">
        <f t="shared" ca="1" si="2"/>
        <v/>
      </c>
    </row>
    <row r="104" spans="1:7">
      <c r="A104" t="s">
        <v>126</v>
      </c>
      <c r="B104" t="s">
        <v>285</v>
      </c>
      <c r="C104" s="19" t="s">
        <v>184</v>
      </c>
      <c r="D104" s="19">
        <v>2015</v>
      </c>
      <c r="E104">
        <f ca="1">ROUND(VLOOKUP($A104,    'VRE summary'!$B$25:$AD$46,    MATCH($D104, 'VRE summary'!$B$1:$AD$1, 0), FALSE), 0)</f>
        <v>3034</v>
      </c>
      <c r="F104">
        <f>ROUND( VLOOKUP($B104,$L$5:$M$7, 2, FALSE) * (1+ VLOOKUP($A104,'vomcost mult'!$N$10:$R$32,5, FALSE)), 2)</f>
        <v>2.0699999999999998</v>
      </c>
      <c r="G104" s="59" t="str">
        <f t="shared" ca="1" si="2"/>
        <v/>
      </c>
    </row>
    <row r="105" spans="1:7">
      <c r="A105" t="s">
        <v>127</v>
      </c>
      <c r="B105" t="s">
        <v>285</v>
      </c>
      <c r="C105" s="19" t="s">
        <v>184</v>
      </c>
      <c r="D105" s="19">
        <v>2015</v>
      </c>
      <c r="E105">
        <f ca="1">ROUND(VLOOKUP($A105,    'VRE summary'!$B$25:$AD$46,    MATCH($D105, 'VRE summary'!$B$1:$AD$1, 0), FALSE), 0)</f>
        <v>343</v>
      </c>
      <c r="F105">
        <f>ROUND( VLOOKUP($B105,$L$5:$M$7, 2, FALSE) * (1+ VLOOKUP($A105,'vomcost mult'!$N$10:$R$32,5, FALSE)), 2)</f>
        <v>2.29</v>
      </c>
      <c r="G105" s="59" t="str">
        <f t="shared" ca="1" si="2"/>
        <v/>
      </c>
    </row>
    <row r="106" spans="1:7">
      <c r="A106" t="s">
        <v>128</v>
      </c>
      <c r="B106" t="s">
        <v>285</v>
      </c>
      <c r="C106" s="19" t="s">
        <v>184</v>
      </c>
      <c r="D106" s="19">
        <v>2015</v>
      </c>
      <c r="E106">
        <f ca="1">ROUND(VLOOKUP($A106,    'VRE summary'!$B$25:$AD$46,    MATCH($D106, 'VRE summary'!$B$1:$AD$1, 0), FALSE), 0)</f>
        <v>157</v>
      </c>
      <c r="F106">
        <f>ROUND( VLOOKUP($B106,$L$5:$M$7, 2, FALSE) * (1+ VLOOKUP($A106,'vomcost mult'!$N$10:$R$32,5, FALSE)), 2)</f>
        <v>2.3199999999999998</v>
      </c>
      <c r="G106" s="59" t="str">
        <f t="shared" ca="1" si="2"/>
        <v/>
      </c>
    </row>
    <row r="107" spans="1:7">
      <c r="A107" t="s">
        <v>129</v>
      </c>
      <c r="B107" t="s">
        <v>285</v>
      </c>
      <c r="C107" s="19" t="s">
        <v>184</v>
      </c>
      <c r="D107" s="19">
        <v>2015</v>
      </c>
      <c r="E107">
        <f ca="1">ROUND(VLOOKUP($A107,    'VRE summary'!$B$25:$AD$46,    MATCH($D107, 'VRE summary'!$B$1:$AD$1, 0), FALSE), 0)</f>
        <v>317</v>
      </c>
      <c r="F107">
        <f>ROUND( VLOOKUP($B107,$L$5:$M$7, 2, FALSE) * (1+ VLOOKUP($A107,'vomcost mult'!$N$10:$R$32,5, FALSE)), 2)</f>
        <v>2.27</v>
      </c>
      <c r="G107" s="59" t="str">
        <f t="shared" ca="1" si="2"/>
        <v/>
      </c>
    </row>
    <row r="108" spans="1:7">
      <c r="A108" t="s">
        <v>130</v>
      </c>
      <c r="B108" t="s">
        <v>285</v>
      </c>
      <c r="C108" s="19" t="s">
        <v>184</v>
      </c>
      <c r="D108" s="19">
        <v>2015</v>
      </c>
      <c r="E108">
        <f ca="1">ROUND(VLOOKUP($A108,    'VRE summary'!$B$25:$AD$46,    MATCH($D108, 'VRE summary'!$B$1:$AD$1, 0), FALSE), 0)</f>
        <v>5100</v>
      </c>
      <c r="F108">
        <f>ROUND( VLOOKUP($B108,$L$5:$M$7, 2, FALSE) * (1+ VLOOKUP($A108,'vomcost mult'!$N$10:$R$32,5, FALSE)), 2)</f>
        <v>1.21</v>
      </c>
      <c r="G108" s="59" t="str">
        <f t="shared" ca="1" si="2"/>
        <v/>
      </c>
    </row>
    <row r="109" spans="1:7">
      <c r="A109" t="s">
        <v>131</v>
      </c>
      <c r="B109" t="s">
        <v>285</v>
      </c>
      <c r="C109" s="19" t="s">
        <v>184</v>
      </c>
      <c r="D109" s="19">
        <v>2015</v>
      </c>
      <c r="E109">
        <f ca="1">ROUND(VLOOKUP($A109,    'VRE summary'!$B$25:$AD$46,    MATCH($D109, 'VRE summary'!$B$1:$AD$1, 0), FALSE), 0)</f>
        <v>1162</v>
      </c>
      <c r="F109">
        <f>ROUND( VLOOKUP($B109,$L$5:$M$7, 2, FALSE) * (1+ VLOOKUP($A109,'vomcost mult'!$N$10:$R$32,5, FALSE)), 2)</f>
        <v>2.0699999999999998</v>
      </c>
      <c r="G109" s="59" t="str">
        <f t="shared" ca="1" si="2"/>
        <v/>
      </c>
    </row>
    <row r="110" spans="1:7">
      <c r="A110" t="s">
        <v>132</v>
      </c>
      <c r="B110" t="s">
        <v>285</v>
      </c>
      <c r="C110" s="19" t="s">
        <v>184</v>
      </c>
      <c r="D110" s="19">
        <v>2015</v>
      </c>
      <c r="E110">
        <f ca="1">ROUND(VLOOKUP($A110,    'VRE summary'!$B$25:$AD$46,    MATCH($D110, 'VRE summary'!$B$1:$AD$1, 0), FALSE), 0)</f>
        <v>2688</v>
      </c>
      <c r="F110">
        <f>ROUND( VLOOKUP($B110,$L$5:$M$7, 2, FALSE) * (1+ VLOOKUP($A110,'vomcost mult'!$N$10:$R$32,5, FALSE)), 2)</f>
        <v>2.0499999999999998</v>
      </c>
      <c r="G110" s="59" t="str">
        <f t="shared" ca="1" si="2"/>
        <v/>
      </c>
    </row>
    <row r="111" spans="1:7">
      <c r="A111" t="s">
        <v>133</v>
      </c>
      <c r="B111" t="s">
        <v>285</v>
      </c>
      <c r="C111" s="19" t="s">
        <v>184</v>
      </c>
      <c r="D111" s="19">
        <v>2015</v>
      </c>
      <c r="E111">
        <f ca="1">ROUND(VLOOKUP($A111,    'VRE summary'!$B$25:$AD$46,    MATCH($D111, 'VRE summary'!$B$1:$AD$1, 0), FALSE), 0)</f>
        <v>1256</v>
      </c>
      <c r="F111">
        <f>ROUND( VLOOKUP($B111,$L$5:$M$7, 2, FALSE) * (1+ VLOOKUP($A111,'vomcost mult'!$N$10:$R$32,5, FALSE)), 2)</f>
        <v>2.04</v>
      </c>
      <c r="G111" s="59" t="str">
        <f t="shared" ca="1" si="2"/>
        <v/>
      </c>
    </row>
    <row r="112" spans="1:7">
      <c r="A112" t="s">
        <v>134</v>
      </c>
      <c r="B112" t="s">
        <v>285</v>
      </c>
      <c r="C112" s="19" t="s">
        <v>184</v>
      </c>
      <c r="D112" s="19">
        <v>2015</v>
      </c>
      <c r="E112">
        <f ca="1">ROUND(VLOOKUP($A112,    'VRE summary'!$B$25:$AD$46,    MATCH($D112, 'VRE summary'!$B$1:$AD$1, 0), FALSE), 0)</f>
        <v>722</v>
      </c>
      <c r="F112">
        <f>ROUND( VLOOKUP($B112,$L$5:$M$7, 2, FALSE) * (1+ VLOOKUP($A112,'vomcost mult'!$N$10:$R$32,5, FALSE)), 2)</f>
        <v>2.02</v>
      </c>
      <c r="G112" s="59" t="str">
        <f t="shared" ca="1" si="2"/>
        <v/>
      </c>
    </row>
    <row r="113" spans="1:7">
      <c r="A113" t="s">
        <v>135</v>
      </c>
      <c r="B113" t="s">
        <v>285</v>
      </c>
      <c r="C113" s="19" t="s">
        <v>184</v>
      </c>
      <c r="D113" s="19">
        <v>2015</v>
      </c>
      <c r="E113">
        <f ca="1">ROUND(VLOOKUP($A113,    'VRE summary'!$B$25:$AD$46,    MATCH($D113, 'VRE summary'!$B$1:$AD$1, 0), FALSE), 0)</f>
        <v>9187</v>
      </c>
      <c r="F113">
        <f>ROUND( VLOOKUP($B113,$L$5:$M$7, 2, FALSE) * (1+ VLOOKUP($A113,'vomcost mult'!$N$10:$R$32,5, FALSE)), 2)</f>
        <v>2.04</v>
      </c>
      <c r="G113" s="59" t="str">
        <f t="shared" ca="1" si="2"/>
        <v/>
      </c>
    </row>
    <row r="114" spans="1:7">
      <c r="A114" t="s">
        <v>111</v>
      </c>
      <c r="B114" t="s">
        <v>285</v>
      </c>
      <c r="C114" s="19" t="s">
        <v>184</v>
      </c>
      <c r="D114" s="19">
        <v>2020</v>
      </c>
      <c r="E114">
        <f ca="1">ROUND(VLOOKUP($A114,    'VRE summary'!$B$25:$AD$46,    MATCH($D114, 'VRE summary'!$B$1:$AD$1, 0), FALSE), 0)</f>
        <v>3120</v>
      </c>
      <c r="F114">
        <f>ROUND( VLOOKUP($B114,$L$5:$M$7, 2, FALSE) * (1+ VLOOKUP($A114,'vomcost mult'!$N$10:$R$32,5, FALSE)), 2)</f>
        <v>1.97</v>
      </c>
      <c r="G114" s="59" t="str">
        <f t="shared" ca="1" si="2"/>
        <v/>
      </c>
    </row>
    <row r="115" spans="1:7">
      <c r="A115" t="s">
        <v>114</v>
      </c>
      <c r="B115" t="s">
        <v>285</v>
      </c>
      <c r="C115" s="19" t="s">
        <v>184</v>
      </c>
      <c r="D115" s="19">
        <v>2020</v>
      </c>
      <c r="E115">
        <f ca="1">ROUND(VLOOKUP($A115,    'VRE summary'!$B$25:$AD$46,    MATCH($D115, 'VRE summary'!$B$1:$AD$1, 0), FALSE), 0)</f>
        <v>2457</v>
      </c>
      <c r="F115">
        <f>ROUND( VLOOKUP($B115,$L$5:$M$7, 2, FALSE) * (1+ VLOOKUP($A115,'vomcost mult'!$N$10:$R$32,5, FALSE)), 2)</f>
        <v>1.96</v>
      </c>
      <c r="G115" s="59" t="str">
        <f t="shared" ca="1" si="2"/>
        <v/>
      </c>
    </row>
    <row r="116" spans="1:7">
      <c r="A116" t="s">
        <v>116</v>
      </c>
      <c r="B116" t="s">
        <v>285</v>
      </c>
      <c r="C116" s="19" t="s">
        <v>184</v>
      </c>
      <c r="D116" s="19">
        <v>2020</v>
      </c>
      <c r="E116">
        <f ca="1">ROUND(VLOOKUP($A116,    'VRE summary'!$B$25:$AD$46,    MATCH($D116, 'VRE summary'!$B$1:$AD$1, 0), FALSE), 0)</f>
        <v>87</v>
      </c>
      <c r="F116">
        <f>ROUND( VLOOKUP($B116,$L$5:$M$7, 2, FALSE) * (1+ VLOOKUP($A116,'vomcost mult'!$N$10:$R$32,5, FALSE)), 2)</f>
        <v>2.5499999999999998</v>
      </c>
      <c r="G116" s="59" t="str">
        <f t="shared" ca="1" si="2"/>
        <v/>
      </c>
    </row>
    <row r="117" spans="1:7">
      <c r="A117" t="s">
        <v>117</v>
      </c>
      <c r="B117" t="s">
        <v>285</v>
      </c>
      <c r="C117" s="19" t="s">
        <v>184</v>
      </c>
      <c r="D117" s="19">
        <v>2020</v>
      </c>
      <c r="E117">
        <f ca="1">ROUND(VLOOKUP($A117,    'VRE summary'!$B$25:$AD$46,    MATCH($D117, 'VRE summary'!$B$1:$AD$1, 0), FALSE), 0)</f>
        <v>54806</v>
      </c>
      <c r="F117">
        <f>ROUND( VLOOKUP($B117,$L$5:$M$7, 2, FALSE) * (1+ VLOOKUP($A117,'vomcost mult'!$N$10:$R$32,5, FALSE)), 2)</f>
        <v>1.94</v>
      </c>
      <c r="G117" s="59" t="str">
        <f t="shared" ca="1" si="2"/>
        <v/>
      </c>
    </row>
    <row r="118" spans="1:7">
      <c r="A118" t="s">
        <v>118</v>
      </c>
      <c r="B118" t="s">
        <v>285</v>
      </c>
      <c r="C118" s="19" t="s">
        <v>184</v>
      </c>
      <c r="D118" s="19">
        <v>2020</v>
      </c>
      <c r="E118">
        <f ca="1">ROUND(VLOOKUP($A118,    'VRE summary'!$B$25:$AD$46,    MATCH($D118, 'VRE summary'!$B$1:$AD$1, 0), FALSE), 0)</f>
        <v>708</v>
      </c>
      <c r="F118">
        <f>ROUND( VLOOKUP($B118,$L$5:$M$7, 2, FALSE) * (1+ VLOOKUP($A118,'vomcost mult'!$N$10:$R$32,5, FALSE)), 2)</f>
        <v>2.19</v>
      </c>
      <c r="G118" s="59" t="str">
        <f t="shared" ca="1" si="2"/>
        <v/>
      </c>
    </row>
    <row r="119" spans="1:7">
      <c r="A119" t="s">
        <v>119</v>
      </c>
      <c r="B119" t="s">
        <v>285</v>
      </c>
      <c r="C119" s="19" t="s">
        <v>184</v>
      </c>
      <c r="D119" s="19">
        <v>2020</v>
      </c>
      <c r="E119">
        <f ca="1">ROUND(VLOOKUP($A119,    'VRE summary'!$B$25:$AD$46,    MATCH($D119, 'VRE summary'!$B$1:$AD$1, 0), FALSE), 0)</f>
        <v>3771</v>
      </c>
      <c r="F119">
        <f>ROUND( VLOOKUP($B119,$L$5:$M$7, 2, FALSE) * (1+ VLOOKUP($A119,'vomcost mult'!$N$10:$R$32,5, FALSE)), 2)</f>
        <v>2.17</v>
      </c>
      <c r="G119" s="59" t="str">
        <f t="shared" ca="1" si="2"/>
        <v/>
      </c>
    </row>
    <row r="120" spans="1:7">
      <c r="A120" t="s">
        <v>120</v>
      </c>
      <c r="B120" t="s">
        <v>285</v>
      </c>
      <c r="C120" s="19" t="s">
        <v>184</v>
      </c>
      <c r="D120" s="19">
        <v>2020</v>
      </c>
      <c r="E120">
        <f ca="1">ROUND(VLOOKUP($A120,    'VRE summary'!$B$25:$AD$46,    MATCH($D120, 'VRE summary'!$B$1:$AD$1, 0), FALSE), 0)</f>
        <v>320</v>
      </c>
      <c r="F120">
        <f>ROUND( VLOOKUP($B120,$L$5:$M$7, 2, FALSE) * (1+ VLOOKUP($A120,'vomcost mult'!$N$10:$R$32,5, FALSE)), 2)</f>
        <v>1.39</v>
      </c>
      <c r="G120" s="59" t="str">
        <f t="shared" ca="1" si="2"/>
        <v/>
      </c>
    </row>
    <row r="121" spans="1:7">
      <c r="A121" t="s">
        <v>121</v>
      </c>
      <c r="B121" t="s">
        <v>285</v>
      </c>
      <c r="C121" s="19" t="s">
        <v>184</v>
      </c>
      <c r="D121" s="19">
        <v>2020</v>
      </c>
      <c r="E121">
        <f ca="1">ROUND(VLOOKUP($A121,    'VRE summary'!$B$25:$AD$46,    MATCH($D121, 'VRE summary'!$B$1:$AD$1, 0), FALSE), 0)</f>
        <v>27264</v>
      </c>
      <c r="F121">
        <f>ROUND( VLOOKUP($B121,$L$5:$M$7, 2, FALSE) * (1+ VLOOKUP($A121,'vomcost mult'!$N$10:$R$32,5, FALSE)), 2)</f>
        <v>1.6</v>
      </c>
      <c r="G121" s="59" t="str">
        <f t="shared" ca="1" si="2"/>
        <v/>
      </c>
    </row>
    <row r="122" spans="1:7">
      <c r="A122" t="s">
        <v>122</v>
      </c>
      <c r="B122" t="s">
        <v>285</v>
      </c>
      <c r="C122" s="19" t="s">
        <v>184</v>
      </c>
      <c r="D122" s="19">
        <v>2020</v>
      </c>
      <c r="E122">
        <f ca="1">ROUND(VLOOKUP($A122,    'VRE summary'!$B$25:$AD$46,    MATCH($D122, 'VRE summary'!$B$1:$AD$1, 0), FALSE), 0)</f>
        <v>2513</v>
      </c>
      <c r="F122">
        <f>ROUND( VLOOKUP($B122,$L$5:$M$7, 2, FALSE) * (1+ VLOOKUP($A122,'vomcost mult'!$N$10:$R$32,5, FALSE)), 2)</f>
        <v>1.94</v>
      </c>
      <c r="G122" s="59" t="str">
        <f t="shared" ca="1" si="2"/>
        <v/>
      </c>
    </row>
    <row r="123" spans="1:7">
      <c r="A123" t="s">
        <v>123</v>
      </c>
      <c r="B123" t="s">
        <v>285</v>
      </c>
      <c r="C123" s="19" t="s">
        <v>184</v>
      </c>
      <c r="D123" s="19">
        <v>2020</v>
      </c>
      <c r="E123">
        <f ca="1">ROUND(VLOOKUP($A123,    'VRE summary'!$B$25:$AD$46,    MATCH($D123, 'VRE summary'!$B$1:$AD$1, 0), FALSE), 0)</f>
        <v>17949</v>
      </c>
      <c r="F123">
        <f>ROUND( VLOOKUP($B123,$L$5:$M$7, 2, FALSE) * (1+ VLOOKUP($A123,'vomcost mult'!$N$10:$R$32,5, FALSE)), 2)</f>
        <v>1.84</v>
      </c>
      <c r="G123" s="59" t="str">
        <f t="shared" ca="1" si="2"/>
        <v/>
      </c>
    </row>
    <row r="124" spans="1:7">
      <c r="A124" t="s">
        <v>124</v>
      </c>
      <c r="B124" t="s">
        <v>285</v>
      </c>
      <c r="C124" s="19" t="s">
        <v>184</v>
      </c>
      <c r="D124" s="19">
        <v>2020</v>
      </c>
      <c r="E124">
        <f ca="1">ROUND(VLOOKUP($A124,    'VRE summary'!$B$25:$AD$46,    MATCH($D124, 'VRE summary'!$B$1:$AD$1, 0), FALSE), 0)</f>
        <v>548</v>
      </c>
      <c r="F124">
        <f>ROUND( VLOOKUP($B124,$L$5:$M$7, 2, FALSE) * (1+ VLOOKUP($A124,'vomcost mult'!$N$10:$R$32,5, FALSE)), 2)</f>
        <v>1.34</v>
      </c>
      <c r="G124" s="59" t="str">
        <f t="shared" ca="1" si="2"/>
        <v/>
      </c>
    </row>
    <row r="125" spans="1:7">
      <c r="A125" t="s">
        <v>125</v>
      </c>
      <c r="B125" t="s">
        <v>285</v>
      </c>
      <c r="C125" s="19" t="s">
        <v>184</v>
      </c>
      <c r="D125" s="19">
        <v>2020</v>
      </c>
      <c r="E125">
        <f ca="1">ROUND(VLOOKUP($A125,    'VRE summary'!$B$25:$AD$46,    MATCH($D125, 'VRE summary'!$B$1:$AD$1, 0), FALSE), 0)</f>
        <v>66</v>
      </c>
      <c r="F125">
        <f>ROUND( VLOOKUP($B125,$L$5:$M$7, 2, FALSE) * (1+ VLOOKUP($A125,'vomcost mult'!$N$10:$R$32,5, FALSE)), 2)</f>
        <v>1.23</v>
      </c>
      <c r="G125" s="59" t="str">
        <f t="shared" ca="1" si="2"/>
        <v/>
      </c>
    </row>
    <row r="126" spans="1:7">
      <c r="A126" t="s">
        <v>126</v>
      </c>
      <c r="B126" t="s">
        <v>285</v>
      </c>
      <c r="C126" s="19" t="s">
        <v>184</v>
      </c>
      <c r="D126" s="19">
        <v>2020</v>
      </c>
      <c r="E126">
        <f ca="1">ROUND(VLOOKUP($A126,    'VRE summary'!$B$25:$AD$46,    MATCH($D126, 'VRE summary'!$B$1:$AD$1, 0), FALSE), 0)</f>
        <v>4325</v>
      </c>
      <c r="F126">
        <f>ROUND( VLOOKUP($B126,$L$5:$M$7, 2, FALSE) * (1+ VLOOKUP($A126,'vomcost mult'!$N$10:$R$32,5, FALSE)), 2)</f>
        <v>2.0699999999999998</v>
      </c>
      <c r="G126" s="59" t="str">
        <f t="shared" ca="1" si="2"/>
        <v/>
      </c>
    </row>
    <row r="127" spans="1:7">
      <c r="A127" t="s">
        <v>127</v>
      </c>
      <c r="B127" t="s">
        <v>285</v>
      </c>
      <c r="C127" s="19" t="s">
        <v>184</v>
      </c>
      <c r="D127" s="19">
        <v>2020</v>
      </c>
      <c r="E127">
        <f ca="1">ROUND(VLOOKUP($A127,    'VRE summary'!$B$25:$AD$46,    MATCH($D127, 'VRE summary'!$B$1:$AD$1, 0), FALSE), 0)</f>
        <v>1669</v>
      </c>
      <c r="F127">
        <f>ROUND( VLOOKUP($B127,$L$5:$M$7, 2, FALSE) * (1+ VLOOKUP($A127,'vomcost mult'!$N$10:$R$32,5, FALSE)), 2)</f>
        <v>2.29</v>
      </c>
      <c r="G127" s="59" t="str">
        <f t="shared" ca="1" si="2"/>
        <v/>
      </c>
    </row>
    <row r="128" spans="1:7">
      <c r="A128" t="s">
        <v>128</v>
      </c>
      <c r="B128" t="s">
        <v>285</v>
      </c>
      <c r="C128" s="19" t="s">
        <v>184</v>
      </c>
      <c r="D128" s="19">
        <v>2020</v>
      </c>
      <c r="E128">
        <f ca="1">ROUND(VLOOKUP($A128,    'VRE summary'!$B$25:$AD$46,    MATCH($D128, 'VRE summary'!$B$1:$AD$1, 0), FALSE), 0)</f>
        <v>763</v>
      </c>
      <c r="F128">
        <f>ROUND( VLOOKUP($B128,$L$5:$M$7, 2, FALSE) * (1+ VLOOKUP($A128,'vomcost mult'!$N$10:$R$32,5, FALSE)), 2)</f>
        <v>2.3199999999999998</v>
      </c>
      <c r="G128" s="59" t="str">
        <f t="shared" ca="1" si="2"/>
        <v/>
      </c>
    </row>
    <row r="129" spans="1:7">
      <c r="A129" t="s">
        <v>129</v>
      </c>
      <c r="B129" t="s">
        <v>285</v>
      </c>
      <c r="C129" s="19" t="s">
        <v>184</v>
      </c>
      <c r="D129" s="19">
        <v>2020</v>
      </c>
      <c r="E129">
        <f ca="1">ROUND(VLOOKUP($A129,    'VRE summary'!$B$25:$AD$46,    MATCH($D129, 'VRE summary'!$B$1:$AD$1, 0), FALSE), 0)</f>
        <v>1542</v>
      </c>
      <c r="F129">
        <f>ROUND( VLOOKUP($B129,$L$5:$M$7, 2, FALSE) * (1+ VLOOKUP($A129,'vomcost mult'!$N$10:$R$32,5, FALSE)), 2)</f>
        <v>2.27</v>
      </c>
      <c r="G129" s="59" t="str">
        <f t="shared" ca="1" si="2"/>
        <v/>
      </c>
    </row>
    <row r="130" spans="1:7">
      <c r="A130" t="s">
        <v>130</v>
      </c>
      <c r="B130" t="s">
        <v>285</v>
      </c>
      <c r="C130" s="19" t="s">
        <v>184</v>
      </c>
      <c r="D130" s="19">
        <v>2020</v>
      </c>
      <c r="E130">
        <f ca="1">ROUND(VLOOKUP($A130,    'VRE summary'!$B$25:$AD$46,    MATCH($D130, 'VRE summary'!$B$1:$AD$1, 0), FALSE), 0)</f>
        <v>6614</v>
      </c>
      <c r="F130">
        <f>ROUND( VLOOKUP($B130,$L$5:$M$7, 2, FALSE) * (1+ VLOOKUP($A130,'vomcost mult'!$N$10:$R$32,5, FALSE)), 2)</f>
        <v>1.21</v>
      </c>
      <c r="G130" s="59" t="str">
        <f t="shared" ca="1" si="2"/>
        <v/>
      </c>
    </row>
    <row r="131" spans="1:7">
      <c r="A131" t="s">
        <v>131</v>
      </c>
      <c r="B131" t="s">
        <v>285</v>
      </c>
      <c r="C131" s="19" t="s">
        <v>184</v>
      </c>
      <c r="D131" s="19">
        <v>2020</v>
      </c>
      <c r="E131">
        <f ca="1">ROUND(VLOOKUP($A131,    'VRE summary'!$B$25:$AD$46,    MATCH($D131, 'VRE summary'!$B$1:$AD$1, 0), FALSE), 0)</f>
        <v>1952</v>
      </c>
      <c r="F131">
        <f>ROUND( VLOOKUP($B131,$L$5:$M$7, 2, FALSE) * (1+ VLOOKUP($A131,'vomcost mult'!$N$10:$R$32,5, FALSE)), 2)</f>
        <v>2.0699999999999998</v>
      </c>
      <c r="G131" s="59" t="str">
        <f t="shared" ca="1" si="2"/>
        <v/>
      </c>
    </row>
    <row r="132" spans="1:7">
      <c r="A132" t="s">
        <v>132</v>
      </c>
      <c r="B132" t="s">
        <v>285</v>
      </c>
      <c r="C132" s="19" t="s">
        <v>184</v>
      </c>
      <c r="D132" s="19">
        <v>2020</v>
      </c>
      <c r="E132">
        <f ca="1">ROUND(VLOOKUP($A132,    'VRE summary'!$B$25:$AD$46,    MATCH($D132, 'VRE summary'!$B$1:$AD$1, 0), FALSE), 0)</f>
        <v>4515</v>
      </c>
      <c r="F132">
        <f>ROUND( VLOOKUP($B132,$L$5:$M$7, 2, FALSE) * (1+ VLOOKUP($A132,'vomcost mult'!$N$10:$R$32,5, FALSE)), 2)</f>
        <v>2.0499999999999998</v>
      </c>
      <c r="G132" s="59" t="str">
        <f t="shared" ca="1" si="2"/>
        <v/>
      </c>
    </row>
    <row r="133" spans="1:7">
      <c r="A133" t="s">
        <v>133</v>
      </c>
      <c r="B133" t="s">
        <v>285</v>
      </c>
      <c r="C133" s="19" t="s">
        <v>184</v>
      </c>
      <c r="D133" s="19">
        <v>2020</v>
      </c>
      <c r="E133">
        <f ca="1">ROUND(VLOOKUP($A133,    'VRE summary'!$B$25:$AD$46,    MATCH($D133, 'VRE summary'!$B$1:$AD$1, 0), FALSE), 0)</f>
        <v>2109</v>
      </c>
      <c r="F133">
        <f>ROUND( VLOOKUP($B133,$L$5:$M$7, 2, FALSE) * (1+ VLOOKUP($A133,'vomcost mult'!$N$10:$R$32,5, FALSE)), 2)</f>
        <v>2.04</v>
      </c>
      <c r="G133" s="59" t="str">
        <f t="shared" ca="1" si="2"/>
        <v/>
      </c>
    </row>
    <row r="134" spans="1:7">
      <c r="A134" t="s">
        <v>134</v>
      </c>
      <c r="B134" t="s">
        <v>285</v>
      </c>
      <c r="C134" s="19" t="s">
        <v>184</v>
      </c>
      <c r="D134" s="19">
        <v>2020</v>
      </c>
      <c r="E134">
        <f ca="1">ROUND(VLOOKUP($A134,    'VRE summary'!$B$25:$AD$46,    MATCH($D134, 'VRE summary'!$B$1:$AD$1, 0), FALSE), 0)</f>
        <v>1212</v>
      </c>
      <c r="F134">
        <f>ROUND( VLOOKUP($B134,$L$5:$M$7, 2, FALSE) * (1+ VLOOKUP($A134,'vomcost mult'!$N$10:$R$32,5, FALSE)), 2)</f>
        <v>2.02</v>
      </c>
      <c r="G134" s="59" t="str">
        <f t="shared" ca="1" si="2"/>
        <v/>
      </c>
    </row>
    <row r="135" spans="1:7">
      <c r="A135" t="s">
        <v>135</v>
      </c>
      <c r="B135" t="s">
        <v>285</v>
      </c>
      <c r="C135" s="19" t="s">
        <v>184</v>
      </c>
      <c r="D135" s="19">
        <v>2020</v>
      </c>
      <c r="E135">
        <f ca="1">ROUND(VLOOKUP($A135,    'VRE summary'!$B$25:$AD$46,    MATCH($D135, 'VRE summary'!$B$1:$AD$1, 0), FALSE), 0)</f>
        <v>14220</v>
      </c>
      <c r="F135">
        <f>ROUND( VLOOKUP($B135,$L$5:$M$7, 2, FALSE) * (1+ VLOOKUP($A135,'vomcost mult'!$N$10:$R$32,5, FALSE)), 2)</f>
        <v>2.04</v>
      </c>
      <c r="G135" s="59" t="str">
        <f t="shared" ca="1" si="2"/>
        <v/>
      </c>
    </row>
    <row r="136" spans="1:7">
      <c r="A136" t="s">
        <v>111</v>
      </c>
      <c r="B136" t="s">
        <v>285</v>
      </c>
      <c r="C136" s="19" t="s">
        <v>184</v>
      </c>
      <c r="D136" s="19">
        <v>2025</v>
      </c>
      <c r="E136">
        <f ca="1">ROUND(VLOOKUP($A136,    'VRE summary'!$B$25:$AD$46,    MATCH($D136, 'VRE summary'!$B$1:$AD$1, 0), FALSE), 0)</f>
        <v>4216</v>
      </c>
      <c r="F136">
        <f>ROUND( VLOOKUP($B136,$L$5:$M$7, 2, FALSE) * (1+ VLOOKUP($A136,'vomcost mult'!$N$10:$R$32,5, FALSE)), 2)</f>
        <v>1.97</v>
      </c>
      <c r="G136" s="59" t="str">
        <f t="shared" ca="1" si="2"/>
        <v/>
      </c>
    </row>
    <row r="137" spans="1:7">
      <c r="A137" t="s">
        <v>114</v>
      </c>
      <c r="B137" t="s">
        <v>285</v>
      </c>
      <c r="C137" s="19" t="s">
        <v>184</v>
      </c>
      <c r="D137" s="19">
        <v>2025</v>
      </c>
      <c r="E137">
        <f ca="1">ROUND(VLOOKUP($A137,    'VRE summary'!$B$25:$AD$46,    MATCH($D137, 'VRE summary'!$B$1:$AD$1, 0), FALSE), 0)</f>
        <v>3651</v>
      </c>
      <c r="F137">
        <f>ROUND( VLOOKUP($B137,$L$5:$M$7, 2, FALSE) * (1+ VLOOKUP($A137,'vomcost mult'!$N$10:$R$32,5, FALSE)), 2)</f>
        <v>1.96</v>
      </c>
      <c r="G137" s="59" t="str">
        <f t="shared" ca="1" si="2"/>
        <v/>
      </c>
    </row>
    <row r="138" spans="1:7">
      <c r="A138" t="s">
        <v>116</v>
      </c>
      <c r="B138" t="s">
        <v>285</v>
      </c>
      <c r="C138" s="19" t="s">
        <v>184</v>
      </c>
      <c r="D138" s="19">
        <v>2025</v>
      </c>
      <c r="E138">
        <f ca="1">ROUND(VLOOKUP($A138,    'VRE summary'!$B$25:$AD$46,    MATCH($D138, 'VRE summary'!$B$1:$AD$1, 0), FALSE), 0)</f>
        <v>104</v>
      </c>
      <c r="F138">
        <f>ROUND( VLOOKUP($B138,$L$5:$M$7, 2, FALSE) * (1+ VLOOKUP($A138,'vomcost mult'!$N$10:$R$32,5, FALSE)), 2)</f>
        <v>2.5499999999999998</v>
      </c>
      <c r="G138" s="59" t="str">
        <f t="shared" ca="1" si="2"/>
        <v/>
      </c>
    </row>
    <row r="139" spans="1:7">
      <c r="A139" t="s">
        <v>117</v>
      </c>
      <c r="B139" t="s">
        <v>285</v>
      </c>
      <c r="C139" s="19" t="s">
        <v>184</v>
      </c>
      <c r="D139" s="19">
        <v>2025</v>
      </c>
      <c r="E139">
        <f ca="1">ROUND(VLOOKUP($A139,    'VRE summary'!$B$25:$AD$46,    MATCH($D139, 'VRE summary'!$B$1:$AD$1, 0), FALSE), 0)</f>
        <v>65612</v>
      </c>
      <c r="F139">
        <f>ROUND( VLOOKUP($B139,$L$5:$M$7, 2, FALSE) * (1+ VLOOKUP($A139,'vomcost mult'!$N$10:$R$32,5, FALSE)), 2)</f>
        <v>1.94</v>
      </c>
      <c r="G139" s="59" t="str">
        <f t="shared" ca="1" si="2"/>
        <v/>
      </c>
    </row>
    <row r="140" spans="1:7">
      <c r="A140" t="s">
        <v>118</v>
      </c>
      <c r="B140" t="s">
        <v>285</v>
      </c>
      <c r="C140" s="19" t="s">
        <v>184</v>
      </c>
      <c r="D140" s="19">
        <v>2025</v>
      </c>
      <c r="E140">
        <f ca="1">ROUND(VLOOKUP($A140,    'VRE summary'!$B$25:$AD$46,    MATCH($D140, 'VRE summary'!$B$1:$AD$1, 0), FALSE), 0)</f>
        <v>834</v>
      </c>
      <c r="F140">
        <f>ROUND( VLOOKUP($B140,$L$5:$M$7, 2, FALSE) * (1+ VLOOKUP($A140,'vomcost mult'!$N$10:$R$32,5, FALSE)), 2)</f>
        <v>2.19</v>
      </c>
      <c r="G140" s="59" t="str">
        <f t="shared" ca="1" si="2"/>
        <v/>
      </c>
    </row>
    <row r="141" spans="1:7">
      <c r="A141" t="s">
        <v>119</v>
      </c>
      <c r="B141" t="s">
        <v>285</v>
      </c>
      <c r="C141" s="19" t="s">
        <v>184</v>
      </c>
      <c r="D141" s="19">
        <v>2025</v>
      </c>
      <c r="E141">
        <f ca="1">ROUND(VLOOKUP($A141,    'VRE summary'!$B$25:$AD$46,    MATCH($D141, 'VRE summary'!$B$1:$AD$1, 0), FALSE), 0)</f>
        <v>4441</v>
      </c>
      <c r="F141">
        <f>ROUND( VLOOKUP($B141,$L$5:$M$7, 2, FALSE) * (1+ VLOOKUP($A141,'vomcost mult'!$N$10:$R$32,5, FALSE)), 2)</f>
        <v>2.17</v>
      </c>
      <c r="G141" s="59" t="str">
        <f t="shared" ca="1" si="2"/>
        <v/>
      </c>
    </row>
    <row r="142" spans="1:7">
      <c r="A142" t="s">
        <v>120</v>
      </c>
      <c r="B142" t="s">
        <v>285</v>
      </c>
      <c r="C142" s="19" t="s">
        <v>184</v>
      </c>
      <c r="D142" s="19">
        <v>2025</v>
      </c>
      <c r="E142">
        <f ca="1">ROUND(VLOOKUP($A142,    'VRE summary'!$B$25:$AD$46,    MATCH($D142, 'VRE summary'!$B$1:$AD$1, 0), FALSE), 0)</f>
        <v>732</v>
      </c>
      <c r="F142">
        <f>ROUND( VLOOKUP($B142,$L$5:$M$7, 2, FALSE) * (1+ VLOOKUP($A142,'vomcost mult'!$N$10:$R$32,5, FALSE)), 2)</f>
        <v>1.39</v>
      </c>
      <c r="G142" s="59" t="str">
        <f t="shared" ca="1" si="2"/>
        <v/>
      </c>
    </row>
    <row r="143" spans="1:7">
      <c r="A143" t="s">
        <v>121</v>
      </c>
      <c r="B143" t="s">
        <v>285</v>
      </c>
      <c r="C143" s="19" t="s">
        <v>184</v>
      </c>
      <c r="D143" s="19">
        <v>2025</v>
      </c>
      <c r="E143">
        <f ca="1">ROUND(VLOOKUP($A143,    'VRE summary'!$B$25:$AD$46,    MATCH($D143, 'VRE summary'!$B$1:$AD$1, 0), FALSE), 0)</f>
        <v>32422</v>
      </c>
      <c r="F143">
        <f>ROUND( VLOOKUP($B143,$L$5:$M$7, 2, FALSE) * (1+ VLOOKUP($A143,'vomcost mult'!$N$10:$R$32,5, FALSE)), 2)</f>
        <v>1.6</v>
      </c>
      <c r="G143" s="59" t="str">
        <f t="shared" ca="1" si="2"/>
        <v/>
      </c>
    </row>
    <row r="144" spans="1:7">
      <c r="A144" t="s">
        <v>122</v>
      </c>
      <c r="B144" t="s">
        <v>285</v>
      </c>
      <c r="C144" s="19" t="s">
        <v>184</v>
      </c>
      <c r="D144" s="19">
        <v>2025</v>
      </c>
      <c r="E144">
        <f ca="1">ROUND(VLOOKUP($A144,    'VRE summary'!$B$25:$AD$46,    MATCH($D144, 'VRE summary'!$B$1:$AD$1, 0), FALSE), 0)</f>
        <v>8776</v>
      </c>
      <c r="F144">
        <f>ROUND( VLOOKUP($B144,$L$5:$M$7, 2, FALSE) * (1+ VLOOKUP($A144,'vomcost mult'!$N$10:$R$32,5, FALSE)), 2)</f>
        <v>1.94</v>
      </c>
      <c r="G144" s="59" t="str">
        <f t="shared" ca="1" si="2"/>
        <v/>
      </c>
    </row>
    <row r="145" spans="1:7">
      <c r="A145" t="s">
        <v>123</v>
      </c>
      <c r="B145" t="s">
        <v>285</v>
      </c>
      <c r="C145" s="19" t="s">
        <v>184</v>
      </c>
      <c r="D145" s="19">
        <v>2025</v>
      </c>
      <c r="E145">
        <f ca="1">ROUND(VLOOKUP($A145,    'VRE summary'!$B$25:$AD$46,    MATCH($D145, 'VRE summary'!$B$1:$AD$1, 0), FALSE), 0)</f>
        <v>24270</v>
      </c>
      <c r="F145">
        <f>ROUND( VLOOKUP($B145,$L$5:$M$7, 2, FALSE) * (1+ VLOOKUP($A145,'vomcost mult'!$N$10:$R$32,5, FALSE)), 2)</f>
        <v>1.84</v>
      </c>
      <c r="G145" s="59" t="str">
        <f t="shared" ca="1" si="2"/>
        <v/>
      </c>
    </row>
    <row r="146" spans="1:7">
      <c r="A146" t="s">
        <v>124</v>
      </c>
      <c r="B146" t="s">
        <v>285</v>
      </c>
      <c r="C146" s="19" t="s">
        <v>184</v>
      </c>
      <c r="D146" s="19">
        <v>2025</v>
      </c>
      <c r="E146">
        <f ca="1">ROUND(VLOOKUP($A146,    'VRE summary'!$B$25:$AD$46,    MATCH($D146, 'VRE summary'!$B$1:$AD$1, 0), FALSE), 0)</f>
        <v>1944</v>
      </c>
      <c r="F146">
        <f>ROUND( VLOOKUP($B146,$L$5:$M$7, 2, FALSE) * (1+ VLOOKUP($A146,'vomcost mult'!$N$10:$R$32,5, FALSE)), 2)</f>
        <v>1.34</v>
      </c>
      <c r="G146" s="59" t="str">
        <f t="shared" ca="1" si="2"/>
        <v/>
      </c>
    </row>
    <row r="147" spans="1:7">
      <c r="A147" t="s">
        <v>125</v>
      </c>
      <c r="B147" t="s">
        <v>285</v>
      </c>
      <c r="C147" s="19" t="s">
        <v>184</v>
      </c>
      <c r="D147" s="19">
        <v>2025</v>
      </c>
      <c r="E147">
        <f ca="1">ROUND(VLOOKUP($A147,    'VRE summary'!$B$25:$AD$46,    MATCH($D147, 'VRE summary'!$B$1:$AD$1, 0), FALSE), 0)</f>
        <v>154</v>
      </c>
      <c r="F147">
        <f>ROUND( VLOOKUP($B147,$L$5:$M$7, 2, FALSE) * (1+ VLOOKUP($A147,'vomcost mult'!$N$10:$R$32,5, FALSE)), 2)</f>
        <v>1.23</v>
      </c>
      <c r="G147" s="59" t="str">
        <f t="shared" ca="1" si="2"/>
        <v/>
      </c>
    </row>
    <row r="148" spans="1:7">
      <c r="A148" t="s">
        <v>126</v>
      </c>
      <c r="B148" t="s">
        <v>285</v>
      </c>
      <c r="C148" s="19" t="s">
        <v>184</v>
      </c>
      <c r="D148" s="19">
        <v>2025</v>
      </c>
      <c r="E148">
        <f ca="1">ROUND(VLOOKUP($A148,    'VRE summary'!$B$25:$AD$46,    MATCH($D148, 'VRE summary'!$B$1:$AD$1, 0), FALSE), 0)</f>
        <v>8018</v>
      </c>
      <c r="F148">
        <f>ROUND( VLOOKUP($B148,$L$5:$M$7, 2, FALSE) * (1+ VLOOKUP($A148,'vomcost mult'!$N$10:$R$32,5, FALSE)), 2)</f>
        <v>2.0699999999999998</v>
      </c>
      <c r="G148" s="59" t="str">
        <f t="shared" ca="1" si="2"/>
        <v/>
      </c>
    </row>
    <row r="149" spans="1:7">
      <c r="A149" t="s">
        <v>127</v>
      </c>
      <c r="B149" t="s">
        <v>285</v>
      </c>
      <c r="C149" s="19" t="s">
        <v>184</v>
      </c>
      <c r="D149" s="19">
        <v>2025</v>
      </c>
      <c r="E149">
        <f ca="1">ROUND(VLOOKUP($A149,    'VRE summary'!$B$25:$AD$46,    MATCH($D149, 'VRE summary'!$B$1:$AD$1, 0), FALSE), 0)</f>
        <v>2513</v>
      </c>
      <c r="F149">
        <f>ROUND( VLOOKUP($B149,$L$5:$M$7, 2, FALSE) * (1+ VLOOKUP($A149,'vomcost mult'!$N$10:$R$32,5, FALSE)), 2)</f>
        <v>2.29</v>
      </c>
      <c r="G149" s="59" t="str">
        <f t="shared" ca="1" si="2"/>
        <v/>
      </c>
    </row>
    <row r="150" spans="1:7">
      <c r="A150" t="s">
        <v>128</v>
      </c>
      <c r="B150" t="s">
        <v>285</v>
      </c>
      <c r="C150" s="19" t="s">
        <v>184</v>
      </c>
      <c r="D150" s="19">
        <v>2025</v>
      </c>
      <c r="E150">
        <f ca="1">ROUND(VLOOKUP($A150,    'VRE summary'!$B$25:$AD$46,    MATCH($D150, 'VRE summary'!$B$1:$AD$1, 0), FALSE), 0)</f>
        <v>1149</v>
      </c>
      <c r="F150">
        <f>ROUND( VLOOKUP($B150,$L$5:$M$7, 2, FALSE) * (1+ VLOOKUP($A150,'vomcost mult'!$N$10:$R$32,5, FALSE)), 2)</f>
        <v>2.3199999999999998</v>
      </c>
      <c r="G150" s="59" t="str">
        <f t="shared" ca="1" si="2"/>
        <v/>
      </c>
    </row>
    <row r="151" spans="1:7">
      <c r="A151" t="s">
        <v>129</v>
      </c>
      <c r="B151" t="s">
        <v>285</v>
      </c>
      <c r="C151" s="19" t="s">
        <v>184</v>
      </c>
      <c r="D151" s="19">
        <v>2025</v>
      </c>
      <c r="E151">
        <f ca="1">ROUND(VLOOKUP($A151,    'VRE summary'!$B$25:$AD$46,    MATCH($D151, 'VRE summary'!$B$1:$AD$1, 0), FALSE), 0)</f>
        <v>2323</v>
      </c>
      <c r="F151">
        <f>ROUND( VLOOKUP($B151,$L$5:$M$7, 2, FALSE) * (1+ VLOOKUP($A151,'vomcost mult'!$N$10:$R$32,5, FALSE)), 2)</f>
        <v>2.27</v>
      </c>
      <c r="G151" s="59" t="str">
        <f t="shared" ca="1" si="2"/>
        <v/>
      </c>
    </row>
    <row r="152" spans="1:7">
      <c r="A152" t="s">
        <v>130</v>
      </c>
      <c r="B152" t="s">
        <v>285</v>
      </c>
      <c r="C152" s="19" t="s">
        <v>184</v>
      </c>
      <c r="D152" s="19">
        <v>2025</v>
      </c>
      <c r="E152">
        <f ca="1">ROUND(VLOOKUP($A152,    'VRE summary'!$B$25:$AD$46,    MATCH($D152, 'VRE summary'!$B$1:$AD$1, 0), FALSE), 0)</f>
        <v>10540</v>
      </c>
      <c r="F152">
        <f>ROUND( VLOOKUP($B152,$L$5:$M$7, 2, FALSE) * (1+ VLOOKUP($A152,'vomcost mult'!$N$10:$R$32,5, FALSE)), 2)</f>
        <v>1.21</v>
      </c>
      <c r="G152" s="59" t="str">
        <f t="shared" ca="1" si="2"/>
        <v/>
      </c>
    </row>
    <row r="153" spans="1:7">
      <c r="A153" t="s">
        <v>131</v>
      </c>
      <c r="B153" t="s">
        <v>285</v>
      </c>
      <c r="C153" s="19" t="s">
        <v>184</v>
      </c>
      <c r="D153" s="19">
        <v>2025</v>
      </c>
      <c r="E153">
        <f ca="1">ROUND(VLOOKUP($A153,    'VRE summary'!$B$25:$AD$46,    MATCH($D153, 'VRE summary'!$B$1:$AD$1, 0), FALSE), 0)</f>
        <v>3729</v>
      </c>
      <c r="F153">
        <f>ROUND( VLOOKUP($B153,$L$5:$M$7, 2, FALSE) * (1+ VLOOKUP($A153,'vomcost mult'!$N$10:$R$32,5, FALSE)), 2)</f>
        <v>2.0699999999999998</v>
      </c>
      <c r="G153" s="59" t="str">
        <f t="shared" ca="1" si="2"/>
        <v/>
      </c>
    </row>
    <row r="154" spans="1:7">
      <c r="A154" t="s">
        <v>132</v>
      </c>
      <c r="B154" t="s">
        <v>285</v>
      </c>
      <c r="C154" s="19" t="s">
        <v>184</v>
      </c>
      <c r="D154" s="19">
        <v>2025</v>
      </c>
      <c r="E154">
        <f ca="1">ROUND(VLOOKUP($A154,    'VRE summary'!$B$25:$AD$46,    MATCH($D154, 'VRE summary'!$B$1:$AD$1, 0), FALSE), 0)</f>
        <v>8623</v>
      </c>
      <c r="F154">
        <f>ROUND( VLOOKUP($B154,$L$5:$M$7, 2, FALSE) * (1+ VLOOKUP($A154,'vomcost mult'!$N$10:$R$32,5, FALSE)), 2)</f>
        <v>2.0499999999999998</v>
      </c>
      <c r="G154" s="59" t="str">
        <f t="shared" ca="1" si="2"/>
        <v/>
      </c>
    </row>
    <row r="155" spans="1:7">
      <c r="A155" t="s">
        <v>133</v>
      </c>
      <c r="B155" t="s">
        <v>285</v>
      </c>
      <c r="C155" s="19" t="s">
        <v>184</v>
      </c>
      <c r="D155" s="19">
        <v>2025</v>
      </c>
      <c r="E155">
        <f ca="1">ROUND(VLOOKUP($A155,    'VRE summary'!$B$25:$AD$46,    MATCH($D155, 'VRE summary'!$B$1:$AD$1, 0), FALSE), 0)</f>
        <v>4028</v>
      </c>
      <c r="F155">
        <f>ROUND( VLOOKUP($B155,$L$5:$M$7, 2, FALSE) * (1+ VLOOKUP($A155,'vomcost mult'!$N$10:$R$32,5, FALSE)), 2)</f>
        <v>2.04</v>
      </c>
      <c r="G155" s="59" t="str">
        <f t="shared" ca="1" si="2"/>
        <v/>
      </c>
    </row>
    <row r="156" spans="1:7">
      <c r="A156" t="s">
        <v>134</v>
      </c>
      <c r="B156" t="s">
        <v>285</v>
      </c>
      <c r="C156" s="19" t="s">
        <v>184</v>
      </c>
      <c r="D156" s="19">
        <v>2025</v>
      </c>
      <c r="E156">
        <f ca="1">ROUND(VLOOKUP($A156,    'VRE summary'!$B$25:$AD$46,    MATCH($D156, 'VRE summary'!$B$1:$AD$1, 0), FALSE), 0)</f>
        <v>2315</v>
      </c>
      <c r="F156">
        <f>ROUND( VLOOKUP($B156,$L$5:$M$7, 2, FALSE) * (1+ VLOOKUP($A156,'vomcost mult'!$N$10:$R$32,5, FALSE)), 2)</f>
        <v>2.02</v>
      </c>
      <c r="G156" s="59" t="str">
        <f t="shared" ref="G156:G179" ca="1" si="3">IF(E156&lt;50, "remove", "")</f>
        <v/>
      </c>
    </row>
    <row r="157" spans="1:7">
      <c r="A157" t="s">
        <v>135</v>
      </c>
      <c r="B157" t="s">
        <v>285</v>
      </c>
      <c r="C157" s="19" t="s">
        <v>184</v>
      </c>
      <c r="D157" s="19">
        <v>2025</v>
      </c>
      <c r="E157">
        <f ca="1">ROUND(VLOOKUP($A157,    'VRE summary'!$B$25:$AD$46,    MATCH($D157, 'VRE summary'!$B$1:$AD$1, 0), FALSE), 0)</f>
        <v>16863</v>
      </c>
      <c r="F157">
        <f>ROUND( VLOOKUP($B157,$L$5:$M$7, 2, FALSE) * (1+ VLOOKUP($A157,'vomcost mult'!$N$10:$R$32,5, FALSE)), 2)</f>
        <v>2.04</v>
      </c>
      <c r="G157" s="59" t="str">
        <f t="shared" ca="1" si="3"/>
        <v/>
      </c>
    </row>
    <row r="158" spans="1:7">
      <c r="A158" t="s">
        <v>111</v>
      </c>
      <c r="B158" t="s">
        <v>285</v>
      </c>
      <c r="C158" s="19" t="s">
        <v>184</v>
      </c>
      <c r="D158" s="19">
        <v>2030</v>
      </c>
      <c r="E158">
        <f ca="1">ROUND(VLOOKUP($A158,    'VRE summary'!$B$25:$AD$46,    MATCH($D158, 'VRE summary'!$B$1:$AD$1, 0), FALSE), 0)</f>
        <v>5209</v>
      </c>
      <c r="F158">
        <f>ROUND( VLOOKUP($B158,$L$5:$M$7, 2, FALSE) * (1+ VLOOKUP($A158,'vomcost mult'!$N$10:$R$32,5, FALSE)), 2)</f>
        <v>1.97</v>
      </c>
      <c r="G158" s="59" t="str">
        <f t="shared" ca="1" si="3"/>
        <v/>
      </c>
    </row>
    <row r="159" spans="1:7">
      <c r="A159" t="s">
        <v>114</v>
      </c>
      <c r="B159" t="s">
        <v>285</v>
      </c>
      <c r="C159" s="19" t="s">
        <v>184</v>
      </c>
      <c r="D159" s="19">
        <v>2030</v>
      </c>
      <c r="E159">
        <f ca="1">ROUND(VLOOKUP($A159,    'VRE summary'!$B$25:$AD$46,    MATCH($D159, 'VRE summary'!$B$1:$AD$1, 0), FALSE), 0)</f>
        <v>4766</v>
      </c>
      <c r="F159">
        <f>ROUND( VLOOKUP($B159,$L$5:$M$7, 2, FALSE) * (1+ VLOOKUP($A159,'vomcost mult'!$N$10:$R$32,5, FALSE)), 2)</f>
        <v>1.96</v>
      </c>
      <c r="G159" s="59" t="str">
        <f t="shared" ca="1" si="3"/>
        <v/>
      </c>
    </row>
    <row r="160" spans="1:7">
      <c r="A160" t="s">
        <v>116</v>
      </c>
      <c r="B160" t="s">
        <v>285</v>
      </c>
      <c r="C160" s="19" t="s">
        <v>184</v>
      </c>
      <c r="D160" s="19">
        <v>2030</v>
      </c>
      <c r="E160">
        <f ca="1">ROUND(VLOOKUP($A160,    'VRE summary'!$B$25:$AD$46,    MATCH($D160, 'VRE summary'!$B$1:$AD$1, 0), FALSE), 0)</f>
        <v>124</v>
      </c>
      <c r="F160">
        <f>ROUND( VLOOKUP($B160,$L$5:$M$7, 2, FALSE) * (1+ VLOOKUP($A160,'vomcost mult'!$N$10:$R$32,5, FALSE)), 2)</f>
        <v>2.5499999999999998</v>
      </c>
      <c r="G160" s="59" t="str">
        <f t="shared" ca="1" si="3"/>
        <v/>
      </c>
    </row>
    <row r="161" spans="1:7">
      <c r="A161" t="s">
        <v>117</v>
      </c>
      <c r="B161" t="s">
        <v>285</v>
      </c>
      <c r="C161" s="19" t="s">
        <v>184</v>
      </c>
      <c r="D161" s="19">
        <v>2030</v>
      </c>
      <c r="E161">
        <f ca="1">ROUND(VLOOKUP($A161,    'VRE summary'!$B$25:$AD$46,    MATCH($D161, 'VRE summary'!$B$1:$AD$1, 0), FALSE), 0)</f>
        <v>84415</v>
      </c>
      <c r="F161">
        <f>ROUND( VLOOKUP($B161,$L$5:$M$7, 2, FALSE) * (1+ VLOOKUP($A161,'vomcost mult'!$N$10:$R$32,5, FALSE)), 2)</f>
        <v>1.94</v>
      </c>
      <c r="G161" s="59" t="str">
        <f t="shared" ca="1" si="3"/>
        <v/>
      </c>
    </row>
    <row r="162" spans="1:7">
      <c r="A162" t="s">
        <v>118</v>
      </c>
      <c r="B162" t="s">
        <v>285</v>
      </c>
      <c r="C162" s="19" t="s">
        <v>184</v>
      </c>
      <c r="D162" s="19">
        <v>2030</v>
      </c>
      <c r="E162">
        <f ca="1">ROUND(VLOOKUP($A162,    'VRE summary'!$B$25:$AD$46,    MATCH($D162, 'VRE summary'!$B$1:$AD$1, 0), FALSE), 0)</f>
        <v>943</v>
      </c>
      <c r="F162">
        <f>ROUND( VLOOKUP($B162,$L$5:$M$7, 2, FALSE) * (1+ VLOOKUP($A162,'vomcost mult'!$N$10:$R$32,5, FALSE)), 2)</f>
        <v>2.19</v>
      </c>
      <c r="G162" s="59" t="str">
        <f t="shared" ca="1" si="3"/>
        <v/>
      </c>
    </row>
    <row r="163" spans="1:7">
      <c r="A163" t="s">
        <v>119</v>
      </c>
      <c r="B163" t="s">
        <v>285</v>
      </c>
      <c r="C163" s="19" t="s">
        <v>184</v>
      </c>
      <c r="D163" s="19">
        <v>2030</v>
      </c>
      <c r="E163">
        <f ca="1">ROUND(VLOOKUP($A163,    'VRE summary'!$B$25:$AD$46,    MATCH($D163, 'VRE summary'!$B$1:$AD$1, 0), FALSE), 0)</f>
        <v>5022</v>
      </c>
      <c r="F163">
        <f>ROUND( VLOOKUP($B163,$L$5:$M$7, 2, FALSE) * (1+ VLOOKUP($A163,'vomcost mult'!$N$10:$R$32,5, FALSE)), 2)</f>
        <v>2.17</v>
      </c>
      <c r="G163" s="59" t="str">
        <f t="shared" ca="1" si="3"/>
        <v/>
      </c>
    </row>
    <row r="164" spans="1:7">
      <c r="A164" t="s">
        <v>120</v>
      </c>
      <c r="B164" t="s">
        <v>285</v>
      </c>
      <c r="C164" s="19" t="s">
        <v>184</v>
      </c>
      <c r="D164" s="19">
        <v>2030</v>
      </c>
      <c r="E164">
        <f ca="1">ROUND(VLOOKUP($A164,    'VRE summary'!$B$25:$AD$46,    MATCH($D164, 'VRE summary'!$B$1:$AD$1, 0), FALSE), 0)</f>
        <v>962</v>
      </c>
      <c r="F164">
        <f>ROUND( VLOOKUP($B164,$L$5:$M$7, 2, FALSE) * (1+ VLOOKUP($A164,'vomcost mult'!$N$10:$R$32,5, FALSE)), 2)</f>
        <v>1.39</v>
      </c>
      <c r="G164" s="59" t="str">
        <f t="shared" ca="1" si="3"/>
        <v/>
      </c>
    </row>
    <row r="165" spans="1:7">
      <c r="A165" t="s">
        <v>121</v>
      </c>
      <c r="B165" t="s">
        <v>285</v>
      </c>
      <c r="C165" s="19" t="s">
        <v>184</v>
      </c>
      <c r="D165" s="19">
        <v>2030</v>
      </c>
      <c r="E165">
        <f ca="1">ROUND(VLOOKUP($A165,    'VRE summary'!$B$25:$AD$46,    MATCH($D165, 'VRE summary'!$B$1:$AD$1, 0), FALSE), 0)</f>
        <v>37614</v>
      </c>
      <c r="F165">
        <f>ROUND( VLOOKUP($B165,$L$5:$M$7, 2, FALSE) * (1+ VLOOKUP($A165,'vomcost mult'!$N$10:$R$32,5, FALSE)), 2)</f>
        <v>1.6</v>
      </c>
      <c r="G165" s="59" t="str">
        <f t="shared" ca="1" si="3"/>
        <v/>
      </c>
    </row>
    <row r="166" spans="1:7">
      <c r="A166" t="s">
        <v>122</v>
      </c>
      <c r="B166" t="s">
        <v>285</v>
      </c>
      <c r="C166" s="19" t="s">
        <v>184</v>
      </c>
      <c r="D166" s="19">
        <v>2030</v>
      </c>
      <c r="E166">
        <f ca="1">ROUND(VLOOKUP($A166,    'VRE summary'!$B$25:$AD$46,    MATCH($D166, 'VRE summary'!$B$1:$AD$1, 0), FALSE), 0)</f>
        <v>14092</v>
      </c>
      <c r="F166">
        <f>ROUND( VLOOKUP($B166,$L$5:$M$7, 2, FALSE) * (1+ VLOOKUP($A166,'vomcost mult'!$N$10:$R$32,5, FALSE)), 2)</f>
        <v>1.94</v>
      </c>
      <c r="G166" s="59" t="str">
        <f t="shared" ca="1" si="3"/>
        <v/>
      </c>
    </row>
    <row r="167" spans="1:7">
      <c r="A167" t="s">
        <v>123</v>
      </c>
      <c r="B167" t="s">
        <v>285</v>
      </c>
      <c r="C167" s="19" t="s">
        <v>184</v>
      </c>
      <c r="D167" s="19">
        <v>2030</v>
      </c>
      <c r="E167">
        <f ca="1">ROUND(VLOOKUP($A167,    'VRE summary'!$B$25:$AD$46,    MATCH($D167, 'VRE summary'!$B$1:$AD$1, 0), FALSE), 0)</f>
        <v>30832</v>
      </c>
      <c r="F167">
        <f>ROUND( VLOOKUP($B167,$L$5:$M$7, 2, FALSE) * (1+ VLOOKUP($A167,'vomcost mult'!$N$10:$R$32,5, FALSE)), 2)</f>
        <v>1.84</v>
      </c>
      <c r="G167" s="59" t="str">
        <f t="shared" ca="1" si="3"/>
        <v/>
      </c>
    </row>
    <row r="168" spans="1:7">
      <c r="A168" t="s">
        <v>124</v>
      </c>
      <c r="B168" t="s">
        <v>285</v>
      </c>
      <c r="C168" s="19" t="s">
        <v>184</v>
      </c>
      <c r="D168" s="19">
        <v>2030</v>
      </c>
      <c r="E168">
        <f ca="1">ROUND(VLOOKUP($A168,    'VRE summary'!$B$25:$AD$46,    MATCH($D168, 'VRE summary'!$B$1:$AD$1, 0), FALSE), 0)</f>
        <v>2860</v>
      </c>
      <c r="F168">
        <f>ROUND( VLOOKUP($B168,$L$5:$M$7, 2, FALSE) * (1+ VLOOKUP($A168,'vomcost mult'!$N$10:$R$32,5, FALSE)), 2)</f>
        <v>1.34</v>
      </c>
      <c r="G168" s="59" t="str">
        <f t="shared" ca="1" si="3"/>
        <v/>
      </c>
    </row>
    <row r="169" spans="1:7">
      <c r="A169" t="s">
        <v>125</v>
      </c>
      <c r="B169" t="s">
        <v>285</v>
      </c>
      <c r="C169" s="19" t="s">
        <v>184</v>
      </c>
      <c r="D169" s="19">
        <v>2030</v>
      </c>
      <c r="E169">
        <f ca="1">ROUND(VLOOKUP($A169,    'VRE summary'!$B$25:$AD$46,    MATCH($D169, 'VRE summary'!$B$1:$AD$1, 0), FALSE), 0)</f>
        <v>223</v>
      </c>
      <c r="F169">
        <f>ROUND( VLOOKUP($B169,$L$5:$M$7, 2, FALSE) * (1+ VLOOKUP($A169,'vomcost mult'!$N$10:$R$32,5, FALSE)), 2)</f>
        <v>1.23</v>
      </c>
      <c r="G169" s="59" t="str">
        <f t="shared" ca="1" si="3"/>
        <v/>
      </c>
    </row>
    <row r="170" spans="1:7">
      <c r="A170" t="s">
        <v>126</v>
      </c>
      <c r="B170" t="s">
        <v>285</v>
      </c>
      <c r="C170" s="19" t="s">
        <v>184</v>
      </c>
      <c r="D170" s="19">
        <v>2030</v>
      </c>
      <c r="E170">
        <f ca="1">ROUND(VLOOKUP($A170,    'VRE summary'!$B$25:$AD$46,    MATCH($D170, 'VRE summary'!$B$1:$AD$1, 0), FALSE), 0)</f>
        <v>11017</v>
      </c>
      <c r="F170">
        <f>ROUND( VLOOKUP($B170,$L$5:$M$7, 2, FALSE) * (1+ VLOOKUP($A170,'vomcost mult'!$N$10:$R$32,5, FALSE)), 2)</f>
        <v>2.0699999999999998</v>
      </c>
      <c r="G170" s="59" t="str">
        <f t="shared" ca="1" si="3"/>
        <v/>
      </c>
    </row>
    <row r="171" spans="1:7">
      <c r="A171" t="s">
        <v>127</v>
      </c>
      <c r="B171" t="s">
        <v>285</v>
      </c>
      <c r="C171" s="19" t="s">
        <v>184</v>
      </c>
      <c r="D171" s="19">
        <v>2030</v>
      </c>
      <c r="E171">
        <f ca="1">ROUND(VLOOKUP($A171,    'VRE summary'!$B$25:$AD$46,    MATCH($D171, 'VRE summary'!$B$1:$AD$1, 0), FALSE), 0)</f>
        <v>3480</v>
      </c>
      <c r="F171">
        <f>ROUND( VLOOKUP($B171,$L$5:$M$7, 2, FALSE) * (1+ VLOOKUP($A171,'vomcost mult'!$N$10:$R$32,5, FALSE)), 2)</f>
        <v>2.29</v>
      </c>
      <c r="G171" s="59" t="str">
        <f t="shared" ca="1" si="3"/>
        <v/>
      </c>
    </row>
    <row r="172" spans="1:7">
      <c r="A172" t="s">
        <v>128</v>
      </c>
      <c r="B172" t="s">
        <v>285</v>
      </c>
      <c r="C172" s="19" t="s">
        <v>184</v>
      </c>
      <c r="D172" s="19">
        <v>2030</v>
      </c>
      <c r="E172">
        <f ca="1">ROUND(VLOOKUP($A172,    'VRE summary'!$B$25:$AD$46,    MATCH($D172, 'VRE summary'!$B$1:$AD$1, 0), FALSE), 0)</f>
        <v>1590</v>
      </c>
      <c r="F172">
        <f>ROUND( VLOOKUP($B172,$L$5:$M$7, 2, FALSE) * (1+ VLOOKUP($A172,'vomcost mult'!$N$10:$R$32,5, FALSE)), 2)</f>
        <v>2.3199999999999998</v>
      </c>
      <c r="G172" s="59" t="str">
        <f t="shared" ca="1" si="3"/>
        <v/>
      </c>
    </row>
    <row r="173" spans="1:7">
      <c r="A173" t="s">
        <v>129</v>
      </c>
      <c r="B173" t="s">
        <v>285</v>
      </c>
      <c r="C173" s="19" t="s">
        <v>184</v>
      </c>
      <c r="D173" s="19">
        <v>2030</v>
      </c>
      <c r="E173">
        <f ca="1">ROUND(VLOOKUP($A173,    'VRE summary'!$B$25:$AD$46,    MATCH($D173, 'VRE summary'!$B$1:$AD$1, 0), FALSE), 0)</f>
        <v>3216</v>
      </c>
      <c r="F173">
        <f>ROUND( VLOOKUP($B173,$L$5:$M$7, 2, FALSE) * (1+ VLOOKUP($A173,'vomcost mult'!$N$10:$R$32,5, FALSE)), 2)</f>
        <v>2.27</v>
      </c>
      <c r="G173" s="59" t="str">
        <f t="shared" ca="1" si="3"/>
        <v/>
      </c>
    </row>
    <row r="174" spans="1:7">
      <c r="A174" t="s">
        <v>130</v>
      </c>
      <c r="B174" t="s">
        <v>285</v>
      </c>
      <c r="C174" s="19" t="s">
        <v>184</v>
      </c>
      <c r="D174" s="19">
        <v>2030</v>
      </c>
      <c r="E174">
        <f ca="1">ROUND(VLOOKUP($A174,    'VRE summary'!$B$25:$AD$46,    MATCH($D174, 'VRE summary'!$B$1:$AD$1, 0), FALSE), 0)</f>
        <v>13943</v>
      </c>
      <c r="F174">
        <f>ROUND( VLOOKUP($B174,$L$5:$M$7, 2, FALSE) * (1+ VLOOKUP($A174,'vomcost mult'!$N$10:$R$32,5, FALSE)), 2)</f>
        <v>1.21</v>
      </c>
      <c r="G174" s="59" t="str">
        <f t="shared" ca="1" si="3"/>
        <v/>
      </c>
    </row>
    <row r="175" spans="1:7">
      <c r="A175" t="s">
        <v>131</v>
      </c>
      <c r="B175" t="s">
        <v>285</v>
      </c>
      <c r="C175" s="19" t="s">
        <v>184</v>
      </c>
      <c r="D175" s="19">
        <v>2030</v>
      </c>
      <c r="E175">
        <f ca="1">ROUND(VLOOKUP($A175,    'VRE summary'!$B$25:$AD$46,    MATCH($D175, 'VRE summary'!$B$1:$AD$1, 0), FALSE), 0)</f>
        <v>5289</v>
      </c>
      <c r="F175">
        <f>ROUND( VLOOKUP($B175,$L$5:$M$7, 2, FALSE) * (1+ VLOOKUP($A175,'vomcost mult'!$N$10:$R$32,5, FALSE)), 2)</f>
        <v>2.0699999999999998</v>
      </c>
      <c r="G175" s="59" t="str">
        <f t="shared" ca="1" si="3"/>
        <v/>
      </c>
    </row>
    <row r="176" spans="1:7">
      <c r="A176" t="s">
        <v>132</v>
      </c>
      <c r="B176" t="s">
        <v>285</v>
      </c>
      <c r="C176" s="19" t="s">
        <v>184</v>
      </c>
      <c r="D176" s="19">
        <v>2030</v>
      </c>
      <c r="E176">
        <f ca="1">ROUND(VLOOKUP($A176,    'VRE summary'!$B$25:$AD$46,    MATCH($D176, 'VRE summary'!$B$1:$AD$1, 0), FALSE), 0)</f>
        <v>12231</v>
      </c>
      <c r="F176">
        <f>ROUND( VLOOKUP($B176,$L$5:$M$7, 2, FALSE) * (1+ VLOOKUP($A176,'vomcost mult'!$N$10:$R$32,5, FALSE)), 2)</f>
        <v>2.0499999999999998</v>
      </c>
      <c r="G176" s="59" t="str">
        <f t="shared" ca="1" si="3"/>
        <v/>
      </c>
    </row>
    <row r="177" spans="1:7">
      <c r="A177" t="s">
        <v>133</v>
      </c>
      <c r="B177" t="s">
        <v>285</v>
      </c>
      <c r="C177" s="19" t="s">
        <v>184</v>
      </c>
      <c r="D177" s="19">
        <v>2030</v>
      </c>
      <c r="E177">
        <f ca="1">ROUND(VLOOKUP($A177,    'VRE summary'!$B$25:$AD$46,    MATCH($D177, 'VRE summary'!$B$1:$AD$1, 0), FALSE), 0)</f>
        <v>5714</v>
      </c>
      <c r="F177">
        <f>ROUND( VLOOKUP($B177,$L$5:$M$7, 2, FALSE) * (1+ VLOOKUP($A177,'vomcost mult'!$N$10:$R$32,5, FALSE)), 2)</f>
        <v>2.04</v>
      </c>
      <c r="G177" s="59" t="str">
        <f t="shared" ca="1" si="3"/>
        <v/>
      </c>
    </row>
    <row r="178" spans="1:7">
      <c r="A178" t="s">
        <v>134</v>
      </c>
      <c r="B178" t="s">
        <v>285</v>
      </c>
      <c r="C178" s="19" t="s">
        <v>184</v>
      </c>
      <c r="D178" s="19">
        <v>2030</v>
      </c>
      <c r="E178">
        <f ca="1">ROUND(VLOOKUP($A178,    'VRE summary'!$B$25:$AD$46,    MATCH($D178, 'VRE summary'!$B$1:$AD$1, 0), FALSE), 0)</f>
        <v>3283</v>
      </c>
      <c r="F178">
        <f>ROUND( VLOOKUP($B178,$L$5:$M$7, 2, FALSE) * (1+ VLOOKUP($A178,'vomcost mult'!$N$10:$R$32,5, FALSE)), 2)</f>
        <v>2.02</v>
      </c>
      <c r="G178" s="59" t="str">
        <f t="shared" ca="1" si="3"/>
        <v/>
      </c>
    </row>
    <row r="179" spans="1:7">
      <c r="A179" t="s">
        <v>135</v>
      </c>
      <c r="B179" t="s">
        <v>285</v>
      </c>
      <c r="C179" s="19" t="s">
        <v>184</v>
      </c>
      <c r="D179" s="19">
        <v>2030</v>
      </c>
      <c r="E179">
        <f ca="1">ROUND(VLOOKUP($A179,    'VRE summary'!$B$25:$AD$46,    MATCH($D179, 'VRE summary'!$B$1:$AD$1, 0), FALSE), 0)</f>
        <v>19388</v>
      </c>
      <c r="F179">
        <f>ROUND( VLOOKUP($B179,$L$5:$M$7, 2, FALSE) * (1+ VLOOKUP($A179,'vomcost mult'!$N$10:$R$32,5, FALSE)), 2)</f>
        <v>2.04</v>
      </c>
      <c r="G179" s="59" t="str">
        <f t="shared" ca="1" si="3"/>
        <v/>
      </c>
    </row>
    <row r="180" spans="1:7">
      <c r="A180" s="17" t="s">
        <v>276</v>
      </c>
      <c r="C180" s="19"/>
      <c r="D180" s="19"/>
      <c r="G180" s="59"/>
    </row>
    <row r="181" spans="1:7">
      <c r="A181" t="s">
        <v>111</v>
      </c>
      <c r="B181" t="s">
        <v>286</v>
      </c>
      <c r="C181" s="19" t="s">
        <v>184</v>
      </c>
      <c r="D181" s="19">
        <v>2015</v>
      </c>
      <c r="E181">
        <f ca="1">ROUND(VLOOKUP($A181,    'VRE summary'!$B$48:$AD$69,    MATCH($D181, 'VRE summary'!$B$1:$AD$1, 0), FALSE), 0)</f>
        <v>0</v>
      </c>
      <c r="F181">
        <f>ROUND( VLOOKUP($B181,$L$5:$M$7, 2, FALSE) * (1+ VLOOKUP($A181,'vomcost mult'!$N$10:$R$32,5, FALSE)), 2)</f>
        <v>2.2599999999999998</v>
      </c>
      <c r="G181" s="59" t="str">
        <f t="shared" ref="G181:G244" ca="1" si="4">IF(E181&lt;50, "remove", "")</f>
        <v>remove</v>
      </c>
    </row>
    <row r="182" spans="1:7">
      <c r="A182" t="s">
        <v>114</v>
      </c>
      <c r="B182" t="s">
        <v>286</v>
      </c>
      <c r="C182" s="19" t="s">
        <v>184</v>
      </c>
      <c r="D182" s="19">
        <v>2015</v>
      </c>
      <c r="E182">
        <f ca="1">ROUND(VLOOKUP($A182,    'VRE summary'!$B$48:$AD$69,    MATCH($D182, 'VRE summary'!$B$1:$AD$1, 0), FALSE), 0)</f>
        <v>712</v>
      </c>
      <c r="F182">
        <f>ROUND( VLOOKUP($B182,$L$5:$M$7, 2, FALSE) * (1+ VLOOKUP($A182,'vomcost mult'!$N$10:$R$32,5, FALSE)), 2)</f>
        <v>2.2400000000000002</v>
      </c>
      <c r="G182" s="59" t="str">
        <f t="shared" ca="1" si="4"/>
        <v/>
      </c>
    </row>
    <row r="183" spans="1:7">
      <c r="A183" t="s">
        <v>116</v>
      </c>
      <c r="B183" t="s">
        <v>286</v>
      </c>
      <c r="C183" s="19" t="s">
        <v>184</v>
      </c>
      <c r="D183" s="19">
        <v>2015</v>
      </c>
      <c r="E183">
        <f ca="1">ROUND(VLOOKUP($A183,    'VRE summary'!$B$48:$AD$69,    MATCH($D183, 'VRE summary'!$B$1:$AD$1, 0), FALSE), 0)</f>
        <v>0</v>
      </c>
      <c r="F183">
        <f>ROUND( VLOOKUP($B183,$L$5:$M$7, 2, FALSE) * (1+ VLOOKUP($A183,'vomcost mult'!$N$10:$R$32,5, FALSE)), 2)</f>
        <v>2.91</v>
      </c>
      <c r="G183" s="59" t="str">
        <f t="shared" ca="1" si="4"/>
        <v>remove</v>
      </c>
    </row>
    <row r="184" spans="1:7">
      <c r="A184" t="s">
        <v>117</v>
      </c>
      <c r="B184" t="s">
        <v>286</v>
      </c>
      <c r="C184" s="19" t="s">
        <v>184</v>
      </c>
      <c r="D184" s="19">
        <v>2015</v>
      </c>
      <c r="E184">
        <f ca="1">ROUND(VLOOKUP($A184,    'VRE summary'!$B$48:$AD$69,    MATCH($D184, 'VRE summary'!$B$1:$AD$1, 0), FALSE), 0)</f>
        <v>3295</v>
      </c>
      <c r="F184">
        <f>ROUND( VLOOKUP($B184,$L$5:$M$7, 2, FALSE) * (1+ VLOOKUP($A184,'vomcost mult'!$N$10:$R$32,5, FALSE)), 2)</f>
        <v>2.2200000000000002</v>
      </c>
      <c r="G184" s="59" t="str">
        <f t="shared" ca="1" si="4"/>
        <v/>
      </c>
    </row>
    <row r="185" spans="1:7">
      <c r="A185" t="s">
        <v>118</v>
      </c>
      <c r="B185" t="s">
        <v>286</v>
      </c>
      <c r="C185" s="19" t="s">
        <v>184</v>
      </c>
      <c r="D185" s="19">
        <v>2015</v>
      </c>
      <c r="E185">
        <f ca="1">ROUND(VLOOKUP($A185,    'VRE summary'!$B$48:$AD$69,    MATCH($D185, 'VRE summary'!$B$1:$AD$1, 0), FALSE), 0)</f>
        <v>852</v>
      </c>
      <c r="F185">
        <f>ROUND( VLOOKUP($B185,$L$5:$M$7, 2, FALSE) * (1+ VLOOKUP($A185,'vomcost mult'!$N$10:$R$32,5, FALSE)), 2)</f>
        <v>2.5</v>
      </c>
      <c r="G185" s="59" t="str">
        <f t="shared" ca="1" si="4"/>
        <v/>
      </c>
    </row>
    <row r="186" spans="1:7">
      <c r="A186" t="s">
        <v>119</v>
      </c>
      <c r="B186" t="s">
        <v>286</v>
      </c>
      <c r="C186" s="19" t="s">
        <v>184</v>
      </c>
      <c r="D186" s="19">
        <v>2015</v>
      </c>
      <c r="E186">
        <f ca="1">ROUND(VLOOKUP($A186,    'VRE summary'!$B$48:$AD$69,    MATCH($D186, 'VRE summary'!$B$1:$AD$1, 0), FALSE), 0)</f>
        <v>419</v>
      </c>
      <c r="F186">
        <f>ROUND( VLOOKUP($B186,$L$5:$M$7, 2, FALSE) * (1+ VLOOKUP($A186,'vomcost mult'!$N$10:$R$32,5, FALSE)), 2)</f>
        <v>2.48</v>
      </c>
      <c r="G186" s="59" t="str">
        <f t="shared" ca="1" si="4"/>
        <v/>
      </c>
    </row>
    <row r="187" spans="1:7">
      <c r="A187" t="s">
        <v>120</v>
      </c>
      <c r="B187" t="s">
        <v>286</v>
      </c>
      <c r="C187" s="19" t="s">
        <v>184</v>
      </c>
      <c r="D187" s="19">
        <v>2015</v>
      </c>
      <c r="E187">
        <f ca="1">ROUND(VLOOKUP($A187,    'VRE summary'!$B$48:$AD$69,    MATCH($D187, 'VRE summary'!$B$1:$AD$1, 0), FALSE), 0)</f>
        <v>0</v>
      </c>
      <c r="F187">
        <f>ROUND( VLOOKUP($B187,$L$5:$M$7, 2, FALSE) * (1+ VLOOKUP($A187,'vomcost mult'!$N$10:$R$32,5, FALSE)), 2)</f>
        <v>1.59</v>
      </c>
      <c r="G187" s="59" t="str">
        <f t="shared" ca="1" si="4"/>
        <v>remove</v>
      </c>
    </row>
    <row r="188" spans="1:7">
      <c r="A188" t="s">
        <v>121</v>
      </c>
      <c r="B188" t="s">
        <v>286</v>
      </c>
      <c r="C188" s="19" t="s">
        <v>184</v>
      </c>
      <c r="D188" s="19">
        <v>2015</v>
      </c>
      <c r="E188">
        <f ca="1">ROUND(VLOOKUP($A188,    'VRE summary'!$B$48:$AD$69,    MATCH($D188, 'VRE summary'!$B$1:$AD$1, 0), FALSE), 0)</f>
        <v>5</v>
      </c>
      <c r="F188">
        <f>ROUND( VLOOKUP($B188,$L$5:$M$7, 2, FALSE) * (1+ VLOOKUP($A188,'vomcost mult'!$N$10:$R$32,5, FALSE)), 2)</f>
        <v>1.83</v>
      </c>
      <c r="G188" s="59" t="str">
        <f t="shared" ca="1" si="4"/>
        <v>remove</v>
      </c>
    </row>
    <row r="189" spans="1:7">
      <c r="A189" t="s">
        <v>122</v>
      </c>
      <c r="B189" t="s">
        <v>286</v>
      </c>
      <c r="C189" s="19" t="s">
        <v>184</v>
      </c>
      <c r="D189" s="19">
        <v>2015</v>
      </c>
      <c r="E189">
        <f ca="1">ROUND(VLOOKUP($A189,    'VRE summary'!$B$48:$AD$69,    MATCH($D189, 'VRE summary'!$B$1:$AD$1, 0), FALSE), 0)</f>
        <v>28</v>
      </c>
      <c r="F189">
        <f>ROUND( VLOOKUP($B189,$L$5:$M$7, 2, FALSE) * (1+ VLOOKUP($A189,'vomcost mult'!$N$10:$R$32,5, FALSE)), 2)</f>
        <v>2.2200000000000002</v>
      </c>
      <c r="G189" s="59" t="str">
        <f t="shared" ca="1" si="4"/>
        <v>remove</v>
      </c>
    </row>
    <row r="190" spans="1:7">
      <c r="A190" t="s">
        <v>123</v>
      </c>
      <c r="B190" t="s">
        <v>286</v>
      </c>
      <c r="C190" s="19" t="s">
        <v>184</v>
      </c>
      <c r="D190" s="19">
        <v>2015</v>
      </c>
      <c r="E190">
        <f ca="1">ROUND(VLOOKUP($A190,    'VRE summary'!$B$48:$AD$69,    MATCH($D190, 'VRE summary'!$B$1:$AD$1, 0), FALSE), 0)</f>
        <v>0</v>
      </c>
      <c r="F190">
        <f>ROUND( VLOOKUP($B190,$L$5:$M$7, 2, FALSE) * (1+ VLOOKUP($A190,'vomcost mult'!$N$10:$R$32,5, FALSE)), 2)</f>
        <v>2.11</v>
      </c>
      <c r="G190" s="59" t="str">
        <f t="shared" ca="1" si="4"/>
        <v>remove</v>
      </c>
    </row>
    <row r="191" spans="1:7">
      <c r="A191" t="s">
        <v>124</v>
      </c>
      <c r="B191" t="s">
        <v>286</v>
      </c>
      <c r="C191" s="19" t="s">
        <v>184</v>
      </c>
      <c r="D191" s="19">
        <v>2015</v>
      </c>
      <c r="E191">
        <f ca="1">ROUND(VLOOKUP($A191,    'VRE summary'!$B$48:$AD$69,    MATCH($D191, 'VRE summary'!$B$1:$AD$1, 0), FALSE), 0)</f>
        <v>0</v>
      </c>
      <c r="F191">
        <f>ROUND( VLOOKUP($B191,$L$5:$M$7, 2, FALSE) * (1+ VLOOKUP($A191,'vomcost mult'!$N$10:$R$32,5, FALSE)), 2)</f>
        <v>1.53</v>
      </c>
      <c r="G191" s="59" t="str">
        <f t="shared" ca="1" si="4"/>
        <v>remove</v>
      </c>
    </row>
    <row r="192" spans="1:7">
      <c r="A192" t="s">
        <v>125</v>
      </c>
      <c r="B192" t="s">
        <v>286</v>
      </c>
      <c r="C192" s="19" t="s">
        <v>184</v>
      </c>
      <c r="D192" s="19">
        <v>2015</v>
      </c>
      <c r="E192">
        <f ca="1">ROUND(VLOOKUP($A192,    'VRE summary'!$B$48:$AD$69,    MATCH($D192, 'VRE summary'!$B$1:$AD$1, 0), FALSE), 0)</f>
        <v>0</v>
      </c>
      <c r="F192">
        <f>ROUND( VLOOKUP($B192,$L$5:$M$7, 2, FALSE) * (1+ VLOOKUP($A192,'vomcost mult'!$N$10:$R$32,5, FALSE)), 2)</f>
        <v>1.4</v>
      </c>
      <c r="G192" s="59" t="str">
        <f t="shared" ca="1" si="4"/>
        <v>remove</v>
      </c>
    </row>
    <row r="193" spans="1:7">
      <c r="A193" t="s">
        <v>126</v>
      </c>
      <c r="B193" t="s">
        <v>286</v>
      </c>
      <c r="C193" s="19" t="s">
        <v>184</v>
      </c>
      <c r="D193" s="19">
        <v>2015</v>
      </c>
      <c r="E193">
        <f ca="1">ROUND(VLOOKUP($A193,    'VRE summary'!$B$48:$AD$69,    MATCH($D193, 'VRE summary'!$B$1:$AD$1, 0), FALSE), 0)</f>
        <v>357</v>
      </c>
      <c r="F193">
        <f>ROUND( VLOOKUP($B193,$L$5:$M$7, 2, FALSE) * (1+ VLOOKUP($A193,'vomcost mult'!$N$10:$R$32,5, FALSE)), 2)</f>
        <v>2.36</v>
      </c>
      <c r="G193" s="59" t="str">
        <f t="shared" ca="1" si="4"/>
        <v/>
      </c>
    </row>
    <row r="194" spans="1:7">
      <c r="A194" t="s">
        <v>127</v>
      </c>
      <c r="B194" t="s">
        <v>286</v>
      </c>
      <c r="C194" s="19" t="s">
        <v>184</v>
      </c>
      <c r="D194" s="19">
        <v>2015</v>
      </c>
      <c r="E194">
        <f ca="1">ROUND(VLOOKUP($A194,    'VRE summary'!$B$48:$AD$69,    MATCH($D194, 'VRE summary'!$B$1:$AD$1, 0), FALSE), 0)</f>
        <v>0</v>
      </c>
      <c r="F194">
        <f>ROUND( VLOOKUP($B194,$L$5:$M$7, 2, FALSE) * (1+ VLOOKUP($A194,'vomcost mult'!$N$10:$R$32,5, FALSE)), 2)</f>
        <v>2.62</v>
      </c>
      <c r="G194" s="59" t="str">
        <f t="shared" ca="1" si="4"/>
        <v>remove</v>
      </c>
    </row>
    <row r="195" spans="1:7">
      <c r="A195" t="s">
        <v>128</v>
      </c>
      <c r="B195" t="s">
        <v>286</v>
      </c>
      <c r="C195" s="19" t="s">
        <v>184</v>
      </c>
      <c r="D195" s="19">
        <v>2015</v>
      </c>
      <c r="E195">
        <f ca="1">ROUND(VLOOKUP($A195,    'VRE summary'!$B$48:$AD$69,    MATCH($D195, 'VRE summary'!$B$1:$AD$1, 0), FALSE), 0)</f>
        <v>0</v>
      </c>
      <c r="F195">
        <f>ROUND( VLOOKUP($B195,$L$5:$M$7, 2, FALSE) * (1+ VLOOKUP($A195,'vomcost mult'!$N$10:$R$32,5, FALSE)), 2)</f>
        <v>2.65</v>
      </c>
      <c r="G195" s="59" t="str">
        <f t="shared" ca="1" si="4"/>
        <v>remove</v>
      </c>
    </row>
    <row r="196" spans="1:7">
      <c r="A196" t="s">
        <v>129</v>
      </c>
      <c r="B196" t="s">
        <v>286</v>
      </c>
      <c r="C196" s="19" t="s">
        <v>184</v>
      </c>
      <c r="D196" s="19">
        <v>2015</v>
      </c>
      <c r="E196">
        <f ca="1">ROUND(VLOOKUP($A196,    'VRE summary'!$B$48:$AD$69,    MATCH($D196, 'VRE summary'!$B$1:$AD$1, 0), FALSE), 0)</f>
        <v>6</v>
      </c>
      <c r="F196">
        <f>ROUND( VLOOKUP($B196,$L$5:$M$7, 2, FALSE) * (1+ VLOOKUP($A196,'vomcost mult'!$N$10:$R$32,5, FALSE)), 2)</f>
        <v>2.59</v>
      </c>
      <c r="G196" s="59" t="str">
        <f t="shared" ca="1" si="4"/>
        <v>remove</v>
      </c>
    </row>
    <row r="197" spans="1:7">
      <c r="A197" t="s">
        <v>130</v>
      </c>
      <c r="B197" t="s">
        <v>286</v>
      </c>
      <c r="C197" s="19" t="s">
        <v>184</v>
      </c>
      <c r="D197" s="19">
        <v>2015</v>
      </c>
      <c r="E197">
        <f ca="1">ROUND(VLOOKUP($A197,    'VRE summary'!$B$48:$AD$69,    MATCH($D197, 'VRE summary'!$B$1:$AD$1, 0), FALSE), 0)</f>
        <v>0</v>
      </c>
      <c r="F197">
        <f>ROUND( VLOOKUP($B197,$L$5:$M$7, 2, FALSE) * (1+ VLOOKUP($A197,'vomcost mult'!$N$10:$R$32,5, FALSE)), 2)</f>
        <v>1.38</v>
      </c>
      <c r="G197" s="59" t="str">
        <f t="shared" ca="1" si="4"/>
        <v>remove</v>
      </c>
    </row>
    <row r="198" spans="1:7">
      <c r="A198" t="s">
        <v>131</v>
      </c>
      <c r="B198" t="s">
        <v>286</v>
      </c>
      <c r="C198" s="19" t="s">
        <v>184</v>
      </c>
      <c r="D198" s="19">
        <v>2015</v>
      </c>
      <c r="E198">
        <f ca="1">ROUND(VLOOKUP($A198,    'VRE summary'!$B$48:$AD$69,    MATCH($D198, 'VRE summary'!$B$1:$AD$1, 0), FALSE), 0)</f>
        <v>0</v>
      </c>
      <c r="F198">
        <f>ROUND( VLOOKUP($B198,$L$5:$M$7, 2, FALSE) * (1+ VLOOKUP($A198,'vomcost mult'!$N$10:$R$32,5, FALSE)), 2)</f>
        <v>2.36</v>
      </c>
      <c r="G198" s="59" t="str">
        <f t="shared" ca="1" si="4"/>
        <v>remove</v>
      </c>
    </row>
    <row r="199" spans="1:7">
      <c r="A199" t="s">
        <v>132</v>
      </c>
      <c r="B199" t="s">
        <v>286</v>
      </c>
      <c r="C199" s="19" t="s">
        <v>184</v>
      </c>
      <c r="D199" s="19">
        <v>2015</v>
      </c>
      <c r="E199">
        <f ca="1">ROUND(VLOOKUP($A199,    'VRE summary'!$B$48:$AD$69,    MATCH($D199, 'VRE summary'!$B$1:$AD$1, 0), FALSE), 0)</f>
        <v>0</v>
      </c>
      <c r="F199">
        <f>ROUND( VLOOKUP($B199,$L$5:$M$7, 2, FALSE) * (1+ VLOOKUP($A199,'vomcost mult'!$N$10:$R$32,5, FALSE)), 2)</f>
        <v>2.35</v>
      </c>
      <c r="G199" s="59" t="str">
        <f t="shared" ca="1" si="4"/>
        <v>remove</v>
      </c>
    </row>
    <row r="200" spans="1:7">
      <c r="A200" t="s">
        <v>133</v>
      </c>
      <c r="B200" t="s">
        <v>286</v>
      </c>
      <c r="C200" s="19" t="s">
        <v>184</v>
      </c>
      <c r="D200" s="19">
        <v>2015</v>
      </c>
      <c r="E200">
        <f ca="1">ROUND(VLOOKUP($A200,    'VRE summary'!$B$48:$AD$69,    MATCH($D200, 'VRE summary'!$B$1:$AD$1, 0), FALSE), 0)</f>
        <v>0</v>
      </c>
      <c r="F200">
        <f>ROUND( VLOOKUP($B200,$L$5:$M$7, 2, FALSE) * (1+ VLOOKUP($A200,'vomcost mult'!$N$10:$R$32,5, FALSE)), 2)</f>
        <v>2.33</v>
      </c>
      <c r="G200" s="59" t="str">
        <f t="shared" ca="1" si="4"/>
        <v>remove</v>
      </c>
    </row>
    <row r="201" spans="1:7">
      <c r="A201" t="s">
        <v>134</v>
      </c>
      <c r="B201" t="s">
        <v>286</v>
      </c>
      <c r="C201" s="19" t="s">
        <v>184</v>
      </c>
      <c r="D201" s="19">
        <v>2015</v>
      </c>
      <c r="E201">
        <f ca="1">ROUND(VLOOKUP($A201,    'VRE summary'!$B$48:$AD$69,    MATCH($D201, 'VRE summary'!$B$1:$AD$1, 0), FALSE), 0)</f>
        <v>202</v>
      </c>
      <c r="F201">
        <f>ROUND( VLOOKUP($B201,$L$5:$M$7, 2, FALSE) * (1+ VLOOKUP($A201,'vomcost mult'!$N$10:$R$32,5, FALSE)), 2)</f>
        <v>2.31</v>
      </c>
      <c r="G201" s="59" t="str">
        <f t="shared" ca="1" si="4"/>
        <v/>
      </c>
    </row>
    <row r="202" spans="1:7">
      <c r="A202" t="s">
        <v>135</v>
      </c>
      <c r="B202" t="s">
        <v>286</v>
      </c>
      <c r="C202" s="19" t="s">
        <v>184</v>
      </c>
      <c r="D202" s="19">
        <v>2015</v>
      </c>
      <c r="E202">
        <f ca="1">ROUND(VLOOKUP($A202,    'VRE summary'!$B$48:$AD$69,    MATCH($D202, 'VRE summary'!$B$1:$AD$1, 0), FALSE), 0)</f>
        <v>5105</v>
      </c>
      <c r="F202">
        <f>ROUND( VLOOKUP($B202,$L$5:$M$7, 2, FALSE) * (1+ VLOOKUP($A202,'vomcost mult'!$N$10:$R$32,5, FALSE)), 2)</f>
        <v>2.33</v>
      </c>
      <c r="G202" s="59" t="str">
        <f t="shared" ca="1" si="4"/>
        <v/>
      </c>
    </row>
    <row r="203" spans="1:7">
      <c r="A203" t="s">
        <v>111</v>
      </c>
      <c r="B203" t="s">
        <v>286</v>
      </c>
      <c r="C203" s="19" t="s">
        <v>184</v>
      </c>
      <c r="D203" s="19">
        <v>2020</v>
      </c>
      <c r="E203">
        <f ca="1">ROUND(VLOOKUP($A203,    'VRE summary'!$B$48:$AD$69,    MATCH($D203, 'VRE summary'!$B$1:$AD$1, 0), FALSE), 0)</f>
        <v>0</v>
      </c>
      <c r="F203">
        <f>ROUND( VLOOKUP($B203,$L$5:$M$7, 2, FALSE) * (1+ VLOOKUP($A203,'vomcost mult'!$N$10:$R$32,5, FALSE)), 2)</f>
        <v>2.2599999999999998</v>
      </c>
      <c r="G203" s="59" t="str">
        <f t="shared" ca="1" si="4"/>
        <v>remove</v>
      </c>
    </row>
    <row r="204" spans="1:7">
      <c r="A204" t="s">
        <v>114</v>
      </c>
      <c r="B204" t="s">
        <v>286</v>
      </c>
      <c r="C204" s="19" t="s">
        <v>184</v>
      </c>
      <c r="D204" s="19">
        <v>2020</v>
      </c>
      <c r="E204">
        <f ca="1">ROUND(VLOOKUP($A204,    'VRE summary'!$B$48:$AD$69,    MATCH($D204, 'VRE summary'!$B$1:$AD$1, 0), FALSE), 0)</f>
        <v>2262</v>
      </c>
      <c r="F204">
        <f>ROUND( VLOOKUP($B204,$L$5:$M$7, 2, FALSE) * (1+ VLOOKUP($A204,'vomcost mult'!$N$10:$R$32,5, FALSE)), 2)</f>
        <v>2.2400000000000002</v>
      </c>
      <c r="G204" s="59" t="str">
        <f t="shared" ca="1" si="4"/>
        <v/>
      </c>
    </row>
    <row r="205" spans="1:7">
      <c r="A205" t="s">
        <v>116</v>
      </c>
      <c r="B205" t="s">
        <v>286</v>
      </c>
      <c r="C205" s="19" t="s">
        <v>184</v>
      </c>
      <c r="D205" s="19">
        <v>2020</v>
      </c>
      <c r="E205">
        <f ca="1">ROUND(VLOOKUP($A205,    'VRE summary'!$B$48:$AD$69,    MATCH($D205, 'VRE summary'!$B$1:$AD$1, 0), FALSE), 0)</f>
        <v>0</v>
      </c>
      <c r="F205">
        <f>ROUND( VLOOKUP($B205,$L$5:$M$7, 2, FALSE) * (1+ VLOOKUP($A205,'vomcost mult'!$N$10:$R$32,5, FALSE)), 2)</f>
        <v>2.91</v>
      </c>
      <c r="G205" s="59" t="str">
        <f t="shared" ca="1" si="4"/>
        <v>remove</v>
      </c>
    </row>
    <row r="206" spans="1:7">
      <c r="A206" t="s">
        <v>117</v>
      </c>
      <c r="B206" t="s">
        <v>286</v>
      </c>
      <c r="C206" s="19" t="s">
        <v>184</v>
      </c>
      <c r="D206" s="19">
        <v>2020</v>
      </c>
      <c r="E206">
        <f ca="1">ROUND(VLOOKUP($A206,    'VRE summary'!$B$48:$AD$69,    MATCH($D206, 'VRE summary'!$B$1:$AD$1, 0), FALSE), 0)</f>
        <v>7774</v>
      </c>
      <c r="F206">
        <f>ROUND( VLOOKUP($B206,$L$5:$M$7, 2, FALSE) * (1+ VLOOKUP($A206,'vomcost mult'!$N$10:$R$32,5, FALSE)), 2)</f>
        <v>2.2200000000000002</v>
      </c>
      <c r="G206" s="59" t="str">
        <f t="shared" ca="1" si="4"/>
        <v/>
      </c>
    </row>
    <row r="207" spans="1:7">
      <c r="A207" t="s">
        <v>118</v>
      </c>
      <c r="B207" t="s">
        <v>286</v>
      </c>
      <c r="C207" s="19" t="s">
        <v>184</v>
      </c>
      <c r="D207" s="19">
        <v>2020</v>
      </c>
      <c r="E207">
        <f ca="1">ROUND(VLOOKUP($A207,    'VRE summary'!$B$48:$AD$69,    MATCH($D207, 'VRE summary'!$B$1:$AD$1, 0), FALSE), 0)</f>
        <v>1140</v>
      </c>
      <c r="F207">
        <f>ROUND( VLOOKUP($B207,$L$5:$M$7, 2, FALSE) * (1+ VLOOKUP($A207,'vomcost mult'!$N$10:$R$32,5, FALSE)), 2)</f>
        <v>2.5</v>
      </c>
      <c r="G207" s="59" t="str">
        <f t="shared" ca="1" si="4"/>
        <v/>
      </c>
    </row>
    <row r="208" spans="1:7">
      <c r="A208" t="s">
        <v>119</v>
      </c>
      <c r="B208" t="s">
        <v>286</v>
      </c>
      <c r="C208" s="19" t="s">
        <v>184</v>
      </c>
      <c r="D208" s="19">
        <v>2020</v>
      </c>
      <c r="E208">
        <f ca="1">ROUND(VLOOKUP($A208,    'VRE summary'!$B$48:$AD$69,    MATCH($D208, 'VRE summary'!$B$1:$AD$1, 0), FALSE), 0)</f>
        <v>561</v>
      </c>
      <c r="F208">
        <f>ROUND( VLOOKUP($B208,$L$5:$M$7, 2, FALSE) * (1+ VLOOKUP($A208,'vomcost mult'!$N$10:$R$32,5, FALSE)), 2)</f>
        <v>2.48</v>
      </c>
      <c r="G208" s="59" t="str">
        <f t="shared" ca="1" si="4"/>
        <v/>
      </c>
    </row>
    <row r="209" spans="1:7">
      <c r="A209" t="s">
        <v>120</v>
      </c>
      <c r="B209" t="s">
        <v>286</v>
      </c>
      <c r="C209" s="19" t="s">
        <v>184</v>
      </c>
      <c r="D209" s="19">
        <v>2020</v>
      </c>
      <c r="E209">
        <f ca="1">ROUND(VLOOKUP($A209,    'VRE summary'!$B$48:$AD$69,    MATCH($D209, 'VRE summary'!$B$1:$AD$1, 0), FALSE), 0)</f>
        <v>0</v>
      </c>
      <c r="F209">
        <f>ROUND( VLOOKUP($B209,$L$5:$M$7, 2, FALSE) * (1+ VLOOKUP($A209,'vomcost mult'!$N$10:$R$32,5, FALSE)), 2)</f>
        <v>1.59</v>
      </c>
      <c r="G209" s="59" t="str">
        <f t="shared" ca="1" si="4"/>
        <v>remove</v>
      </c>
    </row>
    <row r="210" spans="1:7">
      <c r="A210" t="s">
        <v>121</v>
      </c>
      <c r="B210" t="s">
        <v>286</v>
      </c>
      <c r="C210" s="19" t="s">
        <v>184</v>
      </c>
      <c r="D210" s="19">
        <v>2020</v>
      </c>
      <c r="E210">
        <f ca="1">ROUND(VLOOKUP($A210,    'VRE summary'!$B$48:$AD$69,    MATCH($D210, 'VRE summary'!$B$1:$AD$1, 0), FALSE), 0)</f>
        <v>0</v>
      </c>
      <c r="F210">
        <f>ROUND( VLOOKUP($B210,$L$5:$M$7, 2, FALSE) * (1+ VLOOKUP($A210,'vomcost mult'!$N$10:$R$32,5, FALSE)), 2)</f>
        <v>1.83</v>
      </c>
      <c r="G210" s="59" t="str">
        <f t="shared" ca="1" si="4"/>
        <v>remove</v>
      </c>
    </row>
    <row r="211" spans="1:7">
      <c r="A211" t="s">
        <v>122</v>
      </c>
      <c r="B211" t="s">
        <v>286</v>
      </c>
      <c r="C211" s="19" t="s">
        <v>184</v>
      </c>
      <c r="D211" s="19">
        <v>2020</v>
      </c>
      <c r="E211">
        <f ca="1">ROUND(VLOOKUP($A211,    'VRE summary'!$B$48:$AD$69,    MATCH($D211, 'VRE summary'!$B$1:$AD$1, 0), FALSE), 0)</f>
        <v>73</v>
      </c>
      <c r="F211">
        <f>ROUND( VLOOKUP($B211,$L$5:$M$7, 2, FALSE) * (1+ VLOOKUP($A211,'vomcost mult'!$N$10:$R$32,5, FALSE)), 2)</f>
        <v>2.2200000000000002</v>
      </c>
      <c r="G211" s="59" t="str">
        <f t="shared" ca="1" si="4"/>
        <v/>
      </c>
    </row>
    <row r="212" spans="1:7">
      <c r="A212" t="s">
        <v>123</v>
      </c>
      <c r="B212" t="s">
        <v>286</v>
      </c>
      <c r="C212" s="19" t="s">
        <v>184</v>
      </c>
      <c r="D212" s="19">
        <v>2020</v>
      </c>
      <c r="E212">
        <f ca="1">ROUND(VLOOKUP($A212,    'VRE summary'!$B$48:$AD$69,    MATCH($D212, 'VRE summary'!$B$1:$AD$1, 0), FALSE), 0)</f>
        <v>0</v>
      </c>
      <c r="F212">
        <f>ROUND( VLOOKUP($B212,$L$5:$M$7, 2, FALSE) * (1+ VLOOKUP($A212,'vomcost mult'!$N$10:$R$32,5, FALSE)), 2)</f>
        <v>2.11</v>
      </c>
      <c r="G212" s="59" t="str">
        <f t="shared" ca="1" si="4"/>
        <v>remove</v>
      </c>
    </row>
    <row r="213" spans="1:7">
      <c r="A213" t="s">
        <v>124</v>
      </c>
      <c r="B213" t="s">
        <v>286</v>
      </c>
      <c r="C213" s="19" t="s">
        <v>184</v>
      </c>
      <c r="D213" s="19">
        <v>2020</v>
      </c>
      <c r="E213">
        <f ca="1">ROUND(VLOOKUP($A213,    'VRE summary'!$B$48:$AD$69,    MATCH($D213, 'VRE summary'!$B$1:$AD$1, 0), FALSE), 0)</f>
        <v>0</v>
      </c>
      <c r="F213">
        <f>ROUND( VLOOKUP($B213,$L$5:$M$7, 2, FALSE) * (1+ VLOOKUP($A213,'vomcost mult'!$N$10:$R$32,5, FALSE)), 2)</f>
        <v>1.53</v>
      </c>
      <c r="G213" s="59" t="str">
        <f t="shared" ca="1" si="4"/>
        <v>remove</v>
      </c>
    </row>
    <row r="214" spans="1:7">
      <c r="A214" t="s">
        <v>125</v>
      </c>
      <c r="B214" t="s">
        <v>286</v>
      </c>
      <c r="C214" s="19" t="s">
        <v>184</v>
      </c>
      <c r="D214" s="19">
        <v>2020</v>
      </c>
      <c r="E214">
        <f ca="1">ROUND(VLOOKUP($A214,    'VRE summary'!$B$48:$AD$69,    MATCH($D214, 'VRE summary'!$B$1:$AD$1, 0), FALSE), 0)</f>
        <v>0</v>
      </c>
      <c r="F214">
        <f>ROUND( VLOOKUP($B214,$L$5:$M$7, 2, FALSE) * (1+ VLOOKUP($A214,'vomcost mult'!$N$10:$R$32,5, FALSE)), 2)</f>
        <v>1.4</v>
      </c>
      <c r="G214" s="59" t="str">
        <f t="shared" ca="1" si="4"/>
        <v>remove</v>
      </c>
    </row>
    <row r="215" spans="1:7">
      <c r="A215" t="s">
        <v>126</v>
      </c>
      <c r="B215" t="s">
        <v>286</v>
      </c>
      <c r="C215" s="19" t="s">
        <v>184</v>
      </c>
      <c r="D215" s="19">
        <v>2020</v>
      </c>
      <c r="E215">
        <f ca="1">ROUND(VLOOKUP($A215,    'VRE summary'!$B$48:$AD$69,    MATCH($D215, 'VRE summary'!$B$1:$AD$1, 0), FALSE), 0)</f>
        <v>2460</v>
      </c>
      <c r="F215">
        <f>ROUND( VLOOKUP($B215,$L$5:$M$7, 2, FALSE) * (1+ VLOOKUP($A215,'vomcost mult'!$N$10:$R$32,5, FALSE)), 2)</f>
        <v>2.36</v>
      </c>
      <c r="G215" s="59" t="str">
        <f t="shared" ca="1" si="4"/>
        <v/>
      </c>
    </row>
    <row r="216" spans="1:7">
      <c r="A216" t="s">
        <v>127</v>
      </c>
      <c r="B216" t="s">
        <v>286</v>
      </c>
      <c r="C216" s="19" t="s">
        <v>184</v>
      </c>
      <c r="D216" s="19">
        <v>2020</v>
      </c>
      <c r="E216">
        <f ca="1">ROUND(VLOOKUP($A216,    'VRE summary'!$B$48:$AD$69,    MATCH($D216, 'VRE summary'!$B$1:$AD$1, 0), FALSE), 0)</f>
        <v>0</v>
      </c>
      <c r="F216">
        <f>ROUND( VLOOKUP($B216,$L$5:$M$7, 2, FALSE) * (1+ VLOOKUP($A216,'vomcost mult'!$N$10:$R$32,5, FALSE)), 2)</f>
        <v>2.62</v>
      </c>
      <c r="G216" s="59" t="str">
        <f t="shared" ca="1" si="4"/>
        <v>remove</v>
      </c>
    </row>
    <row r="217" spans="1:7">
      <c r="A217" t="s">
        <v>128</v>
      </c>
      <c r="B217" t="s">
        <v>286</v>
      </c>
      <c r="C217" s="19" t="s">
        <v>184</v>
      </c>
      <c r="D217" s="19">
        <v>2020</v>
      </c>
      <c r="E217">
        <f ca="1">ROUND(VLOOKUP($A217,    'VRE summary'!$B$48:$AD$69,    MATCH($D217, 'VRE summary'!$B$1:$AD$1, 0), FALSE), 0)</f>
        <v>0</v>
      </c>
      <c r="F217">
        <f>ROUND( VLOOKUP($B217,$L$5:$M$7, 2, FALSE) * (1+ VLOOKUP($A217,'vomcost mult'!$N$10:$R$32,5, FALSE)), 2)</f>
        <v>2.65</v>
      </c>
      <c r="G217" s="59" t="str">
        <f t="shared" ca="1" si="4"/>
        <v>remove</v>
      </c>
    </row>
    <row r="218" spans="1:7">
      <c r="A218" t="s">
        <v>129</v>
      </c>
      <c r="B218" t="s">
        <v>286</v>
      </c>
      <c r="C218" s="19" t="s">
        <v>184</v>
      </c>
      <c r="D218" s="19">
        <v>2020</v>
      </c>
      <c r="E218">
        <f ca="1">ROUND(VLOOKUP($A218,    'VRE summary'!$B$48:$AD$69,    MATCH($D218, 'VRE summary'!$B$1:$AD$1, 0), FALSE), 0)</f>
        <v>6</v>
      </c>
      <c r="F218">
        <f>ROUND( VLOOKUP($B218,$L$5:$M$7, 2, FALSE) * (1+ VLOOKUP($A218,'vomcost mult'!$N$10:$R$32,5, FALSE)), 2)</f>
        <v>2.59</v>
      </c>
      <c r="G218" s="59" t="str">
        <f t="shared" ca="1" si="4"/>
        <v>remove</v>
      </c>
    </row>
    <row r="219" spans="1:7">
      <c r="A219" t="s">
        <v>130</v>
      </c>
      <c r="B219" t="s">
        <v>286</v>
      </c>
      <c r="C219" s="19" t="s">
        <v>184</v>
      </c>
      <c r="D219" s="19">
        <v>2020</v>
      </c>
      <c r="E219">
        <f ca="1">ROUND(VLOOKUP($A219,    'VRE summary'!$B$48:$AD$69,    MATCH($D219, 'VRE summary'!$B$1:$AD$1, 0), FALSE), 0)</f>
        <v>0</v>
      </c>
      <c r="F219">
        <f>ROUND( VLOOKUP($B219,$L$5:$M$7, 2, FALSE) * (1+ VLOOKUP($A219,'vomcost mult'!$N$10:$R$32,5, FALSE)), 2)</f>
        <v>1.38</v>
      </c>
      <c r="G219" s="59" t="str">
        <f t="shared" ca="1" si="4"/>
        <v>remove</v>
      </c>
    </row>
    <row r="220" spans="1:7">
      <c r="A220" t="s">
        <v>131</v>
      </c>
      <c r="B220" t="s">
        <v>286</v>
      </c>
      <c r="C220" s="19" t="s">
        <v>184</v>
      </c>
      <c r="D220" s="19">
        <v>2020</v>
      </c>
      <c r="E220">
        <f ca="1">ROUND(VLOOKUP($A220,    'VRE summary'!$B$48:$AD$69,    MATCH($D220, 'VRE summary'!$B$1:$AD$1, 0), FALSE), 0)</f>
        <v>0</v>
      </c>
      <c r="F220">
        <f>ROUND( VLOOKUP($B220,$L$5:$M$7, 2, FALSE) * (1+ VLOOKUP($A220,'vomcost mult'!$N$10:$R$32,5, FALSE)), 2)</f>
        <v>2.36</v>
      </c>
      <c r="G220" s="59" t="str">
        <f t="shared" ca="1" si="4"/>
        <v>remove</v>
      </c>
    </row>
    <row r="221" spans="1:7">
      <c r="A221" t="s">
        <v>132</v>
      </c>
      <c r="B221" t="s">
        <v>286</v>
      </c>
      <c r="C221" s="19" t="s">
        <v>184</v>
      </c>
      <c r="D221" s="19">
        <v>2020</v>
      </c>
      <c r="E221">
        <f ca="1">ROUND(VLOOKUP($A221,    'VRE summary'!$B$48:$AD$69,    MATCH($D221, 'VRE summary'!$B$1:$AD$1, 0), FALSE), 0)</f>
        <v>0</v>
      </c>
      <c r="F221">
        <f>ROUND( VLOOKUP($B221,$L$5:$M$7, 2, FALSE) * (1+ VLOOKUP($A221,'vomcost mult'!$N$10:$R$32,5, FALSE)), 2)</f>
        <v>2.35</v>
      </c>
      <c r="G221" s="59" t="str">
        <f t="shared" ca="1" si="4"/>
        <v>remove</v>
      </c>
    </row>
    <row r="222" spans="1:7">
      <c r="A222" t="s">
        <v>133</v>
      </c>
      <c r="B222" t="s">
        <v>286</v>
      </c>
      <c r="C222" s="19" t="s">
        <v>184</v>
      </c>
      <c r="D222" s="19">
        <v>2020</v>
      </c>
      <c r="E222">
        <f ca="1">ROUND(VLOOKUP($A222,    'VRE summary'!$B$48:$AD$69,    MATCH($D222, 'VRE summary'!$B$1:$AD$1, 0), FALSE), 0)</f>
        <v>0</v>
      </c>
      <c r="F222">
        <f>ROUND( VLOOKUP($B222,$L$5:$M$7, 2, FALSE) * (1+ VLOOKUP($A222,'vomcost mult'!$N$10:$R$32,5, FALSE)), 2)</f>
        <v>2.33</v>
      </c>
      <c r="G222" s="59" t="str">
        <f t="shared" ca="1" si="4"/>
        <v>remove</v>
      </c>
    </row>
    <row r="223" spans="1:7">
      <c r="A223" t="s">
        <v>134</v>
      </c>
      <c r="B223" t="s">
        <v>286</v>
      </c>
      <c r="C223" s="19" t="s">
        <v>184</v>
      </c>
      <c r="D223" s="19">
        <v>2020</v>
      </c>
      <c r="E223">
        <f ca="1">ROUND(VLOOKUP($A223,    'VRE summary'!$B$48:$AD$69,    MATCH($D223, 'VRE summary'!$B$1:$AD$1, 0), FALSE), 0)</f>
        <v>203</v>
      </c>
      <c r="F223">
        <f>ROUND( VLOOKUP($B223,$L$5:$M$7, 2, FALSE) * (1+ VLOOKUP($A223,'vomcost mult'!$N$10:$R$32,5, FALSE)), 2)</f>
        <v>2.31</v>
      </c>
      <c r="G223" s="59" t="str">
        <f t="shared" ca="1" si="4"/>
        <v/>
      </c>
    </row>
    <row r="224" spans="1:7">
      <c r="A224" t="s">
        <v>135</v>
      </c>
      <c r="B224" t="s">
        <v>286</v>
      </c>
      <c r="C224" s="19" t="s">
        <v>184</v>
      </c>
      <c r="D224" s="19">
        <v>2020</v>
      </c>
      <c r="E224">
        <f ca="1">ROUND(VLOOKUP($A224,    'VRE summary'!$B$48:$AD$69,    MATCH($D224, 'VRE summary'!$B$1:$AD$1, 0), FALSE), 0)</f>
        <v>9948</v>
      </c>
      <c r="F224">
        <f>ROUND( VLOOKUP($B224,$L$5:$M$7, 2, FALSE) * (1+ VLOOKUP($A224,'vomcost mult'!$N$10:$R$32,5, FALSE)), 2)</f>
        <v>2.33</v>
      </c>
      <c r="G224" s="59" t="str">
        <f t="shared" ca="1" si="4"/>
        <v/>
      </c>
    </row>
    <row r="225" spans="1:7">
      <c r="A225" t="s">
        <v>111</v>
      </c>
      <c r="B225" t="s">
        <v>286</v>
      </c>
      <c r="C225" s="19" t="s">
        <v>184</v>
      </c>
      <c r="D225" s="19">
        <v>2025</v>
      </c>
      <c r="E225">
        <f ca="1">ROUND(VLOOKUP($A225,    'VRE summary'!$B$48:$AD$69,    MATCH($D225, 'VRE summary'!$B$1:$AD$1, 0), FALSE), 0)</f>
        <v>0</v>
      </c>
      <c r="F225">
        <f>ROUND( VLOOKUP($B225,$L$5:$M$7, 2, FALSE) * (1+ VLOOKUP($A225,'vomcost mult'!$N$10:$R$32,5, FALSE)), 2)</f>
        <v>2.2599999999999998</v>
      </c>
      <c r="G225" s="59" t="str">
        <f t="shared" ca="1" si="4"/>
        <v>remove</v>
      </c>
    </row>
    <row r="226" spans="1:7">
      <c r="A226" t="s">
        <v>114</v>
      </c>
      <c r="B226" t="s">
        <v>286</v>
      </c>
      <c r="C226" s="19" t="s">
        <v>184</v>
      </c>
      <c r="D226" s="19">
        <v>2025</v>
      </c>
      <c r="E226">
        <f ca="1">ROUND(VLOOKUP($A226,    'VRE summary'!$B$48:$AD$69,    MATCH($D226, 'VRE summary'!$B$1:$AD$1, 0), FALSE), 0)</f>
        <v>2542</v>
      </c>
      <c r="F226">
        <f>ROUND( VLOOKUP($B226,$L$5:$M$7, 2, FALSE) * (1+ VLOOKUP($A226,'vomcost mult'!$N$10:$R$32,5, FALSE)), 2)</f>
        <v>2.2400000000000002</v>
      </c>
      <c r="G226" s="59" t="str">
        <f t="shared" ca="1" si="4"/>
        <v/>
      </c>
    </row>
    <row r="227" spans="1:7">
      <c r="A227" t="s">
        <v>116</v>
      </c>
      <c r="B227" t="s">
        <v>286</v>
      </c>
      <c r="C227" s="19" t="s">
        <v>184</v>
      </c>
      <c r="D227" s="19">
        <v>2025</v>
      </c>
      <c r="E227">
        <f ca="1">ROUND(VLOOKUP($A227,    'VRE summary'!$B$48:$AD$69,    MATCH($D227, 'VRE summary'!$B$1:$AD$1, 0), FALSE), 0)</f>
        <v>0</v>
      </c>
      <c r="F227">
        <f>ROUND( VLOOKUP($B227,$L$5:$M$7, 2, FALSE) * (1+ VLOOKUP($A227,'vomcost mult'!$N$10:$R$32,5, FALSE)), 2)</f>
        <v>2.91</v>
      </c>
      <c r="G227" s="59" t="str">
        <f t="shared" ca="1" si="4"/>
        <v>remove</v>
      </c>
    </row>
    <row r="228" spans="1:7">
      <c r="A228" t="s">
        <v>117</v>
      </c>
      <c r="B228" t="s">
        <v>286</v>
      </c>
      <c r="C228" s="19" t="s">
        <v>184</v>
      </c>
      <c r="D228" s="19">
        <v>2025</v>
      </c>
      <c r="E228">
        <f ca="1">ROUND(VLOOKUP($A228,    'VRE summary'!$B$48:$AD$69,    MATCH($D228, 'VRE summary'!$B$1:$AD$1, 0), FALSE), 0)</f>
        <v>9773</v>
      </c>
      <c r="F228">
        <f>ROUND( VLOOKUP($B228,$L$5:$M$7, 2, FALSE) * (1+ VLOOKUP($A228,'vomcost mult'!$N$10:$R$32,5, FALSE)), 2)</f>
        <v>2.2200000000000002</v>
      </c>
      <c r="G228" s="59" t="str">
        <f t="shared" ca="1" si="4"/>
        <v/>
      </c>
    </row>
    <row r="229" spans="1:7">
      <c r="A229" t="s">
        <v>118</v>
      </c>
      <c r="B229" t="s">
        <v>286</v>
      </c>
      <c r="C229" s="19" t="s">
        <v>184</v>
      </c>
      <c r="D229" s="19">
        <v>2025</v>
      </c>
      <c r="E229">
        <f ca="1">ROUND(VLOOKUP($A229,    'VRE summary'!$B$48:$AD$69,    MATCH($D229, 'VRE summary'!$B$1:$AD$1, 0), FALSE), 0)</f>
        <v>1904</v>
      </c>
      <c r="F229">
        <f>ROUND( VLOOKUP($B229,$L$5:$M$7, 2, FALSE) * (1+ VLOOKUP($A229,'vomcost mult'!$N$10:$R$32,5, FALSE)), 2)</f>
        <v>2.5</v>
      </c>
      <c r="G229" s="59" t="str">
        <f t="shared" ca="1" si="4"/>
        <v/>
      </c>
    </row>
    <row r="230" spans="1:7">
      <c r="A230" t="s">
        <v>119</v>
      </c>
      <c r="B230" t="s">
        <v>286</v>
      </c>
      <c r="C230" s="19" t="s">
        <v>184</v>
      </c>
      <c r="D230" s="19">
        <v>2025</v>
      </c>
      <c r="E230">
        <f ca="1">ROUND(VLOOKUP($A230,    'VRE summary'!$B$48:$AD$69,    MATCH($D230, 'VRE summary'!$B$1:$AD$1, 0), FALSE), 0)</f>
        <v>937</v>
      </c>
      <c r="F230">
        <f>ROUND( VLOOKUP($B230,$L$5:$M$7, 2, FALSE) * (1+ VLOOKUP($A230,'vomcost mult'!$N$10:$R$32,5, FALSE)), 2)</f>
        <v>2.48</v>
      </c>
      <c r="G230" s="59" t="str">
        <f t="shared" ca="1" si="4"/>
        <v/>
      </c>
    </row>
    <row r="231" spans="1:7">
      <c r="A231" t="s">
        <v>120</v>
      </c>
      <c r="B231" t="s">
        <v>286</v>
      </c>
      <c r="C231" s="19" t="s">
        <v>184</v>
      </c>
      <c r="D231" s="19">
        <v>2025</v>
      </c>
      <c r="E231">
        <f ca="1">ROUND(VLOOKUP($A231,    'VRE summary'!$B$48:$AD$69,    MATCH($D231, 'VRE summary'!$B$1:$AD$1, 0), FALSE), 0)</f>
        <v>0</v>
      </c>
      <c r="F231">
        <f>ROUND( VLOOKUP($B231,$L$5:$M$7, 2, FALSE) * (1+ VLOOKUP($A231,'vomcost mult'!$N$10:$R$32,5, FALSE)), 2)</f>
        <v>1.59</v>
      </c>
      <c r="G231" s="59" t="str">
        <f t="shared" ca="1" si="4"/>
        <v>remove</v>
      </c>
    </row>
    <row r="232" spans="1:7">
      <c r="A232" t="s">
        <v>121</v>
      </c>
      <c r="B232" t="s">
        <v>286</v>
      </c>
      <c r="C232" s="19" t="s">
        <v>184</v>
      </c>
      <c r="D232" s="19">
        <v>2025</v>
      </c>
      <c r="E232">
        <f ca="1">ROUND(VLOOKUP($A232,    'VRE summary'!$B$48:$AD$69,    MATCH($D232, 'VRE summary'!$B$1:$AD$1, 0), FALSE), 0)</f>
        <v>4</v>
      </c>
      <c r="F232">
        <f>ROUND( VLOOKUP($B232,$L$5:$M$7, 2, FALSE) * (1+ VLOOKUP($A232,'vomcost mult'!$N$10:$R$32,5, FALSE)), 2)</f>
        <v>1.83</v>
      </c>
      <c r="G232" s="59" t="str">
        <f t="shared" ca="1" si="4"/>
        <v>remove</v>
      </c>
    </row>
    <row r="233" spans="1:7">
      <c r="A233" t="s">
        <v>122</v>
      </c>
      <c r="B233" t="s">
        <v>286</v>
      </c>
      <c r="C233" s="19" t="s">
        <v>184</v>
      </c>
      <c r="D233" s="19">
        <v>2025</v>
      </c>
      <c r="E233">
        <f ca="1">ROUND(VLOOKUP($A233,    'VRE summary'!$B$48:$AD$69,    MATCH($D233, 'VRE summary'!$B$1:$AD$1, 0), FALSE), 0)</f>
        <v>80</v>
      </c>
      <c r="F233">
        <f>ROUND( VLOOKUP($B233,$L$5:$M$7, 2, FALSE) * (1+ VLOOKUP($A233,'vomcost mult'!$N$10:$R$32,5, FALSE)), 2)</f>
        <v>2.2200000000000002</v>
      </c>
      <c r="G233" s="59" t="str">
        <f t="shared" ca="1" si="4"/>
        <v/>
      </c>
    </row>
    <row r="234" spans="1:7">
      <c r="A234" t="s">
        <v>123</v>
      </c>
      <c r="B234" t="s">
        <v>286</v>
      </c>
      <c r="C234" s="19" t="s">
        <v>184</v>
      </c>
      <c r="D234" s="19">
        <v>2025</v>
      </c>
      <c r="E234">
        <f ca="1">ROUND(VLOOKUP($A234,    'VRE summary'!$B$48:$AD$69,    MATCH($D234, 'VRE summary'!$B$1:$AD$1, 0), FALSE), 0)</f>
        <v>1635</v>
      </c>
      <c r="F234">
        <f>ROUND( VLOOKUP($B234,$L$5:$M$7, 2, FALSE) * (1+ VLOOKUP($A234,'vomcost mult'!$N$10:$R$32,5, FALSE)), 2)</f>
        <v>2.11</v>
      </c>
      <c r="G234" s="59" t="str">
        <f t="shared" ca="1" si="4"/>
        <v/>
      </c>
    </row>
    <row r="235" spans="1:7">
      <c r="A235" t="s">
        <v>124</v>
      </c>
      <c r="B235" t="s">
        <v>286</v>
      </c>
      <c r="C235" s="19" t="s">
        <v>184</v>
      </c>
      <c r="D235" s="19">
        <v>2025</v>
      </c>
      <c r="E235">
        <f ca="1">ROUND(VLOOKUP($A235,    'VRE summary'!$B$48:$AD$69,    MATCH($D235, 'VRE summary'!$B$1:$AD$1, 0), FALSE), 0)</f>
        <v>0</v>
      </c>
      <c r="F235">
        <f>ROUND( VLOOKUP($B235,$L$5:$M$7, 2, FALSE) * (1+ VLOOKUP($A235,'vomcost mult'!$N$10:$R$32,5, FALSE)), 2)</f>
        <v>1.53</v>
      </c>
      <c r="G235" s="59" t="str">
        <f t="shared" ca="1" si="4"/>
        <v>remove</v>
      </c>
    </row>
    <row r="236" spans="1:7">
      <c r="A236" t="s">
        <v>125</v>
      </c>
      <c r="B236" t="s">
        <v>286</v>
      </c>
      <c r="C236" s="19" t="s">
        <v>184</v>
      </c>
      <c r="D236" s="19">
        <v>2025</v>
      </c>
      <c r="E236">
        <f ca="1">ROUND(VLOOKUP($A236,    'VRE summary'!$B$48:$AD$69,    MATCH($D236, 'VRE summary'!$B$1:$AD$1, 0), FALSE), 0)</f>
        <v>0</v>
      </c>
      <c r="F236">
        <f>ROUND( VLOOKUP($B236,$L$5:$M$7, 2, FALSE) * (1+ VLOOKUP($A236,'vomcost mult'!$N$10:$R$32,5, FALSE)), 2)</f>
        <v>1.4</v>
      </c>
      <c r="G236" s="59" t="str">
        <f t="shared" ca="1" si="4"/>
        <v>remove</v>
      </c>
    </row>
    <row r="237" spans="1:7">
      <c r="A237" t="s">
        <v>126</v>
      </c>
      <c r="B237" t="s">
        <v>286</v>
      </c>
      <c r="C237" s="19" t="s">
        <v>184</v>
      </c>
      <c r="D237" s="19">
        <v>2025</v>
      </c>
      <c r="E237">
        <f ca="1">ROUND(VLOOKUP($A237,    'VRE summary'!$B$48:$AD$69,    MATCH($D237, 'VRE summary'!$B$1:$AD$1, 0), FALSE), 0)</f>
        <v>4802</v>
      </c>
      <c r="F237">
        <f>ROUND( VLOOKUP($B237,$L$5:$M$7, 2, FALSE) * (1+ VLOOKUP($A237,'vomcost mult'!$N$10:$R$32,5, FALSE)), 2)</f>
        <v>2.36</v>
      </c>
      <c r="G237" s="59" t="str">
        <f t="shared" ca="1" si="4"/>
        <v/>
      </c>
    </row>
    <row r="238" spans="1:7">
      <c r="A238" t="s">
        <v>127</v>
      </c>
      <c r="B238" t="s">
        <v>286</v>
      </c>
      <c r="C238" s="19" t="s">
        <v>184</v>
      </c>
      <c r="D238" s="19">
        <v>2025</v>
      </c>
      <c r="E238">
        <f ca="1">ROUND(VLOOKUP($A238,    'VRE summary'!$B$48:$AD$69,    MATCH($D238, 'VRE summary'!$B$1:$AD$1, 0), FALSE), 0)</f>
        <v>0</v>
      </c>
      <c r="F238">
        <f>ROUND( VLOOKUP($B238,$L$5:$M$7, 2, FALSE) * (1+ VLOOKUP($A238,'vomcost mult'!$N$10:$R$32,5, FALSE)), 2)</f>
        <v>2.62</v>
      </c>
      <c r="G238" s="59" t="str">
        <f t="shared" ca="1" si="4"/>
        <v>remove</v>
      </c>
    </row>
    <row r="239" spans="1:7">
      <c r="A239" t="s">
        <v>128</v>
      </c>
      <c r="B239" t="s">
        <v>286</v>
      </c>
      <c r="C239" s="19" t="s">
        <v>184</v>
      </c>
      <c r="D239" s="19">
        <v>2025</v>
      </c>
      <c r="E239">
        <f ca="1">ROUND(VLOOKUP($A239,    'VRE summary'!$B$48:$AD$69,    MATCH($D239, 'VRE summary'!$B$1:$AD$1, 0), FALSE), 0)</f>
        <v>0</v>
      </c>
      <c r="F239">
        <f>ROUND( VLOOKUP($B239,$L$5:$M$7, 2, FALSE) * (1+ VLOOKUP($A239,'vomcost mult'!$N$10:$R$32,5, FALSE)), 2)</f>
        <v>2.65</v>
      </c>
      <c r="G239" s="59" t="str">
        <f t="shared" ca="1" si="4"/>
        <v>remove</v>
      </c>
    </row>
    <row r="240" spans="1:7">
      <c r="A240" t="s">
        <v>129</v>
      </c>
      <c r="B240" t="s">
        <v>286</v>
      </c>
      <c r="C240" s="19" t="s">
        <v>184</v>
      </c>
      <c r="D240" s="19">
        <v>2025</v>
      </c>
      <c r="E240">
        <f ca="1">ROUND(VLOOKUP($A240,    'VRE summary'!$B$48:$AD$69,    MATCH($D240, 'VRE summary'!$B$1:$AD$1, 0), FALSE), 0)</f>
        <v>96</v>
      </c>
      <c r="F240">
        <f>ROUND( VLOOKUP($B240,$L$5:$M$7, 2, FALSE) * (1+ VLOOKUP($A240,'vomcost mult'!$N$10:$R$32,5, FALSE)), 2)</f>
        <v>2.59</v>
      </c>
      <c r="G240" s="59" t="str">
        <f t="shared" ca="1" si="4"/>
        <v/>
      </c>
    </row>
    <row r="241" spans="1:7">
      <c r="A241" t="s">
        <v>130</v>
      </c>
      <c r="B241" t="s">
        <v>286</v>
      </c>
      <c r="C241" s="19" t="s">
        <v>184</v>
      </c>
      <c r="D241" s="19">
        <v>2025</v>
      </c>
      <c r="E241">
        <f ca="1">ROUND(VLOOKUP($A241,    'VRE summary'!$B$48:$AD$69,    MATCH($D241, 'VRE summary'!$B$1:$AD$1, 0), FALSE), 0)</f>
        <v>0</v>
      </c>
      <c r="F241">
        <f>ROUND( VLOOKUP($B241,$L$5:$M$7, 2, FALSE) * (1+ VLOOKUP($A241,'vomcost mult'!$N$10:$R$32,5, FALSE)), 2)</f>
        <v>1.38</v>
      </c>
      <c r="G241" s="59" t="str">
        <f t="shared" ca="1" si="4"/>
        <v>remove</v>
      </c>
    </row>
    <row r="242" spans="1:7">
      <c r="A242" t="s">
        <v>131</v>
      </c>
      <c r="B242" t="s">
        <v>286</v>
      </c>
      <c r="C242" s="19" t="s">
        <v>184</v>
      </c>
      <c r="D242" s="19">
        <v>2025</v>
      </c>
      <c r="E242">
        <f ca="1">ROUND(VLOOKUP($A242,    'VRE summary'!$B$48:$AD$69,    MATCH($D242, 'VRE summary'!$B$1:$AD$1, 0), FALSE), 0)</f>
        <v>0</v>
      </c>
      <c r="F242">
        <f>ROUND( VLOOKUP($B242,$L$5:$M$7, 2, FALSE) * (1+ VLOOKUP($A242,'vomcost mult'!$N$10:$R$32,5, FALSE)), 2)</f>
        <v>2.36</v>
      </c>
      <c r="G242" s="59" t="str">
        <f t="shared" ca="1" si="4"/>
        <v>remove</v>
      </c>
    </row>
    <row r="243" spans="1:7">
      <c r="A243" t="s">
        <v>132</v>
      </c>
      <c r="B243" t="s">
        <v>286</v>
      </c>
      <c r="C243" s="19" t="s">
        <v>184</v>
      </c>
      <c r="D243" s="19">
        <v>2025</v>
      </c>
      <c r="E243">
        <f ca="1">ROUND(VLOOKUP($A243,    'VRE summary'!$B$48:$AD$69,    MATCH($D243, 'VRE summary'!$B$1:$AD$1, 0), FALSE), 0)</f>
        <v>0</v>
      </c>
      <c r="F243">
        <f>ROUND( VLOOKUP($B243,$L$5:$M$7, 2, FALSE) * (1+ VLOOKUP($A243,'vomcost mult'!$N$10:$R$32,5, FALSE)), 2)</f>
        <v>2.35</v>
      </c>
      <c r="G243" s="59" t="str">
        <f t="shared" ca="1" si="4"/>
        <v>remove</v>
      </c>
    </row>
    <row r="244" spans="1:7">
      <c r="A244" t="s">
        <v>133</v>
      </c>
      <c r="B244" t="s">
        <v>286</v>
      </c>
      <c r="C244" s="19" t="s">
        <v>184</v>
      </c>
      <c r="D244" s="19">
        <v>2025</v>
      </c>
      <c r="E244">
        <f ca="1">ROUND(VLOOKUP($A244,    'VRE summary'!$B$48:$AD$69,    MATCH($D244, 'VRE summary'!$B$1:$AD$1, 0), FALSE), 0)</f>
        <v>0</v>
      </c>
      <c r="F244">
        <f>ROUND( VLOOKUP($B244,$L$5:$M$7, 2, FALSE) * (1+ VLOOKUP($A244,'vomcost mult'!$N$10:$R$32,5, FALSE)), 2)</f>
        <v>2.33</v>
      </c>
      <c r="G244" s="59" t="str">
        <f t="shared" ca="1" si="4"/>
        <v>remove</v>
      </c>
    </row>
    <row r="245" spans="1:7">
      <c r="A245" t="s">
        <v>134</v>
      </c>
      <c r="B245" t="s">
        <v>286</v>
      </c>
      <c r="C245" s="19" t="s">
        <v>184</v>
      </c>
      <c r="D245" s="19">
        <v>2025</v>
      </c>
      <c r="E245">
        <f ca="1">ROUND(VLOOKUP($A245,    'VRE summary'!$B$48:$AD$69,    MATCH($D245, 'VRE summary'!$B$1:$AD$1, 0), FALSE), 0)</f>
        <v>190</v>
      </c>
      <c r="F245">
        <f>ROUND( VLOOKUP($B245,$L$5:$M$7, 2, FALSE) * (1+ VLOOKUP($A245,'vomcost mult'!$N$10:$R$32,5, FALSE)), 2)</f>
        <v>2.31</v>
      </c>
      <c r="G245" s="59" t="str">
        <f t="shared" ref="G245:G268" ca="1" si="5">IF(E245&lt;50, "remove", "")</f>
        <v/>
      </c>
    </row>
    <row r="246" spans="1:7">
      <c r="A246" t="s">
        <v>135</v>
      </c>
      <c r="B246" t="s">
        <v>286</v>
      </c>
      <c r="C246" s="19" t="s">
        <v>184</v>
      </c>
      <c r="D246" s="19">
        <v>2025</v>
      </c>
      <c r="E246">
        <f ca="1">ROUND(VLOOKUP($A246,    'VRE summary'!$B$48:$AD$69,    MATCH($D246, 'VRE summary'!$B$1:$AD$1, 0), FALSE), 0)</f>
        <v>18647</v>
      </c>
      <c r="F246">
        <f>ROUND( VLOOKUP($B246,$L$5:$M$7, 2, FALSE) * (1+ VLOOKUP($A246,'vomcost mult'!$N$10:$R$32,5, FALSE)), 2)</f>
        <v>2.33</v>
      </c>
      <c r="G246" s="59" t="str">
        <f t="shared" ca="1" si="5"/>
        <v/>
      </c>
    </row>
    <row r="247" spans="1:7">
      <c r="A247" t="s">
        <v>111</v>
      </c>
      <c r="B247" t="s">
        <v>286</v>
      </c>
      <c r="C247" s="19" t="s">
        <v>184</v>
      </c>
      <c r="D247" s="19">
        <v>2030</v>
      </c>
      <c r="E247">
        <f ca="1">ROUND(VLOOKUP($A247,    'VRE summary'!$B$48:$AD$69,    MATCH($D247, 'VRE summary'!$B$1:$AD$1, 0), FALSE), 0)</f>
        <v>0</v>
      </c>
      <c r="F247">
        <f>ROUND( VLOOKUP($B247,$L$5:$M$7, 2, FALSE) * (1+ VLOOKUP($A247,'vomcost mult'!$N$10:$R$32,5, FALSE)), 2)</f>
        <v>2.2599999999999998</v>
      </c>
      <c r="G247" s="59" t="str">
        <f t="shared" ca="1" si="5"/>
        <v>remove</v>
      </c>
    </row>
    <row r="248" spans="1:7">
      <c r="A248" t="s">
        <v>114</v>
      </c>
      <c r="B248" t="s">
        <v>286</v>
      </c>
      <c r="C248" s="19" t="s">
        <v>184</v>
      </c>
      <c r="D248" s="19">
        <v>2030</v>
      </c>
      <c r="E248">
        <f ca="1">ROUND(VLOOKUP($A248,    'VRE summary'!$B$48:$AD$69,    MATCH($D248, 'VRE summary'!$B$1:$AD$1, 0), FALSE), 0)</f>
        <v>3180</v>
      </c>
      <c r="F248">
        <f>ROUND( VLOOKUP($B248,$L$5:$M$7, 2, FALSE) * (1+ VLOOKUP($A248,'vomcost mult'!$N$10:$R$32,5, FALSE)), 2)</f>
        <v>2.2400000000000002</v>
      </c>
      <c r="G248" s="59" t="str">
        <f t="shared" ca="1" si="5"/>
        <v/>
      </c>
    </row>
    <row r="249" spans="1:7">
      <c r="A249" t="s">
        <v>116</v>
      </c>
      <c r="B249" t="s">
        <v>286</v>
      </c>
      <c r="C249" s="19" t="s">
        <v>184</v>
      </c>
      <c r="D249" s="19">
        <v>2030</v>
      </c>
      <c r="E249">
        <f ca="1">ROUND(VLOOKUP($A249,    'VRE summary'!$B$48:$AD$69,    MATCH($D249, 'VRE summary'!$B$1:$AD$1, 0), FALSE), 0)</f>
        <v>0</v>
      </c>
      <c r="F249">
        <f>ROUND( VLOOKUP($B249,$L$5:$M$7, 2, FALSE) * (1+ VLOOKUP($A249,'vomcost mult'!$N$10:$R$32,5, FALSE)), 2)</f>
        <v>2.91</v>
      </c>
      <c r="G249" s="59" t="str">
        <f t="shared" ca="1" si="5"/>
        <v>remove</v>
      </c>
    </row>
    <row r="250" spans="1:7">
      <c r="A250" t="s">
        <v>117</v>
      </c>
      <c r="B250" t="s">
        <v>286</v>
      </c>
      <c r="C250" s="19" t="s">
        <v>184</v>
      </c>
      <c r="D250" s="19">
        <v>2030</v>
      </c>
      <c r="E250">
        <f ca="1">ROUND(VLOOKUP($A250,    'VRE summary'!$B$48:$AD$69,    MATCH($D250, 'VRE summary'!$B$1:$AD$1, 0), FALSE), 0)</f>
        <v>13592</v>
      </c>
      <c r="F250">
        <f>ROUND( VLOOKUP($B250,$L$5:$M$7, 2, FALSE) * (1+ VLOOKUP($A250,'vomcost mult'!$N$10:$R$32,5, FALSE)), 2)</f>
        <v>2.2200000000000002</v>
      </c>
      <c r="G250" s="59" t="str">
        <f t="shared" ca="1" si="5"/>
        <v/>
      </c>
    </row>
    <row r="251" spans="1:7">
      <c r="A251" t="s">
        <v>118</v>
      </c>
      <c r="B251" t="s">
        <v>286</v>
      </c>
      <c r="C251" s="19" t="s">
        <v>184</v>
      </c>
      <c r="D251" s="19">
        <v>2030</v>
      </c>
      <c r="E251">
        <f ca="1">ROUND(VLOOKUP($A251,    'VRE summary'!$B$48:$AD$69,    MATCH($D251, 'VRE summary'!$B$1:$AD$1, 0), FALSE), 0)</f>
        <v>2513</v>
      </c>
      <c r="F251">
        <f>ROUND( VLOOKUP($B251,$L$5:$M$7, 2, FALSE) * (1+ VLOOKUP($A251,'vomcost mult'!$N$10:$R$32,5, FALSE)), 2)</f>
        <v>2.5</v>
      </c>
      <c r="G251" s="59" t="str">
        <f t="shared" ca="1" si="5"/>
        <v/>
      </c>
    </row>
    <row r="252" spans="1:7">
      <c r="A252" t="s">
        <v>119</v>
      </c>
      <c r="B252" t="s">
        <v>286</v>
      </c>
      <c r="C252" s="19" t="s">
        <v>184</v>
      </c>
      <c r="D252" s="19">
        <v>2030</v>
      </c>
      <c r="E252">
        <f ca="1">ROUND(VLOOKUP($A252,    'VRE summary'!$B$48:$AD$69,    MATCH($D252, 'VRE summary'!$B$1:$AD$1, 0), FALSE), 0)</f>
        <v>1237</v>
      </c>
      <c r="F252">
        <f>ROUND( VLOOKUP($B252,$L$5:$M$7, 2, FALSE) * (1+ VLOOKUP($A252,'vomcost mult'!$N$10:$R$32,5, FALSE)), 2)</f>
        <v>2.48</v>
      </c>
      <c r="G252" s="59" t="str">
        <f t="shared" ca="1" si="5"/>
        <v/>
      </c>
    </row>
    <row r="253" spans="1:7">
      <c r="A253" t="s">
        <v>120</v>
      </c>
      <c r="B253" t="s">
        <v>286</v>
      </c>
      <c r="C253" s="19" t="s">
        <v>184</v>
      </c>
      <c r="D253" s="19">
        <v>2030</v>
      </c>
      <c r="E253">
        <f ca="1">ROUND(VLOOKUP($A253,    'VRE summary'!$B$48:$AD$69,    MATCH($D253, 'VRE summary'!$B$1:$AD$1, 0), FALSE), 0)</f>
        <v>0</v>
      </c>
      <c r="F253">
        <f>ROUND( VLOOKUP($B253,$L$5:$M$7, 2, FALSE) * (1+ VLOOKUP($A253,'vomcost mult'!$N$10:$R$32,5, FALSE)), 2)</f>
        <v>1.59</v>
      </c>
      <c r="G253" s="59" t="str">
        <f t="shared" ca="1" si="5"/>
        <v>remove</v>
      </c>
    </row>
    <row r="254" spans="1:7">
      <c r="A254" t="s">
        <v>121</v>
      </c>
      <c r="B254" t="s">
        <v>286</v>
      </c>
      <c r="C254" s="19" t="s">
        <v>184</v>
      </c>
      <c r="D254" s="19">
        <v>2030</v>
      </c>
      <c r="E254">
        <f ca="1">ROUND(VLOOKUP($A254,    'VRE summary'!$B$48:$AD$69,    MATCH($D254, 'VRE summary'!$B$1:$AD$1, 0), FALSE), 0)</f>
        <v>7</v>
      </c>
      <c r="F254">
        <f>ROUND( VLOOKUP($B254,$L$5:$M$7, 2, FALSE) * (1+ VLOOKUP($A254,'vomcost mult'!$N$10:$R$32,5, FALSE)), 2)</f>
        <v>1.83</v>
      </c>
      <c r="G254" s="59" t="str">
        <f t="shared" ca="1" si="5"/>
        <v>remove</v>
      </c>
    </row>
    <row r="255" spans="1:7">
      <c r="A255" t="s">
        <v>122</v>
      </c>
      <c r="B255" t="s">
        <v>286</v>
      </c>
      <c r="C255" s="19" t="s">
        <v>184</v>
      </c>
      <c r="D255" s="19">
        <v>2030</v>
      </c>
      <c r="E255">
        <f ca="1">ROUND(VLOOKUP($A255,    'VRE summary'!$B$48:$AD$69,    MATCH($D255, 'VRE summary'!$B$1:$AD$1, 0), FALSE), 0)</f>
        <v>93</v>
      </c>
      <c r="F255">
        <f>ROUND( VLOOKUP($B255,$L$5:$M$7, 2, FALSE) * (1+ VLOOKUP($A255,'vomcost mult'!$N$10:$R$32,5, FALSE)), 2)</f>
        <v>2.2200000000000002</v>
      </c>
      <c r="G255" s="59" t="str">
        <f t="shared" ca="1" si="5"/>
        <v/>
      </c>
    </row>
    <row r="256" spans="1:7">
      <c r="A256" t="s">
        <v>123</v>
      </c>
      <c r="B256" t="s">
        <v>286</v>
      </c>
      <c r="C256" s="19" t="s">
        <v>184</v>
      </c>
      <c r="D256" s="19">
        <v>2030</v>
      </c>
      <c r="E256">
        <f ca="1">ROUND(VLOOKUP($A256,    'VRE summary'!$B$48:$AD$69,    MATCH($D256, 'VRE summary'!$B$1:$AD$1, 0), FALSE), 0)</f>
        <v>3600</v>
      </c>
      <c r="F256">
        <f>ROUND( VLOOKUP($B256,$L$5:$M$7, 2, FALSE) * (1+ VLOOKUP($A256,'vomcost mult'!$N$10:$R$32,5, FALSE)), 2)</f>
        <v>2.11</v>
      </c>
      <c r="G256" s="59" t="str">
        <f t="shared" ca="1" si="5"/>
        <v/>
      </c>
    </row>
    <row r="257" spans="1:7">
      <c r="A257" t="s">
        <v>124</v>
      </c>
      <c r="B257" t="s">
        <v>286</v>
      </c>
      <c r="C257" s="19" t="s">
        <v>184</v>
      </c>
      <c r="D257" s="19">
        <v>2030</v>
      </c>
      <c r="E257">
        <f ca="1">ROUND(VLOOKUP($A257,    'VRE summary'!$B$48:$AD$69,    MATCH($D257, 'VRE summary'!$B$1:$AD$1, 0), FALSE), 0)</f>
        <v>0</v>
      </c>
      <c r="F257">
        <f>ROUND( VLOOKUP($B257,$L$5:$M$7, 2, FALSE) * (1+ VLOOKUP($A257,'vomcost mult'!$N$10:$R$32,5, FALSE)), 2)</f>
        <v>1.53</v>
      </c>
      <c r="G257" s="59" t="str">
        <f t="shared" ca="1" si="5"/>
        <v>remove</v>
      </c>
    </row>
    <row r="258" spans="1:7">
      <c r="A258" t="s">
        <v>125</v>
      </c>
      <c r="B258" t="s">
        <v>286</v>
      </c>
      <c r="C258" s="19" t="s">
        <v>184</v>
      </c>
      <c r="D258" s="19">
        <v>2030</v>
      </c>
      <c r="E258">
        <f ca="1">ROUND(VLOOKUP($A258,    'VRE summary'!$B$48:$AD$69,    MATCH($D258, 'VRE summary'!$B$1:$AD$1, 0), FALSE), 0)</f>
        <v>0</v>
      </c>
      <c r="F258">
        <f>ROUND( VLOOKUP($B258,$L$5:$M$7, 2, FALSE) * (1+ VLOOKUP($A258,'vomcost mult'!$N$10:$R$32,5, FALSE)), 2)</f>
        <v>1.4</v>
      </c>
      <c r="G258" s="59" t="str">
        <f t="shared" ca="1" si="5"/>
        <v>remove</v>
      </c>
    </row>
    <row r="259" spans="1:7">
      <c r="A259" t="s">
        <v>126</v>
      </c>
      <c r="B259" t="s">
        <v>286</v>
      </c>
      <c r="C259" s="19" t="s">
        <v>184</v>
      </c>
      <c r="D259" s="19">
        <v>2030</v>
      </c>
      <c r="E259">
        <f ca="1">ROUND(VLOOKUP($A259,    'VRE summary'!$B$48:$AD$69,    MATCH($D259, 'VRE summary'!$B$1:$AD$1, 0), FALSE), 0)</f>
        <v>7364</v>
      </c>
      <c r="F259">
        <f>ROUND( VLOOKUP($B259,$L$5:$M$7, 2, FALSE) * (1+ VLOOKUP($A259,'vomcost mult'!$N$10:$R$32,5, FALSE)), 2)</f>
        <v>2.36</v>
      </c>
      <c r="G259" s="59" t="str">
        <f t="shared" ca="1" si="5"/>
        <v/>
      </c>
    </row>
    <row r="260" spans="1:7">
      <c r="A260" t="s">
        <v>127</v>
      </c>
      <c r="B260" t="s">
        <v>286</v>
      </c>
      <c r="C260" s="19" t="s">
        <v>184</v>
      </c>
      <c r="D260" s="19">
        <v>2030</v>
      </c>
      <c r="E260">
        <f ca="1">ROUND(VLOOKUP($A260,    'VRE summary'!$B$48:$AD$69,    MATCH($D260, 'VRE summary'!$B$1:$AD$1, 0), FALSE), 0)</f>
        <v>0</v>
      </c>
      <c r="F260">
        <f>ROUND( VLOOKUP($B260,$L$5:$M$7, 2, FALSE) * (1+ VLOOKUP($A260,'vomcost mult'!$N$10:$R$32,5, FALSE)), 2)</f>
        <v>2.62</v>
      </c>
      <c r="G260" s="59" t="str">
        <f t="shared" ca="1" si="5"/>
        <v>remove</v>
      </c>
    </row>
    <row r="261" spans="1:7">
      <c r="A261" t="s">
        <v>128</v>
      </c>
      <c r="B261" t="s">
        <v>286</v>
      </c>
      <c r="C261" s="19" t="s">
        <v>184</v>
      </c>
      <c r="D261" s="19">
        <v>2030</v>
      </c>
      <c r="E261">
        <f ca="1">ROUND(VLOOKUP($A261,    'VRE summary'!$B$48:$AD$69,    MATCH($D261, 'VRE summary'!$B$1:$AD$1, 0), FALSE), 0)</f>
        <v>0</v>
      </c>
      <c r="F261">
        <f>ROUND( VLOOKUP($B261,$L$5:$M$7, 2, FALSE) * (1+ VLOOKUP($A261,'vomcost mult'!$N$10:$R$32,5, FALSE)), 2)</f>
        <v>2.65</v>
      </c>
      <c r="G261" s="59" t="str">
        <f t="shared" ca="1" si="5"/>
        <v>remove</v>
      </c>
    </row>
    <row r="262" spans="1:7">
      <c r="A262" t="s">
        <v>129</v>
      </c>
      <c r="B262" t="s">
        <v>286</v>
      </c>
      <c r="C262" s="19" t="s">
        <v>184</v>
      </c>
      <c r="D262" s="19">
        <v>2030</v>
      </c>
      <c r="E262">
        <f ca="1">ROUND(VLOOKUP($A262,    'VRE summary'!$B$48:$AD$69,    MATCH($D262, 'VRE summary'!$B$1:$AD$1, 0), FALSE), 0)</f>
        <v>184</v>
      </c>
      <c r="F262">
        <f>ROUND( VLOOKUP($B262,$L$5:$M$7, 2, FALSE) * (1+ VLOOKUP($A262,'vomcost mult'!$N$10:$R$32,5, FALSE)), 2)</f>
        <v>2.59</v>
      </c>
      <c r="G262" s="59" t="str">
        <f t="shared" ca="1" si="5"/>
        <v/>
      </c>
    </row>
    <row r="263" spans="1:7">
      <c r="A263" t="s">
        <v>130</v>
      </c>
      <c r="B263" t="s">
        <v>286</v>
      </c>
      <c r="C263" s="19" t="s">
        <v>184</v>
      </c>
      <c r="D263" s="19">
        <v>2030</v>
      </c>
      <c r="E263">
        <f ca="1">ROUND(VLOOKUP($A263,    'VRE summary'!$B$48:$AD$69,    MATCH($D263, 'VRE summary'!$B$1:$AD$1, 0), FALSE), 0)</f>
        <v>0</v>
      </c>
      <c r="F263">
        <f>ROUND( VLOOKUP($B263,$L$5:$M$7, 2, FALSE) * (1+ VLOOKUP($A263,'vomcost mult'!$N$10:$R$32,5, FALSE)), 2)</f>
        <v>1.38</v>
      </c>
      <c r="G263" s="59" t="str">
        <f t="shared" ca="1" si="5"/>
        <v>remove</v>
      </c>
    </row>
    <row r="264" spans="1:7">
      <c r="A264" t="s">
        <v>131</v>
      </c>
      <c r="B264" t="s">
        <v>286</v>
      </c>
      <c r="C264" s="19" t="s">
        <v>184</v>
      </c>
      <c r="D264" s="19">
        <v>2030</v>
      </c>
      <c r="E264">
        <f ca="1">ROUND(VLOOKUP($A264,    'VRE summary'!$B$48:$AD$69,    MATCH($D264, 'VRE summary'!$B$1:$AD$1, 0), FALSE), 0)</f>
        <v>0</v>
      </c>
      <c r="F264">
        <f>ROUND( VLOOKUP($B264,$L$5:$M$7, 2, FALSE) * (1+ VLOOKUP($A264,'vomcost mult'!$N$10:$R$32,5, FALSE)), 2)</f>
        <v>2.36</v>
      </c>
      <c r="G264" s="59" t="str">
        <f t="shared" ca="1" si="5"/>
        <v>remove</v>
      </c>
    </row>
    <row r="265" spans="1:7">
      <c r="A265" t="s">
        <v>132</v>
      </c>
      <c r="B265" t="s">
        <v>286</v>
      </c>
      <c r="C265" s="19" t="s">
        <v>184</v>
      </c>
      <c r="D265" s="19">
        <v>2030</v>
      </c>
      <c r="E265">
        <f ca="1">ROUND(VLOOKUP($A265,    'VRE summary'!$B$48:$AD$69,    MATCH($D265, 'VRE summary'!$B$1:$AD$1, 0), FALSE), 0)</f>
        <v>0</v>
      </c>
      <c r="F265">
        <f>ROUND( VLOOKUP($B265,$L$5:$M$7, 2, FALSE) * (1+ VLOOKUP($A265,'vomcost mult'!$N$10:$R$32,5, FALSE)), 2)</f>
        <v>2.35</v>
      </c>
      <c r="G265" s="59" t="str">
        <f t="shared" ca="1" si="5"/>
        <v>remove</v>
      </c>
    </row>
    <row r="266" spans="1:7">
      <c r="A266" t="s">
        <v>133</v>
      </c>
      <c r="B266" t="s">
        <v>286</v>
      </c>
      <c r="C266" s="19" t="s">
        <v>184</v>
      </c>
      <c r="D266" s="19">
        <v>2030</v>
      </c>
      <c r="E266">
        <f ca="1">ROUND(VLOOKUP($A266,    'VRE summary'!$B$48:$AD$69,    MATCH($D266, 'VRE summary'!$B$1:$AD$1, 0), FALSE), 0)</f>
        <v>0</v>
      </c>
      <c r="F266">
        <f>ROUND( VLOOKUP($B266,$L$5:$M$7, 2, FALSE) * (1+ VLOOKUP($A266,'vomcost mult'!$N$10:$R$32,5, FALSE)), 2)</f>
        <v>2.33</v>
      </c>
      <c r="G266" s="59" t="str">
        <f t="shared" ca="1" si="5"/>
        <v>remove</v>
      </c>
    </row>
    <row r="267" spans="1:7">
      <c r="A267" t="s">
        <v>134</v>
      </c>
      <c r="B267" t="s">
        <v>286</v>
      </c>
      <c r="C267" s="19" t="s">
        <v>184</v>
      </c>
      <c r="D267" s="19">
        <v>2030</v>
      </c>
      <c r="E267">
        <f ca="1">ROUND(VLOOKUP($A267,    'VRE summary'!$B$48:$AD$69,    MATCH($D267, 'VRE summary'!$B$1:$AD$1, 0), FALSE), 0)</f>
        <v>181</v>
      </c>
      <c r="F267">
        <f>ROUND( VLOOKUP($B267,$L$5:$M$7, 2, FALSE) * (1+ VLOOKUP($A267,'vomcost mult'!$N$10:$R$32,5, FALSE)), 2)</f>
        <v>2.31</v>
      </c>
      <c r="G267" s="59" t="str">
        <f t="shared" ca="1" si="5"/>
        <v/>
      </c>
    </row>
    <row r="268" spans="1:7">
      <c r="A268" t="s">
        <v>135</v>
      </c>
      <c r="B268" t="s">
        <v>286</v>
      </c>
      <c r="C268" s="19" t="s">
        <v>184</v>
      </c>
      <c r="D268" s="19">
        <v>2030</v>
      </c>
      <c r="E268">
        <f ca="1">ROUND(VLOOKUP($A268,    'VRE summary'!$B$48:$AD$69,    MATCH($D268, 'VRE summary'!$B$1:$AD$1, 0), FALSE), 0)</f>
        <v>27952</v>
      </c>
      <c r="F268">
        <f>ROUND( VLOOKUP($B268,$L$5:$M$7, 2, FALSE) * (1+ VLOOKUP($A268,'vomcost mult'!$N$10:$R$32,5, FALSE)), 2)</f>
        <v>2.33</v>
      </c>
      <c r="G268" s="59" t="str">
        <f t="shared" ca="1" si="5"/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E4028-6516-46F1-996D-3C6DED3751D7}">
  <dimension ref="A2:O50"/>
  <sheetViews>
    <sheetView workbookViewId="0">
      <selection activeCell="V48" sqref="V48"/>
    </sheetView>
  </sheetViews>
  <sheetFormatPr defaultRowHeight="15"/>
  <sheetData>
    <row r="2" spans="1:15" ht="24">
      <c r="A2" s="78"/>
      <c r="B2" s="79" t="s">
        <v>13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</row>
    <row r="4" spans="1:15">
      <c r="E4" t="s">
        <v>268</v>
      </c>
    </row>
    <row r="6" spans="1:15">
      <c r="E6" t="s">
        <v>165</v>
      </c>
      <c r="F6" t="s">
        <v>269</v>
      </c>
      <c r="G6" t="s">
        <v>270</v>
      </c>
    </row>
    <row r="7" spans="1:15">
      <c r="F7" t="s">
        <v>271</v>
      </c>
      <c r="G7" t="s">
        <v>272</v>
      </c>
    </row>
    <row r="8" spans="1:15">
      <c r="E8">
        <v>2002</v>
      </c>
      <c r="F8">
        <v>1E-3</v>
      </c>
      <c r="G8">
        <v>1E-3</v>
      </c>
    </row>
    <row r="9" spans="1:15">
      <c r="E9">
        <v>2003</v>
      </c>
      <c r="F9">
        <v>1E-3</v>
      </c>
      <c r="G9">
        <v>1E-3</v>
      </c>
    </row>
    <row r="10" spans="1:15">
      <c r="E10">
        <v>2004</v>
      </c>
      <c r="F10">
        <v>1E-3</v>
      </c>
      <c r="G10">
        <v>1E-3</v>
      </c>
    </row>
    <row r="11" spans="1:15">
      <c r="E11">
        <v>2005</v>
      </c>
      <c r="F11">
        <v>1E-3</v>
      </c>
      <c r="G11">
        <v>2E-3</v>
      </c>
    </row>
    <row r="12" spans="1:15">
      <c r="E12">
        <v>2006</v>
      </c>
      <c r="F12">
        <v>1E-3</v>
      </c>
      <c r="G12">
        <v>2E-3</v>
      </c>
    </row>
    <row r="13" spans="1:15">
      <c r="E13">
        <v>2007</v>
      </c>
      <c r="F13">
        <v>2E-3</v>
      </c>
      <c r="G13">
        <v>2E-3</v>
      </c>
    </row>
    <row r="14" spans="1:15">
      <c r="E14">
        <v>2008</v>
      </c>
      <c r="F14">
        <v>3.0000000000000001E-3</v>
      </c>
      <c r="G14">
        <v>3.0000000000000001E-3</v>
      </c>
    </row>
    <row r="15" spans="1:15">
      <c r="E15">
        <v>2009</v>
      </c>
      <c r="F15">
        <v>3.0000000000000001E-3</v>
      </c>
      <c r="G15">
        <v>4.0000000000000001E-3</v>
      </c>
    </row>
    <row r="16" spans="1:15">
      <c r="E16">
        <v>2010</v>
      </c>
      <c r="F16">
        <v>5.0000000000000001E-3</v>
      </c>
      <c r="G16">
        <v>5.0000000000000001E-3</v>
      </c>
    </row>
    <row r="17" spans="5:7">
      <c r="E17">
        <v>2011</v>
      </c>
      <c r="F17">
        <v>7.0000000000000001E-3</v>
      </c>
      <c r="G17">
        <v>8.0000000000000002E-3</v>
      </c>
    </row>
    <row r="18" spans="5:7">
      <c r="E18">
        <v>2012</v>
      </c>
      <c r="F18">
        <v>1.0999999999999999E-2</v>
      </c>
      <c r="G18">
        <v>1.4E-2</v>
      </c>
    </row>
    <row r="19" spans="5:7">
      <c r="E19">
        <v>2013</v>
      </c>
      <c r="F19">
        <v>2.5000000000000001E-2</v>
      </c>
      <c r="G19">
        <v>3.3000000000000002E-2</v>
      </c>
    </row>
    <row r="20" spans="5:7">
      <c r="E20">
        <v>2014</v>
      </c>
      <c r="F20">
        <v>6.0999999999999999E-2</v>
      </c>
      <c r="G20">
        <v>8.1000000000000003E-2</v>
      </c>
    </row>
    <row r="21" spans="5:7">
      <c r="E21">
        <v>2015</v>
      </c>
      <c r="F21">
        <v>0.10299999999999999</v>
      </c>
      <c r="G21" t="s">
        <v>273</v>
      </c>
    </row>
    <row r="22" spans="5:7">
      <c r="E22">
        <v>2016</v>
      </c>
      <c r="F22">
        <v>0.27800000000000002</v>
      </c>
      <c r="G22">
        <v>0.34200000000000003</v>
      </c>
    </row>
    <row r="23" spans="5:7">
      <c r="E23">
        <v>2017</v>
      </c>
      <c r="F23">
        <v>0.45300000000000001</v>
      </c>
      <c r="G23">
        <v>0.58399999999999996</v>
      </c>
    </row>
    <row r="24" spans="5:7">
      <c r="E24">
        <v>2018</v>
      </c>
      <c r="F24">
        <v>0.72599999999999998</v>
      </c>
      <c r="G24">
        <v>0.98299999999999998</v>
      </c>
    </row>
    <row r="25" spans="5:7">
      <c r="E25">
        <v>2019</v>
      </c>
      <c r="F25">
        <v>1.012</v>
      </c>
      <c r="G25">
        <v>1.4430000000000001</v>
      </c>
    </row>
    <row r="26" spans="5:7">
      <c r="E26">
        <v>2020</v>
      </c>
      <c r="F26">
        <v>1.5629999999999999</v>
      </c>
      <c r="G26">
        <v>2.3319999999999999</v>
      </c>
    </row>
    <row r="27" spans="5:7">
      <c r="E27">
        <v>2021</v>
      </c>
      <c r="F27">
        <v>2.42</v>
      </c>
      <c r="G27">
        <v>3.7170000000000001</v>
      </c>
    </row>
    <row r="28" spans="5:7">
      <c r="E28">
        <v>2022</v>
      </c>
      <c r="F28">
        <v>4.2</v>
      </c>
      <c r="G28">
        <v>6.343</v>
      </c>
    </row>
    <row r="29" spans="5:7">
      <c r="E29">
        <v>2023</v>
      </c>
      <c r="F29">
        <v>8.3559999999999999</v>
      </c>
      <c r="G29">
        <v>12.436</v>
      </c>
    </row>
    <row r="30" spans="5:7">
      <c r="E30">
        <v>2024</v>
      </c>
      <c r="F30">
        <v>12.651</v>
      </c>
      <c r="G30">
        <v>18.614000000000001</v>
      </c>
    </row>
    <row r="31" spans="5:7">
      <c r="E31">
        <v>2025</v>
      </c>
      <c r="F31">
        <v>16.792000000000002</v>
      </c>
      <c r="G31">
        <v>25.298999999999999</v>
      </c>
    </row>
    <row r="32" spans="5:7">
      <c r="E32">
        <v>2026</v>
      </c>
      <c r="F32">
        <v>18.585999999999999</v>
      </c>
      <c r="G32">
        <v>28.463000000000001</v>
      </c>
    </row>
    <row r="33" spans="1:15">
      <c r="E33">
        <v>2030</v>
      </c>
      <c r="F33" cm="1">
        <f t="array" ref="F33">TREND(F$30:F$32,$E$30:$E$32,$E33)</f>
        <v>30.847166666666453</v>
      </c>
      <c r="G33" cm="1">
        <f t="array" ref="G33">TREND(G$30:G$32,$E$30:$E$32,$E33)</f>
        <v>48.747833333332892</v>
      </c>
    </row>
    <row r="36" spans="1:15" ht="24">
      <c r="A36" s="78"/>
      <c r="B36" s="79" t="s">
        <v>47</v>
      </c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</row>
    <row r="43" spans="1:15">
      <c r="B43">
        <v>2021</v>
      </c>
      <c r="C43">
        <v>160</v>
      </c>
    </row>
    <row r="44" spans="1:15">
      <c r="B44">
        <v>2022</v>
      </c>
      <c r="C44">
        <v>326</v>
      </c>
    </row>
    <row r="45" spans="1:15">
      <c r="B45">
        <v>2023</v>
      </c>
      <c r="C45">
        <v>607</v>
      </c>
    </row>
    <row r="46" spans="1:15">
      <c r="B46">
        <v>2024</v>
      </c>
      <c r="C46">
        <v>896</v>
      </c>
    </row>
    <row r="47" spans="1:15">
      <c r="B47">
        <v>2025</v>
      </c>
      <c r="C47">
        <v>1451</v>
      </c>
    </row>
    <row r="48" spans="1:15">
      <c r="B48">
        <v>2026</v>
      </c>
      <c r="C48">
        <v>2461</v>
      </c>
    </row>
    <row r="50" spans="2:3">
      <c r="B50">
        <v>2030</v>
      </c>
      <c r="C50">
        <f>1.5*C48</f>
        <v>3691.5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69EF4-4597-4244-9D8B-9F265D4A8665}">
  <sheetPr>
    <tabColor theme="5"/>
  </sheetPr>
  <dimension ref="A1:S179"/>
  <sheetViews>
    <sheetView workbookViewId="0">
      <pane ySplit="1" topLeftCell="A3" activePane="bottomLeft" state="frozen"/>
      <selection pane="bottomLeft" activeCell="M5" sqref="M5:M8"/>
    </sheetView>
  </sheetViews>
  <sheetFormatPr defaultRowHeight="15"/>
  <cols>
    <col min="2" max="2" width="20" customWidth="1"/>
    <col min="3" max="3" width="16.42578125" customWidth="1"/>
    <col min="4" max="4" width="9.42578125" customWidth="1"/>
    <col min="5" max="7" width="16.5703125" customWidth="1"/>
    <col min="12" max="12" width="19.85546875" bestFit="1" customWidth="1"/>
  </cols>
  <sheetData>
    <row r="1" spans="1:19">
      <c r="A1" s="39" t="s">
        <v>3</v>
      </c>
      <c r="B1" s="39" t="s">
        <v>284</v>
      </c>
      <c r="C1" s="39" t="s">
        <v>164</v>
      </c>
      <c r="D1" s="39" t="s">
        <v>165</v>
      </c>
      <c r="E1" s="39" t="s">
        <v>166</v>
      </c>
      <c r="F1" s="39" t="s">
        <v>174</v>
      </c>
      <c r="G1" s="39" t="s">
        <v>167</v>
      </c>
      <c r="K1" t="s">
        <v>279</v>
      </c>
      <c r="L1" t="s">
        <v>279</v>
      </c>
      <c r="M1" t="s">
        <v>279</v>
      </c>
      <c r="N1" t="s">
        <v>279</v>
      </c>
      <c r="O1" t="s">
        <v>279</v>
      </c>
      <c r="P1" t="s">
        <v>279</v>
      </c>
      <c r="Q1" t="s">
        <v>279</v>
      </c>
      <c r="R1" t="s">
        <v>279</v>
      </c>
      <c r="S1" t="s">
        <v>279</v>
      </c>
    </row>
    <row r="2" spans="1:19">
      <c r="A2" s="17" t="s">
        <v>278</v>
      </c>
      <c r="B2" s="75"/>
      <c r="C2" s="75"/>
      <c r="D2" s="75"/>
      <c r="E2" s="75"/>
      <c r="F2" s="75"/>
      <c r="G2" s="75"/>
    </row>
    <row r="3" spans="1:19">
      <c r="A3" t="s">
        <v>111</v>
      </c>
      <c r="B3" t="s">
        <v>305</v>
      </c>
      <c r="C3" s="19" t="s">
        <v>184</v>
      </c>
      <c r="D3" s="19">
        <v>2025</v>
      </c>
      <c r="E3">
        <f t="shared" ref="E3:E46" si="0">VLOOKUP($A3,   $M$12:$Q$33,    MATCH($D3,$M$11:$Q$11,0), FALSE)</f>
        <v>550</v>
      </c>
      <c r="F3">
        <f>ROUND( VLOOKUP($B3,$L$5:$M$8, 2, FALSE) * (1+ VLOOKUP($A3,'vomcost mult'!$N$10:$R$32,5, FALSE)), 2)</f>
        <v>1.58</v>
      </c>
      <c r="G3" s="59" t="str">
        <f>IF(E3&lt;10, "remove", "")</f>
        <v/>
      </c>
    </row>
    <row r="4" spans="1:19">
      <c r="A4" t="s">
        <v>114</v>
      </c>
      <c r="B4" t="s">
        <v>305</v>
      </c>
      <c r="C4" s="19" t="s">
        <v>184</v>
      </c>
      <c r="D4" s="19">
        <v>2025</v>
      </c>
      <c r="E4">
        <f t="shared" si="0"/>
        <v>700</v>
      </c>
      <c r="F4">
        <f>ROUND( VLOOKUP($B4,$L$5:$M$8, 2, FALSE) * (1+ VLOOKUP($A4,'vomcost mult'!$N$10:$R$32,5, FALSE)), 2)</f>
        <v>1.57</v>
      </c>
      <c r="G4" s="59" t="str">
        <f t="shared" ref="G4:G46" si="1">IF(E4&lt;10, "remove", "")</f>
        <v/>
      </c>
      <c r="M4" s="17" t="s">
        <v>174</v>
      </c>
    </row>
    <row r="5" spans="1:19">
      <c r="A5" t="s">
        <v>116</v>
      </c>
      <c r="B5" t="s">
        <v>305</v>
      </c>
      <c r="C5" s="19" t="s">
        <v>184</v>
      </c>
      <c r="D5" s="19">
        <v>2025</v>
      </c>
      <c r="E5">
        <f t="shared" si="0"/>
        <v>1451</v>
      </c>
      <c r="F5">
        <f>ROUND( VLOOKUP($B5,$L$5:$M$8, 2, FALSE) * (1+ VLOOKUP($A5,'vomcost mult'!$N$10:$R$32,5, FALSE)), 2)</f>
        <v>2.04</v>
      </c>
      <c r="G5" s="59" t="str">
        <f t="shared" si="1"/>
        <v/>
      </c>
      <c r="L5" s="76" t="s">
        <v>305</v>
      </c>
      <c r="M5" s="81">
        <f>SUMIFS([1]unittypedata!$S:$S, [1]unittypedata!$D:$D,L5)</f>
        <v>1.4</v>
      </c>
    </row>
    <row r="6" spans="1:19">
      <c r="A6" t="s">
        <v>117</v>
      </c>
      <c r="B6" t="s">
        <v>305</v>
      </c>
      <c r="C6" s="19" t="s">
        <v>184</v>
      </c>
      <c r="D6" s="19">
        <v>2025</v>
      </c>
      <c r="E6">
        <f t="shared" si="0"/>
        <v>16792</v>
      </c>
      <c r="F6">
        <f>ROUND( VLOOKUP($B6,$L$5:$M$8, 2, FALSE) * (1+ VLOOKUP($A6,'vomcost mult'!$N$10:$R$32,5, FALSE)), 2)</f>
        <v>1.55</v>
      </c>
      <c r="G6" s="59" t="str">
        <f t="shared" si="1"/>
        <v/>
      </c>
      <c r="L6" s="76" t="s">
        <v>306</v>
      </c>
      <c r="M6" s="81">
        <f>SUMIFS([1]unittypedata!$S:$S, [1]unittypedata!$D:$D,L6)</f>
        <v>1.4</v>
      </c>
    </row>
    <row r="7" spans="1:19">
      <c r="A7" t="s">
        <v>118</v>
      </c>
      <c r="B7" t="s">
        <v>305</v>
      </c>
      <c r="C7" s="19" t="s">
        <v>184</v>
      </c>
      <c r="D7" s="19">
        <v>2025</v>
      </c>
      <c r="E7">
        <f t="shared" si="0"/>
        <v>175</v>
      </c>
      <c r="F7">
        <f>ROUND( VLOOKUP($B7,$L$5:$M$8, 2, FALSE) * (1+ VLOOKUP($A7,'vomcost mult'!$N$10:$R$32,5, FALSE)), 2)</f>
        <v>1.75</v>
      </c>
      <c r="G7" s="59" t="str">
        <f t="shared" si="1"/>
        <v/>
      </c>
      <c r="L7" s="76" t="s">
        <v>307</v>
      </c>
      <c r="M7" s="81">
        <f>SUMIFS([1]unittypedata!$S:$S, [1]unittypedata!$D:$D,L7)</f>
        <v>1.6</v>
      </c>
    </row>
    <row r="8" spans="1:19">
      <c r="A8" t="s">
        <v>119</v>
      </c>
      <c r="B8" t="s">
        <v>305</v>
      </c>
      <c r="C8" s="19" t="s">
        <v>184</v>
      </c>
      <c r="D8" s="19">
        <v>2025</v>
      </c>
      <c r="E8">
        <f t="shared" si="0"/>
        <v>175</v>
      </c>
      <c r="F8">
        <f>ROUND( VLOOKUP($B8,$L$5:$M$8, 2, FALSE) * (1+ VLOOKUP($A8,'vomcost mult'!$N$10:$R$32,5, FALSE)), 2)</f>
        <v>1.73</v>
      </c>
      <c r="G8" s="59" t="str">
        <f t="shared" si="1"/>
        <v/>
      </c>
      <c r="L8" s="76" t="s">
        <v>308</v>
      </c>
      <c r="M8" s="81">
        <f>SUMIFS([1]unittypedata!$S:$S, [1]unittypedata!$D:$D,L8)</f>
        <v>1.6</v>
      </c>
    </row>
    <row r="9" spans="1:19">
      <c r="A9" t="s">
        <v>120</v>
      </c>
      <c r="B9" t="s">
        <v>305</v>
      </c>
      <c r="C9" s="19" t="s">
        <v>184</v>
      </c>
      <c r="D9" s="19">
        <v>2025</v>
      </c>
      <c r="E9">
        <f t="shared" si="0"/>
        <v>300</v>
      </c>
      <c r="F9">
        <f>ROUND( VLOOKUP($B9,$L$5:$M$8, 2, FALSE) * (1+ VLOOKUP($A9,'vomcost mult'!$N$10:$R$32,5, FALSE)), 2)</f>
        <v>1.1100000000000001</v>
      </c>
      <c r="G9" s="59" t="str">
        <f t="shared" si="1"/>
        <v/>
      </c>
    </row>
    <row r="10" spans="1:19">
      <c r="A10" t="s">
        <v>121</v>
      </c>
      <c r="B10" t="s">
        <v>305</v>
      </c>
      <c r="C10" s="19" t="s">
        <v>184</v>
      </c>
      <c r="D10" s="19">
        <v>2025</v>
      </c>
      <c r="E10">
        <f t="shared" si="0"/>
        <v>560</v>
      </c>
      <c r="F10">
        <f>ROUND( VLOOKUP($B10,$L$5:$M$8, 2, FALSE) * (1+ VLOOKUP($A10,'vomcost mult'!$N$10:$R$32,5, FALSE)), 2)</f>
        <v>1.28</v>
      </c>
      <c r="G10" s="59" t="str">
        <f t="shared" si="1"/>
        <v/>
      </c>
    </row>
    <row r="11" spans="1:19">
      <c r="A11" t="s">
        <v>122</v>
      </c>
      <c r="B11" t="s">
        <v>305</v>
      </c>
      <c r="C11" s="19" t="s">
        <v>184</v>
      </c>
      <c r="D11" s="19">
        <v>2025</v>
      </c>
      <c r="E11">
        <f t="shared" si="0"/>
        <v>1000</v>
      </c>
      <c r="F11">
        <f>ROUND( VLOOKUP($B11,$L$5:$M$8, 2, FALSE) * (1+ VLOOKUP($A11,'vomcost mult'!$N$10:$R$32,5, FALSE)), 2)</f>
        <v>1.55</v>
      </c>
      <c r="G11" s="59" t="str">
        <f t="shared" si="1"/>
        <v/>
      </c>
      <c r="L11" s="17" t="s">
        <v>138</v>
      </c>
      <c r="M11" s="17" t="s">
        <v>108</v>
      </c>
      <c r="N11" s="17">
        <v>2015</v>
      </c>
      <c r="O11" s="17">
        <v>2020</v>
      </c>
      <c r="P11" s="17">
        <v>2025</v>
      </c>
      <c r="Q11" s="17">
        <v>2030</v>
      </c>
    </row>
    <row r="12" spans="1:19">
      <c r="A12" t="s">
        <v>123</v>
      </c>
      <c r="B12" t="s">
        <v>305</v>
      </c>
      <c r="C12" s="19" t="s">
        <v>184</v>
      </c>
      <c r="D12" s="19">
        <v>2025</v>
      </c>
      <c r="E12">
        <f t="shared" si="0"/>
        <v>1500</v>
      </c>
      <c r="F12">
        <f>ROUND( VLOOKUP($B12,$L$5:$M$8, 2, FALSE) * (1+ VLOOKUP($A12,'vomcost mult'!$N$10:$R$32,5, FALSE)), 2)</f>
        <v>1.48</v>
      </c>
      <c r="G12" s="59" t="str">
        <f t="shared" si="1"/>
        <v/>
      </c>
      <c r="L12" t="str">
        <f>LEFT(M12,2)</f>
        <v>AT</v>
      </c>
      <c r="M12" t="s">
        <v>111</v>
      </c>
      <c r="N12">
        <v>0</v>
      </c>
      <c r="O12">
        <v>0</v>
      </c>
      <c r="P12">
        <v>550</v>
      </c>
      <c r="Q12">
        <v>1400</v>
      </c>
    </row>
    <row r="13" spans="1:19">
      <c r="A13" t="s">
        <v>124</v>
      </c>
      <c r="B13" t="s">
        <v>305</v>
      </c>
      <c r="C13" s="19" t="s">
        <v>184</v>
      </c>
      <c r="D13" s="19">
        <v>2025</v>
      </c>
      <c r="E13">
        <f t="shared" si="0"/>
        <v>550</v>
      </c>
      <c r="F13">
        <f>ROUND( VLOOKUP($B13,$L$5:$M$8, 2, FALSE) * (1+ VLOOKUP($A13,'vomcost mult'!$N$10:$R$32,5, FALSE)), 2)</f>
        <v>1.07</v>
      </c>
      <c r="G13" s="59" t="str">
        <f t="shared" si="1"/>
        <v/>
      </c>
      <c r="L13" t="str">
        <f t="shared" ref="L13:L33" si="2">LEFT(M13,2)</f>
        <v>BE</v>
      </c>
      <c r="M13" t="s">
        <v>114</v>
      </c>
      <c r="N13">
        <v>0</v>
      </c>
      <c r="O13">
        <v>0</v>
      </c>
      <c r="P13">
        <v>700</v>
      </c>
      <c r="Q13">
        <v>2000</v>
      </c>
      <c r="S13" t="s">
        <v>267</v>
      </c>
    </row>
    <row r="14" spans="1:19">
      <c r="A14" t="s">
        <v>125</v>
      </c>
      <c r="B14" t="s">
        <v>305</v>
      </c>
      <c r="C14" s="19" t="s">
        <v>184</v>
      </c>
      <c r="D14" s="19">
        <v>2025</v>
      </c>
      <c r="E14">
        <f t="shared" si="0"/>
        <v>150</v>
      </c>
      <c r="F14">
        <f>ROUND( VLOOKUP($B14,$L$5:$M$8, 2, FALSE) * (1+ VLOOKUP($A14,'vomcost mult'!$N$10:$R$32,5, FALSE)), 2)</f>
        <v>0.98</v>
      </c>
      <c r="G14" s="59" t="str">
        <f t="shared" si="1"/>
        <v/>
      </c>
      <c r="L14" t="str">
        <f t="shared" si="2"/>
        <v>CH</v>
      </c>
      <c r="M14" t="s">
        <v>116</v>
      </c>
      <c r="N14">
        <v>0</v>
      </c>
      <c r="O14">
        <f>battery_data!C43/2</f>
        <v>80</v>
      </c>
      <c r="P14">
        <f>battery_data!C47</f>
        <v>1451</v>
      </c>
      <c r="Q14">
        <f>battery_data!C50</f>
        <v>3691.5</v>
      </c>
    </row>
    <row r="15" spans="1:19">
      <c r="A15" t="s">
        <v>126</v>
      </c>
      <c r="B15" t="s">
        <v>305</v>
      </c>
      <c r="C15" s="19" t="s">
        <v>184</v>
      </c>
      <c r="D15" s="19">
        <v>2025</v>
      </c>
      <c r="E15">
        <f t="shared" si="0"/>
        <v>800</v>
      </c>
      <c r="F15">
        <f>ROUND( VLOOKUP($B15,$L$5:$M$8, 2, FALSE) * (1+ VLOOKUP($A15,'vomcost mult'!$N$10:$R$32,5, FALSE)), 2)</f>
        <v>1.65</v>
      </c>
      <c r="G15" s="59" t="str">
        <f t="shared" si="1"/>
        <v/>
      </c>
      <c r="L15" t="str">
        <f t="shared" si="2"/>
        <v>DE</v>
      </c>
      <c r="M15" t="s">
        <v>117</v>
      </c>
      <c r="N15">
        <v>0</v>
      </c>
      <c r="O15">
        <f>ROUND(battery_data!F26*1000,0)</f>
        <v>1563</v>
      </c>
      <c r="P15">
        <f>ROUND(battery_data!F31*1000,0)</f>
        <v>16792</v>
      </c>
      <c r="Q15">
        <f>ROUND(battery_data!F33*1000,0)</f>
        <v>30847</v>
      </c>
    </row>
    <row r="16" spans="1:19">
      <c r="A16" t="s">
        <v>127</v>
      </c>
      <c r="B16" t="s">
        <v>305</v>
      </c>
      <c r="C16" s="19" t="s">
        <v>184</v>
      </c>
      <c r="D16" s="19">
        <v>2025</v>
      </c>
      <c r="E16">
        <f t="shared" si="0"/>
        <v>0</v>
      </c>
      <c r="F16">
        <f>ROUND( VLOOKUP($B16,$L$5:$M$8, 2, FALSE) * (1+ VLOOKUP($A16,'vomcost mult'!$N$10:$R$32,5, FALSE)), 2)</f>
        <v>1.83</v>
      </c>
      <c r="G16" s="59" t="str">
        <f t="shared" si="1"/>
        <v>remove</v>
      </c>
      <c r="L16" t="str">
        <f t="shared" si="2"/>
        <v>DK</v>
      </c>
      <c r="M16" t="s">
        <v>118</v>
      </c>
      <c r="N16">
        <v>0</v>
      </c>
      <c r="O16">
        <v>0</v>
      </c>
      <c r="P16" s="50">
        <f>350/2</f>
        <v>175</v>
      </c>
      <c r="Q16" s="50">
        <f>P16*2</f>
        <v>350</v>
      </c>
      <c r="S16" t="s">
        <v>274</v>
      </c>
    </row>
    <row r="17" spans="1:17">
      <c r="A17" t="s">
        <v>128</v>
      </c>
      <c r="B17" t="s">
        <v>305</v>
      </c>
      <c r="C17" s="19" t="s">
        <v>184</v>
      </c>
      <c r="D17" s="19">
        <v>2025</v>
      </c>
      <c r="E17">
        <f t="shared" si="0"/>
        <v>0</v>
      </c>
      <c r="F17">
        <f>ROUND( VLOOKUP($B17,$L$5:$M$8, 2, FALSE) * (1+ VLOOKUP($A17,'vomcost mult'!$N$10:$R$32,5, FALSE)), 2)</f>
        <v>1.86</v>
      </c>
      <c r="G17" s="59" t="str">
        <f t="shared" si="1"/>
        <v>remove</v>
      </c>
      <c r="L17" t="str">
        <f t="shared" si="2"/>
        <v>DK</v>
      </c>
      <c r="M17" t="s">
        <v>119</v>
      </c>
      <c r="N17">
        <v>0</v>
      </c>
      <c r="O17">
        <v>0</v>
      </c>
      <c r="P17" s="50">
        <f>350/2</f>
        <v>175</v>
      </c>
      <c r="Q17" s="50">
        <f>P17*2</f>
        <v>350</v>
      </c>
    </row>
    <row r="18" spans="1:17">
      <c r="A18" t="s">
        <v>129</v>
      </c>
      <c r="B18" t="s">
        <v>305</v>
      </c>
      <c r="C18" s="19" t="s">
        <v>184</v>
      </c>
      <c r="D18" s="19">
        <v>2025</v>
      </c>
      <c r="E18">
        <f t="shared" si="0"/>
        <v>0</v>
      </c>
      <c r="F18">
        <f>ROUND( VLOOKUP($B18,$L$5:$M$8, 2, FALSE) * (1+ VLOOKUP($A18,'vomcost mult'!$N$10:$R$32,5, FALSE)), 2)</f>
        <v>1.81</v>
      </c>
      <c r="G18" s="59" t="str">
        <f t="shared" si="1"/>
        <v>remove</v>
      </c>
      <c r="L18" t="str">
        <f t="shared" si="2"/>
        <v>EE</v>
      </c>
      <c r="M18" t="s">
        <v>120</v>
      </c>
      <c r="N18">
        <v>0</v>
      </c>
      <c r="O18">
        <v>0</v>
      </c>
      <c r="P18">
        <v>300</v>
      </c>
      <c r="Q18">
        <v>500</v>
      </c>
    </row>
    <row r="19" spans="1:17">
      <c r="A19" t="s">
        <v>130</v>
      </c>
      <c r="B19" t="s">
        <v>305</v>
      </c>
      <c r="C19" s="19" t="s">
        <v>184</v>
      </c>
      <c r="D19" s="19">
        <v>2025</v>
      </c>
      <c r="E19">
        <f t="shared" si="0"/>
        <v>500</v>
      </c>
      <c r="F19">
        <f>ROUND( VLOOKUP($B19,$L$5:$M$8, 2, FALSE) * (1+ VLOOKUP($A19,'vomcost mult'!$N$10:$R$32,5, FALSE)), 2)</f>
        <v>0.97</v>
      </c>
      <c r="G19" s="59" t="str">
        <f t="shared" si="1"/>
        <v/>
      </c>
      <c r="L19" t="str">
        <f t="shared" si="2"/>
        <v>ES</v>
      </c>
      <c r="M19" t="s">
        <v>121</v>
      </c>
      <c r="N19">
        <v>0</v>
      </c>
      <c r="O19">
        <v>0</v>
      </c>
      <c r="P19">
        <v>560</v>
      </c>
      <c r="Q19">
        <v>1000</v>
      </c>
    </row>
    <row r="20" spans="1:17">
      <c r="A20" t="s">
        <v>131</v>
      </c>
      <c r="B20" t="s">
        <v>305</v>
      </c>
      <c r="C20" s="19" t="s">
        <v>184</v>
      </c>
      <c r="D20" s="19">
        <v>2025</v>
      </c>
      <c r="E20">
        <f t="shared" si="0"/>
        <v>0</v>
      </c>
      <c r="F20">
        <f>ROUND( VLOOKUP($B20,$L$5:$M$8, 2, FALSE) * (1+ VLOOKUP($A20,'vomcost mult'!$N$10:$R$32,5, FALSE)), 2)</f>
        <v>1.65</v>
      </c>
      <c r="G20" s="59" t="str">
        <f t="shared" si="1"/>
        <v>remove</v>
      </c>
      <c r="L20" t="str">
        <f t="shared" si="2"/>
        <v>FI</v>
      </c>
      <c r="M20" t="s">
        <v>122</v>
      </c>
      <c r="N20">
        <v>0</v>
      </c>
      <c r="O20">
        <v>0</v>
      </c>
      <c r="P20">
        <v>1000</v>
      </c>
      <c r="Q20">
        <v>1500</v>
      </c>
    </row>
    <row r="21" spans="1:17">
      <c r="A21" t="s">
        <v>132</v>
      </c>
      <c r="B21" t="s">
        <v>305</v>
      </c>
      <c r="C21" s="19" t="s">
        <v>184</v>
      </c>
      <c r="D21" s="19">
        <v>2025</v>
      </c>
      <c r="E21">
        <f t="shared" si="0"/>
        <v>190</v>
      </c>
      <c r="F21">
        <f>ROUND( VLOOKUP($B21,$L$5:$M$8, 2, FALSE) * (1+ VLOOKUP($A21,'vomcost mult'!$N$10:$R$32,5, FALSE)), 2)</f>
        <v>1.64</v>
      </c>
      <c r="G21" s="59" t="str">
        <f t="shared" si="1"/>
        <v/>
      </c>
      <c r="L21" t="str">
        <f t="shared" si="2"/>
        <v>FR</v>
      </c>
      <c r="M21" t="s">
        <v>123</v>
      </c>
      <c r="N21">
        <v>0</v>
      </c>
      <c r="O21">
        <v>0</v>
      </c>
      <c r="P21">
        <v>1500</v>
      </c>
      <c r="Q21">
        <v>5000</v>
      </c>
    </row>
    <row r="22" spans="1:17">
      <c r="A22" t="s">
        <v>133</v>
      </c>
      <c r="B22" t="s">
        <v>305</v>
      </c>
      <c r="C22" s="19" t="s">
        <v>184</v>
      </c>
      <c r="D22" s="19">
        <v>2025</v>
      </c>
      <c r="E22">
        <f t="shared" si="0"/>
        <v>420</v>
      </c>
      <c r="F22">
        <f>ROUND( VLOOKUP($B22,$L$5:$M$8, 2, FALSE) * (1+ VLOOKUP($A22,'vomcost mult'!$N$10:$R$32,5, FALSE)), 2)</f>
        <v>1.63</v>
      </c>
      <c r="G22" s="59" t="str">
        <f t="shared" si="1"/>
        <v/>
      </c>
      <c r="L22" t="str">
        <f t="shared" si="2"/>
        <v>LT</v>
      </c>
      <c r="M22" t="s">
        <v>124</v>
      </c>
      <c r="N22">
        <v>0</v>
      </c>
      <c r="O22">
        <v>0</v>
      </c>
      <c r="P22">
        <v>550</v>
      </c>
      <c r="Q22">
        <v>750</v>
      </c>
    </row>
    <row r="23" spans="1:17">
      <c r="A23" t="s">
        <v>134</v>
      </c>
      <c r="B23" t="s">
        <v>305</v>
      </c>
      <c r="C23" s="19" t="s">
        <v>184</v>
      </c>
      <c r="D23" s="19">
        <v>2025</v>
      </c>
      <c r="E23">
        <f t="shared" si="0"/>
        <v>120</v>
      </c>
      <c r="F23">
        <f>ROUND( VLOOKUP($B23,$L$5:$M$8, 2, FALSE) * (1+ VLOOKUP($A23,'vomcost mult'!$N$10:$R$32,5, FALSE)), 2)</f>
        <v>1.62</v>
      </c>
      <c r="G23" s="59" t="str">
        <f t="shared" si="1"/>
        <v/>
      </c>
      <c r="L23" t="str">
        <f t="shared" si="2"/>
        <v>LV</v>
      </c>
      <c r="M23" t="s">
        <v>125</v>
      </c>
      <c r="N23">
        <v>0</v>
      </c>
      <c r="O23">
        <v>0</v>
      </c>
      <c r="P23">
        <v>150</v>
      </c>
      <c r="Q23">
        <v>250</v>
      </c>
    </row>
    <row r="24" spans="1:17">
      <c r="A24" t="s">
        <v>135</v>
      </c>
      <c r="B24" t="s">
        <v>305</v>
      </c>
      <c r="C24" s="19" t="s">
        <v>184</v>
      </c>
      <c r="D24" s="19">
        <v>2025</v>
      </c>
      <c r="E24">
        <f t="shared" si="0"/>
        <v>7000</v>
      </c>
      <c r="F24">
        <f>ROUND( VLOOKUP($B24,$L$5:$M$8, 2, FALSE) * (1+ VLOOKUP($A24,'vomcost mult'!$N$10:$R$32,5, FALSE)), 2)</f>
        <v>1.63</v>
      </c>
      <c r="G24" s="59" t="str">
        <f t="shared" si="1"/>
        <v/>
      </c>
      <c r="L24" t="str">
        <f t="shared" si="2"/>
        <v>NL</v>
      </c>
      <c r="M24" t="s">
        <v>126</v>
      </c>
      <c r="N24">
        <v>0</v>
      </c>
      <c r="O24">
        <v>0</v>
      </c>
      <c r="P24">
        <v>800</v>
      </c>
      <c r="Q24">
        <v>1200</v>
      </c>
    </row>
    <row r="25" spans="1:17">
      <c r="A25" t="s">
        <v>111</v>
      </c>
      <c r="B25" t="s">
        <v>305</v>
      </c>
      <c r="C25" s="19" t="s">
        <v>184</v>
      </c>
      <c r="D25" s="19">
        <v>2030</v>
      </c>
      <c r="E25">
        <f t="shared" si="0"/>
        <v>1400</v>
      </c>
      <c r="F25">
        <f>ROUND( VLOOKUP($B25,$L$5:$M$8, 2, FALSE) * (1+ VLOOKUP($A25,'vomcost mult'!$N$10:$R$32,5, FALSE)), 2)</f>
        <v>1.58</v>
      </c>
      <c r="G25" s="59" t="str">
        <f t="shared" si="1"/>
        <v/>
      </c>
      <c r="L25" t="str">
        <f t="shared" si="2"/>
        <v>NO</v>
      </c>
      <c r="M25" t="s">
        <v>127</v>
      </c>
      <c r="N25">
        <v>0</v>
      </c>
      <c r="O25">
        <v>0</v>
      </c>
      <c r="P25" s="50">
        <v>0</v>
      </c>
      <c r="Q25" s="50">
        <v>0</v>
      </c>
    </row>
    <row r="26" spans="1:17">
      <c r="A26" t="s">
        <v>114</v>
      </c>
      <c r="B26" t="s">
        <v>305</v>
      </c>
      <c r="C26" s="19" t="s">
        <v>184</v>
      </c>
      <c r="D26" s="19">
        <v>2030</v>
      </c>
      <c r="E26">
        <f t="shared" si="0"/>
        <v>2000</v>
      </c>
      <c r="F26">
        <f>ROUND( VLOOKUP($B26,$L$5:$M$8, 2, FALSE) * (1+ VLOOKUP($A26,'vomcost mult'!$N$10:$R$32,5, FALSE)), 2)</f>
        <v>1.57</v>
      </c>
      <c r="G26" s="59" t="str">
        <f t="shared" si="1"/>
        <v/>
      </c>
      <c r="L26" t="str">
        <f t="shared" si="2"/>
        <v>NO</v>
      </c>
      <c r="M26" t="s">
        <v>128</v>
      </c>
      <c r="N26">
        <v>0</v>
      </c>
      <c r="O26">
        <v>0</v>
      </c>
      <c r="P26" s="50">
        <v>0</v>
      </c>
      <c r="Q26" s="50">
        <v>0</v>
      </c>
    </row>
    <row r="27" spans="1:17">
      <c r="A27" t="s">
        <v>116</v>
      </c>
      <c r="B27" t="s">
        <v>305</v>
      </c>
      <c r="C27" s="19" t="s">
        <v>184</v>
      </c>
      <c r="D27" s="19">
        <v>2030</v>
      </c>
      <c r="E27">
        <f t="shared" si="0"/>
        <v>3691.5</v>
      </c>
      <c r="F27">
        <f>ROUND( VLOOKUP($B27,$L$5:$M$8, 2, FALSE) * (1+ VLOOKUP($A27,'vomcost mult'!$N$10:$R$32,5, FALSE)), 2)</f>
        <v>2.04</v>
      </c>
      <c r="G27" s="59" t="str">
        <f t="shared" si="1"/>
        <v/>
      </c>
      <c r="L27" t="str">
        <f t="shared" si="2"/>
        <v>NO</v>
      </c>
      <c r="M27" t="s">
        <v>129</v>
      </c>
      <c r="N27">
        <v>0</v>
      </c>
      <c r="O27">
        <v>0</v>
      </c>
      <c r="P27" s="50">
        <v>0</v>
      </c>
      <c r="Q27" s="50">
        <v>0</v>
      </c>
    </row>
    <row r="28" spans="1:17">
      <c r="A28" t="s">
        <v>117</v>
      </c>
      <c r="B28" t="s">
        <v>305</v>
      </c>
      <c r="C28" s="19" t="s">
        <v>184</v>
      </c>
      <c r="D28" s="19">
        <v>2030</v>
      </c>
      <c r="E28">
        <f t="shared" si="0"/>
        <v>30847</v>
      </c>
      <c r="F28">
        <f>ROUND( VLOOKUP($B28,$L$5:$M$8, 2, FALSE) * (1+ VLOOKUP($A28,'vomcost mult'!$N$10:$R$32,5, FALSE)), 2)</f>
        <v>1.55</v>
      </c>
      <c r="G28" s="59" t="str">
        <f t="shared" si="1"/>
        <v/>
      </c>
      <c r="L28" t="str">
        <f t="shared" si="2"/>
        <v>PL</v>
      </c>
      <c r="M28" t="s">
        <v>130</v>
      </c>
      <c r="N28">
        <v>0</v>
      </c>
      <c r="O28">
        <v>0</v>
      </c>
      <c r="P28">
        <v>500</v>
      </c>
      <c r="Q28">
        <v>2500</v>
      </c>
    </row>
    <row r="29" spans="1:17">
      <c r="A29" t="s">
        <v>118</v>
      </c>
      <c r="B29" t="s">
        <v>305</v>
      </c>
      <c r="C29" s="19" t="s">
        <v>184</v>
      </c>
      <c r="D29" s="19">
        <v>2030</v>
      </c>
      <c r="E29">
        <f t="shared" si="0"/>
        <v>350</v>
      </c>
      <c r="F29">
        <f>ROUND( VLOOKUP($B29,$L$5:$M$8, 2, FALSE) * (1+ VLOOKUP($A29,'vomcost mult'!$N$10:$R$32,5, FALSE)), 2)</f>
        <v>1.75</v>
      </c>
      <c r="G29" s="59" t="str">
        <f t="shared" si="1"/>
        <v/>
      </c>
      <c r="L29" t="str">
        <f t="shared" si="2"/>
        <v>SE</v>
      </c>
      <c r="M29" t="s">
        <v>131</v>
      </c>
      <c r="N29">
        <v>0</v>
      </c>
      <c r="O29">
        <v>0</v>
      </c>
      <c r="P29" s="50">
        <v>0</v>
      </c>
      <c r="Q29" s="50">
        <v>50</v>
      </c>
    </row>
    <row r="30" spans="1:17">
      <c r="A30" t="s">
        <v>119</v>
      </c>
      <c r="B30" t="s">
        <v>305</v>
      </c>
      <c r="C30" s="19" t="s">
        <v>184</v>
      </c>
      <c r="D30" s="19">
        <v>2030</v>
      </c>
      <c r="E30">
        <f t="shared" si="0"/>
        <v>350</v>
      </c>
      <c r="F30">
        <f>ROUND( VLOOKUP($B30,$L$5:$M$8, 2, FALSE) * (1+ VLOOKUP($A30,'vomcost mult'!$N$10:$R$32,5, FALSE)), 2)</f>
        <v>1.73</v>
      </c>
      <c r="G30" s="59" t="str">
        <f t="shared" si="1"/>
        <v/>
      </c>
      <c r="L30" t="str">
        <f t="shared" si="2"/>
        <v>SE</v>
      </c>
      <c r="M30" t="s">
        <v>132</v>
      </c>
      <c r="N30">
        <v>0</v>
      </c>
      <c r="O30">
        <v>0</v>
      </c>
      <c r="P30" s="50">
        <v>190</v>
      </c>
      <c r="Q30" s="50">
        <v>320</v>
      </c>
    </row>
    <row r="31" spans="1:17">
      <c r="A31" t="s">
        <v>120</v>
      </c>
      <c r="B31" t="s">
        <v>305</v>
      </c>
      <c r="C31" s="19" t="s">
        <v>184</v>
      </c>
      <c r="D31" s="19">
        <v>2030</v>
      </c>
      <c r="E31">
        <f t="shared" si="0"/>
        <v>500</v>
      </c>
      <c r="F31">
        <f>ROUND( VLOOKUP($B31,$L$5:$M$8, 2, FALSE) * (1+ VLOOKUP($A31,'vomcost mult'!$N$10:$R$32,5, FALSE)), 2)</f>
        <v>1.1100000000000001</v>
      </c>
      <c r="G31" s="59" t="str">
        <f t="shared" si="1"/>
        <v/>
      </c>
      <c r="L31" t="str">
        <f t="shared" si="2"/>
        <v>SE</v>
      </c>
      <c r="M31" t="s">
        <v>133</v>
      </c>
      <c r="N31">
        <v>0</v>
      </c>
      <c r="O31">
        <v>0</v>
      </c>
      <c r="P31" s="50">
        <v>420</v>
      </c>
      <c r="Q31" s="50">
        <v>860</v>
      </c>
    </row>
    <row r="32" spans="1:17">
      <c r="A32" t="s">
        <v>121</v>
      </c>
      <c r="B32" t="s">
        <v>305</v>
      </c>
      <c r="C32" s="19" t="s">
        <v>184</v>
      </c>
      <c r="D32" s="19">
        <v>2030</v>
      </c>
      <c r="E32">
        <f t="shared" si="0"/>
        <v>1000</v>
      </c>
      <c r="F32">
        <f>ROUND( VLOOKUP($B32,$L$5:$M$8, 2, FALSE) * (1+ VLOOKUP($A32,'vomcost mult'!$N$10:$R$32,5, FALSE)), 2)</f>
        <v>1.28</v>
      </c>
      <c r="G32" s="59" t="str">
        <f t="shared" si="1"/>
        <v/>
      </c>
      <c r="L32" t="str">
        <f t="shared" si="2"/>
        <v>SE</v>
      </c>
      <c r="M32" t="s">
        <v>134</v>
      </c>
      <c r="N32">
        <v>0</v>
      </c>
      <c r="O32">
        <v>0</v>
      </c>
      <c r="P32" s="50">
        <v>120</v>
      </c>
      <c r="Q32" s="50">
        <v>580</v>
      </c>
    </row>
    <row r="33" spans="1:19">
      <c r="A33" t="s">
        <v>122</v>
      </c>
      <c r="B33" t="s">
        <v>305</v>
      </c>
      <c r="C33" s="19" t="s">
        <v>184</v>
      </c>
      <c r="D33" s="19">
        <v>2030</v>
      </c>
      <c r="E33">
        <f t="shared" si="0"/>
        <v>1500</v>
      </c>
      <c r="F33">
        <f>ROUND( VLOOKUP($B33,$L$5:$M$8, 2, FALSE) * (1+ VLOOKUP($A33,'vomcost mult'!$N$10:$R$32,5, FALSE)), 2)</f>
        <v>1.55</v>
      </c>
      <c r="G33" s="59" t="str">
        <f t="shared" si="1"/>
        <v/>
      </c>
      <c r="L33" t="str">
        <f t="shared" si="2"/>
        <v>UK</v>
      </c>
      <c r="M33" t="s">
        <v>135</v>
      </c>
      <c r="N33">
        <v>0</v>
      </c>
      <c r="O33">
        <v>0</v>
      </c>
      <c r="P33" s="51">
        <v>7000</v>
      </c>
      <c r="Q33" s="51">
        <v>12000</v>
      </c>
      <c r="S33" t="s">
        <v>172</v>
      </c>
    </row>
    <row r="34" spans="1:19">
      <c r="A34" t="s">
        <v>123</v>
      </c>
      <c r="B34" t="s">
        <v>305</v>
      </c>
      <c r="C34" s="19" t="s">
        <v>184</v>
      </c>
      <c r="D34" s="19">
        <v>2030</v>
      </c>
      <c r="E34">
        <f t="shared" si="0"/>
        <v>5000</v>
      </c>
      <c r="F34">
        <f>ROUND( VLOOKUP($B34,$L$5:$M$8, 2, FALSE) * (1+ VLOOKUP($A34,'vomcost mult'!$N$10:$R$32,5, FALSE)), 2)</f>
        <v>1.48</v>
      </c>
      <c r="G34" s="59" t="str">
        <f t="shared" si="1"/>
        <v/>
      </c>
    </row>
    <row r="35" spans="1:19">
      <c r="A35" t="s">
        <v>124</v>
      </c>
      <c r="B35" t="s">
        <v>305</v>
      </c>
      <c r="C35" s="19" t="s">
        <v>184</v>
      </c>
      <c r="D35" s="19">
        <v>2030</v>
      </c>
      <c r="E35">
        <f t="shared" si="0"/>
        <v>750</v>
      </c>
      <c r="F35">
        <f>ROUND( VLOOKUP($B35,$L$5:$M$8, 2, FALSE) * (1+ VLOOKUP($A35,'vomcost mult'!$N$10:$R$32,5, FALSE)), 2)</f>
        <v>1.07</v>
      </c>
      <c r="G35" s="59" t="str">
        <f t="shared" si="1"/>
        <v/>
      </c>
    </row>
    <row r="36" spans="1:19">
      <c r="A36" t="s">
        <v>125</v>
      </c>
      <c r="B36" t="s">
        <v>305</v>
      </c>
      <c r="C36" s="19" t="s">
        <v>184</v>
      </c>
      <c r="D36" s="19">
        <v>2030</v>
      </c>
      <c r="E36">
        <f t="shared" si="0"/>
        <v>250</v>
      </c>
      <c r="F36">
        <f>ROUND( VLOOKUP($B36,$L$5:$M$8, 2, FALSE) * (1+ VLOOKUP($A36,'vomcost mult'!$N$10:$R$32,5, FALSE)), 2)</f>
        <v>0.98</v>
      </c>
      <c r="G36" s="59" t="str">
        <f t="shared" si="1"/>
        <v/>
      </c>
    </row>
    <row r="37" spans="1:19">
      <c r="A37" t="s">
        <v>126</v>
      </c>
      <c r="B37" t="s">
        <v>305</v>
      </c>
      <c r="C37" s="19" t="s">
        <v>184</v>
      </c>
      <c r="D37" s="19">
        <v>2030</v>
      </c>
      <c r="E37">
        <f t="shared" si="0"/>
        <v>1200</v>
      </c>
      <c r="F37">
        <f>ROUND( VLOOKUP($B37,$L$5:$M$8, 2, FALSE) * (1+ VLOOKUP($A37,'vomcost mult'!$N$10:$R$32,5, FALSE)), 2)</f>
        <v>1.65</v>
      </c>
      <c r="G37" s="59" t="str">
        <f t="shared" si="1"/>
        <v/>
      </c>
    </row>
    <row r="38" spans="1:19">
      <c r="A38" t="s">
        <v>127</v>
      </c>
      <c r="B38" t="s">
        <v>305</v>
      </c>
      <c r="C38" s="19" t="s">
        <v>184</v>
      </c>
      <c r="D38" s="19">
        <v>2030</v>
      </c>
      <c r="E38">
        <f t="shared" si="0"/>
        <v>0</v>
      </c>
      <c r="F38">
        <f>ROUND( VLOOKUP($B38,$L$5:$M$8, 2, FALSE) * (1+ VLOOKUP($A38,'vomcost mult'!$N$10:$R$32,5, FALSE)), 2)</f>
        <v>1.83</v>
      </c>
      <c r="G38" s="59" t="str">
        <f t="shared" si="1"/>
        <v>remove</v>
      </c>
    </row>
    <row r="39" spans="1:19">
      <c r="A39" t="s">
        <v>128</v>
      </c>
      <c r="B39" t="s">
        <v>305</v>
      </c>
      <c r="C39" s="19" t="s">
        <v>184</v>
      </c>
      <c r="D39" s="19">
        <v>2030</v>
      </c>
      <c r="E39">
        <f t="shared" si="0"/>
        <v>0</v>
      </c>
      <c r="F39">
        <f>ROUND( VLOOKUP($B39,$L$5:$M$8, 2, FALSE) * (1+ VLOOKUP($A39,'vomcost mult'!$N$10:$R$32,5, FALSE)), 2)</f>
        <v>1.86</v>
      </c>
      <c r="G39" s="59" t="str">
        <f t="shared" si="1"/>
        <v>remove</v>
      </c>
    </row>
    <row r="40" spans="1:19">
      <c r="A40" t="s">
        <v>129</v>
      </c>
      <c r="B40" t="s">
        <v>305</v>
      </c>
      <c r="C40" s="19" t="s">
        <v>184</v>
      </c>
      <c r="D40" s="19">
        <v>2030</v>
      </c>
      <c r="E40">
        <f t="shared" si="0"/>
        <v>0</v>
      </c>
      <c r="F40">
        <f>ROUND( VLOOKUP($B40,$L$5:$M$8, 2, FALSE) * (1+ VLOOKUP($A40,'vomcost mult'!$N$10:$R$32,5, FALSE)), 2)</f>
        <v>1.81</v>
      </c>
      <c r="G40" s="59" t="str">
        <f t="shared" si="1"/>
        <v>remove</v>
      </c>
    </row>
    <row r="41" spans="1:19">
      <c r="A41" t="s">
        <v>130</v>
      </c>
      <c r="B41" t="s">
        <v>305</v>
      </c>
      <c r="C41" s="19" t="s">
        <v>184</v>
      </c>
      <c r="D41" s="19">
        <v>2030</v>
      </c>
      <c r="E41">
        <f t="shared" si="0"/>
        <v>2500</v>
      </c>
      <c r="F41">
        <f>ROUND( VLOOKUP($B41,$L$5:$M$8, 2, FALSE) * (1+ VLOOKUP($A41,'vomcost mult'!$N$10:$R$32,5, FALSE)), 2)</f>
        <v>0.97</v>
      </c>
      <c r="G41" s="59" t="str">
        <f t="shared" si="1"/>
        <v/>
      </c>
    </row>
    <row r="42" spans="1:19">
      <c r="A42" t="s">
        <v>131</v>
      </c>
      <c r="B42" t="s">
        <v>305</v>
      </c>
      <c r="C42" s="19" t="s">
        <v>184</v>
      </c>
      <c r="D42" s="19">
        <v>2030</v>
      </c>
      <c r="E42">
        <f t="shared" si="0"/>
        <v>50</v>
      </c>
      <c r="F42">
        <f>ROUND( VLOOKUP($B42,$L$5:$M$8, 2, FALSE) * (1+ VLOOKUP($A42,'vomcost mult'!$N$10:$R$32,5, FALSE)), 2)</f>
        <v>1.65</v>
      </c>
      <c r="G42" s="59" t="str">
        <f t="shared" si="1"/>
        <v/>
      </c>
    </row>
    <row r="43" spans="1:19">
      <c r="A43" t="s">
        <v>132</v>
      </c>
      <c r="B43" t="s">
        <v>305</v>
      </c>
      <c r="C43" s="19" t="s">
        <v>184</v>
      </c>
      <c r="D43" s="19">
        <v>2030</v>
      </c>
      <c r="E43">
        <f t="shared" si="0"/>
        <v>320</v>
      </c>
      <c r="F43">
        <f>ROUND( VLOOKUP($B43,$L$5:$M$8, 2, FALSE) * (1+ VLOOKUP($A43,'vomcost mult'!$N$10:$R$32,5, FALSE)), 2)</f>
        <v>1.64</v>
      </c>
      <c r="G43" s="59" t="str">
        <f t="shared" si="1"/>
        <v/>
      </c>
    </row>
    <row r="44" spans="1:19">
      <c r="A44" t="s">
        <v>133</v>
      </c>
      <c r="B44" t="s">
        <v>305</v>
      </c>
      <c r="C44" s="19" t="s">
        <v>184</v>
      </c>
      <c r="D44" s="19">
        <v>2030</v>
      </c>
      <c r="E44">
        <f t="shared" si="0"/>
        <v>860</v>
      </c>
      <c r="F44">
        <f>ROUND( VLOOKUP($B44,$L$5:$M$8, 2, FALSE) * (1+ VLOOKUP($A44,'vomcost mult'!$N$10:$R$32,5, FALSE)), 2)</f>
        <v>1.63</v>
      </c>
      <c r="G44" s="59" t="str">
        <f t="shared" si="1"/>
        <v/>
      </c>
    </row>
    <row r="45" spans="1:19">
      <c r="A45" t="s">
        <v>134</v>
      </c>
      <c r="B45" t="s">
        <v>305</v>
      </c>
      <c r="C45" s="19" t="s">
        <v>184</v>
      </c>
      <c r="D45" s="19">
        <v>2030</v>
      </c>
      <c r="E45">
        <f t="shared" si="0"/>
        <v>580</v>
      </c>
      <c r="F45">
        <f>ROUND( VLOOKUP($B45,$L$5:$M$8, 2, FALSE) * (1+ VLOOKUP($A45,'vomcost mult'!$N$10:$R$32,5, FALSE)), 2)</f>
        <v>1.62</v>
      </c>
      <c r="G45" s="59" t="str">
        <f t="shared" si="1"/>
        <v/>
      </c>
    </row>
    <row r="46" spans="1:19">
      <c r="A46" t="s">
        <v>135</v>
      </c>
      <c r="B46" t="s">
        <v>305</v>
      </c>
      <c r="C46" s="19" t="s">
        <v>184</v>
      </c>
      <c r="D46" s="19">
        <v>2030</v>
      </c>
      <c r="E46">
        <f t="shared" si="0"/>
        <v>12000</v>
      </c>
      <c r="F46">
        <f>ROUND( VLOOKUP($B46,$L$5:$M$8, 2, FALSE) * (1+ VLOOKUP($A46,'vomcost mult'!$N$10:$R$32,5, FALSE)), 2)</f>
        <v>1.63</v>
      </c>
      <c r="G46" s="59" t="str">
        <f t="shared" si="1"/>
        <v/>
      </c>
    </row>
    <row r="47" spans="1:19">
      <c r="A47" s="17" t="s">
        <v>280</v>
      </c>
      <c r="C47" s="19"/>
      <c r="D47" s="19"/>
      <c r="G47" s="59"/>
    </row>
    <row r="48" spans="1:19">
      <c r="A48" t="s">
        <v>111</v>
      </c>
      <c r="B48" t="s">
        <v>306</v>
      </c>
      <c r="C48" s="19" t="s">
        <v>184</v>
      </c>
      <c r="D48" s="19">
        <v>2025</v>
      </c>
      <c r="E48">
        <f>E3</f>
        <v>550</v>
      </c>
      <c r="F48">
        <f>ROUND( VLOOKUP($B48,$L$5:$M$8, 2, FALSE) * (1+ VLOOKUP($A48,'vomcost mult'!$N$10:$R$32,5, FALSE)), 2)</f>
        <v>1.58</v>
      </c>
      <c r="G48" s="59" t="str">
        <f t="shared" ref="G48:G91" si="3">IF(E48&lt;10, "remove", "")</f>
        <v/>
      </c>
    </row>
    <row r="49" spans="1:7">
      <c r="A49" t="s">
        <v>114</v>
      </c>
      <c r="B49" t="s">
        <v>306</v>
      </c>
      <c r="C49" s="19" t="s">
        <v>184</v>
      </c>
      <c r="D49" s="19">
        <v>2025</v>
      </c>
      <c r="E49">
        <f t="shared" ref="E49:E91" si="4">E4</f>
        <v>700</v>
      </c>
      <c r="F49">
        <f>ROUND( VLOOKUP($B49,$L$5:$M$8, 2, FALSE) * (1+ VLOOKUP($A49,'vomcost mult'!$N$10:$R$32,5, FALSE)), 2)</f>
        <v>1.57</v>
      </c>
      <c r="G49" s="59" t="str">
        <f t="shared" si="3"/>
        <v/>
      </c>
    </row>
    <row r="50" spans="1:7">
      <c r="A50" t="s">
        <v>116</v>
      </c>
      <c r="B50" t="s">
        <v>306</v>
      </c>
      <c r="C50" s="19" t="s">
        <v>184</v>
      </c>
      <c r="D50" s="19">
        <v>2025</v>
      </c>
      <c r="E50">
        <f t="shared" si="4"/>
        <v>1451</v>
      </c>
      <c r="F50">
        <f>ROUND( VLOOKUP($B50,$L$5:$M$8, 2, FALSE) * (1+ VLOOKUP($A50,'vomcost mult'!$N$10:$R$32,5, FALSE)), 2)</f>
        <v>2.04</v>
      </c>
      <c r="G50" s="59" t="str">
        <f t="shared" si="3"/>
        <v/>
      </c>
    </row>
    <row r="51" spans="1:7">
      <c r="A51" t="s">
        <v>117</v>
      </c>
      <c r="B51" t="s">
        <v>306</v>
      </c>
      <c r="C51" s="19" t="s">
        <v>184</v>
      </c>
      <c r="D51" s="19">
        <v>2025</v>
      </c>
      <c r="E51">
        <f t="shared" si="4"/>
        <v>16792</v>
      </c>
      <c r="F51">
        <f>ROUND( VLOOKUP($B51,$L$5:$M$8, 2, FALSE) * (1+ VLOOKUP($A51,'vomcost mult'!$N$10:$R$32,5, FALSE)), 2)</f>
        <v>1.55</v>
      </c>
      <c r="G51" s="59" t="str">
        <f t="shared" si="3"/>
        <v/>
      </c>
    </row>
    <row r="52" spans="1:7">
      <c r="A52" t="s">
        <v>118</v>
      </c>
      <c r="B52" t="s">
        <v>306</v>
      </c>
      <c r="C52" s="19" t="s">
        <v>184</v>
      </c>
      <c r="D52" s="19">
        <v>2025</v>
      </c>
      <c r="E52">
        <f t="shared" si="4"/>
        <v>175</v>
      </c>
      <c r="F52">
        <f>ROUND( VLOOKUP($B52,$L$5:$M$8, 2, FALSE) * (1+ VLOOKUP($A52,'vomcost mult'!$N$10:$R$32,5, FALSE)), 2)</f>
        <v>1.75</v>
      </c>
      <c r="G52" s="59" t="str">
        <f t="shared" si="3"/>
        <v/>
      </c>
    </row>
    <row r="53" spans="1:7">
      <c r="A53" t="s">
        <v>119</v>
      </c>
      <c r="B53" t="s">
        <v>306</v>
      </c>
      <c r="C53" s="19" t="s">
        <v>184</v>
      </c>
      <c r="D53" s="19">
        <v>2025</v>
      </c>
      <c r="E53">
        <f t="shared" si="4"/>
        <v>175</v>
      </c>
      <c r="F53">
        <f>ROUND( VLOOKUP($B53,$L$5:$M$8, 2, FALSE) * (1+ VLOOKUP($A53,'vomcost mult'!$N$10:$R$32,5, FALSE)), 2)</f>
        <v>1.73</v>
      </c>
      <c r="G53" s="59" t="str">
        <f t="shared" si="3"/>
        <v/>
      </c>
    </row>
    <row r="54" spans="1:7">
      <c r="A54" t="s">
        <v>120</v>
      </c>
      <c r="B54" t="s">
        <v>306</v>
      </c>
      <c r="C54" s="19" t="s">
        <v>184</v>
      </c>
      <c r="D54" s="19">
        <v>2025</v>
      </c>
      <c r="E54">
        <f t="shared" si="4"/>
        <v>300</v>
      </c>
      <c r="F54">
        <f>ROUND( VLOOKUP($B54,$L$5:$M$8, 2, FALSE) * (1+ VLOOKUP($A54,'vomcost mult'!$N$10:$R$32,5, FALSE)), 2)</f>
        <v>1.1100000000000001</v>
      </c>
      <c r="G54" s="59" t="str">
        <f t="shared" si="3"/>
        <v/>
      </c>
    </row>
    <row r="55" spans="1:7">
      <c r="A55" t="s">
        <v>121</v>
      </c>
      <c r="B55" t="s">
        <v>306</v>
      </c>
      <c r="C55" s="19" t="s">
        <v>184</v>
      </c>
      <c r="D55" s="19">
        <v>2025</v>
      </c>
      <c r="E55">
        <f t="shared" si="4"/>
        <v>560</v>
      </c>
      <c r="F55">
        <f>ROUND( VLOOKUP($B55,$L$5:$M$8, 2, FALSE) * (1+ VLOOKUP($A55,'vomcost mult'!$N$10:$R$32,5, FALSE)), 2)</f>
        <v>1.28</v>
      </c>
      <c r="G55" s="59" t="str">
        <f t="shared" si="3"/>
        <v/>
      </c>
    </row>
    <row r="56" spans="1:7">
      <c r="A56" t="s">
        <v>122</v>
      </c>
      <c r="B56" t="s">
        <v>306</v>
      </c>
      <c r="C56" s="19" t="s">
        <v>184</v>
      </c>
      <c r="D56" s="19">
        <v>2025</v>
      </c>
      <c r="E56">
        <f t="shared" si="4"/>
        <v>1000</v>
      </c>
      <c r="F56">
        <f>ROUND( VLOOKUP($B56,$L$5:$M$8, 2, FALSE) * (1+ VLOOKUP($A56,'vomcost mult'!$N$10:$R$32,5, FALSE)), 2)</f>
        <v>1.55</v>
      </c>
      <c r="G56" s="59" t="str">
        <f t="shared" si="3"/>
        <v/>
      </c>
    </row>
    <row r="57" spans="1:7">
      <c r="A57" t="s">
        <v>123</v>
      </c>
      <c r="B57" t="s">
        <v>306</v>
      </c>
      <c r="C57" s="19" t="s">
        <v>184</v>
      </c>
      <c r="D57" s="19">
        <v>2025</v>
      </c>
      <c r="E57">
        <f t="shared" si="4"/>
        <v>1500</v>
      </c>
      <c r="F57">
        <f>ROUND( VLOOKUP($B57,$L$5:$M$8, 2, FALSE) * (1+ VLOOKUP($A57,'vomcost mult'!$N$10:$R$32,5, FALSE)), 2)</f>
        <v>1.48</v>
      </c>
      <c r="G57" s="59" t="str">
        <f t="shared" si="3"/>
        <v/>
      </c>
    </row>
    <row r="58" spans="1:7">
      <c r="A58" t="s">
        <v>124</v>
      </c>
      <c r="B58" t="s">
        <v>306</v>
      </c>
      <c r="C58" s="19" t="s">
        <v>184</v>
      </c>
      <c r="D58" s="19">
        <v>2025</v>
      </c>
      <c r="E58">
        <f t="shared" si="4"/>
        <v>550</v>
      </c>
      <c r="F58">
        <f>ROUND( VLOOKUP($B58,$L$5:$M$8, 2, FALSE) * (1+ VLOOKUP($A58,'vomcost mult'!$N$10:$R$32,5, FALSE)), 2)</f>
        <v>1.07</v>
      </c>
      <c r="G58" s="59" t="str">
        <f t="shared" si="3"/>
        <v/>
      </c>
    </row>
    <row r="59" spans="1:7">
      <c r="A59" t="s">
        <v>125</v>
      </c>
      <c r="B59" t="s">
        <v>306</v>
      </c>
      <c r="C59" s="19" t="s">
        <v>184</v>
      </c>
      <c r="D59" s="19">
        <v>2025</v>
      </c>
      <c r="E59">
        <f t="shared" si="4"/>
        <v>150</v>
      </c>
      <c r="F59">
        <f>ROUND( VLOOKUP($B59,$L$5:$M$8, 2, FALSE) * (1+ VLOOKUP($A59,'vomcost mult'!$N$10:$R$32,5, FALSE)), 2)</f>
        <v>0.98</v>
      </c>
      <c r="G59" s="59" t="str">
        <f t="shared" si="3"/>
        <v/>
      </c>
    </row>
    <row r="60" spans="1:7">
      <c r="A60" t="s">
        <v>126</v>
      </c>
      <c r="B60" t="s">
        <v>306</v>
      </c>
      <c r="C60" s="19" t="s">
        <v>184</v>
      </c>
      <c r="D60" s="19">
        <v>2025</v>
      </c>
      <c r="E60">
        <f t="shared" si="4"/>
        <v>800</v>
      </c>
      <c r="F60">
        <f>ROUND( VLOOKUP($B60,$L$5:$M$8, 2, FALSE) * (1+ VLOOKUP($A60,'vomcost mult'!$N$10:$R$32,5, FALSE)), 2)</f>
        <v>1.65</v>
      </c>
      <c r="G60" s="59" t="str">
        <f t="shared" si="3"/>
        <v/>
      </c>
    </row>
    <row r="61" spans="1:7">
      <c r="A61" t="s">
        <v>127</v>
      </c>
      <c r="B61" t="s">
        <v>306</v>
      </c>
      <c r="C61" s="19" t="s">
        <v>184</v>
      </c>
      <c r="D61" s="19">
        <v>2025</v>
      </c>
      <c r="E61">
        <f t="shared" si="4"/>
        <v>0</v>
      </c>
      <c r="F61">
        <f>ROUND( VLOOKUP($B61,$L$5:$M$8, 2, FALSE) * (1+ VLOOKUP($A61,'vomcost mult'!$N$10:$R$32,5, FALSE)), 2)</f>
        <v>1.83</v>
      </c>
      <c r="G61" s="59" t="str">
        <f t="shared" si="3"/>
        <v>remove</v>
      </c>
    </row>
    <row r="62" spans="1:7">
      <c r="A62" t="s">
        <v>128</v>
      </c>
      <c r="B62" t="s">
        <v>306</v>
      </c>
      <c r="C62" s="19" t="s">
        <v>184</v>
      </c>
      <c r="D62" s="19">
        <v>2025</v>
      </c>
      <c r="E62">
        <f t="shared" si="4"/>
        <v>0</v>
      </c>
      <c r="F62">
        <f>ROUND( VLOOKUP($B62,$L$5:$M$8, 2, FALSE) * (1+ VLOOKUP($A62,'vomcost mult'!$N$10:$R$32,5, FALSE)), 2)</f>
        <v>1.86</v>
      </c>
      <c r="G62" s="59" t="str">
        <f t="shared" si="3"/>
        <v>remove</v>
      </c>
    </row>
    <row r="63" spans="1:7">
      <c r="A63" t="s">
        <v>129</v>
      </c>
      <c r="B63" t="s">
        <v>306</v>
      </c>
      <c r="C63" s="19" t="s">
        <v>184</v>
      </c>
      <c r="D63" s="19">
        <v>2025</v>
      </c>
      <c r="E63">
        <f t="shared" si="4"/>
        <v>0</v>
      </c>
      <c r="F63">
        <f>ROUND( VLOOKUP($B63,$L$5:$M$8, 2, FALSE) * (1+ VLOOKUP($A63,'vomcost mult'!$N$10:$R$32,5, FALSE)), 2)</f>
        <v>1.81</v>
      </c>
      <c r="G63" s="59" t="str">
        <f t="shared" si="3"/>
        <v>remove</v>
      </c>
    </row>
    <row r="64" spans="1:7">
      <c r="A64" t="s">
        <v>130</v>
      </c>
      <c r="B64" t="s">
        <v>306</v>
      </c>
      <c r="C64" s="19" t="s">
        <v>184</v>
      </c>
      <c r="D64" s="19">
        <v>2025</v>
      </c>
      <c r="E64">
        <f t="shared" si="4"/>
        <v>500</v>
      </c>
      <c r="F64">
        <f>ROUND( VLOOKUP($B64,$L$5:$M$8, 2, FALSE) * (1+ VLOOKUP($A64,'vomcost mult'!$N$10:$R$32,5, FALSE)), 2)</f>
        <v>0.97</v>
      </c>
      <c r="G64" s="59" t="str">
        <f t="shared" si="3"/>
        <v/>
      </c>
    </row>
    <row r="65" spans="1:7">
      <c r="A65" t="s">
        <v>131</v>
      </c>
      <c r="B65" t="s">
        <v>306</v>
      </c>
      <c r="C65" s="19" t="s">
        <v>184</v>
      </c>
      <c r="D65" s="19">
        <v>2025</v>
      </c>
      <c r="E65">
        <f t="shared" si="4"/>
        <v>0</v>
      </c>
      <c r="F65">
        <f>ROUND( VLOOKUP($B65,$L$5:$M$8, 2, FALSE) * (1+ VLOOKUP($A65,'vomcost mult'!$N$10:$R$32,5, FALSE)), 2)</f>
        <v>1.65</v>
      </c>
      <c r="G65" s="59" t="str">
        <f t="shared" si="3"/>
        <v>remove</v>
      </c>
    </row>
    <row r="66" spans="1:7">
      <c r="A66" t="s">
        <v>132</v>
      </c>
      <c r="B66" t="s">
        <v>306</v>
      </c>
      <c r="C66" s="19" t="s">
        <v>184</v>
      </c>
      <c r="D66" s="19">
        <v>2025</v>
      </c>
      <c r="E66">
        <f t="shared" si="4"/>
        <v>190</v>
      </c>
      <c r="F66">
        <f>ROUND( VLOOKUP($B66,$L$5:$M$8, 2, FALSE) * (1+ VLOOKUP($A66,'vomcost mult'!$N$10:$R$32,5, FALSE)), 2)</f>
        <v>1.64</v>
      </c>
      <c r="G66" s="59" t="str">
        <f t="shared" si="3"/>
        <v/>
      </c>
    </row>
    <row r="67" spans="1:7">
      <c r="A67" t="s">
        <v>133</v>
      </c>
      <c r="B67" t="s">
        <v>306</v>
      </c>
      <c r="C67" s="19" t="s">
        <v>184</v>
      </c>
      <c r="D67" s="19">
        <v>2025</v>
      </c>
      <c r="E67">
        <f t="shared" si="4"/>
        <v>420</v>
      </c>
      <c r="F67">
        <f>ROUND( VLOOKUP($B67,$L$5:$M$8, 2, FALSE) * (1+ VLOOKUP($A67,'vomcost mult'!$N$10:$R$32,5, FALSE)), 2)</f>
        <v>1.63</v>
      </c>
      <c r="G67" s="59" t="str">
        <f t="shared" si="3"/>
        <v/>
      </c>
    </row>
    <row r="68" spans="1:7">
      <c r="A68" t="s">
        <v>134</v>
      </c>
      <c r="B68" t="s">
        <v>306</v>
      </c>
      <c r="C68" s="19" t="s">
        <v>184</v>
      </c>
      <c r="D68" s="19">
        <v>2025</v>
      </c>
      <c r="E68">
        <f t="shared" si="4"/>
        <v>120</v>
      </c>
      <c r="F68">
        <f>ROUND( VLOOKUP($B68,$L$5:$M$8, 2, FALSE) * (1+ VLOOKUP($A68,'vomcost mult'!$N$10:$R$32,5, FALSE)), 2)</f>
        <v>1.62</v>
      </c>
      <c r="G68" s="59" t="str">
        <f t="shared" si="3"/>
        <v/>
      </c>
    </row>
    <row r="69" spans="1:7">
      <c r="A69" t="s">
        <v>135</v>
      </c>
      <c r="B69" t="s">
        <v>306</v>
      </c>
      <c r="C69" s="19" t="s">
        <v>184</v>
      </c>
      <c r="D69" s="19">
        <v>2025</v>
      </c>
      <c r="E69">
        <f t="shared" si="4"/>
        <v>7000</v>
      </c>
      <c r="F69">
        <f>ROUND( VLOOKUP($B69,$L$5:$M$8, 2, FALSE) * (1+ VLOOKUP($A69,'vomcost mult'!$N$10:$R$32,5, FALSE)), 2)</f>
        <v>1.63</v>
      </c>
      <c r="G69" s="59" t="str">
        <f t="shared" si="3"/>
        <v/>
      </c>
    </row>
    <row r="70" spans="1:7">
      <c r="A70" t="s">
        <v>111</v>
      </c>
      <c r="B70" t="s">
        <v>306</v>
      </c>
      <c r="C70" s="19" t="s">
        <v>184</v>
      </c>
      <c r="D70" s="19">
        <v>2030</v>
      </c>
      <c r="E70">
        <f t="shared" si="4"/>
        <v>1400</v>
      </c>
      <c r="F70">
        <f>ROUND( VLOOKUP($B70,$L$5:$M$8, 2, FALSE) * (1+ VLOOKUP($A70,'vomcost mult'!$N$10:$R$32,5, FALSE)), 2)</f>
        <v>1.58</v>
      </c>
      <c r="G70" s="59" t="str">
        <f t="shared" si="3"/>
        <v/>
      </c>
    </row>
    <row r="71" spans="1:7">
      <c r="A71" t="s">
        <v>114</v>
      </c>
      <c r="B71" t="s">
        <v>306</v>
      </c>
      <c r="C71" s="19" t="s">
        <v>184</v>
      </c>
      <c r="D71" s="19">
        <v>2030</v>
      </c>
      <c r="E71">
        <f t="shared" si="4"/>
        <v>2000</v>
      </c>
      <c r="F71">
        <f>ROUND( VLOOKUP($B71,$L$5:$M$8, 2, FALSE) * (1+ VLOOKUP($A71,'vomcost mult'!$N$10:$R$32,5, FALSE)), 2)</f>
        <v>1.57</v>
      </c>
      <c r="G71" s="59" t="str">
        <f t="shared" si="3"/>
        <v/>
      </c>
    </row>
    <row r="72" spans="1:7">
      <c r="A72" t="s">
        <v>116</v>
      </c>
      <c r="B72" t="s">
        <v>306</v>
      </c>
      <c r="C72" s="19" t="s">
        <v>184</v>
      </c>
      <c r="D72" s="19">
        <v>2030</v>
      </c>
      <c r="E72">
        <f t="shared" si="4"/>
        <v>3691.5</v>
      </c>
      <c r="F72">
        <f>ROUND( VLOOKUP($B72,$L$5:$M$8, 2, FALSE) * (1+ VLOOKUP($A72,'vomcost mult'!$N$10:$R$32,5, FALSE)), 2)</f>
        <v>2.04</v>
      </c>
      <c r="G72" s="59" t="str">
        <f t="shared" si="3"/>
        <v/>
      </c>
    </row>
    <row r="73" spans="1:7">
      <c r="A73" t="s">
        <v>117</v>
      </c>
      <c r="B73" t="s">
        <v>306</v>
      </c>
      <c r="C73" s="19" t="s">
        <v>184</v>
      </c>
      <c r="D73" s="19">
        <v>2030</v>
      </c>
      <c r="E73">
        <f t="shared" si="4"/>
        <v>30847</v>
      </c>
      <c r="F73">
        <f>ROUND( VLOOKUP($B73,$L$5:$M$8, 2, FALSE) * (1+ VLOOKUP($A73,'vomcost mult'!$N$10:$R$32,5, FALSE)), 2)</f>
        <v>1.55</v>
      </c>
      <c r="G73" s="59" t="str">
        <f t="shared" si="3"/>
        <v/>
      </c>
    </row>
    <row r="74" spans="1:7">
      <c r="A74" t="s">
        <v>118</v>
      </c>
      <c r="B74" t="s">
        <v>306</v>
      </c>
      <c r="C74" s="19" t="s">
        <v>184</v>
      </c>
      <c r="D74" s="19">
        <v>2030</v>
      </c>
      <c r="E74">
        <f t="shared" si="4"/>
        <v>350</v>
      </c>
      <c r="F74">
        <f>ROUND( VLOOKUP($B74,$L$5:$M$8, 2, FALSE) * (1+ VLOOKUP($A74,'vomcost mult'!$N$10:$R$32,5, FALSE)), 2)</f>
        <v>1.75</v>
      </c>
      <c r="G74" s="59" t="str">
        <f t="shared" si="3"/>
        <v/>
      </c>
    </row>
    <row r="75" spans="1:7">
      <c r="A75" t="s">
        <v>119</v>
      </c>
      <c r="B75" t="s">
        <v>306</v>
      </c>
      <c r="C75" s="19" t="s">
        <v>184</v>
      </c>
      <c r="D75" s="19">
        <v>2030</v>
      </c>
      <c r="E75">
        <f t="shared" si="4"/>
        <v>350</v>
      </c>
      <c r="F75">
        <f>ROUND( VLOOKUP($B75,$L$5:$M$8, 2, FALSE) * (1+ VLOOKUP($A75,'vomcost mult'!$N$10:$R$32,5, FALSE)), 2)</f>
        <v>1.73</v>
      </c>
      <c r="G75" s="59" t="str">
        <f t="shared" si="3"/>
        <v/>
      </c>
    </row>
    <row r="76" spans="1:7">
      <c r="A76" t="s">
        <v>120</v>
      </c>
      <c r="B76" t="s">
        <v>306</v>
      </c>
      <c r="C76" s="19" t="s">
        <v>184</v>
      </c>
      <c r="D76" s="19">
        <v>2030</v>
      </c>
      <c r="E76">
        <f t="shared" si="4"/>
        <v>500</v>
      </c>
      <c r="F76">
        <f>ROUND( VLOOKUP($B76,$L$5:$M$8, 2, FALSE) * (1+ VLOOKUP($A76,'vomcost mult'!$N$10:$R$32,5, FALSE)), 2)</f>
        <v>1.1100000000000001</v>
      </c>
      <c r="G76" s="59" t="str">
        <f t="shared" si="3"/>
        <v/>
      </c>
    </row>
    <row r="77" spans="1:7">
      <c r="A77" t="s">
        <v>121</v>
      </c>
      <c r="B77" t="s">
        <v>306</v>
      </c>
      <c r="C77" s="19" t="s">
        <v>184</v>
      </c>
      <c r="D77" s="19">
        <v>2030</v>
      </c>
      <c r="E77">
        <f t="shared" si="4"/>
        <v>1000</v>
      </c>
      <c r="F77">
        <f>ROUND( VLOOKUP($B77,$L$5:$M$8, 2, FALSE) * (1+ VLOOKUP($A77,'vomcost mult'!$N$10:$R$32,5, FALSE)), 2)</f>
        <v>1.28</v>
      </c>
      <c r="G77" s="59" t="str">
        <f t="shared" si="3"/>
        <v/>
      </c>
    </row>
    <row r="78" spans="1:7">
      <c r="A78" t="s">
        <v>122</v>
      </c>
      <c r="B78" t="s">
        <v>306</v>
      </c>
      <c r="C78" s="19" t="s">
        <v>184</v>
      </c>
      <c r="D78" s="19">
        <v>2030</v>
      </c>
      <c r="E78">
        <f t="shared" si="4"/>
        <v>1500</v>
      </c>
      <c r="F78">
        <f>ROUND( VLOOKUP($B78,$L$5:$M$8, 2, FALSE) * (1+ VLOOKUP($A78,'vomcost mult'!$N$10:$R$32,5, FALSE)), 2)</f>
        <v>1.55</v>
      </c>
      <c r="G78" s="59" t="str">
        <f t="shared" si="3"/>
        <v/>
      </c>
    </row>
    <row r="79" spans="1:7">
      <c r="A79" t="s">
        <v>123</v>
      </c>
      <c r="B79" t="s">
        <v>306</v>
      </c>
      <c r="C79" s="19" t="s">
        <v>184</v>
      </c>
      <c r="D79" s="19">
        <v>2030</v>
      </c>
      <c r="E79">
        <f t="shared" si="4"/>
        <v>5000</v>
      </c>
      <c r="F79">
        <f>ROUND( VLOOKUP($B79,$L$5:$M$8, 2, FALSE) * (1+ VLOOKUP($A79,'vomcost mult'!$N$10:$R$32,5, FALSE)), 2)</f>
        <v>1.48</v>
      </c>
      <c r="G79" s="59" t="str">
        <f t="shared" si="3"/>
        <v/>
      </c>
    </row>
    <row r="80" spans="1:7">
      <c r="A80" t="s">
        <v>124</v>
      </c>
      <c r="B80" t="s">
        <v>306</v>
      </c>
      <c r="C80" s="19" t="s">
        <v>184</v>
      </c>
      <c r="D80" s="19">
        <v>2030</v>
      </c>
      <c r="E80">
        <f t="shared" si="4"/>
        <v>750</v>
      </c>
      <c r="F80">
        <f>ROUND( VLOOKUP($B80,$L$5:$M$8, 2, FALSE) * (1+ VLOOKUP($A80,'vomcost mult'!$N$10:$R$32,5, FALSE)), 2)</f>
        <v>1.07</v>
      </c>
      <c r="G80" s="59" t="str">
        <f t="shared" si="3"/>
        <v/>
      </c>
    </row>
    <row r="81" spans="1:7">
      <c r="A81" t="s">
        <v>125</v>
      </c>
      <c r="B81" t="s">
        <v>306</v>
      </c>
      <c r="C81" s="19" t="s">
        <v>184</v>
      </c>
      <c r="D81" s="19">
        <v>2030</v>
      </c>
      <c r="E81">
        <f t="shared" si="4"/>
        <v>250</v>
      </c>
      <c r="F81">
        <f>ROUND( VLOOKUP($B81,$L$5:$M$8, 2, FALSE) * (1+ VLOOKUP($A81,'vomcost mult'!$N$10:$R$32,5, FALSE)), 2)</f>
        <v>0.98</v>
      </c>
      <c r="G81" s="59" t="str">
        <f t="shared" si="3"/>
        <v/>
      </c>
    </row>
    <row r="82" spans="1:7">
      <c r="A82" t="s">
        <v>126</v>
      </c>
      <c r="B82" t="s">
        <v>306</v>
      </c>
      <c r="C82" s="19" t="s">
        <v>184</v>
      </c>
      <c r="D82" s="19">
        <v>2030</v>
      </c>
      <c r="E82">
        <f t="shared" si="4"/>
        <v>1200</v>
      </c>
      <c r="F82">
        <f>ROUND( VLOOKUP($B82,$L$5:$M$8, 2, FALSE) * (1+ VLOOKUP($A82,'vomcost mult'!$N$10:$R$32,5, FALSE)), 2)</f>
        <v>1.65</v>
      </c>
      <c r="G82" s="59" t="str">
        <f t="shared" si="3"/>
        <v/>
      </c>
    </row>
    <row r="83" spans="1:7">
      <c r="A83" t="s">
        <v>127</v>
      </c>
      <c r="B83" t="s">
        <v>306</v>
      </c>
      <c r="C83" s="19" t="s">
        <v>184</v>
      </c>
      <c r="D83" s="19">
        <v>2030</v>
      </c>
      <c r="E83">
        <f t="shared" si="4"/>
        <v>0</v>
      </c>
      <c r="F83">
        <f>ROUND( VLOOKUP($B83,$L$5:$M$8, 2, FALSE) * (1+ VLOOKUP($A83,'vomcost mult'!$N$10:$R$32,5, FALSE)), 2)</f>
        <v>1.83</v>
      </c>
      <c r="G83" s="59" t="str">
        <f t="shared" si="3"/>
        <v>remove</v>
      </c>
    </row>
    <row r="84" spans="1:7">
      <c r="A84" t="s">
        <v>128</v>
      </c>
      <c r="B84" t="s">
        <v>306</v>
      </c>
      <c r="C84" s="19" t="s">
        <v>184</v>
      </c>
      <c r="D84" s="19">
        <v>2030</v>
      </c>
      <c r="E84">
        <f t="shared" si="4"/>
        <v>0</v>
      </c>
      <c r="F84">
        <f>ROUND( VLOOKUP($B84,$L$5:$M$8, 2, FALSE) * (1+ VLOOKUP($A84,'vomcost mult'!$N$10:$R$32,5, FALSE)), 2)</f>
        <v>1.86</v>
      </c>
      <c r="G84" s="59" t="str">
        <f t="shared" si="3"/>
        <v>remove</v>
      </c>
    </row>
    <row r="85" spans="1:7">
      <c r="A85" t="s">
        <v>129</v>
      </c>
      <c r="B85" t="s">
        <v>306</v>
      </c>
      <c r="C85" s="19" t="s">
        <v>184</v>
      </c>
      <c r="D85" s="19">
        <v>2030</v>
      </c>
      <c r="E85">
        <f t="shared" si="4"/>
        <v>0</v>
      </c>
      <c r="F85">
        <f>ROUND( VLOOKUP($B85,$L$5:$M$8, 2, FALSE) * (1+ VLOOKUP($A85,'vomcost mult'!$N$10:$R$32,5, FALSE)), 2)</f>
        <v>1.81</v>
      </c>
      <c r="G85" s="59" t="str">
        <f t="shared" si="3"/>
        <v>remove</v>
      </c>
    </row>
    <row r="86" spans="1:7">
      <c r="A86" t="s">
        <v>130</v>
      </c>
      <c r="B86" t="s">
        <v>306</v>
      </c>
      <c r="C86" s="19" t="s">
        <v>184</v>
      </c>
      <c r="D86" s="19">
        <v>2030</v>
      </c>
      <c r="E86">
        <f t="shared" si="4"/>
        <v>2500</v>
      </c>
      <c r="F86">
        <f>ROUND( VLOOKUP($B86,$L$5:$M$8, 2, FALSE) * (1+ VLOOKUP($A86,'vomcost mult'!$N$10:$R$32,5, FALSE)), 2)</f>
        <v>0.97</v>
      </c>
      <c r="G86" s="59" t="str">
        <f t="shared" si="3"/>
        <v/>
      </c>
    </row>
    <row r="87" spans="1:7">
      <c r="A87" t="s">
        <v>131</v>
      </c>
      <c r="B87" t="s">
        <v>306</v>
      </c>
      <c r="C87" s="19" t="s">
        <v>184</v>
      </c>
      <c r="D87" s="19">
        <v>2030</v>
      </c>
      <c r="E87">
        <f t="shared" si="4"/>
        <v>50</v>
      </c>
      <c r="F87">
        <f>ROUND( VLOOKUP($B87,$L$5:$M$8, 2, FALSE) * (1+ VLOOKUP($A87,'vomcost mult'!$N$10:$R$32,5, FALSE)), 2)</f>
        <v>1.65</v>
      </c>
      <c r="G87" s="59" t="str">
        <f t="shared" si="3"/>
        <v/>
      </c>
    </row>
    <row r="88" spans="1:7">
      <c r="A88" t="s">
        <v>132</v>
      </c>
      <c r="B88" t="s">
        <v>306</v>
      </c>
      <c r="C88" s="19" t="s">
        <v>184</v>
      </c>
      <c r="D88" s="19">
        <v>2030</v>
      </c>
      <c r="E88">
        <f t="shared" si="4"/>
        <v>320</v>
      </c>
      <c r="F88">
        <f>ROUND( VLOOKUP($B88,$L$5:$M$8, 2, FALSE) * (1+ VLOOKUP($A88,'vomcost mult'!$N$10:$R$32,5, FALSE)), 2)</f>
        <v>1.64</v>
      </c>
      <c r="G88" s="59" t="str">
        <f t="shared" si="3"/>
        <v/>
      </c>
    </row>
    <row r="89" spans="1:7">
      <c r="A89" t="s">
        <v>133</v>
      </c>
      <c r="B89" t="s">
        <v>306</v>
      </c>
      <c r="C89" s="19" t="s">
        <v>184</v>
      </c>
      <c r="D89" s="19">
        <v>2030</v>
      </c>
      <c r="E89">
        <f t="shared" si="4"/>
        <v>860</v>
      </c>
      <c r="F89">
        <f>ROUND( VLOOKUP($B89,$L$5:$M$8, 2, FALSE) * (1+ VLOOKUP($A89,'vomcost mult'!$N$10:$R$32,5, FALSE)), 2)</f>
        <v>1.63</v>
      </c>
      <c r="G89" s="59" t="str">
        <f t="shared" si="3"/>
        <v/>
      </c>
    </row>
    <row r="90" spans="1:7">
      <c r="A90" t="s">
        <v>134</v>
      </c>
      <c r="B90" t="s">
        <v>306</v>
      </c>
      <c r="C90" s="19" t="s">
        <v>184</v>
      </c>
      <c r="D90" s="19">
        <v>2030</v>
      </c>
      <c r="E90">
        <f t="shared" si="4"/>
        <v>580</v>
      </c>
      <c r="F90">
        <f>ROUND( VLOOKUP($B90,$L$5:$M$8, 2, FALSE) * (1+ VLOOKUP($A90,'vomcost mult'!$N$10:$R$32,5, FALSE)), 2)</f>
        <v>1.62</v>
      </c>
      <c r="G90" s="59" t="str">
        <f t="shared" si="3"/>
        <v/>
      </c>
    </row>
    <row r="91" spans="1:7">
      <c r="A91" t="s">
        <v>135</v>
      </c>
      <c r="B91" t="s">
        <v>306</v>
      </c>
      <c r="C91" s="19" t="s">
        <v>184</v>
      </c>
      <c r="D91" s="19">
        <v>2030</v>
      </c>
      <c r="E91">
        <f t="shared" si="4"/>
        <v>12000</v>
      </c>
      <c r="F91">
        <f>ROUND( VLOOKUP($B91,$L$5:$M$8, 2, FALSE) * (1+ VLOOKUP($A91,'vomcost mult'!$N$10:$R$32,5, FALSE)), 2)</f>
        <v>1.63</v>
      </c>
      <c r="G91" s="59" t="str">
        <f t="shared" si="3"/>
        <v/>
      </c>
    </row>
    <row r="92" spans="1:7">
      <c r="C92" s="19"/>
      <c r="D92" s="19"/>
    </row>
    <row r="93" spans="1:7">
      <c r="C93" s="19"/>
      <c r="D93" s="19"/>
    </row>
    <row r="94" spans="1:7">
      <c r="C94" s="19"/>
      <c r="D94" s="19"/>
    </row>
    <row r="95" spans="1:7">
      <c r="C95" s="19"/>
      <c r="D95" s="19"/>
    </row>
    <row r="96" spans="1:7">
      <c r="C96" s="19"/>
      <c r="D96" s="19"/>
    </row>
    <row r="97" spans="3:4">
      <c r="C97" s="19"/>
      <c r="D97" s="19"/>
    </row>
    <row r="98" spans="3:4">
      <c r="C98" s="19"/>
      <c r="D98" s="19"/>
    </row>
    <row r="99" spans="3:4">
      <c r="C99" s="19"/>
      <c r="D99" s="19"/>
    </row>
    <row r="100" spans="3:4">
      <c r="C100" s="19"/>
      <c r="D100" s="19"/>
    </row>
    <row r="101" spans="3:4">
      <c r="C101" s="19"/>
      <c r="D101" s="19"/>
    </row>
    <row r="102" spans="3:4">
      <c r="C102" s="19"/>
      <c r="D102" s="19"/>
    </row>
    <row r="103" spans="3:4">
      <c r="C103" s="19"/>
      <c r="D103" s="19"/>
    </row>
    <row r="104" spans="3:4">
      <c r="C104" s="19"/>
      <c r="D104" s="19"/>
    </row>
    <row r="105" spans="3:4">
      <c r="C105" s="19"/>
      <c r="D105" s="19"/>
    </row>
    <row r="106" spans="3:4">
      <c r="C106" s="19"/>
      <c r="D106" s="19"/>
    </row>
    <row r="107" spans="3:4">
      <c r="C107" s="19"/>
      <c r="D107" s="19"/>
    </row>
    <row r="108" spans="3:4">
      <c r="C108" s="19"/>
      <c r="D108" s="19"/>
    </row>
    <row r="109" spans="3:4">
      <c r="C109" s="19"/>
      <c r="D109" s="19"/>
    </row>
    <row r="110" spans="3:4">
      <c r="C110" s="19"/>
      <c r="D110" s="19"/>
    </row>
    <row r="111" spans="3:4">
      <c r="C111" s="19"/>
      <c r="D111" s="19"/>
    </row>
    <row r="112" spans="3:4">
      <c r="C112" s="19"/>
      <c r="D112" s="19"/>
    </row>
    <row r="113" spans="3:4">
      <c r="C113" s="19"/>
      <c r="D113" s="19"/>
    </row>
    <row r="114" spans="3:4">
      <c r="C114" s="19"/>
      <c r="D114" s="19"/>
    </row>
    <row r="115" spans="3:4">
      <c r="C115" s="19"/>
      <c r="D115" s="19"/>
    </row>
    <row r="116" spans="3:4">
      <c r="C116" s="19"/>
      <c r="D116" s="19"/>
    </row>
    <row r="117" spans="3:4">
      <c r="C117" s="19"/>
      <c r="D117" s="19"/>
    </row>
    <row r="118" spans="3:4">
      <c r="C118" s="19"/>
      <c r="D118" s="19"/>
    </row>
    <row r="119" spans="3:4">
      <c r="C119" s="19"/>
      <c r="D119" s="19"/>
    </row>
    <row r="120" spans="3:4">
      <c r="C120" s="19"/>
      <c r="D120" s="19"/>
    </row>
    <row r="121" spans="3:4">
      <c r="C121" s="19"/>
      <c r="D121" s="19"/>
    </row>
    <row r="122" spans="3:4">
      <c r="C122" s="19"/>
      <c r="D122" s="19"/>
    </row>
    <row r="123" spans="3:4">
      <c r="C123" s="19"/>
      <c r="D123" s="19"/>
    </row>
    <row r="124" spans="3:4">
      <c r="C124" s="19"/>
      <c r="D124" s="19"/>
    </row>
    <row r="125" spans="3:4">
      <c r="C125" s="19"/>
      <c r="D125" s="19"/>
    </row>
    <row r="126" spans="3:4">
      <c r="C126" s="19"/>
      <c r="D126" s="19"/>
    </row>
    <row r="127" spans="3:4">
      <c r="C127" s="19"/>
      <c r="D127" s="19"/>
    </row>
    <row r="128" spans="3:4">
      <c r="C128" s="19"/>
      <c r="D128" s="19"/>
    </row>
    <row r="129" spans="3:4">
      <c r="C129" s="19"/>
      <c r="D129" s="19"/>
    </row>
    <row r="130" spans="3:4">
      <c r="C130" s="19"/>
      <c r="D130" s="19"/>
    </row>
    <row r="131" spans="3:4">
      <c r="C131" s="19"/>
      <c r="D131" s="19"/>
    </row>
    <row r="132" spans="3:4">
      <c r="C132" s="19"/>
      <c r="D132" s="19"/>
    </row>
    <row r="133" spans="3:4">
      <c r="C133" s="19"/>
      <c r="D133" s="19"/>
    </row>
    <row r="134" spans="3:4">
      <c r="C134" s="19"/>
      <c r="D134" s="19"/>
    </row>
    <row r="135" spans="3:4">
      <c r="C135" s="19"/>
      <c r="D135" s="19"/>
    </row>
    <row r="136" spans="3:4">
      <c r="C136" s="19"/>
      <c r="D136" s="19"/>
    </row>
    <row r="137" spans="3:4">
      <c r="C137" s="19"/>
      <c r="D137" s="19"/>
    </row>
    <row r="138" spans="3:4">
      <c r="C138" s="19"/>
      <c r="D138" s="19"/>
    </row>
    <row r="139" spans="3:4">
      <c r="C139" s="19"/>
      <c r="D139" s="19"/>
    </row>
    <row r="140" spans="3:4">
      <c r="C140" s="19"/>
      <c r="D140" s="19"/>
    </row>
    <row r="141" spans="3:4">
      <c r="C141" s="19"/>
      <c r="D141" s="19"/>
    </row>
    <row r="142" spans="3:4">
      <c r="C142" s="19"/>
      <c r="D142" s="19"/>
    </row>
    <row r="143" spans="3:4">
      <c r="C143" s="19"/>
      <c r="D143" s="19"/>
    </row>
    <row r="144" spans="3:4">
      <c r="C144" s="19"/>
      <c r="D144" s="19"/>
    </row>
    <row r="145" spans="3:4">
      <c r="C145" s="19"/>
      <c r="D145" s="19"/>
    </row>
    <row r="146" spans="3:4">
      <c r="C146" s="19"/>
      <c r="D146" s="19"/>
    </row>
    <row r="147" spans="3:4">
      <c r="C147" s="19"/>
      <c r="D147" s="19"/>
    </row>
    <row r="148" spans="3:4">
      <c r="C148" s="19"/>
      <c r="D148" s="19"/>
    </row>
    <row r="149" spans="3:4">
      <c r="C149" s="19"/>
      <c r="D149" s="19"/>
    </row>
    <row r="150" spans="3:4">
      <c r="C150" s="19"/>
      <c r="D150" s="19"/>
    </row>
    <row r="151" spans="3:4">
      <c r="C151" s="19"/>
      <c r="D151" s="19"/>
    </row>
    <row r="152" spans="3:4">
      <c r="C152" s="19"/>
      <c r="D152" s="19"/>
    </row>
    <row r="153" spans="3:4">
      <c r="C153" s="19"/>
      <c r="D153" s="19"/>
    </row>
    <row r="154" spans="3:4">
      <c r="C154" s="19"/>
      <c r="D154" s="19"/>
    </row>
    <row r="155" spans="3:4">
      <c r="C155" s="19"/>
      <c r="D155" s="19"/>
    </row>
    <row r="156" spans="3:4">
      <c r="C156" s="19"/>
      <c r="D156" s="19"/>
    </row>
    <row r="157" spans="3:4">
      <c r="C157" s="19"/>
      <c r="D157" s="19"/>
    </row>
    <row r="158" spans="3:4">
      <c r="C158" s="19"/>
      <c r="D158" s="19"/>
    </row>
    <row r="159" spans="3:4">
      <c r="C159" s="19"/>
      <c r="D159" s="19"/>
    </row>
    <row r="160" spans="3:4">
      <c r="C160" s="19"/>
      <c r="D160" s="19"/>
    </row>
    <row r="161" spans="3:4">
      <c r="C161" s="19"/>
      <c r="D161" s="19"/>
    </row>
    <row r="162" spans="3:4">
      <c r="C162" s="19"/>
      <c r="D162" s="19"/>
    </row>
    <row r="163" spans="3:4">
      <c r="C163" s="19"/>
      <c r="D163" s="19"/>
    </row>
    <row r="164" spans="3:4">
      <c r="C164" s="19"/>
      <c r="D164" s="19"/>
    </row>
    <row r="165" spans="3:4">
      <c r="C165" s="19"/>
      <c r="D165" s="19"/>
    </row>
    <row r="166" spans="3:4">
      <c r="C166" s="19"/>
      <c r="D166" s="19"/>
    </row>
    <row r="167" spans="3:4">
      <c r="C167" s="19"/>
      <c r="D167" s="19"/>
    </row>
    <row r="168" spans="3:4">
      <c r="C168" s="19"/>
      <c r="D168" s="19"/>
    </row>
    <row r="169" spans="3:4">
      <c r="C169" s="19"/>
      <c r="D169" s="19"/>
    </row>
    <row r="170" spans="3:4">
      <c r="C170" s="19"/>
      <c r="D170" s="19"/>
    </row>
    <row r="171" spans="3:4">
      <c r="C171" s="19"/>
      <c r="D171" s="19"/>
    </row>
    <row r="172" spans="3:4">
      <c r="C172" s="19"/>
      <c r="D172" s="19"/>
    </row>
    <row r="173" spans="3:4">
      <c r="C173" s="19"/>
      <c r="D173" s="19"/>
    </row>
    <row r="174" spans="3:4">
      <c r="C174" s="19"/>
      <c r="D174" s="19"/>
    </row>
    <row r="175" spans="3:4">
      <c r="C175" s="19"/>
      <c r="D175" s="19"/>
    </row>
    <row r="176" spans="3:4">
      <c r="C176" s="19"/>
      <c r="D176" s="19"/>
    </row>
    <row r="177" spans="3:4">
      <c r="C177" s="19"/>
      <c r="D177" s="19"/>
    </row>
    <row r="178" spans="3:4">
      <c r="C178" s="19"/>
      <c r="D178" s="19"/>
    </row>
    <row r="179" spans="3:4">
      <c r="C179" s="19"/>
      <c r="D179" s="19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C4F72-7AED-4A76-8A3D-9C2D7BB935A1}">
  <sheetPr>
    <tabColor theme="6" tint="0.59999389629810485"/>
  </sheetPr>
  <dimension ref="A1:N104"/>
  <sheetViews>
    <sheetView workbookViewId="0">
      <selection activeCell="P12" sqref="P12"/>
    </sheetView>
  </sheetViews>
  <sheetFormatPr defaultRowHeight="15"/>
  <cols>
    <col min="1" max="1" width="10.140625" customWidth="1"/>
    <col min="2" max="2" width="26.42578125" customWidth="1"/>
    <col min="3" max="3" width="15.28515625" style="19" bestFit="1" customWidth="1"/>
    <col min="4" max="4" width="9.140625" style="19"/>
    <col min="5" max="6" width="18.28515625" style="19" customWidth="1"/>
    <col min="7" max="7" width="12.85546875" customWidth="1"/>
    <col min="11" max="11" width="20.85546875" customWidth="1"/>
    <col min="12" max="12" width="29.140625" customWidth="1"/>
  </cols>
  <sheetData>
    <row r="1" spans="1:14">
      <c r="A1" s="52" t="s">
        <v>3</v>
      </c>
      <c r="B1" s="52" t="s">
        <v>284</v>
      </c>
      <c r="C1" s="52" t="s">
        <v>164</v>
      </c>
      <c r="D1" s="52" t="s">
        <v>165</v>
      </c>
      <c r="E1" s="52" t="s">
        <v>166</v>
      </c>
      <c r="F1" s="52" t="s">
        <v>174</v>
      </c>
      <c r="G1" s="52" t="s">
        <v>167</v>
      </c>
      <c r="K1" t="s">
        <v>279</v>
      </c>
      <c r="L1" t="s">
        <v>279</v>
      </c>
      <c r="M1" t="s">
        <v>279</v>
      </c>
      <c r="N1" t="s">
        <v>279</v>
      </c>
    </row>
    <row r="2" spans="1:14">
      <c r="A2" t="s">
        <v>111</v>
      </c>
      <c r="B2" t="s">
        <v>287</v>
      </c>
      <c r="C2" s="19" t="s">
        <v>168</v>
      </c>
      <c r="D2" s="19">
        <v>1</v>
      </c>
      <c r="E2" s="19">
        <v>113</v>
      </c>
      <c r="F2" s="19">
        <f>ROUND( VLOOKUP($B2,$L$5:$M$29, 2, FALSE) * (1+ VLOOKUP($A2,'vomcost mult'!$N$10:$R$32,5, FALSE)), 2)</f>
        <v>2.93</v>
      </c>
      <c r="G2" s="19" t="str">
        <f>IF(Table3[[#This Row],[capacity_output1]]&lt;10, "remove", "")</f>
        <v/>
      </c>
    </row>
    <row r="3" spans="1:14">
      <c r="A3" t="s">
        <v>111</v>
      </c>
      <c r="B3" t="s">
        <v>288</v>
      </c>
      <c r="C3" s="19" t="s">
        <v>168</v>
      </c>
      <c r="D3" s="19">
        <v>1</v>
      </c>
      <c r="E3" s="19">
        <v>356.5</v>
      </c>
      <c r="F3" s="19">
        <f>ROUND( VLOOKUP($B3,$L$5:$M$29, 2, FALSE) * (1+ VLOOKUP($A3,'vomcost mult'!$N$10:$R$32,5, FALSE)), 2)</f>
        <v>2.93</v>
      </c>
      <c r="G3" s="19" t="str">
        <f>IF(Table3[[#This Row],[capacity_output1]]&lt;10, "remove", "")</f>
        <v/>
      </c>
    </row>
    <row r="4" spans="1:14">
      <c r="A4" t="s">
        <v>111</v>
      </c>
      <c r="B4" t="s">
        <v>289</v>
      </c>
      <c r="C4" s="19" t="s">
        <v>168</v>
      </c>
      <c r="D4" s="19">
        <v>1</v>
      </c>
      <c r="E4" s="19">
        <v>220</v>
      </c>
      <c r="F4" s="19">
        <f>ROUND( VLOOKUP($B4,$L$5:$M$29, 2, FALSE) * (1+ VLOOKUP($A4,'vomcost mult'!$N$10:$R$32,5, FALSE)), 2)</f>
        <v>2.93</v>
      </c>
      <c r="G4" s="19" t="str">
        <f>IF(Table3[[#This Row],[capacity_output1]]&lt;10, "remove", "")</f>
        <v/>
      </c>
      <c r="M4" t="s">
        <v>174</v>
      </c>
    </row>
    <row r="5" spans="1:14">
      <c r="A5" t="s">
        <v>111</v>
      </c>
      <c r="B5" t="s">
        <v>290</v>
      </c>
      <c r="C5" s="19" t="s">
        <v>168</v>
      </c>
      <c r="D5" s="19">
        <v>1</v>
      </c>
      <c r="E5" s="19">
        <v>370</v>
      </c>
      <c r="F5" s="19">
        <f>ROUND( VLOOKUP($B5,$L$5:$M$29, 2, FALSE) * (1+ VLOOKUP($A5,'vomcost mult'!$N$10:$R$32,5, FALSE)), 2)</f>
        <v>2.93</v>
      </c>
      <c r="G5" s="19" t="str">
        <f>IF(Table3[[#This Row],[capacity_output1]]&lt;10, "remove", "")</f>
        <v/>
      </c>
      <c r="L5" s="60" t="s">
        <v>287</v>
      </c>
      <c r="M5" s="82">
        <f>SUMIFS([1]unittypedata!$S:$S,[1]unittypedata!$D:$D, $L5)</f>
        <v>2.6</v>
      </c>
    </row>
    <row r="6" spans="1:14">
      <c r="A6" t="s">
        <v>111</v>
      </c>
      <c r="B6" t="s">
        <v>291</v>
      </c>
      <c r="C6" s="19" t="s">
        <v>168</v>
      </c>
      <c r="D6" s="19">
        <v>1</v>
      </c>
      <c r="E6" s="19">
        <v>1751.6</v>
      </c>
      <c r="F6" s="19">
        <f>ROUND( VLOOKUP($B6,$L$5:$M$29, 2, FALSE) * (1+ VLOOKUP($A6,'vomcost mult'!$N$10:$R$32,5, FALSE)), 2)</f>
        <v>2.93</v>
      </c>
      <c r="G6" s="19" t="str">
        <f>IF(Table3[[#This Row],[capacity_output1]]&lt;10, "remove", "")</f>
        <v/>
      </c>
      <c r="L6" t="s">
        <v>288</v>
      </c>
      <c r="M6" s="82">
        <f>SUMIFS([1]unittypedata!$S:$S,[1]unittypedata!$D:$D, $L6)</f>
        <v>2.6</v>
      </c>
    </row>
    <row r="7" spans="1:14">
      <c r="A7" t="s">
        <v>111</v>
      </c>
      <c r="B7" t="s">
        <v>292</v>
      </c>
      <c r="C7" s="19" t="s">
        <v>168</v>
      </c>
      <c r="D7" s="19">
        <v>1</v>
      </c>
      <c r="E7" s="19">
        <v>51.2</v>
      </c>
      <c r="F7" s="19">
        <f>ROUND( VLOOKUP($B7,$L$5:$M$29, 2, FALSE) * (1+ VLOOKUP($A7,'vomcost mult'!$N$10:$R$32,5, FALSE)), 2)</f>
        <v>2.93</v>
      </c>
      <c r="G7" s="19" t="str">
        <f>IF(Table3[[#This Row],[capacity_output1]]&lt;10, "remove", "")</f>
        <v/>
      </c>
      <c r="L7" s="60" t="s">
        <v>289</v>
      </c>
      <c r="M7" s="82">
        <f>SUMIFS([1]unittypedata!$S:$S,[1]unittypedata!$D:$D, $L7)</f>
        <v>2.6</v>
      </c>
    </row>
    <row r="8" spans="1:14">
      <c r="A8" t="s">
        <v>111</v>
      </c>
      <c r="B8" t="s">
        <v>293</v>
      </c>
      <c r="C8" s="19" t="s">
        <v>168</v>
      </c>
      <c r="D8" s="19">
        <v>1</v>
      </c>
      <c r="E8" s="19">
        <v>17.2</v>
      </c>
      <c r="F8" s="19">
        <f>ROUND( VLOOKUP($B8,$L$5:$M$29, 2, FALSE) * (1+ VLOOKUP($A8,'vomcost mult'!$N$10:$R$32,5, FALSE)), 2)</f>
        <v>2.93</v>
      </c>
      <c r="G8" s="19" t="str">
        <f>IF(Table3[[#This Row],[capacity_output1]]&lt;10, "remove", "")</f>
        <v/>
      </c>
      <c r="L8" t="s">
        <v>290</v>
      </c>
      <c r="M8" s="82">
        <f>SUMIFS([1]unittypedata!$S:$S,[1]unittypedata!$D:$D, $L8)</f>
        <v>2.6</v>
      </c>
    </row>
    <row r="9" spans="1:14">
      <c r="A9" t="s">
        <v>111</v>
      </c>
      <c r="B9" t="s">
        <v>294</v>
      </c>
      <c r="C9" s="19" t="s">
        <v>168</v>
      </c>
      <c r="D9" s="19">
        <v>1</v>
      </c>
      <c r="E9" s="19">
        <v>414.3</v>
      </c>
      <c r="F9" s="19">
        <f>ROUND( VLOOKUP($B9,$L$5:$M$29, 2, FALSE) * (1+ VLOOKUP($A9,'vomcost mult'!$N$10:$R$32,5, FALSE)), 2)</f>
        <v>2.37</v>
      </c>
      <c r="G9" s="19" t="str">
        <f>IF(Table3[[#This Row],[capacity_output1]]&lt;10, "remove", "")</f>
        <v/>
      </c>
      <c r="L9" s="60" t="s">
        <v>291</v>
      </c>
      <c r="M9" s="82">
        <f>SUMIFS([1]unittypedata!$S:$S,[1]unittypedata!$D:$D, $L9)</f>
        <v>2.6</v>
      </c>
    </row>
    <row r="10" spans="1:14">
      <c r="A10" t="s">
        <v>111</v>
      </c>
      <c r="B10" t="s">
        <v>295</v>
      </c>
      <c r="C10" s="19" t="s">
        <v>168</v>
      </c>
      <c r="D10" s="19">
        <v>1</v>
      </c>
      <c r="E10" s="19">
        <v>79.5</v>
      </c>
      <c r="F10" s="19">
        <f>ROUND( VLOOKUP($B10,$L$5:$M$29, 2, FALSE) * (1+ VLOOKUP($A10,'vomcost mult'!$N$10:$R$32,5, FALSE)), 2)</f>
        <v>2.37</v>
      </c>
      <c r="G10" s="19" t="str">
        <f>IF(Table3[[#This Row],[capacity_output1]]&lt;10, "remove", "")</f>
        <v/>
      </c>
      <c r="L10" t="s">
        <v>292</v>
      </c>
      <c r="M10" s="82">
        <f>SUMIFS([1]unittypedata!$S:$S,[1]unittypedata!$D:$D, $L10)</f>
        <v>2.6</v>
      </c>
    </row>
    <row r="11" spans="1:14">
      <c r="A11" t="s">
        <v>111</v>
      </c>
      <c r="B11" t="s">
        <v>310</v>
      </c>
      <c r="C11" s="19" t="s">
        <v>168</v>
      </c>
      <c r="D11" s="19">
        <v>1</v>
      </c>
      <c r="E11" s="19">
        <v>120</v>
      </c>
      <c r="F11" s="19">
        <f>ROUND( VLOOKUP($B11,$L$5:$M$29, 2, FALSE) * (1+ VLOOKUP($A11,'vomcost mult'!$N$10:$R$32,5, FALSE)), 2)</f>
        <v>2.37</v>
      </c>
      <c r="G11" s="19" t="str">
        <f>IF(Table3[[#This Row],[capacity_output1]]&lt;10, "remove", "")</f>
        <v/>
      </c>
      <c r="L11" s="60" t="s">
        <v>293</v>
      </c>
      <c r="M11" s="82">
        <f>SUMIFS([1]unittypedata!$S:$S,[1]unittypedata!$D:$D, $L11)</f>
        <v>2.6</v>
      </c>
    </row>
    <row r="12" spans="1:14">
      <c r="A12" t="s">
        <v>114</v>
      </c>
      <c r="B12" t="s">
        <v>287</v>
      </c>
      <c r="C12" s="19" t="s">
        <v>168</v>
      </c>
      <c r="D12" s="19">
        <v>1</v>
      </c>
      <c r="E12" s="19">
        <v>1775</v>
      </c>
      <c r="F12" s="19">
        <f>ROUND( VLOOKUP($B12,$L$5:$M$29, 2, FALSE) * (1+ VLOOKUP($A12,'vomcost mult'!$N$10:$R$32,5, FALSE)), 2)</f>
        <v>2.91</v>
      </c>
      <c r="G12" s="19" t="str">
        <f>IF(Table3[[#This Row],[capacity_output1]]&lt;10, "remove", "")</f>
        <v/>
      </c>
      <c r="L12" t="s">
        <v>294</v>
      </c>
      <c r="M12" s="82">
        <f>SUMIFS([1]unittypedata!$S:$S,[1]unittypedata!$D:$D, $L12)</f>
        <v>2.1</v>
      </c>
    </row>
    <row r="13" spans="1:14">
      <c r="A13" t="s">
        <v>114</v>
      </c>
      <c r="B13" t="s">
        <v>291</v>
      </c>
      <c r="C13" s="19" t="s">
        <v>168</v>
      </c>
      <c r="D13" s="19">
        <v>1</v>
      </c>
      <c r="E13" s="19">
        <v>1732.1</v>
      </c>
      <c r="F13" s="19">
        <f>ROUND( VLOOKUP($B13,$L$5:$M$29, 2, FALSE) * (1+ VLOOKUP($A13,'vomcost mult'!$N$10:$R$32,5, FALSE)), 2)</f>
        <v>2.91</v>
      </c>
      <c r="G13" s="19" t="str">
        <f>IF(Table3[[#This Row],[capacity_output1]]&lt;10, "remove", "")</f>
        <v/>
      </c>
      <c r="L13" s="60" t="s">
        <v>295</v>
      </c>
      <c r="M13" s="82">
        <f>SUMIFS([1]unittypedata!$S:$S,[1]unittypedata!$D:$D, $L13)</f>
        <v>2.1</v>
      </c>
    </row>
    <row r="14" spans="1:14">
      <c r="A14" t="s">
        <v>114</v>
      </c>
      <c r="B14" t="s">
        <v>292</v>
      </c>
      <c r="C14" s="19" t="s">
        <v>168</v>
      </c>
      <c r="D14" s="19">
        <v>1</v>
      </c>
      <c r="E14" s="19">
        <v>244</v>
      </c>
      <c r="F14" s="19">
        <f>ROUND( VLOOKUP($B14,$L$5:$M$29, 2, FALSE) * (1+ VLOOKUP($A14,'vomcost mult'!$N$10:$R$32,5, FALSE)), 2)</f>
        <v>2.91</v>
      </c>
      <c r="G14" s="19" t="str">
        <f>IF(Table3[[#This Row],[capacity_output1]]&lt;10, "remove", "")</f>
        <v/>
      </c>
      <c r="L14" t="s">
        <v>310</v>
      </c>
      <c r="M14" s="82">
        <f>SUMIFS([1]unittypedata!$S:$S,[1]unittypedata!$D:$D, $L14)</f>
        <v>2.1</v>
      </c>
    </row>
    <row r="15" spans="1:14">
      <c r="A15" t="s">
        <v>114</v>
      </c>
      <c r="B15" t="s">
        <v>295</v>
      </c>
      <c r="C15" s="19" t="s">
        <v>168</v>
      </c>
      <c r="D15" s="19">
        <v>1</v>
      </c>
      <c r="E15" s="19">
        <v>871</v>
      </c>
      <c r="F15" s="19">
        <f>ROUND( VLOOKUP($B15,$L$5:$M$29, 2, FALSE) * (1+ VLOOKUP($A15,'vomcost mult'!$N$10:$R$32,5, FALSE)), 2)</f>
        <v>2.35</v>
      </c>
      <c r="G15" s="19" t="str">
        <f>IF(Table3[[#This Row],[capacity_output1]]&lt;10, "remove", "")</f>
        <v/>
      </c>
      <c r="L15" s="60" t="s">
        <v>311</v>
      </c>
      <c r="M15" s="82">
        <f>SUMIFS([1]unittypedata!$S:$S,[1]unittypedata!$D:$D, $L15)</f>
        <v>3.3</v>
      </c>
    </row>
    <row r="16" spans="1:14">
      <c r="A16" t="s">
        <v>114</v>
      </c>
      <c r="B16" t="s">
        <v>311</v>
      </c>
      <c r="C16" s="19" t="s">
        <v>168</v>
      </c>
      <c r="D16" s="19">
        <v>1</v>
      </c>
      <c r="E16" s="19">
        <v>354.4</v>
      </c>
      <c r="F16" s="19">
        <f>ROUND( VLOOKUP($B16,$L$5:$M$29, 2, FALSE) * (1+ VLOOKUP($A16,'vomcost mult'!$N$10:$R$32,5, FALSE)), 2)</f>
        <v>3.7</v>
      </c>
      <c r="G16" s="19" t="str">
        <f>IF(Table3[[#This Row],[capacity_output1]]&lt;10, "remove", "")</f>
        <v/>
      </c>
      <c r="L16" t="s">
        <v>312</v>
      </c>
      <c r="M16" s="82">
        <f>SUMIFS([1]unittypedata!$S:$S,[1]unittypedata!$D:$D, $L16)</f>
        <v>3.3</v>
      </c>
    </row>
    <row r="17" spans="1:13">
      <c r="A17" t="s">
        <v>114</v>
      </c>
      <c r="B17" t="s">
        <v>312</v>
      </c>
      <c r="C17" s="19" t="s">
        <v>168</v>
      </c>
      <c r="D17" s="19">
        <v>1</v>
      </c>
      <c r="E17" s="19">
        <v>140</v>
      </c>
      <c r="F17" s="19">
        <f>ROUND( VLOOKUP($B17,$L$5:$M$29, 2, FALSE) * (1+ VLOOKUP($A17,'vomcost mult'!$N$10:$R$32,5, FALSE)), 2)</f>
        <v>3.7</v>
      </c>
      <c r="G17" s="19" t="str">
        <f>IF(Table3[[#This Row],[capacity_output1]]&lt;10, "remove", "")</f>
        <v/>
      </c>
      <c r="L17" s="60" t="s">
        <v>296</v>
      </c>
      <c r="M17" s="82">
        <f>SUMIFS([1]unittypedata!$S:$S,[1]unittypedata!$D:$D, $L17)</f>
        <v>3</v>
      </c>
    </row>
    <row r="18" spans="1:13">
      <c r="A18" t="s">
        <v>114</v>
      </c>
      <c r="B18" t="s">
        <v>296</v>
      </c>
      <c r="C18" s="19" t="s">
        <v>168</v>
      </c>
      <c r="D18" s="19">
        <v>1</v>
      </c>
      <c r="E18" s="19">
        <v>1765.5</v>
      </c>
      <c r="F18" s="19">
        <f>ROUND( VLOOKUP($B18,$L$5:$M$29, 2, FALSE) * (1+ VLOOKUP($A18,'vomcost mult'!$N$10:$R$32,5, FALSE)), 2)</f>
        <v>3.36</v>
      </c>
      <c r="G18" s="19" t="str">
        <f>IF(Table3[[#This Row],[capacity_output1]]&lt;10, "remove", "")</f>
        <v/>
      </c>
      <c r="L18" t="s">
        <v>313</v>
      </c>
      <c r="M18" s="82">
        <f>SUMIFS([1]unittypedata!$S:$S,[1]unittypedata!$D:$D, $L18)</f>
        <v>2.6</v>
      </c>
    </row>
    <row r="19" spans="1:13">
      <c r="A19" t="s">
        <v>114</v>
      </c>
      <c r="B19" t="s">
        <v>301</v>
      </c>
      <c r="C19" s="19" t="s">
        <v>168</v>
      </c>
      <c r="D19" s="19">
        <v>1</v>
      </c>
      <c r="E19" s="19">
        <v>311.60000000000002</v>
      </c>
      <c r="F19" s="19">
        <f>ROUND( VLOOKUP($B19,$L$5:$M$29, 2, FALSE) * (1+ VLOOKUP($A19,'vomcost mult'!$N$10:$R$32,5, FALSE)), 2)</f>
        <v>3.48</v>
      </c>
      <c r="G19" s="19" t="str">
        <f>IF(Table3[[#This Row],[capacity_output1]]&lt;10, "remove", "")</f>
        <v/>
      </c>
      <c r="L19" t="s">
        <v>314</v>
      </c>
      <c r="M19" s="82">
        <f>SUMIFS([1]unittypedata!$S:$S,[1]unittypedata!$D:$D, $L19)</f>
        <v>3.3</v>
      </c>
    </row>
    <row r="20" spans="1:13">
      <c r="A20" t="s">
        <v>116</v>
      </c>
      <c r="B20" t="s">
        <v>296</v>
      </c>
      <c r="C20" s="19" t="s">
        <v>168</v>
      </c>
      <c r="D20" s="19">
        <v>1</v>
      </c>
      <c r="E20" s="19">
        <v>1011.5</v>
      </c>
      <c r="F20" s="19">
        <f>ROUND( VLOOKUP($B20,$L$5:$M$29, 2, FALSE) * (1+ VLOOKUP($A20,'vomcost mult'!$N$10:$R$32,5, FALSE)), 2)</f>
        <v>4.37</v>
      </c>
      <c r="G20" s="19" t="str">
        <f>IF(Table3[[#This Row],[capacity_output1]]&lt;10, "remove", "")</f>
        <v/>
      </c>
      <c r="L20" s="60" t="s">
        <v>297</v>
      </c>
      <c r="M20" s="82">
        <f>SUMIFS([1]unittypedata!$S:$S,[1]unittypedata!$D:$D, $L20)</f>
        <v>3.3</v>
      </c>
    </row>
    <row r="21" spans="1:13">
      <c r="A21" t="s">
        <v>116</v>
      </c>
      <c r="B21" t="s">
        <v>301</v>
      </c>
      <c r="C21" s="19" t="s">
        <v>168</v>
      </c>
      <c r="D21" s="19">
        <v>1</v>
      </c>
      <c r="E21" s="19">
        <v>178.5</v>
      </c>
      <c r="F21" s="19">
        <f>ROUND( VLOOKUP($B21,$L$5:$M$29, 2, FALSE) * (1+ VLOOKUP($A21,'vomcost mult'!$N$10:$R$32,5, FALSE)), 2)</f>
        <v>4.51</v>
      </c>
      <c r="G21" s="19" t="str">
        <f>IF(Table3[[#This Row],[capacity_output1]]&lt;10, "remove", "")</f>
        <v/>
      </c>
      <c r="L21" s="60" t="s">
        <v>315</v>
      </c>
      <c r="M21" s="82">
        <f>SUMIFS([1]unittypedata!$S:$S,[1]unittypedata!$D:$D, $L21)</f>
        <v>3.3</v>
      </c>
    </row>
    <row r="22" spans="1:13">
      <c r="A22" t="s">
        <v>117</v>
      </c>
      <c r="B22" t="s">
        <v>287</v>
      </c>
      <c r="C22" s="19" t="s">
        <v>168</v>
      </c>
      <c r="D22" s="19">
        <v>1</v>
      </c>
      <c r="E22" s="19">
        <v>1620.4</v>
      </c>
      <c r="F22" s="19">
        <f>ROUND( VLOOKUP($B22,$L$5:$M$29, 2, FALSE) * (1+ VLOOKUP($A22,'vomcost mult'!$N$10:$R$32,5, FALSE)), 2)</f>
        <v>2.88</v>
      </c>
      <c r="G22" s="19" t="str">
        <f>IF(Table3[[#This Row],[capacity_output1]]&lt;10, "remove", "")</f>
        <v/>
      </c>
      <c r="L22" s="60" t="s">
        <v>316</v>
      </c>
      <c r="M22" s="82">
        <f>SUMIFS([1]unittypedata!$S:$S,[1]unittypedata!$D:$D, $L22)</f>
        <v>3.3</v>
      </c>
    </row>
    <row r="23" spans="1:13">
      <c r="A23" t="s">
        <v>117</v>
      </c>
      <c r="B23" t="s">
        <v>288</v>
      </c>
      <c r="C23" s="19" t="s">
        <v>168</v>
      </c>
      <c r="D23" s="19">
        <v>1</v>
      </c>
      <c r="E23" s="19">
        <v>53.6</v>
      </c>
      <c r="F23" s="19">
        <f>ROUND( VLOOKUP($B23,$L$5:$M$29, 2, FALSE) * (1+ VLOOKUP($A23,'vomcost mult'!$N$10:$R$32,5, FALSE)), 2)</f>
        <v>2.88</v>
      </c>
      <c r="G23" s="19" t="str">
        <f>IF(Table3[[#This Row],[capacity_output1]]&lt;10, "remove", "")</f>
        <v/>
      </c>
      <c r="L23" t="s">
        <v>317</v>
      </c>
      <c r="M23" s="82">
        <f>SUMIFS([1]unittypedata!$S:$S,[1]unittypedata!$D:$D, $L23)</f>
        <v>3.3</v>
      </c>
    </row>
    <row r="24" spans="1:13">
      <c r="A24" t="s">
        <v>117</v>
      </c>
      <c r="B24" t="s">
        <v>289</v>
      </c>
      <c r="C24" s="19" t="s">
        <v>168</v>
      </c>
      <c r="D24" s="19">
        <v>1</v>
      </c>
      <c r="E24" s="19">
        <v>460.4</v>
      </c>
      <c r="F24" s="19">
        <f>ROUND( VLOOKUP($B24,$L$5:$M$29, 2, FALSE) * (1+ VLOOKUP($A24,'vomcost mult'!$N$10:$R$32,5, FALSE)), 2)</f>
        <v>2.88</v>
      </c>
      <c r="G24" s="19" t="str">
        <f>IF(Table3[[#This Row],[capacity_output1]]&lt;10, "remove", "")</f>
        <v/>
      </c>
      <c r="L24" s="60" t="s">
        <v>298</v>
      </c>
      <c r="M24" s="82">
        <f>SUMIFS([1]unittypedata!$S:$S,[1]unittypedata!$D:$D, $L24)</f>
        <v>3.3</v>
      </c>
    </row>
    <row r="25" spans="1:13">
      <c r="A25" t="s">
        <v>117</v>
      </c>
      <c r="B25" t="s">
        <v>290</v>
      </c>
      <c r="C25" s="19" t="s">
        <v>168</v>
      </c>
      <c r="D25" s="19">
        <v>1</v>
      </c>
      <c r="E25" s="19">
        <v>1658.6</v>
      </c>
      <c r="F25" s="19">
        <f>ROUND( VLOOKUP($B25,$L$5:$M$29, 2, FALSE) * (1+ VLOOKUP($A25,'vomcost mult'!$N$10:$R$32,5, FALSE)), 2)</f>
        <v>2.88</v>
      </c>
      <c r="G25" s="19" t="str">
        <f>IF(Table3[[#This Row],[capacity_output1]]&lt;10, "remove", "")</f>
        <v/>
      </c>
      <c r="L25" t="s">
        <v>299</v>
      </c>
      <c r="M25" s="82">
        <f>SUMIFS([1]unittypedata!$S:$S,[1]unittypedata!$D:$D, $L25)</f>
        <v>3.3</v>
      </c>
    </row>
    <row r="26" spans="1:13">
      <c r="A26" t="s">
        <v>117</v>
      </c>
      <c r="B26" t="s">
        <v>291</v>
      </c>
      <c r="C26" s="19" t="s">
        <v>168</v>
      </c>
      <c r="D26" s="19">
        <v>1</v>
      </c>
      <c r="E26" s="19">
        <v>18452.900000000001</v>
      </c>
      <c r="F26" s="19">
        <f>ROUND( VLOOKUP($B26,$L$5:$M$29, 2, FALSE) * (1+ VLOOKUP($A26,'vomcost mult'!$N$10:$R$32,5, FALSE)), 2)</f>
        <v>2.88</v>
      </c>
      <c r="G26" s="19" t="str">
        <f>IF(Table3[[#This Row],[capacity_output1]]&lt;10, "remove", "")</f>
        <v/>
      </c>
      <c r="L26" t="s">
        <v>300</v>
      </c>
      <c r="M26" s="82">
        <f>SUMIFS([1]unittypedata!$S:$S,[1]unittypedata!$D:$D, $L26)</f>
        <v>3.2</v>
      </c>
    </row>
    <row r="27" spans="1:13">
      <c r="A27" t="s">
        <v>117</v>
      </c>
      <c r="B27" t="s">
        <v>292</v>
      </c>
      <c r="C27" s="19" t="s">
        <v>168</v>
      </c>
      <c r="D27" s="19">
        <v>1</v>
      </c>
      <c r="E27" s="19">
        <v>2355.8000000000002</v>
      </c>
      <c r="F27" s="19">
        <f>ROUND( VLOOKUP($B27,$L$5:$M$29, 2, FALSE) * (1+ VLOOKUP($A27,'vomcost mult'!$N$10:$R$32,5, FALSE)), 2)</f>
        <v>2.88</v>
      </c>
      <c r="G27" s="19" t="str">
        <f>IF(Table3[[#This Row],[capacity_output1]]&lt;10, "remove", "")</f>
        <v/>
      </c>
      <c r="L27" s="60" t="s">
        <v>318</v>
      </c>
      <c r="M27" s="82">
        <f>SUMIFS([1]unittypedata!$S:$S,[1]unittypedata!$D:$D, $L27)</f>
        <v>3.3</v>
      </c>
    </row>
    <row r="28" spans="1:13">
      <c r="A28" t="s">
        <v>117</v>
      </c>
      <c r="B28" t="s">
        <v>293</v>
      </c>
      <c r="C28" s="19" t="s">
        <v>168</v>
      </c>
      <c r="D28" s="19">
        <v>1</v>
      </c>
      <c r="E28" s="19">
        <v>43.3</v>
      </c>
      <c r="F28" s="19">
        <f>ROUND( VLOOKUP($B28,$L$5:$M$29, 2, FALSE) * (1+ VLOOKUP($A28,'vomcost mult'!$N$10:$R$32,5, FALSE)), 2)</f>
        <v>2.88</v>
      </c>
      <c r="G28" s="19" t="str">
        <f>IF(Table3[[#This Row],[capacity_output1]]&lt;10, "remove", "")</f>
        <v/>
      </c>
      <c r="L28" s="60" t="s">
        <v>319</v>
      </c>
      <c r="M28" s="82">
        <f>SUMIFS([1]unittypedata!$S:$S,[1]unittypedata!$D:$D, $L28)</f>
        <v>3.3</v>
      </c>
    </row>
    <row r="29" spans="1:13">
      <c r="A29" t="s">
        <v>117</v>
      </c>
      <c r="B29" t="s">
        <v>294</v>
      </c>
      <c r="C29" s="19" t="s">
        <v>168</v>
      </c>
      <c r="D29" s="19">
        <v>1</v>
      </c>
      <c r="E29" s="19">
        <v>109.7</v>
      </c>
      <c r="F29" s="19">
        <f>ROUND( VLOOKUP($B29,$L$5:$M$29, 2, FALSE) * (1+ VLOOKUP($A29,'vomcost mult'!$N$10:$R$32,5, FALSE)), 2)</f>
        <v>2.33</v>
      </c>
      <c r="G29" s="19" t="str">
        <f>IF(Table3[[#This Row],[capacity_output1]]&lt;10, "remove", "")</f>
        <v/>
      </c>
      <c r="L29" s="60" t="s">
        <v>301</v>
      </c>
      <c r="M29" s="82">
        <f>SUMIFS([1]unittypedata!$S:$S,[1]unittypedata!$D:$D, $L29)</f>
        <v>3.1</v>
      </c>
    </row>
    <row r="30" spans="1:13">
      <c r="A30" t="s">
        <v>117</v>
      </c>
      <c r="B30" t="s">
        <v>295</v>
      </c>
      <c r="C30" s="19" t="s">
        <v>168</v>
      </c>
      <c r="D30" s="19">
        <v>1</v>
      </c>
      <c r="E30" s="19">
        <v>945.1</v>
      </c>
      <c r="F30" s="19">
        <f>ROUND( VLOOKUP($B30,$L$5:$M$29, 2, FALSE) * (1+ VLOOKUP($A30,'vomcost mult'!$N$10:$R$32,5, FALSE)), 2)</f>
        <v>2.33</v>
      </c>
      <c r="G30" s="19" t="str">
        <f>IF(Table3[[#This Row],[capacity_output1]]&lt;10, "remove", "")</f>
        <v/>
      </c>
    </row>
    <row r="31" spans="1:13">
      <c r="A31" t="s">
        <v>117</v>
      </c>
      <c r="B31" t="s">
        <v>310</v>
      </c>
      <c r="C31" s="19" t="s">
        <v>168</v>
      </c>
      <c r="D31" s="19">
        <v>1</v>
      </c>
      <c r="E31" s="19">
        <v>1585.3</v>
      </c>
      <c r="F31" s="19">
        <f>ROUND( VLOOKUP($B31,$L$5:$M$29, 2, FALSE) * (1+ VLOOKUP($A31,'vomcost mult'!$N$10:$R$32,5, FALSE)), 2)</f>
        <v>2.33</v>
      </c>
      <c r="G31" s="19" t="str">
        <f>IF(Table3[[#This Row],[capacity_output1]]&lt;10, "remove", "")</f>
        <v/>
      </c>
    </row>
    <row r="32" spans="1:13">
      <c r="A32" t="s">
        <v>118</v>
      </c>
      <c r="B32" t="s">
        <v>289</v>
      </c>
      <c r="C32" s="19" t="s">
        <v>168</v>
      </c>
      <c r="D32" s="19">
        <v>1</v>
      </c>
      <c r="E32" s="19">
        <v>57.8</v>
      </c>
      <c r="F32" s="19">
        <f>ROUND( VLOOKUP($B32,$L$5:$M$29, 2, FALSE) * (1+ VLOOKUP($A32,'vomcost mult'!$N$10:$R$32,5, FALSE)), 2)</f>
        <v>3.25</v>
      </c>
      <c r="G32" s="19" t="str">
        <f>IF(Table3[[#This Row],[capacity_output1]]&lt;10, "remove", "")</f>
        <v/>
      </c>
    </row>
    <row r="33" spans="1:7">
      <c r="A33" t="s">
        <v>118</v>
      </c>
      <c r="B33" t="s">
        <v>313</v>
      </c>
      <c r="C33" s="19" t="s">
        <v>168</v>
      </c>
      <c r="D33" s="19">
        <v>1</v>
      </c>
      <c r="E33" s="19">
        <v>54.6</v>
      </c>
      <c r="F33" s="19">
        <f>ROUND( VLOOKUP($B33,$L$5:$M$29, 2, FALSE) * (1+ VLOOKUP($A33,'vomcost mult'!$N$10:$R$32,5, FALSE)), 2)</f>
        <v>3.25</v>
      </c>
      <c r="G33" s="19" t="str">
        <f>IF(Table3[[#This Row],[capacity_output1]]&lt;10, "remove", "")</f>
        <v/>
      </c>
    </row>
    <row r="34" spans="1:7">
      <c r="A34" t="s">
        <v>118</v>
      </c>
      <c r="B34" t="s">
        <v>292</v>
      </c>
      <c r="C34" s="19" t="s">
        <v>168</v>
      </c>
      <c r="D34" s="19">
        <v>1</v>
      </c>
      <c r="E34" s="19">
        <v>72</v>
      </c>
      <c r="F34" s="19">
        <f>ROUND( VLOOKUP($B34,$L$5:$M$29, 2, FALSE) * (1+ VLOOKUP($A34,'vomcost mult'!$N$10:$R$32,5, FALSE)), 2)</f>
        <v>3.25</v>
      </c>
      <c r="G34" s="19" t="str">
        <f>IF(Table3[[#This Row],[capacity_output1]]&lt;10, "remove", "")</f>
        <v/>
      </c>
    </row>
    <row r="35" spans="1:7">
      <c r="A35" t="s">
        <v>118</v>
      </c>
      <c r="B35" t="s">
        <v>293</v>
      </c>
      <c r="C35" s="19" t="s">
        <v>168</v>
      </c>
      <c r="D35" s="19">
        <v>1</v>
      </c>
      <c r="E35" s="19">
        <v>103.1</v>
      </c>
      <c r="F35" s="19">
        <f>ROUND( VLOOKUP($B35,$L$5:$M$29, 2, FALSE) * (1+ VLOOKUP($A35,'vomcost mult'!$N$10:$R$32,5, FALSE)), 2)</f>
        <v>3.25</v>
      </c>
      <c r="G35" s="19" t="str">
        <f>IF(Table3[[#This Row],[capacity_output1]]&lt;10, "remove", "")</f>
        <v/>
      </c>
    </row>
    <row r="36" spans="1:7">
      <c r="A36" t="s">
        <v>118</v>
      </c>
      <c r="B36" t="s">
        <v>311</v>
      </c>
      <c r="C36" s="19" t="s">
        <v>168</v>
      </c>
      <c r="D36" s="19">
        <v>1</v>
      </c>
      <c r="E36" s="19">
        <v>1165.5</v>
      </c>
      <c r="F36" s="19">
        <f>ROUND( VLOOKUP($B36,$L$5:$M$29, 2, FALSE) * (1+ VLOOKUP($A36,'vomcost mult'!$N$10:$R$32,5, FALSE)), 2)</f>
        <v>4.13</v>
      </c>
      <c r="G36" s="19" t="str">
        <f>IF(Table3[[#This Row],[capacity_output1]]&lt;10, "remove", "")</f>
        <v/>
      </c>
    </row>
    <row r="37" spans="1:7">
      <c r="A37" t="s">
        <v>118</v>
      </c>
      <c r="B37" t="s">
        <v>312</v>
      </c>
      <c r="C37" s="19" t="s">
        <v>168</v>
      </c>
      <c r="D37" s="19">
        <v>1</v>
      </c>
      <c r="E37" s="19">
        <v>65.099999999999994</v>
      </c>
      <c r="F37" s="19">
        <f>ROUND( VLOOKUP($B37,$L$5:$M$29, 2, FALSE) * (1+ VLOOKUP($A37,'vomcost mult'!$N$10:$R$32,5, FALSE)), 2)</f>
        <v>4.13</v>
      </c>
      <c r="G37" s="19" t="str">
        <f>IF(Table3[[#This Row],[capacity_output1]]&lt;10, "remove", "")</f>
        <v/>
      </c>
    </row>
    <row r="38" spans="1:7">
      <c r="A38" t="s">
        <v>118</v>
      </c>
      <c r="B38" t="s">
        <v>310</v>
      </c>
      <c r="C38" s="19" t="s">
        <v>168</v>
      </c>
      <c r="D38" s="19">
        <v>1</v>
      </c>
      <c r="E38" s="19">
        <v>531</v>
      </c>
      <c r="F38" s="19">
        <f>ROUND( VLOOKUP($B38,$L$5:$M$29, 2, FALSE) * (1+ VLOOKUP($A38,'vomcost mult'!$N$10:$R$32,5, FALSE)), 2)</f>
        <v>2.63</v>
      </c>
      <c r="G38" s="19" t="str">
        <f>IF(Table3[[#This Row],[capacity_output1]]&lt;10, "remove", "")</f>
        <v/>
      </c>
    </row>
    <row r="39" spans="1:7">
      <c r="A39" t="s">
        <v>119</v>
      </c>
      <c r="B39" t="s">
        <v>288</v>
      </c>
      <c r="C39" s="19" t="s">
        <v>168</v>
      </c>
      <c r="D39" s="19">
        <v>1</v>
      </c>
      <c r="E39" s="19">
        <v>47.2</v>
      </c>
      <c r="F39" s="19">
        <f>ROUND( VLOOKUP($B39,$L$5:$M$29, 2, FALSE) * (1+ VLOOKUP($A39,'vomcost mult'!$N$10:$R$32,5, FALSE)), 2)</f>
        <v>3.22</v>
      </c>
      <c r="G39" s="19" t="str">
        <f>IF(Table3[[#This Row],[capacity_output1]]&lt;10, "remove", "")</f>
        <v/>
      </c>
    </row>
    <row r="40" spans="1:7">
      <c r="A40" t="s">
        <v>119</v>
      </c>
      <c r="B40" t="s">
        <v>289</v>
      </c>
      <c r="C40" s="19" t="s">
        <v>168</v>
      </c>
      <c r="D40" s="19">
        <v>1</v>
      </c>
      <c r="E40" s="19">
        <v>54.3</v>
      </c>
      <c r="F40" s="19">
        <f>ROUND( VLOOKUP($B40,$L$5:$M$29, 2, FALSE) * (1+ VLOOKUP($A40,'vomcost mult'!$N$10:$R$32,5, FALSE)), 2)</f>
        <v>3.22</v>
      </c>
      <c r="G40" s="19" t="str">
        <f>IF(Table3[[#This Row],[capacity_output1]]&lt;10, "remove", "")</f>
        <v/>
      </c>
    </row>
    <row r="41" spans="1:7">
      <c r="A41" t="s">
        <v>119</v>
      </c>
      <c r="B41" t="s">
        <v>313</v>
      </c>
      <c r="C41" s="19" t="s">
        <v>168</v>
      </c>
      <c r="D41" s="19">
        <v>1</v>
      </c>
      <c r="E41" s="19">
        <v>129.6</v>
      </c>
      <c r="F41" s="19">
        <f>ROUND( VLOOKUP($B41,$L$5:$M$29, 2, FALSE) * (1+ VLOOKUP($A41,'vomcost mult'!$N$10:$R$32,5, FALSE)), 2)</f>
        <v>3.22</v>
      </c>
      <c r="G41" s="19" t="str">
        <f>IF(Table3[[#This Row],[capacity_output1]]&lt;10, "remove", "")</f>
        <v/>
      </c>
    </row>
    <row r="42" spans="1:7">
      <c r="A42" t="s">
        <v>119</v>
      </c>
      <c r="B42" t="s">
        <v>292</v>
      </c>
      <c r="C42" s="19" t="s">
        <v>168</v>
      </c>
      <c r="D42" s="19">
        <v>1</v>
      </c>
      <c r="E42" s="19">
        <v>69.7</v>
      </c>
      <c r="F42" s="19">
        <f>ROUND( VLOOKUP($B42,$L$5:$M$29, 2, FALSE) * (1+ VLOOKUP($A42,'vomcost mult'!$N$10:$R$32,5, FALSE)), 2)</f>
        <v>3.22</v>
      </c>
      <c r="G42" s="19" t="str">
        <f>IF(Table3[[#This Row],[capacity_output1]]&lt;10, "remove", "")</f>
        <v/>
      </c>
    </row>
    <row r="43" spans="1:7">
      <c r="A43" t="s">
        <v>119</v>
      </c>
      <c r="B43" t="s">
        <v>293</v>
      </c>
      <c r="C43" s="19" t="s">
        <v>168</v>
      </c>
      <c r="D43" s="19">
        <v>1</v>
      </c>
      <c r="E43" s="19">
        <v>448.2</v>
      </c>
      <c r="F43" s="19">
        <f>ROUND( VLOOKUP($B43,$L$5:$M$29, 2, FALSE) * (1+ VLOOKUP($A43,'vomcost mult'!$N$10:$R$32,5, FALSE)), 2)</f>
        <v>3.22</v>
      </c>
      <c r="G43" s="19" t="str">
        <f>IF(Table3[[#This Row],[capacity_output1]]&lt;10, "remove", "")</f>
        <v/>
      </c>
    </row>
    <row r="44" spans="1:7">
      <c r="A44" t="s">
        <v>119</v>
      </c>
      <c r="B44" t="s">
        <v>294</v>
      </c>
      <c r="C44" s="19" t="s">
        <v>168</v>
      </c>
      <c r="D44" s="19">
        <v>1</v>
      </c>
      <c r="E44" s="19">
        <v>111.7</v>
      </c>
      <c r="F44" s="19">
        <f>ROUND( VLOOKUP($B44,$L$5:$M$29, 2, FALSE) * (1+ VLOOKUP($A44,'vomcost mult'!$N$10:$R$32,5, FALSE)), 2)</f>
        <v>2.6</v>
      </c>
      <c r="G44" s="19" t="str">
        <f>IF(Table3[[#This Row],[capacity_output1]]&lt;10, "remove", "")</f>
        <v/>
      </c>
    </row>
    <row r="45" spans="1:7">
      <c r="A45" t="s">
        <v>119</v>
      </c>
      <c r="B45" t="s">
        <v>295</v>
      </c>
      <c r="C45" s="19" t="s">
        <v>168</v>
      </c>
      <c r="D45" s="19">
        <v>1</v>
      </c>
      <c r="E45" s="19">
        <v>375.4</v>
      </c>
      <c r="F45" s="19">
        <f>ROUND( VLOOKUP($B45,$L$5:$M$29, 2, FALSE) * (1+ VLOOKUP($A45,'vomcost mult'!$N$10:$R$32,5, FALSE)), 2)</f>
        <v>2.6</v>
      </c>
      <c r="G45" s="19" t="str">
        <f>IF(Table3[[#This Row],[capacity_output1]]&lt;10, "remove", "")</f>
        <v/>
      </c>
    </row>
    <row r="46" spans="1:7">
      <c r="A46" t="s">
        <v>119</v>
      </c>
      <c r="B46" t="s">
        <v>311</v>
      </c>
      <c r="C46" s="19" t="s">
        <v>168</v>
      </c>
      <c r="D46" s="19">
        <v>1</v>
      </c>
      <c r="E46" s="19">
        <v>778.1</v>
      </c>
      <c r="F46" s="19">
        <f>ROUND( VLOOKUP($B46,$L$5:$M$29, 2, FALSE) * (1+ VLOOKUP($A46,'vomcost mult'!$N$10:$R$32,5, FALSE)), 2)</f>
        <v>4.09</v>
      </c>
      <c r="G46" s="19" t="str">
        <f>IF(Table3[[#This Row],[capacity_output1]]&lt;10, "remove", "")</f>
        <v/>
      </c>
    </row>
    <row r="47" spans="1:7">
      <c r="A47" t="s">
        <v>119</v>
      </c>
      <c r="B47" t="s">
        <v>310</v>
      </c>
      <c r="C47" s="19" t="s">
        <v>168</v>
      </c>
      <c r="D47" s="19">
        <v>1</v>
      </c>
      <c r="E47" s="19">
        <v>165.8</v>
      </c>
      <c r="F47" s="19">
        <f>ROUND( VLOOKUP($B47,$L$5:$M$29, 2, FALSE) * (1+ VLOOKUP($A47,'vomcost mult'!$N$10:$R$32,5, FALSE)), 2)</f>
        <v>2.6</v>
      </c>
      <c r="G47" s="19" t="str">
        <f>IF(Table3[[#This Row],[capacity_output1]]&lt;10, "remove", "")</f>
        <v/>
      </c>
    </row>
    <row r="48" spans="1:7">
      <c r="A48" t="s">
        <v>120</v>
      </c>
      <c r="B48" t="s">
        <v>287</v>
      </c>
      <c r="C48" s="19" t="s">
        <v>168</v>
      </c>
      <c r="D48" s="19">
        <v>1</v>
      </c>
      <c r="E48" s="19">
        <v>250</v>
      </c>
      <c r="F48" s="19">
        <f>ROUND( VLOOKUP($B48,$L$5:$M$29, 2, FALSE) * (1+ VLOOKUP($A48,'vomcost mult'!$N$10:$R$32,5, FALSE)), 2)</f>
        <v>2.0699999999999998</v>
      </c>
      <c r="G48" s="19" t="str">
        <f>IF(Table3[[#This Row],[capacity_output1]]&lt;10, "remove", "")</f>
        <v/>
      </c>
    </row>
    <row r="49" spans="1:7">
      <c r="A49" t="s">
        <v>120</v>
      </c>
      <c r="B49" t="s">
        <v>314</v>
      </c>
      <c r="C49" s="19" t="s">
        <v>168</v>
      </c>
      <c r="D49" s="19">
        <v>1</v>
      </c>
      <c r="E49" s="19">
        <v>658</v>
      </c>
      <c r="F49" s="19">
        <f>ROUND( VLOOKUP($B49,$L$5:$M$29, 2, FALSE) * (1+ VLOOKUP($A49,'vomcost mult'!$N$10:$R$32,5, FALSE)), 2)</f>
        <v>2.63</v>
      </c>
      <c r="G49" s="19" t="str">
        <f>IF(Table3[[#This Row],[capacity_output1]]&lt;10, "remove", "")</f>
        <v/>
      </c>
    </row>
    <row r="50" spans="1:7">
      <c r="A50" t="s">
        <v>120</v>
      </c>
      <c r="B50" t="s">
        <v>297</v>
      </c>
      <c r="C50" s="19" t="s">
        <v>168</v>
      </c>
      <c r="D50" s="19">
        <v>1</v>
      </c>
      <c r="E50" s="19">
        <v>173</v>
      </c>
      <c r="F50" s="19">
        <f>ROUND( VLOOKUP($B50,$L$5:$M$29, 2, FALSE) * (1+ VLOOKUP($A50,'vomcost mult'!$N$10:$R$32,5, FALSE)), 2)</f>
        <v>2.63</v>
      </c>
      <c r="G50" s="19" t="str">
        <f>IF(Table3[[#This Row],[capacity_output1]]&lt;10, "remove", "")</f>
        <v/>
      </c>
    </row>
    <row r="51" spans="1:7">
      <c r="A51" t="s">
        <v>121</v>
      </c>
      <c r="B51" t="s">
        <v>290</v>
      </c>
      <c r="C51" s="19" t="s">
        <v>168</v>
      </c>
      <c r="D51" s="19">
        <v>1</v>
      </c>
      <c r="E51" s="19">
        <v>24498</v>
      </c>
      <c r="F51" s="19">
        <f>ROUND( VLOOKUP($B51,$L$5:$M$29, 2, FALSE) * (1+ VLOOKUP($A51,'vomcost mult'!$N$10:$R$32,5, FALSE)), 2)</f>
        <v>2.38</v>
      </c>
      <c r="G51" s="19" t="str">
        <f>IF(Table3[[#This Row],[capacity_output1]]&lt;10, "remove", "")</f>
        <v/>
      </c>
    </row>
    <row r="52" spans="1:7">
      <c r="A52" t="s">
        <v>121</v>
      </c>
      <c r="B52" t="s">
        <v>296</v>
      </c>
      <c r="C52" s="19" t="s">
        <v>168</v>
      </c>
      <c r="D52" s="19">
        <v>1</v>
      </c>
      <c r="E52" s="19">
        <v>4335.3</v>
      </c>
      <c r="F52" s="19">
        <f>ROUND( VLOOKUP($B52,$L$5:$M$29, 2, FALSE) * (1+ VLOOKUP($A52,'vomcost mult'!$N$10:$R$32,5, FALSE)), 2)</f>
        <v>2.75</v>
      </c>
      <c r="G52" s="19" t="str">
        <f>IF(Table3[[#This Row],[capacity_output1]]&lt;10, "remove", "")</f>
        <v/>
      </c>
    </row>
    <row r="53" spans="1:7">
      <c r="A53" t="s">
        <v>121</v>
      </c>
      <c r="B53" t="s">
        <v>301</v>
      </c>
      <c r="C53" s="19" t="s">
        <v>168</v>
      </c>
      <c r="D53" s="19">
        <v>1</v>
      </c>
      <c r="E53" s="19">
        <v>765.1</v>
      </c>
      <c r="F53" s="19">
        <f>ROUND( VLOOKUP($B53,$L$5:$M$29, 2, FALSE) * (1+ VLOOKUP($A53,'vomcost mult'!$N$10:$R$32,5, FALSE)), 2)</f>
        <v>2.84</v>
      </c>
      <c r="G53" s="19" t="str">
        <f>IF(Table3[[#This Row],[capacity_output1]]&lt;10, "remove", "")</f>
        <v/>
      </c>
    </row>
    <row r="54" spans="1:7">
      <c r="A54" t="s">
        <v>122</v>
      </c>
      <c r="B54" t="s">
        <v>287</v>
      </c>
      <c r="C54" s="19" t="s">
        <v>168</v>
      </c>
      <c r="D54" s="19">
        <v>1</v>
      </c>
      <c r="E54" s="19">
        <v>45</v>
      </c>
      <c r="F54" s="19">
        <f>ROUND( VLOOKUP($B54,$L$5:$M$29, 2, FALSE) * (1+ VLOOKUP($A54,'vomcost mult'!$N$10:$R$32,5, FALSE)), 2)</f>
        <v>2.88</v>
      </c>
      <c r="G54" s="19" t="str">
        <f>IF(Table3[[#This Row],[capacity_output1]]&lt;10, "remove", "")</f>
        <v/>
      </c>
    </row>
    <row r="55" spans="1:7">
      <c r="A55" t="s">
        <v>122</v>
      </c>
      <c r="B55" t="s">
        <v>289</v>
      </c>
      <c r="C55" s="19" t="s">
        <v>168</v>
      </c>
      <c r="D55" s="19">
        <v>1</v>
      </c>
      <c r="E55" s="19">
        <v>640</v>
      </c>
      <c r="F55" s="19">
        <f>ROUND( VLOOKUP($B55,$L$5:$M$29, 2, FALSE) * (1+ VLOOKUP($A55,'vomcost mult'!$N$10:$R$32,5, FALSE)), 2)</f>
        <v>2.88</v>
      </c>
      <c r="G55" s="19" t="str">
        <f>IF(Table3[[#This Row],[capacity_output1]]&lt;10, "remove", "")</f>
        <v/>
      </c>
    </row>
    <row r="56" spans="1:7">
      <c r="A56" t="s">
        <v>122</v>
      </c>
      <c r="B56" t="s">
        <v>290</v>
      </c>
      <c r="C56" s="19" t="s">
        <v>168</v>
      </c>
      <c r="D56" s="19">
        <v>1</v>
      </c>
      <c r="E56" s="19">
        <v>234</v>
      </c>
      <c r="F56" s="19">
        <f>ROUND( VLOOKUP($B56,$L$5:$M$29, 2, FALSE) * (1+ VLOOKUP($A56,'vomcost mult'!$N$10:$R$32,5, FALSE)), 2)</f>
        <v>2.88</v>
      </c>
      <c r="G56" s="19" t="str">
        <f>IF(Table3[[#This Row],[capacity_output1]]&lt;10, "remove", "")</f>
        <v/>
      </c>
    </row>
    <row r="57" spans="1:7">
      <c r="A57" t="s">
        <v>122</v>
      </c>
      <c r="B57" t="s">
        <v>292</v>
      </c>
      <c r="C57" s="19" t="s">
        <v>168</v>
      </c>
      <c r="D57" s="19">
        <v>1</v>
      </c>
      <c r="E57" s="19">
        <v>87</v>
      </c>
      <c r="F57" s="19">
        <f>ROUND( VLOOKUP($B57,$L$5:$M$29, 2, FALSE) * (1+ VLOOKUP($A57,'vomcost mult'!$N$10:$R$32,5, FALSE)), 2)</f>
        <v>2.88</v>
      </c>
      <c r="G57" s="19" t="str">
        <f>IF(Table3[[#This Row],[capacity_output1]]&lt;10, "remove", "")</f>
        <v/>
      </c>
    </row>
    <row r="58" spans="1:7">
      <c r="A58" t="s">
        <v>122</v>
      </c>
      <c r="B58" t="s">
        <v>293</v>
      </c>
      <c r="C58" s="19" t="s">
        <v>168</v>
      </c>
      <c r="D58" s="19">
        <v>1</v>
      </c>
      <c r="E58" s="19">
        <v>38</v>
      </c>
      <c r="F58" s="19">
        <f>ROUND( VLOOKUP($B58,$L$5:$M$29, 2, FALSE) * (1+ VLOOKUP($A58,'vomcost mult'!$N$10:$R$32,5, FALSE)), 2)</f>
        <v>2.88</v>
      </c>
      <c r="G58" s="19" t="str">
        <f>IF(Table3[[#This Row],[capacity_output1]]&lt;10, "remove", "")</f>
        <v/>
      </c>
    </row>
    <row r="59" spans="1:7">
      <c r="A59" t="s">
        <v>122</v>
      </c>
      <c r="B59" t="s">
        <v>311</v>
      </c>
      <c r="C59" s="19" t="s">
        <v>168</v>
      </c>
      <c r="D59" s="19">
        <v>1</v>
      </c>
      <c r="E59" s="19">
        <v>1196</v>
      </c>
      <c r="F59" s="19">
        <f>ROUND( VLOOKUP($B59,$L$5:$M$29, 2, FALSE) * (1+ VLOOKUP($A59,'vomcost mult'!$N$10:$R$32,5, FALSE)), 2)</f>
        <v>3.66</v>
      </c>
      <c r="G59" s="19" t="str">
        <f>IF(Table3[[#This Row],[capacity_output1]]&lt;10, "remove", "")</f>
        <v/>
      </c>
    </row>
    <row r="60" spans="1:7">
      <c r="A60" t="s">
        <v>122</v>
      </c>
      <c r="B60" t="s">
        <v>296</v>
      </c>
      <c r="C60" s="19" t="s">
        <v>168</v>
      </c>
      <c r="D60" s="19">
        <v>1</v>
      </c>
      <c r="E60" s="19">
        <v>3734.9</v>
      </c>
      <c r="F60" s="19">
        <f>ROUND( VLOOKUP($B60,$L$5:$M$29, 2, FALSE) * (1+ VLOOKUP($A60,'vomcost mult'!$N$10:$R$32,5, FALSE)), 2)</f>
        <v>3.32</v>
      </c>
      <c r="G60" s="19" t="str">
        <f>IF(Table3[[#This Row],[capacity_output1]]&lt;10, "remove", "")</f>
        <v/>
      </c>
    </row>
    <row r="61" spans="1:7">
      <c r="A61" t="s">
        <v>122</v>
      </c>
      <c r="B61" t="s">
        <v>301</v>
      </c>
      <c r="C61" s="19" t="s">
        <v>168</v>
      </c>
      <c r="D61" s="19">
        <v>1</v>
      </c>
      <c r="E61" s="19">
        <v>659.1</v>
      </c>
      <c r="F61" s="19">
        <f>ROUND( VLOOKUP($B61,$L$5:$M$29, 2, FALSE) * (1+ VLOOKUP($A61,'vomcost mult'!$N$10:$R$32,5, FALSE)), 2)</f>
        <v>3.43</v>
      </c>
      <c r="G61" s="19" t="str">
        <f>IF(Table3[[#This Row],[capacity_output1]]&lt;10, "remove", "")</f>
        <v/>
      </c>
    </row>
    <row r="62" spans="1:7">
      <c r="A62" t="s">
        <v>123</v>
      </c>
      <c r="B62" t="s">
        <v>287</v>
      </c>
      <c r="C62" s="19" t="s">
        <v>168</v>
      </c>
      <c r="D62" s="19">
        <v>1</v>
      </c>
      <c r="E62" s="19">
        <v>414</v>
      </c>
      <c r="F62" s="19">
        <f>ROUND( VLOOKUP($B62,$L$5:$M$29, 2, FALSE) * (1+ VLOOKUP($A62,'vomcost mult'!$N$10:$R$32,5, FALSE)), 2)</f>
        <v>2.74</v>
      </c>
      <c r="G62" s="19" t="str">
        <f>IF(Table3[[#This Row],[capacity_output1]]&lt;10, "remove", "")</f>
        <v/>
      </c>
    </row>
    <row r="63" spans="1:7">
      <c r="A63" t="s">
        <v>123</v>
      </c>
      <c r="B63" t="s">
        <v>290</v>
      </c>
      <c r="C63" s="19" t="s">
        <v>168</v>
      </c>
      <c r="D63" s="19">
        <v>1</v>
      </c>
      <c r="E63" s="19">
        <v>792</v>
      </c>
      <c r="F63" s="19">
        <f>ROUND( VLOOKUP($B63,$L$5:$M$29, 2, FALSE) * (1+ VLOOKUP($A63,'vomcost mult'!$N$10:$R$32,5, FALSE)), 2)</f>
        <v>2.74</v>
      </c>
      <c r="G63" s="19" t="str">
        <f>IF(Table3[[#This Row],[capacity_output1]]&lt;10, "remove", "")</f>
        <v/>
      </c>
    </row>
    <row r="64" spans="1:7">
      <c r="A64" t="s">
        <v>123</v>
      </c>
      <c r="B64" t="s">
        <v>291</v>
      </c>
      <c r="C64" s="19" t="s">
        <v>168</v>
      </c>
      <c r="D64" s="19">
        <v>1</v>
      </c>
      <c r="E64" s="19">
        <v>5347</v>
      </c>
      <c r="F64" s="19">
        <f>ROUND( VLOOKUP($B64,$L$5:$M$29, 2, FALSE) * (1+ VLOOKUP($A64,'vomcost mult'!$N$10:$R$32,5, FALSE)), 2)</f>
        <v>2.74</v>
      </c>
      <c r="G64" s="19" t="str">
        <f>IF(Table3[[#This Row],[capacity_output1]]&lt;10, "remove", "")</f>
        <v/>
      </c>
    </row>
    <row r="65" spans="1:7">
      <c r="A65" t="s">
        <v>123</v>
      </c>
      <c r="B65" t="s">
        <v>292</v>
      </c>
      <c r="C65" s="19" t="s">
        <v>168</v>
      </c>
      <c r="D65" s="19">
        <v>1</v>
      </c>
      <c r="E65" s="19">
        <v>437</v>
      </c>
      <c r="F65" s="19">
        <f>ROUND( VLOOKUP($B65,$L$5:$M$29, 2, FALSE) * (1+ VLOOKUP($A65,'vomcost mult'!$N$10:$R$32,5, FALSE)), 2)</f>
        <v>2.74</v>
      </c>
      <c r="G65" s="19" t="str">
        <f>IF(Table3[[#This Row],[capacity_output1]]&lt;10, "remove", "")</f>
        <v/>
      </c>
    </row>
    <row r="66" spans="1:7">
      <c r="A66" t="s">
        <v>123</v>
      </c>
      <c r="B66" t="s">
        <v>293</v>
      </c>
      <c r="C66" s="19" t="s">
        <v>168</v>
      </c>
      <c r="D66" s="19">
        <v>1</v>
      </c>
      <c r="E66" s="19">
        <v>199</v>
      </c>
      <c r="F66" s="19">
        <f>ROUND( VLOOKUP($B66,$L$5:$M$29, 2, FALSE) * (1+ VLOOKUP($A66,'vomcost mult'!$N$10:$R$32,5, FALSE)), 2)</f>
        <v>2.74</v>
      </c>
      <c r="G66" s="19" t="str">
        <f>IF(Table3[[#This Row],[capacity_output1]]&lt;10, "remove", "")</f>
        <v/>
      </c>
    </row>
    <row r="67" spans="1:7">
      <c r="A67" t="s">
        <v>123</v>
      </c>
      <c r="B67" t="s">
        <v>310</v>
      </c>
      <c r="C67" s="19" t="s">
        <v>168</v>
      </c>
      <c r="D67" s="19">
        <v>1</v>
      </c>
      <c r="E67" s="19">
        <v>1255</v>
      </c>
      <c r="F67" s="19">
        <f>ROUND( VLOOKUP($B67,$L$5:$M$29, 2, FALSE) * (1+ VLOOKUP($A67,'vomcost mult'!$N$10:$R$32,5, FALSE)), 2)</f>
        <v>2.21</v>
      </c>
      <c r="G67" s="19" t="str">
        <f>IF(Table3[[#This Row],[capacity_output1]]&lt;10, "remove", "")</f>
        <v/>
      </c>
    </row>
    <row r="68" spans="1:7">
      <c r="A68" t="s">
        <v>123</v>
      </c>
      <c r="B68" t="s">
        <v>296</v>
      </c>
      <c r="C68" s="19" t="s">
        <v>168</v>
      </c>
      <c r="D68" s="19">
        <v>1</v>
      </c>
      <c r="E68" s="19">
        <v>24704.400000000001</v>
      </c>
      <c r="F68" s="19">
        <f>ROUND( VLOOKUP($B68,$L$5:$M$29, 2, FALSE) * (1+ VLOOKUP($A68,'vomcost mult'!$N$10:$R$32,5, FALSE)), 2)</f>
        <v>3.16</v>
      </c>
      <c r="G68" s="19" t="str">
        <f>IF(Table3[[#This Row],[capacity_output1]]&lt;10, "remove", "")</f>
        <v/>
      </c>
    </row>
    <row r="69" spans="1:7">
      <c r="A69" t="s">
        <v>123</v>
      </c>
      <c r="B69" t="s">
        <v>301</v>
      </c>
      <c r="C69" s="19" t="s">
        <v>168</v>
      </c>
      <c r="D69" s="19">
        <v>1</v>
      </c>
      <c r="E69" s="19">
        <v>37056.6</v>
      </c>
      <c r="F69" s="19">
        <f>ROUND( VLOOKUP($B69,$L$5:$M$29, 2, FALSE) * (1+ VLOOKUP($A69,'vomcost mult'!$N$10:$R$32,5, FALSE)), 2)</f>
        <v>3.27</v>
      </c>
      <c r="G69" s="19" t="str">
        <f>IF(Table3[[#This Row],[capacity_output1]]&lt;10, "remove", "")</f>
        <v/>
      </c>
    </row>
    <row r="70" spans="1:7">
      <c r="A70" t="s">
        <v>124</v>
      </c>
      <c r="B70" t="s">
        <v>287</v>
      </c>
      <c r="C70" s="19" t="s">
        <v>168</v>
      </c>
      <c r="D70" s="19">
        <v>1</v>
      </c>
      <c r="E70" s="19">
        <v>510</v>
      </c>
      <c r="F70" s="19">
        <f>ROUND( VLOOKUP($B70,$L$5:$M$29, 2, FALSE) * (1+ VLOOKUP($A70,'vomcost mult'!$N$10:$R$32,5, FALSE)), 2)</f>
        <v>1.99</v>
      </c>
      <c r="G70" s="19" t="str">
        <f>IF(Table3[[#This Row],[capacity_output1]]&lt;10, "remove", "")</f>
        <v/>
      </c>
    </row>
    <row r="71" spans="1:7">
      <c r="A71" t="s">
        <v>124</v>
      </c>
      <c r="B71" t="s">
        <v>291</v>
      </c>
      <c r="C71" s="19" t="s">
        <v>168</v>
      </c>
      <c r="D71" s="19">
        <v>1</v>
      </c>
      <c r="E71" s="19">
        <v>403</v>
      </c>
      <c r="F71" s="19">
        <f>ROUND( VLOOKUP($B71,$L$5:$M$29, 2, FALSE) * (1+ VLOOKUP($A71,'vomcost mult'!$N$10:$R$32,5, FALSE)), 2)</f>
        <v>1.99</v>
      </c>
      <c r="G71" s="19" t="str">
        <f>IF(Table3[[#This Row],[capacity_output1]]&lt;10, "remove", "")</f>
        <v/>
      </c>
    </row>
    <row r="72" spans="1:7">
      <c r="A72" t="s">
        <v>124</v>
      </c>
      <c r="B72" t="s">
        <v>295</v>
      </c>
      <c r="C72" s="19" t="s">
        <v>168</v>
      </c>
      <c r="D72" s="19">
        <v>1</v>
      </c>
      <c r="E72" s="19">
        <v>110</v>
      </c>
      <c r="F72" s="19">
        <f>ROUND( VLOOKUP($B72,$L$5:$M$29, 2, FALSE) * (1+ VLOOKUP($A72,'vomcost mult'!$N$10:$R$32,5, FALSE)), 2)</f>
        <v>1.61</v>
      </c>
      <c r="G72" s="19" t="str">
        <f>IF(Table3[[#This Row],[capacity_output1]]&lt;10, "remove", "")</f>
        <v/>
      </c>
    </row>
    <row r="73" spans="1:7">
      <c r="A73" t="s">
        <v>125</v>
      </c>
      <c r="B73" t="s">
        <v>287</v>
      </c>
      <c r="C73" s="19" t="s">
        <v>168</v>
      </c>
      <c r="D73" s="19">
        <v>1</v>
      </c>
      <c r="E73" s="19">
        <v>1004</v>
      </c>
      <c r="F73" s="19">
        <f>ROUND( VLOOKUP($B73,$L$5:$M$29, 2, FALSE) * (1+ VLOOKUP($A73,'vomcost mult'!$N$10:$R$32,5, FALSE)), 2)</f>
        <v>1.82</v>
      </c>
      <c r="G73" s="19" t="str">
        <f>IF(Table3[[#This Row],[capacity_output1]]&lt;10, "remove", "")</f>
        <v/>
      </c>
    </row>
    <row r="74" spans="1:7">
      <c r="A74" t="s">
        <v>125</v>
      </c>
      <c r="B74" t="s">
        <v>290</v>
      </c>
      <c r="C74" s="19" t="s">
        <v>168</v>
      </c>
      <c r="D74" s="19">
        <v>1</v>
      </c>
      <c r="E74" s="19">
        <v>73</v>
      </c>
      <c r="F74" s="19">
        <f>ROUND( VLOOKUP($B74,$L$5:$M$29, 2, FALSE) * (1+ VLOOKUP($A74,'vomcost mult'!$N$10:$R$32,5, FALSE)), 2)</f>
        <v>1.82</v>
      </c>
      <c r="G74" s="19" t="str">
        <f>IF(Table3[[#This Row],[capacity_output1]]&lt;10, "remove", "")</f>
        <v/>
      </c>
    </row>
    <row r="75" spans="1:7">
      <c r="A75" t="s">
        <v>126</v>
      </c>
      <c r="B75" t="s">
        <v>289</v>
      </c>
      <c r="C75" s="19" t="s">
        <v>168</v>
      </c>
      <c r="D75" s="19">
        <v>1</v>
      </c>
      <c r="E75" s="19">
        <v>2536.5</v>
      </c>
      <c r="F75" s="19">
        <f>ROUND( VLOOKUP($B75,$L$5:$M$29, 2, FALSE) * (1+ VLOOKUP($A75,'vomcost mult'!$N$10:$R$32,5, FALSE)), 2)</f>
        <v>3.07</v>
      </c>
      <c r="G75" s="19" t="str">
        <f>IF(Table3[[#This Row],[capacity_output1]]&lt;10, "remove", "")</f>
        <v/>
      </c>
    </row>
    <row r="76" spans="1:7">
      <c r="A76" t="s">
        <v>126</v>
      </c>
      <c r="B76" t="s">
        <v>291</v>
      </c>
      <c r="C76" s="19" t="s">
        <v>168</v>
      </c>
      <c r="D76" s="19">
        <v>1</v>
      </c>
      <c r="E76" s="19">
        <v>7083</v>
      </c>
      <c r="F76" s="19">
        <f>ROUND( VLOOKUP($B76,$L$5:$M$29, 2, FALSE) * (1+ VLOOKUP($A76,'vomcost mult'!$N$10:$R$32,5, FALSE)), 2)</f>
        <v>3.07</v>
      </c>
      <c r="G76" s="19" t="str">
        <f>IF(Table3[[#This Row],[capacity_output1]]&lt;10, "remove", "")</f>
        <v/>
      </c>
    </row>
    <row r="77" spans="1:7">
      <c r="A77" t="s">
        <v>126</v>
      </c>
      <c r="B77" t="s">
        <v>292</v>
      </c>
      <c r="C77" s="19" t="s">
        <v>168</v>
      </c>
      <c r="D77" s="19">
        <v>1</v>
      </c>
      <c r="E77" s="19">
        <v>314</v>
      </c>
      <c r="F77" s="19">
        <f>ROUND( VLOOKUP($B77,$L$5:$M$29, 2, FALSE) * (1+ VLOOKUP($A77,'vomcost mult'!$N$10:$R$32,5, FALSE)), 2)</f>
        <v>3.07</v>
      </c>
      <c r="G77" s="19" t="str">
        <f>IF(Table3[[#This Row],[capacity_output1]]&lt;10, "remove", "")</f>
        <v/>
      </c>
    </row>
    <row r="78" spans="1:7">
      <c r="A78" t="s">
        <v>126</v>
      </c>
      <c r="B78" t="s">
        <v>293</v>
      </c>
      <c r="C78" s="19" t="s">
        <v>168</v>
      </c>
      <c r="D78" s="19">
        <v>1</v>
      </c>
      <c r="E78" s="19">
        <v>165</v>
      </c>
      <c r="F78" s="19">
        <f>ROUND( VLOOKUP($B78,$L$5:$M$29, 2, FALSE) * (1+ VLOOKUP($A78,'vomcost mult'!$N$10:$R$32,5, FALSE)), 2)</f>
        <v>3.07</v>
      </c>
      <c r="G78" s="19" t="str">
        <f>IF(Table3[[#This Row],[capacity_output1]]&lt;10, "remove", "")</f>
        <v/>
      </c>
    </row>
    <row r="79" spans="1:7">
      <c r="A79" t="s">
        <v>126</v>
      </c>
      <c r="B79" t="s">
        <v>296</v>
      </c>
      <c r="C79" s="19" t="s">
        <v>168</v>
      </c>
      <c r="D79" s="19">
        <v>1</v>
      </c>
      <c r="E79" s="19">
        <v>413.1</v>
      </c>
      <c r="F79" s="19">
        <f>ROUND( VLOOKUP($B79,$L$5:$M$29, 2, FALSE) * (1+ VLOOKUP($A79,'vomcost mult'!$N$10:$R$32,5, FALSE)), 2)</f>
        <v>3.54</v>
      </c>
      <c r="G79" s="19" t="str">
        <f>IF(Table3[[#This Row],[capacity_output1]]&lt;10, "remove", "")</f>
        <v/>
      </c>
    </row>
    <row r="80" spans="1:7">
      <c r="A80" t="s">
        <v>126</v>
      </c>
      <c r="B80" t="s">
        <v>301</v>
      </c>
      <c r="C80" s="19" t="s">
        <v>168</v>
      </c>
      <c r="D80" s="19">
        <v>1</v>
      </c>
      <c r="E80" s="19">
        <v>72.900000000000006</v>
      </c>
      <c r="F80" s="19">
        <f>ROUND( VLOOKUP($B80,$L$5:$M$29, 2, FALSE) * (1+ VLOOKUP($A80,'vomcost mult'!$N$10:$R$32,5, FALSE)), 2)</f>
        <v>3.66</v>
      </c>
      <c r="G80" s="19" t="str">
        <f>IF(Table3[[#This Row],[capacity_output1]]&lt;10, "remove", "")</f>
        <v/>
      </c>
    </row>
    <row r="81" spans="1:7">
      <c r="A81" t="s">
        <v>130</v>
      </c>
      <c r="B81" t="s">
        <v>287</v>
      </c>
      <c r="C81" s="19" t="s">
        <v>168</v>
      </c>
      <c r="D81" s="19">
        <v>1</v>
      </c>
      <c r="E81" s="19">
        <v>9620.7000000000007</v>
      </c>
      <c r="F81" s="19">
        <f>ROUND( VLOOKUP($B81,$L$5:$M$29, 2, FALSE) * (1+ VLOOKUP($A81,'vomcost mult'!$N$10:$R$32,5, FALSE)), 2)</f>
        <v>1.79</v>
      </c>
      <c r="G81" s="19" t="str">
        <f>IF(Table3[[#This Row],[capacity_output1]]&lt;10, "remove", "")</f>
        <v/>
      </c>
    </row>
    <row r="82" spans="1:7">
      <c r="A82" t="s">
        <v>130</v>
      </c>
      <c r="B82" t="s">
        <v>315</v>
      </c>
      <c r="C82" s="19" t="s">
        <v>168</v>
      </c>
      <c r="D82" s="19">
        <v>1</v>
      </c>
      <c r="E82" s="19">
        <v>1663</v>
      </c>
      <c r="F82" s="19">
        <f>ROUND( VLOOKUP($B82,$L$5:$M$29, 2, FALSE) * (1+ VLOOKUP($A82,'vomcost mult'!$N$10:$R$32,5, FALSE)), 2)</f>
        <v>2.2799999999999998</v>
      </c>
      <c r="G82" s="19" t="str">
        <f>IF(Table3[[#This Row],[capacity_output1]]&lt;10, "remove", "")</f>
        <v/>
      </c>
    </row>
    <row r="83" spans="1:7">
      <c r="A83" t="s">
        <v>130</v>
      </c>
      <c r="B83" t="s">
        <v>311</v>
      </c>
      <c r="C83" s="19" t="s">
        <v>168</v>
      </c>
      <c r="D83" s="19">
        <v>1</v>
      </c>
      <c r="E83" s="19">
        <v>3305.5</v>
      </c>
      <c r="F83" s="19">
        <f>ROUND( VLOOKUP($B83,$L$5:$M$29, 2, FALSE) * (1+ VLOOKUP($A83,'vomcost mult'!$N$10:$R$32,5, FALSE)), 2)</f>
        <v>2.2799999999999998</v>
      </c>
      <c r="G83" s="19" t="str">
        <f>IF(Table3[[#This Row],[capacity_output1]]&lt;10, "remove", "")</f>
        <v/>
      </c>
    </row>
    <row r="84" spans="1:7">
      <c r="A84" t="s">
        <v>130</v>
      </c>
      <c r="B84" t="s">
        <v>316</v>
      </c>
      <c r="C84" s="19" t="s">
        <v>168</v>
      </c>
      <c r="D84" s="19">
        <v>1</v>
      </c>
      <c r="E84" s="19">
        <v>5466.6</v>
      </c>
      <c r="F84" s="19">
        <f>ROUND( VLOOKUP($B84,$L$5:$M$29, 2, FALSE) * (1+ VLOOKUP($A84,'vomcost mult'!$N$10:$R$32,5, FALSE)), 2)</f>
        <v>2.2799999999999998</v>
      </c>
      <c r="G84" s="19" t="str">
        <f>IF(Table3[[#This Row],[capacity_output1]]&lt;10, "remove", "")</f>
        <v/>
      </c>
    </row>
    <row r="85" spans="1:7">
      <c r="A85" t="s">
        <v>130</v>
      </c>
      <c r="B85" t="s">
        <v>317</v>
      </c>
      <c r="C85" s="19" t="s">
        <v>168</v>
      </c>
      <c r="D85" s="19">
        <v>1</v>
      </c>
      <c r="E85" s="19">
        <v>1872.1</v>
      </c>
      <c r="F85" s="19">
        <f>ROUND( VLOOKUP($B85,$L$5:$M$29, 2, FALSE) * (1+ VLOOKUP($A85,'vomcost mult'!$N$10:$R$32,5, FALSE)), 2)</f>
        <v>2.2799999999999998</v>
      </c>
      <c r="G85" s="19" t="str">
        <f>IF(Table3[[#This Row],[capacity_output1]]&lt;10, "remove", "")</f>
        <v/>
      </c>
    </row>
    <row r="86" spans="1:7">
      <c r="A86" t="s">
        <v>130</v>
      </c>
      <c r="B86" t="s">
        <v>298</v>
      </c>
      <c r="C86" s="19" t="s">
        <v>168</v>
      </c>
      <c r="D86" s="19">
        <v>1</v>
      </c>
      <c r="E86" s="19">
        <v>4696</v>
      </c>
      <c r="F86" s="19">
        <f>ROUND( VLOOKUP($B86,$L$5:$M$29, 2, FALSE) * (1+ VLOOKUP($A86,'vomcost mult'!$N$10:$R$32,5, FALSE)), 2)</f>
        <v>2.2799999999999998</v>
      </c>
      <c r="G86" s="19" t="str">
        <f>IF(Table3[[#This Row],[capacity_output1]]&lt;10, "remove", "")</f>
        <v/>
      </c>
    </row>
    <row r="87" spans="1:7">
      <c r="A87" t="s">
        <v>130</v>
      </c>
      <c r="B87" t="s">
        <v>299</v>
      </c>
      <c r="C87" s="19" t="s">
        <v>168</v>
      </c>
      <c r="D87" s="19">
        <v>1</v>
      </c>
      <c r="E87" s="19">
        <v>1824</v>
      </c>
      <c r="F87" s="19">
        <f>ROUND( VLOOKUP($B87,$L$5:$M$29, 2, FALSE) * (1+ VLOOKUP($A87,'vomcost mult'!$N$10:$R$32,5, FALSE)), 2)</f>
        <v>2.2799999999999998</v>
      </c>
      <c r="G87" s="19" t="str">
        <f>IF(Table3[[#This Row],[capacity_output1]]&lt;10, "remove", "")</f>
        <v/>
      </c>
    </row>
    <row r="88" spans="1:7">
      <c r="A88" t="s">
        <v>131</v>
      </c>
      <c r="B88" t="s">
        <v>293</v>
      </c>
      <c r="C88" s="19" t="s">
        <v>168</v>
      </c>
      <c r="D88" s="19">
        <v>1</v>
      </c>
      <c r="E88" s="19">
        <v>97</v>
      </c>
      <c r="F88" s="19">
        <f>ROUND( VLOOKUP($B88,$L$5:$M$29, 2, FALSE) * (1+ VLOOKUP($A88,'vomcost mult'!$N$10:$R$32,5, FALSE)), 2)</f>
        <v>3.07</v>
      </c>
      <c r="G88" s="19" t="str">
        <f>IF(Table3[[#This Row],[capacity_output1]]&lt;10, "remove", "")</f>
        <v/>
      </c>
    </row>
    <row r="89" spans="1:7">
      <c r="A89" t="s">
        <v>133</v>
      </c>
      <c r="B89" t="s">
        <v>293</v>
      </c>
      <c r="C89" s="19" t="s">
        <v>168</v>
      </c>
      <c r="D89" s="19">
        <v>1</v>
      </c>
      <c r="E89" s="19">
        <v>54</v>
      </c>
      <c r="F89" s="19">
        <f>ROUND( VLOOKUP($B89,$L$5:$M$29, 2, FALSE) * (1+ VLOOKUP($A89,'vomcost mult'!$N$10:$R$32,5, FALSE)), 2)</f>
        <v>3.03</v>
      </c>
      <c r="G89" s="19" t="str">
        <f>IF(Table3[[#This Row],[capacity_output1]]&lt;10, "remove", "")</f>
        <v/>
      </c>
    </row>
    <row r="90" spans="1:7">
      <c r="A90" t="s">
        <v>133</v>
      </c>
      <c r="B90" t="s">
        <v>296</v>
      </c>
      <c r="C90" s="19" t="s">
        <v>168</v>
      </c>
      <c r="D90" s="19">
        <v>1</v>
      </c>
      <c r="E90" s="19">
        <v>5850.6</v>
      </c>
      <c r="F90" s="19">
        <f>ROUND( VLOOKUP($B90,$L$5:$M$29, 2, FALSE) * (1+ VLOOKUP($A90,'vomcost mult'!$N$10:$R$32,5, FALSE)), 2)</f>
        <v>3.5</v>
      </c>
      <c r="G90" s="19" t="str">
        <f>IF(Table3[[#This Row],[capacity_output1]]&lt;10, "remove", "")</f>
        <v/>
      </c>
    </row>
    <row r="91" spans="1:7">
      <c r="A91" t="s">
        <v>133</v>
      </c>
      <c r="B91" t="s">
        <v>301</v>
      </c>
      <c r="C91" s="19" t="s">
        <v>168</v>
      </c>
      <c r="D91" s="19">
        <v>1</v>
      </c>
      <c r="E91" s="19">
        <v>1032.5</v>
      </c>
      <c r="F91" s="19">
        <f>ROUND( VLOOKUP($B91,$L$5:$M$29, 2, FALSE) * (1+ VLOOKUP($A91,'vomcost mult'!$N$10:$R$32,5, FALSE)), 2)</f>
        <v>3.61</v>
      </c>
      <c r="G91" s="19" t="str">
        <f>IF(Table3[[#This Row],[capacity_output1]]&lt;10, "remove", "")</f>
        <v/>
      </c>
    </row>
    <row r="92" spans="1:7">
      <c r="A92" t="s">
        <v>135</v>
      </c>
      <c r="B92" t="s">
        <v>287</v>
      </c>
      <c r="C92" s="19" t="s">
        <v>168</v>
      </c>
      <c r="D92" s="19">
        <v>1</v>
      </c>
      <c r="E92" s="19">
        <v>4300</v>
      </c>
      <c r="F92" s="19">
        <f>ROUND( VLOOKUP($B92,$L$5:$M$29, 2, FALSE) * (1+ VLOOKUP($A92,'vomcost mult'!$N$10:$R$32,5, FALSE)), 2)</f>
        <v>3.03</v>
      </c>
      <c r="G92" s="19" t="str">
        <f>IF(Table3[[#This Row],[capacity_output1]]&lt;10, "remove", "")</f>
        <v/>
      </c>
    </row>
    <row r="93" spans="1:7">
      <c r="A93" t="s">
        <v>135</v>
      </c>
      <c r="B93" t="s">
        <v>289</v>
      </c>
      <c r="C93" s="19" t="s">
        <v>168</v>
      </c>
      <c r="D93" s="19">
        <v>1</v>
      </c>
      <c r="E93" s="19">
        <v>539</v>
      </c>
      <c r="F93" s="19">
        <f>ROUND( VLOOKUP($B93,$L$5:$M$29, 2, FALSE) * (1+ VLOOKUP($A93,'vomcost mult'!$N$10:$R$32,5, FALSE)), 2)</f>
        <v>3.03</v>
      </c>
      <c r="G93" s="19" t="str">
        <f>IF(Table3[[#This Row],[capacity_output1]]&lt;10, "remove", "")</f>
        <v/>
      </c>
    </row>
    <row r="94" spans="1:7">
      <c r="A94" t="s">
        <v>135</v>
      </c>
      <c r="B94" t="s">
        <v>290</v>
      </c>
      <c r="C94" s="19" t="s">
        <v>168</v>
      </c>
      <c r="D94" s="19">
        <v>1</v>
      </c>
      <c r="E94" s="19">
        <v>21988.5</v>
      </c>
      <c r="F94" s="19">
        <f>ROUND( VLOOKUP($B94,$L$5:$M$29, 2, FALSE) * (1+ VLOOKUP($A94,'vomcost mult'!$N$10:$R$32,5, FALSE)), 2)</f>
        <v>3.03</v>
      </c>
      <c r="G94" s="19" t="str">
        <f>IF(Table3[[#This Row],[capacity_output1]]&lt;10, "remove", "")</f>
        <v/>
      </c>
    </row>
    <row r="95" spans="1:7">
      <c r="A95" t="s">
        <v>135</v>
      </c>
      <c r="B95" t="s">
        <v>291</v>
      </c>
      <c r="C95" s="19" t="s">
        <v>168</v>
      </c>
      <c r="D95" s="19">
        <v>1</v>
      </c>
      <c r="E95" s="19">
        <v>408</v>
      </c>
      <c r="F95" s="19">
        <f>ROUND( VLOOKUP($B95,$L$5:$M$29, 2, FALSE) * (1+ VLOOKUP($A95,'vomcost mult'!$N$10:$R$32,5, FALSE)), 2)</f>
        <v>3.03</v>
      </c>
      <c r="G95" s="19" t="str">
        <f>IF(Table3[[#This Row],[capacity_output1]]&lt;10, "remove", "")</f>
        <v/>
      </c>
    </row>
    <row r="96" spans="1:7">
      <c r="A96" t="s">
        <v>135</v>
      </c>
      <c r="B96" t="s">
        <v>293</v>
      </c>
      <c r="C96" s="19" t="s">
        <v>168</v>
      </c>
      <c r="D96" s="19">
        <v>1</v>
      </c>
      <c r="E96" s="19">
        <v>2456.9</v>
      </c>
      <c r="F96" s="19">
        <f>ROUND( VLOOKUP($B96,$L$5:$M$29, 2, FALSE) * (1+ VLOOKUP($A96,'vomcost mult'!$N$10:$R$32,5, FALSE)), 2)</f>
        <v>3.03</v>
      </c>
      <c r="G96" s="19" t="str">
        <f>IF(Table3[[#This Row],[capacity_output1]]&lt;10, "remove", "")</f>
        <v/>
      </c>
    </row>
    <row r="97" spans="1:7">
      <c r="A97" t="s">
        <v>135</v>
      </c>
      <c r="B97" t="s">
        <v>294</v>
      </c>
      <c r="C97" s="19" t="s">
        <v>168</v>
      </c>
      <c r="D97" s="19">
        <v>1</v>
      </c>
      <c r="E97" s="19">
        <v>2448.6999999999998</v>
      </c>
      <c r="F97" s="19">
        <f>ROUND( VLOOKUP($B97,$L$5:$M$29, 2, FALSE) * (1+ VLOOKUP($A97,'vomcost mult'!$N$10:$R$32,5, FALSE)), 2)</f>
        <v>2.4500000000000002</v>
      </c>
      <c r="G97" s="19" t="str">
        <f>IF(Table3[[#This Row],[capacity_output1]]&lt;10, "remove", "")</f>
        <v/>
      </c>
    </row>
    <row r="98" spans="1:7">
      <c r="A98" t="s">
        <v>135</v>
      </c>
      <c r="B98" t="s">
        <v>295</v>
      </c>
      <c r="C98" s="19" t="s">
        <v>168</v>
      </c>
      <c r="D98" s="19">
        <v>1</v>
      </c>
      <c r="E98" s="19">
        <v>5062.1000000000004</v>
      </c>
      <c r="F98" s="19">
        <f>ROUND( VLOOKUP($B98,$L$5:$M$29, 2, FALSE) * (1+ VLOOKUP($A98,'vomcost mult'!$N$10:$R$32,5, FALSE)), 2)</f>
        <v>2.4500000000000002</v>
      </c>
      <c r="G98" s="19" t="str">
        <f>IF(Table3[[#This Row],[capacity_output1]]&lt;10, "remove", "")</f>
        <v/>
      </c>
    </row>
    <row r="99" spans="1:7">
      <c r="A99" t="s">
        <v>135</v>
      </c>
      <c r="B99" t="s">
        <v>312</v>
      </c>
      <c r="C99" s="19" t="s">
        <v>168</v>
      </c>
      <c r="D99" s="19">
        <v>1</v>
      </c>
      <c r="E99" s="19">
        <v>204.7</v>
      </c>
      <c r="F99" s="19">
        <f>ROUND( VLOOKUP($B99,$L$5:$M$29, 2, FALSE) * (1+ VLOOKUP($A99,'vomcost mult'!$N$10:$R$32,5, FALSE)), 2)</f>
        <v>3.84</v>
      </c>
      <c r="G99" s="19" t="str">
        <f>IF(Table3[[#This Row],[capacity_output1]]&lt;10, "remove", "")</f>
        <v/>
      </c>
    </row>
    <row r="100" spans="1:7">
      <c r="A100" t="s">
        <v>135</v>
      </c>
      <c r="B100" t="s">
        <v>318</v>
      </c>
      <c r="C100" s="19" t="s">
        <v>168</v>
      </c>
      <c r="D100" s="19">
        <v>1</v>
      </c>
      <c r="E100" s="19">
        <v>70.8</v>
      </c>
      <c r="F100" s="19">
        <f>ROUND( VLOOKUP($B100,$L$5:$M$29, 2, FALSE) * (1+ VLOOKUP($A100,'vomcost mult'!$N$10:$R$32,5, FALSE)), 2)</f>
        <v>3.84</v>
      </c>
      <c r="G100" s="19" t="str">
        <f>IF(Table3[[#This Row],[capacity_output1]]&lt;10, "remove", "")</f>
        <v/>
      </c>
    </row>
    <row r="101" spans="1:7">
      <c r="A101" t="s">
        <v>135</v>
      </c>
      <c r="B101" t="s">
        <v>310</v>
      </c>
      <c r="C101" s="19" t="s">
        <v>168</v>
      </c>
      <c r="D101" s="19">
        <v>1</v>
      </c>
      <c r="E101" s="19">
        <v>389</v>
      </c>
      <c r="F101" s="19">
        <f>ROUND( VLOOKUP($B101,$L$5:$M$29, 2, FALSE) * (1+ VLOOKUP($A101,'vomcost mult'!$N$10:$R$32,5, FALSE)), 2)</f>
        <v>2.4500000000000002</v>
      </c>
      <c r="G101" s="19" t="str">
        <f>IF(Table3[[#This Row],[capacity_output1]]&lt;10, "remove", "")</f>
        <v/>
      </c>
    </row>
    <row r="102" spans="1:7">
      <c r="A102" t="s">
        <v>135</v>
      </c>
      <c r="B102" t="s">
        <v>319</v>
      </c>
      <c r="C102" s="19" t="s">
        <v>168</v>
      </c>
      <c r="D102" s="19">
        <v>1</v>
      </c>
      <c r="E102" s="19">
        <v>18</v>
      </c>
      <c r="F102" s="19">
        <f>ROUND( VLOOKUP($B102,$L$5:$M$29, 2, FALSE) * (1+ VLOOKUP($A102,'vomcost mult'!$N$10:$R$32,5, FALSE)), 2)</f>
        <v>3.84</v>
      </c>
      <c r="G102" s="19" t="str">
        <f>IF(Table3[[#This Row],[capacity_output1]]&lt;10, "remove", "")</f>
        <v/>
      </c>
    </row>
    <row r="103" spans="1:7">
      <c r="A103" t="s">
        <v>135</v>
      </c>
      <c r="B103" t="s">
        <v>296</v>
      </c>
      <c r="C103" s="19" t="s">
        <v>168</v>
      </c>
      <c r="D103" s="19">
        <v>1</v>
      </c>
      <c r="E103" s="19">
        <v>4683.5</v>
      </c>
      <c r="F103" s="19">
        <f>ROUND( VLOOKUP($B103,$L$5:$M$29, 2, FALSE) * (1+ VLOOKUP($A103,'vomcost mult'!$N$10:$R$32,5, FALSE)), 2)</f>
        <v>3.5</v>
      </c>
      <c r="G103" s="19" t="str">
        <f>IF(Table3[[#This Row],[capacity_output1]]&lt;10, "remove", "")</f>
        <v/>
      </c>
    </row>
    <row r="104" spans="1:7">
      <c r="A104" t="s">
        <v>135</v>
      </c>
      <c r="B104" t="s">
        <v>301</v>
      </c>
      <c r="C104" s="19" t="s">
        <v>168</v>
      </c>
      <c r="D104" s="19">
        <v>1</v>
      </c>
      <c r="E104" s="19">
        <v>826.5</v>
      </c>
      <c r="F104" s="19">
        <f>ROUND( VLOOKUP($B104,$L$5:$M$29, 2, FALSE) * (1+ VLOOKUP($A104,'vomcost mult'!$N$10:$R$32,5, FALSE)), 2)</f>
        <v>3.61</v>
      </c>
      <c r="G104" s="19" t="str">
        <f>IF(Table3[[#This Row],[capacity_output1]]&lt;10, "remove", "")</f>
        <v/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B688F-7C70-4993-8E29-1CBB3455455A}">
  <sheetPr>
    <tabColor theme="6" tint="0.59999389629810485"/>
  </sheetPr>
  <dimension ref="A1:AG70"/>
  <sheetViews>
    <sheetView topLeftCell="B1" workbookViewId="0">
      <selection activeCell="K31" sqref="K31"/>
    </sheetView>
  </sheetViews>
  <sheetFormatPr defaultRowHeight="15"/>
  <cols>
    <col min="1" max="1" width="10.140625" customWidth="1"/>
    <col min="2" max="2" width="21.42578125" customWidth="1"/>
    <col min="3" max="3" width="14.85546875" customWidth="1"/>
    <col min="4" max="5" width="18.28515625" customWidth="1"/>
    <col min="6" max="6" width="14.85546875" customWidth="1"/>
    <col min="10" max="11" width="9.140625" customWidth="1"/>
    <col min="12" max="12" width="2.42578125" customWidth="1"/>
    <col min="13" max="15" width="9.140625" customWidth="1"/>
    <col min="16" max="16" width="2.42578125" customWidth="1"/>
    <col min="17" max="19" width="9.140625" customWidth="1"/>
    <col min="20" max="20" width="2.28515625" customWidth="1"/>
    <col min="21" max="23" width="9.140625" customWidth="1"/>
    <col min="25" max="25" width="16.5703125" customWidth="1"/>
    <col min="27" max="27" width="15.140625" customWidth="1"/>
    <col min="32" max="32" width="11.28515625" style="19" customWidth="1"/>
  </cols>
  <sheetData>
    <row r="1" spans="1:33">
      <c r="A1" s="70" t="s">
        <v>3</v>
      </c>
      <c r="B1" s="70" t="s">
        <v>284</v>
      </c>
      <c r="C1" s="70" t="s">
        <v>164</v>
      </c>
      <c r="D1" s="70" t="s">
        <v>165</v>
      </c>
      <c r="E1" s="70" t="s">
        <v>166</v>
      </c>
      <c r="F1" s="70" t="s">
        <v>174</v>
      </c>
      <c r="G1" s="70" t="s">
        <v>167</v>
      </c>
      <c r="I1" t="s">
        <v>279</v>
      </c>
      <c r="J1" t="s">
        <v>279</v>
      </c>
      <c r="K1" t="s">
        <v>279</v>
      </c>
      <c r="L1" t="s">
        <v>279</v>
      </c>
      <c r="M1" t="s">
        <v>279</v>
      </c>
      <c r="N1" t="s">
        <v>279</v>
      </c>
      <c r="O1" t="s">
        <v>279</v>
      </c>
      <c r="P1" t="s">
        <v>279</v>
      </c>
      <c r="Q1" t="s">
        <v>279</v>
      </c>
      <c r="R1" t="s">
        <v>279</v>
      </c>
      <c r="S1" t="s">
        <v>279</v>
      </c>
      <c r="T1" t="s">
        <v>279</v>
      </c>
      <c r="U1" t="s">
        <v>279</v>
      </c>
      <c r="V1" t="s">
        <v>279</v>
      </c>
      <c r="W1" t="s">
        <v>279</v>
      </c>
      <c r="X1" t="s">
        <v>279</v>
      </c>
      <c r="Y1" t="s">
        <v>279</v>
      </c>
      <c r="Z1" t="s">
        <v>279</v>
      </c>
      <c r="AA1" t="s">
        <v>279</v>
      </c>
      <c r="AB1" t="s">
        <v>279</v>
      </c>
      <c r="AC1" t="s">
        <v>279</v>
      </c>
      <c r="AD1" t="s">
        <v>279</v>
      </c>
      <c r="AE1" t="s">
        <v>279</v>
      </c>
      <c r="AF1" t="s">
        <v>279</v>
      </c>
      <c r="AG1" t="s">
        <v>279</v>
      </c>
    </row>
    <row r="2" spans="1:33">
      <c r="A2" s="17" t="s">
        <v>281</v>
      </c>
      <c r="C2" s="19"/>
      <c r="D2" s="19"/>
      <c r="I2" s="17" t="s">
        <v>223</v>
      </c>
      <c r="Y2" s="17" t="s">
        <v>222</v>
      </c>
      <c r="AF2" s="61" t="s">
        <v>219</v>
      </c>
      <c r="AG2" s="19"/>
    </row>
    <row r="3" spans="1:33">
      <c r="A3" t="s">
        <v>111</v>
      </c>
      <c r="B3" t="s">
        <v>304</v>
      </c>
      <c r="C3" s="19" t="s">
        <v>168</v>
      </c>
      <c r="D3" s="19">
        <v>1</v>
      </c>
      <c r="E3">
        <f t="shared" ref="E3:E24" si="0">R6</f>
        <v>150</v>
      </c>
      <c r="F3">
        <f>ROUND($Z$30+V6,2)</f>
        <v>400.13</v>
      </c>
      <c r="G3" t="str">
        <f>IF(Table4[[#This Row],[capacity_output1]]&lt;10, "remove", "")</f>
        <v/>
      </c>
      <c r="J3" s="17" t="s">
        <v>225</v>
      </c>
      <c r="N3" s="17" t="s">
        <v>226</v>
      </c>
      <c r="R3" s="17" t="s">
        <v>227</v>
      </c>
      <c r="V3" s="17" t="s">
        <v>228</v>
      </c>
      <c r="AF3"/>
      <c r="AG3" s="19"/>
    </row>
    <row r="4" spans="1:33">
      <c r="A4" t="s">
        <v>114</v>
      </c>
      <c r="B4" t="s">
        <v>304</v>
      </c>
      <c r="C4" s="19" t="s">
        <v>168</v>
      </c>
      <c r="D4" s="19">
        <v>1</v>
      </c>
      <c r="E4">
        <f t="shared" si="0"/>
        <v>300</v>
      </c>
      <c r="F4">
        <f t="shared" ref="F4:F24" si="1">ROUND($Z$30+V7,2)</f>
        <v>400.12</v>
      </c>
      <c r="G4" t="str">
        <f>IF(Table4[[#This Row],[capacity_output1]]&lt;10, "remove", "")</f>
        <v/>
      </c>
      <c r="J4" s="23" t="s">
        <v>191</v>
      </c>
      <c r="K4" s="23" t="s">
        <v>192</v>
      </c>
      <c r="L4" s="23" t="s">
        <v>193</v>
      </c>
      <c r="N4" s="17" t="s">
        <v>191</v>
      </c>
      <c r="O4" s="17" t="s">
        <v>192</v>
      </c>
      <c r="P4" s="17" t="s">
        <v>193</v>
      </c>
      <c r="R4" s="23" t="s">
        <v>191</v>
      </c>
      <c r="S4" s="23" t="s">
        <v>192</v>
      </c>
      <c r="T4" s="23" t="s">
        <v>193</v>
      </c>
      <c r="Z4" s="17" t="s">
        <v>191</v>
      </c>
      <c r="AA4" s="17" t="s">
        <v>192</v>
      </c>
      <c r="AB4" s="17" t="s">
        <v>193</v>
      </c>
      <c r="AF4"/>
      <c r="AG4" s="19"/>
    </row>
    <row r="5" spans="1:33">
      <c r="A5" t="s">
        <v>116</v>
      </c>
      <c r="B5" t="s">
        <v>304</v>
      </c>
      <c r="C5" s="19" t="s">
        <v>168</v>
      </c>
      <c r="D5" s="19">
        <v>1</v>
      </c>
      <c r="E5">
        <f t="shared" si="0"/>
        <v>105</v>
      </c>
      <c r="F5">
        <f t="shared" si="1"/>
        <v>400.46</v>
      </c>
      <c r="G5" t="str">
        <f>IF(Table4[[#This Row],[capacity_output1]]&lt;10, "remove", "")</f>
        <v/>
      </c>
      <c r="J5" s="23" t="s">
        <v>173</v>
      </c>
      <c r="K5" s="23" t="s">
        <v>173</v>
      </c>
      <c r="L5" s="23" t="s">
        <v>173</v>
      </c>
      <c r="M5" s="17"/>
      <c r="N5" s="17" t="s">
        <v>224</v>
      </c>
      <c r="R5" s="23" t="s">
        <v>173</v>
      </c>
      <c r="S5" s="23" t="s">
        <v>173</v>
      </c>
      <c r="T5" s="23" t="s">
        <v>173</v>
      </c>
      <c r="V5" s="23" t="s">
        <v>229</v>
      </c>
      <c r="Z5" s="17" t="s">
        <v>173</v>
      </c>
      <c r="AA5" s="17" t="s">
        <v>173</v>
      </c>
      <c r="AB5" s="17" t="s">
        <v>173</v>
      </c>
      <c r="AF5"/>
      <c r="AG5" s="23" t="s">
        <v>220</v>
      </c>
    </row>
    <row r="6" spans="1:33">
      <c r="A6" t="s">
        <v>117</v>
      </c>
      <c r="B6" t="s">
        <v>304</v>
      </c>
      <c r="C6" s="19" t="s">
        <v>168</v>
      </c>
      <c r="D6" s="19">
        <v>1</v>
      </c>
      <c r="E6">
        <f t="shared" si="0"/>
        <v>800</v>
      </c>
      <c r="F6">
        <f t="shared" si="1"/>
        <v>400.11</v>
      </c>
      <c r="G6" t="str">
        <f>IF(Table4[[#This Row],[capacity_output1]]&lt;10, "remove", "")</f>
        <v/>
      </c>
      <c r="I6" s="17" t="s">
        <v>111</v>
      </c>
      <c r="J6" s="19">
        <f>Z6</f>
        <v>150</v>
      </c>
      <c r="K6" s="19">
        <f t="shared" ref="K6:L6" si="2">AA6</f>
        <v>150</v>
      </c>
      <c r="L6" s="19">
        <f t="shared" si="2"/>
        <v>200</v>
      </c>
      <c r="N6" s="67">
        <f t="shared" ref="N6:N27" si="3">IFERROR(J6/ ($AG6*10^6/8760), "-")</f>
        <v>2.1210653753026634E-2</v>
      </c>
      <c r="O6" s="67">
        <f t="shared" ref="O6:O27" si="4">IFERROR(K6/ ($AG6*10^6/8760), "-")</f>
        <v>2.1210653753026634E-2</v>
      </c>
      <c r="P6" s="67">
        <f t="shared" ref="P6:P27" si="5">IFERROR(L6/ ($AG6*10^6/8760), "-")</f>
        <v>2.8280871670702177E-2</v>
      </c>
      <c r="R6" s="69">
        <f t="shared" ref="R6:R27" si="6">ROUND(IF(NOT(ISNUMBER(N6)),   N$29,   IF(N6&gt;3*N$29,  3*N$29, N6)) * ($AG6*10^6/8760), 1)</f>
        <v>150</v>
      </c>
      <c r="S6" s="69">
        <f t="shared" ref="S6:S27" si="7">ROUND(IF(NOT(ISNUMBER(O6)),   O$29,   IF(O6&gt;3*O$29,  3*O$29, O6)) * ($AG6*10^6/8760), 1)</f>
        <v>150</v>
      </c>
      <c r="T6" s="69">
        <f t="shared" ref="T6:T27" si="8">ROUND(IF(NOT(ISNUMBER(P6)),   P$29,   IF(P6&gt;3*P$29,  3*P$29, P6)) * ($AG6*10^6/8760), 1)</f>
        <v>200</v>
      </c>
      <c r="V6">
        <f>(1+ VLOOKUP($I6,'vomcost mult'!$N$10:$R$32,5, FALSE))-1</f>
        <v>0.12800000000000011</v>
      </c>
      <c r="Y6" s="17" t="s">
        <v>80</v>
      </c>
      <c r="Z6">
        <v>150</v>
      </c>
      <c r="AA6">
        <v>150</v>
      </c>
      <c r="AB6">
        <v>200</v>
      </c>
      <c r="AD6" s="17" t="s">
        <v>80</v>
      </c>
      <c r="AE6" s="17" t="str">
        <f t="shared" ref="AE6:AE27" si="9">LEFT(AF6,4)</f>
        <v>AT00</v>
      </c>
      <c r="AF6" s="17" t="s">
        <v>197</v>
      </c>
      <c r="AG6" s="19">
        <v>61.95</v>
      </c>
    </row>
    <row r="7" spans="1:33">
      <c r="A7" t="s">
        <v>118</v>
      </c>
      <c r="B7" t="s">
        <v>304</v>
      </c>
      <c r="C7" s="19" t="s">
        <v>168</v>
      </c>
      <c r="D7" s="19">
        <v>1</v>
      </c>
      <c r="E7">
        <f t="shared" si="0"/>
        <v>37.9</v>
      </c>
      <c r="F7">
        <f t="shared" si="1"/>
        <v>400.25</v>
      </c>
      <c r="G7" t="str">
        <f>IF(Table4[[#This Row],[capacity_output1]]&lt;10, "remove", "")</f>
        <v/>
      </c>
      <c r="I7" s="17" t="s">
        <v>114</v>
      </c>
      <c r="J7" s="19">
        <f>Z8</f>
        <v>300</v>
      </c>
      <c r="K7" s="19">
        <f t="shared" ref="K7:L7" si="10">AA8</f>
        <v>100</v>
      </c>
      <c r="L7" s="19">
        <f t="shared" si="10"/>
        <v>500</v>
      </c>
      <c r="N7" s="67">
        <f t="shared" si="3"/>
        <v>3.188159650612641E-2</v>
      </c>
      <c r="O7" s="67">
        <f t="shared" si="4"/>
        <v>1.0627198835375469E-2</v>
      </c>
      <c r="P7" s="67">
        <f t="shared" si="5"/>
        <v>5.3135994176877345E-2</v>
      </c>
      <c r="R7" s="69">
        <f t="shared" si="6"/>
        <v>300</v>
      </c>
      <c r="S7" s="69">
        <f t="shared" si="7"/>
        <v>100</v>
      </c>
      <c r="T7" s="69">
        <f t="shared" si="8"/>
        <v>500</v>
      </c>
      <c r="V7">
        <f>(1+ VLOOKUP($I7,'vomcost mult'!$N$10:$R$32,5, FALSE))-1</f>
        <v>0.121</v>
      </c>
      <c r="Y7" s="17" t="s">
        <v>195</v>
      </c>
      <c r="Z7">
        <v>80</v>
      </c>
      <c r="AA7">
        <v>80</v>
      </c>
      <c r="AB7">
        <v>80</v>
      </c>
      <c r="AD7" s="17" t="s">
        <v>76</v>
      </c>
      <c r="AE7" s="17" t="str">
        <f t="shared" si="9"/>
        <v>BE00</v>
      </c>
      <c r="AF7" s="17" t="s">
        <v>198</v>
      </c>
      <c r="AG7" s="19">
        <v>82.43</v>
      </c>
    </row>
    <row r="8" spans="1:33">
      <c r="A8" t="s">
        <v>119</v>
      </c>
      <c r="B8" t="s">
        <v>304</v>
      </c>
      <c r="C8" s="19" t="s">
        <v>168</v>
      </c>
      <c r="D8" s="19">
        <v>1</v>
      </c>
      <c r="E8">
        <f t="shared" si="0"/>
        <v>62.1</v>
      </c>
      <c r="F8">
        <f t="shared" si="1"/>
        <v>400.24</v>
      </c>
      <c r="G8" t="str">
        <f>IF(Table4[[#This Row],[capacity_output1]]&lt;10, "remove", "")</f>
        <v/>
      </c>
      <c r="I8" s="17" t="s">
        <v>116</v>
      </c>
      <c r="J8" s="19" t="s">
        <v>171</v>
      </c>
      <c r="K8" s="19" t="s">
        <v>171</v>
      </c>
      <c r="L8" s="19" t="s">
        <v>171</v>
      </c>
      <c r="N8" s="67" t="str">
        <f t="shared" si="3"/>
        <v>-</v>
      </c>
      <c r="O8" s="67" t="str">
        <f t="shared" si="4"/>
        <v>-</v>
      </c>
      <c r="P8" s="67" t="str">
        <f t="shared" si="5"/>
        <v>-</v>
      </c>
      <c r="R8" s="69">
        <f t="shared" si="6"/>
        <v>105</v>
      </c>
      <c r="S8" s="69">
        <f t="shared" si="7"/>
        <v>96.1</v>
      </c>
      <c r="T8" s="69">
        <f t="shared" si="8"/>
        <v>127.9</v>
      </c>
      <c r="V8">
        <f>(1+ VLOOKUP($I8,'vomcost mult'!$N$10:$R$32,5, FALSE))-1</f>
        <v>0.45599999999999996</v>
      </c>
      <c r="Y8" s="17" t="s">
        <v>76</v>
      </c>
      <c r="Z8">
        <v>300</v>
      </c>
      <c r="AA8">
        <v>100</v>
      </c>
      <c r="AB8">
        <v>500</v>
      </c>
      <c r="AD8" s="17" t="s">
        <v>171</v>
      </c>
      <c r="AE8" s="17" t="str">
        <f t="shared" si="9"/>
        <v>CH00</v>
      </c>
      <c r="AF8" s="17" t="s">
        <v>199</v>
      </c>
      <c r="AG8" s="19">
        <v>60.94</v>
      </c>
    </row>
    <row r="9" spans="1:33">
      <c r="A9" t="s">
        <v>120</v>
      </c>
      <c r="B9" t="s">
        <v>304</v>
      </c>
      <c r="C9" s="19" t="s">
        <v>168</v>
      </c>
      <c r="D9" s="19">
        <v>1</v>
      </c>
      <c r="E9">
        <f t="shared" si="0"/>
        <v>25.5</v>
      </c>
      <c r="F9">
        <f t="shared" si="1"/>
        <v>399.8</v>
      </c>
      <c r="G9" t="str">
        <f>IF(Table4[[#This Row],[capacity_output1]]&lt;10, "remove", "")</f>
        <v/>
      </c>
      <c r="I9" s="17" t="s">
        <v>117</v>
      </c>
      <c r="J9" s="19">
        <f>Z9</f>
        <v>800</v>
      </c>
      <c r="K9" s="19">
        <f>AA9</f>
        <v>800</v>
      </c>
      <c r="L9" s="19">
        <f>AB9</f>
        <v>2400</v>
      </c>
      <c r="N9" s="67">
        <f t="shared" si="3"/>
        <v>1.2873124047098587E-2</v>
      </c>
      <c r="O9" s="67">
        <f t="shared" si="4"/>
        <v>1.2873124047098587E-2</v>
      </c>
      <c r="P9" s="67">
        <f t="shared" si="5"/>
        <v>3.8619372141295759E-2</v>
      </c>
      <c r="R9" s="69">
        <f t="shared" si="6"/>
        <v>800</v>
      </c>
      <c r="S9" s="69">
        <f t="shared" si="7"/>
        <v>800</v>
      </c>
      <c r="T9" s="69">
        <f t="shared" si="8"/>
        <v>2400</v>
      </c>
      <c r="V9">
        <f>(1+ VLOOKUP($I9,'vomcost mult'!$N$10:$R$32,5, FALSE))-1</f>
        <v>0.1080000000000001</v>
      </c>
      <c r="Y9" s="17" t="s">
        <v>194</v>
      </c>
      <c r="Z9">
        <v>800</v>
      </c>
      <c r="AA9">
        <v>800</v>
      </c>
      <c r="AB9">
        <v>2400</v>
      </c>
      <c r="AD9" s="17" t="s">
        <v>194</v>
      </c>
      <c r="AE9" s="17" t="str">
        <f t="shared" si="9"/>
        <v>DE00</v>
      </c>
      <c r="AF9" s="17" t="s">
        <v>200</v>
      </c>
      <c r="AG9" s="19">
        <v>544.39</v>
      </c>
    </row>
    <row r="10" spans="1:33">
      <c r="A10" t="s">
        <v>121</v>
      </c>
      <c r="B10" t="s">
        <v>304</v>
      </c>
      <c r="C10" s="19" t="s">
        <v>168</v>
      </c>
      <c r="D10" s="19">
        <v>1</v>
      </c>
      <c r="E10">
        <f t="shared" si="0"/>
        <v>431.2</v>
      </c>
      <c r="F10">
        <f t="shared" si="1"/>
        <v>399.92</v>
      </c>
      <c r="G10" t="str">
        <f>IF(Table4[[#This Row],[capacity_output1]]&lt;10, "remove", "")</f>
        <v/>
      </c>
      <c r="I10" s="17" t="s">
        <v>118</v>
      </c>
      <c r="J10" s="62">
        <f>ROUND(Z$10 / SUM($AG$10:$AG$11) * $AG10, 1)</f>
        <v>37.9</v>
      </c>
      <c r="K10" s="62">
        <f t="shared" ref="K10:K11" si="11">ROUND(AA$10 / SUM($AG$10:$AG$11) * $AG10, 1)</f>
        <v>37.9</v>
      </c>
      <c r="L10" s="62">
        <f t="shared" ref="L10:L11" si="12">ROUND(AB$10 / SUM($AG$10:$AG$11) * $AG10, 1)</f>
        <v>37.9</v>
      </c>
      <c r="N10" s="67">
        <f t="shared" si="3"/>
        <v>2.3496390658174097E-2</v>
      </c>
      <c r="O10" s="67">
        <f t="shared" si="4"/>
        <v>2.3496390658174097E-2</v>
      </c>
      <c r="P10" s="67">
        <f t="shared" si="5"/>
        <v>2.3496390658174097E-2</v>
      </c>
      <c r="R10" s="69">
        <f t="shared" si="6"/>
        <v>37.9</v>
      </c>
      <c r="S10" s="69">
        <f t="shared" si="7"/>
        <v>37.9</v>
      </c>
      <c r="T10" s="69">
        <f t="shared" si="8"/>
        <v>37.9</v>
      </c>
      <c r="V10">
        <f>(1+ VLOOKUP($I10,'vomcost mult'!$N$10:$R$32,5, FALSE))-1</f>
        <v>0.25</v>
      </c>
      <c r="Y10" s="17" t="s">
        <v>74</v>
      </c>
      <c r="Z10">
        <v>100</v>
      </c>
      <c r="AA10">
        <v>100</v>
      </c>
      <c r="AB10">
        <v>100</v>
      </c>
      <c r="AD10" s="17" t="s">
        <v>74</v>
      </c>
      <c r="AE10" s="17" t="str">
        <f t="shared" si="9"/>
        <v>DKE1</v>
      </c>
      <c r="AF10" s="17" t="s">
        <v>202</v>
      </c>
      <c r="AG10" s="19">
        <v>14.13</v>
      </c>
    </row>
    <row r="11" spans="1:33">
      <c r="A11" t="s">
        <v>122</v>
      </c>
      <c r="B11" t="s">
        <v>304</v>
      </c>
      <c r="C11" s="19" t="s">
        <v>168</v>
      </c>
      <c r="D11" s="19">
        <v>1</v>
      </c>
      <c r="E11">
        <f t="shared" si="0"/>
        <v>200</v>
      </c>
      <c r="F11">
        <f t="shared" si="1"/>
        <v>400.11</v>
      </c>
      <c r="G11" t="str">
        <f>IF(Table4[[#This Row],[capacity_output1]]&lt;10, "remove", "")</f>
        <v/>
      </c>
      <c r="I11" s="17" t="s">
        <v>119</v>
      </c>
      <c r="J11" s="62">
        <f t="shared" ref="J11" si="13">ROUND(Z$10 / SUM($AG$10:$AG$11) * $AG11, 1)</f>
        <v>62.1</v>
      </c>
      <c r="K11" s="62">
        <f t="shared" si="11"/>
        <v>62.1</v>
      </c>
      <c r="L11" s="62">
        <f t="shared" si="12"/>
        <v>62.1</v>
      </c>
      <c r="N11" s="67">
        <f t="shared" si="3"/>
        <v>2.3458214747736093E-2</v>
      </c>
      <c r="O11" s="67">
        <f t="shared" si="4"/>
        <v>2.3458214747736093E-2</v>
      </c>
      <c r="P11" s="67">
        <f t="shared" si="5"/>
        <v>2.3458214747736093E-2</v>
      </c>
      <c r="R11" s="69">
        <f t="shared" si="6"/>
        <v>62.1</v>
      </c>
      <c r="S11" s="69">
        <f t="shared" si="7"/>
        <v>62.1</v>
      </c>
      <c r="T11" s="69">
        <f t="shared" si="8"/>
        <v>62.1</v>
      </c>
      <c r="V11">
        <f>(1+ VLOOKUP($I11,'vomcost mult'!$N$10:$R$32,5, FALSE))-1</f>
        <v>0.23799999999999999</v>
      </c>
      <c r="Y11" s="17" t="s">
        <v>73</v>
      </c>
      <c r="Z11">
        <v>200</v>
      </c>
      <c r="AA11">
        <v>200</v>
      </c>
      <c r="AB11">
        <v>100</v>
      </c>
      <c r="AD11" s="17" t="s">
        <v>74</v>
      </c>
      <c r="AE11" s="17" t="str">
        <f t="shared" si="9"/>
        <v>DKW1</v>
      </c>
      <c r="AF11" s="17" t="s">
        <v>201</v>
      </c>
      <c r="AG11" s="19">
        <v>23.19</v>
      </c>
    </row>
    <row r="12" spans="1:33">
      <c r="A12" t="s">
        <v>123</v>
      </c>
      <c r="B12" t="s">
        <v>304</v>
      </c>
      <c r="C12" s="19" t="s">
        <v>168</v>
      </c>
      <c r="D12" s="19">
        <v>1</v>
      </c>
      <c r="E12">
        <f t="shared" si="0"/>
        <v>900</v>
      </c>
      <c r="F12">
        <f t="shared" si="1"/>
        <v>400.05</v>
      </c>
      <c r="G12" t="str">
        <f>IF(Table4[[#This Row],[capacity_output1]]&lt;10, "remove", "")</f>
        <v/>
      </c>
      <c r="I12" s="17" t="s">
        <v>120</v>
      </c>
      <c r="J12" s="63">
        <f>ROUND(Z$7 / SUM($AG$12,$AG$16,$AG$17)*$AG$12, 1)</f>
        <v>25.5</v>
      </c>
      <c r="K12" s="63">
        <f>ROUND(AA$7 / SUM($AG$12,$AG$16,$AG$17)*$AG$12, 1)</f>
        <v>25.5</v>
      </c>
      <c r="L12" s="63">
        <f>ROUND(AB$7 / SUM($AG$12,$AG$16,$AG$17)*$AG$12, 1)</f>
        <v>25.5</v>
      </c>
      <c r="N12" s="67">
        <f t="shared" si="3"/>
        <v>2.2724313326551376E-2</v>
      </c>
      <c r="O12" s="67">
        <f t="shared" si="4"/>
        <v>2.2724313326551376E-2</v>
      </c>
      <c r="P12" s="67">
        <f t="shared" si="5"/>
        <v>2.2724313326551376E-2</v>
      </c>
      <c r="R12" s="69">
        <f t="shared" si="6"/>
        <v>25.5</v>
      </c>
      <c r="S12" s="69">
        <f t="shared" si="7"/>
        <v>25.5</v>
      </c>
      <c r="T12" s="69">
        <f t="shared" si="8"/>
        <v>25.5</v>
      </c>
      <c r="V12">
        <f>(1+ VLOOKUP($I12,'vomcost mult'!$N$10:$R$32,5, FALSE))-1</f>
        <v>-0.20399999999999996</v>
      </c>
      <c r="Y12" s="17" t="s">
        <v>67</v>
      </c>
      <c r="Z12">
        <v>900</v>
      </c>
      <c r="AA12">
        <v>350</v>
      </c>
      <c r="AB12">
        <v>50</v>
      </c>
      <c r="AD12" s="17" t="s">
        <v>195</v>
      </c>
      <c r="AE12" s="17" t="str">
        <f t="shared" si="9"/>
        <v>EE00</v>
      </c>
      <c r="AF12" s="17" t="s">
        <v>203</v>
      </c>
      <c r="AG12" s="19">
        <v>9.83</v>
      </c>
    </row>
    <row r="13" spans="1:33">
      <c r="A13" t="s">
        <v>124</v>
      </c>
      <c r="B13" t="s">
        <v>304</v>
      </c>
      <c r="C13" s="19" t="s">
        <v>168</v>
      </c>
      <c r="D13" s="19">
        <v>1</v>
      </c>
      <c r="E13">
        <f t="shared" si="0"/>
        <v>35.9</v>
      </c>
      <c r="F13">
        <f t="shared" si="1"/>
        <v>399.77</v>
      </c>
      <c r="G13" t="str">
        <f>IF(Table4[[#This Row],[capacity_output1]]&lt;10, "remove", "")</f>
        <v/>
      </c>
      <c r="I13" s="17" t="s">
        <v>121</v>
      </c>
      <c r="J13" s="19" t="s">
        <v>171</v>
      </c>
      <c r="K13" s="19" t="s">
        <v>171</v>
      </c>
      <c r="L13" s="19" t="s">
        <v>171</v>
      </c>
      <c r="N13" s="67" t="str">
        <f t="shared" si="3"/>
        <v>-</v>
      </c>
      <c r="O13" s="67" t="str">
        <f t="shared" si="4"/>
        <v>-</v>
      </c>
      <c r="P13" s="67" t="str">
        <f t="shared" si="5"/>
        <v>-</v>
      </c>
      <c r="R13" s="69">
        <f t="shared" si="6"/>
        <v>431.2</v>
      </c>
      <c r="S13" s="69">
        <f t="shared" si="7"/>
        <v>394.7</v>
      </c>
      <c r="T13" s="69">
        <f t="shared" si="8"/>
        <v>525.20000000000005</v>
      </c>
      <c r="V13">
        <f>(1+ VLOOKUP($I13,'vomcost mult'!$N$10:$R$32,5, FALSE))-1</f>
        <v>-8.2999999999999963E-2</v>
      </c>
      <c r="Y13" s="17" t="s">
        <v>71</v>
      </c>
      <c r="Z13">
        <v>500</v>
      </c>
      <c r="AA13">
        <v>400</v>
      </c>
      <c r="AB13">
        <v>300</v>
      </c>
      <c r="AD13" s="17" t="s">
        <v>171</v>
      </c>
      <c r="AE13" s="17" t="str">
        <f t="shared" si="9"/>
        <v>ES00</v>
      </c>
      <c r="AF13" s="17" t="s">
        <v>204</v>
      </c>
      <c r="AG13" s="19">
        <v>250.3</v>
      </c>
    </row>
    <row r="14" spans="1:33">
      <c r="A14" t="s">
        <v>125</v>
      </c>
      <c r="B14" t="s">
        <v>304</v>
      </c>
      <c r="C14" s="19" t="s">
        <v>168</v>
      </c>
      <c r="D14" s="19">
        <v>1</v>
      </c>
      <c r="E14">
        <f t="shared" si="0"/>
        <v>18.600000000000001</v>
      </c>
      <c r="F14">
        <f t="shared" si="1"/>
        <v>399.7</v>
      </c>
      <c r="G14" t="str">
        <f>IF(Table4[[#This Row],[capacity_output1]]&lt;10, "remove", "")</f>
        <v/>
      </c>
      <c r="I14" s="17" t="s">
        <v>122</v>
      </c>
      <c r="J14" s="19">
        <f>Z11</f>
        <v>200</v>
      </c>
      <c r="K14" s="19">
        <f t="shared" ref="K14:L14" si="14">AA11</f>
        <v>200</v>
      </c>
      <c r="L14" s="19">
        <f t="shared" si="14"/>
        <v>100</v>
      </c>
      <c r="N14" s="67">
        <f t="shared" si="3"/>
        <v>2.1399780139245147E-2</v>
      </c>
      <c r="O14" s="67">
        <f t="shared" si="4"/>
        <v>2.1399780139245147E-2</v>
      </c>
      <c r="P14" s="67">
        <f t="shared" si="5"/>
        <v>1.0699890069622573E-2</v>
      </c>
      <c r="R14" s="69">
        <f t="shared" si="6"/>
        <v>200</v>
      </c>
      <c r="S14" s="69">
        <f t="shared" si="7"/>
        <v>200</v>
      </c>
      <c r="T14" s="69">
        <f t="shared" si="8"/>
        <v>100</v>
      </c>
      <c r="V14">
        <f>(1+ VLOOKUP($I14,'vomcost mult'!$N$10:$R$32,5, FALSE))-1</f>
        <v>0.1080000000000001</v>
      </c>
      <c r="Y14" s="17" t="s">
        <v>78</v>
      </c>
      <c r="Z14">
        <v>500</v>
      </c>
      <c r="AA14">
        <v>1300</v>
      </c>
      <c r="AB14">
        <v>1000</v>
      </c>
      <c r="AD14" s="17" t="s">
        <v>73</v>
      </c>
      <c r="AE14" s="17" t="str">
        <f t="shared" si="9"/>
        <v>FI00</v>
      </c>
      <c r="AF14" s="17" t="s">
        <v>205</v>
      </c>
      <c r="AG14" s="19">
        <v>81.87</v>
      </c>
    </row>
    <row r="15" spans="1:33">
      <c r="A15" t="s">
        <v>126</v>
      </c>
      <c r="B15" t="s">
        <v>304</v>
      </c>
      <c r="C15" s="19" t="s">
        <v>168</v>
      </c>
      <c r="D15" s="19">
        <v>1</v>
      </c>
      <c r="E15">
        <f t="shared" si="0"/>
        <v>500</v>
      </c>
      <c r="F15">
        <f t="shared" si="1"/>
        <v>400.18</v>
      </c>
      <c r="G15" t="str">
        <f>IF(Table4[[#This Row],[capacity_output1]]&lt;10, "remove", "")</f>
        <v/>
      </c>
      <c r="I15" s="17" t="s">
        <v>123</v>
      </c>
      <c r="J15" s="19">
        <f>Z12</f>
        <v>900</v>
      </c>
      <c r="K15" s="19">
        <f t="shared" ref="K15:L15" si="15">AA12</f>
        <v>350</v>
      </c>
      <c r="L15" s="19">
        <f t="shared" si="15"/>
        <v>50</v>
      </c>
      <c r="N15" s="67">
        <f t="shared" si="3"/>
        <v>1.7935709898309712E-2</v>
      </c>
      <c r="O15" s="67">
        <f t="shared" si="4"/>
        <v>6.9749982937871106E-3</v>
      </c>
      <c r="P15" s="67">
        <f t="shared" si="5"/>
        <v>9.9642832768387303E-4</v>
      </c>
      <c r="R15" s="69">
        <f t="shared" si="6"/>
        <v>900</v>
      </c>
      <c r="S15" s="69">
        <f t="shared" si="7"/>
        <v>350</v>
      </c>
      <c r="T15" s="69">
        <f t="shared" si="8"/>
        <v>50</v>
      </c>
      <c r="V15">
        <f>(1+ VLOOKUP($I15,'vomcost mult'!$N$10:$R$32,5, FALSE))-1</f>
        <v>5.4000000000000048E-2</v>
      </c>
      <c r="Y15" s="17" t="s">
        <v>72</v>
      </c>
      <c r="Z15">
        <v>300</v>
      </c>
      <c r="AA15">
        <v>100</v>
      </c>
      <c r="AB15">
        <v>100</v>
      </c>
      <c r="AD15" s="17" t="s">
        <v>67</v>
      </c>
      <c r="AE15" s="17" t="str">
        <f t="shared" si="9"/>
        <v>FR00</v>
      </c>
      <c r="AF15" s="17" t="s">
        <v>206</v>
      </c>
      <c r="AG15" s="19">
        <v>439.57</v>
      </c>
    </row>
    <row r="16" spans="1:33">
      <c r="A16" t="s">
        <v>127</v>
      </c>
      <c r="B16" t="s">
        <v>304</v>
      </c>
      <c r="C16" s="19" t="s">
        <v>168</v>
      </c>
      <c r="D16" s="19">
        <v>1</v>
      </c>
      <c r="E16">
        <f t="shared" si="0"/>
        <v>154.4</v>
      </c>
      <c r="F16">
        <f t="shared" si="1"/>
        <v>400.31</v>
      </c>
      <c r="G16" t="str">
        <f>IF(Table4[[#This Row],[capacity_output1]]&lt;10, "remove", "")</f>
        <v/>
      </c>
      <c r="I16" s="17" t="s">
        <v>124</v>
      </c>
      <c r="J16" s="64">
        <f>ROUND(Z$7 / SUM($AG$12,$AG$16,$AG$17)*$AG$16, 1)</f>
        <v>35.9</v>
      </c>
      <c r="K16" s="64">
        <f t="shared" ref="K16:L16" si="16">ROUND(AA$7 / SUM($AG$12,$AG$16,$AG$17)*$AG$16, 1)</f>
        <v>35.9</v>
      </c>
      <c r="L16" s="64">
        <f t="shared" si="16"/>
        <v>35.9</v>
      </c>
      <c r="N16" s="67">
        <f t="shared" si="3"/>
        <v>2.2722832369942197E-2</v>
      </c>
      <c r="O16" s="67">
        <f t="shared" si="4"/>
        <v>2.2722832369942197E-2</v>
      </c>
      <c r="P16" s="67">
        <f t="shared" si="5"/>
        <v>2.2722832369942197E-2</v>
      </c>
      <c r="R16" s="69">
        <f t="shared" si="6"/>
        <v>35.9</v>
      </c>
      <c r="S16" s="69">
        <f t="shared" si="7"/>
        <v>35.9</v>
      </c>
      <c r="T16" s="69">
        <f t="shared" si="8"/>
        <v>35.9</v>
      </c>
      <c r="V16">
        <f>(1+ VLOOKUP($I16,'vomcost mult'!$N$10:$R$32,5, FALSE))-1</f>
        <v>-0.23299999999999998</v>
      </c>
      <c r="Y16" s="17" t="s">
        <v>68</v>
      </c>
      <c r="Z16">
        <v>300</v>
      </c>
      <c r="AA16">
        <v>200</v>
      </c>
      <c r="AB16">
        <v>200</v>
      </c>
      <c r="AD16" s="17" t="s">
        <v>195</v>
      </c>
      <c r="AE16" s="17" t="str">
        <f t="shared" si="9"/>
        <v>LT00</v>
      </c>
      <c r="AF16" s="17" t="s">
        <v>207</v>
      </c>
      <c r="AG16" s="19">
        <v>13.84</v>
      </c>
    </row>
    <row r="17" spans="1:33">
      <c r="A17" t="s">
        <v>128</v>
      </c>
      <c r="B17" t="s">
        <v>304</v>
      </c>
      <c r="C17" s="19" t="s">
        <v>168</v>
      </c>
      <c r="D17" s="19">
        <v>1</v>
      </c>
      <c r="E17">
        <f t="shared" si="0"/>
        <v>107.6</v>
      </c>
      <c r="F17">
        <f t="shared" si="1"/>
        <v>400.33</v>
      </c>
      <c r="G17" t="str">
        <f>IF(Table4[[#This Row],[capacity_output1]]&lt;10, "remove", "")</f>
        <v/>
      </c>
      <c r="I17" s="17" t="s">
        <v>125</v>
      </c>
      <c r="J17" s="65">
        <f>ROUND(Z$7 / SUM($AG$12,$AG$16,$AG$17)*$AG$17, 1)</f>
        <v>18.600000000000001</v>
      </c>
      <c r="K17" s="65">
        <f t="shared" ref="K17:L17" si="17">ROUND(AA$7 / SUM($AG$12,$AG$16,$AG$17)*$AG$17, 1)</f>
        <v>18.600000000000001</v>
      </c>
      <c r="L17" s="65">
        <f t="shared" si="17"/>
        <v>18.600000000000001</v>
      </c>
      <c r="N17" s="67">
        <f t="shared" si="3"/>
        <v>2.2788251748251751E-2</v>
      </c>
      <c r="O17" s="67">
        <f t="shared" si="4"/>
        <v>2.2788251748251751E-2</v>
      </c>
      <c r="P17" s="67">
        <f t="shared" si="5"/>
        <v>2.2788251748251751E-2</v>
      </c>
      <c r="R17" s="69">
        <f t="shared" si="6"/>
        <v>18.600000000000001</v>
      </c>
      <c r="S17" s="69">
        <f t="shared" si="7"/>
        <v>18.600000000000001</v>
      </c>
      <c r="T17" s="69">
        <f t="shared" si="8"/>
        <v>18.600000000000001</v>
      </c>
      <c r="V17">
        <f>(1+ VLOOKUP($I17,'vomcost mult'!$N$10:$R$32,5, FALSE))-1</f>
        <v>-0.29899999999999993</v>
      </c>
      <c r="AD17" s="17" t="s">
        <v>195</v>
      </c>
      <c r="AE17" s="17" t="str">
        <f t="shared" si="9"/>
        <v>LV00</v>
      </c>
      <c r="AF17" s="17" t="s">
        <v>208</v>
      </c>
      <c r="AG17" s="19">
        <v>7.15</v>
      </c>
    </row>
    <row r="18" spans="1:33">
      <c r="A18" t="s">
        <v>129</v>
      </c>
      <c r="B18" t="s">
        <v>304</v>
      </c>
      <c r="C18" s="19" t="s">
        <v>168</v>
      </c>
      <c r="D18" s="19">
        <v>1</v>
      </c>
      <c r="E18">
        <f t="shared" si="0"/>
        <v>183.6</v>
      </c>
      <c r="F18">
        <f t="shared" si="1"/>
        <v>400.3</v>
      </c>
      <c r="G18" t="str">
        <f>IF(Table4[[#This Row],[capacity_output1]]&lt;10, "remove", "")</f>
        <v/>
      </c>
      <c r="I18" s="17" t="s">
        <v>126</v>
      </c>
      <c r="J18" s="19">
        <f>Z13</f>
        <v>500</v>
      </c>
      <c r="K18" s="19">
        <f t="shared" ref="K18:L18" si="18">AA13</f>
        <v>400</v>
      </c>
      <c r="L18" s="19">
        <f t="shared" si="18"/>
        <v>300</v>
      </c>
      <c r="N18" s="67">
        <f t="shared" si="3"/>
        <v>3.6548731642189587E-2</v>
      </c>
      <c r="O18" s="67">
        <f t="shared" si="4"/>
        <v>2.9238985313751669E-2</v>
      </c>
      <c r="P18" s="67">
        <f t="shared" si="5"/>
        <v>2.1929238985313751E-2</v>
      </c>
      <c r="R18" s="69">
        <f t="shared" si="6"/>
        <v>500</v>
      </c>
      <c r="S18" s="69">
        <f t="shared" si="7"/>
        <v>400</v>
      </c>
      <c r="T18" s="69">
        <f t="shared" si="8"/>
        <v>300</v>
      </c>
      <c r="V18">
        <f>(1+ VLOOKUP($I18,'vomcost mult'!$N$10:$R$32,5, FALSE))-1</f>
        <v>0.17999999999999994</v>
      </c>
      <c r="Y18" s="17" t="s">
        <v>196</v>
      </c>
      <c r="Z18">
        <f>SUM(Z6:Z16)</f>
        <v>4130</v>
      </c>
      <c r="AA18">
        <f>SUM(AA6:AA16)</f>
        <v>3780</v>
      </c>
      <c r="AB18">
        <f>SUM(AB6:AB16)</f>
        <v>5030</v>
      </c>
      <c r="AD18" s="17" t="s">
        <v>71</v>
      </c>
      <c r="AE18" s="17" t="str">
        <f t="shared" si="9"/>
        <v>NL00</v>
      </c>
      <c r="AF18" s="17" t="s">
        <v>209</v>
      </c>
      <c r="AG18" s="19">
        <v>119.84</v>
      </c>
    </row>
    <row r="19" spans="1:33">
      <c r="A19" t="s">
        <v>130</v>
      </c>
      <c r="B19" t="s">
        <v>304</v>
      </c>
      <c r="C19" s="19" t="s">
        <v>168</v>
      </c>
      <c r="D19" s="19">
        <v>1</v>
      </c>
      <c r="E19">
        <f t="shared" si="0"/>
        <v>300</v>
      </c>
      <c r="F19">
        <f t="shared" si="1"/>
        <v>399.69</v>
      </c>
      <c r="G19" t="str">
        <f>IF(Table4[[#This Row],[capacity_output1]]&lt;10, "remove", "")</f>
        <v/>
      </c>
      <c r="I19" s="17" t="s">
        <v>127</v>
      </c>
      <c r="J19" s="66">
        <f>ROUND(Z$14 / SUM($AG$19:$AG$21) * $AG19, 1)</f>
        <v>173.3</v>
      </c>
      <c r="K19" s="66">
        <f t="shared" ref="K19:K21" si="19">ROUND(AA$14 / SUM($AG$19:$AG$21) * $AG19, 1)</f>
        <v>450.5</v>
      </c>
      <c r="L19" s="66">
        <f t="shared" ref="L19:L21" si="20">ROUND(AB$14 / SUM($AG$19:$AG$21) * $AG19, 1)</f>
        <v>346.5</v>
      </c>
      <c r="N19" s="67">
        <f t="shared" si="3"/>
        <v>5.0823836625376637E-2</v>
      </c>
      <c r="O19" s="67">
        <f t="shared" si="4"/>
        <v>0.13211851355875462</v>
      </c>
      <c r="P19" s="67">
        <f t="shared" si="5"/>
        <v>0.10161834616672247</v>
      </c>
      <c r="R19" s="69">
        <f t="shared" si="6"/>
        <v>154.4</v>
      </c>
      <c r="S19" s="69">
        <f t="shared" si="7"/>
        <v>141.30000000000001</v>
      </c>
      <c r="T19" s="69">
        <f t="shared" si="8"/>
        <v>188</v>
      </c>
      <c r="V19">
        <f>(1+ VLOOKUP($I19,'vomcost mult'!$N$10:$R$32,5, FALSE))-1</f>
        <v>0.31000000000000005</v>
      </c>
      <c r="AD19" s="17" t="s">
        <v>78</v>
      </c>
      <c r="AE19" s="17" t="str">
        <f t="shared" si="9"/>
        <v>NOM1</v>
      </c>
      <c r="AF19" s="17" t="s">
        <v>211</v>
      </c>
      <c r="AG19" s="19">
        <v>29.87</v>
      </c>
    </row>
    <row r="20" spans="1:33">
      <c r="A20" t="s">
        <v>131</v>
      </c>
      <c r="B20" t="s">
        <v>304</v>
      </c>
      <c r="C20" s="19" t="s">
        <v>168</v>
      </c>
      <c r="D20" s="19">
        <v>1</v>
      </c>
      <c r="E20">
        <f t="shared" si="0"/>
        <v>24.7</v>
      </c>
      <c r="F20">
        <f t="shared" si="1"/>
        <v>400.18</v>
      </c>
      <c r="G20" t="str">
        <f>IF(Table4[[#This Row],[capacity_output1]]&lt;10, "remove", "")</f>
        <v/>
      </c>
      <c r="I20" s="17" t="s">
        <v>128</v>
      </c>
      <c r="J20" s="66">
        <f t="shared" ref="J20:J21" si="21">ROUND(Z$14 / SUM($AG$19:$AG$21) * $AG20, 1)</f>
        <v>120.7</v>
      </c>
      <c r="K20" s="66">
        <f t="shared" si="19"/>
        <v>313.8</v>
      </c>
      <c r="L20" s="66">
        <f t="shared" si="20"/>
        <v>241.4</v>
      </c>
      <c r="N20" s="67">
        <f t="shared" si="3"/>
        <v>5.0808841902931286E-2</v>
      </c>
      <c r="O20" s="67">
        <f t="shared" si="4"/>
        <v>0.13209456991830851</v>
      </c>
      <c r="P20" s="67">
        <f t="shared" si="5"/>
        <v>0.10161768380586257</v>
      </c>
      <c r="R20" s="69">
        <f t="shared" si="6"/>
        <v>107.6</v>
      </c>
      <c r="S20" s="69">
        <f t="shared" si="7"/>
        <v>98.4</v>
      </c>
      <c r="T20" s="69">
        <f t="shared" si="8"/>
        <v>131</v>
      </c>
      <c r="V20">
        <f>(1+ VLOOKUP($I20,'vomcost mult'!$N$10:$R$32,5, FALSE))-1</f>
        <v>0.32499999999999996</v>
      </c>
      <c r="AD20" s="17" t="s">
        <v>78</v>
      </c>
      <c r="AE20" s="17" t="str">
        <f t="shared" si="9"/>
        <v>NON1</v>
      </c>
      <c r="AF20" s="17" t="s">
        <v>212</v>
      </c>
      <c r="AG20" s="19">
        <v>20.81</v>
      </c>
    </row>
    <row r="21" spans="1:33">
      <c r="A21" t="s">
        <v>132</v>
      </c>
      <c r="B21" t="s">
        <v>304</v>
      </c>
      <c r="C21" s="19" t="s">
        <v>168</v>
      </c>
      <c r="D21" s="19">
        <v>1</v>
      </c>
      <c r="E21">
        <f t="shared" si="0"/>
        <v>33.9</v>
      </c>
      <c r="F21">
        <f t="shared" si="1"/>
        <v>400.17</v>
      </c>
      <c r="G21" t="str">
        <f>IF(Table4[[#This Row],[capacity_output1]]&lt;10, "remove", "")</f>
        <v/>
      </c>
      <c r="I21" s="17" t="s">
        <v>129</v>
      </c>
      <c r="J21" s="66">
        <f t="shared" si="21"/>
        <v>206</v>
      </c>
      <c r="K21" s="66">
        <f t="shared" si="19"/>
        <v>535.70000000000005</v>
      </c>
      <c r="L21" s="66">
        <f t="shared" si="20"/>
        <v>412.1</v>
      </c>
      <c r="N21" s="67">
        <f t="shared" si="3"/>
        <v>5.0804054054054054E-2</v>
      </c>
      <c r="O21" s="67">
        <f t="shared" si="4"/>
        <v>0.13211520270270272</v>
      </c>
      <c r="P21" s="67">
        <f t="shared" si="5"/>
        <v>0.10163277027027028</v>
      </c>
      <c r="R21" s="69">
        <f t="shared" si="6"/>
        <v>183.6</v>
      </c>
      <c r="S21" s="69">
        <f t="shared" si="7"/>
        <v>168</v>
      </c>
      <c r="T21" s="69">
        <f t="shared" si="8"/>
        <v>223.6</v>
      </c>
      <c r="V21">
        <f>(1+ VLOOKUP($I21,'vomcost mult'!$N$10:$R$32,5, FALSE))-1</f>
        <v>0.29600000000000004</v>
      </c>
      <c r="AD21" s="17" t="s">
        <v>78</v>
      </c>
      <c r="AE21" s="17" t="str">
        <f t="shared" si="9"/>
        <v>NOS0</v>
      </c>
      <c r="AF21" s="17" t="s">
        <v>210</v>
      </c>
      <c r="AG21" s="19">
        <v>35.520000000000003</v>
      </c>
    </row>
    <row r="22" spans="1:33">
      <c r="A22" t="s">
        <v>133</v>
      </c>
      <c r="B22" t="s">
        <v>304</v>
      </c>
      <c r="C22" s="19" t="s">
        <v>168</v>
      </c>
      <c r="D22" s="19">
        <v>1</v>
      </c>
      <c r="E22">
        <f t="shared" si="0"/>
        <v>190.9</v>
      </c>
      <c r="F22">
        <f t="shared" si="1"/>
        <v>400.17</v>
      </c>
      <c r="G22" t="str">
        <f>IF(Table4[[#This Row],[capacity_output1]]&lt;10, "remove", "")</f>
        <v/>
      </c>
      <c r="I22" s="17" t="s">
        <v>130</v>
      </c>
      <c r="J22" s="19">
        <f>Z15</f>
        <v>300</v>
      </c>
      <c r="K22" s="19">
        <f t="shared" ref="K22:L22" si="22">AA15</f>
        <v>100</v>
      </c>
      <c r="L22" s="19">
        <f t="shared" si="22"/>
        <v>100</v>
      </c>
      <c r="N22" s="67">
        <f t="shared" si="3"/>
        <v>1.3822121706201021E-2</v>
      </c>
      <c r="O22" s="67">
        <f t="shared" si="4"/>
        <v>4.6073739020670067E-3</v>
      </c>
      <c r="P22" s="67">
        <f t="shared" si="5"/>
        <v>4.6073739020670067E-3</v>
      </c>
      <c r="R22" s="69">
        <f t="shared" si="6"/>
        <v>300</v>
      </c>
      <c r="S22" s="69">
        <f t="shared" si="7"/>
        <v>100</v>
      </c>
      <c r="T22" s="69">
        <f t="shared" si="8"/>
        <v>100</v>
      </c>
      <c r="V22">
        <f>(1+ VLOOKUP($I22,'vomcost mult'!$N$10:$R$32,5, FALSE))-1</f>
        <v>-0.31000000000000005</v>
      </c>
      <c r="AD22" s="17" t="s">
        <v>72</v>
      </c>
      <c r="AE22" s="17" t="str">
        <f t="shared" si="9"/>
        <v>PL00</v>
      </c>
      <c r="AF22" s="17" t="s">
        <v>213</v>
      </c>
      <c r="AG22" s="19">
        <v>190.13</v>
      </c>
    </row>
    <row r="23" spans="1:33">
      <c r="A23" t="s">
        <v>134</v>
      </c>
      <c r="B23" t="s">
        <v>304</v>
      </c>
      <c r="C23" s="19" t="s">
        <v>168</v>
      </c>
      <c r="D23" s="19">
        <v>1</v>
      </c>
      <c r="E23">
        <f t="shared" si="0"/>
        <v>50.4</v>
      </c>
      <c r="F23">
        <f t="shared" si="1"/>
        <v>400.16</v>
      </c>
      <c r="G23" t="str">
        <f>IF(Table4[[#This Row],[capacity_output1]]&lt;10, "remove", "")</f>
        <v/>
      </c>
      <c r="I23" s="17" t="s">
        <v>131</v>
      </c>
      <c r="J23" s="83">
        <f>ROUND(Z$16 / SUM($AG$23:$AG$26) * $AG23, 1)</f>
        <v>24.7</v>
      </c>
      <c r="K23" s="83">
        <f t="shared" ref="K23:K26" si="23">ROUND(AA$16 / SUM($AG$23:$AG$26) * $AG23, 1)</f>
        <v>16.5</v>
      </c>
      <c r="L23" s="83">
        <f t="shared" ref="L23:L26" si="24">ROUND(AB$16 / SUM($AG$23:$AG$26) * $AG23, 1)</f>
        <v>16.5</v>
      </c>
      <c r="N23" s="67">
        <f t="shared" si="3"/>
        <v>1.9778062157221207E-2</v>
      </c>
      <c r="O23" s="67">
        <f t="shared" si="4"/>
        <v>1.3212065813528337E-2</v>
      </c>
      <c r="P23" s="67">
        <f t="shared" si="5"/>
        <v>1.3212065813528337E-2</v>
      </c>
      <c r="R23" s="69">
        <f t="shared" si="6"/>
        <v>24.7</v>
      </c>
      <c r="S23" s="69">
        <f t="shared" si="7"/>
        <v>16.5</v>
      </c>
      <c r="T23" s="69">
        <f t="shared" si="8"/>
        <v>16.5</v>
      </c>
      <c r="V23">
        <f>(1+ VLOOKUP($I23,'vomcost mult'!$N$10:$R$32,5, FALSE))-1</f>
        <v>0.18100000000000005</v>
      </c>
      <c r="AD23" s="17" t="s">
        <v>68</v>
      </c>
      <c r="AE23" s="17" t="str">
        <f t="shared" si="9"/>
        <v>SE01</v>
      </c>
      <c r="AF23" s="17" t="s">
        <v>214</v>
      </c>
      <c r="AG23" s="19">
        <v>10.94</v>
      </c>
    </row>
    <row r="24" spans="1:33">
      <c r="A24" t="s">
        <v>135</v>
      </c>
      <c r="B24" t="s">
        <v>304</v>
      </c>
      <c r="C24" s="19" t="s">
        <v>168</v>
      </c>
      <c r="D24" s="19">
        <v>1</v>
      </c>
      <c r="E24">
        <f t="shared" si="0"/>
        <v>479.8</v>
      </c>
      <c r="F24">
        <f t="shared" si="1"/>
        <v>400.17</v>
      </c>
      <c r="G24" t="str">
        <f>IF(Table4[[#This Row],[capacity_output1]]&lt;10, "remove", "")</f>
        <v/>
      </c>
      <c r="I24" s="17" t="s">
        <v>132</v>
      </c>
      <c r="J24" s="83">
        <f t="shared" ref="J24:J26" si="25">ROUND(Z$16 / SUM($AG$23:$AG$26) * $AG24, 1)</f>
        <v>33.9</v>
      </c>
      <c r="K24" s="83">
        <f t="shared" si="23"/>
        <v>22.6</v>
      </c>
      <c r="L24" s="83">
        <f t="shared" si="24"/>
        <v>22.6</v>
      </c>
      <c r="N24" s="67">
        <f t="shared" si="3"/>
        <v>1.9771238348868174E-2</v>
      </c>
      <c r="O24" s="67">
        <f t="shared" si="4"/>
        <v>1.3180825565912118E-2</v>
      </c>
      <c r="P24" s="67">
        <f t="shared" si="5"/>
        <v>1.3180825565912118E-2</v>
      </c>
      <c r="R24" s="69">
        <f t="shared" si="6"/>
        <v>33.9</v>
      </c>
      <c r="S24" s="69">
        <f t="shared" si="7"/>
        <v>22.6</v>
      </c>
      <c r="T24" s="69">
        <f t="shared" si="8"/>
        <v>22.6</v>
      </c>
      <c r="V24">
        <f>(1+ VLOOKUP($I24,'vomcost mult'!$N$10:$R$32,5, FALSE))-1</f>
        <v>0.17300000000000004</v>
      </c>
      <c r="Y24" s="61" t="s">
        <v>221</v>
      </c>
      <c r="AD24" s="17" t="s">
        <v>68</v>
      </c>
      <c r="AE24" s="17" t="str">
        <f t="shared" si="9"/>
        <v>SE02</v>
      </c>
      <c r="AF24" s="17" t="s">
        <v>215</v>
      </c>
      <c r="AG24" s="19">
        <v>15.02</v>
      </c>
    </row>
    <row r="25" spans="1:33">
      <c r="A25" s="17" t="s">
        <v>282</v>
      </c>
      <c r="C25" s="19"/>
      <c r="D25" s="19"/>
      <c r="I25" s="17" t="s">
        <v>133</v>
      </c>
      <c r="J25" s="83">
        <f t="shared" si="25"/>
        <v>190.9</v>
      </c>
      <c r="K25" s="83">
        <f t="shared" si="23"/>
        <v>127.3</v>
      </c>
      <c r="L25" s="83">
        <f t="shared" si="24"/>
        <v>127.3</v>
      </c>
      <c r="N25" s="67">
        <f t="shared" si="3"/>
        <v>1.9785660198769522E-2</v>
      </c>
      <c r="O25" s="67">
        <f t="shared" si="4"/>
        <v>1.3193894936109797E-2</v>
      </c>
      <c r="P25" s="67">
        <f t="shared" si="5"/>
        <v>1.3193894936109797E-2</v>
      </c>
      <c r="R25" s="69">
        <f t="shared" si="6"/>
        <v>190.9</v>
      </c>
      <c r="S25" s="69">
        <f t="shared" si="7"/>
        <v>127.3</v>
      </c>
      <c r="T25" s="69">
        <f t="shared" si="8"/>
        <v>127.3</v>
      </c>
      <c r="V25">
        <f>(1+ VLOOKUP($I25,'vomcost mult'!$N$10:$R$32,5, FALSE))-1</f>
        <v>0.16500000000000004</v>
      </c>
      <c r="AD25" s="17" t="s">
        <v>68</v>
      </c>
      <c r="AE25" s="17" t="str">
        <f t="shared" si="9"/>
        <v>SE03</v>
      </c>
      <c r="AF25" s="17" t="s">
        <v>216</v>
      </c>
      <c r="AG25" s="19">
        <v>84.52</v>
      </c>
    </row>
    <row r="26" spans="1:33">
      <c r="A26" t="s">
        <v>111</v>
      </c>
      <c r="B26" t="s">
        <v>303</v>
      </c>
      <c r="C26" s="19" t="s">
        <v>168</v>
      </c>
      <c r="D26" s="19">
        <v>1</v>
      </c>
      <c r="E26">
        <f>S6</f>
        <v>150</v>
      </c>
      <c r="F26">
        <f>ROUND($Z$29+V6, 2)</f>
        <v>1000.13</v>
      </c>
      <c r="G26" t="str">
        <f>IF(Table4[[#This Row],[capacity_output1]]&lt;10, "remove", "")</f>
        <v/>
      </c>
      <c r="I26" s="17" t="s">
        <v>134</v>
      </c>
      <c r="J26" s="83">
        <f t="shared" si="25"/>
        <v>50.4</v>
      </c>
      <c r="K26" s="83">
        <f t="shared" si="23"/>
        <v>33.6</v>
      </c>
      <c r="L26" s="83">
        <f t="shared" si="24"/>
        <v>33.6</v>
      </c>
      <c r="N26" s="67">
        <f t="shared" si="3"/>
        <v>1.9789511429852084E-2</v>
      </c>
      <c r="O26" s="67">
        <f t="shared" si="4"/>
        <v>1.3193007619901389E-2</v>
      </c>
      <c r="P26" s="67">
        <f t="shared" si="5"/>
        <v>1.3193007619901389E-2</v>
      </c>
      <c r="R26" s="69">
        <f t="shared" si="6"/>
        <v>50.4</v>
      </c>
      <c r="S26" s="69">
        <f t="shared" si="7"/>
        <v>33.6</v>
      </c>
      <c r="T26" s="69">
        <f t="shared" si="8"/>
        <v>33.6</v>
      </c>
      <c r="V26">
        <f>(1+ VLOOKUP($I26,'vomcost mult'!$N$10:$R$32,5, FALSE))-1</f>
        <v>0.15700000000000003</v>
      </c>
      <c r="AA26" s="17" t="s">
        <v>188</v>
      </c>
      <c r="AB26" s="17"/>
      <c r="AD26" s="17" t="s">
        <v>68</v>
      </c>
      <c r="AE26" s="17" t="str">
        <f t="shared" si="9"/>
        <v>SE04</v>
      </c>
      <c r="AF26" s="17" t="s">
        <v>217</v>
      </c>
      <c r="AG26" s="19">
        <v>22.31</v>
      </c>
    </row>
    <row r="27" spans="1:33">
      <c r="A27" t="s">
        <v>114</v>
      </c>
      <c r="B27" t="s">
        <v>303</v>
      </c>
      <c r="C27" s="19" t="s">
        <v>168</v>
      </c>
      <c r="D27" s="19">
        <v>1</v>
      </c>
      <c r="E27">
        <f t="shared" ref="E27:E47" si="26">S7</f>
        <v>100</v>
      </c>
      <c r="F27">
        <f t="shared" ref="F27:F47" si="27">ROUND($Z$29+V7, 2)</f>
        <v>1000.12</v>
      </c>
      <c r="G27" t="str">
        <f>IF(Table4[[#This Row],[capacity_output1]]&lt;10, "remove", "")</f>
        <v/>
      </c>
      <c r="I27" s="17" t="s">
        <v>135</v>
      </c>
      <c r="J27" s="19" t="s">
        <v>171</v>
      </c>
      <c r="K27" s="19" t="s">
        <v>171</v>
      </c>
      <c r="L27" s="19" t="s">
        <v>171</v>
      </c>
      <c r="N27" s="67" t="str">
        <f t="shared" si="3"/>
        <v>-</v>
      </c>
      <c r="O27" s="67" t="str">
        <f t="shared" si="4"/>
        <v>-</v>
      </c>
      <c r="P27" s="67" t="str">
        <f t="shared" si="5"/>
        <v>-</v>
      </c>
      <c r="R27" s="69">
        <f t="shared" si="6"/>
        <v>479.8</v>
      </c>
      <c r="S27" s="69">
        <f t="shared" si="7"/>
        <v>439.2</v>
      </c>
      <c r="T27" s="69">
        <f t="shared" si="8"/>
        <v>584.4</v>
      </c>
      <c r="V27">
        <f>(1+ VLOOKUP($I27,'vomcost mult'!$N$10:$R$32,5, FALSE))-1</f>
        <v>0.16500000000000004</v>
      </c>
      <c r="Y27" s="17" t="s">
        <v>163</v>
      </c>
      <c r="Z27" s="17" t="s">
        <v>174</v>
      </c>
      <c r="AA27" s="17" t="s">
        <v>189</v>
      </c>
      <c r="AB27" s="17" t="s">
        <v>190</v>
      </c>
      <c r="AD27" s="17" t="s">
        <v>171</v>
      </c>
      <c r="AE27" s="17" t="str">
        <f t="shared" si="9"/>
        <v>UK00</v>
      </c>
      <c r="AF27" s="17" t="s">
        <v>218</v>
      </c>
      <c r="AG27" s="19">
        <v>278.5</v>
      </c>
    </row>
    <row r="28" spans="1:33">
      <c r="A28" t="s">
        <v>116</v>
      </c>
      <c r="B28" t="s">
        <v>303</v>
      </c>
      <c r="C28" s="19" t="s">
        <v>168</v>
      </c>
      <c r="D28" s="19">
        <v>1</v>
      </c>
      <c r="E28">
        <f t="shared" si="26"/>
        <v>96.1</v>
      </c>
      <c r="F28">
        <f t="shared" si="27"/>
        <v>1000.46</v>
      </c>
      <c r="G28" t="str">
        <f>IF(Table4[[#This Row],[capacity_output1]]&lt;10, "remove", "")</f>
        <v/>
      </c>
      <c r="Y28" s="17" t="s">
        <v>302</v>
      </c>
      <c r="Z28" s="82">
        <f>SUMIFS([1]unittypedata!$S:$S,[1]unittypedata!$D:$D, $Y28)</f>
        <v>2000</v>
      </c>
      <c r="AA28">
        <v>1400</v>
      </c>
      <c r="AB28">
        <v>4000</v>
      </c>
      <c r="AF28"/>
      <c r="AG28" s="19"/>
    </row>
    <row r="29" spans="1:33">
      <c r="A29" t="s">
        <v>117</v>
      </c>
      <c r="B29" t="s">
        <v>303</v>
      </c>
      <c r="C29" s="19" t="s">
        <v>168</v>
      </c>
      <c r="D29" s="19">
        <v>1</v>
      </c>
      <c r="E29">
        <f t="shared" si="26"/>
        <v>800</v>
      </c>
      <c r="F29">
        <f t="shared" si="27"/>
        <v>1000.11</v>
      </c>
      <c r="G29" t="str">
        <f>IF(Table4[[#This Row],[capacity_output1]]&lt;10, "remove", "")</f>
        <v/>
      </c>
      <c r="I29" s="17" t="s">
        <v>196</v>
      </c>
      <c r="J29" s="19">
        <f t="shared" ref="J29:L29" si="28">SUM(J6:J27)</f>
        <v>4129.8999999999996</v>
      </c>
      <c r="K29" s="19">
        <f t="shared" si="28"/>
        <v>3780</v>
      </c>
      <c r="L29" s="19">
        <f t="shared" si="28"/>
        <v>5030.0000000000009</v>
      </c>
      <c r="N29" s="67">
        <f>IFERROR(J29/ ($AG29*10^6/8760), "-")</f>
        <v>1.5092686427066604E-2</v>
      </c>
      <c r="O29" s="67">
        <f>IFERROR(K29/ ($AG29*10^6/8760), "-")</f>
        <v>1.3813979683360799E-2</v>
      </c>
      <c r="P29" s="67">
        <f>IFERROR(L29/ ($AG29*10^6/8760), "-")</f>
        <v>1.8382094658017153E-2</v>
      </c>
      <c r="R29" s="19">
        <f t="shared" ref="R29:T29" si="29">SUM(R6:R27)</f>
        <v>5091.4999999999982</v>
      </c>
      <c r="S29" s="19">
        <f t="shared" si="29"/>
        <v>3817.7000000000003</v>
      </c>
      <c r="T29" s="19">
        <f t="shared" si="29"/>
        <v>5810.1000000000013</v>
      </c>
      <c r="V29" s="19"/>
      <c r="Y29" s="17" t="s">
        <v>303</v>
      </c>
      <c r="Z29" s="82">
        <f>SUMIFS([1]unittypedata!$S:$S,[1]unittypedata!$D:$D, $Y29)</f>
        <v>1000</v>
      </c>
      <c r="AA29">
        <v>600</v>
      </c>
      <c r="AB29">
        <v>1400</v>
      </c>
      <c r="AD29" s="17" t="s">
        <v>196</v>
      </c>
      <c r="AF29"/>
      <c r="AG29" s="19">
        <f>SUM(AG6:AG27)</f>
        <v>2397.0499999999997</v>
      </c>
    </row>
    <row r="30" spans="1:33">
      <c r="A30" t="s">
        <v>118</v>
      </c>
      <c r="B30" t="s">
        <v>303</v>
      </c>
      <c r="C30" s="19" t="s">
        <v>168</v>
      </c>
      <c r="D30" s="19">
        <v>1</v>
      </c>
      <c r="E30">
        <f t="shared" si="26"/>
        <v>37.9</v>
      </c>
      <c r="F30">
        <f t="shared" si="27"/>
        <v>1000.25</v>
      </c>
      <c r="G30" t="str">
        <f>IF(Table4[[#This Row],[capacity_output1]]&lt;10, "remove", "")</f>
        <v/>
      </c>
      <c r="Y30" s="17" t="s">
        <v>304</v>
      </c>
      <c r="Z30" s="82">
        <f>SUMIFS([1]unittypedata!$S:$S,[1]unittypedata!$D:$D, $Y30)</f>
        <v>400</v>
      </c>
      <c r="AA30">
        <v>200</v>
      </c>
      <c r="AB30">
        <v>600</v>
      </c>
      <c r="AF30"/>
      <c r="AG30" s="19"/>
    </row>
    <row r="31" spans="1:33">
      <c r="A31" t="s">
        <v>119</v>
      </c>
      <c r="B31" t="s">
        <v>303</v>
      </c>
      <c r="C31" s="19" t="s">
        <v>168</v>
      </c>
      <c r="D31" s="19">
        <v>1</v>
      </c>
      <c r="E31">
        <f t="shared" si="26"/>
        <v>62.1</v>
      </c>
      <c r="F31">
        <f t="shared" si="27"/>
        <v>1000.24</v>
      </c>
      <c r="G31" t="str">
        <f>IF(Table4[[#This Row],[capacity_output1]]&lt;10, "remove", "")</f>
        <v/>
      </c>
      <c r="AF31"/>
      <c r="AG31" s="19"/>
    </row>
    <row r="32" spans="1:33">
      <c r="A32" t="s">
        <v>120</v>
      </c>
      <c r="B32" t="s">
        <v>303</v>
      </c>
      <c r="C32" s="19" t="s">
        <v>168</v>
      </c>
      <c r="D32" s="19">
        <v>1</v>
      </c>
      <c r="E32">
        <f t="shared" si="26"/>
        <v>25.5</v>
      </c>
      <c r="F32">
        <f t="shared" si="27"/>
        <v>999.8</v>
      </c>
      <c r="G32" t="str">
        <f>IF(Table4[[#This Row],[capacity_output1]]&lt;10, "remove", "")</f>
        <v/>
      </c>
      <c r="AF32"/>
      <c r="AG32" s="19"/>
    </row>
    <row r="33" spans="1:33">
      <c r="A33" t="s">
        <v>121</v>
      </c>
      <c r="B33" t="s">
        <v>303</v>
      </c>
      <c r="C33" s="19" t="s">
        <v>168</v>
      </c>
      <c r="D33" s="19">
        <v>1</v>
      </c>
      <c r="E33">
        <f t="shared" si="26"/>
        <v>394.7</v>
      </c>
      <c r="F33">
        <f t="shared" si="27"/>
        <v>999.92</v>
      </c>
      <c r="G33" t="str">
        <f>IF(Table4[[#This Row],[capacity_output1]]&lt;10, "remove", "")</f>
        <v/>
      </c>
      <c r="AF33"/>
      <c r="AG33" s="19"/>
    </row>
    <row r="34" spans="1:33">
      <c r="A34" t="s">
        <v>122</v>
      </c>
      <c r="B34" t="s">
        <v>303</v>
      </c>
      <c r="C34" s="19" t="s">
        <v>168</v>
      </c>
      <c r="D34" s="19">
        <v>1</v>
      </c>
      <c r="E34">
        <f t="shared" si="26"/>
        <v>200</v>
      </c>
      <c r="F34">
        <f t="shared" si="27"/>
        <v>1000.11</v>
      </c>
      <c r="G34" t="str">
        <f>IF(Table4[[#This Row],[capacity_output1]]&lt;10, "remove", "")</f>
        <v/>
      </c>
      <c r="AF34"/>
      <c r="AG34" s="19"/>
    </row>
    <row r="35" spans="1:33">
      <c r="A35" t="s">
        <v>123</v>
      </c>
      <c r="B35" t="s">
        <v>303</v>
      </c>
      <c r="C35" s="19" t="s">
        <v>168</v>
      </c>
      <c r="D35" s="19">
        <v>1</v>
      </c>
      <c r="E35">
        <f t="shared" si="26"/>
        <v>350</v>
      </c>
      <c r="F35">
        <f t="shared" si="27"/>
        <v>1000.05</v>
      </c>
      <c r="G35" t="str">
        <f>IF(Table4[[#This Row],[capacity_output1]]&lt;10, "remove", "")</f>
        <v/>
      </c>
      <c r="AF35"/>
      <c r="AG35" s="19"/>
    </row>
    <row r="36" spans="1:33">
      <c r="A36" t="s">
        <v>124</v>
      </c>
      <c r="B36" t="s">
        <v>303</v>
      </c>
      <c r="C36" s="19" t="s">
        <v>168</v>
      </c>
      <c r="D36" s="19">
        <v>1</v>
      </c>
      <c r="E36">
        <f t="shared" si="26"/>
        <v>35.9</v>
      </c>
      <c r="F36">
        <f t="shared" si="27"/>
        <v>999.77</v>
      </c>
      <c r="G36" t="str">
        <f>IF(Table4[[#This Row],[capacity_output1]]&lt;10, "remove", "")</f>
        <v/>
      </c>
      <c r="AF36"/>
      <c r="AG36" s="19"/>
    </row>
    <row r="37" spans="1:33">
      <c r="A37" t="s">
        <v>125</v>
      </c>
      <c r="B37" t="s">
        <v>303</v>
      </c>
      <c r="C37" s="19" t="s">
        <v>168</v>
      </c>
      <c r="D37" s="19">
        <v>1</v>
      </c>
      <c r="E37">
        <f t="shared" si="26"/>
        <v>18.600000000000001</v>
      </c>
      <c r="F37">
        <f t="shared" si="27"/>
        <v>999.7</v>
      </c>
      <c r="G37" t="str">
        <f>IF(Table4[[#This Row],[capacity_output1]]&lt;10, "remove", "")</f>
        <v/>
      </c>
      <c r="AF37"/>
      <c r="AG37" s="19"/>
    </row>
    <row r="38" spans="1:33">
      <c r="A38" t="s">
        <v>126</v>
      </c>
      <c r="B38" t="s">
        <v>303</v>
      </c>
      <c r="C38" s="19" t="s">
        <v>168</v>
      </c>
      <c r="D38" s="19">
        <v>1</v>
      </c>
      <c r="E38">
        <f t="shared" si="26"/>
        <v>400</v>
      </c>
      <c r="F38">
        <f t="shared" si="27"/>
        <v>1000.18</v>
      </c>
      <c r="G38" t="str">
        <f>IF(Table4[[#This Row],[capacity_output1]]&lt;10, "remove", "")</f>
        <v/>
      </c>
      <c r="AF38"/>
      <c r="AG38" s="19"/>
    </row>
    <row r="39" spans="1:33">
      <c r="A39" t="s">
        <v>127</v>
      </c>
      <c r="B39" t="s">
        <v>303</v>
      </c>
      <c r="C39" s="19" t="s">
        <v>168</v>
      </c>
      <c r="D39" s="19">
        <v>1</v>
      </c>
      <c r="E39">
        <f t="shared" si="26"/>
        <v>141.30000000000001</v>
      </c>
      <c r="F39">
        <f t="shared" si="27"/>
        <v>1000.31</v>
      </c>
      <c r="G39" t="str">
        <f>IF(Table4[[#This Row],[capacity_output1]]&lt;10, "remove", "")</f>
        <v/>
      </c>
      <c r="AF39"/>
      <c r="AG39" s="19"/>
    </row>
    <row r="40" spans="1:33">
      <c r="A40" t="s">
        <v>128</v>
      </c>
      <c r="B40" t="s">
        <v>303</v>
      </c>
      <c r="C40" s="19" t="s">
        <v>168</v>
      </c>
      <c r="D40" s="19">
        <v>1</v>
      </c>
      <c r="E40">
        <f t="shared" si="26"/>
        <v>98.4</v>
      </c>
      <c r="F40">
        <f t="shared" si="27"/>
        <v>1000.33</v>
      </c>
      <c r="G40" t="str">
        <f>IF(Table4[[#This Row],[capacity_output1]]&lt;10, "remove", "")</f>
        <v/>
      </c>
      <c r="AF40"/>
      <c r="AG40" s="19"/>
    </row>
    <row r="41" spans="1:33">
      <c r="A41" t="s">
        <v>129</v>
      </c>
      <c r="B41" t="s">
        <v>303</v>
      </c>
      <c r="C41" s="19" t="s">
        <v>168</v>
      </c>
      <c r="D41" s="19">
        <v>1</v>
      </c>
      <c r="E41">
        <f t="shared" si="26"/>
        <v>168</v>
      </c>
      <c r="F41">
        <f t="shared" si="27"/>
        <v>1000.3</v>
      </c>
      <c r="G41" t="str">
        <f>IF(Table4[[#This Row],[capacity_output1]]&lt;10, "remove", "")</f>
        <v/>
      </c>
      <c r="AF41"/>
      <c r="AG41" s="19"/>
    </row>
    <row r="42" spans="1:33">
      <c r="A42" t="s">
        <v>130</v>
      </c>
      <c r="B42" t="s">
        <v>303</v>
      </c>
      <c r="C42" s="19" t="s">
        <v>168</v>
      </c>
      <c r="D42" s="19">
        <v>1</v>
      </c>
      <c r="E42">
        <f t="shared" si="26"/>
        <v>100</v>
      </c>
      <c r="F42">
        <f t="shared" si="27"/>
        <v>999.69</v>
      </c>
      <c r="G42" t="str">
        <f>IF(Table4[[#This Row],[capacity_output1]]&lt;10, "remove", "")</f>
        <v/>
      </c>
      <c r="AF42"/>
      <c r="AG42" s="19"/>
    </row>
    <row r="43" spans="1:33">
      <c r="A43" t="s">
        <v>131</v>
      </c>
      <c r="B43" t="s">
        <v>303</v>
      </c>
      <c r="C43" s="19" t="s">
        <v>168</v>
      </c>
      <c r="D43" s="19">
        <v>1</v>
      </c>
      <c r="E43">
        <f t="shared" si="26"/>
        <v>16.5</v>
      </c>
      <c r="F43">
        <f t="shared" si="27"/>
        <v>1000.18</v>
      </c>
      <c r="G43" t="str">
        <f>IF(Table4[[#This Row],[capacity_output1]]&lt;10, "remove", "")</f>
        <v/>
      </c>
      <c r="AF43"/>
      <c r="AG43" s="19"/>
    </row>
    <row r="44" spans="1:33">
      <c r="A44" t="s">
        <v>132</v>
      </c>
      <c r="B44" t="s">
        <v>303</v>
      </c>
      <c r="C44" s="19" t="s">
        <v>168</v>
      </c>
      <c r="D44" s="19">
        <v>1</v>
      </c>
      <c r="E44">
        <f t="shared" si="26"/>
        <v>22.6</v>
      </c>
      <c r="F44">
        <f t="shared" si="27"/>
        <v>1000.17</v>
      </c>
      <c r="G44" t="str">
        <f>IF(Table4[[#This Row],[capacity_output1]]&lt;10, "remove", "")</f>
        <v/>
      </c>
      <c r="AF44"/>
      <c r="AG44" s="19"/>
    </row>
    <row r="45" spans="1:33">
      <c r="A45" t="s">
        <v>133</v>
      </c>
      <c r="B45" t="s">
        <v>303</v>
      </c>
      <c r="C45" s="19" t="s">
        <v>168</v>
      </c>
      <c r="D45" s="19">
        <v>1</v>
      </c>
      <c r="E45">
        <f t="shared" si="26"/>
        <v>127.3</v>
      </c>
      <c r="F45">
        <f t="shared" si="27"/>
        <v>1000.17</v>
      </c>
      <c r="G45" t="str">
        <f>IF(Table4[[#This Row],[capacity_output1]]&lt;10, "remove", "")</f>
        <v/>
      </c>
      <c r="AF45"/>
      <c r="AG45" s="19"/>
    </row>
    <row r="46" spans="1:33">
      <c r="A46" t="s">
        <v>134</v>
      </c>
      <c r="B46" t="s">
        <v>303</v>
      </c>
      <c r="C46" s="19" t="s">
        <v>168</v>
      </c>
      <c r="D46" s="19">
        <v>1</v>
      </c>
      <c r="E46">
        <f t="shared" si="26"/>
        <v>33.6</v>
      </c>
      <c r="F46">
        <f t="shared" si="27"/>
        <v>1000.16</v>
      </c>
      <c r="G46" t="str">
        <f>IF(Table4[[#This Row],[capacity_output1]]&lt;10, "remove", "")</f>
        <v/>
      </c>
      <c r="AF46"/>
      <c r="AG46" s="19"/>
    </row>
    <row r="47" spans="1:33">
      <c r="A47" t="s">
        <v>135</v>
      </c>
      <c r="B47" t="s">
        <v>303</v>
      </c>
      <c r="C47" s="19" t="s">
        <v>168</v>
      </c>
      <c r="D47" s="19">
        <v>1</v>
      </c>
      <c r="E47">
        <f t="shared" si="26"/>
        <v>439.2</v>
      </c>
      <c r="F47">
        <f t="shared" si="27"/>
        <v>1000.17</v>
      </c>
      <c r="G47" t="str">
        <f>IF(Table4[[#This Row],[capacity_output1]]&lt;10, "remove", "")</f>
        <v/>
      </c>
      <c r="AF47"/>
      <c r="AG47" s="19"/>
    </row>
    <row r="48" spans="1:33">
      <c r="A48" s="17" t="s">
        <v>283</v>
      </c>
      <c r="C48" s="19"/>
      <c r="D48" s="19"/>
      <c r="AF48"/>
      <c r="AG48" s="19"/>
    </row>
    <row r="49" spans="1:33">
      <c r="A49" t="s">
        <v>111</v>
      </c>
      <c r="B49" t="s">
        <v>302</v>
      </c>
      <c r="C49" s="19" t="s">
        <v>168</v>
      </c>
      <c r="D49" s="19">
        <v>1</v>
      </c>
      <c r="E49">
        <f>T6</f>
        <v>200</v>
      </c>
      <c r="F49">
        <f>ROUND($Z$28 + V6, 2)</f>
        <v>2000.13</v>
      </c>
      <c r="G49" t="str">
        <f>IF(Table4[[#This Row],[capacity_output1]]&lt;10, "remove", "")</f>
        <v/>
      </c>
      <c r="AF49"/>
      <c r="AG49" s="19"/>
    </row>
    <row r="50" spans="1:33">
      <c r="A50" t="s">
        <v>114</v>
      </c>
      <c r="B50" t="s">
        <v>302</v>
      </c>
      <c r="C50" s="19" t="s">
        <v>168</v>
      </c>
      <c r="D50" s="19">
        <v>1</v>
      </c>
      <c r="E50">
        <f t="shared" ref="E50:E70" si="30">T7</f>
        <v>500</v>
      </c>
      <c r="F50">
        <f t="shared" ref="F50:F70" si="31">ROUND($Z$28 + V7, 2)</f>
        <v>2000.12</v>
      </c>
      <c r="G50" t="str">
        <f>IF(Table4[[#This Row],[capacity_output1]]&lt;10, "remove", "")</f>
        <v/>
      </c>
      <c r="AF50"/>
      <c r="AG50" s="19"/>
    </row>
    <row r="51" spans="1:33">
      <c r="A51" t="s">
        <v>116</v>
      </c>
      <c r="B51" t="s">
        <v>302</v>
      </c>
      <c r="C51" s="19" t="s">
        <v>168</v>
      </c>
      <c r="D51" s="19">
        <v>1</v>
      </c>
      <c r="E51">
        <f t="shared" si="30"/>
        <v>127.9</v>
      </c>
      <c r="F51">
        <f t="shared" si="31"/>
        <v>2000.46</v>
      </c>
      <c r="G51" t="str">
        <f>IF(Table4[[#This Row],[capacity_output1]]&lt;10, "remove", "")</f>
        <v/>
      </c>
      <c r="AF51"/>
      <c r="AG51" s="19"/>
    </row>
    <row r="52" spans="1:33">
      <c r="A52" t="s">
        <v>117</v>
      </c>
      <c r="B52" t="s">
        <v>302</v>
      </c>
      <c r="C52" s="19" t="s">
        <v>168</v>
      </c>
      <c r="D52" s="19">
        <v>1</v>
      </c>
      <c r="E52">
        <f t="shared" si="30"/>
        <v>2400</v>
      </c>
      <c r="F52">
        <f t="shared" si="31"/>
        <v>2000.11</v>
      </c>
      <c r="G52" t="str">
        <f>IF(Table4[[#This Row],[capacity_output1]]&lt;10, "remove", "")</f>
        <v/>
      </c>
      <c r="AF52"/>
      <c r="AG52" s="19"/>
    </row>
    <row r="53" spans="1:33">
      <c r="A53" t="s">
        <v>118</v>
      </c>
      <c r="B53" t="s">
        <v>302</v>
      </c>
      <c r="C53" s="19" t="s">
        <v>168</v>
      </c>
      <c r="D53" s="19">
        <v>1</v>
      </c>
      <c r="E53">
        <f t="shared" si="30"/>
        <v>37.9</v>
      </c>
      <c r="F53">
        <f t="shared" si="31"/>
        <v>2000.25</v>
      </c>
      <c r="G53" t="str">
        <f>IF(Table4[[#This Row],[capacity_output1]]&lt;10, "remove", "")</f>
        <v/>
      </c>
      <c r="AF53"/>
      <c r="AG53" s="19"/>
    </row>
    <row r="54" spans="1:33">
      <c r="A54" t="s">
        <v>119</v>
      </c>
      <c r="B54" t="s">
        <v>302</v>
      </c>
      <c r="C54" s="19" t="s">
        <v>168</v>
      </c>
      <c r="D54" s="19">
        <v>1</v>
      </c>
      <c r="E54">
        <f t="shared" si="30"/>
        <v>62.1</v>
      </c>
      <c r="F54">
        <f t="shared" si="31"/>
        <v>2000.24</v>
      </c>
      <c r="G54" t="str">
        <f>IF(Table4[[#This Row],[capacity_output1]]&lt;10, "remove", "")</f>
        <v/>
      </c>
      <c r="AF54"/>
      <c r="AG54" s="19"/>
    </row>
    <row r="55" spans="1:33">
      <c r="A55" t="s">
        <v>120</v>
      </c>
      <c r="B55" t="s">
        <v>302</v>
      </c>
      <c r="C55" s="19" t="s">
        <v>168</v>
      </c>
      <c r="D55" s="19">
        <v>1</v>
      </c>
      <c r="E55">
        <f t="shared" si="30"/>
        <v>25.5</v>
      </c>
      <c r="F55">
        <f t="shared" si="31"/>
        <v>1999.8</v>
      </c>
      <c r="G55" t="str">
        <f>IF(Table4[[#This Row],[capacity_output1]]&lt;10, "remove", "")</f>
        <v/>
      </c>
      <c r="AF55"/>
      <c r="AG55" s="19"/>
    </row>
    <row r="56" spans="1:33">
      <c r="A56" t="s">
        <v>121</v>
      </c>
      <c r="B56" t="s">
        <v>302</v>
      </c>
      <c r="C56" s="19" t="s">
        <v>168</v>
      </c>
      <c r="D56" s="19">
        <v>1</v>
      </c>
      <c r="E56">
        <f t="shared" si="30"/>
        <v>525.20000000000005</v>
      </c>
      <c r="F56">
        <f t="shared" si="31"/>
        <v>1999.92</v>
      </c>
      <c r="G56" t="str">
        <f>IF(Table4[[#This Row],[capacity_output1]]&lt;10, "remove", "")</f>
        <v/>
      </c>
      <c r="AF56"/>
      <c r="AG56" s="19"/>
    </row>
    <row r="57" spans="1:33">
      <c r="A57" t="s">
        <v>122</v>
      </c>
      <c r="B57" t="s">
        <v>302</v>
      </c>
      <c r="C57" s="19" t="s">
        <v>168</v>
      </c>
      <c r="D57" s="19">
        <v>1</v>
      </c>
      <c r="E57">
        <f t="shared" si="30"/>
        <v>100</v>
      </c>
      <c r="F57">
        <f t="shared" si="31"/>
        <v>2000.11</v>
      </c>
      <c r="G57" t="str">
        <f>IF(Table4[[#This Row],[capacity_output1]]&lt;10, "remove", "")</f>
        <v/>
      </c>
      <c r="AF57"/>
      <c r="AG57" s="19"/>
    </row>
    <row r="58" spans="1:33">
      <c r="A58" t="s">
        <v>123</v>
      </c>
      <c r="B58" t="s">
        <v>302</v>
      </c>
      <c r="C58" s="19" t="s">
        <v>168</v>
      </c>
      <c r="D58" s="19">
        <v>1</v>
      </c>
      <c r="E58">
        <f t="shared" si="30"/>
        <v>50</v>
      </c>
      <c r="F58">
        <f t="shared" si="31"/>
        <v>2000.05</v>
      </c>
      <c r="G58" t="str">
        <f>IF(Table4[[#This Row],[capacity_output1]]&lt;10, "remove", "")</f>
        <v/>
      </c>
      <c r="AF58"/>
      <c r="AG58" s="19"/>
    </row>
    <row r="59" spans="1:33">
      <c r="A59" t="s">
        <v>124</v>
      </c>
      <c r="B59" t="s">
        <v>302</v>
      </c>
      <c r="C59" s="19" t="s">
        <v>168</v>
      </c>
      <c r="D59" s="19">
        <v>1</v>
      </c>
      <c r="E59">
        <f t="shared" si="30"/>
        <v>35.9</v>
      </c>
      <c r="F59">
        <f t="shared" si="31"/>
        <v>1999.77</v>
      </c>
      <c r="G59" t="str">
        <f>IF(Table4[[#This Row],[capacity_output1]]&lt;10, "remove", "")</f>
        <v/>
      </c>
      <c r="AF59"/>
      <c r="AG59" s="19"/>
    </row>
    <row r="60" spans="1:33">
      <c r="A60" t="s">
        <v>125</v>
      </c>
      <c r="B60" t="s">
        <v>302</v>
      </c>
      <c r="C60" s="19" t="s">
        <v>168</v>
      </c>
      <c r="D60" s="19">
        <v>1</v>
      </c>
      <c r="E60">
        <f t="shared" si="30"/>
        <v>18.600000000000001</v>
      </c>
      <c r="F60">
        <f t="shared" si="31"/>
        <v>1999.7</v>
      </c>
      <c r="G60" t="str">
        <f>IF(Table4[[#This Row],[capacity_output1]]&lt;10, "remove", "")</f>
        <v/>
      </c>
      <c r="AF60"/>
      <c r="AG60" s="19"/>
    </row>
    <row r="61" spans="1:33">
      <c r="A61" t="s">
        <v>126</v>
      </c>
      <c r="B61" t="s">
        <v>302</v>
      </c>
      <c r="C61" s="19" t="s">
        <v>168</v>
      </c>
      <c r="D61" s="19">
        <v>1</v>
      </c>
      <c r="E61">
        <f t="shared" si="30"/>
        <v>300</v>
      </c>
      <c r="F61">
        <f t="shared" si="31"/>
        <v>2000.18</v>
      </c>
      <c r="G61" t="str">
        <f>IF(Table4[[#This Row],[capacity_output1]]&lt;10, "remove", "")</f>
        <v/>
      </c>
      <c r="AF61"/>
      <c r="AG61" s="19"/>
    </row>
    <row r="62" spans="1:33">
      <c r="A62" t="s">
        <v>127</v>
      </c>
      <c r="B62" t="s">
        <v>302</v>
      </c>
      <c r="C62" s="19" t="s">
        <v>168</v>
      </c>
      <c r="D62" s="19">
        <v>1</v>
      </c>
      <c r="E62">
        <f t="shared" si="30"/>
        <v>188</v>
      </c>
      <c r="F62">
        <f t="shared" si="31"/>
        <v>2000.31</v>
      </c>
      <c r="G62" t="str">
        <f>IF(Table4[[#This Row],[capacity_output1]]&lt;10, "remove", "")</f>
        <v/>
      </c>
      <c r="AF62"/>
      <c r="AG62" s="19"/>
    </row>
    <row r="63" spans="1:33">
      <c r="A63" t="s">
        <v>128</v>
      </c>
      <c r="B63" t="s">
        <v>302</v>
      </c>
      <c r="C63" s="19" t="s">
        <v>168</v>
      </c>
      <c r="D63" s="19">
        <v>1</v>
      </c>
      <c r="E63">
        <f t="shared" si="30"/>
        <v>131</v>
      </c>
      <c r="F63">
        <f t="shared" si="31"/>
        <v>2000.33</v>
      </c>
      <c r="G63" t="str">
        <f>IF(Table4[[#This Row],[capacity_output1]]&lt;10, "remove", "")</f>
        <v/>
      </c>
      <c r="AF63"/>
      <c r="AG63" s="19"/>
    </row>
    <row r="64" spans="1:33">
      <c r="A64" t="s">
        <v>129</v>
      </c>
      <c r="B64" t="s">
        <v>302</v>
      </c>
      <c r="C64" s="19" t="s">
        <v>168</v>
      </c>
      <c r="D64" s="19">
        <v>1</v>
      </c>
      <c r="E64">
        <f t="shared" si="30"/>
        <v>223.6</v>
      </c>
      <c r="F64">
        <f t="shared" si="31"/>
        <v>2000.3</v>
      </c>
      <c r="G64" t="str">
        <f>IF(Table4[[#This Row],[capacity_output1]]&lt;10, "remove", "")</f>
        <v/>
      </c>
      <c r="AF64"/>
      <c r="AG64" s="19"/>
    </row>
    <row r="65" spans="1:33">
      <c r="A65" t="s">
        <v>130</v>
      </c>
      <c r="B65" t="s">
        <v>302</v>
      </c>
      <c r="C65" s="19" t="s">
        <v>168</v>
      </c>
      <c r="D65" s="19">
        <v>1</v>
      </c>
      <c r="E65">
        <f t="shared" si="30"/>
        <v>100</v>
      </c>
      <c r="F65">
        <f t="shared" si="31"/>
        <v>1999.69</v>
      </c>
      <c r="G65" t="str">
        <f>IF(Table4[[#This Row],[capacity_output1]]&lt;10, "remove", "")</f>
        <v/>
      </c>
      <c r="AF65"/>
      <c r="AG65" s="19"/>
    </row>
    <row r="66" spans="1:33">
      <c r="A66" t="s">
        <v>131</v>
      </c>
      <c r="B66" t="s">
        <v>302</v>
      </c>
      <c r="C66" s="19" t="s">
        <v>168</v>
      </c>
      <c r="D66" s="19">
        <v>1</v>
      </c>
      <c r="E66">
        <f t="shared" si="30"/>
        <v>16.5</v>
      </c>
      <c r="F66">
        <f t="shared" si="31"/>
        <v>2000.18</v>
      </c>
      <c r="G66" t="str">
        <f>IF(Table4[[#This Row],[capacity_output1]]&lt;10, "remove", "")</f>
        <v/>
      </c>
      <c r="AF66"/>
      <c r="AG66" s="19"/>
    </row>
    <row r="67" spans="1:33">
      <c r="A67" t="s">
        <v>132</v>
      </c>
      <c r="B67" t="s">
        <v>302</v>
      </c>
      <c r="C67" s="19" t="s">
        <v>168</v>
      </c>
      <c r="D67" s="19">
        <v>1</v>
      </c>
      <c r="E67">
        <f t="shared" si="30"/>
        <v>22.6</v>
      </c>
      <c r="F67">
        <f t="shared" si="31"/>
        <v>2000.17</v>
      </c>
      <c r="G67" t="str">
        <f>IF(Table4[[#This Row],[capacity_output1]]&lt;10, "remove", "")</f>
        <v/>
      </c>
      <c r="AF67"/>
      <c r="AG67" s="19"/>
    </row>
    <row r="68" spans="1:33">
      <c r="A68" t="s">
        <v>133</v>
      </c>
      <c r="B68" t="s">
        <v>302</v>
      </c>
      <c r="C68" s="19" t="s">
        <v>168</v>
      </c>
      <c r="D68" s="19">
        <v>1</v>
      </c>
      <c r="E68">
        <f t="shared" si="30"/>
        <v>127.3</v>
      </c>
      <c r="F68">
        <f t="shared" si="31"/>
        <v>2000.17</v>
      </c>
      <c r="G68" t="str">
        <f>IF(Table4[[#This Row],[capacity_output1]]&lt;10, "remove", "")</f>
        <v/>
      </c>
      <c r="AF68"/>
      <c r="AG68" s="19"/>
    </row>
    <row r="69" spans="1:33">
      <c r="A69" t="s">
        <v>134</v>
      </c>
      <c r="B69" t="s">
        <v>302</v>
      </c>
      <c r="C69" s="19" t="s">
        <v>168</v>
      </c>
      <c r="D69" s="19">
        <v>1</v>
      </c>
      <c r="E69">
        <f t="shared" si="30"/>
        <v>33.6</v>
      </c>
      <c r="F69">
        <f t="shared" si="31"/>
        <v>2000.16</v>
      </c>
      <c r="G69" t="str">
        <f>IF(Table4[[#This Row],[capacity_output1]]&lt;10, "remove", "")</f>
        <v/>
      </c>
      <c r="AF69"/>
      <c r="AG69" s="19"/>
    </row>
    <row r="70" spans="1:33">
      <c r="A70" t="s">
        <v>135</v>
      </c>
      <c r="B70" t="s">
        <v>302</v>
      </c>
      <c r="C70" s="19" t="s">
        <v>168</v>
      </c>
      <c r="D70" s="19">
        <v>1</v>
      </c>
      <c r="E70">
        <f t="shared" si="30"/>
        <v>584.4</v>
      </c>
      <c r="F70">
        <f t="shared" si="31"/>
        <v>2000.17</v>
      </c>
      <c r="G70" t="str">
        <f>IF(Table4[[#This Row],[capacity_output1]]&lt;10, "remove", "")</f>
        <v/>
      </c>
      <c r="AF70"/>
      <c r="AG70" s="19"/>
    </row>
  </sheetData>
  <sortState xmlns:xlrd2="http://schemas.microsoft.com/office/spreadsheetml/2017/richdata2" ref="AD6:AG27">
    <sortCondition ref="AF6:AF27"/>
  </sortState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1AC9C-806D-495E-A396-F6D0A0EB0C0A}">
  <sheetPr>
    <tabColor theme="6" tint="0.59999389629810485"/>
  </sheetPr>
  <dimension ref="A1:R94"/>
  <sheetViews>
    <sheetView workbookViewId="0">
      <selection activeCell="R7" sqref="R7"/>
    </sheetView>
  </sheetViews>
  <sheetFormatPr defaultRowHeight="15"/>
  <cols>
    <col min="1" max="1" width="9" style="72" bestFit="1" customWidth="1"/>
    <col min="2" max="2" width="17.7109375" style="72" bestFit="1" customWidth="1"/>
    <col min="3" max="3" width="15.140625" style="72" bestFit="1" customWidth="1"/>
    <col min="4" max="4" width="13" bestFit="1" customWidth="1"/>
    <col min="5" max="5" width="9.5703125" bestFit="1" customWidth="1"/>
    <col min="6" max="6" width="15.85546875" style="19" bestFit="1" customWidth="1"/>
    <col min="7" max="7" width="21.42578125" style="19" bestFit="1" customWidth="1"/>
    <col min="8" max="8" width="16.28515625" style="19" bestFit="1" customWidth="1"/>
  </cols>
  <sheetData>
    <row r="1" spans="1:18">
      <c r="A1" s="71" t="s">
        <v>177</v>
      </c>
      <c r="B1" s="71" t="s">
        <v>185</v>
      </c>
      <c r="C1" s="71" t="s">
        <v>186</v>
      </c>
      <c r="D1" s="52" t="s">
        <v>137</v>
      </c>
      <c r="E1" s="52" t="s">
        <v>165</v>
      </c>
      <c r="F1" s="52" t="s">
        <v>187</v>
      </c>
      <c r="G1" s="52" t="s">
        <v>178</v>
      </c>
      <c r="H1" s="52" t="s">
        <v>179</v>
      </c>
      <c r="I1" s="77" t="s">
        <v>167</v>
      </c>
      <c r="L1" t="s">
        <v>279</v>
      </c>
      <c r="M1" t="s">
        <v>279</v>
      </c>
      <c r="N1" t="s">
        <v>279</v>
      </c>
      <c r="O1" t="s">
        <v>279</v>
      </c>
      <c r="P1" t="s">
        <v>279</v>
      </c>
      <c r="Q1" t="s">
        <v>279</v>
      </c>
      <c r="R1" t="s">
        <v>279</v>
      </c>
    </row>
    <row r="2" spans="1:18">
      <c r="A2" s="72" t="s">
        <v>175</v>
      </c>
      <c r="B2" s="72" t="s">
        <v>111</v>
      </c>
      <c r="C2" s="72" t="s">
        <v>116</v>
      </c>
      <c r="D2" s="19" t="s">
        <v>168</v>
      </c>
      <c r="E2" s="19">
        <v>1</v>
      </c>
      <c r="F2" s="19">
        <v>1200</v>
      </c>
      <c r="G2" s="19">
        <f>M3</f>
        <v>2.6399999999999997</v>
      </c>
      <c r="I2" s="19" t="str">
        <f>IF(Table6[[#This Row],[transferCap]]&lt;10, "remove", "")</f>
        <v/>
      </c>
      <c r="M2" t="s">
        <v>231</v>
      </c>
      <c r="P2" t="s">
        <v>264</v>
      </c>
      <c r="Q2" t="s">
        <v>265</v>
      </c>
    </row>
    <row r="3" spans="1:18">
      <c r="A3" s="72" t="s">
        <v>175</v>
      </c>
      <c r="B3" s="72" t="s">
        <v>116</v>
      </c>
      <c r="C3" s="72" t="s">
        <v>111</v>
      </c>
      <c r="D3" s="19" t="s">
        <v>168</v>
      </c>
      <c r="E3" s="19">
        <v>1</v>
      </c>
      <c r="F3" s="19">
        <v>1200</v>
      </c>
      <c r="G3" s="19">
        <f t="shared" ref="G3:G66" si="0">M4</f>
        <v>2.6399999999999997</v>
      </c>
      <c r="I3" s="19" t="str">
        <f>IF(Table6[[#This Row],[transferCap]]&lt;10, "remove", "")</f>
        <v/>
      </c>
      <c r="M3">
        <f>ROUND(P3*Q3, 2)+1</f>
        <v>2.6399999999999997</v>
      </c>
      <c r="P3">
        <f>(1+ VLOOKUP($B2,'vomcost mult'!$N$10:$R$32,5, FALSE))</f>
        <v>1.1280000000000001</v>
      </c>
      <c r="Q3">
        <f>(1+ VLOOKUP($C2,'vomcost mult'!$N$10:$R$32,5, FALSE))</f>
        <v>1.456</v>
      </c>
    </row>
    <row r="4" spans="1:18">
      <c r="A4" s="72" t="s">
        <v>175</v>
      </c>
      <c r="B4" s="72" t="s">
        <v>111</v>
      </c>
      <c r="C4" s="72" t="s">
        <v>117</v>
      </c>
      <c r="D4" s="19" t="s">
        <v>168</v>
      </c>
      <c r="E4" s="19">
        <v>1</v>
      </c>
      <c r="F4" s="19">
        <v>7500</v>
      </c>
      <c r="G4" s="19">
        <f t="shared" si="0"/>
        <v>2.25</v>
      </c>
      <c r="I4" s="19" t="str">
        <f>IF(Table6[[#This Row],[transferCap]]&lt;10, "remove", "")</f>
        <v/>
      </c>
      <c r="M4">
        <f t="shared" ref="M4:M67" si="1">ROUND(P4*Q4, 2)+1</f>
        <v>2.6399999999999997</v>
      </c>
      <c r="P4">
        <f>(1+ VLOOKUP($B3,'vomcost mult'!$N$10:$R$32,5, FALSE))</f>
        <v>1.456</v>
      </c>
      <c r="Q4">
        <f>(1+ VLOOKUP($C3,'vomcost mult'!$N$10:$R$32,5, FALSE))</f>
        <v>1.1280000000000001</v>
      </c>
    </row>
    <row r="5" spans="1:18">
      <c r="A5" s="72" t="s">
        <v>175</v>
      </c>
      <c r="B5" s="72" t="s">
        <v>117</v>
      </c>
      <c r="C5" s="72" t="s">
        <v>111</v>
      </c>
      <c r="D5" s="19" t="s">
        <v>168</v>
      </c>
      <c r="E5" s="19">
        <v>1</v>
      </c>
      <c r="F5" s="19">
        <v>7500</v>
      </c>
      <c r="G5" s="19">
        <f t="shared" si="0"/>
        <v>2.25</v>
      </c>
      <c r="I5" s="19" t="str">
        <f>IF(Table6[[#This Row],[transferCap]]&lt;10, "remove", "")</f>
        <v/>
      </c>
      <c r="M5">
        <f t="shared" si="1"/>
        <v>2.25</v>
      </c>
      <c r="P5">
        <f>(1+ VLOOKUP($B4,'vomcost mult'!$N$10:$R$32,5, FALSE))</f>
        <v>1.1280000000000001</v>
      </c>
      <c r="Q5">
        <f>(1+ VLOOKUP($C4,'vomcost mult'!$N$10:$R$32,5, FALSE))</f>
        <v>1.1080000000000001</v>
      </c>
    </row>
    <row r="6" spans="1:18">
      <c r="A6" s="72" t="s">
        <v>175</v>
      </c>
      <c r="B6" s="72" t="s">
        <v>114</v>
      </c>
      <c r="C6" s="72" t="s">
        <v>117</v>
      </c>
      <c r="D6" s="19" t="s">
        <v>168</v>
      </c>
      <c r="E6" s="19">
        <v>1</v>
      </c>
      <c r="F6" s="19">
        <v>1000</v>
      </c>
      <c r="G6" s="19">
        <f t="shared" si="0"/>
        <v>2.2400000000000002</v>
      </c>
      <c r="I6" s="19" t="str">
        <f>IF(Table6[[#This Row],[transferCap]]&lt;10, "remove", "")</f>
        <v/>
      </c>
      <c r="M6">
        <f t="shared" si="1"/>
        <v>2.25</v>
      </c>
      <c r="P6">
        <f>(1+ VLOOKUP($B5,'vomcost mult'!$N$10:$R$32,5, FALSE))</f>
        <v>1.1080000000000001</v>
      </c>
      <c r="Q6">
        <f>(1+ VLOOKUP($C5,'vomcost mult'!$N$10:$R$32,5, FALSE))</f>
        <v>1.1280000000000001</v>
      </c>
    </row>
    <row r="7" spans="1:18">
      <c r="A7" s="72" t="s">
        <v>175</v>
      </c>
      <c r="B7" s="72" t="s">
        <v>117</v>
      </c>
      <c r="C7" s="72" t="s">
        <v>114</v>
      </c>
      <c r="D7" s="19" t="s">
        <v>168</v>
      </c>
      <c r="E7" s="19">
        <v>1</v>
      </c>
      <c r="F7" s="19">
        <v>1000</v>
      </c>
      <c r="G7" s="19">
        <f t="shared" si="0"/>
        <v>2.2400000000000002</v>
      </c>
      <c r="I7" s="19" t="str">
        <f>IF(Table6[[#This Row],[transferCap]]&lt;10, "remove", "")</f>
        <v/>
      </c>
      <c r="M7">
        <f t="shared" si="1"/>
        <v>2.2400000000000002</v>
      </c>
      <c r="P7">
        <f>(1+ VLOOKUP($B6,'vomcost mult'!$N$10:$R$32,5, FALSE))</f>
        <v>1.121</v>
      </c>
      <c r="Q7">
        <f>(1+ VLOOKUP($C6,'vomcost mult'!$N$10:$R$32,5, FALSE))</f>
        <v>1.1080000000000001</v>
      </c>
    </row>
    <row r="8" spans="1:18">
      <c r="A8" s="72" t="s">
        <v>175</v>
      </c>
      <c r="B8" s="72" t="s">
        <v>114</v>
      </c>
      <c r="C8" s="72" t="s">
        <v>123</v>
      </c>
      <c r="D8" s="19" t="s">
        <v>168</v>
      </c>
      <c r="E8" s="19">
        <v>1</v>
      </c>
      <c r="F8" s="19">
        <v>2800</v>
      </c>
      <c r="G8" s="19">
        <f t="shared" si="0"/>
        <v>2.1799999999999997</v>
      </c>
      <c r="I8" s="19" t="str">
        <f>IF(Table6[[#This Row],[transferCap]]&lt;10, "remove", "")</f>
        <v/>
      </c>
      <c r="M8">
        <f t="shared" si="1"/>
        <v>2.2400000000000002</v>
      </c>
      <c r="P8">
        <f>(1+ VLOOKUP($B7,'vomcost mult'!$N$10:$R$32,5, FALSE))</f>
        <v>1.1080000000000001</v>
      </c>
      <c r="Q8">
        <f>(1+ VLOOKUP($C7,'vomcost mult'!$N$10:$R$32,5, FALSE))</f>
        <v>1.121</v>
      </c>
    </row>
    <row r="9" spans="1:18">
      <c r="A9" s="72" t="s">
        <v>175</v>
      </c>
      <c r="B9" s="72" t="s">
        <v>123</v>
      </c>
      <c r="C9" s="72" t="s">
        <v>114</v>
      </c>
      <c r="D9" s="19" t="s">
        <v>168</v>
      </c>
      <c r="E9" s="19">
        <v>1</v>
      </c>
      <c r="F9" s="19">
        <v>4300</v>
      </c>
      <c r="G9" s="19">
        <f t="shared" si="0"/>
        <v>2.1799999999999997</v>
      </c>
      <c r="I9" s="19" t="str">
        <f>IF(Table6[[#This Row],[transferCap]]&lt;10, "remove", "")</f>
        <v/>
      </c>
      <c r="M9">
        <f t="shared" si="1"/>
        <v>2.1799999999999997</v>
      </c>
      <c r="P9">
        <f>(1+ VLOOKUP($B8,'vomcost mult'!$N$10:$R$32,5, FALSE))</f>
        <v>1.121</v>
      </c>
      <c r="Q9">
        <f>(1+ VLOOKUP($C8,'vomcost mult'!$N$10:$R$32,5, FALSE))</f>
        <v>1.054</v>
      </c>
    </row>
    <row r="10" spans="1:18">
      <c r="A10" s="72" t="s">
        <v>175</v>
      </c>
      <c r="B10" s="72" t="s">
        <v>114</v>
      </c>
      <c r="C10" s="72" t="s">
        <v>126</v>
      </c>
      <c r="D10" s="19" t="s">
        <v>168</v>
      </c>
      <c r="E10" s="19">
        <v>1</v>
      </c>
      <c r="F10" s="19">
        <v>3400</v>
      </c>
      <c r="G10" s="19">
        <f t="shared" si="0"/>
        <v>2.3200000000000003</v>
      </c>
      <c r="I10" s="19" t="str">
        <f>IF(Table6[[#This Row],[transferCap]]&lt;10, "remove", "")</f>
        <v/>
      </c>
      <c r="M10">
        <f t="shared" si="1"/>
        <v>2.1799999999999997</v>
      </c>
      <c r="P10">
        <f>(1+ VLOOKUP($B9,'vomcost mult'!$N$10:$R$32,5, FALSE))</f>
        <v>1.054</v>
      </c>
      <c r="Q10">
        <f>(1+ VLOOKUP($C9,'vomcost mult'!$N$10:$R$32,5, FALSE))</f>
        <v>1.121</v>
      </c>
    </row>
    <row r="11" spans="1:18">
      <c r="A11" s="72" t="s">
        <v>175</v>
      </c>
      <c r="B11" s="72" t="s">
        <v>126</v>
      </c>
      <c r="C11" s="72" t="s">
        <v>114</v>
      </c>
      <c r="D11" s="19" t="s">
        <v>168</v>
      </c>
      <c r="E11" s="19">
        <v>1</v>
      </c>
      <c r="F11" s="19">
        <v>3400</v>
      </c>
      <c r="G11" s="19">
        <f t="shared" si="0"/>
        <v>2.3200000000000003</v>
      </c>
      <c r="I11" s="19" t="str">
        <f>IF(Table6[[#This Row],[transferCap]]&lt;10, "remove", "")</f>
        <v/>
      </c>
      <c r="M11">
        <f t="shared" si="1"/>
        <v>2.3200000000000003</v>
      </c>
      <c r="P11">
        <f>(1+ VLOOKUP($B10,'vomcost mult'!$N$10:$R$32,5, FALSE))</f>
        <v>1.121</v>
      </c>
      <c r="Q11">
        <f>(1+ VLOOKUP($C10,'vomcost mult'!$N$10:$R$32,5, FALSE))</f>
        <v>1.18</v>
      </c>
    </row>
    <row r="12" spans="1:18">
      <c r="A12" s="72" t="s">
        <v>175</v>
      </c>
      <c r="B12" s="72" t="s">
        <v>114</v>
      </c>
      <c r="C12" s="72" t="s">
        <v>135</v>
      </c>
      <c r="D12" s="19" t="s">
        <v>168</v>
      </c>
      <c r="E12" s="19">
        <v>1</v>
      </c>
      <c r="F12" s="19">
        <v>2400</v>
      </c>
      <c r="G12" s="19">
        <f t="shared" si="0"/>
        <v>2.31</v>
      </c>
      <c r="I12" s="19" t="str">
        <f>IF(Table6[[#This Row],[transferCap]]&lt;10, "remove", "")</f>
        <v/>
      </c>
      <c r="M12">
        <f t="shared" si="1"/>
        <v>2.3200000000000003</v>
      </c>
      <c r="P12">
        <f>(1+ VLOOKUP($B11,'vomcost mult'!$N$10:$R$32,5, FALSE))</f>
        <v>1.18</v>
      </c>
      <c r="Q12">
        <f>(1+ VLOOKUP($C11,'vomcost mult'!$N$10:$R$32,5, FALSE))</f>
        <v>1.121</v>
      </c>
    </row>
    <row r="13" spans="1:18">
      <c r="A13" s="72" t="s">
        <v>175</v>
      </c>
      <c r="B13" s="72" t="s">
        <v>135</v>
      </c>
      <c r="C13" s="72" t="s">
        <v>114</v>
      </c>
      <c r="D13" s="19" t="s">
        <v>168</v>
      </c>
      <c r="E13" s="19">
        <v>1</v>
      </c>
      <c r="F13" s="19">
        <v>2400</v>
      </c>
      <c r="G13" s="19">
        <f t="shared" si="0"/>
        <v>2.31</v>
      </c>
      <c r="I13" s="19" t="str">
        <f>IF(Table6[[#This Row],[transferCap]]&lt;10, "remove", "")</f>
        <v/>
      </c>
      <c r="M13">
        <f t="shared" si="1"/>
        <v>2.31</v>
      </c>
      <c r="P13">
        <f>(1+ VLOOKUP($B12,'vomcost mult'!$N$10:$R$32,5, FALSE))</f>
        <v>1.121</v>
      </c>
      <c r="Q13">
        <f>(1+ VLOOKUP($C12,'vomcost mult'!$N$10:$R$32,5, FALSE))</f>
        <v>1.165</v>
      </c>
    </row>
    <row r="14" spans="1:18">
      <c r="A14" s="72" t="s">
        <v>175</v>
      </c>
      <c r="B14" s="72" t="s">
        <v>116</v>
      </c>
      <c r="C14" s="72" t="s">
        <v>117</v>
      </c>
      <c r="D14" s="19" t="s">
        <v>168</v>
      </c>
      <c r="E14" s="19">
        <v>1</v>
      </c>
      <c r="F14" s="19">
        <v>4200</v>
      </c>
      <c r="G14" s="19">
        <f t="shared" si="0"/>
        <v>2.6100000000000003</v>
      </c>
      <c r="I14" s="19" t="str">
        <f>IF(Table6[[#This Row],[transferCap]]&lt;10, "remove", "")</f>
        <v/>
      </c>
      <c r="M14">
        <f t="shared" si="1"/>
        <v>2.31</v>
      </c>
      <c r="P14">
        <f>(1+ VLOOKUP($B13,'vomcost mult'!$N$10:$R$32,5, FALSE))</f>
        <v>1.165</v>
      </c>
      <c r="Q14">
        <f>(1+ VLOOKUP($C13,'vomcost mult'!$N$10:$R$32,5, FALSE))</f>
        <v>1.121</v>
      </c>
    </row>
    <row r="15" spans="1:18">
      <c r="A15" s="72" t="s">
        <v>175</v>
      </c>
      <c r="B15" s="72" t="s">
        <v>117</v>
      </c>
      <c r="C15" s="72" t="s">
        <v>116</v>
      </c>
      <c r="D15" s="19" t="s">
        <v>168</v>
      </c>
      <c r="E15" s="19">
        <v>1</v>
      </c>
      <c r="F15" s="19">
        <v>4400</v>
      </c>
      <c r="G15" s="19">
        <f t="shared" si="0"/>
        <v>2.6100000000000003</v>
      </c>
      <c r="I15" s="19" t="str">
        <f>IF(Table6[[#This Row],[transferCap]]&lt;10, "remove", "")</f>
        <v/>
      </c>
      <c r="M15">
        <f t="shared" si="1"/>
        <v>2.6100000000000003</v>
      </c>
      <c r="P15">
        <f>(1+ VLOOKUP($B14,'vomcost mult'!$N$10:$R$32,5, FALSE))</f>
        <v>1.456</v>
      </c>
      <c r="Q15">
        <f>(1+ VLOOKUP($C14,'vomcost mult'!$N$10:$R$32,5, FALSE))</f>
        <v>1.1080000000000001</v>
      </c>
    </row>
    <row r="16" spans="1:18">
      <c r="A16" s="72" t="s">
        <v>175</v>
      </c>
      <c r="B16" s="72" t="s">
        <v>116</v>
      </c>
      <c r="C16" s="72" t="s">
        <v>123</v>
      </c>
      <c r="D16" s="19" t="s">
        <v>168</v>
      </c>
      <c r="E16" s="19">
        <v>1</v>
      </c>
      <c r="F16" s="19">
        <v>2200</v>
      </c>
      <c r="G16" s="19">
        <f t="shared" si="0"/>
        <v>2.5300000000000002</v>
      </c>
      <c r="I16" s="19" t="str">
        <f>IF(Table6[[#This Row],[transferCap]]&lt;10, "remove", "")</f>
        <v/>
      </c>
      <c r="M16">
        <f t="shared" si="1"/>
        <v>2.6100000000000003</v>
      </c>
      <c r="P16">
        <f>(1+ VLOOKUP($B15,'vomcost mult'!$N$10:$R$32,5, FALSE))</f>
        <v>1.1080000000000001</v>
      </c>
      <c r="Q16">
        <f>(1+ VLOOKUP($C15,'vomcost mult'!$N$10:$R$32,5, FALSE))</f>
        <v>1.456</v>
      </c>
    </row>
    <row r="17" spans="1:17">
      <c r="A17" s="72" t="s">
        <v>175</v>
      </c>
      <c r="B17" s="72" t="s">
        <v>123</v>
      </c>
      <c r="C17" s="72" t="s">
        <v>116</v>
      </c>
      <c r="D17" s="19" t="s">
        <v>168</v>
      </c>
      <c r="E17" s="19">
        <v>1</v>
      </c>
      <c r="F17" s="19">
        <v>4500</v>
      </c>
      <c r="G17" s="19">
        <f t="shared" si="0"/>
        <v>2.5300000000000002</v>
      </c>
      <c r="I17" s="19" t="str">
        <f>IF(Table6[[#This Row],[transferCap]]&lt;10, "remove", "")</f>
        <v/>
      </c>
      <c r="M17">
        <f t="shared" si="1"/>
        <v>2.5300000000000002</v>
      </c>
      <c r="P17">
        <f>(1+ VLOOKUP($B16,'vomcost mult'!$N$10:$R$32,5, FALSE))</f>
        <v>1.456</v>
      </c>
      <c r="Q17">
        <f>(1+ VLOOKUP($C16,'vomcost mult'!$N$10:$R$32,5, FALSE))</f>
        <v>1.054</v>
      </c>
    </row>
    <row r="18" spans="1:17">
      <c r="A18" s="72" t="s">
        <v>175</v>
      </c>
      <c r="B18" s="72" t="s">
        <v>117</v>
      </c>
      <c r="C18" s="72" t="s">
        <v>118</v>
      </c>
      <c r="D18" s="19" t="s">
        <v>168</v>
      </c>
      <c r="E18" s="19">
        <v>1</v>
      </c>
      <c r="F18" s="19">
        <v>2200</v>
      </c>
      <c r="G18" s="19">
        <f t="shared" si="0"/>
        <v>2.3899999999999997</v>
      </c>
      <c r="I18" s="19" t="str">
        <f>IF(Table6[[#This Row],[transferCap]]&lt;10, "remove", "")</f>
        <v/>
      </c>
      <c r="M18">
        <f t="shared" si="1"/>
        <v>2.5300000000000002</v>
      </c>
      <c r="P18">
        <f>(1+ VLOOKUP($B17,'vomcost mult'!$N$10:$R$32,5, FALSE))</f>
        <v>1.054</v>
      </c>
      <c r="Q18">
        <f>(1+ VLOOKUP($C17,'vomcost mult'!$N$10:$R$32,5, FALSE))</f>
        <v>1.456</v>
      </c>
    </row>
    <row r="19" spans="1:17">
      <c r="A19" s="72" t="s">
        <v>175</v>
      </c>
      <c r="B19" s="72" t="s">
        <v>118</v>
      </c>
      <c r="C19" s="72" t="s">
        <v>117</v>
      </c>
      <c r="D19" s="19" t="s">
        <v>168</v>
      </c>
      <c r="E19" s="19">
        <v>1</v>
      </c>
      <c r="F19" s="19">
        <v>3000</v>
      </c>
      <c r="G19" s="19">
        <f t="shared" si="0"/>
        <v>2.3899999999999997</v>
      </c>
      <c r="I19" s="19" t="str">
        <f>IF(Table6[[#This Row],[transferCap]]&lt;10, "remove", "")</f>
        <v/>
      </c>
      <c r="M19">
        <f t="shared" si="1"/>
        <v>2.3899999999999997</v>
      </c>
      <c r="P19">
        <f>(1+ VLOOKUP($B18,'vomcost mult'!$N$10:$R$32,5, FALSE))</f>
        <v>1.1080000000000001</v>
      </c>
      <c r="Q19">
        <f>(1+ VLOOKUP($C18,'vomcost mult'!$N$10:$R$32,5, FALSE))</f>
        <v>1.25</v>
      </c>
    </row>
    <row r="20" spans="1:17">
      <c r="A20" s="72" t="s">
        <v>175</v>
      </c>
      <c r="B20" s="72" t="s">
        <v>117</v>
      </c>
      <c r="C20" s="72" t="s">
        <v>119</v>
      </c>
      <c r="D20" s="19" t="s">
        <v>168</v>
      </c>
      <c r="E20" s="19">
        <v>1</v>
      </c>
      <c r="F20" s="19">
        <v>3500</v>
      </c>
      <c r="G20" s="19">
        <f t="shared" si="0"/>
        <v>2.37</v>
      </c>
      <c r="I20" s="19" t="str">
        <f>IF(Table6[[#This Row],[transferCap]]&lt;10, "remove", "")</f>
        <v/>
      </c>
      <c r="M20">
        <f t="shared" si="1"/>
        <v>2.3899999999999997</v>
      </c>
      <c r="P20">
        <f>(1+ VLOOKUP($B19,'vomcost mult'!$N$10:$R$32,5, FALSE))</f>
        <v>1.25</v>
      </c>
      <c r="Q20">
        <f>(1+ VLOOKUP($C19,'vomcost mult'!$N$10:$R$32,5, FALSE))</f>
        <v>1.1080000000000001</v>
      </c>
    </row>
    <row r="21" spans="1:17">
      <c r="A21" s="72" t="s">
        <v>175</v>
      </c>
      <c r="B21" s="72" t="s">
        <v>119</v>
      </c>
      <c r="C21" s="72" t="s">
        <v>117</v>
      </c>
      <c r="D21" s="19" t="s">
        <v>168</v>
      </c>
      <c r="E21" s="19">
        <v>1</v>
      </c>
      <c r="F21" s="19">
        <v>3500</v>
      </c>
      <c r="G21" s="19">
        <f t="shared" si="0"/>
        <v>2.37</v>
      </c>
      <c r="I21" s="19" t="str">
        <f>IF(Table6[[#This Row],[transferCap]]&lt;10, "remove", "")</f>
        <v/>
      </c>
      <c r="M21">
        <f t="shared" si="1"/>
        <v>2.37</v>
      </c>
      <c r="P21">
        <f>(1+ VLOOKUP($B20,'vomcost mult'!$N$10:$R$32,5, FALSE))</f>
        <v>1.1080000000000001</v>
      </c>
      <c r="Q21">
        <f>(1+ VLOOKUP($C20,'vomcost mult'!$N$10:$R$32,5, FALSE))</f>
        <v>1.238</v>
      </c>
    </row>
    <row r="22" spans="1:17">
      <c r="A22" s="72" t="s">
        <v>175</v>
      </c>
      <c r="B22" s="72" t="s">
        <v>117</v>
      </c>
      <c r="C22" s="72" t="s">
        <v>123</v>
      </c>
      <c r="D22" s="19" t="s">
        <v>168</v>
      </c>
      <c r="E22" s="19">
        <v>1</v>
      </c>
      <c r="F22" s="19">
        <v>4800</v>
      </c>
      <c r="G22" s="19">
        <f t="shared" si="0"/>
        <v>2.17</v>
      </c>
      <c r="I22" s="19" t="str">
        <f>IF(Table6[[#This Row],[transferCap]]&lt;10, "remove", "")</f>
        <v/>
      </c>
      <c r="M22">
        <f t="shared" si="1"/>
        <v>2.37</v>
      </c>
      <c r="P22">
        <f>(1+ VLOOKUP($B21,'vomcost mult'!$N$10:$R$32,5, FALSE))</f>
        <v>1.238</v>
      </c>
      <c r="Q22">
        <f>(1+ VLOOKUP($C21,'vomcost mult'!$N$10:$R$32,5, FALSE))</f>
        <v>1.1080000000000001</v>
      </c>
    </row>
    <row r="23" spans="1:17">
      <c r="A23" s="72" t="s">
        <v>175</v>
      </c>
      <c r="B23" s="72" t="s">
        <v>123</v>
      </c>
      <c r="C23" s="72" t="s">
        <v>117</v>
      </c>
      <c r="D23" s="19" t="s">
        <v>168</v>
      </c>
      <c r="E23" s="19">
        <v>1</v>
      </c>
      <c r="F23" s="19">
        <v>4800</v>
      </c>
      <c r="G23" s="19">
        <f t="shared" si="0"/>
        <v>2.17</v>
      </c>
      <c r="I23" s="19" t="str">
        <f>IF(Table6[[#This Row],[transferCap]]&lt;10, "remove", "")</f>
        <v/>
      </c>
      <c r="M23">
        <f t="shared" si="1"/>
        <v>2.17</v>
      </c>
      <c r="P23">
        <f>(1+ VLOOKUP($B22,'vomcost mult'!$N$10:$R$32,5, FALSE))</f>
        <v>1.1080000000000001</v>
      </c>
      <c r="Q23">
        <f>(1+ VLOOKUP($C22,'vomcost mult'!$N$10:$R$32,5, FALSE))</f>
        <v>1.054</v>
      </c>
    </row>
    <row r="24" spans="1:17">
      <c r="A24" s="72" t="s">
        <v>175</v>
      </c>
      <c r="B24" s="72" t="s">
        <v>117</v>
      </c>
      <c r="C24" s="72" t="s">
        <v>126</v>
      </c>
      <c r="D24" s="19" t="s">
        <v>168</v>
      </c>
      <c r="E24" s="19">
        <v>1</v>
      </c>
      <c r="F24" s="19">
        <v>5000</v>
      </c>
      <c r="G24" s="19">
        <f t="shared" si="0"/>
        <v>2.31</v>
      </c>
      <c r="I24" s="19" t="str">
        <f>IF(Table6[[#This Row],[transferCap]]&lt;10, "remove", "")</f>
        <v/>
      </c>
      <c r="M24">
        <f t="shared" si="1"/>
        <v>2.17</v>
      </c>
      <c r="P24">
        <f>(1+ VLOOKUP($B23,'vomcost mult'!$N$10:$R$32,5, FALSE))</f>
        <v>1.054</v>
      </c>
      <c r="Q24">
        <f>(1+ VLOOKUP($C23,'vomcost mult'!$N$10:$R$32,5, FALSE))</f>
        <v>1.1080000000000001</v>
      </c>
    </row>
    <row r="25" spans="1:17">
      <c r="A25" s="72" t="s">
        <v>175</v>
      </c>
      <c r="B25" s="72" t="s">
        <v>126</v>
      </c>
      <c r="C25" s="72" t="s">
        <v>117</v>
      </c>
      <c r="D25" s="19" t="s">
        <v>168</v>
      </c>
      <c r="E25" s="19">
        <v>1</v>
      </c>
      <c r="F25" s="19">
        <v>5000</v>
      </c>
      <c r="G25" s="19">
        <f t="shared" si="0"/>
        <v>2.31</v>
      </c>
      <c r="I25" s="19" t="str">
        <f>IF(Table6[[#This Row],[transferCap]]&lt;10, "remove", "")</f>
        <v/>
      </c>
      <c r="M25">
        <f t="shared" si="1"/>
        <v>2.31</v>
      </c>
      <c r="P25">
        <f>(1+ VLOOKUP($B24,'vomcost mult'!$N$10:$R$32,5, FALSE))</f>
        <v>1.1080000000000001</v>
      </c>
      <c r="Q25">
        <f>(1+ VLOOKUP($C24,'vomcost mult'!$N$10:$R$32,5, FALSE))</f>
        <v>1.18</v>
      </c>
    </row>
    <row r="26" spans="1:17">
      <c r="A26" s="72" t="s">
        <v>175</v>
      </c>
      <c r="B26" s="72" t="s">
        <v>117</v>
      </c>
      <c r="C26" s="72" t="s">
        <v>129</v>
      </c>
      <c r="D26" s="19" t="s">
        <v>168</v>
      </c>
      <c r="E26" s="19">
        <v>1</v>
      </c>
      <c r="F26" s="19">
        <v>1400</v>
      </c>
      <c r="G26" s="19">
        <f t="shared" si="0"/>
        <v>2.44</v>
      </c>
      <c r="I26" s="19" t="str">
        <f>IF(Table6[[#This Row],[transferCap]]&lt;10, "remove", "")</f>
        <v/>
      </c>
      <c r="M26">
        <f t="shared" si="1"/>
        <v>2.31</v>
      </c>
      <c r="P26">
        <f>(1+ VLOOKUP($B25,'vomcost mult'!$N$10:$R$32,5, FALSE))</f>
        <v>1.18</v>
      </c>
      <c r="Q26">
        <f>(1+ VLOOKUP($C25,'vomcost mult'!$N$10:$R$32,5, FALSE))</f>
        <v>1.1080000000000001</v>
      </c>
    </row>
    <row r="27" spans="1:17">
      <c r="A27" s="72" t="s">
        <v>175</v>
      </c>
      <c r="B27" s="72" t="s">
        <v>129</v>
      </c>
      <c r="C27" s="72" t="s">
        <v>117</v>
      </c>
      <c r="D27" s="19" t="s">
        <v>168</v>
      </c>
      <c r="E27" s="19">
        <v>1</v>
      </c>
      <c r="F27" s="19">
        <v>1400</v>
      </c>
      <c r="G27" s="19">
        <f t="shared" si="0"/>
        <v>2.44</v>
      </c>
      <c r="I27" s="19" t="str">
        <f>IF(Table6[[#This Row],[transferCap]]&lt;10, "remove", "")</f>
        <v/>
      </c>
      <c r="M27">
        <f t="shared" si="1"/>
        <v>2.44</v>
      </c>
      <c r="P27">
        <f>(1+ VLOOKUP($B26,'vomcost mult'!$N$10:$R$32,5, FALSE))</f>
        <v>1.1080000000000001</v>
      </c>
      <c r="Q27">
        <f>(1+ VLOOKUP($C26,'vomcost mult'!$N$10:$R$32,5, FALSE))</f>
        <v>1.296</v>
      </c>
    </row>
    <row r="28" spans="1:17">
      <c r="A28" s="72" t="s">
        <v>175</v>
      </c>
      <c r="B28" s="72" t="s">
        <v>117</v>
      </c>
      <c r="C28" s="72" t="s">
        <v>130</v>
      </c>
      <c r="D28" s="19" t="s">
        <v>168</v>
      </c>
      <c r="E28" s="19">
        <v>1</v>
      </c>
      <c r="F28" s="19">
        <v>2000</v>
      </c>
      <c r="G28" s="19">
        <f t="shared" si="0"/>
        <v>1.76</v>
      </c>
      <c r="I28" s="19" t="str">
        <f>IF(Table6[[#This Row],[transferCap]]&lt;10, "remove", "")</f>
        <v/>
      </c>
      <c r="M28">
        <f t="shared" si="1"/>
        <v>2.44</v>
      </c>
      <c r="P28">
        <f>(1+ VLOOKUP($B27,'vomcost mult'!$N$10:$R$32,5, FALSE))</f>
        <v>1.296</v>
      </c>
      <c r="Q28">
        <f>(1+ VLOOKUP($C27,'vomcost mult'!$N$10:$R$32,5, FALSE))</f>
        <v>1.1080000000000001</v>
      </c>
    </row>
    <row r="29" spans="1:17">
      <c r="A29" s="72" t="s">
        <v>175</v>
      </c>
      <c r="B29" s="72" t="s">
        <v>130</v>
      </c>
      <c r="C29" s="72" t="s">
        <v>117</v>
      </c>
      <c r="D29" s="19" t="s">
        <v>168</v>
      </c>
      <c r="E29" s="19">
        <v>1</v>
      </c>
      <c r="F29" s="19">
        <v>3000</v>
      </c>
      <c r="G29" s="19">
        <f t="shared" si="0"/>
        <v>1.76</v>
      </c>
      <c r="I29" s="19" t="str">
        <f>IF(Table6[[#This Row],[transferCap]]&lt;10, "remove", "")</f>
        <v/>
      </c>
      <c r="M29">
        <f t="shared" si="1"/>
        <v>1.76</v>
      </c>
      <c r="P29">
        <f>(1+ VLOOKUP($B28,'vomcost mult'!$N$10:$R$32,5, FALSE))</f>
        <v>1.1080000000000001</v>
      </c>
      <c r="Q29">
        <f>(1+ VLOOKUP($C28,'vomcost mult'!$N$10:$R$32,5, FALSE))</f>
        <v>0.69</v>
      </c>
    </row>
    <row r="30" spans="1:17">
      <c r="A30" s="72" t="s">
        <v>175</v>
      </c>
      <c r="B30" s="72" t="s">
        <v>117</v>
      </c>
      <c r="C30" s="72" t="s">
        <v>134</v>
      </c>
      <c r="D30" s="19" t="s">
        <v>168</v>
      </c>
      <c r="E30" s="19">
        <v>1</v>
      </c>
      <c r="F30" s="19">
        <v>1315</v>
      </c>
      <c r="G30" s="19">
        <f t="shared" si="0"/>
        <v>2.2800000000000002</v>
      </c>
      <c r="I30" s="19" t="str">
        <f>IF(Table6[[#This Row],[transferCap]]&lt;10, "remove", "")</f>
        <v/>
      </c>
      <c r="M30">
        <f t="shared" si="1"/>
        <v>1.76</v>
      </c>
      <c r="P30">
        <f>(1+ VLOOKUP($B29,'vomcost mult'!$N$10:$R$32,5, FALSE))</f>
        <v>0.69</v>
      </c>
      <c r="Q30">
        <f>(1+ VLOOKUP($C29,'vomcost mult'!$N$10:$R$32,5, FALSE))</f>
        <v>1.1080000000000001</v>
      </c>
    </row>
    <row r="31" spans="1:17">
      <c r="A31" s="72" t="s">
        <v>175</v>
      </c>
      <c r="B31" s="72" t="s">
        <v>134</v>
      </c>
      <c r="C31" s="72" t="s">
        <v>117</v>
      </c>
      <c r="D31" s="19" t="s">
        <v>168</v>
      </c>
      <c r="E31" s="19">
        <v>1</v>
      </c>
      <c r="F31" s="19">
        <v>1315</v>
      </c>
      <c r="G31" s="19">
        <f t="shared" si="0"/>
        <v>2.2800000000000002</v>
      </c>
      <c r="I31" s="19" t="str">
        <f>IF(Table6[[#This Row],[transferCap]]&lt;10, "remove", "")</f>
        <v/>
      </c>
      <c r="M31">
        <f t="shared" si="1"/>
        <v>2.2800000000000002</v>
      </c>
      <c r="P31">
        <f>(1+ VLOOKUP($B30,'vomcost mult'!$N$10:$R$32,5, FALSE))</f>
        <v>1.1080000000000001</v>
      </c>
      <c r="Q31">
        <f>(1+ VLOOKUP($C30,'vomcost mult'!$N$10:$R$32,5, FALSE))</f>
        <v>1.157</v>
      </c>
    </row>
    <row r="32" spans="1:17">
      <c r="A32" s="72" t="s">
        <v>175</v>
      </c>
      <c r="B32" s="72" t="s">
        <v>117</v>
      </c>
      <c r="C32" s="72" t="s">
        <v>135</v>
      </c>
      <c r="D32" s="19" t="s">
        <v>168</v>
      </c>
      <c r="E32" s="19">
        <v>1</v>
      </c>
      <c r="F32" s="19">
        <v>1400</v>
      </c>
      <c r="G32" s="19">
        <f t="shared" si="0"/>
        <v>2.29</v>
      </c>
      <c r="I32" s="19" t="str">
        <f>IF(Table6[[#This Row],[transferCap]]&lt;10, "remove", "")</f>
        <v/>
      </c>
      <c r="M32">
        <f t="shared" si="1"/>
        <v>2.2800000000000002</v>
      </c>
      <c r="P32">
        <f>(1+ VLOOKUP($B31,'vomcost mult'!$N$10:$R$32,5, FALSE))</f>
        <v>1.157</v>
      </c>
      <c r="Q32">
        <f>(1+ VLOOKUP($C31,'vomcost mult'!$N$10:$R$32,5, FALSE))</f>
        <v>1.1080000000000001</v>
      </c>
    </row>
    <row r="33" spans="1:17">
      <c r="A33" s="72" t="s">
        <v>175</v>
      </c>
      <c r="B33" s="72" t="s">
        <v>135</v>
      </c>
      <c r="C33" s="72" t="s">
        <v>117</v>
      </c>
      <c r="D33" s="19" t="s">
        <v>168</v>
      </c>
      <c r="E33" s="19">
        <v>1</v>
      </c>
      <c r="F33" s="19">
        <v>1400</v>
      </c>
      <c r="G33" s="19">
        <f t="shared" si="0"/>
        <v>2.29</v>
      </c>
      <c r="I33" s="19" t="str">
        <f>IF(Table6[[#This Row],[transferCap]]&lt;10, "remove", "")</f>
        <v/>
      </c>
      <c r="M33">
        <f t="shared" si="1"/>
        <v>2.29</v>
      </c>
      <c r="P33">
        <f>(1+ VLOOKUP($B32,'vomcost mult'!$N$10:$R$32,5, FALSE))</f>
        <v>1.1080000000000001</v>
      </c>
      <c r="Q33">
        <f>(1+ VLOOKUP($C32,'vomcost mult'!$N$10:$R$32,5, FALSE))</f>
        <v>1.165</v>
      </c>
    </row>
    <row r="34" spans="1:17">
      <c r="A34" s="72" t="s">
        <v>175</v>
      </c>
      <c r="B34" s="72" t="s">
        <v>118</v>
      </c>
      <c r="C34" s="72" t="s">
        <v>119</v>
      </c>
      <c r="D34" s="19" t="s">
        <v>168</v>
      </c>
      <c r="E34" s="19">
        <v>1</v>
      </c>
      <c r="F34" s="19">
        <v>600</v>
      </c>
      <c r="G34" s="19">
        <f t="shared" si="0"/>
        <v>2.5499999999999998</v>
      </c>
      <c r="I34" s="19" t="str">
        <f>IF(Table6[[#This Row],[transferCap]]&lt;10, "remove", "")</f>
        <v/>
      </c>
      <c r="M34">
        <f t="shared" si="1"/>
        <v>2.29</v>
      </c>
      <c r="P34">
        <f>(1+ VLOOKUP($B33,'vomcost mult'!$N$10:$R$32,5, FALSE))</f>
        <v>1.165</v>
      </c>
      <c r="Q34">
        <f>(1+ VLOOKUP($C33,'vomcost mult'!$N$10:$R$32,5, FALSE))</f>
        <v>1.1080000000000001</v>
      </c>
    </row>
    <row r="35" spans="1:17">
      <c r="A35" s="72" t="s">
        <v>175</v>
      </c>
      <c r="B35" s="72" t="s">
        <v>119</v>
      </c>
      <c r="C35" s="72" t="s">
        <v>118</v>
      </c>
      <c r="D35" s="19" t="s">
        <v>168</v>
      </c>
      <c r="E35" s="19">
        <v>1</v>
      </c>
      <c r="F35" s="19">
        <v>590</v>
      </c>
      <c r="G35" s="19">
        <f t="shared" si="0"/>
        <v>2.5499999999999998</v>
      </c>
      <c r="I35" s="19" t="str">
        <f>IF(Table6[[#This Row],[transferCap]]&lt;10, "remove", "")</f>
        <v/>
      </c>
      <c r="M35">
        <f t="shared" si="1"/>
        <v>2.5499999999999998</v>
      </c>
      <c r="P35">
        <f>(1+ VLOOKUP($B34,'vomcost mult'!$N$10:$R$32,5, FALSE))</f>
        <v>1.25</v>
      </c>
      <c r="Q35">
        <f>(1+ VLOOKUP($C34,'vomcost mult'!$N$10:$R$32,5, FALSE))</f>
        <v>1.238</v>
      </c>
    </row>
    <row r="36" spans="1:17">
      <c r="A36" s="72" t="s">
        <v>175</v>
      </c>
      <c r="B36" s="72" t="s">
        <v>118</v>
      </c>
      <c r="C36" s="72" t="s">
        <v>130</v>
      </c>
      <c r="D36" s="19" t="s">
        <v>168</v>
      </c>
      <c r="E36" s="19">
        <v>1</v>
      </c>
      <c r="F36" s="19">
        <v>0</v>
      </c>
      <c r="G36" s="19">
        <f t="shared" si="0"/>
        <v>1.8599999999999999</v>
      </c>
      <c r="I36" s="19" t="str">
        <f>IF(Table6[[#This Row],[transferCap]]&lt;10, "remove", "")</f>
        <v>remove</v>
      </c>
      <c r="M36">
        <f t="shared" si="1"/>
        <v>2.5499999999999998</v>
      </c>
      <c r="P36">
        <f>(1+ VLOOKUP($B35,'vomcost mult'!$N$10:$R$32,5, FALSE))</f>
        <v>1.238</v>
      </c>
      <c r="Q36">
        <f>(1+ VLOOKUP($C35,'vomcost mult'!$N$10:$R$32,5, FALSE))</f>
        <v>1.25</v>
      </c>
    </row>
    <row r="37" spans="1:17">
      <c r="A37" s="72" t="s">
        <v>175</v>
      </c>
      <c r="B37" s="72" t="s">
        <v>130</v>
      </c>
      <c r="C37" s="72" t="s">
        <v>118</v>
      </c>
      <c r="D37" s="19" t="s">
        <v>168</v>
      </c>
      <c r="E37" s="19">
        <v>1</v>
      </c>
      <c r="F37" s="19">
        <v>0</v>
      </c>
      <c r="G37" s="19">
        <f t="shared" si="0"/>
        <v>1.8599999999999999</v>
      </c>
      <c r="I37" s="19" t="str">
        <f>IF(Table6[[#This Row],[transferCap]]&lt;10, "remove", "")</f>
        <v>remove</v>
      </c>
      <c r="M37">
        <f t="shared" si="1"/>
        <v>1.8599999999999999</v>
      </c>
      <c r="P37">
        <f>(1+ VLOOKUP($B36,'vomcost mult'!$N$10:$R$32,5, FALSE))</f>
        <v>1.25</v>
      </c>
      <c r="Q37">
        <f>(1+ VLOOKUP($C36,'vomcost mult'!$N$10:$R$32,5, FALSE))</f>
        <v>0.69</v>
      </c>
    </row>
    <row r="38" spans="1:17">
      <c r="A38" s="72" t="s">
        <v>175</v>
      </c>
      <c r="B38" s="72" t="s">
        <v>118</v>
      </c>
      <c r="C38" s="72" t="s">
        <v>134</v>
      </c>
      <c r="D38" s="19" t="s">
        <v>168</v>
      </c>
      <c r="E38" s="19">
        <v>1</v>
      </c>
      <c r="F38" s="19">
        <v>1700</v>
      </c>
      <c r="G38" s="19">
        <f t="shared" si="0"/>
        <v>2.4500000000000002</v>
      </c>
      <c r="I38" s="19" t="str">
        <f>IF(Table6[[#This Row],[transferCap]]&lt;10, "remove", "")</f>
        <v/>
      </c>
      <c r="M38">
        <f t="shared" si="1"/>
        <v>1.8599999999999999</v>
      </c>
      <c r="P38">
        <f>(1+ VLOOKUP($B37,'vomcost mult'!$N$10:$R$32,5, FALSE))</f>
        <v>0.69</v>
      </c>
      <c r="Q38">
        <f>(1+ VLOOKUP($C37,'vomcost mult'!$N$10:$R$32,5, FALSE))</f>
        <v>1.25</v>
      </c>
    </row>
    <row r="39" spans="1:17">
      <c r="A39" s="72" t="s">
        <v>175</v>
      </c>
      <c r="B39" s="72" t="s">
        <v>134</v>
      </c>
      <c r="C39" s="72" t="s">
        <v>118</v>
      </c>
      <c r="D39" s="19" t="s">
        <v>168</v>
      </c>
      <c r="E39" s="19">
        <v>1</v>
      </c>
      <c r="F39" s="19">
        <v>1300</v>
      </c>
      <c r="G39" s="19">
        <f t="shared" si="0"/>
        <v>2.4500000000000002</v>
      </c>
      <c r="I39" s="19" t="str">
        <f>IF(Table6[[#This Row],[transferCap]]&lt;10, "remove", "")</f>
        <v/>
      </c>
      <c r="M39">
        <f t="shared" si="1"/>
        <v>2.4500000000000002</v>
      </c>
      <c r="P39">
        <f>(1+ VLOOKUP($B38,'vomcost mult'!$N$10:$R$32,5, FALSE))</f>
        <v>1.25</v>
      </c>
      <c r="Q39">
        <f>(1+ VLOOKUP($C38,'vomcost mult'!$N$10:$R$32,5, FALSE))</f>
        <v>1.157</v>
      </c>
    </row>
    <row r="40" spans="1:17">
      <c r="A40" s="72" t="s">
        <v>175</v>
      </c>
      <c r="B40" s="72" t="s">
        <v>119</v>
      </c>
      <c r="C40" s="72" t="s">
        <v>126</v>
      </c>
      <c r="D40" s="19" t="s">
        <v>168</v>
      </c>
      <c r="E40" s="19">
        <v>1</v>
      </c>
      <c r="F40" s="19">
        <v>700</v>
      </c>
      <c r="G40" s="19">
        <f t="shared" si="0"/>
        <v>2.46</v>
      </c>
      <c r="I40" s="19" t="str">
        <f>IF(Table6[[#This Row],[transferCap]]&lt;10, "remove", "")</f>
        <v/>
      </c>
      <c r="M40">
        <f t="shared" si="1"/>
        <v>2.4500000000000002</v>
      </c>
      <c r="P40">
        <f>(1+ VLOOKUP($B39,'vomcost mult'!$N$10:$R$32,5, FALSE))</f>
        <v>1.157</v>
      </c>
      <c r="Q40">
        <f>(1+ VLOOKUP($C39,'vomcost mult'!$N$10:$R$32,5, FALSE))</f>
        <v>1.25</v>
      </c>
    </row>
    <row r="41" spans="1:17">
      <c r="A41" s="72" t="s">
        <v>175</v>
      </c>
      <c r="B41" s="72" t="s">
        <v>126</v>
      </c>
      <c r="C41" s="72" t="s">
        <v>119</v>
      </c>
      <c r="D41" s="19" t="s">
        <v>168</v>
      </c>
      <c r="E41" s="19">
        <v>1</v>
      </c>
      <c r="F41" s="19">
        <v>700</v>
      </c>
      <c r="G41" s="19">
        <f t="shared" si="0"/>
        <v>2.46</v>
      </c>
      <c r="I41" s="19" t="str">
        <f>IF(Table6[[#This Row],[transferCap]]&lt;10, "remove", "")</f>
        <v/>
      </c>
      <c r="M41">
        <f t="shared" si="1"/>
        <v>2.46</v>
      </c>
      <c r="P41">
        <f>(1+ VLOOKUP($B40,'vomcost mult'!$N$10:$R$32,5, FALSE))</f>
        <v>1.238</v>
      </c>
      <c r="Q41">
        <f>(1+ VLOOKUP($C40,'vomcost mult'!$N$10:$R$32,5, FALSE))</f>
        <v>1.18</v>
      </c>
    </row>
    <row r="42" spans="1:17">
      <c r="A42" s="72" t="s">
        <v>175</v>
      </c>
      <c r="B42" s="72" t="s">
        <v>119</v>
      </c>
      <c r="C42" s="72" t="s">
        <v>129</v>
      </c>
      <c r="D42" s="19" t="s">
        <v>168</v>
      </c>
      <c r="E42" s="19">
        <v>1</v>
      </c>
      <c r="F42" s="19">
        <v>1632</v>
      </c>
      <c r="G42" s="19">
        <f t="shared" si="0"/>
        <v>2.6</v>
      </c>
      <c r="I42" s="19" t="str">
        <f>IF(Table6[[#This Row],[transferCap]]&lt;10, "remove", "")</f>
        <v/>
      </c>
      <c r="M42">
        <f t="shared" si="1"/>
        <v>2.46</v>
      </c>
      <c r="P42">
        <f>(1+ VLOOKUP($B41,'vomcost mult'!$N$10:$R$32,5, FALSE))</f>
        <v>1.18</v>
      </c>
      <c r="Q42">
        <f>(1+ VLOOKUP($C41,'vomcost mult'!$N$10:$R$32,5, FALSE))</f>
        <v>1.238</v>
      </c>
    </row>
    <row r="43" spans="1:17">
      <c r="A43" s="72" t="s">
        <v>175</v>
      </c>
      <c r="B43" s="72" t="s">
        <v>129</v>
      </c>
      <c r="C43" s="72" t="s">
        <v>119</v>
      </c>
      <c r="D43" s="19" t="s">
        <v>168</v>
      </c>
      <c r="E43" s="19">
        <v>1</v>
      </c>
      <c r="F43" s="19">
        <v>1632</v>
      </c>
      <c r="G43" s="19">
        <f t="shared" si="0"/>
        <v>2.6</v>
      </c>
      <c r="I43" s="19" t="str">
        <f>IF(Table6[[#This Row],[transferCap]]&lt;10, "remove", "")</f>
        <v/>
      </c>
      <c r="M43">
        <f t="shared" si="1"/>
        <v>2.6</v>
      </c>
      <c r="P43">
        <f>(1+ VLOOKUP($B42,'vomcost mult'!$N$10:$R$32,5, FALSE))</f>
        <v>1.238</v>
      </c>
      <c r="Q43">
        <f>(1+ VLOOKUP($C42,'vomcost mult'!$N$10:$R$32,5, FALSE))</f>
        <v>1.296</v>
      </c>
    </row>
    <row r="44" spans="1:17">
      <c r="A44" s="72" t="s">
        <v>175</v>
      </c>
      <c r="B44" s="72" t="s">
        <v>119</v>
      </c>
      <c r="C44" s="72" t="s">
        <v>133</v>
      </c>
      <c r="D44" s="19" t="s">
        <v>168</v>
      </c>
      <c r="E44" s="19">
        <v>1</v>
      </c>
      <c r="F44" s="19">
        <v>715</v>
      </c>
      <c r="G44" s="19">
        <f t="shared" si="0"/>
        <v>2.44</v>
      </c>
      <c r="I44" s="19" t="str">
        <f>IF(Table6[[#This Row],[transferCap]]&lt;10, "remove", "")</f>
        <v/>
      </c>
      <c r="M44">
        <f t="shared" si="1"/>
        <v>2.6</v>
      </c>
      <c r="P44">
        <f>(1+ VLOOKUP($B43,'vomcost mult'!$N$10:$R$32,5, FALSE))</f>
        <v>1.296</v>
      </c>
      <c r="Q44">
        <f>(1+ VLOOKUP($C43,'vomcost mult'!$N$10:$R$32,5, FALSE))</f>
        <v>1.238</v>
      </c>
    </row>
    <row r="45" spans="1:17">
      <c r="A45" s="72" t="s">
        <v>175</v>
      </c>
      <c r="B45" s="72" t="s">
        <v>133</v>
      </c>
      <c r="C45" s="72" t="s">
        <v>119</v>
      </c>
      <c r="D45" s="19" t="s">
        <v>168</v>
      </c>
      <c r="E45" s="19">
        <v>1</v>
      </c>
      <c r="F45" s="19">
        <v>715</v>
      </c>
      <c r="G45" s="19">
        <f t="shared" si="0"/>
        <v>2.44</v>
      </c>
      <c r="I45" s="19" t="str">
        <f>IF(Table6[[#This Row],[transferCap]]&lt;10, "remove", "")</f>
        <v/>
      </c>
      <c r="M45">
        <f t="shared" si="1"/>
        <v>2.44</v>
      </c>
      <c r="P45">
        <f>(1+ VLOOKUP($B44,'vomcost mult'!$N$10:$R$32,5, FALSE))</f>
        <v>1.238</v>
      </c>
      <c r="Q45">
        <f>(1+ VLOOKUP($C44,'vomcost mult'!$N$10:$R$32,5, FALSE))</f>
        <v>1.165</v>
      </c>
    </row>
    <row r="46" spans="1:17">
      <c r="A46" s="72" t="s">
        <v>175</v>
      </c>
      <c r="B46" s="72" t="s">
        <v>119</v>
      </c>
      <c r="C46" s="72" t="s">
        <v>135</v>
      </c>
      <c r="D46" s="19" t="s">
        <v>168</v>
      </c>
      <c r="E46" s="19">
        <v>1</v>
      </c>
      <c r="F46" s="19">
        <v>1400</v>
      </c>
      <c r="G46" s="19">
        <f t="shared" si="0"/>
        <v>2.44</v>
      </c>
      <c r="I46" s="19" t="str">
        <f>IF(Table6[[#This Row],[transferCap]]&lt;10, "remove", "")</f>
        <v/>
      </c>
      <c r="M46">
        <f t="shared" si="1"/>
        <v>2.44</v>
      </c>
      <c r="P46">
        <f>(1+ VLOOKUP($B45,'vomcost mult'!$N$10:$R$32,5, FALSE))</f>
        <v>1.165</v>
      </c>
      <c r="Q46">
        <f>(1+ VLOOKUP($C45,'vomcost mult'!$N$10:$R$32,5, FALSE))</f>
        <v>1.238</v>
      </c>
    </row>
    <row r="47" spans="1:17">
      <c r="A47" s="72" t="s">
        <v>175</v>
      </c>
      <c r="B47" s="72" t="s">
        <v>135</v>
      </c>
      <c r="C47" s="72" t="s">
        <v>119</v>
      </c>
      <c r="D47" s="19" t="s">
        <v>168</v>
      </c>
      <c r="E47" s="19">
        <v>1</v>
      </c>
      <c r="F47" s="19">
        <v>1400</v>
      </c>
      <c r="G47" s="19">
        <f t="shared" si="0"/>
        <v>2.44</v>
      </c>
      <c r="I47" s="19" t="str">
        <f>IF(Table6[[#This Row],[transferCap]]&lt;10, "remove", "")</f>
        <v/>
      </c>
      <c r="M47">
        <f t="shared" si="1"/>
        <v>2.44</v>
      </c>
      <c r="P47">
        <f>(1+ VLOOKUP($B46,'vomcost mult'!$N$10:$R$32,5, FALSE))</f>
        <v>1.238</v>
      </c>
      <c r="Q47">
        <f>(1+ VLOOKUP($C46,'vomcost mult'!$N$10:$R$32,5, FALSE))</f>
        <v>1.165</v>
      </c>
    </row>
    <row r="48" spans="1:17">
      <c r="A48" s="72" t="s">
        <v>175</v>
      </c>
      <c r="B48" s="72" t="s">
        <v>120</v>
      </c>
      <c r="C48" s="72" t="s">
        <v>122</v>
      </c>
      <c r="D48" s="19" t="s">
        <v>168</v>
      </c>
      <c r="E48" s="19">
        <v>1</v>
      </c>
      <c r="F48" s="19">
        <v>1016</v>
      </c>
      <c r="G48" s="19">
        <f t="shared" si="0"/>
        <v>1.88</v>
      </c>
      <c r="I48" s="19" t="str">
        <f>IF(Table6[[#This Row],[transferCap]]&lt;10, "remove", "")</f>
        <v/>
      </c>
      <c r="M48">
        <f t="shared" si="1"/>
        <v>2.44</v>
      </c>
      <c r="P48">
        <f>(1+ VLOOKUP($B47,'vomcost mult'!$N$10:$R$32,5, FALSE))</f>
        <v>1.165</v>
      </c>
      <c r="Q48">
        <f>(1+ VLOOKUP($C47,'vomcost mult'!$N$10:$R$32,5, FALSE))</f>
        <v>1.238</v>
      </c>
    </row>
    <row r="49" spans="1:17">
      <c r="A49" s="72" t="s">
        <v>175</v>
      </c>
      <c r="B49" s="72" t="s">
        <v>122</v>
      </c>
      <c r="C49" s="72" t="s">
        <v>120</v>
      </c>
      <c r="D49" s="19" t="s">
        <v>168</v>
      </c>
      <c r="E49" s="19">
        <v>1</v>
      </c>
      <c r="F49" s="19">
        <v>1016</v>
      </c>
      <c r="G49" s="19">
        <f t="shared" si="0"/>
        <v>1.88</v>
      </c>
      <c r="I49" s="19" t="str">
        <f>IF(Table6[[#This Row],[transferCap]]&lt;10, "remove", "")</f>
        <v/>
      </c>
      <c r="M49">
        <f t="shared" si="1"/>
        <v>1.88</v>
      </c>
      <c r="P49">
        <f>(1+ VLOOKUP($B48,'vomcost mult'!$N$10:$R$32,5, FALSE))</f>
        <v>0.79600000000000004</v>
      </c>
      <c r="Q49">
        <f>(1+ VLOOKUP($C48,'vomcost mult'!$N$10:$R$32,5, FALSE))</f>
        <v>1.1080000000000001</v>
      </c>
    </row>
    <row r="50" spans="1:17">
      <c r="A50" s="72" t="s">
        <v>175</v>
      </c>
      <c r="B50" s="72" t="s">
        <v>120</v>
      </c>
      <c r="C50" s="72" t="s">
        <v>125</v>
      </c>
      <c r="D50" s="19" t="s">
        <v>168</v>
      </c>
      <c r="E50" s="19">
        <v>1</v>
      </c>
      <c r="F50" s="19">
        <v>950</v>
      </c>
      <c r="G50" s="19">
        <f t="shared" si="0"/>
        <v>1.56</v>
      </c>
      <c r="I50" s="19" t="str">
        <f>IF(Table6[[#This Row],[transferCap]]&lt;10, "remove", "")</f>
        <v/>
      </c>
      <c r="M50">
        <f t="shared" si="1"/>
        <v>1.88</v>
      </c>
      <c r="P50">
        <f>(1+ VLOOKUP($B49,'vomcost mult'!$N$10:$R$32,5, FALSE))</f>
        <v>1.1080000000000001</v>
      </c>
      <c r="Q50">
        <f>(1+ VLOOKUP($C49,'vomcost mult'!$N$10:$R$32,5, FALSE))</f>
        <v>0.79600000000000004</v>
      </c>
    </row>
    <row r="51" spans="1:17">
      <c r="A51" s="72" t="s">
        <v>175</v>
      </c>
      <c r="B51" s="72" t="s">
        <v>125</v>
      </c>
      <c r="C51" s="72" t="s">
        <v>120</v>
      </c>
      <c r="D51" s="19" t="s">
        <v>168</v>
      </c>
      <c r="E51" s="19">
        <v>1</v>
      </c>
      <c r="F51" s="19">
        <v>879</v>
      </c>
      <c r="G51" s="19">
        <f t="shared" si="0"/>
        <v>1.56</v>
      </c>
      <c r="I51" s="19" t="str">
        <f>IF(Table6[[#This Row],[transferCap]]&lt;10, "remove", "")</f>
        <v/>
      </c>
      <c r="M51">
        <f t="shared" si="1"/>
        <v>1.56</v>
      </c>
      <c r="P51">
        <f>(1+ VLOOKUP($B50,'vomcost mult'!$N$10:$R$32,5, FALSE))</f>
        <v>0.79600000000000004</v>
      </c>
      <c r="Q51">
        <f>(1+ VLOOKUP($C50,'vomcost mult'!$N$10:$R$32,5, FALSE))</f>
        <v>0.70100000000000007</v>
      </c>
    </row>
    <row r="52" spans="1:17">
      <c r="A52" s="72" t="s">
        <v>175</v>
      </c>
      <c r="B52" s="72" t="s">
        <v>121</v>
      </c>
      <c r="C52" s="72" t="s">
        <v>123</v>
      </c>
      <c r="D52" s="19" t="s">
        <v>168</v>
      </c>
      <c r="E52" s="19">
        <v>1</v>
      </c>
      <c r="F52" s="19">
        <v>5000</v>
      </c>
      <c r="G52" s="19">
        <f t="shared" si="0"/>
        <v>1.97</v>
      </c>
      <c r="I52" s="19" t="str">
        <f>IF(Table6[[#This Row],[transferCap]]&lt;10, "remove", "")</f>
        <v/>
      </c>
      <c r="M52">
        <f t="shared" si="1"/>
        <v>1.56</v>
      </c>
      <c r="P52">
        <f>(1+ VLOOKUP($B51,'vomcost mult'!$N$10:$R$32,5, FALSE))</f>
        <v>0.70100000000000007</v>
      </c>
      <c r="Q52">
        <f>(1+ VLOOKUP($C51,'vomcost mult'!$N$10:$R$32,5, FALSE))</f>
        <v>0.79600000000000004</v>
      </c>
    </row>
    <row r="53" spans="1:17">
      <c r="A53" s="72" t="s">
        <v>175</v>
      </c>
      <c r="B53" s="72" t="s">
        <v>123</v>
      </c>
      <c r="C53" s="72" t="s">
        <v>121</v>
      </c>
      <c r="D53" s="19" t="s">
        <v>168</v>
      </c>
      <c r="E53" s="19">
        <v>1</v>
      </c>
      <c r="F53" s="19">
        <v>5000</v>
      </c>
      <c r="G53" s="19">
        <f t="shared" si="0"/>
        <v>1.97</v>
      </c>
      <c r="I53" s="19" t="str">
        <f>IF(Table6[[#This Row],[transferCap]]&lt;10, "remove", "")</f>
        <v/>
      </c>
      <c r="M53">
        <f t="shared" si="1"/>
        <v>1.97</v>
      </c>
      <c r="P53">
        <f>(1+ VLOOKUP($B52,'vomcost mult'!$N$10:$R$32,5, FALSE))</f>
        <v>0.91700000000000004</v>
      </c>
      <c r="Q53">
        <f>(1+ VLOOKUP($C52,'vomcost mult'!$N$10:$R$32,5, FALSE))</f>
        <v>1.054</v>
      </c>
    </row>
    <row r="54" spans="1:17">
      <c r="A54" s="72" t="s">
        <v>175</v>
      </c>
      <c r="B54" s="72" t="s">
        <v>122</v>
      </c>
      <c r="C54" s="72" t="s">
        <v>128</v>
      </c>
      <c r="D54" s="19" t="s">
        <v>168</v>
      </c>
      <c r="E54" s="19">
        <v>1</v>
      </c>
      <c r="F54" s="19">
        <v>0</v>
      </c>
      <c r="G54" s="19">
        <f t="shared" si="0"/>
        <v>2.4699999999999998</v>
      </c>
      <c r="I54" s="19" t="str">
        <f>IF(Table6[[#This Row],[transferCap]]&lt;10, "remove", "")</f>
        <v>remove</v>
      </c>
      <c r="M54">
        <f t="shared" si="1"/>
        <v>1.97</v>
      </c>
      <c r="P54">
        <f>(1+ VLOOKUP($B53,'vomcost mult'!$N$10:$R$32,5, FALSE))</f>
        <v>1.054</v>
      </c>
      <c r="Q54">
        <f>(1+ VLOOKUP($C53,'vomcost mult'!$N$10:$R$32,5, FALSE))</f>
        <v>0.91700000000000004</v>
      </c>
    </row>
    <row r="55" spans="1:17">
      <c r="A55" s="72" t="s">
        <v>175</v>
      </c>
      <c r="B55" s="72" t="s">
        <v>128</v>
      </c>
      <c r="C55" s="72" t="s">
        <v>122</v>
      </c>
      <c r="D55" s="19" t="s">
        <v>168</v>
      </c>
      <c r="E55" s="19">
        <v>1</v>
      </c>
      <c r="F55" s="19">
        <v>0</v>
      </c>
      <c r="G55" s="19">
        <f t="shared" si="0"/>
        <v>2.4699999999999998</v>
      </c>
      <c r="I55" s="19" t="str">
        <f>IF(Table6[[#This Row],[transferCap]]&lt;10, "remove", "")</f>
        <v>remove</v>
      </c>
      <c r="M55">
        <f t="shared" si="1"/>
        <v>2.4699999999999998</v>
      </c>
      <c r="P55">
        <f>(1+ VLOOKUP($B54,'vomcost mult'!$N$10:$R$32,5, FALSE))</f>
        <v>1.1080000000000001</v>
      </c>
      <c r="Q55">
        <f>(1+ VLOOKUP($C54,'vomcost mult'!$N$10:$R$32,5, FALSE))</f>
        <v>1.325</v>
      </c>
    </row>
    <row r="56" spans="1:17">
      <c r="A56" s="72" t="s">
        <v>175</v>
      </c>
      <c r="B56" s="72" t="s">
        <v>122</v>
      </c>
      <c r="C56" s="72" t="s">
        <v>131</v>
      </c>
      <c r="D56" s="19" t="s">
        <v>168</v>
      </c>
      <c r="E56" s="19">
        <v>1</v>
      </c>
      <c r="F56" s="19">
        <v>2000</v>
      </c>
      <c r="G56" s="19">
        <f t="shared" si="0"/>
        <v>2.31</v>
      </c>
      <c r="I56" s="19" t="str">
        <f>IF(Table6[[#This Row],[transferCap]]&lt;10, "remove", "")</f>
        <v/>
      </c>
      <c r="M56">
        <f t="shared" si="1"/>
        <v>2.4699999999999998</v>
      </c>
      <c r="P56">
        <f>(1+ VLOOKUP($B55,'vomcost mult'!$N$10:$R$32,5, FALSE))</f>
        <v>1.325</v>
      </c>
      <c r="Q56">
        <f>(1+ VLOOKUP($C55,'vomcost mult'!$N$10:$R$32,5, FALSE))</f>
        <v>1.1080000000000001</v>
      </c>
    </row>
    <row r="57" spans="1:17">
      <c r="A57" s="72" t="s">
        <v>175</v>
      </c>
      <c r="B57" s="72" t="s">
        <v>131</v>
      </c>
      <c r="C57" s="72" t="s">
        <v>122</v>
      </c>
      <c r="D57" s="19" t="s">
        <v>168</v>
      </c>
      <c r="E57" s="19">
        <v>1</v>
      </c>
      <c r="F57" s="19">
        <v>2000</v>
      </c>
      <c r="G57" s="19">
        <f t="shared" si="0"/>
        <v>2.31</v>
      </c>
      <c r="I57" s="19" t="str">
        <f>IF(Table6[[#This Row],[transferCap]]&lt;10, "remove", "")</f>
        <v/>
      </c>
      <c r="M57">
        <f t="shared" si="1"/>
        <v>2.31</v>
      </c>
      <c r="P57">
        <f>(1+ VLOOKUP($B56,'vomcost mult'!$N$10:$R$32,5, FALSE))</f>
        <v>1.1080000000000001</v>
      </c>
      <c r="Q57">
        <f>(1+ VLOOKUP($C56,'vomcost mult'!$N$10:$R$32,5, FALSE))</f>
        <v>1.181</v>
      </c>
    </row>
    <row r="58" spans="1:17">
      <c r="A58" s="72" t="s">
        <v>175</v>
      </c>
      <c r="B58" s="72" t="s">
        <v>122</v>
      </c>
      <c r="C58" s="72" t="s">
        <v>133</v>
      </c>
      <c r="D58" s="19" t="s">
        <v>168</v>
      </c>
      <c r="E58" s="19">
        <v>1</v>
      </c>
      <c r="F58" s="19">
        <v>1200</v>
      </c>
      <c r="G58" s="19">
        <f t="shared" si="0"/>
        <v>2.29</v>
      </c>
      <c r="I58" s="19" t="str">
        <f>IF(Table6[[#This Row],[transferCap]]&lt;10, "remove", "")</f>
        <v/>
      </c>
      <c r="M58">
        <f t="shared" si="1"/>
        <v>2.31</v>
      </c>
      <c r="P58">
        <f>(1+ VLOOKUP($B57,'vomcost mult'!$N$10:$R$32,5, FALSE))</f>
        <v>1.181</v>
      </c>
      <c r="Q58">
        <f>(1+ VLOOKUP($C57,'vomcost mult'!$N$10:$R$32,5, FALSE))</f>
        <v>1.1080000000000001</v>
      </c>
    </row>
    <row r="59" spans="1:17">
      <c r="A59" s="72" t="s">
        <v>175</v>
      </c>
      <c r="B59" s="72" t="s">
        <v>133</v>
      </c>
      <c r="C59" s="72" t="s">
        <v>122</v>
      </c>
      <c r="D59" s="19" t="s">
        <v>168</v>
      </c>
      <c r="E59" s="19">
        <v>1</v>
      </c>
      <c r="F59" s="19">
        <v>1200</v>
      </c>
      <c r="G59" s="19">
        <f t="shared" si="0"/>
        <v>2.29</v>
      </c>
      <c r="I59" s="19" t="str">
        <f>IF(Table6[[#This Row],[transferCap]]&lt;10, "remove", "")</f>
        <v/>
      </c>
      <c r="M59">
        <f t="shared" si="1"/>
        <v>2.29</v>
      </c>
      <c r="P59">
        <f>(1+ VLOOKUP($B58,'vomcost mult'!$N$10:$R$32,5, FALSE))</f>
        <v>1.1080000000000001</v>
      </c>
      <c r="Q59">
        <f>(1+ VLOOKUP($C58,'vomcost mult'!$N$10:$R$32,5, FALSE))</f>
        <v>1.165</v>
      </c>
    </row>
    <row r="60" spans="1:17">
      <c r="A60" s="72" t="s">
        <v>175</v>
      </c>
      <c r="B60" s="72" t="s">
        <v>123</v>
      </c>
      <c r="C60" s="72" t="s">
        <v>135</v>
      </c>
      <c r="D60" s="19" t="s">
        <v>168</v>
      </c>
      <c r="E60" s="19">
        <v>1</v>
      </c>
      <c r="F60" s="19">
        <v>5600</v>
      </c>
      <c r="G60" s="19">
        <f t="shared" si="0"/>
        <v>2.23</v>
      </c>
      <c r="I60" s="19" t="str">
        <f>IF(Table6[[#This Row],[transferCap]]&lt;10, "remove", "")</f>
        <v/>
      </c>
      <c r="M60">
        <f t="shared" si="1"/>
        <v>2.29</v>
      </c>
      <c r="P60">
        <f>(1+ VLOOKUP($B59,'vomcost mult'!$N$10:$R$32,5, FALSE))</f>
        <v>1.165</v>
      </c>
      <c r="Q60">
        <f>(1+ VLOOKUP($C59,'vomcost mult'!$N$10:$R$32,5, FALSE))</f>
        <v>1.1080000000000001</v>
      </c>
    </row>
    <row r="61" spans="1:17">
      <c r="A61" s="72" t="s">
        <v>175</v>
      </c>
      <c r="B61" s="72" t="s">
        <v>135</v>
      </c>
      <c r="C61" s="72" t="s">
        <v>123</v>
      </c>
      <c r="D61" s="19" t="s">
        <v>168</v>
      </c>
      <c r="E61" s="19">
        <v>1</v>
      </c>
      <c r="F61" s="19">
        <v>5600</v>
      </c>
      <c r="G61" s="19">
        <f t="shared" si="0"/>
        <v>2.23</v>
      </c>
      <c r="I61" s="19" t="str">
        <f>IF(Table6[[#This Row],[transferCap]]&lt;10, "remove", "")</f>
        <v/>
      </c>
      <c r="M61">
        <f t="shared" si="1"/>
        <v>2.23</v>
      </c>
      <c r="P61">
        <f>(1+ VLOOKUP($B60,'vomcost mult'!$N$10:$R$32,5, FALSE))</f>
        <v>1.054</v>
      </c>
      <c r="Q61">
        <f>(1+ VLOOKUP($C60,'vomcost mult'!$N$10:$R$32,5, FALSE))</f>
        <v>1.165</v>
      </c>
    </row>
    <row r="62" spans="1:17">
      <c r="A62" s="72" t="s">
        <v>175</v>
      </c>
      <c r="B62" s="72" t="s">
        <v>124</v>
      </c>
      <c r="C62" s="72" t="s">
        <v>125</v>
      </c>
      <c r="D62" s="19" t="s">
        <v>168</v>
      </c>
      <c r="E62" s="19">
        <v>1</v>
      </c>
      <c r="F62" s="19">
        <v>950</v>
      </c>
      <c r="G62" s="19">
        <f t="shared" si="0"/>
        <v>1.54</v>
      </c>
      <c r="I62" s="19" t="str">
        <f>IF(Table6[[#This Row],[transferCap]]&lt;10, "remove", "")</f>
        <v/>
      </c>
      <c r="M62">
        <f t="shared" si="1"/>
        <v>2.23</v>
      </c>
      <c r="P62">
        <f>(1+ VLOOKUP($B61,'vomcost mult'!$N$10:$R$32,5, FALSE))</f>
        <v>1.165</v>
      </c>
      <c r="Q62">
        <f>(1+ VLOOKUP($C61,'vomcost mult'!$N$10:$R$32,5, FALSE))</f>
        <v>1.054</v>
      </c>
    </row>
    <row r="63" spans="1:17">
      <c r="A63" s="72" t="s">
        <v>175</v>
      </c>
      <c r="B63" s="72" t="s">
        <v>125</v>
      </c>
      <c r="C63" s="72" t="s">
        <v>124</v>
      </c>
      <c r="D63" s="19" t="s">
        <v>168</v>
      </c>
      <c r="E63" s="19">
        <v>1</v>
      </c>
      <c r="F63" s="19">
        <v>950</v>
      </c>
      <c r="G63" s="19">
        <f t="shared" si="0"/>
        <v>1.54</v>
      </c>
      <c r="I63" s="19" t="str">
        <f>IF(Table6[[#This Row],[transferCap]]&lt;10, "remove", "")</f>
        <v/>
      </c>
      <c r="M63">
        <f t="shared" si="1"/>
        <v>1.54</v>
      </c>
      <c r="P63">
        <f>(1+ VLOOKUP($B62,'vomcost mult'!$N$10:$R$32,5, FALSE))</f>
        <v>0.76700000000000002</v>
      </c>
      <c r="Q63">
        <f>(1+ VLOOKUP($C62,'vomcost mult'!$N$10:$R$32,5, FALSE))</f>
        <v>0.70100000000000007</v>
      </c>
    </row>
    <row r="64" spans="1:17">
      <c r="A64" s="72" t="s">
        <v>175</v>
      </c>
      <c r="B64" s="72" t="s">
        <v>124</v>
      </c>
      <c r="C64" s="72" t="s">
        <v>130</v>
      </c>
      <c r="D64" s="19" t="s">
        <v>168</v>
      </c>
      <c r="E64" s="19">
        <v>1</v>
      </c>
      <c r="F64" s="19">
        <v>700</v>
      </c>
      <c r="G64" s="19">
        <f t="shared" si="0"/>
        <v>1.53</v>
      </c>
      <c r="I64" s="19" t="str">
        <f>IF(Table6[[#This Row],[transferCap]]&lt;10, "remove", "")</f>
        <v/>
      </c>
      <c r="M64">
        <f t="shared" si="1"/>
        <v>1.54</v>
      </c>
      <c r="P64">
        <f>(1+ VLOOKUP($B63,'vomcost mult'!$N$10:$R$32,5, FALSE))</f>
        <v>0.70100000000000007</v>
      </c>
      <c r="Q64">
        <f>(1+ VLOOKUP($C63,'vomcost mult'!$N$10:$R$32,5, FALSE))</f>
        <v>0.76700000000000002</v>
      </c>
    </row>
    <row r="65" spans="1:17">
      <c r="A65" s="72" t="s">
        <v>175</v>
      </c>
      <c r="B65" s="72" t="s">
        <v>130</v>
      </c>
      <c r="C65" s="72" t="s">
        <v>124</v>
      </c>
      <c r="D65" s="19" t="s">
        <v>168</v>
      </c>
      <c r="E65" s="19">
        <v>1</v>
      </c>
      <c r="F65" s="19">
        <v>700</v>
      </c>
      <c r="G65" s="19">
        <f t="shared" si="0"/>
        <v>1.53</v>
      </c>
      <c r="I65" s="19" t="str">
        <f>IF(Table6[[#This Row],[transferCap]]&lt;10, "remove", "")</f>
        <v/>
      </c>
      <c r="M65">
        <f t="shared" si="1"/>
        <v>1.53</v>
      </c>
      <c r="P65">
        <f>(1+ VLOOKUP($B64,'vomcost mult'!$N$10:$R$32,5, FALSE))</f>
        <v>0.76700000000000002</v>
      </c>
      <c r="Q65">
        <f>(1+ VLOOKUP($C64,'vomcost mult'!$N$10:$R$32,5, FALSE))</f>
        <v>0.69</v>
      </c>
    </row>
    <row r="66" spans="1:17">
      <c r="A66" s="72" t="s">
        <v>175</v>
      </c>
      <c r="B66" s="72" t="s">
        <v>124</v>
      </c>
      <c r="C66" s="72" t="s">
        <v>134</v>
      </c>
      <c r="D66" s="19" t="s">
        <v>168</v>
      </c>
      <c r="E66" s="19">
        <v>1</v>
      </c>
      <c r="F66" s="19">
        <v>700</v>
      </c>
      <c r="G66" s="19">
        <f t="shared" si="0"/>
        <v>1.8900000000000001</v>
      </c>
      <c r="I66" s="19" t="str">
        <f>IF(Table6[[#This Row],[transferCap]]&lt;10, "remove", "")</f>
        <v/>
      </c>
      <c r="M66">
        <f t="shared" si="1"/>
        <v>1.53</v>
      </c>
      <c r="P66">
        <f>(1+ VLOOKUP($B65,'vomcost mult'!$N$10:$R$32,5, FALSE))</f>
        <v>0.69</v>
      </c>
      <c r="Q66">
        <f>(1+ VLOOKUP($C65,'vomcost mult'!$N$10:$R$32,5, FALSE))</f>
        <v>0.76700000000000002</v>
      </c>
    </row>
    <row r="67" spans="1:17">
      <c r="A67" s="72" t="s">
        <v>175</v>
      </c>
      <c r="B67" s="72" t="s">
        <v>134</v>
      </c>
      <c r="C67" s="72" t="s">
        <v>124</v>
      </c>
      <c r="D67" s="19" t="s">
        <v>168</v>
      </c>
      <c r="E67" s="19">
        <v>1</v>
      </c>
      <c r="F67" s="19">
        <v>700</v>
      </c>
      <c r="G67" s="19">
        <f t="shared" ref="G67:G93" si="2">M68</f>
        <v>1.8900000000000001</v>
      </c>
      <c r="I67" s="19" t="str">
        <f>IF(Table6[[#This Row],[transferCap]]&lt;10, "remove", "")</f>
        <v/>
      </c>
      <c r="M67">
        <f t="shared" si="1"/>
        <v>1.8900000000000001</v>
      </c>
      <c r="P67">
        <f>(1+ VLOOKUP($B66,'vomcost mult'!$N$10:$R$32,5, FALSE))</f>
        <v>0.76700000000000002</v>
      </c>
      <c r="Q67">
        <f>(1+ VLOOKUP($C66,'vomcost mult'!$N$10:$R$32,5, FALSE))</f>
        <v>1.157</v>
      </c>
    </row>
    <row r="68" spans="1:17">
      <c r="A68" s="72" t="s">
        <v>175</v>
      </c>
      <c r="B68" s="72" t="s">
        <v>126</v>
      </c>
      <c r="C68" s="72" t="s">
        <v>129</v>
      </c>
      <c r="D68" s="19" t="s">
        <v>168</v>
      </c>
      <c r="E68" s="19">
        <v>1</v>
      </c>
      <c r="F68" s="19">
        <v>700</v>
      </c>
      <c r="G68" s="19">
        <f t="shared" si="2"/>
        <v>2.5300000000000002</v>
      </c>
      <c r="I68" s="19" t="str">
        <f>IF(Table6[[#This Row],[transferCap]]&lt;10, "remove", "")</f>
        <v/>
      </c>
      <c r="M68">
        <f t="shared" ref="M68:M94" si="3">ROUND(P68*Q68, 2)+1</f>
        <v>1.8900000000000001</v>
      </c>
      <c r="P68">
        <f>(1+ VLOOKUP($B67,'vomcost mult'!$N$10:$R$32,5, FALSE))</f>
        <v>1.157</v>
      </c>
      <c r="Q68">
        <f>(1+ VLOOKUP($C67,'vomcost mult'!$N$10:$R$32,5, FALSE))</f>
        <v>0.76700000000000002</v>
      </c>
    </row>
    <row r="69" spans="1:17">
      <c r="A69" s="72" t="s">
        <v>175</v>
      </c>
      <c r="B69" s="72" t="s">
        <v>129</v>
      </c>
      <c r="C69" s="72" t="s">
        <v>126</v>
      </c>
      <c r="D69" s="19" t="s">
        <v>168</v>
      </c>
      <c r="E69" s="19">
        <v>1</v>
      </c>
      <c r="F69" s="19">
        <v>700</v>
      </c>
      <c r="G69" s="19">
        <f t="shared" si="2"/>
        <v>2.5300000000000002</v>
      </c>
      <c r="I69" s="19" t="str">
        <f>IF(Table6[[#This Row],[transferCap]]&lt;10, "remove", "")</f>
        <v/>
      </c>
      <c r="M69">
        <f t="shared" si="3"/>
        <v>2.5300000000000002</v>
      </c>
      <c r="P69">
        <f>(1+ VLOOKUP($B68,'vomcost mult'!$N$10:$R$32,5, FALSE))</f>
        <v>1.18</v>
      </c>
      <c r="Q69">
        <f>(1+ VLOOKUP($C68,'vomcost mult'!$N$10:$R$32,5, FALSE))</f>
        <v>1.296</v>
      </c>
    </row>
    <row r="70" spans="1:17">
      <c r="A70" s="72" t="s">
        <v>175</v>
      </c>
      <c r="B70" s="72" t="s">
        <v>126</v>
      </c>
      <c r="C70" s="72" t="s">
        <v>135</v>
      </c>
      <c r="D70" s="19" t="s">
        <v>168</v>
      </c>
      <c r="E70" s="19">
        <v>1</v>
      </c>
      <c r="F70" s="19">
        <v>2800</v>
      </c>
      <c r="G70" s="19">
        <f t="shared" si="2"/>
        <v>2.37</v>
      </c>
      <c r="I70" s="19" t="str">
        <f>IF(Table6[[#This Row],[transferCap]]&lt;10, "remove", "")</f>
        <v/>
      </c>
      <c r="M70">
        <f t="shared" si="3"/>
        <v>2.5300000000000002</v>
      </c>
      <c r="P70">
        <f>(1+ VLOOKUP($B69,'vomcost mult'!$N$10:$R$32,5, FALSE))</f>
        <v>1.296</v>
      </c>
      <c r="Q70">
        <f>(1+ VLOOKUP($C69,'vomcost mult'!$N$10:$R$32,5, FALSE))</f>
        <v>1.18</v>
      </c>
    </row>
    <row r="71" spans="1:17">
      <c r="A71" s="72" t="s">
        <v>175</v>
      </c>
      <c r="B71" s="72" t="s">
        <v>135</v>
      </c>
      <c r="C71" s="72" t="s">
        <v>126</v>
      </c>
      <c r="D71" s="19" t="s">
        <v>168</v>
      </c>
      <c r="E71" s="19">
        <v>1</v>
      </c>
      <c r="F71" s="19">
        <v>2800</v>
      </c>
      <c r="G71" s="19">
        <f t="shared" si="2"/>
        <v>2.37</v>
      </c>
      <c r="I71" s="19" t="str">
        <f>IF(Table6[[#This Row],[transferCap]]&lt;10, "remove", "")</f>
        <v/>
      </c>
      <c r="M71">
        <f t="shared" si="3"/>
        <v>2.37</v>
      </c>
      <c r="P71">
        <f>(1+ VLOOKUP($B70,'vomcost mult'!$N$10:$R$32,5, FALSE))</f>
        <v>1.18</v>
      </c>
      <c r="Q71">
        <f>(1+ VLOOKUP($C70,'vomcost mult'!$N$10:$R$32,5, FALSE))</f>
        <v>1.165</v>
      </c>
    </row>
    <row r="72" spans="1:17">
      <c r="A72" s="72" t="s">
        <v>175</v>
      </c>
      <c r="B72" s="72" t="s">
        <v>127</v>
      </c>
      <c r="C72" s="72" t="s">
        <v>128</v>
      </c>
      <c r="D72" s="19" t="s">
        <v>168</v>
      </c>
      <c r="E72" s="19">
        <v>1</v>
      </c>
      <c r="F72" s="19">
        <v>350</v>
      </c>
      <c r="G72" s="19">
        <f t="shared" si="2"/>
        <v>2.74</v>
      </c>
      <c r="I72" s="19" t="str">
        <f>IF(Table6[[#This Row],[transferCap]]&lt;10, "remove", "")</f>
        <v/>
      </c>
      <c r="M72">
        <f t="shared" si="3"/>
        <v>2.37</v>
      </c>
      <c r="P72">
        <f>(1+ VLOOKUP($B71,'vomcost mult'!$N$10:$R$32,5, FALSE))</f>
        <v>1.165</v>
      </c>
      <c r="Q72">
        <f>(1+ VLOOKUP($C71,'vomcost mult'!$N$10:$R$32,5, FALSE))</f>
        <v>1.18</v>
      </c>
    </row>
    <row r="73" spans="1:17">
      <c r="A73" s="72" t="s">
        <v>175</v>
      </c>
      <c r="B73" s="72" t="s">
        <v>128</v>
      </c>
      <c r="C73" s="72" t="s">
        <v>127</v>
      </c>
      <c r="D73" s="19" t="s">
        <v>168</v>
      </c>
      <c r="E73" s="19">
        <v>1</v>
      </c>
      <c r="F73" s="19">
        <v>1300</v>
      </c>
      <c r="G73" s="19">
        <f t="shared" si="2"/>
        <v>2.74</v>
      </c>
      <c r="I73" s="19" t="str">
        <f>IF(Table6[[#This Row],[transferCap]]&lt;10, "remove", "")</f>
        <v/>
      </c>
      <c r="M73">
        <f t="shared" si="3"/>
        <v>2.74</v>
      </c>
      <c r="P73">
        <f>(1+ VLOOKUP($B72,'vomcost mult'!$N$10:$R$32,5, FALSE))</f>
        <v>1.31</v>
      </c>
      <c r="Q73">
        <f>(1+ VLOOKUP($C72,'vomcost mult'!$N$10:$R$32,5, FALSE))</f>
        <v>1.325</v>
      </c>
    </row>
    <row r="74" spans="1:17">
      <c r="A74" s="72" t="s">
        <v>175</v>
      </c>
      <c r="B74" s="72" t="s">
        <v>127</v>
      </c>
      <c r="C74" s="72" t="s">
        <v>129</v>
      </c>
      <c r="D74" s="19" t="s">
        <v>168</v>
      </c>
      <c r="E74" s="19">
        <v>1</v>
      </c>
      <c r="F74" s="19">
        <v>800</v>
      </c>
      <c r="G74" s="19">
        <f t="shared" si="2"/>
        <v>2.7</v>
      </c>
      <c r="I74" s="19" t="str">
        <f>IF(Table6[[#This Row],[transferCap]]&lt;10, "remove", "")</f>
        <v/>
      </c>
      <c r="M74">
        <f t="shared" si="3"/>
        <v>2.74</v>
      </c>
      <c r="P74">
        <f>(1+ VLOOKUP($B73,'vomcost mult'!$N$10:$R$32,5, FALSE))</f>
        <v>1.325</v>
      </c>
      <c r="Q74">
        <f>(1+ VLOOKUP($C73,'vomcost mult'!$N$10:$R$32,5, FALSE))</f>
        <v>1.31</v>
      </c>
    </row>
    <row r="75" spans="1:17">
      <c r="A75" s="72" t="s">
        <v>175</v>
      </c>
      <c r="B75" s="72" t="s">
        <v>129</v>
      </c>
      <c r="C75" s="72" t="s">
        <v>127</v>
      </c>
      <c r="D75" s="19" t="s">
        <v>168</v>
      </c>
      <c r="E75" s="19">
        <v>1</v>
      </c>
      <c r="F75" s="19">
        <v>600</v>
      </c>
      <c r="G75" s="19">
        <f t="shared" si="2"/>
        <v>2.7</v>
      </c>
      <c r="I75" s="19" t="str">
        <f>IF(Table6[[#This Row],[transferCap]]&lt;10, "remove", "")</f>
        <v/>
      </c>
      <c r="M75">
        <f t="shared" si="3"/>
        <v>2.7</v>
      </c>
      <c r="P75">
        <f>(1+ VLOOKUP($B74,'vomcost mult'!$N$10:$R$32,5, FALSE))</f>
        <v>1.31</v>
      </c>
      <c r="Q75">
        <f>(1+ VLOOKUP($C74,'vomcost mult'!$N$10:$R$32,5, FALSE))</f>
        <v>1.296</v>
      </c>
    </row>
    <row r="76" spans="1:17">
      <c r="A76" s="72" t="s">
        <v>175</v>
      </c>
      <c r="B76" s="72" t="s">
        <v>127</v>
      </c>
      <c r="C76" s="72" t="s">
        <v>132</v>
      </c>
      <c r="D76" s="19" t="s">
        <v>168</v>
      </c>
      <c r="E76" s="19">
        <v>1</v>
      </c>
      <c r="F76" s="19">
        <v>600</v>
      </c>
      <c r="G76" s="19">
        <f t="shared" si="2"/>
        <v>2.54</v>
      </c>
      <c r="I76" s="19" t="str">
        <f>IF(Table6[[#This Row],[transferCap]]&lt;10, "remove", "")</f>
        <v/>
      </c>
      <c r="M76">
        <f t="shared" si="3"/>
        <v>2.7</v>
      </c>
      <c r="P76">
        <f>(1+ VLOOKUP($B75,'vomcost mult'!$N$10:$R$32,5, FALSE))</f>
        <v>1.296</v>
      </c>
      <c r="Q76">
        <f>(1+ VLOOKUP($C75,'vomcost mult'!$N$10:$R$32,5, FALSE))</f>
        <v>1.31</v>
      </c>
    </row>
    <row r="77" spans="1:17">
      <c r="A77" s="72" t="s">
        <v>175</v>
      </c>
      <c r="B77" s="72" t="s">
        <v>132</v>
      </c>
      <c r="C77" s="72" t="s">
        <v>127</v>
      </c>
      <c r="D77" s="19" t="s">
        <v>168</v>
      </c>
      <c r="E77" s="19">
        <v>1</v>
      </c>
      <c r="F77" s="19">
        <v>1000</v>
      </c>
      <c r="G77" s="19">
        <f t="shared" si="2"/>
        <v>2.54</v>
      </c>
      <c r="I77" s="19" t="str">
        <f>IF(Table6[[#This Row],[transferCap]]&lt;10, "remove", "")</f>
        <v/>
      </c>
      <c r="M77">
        <f t="shared" si="3"/>
        <v>2.54</v>
      </c>
      <c r="P77">
        <f>(1+ VLOOKUP($B76,'vomcost mult'!$N$10:$R$32,5, FALSE))</f>
        <v>1.31</v>
      </c>
      <c r="Q77">
        <f>(1+ VLOOKUP($C76,'vomcost mult'!$N$10:$R$32,5, FALSE))</f>
        <v>1.173</v>
      </c>
    </row>
    <row r="78" spans="1:17">
      <c r="A78" s="72" t="s">
        <v>175</v>
      </c>
      <c r="B78" s="72" t="s">
        <v>128</v>
      </c>
      <c r="C78" s="72" t="s">
        <v>131</v>
      </c>
      <c r="D78" s="19" t="s">
        <v>168</v>
      </c>
      <c r="E78" s="19">
        <v>1</v>
      </c>
      <c r="F78" s="19">
        <v>700</v>
      </c>
      <c r="G78" s="19">
        <f t="shared" si="2"/>
        <v>2.56</v>
      </c>
      <c r="I78" s="19" t="str">
        <f>IF(Table6[[#This Row],[transferCap]]&lt;10, "remove", "")</f>
        <v/>
      </c>
      <c r="M78">
        <f t="shared" si="3"/>
        <v>2.54</v>
      </c>
      <c r="P78">
        <f>(1+ VLOOKUP($B77,'vomcost mult'!$N$10:$R$32,5, FALSE))</f>
        <v>1.173</v>
      </c>
      <c r="Q78">
        <f>(1+ VLOOKUP($C77,'vomcost mult'!$N$10:$R$32,5, FALSE))</f>
        <v>1.31</v>
      </c>
    </row>
    <row r="79" spans="1:17">
      <c r="A79" s="72" t="s">
        <v>175</v>
      </c>
      <c r="B79" s="72" t="s">
        <v>131</v>
      </c>
      <c r="C79" s="72" t="s">
        <v>128</v>
      </c>
      <c r="D79" s="19" t="s">
        <v>168</v>
      </c>
      <c r="E79" s="19">
        <v>1</v>
      </c>
      <c r="F79" s="19">
        <v>600</v>
      </c>
      <c r="G79" s="19">
        <f t="shared" si="2"/>
        <v>2.56</v>
      </c>
      <c r="I79" s="19" t="str">
        <f>IF(Table6[[#This Row],[transferCap]]&lt;10, "remove", "")</f>
        <v/>
      </c>
      <c r="M79">
        <f t="shared" si="3"/>
        <v>2.56</v>
      </c>
      <c r="P79">
        <f>(1+ VLOOKUP($B78,'vomcost mult'!$N$10:$R$32,5, FALSE))</f>
        <v>1.325</v>
      </c>
      <c r="Q79">
        <f>(1+ VLOOKUP($C78,'vomcost mult'!$N$10:$R$32,5, FALSE))</f>
        <v>1.181</v>
      </c>
    </row>
    <row r="80" spans="1:17">
      <c r="A80" s="72" t="s">
        <v>175</v>
      </c>
      <c r="B80" s="72" t="s">
        <v>128</v>
      </c>
      <c r="C80" s="72" t="s">
        <v>132</v>
      </c>
      <c r="D80" s="19" t="s">
        <v>168</v>
      </c>
      <c r="E80" s="19">
        <v>1</v>
      </c>
      <c r="F80" s="19">
        <v>250</v>
      </c>
      <c r="G80" s="19">
        <f t="shared" si="2"/>
        <v>2.5499999999999998</v>
      </c>
      <c r="I80" s="19" t="str">
        <f>IF(Table6[[#This Row],[transferCap]]&lt;10, "remove", "")</f>
        <v/>
      </c>
      <c r="M80">
        <f t="shared" si="3"/>
        <v>2.56</v>
      </c>
      <c r="P80">
        <f>(1+ VLOOKUP($B79,'vomcost mult'!$N$10:$R$32,5, FALSE))</f>
        <v>1.181</v>
      </c>
      <c r="Q80">
        <f>(1+ VLOOKUP($C79,'vomcost mult'!$N$10:$R$32,5, FALSE))</f>
        <v>1.325</v>
      </c>
    </row>
    <row r="81" spans="1:17">
      <c r="A81" s="72" t="s">
        <v>175</v>
      </c>
      <c r="B81" s="72" t="s">
        <v>132</v>
      </c>
      <c r="C81" s="72" t="s">
        <v>128</v>
      </c>
      <c r="D81" s="19" t="s">
        <v>168</v>
      </c>
      <c r="E81" s="19">
        <v>1</v>
      </c>
      <c r="F81" s="19">
        <v>300</v>
      </c>
      <c r="G81" s="19">
        <f t="shared" si="2"/>
        <v>2.5499999999999998</v>
      </c>
      <c r="I81" s="19" t="str">
        <f>IF(Table6[[#This Row],[transferCap]]&lt;10, "remove", "")</f>
        <v/>
      </c>
      <c r="M81">
        <f t="shared" si="3"/>
        <v>2.5499999999999998</v>
      </c>
      <c r="P81">
        <f>(1+ VLOOKUP($B80,'vomcost mult'!$N$10:$R$32,5, FALSE))</f>
        <v>1.325</v>
      </c>
      <c r="Q81">
        <f>(1+ VLOOKUP($C80,'vomcost mult'!$N$10:$R$32,5, FALSE))</f>
        <v>1.173</v>
      </c>
    </row>
    <row r="82" spans="1:17">
      <c r="A82" s="72" t="s">
        <v>175</v>
      </c>
      <c r="B82" s="72" t="s">
        <v>129</v>
      </c>
      <c r="C82" s="72" t="s">
        <v>133</v>
      </c>
      <c r="D82" s="19" t="s">
        <v>168</v>
      </c>
      <c r="E82" s="19">
        <v>1</v>
      </c>
      <c r="F82" s="19">
        <v>2145</v>
      </c>
      <c r="G82" s="19">
        <f t="shared" si="2"/>
        <v>2.5099999999999998</v>
      </c>
      <c r="I82" s="19" t="str">
        <f>IF(Table6[[#This Row],[transferCap]]&lt;10, "remove", "")</f>
        <v/>
      </c>
      <c r="M82">
        <f t="shared" si="3"/>
        <v>2.5499999999999998</v>
      </c>
      <c r="P82">
        <f>(1+ VLOOKUP($B81,'vomcost mult'!$N$10:$R$32,5, FALSE))</f>
        <v>1.173</v>
      </c>
      <c r="Q82">
        <f>(1+ VLOOKUP($C81,'vomcost mult'!$N$10:$R$32,5, FALSE))</f>
        <v>1.325</v>
      </c>
    </row>
    <row r="83" spans="1:17">
      <c r="A83" s="72" t="s">
        <v>175</v>
      </c>
      <c r="B83" s="72" t="s">
        <v>133</v>
      </c>
      <c r="C83" s="72" t="s">
        <v>129</v>
      </c>
      <c r="D83" s="19" t="s">
        <v>168</v>
      </c>
      <c r="E83" s="19">
        <v>1</v>
      </c>
      <c r="F83" s="19">
        <v>2095</v>
      </c>
      <c r="G83" s="19">
        <f t="shared" si="2"/>
        <v>2.5099999999999998</v>
      </c>
      <c r="I83" s="19" t="str">
        <f>IF(Table6[[#This Row],[transferCap]]&lt;10, "remove", "")</f>
        <v/>
      </c>
      <c r="M83">
        <f t="shared" si="3"/>
        <v>2.5099999999999998</v>
      </c>
      <c r="P83">
        <f>(1+ VLOOKUP($B82,'vomcost mult'!$N$10:$R$32,5, FALSE))</f>
        <v>1.296</v>
      </c>
      <c r="Q83">
        <f>(1+ VLOOKUP($C82,'vomcost mult'!$N$10:$R$32,5, FALSE))</f>
        <v>1.165</v>
      </c>
    </row>
    <row r="84" spans="1:17">
      <c r="A84" s="72" t="s">
        <v>175</v>
      </c>
      <c r="B84" s="72" t="s">
        <v>129</v>
      </c>
      <c r="C84" s="72" t="s">
        <v>135</v>
      </c>
      <c r="D84" s="19" t="s">
        <v>168</v>
      </c>
      <c r="E84" s="19">
        <v>1</v>
      </c>
      <c r="F84" s="19">
        <v>1400</v>
      </c>
      <c r="G84" s="19">
        <f t="shared" si="2"/>
        <v>2.5099999999999998</v>
      </c>
      <c r="I84" s="19" t="str">
        <f>IF(Table6[[#This Row],[transferCap]]&lt;10, "remove", "")</f>
        <v/>
      </c>
      <c r="M84">
        <f t="shared" si="3"/>
        <v>2.5099999999999998</v>
      </c>
      <c r="P84">
        <f>(1+ VLOOKUP($B83,'vomcost mult'!$N$10:$R$32,5, FALSE))</f>
        <v>1.165</v>
      </c>
      <c r="Q84">
        <f>(1+ VLOOKUP($C83,'vomcost mult'!$N$10:$R$32,5, FALSE))</f>
        <v>1.296</v>
      </c>
    </row>
    <row r="85" spans="1:17">
      <c r="A85" s="72" t="s">
        <v>175</v>
      </c>
      <c r="B85" s="72" t="s">
        <v>135</v>
      </c>
      <c r="C85" s="72" t="s">
        <v>129</v>
      </c>
      <c r="D85" s="19" t="s">
        <v>168</v>
      </c>
      <c r="E85" s="19">
        <v>1</v>
      </c>
      <c r="F85" s="19">
        <v>1400</v>
      </c>
      <c r="G85" s="19">
        <f t="shared" si="2"/>
        <v>2.5099999999999998</v>
      </c>
      <c r="I85" s="19" t="str">
        <f>IF(Table6[[#This Row],[transferCap]]&lt;10, "remove", "")</f>
        <v/>
      </c>
      <c r="M85">
        <f t="shared" si="3"/>
        <v>2.5099999999999998</v>
      </c>
      <c r="P85">
        <f>(1+ VLOOKUP($B84,'vomcost mult'!$N$10:$R$32,5, FALSE))</f>
        <v>1.296</v>
      </c>
      <c r="Q85">
        <f>(1+ VLOOKUP($C84,'vomcost mult'!$N$10:$R$32,5, FALSE))</f>
        <v>1.165</v>
      </c>
    </row>
    <row r="86" spans="1:17">
      <c r="A86" s="72" t="s">
        <v>175</v>
      </c>
      <c r="B86" s="72" t="s">
        <v>130</v>
      </c>
      <c r="C86" s="72" t="s">
        <v>134</v>
      </c>
      <c r="D86" s="19" t="s">
        <v>168</v>
      </c>
      <c r="E86" s="19">
        <v>1</v>
      </c>
      <c r="F86" s="19">
        <v>600</v>
      </c>
      <c r="G86" s="19">
        <f t="shared" si="2"/>
        <v>1.8</v>
      </c>
      <c r="I86" s="19" t="str">
        <f>IF(Table6[[#This Row],[transferCap]]&lt;10, "remove", "")</f>
        <v/>
      </c>
      <c r="M86">
        <f t="shared" si="3"/>
        <v>2.5099999999999998</v>
      </c>
      <c r="P86">
        <f>(1+ VLOOKUP($B85,'vomcost mult'!$N$10:$R$32,5, FALSE))</f>
        <v>1.165</v>
      </c>
      <c r="Q86">
        <f>(1+ VLOOKUP($C85,'vomcost mult'!$N$10:$R$32,5, FALSE))</f>
        <v>1.296</v>
      </c>
    </row>
    <row r="87" spans="1:17">
      <c r="A87" s="72" t="s">
        <v>175</v>
      </c>
      <c r="B87" s="72" t="s">
        <v>134</v>
      </c>
      <c r="C87" s="72" t="s">
        <v>130</v>
      </c>
      <c r="D87" s="19" t="s">
        <v>168</v>
      </c>
      <c r="E87" s="19">
        <v>1</v>
      </c>
      <c r="F87" s="19">
        <v>600</v>
      </c>
      <c r="G87" s="19">
        <f t="shared" si="2"/>
        <v>1.8</v>
      </c>
      <c r="I87" s="19" t="str">
        <f>IF(Table6[[#This Row],[transferCap]]&lt;10, "remove", "")</f>
        <v/>
      </c>
      <c r="M87">
        <f t="shared" si="3"/>
        <v>1.8</v>
      </c>
      <c r="P87">
        <f>(1+ VLOOKUP($B86,'vomcost mult'!$N$10:$R$32,5, FALSE))</f>
        <v>0.69</v>
      </c>
      <c r="Q87">
        <f>(1+ VLOOKUP($C86,'vomcost mult'!$N$10:$R$32,5, FALSE))</f>
        <v>1.157</v>
      </c>
    </row>
    <row r="88" spans="1:17">
      <c r="A88" s="72" t="s">
        <v>175</v>
      </c>
      <c r="B88" s="72" t="s">
        <v>131</v>
      </c>
      <c r="C88" s="72" t="s">
        <v>132</v>
      </c>
      <c r="D88" s="19" t="s">
        <v>168</v>
      </c>
      <c r="E88" s="19">
        <v>1</v>
      </c>
      <c r="F88" s="19">
        <v>3300</v>
      </c>
      <c r="G88" s="19">
        <f t="shared" si="2"/>
        <v>2.3899999999999997</v>
      </c>
      <c r="I88" s="19" t="str">
        <f>IF(Table6[[#This Row],[transferCap]]&lt;10, "remove", "")</f>
        <v/>
      </c>
      <c r="M88">
        <f t="shared" si="3"/>
        <v>1.8</v>
      </c>
      <c r="P88">
        <f>(1+ VLOOKUP($B87,'vomcost mult'!$N$10:$R$32,5, FALSE))</f>
        <v>1.157</v>
      </c>
      <c r="Q88">
        <f>(1+ VLOOKUP($C87,'vomcost mult'!$N$10:$R$32,5, FALSE))</f>
        <v>0.69</v>
      </c>
    </row>
    <row r="89" spans="1:17">
      <c r="A89" s="72" t="s">
        <v>175</v>
      </c>
      <c r="B89" s="72" t="s">
        <v>132</v>
      </c>
      <c r="C89" s="72" t="s">
        <v>131</v>
      </c>
      <c r="D89" s="19" t="s">
        <v>168</v>
      </c>
      <c r="E89" s="19">
        <v>1</v>
      </c>
      <c r="F89" s="19">
        <v>3300</v>
      </c>
      <c r="G89" s="19">
        <f t="shared" si="2"/>
        <v>2.3899999999999997</v>
      </c>
      <c r="I89" s="19" t="str">
        <f>IF(Table6[[#This Row],[transferCap]]&lt;10, "remove", "")</f>
        <v/>
      </c>
      <c r="M89">
        <f t="shared" si="3"/>
        <v>2.3899999999999997</v>
      </c>
      <c r="P89">
        <f>(1+ VLOOKUP($B88,'vomcost mult'!$N$10:$R$32,5, FALSE))</f>
        <v>1.181</v>
      </c>
      <c r="Q89">
        <f>(1+ VLOOKUP($C88,'vomcost mult'!$N$10:$R$32,5, FALSE))</f>
        <v>1.173</v>
      </c>
    </row>
    <row r="90" spans="1:17">
      <c r="A90" s="72" t="s">
        <v>175</v>
      </c>
      <c r="B90" s="72" t="s">
        <v>132</v>
      </c>
      <c r="C90" s="72" t="s">
        <v>133</v>
      </c>
      <c r="D90" s="19" t="s">
        <v>168</v>
      </c>
      <c r="E90" s="19">
        <v>1</v>
      </c>
      <c r="F90" s="19">
        <v>7300</v>
      </c>
      <c r="G90" s="19">
        <f t="shared" si="2"/>
        <v>2.37</v>
      </c>
      <c r="I90" s="19" t="str">
        <f>IF(Table6[[#This Row],[transferCap]]&lt;10, "remove", "")</f>
        <v/>
      </c>
      <c r="M90">
        <f t="shared" si="3"/>
        <v>2.3899999999999997</v>
      </c>
      <c r="P90">
        <f>(1+ VLOOKUP($B89,'vomcost mult'!$N$10:$R$32,5, FALSE))</f>
        <v>1.173</v>
      </c>
      <c r="Q90">
        <f>(1+ VLOOKUP($C89,'vomcost mult'!$N$10:$R$32,5, FALSE))</f>
        <v>1.181</v>
      </c>
    </row>
    <row r="91" spans="1:17">
      <c r="A91" s="72" t="s">
        <v>175</v>
      </c>
      <c r="B91" s="72" t="s">
        <v>133</v>
      </c>
      <c r="C91" s="72" t="s">
        <v>132</v>
      </c>
      <c r="D91" s="19" t="s">
        <v>168</v>
      </c>
      <c r="E91" s="19">
        <v>1</v>
      </c>
      <c r="F91" s="19">
        <v>7300</v>
      </c>
      <c r="G91" s="19">
        <f t="shared" si="2"/>
        <v>2.37</v>
      </c>
      <c r="I91" s="19" t="str">
        <f>IF(Table6[[#This Row],[transferCap]]&lt;10, "remove", "")</f>
        <v/>
      </c>
      <c r="M91">
        <f t="shared" si="3"/>
        <v>2.37</v>
      </c>
      <c r="P91">
        <f>(1+ VLOOKUP($B90,'vomcost mult'!$N$10:$R$32,5, FALSE))</f>
        <v>1.173</v>
      </c>
      <c r="Q91">
        <f>(1+ VLOOKUP($C90,'vomcost mult'!$N$10:$R$32,5, FALSE))</f>
        <v>1.165</v>
      </c>
    </row>
    <row r="92" spans="1:17">
      <c r="A92" s="72" t="s">
        <v>175</v>
      </c>
      <c r="B92" s="72" t="s">
        <v>133</v>
      </c>
      <c r="C92" s="72" t="s">
        <v>134</v>
      </c>
      <c r="D92" s="19" t="s">
        <v>168</v>
      </c>
      <c r="E92" s="19">
        <v>1</v>
      </c>
      <c r="F92" s="19">
        <v>6200</v>
      </c>
      <c r="G92" s="19">
        <f t="shared" si="2"/>
        <v>2.35</v>
      </c>
      <c r="I92" s="19" t="str">
        <f>IF(Table6[[#This Row],[transferCap]]&lt;10, "remove", "")</f>
        <v/>
      </c>
      <c r="M92">
        <f t="shared" si="3"/>
        <v>2.37</v>
      </c>
      <c r="P92">
        <f>(1+ VLOOKUP($B91,'vomcost mult'!$N$10:$R$32,5, FALSE))</f>
        <v>1.165</v>
      </c>
      <c r="Q92">
        <f>(1+ VLOOKUP($C91,'vomcost mult'!$N$10:$R$32,5, FALSE))</f>
        <v>1.173</v>
      </c>
    </row>
    <row r="93" spans="1:17">
      <c r="A93" s="72" t="s">
        <v>175</v>
      </c>
      <c r="B93" s="72" t="s">
        <v>134</v>
      </c>
      <c r="C93" s="72" t="s">
        <v>133</v>
      </c>
      <c r="D93" s="19" t="s">
        <v>168</v>
      </c>
      <c r="E93" s="19">
        <v>1</v>
      </c>
      <c r="F93" s="19">
        <v>2800</v>
      </c>
      <c r="G93" s="19">
        <f t="shared" si="2"/>
        <v>2.35</v>
      </c>
      <c r="I93" s="19" t="str">
        <f>IF(Table6[[#This Row],[transferCap]]&lt;10, "remove", "")</f>
        <v/>
      </c>
      <c r="M93">
        <f t="shared" si="3"/>
        <v>2.35</v>
      </c>
      <c r="P93">
        <f>(1+ VLOOKUP($B92,'vomcost mult'!$N$10:$R$32,5, FALSE))</f>
        <v>1.165</v>
      </c>
      <c r="Q93">
        <f>(1+ VLOOKUP($C92,'vomcost mult'!$N$10:$R$32,5, FALSE))</f>
        <v>1.157</v>
      </c>
    </row>
    <row r="94" spans="1:17">
      <c r="M94">
        <f t="shared" si="3"/>
        <v>2.35</v>
      </c>
      <c r="P94">
        <f>(1+ VLOOKUP($B93,'vomcost mult'!$N$10:$R$32,5, FALSE))</f>
        <v>1.157</v>
      </c>
      <c r="Q94">
        <f>(1+ VLOOKUP($C93,'vomcost mult'!$N$10:$R$32,5, FALSE))</f>
        <v>1.165</v>
      </c>
    </row>
  </sheetData>
  <pageMargins left="0.75" right="0.75" top="1" bottom="1" header="0.5" footer="0.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B05DF-D0B7-4853-82DE-B934778CBD49}">
  <sheetPr>
    <tabColor theme="6" tint="0.59999389629810485"/>
  </sheetPr>
  <dimension ref="A1:E3"/>
  <sheetViews>
    <sheetView tabSelected="1" workbookViewId="0">
      <selection activeCell="D3" sqref="D3"/>
    </sheetView>
  </sheetViews>
  <sheetFormatPr defaultRowHeight="15"/>
  <cols>
    <col min="1" max="1" width="14.140625" customWidth="1"/>
  </cols>
  <sheetData>
    <row r="1" spans="1:5">
      <c r="A1" s="53" t="s">
        <v>164</v>
      </c>
      <c r="B1" s="53" t="s">
        <v>165</v>
      </c>
      <c r="C1" s="53" t="s">
        <v>180</v>
      </c>
      <c r="D1" s="53" t="s">
        <v>181</v>
      </c>
      <c r="E1" s="53" t="s">
        <v>182</v>
      </c>
    </row>
    <row r="2" spans="1:5">
      <c r="A2" s="54" t="s">
        <v>168</v>
      </c>
      <c r="B2">
        <v>1</v>
      </c>
      <c r="C2" s="55" t="s">
        <v>176</v>
      </c>
      <c r="D2" t="s">
        <v>329</v>
      </c>
      <c r="E2" s="55">
        <v>95</v>
      </c>
    </row>
    <row r="3" spans="1:5">
      <c r="A3" s="54"/>
      <c r="C3" s="55"/>
      <c r="E3" s="5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C720-6539-4168-B7AA-E00978428290}">
  <sheetPr>
    <tabColor theme="6" tint="0.59999389629810485"/>
  </sheetPr>
  <dimension ref="A1:G11"/>
  <sheetViews>
    <sheetView workbookViewId="0">
      <selection activeCell="L17" sqref="L17"/>
    </sheetView>
  </sheetViews>
  <sheetFormatPr defaultRowHeight="15"/>
  <cols>
    <col min="1" max="1" width="14" bestFit="1" customWidth="1"/>
    <col min="2" max="2" width="7.28515625" bestFit="1" customWidth="1"/>
    <col min="3" max="3" width="10.7109375" bestFit="1" customWidth="1"/>
    <col min="4" max="4" width="10.7109375" customWidth="1"/>
    <col min="5" max="5" width="10" bestFit="1" customWidth="1"/>
    <col min="6" max="7" width="18.28515625" bestFit="1" customWidth="1"/>
  </cols>
  <sheetData>
    <row r="1" spans="1:7">
      <c r="A1" s="53" t="s">
        <v>164</v>
      </c>
      <c r="B1" s="53" t="s">
        <v>165</v>
      </c>
      <c r="C1" s="53" t="s">
        <v>177</v>
      </c>
      <c r="D1" s="53" t="s">
        <v>3</v>
      </c>
      <c r="E1" s="56" t="s">
        <v>182</v>
      </c>
      <c r="F1" s="56" t="s">
        <v>183</v>
      </c>
      <c r="G1" s="56" t="s">
        <v>230</v>
      </c>
    </row>
    <row r="2" spans="1:7">
      <c r="A2" s="54" t="s">
        <v>168</v>
      </c>
      <c r="B2">
        <v>1</v>
      </c>
      <c r="C2" s="55" t="s">
        <v>320</v>
      </c>
      <c r="D2" s="55" t="s">
        <v>168</v>
      </c>
      <c r="E2" s="57">
        <v>27</v>
      </c>
      <c r="F2" s="19">
        <v>0.34200000000000003</v>
      </c>
      <c r="G2" s="19"/>
    </row>
    <row r="3" spans="1:7">
      <c r="A3" s="54" t="s">
        <v>168</v>
      </c>
      <c r="B3">
        <v>1</v>
      </c>
      <c r="C3" s="55" t="s">
        <v>296</v>
      </c>
      <c r="D3" s="55" t="s">
        <v>168</v>
      </c>
      <c r="E3" s="57">
        <v>2.5</v>
      </c>
      <c r="F3" s="19">
        <v>0</v>
      </c>
      <c r="G3" s="19"/>
    </row>
    <row r="4" spans="1:7">
      <c r="A4" s="54" t="s">
        <v>168</v>
      </c>
      <c r="B4">
        <v>1</v>
      </c>
      <c r="C4" s="55" t="s">
        <v>321</v>
      </c>
      <c r="D4" s="55" t="s">
        <v>168</v>
      </c>
      <c r="E4" s="57">
        <v>55</v>
      </c>
      <c r="F4" s="19">
        <v>0.19800000000000001</v>
      </c>
      <c r="G4" s="19"/>
    </row>
    <row r="5" spans="1:7">
      <c r="A5" s="54" t="s">
        <v>168</v>
      </c>
      <c r="B5">
        <v>1</v>
      </c>
      <c r="C5" s="55" t="s">
        <v>322</v>
      </c>
      <c r="D5" s="55" t="s">
        <v>168</v>
      </c>
      <c r="E5" s="57">
        <v>65</v>
      </c>
      <c r="F5" s="19">
        <v>0.28079999999999999</v>
      </c>
      <c r="G5" s="19"/>
    </row>
    <row r="6" spans="1:7">
      <c r="A6" s="54" t="s">
        <v>168</v>
      </c>
      <c r="B6">
        <v>1</v>
      </c>
      <c r="C6" s="55" t="s">
        <v>323</v>
      </c>
      <c r="D6" s="55" t="s">
        <v>168</v>
      </c>
      <c r="E6" s="57">
        <v>65</v>
      </c>
      <c r="F6" s="19">
        <v>0.25559999999999999</v>
      </c>
      <c r="G6" s="19"/>
    </row>
    <row r="7" spans="1:7">
      <c r="A7" s="54" t="s">
        <v>168</v>
      </c>
      <c r="B7">
        <v>1</v>
      </c>
      <c r="C7" s="55" t="s">
        <v>324</v>
      </c>
      <c r="D7" s="55" t="s">
        <v>168</v>
      </c>
      <c r="E7" s="58">
        <v>15</v>
      </c>
      <c r="F7" s="19">
        <v>0.37080000000000002</v>
      </c>
      <c r="G7" s="19"/>
    </row>
    <row r="8" spans="1:7">
      <c r="A8" s="54" t="s">
        <v>168</v>
      </c>
      <c r="B8">
        <v>1</v>
      </c>
      <c r="C8" s="55" t="s">
        <v>325</v>
      </c>
      <c r="D8" s="55" t="s">
        <v>168</v>
      </c>
      <c r="E8" s="57">
        <v>40</v>
      </c>
      <c r="F8" s="19">
        <v>0</v>
      </c>
      <c r="G8" s="19">
        <v>0.39</v>
      </c>
    </row>
    <row r="9" spans="1:7">
      <c r="A9" s="54" t="s">
        <v>168</v>
      </c>
      <c r="B9">
        <v>1</v>
      </c>
      <c r="C9" s="55" t="s">
        <v>326</v>
      </c>
      <c r="D9" s="55" t="s">
        <v>168</v>
      </c>
      <c r="E9" s="19">
        <v>1</v>
      </c>
      <c r="F9" s="19">
        <v>0</v>
      </c>
      <c r="G9" s="19">
        <v>0.39</v>
      </c>
    </row>
    <row r="10" spans="1:7">
      <c r="A10" s="54" t="s">
        <v>168</v>
      </c>
      <c r="B10">
        <v>1</v>
      </c>
      <c r="C10" s="55" t="s">
        <v>327</v>
      </c>
      <c r="D10" s="55" t="s">
        <v>168</v>
      </c>
      <c r="E10" s="19">
        <v>1</v>
      </c>
      <c r="F10" s="19">
        <v>0.14399999999999999</v>
      </c>
      <c r="G10" s="19">
        <v>0.14399999999999999</v>
      </c>
    </row>
    <row r="11" spans="1:7">
      <c r="A11" s="54" t="s">
        <v>168</v>
      </c>
      <c r="B11">
        <v>1</v>
      </c>
      <c r="C11" t="s">
        <v>328</v>
      </c>
      <c r="D11" t="s">
        <v>168</v>
      </c>
      <c r="E11" s="19">
        <v>20</v>
      </c>
      <c r="F11" s="19">
        <v>0.41399999999999998</v>
      </c>
      <c r="G11" s="19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vomcost mult</vt:lpstr>
      <vt:lpstr>VRE-NT2030</vt:lpstr>
      <vt:lpstr>wind</vt:lpstr>
      <vt:lpstr>onshore</vt:lpstr>
      <vt:lpstr>offshore</vt:lpstr>
      <vt:lpstr>PV</vt:lpstr>
      <vt:lpstr>VRE summary</vt:lpstr>
      <vt:lpstr>unitdata_VRE</vt:lpstr>
      <vt:lpstr>battery_data</vt:lpstr>
      <vt:lpstr>unitdata_battery</vt:lpstr>
      <vt:lpstr>unitdata_nuclearThermal</vt:lpstr>
      <vt:lpstr>unitdata_demandRed</vt:lpstr>
      <vt:lpstr>transferdata</vt:lpstr>
      <vt:lpstr>emissiondata</vt:lpstr>
      <vt:lpstr>nodedata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Lindroos Tomi J</dc:creator>
  <cp:lastModifiedBy>Lindroos Tomi J</cp:lastModifiedBy>
  <dcterms:created xsi:type="dcterms:W3CDTF">2025-11-21T17:16:21Z</dcterms:created>
  <dcterms:modified xsi:type="dcterms:W3CDTF">2026-09-08T12:10:45Z</dcterms:modified>
</cp:coreProperties>
</file>